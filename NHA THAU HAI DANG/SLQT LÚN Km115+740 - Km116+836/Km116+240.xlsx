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48FC64C8-A7F1-47B8-94E7-28C74FC1C540}" xr6:coauthVersionLast="47" xr6:coauthVersionMax="47" xr10:uidLastSave="{00000000-0000-0000-0000-000000000000}"/>
  <bookViews>
    <workbookView xWindow="-120" yWindow="-120" windowWidth="29040" windowHeight="15840" xr2:uid="{7595CD44-FFD6-4B6F-B7EC-E009641FEFE6}"/>
  </bookViews>
  <sheets>
    <sheet name="116+240" sheetId="2" r:id="rId1"/>
    <sheet name="BC.116+240" sheetId="3" r:id="rId2"/>
    <sheet name="SL.116+2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'116+240'!$A$2:$AB$684</definedName>
    <definedName name="_xlnm.Print_Area" localSheetId="1">'BC.116+240'!$A$1:$AB$328</definedName>
    <definedName name="_xlnm.Print_Area" localSheetId="2">'SL.116+240'!$A$1:$O$390</definedName>
    <definedName name="_xlnm.Print_Titles" localSheetId="0">'116+240'!$12:$13</definedName>
    <definedName name="_xlnm.Print_Titles" localSheetId="1">'BC.116+240'!$1:$12</definedName>
    <definedName name="_xlnm.Print_Titles" localSheetId="2">'SL.116+240'!$12:$13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'116+240'!#REF!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4" i="2" l="1"/>
  <c r="A492" i="4"/>
  <c r="B492" i="4"/>
  <c r="A492" i="2"/>
  <c r="B492" i="2"/>
  <c r="C492" i="2"/>
  <c r="D492" i="2"/>
  <c r="K492" i="2"/>
  <c r="L492" i="2"/>
  <c r="M492" i="2"/>
  <c r="A491" i="4"/>
  <c r="B491" i="4"/>
  <c r="A491" i="2"/>
  <c r="B491" i="2"/>
  <c r="C491" i="2"/>
  <c r="D491" i="2"/>
  <c r="K491" i="2"/>
  <c r="L491" i="2"/>
  <c r="M491" i="2"/>
  <c r="A483" i="4"/>
  <c r="B483" i="4"/>
  <c r="A484" i="4"/>
  <c r="B484" i="4"/>
  <c r="A485" i="4"/>
  <c r="B485" i="4"/>
  <c r="A486" i="4"/>
  <c r="B486" i="4"/>
  <c r="A487" i="4"/>
  <c r="B487" i="4"/>
  <c r="A488" i="4"/>
  <c r="B488" i="4"/>
  <c r="B489" i="4" s="1"/>
  <c r="B490" i="4" s="1"/>
  <c r="A489" i="4"/>
  <c r="A490" i="4"/>
  <c r="B482" i="3"/>
  <c r="C482" i="3" s="1"/>
  <c r="D482" i="3"/>
  <c r="K482" i="3"/>
  <c r="Q482" i="3"/>
  <c r="W482" i="3"/>
  <c r="B483" i="3"/>
  <c r="D483" i="3"/>
  <c r="K483" i="3"/>
  <c r="Q483" i="3"/>
  <c r="W483" i="3"/>
  <c r="B484" i="3"/>
  <c r="D484" i="3"/>
  <c r="E484" i="3"/>
  <c r="F484" i="3" s="1"/>
  <c r="K484" i="3"/>
  <c r="Q484" i="3"/>
  <c r="W484" i="3"/>
  <c r="B485" i="3"/>
  <c r="C485" i="3"/>
  <c r="D485" i="3"/>
  <c r="E485" i="3"/>
  <c r="K485" i="3"/>
  <c r="Q485" i="3"/>
  <c r="W485" i="3"/>
  <c r="B486" i="3"/>
  <c r="C486" i="3" s="1"/>
  <c r="K486" i="3"/>
  <c r="Q486" i="3"/>
  <c r="W486" i="3"/>
  <c r="B487" i="3"/>
  <c r="C487" i="3" s="1"/>
  <c r="E487" i="3"/>
  <c r="K487" i="3"/>
  <c r="Q487" i="3"/>
  <c r="W487" i="3"/>
  <c r="B488" i="3"/>
  <c r="E488" i="3"/>
  <c r="K488" i="3"/>
  <c r="Q488" i="3"/>
  <c r="W488" i="3"/>
  <c r="B489" i="3"/>
  <c r="C489" i="3"/>
  <c r="E489" i="3"/>
  <c r="K489" i="3"/>
  <c r="Q489" i="3"/>
  <c r="W489" i="3"/>
  <c r="B490" i="3"/>
  <c r="C490" i="3" s="1"/>
  <c r="K490" i="3"/>
  <c r="Q490" i="3"/>
  <c r="W490" i="3"/>
  <c r="B491" i="3"/>
  <c r="E491" i="3"/>
  <c r="K491" i="3"/>
  <c r="Q491" i="3"/>
  <c r="W491" i="3"/>
  <c r="B492" i="3"/>
  <c r="M492" i="3" s="1"/>
  <c r="E492" i="3"/>
  <c r="K492" i="3"/>
  <c r="Q492" i="3"/>
  <c r="S492" i="3"/>
  <c r="W492" i="3"/>
  <c r="B493" i="3"/>
  <c r="G493" i="3" s="1"/>
  <c r="E493" i="3"/>
  <c r="N493" i="3"/>
  <c r="P493" i="3"/>
  <c r="B494" i="3"/>
  <c r="C494" i="3" s="1"/>
  <c r="K494" i="3"/>
  <c r="M494" i="3"/>
  <c r="N494" i="3"/>
  <c r="Q494" i="3"/>
  <c r="W494" i="3"/>
  <c r="B495" i="3"/>
  <c r="C495" i="3" s="1"/>
  <c r="G495" i="3"/>
  <c r="H495" i="3"/>
  <c r="J495" i="3"/>
  <c r="K495" i="3"/>
  <c r="M495" i="3"/>
  <c r="N495" i="3"/>
  <c r="Q495" i="3"/>
  <c r="S495" i="3"/>
  <c r="T495" i="3"/>
  <c r="V495" i="3"/>
  <c r="W495" i="3"/>
  <c r="B496" i="3"/>
  <c r="M496" i="3" s="1"/>
  <c r="E496" i="3"/>
  <c r="G496" i="3"/>
  <c r="H496" i="3"/>
  <c r="J496" i="3"/>
  <c r="K496" i="3"/>
  <c r="N496" i="3"/>
  <c r="P496" i="3"/>
  <c r="Q496" i="3"/>
  <c r="S496" i="3"/>
  <c r="T496" i="3"/>
  <c r="V496" i="3"/>
  <c r="W496" i="3"/>
  <c r="B497" i="3"/>
  <c r="G497" i="3" s="1"/>
  <c r="C497" i="3"/>
  <c r="E497" i="3"/>
  <c r="K497" i="3"/>
  <c r="P497" i="3"/>
  <c r="Q497" i="3"/>
  <c r="W497" i="3"/>
  <c r="C480" i="2"/>
  <c r="D480" i="2"/>
  <c r="K480" i="2"/>
  <c r="L480" i="2"/>
  <c r="M480" i="2"/>
  <c r="M481" i="2" s="1"/>
  <c r="C481" i="2"/>
  <c r="D481" i="2"/>
  <c r="K481" i="2"/>
  <c r="L481" i="2"/>
  <c r="D482" i="2"/>
  <c r="L482" i="2"/>
  <c r="A480" i="2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B490" i="2"/>
  <c r="B487" i="2"/>
  <c r="B488" i="2" s="1"/>
  <c r="B489" i="2" s="1"/>
  <c r="B486" i="2"/>
  <c r="B483" i="2"/>
  <c r="B484" i="2"/>
  <c r="B485" i="2" s="1"/>
  <c r="A3" i="4"/>
  <c r="F5" i="4"/>
  <c r="B7" i="4"/>
  <c r="M7" i="4"/>
  <c r="B8" i="4"/>
  <c r="B9" i="4"/>
  <c r="A11" i="4"/>
  <c r="E14" i="4"/>
  <c r="B245" i="4"/>
  <c r="B246" i="4"/>
  <c r="B247" i="4" s="1"/>
  <c r="B248" i="4" s="1"/>
  <c r="B249" i="4" s="1"/>
  <c r="B250" i="4" s="1"/>
  <c r="B251" i="4"/>
  <c r="B252" i="4" s="1"/>
  <c r="B253" i="4" s="1"/>
  <c r="B254" i="4" s="1"/>
  <c r="B255" i="4" s="1"/>
  <c r="B256" i="4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3" i="3"/>
  <c r="J5" i="3"/>
  <c r="C7" i="3"/>
  <c r="N7" i="3"/>
  <c r="C8" i="3"/>
  <c r="C9" i="3"/>
  <c r="B13" i="3"/>
  <c r="A14" i="4" s="1"/>
  <c r="J13" i="3"/>
  <c r="K13" i="3"/>
  <c r="P13" i="3"/>
  <c r="V13" i="3"/>
  <c r="Z13" i="3"/>
  <c r="AA13" i="3" s="1"/>
  <c r="A16" i="3"/>
  <c r="A17" i="3"/>
  <c r="A18" i="3" s="1"/>
  <c r="A19" i="3" s="1"/>
  <c r="A20" i="3" s="1"/>
  <c r="A21" i="3" s="1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Z1" i="2" s="1"/>
  <c r="AA1" i="2" s="1"/>
  <c r="AB1" i="2" s="1"/>
  <c r="A4" i="2"/>
  <c r="I6" i="2"/>
  <c r="M9" i="2"/>
  <c r="M10" i="2"/>
  <c r="E14" i="2"/>
  <c r="H13" i="3" s="1"/>
  <c r="F14" i="2"/>
  <c r="G14" i="2"/>
  <c r="H14" i="2"/>
  <c r="I14" i="2"/>
  <c r="J14" i="2"/>
  <c r="U14" i="2"/>
  <c r="G13" i="3" s="1"/>
  <c r="V14" i="2"/>
  <c r="T14" i="2" s="1"/>
  <c r="W14" i="2"/>
  <c r="W15" i="2" s="1"/>
  <c r="W16" i="2" s="1"/>
  <c r="W17" i="2" s="1"/>
  <c r="B15" i="2"/>
  <c r="B14" i="3" s="1"/>
  <c r="C15" i="2"/>
  <c r="D15" i="2"/>
  <c r="K15" i="2"/>
  <c r="K16" i="2" s="1"/>
  <c r="K17" i="2" s="1"/>
  <c r="L15" i="2"/>
  <c r="M15" i="2"/>
  <c r="J15" i="2" s="1"/>
  <c r="N15" i="2"/>
  <c r="H15" i="2" s="1"/>
  <c r="P15" i="2"/>
  <c r="P16" i="2" s="1"/>
  <c r="P17" i="2" s="1"/>
  <c r="Q15" i="2"/>
  <c r="K14" i="3" s="1"/>
  <c r="L14" i="3" s="1"/>
  <c r="R15" i="2"/>
  <c r="Q14" i="3" s="1"/>
  <c r="R14" i="3" s="1"/>
  <c r="S15" i="2"/>
  <c r="W14" i="3" s="1"/>
  <c r="X14" i="3" s="1"/>
  <c r="B16" i="2"/>
  <c r="B15" i="3" s="1"/>
  <c r="Q16" i="2"/>
  <c r="R16" i="2"/>
  <c r="S16" i="2"/>
  <c r="W15" i="3" s="1"/>
  <c r="X15" i="3" s="1"/>
  <c r="S17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C493" i="3" l="1"/>
  <c r="P492" i="3"/>
  <c r="V492" i="3"/>
  <c r="T492" i="3"/>
  <c r="J492" i="3"/>
  <c r="H492" i="3"/>
  <c r="G492" i="3"/>
  <c r="F485" i="3"/>
  <c r="Y496" i="3"/>
  <c r="Z496" i="3" s="1"/>
  <c r="C491" i="3"/>
  <c r="N497" i="3"/>
  <c r="M497" i="3"/>
  <c r="C496" i="3"/>
  <c r="C492" i="3"/>
  <c r="C488" i="3"/>
  <c r="C484" i="3"/>
  <c r="V494" i="3"/>
  <c r="J494" i="3"/>
  <c r="M493" i="3"/>
  <c r="E495" i="3"/>
  <c r="T494" i="3"/>
  <c r="H494" i="3"/>
  <c r="N492" i="3"/>
  <c r="E483" i="3"/>
  <c r="F483" i="3" s="1"/>
  <c r="V497" i="3"/>
  <c r="J497" i="3"/>
  <c r="P495" i="3"/>
  <c r="S494" i="3"/>
  <c r="Y495" i="3" s="1"/>
  <c r="Z495" i="3" s="1"/>
  <c r="G494" i="3"/>
  <c r="V493" i="3"/>
  <c r="J493" i="3"/>
  <c r="C483" i="3"/>
  <c r="T497" i="3"/>
  <c r="H497" i="3"/>
  <c r="E494" i="3"/>
  <c r="T493" i="3"/>
  <c r="H493" i="3"/>
  <c r="E490" i="3"/>
  <c r="E486" i="3"/>
  <c r="E482" i="3"/>
  <c r="F482" i="3" s="1"/>
  <c r="P494" i="3"/>
  <c r="S493" i="3"/>
  <c r="Y493" i="3" s="1"/>
  <c r="Z493" i="3" s="1"/>
  <c r="S497" i="3"/>
  <c r="Y497" i="3" s="1"/>
  <c r="Z497" i="3" s="1"/>
  <c r="D486" i="3"/>
  <c r="M482" i="2"/>
  <c r="D483" i="2"/>
  <c r="C482" i="2"/>
  <c r="L483" i="2"/>
  <c r="K482" i="2"/>
  <c r="K18" i="2"/>
  <c r="Q15" i="3"/>
  <c r="R15" i="3" s="1"/>
  <c r="R17" i="2"/>
  <c r="K15" i="3"/>
  <c r="L15" i="3" s="1"/>
  <c r="N16" i="2"/>
  <c r="Q17" i="2"/>
  <c r="I15" i="2"/>
  <c r="F15" i="2" s="1"/>
  <c r="N14" i="3" s="1"/>
  <c r="D16" i="2"/>
  <c r="G15" i="2"/>
  <c r="M9" i="4"/>
  <c r="N9" i="3"/>
  <c r="C16" i="2"/>
  <c r="E15" i="2"/>
  <c r="H14" i="3" s="1"/>
  <c r="W16" i="3"/>
  <c r="X16" i="3" s="1"/>
  <c r="S18" i="2"/>
  <c r="W18" i="2"/>
  <c r="O15" i="2"/>
  <c r="O16" i="2" s="1"/>
  <c r="O17" i="2" s="1"/>
  <c r="A15" i="4"/>
  <c r="E14" i="3"/>
  <c r="T14" i="3"/>
  <c r="J14" i="3"/>
  <c r="V14" i="3"/>
  <c r="C14" i="3"/>
  <c r="S14" i="3"/>
  <c r="M8" i="4"/>
  <c r="N8" i="3"/>
  <c r="A16" i="4"/>
  <c r="C15" i="3"/>
  <c r="E15" i="3"/>
  <c r="G15" i="3"/>
  <c r="S15" i="3"/>
  <c r="Y15" i="3" s="1"/>
  <c r="Z15" i="3" s="1"/>
  <c r="V15" i="3"/>
  <c r="P15" i="3"/>
  <c r="M16" i="2"/>
  <c r="B17" i="2"/>
  <c r="L16" i="2"/>
  <c r="V15" i="2"/>
  <c r="V16" i="2" s="1"/>
  <c r="V17" i="2" s="1"/>
  <c r="U15" i="2"/>
  <c r="U16" i="2" s="1"/>
  <c r="U17" i="2" s="1"/>
  <c r="D14" i="4"/>
  <c r="T13" i="3"/>
  <c r="E13" i="3"/>
  <c r="S13" i="3"/>
  <c r="D13" i="3"/>
  <c r="G14" i="4"/>
  <c r="L14" i="4" s="1"/>
  <c r="I14" i="4"/>
  <c r="M14" i="4" s="1"/>
  <c r="K14" i="4"/>
  <c r="N13" i="3"/>
  <c r="M13" i="3"/>
  <c r="C14" i="4" s="1"/>
  <c r="F486" i="3" l="1"/>
  <c r="D487" i="3"/>
  <c r="Y494" i="3"/>
  <c r="Z494" i="3" s="1"/>
  <c r="C483" i="2"/>
  <c r="K483" i="2"/>
  <c r="L484" i="2"/>
  <c r="M483" i="2"/>
  <c r="D484" i="2"/>
  <c r="Y14" i="3"/>
  <c r="Z14" i="3" s="1"/>
  <c r="AA14" i="3" s="1"/>
  <c r="T15" i="2"/>
  <c r="M14" i="3"/>
  <c r="W17" i="3"/>
  <c r="X17" i="3" s="1"/>
  <c r="S19" i="2"/>
  <c r="C17" i="2"/>
  <c r="F16" i="2"/>
  <c r="N15" i="3" s="1"/>
  <c r="K16" i="3"/>
  <c r="L16" i="3" s="1"/>
  <c r="Q18" i="2"/>
  <c r="Q16" i="3"/>
  <c r="R16" i="3" s="1"/>
  <c r="R18" i="2"/>
  <c r="D14" i="3"/>
  <c r="F13" i="3"/>
  <c r="J16" i="2"/>
  <c r="M17" i="2"/>
  <c r="P18" i="2"/>
  <c r="P19" i="2" s="1"/>
  <c r="L17" i="2"/>
  <c r="I16" i="2"/>
  <c r="M15" i="3"/>
  <c r="U18" i="2"/>
  <c r="B16" i="3"/>
  <c r="B18" i="2"/>
  <c r="I16" i="4"/>
  <c r="M16" i="4" s="1"/>
  <c r="K16" i="4"/>
  <c r="N16" i="4" s="1"/>
  <c r="P14" i="3"/>
  <c r="I15" i="4" s="1"/>
  <c r="M15" i="4" s="1"/>
  <c r="K19" i="2"/>
  <c r="G15" i="4"/>
  <c r="L15" i="4" s="1"/>
  <c r="K15" i="4"/>
  <c r="N15" i="4" s="1"/>
  <c r="N17" i="2"/>
  <c r="H16" i="2"/>
  <c r="E16" i="2" s="1"/>
  <c r="H15" i="3" s="1"/>
  <c r="J15" i="3"/>
  <c r="G16" i="4" s="1"/>
  <c r="L16" i="4" s="1"/>
  <c r="G14" i="3"/>
  <c r="W19" i="2"/>
  <c r="D17" i="2"/>
  <c r="G16" i="2"/>
  <c r="T15" i="3" s="1"/>
  <c r="T16" i="2"/>
  <c r="F487" i="3" l="1"/>
  <c r="D488" i="3"/>
  <c r="D485" i="2"/>
  <c r="M484" i="2"/>
  <c r="L485" i="2"/>
  <c r="K484" i="2"/>
  <c r="C484" i="2"/>
  <c r="Q17" i="3"/>
  <c r="R17" i="3" s="1"/>
  <c r="R19" i="2"/>
  <c r="K17" i="3"/>
  <c r="L17" i="3" s="1"/>
  <c r="Q19" i="2"/>
  <c r="A17" i="4"/>
  <c r="J16" i="3"/>
  <c r="V16" i="3"/>
  <c r="M16" i="3"/>
  <c r="C16" i="3"/>
  <c r="S16" i="3"/>
  <c r="Y16" i="3" s="1"/>
  <c r="Z16" i="3" s="1"/>
  <c r="T16" i="3"/>
  <c r="E16" i="3"/>
  <c r="P16" i="3"/>
  <c r="G16" i="3"/>
  <c r="K20" i="2"/>
  <c r="P20" i="2"/>
  <c r="C18" i="2"/>
  <c r="E17" i="2"/>
  <c r="H16" i="3" s="1"/>
  <c r="U19" i="2"/>
  <c r="M18" i="2"/>
  <c r="J17" i="2"/>
  <c r="W18" i="3"/>
  <c r="X18" i="3" s="1"/>
  <c r="S20" i="2"/>
  <c r="W20" i="2" s="1"/>
  <c r="I17" i="2"/>
  <c r="F17" i="2" s="1"/>
  <c r="N16" i="3" s="1"/>
  <c r="L18" i="2"/>
  <c r="C16" i="4"/>
  <c r="AB15" i="3"/>
  <c r="E16" i="4" s="1"/>
  <c r="V18" i="2"/>
  <c r="V19" i="2" s="1"/>
  <c r="C15" i="4"/>
  <c r="AB14" i="3"/>
  <c r="E15" i="4" s="1"/>
  <c r="O13" i="3"/>
  <c r="H14" i="4" s="1"/>
  <c r="U13" i="3"/>
  <c r="J14" i="4" s="1"/>
  <c r="I13" i="3"/>
  <c r="F14" i="4" s="1"/>
  <c r="B17" i="3"/>
  <c r="B19" i="2"/>
  <c r="D18" i="2"/>
  <c r="G17" i="2"/>
  <c r="T17" i="2"/>
  <c r="N18" i="2"/>
  <c r="H17" i="2"/>
  <c r="O18" i="2"/>
  <c r="O19" i="2" s="1"/>
  <c r="F14" i="3"/>
  <c r="D15" i="3"/>
  <c r="D15" i="4"/>
  <c r="AA15" i="3"/>
  <c r="F488" i="3" l="1"/>
  <c r="D489" i="3"/>
  <c r="M485" i="2"/>
  <c r="C485" i="2"/>
  <c r="L486" i="2"/>
  <c r="K485" i="2"/>
  <c r="D486" i="2"/>
  <c r="M19" i="2"/>
  <c r="J18" i="2"/>
  <c r="C19" i="2"/>
  <c r="C17" i="4"/>
  <c r="AB16" i="3"/>
  <c r="E17" i="4" s="1"/>
  <c r="I14" i="3"/>
  <c r="F15" i="4" s="1"/>
  <c r="U14" i="3"/>
  <c r="J15" i="4" s="1"/>
  <c r="O14" i="3"/>
  <c r="H15" i="4" s="1"/>
  <c r="K21" i="2"/>
  <c r="D19" i="2"/>
  <c r="G18" i="2"/>
  <c r="T18" i="2"/>
  <c r="L19" i="2"/>
  <c r="I18" i="2"/>
  <c r="F18" i="2" s="1"/>
  <c r="N17" i="3" s="1"/>
  <c r="G17" i="4"/>
  <c r="L17" i="4" s="1"/>
  <c r="I17" i="4"/>
  <c r="M17" i="4" s="1"/>
  <c r="K17" i="4"/>
  <c r="N17" i="4" s="1"/>
  <c r="B18" i="3"/>
  <c r="B20" i="2"/>
  <c r="K18" i="3"/>
  <c r="L18" i="3" s="1"/>
  <c r="Q20" i="2"/>
  <c r="F15" i="3"/>
  <c r="D16" i="3"/>
  <c r="N19" i="2"/>
  <c r="H18" i="2"/>
  <c r="E18" i="2" s="1"/>
  <c r="H17" i="3" s="1"/>
  <c r="W19" i="3"/>
  <c r="X19" i="3" s="1"/>
  <c r="S21" i="2"/>
  <c r="P21" i="2" s="1"/>
  <c r="D16" i="4"/>
  <c r="AA16" i="3"/>
  <c r="Q18" i="3"/>
  <c r="R18" i="3" s="1"/>
  <c r="R20" i="2"/>
  <c r="A18" i="4"/>
  <c r="E17" i="3"/>
  <c r="G17" i="3"/>
  <c r="S17" i="3"/>
  <c r="Y17" i="3" s="1"/>
  <c r="Z17" i="3" s="1"/>
  <c r="J17" i="3"/>
  <c r="V17" i="3"/>
  <c r="M17" i="3"/>
  <c r="P17" i="3"/>
  <c r="T17" i="3"/>
  <c r="C17" i="3"/>
  <c r="F489" i="3" l="1"/>
  <c r="D490" i="3"/>
  <c r="L487" i="2"/>
  <c r="D487" i="2"/>
  <c r="K486" i="2"/>
  <c r="C486" i="2"/>
  <c r="M486" i="2"/>
  <c r="F16" i="3"/>
  <c r="D17" i="3"/>
  <c r="O15" i="3"/>
  <c r="H16" i="4" s="1"/>
  <c r="U15" i="3"/>
  <c r="J16" i="4" s="1"/>
  <c r="I15" i="3"/>
  <c r="F16" i="4" s="1"/>
  <c r="I19" i="2"/>
  <c r="F19" i="2" s="1"/>
  <c r="N18" i="3" s="1"/>
  <c r="L20" i="2"/>
  <c r="N20" i="2"/>
  <c r="H19" i="2"/>
  <c r="E19" i="2" s="1"/>
  <c r="H18" i="3" s="1"/>
  <c r="K19" i="3"/>
  <c r="L19" i="3" s="1"/>
  <c r="Q21" i="2"/>
  <c r="G18" i="4"/>
  <c r="L18" i="4" s="1"/>
  <c r="I18" i="4"/>
  <c r="M18" i="4" s="1"/>
  <c r="K18" i="4"/>
  <c r="N18" i="4" s="1"/>
  <c r="C20" i="2"/>
  <c r="Q19" i="3"/>
  <c r="R19" i="3" s="1"/>
  <c r="R21" i="2"/>
  <c r="B19" i="3"/>
  <c r="B21" i="2"/>
  <c r="T19" i="2"/>
  <c r="D20" i="2"/>
  <c r="A19" i="4"/>
  <c r="M18" i="3"/>
  <c r="E18" i="3"/>
  <c r="G18" i="3"/>
  <c r="S18" i="3"/>
  <c r="Y18" i="3" s="1"/>
  <c r="Z18" i="3" s="1"/>
  <c r="J18" i="3"/>
  <c r="P18" i="3"/>
  <c r="V18" i="3"/>
  <c r="C18" i="3"/>
  <c r="K22" i="2"/>
  <c r="D17" i="4"/>
  <c r="AA17" i="3"/>
  <c r="O20" i="2"/>
  <c r="W20" i="3"/>
  <c r="X20" i="3" s="1"/>
  <c r="S22" i="2"/>
  <c r="V20" i="2"/>
  <c r="V21" i="2" s="1"/>
  <c r="J19" i="2"/>
  <c r="G19" i="2" s="1"/>
  <c r="T18" i="3" s="1"/>
  <c r="M20" i="2"/>
  <c r="C18" i="4"/>
  <c r="AB17" i="3"/>
  <c r="E18" i="4" s="1"/>
  <c r="U20" i="2"/>
  <c r="U21" i="2" s="1"/>
  <c r="W21" i="2"/>
  <c r="F490" i="3" l="1"/>
  <c r="D491" i="3"/>
  <c r="C487" i="2"/>
  <c r="K487" i="2"/>
  <c r="M487" i="2"/>
  <c r="D488" i="2"/>
  <c r="L488" i="2"/>
  <c r="A20" i="4"/>
  <c r="J19" i="3"/>
  <c r="M19" i="3"/>
  <c r="C19" i="3"/>
  <c r="S19" i="3"/>
  <c r="Y19" i="3" s="1"/>
  <c r="Z19" i="3" s="1"/>
  <c r="E19" i="3"/>
  <c r="V19" i="3"/>
  <c r="G19" i="3"/>
  <c r="H19" i="3"/>
  <c r="P19" i="3"/>
  <c r="K20" i="3"/>
  <c r="L20" i="3" s="1"/>
  <c r="Q22" i="2"/>
  <c r="W21" i="3"/>
  <c r="X21" i="3" s="1"/>
  <c r="S23" i="2"/>
  <c r="Q20" i="3"/>
  <c r="R20" i="3" s="1"/>
  <c r="R22" i="2"/>
  <c r="N21" i="2"/>
  <c r="H20" i="2"/>
  <c r="D18" i="4"/>
  <c r="AA18" i="3"/>
  <c r="I20" i="2"/>
  <c r="F20" i="2" s="1"/>
  <c r="N19" i="3" s="1"/>
  <c r="L21" i="2"/>
  <c r="C19" i="4"/>
  <c r="AB18" i="3"/>
  <c r="E19" i="4" s="1"/>
  <c r="O21" i="2"/>
  <c r="E20" i="2"/>
  <c r="C21" i="2"/>
  <c r="W22" i="2"/>
  <c r="W23" i="2" s="1"/>
  <c r="K23" i="2"/>
  <c r="U22" i="2"/>
  <c r="G19" i="4"/>
  <c r="L19" i="4" s="1"/>
  <c r="I19" i="4"/>
  <c r="M19" i="4" s="1"/>
  <c r="K19" i="4"/>
  <c r="N19" i="4" s="1"/>
  <c r="T20" i="2"/>
  <c r="D21" i="2"/>
  <c r="F17" i="3"/>
  <c r="D18" i="3"/>
  <c r="J20" i="2"/>
  <c r="G20" i="2" s="1"/>
  <c r="T19" i="3" s="1"/>
  <c r="M21" i="2"/>
  <c r="I16" i="3"/>
  <c r="F17" i="4" s="1"/>
  <c r="U16" i="3"/>
  <c r="J17" i="4" s="1"/>
  <c r="O16" i="3"/>
  <c r="H17" i="4" s="1"/>
  <c r="B20" i="3"/>
  <c r="B22" i="2"/>
  <c r="P22" i="2"/>
  <c r="P23" i="2" s="1"/>
  <c r="F491" i="3" l="1"/>
  <c r="D492" i="3"/>
  <c r="M488" i="2"/>
  <c r="L489" i="2"/>
  <c r="D489" i="2"/>
  <c r="C488" i="2"/>
  <c r="K488" i="2"/>
  <c r="F18" i="3"/>
  <c r="D19" i="3"/>
  <c r="D19" i="4"/>
  <c r="AA19" i="3"/>
  <c r="I17" i="3"/>
  <c r="F18" i="4" s="1"/>
  <c r="U17" i="3"/>
  <c r="J18" i="4" s="1"/>
  <c r="O17" i="3"/>
  <c r="H18" i="4" s="1"/>
  <c r="K24" i="2"/>
  <c r="T21" i="2"/>
  <c r="D22" i="2"/>
  <c r="N22" i="2"/>
  <c r="H21" i="2"/>
  <c r="C22" i="2"/>
  <c r="E21" i="2"/>
  <c r="Q21" i="3"/>
  <c r="R21" i="3" s="1"/>
  <c r="R23" i="2"/>
  <c r="P24" i="2"/>
  <c r="B21" i="3"/>
  <c r="B23" i="2"/>
  <c r="W22" i="3"/>
  <c r="X22" i="3" s="1"/>
  <c r="S24" i="2"/>
  <c r="A21" i="4"/>
  <c r="J20" i="3"/>
  <c r="V20" i="3"/>
  <c r="E20" i="3"/>
  <c r="S20" i="3"/>
  <c r="Y20" i="3" s="1"/>
  <c r="Z20" i="3" s="1"/>
  <c r="G20" i="3"/>
  <c r="H20" i="3"/>
  <c r="M20" i="3"/>
  <c r="C20" i="3"/>
  <c r="P20" i="3"/>
  <c r="O22" i="2"/>
  <c r="C20" i="4"/>
  <c r="AB19" i="3"/>
  <c r="E20" i="4" s="1"/>
  <c r="K21" i="3"/>
  <c r="L21" i="3" s="1"/>
  <c r="Q23" i="2"/>
  <c r="U23" i="2" s="1"/>
  <c r="J21" i="2"/>
  <c r="G21" i="2" s="1"/>
  <c r="T20" i="3" s="1"/>
  <c r="M22" i="2"/>
  <c r="G20" i="4"/>
  <c r="L20" i="4" s="1"/>
  <c r="I20" i="4"/>
  <c r="M20" i="4" s="1"/>
  <c r="K20" i="4"/>
  <c r="N20" i="4" s="1"/>
  <c r="I21" i="2"/>
  <c r="F21" i="2" s="1"/>
  <c r="N20" i="3" s="1"/>
  <c r="L22" i="2"/>
  <c r="V22" i="2"/>
  <c r="F492" i="3" l="1"/>
  <c r="D493" i="3"/>
  <c r="C489" i="2"/>
  <c r="M489" i="2"/>
  <c r="K489" i="2"/>
  <c r="D490" i="2"/>
  <c r="L490" i="2"/>
  <c r="B22" i="3"/>
  <c r="B24" i="2"/>
  <c r="D23" i="2"/>
  <c r="T22" i="2"/>
  <c r="C21" i="4"/>
  <c r="AB20" i="3"/>
  <c r="E21" i="4" s="1"/>
  <c r="A22" i="4"/>
  <c r="C21" i="3"/>
  <c r="P21" i="3"/>
  <c r="E21" i="3"/>
  <c r="S21" i="3"/>
  <c r="Y21" i="3" s="1"/>
  <c r="Z21" i="3" s="1"/>
  <c r="G21" i="3"/>
  <c r="V21" i="3"/>
  <c r="J21" i="3"/>
  <c r="M21" i="3"/>
  <c r="J22" i="2"/>
  <c r="G22" i="2" s="1"/>
  <c r="T21" i="3" s="1"/>
  <c r="M23" i="2"/>
  <c r="Q22" i="3"/>
  <c r="R22" i="3" s="1"/>
  <c r="R24" i="2"/>
  <c r="K25" i="2"/>
  <c r="K22" i="3"/>
  <c r="L22" i="3" s="1"/>
  <c r="Q24" i="2"/>
  <c r="V23" i="2"/>
  <c r="L23" i="2"/>
  <c r="I22" i="2"/>
  <c r="C23" i="2"/>
  <c r="F22" i="2"/>
  <c r="N21" i="3" s="1"/>
  <c r="D20" i="4"/>
  <c r="AA20" i="3"/>
  <c r="O23" i="2"/>
  <c r="K21" i="4"/>
  <c r="N21" i="4" s="1"/>
  <c r="G21" i="4"/>
  <c r="L21" i="4" s="1"/>
  <c r="I21" i="4"/>
  <c r="M21" i="4" s="1"/>
  <c r="Y92" i="4"/>
  <c r="N23" i="2"/>
  <c r="H22" i="2"/>
  <c r="E22" i="2" s="1"/>
  <c r="H21" i="3" s="1"/>
  <c r="W23" i="3"/>
  <c r="X23" i="3" s="1"/>
  <c r="S25" i="2"/>
  <c r="W24" i="3" s="1"/>
  <c r="W24" i="2"/>
  <c r="D20" i="3"/>
  <c r="F19" i="3"/>
  <c r="I18" i="3"/>
  <c r="F19" i="4" s="1"/>
  <c r="O18" i="3"/>
  <c r="H19" i="4" s="1"/>
  <c r="U18" i="3"/>
  <c r="J19" i="4" s="1"/>
  <c r="F493" i="3" l="1"/>
  <c r="D494" i="3"/>
  <c r="I492" i="3"/>
  <c r="U492" i="3"/>
  <c r="O492" i="3"/>
  <c r="K490" i="2"/>
  <c r="M490" i="2"/>
  <c r="C490" i="2"/>
  <c r="N24" i="2"/>
  <c r="H23" i="2"/>
  <c r="C24" i="2"/>
  <c r="E23" i="2"/>
  <c r="P25" i="2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K22" i="4"/>
  <c r="N22" i="4" s="1"/>
  <c r="G22" i="4"/>
  <c r="L22" i="4" s="1"/>
  <c r="I22" i="4"/>
  <c r="M22" i="4" s="1"/>
  <c r="I23" i="2"/>
  <c r="F23" i="2" s="1"/>
  <c r="N22" i="3" s="1"/>
  <c r="L24" i="2"/>
  <c r="C22" i="4"/>
  <c r="AB21" i="3"/>
  <c r="E22" i="4" s="1"/>
  <c r="M24" i="2"/>
  <c r="J23" i="2"/>
  <c r="G23" i="2" s="1"/>
  <c r="T22" i="3" s="1"/>
  <c r="V24" i="2"/>
  <c r="K23" i="3"/>
  <c r="L23" i="3" s="1"/>
  <c r="Q25" i="2"/>
  <c r="K24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I19" i="3"/>
  <c r="F20" i="4" s="1"/>
  <c r="U19" i="3"/>
  <c r="J20" i="4" s="1"/>
  <c r="O19" i="3"/>
  <c r="H20" i="4" s="1"/>
  <c r="D24" i="2"/>
  <c r="T23" i="2"/>
  <c r="D21" i="3"/>
  <c r="F20" i="3"/>
  <c r="K26" i="2"/>
  <c r="B23" i="3"/>
  <c r="B25" i="2"/>
  <c r="W25" i="2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A23" i="4"/>
  <c r="C22" i="3"/>
  <c r="P22" i="3"/>
  <c r="E22" i="3"/>
  <c r="S22" i="3"/>
  <c r="Y22" i="3" s="1"/>
  <c r="Z22" i="3" s="1"/>
  <c r="G22" i="3"/>
  <c r="H22" i="3"/>
  <c r="V22" i="3"/>
  <c r="J22" i="3"/>
  <c r="M22" i="3"/>
  <c r="X24" i="3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D21" i="4"/>
  <c r="AA21" i="3"/>
  <c r="Q23" i="3"/>
  <c r="R23" i="3" s="1"/>
  <c r="R25" i="2"/>
  <c r="Q24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AB492" i="3" s="1"/>
  <c r="U24" i="2"/>
  <c r="W484" i="2" l="1"/>
  <c r="S482" i="3"/>
  <c r="O481" i="2"/>
  <c r="I480" i="2"/>
  <c r="F480" i="2" s="1"/>
  <c r="F494" i="3"/>
  <c r="D495" i="3"/>
  <c r="O493" i="3"/>
  <c r="I493" i="3"/>
  <c r="U493" i="3"/>
  <c r="P481" i="2"/>
  <c r="J480" i="2"/>
  <c r="G480" i="2" s="1"/>
  <c r="I23" i="4"/>
  <c r="M23" i="4" s="1"/>
  <c r="K23" i="4"/>
  <c r="N23" i="4" s="1"/>
  <c r="G23" i="4"/>
  <c r="L23" i="4" s="1"/>
  <c r="A24" i="4"/>
  <c r="M23" i="3"/>
  <c r="C23" i="3"/>
  <c r="P23" i="3"/>
  <c r="E23" i="3"/>
  <c r="G23" i="3"/>
  <c r="S23" i="3"/>
  <c r="Y23" i="3" s="1"/>
  <c r="Z23" i="3" s="1"/>
  <c r="J23" i="3"/>
  <c r="V23" i="3"/>
  <c r="B24" i="3"/>
  <c r="B26" i="2"/>
  <c r="K27" i="2"/>
  <c r="V25" i="2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C23" i="4"/>
  <c r="AB22" i="3"/>
  <c r="E23" i="4" s="1"/>
  <c r="U25" i="2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I20" i="3"/>
  <c r="F21" i="4" s="1"/>
  <c r="U20" i="3"/>
  <c r="J21" i="4" s="1"/>
  <c r="O20" i="3"/>
  <c r="H21" i="4" s="1"/>
  <c r="M25" i="2"/>
  <c r="J24" i="2"/>
  <c r="F21" i="3"/>
  <c r="D22" i="3"/>
  <c r="F24" i="2"/>
  <c r="N23" i="3" s="1"/>
  <c r="C25" i="2"/>
  <c r="D22" i="4"/>
  <c r="AA22" i="3"/>
  <c r="L25" i="2"/>
  <c r="I24" i="2"/>
  <c r="D25" i="2"/>
  <c r="G24" i="2"/>
  <c r="T23" i="3" s="1"/>
  <c r="T24" i="2"/>
  <c r="N25" i="2"/>
  <c r="H24" i="2"/>
  <c r="E24" i="2" s="1"/>
  <c r="H23" i="3" s="1"/>
  <c r="W485" i="2" l="1"/>
  <c r="S483" i="3"/>
  <c r="Y483" i="3" s="1"/>
  <c r="Z483" i="3" s="1"/>
  <c r="U484" i="2"/>
  <c r="G482" i="3"/>
  <c r="V481" i="2"/>
  <c r="T480" i="2"/>
  <c r="O482" i="2"/>
  <c r="I481" i="2"/>
  <c r="F481" i="2" s="1"/>
  <c r="D496" i="3"/>
  <c r="F495" i="3"/>
  <c r="O494" i="3"/>
  <c r="I494" i="3"/>
  <c r="U494" i="3"/>
  <c r="P482" i="2"/>
  <c r="J481" i="2"/>
  <c r="G481" i="2" s="1"/>
  <c r="N26" i="2"/>
  <c r="H25" i="2"/>
  <c r="U21" i="3"/>
  <c r="J22" i="4" s="1"/>
  <c r="I21" i="3"/>
  <c r="F22" i="4" s="1"/>
  <c r="O21" i="3"/>
  <c r="H22" i="4" s="1"/>
  <c r="B25" i="3"/>
  <c r="B27" i="2"/>
  <c r="C24" i="4"/>
  <c r="AB23" i="3"/>
  <c r="E24" i="4" s="1"/>
  <c r="K28" i="2"/>
  <c r="A25" i="4"/>
  <c r="J24" i="3"/>
  <c r="V24" i="3"/>
  <c r="M24" i="3"/>
  <c r="C24" i="3"/>
  <c r="P24" i="3"/>
  <c r="E24" i="3"/>
  <c r="G24" i="3"/>
  <c r="S24" i="3"/>
  <c r="Y24" i="3" s="1"/>
  <c r="Z24" i="3" s="1"/>
  <c r="H24" i="3"/>
  <c r="I24" i="4"/>
  <c r="M24" i="4" s="1"/>
  <c r="K24" i="4"/>
  <c r="N24" i="4" s="1"/>
  <c r="G24" i="4"/>
  <c r="L24" i="4" s="1"/>
  <c r="J25" i="2"/>
  <c r="M26" i="2"/>
  <c r="E25" i="2"/>
  <c r="F25" i="2"/>
  <c r="N24" i="3" s="1"/>
  <c r="C26" i="2"/>
  <c r="G25" i="2"/>
  <c r="T24" i="3" s="1"/>
  <c r="T25" i="2"/>
  <c r="D26" i="2"/>
  <c r="F22" i="3"/>
  <c r="D23" i="3"/>
  <c r="I25" i="2"/>
  <c r="L26" i="2"/>
  <c r="D23" i="4"/>
  <c r="AA23" i="3"/>
  <c r="W486" i="2" l="1"/>
  <c r="S484" i="3"/>
  <c r="Y484" i="3" s="1"/>
  <c r="Z484" i="3" s="1"/>
  <c r="U485" i="2"/>
  <c r="G483" i="3"/>
  <c r="O483" i="2"/>
  <c r="I482" i="2"/>
  <c r="F482" i="2" s="1"/>
  <c r="V482" i="2"/>
  <c r="T481" i="2"/>
  <c r="O495" i="3"/>
  <c r="I495" i="3"/>
  <c r="U495" i="3"/>
  <c r="F496" i="3"/>
  <c r="D497" i="3"/>
  <c r="F497" i="3" s="1"/>
  <c r="P483" i="2"/>
  <c r="V482" i="3" s="1"/>
  <c r="K483" i="4" s="1"/>
  <c r="N483" i="4" s="1"/>
  <c r="J482" i="2"/>
  <c r="G482" i="2" s="1"/>
  <c r="G25" i="4"/>
  <c r="L25" i="4" s="1"/>
  <c r="I25" i="4"/>
  <c r="M25" i="4" s="1"/>
  <c r="K25" i="4"/>
  <c r="N25" i="4" s="1"/>
  <c r="K29" i="2"/>
  <c r="F26" i="2"/>
  <c r="N25" i="3" s="1"/>
  <c r="C27" i="2"/>
  <c r="E26" i="2"/>
  <c r="D24" i="4"/>
  <c r="AA24" i="3"/>
  <c r="M27" i="2"/>
  <c r="J26" i="2"/>
  <c r="B26" i="3"/>
  <c r="B28" i="2"/>
  <c r="A26" i="4"/>
  <c r="G25" i="3"/>
  <c r="S25" i="3"/>
  <c r="Y25" i="3" s="1"/>
  <c r="Z25" i="3" s="1"/>
  <c r="H25" i="3"/>
  <c r="T25" i="3"/>
  <c r="J25" i="3"/>
  <c r="V25" i="3"/>
  <c r="M25" i="3"/>
  <c r="P25" i="3"/>
  <c r="C25" i="3"/>
  <c r="E25" i="3"/>
  <c r="L27" i="2"/>
  <c r="I26" i="2"/>
  <c r="F23" i="3"/>
  <c r="D24" i="3"/>
  <c r="C25" i="4"/>
  <c r="AB24" i="3"/>
  <c r="E25" i="4" s="1"/>
  <c r="O22" i="3"/>
  <c r="H23" i="4" s="1"/>
  <c r="U22" i="3"/>
  <c r="J23" i="4" s="1"/>
  <c r="I22" i="3"/>
  <c r="F23" i="4" s="1"/>
  <c r="G26" i="2"/>
  <c r="D27" i="2"/>
  <c r="T26" i="2"/>
  <c r="N27" i="2"/>
  <c r="H26" i="2"/>
  <c r="W487" i="2" l="1"/>
  <c r="S485" i="3"/>
  <c r="Y485" i="3" s="1"/>
  <c r="Z485" i="3" s="1"/>
  <c r="U486" i="2"/>
  <c r="G484" i="3"/>
  <c r="V483" i="2"/>
  <c r="T482" i="2"/>
  <c r="O484" i="2"/>
  <c r="P482" i="3"/>
  <c r="I483" i="4" s="1"/>
  <c r="M483" i="4" s="1"/>
  <c r="I483" i="2"/>
  <c r="F483" i="2" s="1"/>
  <c r="N482" i="3" s="1"/>
  <c r="O482" i="3" s="1"/>
  <c r="H483" i="4" s="1"/>
  <c r="I497" i="3"/>
  <c r="U497" i="3"/>
  <c r="O497" i="3"/>
  <c r="I496" i="3"/>
  <c r="U496" i="3"/>
  <c r="O496" i="3"/>
  <c r="P484" i="2"/>
  <c r="V483" i="3" s="1"/>
  <c r="K484" i="4" s="1"/>
  <c r="N484" i="4" s="1"/>
  <c r="J483" i="2"/>
  <c r="G483" i="2" s="1"/>
  <c r="T482" i="3" s="1"/>
  <c r="U482" i="3" s="1"/>
  <c r="J483" i="4" s="1"/>
  <c r="C28" i="2"/>
  <c r="F27" i="2"/>
  <c r="O23" i="3"/>
  <c r="H24" i="4" s="1"/>
  <c r="I23" i="3"/>
  <c r="F24" i="4" s="1"/>
  <c r="U23" i="3"/>
  <c r="J24" i="4" s="1"/>
  <c r="K30" i="2"/>
  <c r="D25" i="3"/>
  <c r="F24" i="3"/>
  <c r="N28" i="2"/>
  <c r="H27" i="2"/>
  <c r="E27" i="2" s="1"/>
  <c r="H26" i="3" s="1"/>
  <c r="I27" i="2"/>
  <c r="L28" i="2"/>
  <c r="G26" i="4"/>
  <c r="L26" i="4" s="1"/>
  <c r="I26" i="4"/>
  <c r="M26" i="4" s="1"/>
  <c r="K26" i="4"/>
  <c r="N26" i="4" s="1"/>
  <c r="B27" i="3"/>
  <c r="B29" i="2"/>
  <c r="D28" i="2"/>
  <c r="T27" i="2"/>
  <c r="A27" i="4"/>
  <c r="P26" i="3"/>
  <c r="E26" i="3"/>
  <c r="G26" i="3"/>
  <c r="S26" i="3"/>
  <c r="Y26" i="3" s="1"/>
  <c r="Z26" i="3" s="1"/>
  <c r="J26" i="3"/>
  <c r="V26" i="3"/>
  <c r="M26" i="3"/>
  <c r="C26" i="3"/>
  <c r="N26" i="3"/>
  <c r="J27" i="2"/>
  <c r="G27" i="2" s="1"/>
  <c r="T26" i="3" s="1"/>
  <c r="M28" i="2"/>
  <c r="C26" i="4"/>
  <c r="AB25" i="3"/>
  <c r="E26" i="4" s="1"/>
  <c r="D25" i="4"/>
  <c r="AA25" i="3"/>
  <c r="W488" i="2" l="1"/>
  <c r="S486" i="3"/>
  <c r="Y486" i="3" s="1"/>
  <c r="Z486" i="3" s="1"/>
  <c r="U487" i="2"/>
  <c r="G485" i="3"/>
  <c r="O485" i="2"/>
  <c r="P483" i="3"/>
  <c r="I484" i="4" s="1"/>
  <c r="M484" i="4" s="1"/>
  <c r="I484" i="2"/>
  <c r="F484" i="2" s="1"/>
  <c r="N483" i="3" s="1"/>
  <c r="O483" i="3" s="1"/>
  <c r="H484" i="4" s="1"/>
  <c r="V484" i="2"/>
  <c r="M482" i="3"/>
  <c r="T483" i="2"/>
  <c r="P485" i="2"/>
  <c r="V484" i="3" s="1"/>
  <c r="K485" i="4" s="1"/>
  <c r="N485" i="4" s="1"/>
  <c r="J484" i="2"/>
  <c r="G484" i="2" s="1"/>
  <c r="T483" i="3" s="1"/>
  <c r="U483" i="3" s="1"/>
  <c r="J484" i="4" s="1"/>
  <c r="C27" i="4"/>
  <c r="AB26" i="3"/>
  <c r="E27" i="4" s="1"/>
  <c r="T28" i="2"/>
  <c r="D29" i="2"/>
  <c r="N29" i="2"/>
  <c r="H28" i="2"/>
  <c r="B28" i="3"/>
  <c r="B30" i="2"/>
  <c r="O24" i="3"/>
  <c r="H25" i="4" s="1"/>
  <c r="I24" i="3"/>
  <c r="F25" i="4" s="1"/>
  <c r="U24" i="3"/>
  <c r="J25" i="4" s="1"/>
  <c r="K31" i="2"/>
  <c r="D26" i="4"/>
  <c r="AA26" i="3"/>
  <c r="A28" i="4"/>
  <c r="M27" i="3"/>
  <c r="C27" i="3"/>
  <c r="P27" i="3"/>
  <c r="E27" i="3"/>
  <c r="G27" i="3"/>
  <c r="S27" i="3"/>
  <c r="Y27" i="3" s="1"/>
  <c r="Z27" i="3" s="1"/>
  <c r="J27" i="3"/>
  <c r="V27" i="3"/>
  <c r="J28" i="2"/>
  <c r="G28" i="2" s="1"/>
  <c r="T27" i="3" s="1"/>
  <c r="M29" i="2"/>
  <c r="G27" i="4"/>
  <c r="L27" i="4" s="1"/>
  <c r="I27" i="4"/>
  <c r="M27" i="4" s="1"/>
  <c r="K27" i="4"/>
  <c r="N27" i="4" s="1"/>
  <c r="L29" i="2"/>
  <c r="I28" i="2"/>
  <c r="F28" i="2" s="1"/>
  <c r="N27" i="3" s="1"/>
  <c r="E28" i="2"/>
  <c r="H27" i="3" s="1"/>
  <c r="C29" i="2"/>
  <c r="D26" i="3"/>
  <c r="F25" i="3"/>
  <c r="W489" i="2" l="1"/>
  <c r="S487" i="3"/>
  <c r="U488" i="2"/>
  <c r="G486" i="3"/>
  <c r="V485" i="2"/>
  <c r="T484" i="2"/>
  <c r="M483" i="3"/>
  <c r="O486" i="2"/>
  <c r="P484" i="3"/>
  <c r="I485" i="4" s="1"/>
  <c r="M485" i="4" s="1"/>
  <c r="I485" i="2"/>
  <c r="F485" i="2" s="1"/>
  <c r="N484" i="3" s="1"/>
  <c r="O484" i="3" s="1"/>
  <c r="H485" i="4" s="1"/>
  <c r="C483" i="4"/>
  <c r="AB482" i="3"/>
  <c r="E483" i="4" s="1"/>
  <c r="P486" i="2"/>
  <c r="V485" i="3" s="1"/>
  <c r="K486" i="4" s="1"/>
  <c r="N486" i="4" s="1"/>
  <c r="J485" i="2"/>
  <c r="G485" i="2" s="1"/>
  <c r="T484" i="3" s="1"/>
  <c r="U484" i="3" s="1"/>
  <c r="J485" i="4" s="1"/>
  <c r="B29" i="3"/>
  <c r="B31" i="2"/>
  <c r="A29" i="4"/>
  <c r="J28" i="3"/>
  <c r="V28" i="3"/>
  <c r="M28" i="3"/>
  <c r="C28" i="3"/>
  <c r="P28" i="3"/>
  <c r="E28" i="3"/>
  <c r="G28" i="3"/>
  <c r="S28" i="3"/>
  <c r="Y28" i="3" s="1"/>
  <c r="Z28" i="3" s="1"/>
  <c r="I25" i="3"/>
  <c r="F26" i="4" s="1"/>
  <c r="U25" i="3"/>
  <c r="J26" i="4" s="1"/>
  <c r="O25" i="3"/>
  <c r="H26" i="4" s="1"/>
  <c r="F26" i="3"/>
  <c r="D27" i="3"/>
  <c r="J29" i="2"/>
  <c r="M30" i="2"/>
  <c r="C28" i="4"/>
  <c r="AB27" i="3"/>
  <c r="E28" i="4" s="1"/>
  <c r="N30" i="2"/>
  <c r="H29" i="2"/>
  <c r="C30" i="2"/>
  <c r="E29" i="2"/>
  <c r="H28" i="3" s="1"/>
  <c r="G28" i="4"/>
  <c r="L28" i="4" s="1"/>
  <c r="I28" i="4"/>
  <c r="M28" i="4" s="1"/>
  <c r="K28" i="4"/>
  <c r="N28" i="4" s="1"/>
  <c r="D30" i="2"/>
  <c r="G29" i="2"/>
  <c r="T28" i="3" s="1"/>
  <c r="T29" i="2"/>
  <c r="D27" i="4"/>
  <c r="AA27" i="3"/>
  <c r="K32" i="2"/>
  <c r="I29" i="2"/>
  <c r="F29" i="2" s="1"/>
  <c r="N28" i="3" s="1"/>
  <c r="L30" i="2"/>
  <c r="Y487" i="3" l="1"/>
  <c r="Z487" i="3" s="1"/>
  <c r="W490" i="2"/>
  <c r="S488" i="3"/>
  <c r="Y488" i="3" s="1"/>
  <c r="Z488" i="3" s="1"/>
  <c r="U489" i="2"/>
  <c r="G487" i="3"/>
  <c r="V486" i="2"/>
  <c r="M484" i="3"/>
  <c r="T485" i="2"/>
  <c r="O487" i="2"/>
  <c r="P485" i="3"/>
  <c r="I486" i="4" s="1"/>
  <c r="M486" i="4" s="1"/>
  <c r="I486" i="2"/>
  <c r="F486" i="2" s="1"/>
  <c r="N485" i="3" s="1"/>
  <c r="O485" i="3" s="1"/>
  <c r="H486" i="4" s="1"/>
  <c r="AB483" i="3"/>
  <c r="E484" i="4" s="1"/>
  <c r="C484" i="4"/>
  <c r="P487" i="2"/>
  <c r="V486" i="3" s="1"/>
  <c r="K487" i="4" s="1"/>
  <c r="N487" i="4" s="1"/>
  <c r="J486" i="2"/>
  <c r="G486" i="2" s="1"/>
  <c r="T485" i="3" s="1"/>
  <c r="U485" i="3" s="1"/>
  <c r="J486" i="4" s="1"/>
  <c r="M31" i="2"/>
  <c r="J30" i="2"/>
  <c r="G30" i="2" s="1"/>
  <c r="T29" i="3" s="1"/>
  <c r="T30" i="2"/>
  <c r="D31" i="2"/>
  <c r="L31" i="2"/>
  <c r="I30" i="2"/>
  <c r="F27" i="3"/>
  <c r="D28" i="3"/>
  <c r="I26" i="3"/>
  <c r="F27" i="4" s="1"/>
  <c r="U26" i="3"/>
  <c r="J27" i="4" s="1"/>
  <c r="O26" i="3"/>
  <c r="H27" i="4" s="1"/>
  <c r="C29" i="4"/>
  <c r="AB28" i="3"/>
  <c r="E29" i="4" s="1"/>
  <c r="K33" i="2"/>
  <c r="N31" i="2"/>
  <c r="H30" i="2"/>
  <c r="D28" i="4"/>
  <c r="AA28" i="3"/>
  <c r="G29" i="4"/>
  <c r="L29" i="4" s="1"/>
  <c r="I29" i="4"/>
  <c r="M29" i="4" s="1"/>
  <c r="K29" i="4"/>
  <c r="N29" i="4" s="1"/>
  <c r="B30" i="3"/>
  <c r="B32" i="2"/>
  <c r="E30" i="2"/>
  <c r="C31" i="2"/>
  <c r="F30" i="2"/>
  <c r="N29" i="3" s="1"/>
  <c r="A30" i="4"/>
  <c r="G29" i="3"/>
  <c r="S29" i="3"/>
  <c r="Y29" i="3" s="1"/>
  <c r="Z29" i="3" s="1"/>
  <c r="H29" i="3"/>
  <c r="J29" i="3"/>
  <c r="V29" i="3"/>
  <c r="M29" i="3"/>
  <c r="P29" i="3"/>
  <c r="E29" i="3"/>
  <c r="C29" i="3"/>
  <c r="W491" i="2" l="1"/>
  <c r="S489" i="3"/>
  <c r="Y489" i="3" s="1"/>
  <c r="Z489" i="3" s="1"/>
  <c r="U490" i="2"/>
  <c r="G488" i="3"/>
  <c r="V487" i="2"/>
  <c r="M485" i="3"/>
  <c r="T486" i="2"/>
  <c r="O488" i="2"/>
  <c r="P486" i="3"/>
  <c r="I487" i="4" s="1"/>
  <c r="M487" i="4" s="1"/>
  <c r="I487" i="2"/>
  <c r="F487" i="2" s="1"/>
  <c r="N486" i="3" s="1"/>
  <c r="O486" i="3" s="1"/>
  <c r="H487" i="4" s="1"/>
  <c r="AB484" i="3"/>
  <c r="E485" i="4" s="1"/>
  <c r="C485" i="4"/>
  <c r="P488" i="2"/>
  <c r="V487" i="3" s="1"/>
  <c r="K488" i="4" s="1"/>
  <c r="N488" i="4" s="1"/>
  <c r="J487" i="2"/>
  <c r="G487" i="2" s="1"/>
  <c r="T486" i="3" s="1"/>
  <c r="U486" i="3" s="1"/>
  <c r="J487" i="4" s="1"/>
  <c r="D29" i="3"/>
  <c r="F28" i="3"/>
  <c r="G30" i="4"/>
  <c r="L30" i="4" s="1"/>
  <c r="I30" i="4"/>
  <c r="M30" i="4" s="1"/>
  <c r="K30" i="4"/>
  <c r="N30" i="4" s="1"/>
  <c r="D29" i="4"/>
  <c r="AA29" i="3"/>
  <c r="O27" i="3"/>
  <c r="H28" i="4" s="1"/>
  <c r="U27" i="3"/>
  <c r="J28" i="4" s="1"/>
  <c r="I27" i="3"/>
  <c r="F28" i="4" s="1"/>
  <c r="C32" i="2"/>
  <c r="L32" i="2"/>
  <c r="I31" i="2"/>
  <c r="F31" i="2" s="1"/>
  <c r="N30" i="3" s="1"/>
  <c r="N32" i="2"/>
  <c r="H31" i="2"/>
  <c r="E31" i="2" s="1"/>
  <c r="H30" i="3" s="1"/>
  <c r="T31" i="2"/>
  <c r="D32" i="2"/>
  <c r="B31" i="3"/>
  <c r="B33" i="2"/>
  <c r="C30" i="4"/>
  <c r="AB29" i="3"/>
  <c r="E30" i="4" s="1"/>
  <c r="A31" i="4"/>
  <c r="P30" i="3"/>
  <c r="E30" i="3"/>
  <c r="G30" i="3"/>
  <c r="S30" i="3"/>
  <c r="Y30" i="3" s="1"/>
  <c r="Z30" i="3" s="1"/>
  <c r="J30" i="3"/>
  <c r="V30" i="3"/>
  <c r="M30" i="3"/>
  <c r="C30" i="3"/>
  <c r="K34" i="2"/>
  <c r="M32" i="2"/>
  <c r="J31" i="2"/>
  <c r="G31" i="2" s="1"/>
  <c r="T30" i="3" s="1"/>
  <c r="W492" i="2" l="1"/>
  <c r="S491" i="3" s="1"/>
  <c r="S490" i="3"/>
  <c r="Y490" i="3" s="1"/>
  <c r="Z490" i="3" s="1"/>
  <c r="U491" i="2"/>
  <c r="G489" i="3"/>
  <c r="O489" i="2"/>
  <c r="P487" i="3"/>
  <c r="I488" i="4" s="1"/>
  <c r="M488" i="4" s="1"/>
  <c r="I488" i="2"/>
  <c r="F488" i="2" s="1"/>
  <c r="N487" i="3" s="1"/>
  <c r="O487" i="3" s="1"/>
  <c r="H488" i="4" s="1"/>
  <c r="C486" i="4"/>
  <c r="AB485" i="3"/>
  <c r="E486" i="4" s="1"/>
  <c r="V488" i="2"/>
  <c r="M486" i="3"/>
  <c r="T487" i="2"/>
  <c r="P489" i="2"/>
  <c r="V488" i="3" s="1"/>
  <c r="K489" i="4" s="1"/>
  <c r="N489" i="4" s="1"/>
  <c r="J488" i="2"/>
  <c r="G488" i="2" s="1"/>
  <c r="T487" i="3" s="1"/>
  <c r="U487" i="3" s="1"/>
  <c r="J488" i="4" s="1"/>
  <c r="D30" i="4"/>
  <c r="AA30" i="3"/>
  <c r="T32" i="2"/>
  <c r="D33" i="2"/>
  <c r="N33" i="2"/>
  <c r="H32" i="2"/>
  <c r="M33" i="2"/>
  <c r="J32" i="2"/>
  <c r="G32" i="2" s="1"/>
  <c r="T31" i="3" s="1"/>
  <c r="L33" i="2"/>
  <c r="I32" i="2"/>
  <c r="F32" i="2" s="1"/>
  <c r="N31" i="3" s="1"/>
  <c r="K35" i="2"/>
  <c r="G31" i="4"/>
  <c r="L31" i="4" s="1"/>
  <c r="I31" i="4"/>
  <c r="M31" i="4" s="1"/>
  <c r="K31" i="4"/>
  <c r="N31" i="4" s="1"/>
  <c r="A32" i="4"/>
  <c r="M31" i="3"/>
  <c r="C31" i="3"/>
  <c r="P31" i="3"/>
  <c r="E31" i="3"/>
  <c r="G31" i="3"/>
  <c r="S31" i="3"/>
  <c r="Y31" i="3" s="1"/>
  <c r="Z31" i="3" s="1"/>
  <c r="J31" i="3"/>
  <c r="V31" i="3"/>
  <c r="E32" i="2"/>
  <c r="H31" i="3" s="1"/>
  <c r="C33" i="2"/>
  <c r="O28" i="3"/>
  <c r="H29" i="4" s="1"/>
  <c r="I28" i="3"/>
  <c r="F29" i="4" s="1"/>
  <c r="U28" i="3"/>
  <c r="J29" i="4" s="1"/>
  <c r="C31" i="4"/>
  <c r="AB30" i="3"/>
  <c r="E31" i="4" s="1"/>
  <c r="B32" i="3"/>
  <c r="B34" i="2"/>
  <c r="D30" i="3"/>
  <c r="F29" i="3"/>
  <c r="Y492" i="3" l="1"/>
  <c r="Z492" i="3" s="1"/>
  <c r="Y491" i="3"/>
  <c r="Z491" i="3" s="1"/>
  <c r="U492" i="2"/>
  <c r="G491" i="3" s="1"/>
  <c r="G490" i="3"/>
  <c r="C487" i="4"/>
  <c r="AB486" i="3"/>
  <c r="E487" i="4" s="1"/>
  <c r="V489" i="2"/>
  <c r="M487" i="3"/>
  <c r="T488" i="2"/>
  <c r="O490" i="2"/>
  <c r="P488" i="3"/>
  <c r="I489" i="4" s="1"/>
  <c r="M489" i="4" s="1"/>
  <c r="I489" i="2"/>
  <c r="F489" i="2" s="1"/>
  <c r="N488" i="3" s="1"/>
  <c r="O488" i="3" s="1"/>
  <c r="H489" i="4" s="1"/>
  <c r="P490" i="2"/>
  <c r="J489" i="2"/>
  <c r="G489" i="2" s="1"/>
  <c r="T488" i="3" s="1"/>
  <c r="U488" i="3" s="1"/>
  <c r="J489" i="4" s="1"/>
  <c r="C34" i="2"/>
  <c r="L34" i="2"/>
  <c r="I33" i="2"/>
  <c r="F33" i="2" s="1"/>
  <c r="N32" i="3" s="1"/>
  <c r="C32" i="4"/>
  <c r="AB31" i="3"/>
  <c r="E32" i="4" s="1"/>
  <c r="G32" i="4"/>
  <c r="L32" i="4" s="1"/>
  <c r="I32" i="4"/>
  <c r="M32" i="4" s="1"/>
  <c r="K32" i="4"/>
  <c r="N32" i="4" s="1"/>
  <c r="M34" i="2"/>
  <c r="J33" i="2"/>
  <c r="I29" i="3"/>
  <c r="F30" i="4" s="1"/>
  <c r="U29" i="3"/>
  <c r="J30" i="4" s="1"/>
  <c r="O29" i="3"/>
  <c r="H30" i="4" s="1"/>
  <c r="F30" i="3"/>
  <c r="D31" i="3"/>
  <c r="N34" i="2"/>
  <c r="H33" i="2"/>
  <c r="E33" i="2" s="1"/>
  <c r="H32" i="3" s="1"/>
  <c r="B33" i="3"/>
  <c r="B35" i="2"/>
  <c r="A33" i="4"/>
  <c r="J32" i="3"/>
  <c r="V32" i="3"/>
  <c r="M32" i="3"/>
  <c r="C32" i="3"/>
  <c r="P32" i="3"/>
  <c r="E32" i="3"/>
  <c r="G32" i="3"/>
  <c r="S32" i="3"/>
  <c r="Y32" i="3" s="1"/>
  <c r="Z32" i="3" s="1"/>
  <c r="T32" i="3"/>
  <c r="T33" i="2"/>
  <c r="G33" i="2"/>
  <c r="D34" i="2"/>
  <c r="D31" i="4"/>
  <c r="AA31" i="3"/>
  <c r="K36" i="2"/>
  <c r="J490" i="2" l="1"/>
  <c r="G490" i="2" s="1"/>
  <c r="T489" i="3" s="1"/>
  <c r="U489" i="3" s="1"/>
  <c r="J490" i="4" s="1"/>
  <c r="P491" i="2"/>
  <c r="V489" i="3"/>
  <c r="K490" i="4" s="1"/>
  <c r="N490" i="4" s="1"/>
  <c r="O491" i="2"/>
  <c r="P489" i="3"/>
  <c r="I490" i="4" s="1"/>
  <c r="M490" i="4" s="1"/>
  <c r="I490" i="2"/>
  <c r="F490" i="2" s="1"/>
  <c r="N489" i="3" s="1"/>
  <c r="O489" i="3" s="1"/>
  <c r="H490" i="4" s="1"/>
  <c r="V490" i="2"/>
  <c r="T489" i="2"/>
  <c r="M488" i="3"/>
  <c r="C488" i="4"/>
  <c r="AB487" i="3"/>
  <c r="E488" i="4" s="1"/>
  <c r="N35" i="2"/>
  <c r="H34" i="2"/>
  <c r="F31" i="3"/>
  <c r="D32" i="3"/>
  <c r="A34" i="4"/>
  <c r="G33" i="3"/>
  <c r="S33" i="3"/>
  <c r="Y33" i="3" s="1"/>
  <c r="Z33" i="3" s="1"/>
  <c r="J33" i="3"/>
  <c r="V33" i="3"/>
  <c r="M33" i="3"/>
  <c r="P33" i="3"/>
  <c r="E33" i="3"/>
  <c r="C33" i="3"/>
  <c r="I30" i="3"/>
  <c r="F31" i="4" s="1"/>
  <c r="U30" i="3"/>
  <c r="J31" i="4" s="1"/>
  <c r="O30" i="3"/>
  <c r="H31" i="4" s="1"/>
  <c r="K37" i="2"/>
  <c r="D32" i="4"/>
  <c r="AA32" i="3"/>
  <c r="B34" i="3"/>
  <c r="B36" i="2"/>
  <c r="C33" i="4"/>
  <c r="AB32" i="3"/>
  <c r="E33" i="4" s="1"/>
  <c r="I34" i="2"/>
  <c r="L35" i="2"/>
  <c r="D35" i="2"/>
  <c r="T34" i="2"/>
  <c r="C35" i="2"/>
  <c r="E34" i="2"/>
  <c r="H33" i="3" s="1"/>
  <c r="F34" i="2"/>
  <c r="N33" i="3" s="1"/>
  <c r="J34" i="2"/>
  <c r="G34" i="2" s="1"/>
  <c r="T33" i="3" s="1"/>
  <c r="M35" i="2"/>
  <c r="K33" i="4"/>
  <c r="N33" i="4" s="1"/>
  <c r="G33" i="4"/>
  <c r="L33" i="4" s="1"/>
  <c r="I33" i="4"/>
  <c r="M33" i="4" s="1"/>
  <c r="P492" i="2" l="1"/>
  <c r="J491" i="2"/>
  <c r="G491" i="2" s="1"/>
  <c r="T490" i="3" s="1"/>
  <c r="U490" i="3" s="1"/>
  <c r="J491" i="4" s="1"/>
  <c r="V490" i="3"/>
  <c r="K491" i="4" s="1"/>
  <c r="N491" i="4" s="1"/>
  <c r="C489" i="4"/>
  <c r="AB488" i="3"/>
  <c r="E489" i="4" s="1"/>
  <c r="T490" i="2"/>
  <c r="M489" i="3"/>
  <c r="V491" i="2"/>
  <c r="O492" i="2"/>
  <c r="I491" i="2"/>
  <c r="F491" i="2" s="1"/>
  <c r="N490" i="3" s="1"/>
  <c r="O490" i="3" s="1"/>
  <c r="H491" i="4" s="1"/>
  <c r="P490" i="3"/>
  <c r="I491" i="4" s="1"/>
  <c r="M491" i="4" s="1"/>
  <c r="A35" i="4"/>
  <c r="P34" i="3"/>
  <c r="E34" i="3"/>
  <c r="G34" i="3"/>
  <c r="S34" i="3"/>
  <c r="Y34" i="3" s="1"/>
  <c r="Z34" i="3" s="1"/>
  <c r="J34" i="3"/>
  <c r="V34" i="3"/>
  <c r="M34" i="3"/>
  <c r="C34" i="3"/>
  <c r="N34" i="3"/>
  <c r="C34" i="4"/>
  <c r="AB33" i="3"/>
  <c r="E34" i="4" s="1"/>
  <c r="F35" i="2"/>
  <c r="C36" i="2"/>
  <c r="K38" i="2"/>
  <c r="D33" i="4"/>
  <c r="AA33" i="3"/>
  <c r="T35" i="2"/>
  <c r="D36" i="2"/>
  <c r="G35" i="2"/>
  <c r="T34" i="3" s="1"/>
  <c r="I35" i="2"/>
  <c r="L36" i="2"/>
  <c r="K34" i="4"/>
  <c r="N34" i="4" s="1"/>
  <c r="G34" i="4"/>
  <c r="L34" i="4" s="1"/>
  <c r="I34" i="4"/>
  <c r="M34" i="4" s="1"/>
  <c r="D33" i="3"/>
  <c r="F32" i="3"/>
  <c r="O31" i="3"/>
  <c r="H32" i="4" s="1"/>
  <c r="U31" i="3"/>
  <c r="J32" i="4" s="1"/>
  <c r="I31" i="3"/>
  <c r="F32" i="4" s="1"/>
  <c r="M36" i="2"/>
  <c r="J35" i="2"/>
  <c r="B35" i="3"/>
  <c r="B37" i="2"/>
  <c r="N36" i="2"/>
  <c r="H35" i="2"/>
  <c r="E35" i="2" s="1"/>
  <c r="H34" i="3" s="1"/>
  <c r="J492" i="2" l="1"/>
  <c r="G492" i="2" s="1"/>
  <c r="T491" i="3" s="1"/>
  <c r="U491" i="3" s="1"/>
  <c r="J492" i="4" s="1"/>
  <c r="V491" i="3"/>
  <c r="K492" i="4" s="1"/>
  <c r="N492" i="4" s="1"/>
  <c r="S494" i="2"/>
  <c r="W493" i="3" s="1"/>
  <c r="X493" i="3" s="1"/>
  <c r="X494" i="3" s="1"/>
  <c r="X495" i="3" s="1"/>
  <c r="X496" i="3" s="1"/>
  <c r="X497" i="3" s="1"/>
  <c r="C490" i="4"/>
  <c r="AB489" i="3"/>
  <c r="E490" i="4" s="1"/>
  <c r="T491" i="2"/>
  <c r="V492" i="2"/>
  <c r="M490" i="3"/>
  <c r="Q493" i="3"/>
  <c r="R493" i="3" s="1"/>
  <c r="I492" i="2"/>
  <c r="F492" i="2" s="1"/>
  <c r="N491" i="3" s="1"/>
  <c r="O491" i="3" s="1"/>
  <c r="H492" i="4" s="1"/>
  <c r="P491" i="3"/>
  <c r="I492" i="4" s="1"/>
  <c r="M492" i="4" s="1"/>
  <c r="D34" i="3"/>
  <c r="F33" i="3"/>
  <c r="O32" i="3"/>
  <c r="H33" i="4" s="1"/>
  <c r="I32" i="3"/>
  <c r="F33" i="4" s="1"/>
  <c r="U32" i="3"/>
  <c r="J33" i="4" s="1"/>
  <c r="C35" i="4"/>
  <c r="AB34" i="3"/>
  <c r="E35" i="4" s="1"/>
  <c r="N37" i="2"/>
  <c r="H36" i="2"/>
  <c r="E36" i="2" s="1"/>
  <c r="H35" i="3" s="1"/>
  <c r="K39" i="2"/>
  <c r="B36" i="3"/>
  <c r="B38" i="2"/>
  <c r="C37" i="2"/>
  <c r="A36" i="4"/>
  <c r="M35" i="3"/>
  <c r="C35" i="3"/>
  <c r="P35" i="3"/>
  <c r="E35" i="3"/>
  <c r="G35" i="3"/>
  <c r="S35" i="3"/>
  <c r="Y35" i="3" s="1"/>
  <c r="Z35" i="3" s="1"/>
  <c r="J35" i="3"/>
  <c r="V35" i="3"/>
  <c r="D37" i="2"/>
  <c r="T36" i="2"/>
  <c r="M37" i="2"/>
  <c r="J36" i="2"/>
  <c r="G36" i="2" s="1"/>
  <c r="T35" i="3" s="1"/>
  <c r="I36" i="2"/>
  <c r="F36" i="2" s="1"/>
  <c r="N35" i="3" s="1"/>
  <c r="L37" i="2"/>
  <c r="D34" i="4"/>
  <c r="AA34" i="3"/>
  <c r="I35" i="4"/>
  <c r="M35" i="4" s="1"/>
  <c r="K35" i="4"/>
  <c r="N35" i="4" s="1"/>
  <c r="G35" i="4"/>
  <c r="L35" i="4" s="1"/>
  <c r="T492" i="2" l="1"/>
  <c r="M491" i="3"/>
  <c r="R494" i="3"/>
  <c r="AB493" i="3"/>
  <c r="C491" i="4"/>
  <c r="AB490" i="3"/>
  <c r="E491" i="4" s="1"/>
  <c r="A37" i="4"/>
  <c r="J36" i="3"/>
  <c r="V36" i="3"/>
  <c r="M36" i="3"/>
  <c r="C36" i="3"/>
  <c r="E36" i="3"/>
  <c r="G36" i="3"/>
  <c r="S36" i="3"/>
  <c r="Y36" i="3" s="1"/>
  <c r="Z36" i="3" s="1"/>
  <c r="T36" i="3"/>
  <c r="H36" i="3"/>
  <c r="P36" i="3"/>
  <c r="I37" i="2"/>
  <c r="L38" i="2"/>
  <c r="K40" i="2"/>
  <c r="N38" i="2"/>
  <c r="H37" i="2"/>
  <c r="J37" i="2"/>
  <c r="M38" i="2"/>
  <c r="C36" i="4"/>
  <c r="AB35" i="3"/>
  <c r="E36" i="4" s="1"/>
  <c r="D38" i="2"/>
  <c r="G37" i="2"/>
  <c r="T37" i="2"/>
  <c r="I36" i="4"/>
  <c r="M36" i="4" s="1"/>
  <c r="K36" i="4"/>
  <c r="N36" i="4" s="1"/>
  <c r="G36" i="4"/>
  <c r="L36" i="4" s="1"/>
  <c r="F37" i="2"/>
  <c r="N36" i="3" s="1"/>
  <c r="C38" i="2"/>
  <c r="E37" i="2"/>
  <c r="I33" i="3"/>
  <c r="F34" i="4" s="1"/>
  <c r="U33" i="3"/>
  <c r="J34" i="4" s="1"/>
  <c r="O33" i="3"/>
  <c r="H34" i="4" s="1"/>
  <c r="D35" i="4"/>
  <c r="AA35" i="3"/>
  <c r="B37" i="3"/>
  <c r="B39" i="2"/>
  <c r="F34" i="3"/>
  <c r="D35" i="3"/>
  <c r="AB491" i="3" l="1"/>
  <c r="E492" i="4" s="1"/>
  <c r="C492" i="4"/>
  <c r="R495" i="3"/>
  <c r="AB494" i="3"/>
  <c r="M39" i="2"/>
  <c r="J38" i="2"/>
  <c r="F35" i="3"/>
  <c r="D36" i="3"/>
  <c r="C39" i="2"/>
  <c r="E38" i="2"/>
  <c r="H37" i="3" s="1"/>
  <c r="I34" i="3"/>
  <c r="F35" i="4" s="1"/>
  <c r="U34" i="3"/>
  <c r="J35" i="4" s="1"/>
  <c r="O34" i="3"/>
  <c r="H35" i="4" s="1"/>
  <c r="B38" i="3"/>
  <c r="B40" i="2"/>
  <c r="N39" i="2"/>
  <c r="H38" i="2"/>
  <c r="A38" i="4"/>
  <c r="G37" i="3"/>
  <c r="S37" i="3"/>
  <c r="Y37" i="3" s="1"/>
  <c r="Z37" i="3" s="1"/>
  <c r="J37" i="3"/>
  <c r="V37" i="3"/>
  <c r="P37" i="3"/>
  <c r="C37" i="3"/>
  <c r="E37" i="3"/>
  <c r="M37" i="3"/>
  <c r="K41" i="2"/>
  <c r="C37" i="4"/>
  <c r="AB36" i="3"/>
  <c r="E37" i="4" s="1"/>
  <c r="D36" i="4"/>
  <c r="AA36" i="3"/>
  <c r="L39" i="2"/>
  <c r="I38" i="2"/>
  <c r="F38" i="2" s="1"/>
  <c r="N37" i="3" s="1"/>
  <c r="G38" i="2"/>
  <c r="T37" i="3" s="1"/>
  <c r="D39" i="2"/>
  <c r="T38" i="2"/>
  <c r="G37" i="4"/>
  <c r="L37" i="4" s="1"/>
  <c r="I37" i="4"/>
  <c r="M37" i="4" s="1"/>
  <c r="K37" i="4"/>
  <c r="N37" i="4" s="1"/>
  <c r="AB495" i="3" l="1"/>
  <c r="R496" i="3"/>
  <c r="B39" i="3"/>
  <c r="B41" i="2"/>
  <c r="A39" i="4"/>
  <c r="P38" i="3"/>
  <c r="E38" i="3"/>
  <c r="G38" i="3"/>
  <c r="S38" i="3"/>
  <c r="Y38" i="3" s="1"/>
  <c r="Z38" i="3" s="1"/>
  <c r="M38" i="3"/>
  <c r="C38" i="3"/>
  <c r="J38" i="3"/>
  <c r="V38" i="3"/>
  <c r="I39" i="2"/>
  <c r="L40" i="2"/>
  <c r="D37" i="4"/>
  <c r="AA37" i="3"/>
  <c r="E39" i="2"/>
  <c r="H38" i="3" s="1"/>
  <c r="C40" i="2"/>
  <c r="F39" i="2"/>
  <c r="N38" i="3" s="1"/>
  <c r="D40" i="2"/>
  <c r="G39" i="2"/>
  <c r="T38" i="3" s="1"/>
  <c r="T39" i="2"/>
  <c r="D37" i="3"/>
  <c r="F36" i="3"/>
  <c r="K42" i="2"/>
  <c r="G38" i="4"/>
  <c r="L38" i="4" s="1"/>
  <c r="I38" i="4"/>
  <c r="M38" i="4" s="1"/>
  <c r="K38" i="4"/>
  <c r="N38" i="4" s="1"/>
  <c r="O35" i="3"/>
  <c r="H36" i="4" s="1"/>
  <c r="I35" i="3"/>
  <c r="F36" i="4" s="1"/>
  <c r="U35" i="3"/>
  <c r="J36" i="4" s="1"/>
  <c r="C38" i="4"/>
  <c r="AB37" i="3"/>
  <c r="E38" i="4" s="1"/>
  <c r="N40" i="2"/>
  <c r="H39" i="2"/>
  <c r="J39" i="2"/>
  <c r="M40" i="2"/>
  <c r="AB496" i="3" l="1"/>
  <c r="R497" i="3"/>
  <c r="AB497" i="3" s="1"/>
  <c r="T40" i="2"/>
  <c r="D41" i="2"/>
  <c r="C39" i="4"/>
  <c r="AB38" i="3"/>
  <c r="E39" i="4" s="1"/>
  <c r="E40" i="2"/>
  <c r="C41" i="2"/>
  <c r="J40" i="2"/>
  <c r="G40" i="2" s="1"/>
  <c r="T39" i="3" s="1"/>
  <c r="M41" i="2"/>
  <c r="D38" i="4"/>
  <c r="AA38" i="3"/>
  <c r="N41" i="2"/>
  <c r="H40" i="2"/>
  <c r="K43" i="2"/>
  <c r="L41" i="2"/>
  <c r="I40" i="2"/>
  <c r="F40" i="2" s="1"/>
  <c r="N39" i="3" s="1"/>
  <c r="G39" i="4"/>
  <c r="L39" i="4" s="1"/>
  <c r="I39" i="4"/>
  <c r="M39" i="4" s="1"/>
  <c r="K39" i="4"/>
  <c r="N39" i="4" s="1"/>
  <c r="O36" i="3"/>
  <c r="H37" i="4" s="1"/>
  <c r="I36" i="3"/>
  <c r="F37" i="4" s="1"/>
  <c r="U36" i="3"/>
  <c r="J37" i="4" s="1"/>
  <c r="B40" i="3"/>
  <c r="B42" i="2"/>
  <c r="D38" i="3"/>
  <c r="F37" i="3"/>
  <c r="A40" i="4"/>
  <c r="M39" i="3"/>
  <c r="C39" i="3"/>
  <c r="P39" i="3"/>
  <c r="E39" i="3"/>
  <c r="H39" i="3"/>
  <c r="J39" i="3"/>
  <c r="V39" i="3"/>
  <c r="G39" i="3"/>
  <c r="S39" i="3"/>
  <c r="Y39" i="3" s="1"/>
  <c r="Z39" i="3" s="1"/>
  <c r="J41" i="2" l="1"/>
  <c r="M42" i="2"/>
  <c r="G40" i="4"/>
  <c r="L40" i="4" s="1"/>
  <c r="I40" i="4"/>
  <c r="M40" i="4" s="1"/>
  <c r="K40" i="4"/>
  <c r="N40" i="4" s="1"/>
  <c r="C42" i="2"/>
  <c r="F41" i="2"/>
  <c r="N40" i="3" s="1"/>
  <c r="I37" i="3"/>
  <c r="F38" i="4" s="1"/>
  <c r="U37" i="3"/>
  <c r="J38" i="4" s="1"/>
  <c r="O37" i="3"/>
  <c r="H38" i="4" s="1"/>
  <c r="F38" i="3"/>
  <c r="D39" i="3"/>
  <c r="B41" i="3"/>
  <c r="B43" i="2"/>
  <c r="I41" i="2"/>
  <c r="L42" i="2"/>
  <c r="A41" i="4"/>
  <c r="J40" i="3"/>
  <c r="V40" i="3"/>
  <c r="M40" i="3"/>
  <c r="C40" i="3"/>
  <c r="E40" i="3"/>
  <c r="G40" i="3"/>
  <c r="S40" i="3"/>
  <c r="Y40" i="3" s="1"/>
  <c r="Z40" i="3" s="1"/>
  <c r="T40" i="3"/>
  <c r="P40" i="3"/>
  <c r="K44" i="2"/>
  <c r="C40" i="4"/>
  <c r="AB39" i="3"/>
  <c r="E40" i="4" s="1"/>
  <c r="D42" i="2"/>
  <c r="G41" i="2"/>
  <c r="T41" i="2"/>
  <c r="D39" i="4"/>
  <c r="AA39" i="3"/>
  <c r="N42" i="2"/>
  <c r="H41" i="2"/>
  <c r="E41" i="2" s="1"/>
  <c r="H40" i="3" s="1"/>
  <c r="K45" i="2" l="1"/>
  <c r="G41" i="4"/>
  <c r="L41" i="4" s="1"/>
  <c r="I41" i="4"/>
  <c r="M41" i="4" s="1"/>
  <c r="K41" i="4"/>
  <c r="N41" i="4" s="1"/>
  <c r="E42" i="2"/>
  <c r="H41" i="3" s="1"/>
  <c r="C43" i="2"/>
  <c r="F42" i="2"/>
  <c r="N41" i="3" s="1"/>
  <c r="L43" i="2"/>
  <c r="I42" i="2"/>
  <c r="N43" i="2"/>
  <c r="H42" i="2"/>
  <c r="B42" i="3"/>
  <c r="B44" i="2"/>
  <c r="C41" i="4"/>
  <c r="AB40" i="3"/>
  <c r="E41" i="4" s="1"/>
  <c r="D40" i="4"/>
  <c r="AA40" i="3"/>
  <c r="A42" i="4"/>
  <c r="G41" i="3"/>
  <c r="S41" i="3"/>
  <c r="Y41" i="3" s="1"/>
  <c r="Z41" i="3" s="1"/>
  <c r="J41" i="3"/>
  <c r="V41" i="3"/>
  <c r="P41" i="3"/>
  <c r="C41" i="3"/>
  <c r="E41" i="3"/>
  <c r="M41" i="3"/>
  <c r="F39" i="3"/>
  <c r="D40" i="3"/>
  <c r="I38" i="3"/>
  <c r="F39" i="4" s="1"/>
  <c r="U38" i="3"/>
  <c r="J39" i="4" s="1"/>
  <c r="O38" i="3"/>
  <c r="H39" i="4" s="1"/>
  <c r="J42" i="2"/>
  <c r="M43" i="2"/>
  <c r="T42" i="2"/>
  <c r="G42" i="2"/>
  <c r="T41" i="3" s="1"/>
  <c r="D43" i="2"/>
  <c r="O39" i="3" l="1"/>
  <c r="H40" i="4" s="1"/>
  <c r="I39" i="3"/>
  <c r="F40" i="4" s="1"/>
  <c r="U39" i="3"/>
  <c r="J40" i="4" s="1"/>
  <c r="G42" i="4"/>
  <c r="L42" i="4" s="1"/>
  <c r="I42" i="4"/>
  <c r="M42" i="4" s="1"/>
  <c r="K42" i="4"/>
  <c r="N42" i="4" s="1"/>
  <c r="C44" i="2"/>
  <c r="F43" i="2"/>
  <c r="N42" i="3" s="1"/>
  <c r="E43" i="2"/>
  <c r="H42" i="3" s="1"/>
  <c r="L44" i="2"/>
  <c r="I43" i="2"/>
  <c r="C42" i="4"/>
  <c r="AB41" i="3"/>
  <c r="E42" i="4" s="1"/>
  <c r="D41" i="4"/>
  <c r="AA41" i="3"/>
  <c r="D41" i="3"/>
  <c r="F40" i="3"/>
  <c r="G43" i="2"/>
  <c r="T43" i="2"/>
  <c r="D44" i="2"/>
  <c r="B43" i="3"/>
  <c r="B45" i="2"/>
  <c r="M44" i="2"/>
  <c r="J43" i="2"/>
  <c r="A43" i="4"/>
  <c r="P42" i="3"/>
  <c r="E42" i="3"/>
  <c r="G42" i="3"/>
  <c r="S42" i="3"/>
  <c r="Y42" i="3" s="1"/>
  <c r="Z42" i="3" s="1"/>
  <c r="T42" i="3"/>
  <c r="M42" i="3"/>
  <c r="C42" i="3"/>
  <c r="J42" i="3"/>
  <c r="V42" i="3"/>
  <c r="N44" i="2"/>
  <c r="H43" i="2"/>
  <c r="K46" i="2"/>
  <c r="C45" i="2" l="1"/>
  <c r="T44" i="2"/>
  <c r="D45" i="2"/>
  <c r="C43" i="4"/>
  <c r="AB42" i="3"/>
  <c r="E43" i="4" s="1"/>
  <c r="O40" i="3"/>
  <c r="H41" i="4" s="1"/>
  <c r="I40" i="3"/>
  <c r="F41" i="4" s="1"/>
  <c r="U40" i="3"/>
  <c r="J41" i="4" s="1"/>
  <c r="A44" i="4"/>
  <c r="M43" i="3"/>
  <c r="C43" i="3"/>
  <c r="P43" i="3"/>
  <c r="E43" i="3"/>
  <c r="J43" i="3"/>
  <c r="V43" i="3"/>
  <c r="G43" i="3"/>
  <c r="S43" i="3"/>
  <c r="Y43" i="3" s="1"/>
  <c r="Z43" i="3" s="1"/>
  <c r="D42" i="3"/>
  <c r="F41" i="3"/>
  <c r="K47" i="2"/>
  <c r="D42" i="4"/>
  <c r="AA42" i="3"/>
  <c r="N45" i="2"/>
  <c r="H44" i="2"/>
  <c r="E44" i="2" s="1"/>
  <c r="H43" i="3" s="1"/>
  <c r="G43" i="4"/>
  <c r="L43" i="4" s="1"/>
  <c r="I43" i="4"/>
  <c r="M43" i="4" s="1"/>
  <c r="K43" i="4"/>
  <c r="N43" i="4" s="1"/>
  <c r="J44" i="2"/>
  <c r="G44" i="2" s="1"/>
  <c r="T43" i="3" s="1"/>
  <c r="M45" i="2"/>
  <c r="B44" i="3"/>
  <c r="B46" i="2"/>
  <c r="I44" i="2"/>
  <c r="F44" i="2" s="1"/>
  <c r="N43" i="3" s="1"/>
  <c r="L45" i="2"/>
  <c r="F42" i="3" l="1"/>
  <c r="D43" i="3"/>
  <c r="G44" i="4"/>
  <c r="L44" i="4" s="1"/>
  <c r="I44" i="4"/>
  <c r="M44" i="4" s="1"/>
  <c r="K44" i="4"/>
  <c r="N44" i="4" s="1"/>
  <c r="L46" i="2"/>
  <c r="I45" i="2"/>
  <c r="F45" i="2" s="1"/>
  <c r="N44" i="3" s="1"/>
  <c r="N46" i="2"/>
  <c r="H45" i="2"/>
  <c r="B45" i="3"/>
  <c r="B47" i="2"/>
  <c r="D43" i="4"/>
  <c r="AA43" i="3"/>
  <c r="T45" i="2"/>
  <c r="D46" i="2"/>
  <c r="A45" i="4"/>
  <c r="M44" i="3"/>
  <c r="C44" i="3"/>
  <c r="G44" i="3"/>
  <c r="S44" i="3"/>
  <c r="Y44" i="3" s="1"/>
  <c r="Z44" i="3" s="1"/>
  <c r="J44" i="3"/>
  <c r="P44" i="3"/>
  <c r="E44" i="3"/>
  <c r="V44" i="3"/>
  <c r="M46" i="2"/>
  <c r="J45" i="2"/>
  <c r="G45" i="2" s="1"/>
  <c r="T44" i="3" s="1"/>
  <c r="K48" i="2"/>
  <c r="E45" i="2"/>
  <c r="H44" i="3" s="1"/>
  <c r="C46" i="2"/>
  <c r="I41" i="3"/>
  <c r="F42" i="4" s="1"/>
  <c r="U41" i="3"/>
  <c r="J42" i="4" s="1"/>
  <c r="O41" i="3"/>
  <c r="H42" i="4" s="1"/>
  <c r="C44" i="4"/>
  <c r="AB43" i="3"/>
  <c r="E44" i="4" s="1"/>
  <c r="K49" i="2" l="1"/>
  <c r="I46" i="2"/>
  <c r="L47" i="2"/>
  <c r="J46" i="2"/>
  <c r="M47" i="2"/>
  <c r="K45" i="4"/>
  <c r="N45" i="4" s="1"/>
  <c r="G45" i="4"/>
  <c r="L45" i="4" s="1"/>
  <c r="I45" i="4"/>
  <c r="M45" i="4" s="1"/>
  <c r="C45" i="4"/>
  <c r="AB44" i="3"/>
  <c r="E45" i="4" s="1"/>
  <c r="D47" i="2"/>
  <c r="T46" i="2"/>
  <c r="G46" i="2"/>
  <c r="D44" i="4"/>
  <c r="AA44" i="3"/>
  <c r="N47" i="2"/>
  <c r="H46" i="2"/>
  <c r="C47" i="2"/>
  <c r="E46" i="2"/>
  <c r="H45" i="3" s="1"/>
  <c r="F46" i="2"/>
  <c r="N45" i="3" s="1"/>
  <c r="B46" i="3"/>
  <c r="B48" i="2"/>
  <c r="F43" i="3"/>
  <c r="D44" i="3"/>
  <c r="A46" i="4"/>
  <c r="T45" i="3"/>
  <c r="J45" i="3"/>
  <c r="V45" i="3"/>
  <c r="P45" i="3"/>
  <c r="C45" i="3"/>
  <c r="E45" i="3"/>
  <c r="G45" i="3"/>
  <c r="M45" i="3"/>
  <c r="S45" i="3"/>
  <c r="Y45" i="3" s="1"/>
  <c r="Z45" i="3" s="1"/>
  <c r="I42" i="3"/>
  <c r="F43" i="4" s="1"/>
  <c r="U42" i="3"/>
  <c r="J43" i="4" s="1"/>
  <c r="O42" i="3"/>
  <c r="H43" i="4" s="1"/>
  <c r="C48" i="2" l="1"/>
  <c r="N48" i="2"/>
  <c r="H47" i="2"/>
  <c r="E47" i="2" s="1"/>
  <c r="H46" i="3" s="1"/>
  <c r="D45" i="4"/>
  <c r="AA45" i="3"/>
  <c r="M48" i="2"/>
  <c r="J47" i="2"/>
  <c r="G47" i="2" s="1"/>
  <c r="T46" i="3" s="1"/>
  <c r="K46" i="4"/>
  <c r="N46" i="4" s="1"/>
  <c r="G46" i="4"/>
  <c r="L46" i="4" s="1"/>
  <c r="I46" i="4"/>
  <c r="M46" i="4" s="1"/>
  <c r="D45" i="3"/>
  <c r="F44" i="3"/>
  <c r="L48" i="2"/>
  <c r="I47" i="2"/>
  <c r="F47" i="2" s="1"/>
  <c r="N46" i="3" s="1"/>
  <c r="O43" i="3"/>
  <c r="H44" i="4" s="1"/>
  <c r="I43" i="3"/>
  <c r="F44" i="4" s="1"/>
  <c r="U43" i="3"/>
  <c r="J44" i="4" s="1"/>
  <c r="T47" i="2"/>
  <c r="D48" i="2"/>
  <c r="C46" i="4"/>
  <c r="AB45" i="3"/>
  <c r="E46" i="4" s="1"/>
  <c r="B47" i="3"/>
  <c r="B49" i="2"/>
  <c r="K50" i="2"/>
  <c r="A47" i="4"/>
  <c r="E46" i="3"/>
  <c r="G46" i="3"/>
  <c r="S46" i="3"/>
  <c r="Y46" i="3" s="1"/>
  <c r="Z46" i="3" s="1"/>
  <c r="M46" i="3"/>
  <c r="C46" i="3"/>
  <c r="J46" i="3"/>
  <c r="V46" i="3"/>
  <c r="P46" i="3"/>
  <c r="D49" i="2" l="1"/>
  <c r="T48" i="2"/>
  <c r="I47" i="4"/>
  <c r="M47" i="4" s="1"/>
  <c r="K47" i="4"/>
  <c r="N47" i="4" s="1"/>
  <c r="G47" i="4"/>
  <c r="L47" i="4" s="1"/>
  <c r="J48" i="2"/>
  <c r="G48" i="2" s="1"/>
  <c r="T47" i="3" s="1"/>
  <c r="M49" i="2"/>
  <c r="D46" i="4"/>
  <c r="AA46" i="3"/>
  <c r="K51" i="2"/>
  <c r="I48" i="2"/>
  <c r="L49" i="2"/>
  <c r="B48" i="3"/>
  <c r="B50" i="2"/>
  <c r="O44" i="3"/>
  <c r="H45" i="4" s="1"/>
  <c r="I44" i="3"/>
  <c r="F45" i="4" s="1"/>
  <c r="U44" i="3"/>
  <c r="J45" i="4" s="1"/>
  <c r="A48" i="4"/>
  <c r="C47" i="3"/>
  <c r="P47" i="3"/>
  <c r="E47" i="3"/>
  <c r="J47" i="3"/>
  <c r="V47" i="3"/>
  <c r="G47" i="3"/>
  <c r="H47" i="3"/>
  <c r="N47" i="3"/>
  <c r="S47" i="3"/>
  <c r="Y47" i="3" s="1"/>
  <c r="Z47" i="3" s="1"/>
  <c r="M47" i="3"/>
  <c r="F45" i="3"/>
  <c r="D46" i="3"/>
  <c r="N49" i="2"/>
  <c r="H48" i="2"/>
  <c r="C49" i="2"/>
  <c r="E48" i="2"/>
  <c r="F48" i="2"/>
  <c r="C47" i="4"/>
  <c r="AB46" i="3"/>
  <c r="E47" i="4" s="1"/>
  <c r="C48" i="4" l="1"/>
  <c r="AB47" i="3"/>
  <c r="E48" i="4" s="1"/>
  <c r="B49" i="3"/>
  <c r="B51" i="2"/>
  <c r="I48" i="4"/>
  <c r="M48" i="4" s="1"/>
  <c r="K48" i="4"/>
  <c r="N48" i="4" s="1"/>
  <c r="G48" i="4"/>
  <c r="L48" i="4" s="1"/>
  <c r="A49" i="4"/>
  <c r="M48" i="3"/>
  <c r="C48" i="3"/>
  <c r="G48" i="3"/>
  <c r="S48" i="3"/>
  <c r="Y48" i="3" s="1"/>
  <c r="Z48" i="3" s="1"/>
  <c r="P48" i="3"/>
  <c r="V48" i="3"/>
  <c r="H48" i="3"/>
  <c r="J48" i="3"/>
  <c r="E48" i="3"/>
  <c r="M50" i="2"/>
  <c r="J49" i="2"/>
  <c r="G49" i="2" s="1"/>
  <c r="T48" i="3" s="1"/>
  <c r="L50" i="2"/>
  <c r="I49" i="2"/>
  <c r="F49" i="2"/>
  <c r="N48" i="3" s="1"/>
  <c r="E49" i="2"/>
  <c r="C50" i="2"/>
  <c r="I45" i="3"/>
  <c r="F46" i="4" s="1"/>
  <c r="U45" i="3"/>
  <c r="J46" i="4" s="1"/>
  <c r="O45" i="3"/>
  <c r="H46" i="4" s="1"/>
  <c r="K52" i="2"/>
  <c r="F46" i="3"/>
  <c r="D47" i="3"/>
  <c r="N50" i="2"/>
  <c r="H49" i="2"/>
  <c r="D47" i="4"/>
  <c r="AA47" i="3"/>
  <c r="T49" i="2"/>
  <c r="D50" i="2"/>
  <c r="C49" i="4" l="1"/>
  <c r="AB48" i="3"/>
  <c r="E49" i="4" s="1"/>
  <c r="I46" i="3"/>
  <c r="F47" i="4" s="1"/>
  <c r="U46" i="3"/>
  <c r="J47" i="4" s="1"/>
  <c r="O46" i="3"/>
  <c r="H47" i="4" s="1"/>
  <c r="J50" i="2"/>
  <c r="M51" i="2"/>
  <c r="G49" i="4"/>
  <c r="L49" i="4" s="1"/>
  <c r="I49" i="4"/>
  <c r="M49" i="4" s="1"/>
  <c r="K49" i="4"/>
  <c r="N49" i="4" s="1"/>
  <c r="F47" i="3"/>
  <c r="D48" i="3"/>
  <c r="K53" i="2"/>
  <c r="G50" i="2"/>
  <c r="T50" i="2"/>
  <c r="D51" i="2"/>
  <c r="F50" i="2"/>
  <c r="N49" i="3" s="1"/>
  <c r="C51" i="2"/>
  <c r="D48" i="4"/>
  <c r="AA48" i="3"/>
  <c r="B50" i="3"/>
  <c r="B52" i="2"/>
  <c r="A50" i="4"/>
  <c r="P49" i="3"/>
  <c r="E49" i="3"/>
  <c r="S49" i="3"/>
  <c r="Y49" i="3" s="1"/>
  <c r="Z49" i="3" s="1"/>
  <c r="T49" i="3"/>
  <c r="G49" i="3"/>
  <c r="V49" i="3"/>
  <c r="C49" i="3"/>
  <c r="M49" i="3"/>
  <c r="J49" i="3"/>
  <c r="N51" i="2"/>
  <c r="H50" i="2"/>
  <c r="E50" i="2" s="1"/>
  <c r="H49" i="3" s="1"/>
  <c r="L51" i="2"/>
  <c r="I50" i="2"/>
  <c r="D52" i="2" l="1"/>
  <c r="T51" i="2"/>
  <c r="J51" i="2"/>
  <c r="G51" i="2" s="1"/>
  <c r="T50" i="3" s="1"/>
  <c r="M52" i="2"/>
  <c r="I51" i="2"/>
  <c r="L52" i="2"/>
  <c r="N52" i="2"/>
  <c r="H51" i="2"/>
  <c r="E51" i="2" s="1"/>
  <c r="H50" i="3" s="1"/>
  <c r="G50" i="4"/>
  <c r="L50" i="4" s="1"/>
  <c r="I50" i="4"/>
  <c r="M50" i="4" s="1"/>
  <c r="K50" i="4"/>
  <c r="N50" i="4" s="1"/>
  <c r="K54" i="2"/>
  <c r="B51" i="3"/>
  <c r="B53" i="2"/>
  <c r="D49" i="3"/>
  <c r="F48" i="3"/>
  <c r="F51" i="2"/>
  <c r="N50" i="3" s="1"/>
  <c r="C52" i="2"/>
  <c r="A51" i="4"/>
  <c r="M50" i="3"/>
  <c r="V50" i="3"/>
  <c r="G50" i="3"/>
  <c r="J50" i="3"/>
  <c r="C50" i="3"/>
  <c r="E50" i="3"/>
  <c r="S50" i="3"/>
  <c r="Y50" i="3" s="1"/>
  <c r="Z50" i="3" s="1"/>
  <c r="P50" i="3"/>
  <c r="O47" i="3"/>
  <c r="H48" i="4" s="1"/>
  <c r="U47" i="3"/>
  <c r="J48" i="4" s="1"/>
  <c r="I47" i="3"/>
  <c r="F48" i="4" s="1"/>
  <c r="C50" i="4"/>
  <c r="AB49" i="3"/>
  <c r="E50" i="4" s="1"/>
  <c r="D49" i="4"/>
  <c r="AA49" i="3"/>
  <c r="F49" i="3" l="1"/>
  <c r="D50" i="3"/>
  <c r="N53" i="2"/>
  <c r="H52" i="2"/>
  <c r="O48" i="3"/>
  <c r="H49" i="4" s="1"/>
  <c r="I48" i="3"/>
  <c r="F49" i="4" s="1"/>
  <c r="U48" i="3"/>
  <c r="J49" i="4" s="1"/>
  <c r="D50" i="4"/>
  <c r="AA50" i="3"/>
  <c r="B52" i="3"/>
  <c r="B54" i="2"/>
  <c r="L53" i="2"/>
  <c r="I52" i="2"/>
  <c r="A52" i="4"/>
  <c r="J51" i="3"/>
  <c r="V51" i="3"/>
  <c r="M51" i="3"/>
  <c r="N51" i="3"/>
  <c r="P51" i="3"/>
  <c r="E51" i="3"/>
  <c r="T51" i="3"/>
  <c r="C51" i="3"/>
  <c r="G51" i="3"/>
  <c r="S51" i="3"/>
  <c r="Y51" i="3" s="1"/>
  <c r="Z51" i="3" s="1"/>
  <c r="M53" i="2"/>
  <c r="J52" i="2"/>
  <c r="K55" i="2"/>
  <c r="C51" i="4"/>
  <c r="AB50" i="3"/>
  <c r="E51" i="4" s="1"/>
  <c r="T52" i="2"/>
  <c r="G52" i="2"/>
  <c r="D53" i="2"/>
  <c r="E52" i="2"/>
  <c r="H51" i="3" s="1"/>
  <c r="F52" i="2"/>
  <c r="C53" i="2"/>
  <c r="G51" i="4"/>
  <c r="L51" i="4" s="1"/>
  <c r="I51" i="4"/>
  <c r="M51" i="4" s="1"/>
  <c r="K51" i="4"/>
  <c r="N51" i="4" s="1"/>
  <c r="I53" i="2" l="1"/>
  <c r="L54" i="2"/>
  <c r="B53" i="3"/>
  <c r="B55" i="2"/>
  <c r="T53" i="2"/>
  <c r="D54" i="2"/>
  <c r="A53" i="4"/>
  <c r="C52" i="3"/>
  <c r="G52" i="3"/>
  <c r="M52" i="3"/>
  <c r="N52" i="3"/>
  <c r="P52" i="3"/>
  <c r="J52" i="3"/>
  <c r="S52" i="3"/>
  <c r="Y52" i="3" s="1"/>
  <c r="Z52" i="3" s="1"/>
  <c r="V52" i="3"/>
  <c r="E52" i="3"/>
  <c r="D51" i="4"/>
  <c r="AA51" i="3"/>
  <c r="K56" i="2"/>
  <c r="C52" i="4"/>
  <c r="AB51" i="3"/>
  <c r="E52" i="4" s="1"/>
  <c r="N54" i="2"/>
  <c r="H53" i="2"/>
  <c r="E53" i="2" s="1"/>
  <c r="H52" i="3" s="1"/>
  <c r="J53" i="2"/>
  <c r="G53" i="2" s="1"/>
  <c r="T52" i="3" s="1"/>
  <c r="M54" i="2"/>
  <c r="G52" i="4"/>
  <c r="L52" i="4" s="1"/>
  <c r="I52" i="4"/>
  <c r="M52" i="4" s="1"/>
  <c r="K52" i="4"/>
  <c r="N52" i="4" s="1"/>
  <c r="F50" i="3"/>
  <c r="D51" i="3"/>
  <c r="C54" i="2"/>
  <c r="F53" i="2"/>
  <c r="U49" i="3"/>
  <c r="J50" i="4" s="1"/>
  <c r="I49" i="3"/>
  <c r="F50" i="4" s="1"/>
  <c r="O49" i="3"/>
  <c r="H50" i="4" s="1"/>
  <c r="I50" i="3" l="1"/>
  <c r="F51" i="4" s="1"/>
  <c r="U50" i="3"/>
  <c r="J51" i="4" s="1"/>
  <c r="O50" i="3"/>
  <c r="H51" i="4" s="1"/>
  <c r="K57" i="2"/>
  <c r="C53" i="4"/>
  <c r="AB52" i="3"/>
  <c r="E53" i="4" s="1"/>
  <c r="D52" i="4"/>
  <c r="AA52" i="3"/>
  <c r="G53" i="4"/>
  <c r="L53" i="4" s="1"/>
  <c r="I53" i="4"/>
  <c r="M53" i="4" s="1"/>
  <c r="K53" i="4"/>
  <c r="N53" i="4" s="1"/>
  <c r="T54" i="2"/>
  <c r="D55" i="2"/>
  <c r="J54" i="2"/>
  <c r="G54" i="2" s="1"/>
  <c r="T53" i="3" s="1"/>
  <c r="M55" i="2"/>
  <c r="B54" i="3"/>
  <c r="B56" i="2"/>
  <c r="A54" i="4"/>
  <c r="J53" i="3"/>
  <c r="M53" i="3"/>
  <c r="G53" i="3"/>
  <c r="V53" i="3"/>
  <c r="P53" i="3"/>
  <c r="S53" i="3"/>
  <c r="Y53" i="3" s="1"/>
  <c r="Z53" i="3" s="1"/>
  <c r="C53" i="3"/>
  <c r="E53" i="3"/>
  <c r="E54" i="2"/>
  <c r="H53" i="3" s="1"/>
  <c r="F54" i="2"/>
  <c r="N53" i="3" s="1"/>
  <c r="C55" i="2"/>
  <c r="N55" i="2"/>
  <c r="H54" i="2"/>
  <c r="I54" i="2"/>
  <c r="L55" i="2"/>
  <c r="F51" i="3"/>
  <c r="D52" i="3"/>
  <c r="B55" i="3" l="1"/>
  <c r="B57" i="2"/>
  <c r="D53" i="4"/>
  <c r="AA53" i="3"/>
  <c r="M56" i="2"/>
  <c r="J55" i="2"/>
  <c r="G55" i="2" s="1"/>
  <c r="T54" i="3" s="1"/>
  <c r="D53" i="3"/>
  <c r="F52" i="3"/>
  <c r="A55" i="4"/>
  <c r="J54" i="3"/>
  <c r="M54" i="3"/>
  <c r="C54" i="3"/>
  <c r="P54" i="3"/>
  <c r="S54" i="3"/>
  <c r="Y54" i="3" s="1"/>
  <c r="Z54" i="3" s="1"/>
  <c r="V54" i="3"/>
  <c r="G54" i="3"/>
  <c r="E54" i="3"/>
  <c r="I51" i="3"/>
  <c r="F52" i="4" s="1"/>
  <c r="O51" i="3"/>
  <c r="H52" i="4" s="1"/>
  <c r="U51" i="3"/>
  <c r="J52" i="4" s="1"/>
  <c r="T55" i="2"/>
  <c r="D56" i="2"/>
  <c r="G54" i="4"/>
  <c r="L54" i="4" s="1"/>
  <c r="I54" i="4"/>
  <c r="M54" i="4" s="1"/>
  <c r="K54" i="4"/>
  <c r="N54" i="4" s="1"/>
  <c r="L56" i="2"/>
  <c r="I55" i="2"/>
  <c r="F55" i="2" s="1"/>
  <c r="N54" i="3" s="1"/>
  <c r="K58" i="2"/>
  <c r="N56" i="2"/>
  <c r="H55" i="2"/>
  <c r="C56" i="2"/>
  <c r="E55" i="2"/>
  <c r="H54" i="3" s="1"/>
  <c r="C54" i="4"/>
  <c r="AB53" i="3"/>
  <c r="E54" i="4" s="1"/>
  <c r="K59" i="2" l="1"/>
  <c r="C55" i="4"/>
  <c r="AB54" i="3"/>
  <c r="E55" i="4" s="1"/>
  <c r="F53" i="3"/>
  <c r="D54" i="3"/>
  <c r="G55" i="4"/>
  <c r="L55" i="4" s="1"/>
  <c r="I55" i="4"/>
  <c r="M55" i="4" s="1"/>
  <c r="K55" i="4"/>
  <c r="N55" i="4" s="1"/>
  <c r="J56" i="2"/>
  <c r="G56" i="2" s="1"/>
  <c r="T55" i="3" s="1"/>
  <c r="M57" i="2"/>
  <c r="L57" i="2"/>
  <c r="I56" i="2"/>
  <c r="D54" i="4"/>
  <c r="AA54" i="3"/>
  <c r="O52" i="3"/>
  <c r="H53" i="4" s="1"/>
  <c r="U52" i="3"/>
  <c r="J53" i="4" s="1"/>
  <c r="I52" i="3"/>
  <c r="F53" i="4" s="1"/>
  <c r="C57" i="2"/>
  <c r="F56" i="2"/>
  <c r="N55" i="3" s="1"/>
  <c r="T56" i="2"/>
  <c r="D57" i="2"/>
  <c r="B56" i="3"/>
  <c r="B58" i="2"/>
  <c r="N57" i="2"/>
  <c r="H56" i="2"/>
  <c r="E56" i="2" s="1"/>
  <c r="H55" i="3" s="1"/>
  <c r="A56" i="4"/>
  <c r="V55" i="3"/>
  <c r="J55" i="3"/>
  <c r="M55" i="3"/>
  <c r="E55" i="3"/>
  <c r="S55" i="3"/>
  <c r="Y55" i="3" s="1"/>
  <c r="Z55" i="3" s="1"/>
  <c r="C55" i="3"/>
  <c r="G55" i="3"/>
  <c r="P55" i="3"/>
  <c r="C58" i="2" l="1"/>
  <c r="G56" i="4"/>
  <c r="L56" i="4" s="1"/>
  <c r="I56" i="4"/>
  <c r="M56" i="4" s="1"/>
  <c r="K56" i="4"/>
  <c r="N56" i="4" s="1"/>
  <c r="N58" i="2"/>
  <c r="H57" i="2"/>
  <c r="E57" i="2" s="1"/>
  <c r="H56" i="3" s="1"/>
  <c r="D55" i="4"/>
  <c r="AA55" i="3"/>
  <c r="F54" i="3"/>
  <c r="D55" i="3"/>
  <c r="B57" i="3"/>
  <c r="B59" i="2"/>
  <c r="O53" i="3"/>
  <c r="H54" i="4" s="1"/>
  <c r="I53" i="3"/>
  <c r="F54" i="4" s="1"/>
  <c r="U53" i="3"/>
  <c r="J54" i="4" s="1"/>
  <c r="A57" i="4"/>
  <c r="G56" i="3"/>
  <c r="S56" i="3"/>
  <c r="Y56" i="3" s="1"/>
  <c r="Z56" i="3" s="1"/>
  <c r="J56" i="3"/>
  <c r="V56" i="3"/>
  <c r="M56" i="3"/>
  <c r="P56" i="3"/>
  <c r="C56" i="3"/>
  <c r="E56" i="3"/>
  <c r="C56" i="4"/>
  <c r="AB55" i="3"/>
  <c r="E56" i="4" s="1"/>
  <c r="G57" i="2"/>
  <c r="T56" i="3" s="1"/>
  <c r="D58" i="2"/>
  <c r="T57" i="2"/>
  <c r="I57" i="2"/>
  <c r="F57" i="2" s="1"/>
  <c r="N56" i="3" s="1"/>
  <c r="L58" i="2"/>
  <c r="M58" i="2"/>
  <c r="J57" i="2"/>
  <c r="K60" i="2"/>
  <c r="D59" i="2" l="1"/>
  <c r="T58" i="2"/>
  <c r="N59" i="2"/>
  <c r="H58" i="2"/>
  <c r="K57" i="4"/>
  <c r="N57" i="4" s="1"/>
  <c r="G57" i="4"/>
  <c r="L57" i="4" s="1"/>
  <c r="I57" i="4"/>
  <c r="M57" i="4" s="1"/>
  <c r="K61" i="2"/>
  <c r="B58" i="3"/>
  <c r="B60" i="2"/>
  <c r="M59" i="2"/>
  <c r="J58" i="2"/>
  <c r="G58" i="2" s="1"/>
  <c r="T57" i="3" s="1"/>
  <c r="C57" i="4"/>
  <c r="AB56" i="3"/>
  <c r="E57" i="4" s="1"/>
  <c r="A58" i="4"/>
  <c r="P57" i="3"/>
  <c r="E57" i="3"/>
  <c r="G57" i="3"/>
  <c r="S57" i="3"/>
  <c r="Y57" i="3" s="1"/>
  <c r="Z57" i="3" s="1"/>
  <c r="J57" i="3"/>
  <c r="V57" i="3"/>
  <c r="M57" i="3"/>
  <c r="C57" i="3"/>
  <c r="L59" i="2"/>
  <c r="I58" i="2"/>
  <c r="F58" i="2" s="1"/>
  <c r="N57" i="3" s="1"/>
  <c r="F55" i="3"/>
  <c r="D56" i="3"/>
  <c r="E58" i="2"/>
  <c r="H57" i="3" s="1"/>
  <c r="C59" i="2"/>
  <c r="I54" i="3"/>
  <c r="F55" i="4" s="1"/>
  <c r="U54" i="3"/>
  <c r="J55" i="4" s="1"/>
  <c r="O54" i="3"/>
  <c r="H55" i="4" s="1"/>
  <c r="D56" i="4"/>
  <c r="AA56" i="3"/>
  <c r="D57" i="3" l="1"/>
  <c r="F56" i="3"/>
  <c r="I55" i="3"/>
  <c r="F56" i="4" s="1"/>
  <c r="O55" i="3"/>
  <c r="H56" i="4" s="1"/>
  <c r="U55" i="3"/>
  <c r="J56" i="4" s="1"/>
  <c r="K58" i="4"/>
  <c r="N58" i="4" s="1"/>
  <c r="G58" i="4"/>
  <c r="L58" i="4" s="1"/>
  <c r="I58" i="4"/>
  <c r="M58" i="4" s="1"/>
  <c r="D57" i="4"/>
  <c r="AA57" i="3"/>
  <c r="C58" i="4"/>
  <c r="AB57" i="3"/>
  <c r="E58" i="4" s="1"/>
  <c r="M60" i="2"/>
  <c r="J59" i="2"/>
  <c r="N60" i="2"/>
  <c r="H59" i="2"/>
  <c r="E59" i="2" s="1"/>
  <c r="H58" i="3" s="1"/>
  <c r="L60" i="2"/>
  <c r="I59" i="2"/>
  <c r="B59" i="3"/>
  <c r="B61" i="2"/>
  <c r="F59" i="2"/>
  <c r="N58" i="3" s="1"/>
  <c r="C60" i="2"/>
  <c r="A59" i="4"/>
  <c r="M58" i="3"/>
  <c r="C58" i="3"/>
  <c r="P58" i="3"/>
  <c r="E58" i="3"/>
  <c r="G58" i="3"/>
  <c r="S58" i="3"/>
  <c r="Y58" i="3" s="1"/>
  <c r="Z58" i="3" s="1"/>
  <c r="J58" i="3"/>
  <c r="V58" i="3"/>
  <c r="K62" i="2"/>
  <c r="T59" i="2"/>
  <c r="D60" i="2"/>
  <c r="G59" i="2"/>
  <c r="T58" i="3" s="1"/>
  <c r="A60" i="4" l="1"/>
  <c r="J59" i="3"/>
  <c r="V59" i="3"/>
  <c r="M59" i="3"/>
  <c r="P59" i="3"/>
  <c r="G59" i="3"/>
  <c r="S59" i="3"/>
  <c r="Y59" i="3" s="1"/>
  <c r="Z59" i="3" s="1"/>
  <c r="E59" i="3"/>
  <c r="C59" i="3"/>
  <c r="I60" i="2"/>
  <c r="L61" i="2"/>
  <c r="B60" i="3"/>
  <c r="B62" i="2"/>
  <c r="D61" i="2"/>
  <c r="T60" i="2"/>
  <c r="N61" i="2"/>
  <c r="H60" i="2"/>
  <c r="C59" i="4"/>
  <c r="AB58" i="3"/>
  <c r="E59" i="4" s="1"/>
  <c r="J60" i="2"/>
  <c r="G60" i="2" s="1"/>
  <c r="T59" i="3" s="1"/>
  <c r="M61" i="2"/>
  <c r="K63" i="2"/>
  <c r="I59" i="4"/>
  <c r="M59" i="4" s="1"/>
  <c r="K59" i="4"/>
  <c r="N59" i="4" s="1"/>
  <c r="G59" i="4"/>
  <c r="L59" i="4" s="1"/>
  <c r="F60" i="2"/>
  <c r="N59" i="3" s="1"/>
  <c r="C61" i="2"/>
  <c r="E60" i="2"/>
  <c r="H59" i="3" s="1"/>
  <c r="I56" i="3"/>
  <c r="F57" i="4" s="1"/>
  <c r="U56" i="3"/>
  <c r="J57" i="4" s="1"/>
  <c r="O56" i="3"/>
  <c r="H57" i="4" s="1"/>
  <c r="D58" i="4"/>
  <c r="AA58" i="3"/>
  <c r="F57" i="3"/>
  <c r="D58" i="3"/>
  <c r="C62" i="2" l="1"/>
  <c r="N62" i="2"/>
  <c r="H61" i="2"/>
  <c r="E61" i="2" s="1"/>
  <c r="H60" i="3" s="1"/>
  <c r="D59" i="3"/>
  <c r="F58" i="3"/>
  <c r="O57" i="3"/>
  <c r="H58" i="4" s="1"/>
  <c r="I57" i="3"/>
  <c r="F58" i="4" s="1"/>
  <c r="U57" i="3"/>
  <c r="J58" i="4" s="1"/>
  <c r="T61" i="2"/>
  <c r="G61" i="2"/>
  <c r="T60" i="3" s="1"/>
  <c r="D62" i="2"/>
  <c r="D59" i="4"/>
  <c r="AA59" i="3"/>
  <c r="B61" i="3"/>
  <c r="B63" i="2"/>
  <c r="C60" i="4"/>
  <c r="AB59" i="3"/>
  <c r="E60" i="4" s="1"/>
  <c r="K64" i="2"/>
  <c r="A61" i="4"/>
  <c r="G60" i="3"/>
  <c r="S60" i="3"/>
  <c r="Y60" i="3" s="1"/>
  <c r="Z60" i="3" s="1"/>
  <c r="J60" i="3"/>
  <c r="V60" i="3"/>
  <c r="M60" i="3"/>
  <c r="P60" i="3"/>
  <c r="E60" i="3"/>
  <c r="C60" i="3"/>
  <c r="L62" i="2"/>
  <c r="I61" i="2"/>
  <c r="F61" i="2" s="1"/>
  <c r="N60" i="3" s="1"/>
  <c r="M62" i="2"/>
  <c r="J61" i="2"/>
  <c r="I60" i="4"/>
  <c r="M60" i="4" s="1"/>
  <c r="K60" i="4"/>
  <c r="N60" i="4" s="1"/>
  <c r="G60" i="4"/>
  <c r="L60" i="4" s="1"/>
  <c r="J62" i="2" l="1"/>
  <c r="M63" i="2"/>
  <c r="L63" i="2"/>
  <c r="I62" i="2"/>
  <c r="G61" i="4"/>
  <c r="L61" i="4" s="1"/>
  <c r="I61" i="4"/>
  <c r="M61" i="4" s="1"/>
  <c r="K61" i="4"/>
  <c r="N61" i="4" s="1"/>
  <c r="K65" i="2"/>
  <c r="O58" i="3"/>
  <c r="H59" i="4" s="1"/>
  <c r="I58" i="3"/>
  <c r="F59" i="4" s="1"/>
  <c r="U58" i="3"/>
  <c r="J59" i="4" s="1"/>
  <c r="D60" i="3"/>
  <c r="F59" i="3"/>
  <c r="C61" i="4"/>
  <c r="AB60" i="3"/>
  <c r="E61" i="4" s="1"/>
  <c r="B62" i="3"/>
  <c r="B64" i="2"/>
  <c r="A62" i="4"/>
  <c r="P61" i="3"/>
  <c r="E61" i="3"/>
  <c r="G61" i="3"/>
  <c r="S61" i="3"/>
  <c r="Y61" i="3" s="1"/>
  <c r="Z61" i="3" s="1"/>
  <c r="J61" i="3"/>
  <c r="V61" i="3"/>
  <c r="M61" i="3"/>
  <c r="C61" i="3"/>
  <c r="N61" i="3"/>
  <c r="N63" i="2"/>
  <c r="H62" i="2"/>
  <c r="E62" i="2" s="1"/>
  <c r="H61" i="3" s="1"/>
  <c r="D60" i="4"/>
  <c r="AA60" i="3"/>
  <c r="C63" i="2"/>
  <c r="F62" i="2"/>
  <c r="G62" i="2"/>
  <c r="T61" i="3" s="1"/>
  <c r="D63" i="2"/>
  <c r="T62" i="2"/>
  <c r="K66" i="2" l="1"/>
  <c r="N64" i="2"/>
  <c r="H63" i="2"/>
  <c r="G62" i="4"/>
  <c r="L62" i="4" s="1"/>
  <c r="I62" i="4"/>
  <c r="M62" i="4" s="1"/>
  <c r="K62" i="4"/>
  <c r="N62" i="4" s="1"/>
  <c r="A63" i="4"/>
  <c r="M62" i="3"/>
  <c r="C62" i="3"/>
  <c r="P62" i="3"/>
  <c r="E62" i="3"/>
  <c r="G62" i="3"/>
  <c r="S62" i="3"/>
  <c r="Y62" i="3" s="1"/>
  <c r="Z62" i="3" s="1"/>
  <c r="J62" i="3"/>
  <c r="V62" i="3"/>
  <c r="H62" i="3"/>
  <c r="B63" i="3"/>
  <c r="B65" i="2"/>
  <c r="C62" i="4"/>
  <c r="AB61" i="3"/>
  <c r="E62" i="4" s="1"/>
  <c r="T63" i="2"/>
  <c r="D64" i="2"/>
  <c r="I59" i="3"/>
  <c r="F60" i="4" s="1"/>
  <c r="U59" i="3"/>
  <c r="J60" i="4" s="1"/>
  <c r="O59" i="3"/>
  <c r="H60" i="4" s="1"/>
  <c r="D61" i="3"/>
  <c r="F60" i="3"/>
  <c r="L64" i="2"/>
  <c r="I63" i="2"/>
  <c r="F63" i="2" s="1"/>
  <c r="N62" i="3" s="1"/>
  <c r="E63" i="2"/>
  <c r="C64" i="2"/>
  <c r="M64" i="2"/>
  <c r="J63" i="2"/>
  <c r="G63" i="2" s="1"/>
  <c r="T62" i="3" s="1"/>
  <c r="D61" i="4"/>
  <c r="AA61" i="3"/>
  <c r="C63" i="4" l="1"/>
  <c r="AB62" i="3"/>
  <c r="E63" i="4" s="1"/>
  <c r="L65" i="2"/>
  <c r="I64" i="2"/>
  <c r="A64" i="4"/>
  <c r="J63" i="3"/>
  <c r="V63" i="3"/>
  <c r="M63" i="3"/>
  <c r="N63" i="3"/>
  <c r="P63" i="3"/>
  <c r="G63" i="3"/>
  <c r="S63" i="3"/>
  <c r="Y63" i="3" s="1"/>
  <c r="Z63" i="3" s="1"/>
  <c r="C63" i="3"/>
  <c r="E63" i="3"/>
  <c r="G63" i="4"/>
  <c r="L63" i="4" s="1"/>
  <c r="I63" i="4"/>
  <c r="M63" i="4" s="1"/>
  <c r="K63" i="4"/>
  <c r="N63" i="4" s="1"/>
  <c r="B64" i="3"/>
  <c r="B66" i="2"/>
  <c r="I60" i="3"/>
  <c r="F61" i="4" s="1"/>
  <c r="U60" i="3"/>
  <c r="J61" i="4" s="1"/>
  <c r="O60" i="3"/>
  <c r="H61" i="4" s="1"/>
  <c r="F61" i="3"/>
  <c r="D62" i="3"/>
  <c r="D62" i="4"/>
  <c r="AA62" i="3"/>
  <c r="T64" i="2"/>
  <c r="D65" i="2"/>
  <c r="G64" i="2"/>
  <c r="T63" i="3" s="1"/>
  <c r="J64" i="2"/>
  <c r="M65" i="2"/>
  <c r="C65" i="2"/>
  <c r="F64" i="2"/>
  <c r="N65" i="2"/>
  <c r="H64" i="2"/>
  <c r="E64" i="2" s="1"/>
  <c r="H63" i="3" s="1"/>
  <c r="K67" i="2"/>
  <c r="A65" i="4" l="1"/>
  <c r="G64" i="3"/>
  <c r="S64" i="3"/>
  <c r="Y64" i="3" s="1"/>
  <c r="Z64" i="3" s="1"/>
  <c r="J64" i="3"/>
  <c r="V64" i="3"/>
  <c r="M64" i="3"/>
  <c r="P64" i="3"/>
  <c r="C64" i="3"/>
  <c r="E64" i="3"/>
  <c r="J65" i="2"/>
  <c r="M66" i="2"/>
  <c r="B65" i="3"/>
  <c r="B67" i="2"/>
  <c r="T65" i="2"/>
  <c r="G65" i="2"/>
  <c r="T64" i="3" s="1"/>
  <c r="D66" i="2"/>
  <c r="C64" i="4"/>
  <c r="AB63" i="3"/>
  <c r="E64" i="4" s="1"/>
  <c r="K68" i="2"/>
  <c r="D63" i="4"/>
  <c r="AA63" i="3"/>
  <c r="D63" i="3"/>
  <c r="F62" i="3"/>
  <c r="G64" i="4"/>
  <c r="L64" i="4" s="1"/>
  <c r="I64" i="4"/>
  <c r="M64" i="4" s="1"/>
  <c r="K64" i="4"/>
  <c r="N64" i="4" s="1"/>
  <c r="N66" i="2"/>
  <c r="H65" i="2"/>
  <c r="O61" i="3"/>
  <c r="H62" i="4" s="1"/>
  <c r="U61" i="3"/>
  <c r="J62" i="4" s="1"/>
  <c r="I61" i="3"/>
  <c r="F62" i="4" s="1"/>
  <c r="L66" i="2"/>
  <c r="I65" i="2"/>
  <c r="F65" i="2" s="1"/>
  <c r="N64" i="3" s="1"/>
  <c r="E65" i="2"/>
  <c r="H64" i="3" s="1"/>
  <c r="C66" i="2"/>
  <c r="N67" i="2" l="1"/>
  <c r="H66" i="2"/>
  <c r="K69" i="2"/>
  <c r="C65" i="4"/>
  <c r="AB64" i="3"/>
  <c r="E65" i="4" s="1"/>
  <c r="C67" i="2"/>
  <c r="E66" i="2"/>
  <c r="F66" i="2"/>
  <c r="N65" i="3" s="1"/>
  <c r="D67" i="2"/>
  <c r="T66" i="2"/>
  <c r="B66" i="3"/>
  <c r="B68" i="2"/>
  <c r="L67" i="2"/>
  <c r="I66" i="2"/>
  <c r="O62" i="3"/>
  <c r="H63" i="4" s="1"/>
  <c r="U62" i="3"/>
  <c r="J63" i="4" s="1"/>
  <c r="I62" i="3"/>
  <c r="F63" i="4" s="1"/>
  <c r="A66" i="4"/>
  <c r="P65" i="3"/>
  <c r="E65" i="3"/>
  <c r="G65" i="3"/>
  <c r="S65" i="3"/>
  <c r="Y65" i="3" s="1"/>
  <c r="Z65" i="3" s="1"/>
  <c r="H65" i="3"/>
  <c r="J65" i="3"/>
  <c r="V65" i="3"/>
  <c r="M65" i="3"/>
  <c r="C65" i="3"/>
  <c r="D64" i="3"/>
  <c r="F63" i="3"/>
  <c r="J66" i="2"/>
  <c r="G66" i="2" s="1"/>
  <c r="T65" i="3" s="1"/>
  <c r="M67" i="2"/>
  <c r="D64" i="4"/>
  <c r="AA64" i="3"/>
  <c r="G65" i="4"/>
  <c r="L65" i="4" s="1"/>
  <c r="I65" i="4"/>
  <c r="M65" i="4" s="1"/>
  <c r="K65" i="4"/>
  <c r="N65" i="4" s="1"/>
  <c r="M68" i="2" l="1"/>
  <c r="J67" i="2"/>
  <c r="T67" i="2"/>
  <c r="G67" i="2"/>
  <c r="D68" i="2"/>
  <c r="D65" i="3"/>
  <c r="F64" i="3"/>
  <c r="G66" i="4"/>
  <c r="L66" i="4" s="1"/>
  <c r="I66" i="4"/>
  <c r="M66" i="4" s="1"/>
  <c r="K66" i="4"/>
  <c r="N66" i="4" s="1"/>
  <c r="C68" i="2"/>
  <c r="I63" i="3"/>
  <c r="F64" i="4" s="1"/>
  <c r="U63" i="3"/>
  <c r="J64" i="4" s="1"/>
  <c r="O63" i="3"/>
  <c r="H64" i="4" s="1"/>
  <c r="C66" i="4"/>
  <c r="AB65" i="3"/>
  <c r="E66" i="4" s="1"/>
  <c r="K70" i="2"/>
  <c r="L68" i="2"/>
  <c r="I67" i="2"/>
  <c r="F67" i="2" s="1"/>
  <c r="N66" i="3" s="1"/>
  <c r="B67" i="3"/>
  <c r="B69" i="2"/>
  <c r="D65" i="4"/>
  <c r="AA65" i="3"/>
  <c r="A67" i="4"/>
  <c r="M66" i="3"/>
  <c r="C66" i="3"/>
  <c r="P66" i="3"/>
  <c r="E66" i="3"/>
  <c r="G66" i="3"/>
  <c r="S66" i="3"/>
  <c r="Y66" i="3" s="1"/>
  <c r="Z66" i="3" s="1"/>
  <c r="J66" i="3"/>
  <c r="V66" i="3"/>
  <c r="T66" i="3"/>
  <c r="N68" i="2"/>
  <c r="H67" i="2"/>
  <c r="E67" i="2" s="1"/>
  <c r="H66" i="3" s="1"/>
  <c r="K71" i="2" l="1"/>
  <c r="I68" i="2"/>
  <c r="L69" i="2"/>
  <c r="C67" i="4"/>
  <c r="AB66" i="3"/>
  <c r="E67" i="4" s="1"/>
  <c r="I64" i="3"/>
  <c r="F65" i="4" s="1"/>
  <c r="U64" i="3"/>
  <c r="J65" i="4" s="1"/>
  <c r="O64" i="3"/>
  <c r="H65" i="4" s="1"/>
  <c r="N69" i="2"/>
  <c r="H68" i="2"/>
  <c r="E68" i="2" s="1"/>
  <c r="H67" i="3" s="1"/>
  <c r="G67" i="4"/>
  <c r="L67" i="4" s="1"/>
  <c r="I67" i="4"/>
  <c r="M67" i="4" s="1"/>
  <c r="K67" i="4"/>
  <c r="N67" i="4" s="1"/>
  <c r="F65" i="3"/>
  <c r="D66" i="3"/>
  <c r="D66" i="4"/>
  <c r="AA66" i="3"/>
  <c r="D69" i="2"/>
  <c r="T68" i="2"/>
  <c r="C69" i="2"/>
  <c r="F68" i="2"/>
  <c r="B68" i="3"/>
  <c r="B70" i="2"/>
  <c r="A68" i="4"/>
  <c r="J67" i="3"/>
  <c r="V67" i="3"/>
  <c r="M67" i="3"/>
  <c r="N67" i="3"/>
  <c r="P67" i="3"/>
  <c r="G67" i="3"/>
  <c r="S67" i="3"/>
  <c r="Y67" i="3" s="1"/>
  <c r="Z67" i="3" s="1"/>
  <c r="E67" i="3"/>
  <c r="C67" i="3"/>
  <c r="M69" i="2"/>
  <c r="J68" i="2"/>
  <c r="G68" i="2" s="1"/>
  <c r="T67" i="3" s="1"/>
  <c r="T69" i="2" l="1"/>
  <c r="G69" i="2"/>
  <c r="D70" i="2"/>
  <c r="N70" i="2"/>
  <c r="H69" i="2"/>
  <c r="C68" i="4"/>
  <c r="AB67" i="3"/>
  <c r="E68" i="4" s="1"/>
  <c r="D67" i="4"/>
  <c r="AA67" i="3"/>
  <c r="D67" i="3"/>
  <c r="F66" i="3"/>
  <c r="M70" i="2"/>
  <c r="J69" i="2"/>
  <c r="G68" i="4"/>
  <c r="L68" i="4" s="1"/>
  <c r="I68" i="4"/>
  <c r="M68" i="4" s="1"/>
  <c r="K68" i="4"/>
  <c r="N68" i="4" s="1"/>
  <c r="O65" i="3"/>
  <c r="H66" i="4" s="1"/>
  <c r="I65" i="3"/>
  <c r="F66" i="4" s="1"/>
  <c r="U65" i="3"/>
  <c r="J66" i="4" s="1"/>
  <c r="B69" i="3"/>
  <c r="B71" i="2"/>
  <c r="A69" i="4"/>
  <c r="G68" i="3"/>
  <c r="S68" i="3"/>
  <c r="Y68" i="3" s="1"/>
  <c r="Z68" i="3" s="1"/>
  <c r="H68" i="3"/>
  <c r="T68" i="3"/>
  <c r="J68" i="3"/>
  <c r="V68" i="3"/>
  <c r="M68" i="3"/>
  <c r="P68" i="3"/>
  <c r="N68" i="3"/>
  <c r="E68" i="3"/>
  <c r="C68" i="3"/>
  <c r="L70" i="2"/>
  <c r="I69" i="2"/>
  <c r="E69" i="2"/>
  <c r="F69" i="2"/>
  <c r="C70" i="2"/>
  <c r="K72" i="2"/>
  <c r="B70" i="3" l="1"/>
  <c r="B72" i="2"/>
  <c r="M71" i="2"/>
  <c r="J70" i="2"/>
  <c r="A70" i="4"/>
  <c r="P69" i="3"/>
  <c r="E69" i="3"/>
  <c r="G69" i="3"/>
  <c r="S69" i="3"/>
  <c r="Y69" i="3" s="1"/>
  <c r="Z69" i="3" s="1"/>
  <c r="J69" i="3"/>
  <c r="V69" i="3"/>
  <c r="M69" i="3"/>
  <c r="C69" i="3"/>
  <c r="O66" i="3"/>
  <c r="H67" i="4" s="1"/>
  <c r="I66" i="3"/>
  <c r="F67" i="4" s="1"/>
  <c r="U66" i="3"/>
  <c r="J67" i="4" s="1"/>
  <c r="D68" i="3"/>
  <c r="F67" i="3"/>
  <c r="D68" i="4"/>
  <c r="AA68" i="3"/>
  <c r="C69" i="4"/>
  <c r="AB68" i="3"/>
  <c r="E69" i="4" s="1"/>
  <c r="K73" i="2"/>
  <c r="F70" i="2"/>
  <c r="N69" i="3" s="1"/>
  <c r="C71" i="2"/>
  <c r="E70" i="2"/>
  <c r="H69" i="3" s="1"/>
  <c r="N71" i="2"/>
  <c r="H70" i="2"/>
  <c r="G70" i="2"/>
  <c r="T69" i="3" s="1"/>
  <c r="D71" i="2"/>
  <c r="T70" i="2"/>
  <c r="L71" i="2"/>
  <c r="I70" i="2"/>
  <c r="K69" i="4"/>
  <c r="N69" i="4" s="1"/>
  <c r="G69" i="4"/>
  <c r="L69" i="4" s="1"/>
  <c r="I69" i="4"/>
  <c r="M69" i="4" s="1"/>
  <c r="I71" i="2" l="1"/>
  <c r="L72" i="2"/>
  <c r="D69" i="4"/>
  <c r="AA69" i="3"/>
  <c r="D72" i="2"/>
  <c r="T71" i="2"/>
  <c r="D69" i="3"/>
  <c r="F68" i="3"/>
  <c r="N72" i="2"/>
  <c r="H71" i="2"/>
  <c r="E71" i="2"/>
  <c r="H70" i="3" s="1"/>
  <c r="F71" i="2"/>
  <c r="C72" i="2"/>
  <c r="K70" i="4"/>
  <c r="N70" i="4" s="1"/>
  <c r="G70" i="4"/>
  <c r="L70" i="4" s="1"/>
  <c r="I70" i="4"/>
  <c r="M70" i="4" s="1"/>
  <c r="M72" i="2"/>
  <c r="J71" i="2"/>
  <c r="G71" i="2" s="1"/>
  <c r="T70" i="3" s="1"/>
  <c r="K74" i="2"/>
  <c r="C70" i="4"/>
  <c r="AB69" i="3"/>
  <c r="E70" i="4" s="1"/>
  <c r="B71" i="3"/>
  <c r="B73" i="2"/>
  <c r="I67" i="3"/>
  <c r="F68" i="4" s="1"/>
  <c r="U67" i="3"/>
  <c r="J68" i="4" s="1"/>
  <c r="O67" i="3"/>
  <c r="H68" i="4" s="1"/>
  <c r="A71" i="4"/>
  <c r="M70" i="3"/>
  <c r="N70" i="3"/>
  <c r="C70" i="3"/>
  <c r="P70" i="3"/>
  <c r="E70" i="3"/>
  <c r="G70" i="3"/>
  <c r="S70" i="3"/>
  <c r="Y70" i="3" s="1"/>
  <c r="Z70" i="3" s="1"/>
  <c r="J70" i="3"/>
  <c r="V70" i="3"/>
  <c r="K75" i="2" l="1"/>
  <c r="N73" i="2"/>
  <c r="H72" i="2"/>
  <c r="C71" i="4"/>
  <c r="AB70" i="3"/>
  <c r="E71" i="4" s="1"/>
  <c r="M73" i="2"/>
  <c r="J72" i="2"/>
  <c r="I68" i="3"/>
  <c r="F69" i="4" s="1"/>
  <c r="U68" i="3"/>
  <c r="J69" i="4" s="1"/>
  <c r="O68" i="3"/>
  <c r="H69" i="4" s="1"/>
  <c r="I71" i="4"/>
  <c r="M71" i="4" s="1"/>
  <c r="K71" i="4"/>
  <c r="N71" i="4" s="1"/>
  <c r="G71" i="4"/>
  <c r="L71" i="4" s="1"/>
  <c r="F69" i="3"/>
  <c r="D70" i="3"/>
  <c r="T72" i="2"/>
  <c r="G72" i="2"/>
  <c r="D73" i="2"/>
  <c r="B72" i="3"/>
  <c r="B74" i="2"/>
  <c r="D70" i="4"/>
  <c r="AA70" i="3"/>
  <c r="A72" i="4"/>
  <c r="J71" i="3"/>
  <c r="V71" i="3"/>
  <c r="M71" i="3"/>
  <c r="P71" i="3"/>
  <c r="G71" i="3"/>
  <c r="S71" i="3"/>
  <c r="Y71" i="3" s="1"/>
  <c r="Z71" i="3" s="1"/>
  <c r="T71" i="3"/>
  <c r="C71" i="3"/>
  <c r="E71" i="3"/>
  <c r="E72" i="2"/>
  <c r="H71" i="3" s="1"/>
  <c r="F72" i="2"/>
  <c r="N71" i="3" s="1"/>
  <c r="C73" i="2"/>
  <c r="L73" i="2"/>
  <c r="I72" i="2"/>
  <c r="B73" i="3" l="1"/>
  <c r="B75" i="2"/>
  <c r="D74" i="2"/>
  <c r="T73" i="2"/>
  <c r="A73" i="4"/>
  <c r="G72" i="3"/>
  <c r="S72" i="3"/>
  <c r="Y72" i="3" s="1"/>
  <c r="Z72" i="3" s="1"/>
  <c r="J72" i="3"/>
  <c r="V72" i="3"/>
  <c r="M72" i="3"/>
  <c r="P72" i="3"/>
  <c r="C72" i="3"/>
  <c r="E72" i="3"/>
  <c r="D71" i="3"/>
  <c r="F70" i="3"/>
  <c r="J73" i="2"/>
  <c r="G73" i="2" s="1"/>
  <c r="T72" i="3" s="1"/>
  <c r="M74" i="2"/>
  <c r="I73" i="2"/>
  <c r="F73" i="2" s="1"/>
  <c r="N72" i="3" s="1"/>
  <c r="L74" i="2"/>
  <c r="C72" i="4"/>
  <c r="AB71" i="3"/>
  <c r="E72" i="4" s="1"/>
  <c r="O69" i="3"/>
  <c r="H70" i="4" s="1"/>
  <c r="U69" i="3"/>
  <c r="J70" i="4" s="1"/>
  <c r="I69" i="3"/>
  <c r="F70" i="4" s="1"/>
  <c r="C74" i="2"/>
  <c r="E73" i="2"/>
  <c r="H72" i="3" s="1"/>
  <c r="I72" i="4"/>
  <c r="M72" i="4" s="1"/>
  <c r="K72" i="4"/>
  <c r="N72" i="4" s="1"/>
  <c r="G72" i="4"/>
  <c r="L72" i="4" s="1"/>
  <c r="N74" i="2"/>
  <c r="H73" i="2"/>
  <c r="D71" i="4"/>
  <c r="AA71" i="3"/>
  <c r="K76" i="2"/>
  <c r="L75" i="2" l="1"/>
  <c r="I74" i="2"/>
  <c r="M75" i="2"/>
  <c r="J74" i="2"/>
  <c r="K77" i="2"/>
  <c r="O70" i="3"/>
  <c r="H71" i="4" s="1"/>
  <c r="U70" i="3"/>
  <c r="J71" i="4" s="1"/>
  <c r="I70" i="3"/>
  <c r="F71" i="4" s="1"/>
  <c r="D72" i="3"/>
  <c r="F71" i="3"/>
  <c r="G73" i="4"/>
  <c r="L73" i="4" s="1"/>
  <c r="I73" i="4"/>
  <c r="M73" i="4" s="1"/>
  <c r="K73" i="4"/>
  <c r="N73" i="4" s="1"/>
  <c r="D72" i="4"/>
  <c r="AA72" i="3"/>
  <c r="E74" i="2"/>
  <c r="H73" i="3" s="1"/>
  <c r="F74" i="2"/>
  <c r="N73" i="3" s="1"/>
  <c r="C75" i="2"/>
  <c r="T74" i="2"/>
  <c r="G74" i="2"/>
  <c r="D75" i="2"/>
  <c r="N75" i="2"/>
  <c r="H74" i="2"/>
  <c r="B74" i="3"/>
  <c r="B76" i="2"/>
  <c r="C73" i="4"/>
  <c r="AB72" i="3"/>
  <c r="E73" i="4" s="1"/>
  <c r="A74" i="4"/>
  <c r="P73" i="3"/>
  <c r="E73" i="3"/>
  <c r="G73" i="3"/>
  <c r="S73" i="3"/>
  <c r="Y73" i="3" s="1"/>
  <c r="Z73" i="3" s="1"/>
  <c r="T73" i="3"/>
  <c r="J73" i="3"/>
  <c r="V73" i="3"/>
  <c r="M73" i="3"/>
  <c r="C73" i="3"/>
  <c r="I71" i="3" l="1"/>
  <c r="F72" i="4" s="1"/>
  <c r="U71" i="3"/>
  <c r="J72" i="4" s="1"/>
  <c r="O71" i="3"/>
  <c r="H72" i="4" s="1"/>
  <c r="C76" i="2"/>
  <c r="D73" i="3"/>
  <c r="F72" i="3"/>
  <c r="G74" i="4"/>
  <c r="L74" i="4" s="1"/>
  <c r="I74" i="4"/>
  <c r="M74" i="4" s="1"/>
  <c r="K74" i="4"/>
  <c r="N74" i="4" s="1"/>
  <c r="D73" i="4"/>
  <c r="AA73" i="3"/>
  <c r="C74" i="4"/>
  <c r="AB73" i="3"/>
  <c r="E74" i="4" s="1"/>
  <c r="B75" i="3"/>
  <c r="B77" i="2"/>
  <c r="K78" i="2"/>
  <c r="A75" i="4"/>
  <c r="M74" i="3"/>
  <c r="C74" i="3"/>
  <c r="P74" i="3"/>
  <c r="E74" i="3"/>
  <c r="G74" i="3"/>
  <c r="S74" i="3"/>
  <c r="Y74" i="3" s="1"/>
  <c r="Z74" i="3" s="1"/>
  <c r="J74" i="3"/>
  <c r="V74" i="3"/>
  <c r="M76" i="2"/>
  <c r="J75" i="2"/>
  <c r="G75" i="2" s="1"/>
  <c r="T74" i="3" s="1"/>
  <c r="N76" i="2"/>
  <c r="H75" i="2"/>
  <c r="E75" i="2" s="1"/>
  <c r="H74" i="3" s="1"/>
  <c r="D76" i="2"/>
  <c r="T75" i="2"/>
  <c r="L76" i="2"/>
  <c r="I75" i="2"/>
  <c r="F75" i="2" s="1"/>
  <c r="N74" i="3" s="1"/>
  <c r="C75" i="4" l="1"/>
  <c r="AB74" i="3"/>
  <c r="E75" i="4" s="1"/>
  <c r="G75" i="4"/>
  <c r="L75" i="4" s="1"/>
  <c r="I75" i="4"/>
  <c r="M75" i="4" s="1"/>
  <c r="K75" i="4"/>
  <c r="N75" i="4" s="1"/>
  <c r="K79" i="2"/>
  <c r="B76" i="3"/>
  <c r="B78" i="2"/>
  <c r="I72" i="3"/>
  <c r="F73" i="4" s="1"/>
  <c r="U72" i="3"/>
  <c r="J73" i="4" s="1"/>
  <c r="O72" i="3"/>
  <c r="H73" i="4" s="1"/>
  <c r="A76" i="4"/>
  <c r="J75" i="3"/>
  <c r="V75" i="3"/>
  <c r="M75" i="3"/>
  <c r="P75" i="3"/>
  <c r="G75" i="3"/>
  <c r="S75" i="3"/>
  <c r="Y75" i="3" s="1"/>
  <c r="Z75" i="3" s="1"/>
  <c r="E75" i="3"/>
  <c r="C75" i="3"/>
  <c r="F73" i="3"/>
  <c r="D74" i="3"/>
  <c r="L77" i="2"/>
  <c r="I76" i="2"/>
  <c r="T76" i="2"/>
  <c r="G76" i="2"/>
  <c r="T75" i="3" s="1"/>
  <c r="D77" i="2"/>
  <c r="D74" i="4"/>
  <c r="AA74" i="3"/>
  <c r="F76" i="2"/>
  <c r="N75" i="3" s="1"/>
  <c r="C77" i="2"/>
  <c r="J76" i="2"/>
  <c r="M77" i="2"/>
  <c r="N77" i="2"/>
  <c r="H76" i="2"/>
  <c r="E76" i="2" s="1"/>
  <c r="H75" i="3" s="1"/>
  <c r="D75" i="4" l="1"/>
  <c r="AA75" i="3"/>
  <c r="B77" i="3"/>
  <c r="B79" i="2"/>
  <c r="K80" i="2"/>
  <c r="C76" i="4"/>
  <c r="AB75" i="3"/>
  <c r="E76" i="4" s="1"/>
  <c r="N78" i="2"/>
  <c r="H77" i="2"/>
  <c r="L78" i="2"/>
  <c r="I77" i="2"/>
  <c r="F77" i="2" s="1"/>
  <c r="N76" i="3" s="1"/>
  <c r="M78" i="2"/>
  <c r="J77" i="2"/>
  <c r="D75" i="3"/>
  <c r="F74" i="3"/>
  <c r="O73" i="3"/>
  <c r="H74" i="4" s="1"/>
  <c r="I73" i="3"/>
  <c r="F74" i="4" s="1"/>
  <c r="U73" i="3"/>
  <c r="J74" i="4" s="1"/>
  <c r="G76" i="4"/>
  <c r="L76" i="4" s="1"/>
  <c r="I76" i="4"/>
  <c r="M76" i="4" s="1"/>
  <c r="K76" i="4"/>
  <c r="N76" i="4" s="1"/>
  <c r="T77" i="2"/>
  <c r="G77" i="2"/>
  <c r="D78" i="2"/>
  <c r="E77" i="2"/>
  <c r="C78" i="2"/>
  <c r="A77" i="4"/>
  <c r="G76" i="3"/>
  <c r="S76" i="3"/>
  <c r="Y76" i="3" s="1"/>
  <c r="Z76" i="3" s="1"/>
  <c r="H76" i="3"/>
  <c r="T76" i="3"/>
  <c r="J76" i="3"/>
  <c r="V76" i="3"/>
  <c r="M76" i="3"/>
  <c r="P76" i="3"/>
  <c r="E76" i="3"/>
  <c r="C76" i="3"/>
  <c r="L79" i="2" l="1"/>
  <c r="I78" i="2"/>
  <c r="N79" i="2"/>
  <c r="H78" i="2"/>
  <c r="C79" i="2"/>
  <c r="E78" i="2"/>
  <c r="F78" i="2"/>
  <c r="G77" i="4"/>
  <c r="L77" i="4" s="1"/>
  <c r="I77" i="4"/>
  <c r="M77" i="4" s="1"/>
  <c r="K77" i="4"/>
  <c r="N77" i="4" s="1"/>
  <c r="K81" i="2"/>
  <c r="D79" i="2"/>
  <c r="T78" i="2"/>
  <c r="O74" i="3"/>
  <c r="H75" i="4" s="1"/>
  <c r="I74" i="3"/>
  <c r="F75" i="4" s="1"/>
  <c r="U74" i="3"/>
  <c r="J75" i="4" s="1"/>
  <c r="B78" i="3"/>
  <c r="B80" i="2"/>
  <c r="C77" i="4"/>
  <c r="AB76" i="3"/>
  <c r="E77" i="4" s="1"/>
  <c r="D76" i="3"/>
  <c r="F75" i="3"/>
  <c r="A78" i="4"/>
  <c r="P77" i="3"/>
  <c r="E77" i="3"/>
  <c r="G77" i="3"/>
  <c r="S77" i="3"/>
  <c r="Y77" i="3" s="1"/>
  <c r="Z77" i="3" s="1"/>
  <c r="H77" i="3"/>
  <c r="J77" i="3"/>
  <c r="V77" i="3"/>
  <c r="M77" i="3"/>
  <c r="C77" i="3"/>
  <c r="N77" i="3"/>
  <c r="D76" i="4"/>
  <c r="AA76" i="3"/>
  <c r="J78" i="2"/>
  <c r="G78" i="2" s="1"/>
  <c r="T77" i="3" s="1"/>
  <c r="M79" i="2"/>
  <c r="B79" i="3" l="1"/>
  <c r="B81" i="2"/>
  <c r="A79" i="4"/>
  <c r="M78" i="3"/>
  <c r="C78" i="3"/>
  <c r="P78" i="3"/>
  <c r="E78" i="3"/>
  <c r="G78" i="3"/>
  <c r="S78" i="3"/>
  <c r="Y78" i="3" s="1"/>
  <c r="Z78" i="3" s="1"/>
  <c r="J78" i="3"/>
  <c r="V78" i="3"/>
  <c r="M80" i="2"/>
  <c r="J79" i="2"/>
  <c r="D77" i="4"/>
  <c r="AA77" i="3"/>
  <c r="E79" i="2"/>
  <c r="H78" i="3" s="1"/>
  <c r="C80" i="2"/>
  <c r="G78" i="4"/>
  <c r="L78" i="4" s="1"/>
  <c r="I78" i="4"/>
  <c r="M78" i="4" s="1"/>
  <c r="K78" i="4"/>
  <c r="N78" i="4" s="1"/>
  <c r="T79" i="2"/>
  <c r="G79" i="2"/>
  <c r="T78" i="3" s="1"/>
  <c r="D80" i="2"/>
  <c r="I75" i="3"/>
  <c r="F76" i="4" s="1"/>
  <c r="U75" i="3"/>
  <c r="J76" i="4" s="1"/>
  <c r="O75" i="3"/>
  <c r="H76" i="4" s="1"/>
  <c r="K82" i="2"/>
  <c r="N80" i="2"/>
  <c r="H79" i="2"/>
  <c r="D77" i="3"/>
  <c r="F76" i="3"/>
  <c r="C78" i="4"/>
  <c r="AB77" i="3"/>
  <c r="E78" i="4" s="1"/>
  <c r="L80" i="2"/>
  <c r="I79" i="2"/>
  <c r="F79" i="2" s="1"/>
  <c r="N78" i="3" s="1"/>
  <c r="N81" i="2" l="1"/>
  <c r="H80" i="2"/>
  <c r="K83" i="2"/>
  <c r="I80" i="2"/>
  <c r="L81" i="2"/>
  <c r="D81" i="2"/>
  <c r="T80" i="2"/>
  <c r="D78" i="4"/>
  <c r="AA78" i="3"/>
  <c r="C79" i="4"/>
  <c r="AB78" i="3"/>
  <c r="E79" i="4" s="1"/>
  <c r="C81" i="2"/>
  <c r="E80" i="2"/>
  <c r="F80" i="2"/>
  <c r="I76" i="3"/>
  <c r="F77" i="4" s="1"/>
  <c r="U76" i="3"/>
  <c r="J77" i="4" s="1"/>
  <c r="O76" i="3"/>
  <c r="H77" i="4" s="1"/>
  <c r="M81" i="2"/>
  <c r="J80" i="2"/>
  <c r="G80" i="2" s="1"/>
  <c r="T79" i="3" s="1"/>
  <c r="G79" i="4"/>
  <c r="L79" i="4" s="1"/>
  <c r="I79" i="4"/>
  <c r="M79" i="4" s="1"/>
  <c r="K79" i="4"/>
  <c r="N79" i="4" s="1"/>
  <c r="F77" i="3"/>
  <c r="D78" i="3"/>
  <c r="B80" i="3"/>
  <c r="B82" i="2"/>
  <c r="A80" i="4"/>
  <c r="J79" i="3"/>
  <c r="V79" i="3"/>
  <c r="M79" i="3"/>
  <c r="N79" i="3"/>
  <c r="P79" i="3"/>
  <c r="G79" i="3"/>
  <c r="S79" i="3"/>
  <c r="Y79" i="3" s="1"/>
  <c r="Z79" i="3" s="1"/>
  <c r="C79" i="3"/>
  <c r="E79" i="3"/>
  <c r="H79" i="3"/>
  <c r="C80" i="4" l="1"/>
  <c r="AB79" i="3"/>
  <c r="E80" i="4" s="1"/>
  <c r="D79" i="4"/>
  <c r="AA79" i="3"/>
  <c r="G80" i="4"/>
  <c r="L80" i="4" s="1"/>
  <c r="I80" i="4"/>
  <c r="M80" i="4" s="1"/>
  <c r="K80" i="4"/>
  <c r="N80" i="4" s="1"/>
  <c r="M82" i="2"/>
  <c r="J81" i="2"/>
  <c r="G81" i="2" s="1"/>
  <c r="T80" i="3" s="1"/>
  <c r="B81" i="3"/>
  <c r="B83" i="2"/>
  <c r="T81" i="2"/>
  <c r="D82" i="2"/>
  <c r="A81" i="4"/>
  <c r="G80" i="3"/>
  <c r="S80" i="3"/>
  <c r="Y80" i="3" s="1"/>
  <c r="Z80" i="3" s="1"/>
  <c r="J80" i="3"/>
  <c r="V80" i="3"/>
  <c r="M80" i="3"/>
  <c r="P80" i="3"/>
  <c r="C80" i="3"/>
  <c r="E80" i="3"/>
  <c r="L82" i="2"/>
  <c r="I81" i="2"/>
  <c r="F81" i="2" s="1"/>
  <c r="N80" i="3" s="1"/>
  <c r="D79" i="3"/>
  <c r="F78" i="3"/>
  <c r="O77" i="3"/>
  <c r="H78" i="4" s="1"/>
  <c r="U77" i="3"/>
  <c r="J78" i="4" s="1"/>
  <c r="I77" i="3"/>
  <c r="F78" i="4" s="1"/>
  <c r="K84" i="2"/>
  <c r="C82" i="2"/>
  <c r="N82" i="2"/>
  <c r="H81" i="2"/>
  <c r="E81" i="2" s="1"/>
  <c r="H80" i="3" s="1"/>
  <c r="O78" i="3" l="1"/>
  <c r="H79" i="4" s="1"/>
  <c r="U78" i="3"/>
  <c r="J79" i="4" s="1"/>
  <c r="I78" i="3"/>
  <c r="F79" i="4" s="1"/>
  <c r="D80" i="3"/>
  <c r="F79" i="3"/>
  <c r="N83" i="2"/>
  <c r="H82" i="2"/>
  <c r="E82" i="2" s="1"/>
  <c r="H81" i="3" s="1"/>
  <c r="L83" i="2"/>
  <c r="I82" i="2"/>
  <c r="F82" i="2" s="1"/>
  <c r="N81" i="3" s="1"/>
  <c r="K81" i="4"/>
  <c r="N81" i="4" s="1"/>
  <c r="G81" i="4"/>
  <c r="L81" i="4" s="1"/>
  <c r="I81" i="4"/>
  <c r="M81" i="4" s="1"/>
  <c r="C83" i="2"/>
  <c r="D83" i="2"/>
  <c r="T82" i="2"/>
  <c r="D80" i="4"/>
  <c r="AA80" i="3"/>
  <c r="M83" i="2"/>
  <c r="J82" i="2"/>
  <c r="G82" i="2" s="1"/>
  <c r="T81" i="3" s="1"/>
  <c r="B82" i="3"/>
  <c r="B84" i="2"/>
  <c r="K85" i="2"/>
  <c r="C81" i="4"/>
  <c r="AB80" i="3"/>
  <c r="E81" i="4" s="1"/>
  <c r="A82" i="4"/>
  <c r="P81" i="3"/>
  <c r="E81" i="3"/>
  <c r="G81" i="3"/>
  <c r="S81" i="3"/>
  <c r="Y81" i="3" s="1"/>
  <c r="Z81" i="3" s="1"/>
  <c r="J81" i="3"/>
  <c r="V81" i="3"/>
  <c r="M81" i="3"/>
  <c r="C81" i="3"/>
  <c r="K82" i="4" l="1"/>
  <c r="N82" i="4" s="1"/>
  <c r="G82" i="4"/>
  <c r="L82" i="4" s="1"/>
  <c r="I82" i="4"/>
  <c r="M82" i="4" s="1"/>
  <c r="D84" i="2"/>
  <c r="T83" i="2"/>
  <c r="G83" i="2"/>
  <c r="I83" i="2"/>
  <c r="F83" i="2" s="1"/>
  <c r="N82" i="3" s="1"/>
  <c r="L84" i="2"/>
  <c r="M84" i="2"/>
  <c r="J83" i="2"/>
  <c r="N84" i="2"/>
  <c r="H83" i="2"/>
  <c r="E83" i="2" s="1"/>
  <c r="H82" i="3" s="1"/>
  <c r="D81" i="4"/>
  <c r="AA81" i="3"/>
  <c r="C82" i="4"/>
  <c r="AB81" i="3"/>
  <c r="E82" i="4" s="1"/>
  <c r="C84" i="2"/>
  <c r="I79" i="3"/>
  <c r="F80" i="4" s="1"/>
  <c r="U79" i="3"/>
  <c r="J80" i="4" s="1"/>
  <c r="O79" i="3"/>
  <c r="H80" i="4" s="1"/>
  <c r="K86" i="2"/>
  <c r="D81" i="3"/>
  <c r="F80" i="3"/>
  <c r="B83" i="3"/>
  <c r="B85" i="2"/>
  <c r="A83" i="4"/>
  <c r="M82" i="3"/>
  <c r="C82" i="3"/>
  <c r="P82" i="3"/>
  <c r="E82" i="3"/>
  <c r="G82" i="3"/>
  <c r="S82" i="3"/>
  <c r="Y82" i="3" s="1"/>
  <c r="Z82" i="3" s="1"/>
  <c r="J82" i="3"/>
  <c r="V82" i="3"/>
  <c r="T82" i="3"/>
  <c r="L85" i="2" l="1"/>
  <c r="I84" i="2"/>
  <c r="F84" i="2"/>
  <c r="C85" i="2"/>
  <c r="C83" i="4"/>
  <c r="AB82" i="3"/>
  <c r="E83" i="4" s="1"/>
  <c r="I83" i="4"/>
  <c r="M83" i="4" s="1"/>
  <c r="K83" i="4"/>
  <c r="N83" i="4" s="1"/>
  <c r="G83" i="4"/>
  <c r="L83" i="4" s="1"/>
  <c r="B84" i="3"/>
  <c r="B86" i="2"/>
  <c r="T84" i="2"/>
  <c r="D85" i="2"/>
  <c r="A84" i="4"/>
  <c r="J83" i="3"/>
  <c r="V83" i="3"/>
  <c r="M83" i="3"/>
  <c r="N83" i="3"/>
  <c r="P83" i="3"/>
  <c r="G83" i="3"/>
  <c r="S83" i="3"/>
  <c r="Y83" i="3" s="1"/>
  <c r="Z83" i="3" s="1"/>
  <c r="E83" i="3"/>
  <c r="C83" i="3"/>
  <c r="I80" i="3"/>
  <c r="F81" i="4" s="1"/>
  <c r="U80" i="3"/>
  <c r="J81" i="4" s="1"/>
  <c r="O80" i="3"/>
  <c r="H81" i="4" s="1"/>
  <c r="D82" i="4"/>
  <c r="AA82" i="3"/>
  <c r="F81" i="3"/>
  <c r="D82" i="3"/>
  <c r="K87" i="2"/>
  <c r="N85" i="2"/>
  <c r="H84" i="2"/>
  <c r="E84" i="2" s="1"/>
  <c r="H83" i="3" s="1"/>
  <c r="M85" i="2"/>
  <c r="J84" i="2"/>
  <c r="G84" i="2" s="1"/>
  <c r="T83" i="3" s="1"/>
  <c r="C84" i="4" l="1"/>
  <c r="AB83" i="3"/>
  <c r="E84" i="4" s="1"/>
  <c r="I84" i="4"/>
  <c r="M84" i="4" s="1"/>
  <c r="K84" i="4"/>
  <c r="N84" i="4" s="1"/>
  <c r="G84" i="4"/>
  <c r="L84" i="4" s="1"/>
  <c r="J85" i="2"/>
  <c r="G85" i="2" s="1"/>
  <c r="T84" i="3" s="1"/>
  <c r="M86" i="2"/>
  <c r="D86" i="2"/>
  <c r="T85" i="2"/>
  <c r="C86" i="2"/>
  <c r="O81" i="3"/>
  <c r="H82" i="4" s="1"/>
  <c r="I81" i="3"/>
  <c r="F82" i="4" s="1"/>
  <c r="U81" i="3"/>
  <c r="J82" i="4" s="1"/>
  <c r="N86" i="2"/>
  <c r="H85" i="2"/>
  <c r="E85" i="2" s="1"/>
  <c r="H84" i="3" s="1"/>
  <c r="B85" i="3"/>
  <c r="B87" i="2"/>
  <c r="D83" i="4"/>
  <c r="AA83" i="3"/>
  <c r="K88" i="2"/>
  <c r="A85" i="4"/>
  <c r="G84" i="3"/>
  <c r="S84" i="3"/>
  <c r="Y84" i="3" s="1"/>
  <c r="Z84" i="3" s="1"/>
  <c r="J84" i="3"/>
  <c r="V84" i="3"/>
  <c r="M84" i="3"/>
  <c r="P84" i="3"/>
  <c r="E84" i="3"/>
  <c r="C84" i="3"/>
  <c r="D83" i="3"/>
  <c r="F82" i="3"/>
  <c r="I85" i="2"/>
  <c r="F85" i="2" s="1"/>
  <c r="N84" i="3" s="1"/>
  <c r="L86" i="2"/>
  <c r="C85" i="4" l="1"/>
  <c r="AB84" i="3"/>
  <c r="E85" i="4" s="1"/>
  <c r="B86" i="3"/>
  <c r="B88" i="2"/>
  <c r="T86" i="2"/>
  <c r="D87" i="2"/>
  <c r="A86" i="4"/>
  <c r="P85" i="3"/>
  <c r="E85" i="3"/>
  <c r="G85" i="3"/>
  <c r="S85" i="3"/>
  <c r="Y85" i="3" s="1"/>
  <c r="Z85" i="3" s="1"/>
  <c r="J85" i="3"/>
  <c r="V85" i="3"/>
  <c r="M85" i="3"/>
  <c r="C85" i="3"/>
  <c r="M87" i="2"/>
  <c r="J86" i="2"/>
  <c r="G86" i="2" s="1"/>
  <c r="T85" i="3" s="1"/>
  <c r="N87" i="2"/>
  <c r="H86" i="2"/>
  <c r="E86" i="2" s="1"/>
  <c r="H85" i="3" s="1"/>
  <c r="L87" i="2"/>
  <c r="I86" i="2"/>
  <c r="D84" i="3"/>
  <c r="F83" i="3"/>
  <c r="G85" i="4"/>
  <c r="L85" i="4" s="1"/>
  <c r="I85" i="4"/>
  <c r="M85" i="4" s="1"/>
  <c r="K85" i="4"/>
  <c r="N85" i="4" s="1"/>
  <c r="O82" i="3"/>
  <c r="H83" i="4" s="1"/>
  <c r="I82" i="3"/>
  <c r="F83" i="4" s="1"/>
  <c r="U82" i="3"/>
  <c r="J83" i="4" s="1"/>
  <c r="K89" i="2"/>
  <c r="F86" i="2"/>
  <c r="N85" i="3" s="1"/>
  <c r="C87" i="2"/>
  <c r="D84" i="4"/>
  <c r="AA84" i="3"/>
  <c r="L88" i="2" l="1"/>
  <c r="I87" i="2"/>
  <c r="N88" i="2"/>
  <c r="H87" i="2"/>
  <c r="M88" i="2"/>
  <c r="J87" i="2"/>
  <c r="G87" i="2" s="1"/>
  <c r="T86" i="3" s="1"/>
  <c r="G86" i="4"/>
  <c r="L86" i="4" s="1"/>
  <c r="I86" i="4"/>
  <c r="M86" i="4" s="1"/>
  <c r="K86" i="4"/>
  <c r="N86" i="4" s="1"/>
  <c r="D85" i="4"/>
  <c r="AA85" i="3"/>
  <c r="D88" i="2"/>
  <c r="T87" i="2"/>
  <c r="C88" i="2"/>
  <c r="E87" i="2"/>
  <c r="F87" i="2"/>
  <c r="N86" i="3" s="1"/>
  <c r="C86" i="4"/>
  <c r="AB85" i="3"/>
  <c r="E86" i="4" s="1"/>
  <c r="B87" i="3"/>
  <c r="B89" i="2"/>
  <c r="I83" i="3"/>
  <c r="F84" i="4" s="1"/>
  <c r="U83" i="3"/>
  <c r="J84" i="4" s="1"/>
  <c r="O83" i="3"/>
  <c r="H84" i="4" s="1"/>
  <c r="A87" i="4"/>
  <c r="M86" i="3"/>
  <c r="C86" i="3"/>
  <c r="P86" i="3"/>
  <c r="E86" i="3"/>
  <c r="G86" i="3"/>
  <c r="S86" i="3"/>
  <c r="Y86" i="3" s="1"/>
  <c r="Z86" i="3" s="1"/>
  <c r="J86" i="3"/>
  <c r="V86" i="3"/>
  <c r="H86" i="3"/>
  <c r="D85" i="3"/>
  <c r="F84" i="3"/>
  <c r="K90" i="2"/>
  <c r="B88" i="3" l="1"/>
  <c r="B90" i="2"/>
  <c r="K91" i="2"/>
  <c r="C89" i="2"/>
  <c r="I84" i="3"/>
  <c r="F85" i="4" s="1"/>
  <c r="U84" i="3"/>
  <c r="J85" i="4" s="1"/>
  <c r="O84" i="3"/>
  <c r="H85" i="4" s="1"/>
  <c r="C87" i="4"/>
  <c r="AB86" i="3"/>
  <c r="E87" i="4" s="1"/>
  <c r="J88" i="2"/>
  <c r="M89" i="2"/>
  <c r="F85" i="3"/>
  <c r="D86" i="3"/>
  <c r="G87" i="4"/>
  <c r="L87" i="4" s="1"/>
  <c r="I87" i="4"/>
  <c r="M87" i="4" s="1"/>
  <c r="K87" i="4"/>
  <c r="N87" i="4" s="1"/>
  <c r="T88" i="2"/>
  <c r="G88" i="2"/>
  <c r="T87" i="3" s="1"/>
  <c r="D89" i="2"/>
  <c r="A88" i="4"/>
  <c r="J87" i="3"/>
  <c r="V87" i="3"/>
  <c r="M87" i="3"/>
  <c r="P87" i="3"/>
  <c r="G87" i="3"/>
  <c r="S87" i="3"/>
  <c r="Y87" i="3" s="1"/>
  <c r="Z87" i="3" s="1"/>
  <c r="C87" i="3"/>
  <c r="E87" i="3"/>
  <c r="N89" i="2"/>
  <c r="H88" i="2"/>
  <c r="E88" i="2" s="1"/>
  <c r="H87" i="3" s="1"/>
  <c r="D86" i="4"/>
  <c r="AA86" i="3"/>
  <c r="L89" i="2"/>
  <c r="I88" i="2"/>
  <c r="F88" i="2" s="1"/>
  <c r="N87" i="3" s="1"/>
  <c r="C90" i="2" l="1"/>
  <c r="L90" i="2"/>
  <c r="I89" i="2"/>
  <c r="F89" i="2" s="1"/>
  <c r="N88" i="3" s="1"/>
  <c r="C88" i="4"/>
  <c r="AB87" i="3"/>
  <c r="E88" i="4" s="1"/>
  <c r="D87" i="4"/>
  <c r="AA87" i="3"/>
  <c r="D87" i="3"/>
  <c r="F86" i="3"/>
  <c r="K92" i="2"/>
  <c r="O85" i="3"/>
  <c r="H86" i="4" s="1"/>
  <c r="U85" i="3"/>
  <c r="J86" i="4" s="1"/>
  <c r="I85" i="3"/>
  <c r="F86" i="4" s="1"/>
  <c r="N90" i="2"/>
  <c r="H89" i="2"/>
  <c r="E89" i="2" s="1"/>
  <c r="H88" i="3" s="1"/>
  <c r="G88" i="4"/>
  <c r="L88" i="4" s="1"/>
  <c r="I88" i="4"/>
  <c r="M88" i="4" s="1"/>
  <c r="K88" i="4"/>
  <c r="N88" i="4" s="1"/>
  <c r="M90" i="2"/>
  <c r="J89" i="2"/>
  <c r="G89" i="2" s="1"/>
  <c r="T88" i="3" s="1"/>
  <c r="B89" i="3"/>
  <c r="B91" i="2"/>
  <c r="T89" i="2"/>
  <c r="D90" i="2"/>
  <c r="A89" i="4"/>
  <c r="G88" i="3"/>
  <c r="S88" i="3"/>
  <c r="Y88" i="3" s="1"/>
  <c r="Z88" i="3" s="1"/>
  <c r="J88" i="3"/>
  <c r="V88" i="3"/>
  <c r="M88" i="3"/>
  <c r="P88" i="3"/>
  <c r="C88" i="3"/>
  <c r="E88" i="3"/>
  <c r="K93" i="2" l="1"/>
  <c r="O86" i="3"/>
  <c r="H87" i="4" s="1"/>
  <c r="U86" i="3"/>
  <c r="J87" i="4" s="1"/>
  <c r="I86" i="3"/>
  <c r="F87" i="4" s="1"/>
  <c r="D88" i="4"/>
  <c r="AA88" i="3"/>
  <c r="G89" i="4"/>
  <c r="L89" i="4" s="1"/>
  <c r="I89" i="4"/>
  <c r="M89" i="4" s="1"/>
  <c r="K89" i="4"/>
  <c r="N89" i="4" s="1"/>
  <c r="D91" i="2"/>
  <c r="T90" i="2"/>
  <c r="N91" i="2"/>
  <c r="H90" i="2"/>
  <c r="B90" i="3"/>
  <c r="B92" i="2"/>
  <c r="L91" i="2"/>
  <c r="I90" i="2"/>
  <c r="F90" i="2" s="1"/>
  <c r="N89" i="3" s="1"/>
  <c r="C89" i="4"/>
  <c r="AB88" i="3"/>
  <c r="E89" i="4" s="1"/>
  <c r="A90" i="4"/>
  <c r="P89" i="3"/>
  <c r="E89" i="3"/>
  <c r="G89" i="3"/>
  <c r="S89" i="3"/>
  <c r="Y89" i="3" s="1"/>
  <c r="Z89" i="3" s="1"/>
  <c r="H89" i="3"/>
  <c r="J89" i="3"/>
  <c r="V89" i="3"/>
  <c r="M89" i="3"/>
  <c r="C89" i="3"/>
  <c r="C91" i="2"/>
  <c r="E90" i="2"/>
  <c r="D88" i="3"/>
  <c r="F87" i="3"/>
  <c r="J90" i="2"/>
  <c r="G90" i="2" s="1"/>
  <c r="T89" i="3" s="1"/>
  <c r="M91" i="2"/>
  <c r="C90" i="4" l="1"/>
  <c r="AB89" i="3"/>
  <c r="E90" i="4" s="1"/>
  <c r="B91" i="3"/>
  <c r="B93" i="2"/>
  <c r="M92" i="2"/>
  <c r="J91" i="2"/>
  <c r="A91" i="4"/>
  <c r="M90" i="3"/>
  <c r="N90" i="3"/>
  <c r="C90" i="3"/>
  <c r="P90" i="3"/>
  <c r="E90" i="3"/>
  <c r="G90" i="3"/>
  <c r="S90" i="3"/>
  <c r="Y90" i="3" s="1"/>
  <c r="Z90" i="3" s="1"/>
  <c r="J90" i="3"/>
  <c r="V90" i="3"/>
  <c r="D89" i="4"/>
  <c r="AA89" i="3"/>
  <c r="I87" i="3"/>
  <c r="F88" i="4" s="1"/>
  <c r="U87" i="3"/>
  <c r="J88" i="4" s="1"/>
  <c r="O87" i="3"/>
  <c r="H88" i="4" s="1"/>
  <c r="N92" i="2"/>
  <c r="H91" i="2"/>
  <c r="L92" i="2"/>
  <c r="I91" i="2"/>
  <c r="D89" i="3"/>
  <c r="F88" i="3"/>
  <c r="T91" i="2"/>
  <c r="G91" i="2"/>
  <c r="T90" i="3" s="1"/>
  <c r="D92" i="2"/>
  <c r="K94" i="2"/>
  <c r="E91" i="2"/>
  <c r="H90" i="3" s="1"/>
  <c r="F91" i="2"/>
  <c r="C92" i="2"/>
  <c r="G90" i="4"/>
  <c r="L90" i="4" s="1"/>
  <c r="I90" i="4"/>
  <c r="M90" i="4" s="1"/>
  <c r="K90" i="4"/>
  <c r="N90" i="4" s="1"/>
  <c r="N93" i="2" l="1"/>
  <c r="H92" i="2"/>
  <c r="K95" i="2"/>
  <c r="G91" i="4"/>
  <c r="L91" i="4" s="1"/>
  <c r="K91" i="4"/>
  <c r="N91" i="4" s="1"/>
  <c r="I91" i="4"/>
  <c r="M91" i="4" s="1"/>
  <c r="I88" i="3"/>
  <c r="F89" i="4" s="1"/>
  <c r="U88" i="3"/>
  <c r="J89" i="4" s="1"/>
  <c r="O88" i="3"/>
  <c r="H89" i="4" s="1"/>
  <c r="M93" i="2"/>
  <c r="J92" i="2"/>
  <c r="C91" i="4"/>
  <c r="AB90" i="3"/>
  <c r="E91" i="4" s="1"/>
  <c r="F89" i="3"/>
  <c r="D90" i="3"/>
  <c r="B92" i="3"/>
  <c r="B94" i="2"/>
  <c r="A92" i="4"/>
  <c r="J91" i="3"/>
  <c r="V91" i="3"/>
  <c r="M91" i="3"/>
  <c r="P91" i="3"/>
  <c r="G91" i="3"/>
  <c r="S91" i="3"/>
  <c r="Y91" i="3" s="1"/>
  <c r="Z91" i="3" s="1"/>
  <c r="E91" i="3"/>
  <c r="C91" i="3"/>
  <c r="T92" i="2"/>
  <c r="G92" i="2"/>
  <c r="T91" i="3" s="1"/>
  <c r="D93" i="2"/>
  <c r="I92" i="2"/>
  <c r="L93" i="2"/>
  <c r="D90" i="4"/>
  <c r="AA90" i="3"/>
  <c r="C93" i="2"/>
  <c r="E92" i="2"/>
  <c r="H91" i="3" s="1"/>
  <c r="F92" i="2"/>
  <c r="N91" i="3" s="1"/>
  <c r="T93" i="2" l="1"/>
  <c r="D94" i="2"/>
  <c r="I92" i="4"/>
  <c r="M92" i="4" s="1"/>
  <c r="K92" i="4"/>
  <c r="N92" i="4" s="1"/>
  <c r="G92" i="4"/>
  <c r="L92" i="4" s="1"/>
  <c r="A93" i="4"/>
  <c r="G92" i="3"/>
  <c r="S92" i="3"/>
  <c r="Y92" i="3" s="1"/>
  <c r="Z92" i="3" s="1"/>
  <c r="J92" i="3"/>
  <c r="V92" i="3"/>
  <c r="M92" i="3"/>
  <c r="P92" i="3"/>
  <c r="N92" i="3"/>
  <c r="E92" i="3"/>
  <c r="C92" i="3"/>
  <c r="D91" i="3"/>
  <c r="F90" i="3"/>
  <c r="O89" i="3"/>
  <c r="H90" i="4" s="1"/>
  <c r="I89" i="3"/>
  <c r="F90" i="4" s="1"/>
  <c r="U89" i="3"/>
  <c r="J90" i="4" s="1"/>
  <c r="F93" i="2"/>
  <c r="C94" i="2"/>
  <c r="D91" i="4"/>
  <c r="AA91" i="3"/>
  <c r="B93" i="3"/>
  <c r="B95" i="2"/>
  <c r="K96" i="2"/>
  <c r="L94" i="2"/>
  <c r="I93" i="2"/>
  <c r="M94" i="2"/>
  <c r="J93" i="2"/>
  <c r="G93" i="2" s="1"/>
  <c r="T92" i="3" s="1"/>
  <c r="C92" i="4"/>
  <c r="AB91" i="3"/>
  <c r="E92" i="4" s="1"/>
  <c r="N94" i="2"/>
  <c r="H93" i="2"/>
  <c r="E93" i="2" s="1"/>
  <c r="H92" i="3" s="1"/>
  <c r="L95" i="2" l="1"/>
  <c r="I94" i="2"/>
  <c r="K97" i="2"/>
  <c r="D92" i="3"/>
  <c r="F91" i="3"/>
  <c r="K93" i="4"/>
  <c r="N93" i="4" s="1"/>
  <c r="G93" i="4"/>
  <c r="L93" i="4" s="1"/>
  <c r="I93" i="4"/>
  <c r="M93" i="4" s="1"/>
  <c r="O90" i="3"/>
  <c r="H91" i="4" s="1"/>
  <c r="I90" i="3"/>
  <c r="F91" i="4" s="1"/>
  <c r="U90" i="3"/>
  <c r="J91" i="4" s="1"/>
  <c r="B94" i="3"/>
  <c r="B96" i="2"/>
  <c r="A94" i="4"/>
  <c r="P93" i="3"/>
  <c r="E93" i="3"/>
  <c r="G93" i="3"/>
  <c r="S93" i="3"/>
  <c r="Y93" i="3" s="1"/>
  <c r="Z93" i="3" s="1"/>
  <c r="H93" i="3"/>
  <c r="J93" i="3"/>
  <c r="V93" i="3"/>
  <c r="M93" i="3"/>
  <c r="C93" i="3"/>
  <c r="D92" i="4"/>
  <c r="AA92" i="3"/>
  <c r="N95" i="2"/>
  <c r="H94" i="2"/>
  <c r="F94" i="2"/>
  <c r="N93" i="3" s="1"/>
  <c r="C95" i="2"/>
  <c r="E94" i="2"/>
  <c r="C93" i="4"/>
  <c r="AB92" i="3"/>
  <c r="E93" i="4" s="1"/>
  <c r="T94" i="2"/>
  <c r="D95" i="2"/>
  <c r="M95" i="2"/>
  <c r="J94" i="2"/>
  <c r="G94" i="2" s="1"/>
  <c r="T93" i="3" s="1"/>
  <c r="N96" i="2" l="1"/>
  <c r="H95" i="2"/>
  <c r="D93" i="4"/>
  <c r="AA93" i="3"/>
  <c r="J95" i="2"/>
  <c r="M96" i="2"/>
  <c r="I94" i="4"/>
  <c r="M94" i="4" s="1"/>
  <c r="K94" i="4"/>
  <c r="N94" i="4" s="1"/>
  <c r="G94" i="4"/>
  <c r="L94" i="4" s="1"/>
  <c r="I91" i="3"/>
  <c r="F92" i="4" s="1"/>
  <c r="U91" i="3"/>
  <c r="J92" i="4" s="1"/>
  <c r="O91" i="3"/>
  <c r="H92" i="4" s="1"/>
  <c r="B95" i="3"/>
  <c r="B97" i="2"/>
  <c r="D93" i="3"/>
  <c r="F92" i="3"/>
  <c r="D96" i="2"/>
  <c r="T95" i="2"/>
  <c r="G95" i="2"/>
  <c r="A95" i="4"/>
  <c r="M94" i="3"/>
  <c r="C94" i="3"/>
  <c r="P94" i="3"/>
  <c r="E94" i="3"/>
  <c r="G94" i="3"/>
  <c r="S94" i="3"/>
  <c r="Y94" i="3" s="1"/>
  <c r="Z94" i="3" s="1"/>
  <c r="J94" i="3"/>
  <c r="V94" i="3"/>
  <c r="T94" i="3"/>
  <c r="C94" i="4"/>
  <c r="AB93" i="3"/>
  <c r="E94" i="4" s="1"/>
  <c r="K98" i="2"/>
  <c r="E95" i="2"/>
  <c r="H94" i="3" s="1"/>
  <c r="C96" i="2"/>
  <c r="I95" i="2"/>
  <c r="F95" i="2" s="1"/>
  <c r="N94" i="3" s="1"/>
  <c r="L96" i="2"/>
  <c r="C95" i="4" l="1"/>
  <c r="AB94" i="3"/>
  <c r="E95" i="4" s="1"/>
  <c r="I95" i="4"/>
  <c r="M95" i="4" s="1"/>
  <c r="K95" i="4"/>
  <c r="N95" i="4" s="1"/>
  <c r="G95" i="4"/>
  <c r="L95" i="4" s="1"/>
  <c r="D97" i="2"/>
  <c r="G96" i="2"/>
  <c r="T96" i="2"/>
  <c r="I96" i="2"/>
  <c r="F96" i="2" s="1"/>
  <c r="N95" i="3" s="1"/>
  <c r="L97" i="2"/>
  <c r="I92" i="3"/>
  <c r="F93" i="4" s="1"/>
  <c r="U92" i="3"/>
  <c r="J93" i="4" s="1"/>
  <c r="O92" i="3"/>
  <c r="H93" i="4" s="1"/>
  <c r="F93" i="3"/>
  <c r="D94" i="3"/>
  <c r="M97" i="2"/>
  <c r="J96" i="2"/>
  <c r="C97" i="2"/>
  <c r="E96" i="2"/>
  <c r="H95" i="3" s="1"/>
  <c r="B96" i="3"/>
  <c r="B98" i="2"/>
  <c r="A96" i="4"/>
  <c r="J95" i="3"/>
  <c r="V95" i="3"/>
  <c r="M95" i="3"/>
  <c r="P95" i="3"/>
  <c r="G95" i="3"/>
  <c r="S95" i="3"/>
  <c r="Y95" i="3" s="1"/>
  <c r="Z95" i="3" s="1"/>
  <c r="T95" i="3"/>
  <c r="C95" i="3"/>
  <c r="E95" i="3"/>
  <c r="D94" i="4"/>
  <c r="AA94" i="3"/>
  <c r="K99" i="2"/>
  <c r="N97" i="2"/>
  <c r="H96" i="2"/>
  <c r="A97" i="4" l="1"/>
  <c r="G96" i="3"/>
  <c r="S96" i="3"/>
  <c r="Y96" i="3" s="1"/>
  <c r="Z96" i="3" s="1"/>
  <c r="J96" i="3"/>
  <c r="V96" i="3"/>
  <c r="M96" i="3"/>
  <c r="P96" i="3"/>
  <c r="C96" i="3"/>
  <c r="E96" i="3"/>
  <c r="N96" i="3"/>
  <c r="C98" i="2"/>
  <c r="F97" i="2"/>
  <c r="D98" i="2"/>
  <c r="T97" i="2"/>
  <c r="M98" i="2"/>
  <c r="J97" i="2"/>
  <c r="G97" i="2" s="1"/>
  <c r="T96" i="3" s="1"/>
  <c r="N98" i="2"/>
  <c r="H97" i="2"/>
  <c r="E97" i="2" s="1"/>
  <c r="H96" i="3" s="1"/>
  <c r="D95" i="3"/>
  <c r="F94" i="3"/>
  <c r="C96" i="4"/>
  <c r="AB95" i="3"/>
  <c r="E96" i="4" s="1"/>
  <c r="O93" i="3"/>
  <c r="H94" i="4" s="1"/>
  <c r="U93" i="3"/>
  <c r="J94" i="4" s="1"/>
  <c r="I93" i="3"/>
  <c r="F94" i="4" s="1"/>
  <c r="D95" i="4"/>
  <c r="AA95" i="3"/>
  <c r="K100" i="2"/>
  <c r="G96" i="4"/>
  <c r="L96" i="4" s="1"/>
  <c r="I96" i="4"/>
  <c r="M96" i="4" s="1"/>
  <c r="K96" i="4"/>
  <c r="N96" i="4" s="1"/>
  <c r="B97" i="3"/>
  <c r="B99" i="2"/>
  <c r="I97" i="2"/>
  <c r="L98" i="2"/>
  <c r="O94" i="3" l="1"/>
  <c r="H95" i="4" s="1"/>
  <c r="U94" i="3"/>
  <c r="J95" i="4" s="1"/>
  <c r="I94" i="3"/>
  <c r="F95" i="4" s="1"/>
  <c r="N99" i="2"/>
  <c r="H98" i="2"/>
  <c r="K101" i="2"/>
  <c r="C97" i="4"/>
  <c r="AB96" i="3"/>
  <c r="E97" i="4" s="1"/>
  <c r="I98" i="2"/>
  <c r="L99" i="2"/>
  <c r="D96" i="4"/>
  <c r="AA96" i="3"/>
  <c r="M99" i="2"/>
  <c r="J98" i="2"/>
  <c r="G98" i="2" s="1"/>
  <c r="T97" i="3" s="1"/>
  <c r="D96" i="3"/>
  <c r="F95" i="3"/>
  <c r="B98" i="3"/>
  <c r="B100" i="2"/>
  <c r="A98" i="4"/>
  <c r="P97" i="3"/>
  <c r="E97" i="3"/>
  <c r="G97" i="3"/>
  <c r="S97" i="3"/>
  <c r="Y97" i="3" s="1"/>
  <c r="Z97" i="3" s="1"/>
  <c r="J97" i="3"/>
  <c r="V97" i="3"/>
  <c r="M97" i="3"/>
  <c r="C97" i="3"/>
  <c r="D99" i="2"/>
  <c r="T98" i="2"/>
  <c r="F98" i="2"/>
  <c r="N97" i="3" s="1"/>
  <c r="E98" i="2"/>
  <c r="H97" i="3" s="1"/>
  <c r="C99" i="2"/>
  <c r="G97" i="4"/>
  <c r="L97" i="4" s="1"/>
  <c r="I97" i="4"/>
  <c r="M97" i="4" s="1"/>
  <c r="K97" i="4"/>
  <c r="N97" i="4" s="1"/>
  <c r="D100" i="2" l="1"/>
  <c r="T99" i="2"/>
  <c r="G98" i="4"/>
  <c r="L98" i="4" s="1"/>
  <c r="I98" i="4"/>
  <c r="M98" i="4" s="1"/>
  <c r="K98" i="4"/>
  <c r="N98" i="4" s="1"/>
  <c r="B99" i="3"/>
  <c r="B101" i="2"/>
  <c r="A99" i="4"/>
  <c r="M98" i="3"/>
  <c r="C98" i="3"/>
  <c r="P98" i="3"/>
  <c r="E98" i="3"/>
  <c r="G98" i="3"/>
  <c r="S98" i="3"/>
  <c r="Y98" i="3" s="1"/>
  <c r="Z98" i="3" s="1"/>
  <c r="J98" i="3"/>
  <c r="V98" i="3"/>
  <c r="K102" i="2"/>
  <c r="C98" i="4"/>
  <c r="AB97" i="3"/>
  <c r="E98" i="4" s="1"/>
  <c r="I95" i="3"/>
  <c r="F96" i="4" s="1"/>
  <c r="U95" i="3"/>
  <c r="J96" i="4" s="1"/>
  <c r="O95" i="3"/>
  <c r="H96" i="4" s="1"/>
  <c r="L100" i="2"/>
  <c r="I99" i="2"/>
  <c r="F99" i="2" s="1"/>
  <c r="N98" i="3" s="1"/>
  <c r="D97" i="3"/>
  <c r="F96" i="3"/>
  <c r="N100" i="2"/>
  <c r="H99" i="2"/>
  <c r="E99" i="2" s="1"/>
  <c r="H98" i="3" s="1"/>
  <c r="M100" i="2"/>
  <c r="J99" i="2"/>
  <c r="G99" i="2" s="1"/>
  <c r="T98" i="3" s="1"/>
  <c r="C100" i="2"/>
  <c r="D97" i="4"/>
  <c r="AA97" i="3"/>
  <c r="K103" i="2" l="1"/>
  <c r="G99" i="4"/>
  <c r="L99" i="4" s="1"/>
  <c r="I99" i="4"/>
  <c r="M99" i="4" s="1"/>
  <c r="K99" i="4"/>
  <c r="N99" i="4" s="1"/>
  <c r="N101" i="2"/>
  <c r="H100" i="2"/>
  <c r="B100" i="3"/>
  <c r="B102" i="2"/>
  <c r="I96" i="3"/>
  <c r="F97" i="4" s="1"/>
  <c r="U96" i="3"/>
  <c r="J97" i="4" s="1"/>
  <c r="O96" i="3"/>
  <c r="H97" i="4" s="1"/>
  <c r="A100" i="4"/>
  <c r="J99" i="3"/>
  <c r="V99" i="3"/>
  <c r="M99" i="3"/>
  <c r="G99" i="3"/>
  <c r="S99" i="3"/>
  <c r="Y99" i="3" s="1"/>
  <c r="Z99" i="3" s="1"/>
  <c r="E99" i="3"/>
  <c r="H99" i="3"/>
  <c r="P99" i="3"/>
  <c r="C99" i="3"/>
  <c r="D98" i="4"/>
  <c r="AA98" i="3"/>
  <c r="I100" i="2"/>
  <c r="L101" i="2"/>
  <c r="F100" i="2"/>
  <c r="N99" i="3" s="1"/>
  <c r="C101" i="2"/>
  <c r="E100" i="2"/>
  <c r="F97" i="3"/>
  <c r="D98" i="3"/>
  <c r="D101" i="2"/>
  <c r="T100" i="2"/>
  <c r="G100" i="2"/>
  <c r="T99" i="3" s="1"/>
  <c r="J100" i="2"/>
  <c r="M101" i="2"/>
  <c r="C99" i="4"/>
  <c r="AB98" i="3"/>
  <c r="E99" i="4" s="1"/>
  <c r="F98" i="3" l="1"/>
  <c r="D99" i="3"/>
  <c r="B101" i="3"/>
  <c r="B103" i="2"/>
  <c r="O97" i="3"/>
  <c r="H98" i="4" s="1"/>
  <c r="I97" i="3"/>
  <c r="F98" i="4" s="1"/>
  <c r="U97" i="3"/>
  <c r="J98" i="4" s="1"/>
  <c r="A101" i="4"/>
  <c r="G100" i="3"/>
  <c r="S100" i="3"/>
  <c r="Y100" i="3" s="1"/>
  <c r="Z100" i="3" s="1"/>
  <c r="J100" i="3"/>
  <c r="V100" i="3"/>
  <c r="P100" i="3"/>
  <c r="C100" i="3"/>
  <c r="E100" i="3"/>
  <c r="M100" i="3"/>
  <c r="N100" i="3"/>
  <c r="C102" i="2"/>
  <c r="F101" i="2"/>
  <c r="N102" i="2"/>
  <c r="H101" i="2"/>
  <c r="E101" i="2" s="1"/>
  <c r="H100" i="3" s="1"/>
  <c r="L102" i="2"/>
  <c r="I101" i="2"/>
  <c r="C100" i="4"/>
  <c r="AB99" i="3"/>
  <c r="E100" i="4" s="1"/>
  <c r="J101" i="2"/>
  <c r="G101" i="2" s="1"/>
  <c r="T100" i="3" s="1"/>
  <c r="M102" i="2"/>
  <c r="D99" i="4"/>
  <c r="AA99" i="3"/>
  <c r="G100" i="4"/>
  <c r="L100" i="4" s="1"/>
  <c r="I100" i="4"/>
  <c r="M100" i="4" s="1"/>
  <c r="K100" i="4"/>
  <c r="N100" i="4" s="1"/>
  <c r="T101" i="2"/>
  <c r="D102" i="2"/>
  <c r="K104" i="2"/>
  <c r="D100" i="4" l="1"/>
  <c r="AA100" i="3"/>
  <c r="G101" i="4"/>
  <c r="L101" i="4" s="1"/>
  <c r="K101" i="4"/>
  <c r="N101" i="4" s="1"/>
  <c r="I101" i="4"/>
  <c r="M101" i="4" s="1"/>
  <c r="C103" i="2"/>
  <c r="E102" i="2"/>
  <c r="F102" i="2"/>
  <c r="K105" i="2"/>
  <c r="J102" i="2"/>
  <c r="M103" i="2"/>
  <c r="C101" i="4"/>
  <c r="AB100" i="3"/>
  <c r="E101" i="4" s="1"/>
  <c r="T102" i="2"/>
  <c r="D103" i="2"/>
  <c r="G102" i="2"/>
  <c r="B102" i="3"/>
  <c r="B104" i="2"/>
  <c r="A102" i="4"/>
  <c r="P101" i="3"/>
  <c r="E101" i="3"/>
  <c r="G101" i="3"/>
  <c r="M101" i="3"/>
  <c r="C101" i="3"/>
  <c r="V101" i="3"/>
  <c r="H101" i="3"/>
  <c r="J101" i="3"/>
  <c r="T101" i="3"/>
  <c r="N101" i="3"/>
  <c r="S101" i="3"/>
  <c r="Y101" i="3" s="1"/>
  <c r="Z101" i="3" s="1"/>
  <c r="D100" i="3"/>
  <c r="F99" i="3"/>
  <c r="N103" i="2"/>
  <c r="H102" i="2"/>
  <c r="I102" i="2"/>
  <c r="L103" i="2"/>
  <c r="O98" i="3"/>
  <c r="H99" i="4" s="1"/>
  <c r="I98" i="3"/>
  <c r="F99" i="4" s="1"/>
  <c r="U98" i="3"/>
  <c r="J99" i="4" s="1"/>
  <c r="I99" i="3" l="1"/>
  <c r="F100" i="4" s="1"/>
  <c r="U99" i="3"/>
  <c r="J100" i="4" s="1"/>
  <c r="O99" i="3"/>
  <c r="H100" i="4" s="1"/>
  <c r="G102" i="4"/>
  <c r="L102" i="4" s="1"/>
  <c r="K102" i="4"/>
  <c r="N102" i="4" s="1"/>
  <c r="I102" i="4"/>
  <c r="M102" i="4" s="1"/>
  <c r="B103" i="3"/>
  <c r="B105" i="2"/>
  <c r="C104" i="2"/>
  <c r="D101" i="3"/>
  <c r="F100" i="3"/>
  <c r="A103" i="4"/>
  <c r="M102" i="3"/>
  <c r="C102" i="3"/>
  <c r="J102" i="3"/>
  <c r="V102" i="3"/>
  <c r="P102" i="3"/>
  <c r="E102" i="3"/>
  <c r="G102" i="3"/>
  <c r="S102" i="3"/>
  <c r="Y102" i="3" s="1"/>
  <c r="Z102" i="3" s="1"/>
  <c r="T103" i="2"/>
  <c r="G103" i="2"/>
  <c r="T102" i="3" s="1"/>
  <c r="D104" i="2"/>
  <c r="L104" i="2"/>
  <c r="I103" i="2"/>
  <c r="F103" i="2" s="1"/>
  <c r="N102" i="3" s="1"/>
  <c r="C102" i="4"/>
  <c r="AB101" i="3"/>
  <c r="E102" i="4" s="1"/>
  <c r="J103" i="2"/>
  <c r="M104" i="2"/>
  <c r="D101" i="4"/>
  <c r="AA101" i="3"/>
  <c r="N104" i="2"/>
  <c r="H103" i="2"/>
  <c r="E103" i="2" s="1"/>
  <c r="H102" i="3" s="1"/>
  <c r="K106" i="2"/>
  <c r="D102" i="4" l="1"/>
  <c r="AA102" i="3"/>
  <c r="A104" i="4"/>
  <c r="J103" i="3"/>
  <c r="V103" i="3"/>
  <c r="G103" i="3"/>
  <c r="S103" i="3"/>
  <c r="Y103" i="3" s="1"/>
  <c r="Z103" i="3" s="1"/>
  <c r="P103" i="3"/>
  <c r="C103" i="3"/>
  <c r="E103" i="3"/>
  <c r="M103" i="3"/>
  <c r="I104" i="2"/>
  <c r="L105" i="2"/>
  <c r="K107" i="2"/>
  <c r="D105" i="2"/>
  <c r="T104" i="2"/>
  <c r="B104" i="3"/>
  <c r="B106" i="2"/>
  <c r="C103" i="4"/>
  <c r="AB102" i="3"/>
  <c r="E103" i="4" s="1"/>
  <c r="I103" i="4"/>
  <c r="M103" i="4" s="1"/>
  <c r="K103" i="4"/>
  <c r="N103" i="4" s="1"/>
  <c r="G103" i="4"/>
  <c r="L103" i="4" s="1"/>
  <c r="N105" i="2"/>
  <c r="H104" i="2"/>
  <c r="I100" i="3"/>
  <c r="F101" i="4" s="1"/>
  <c r="U100" i="3"/>
  <c r="J101" i="4" s="1"/>
  <c r="O100" i="3"/>
  <c r="H101" i="4" s="1"/>
  <c r="F101" i="3"/>
  <c r="D102" i="3"/>
  <c r="M105" i="2"/>
  <c r="J104" i="2"/>
  <c r="G104" i="2" s="1"/>
  <c r="T103" i="3" s="1"/>
  <c r="C105" i="2"/>
  <c r="E104" i="2"/>
  <c r="H103" i="3" s="1"/>
  <c r="F104" i="2"/>
  <c r="N103" i="3" s="1"/>
  <c r="A105" i="4" l="1"/>
  <c r="G104" i="3"/>
  <c r="S104" i="3"/>
  <c r="Y104" i="3" s="1"/>
  <c r="Z104" i="3" s="1"/>
  <c r="C104" i="3"/>
  <c r="E104" i="3"/>
  <c r="V104" i="3"/>
  <c r="J104" i="3"/>
  <c r="P104" i="3"/>
  <c r="M104" i="3"/>
  <c r="C106" i="2"/>
  <c r="K108" i="2"/>
  <c r="L106" i="2"/>
  <c r="I105" i="2"/>
  <c r="F105" i="2" s="1"/>
  <c r="N104" i="3" s="1"/>
  <c r="N106" i="2"/>
  <c r="H105" i="2"/>
  <c r="E105" i="2" s="1"/>
  <c r="H104" i="3" s="1"/>
  <c r="J105" i="2"/>
  <c r="G105" i="2" s="1"/>
  <c r="T104" i="3" s="1"/>
  <c r="M106" i="2"/>
  <c r="K104" i="4"/>
  <c r="N104" i="4" s="1"/>
  <c r="I104" i="4"/>
  <c r="M104" i="4" s="1"/>
  <c r="G104" i="4"/>
  <c r="L104" i="4" s="1"/>
  <c r="D106" i="2"/>
  <c r="T105" i="2"/>
  <c r="D103" i="3"/>
  <c r="F102" i="3"/>
  <c r="C104" i="4"/>
  <c r="AB103" i="3"/>
  <c r="E104" i="4" s="1"/>
  <c r="D103" i="4"/>
  <c r="AA103" i="3"/>
  <c r="B105" i="3"/>
  <c r="B107" i="2"/>
  <c r="O101" i="3"/>
  <c r="H102" i="4" s="1"/>
  <c r="U101" i="3"/>
  <c r="J102" i="4" s="1"/>
  <c r="I101" i="3"/>
  <c r="F102" i="4" s="1"/>
  <c r="C105" i="4" l="1"/>
  <c r="AB104" i="3"/>
  <c r="E105" i="4" s="1"/>
  <c r="O102" i="3"/>
  <c r="H103" i="4" s="1"/>
  <c r="I102" i="3"/>
  <c r="F103" i="4" s="1"/>
  <c r="U102" i="3"/>
  <c r="J103" i="4" s="1"/>
  <c r="M107" i="2"/>
  <c r="J106" i="2"/>
  <c r="G106" i="2" s="1"/>
  <c r="T105" i="3" s="1"/>
  <c r="D104" i="3"/>
  <c r="F103" i="3"/>
  <c r="N107" i="2"/>
  <c r="H106" i="2"/>
  <c r="E106" i="2" s="1"/>
  <c r="H105" i="3" s="1"/>
  <c r="T106" i="2"/>
  <c r="D107" i="2"/>
  <c r="L107" i="2"/>
  <c r="I106" i="2"/>
  <c r="B106" i="3"/>
  <c r="B108" i="2"/>
  <c r="K109" i="2"/>
  <c r="F106" i="2"/>
  <c r="N105" i="3" s="1"/>
  <c r="C107" i="2"/>
  <c r="D104" i="4"/>
  <c r="AA104" i="3"/>
  <c r="A106" i="4"/>
  <c r="P105" i="3"/>
  <c r="G105" i="3"/>
  <c r="V105" i="3"/>
  <c r="J105" i="3"/>
  <c r="M105" i="3"/>
  <c r="E105" i="3"/>
  <c r="C105" i="3"/>
  <c r="S105" i="3"/>
  <c r="Y105" i="3" s="1"/>
  <c r="Z105" i="3" s="1"/>
  <c r="K105" i="4"/>
  <c r="N105" i="4" s="1"/>
  <c r="G105" i="4"/>
  <c r="L105" i="4" s="1"/>
  <c r="I105" i="4"/>
  <c r="M105" i="4" s="1"/>
  <c r="C108" i="2" l="1"/>
  <c r="N108" i="2"/>
  <c r="H107" i="2"/>
  <c r="E107" i="2" s="1"/>
  <c r="H106" i="3" s="1"/>
  <c r="K110" i="2"/>
  <c r="B107" i="3"/>
  <c r="B109" i="2"/>
  <c r="M108" i="2"/>
  <c r="J107" i="2"/>
  <c r="G107" i="2" s="1"/>
  <c r="T106" i="3" s="1"/>
  <c r="O103" i="3"/>
  <c r="H104" i="4" s="1"/>
  <c r="U103" i="3"/>
  <c r="J104" i="4" s="1"/>
  <c r="I103" i="3"/>
  <c r="F104" i="4" s="1"/>
  <c r="A107" i="4"/>
  <c r="M106" i="3"/>
  <c r="C106" i="3"/>
  <c r="V106" i="3"/>
  <c r="J106" i="3"/>
  <c r="P106" i="3"/>
  <c r="E106" i="3"/>
  <c r="S106" i="3"/>
  <c r="Y106" i="3" s="1"/>
  <c r="Z106" i="3" s="1"/>
  <c r="G106" i="3"/>
  <c r="L108" i="2"/>
  <c r="I107" i="2"/>
  <c r="F107" i="2" s="1"/>
  <c r="N106" i="3" s="1"/>
  <c r="C106" i="4"/>
  <c r="AB105" i="3"/>
  <c r="E106" i="4" s="1"/>
  <c r="I106" i="4"/>
  <c r="M106" i="4" s="1"/>
  <c r="K106" i="4"/>
  <c r="N106" i="4" s="1"/>
  <c r="G106" i="4"/>
  <c r="L106" i="4" s="1"/>
  <c r="D108" i="2"/>
  <c r="T107" i="2"/>
  <c r="D105" i="3"/>
  <c r="F104" i="3"/>
  <c r="D105" i="4"/>
  <c r="AA105" i="3"/>
  <c r="J108" i="2" l="1"/>
  <c r="M109" i="2"/>
  <c r="B108" i="3"/>
  <c r="B110" i="2"/>
  <c r="A108" i="4"/>
  <c r="J107" i="3"/>
  <c r="V107" i="3"/>
  <c r="M107" i="3"/>
  <c r="P107" i="3"/>
  <c r="C107" i="3"/>
  <c r="S107" i="3"/>
  <c r="Y107" i="3" s="1"/>
  <c r="Z107" i="3" s="1"/>
  <c r="E107" i="3"/>
  <c r="G107" i="3"/>
  <c r="K111" i="2"/>
  <c r="I104" i="3"/>
  <c r="F105" i="4" s="1"/>
  <c r="U104" i="3"/>
  <c r="J105" i="4" s="1"/>
  <c r="O104" i="3"/>
  <c r="H105" i="4" s="1"/>
  <c r="F105" i="3"/>
  <c r="D106" i="3"/>
  <c r="C107" i="4"/>
  <c r="AB106" i="3"/>
  <c r="E107" i="4" s="1"/>
  <c r="N109" i="2"/>
  <c r="H108" i="2"/>
  <c r="D106" i="4"/>
  <c r="AA106" i="3"/>
  <c r="I108" i="2"/>
  <c r="F108" i="2" s="1"/>
  <c r="N107" i="3" s="1"/>
  <c r="L109" i="2"/>
  <c r="I107" i="4"/>
  <c r="M107" i="4" s="1"/>
  <c r="K107" i="4"/>
  <c r="N107" i="4" s="1"/>
  <c r="G107" i="4"/>
  <c r="L107" i="4" s="1"/>
  <c r="C109" i="2"/>
  <c r="E108" i="2"/>
  <c r="H107" i="3" s="1"/>
  <c r="T108" i="2"/>
  <c r="D109" i="2"/>
  <c r="G108" i="2"/>
  <c r="T107" i="3" s="1"/>
  <c r="F106" i="3" l="1"/>
  <c r="D107" i="3"/>
  <c r="U105" i="3"/>
  <c r="J106" i="4" s="1"/>
  <c r="I105" i="3"/>
  <c r="F106" i="4" s="1"/>
  <c r="O105" i="3"/>
  <c r="H106" i="4" s="1"/>
  <c r="C108" i="4"/>
  <c r="AB107" i="3"/>
  <c r="E108" i="4" s="1"/>
  <c r="I109" i="2"/>
  <c r="F109" i="2" s="1"/>
  <c r="N108" i="3" s="1"/>
  <c r="L110" i="2"/>
  <c r="D110" i="2"/>
  <c r="T109" i="2"/>
  <c r="K112" i="2"/>
  <c r="D107" i="4"/>
  <c r="AA107" i="3"/>
  <c r="G108" i="4"/>
  <c r="L108" i="4" s="1"/>
  <c r="I108" i="4"/>
  <c r="M108" i="4" s="1"/>
  <c r="K108" i="4"/>
  <c r="N108" i="4" s="1"/>
  <c r="B109" i="3"/>
  <c r="B111" i="2"/>
  <c r="C110" i="2"/>
  <c r="A109" i="4"/>
  <c r="G108" i="3"/>
  <c r="S108" i="3"/>
  <c r="Y108" i="3" s="1"/>
  <c r="Z108" i="3" s="1"/>
  <c r="M108" i="3"/>
  <c r="P108" i="3"/>
  <c r="C108" i="3"/>
  <c r="E108" i="3"/>
  <c r="J108" i="3"/>
  <c r="V108" i="3"/>
  <c r="N110" i="2"/>
  <c r="H109" i="2"/>
  <c r="E109" i="2" s="1"/>
  <c r="H108" i="3" s="1"/>
  <c r="J109" i="2"/>
  <c r="G109" i="2" s="1"/>
  <c r="T108" i="3" s="1"/>
  <c r="M110" i="2"/>
  <c r="A110" i="4" l="1"/>
  <c r="P109" i="3"/>
  <c r="M109" i="3"/>
  <c r="C109" i="3"/>
  <c r="S109" i="3"/>
  <c r="Y109" i="3" s="1"/>
  <c r="Z109" i="3" s="1"/>
  <c r="E109" i="3"/>
  <c r="G109" i="3"/>
  <c r="J109" i="3"/>
  <c r="H109" i="3"/>
  <c r="V109" i="3"/>
  <c r="T110" i="2"/>
  <c r="D111" i="2"/>
  <c r="B110" i="3"/>
  <c r="B112" i="2"/>
  <c r="L111" i="2"/>
  <c r="I110" i="2"/>
  <c r="M111" i="2"/>
  <c r="J110" i="2"/>
  <c r="G110" i="2" s="1"/>
  <c r="T109" i="3" s="1"/>
  <c r="C109" i="4"/>
  <c r="AB108" i="3"/>
  <c r="E109" i="4" s="1"/>
  <c r="N111" i="2"/>
  <c r="H110" i="2"/>
  <c r="G109" i="4"/>
  <c r="L109" i="4" s="1"/>
  <c r="I109" i="4"/>
  <c r="M109" i="4" s="1"/>
  <c r="K109" i="4"/>
  <c r="N109" i="4" s="1"/>
  <c r="D108" i="4"/>
  <c r="AA108" i="3"/>
  <c r="E110" i="2"/>
  <c r="F110" i="2"/>
  <c r="N109" i="3" s="1"/>
  <c r="C111" i="2"/>
  <c r="D108" i="3"/>
  <c r="F107" i="3"/>
  <c r="K113" i="2"/>
  <c r="O106" i="3"/>
  <c r="H107" i="4" s="1"/>
  <c r="I106" i="3"/>
  <c r="F107" i="4" s="1"/>
  <c r="U106" i="3"/>
  <c r="J107" i="4" s="1"/>
  <c r="C112" i="2" l="1"/>
  <c r="N112" i="2"/>
  <c r="H111" i="2"/>
  <c r="E111" i="2" s="1"/>
  <c r="H110" i="3" s="1"/>
  <c r="L112" i="2"/>
  <c r="I111" i="2"/>
  <c r="F111" i="2" s="1"/>
  <c r="N110" i="3" s="1"/>
  <c r="B111" i="3"/>
  <c r="B113" i="2"/>
  <c r="A111" i="4"/>
  <c r="C110" i="3"/>
  <c r="M110" i="3"/>
  <c r="P110" i="3"/>
  <c r="E110" i="3"/>
  <c r="S110" i="3"/>
  <c r="Y110" i="3" s="1"/>
  <c r="Z110" i="3" s="1"/>
  <c r="G110" i="3"/>
  <c r="J110" i="3"/>
  <c r="V110" i="3"/>
  <c r="D109" i="4"/>
  <c r="AA109" i="3"/>
  <c r="J111" i="2"/>
  <c r="G111" i="2" s="1"/>
  <c r="T110" i="3" s="1"/>
  <c r="M112" i="2"/>
  <c r="K114" i="2"/>
  <c r="T111" i="2"/>
  <c r="D112" i="2"/>
  <c r="C110" i="4"/>
  <c r="AB109" i="3"/>
  <c r="E110" i="4" s="1"/>
  <c r="I107" i="3"/>
  <c r="F108" i="4" s="1"/>
  <c r="O107" i="3"/>
  <c r="H108" i="4" s="1"/>
  <c r="U107" i="3"/>
  <c r="J108" i="4" s="1"/>
  <c r="D109" i="3"/>
  <c r="F108" i="3"/>
  <c r="G110" i="4"/>
  <c r="L110" i="4" s="1"/>
  <c r="K110" i="4"/>
  <c r="N110" i="4" s="1"/>
  <c r="I110" i="4"/>
  <c r="M110" i="4" s="1"/>
  <c r="D110" i="4" l="1"/>
  <c r="AA110" i="3"/>
  <c r="G111" i="4"/>
  <c r="L111" i="4" s="1"/>
  <c r="I111" i="4"/>
  <c r="M111" i="4" s="1"/>
  <c r="K111" i="4"/>
  <c r="N111" i="4" s="1"/>
  <c r="A112" i="4"/>
  <c r="M111" i="3"/>
  <c r="C111" i="3"/>
  <c r="P111" i="3"/>
  <c r="E111" i="3"/>
  <c r="S111" i="3"/>
  <c r="Y111" i="3" s="1"/>
  <c r="Z111" i="3" s="1"/>
  <c r="V111" i="3"/>
  <c r="G111" i="3"/>
  <c r="J111" i="3"/>
  <c r="B112" i="3"/>
  <c r="B114" i="2"/>
  <c r="F109" i="3"/>
  <c r="D110" i="3"/>
  <c r="D113" i="2"/>
  <c r="T112" i="2"/>
  <c r="I112" i="2"/>
  <c r="L113" i="2"/>
  <c r="C111" i="4"/>
  <c r="AB110" i="3"/>
  <c r="E111" i="4" s="1"/>
  <c r="N113" i="2"/>
  <c r="H112" i="2"/>
  <c r="E112" i="2" s="1"/>
  <c r="H111" i="3" s="1"/>
  <c r="F112" i="2"/>
  <c r="N111" i="3" s="1"/>
  <c r="C113" i="2"/>
  <c r="K115" i="2"/>
  <c r="I108" i="3"/>
  <c r="F109" i="4" s="1"/>
  <c r="U108" i="3"/>
  <c r="J109" i="4" s="1"/>
  <c r="O108" i="3"/>
  <c r="H109" i="4" s="1"/>
  <c r="J112" i="2"/>
  <c r="G112" i="2" s="1"/>
  <c r="T111" i="3" s="1"/>
  <c r="M113" i="2"/>
  <c r="C114" i="2" l="1"/>
  <c r="D111" i="3"/>
  <c r="F110" i="3"/>
  <c r="O109" i="3"/>
  <c r="H110" i="4" s="1"/>
  <c r="U109" i="3"/>
  <c r="J110" i="4" s="1"/>
  <c r="I109" i="3"/>
  <c r="F110" i="4" s="1"/>
  <c r="B113" i="3"/>
  <c r="B115" i="2"/>
  <c r="C112" i="4"/>
  <c r="AB111" i="3"/>
  <c r="E112" i="4" s="1"/>
  <c r="A113" i="4"/>
  <c r="M112" i="3"/>
  <c r="C112" i="3"/>
  <c r="P112" i="3"/>
  <c r="E112" i="3"/>
  <c r="V112" i="3"/>
  <c r="G112" i="3"/>
  <c r="J112" i="3"/>
  <c r="S112" i="3"/>
  <c r="Y112" i="3" s="1"/>
  <c r="Z112" i="3" s="1"/>
  <c r="T112" i="3"/>
  <c r="I112" i="4"/>
  <c r="M112" i="4" s="1"/>
  <c r="G112" i="4"/>
  <c r="L112" i="4" s="1"/>
  <c r="K112" i="4"/>
  <c r="N112" i="4" s="1"/>
  <c r="N114" i="2"/>
  <c r="H113" i="2"/>
  <c r="E113" i="2" s="1"/>
  <c r="H112" i="3" s="1"/>
  <c r="M114" i="2"/>
  <c r="J113" i="2"/>
  <c r="L114" i="2"/>
  <c r="I113" i="2"/>
  <c r="F113" i="2" s="1"/>
  <c r="N112" i="3" s="1"/>
  <c r="T113" i="2"/>
  <c r="D114" i="2"/>
  <c r="G113" i="2"/>
  <c r="D111" i="4"/>
  <c r="AA111" i="3"/>
  <c r="K116" i="2"/>
  <c r="L115" i="2" l="1"/>
  <c r="I114" i="2"/>
  <c r="B114" i="3"/>
  <c r="B116" i="2"/>
  <c r="J114" i="2"/>
  <c r="M115" i="2"/>
  <c r="A114" i="4"/>
  <c r="M113" i="3"/>
  <c r="N113" i="3"/>
  <c r="C113" i="3"/>
  <c r="P113" i="3"/>
  <c r="H113" i="3"/>
  <c r="J113" i="3"/>
  <c r="S113" i="3"/>
  <c r="Y113" i="3" s="1"/>
  <c r="Z113" i="3" s="1"/>
  <c r="V113" i="3"/>
  <c r="E113" i="3"/>
  <c r="G113" i="3"/>
  <c r="K117" i="2"/>
  <c r="N115" i="2"/>
  <c r="H114" i="2"/>
  <c r="D112" i="4"/>
  <c r="AA112" i="3"/>
  <c r="O110" i="3"/>
  <c r="H111" i="4" s="1"/>
  <c r="U110" i="3"/>
  <c r="J111" i="4" s="1"/>
  <c r="I110" i="3"/>
  <c r="F111" i="4" s="1"/>
  <c r="D112" i="3"/>
  <c r="F111" i="3"/>
  <c r="C115" i="2"/>
  <c r="E114" i="2"/>
  <c r="F114" i="2"/>
  <c r="T114" i="2"/>
  <c r="G114" i="2"/>
  <c r="T113" i="3" s="1"/>
  <c r="D115" i="2"/>
  <c r="C113" i="4"/>
  <c r="AB112" i="3"/>
  <c r="E113" i="4" s="1"/>
  <c r="G113" i="4"/>
  <c r="L113" i="4" s="1"/>
  <c r="K113" i="4"/>
  <c r="N113" i="4" s="1"/>
  <c r="I113" i="4"/>
  <c r="M113" i="4" s="1"/>
  <c r="D113" i="4" l="1"/>
  <c r="AA113" i="3"/>
  <c r="D116" i="2"/>
  <c r="T115" i="2"/>
  <c r="K118" i="2"/>
  <c r="C114" i="4"/>
  <c r="AB113" i="3"/>
  <c r="E114" i="4" s="1"/>
  <c r="G114" i="4"/>
  <c r="L114" i="4" s="1"/>
  <c r="K114" i="4"/>
  <c r="N114" i="4" s="1"/>
  <c r="I114" i="4"/>
  <c r="M114" i="4" s="1"/>
  <c r="C116" i="2"/>
  <c r="J115" i="2"/>
  <c r="G115" i="2" s="1"/>
  <c r="T114" i="3" s="1"/>
  <c r="M116" i="2"/>
  <c r="N116" i="2"/>
  <c r="H115" i="2"/>
  <c r="E115" i="2" s="1"/>
  <c r="H114" i="3" s="1"/>
  <c r="O111" i="3"/>
  <c r="H112" i="4" s="1"/>
  <c r="I111" i="3"/>
  <c r="F112" i="4" s="1"/>
  <c r="U111" i="3"/>
  <c r="J112" i="4" s="1"/>
  <c r="D113" i="3"/>
  <c r="F112" i="3"/>
  <c r="B115" i="3"/>
  <c r="B117" i="2"/>
  <c r="A115" i="4"/>
  <c r="C114" i="3"/>
  <c r="J114" i="3"/>
  <c r="M114" i="3"/>
  <c r="P114" i="3"/>
  <c r="G114" i="3"/>
  <c r="V114" i="3"/>
  <c r="S114" i="3"/>
  <c r="Y114" i="3" s="1"/>
  <c r="Z114" i="3" s="1"/>
  <c r="E114" i="3"/>
  <c r="I115" i="2"/>
  <c r="F115" i="2" s="1"/>
  <c r="N114" i="3" s="1"/>
  <c r="L116" i="2"/>
  <c r="C115" i="4" l="1"/>
  <c r="AB114" i="3"/>
  <c r="E115" i="4" s="1"/>
  <c r="N117" i="2"/>
  <c r="H116" i="2"/>
  <c r="M117" i="2"/>
  <c r="J116" i="2"/>
  <c r="L117" i="2"/>
  <c r="I116" i="2"/>
  <c r="I115" i="4"/>
  <c r="M115" i="4" s="1"/>
  <c r="G115" i="4"/>
  <c r="L115" i="4" s="1"/>
  <c r="K115" i="4"/>
  <c r="N115" i="4" s="1"/>
  <c r="K119" i="2"/>
  <c r="B116" i="3"/>
  <c r="B118" i="2"/>
  <c r="E116" i="2"/>
  <c r="F116" i="2"/>
  <c r="C117" i="2"/>
  <c r="A116" i="4"/>
  <c r="V115" i="3"/>
  <c r="J115" i="3"/>
  <c r="M115" i="3"/>
  <c r="N115" i="3"/>
  <c r="C115" i="3"/>
  <c r="P115" i="3"/>
  <c r="S115" i="3"/>
  <c r="Y115" i="3" s="1"/>
  <c r="Z115" i="3" s="1"/>
  <c r="H115" i="3"/>
  <c r="E115" i="3"/>
  <c r="G115" i="3"/>
  <c r="T116" i="2"/>
  <c r="G116" i="2"/>
  <c r="T115" i="3" s="1"/>
  <c r="D117" i="2"/>
  <c r="I112" i="3"/>
  <c r="F113" i="4" s="1"/>
  <c r="U112" i="3"/>
  <c r="J113" i="4" s="1"/>
  <c r="O112" i="3"/>
  <c r="H113" i="4" s="1"/>
  <c r="F113" i="3"/>
  <c r="D114" i="3"/>
  <c r="D114" i="4"/>
  <c r="AA114" i="3"/>
  <c r="T117" i="2" l="1"/>
  <c r="D118" i="2"/>
  <c r="K116" i="4"/>
  <c r="N116" i="4" s="1"/>
  <c r="I116" i="4"/>
  <c r="M116" i="4" s="1"/>
  <c r="G116" i="4"/>
  <c r="L116" i="4" s="1"/>
  <c r="C118" i="2"/>
  <c r="D115" i="4"/>
  <c r="AA115" i="3"/>
  <c r="L118" i="2"/>
  <c r="I117" i="2"/>
  <c r="F117" i="2" s="1"/>
  <c r="N116" i="3" s="1"/>
  <c r="B117" i="3"/>
  <c r="B119" i="2"/>
  <c r="D115" i="3"/>
  <c r="F114" i="3"/>
  <c r="A117" i="4"/>
  <c r="J116" i="3"/>
  <c r="V116" i="3"/>
  <c r="M116" i="3"/>
  <c r="E116" i="3"/>
  <c r="G116" i="3"/>
  <c r="S116" i="3"/>
  <c r="Y116" i="3" s="1"/>
  <c r="Z116" i="3" s="1"/>
  <c r="P116" i="3"/>
  <c r="C116" i="3"/>
  <c r="M118" i="2"/>
  <c r="J117" i="2"/>
  <c r="G117" i="2" s="1"/>
  <c r="T116" i="3" s="1"/>
  <c r="O113" i="3"/>
  <c r="H114" i="4" s="1"/>
  <c r="U113" i="3"/>
  <c r="J114" i="4" s="1"/>
  <c r="I113" i="3"/>
  <c r="F114" i="4" s="1"/>
  <c r="K120" i="2"/>
  <c r="N118" i="2"/>
  <c r="H117" i="2"/>
  <c r="E117" i="2" s="1"/>
  <c r="H116" i="3" s="1"/>
  <c r="C116" i="4"/>
  <c r="AB115" i="3"/>
  <c r="E116" i="4" s="1"/>
  <c r="J118" i="2" l="1"/>
  <c r="M119" i="2"/>
  <c r="K117" i="4"/>
  <c r="N117" i="4" s="1"/>
  <c r="G117" i="4"/>
  <c r="L117" i="4" s="1"/>
  <c r="I117" i="4"/>
  <c r="M117" i="4" s="1"/>
  <c r="O114" i="3"/>
  <c r="H115" i="4" s="1"/>
  <c r="I114" i="3"/>
  <c r="F115" i="4" s="1"/>
  <c r="U114" i="3"/>
  <c r="J115" i="4" s="1"/>
  <c r="F115" i="3"/>
  <c r="D116" i="3"/>
  <c r="B118" i="3"/>
  <c r="B120" i="2"/>
  <c r="A118" i="4"/>
  <c r="E117" i="3"/>
  <c r="G117" i="3"/>
  <c r="S117" i="3"/>
  <c r="Y117" i="3" s="1"/>
  <c r="Z117" i="3" s="1"/>
  <c r="T117" i="3"/>
  <c r="J117" i="3"/>
  <c r="V117" i="3"/>
  <c r="P117" i="3"/>
  <c r="M117" i="3"/>
  <c r="C117" i="3"/>
  <c r="C119" i="2"/>
  <c r="N119" i="2"/>
  <c r="H118" i="2"/>
  <c r="E118" i="2" s="1"/>
  <c r="H117" i="3" s="1"/>
  <c r="G118" i="2"/>
  <c r="D119" i="2"/>
  <c r="T118" i="2"/>
  <c r="K121" i="2"/>
  <c r="C117" i="4"/>
  <c r="AB116" i="3"/>
  <c r="E117" i="4" s="1"/>
  <c r="D116" i="4"/>
  <c r="AA116" i="3"/>
  <c r="I118" i="2"/>
  <c r="F118" i="2" s="1"/>
  <c r="N117" i="3" s="1"/>
  <c r="L119" i="2"/>
  <c r="K122" i="2" l="1"/>
  <c r="I115" i="3"/>
  <c r="F116" i="4" s="1"/>
  <c r="O115" i="3"/>
  <c r="H116" i="4" s="1"/>
  <c r="U115" i="3"/>
  <c r="J116" i="4" s="1"/>
  <c r="D120" i="2"/>
  <c r="T119" i="2"/>
  <c r="N120" i="2"/>
  <c r="H119" i="2"/>
  <c r="E119" i="2" s="1"/>
  <c r="H118" i="3" s="1"/>
  <c r="D117" i="4"/>
  <c r="AA117" i="3"/>
  <c r="C120" i="2"/>
  <c r="I118" i="4"/>
  <c r="M118" i="4" s="1"/>
  <c r="K118" i="4"/>
  <c r="N118" i="4" s="1"/>
  <c r="G118" i="4"/>
  <c r="L118" i="4" s="1"/>
  <c r="B119" i="3"/>
  <c r="B121" i="2"/>
  <c r="C118" i="4"/>
  <c r="AB117" i="3"/>
  <c r="E118" i="4" s="1"/>
  <c r="A119" i="4"/>
  <c r="C118" i="3"/>
  <c r="P118" i="3"/>
  <c r="E118" i="3"/>
  <c r="G118" i="3"/>
  <c r="S118" i="3"/>
  <c r="Y118" i="3" s="1"/>
  <c r="Z118" i="3" s="1"/>
  <c r="M118" i="3"/>
  <c r="V118" i="3"/>
  <c r="J118" i="3"/>
  <c r="M120" i="2"/>
  <c r="J119" i="2"/>
  <c r="G119" i="2" s="1"/>
  <c r="T118" i="3" s="1"/>
  <c r="L120" i="2"/>
  <c r="I119" i="2"/>
  <c r="F119" i="2" s="1"/>
  <c r="N118" i="3" s="1"/>
  <c r="D117" i="3"/>
  <c r="F116" i="3"/>
  <c r="D118" i="4" l="1"/>
  <c r="AA118" i="3"/>
  <c r="C119" i="4"/>
  <c r="AB118" i="3"/>
  <c r="E119" i="4" s="1"/>
  <c r="B120" i="3"/>
  <c r="B122" i="2"/>
  <c r="A120" i="4"/>
  <c r="M119" i="3"/>
  <c r="C119" i="3"/>
  <c r="P119" i="3"/>
  <c r="E119" i="3"/>
  <c r="J119" i="3"/>
  <c r="V119" i="3"/>
  <c r="G119" i="3"/>
  <c r="S119" i="3"/>
  <c r="Y119" i="3" s="1"/>
  <c r="Z119" i="3" s="1"/>
  <c r="N121" i="2"/>
  <c r="H120" i="2"/>
  <c r="E120" i="2" s="1"/>
  <c r="H119" i="3" s="1"/>
  <c r="I116" i="3"/>
  <c r="F117" i="4" s="1"/>
  <c r="U116" i="3"/>
  <c r="J117" i="4" s="1"/>
  <c r="O116" i="3"/>
  <c r="H117" i="4" s="1"/>
  <c r="F117" i="3"/>
  <c r="D118" i="3"/>
  <c r="D121" i="2"/>
  <c r="T120" i="2"/>
  <c r="L121" i="2"/>
  <c r="I120" i="2"/>
  <c r="C121" i="2"/>
  <c r="F120" i="2"/>
  <c r="N119" i="3" s="1"/>
  <c r="J120" i="2"/>
  <c r="G120" i="2" s="1"/>
  <c r="T119" i="3" s="1"/>
  <c r="M121" i="2"/>
  <c r="I119" i="4"/>
  <c r="M119" i="4" s="1"/>
  <c r="K119" i="4"/>
  <c r="N119" i="4" s="1"/>
  <c r="G119" i="4"/>
  <c r="L119" i="4" s="1"/>
  <c r="K123" i="2"/>
  <c r="M122" i="2" l="1"/>
  <c r="J121" i="2"/>
  <c r="C122" i="2"/>
  <c r="C120" i="4"/>
  <c r="AB119" i="3"/>
  <c r="E120" i="4" s="1"/>
  <c r="N122" i="2"/>
  <c r="H121" i="2"/>
  <c r="E121" i="2" s="1"/>
  <c r="H120" i="3" s="1"/>
  <c r="G120" i="4"/>
  <c r="L120" i="4" s="1"/>
  <c r="I120" i="4"/>
  <c r="M120" i="4" s="1"/>
  <c r="K120" i="4"/>
  <c r="N120" i="4" s="1"/>
  <c r="K124" i="2"/>
  <c r="B121" i="3"/>
  <c r="B123" i="2"/>
  <c r="I121" i="2"/>
  <c r="F121" i="2" s="1"/>
  <c r="N120" i="3" s="1"/>
  <c r="L122" i="2"/>
  <c r="A121" i="4"/>
  <c r="T120" i="3"/>
  <c r="J120" i="3"/>
  <c r="V120" i="3"/>
  <c r="M120" i="3"/>
  <c r="E120" i="3"/>
  <c r="G120" i="3"/>
  <c r="S120" i="3"/>
  <c r="Y120" i="3" s="1"/>
  <c r="Z120" i="3" s="1"/>
  <c r="C120" i="3"/>
  <c r="P120" i="3"/>
  <c r="T121" i="2"/>
  <c r="G121" i="2"/>
  <c r="D122" i="2"/>
  <c r="D119" i="4"/>
  <c r="AA119" i="3"/>
  <c r="I117" i="3"/>
  <c r="F118" i="4" s="1"/>
  <c r="U117" i="3"/>
  <c r="J118" i="4" s="1"/>
  <c r="O117" i="3"/>
  <c r="H118" i="4" s="1"/>
  <c r="F118" i="3"/>
  <c r="D119" i="3"/>
  <c r="G121" i="4" l="1"/>
  <c r="L121" i="4" s="1"/>
  <c r="I121" i="4"/>
  <c r="M121" i="4" s="1"/>
  <c r="K121" i="4"/>
  <c r="N121" i="4" s="1"/>
  <c r="L123" i="2"/>
  <c r="I122" i="2"/>
  <c r="F122" i="2" s="1"/>
  <c r="N121" i="3" s="1"/>
  <c r="N123" i="2"/>
  <c r="H122" i="2"/>
  <c r="O118" i="3"/>
  <c r="H119" i="4" s="1"/>
  <c r="U118" i="3"/>
  <c r="J119" i="4" s="1"/>
  <c r="I118" i="3"/>
  <c r="F119" i="4" s="1"/>
  <c r="A122" i="4"/>
  <c r="E121" i="3"/>
  <c r="G121" i="3"/>
  <c r="S121" i="3"/>
  <c r="Y121" i="3" s="1"/>
  <c r="Z121" i="3" s="1"/>
  <c r="H121" i="3"/>
  <c r="J121" i="3"/>
  <c r="V121" i="3"/>
  <c r="P121" i="3"/>
  <c r="C121" i="3"/>
  <c r="M121" i="3"/>
  <c r="E122" i="2"/>
  <c r="C123" i="2"/>
  <c r="B122" i="3"/>
  <c r="B124" i="2"/>
  <c r="K125" i="2"/>
  <c r="C121" i="4"/>
  <c r="AB120" i="3"/>
  <c r="E121" i="4" s="1"/>
  <c r="T122" i="2"/>
  <c r="D123" i="2"/>
  <c r="G122" i="2"/>
  <c r="T121" i="3" s="1"/>
  <c r="D120" i="3"/>
  <c r="F119" i="3"/>
  <c r="D120" i="4"/>
  <c r="AA120" i="3"/>
  <c r="M123" i="2"/>
  <c r="J122" i="2"/>
  <c r="D124" i="2" l="1"/>
  <c r="T123" i="2"/>
  <c r="N124" i="2"/>
  <c r="H123" i="2"/>
  <c r="K126" i="2"/>
  <c r="L124" i="2"/>
  <c r="I123" i="2"/>
  <c r="F123" i="2" s="1"/>
  <c r="N122" i="3" s="1"/>
  <c r="M124" i="2"/>
  <c r="J123" i="2"/>
  <c r="G123" i="2" s="1"/>
  <c r="T122" i="3" s="1"/>
  <c r="B123" i="3"/>
  <c r="B125" i="2"/>
  <c r="D121" i="4"/>
  <c r="AA121" i="3"/>
  <c r="A123" i="4"/>
  <c r="C122" i="3"/>
  <c r="P122" i="3"/>
  <c r="E122" i="3"/>
  <c r="G122" i="3"/>
  <c r="S122" i="3"/>
  <c r="Y122" i="3" s="1"/>
  <c r="Z122" i="3" s="1"/>
  <c r="H122" i="3"/>
  <c r="M122" i="3"/>
  <c r="J122" i="3"/>
  <c r="V122" i="3"/>
  <c r="E123" i="2"/>
  <c r="C124" i="2"/>
  <c r="O119" i="3"/>
  <c r="H120" i="4" s="1"/>
  <c r="U119" i="3"/>
  <c r="J120" i="4" s="1"/>
  <c r="I119" i="3"/>
  <c r="F120" i="4" s="1"/>
  <c r="D121" i="3"/>
  <c r="F120" i="3"/>
  <c r="G122" i="4"/>
  <c r="L122" i="4" s="1"/>
  <c r="K122" i="4"/>
  <c r="N122" i="4" s="1"/>
  <c r="I122" i="4"/>
  <c r="M122" i="4" s="1"/>
  <c r="C122" i="4"/>
  <c r="AB121" i="3"/>
  <c r="E122" i="4" s="1"/>
  <c r="A124" i="4" l="1"/>
  <c r="M123" i="3"/>
  <c r="C123" i="3"/>
  <c r="P123" i="3"/>
  <c r="E123" i="3"/>
  <c r="T123" i="3"/>
  <c r="J123" i="3"/>
  <c r="V123" i="3"/>
  <c r="S123" i="3"/>
  <c r="Y123" i="3" s="1"/>
  <c r="Z123" i="3" s="1"/>
  <c r="G123" i="3"/>
  <c r="F121" i="3"/>
  <c r="D122" i="3"/>
  <c r="M125" i="2"/>
  <c r="J124" i="2"/>
  <c r="L125" i="2"/>
  <c r="I124" i="2"/>
  <c r="F124" i="2"/>
  <c r="N123" i="3" s="1"/>
  <c r="C125" i="2"/>
  <c r="K127" i="2"/>
  <c r="G123" i="4"/>
  <c r="L123" i="4" s="1"/>
  <c r="I123" i="4"/>
  <c r="M123" i="4" s="1"/>
  <c r="K123" i="4"/>
  <c r="N123" i="4" s="1"/>
  <c r="N125" i="2"/>
  <c r="H124" i="2"/>
  <c r="E124" i="2" s="1"/>
  <c r="H123" i="3" s="1"/>
  <c r="D122" i="4"/>
  <c r="AA122" i="3"/>
  <c r="I120" i="3"/>
  <c r="F121" i="4" s="1"/>
  <c r="U120" i="3"/>
  <c r="J121" i="4" s="1"/>
  <c r="O120" i="3"/>
  <c r="H121" i="4" s="1"/>
  <c r="D125" i="2"/>
  <c r="T124" i="2"/>
  <c r="G124" i="2"/>
  <c r="C123" i="4"/>
  <c r="AB122" i="3"/>
  <c r="E123" i="4" s="1"/>
  <c r="B124" i="3"/>
  <c r="B126" i="2"/>
  <c r="K128" i="2" l="1"/>
  <c r="B125" i="3"/>
  <c r="B127" i="2"/>
  <c r="A125" i="4"/>
  <c r="J124" i="3"/>
  <c r="V124" i="3"/>
  <c r="M124" i="3"/>
  <c r="E124" i="3"/>
  <c r="G124" i="3"/>
  <c r="S124" i="3"/>
  <c r="Y124" i="3" s="1"/>
  <c r="Z124" i="3" s="1"/>
  <c r="C124" i="3"/>
  <c r="P124" i="3"/>
  <c r="N126" i="2"/>
  <c r="H125" i="2"/>
  <c r="L126" i="2"/>
  <c r="I125" i="2"/>
  <c r="F125" i="2" s="1"/>
  <c r="N124" i="3" s="1"/>
  <c r="E125" i="2"/>
  <c r="H124" i="3" s="1"/>
  <c r="C126" i="2"/>
  <c r="M126" i="2"/>
  <c r="J125" i="2"/>
  <c r="D123" i="4"/>
  <c r="AA123" i="3"/>
  <c r="F122" i="3"/>
  <c r="D123" i="3"/>
  <c r="C124" i="4"/>
  <c r="AB123" i="3"/>
  <c r="E124" i="4" s="1"/>
  <c r="T125" i="2"/>
  <c r="G125" i="2"/>
  <c r="T124" i="3" s="1"/>
  <c r="D126" i="2"/>
  <c r="I121" i="3"/>
  <c r="F122" i="4" s="1"/>
  <c r="U121" i="3"/>
  <c r="J122" i="4" s="1"/>
  <c r="O121" i="3"/>
  <c r="H122" i="4" s="1"/>
  <c r="I124" i="4"/>
  <c r="M124" i="4" s="1"/>
  <c r="G124" i="4"/>
  <c r="L124" i="4" s="1"/>
  <c r="K124" i="4"/>
  <c r="N124" i="4" s="1"/>
  <c r="J126" i="2" l="1"/>
  <c r="M127" i="2"/>
  <c r="D127" i="2"/>
  <c r="G126" i="2"/>
  <c r="T126" i="2"/>
  <c r="C125" i="4"/>
  <c r="AB124" i="3"/>
  <c r="E125" i="4" s="1"/>
  <c r="I126" i="2"/>
  <c r="L127" i="2"/>
  <c r="D124" i="3"/>
  <c r="F123" i="3"/>
  <c r="N127" i="2"/>
  <c r="H126" i="2"/>
  <c r="G125" i="4"/>
  <c r="L125" i="4" s="1"/>
  <c r="K125" i="4"/>
  <c r="N125" i="4" s="1"/>
  <c r="I125" i="4"/>
  <c r="M125" i="4" s="1"/>
  <c r="O122" i="3"/>
  <c r="H123" i="4" s="1"/>
  <c r="U122" i="3"/>
  <c r="J123" i="4" s="1"/>
  <c r="I122" i="3"/>
  <c r="F123" i="4" s="1"/>
  <c r="B126" i="3"/>
  <c r="B128" i="2"/>
  <c r="D124" i="4"/>
  <c r="AA124" i="3"/>
  <c r="A126" i="4"/>
  <c r="E125" i="3"/>
  <c r="G125" i="3"/>
  <c r="S125" i="3"/>
  <c r="Y125" i="3" s="1"/>
  <c r="Z125" i="3" s="1"/>
  <c r="H125" i="3"/>
  <c r="T125" i="3"/>
  <c r="J125" i="3"/>
  <c r="V125" i="3"/>
  <c r="N125" i="3"/>
  <c r="P125" i="3"/>
  <c r="C125" i="3"/>
  <c r="M125" i="3"/>
  <c r="C127" i="2"/>
  <c r="F126" i="2"/>
  <c r="E126" i="2"/>
  <c r="K129" i="2"/>
  <c r="B127" i="3" l="1"/>
  <c r="B129" i="2"/>
  <c r="N128" i="2"/>
  <c r="H127" i="2"/>
  <c r="A127" i="4"/>
  <c r="C126" i="3"/>
  <c r="P126" i="3"/>
  <c r="E126" i="3"/>
  <c r="G126" i="3"/>
  <c r="S126" i="3"/>
  <c r="Y126" i="3" s="1"/>
  <c r="Z126" i="3" s="1"/>
  <c r="H126" i="3"/>
  <c r="M126" i="3"/>
  <c r="J126" i="3"/>
  <c r="V126" i="3"/>
  <c r="O123" i="3"/>
  <c r="H124" i="4" s="1"/>
  <c r="U123" i="3"/>
  <c r="J124" i="4" s="1"/>
  <c r="I123" i="3"/>
  <c r="F124" i="4" s="1"/>
  <c r="D125" i="3"/>
  <c r="F124" i="3"/>
  <c r="L128" i="2"/>
  <c r="I127" i="2"/>
  <c r="F127" i="2" s="1"/>
  <c r="N126" i="3" s="1"/>
  <c r="K130" i="2"/>
  <c r="E127" i="2"/>
  <c r="C128" i="2"/>
  <c r="G126" i="4"/>
  <c r="L126" i="4" s="1"/>
  <c r="K126" i="4"/>
  <c r="N126" i="4" s="1"/>
  <c r="I126" i="4"/>
  <c r="M126" i="4" s="1"/>
  <c r="T127" i="2"/>
  <c r="G127" i="2"/>
  <c r="T126" i="3" s="1"/>
  <c r="D128" i="2"/>
  <c r="C126" i="4"/>
  <c r="AB125" i="3"/>
  <c r="E126" i="4" s="1"/>
  <c r="D125" i="4"/>
  <c r="AA125" i="3"/>
  <c r="M128" i="2"/>
  <c r="J127" i="2"/>
  <c r="K131" i="2" l="1"/>
  <c r="L129" i="2"/>
  <c r="I128" i="2"/>
  <c r="I124" i="3"/>
  <c r="F125" i="4" s="1"/>
  <c r="U124" i="3"/>
  <c r="J125" i="4" s="1"/>
  <c r="O124" i="3"/>
  <c r="H125" i="4" s="1"/>
  <c r="F125" i="3"/>
  <c r="D126" i="3"/>
  <c r="D126" i="4"/>
  <c r="AA126" i="3"/>
  <c r="I127" i="4"/>
  <c r="M127" i="4" s="1"/>
  <c r="G127" i="4"/>
  <c r="L127" i="4" s="1"/>
  <c r="K127" i="4"/>
  <c r="N127" i="4" s="1"/>
  <c r="C129" i="2"/>
  <c r="F128" i="2"/>
  <c r="N127" i="3" s="1"/>
  <c r="M129" i="2"/>
  <c r="J128" i="2"/>
  <c r="N129" i="2"/>
  <c r="H128" i="2"/>
  <c r="E128" i="2" s="1"/>
  <c r="H127" i="3" s="1"/>
  <c r="C127" i="4"/>
  <c r="AB126" i="3"/>
  <c r="E127" i="4" s="1"/>
  <c r="B128" i="3"/>
  <c r="B130" i="2"/>
  <c r="G128" i="2"/>
  <c r="D129" i="2"/>
  <c r="T128" i="2"/>
  <c r="A128" i="4"/>
  <c r="M127" i="3"/>
  <c r="C127" i="3"/>
  <c r="P127" i="3"/>
  <c r="E127" i="3"/>
  <c r="T127" i="3"/>
  <c r="J127" i="3"/>
  <c r="V127" i="3"/>
  <c r="G127" i="3"/>
  <c r="S127" i="3"/>
  <c r="Y127" i="3" s="1"/>
  <c r="Z127" i="3" s="1"/>
  <c r="N130" i="2" l="1"/>
  <c r="H129" i="2"/>
  <c r="C128" i="4"/>
  <c r="AB127" i="3"/>
  <c r="E128" i="4" s="1"/>
  <c r="J129" i="2"/>
  <c r="M130" i="2"/>
  <c r="F126" i="3"/>
  <c r="D127" i="3"/>
  <c r="D127" i="4"/>
  <c r="AA127" i="3"/>
  <c r="K128" i="4"/>
  <c r="N128" i="4" s="1"/>
  <c r="I128" i="4"/>
  <c r="M128" i="4" s="1"/>
  <c r="G128" i="4"/>
  <c r="L128" i="4" s="1"/>
  <c r="I125" i="3"/>
  <c r="F126" i="4" s="1"/>
  <c r="U125" i="3"/>
  <c r="J126" i="4" s="1"/>
  <c r="O125" i="3"/>
  <c r="H126" i="4" s="1"/>
  <c r="T129" i="2"/>
  <c r="G129" i="2"/>
  <c r="D130" i="2"/>
  <c r="E129" i="2"/>
  <c r="H128" i="3" s="1"/>
  <c r="C130" i="2"/>
  <c r="B129" i="3"/>
  <c r="B131" i="2"/>
  <c r="A129" i="4"/>
  <c r="T128" i="3"/>
  <c r="J128" i="3"/>
  <c r="V128" i="3"/>
  <c r="M128" i="3"/>
  <c r="E128" i="3"/>
  <c r="G128" i="3"/>
  <c r="S128" i="3"/>
  <c r="Y128" i="3" s="1"/>
  <c r="Z128" i="3" s="1"/>
  <c r="P128" i="3"/>
  <c r="C128" i="3"/>
  <c r="L130" i="2"/>
  <c r="I129" i="2"/>
  <c r="F129" i="2" s="1"/>
  <c r="N128" i="3" s="1"/>
  <c r="K132" i="2"/>
  <c r="T130" i="2" l="1"/>
  <c r="D131" i="2"/>
  <c r="C129" i="4"/>
  <c r="AB128" i="3"/>
  <c r="E129" i="4" s="1"/>
  <c r="D128" i="4"/>
  <c r="AA128" i="3"/>
  <c r="D128" i="3"/>
  <c r="F127" i="3"/>
  <c r="K133" i="2"/>
  <c r="O126" i="3"/>
  <c r="H127" i="4" s="1"/>
  <c r="I126" i="3"/>
  <c r="F127" i="4" s="1"/>
  <c r="U126" i="3"/>
  <c r="J127" i="4" s="1"/>
  <c r="M131" i="2"/>
  <c r="J130" i="2"/>
  <c r="G130" i="2" s="1"/>
  <c r="T129" i="3" s="1"/>
  <c r="L131" i="2"/>
  <c r="I130" i="2"/>
  <c r="K129" i="4"/>
  <c r="N129" i="4" s="1"/>
  <c r="G129" i="4"/>
  <c r="L129" i="4" s="1"/>
  <c r="I129" i="4"/>
  <c r="M129" i="4" s="1"/>
  <c r="B130" i="3"/>
  <c r="B132" i="2"/>
  <c r="A130" i="4"/>
  <c r="E129" i="3"/>
  <c r="G129" i="3"/>
  <c r="S129" i="3"/>
  <c r="Y129" i="3" s="1"/>
  <c r="Z129" i="3" s="1"/>
  <c r="J129" i="3"/>
  <c r="V129" i="3"/>
  <c r="N129" i="3"/>
  <c r="P129" i="3"/>
  <c r="C129" i="3"/>
  <c r="M129" i="3"/>
  <c r="F130" i="2"/>
  <c r="C131" i="2"/>
  <c r="N131" i="2"/>
  <c r="H130" i="2"/>
  <c r="E130" i="2" s="1"/>
  <c r="H129" i="3" s="1"/>
  <c r="K134" i="2" l="1"/>
  <c r="O127" i="3"/>
  <c r="H128" i="4" s="1"/>
  <c r="I127" i="3"/>
  <c r="F128" i="4" s="1"/>
  <c r="U127" i="3"/>
  <c r="J128" i="4" s="1"/>
  <c r="D129" i="3"/>
  <c r="F128" i="3"/>
  <c r="D129" i="4"/>
  <c r="AA129" i="3"/>
  <c r="N132" i="2"/>
  <c r="H131" i="2"/>
  <c r="E131" i="2" s="1"/>
  <c r="H130" i="3" s="1"/>
  <c r="C132" i="2"/>
  <c r="L132" i="2"/>
  <c r="I131" i="2"/>
  <c r="F131" i="2" s="1"/>
  <c r="N130" i="3" s="1"/>
  <c r="A131" i="4"/>
  <c r="C130" i="3"/>
  <c r="P130" i="3"/>
  <c r="E130" i="3"/>
  <c r="G130" i="3"/>
  <c r="S130" i="3"/>
  <c r="Y130" i="3" s="1"/>
  <c r="Z130" i="3" s="1"/>
  <c r="M130" i="3"/>
  <c r="J130" i="3"/>
  <c r="V130" i="3"/>
  <c r="I130" i="4"/>
  <c r="M130" i="4" s="1"/>
  <c r="K130" i="4"/>
  <c r="N130" i="4" s="1"/>
  <c r="G130" i="4"/>
  <c r="L130" i="4" s="1"/>
  <c r="J131" i="2"/>
  <c r="G131" i="2" s="1"/>
  <c r="T130" i="3" s="1"/>
  <c r="M132" i="2"/>
  <c r="D132" i="2"/>
  <c r="T131" i="2"/>
  <c r="C130" i="4"/>
  <c r="AB129" i="3"/>
  <c r="E130" i="4" s="1"/>
  <c r="B131" i="3"/>
  <c r="B133" i="2"/>
  <c r="M133" i="2" l="1"/>
  <c r="J132" i="2"/>
  <c r="C133" i="2"/>
  <c r="N133" i="2"/>
  <c r="H132" i="2"/>
  <c r="E132" i="2" s="1"/>
  <c r="H131" i="3" s="1"/>
  <c r="B132" i="3"/>
  <c r="B134" i="2"/>
  <c r="I128" i="3"/>
  <c r="F129" i="4" s="1"/>
  <c r="U128" i="3"/>
  <c r="J129" i="4" s="1"/>
  <c r="O128" i="3"/>
  <c r="H129" i="4" s="1"/>
  <c r="D130" i="4"/>
  <c r="AA130" i="3"/>
  <c r="A132" i="4"/>
  <c r="M131" i="3"/>
  <c r="C131" i="3"/>
  <c r="P131" i="3"/>
  <c r="E131" i="3"/>
  <c r="T131" i="3"/>
  <c r="J131" i="3"/>
  <c r="V131" i="3"/>
  <c r="G131" i="3"/>
  <c r="S131" i="3"/>
  <c r="Y131" i="3" s="1"/>
  <c r="Z131" i="3" s="1"/>
  <c r="F129" i="3"/>
  <c r="D130" i="3"/>
  <c r="I131" i="4"/>
  <c r="M131" i="4" s="1"/>
  <c r="K131" i="4"/>
  <c r="N131" i="4" s="1"/>
  <c r="G131" i="4"/>
  <c r="L131" i="4" s="1"/>
  <c r="L133" i="2"/>
  <c r="I132" i="2"/>
  <c r="F132" i="2" s="1"/>
  <c r="N131" i="3" s="1"/>
  <c r="C131" i="4"/>
  <c r="AB130" i="3"/>
  <c r="E131" i="4" s="1"/>
  <c r="K135" i="2"/>
  <c r="T132" i="2"/>
  <c r="G132" i="2"/>
  <c r="D133" i="2"/>
  <c r="A133" i="4" l="1"/>
  <c r="J132" i="3"/>
  <c r="V132" i="3"/>
  <c r="M132" i="3"/>
  <c r="E132" i="3"/>
  <c r="G132" i="3"/>
  <c r="S132" i="3"/>
  <c r="Y132" i="3" s="1"/>
  <c r="Z132" i="3" s="1"/>
  <c r="P132" i="3"/>
  <c r="C132" i="3"/>
  <c r="D134" i="2"/>
  <c r="T133" i="2"/>
  <c r="N134" i="2"/>
  <c r="H133" i="2"/>
  <c r="C134" i="2"/>
  <c r="E133" i="2"/>
  <c r="H132" i="3" s="1"/>
  <c r="I133" i="2"/>
  <c r="F133" i="2" s="1"/>
  <c r="N132" i="3" s="1"/>
  <c r="L134" i="2"/>
  <c r="F130" i="3"/>
  <c r="D131" i="3"/>
  <c r="C132" i="4"/>
  <c r="AB131" i="3"/>
  <c r="E132" i="4" s="1"/>
  <c r="B133" i="3"/>
  <c r="B135" i="2"/>
  <c r="K136" i="2"/>
  <c r="I129" i="3"/>
  <c r="F130" i="4" s="1"/>
  <c r="U129" i="3"/>
  <c r="J130" i="4" s="1"/>
  <c r="O129" i="3"/>
  <c r="H130" i="4" s="1"/>
  <c r="G132" i="4"/>
  <c r="L132" i="4" s="1"/>
  <c r="I132" i="4"/>
  <c r="M132" i="4" s="1"/>
  <c r="K132" i="4"/>
  <c r="N132" i="4" s="1"/>
  <c r="D131" i="4"/>
  <c r="AA131" i="3"/>
  <c r="M134" i="2"/>
  <c r="J133" i="2"/>
  <c r="G133" i="2" s="1"/>
  <c r="T132" i="3" s="1"/>
  <c r="D132" i="3" l="1"/>
  <c r="F131" i="3"/>
  <c r="L135" i="2"/>
  <c r="I134" i="2"/>
  <c r="M135" i="2"/>
  <c r="J134" i="2"/>
  <c r="F134" i="2"/>
  <c r="C135" i="2"/>
  <c r="C133" i="4"/>
  <c r="AB132" i="3"/>
  <c r="E133" i="4" s="1"/>
  <c r="O130" i="3"/>
  <c r="H131" i="4" s="1"/>
  <c r="I130" i="3"/>
  <c r="F131" i="4" s="1"/>
  <c r="U130" i="3"/>
  <c r="J131" i="4" s="1"/>
  <c r="D132" i="4"/>
  <c r="AA132" i="3"/>
  <c r="K137" i="2"/>
  <c r="B134" i="3"/>
  <c r="B136" i="2"/>
  <c r="N135" i="2"/>
  <c r="H134" i="2"/>
  <c r="E134" i="2" s="1"/>
  <c r="H133" i="3" s="1"/>
  <c r="A134" i="4"/>
  <c r="E133" i="3"/>
  <c r="G133" i="3"/>
  <c r="S133" i="3"/>
  <c r="Y133" i="3" s="1"/>
  <c r="Z133" i="3" s="1"/>
  <c r="J133" i="3"/>
  <c r="V133" i="3"/>
  <c r="N133" i="3"/>
  <c r="P133" i="3"/>
  <c r="M133" i="3"/>
  <c r="C133" i="3"/>
  <c r="T134" i="2"/>
  <c r="G134" i="2"/>
  <c r="T133" i="3" s="1"/>
  <c r="D135" i="2"/>
  <c r="G133" i="4"/>
  <c r="L133" i="4" s="1"/>
  <c r="I133" i="4"/>
  <c r="M133" i="4" s="1"/>
  <c r="K133" i="4"/>
  <c r="N133" i="4" s="1"/>
  <c r="C134" i="4" l="1"/>
  <c r="AB133" i="3"/>
  <c r="E134" i="4" s="1"/>
  <c r="N136" i="2"/>
  <c r="H135" i="2"/>
  <c r="C136" i="2"/>
  <c r="E135" i="2"/>
  <c r="G134" i="4"/>
  <c r="L134" i="4" s="1"/>
  <c r="K134" i="4"/>
  <c r="N134" i="4" s="1"/>
  <c r="I134" i="4"/>
  <c r="M134" i="4" s="1"/>
  <c r="B135" i="3"/>
  <c r="B137" i="2"/>
  <c r="A135" i="4"/>
  <c r="C134" i="3"/>
  <c r="P134" i="3"/>
  <c r="E134" i="3"/>
  <c r="G134" i="3"/>
  <c r="S134" i="3"/>
  <c r="Y134" i="3" s="1"/>
  <c r="Z134" i="3" s="1"/>
  <c r="H134" i="3"/>
  <c r="M134" i="3"/>
  <c r="V134" i="3"/>
  <c r="J134" i="3"/>
  <c r="K138" i="2"/>
  <c r="M136" i="2"/>
  <c r="J135" i="2"/>
  <c r="G135" i="2" s="1"/>
  <c r="T134" i="3" s="1"/>
  <c r="D133" i="4"/>
  <c r="AA133" i="3"/>
  <c r="L136" i="2"/>
  <c r="I135" i="2"/>
  <c r="F135" i="2" s="1"/>
  <c r="N134" i="3" s="1"/>
  <c r="O131" i="3"/>
  <c r="H132" i="4" s="1"/>
  <c r="I131" i="3"/>
  <c r="F132" i="4" s="1"/>
  <c r="U131" i="3"/>
  <c r="J132" i="4" s="1"/>
  <c r="D136" i="2"/>
  <c r="T135" i="2"/>
  <c r="D133" i="3"/>
  <c r="F132" i="3"/>
  <c r="L137" i="2" l="1"/>
  <c r="I136" i="2"/>
  <c r="F136" i="2" s="1"/>
  <c r="N135" i="3" s="1"/>
  <c r="D134" i="4"/>
  <c r="AA134" i="3"/>
  <c r="I132" i="3"/>
  <c r="F133" i="4" s="1"/>
  <c r="U132" i="3"/>
  <c r="J133" i="4" s="1"/>
  <c r="O132" i="3"/>
  <c r="H133" i="4" s="1"/>
  <c r="F133" i="3"/>
  <c r="D134" i="3"/>
  <c r="M137" i="2"/>
  <c r="J136" i="2"/>
  <c r="G136" i="2" s="1"/>
  <c r="T135" i="3" s="1"/>
  <c r="C137" i="2"/>
  <c r="D137" i="2"/>
  <c r="T136" i="2"/>
  <c r="K139" i="2"/>
  <c r="G135" i="4"/>
  <c r="L135" i="4" s="1"/>
  <c r="I135" i="4"/>
  <c r="M135" i="4" s="1"/>
  <c r="K135" i="4"/>
  <c r="N135" i="4" s="1"/>
  <c r="B136" i="3"/>
  <c r="B138" i="2"/>
  <c r="N137" i="2"/>
  <c r="H136" i="2"/>
  <c r="E136" i="2" s="1"/>
  <c r="H135" i="3" s="1"/>
  <c r="A136" i="4"/>
  <c r="M135" i="3"/>
  <c r="C135" i="3"/>
  <c r="P135" i="3"/>
  <c r="E135" i="3"/>
  <c r="S135" i="3"/>
  <c r="Y135" i="3" s="1"/>
  <c r="Z135" i="3" s="1"/>
  <c r="V135" i="3"/>
  <c r="G135" i="3"/>
  <c r="J135" i="3"/>
  <c r="C135" i="4"/>
  <c r="AB134" i="3"/>
  <c r="E135" i="4" s="1"/>
  <c r="M138" i="2" l="1"/>
  <c r="J137" i="2"/>
  <c r="F134" i="3"/>
  <c r="D135" i="3"/>
  <c r="I133" i="3"/>
  <c r="F134" i="4" s="1"/>
  <c r="U133" i="3"/>
  <c r="J134" i="4" s="1"/>
  <c r="O133" i="3"/>
  <c r="H134" i="4" s="1"/>
  <c r="C136" i="4"/>
  <c r="AB135" i="3"/>
  <c r="E136" i="4" s="1"/>
  <c r="I136" i="4"/>
  <c r="M136" i="4" s="1"/>
  <c r="G136" i="4"/>
  <c r="L136" i="4" s="1"/>
  <c r="K136" i="4"/>
  <c r="N136" i="4" s="1"/>
  <c r="K140" i="2"/>
  <c r="N138" i="2"/>
  <c r="H137" i="2"/>
  <c r="D135" i="4"/>
  <c r="AA135" i="3"/>
  <c r="B137" i="3"/>
  <c r="B139" i="2"/>
  <c r="T137" i="2"/>
  <c r="G137" i="2"/>
  <c r="D138" i="2"/>
  <c r="A137" i="4"/>
  <c r="T136" i="3"/>
  <c r="J136" i="3"/>
  <c r="V136" i="3"/>
  <c r="M136" i="3"/>
  <c r="E136" i="3"/>
  <c r="P136" i="3"/>
  <c r="S136" i="3"/>
  <c r="Y136" i="3" s="1"/>
  <c r="Z136" i="3" s="1"/>
  <c r="C136" i="3"/>
  <c r="G136" i="3"/>
  <c r="E137" i="2"/>
  <c r="H136" i="3" s="1"/>
  <c r="C138" i="2"/>
  <c r="L138" i="2"/>
  <c r="I137" i="2"/>
  <c r="F137" i="2" s="1"/>
  <c r="N136" i="3" s="1"/>
  <c r="B138" i="3" l="1"/>
  <c r="B140" i="2"/>
  <c r="A138" i="4"/>
  <c r="E137" i="3"/>
  <c r="G137" i="3"/>
  <c r="S137" i="3"/>
  <c r="Y137" i="3" s="1"/>
  <c r="Z137" i="3" s="1"/>
  <c r="J137" i="3"/>
  <c r="V137" i="3"/>
  <c r="P137" i="3"/>
  <c r="C137" i="3"/>
  <c r="M137" i="3"/>
  <c r="N139" i="2"/>
  <c r="H138" i="2"/>
  <c r="C139" i="2"/>
  <c r="E138" i="2"/>
  <c r="H137" i="3" s="1"/>
  <c r="C137" i="4"/>
  <c r="AB136" i="3"/>
  <c r="E137" i="4" s="1"/>
  <c r="I138" i="2"/>
  <c r="F138" i="2" s="1"/>
  <c r="N137" i="3" s="1"/>
  <c r="L139" i="2"/>
  <c r="K141" i="2"/>
  <c r="F135" i="3"/>
  <c r="D136" i="3"/>
  <c r="G137" i="4"/>
  <c r="L137" i="4" s="1"/>
  <c r="K137" i="4"/>
  <c r="N137" i="4" s="1"/>
  <c r="I137" i="4"/>
  <c r="M137" i="4" s="1"/>
  <c r="O134" i="3"/>
  <c r="H135" i="4" s="1"/>
  <c r="U134" i="3"/>
  <c r="J135" i="4" s="1"/>
  <c r="I134" i="3"/>
  <c r="F135" i="4" s="1"/>
  <c r="D136" i="4"/>
  <c r="AA136" i="3"/>
  <c r="D139" i="2"/>
  <c r="T138" i="2"/>
  <c r="J138" i="2"/>
  <c r="G138" i="2" s="1"/>
  <c r="T137" i="3" s="1"/>
  <c r="M139" i="2"/>
  <c r="L140" i="2" l="1"/>
  <c r="I139" i="2"/>
  <c r="E139" i="2"/>
  <c r="F139" i="2"/>
  <c r="C140" i="2"/>
  <c r="M140" i="2"/>
  <c r="J139" i="2"/>
  <c r="T139" i="2"/>
  <c r="G139" i="2"/>
  <c r="T138" i="3" s="1"/>
  <c r="D140" i="2"/>
  <c r="F136" i="3"/>
  <c r="D137" i="3"/>
  <c r="N140" i="2"/>
  <c r="H139" i="2"/>
  <c r="G138" i="4"/>
  <c r="L138" i="4" s="1"/>
  <c r="K138" i="4"/>
  <c r="N138" i="4" s="1"/>
  <c r="I138" i="4"/>
  <c r="M138" i="4" s="1"/>
  <c r="D137" i="4"/>
  <c r="AA137" i="3"/>
  <c r="O135" i="3"/>
  <c r="H136" i="4" s="1"/>
  <c r="U135" i="3"/>
  <c r="J136" i="4" s="1"/>
  <c r="I135" i="3"/>
  <c r="F136" i="4" s="1"/>
  <c r="C138" i="4"/>
  <c r="AB137" i="3"/>
  <c r="E138" i="4" s="1"/>
  <c r="B139" i="3"/>
  <c r="B141" i="2"/>
  <c r="K142" i="2"/>
  <c r="A139" i="4"/>
  <c r="N138" i="3"/>
  <c r="C138" i="3"/>
  <c r="P138" i="3"/>
  <c r="E138" i="3"/>
  <c r="G138" i="3"/>
  <c r="S138" i="3"/>
  <c r="Y138" i="3" s="1"/>
  <c r="Z138" i="3" s="1"/>
  <c r="H138" i="3"/>
  <c r="M138" i="3"/>
  <c r="V138" i="3"/>
  <c r="J138" i="3"/>
  <c r="I136" i="3" l="1"/>
  <c r="F137" i="4" s="1"/>
  <c r="U136" i="3"/>
  <c r="J137" i="4" s="1"/>
  <c r="O136" i="3"/>
  <c r="H137" i="4" s="1"/>
  <c r="F137" i="3"/>
  <c r="D138" i="3"/>
  <c r="D138" i="4"/>
  <c r="AA138" i="3"/>
  <c r="D141" i="2"/>
  <c r="T140" i="2"/>
  <c r="I139" i="4"/>
  <c r="M139" i="4" s="1"/>
  <c r="K139" i="4"/>
  <c r="N139" i="4" s="1"/>
  <c r="G139" i="4"/>
  <c r="L139" i="4" s="1"/>
  <c r="K143" i="2"/>
  <c r="M141" i="2"/>
  <c r="J140" i="2"/>
  <c r="G140" i="2" s="1"/>
  <c r="T139" i="3" s="1"/>
  <c r="C139" i="4"/>
  <c r="AB138" i="3"/>
  <c r="E139" i="4" s="1"/>
  <c r="B140" i="3"/>
  <c r="B142" i="2"/>
  <c r="C141" i="2"/>
  <c r="F140" i="2"/>
  <c r="N139" i="3" s="1"/>
  <c r="E140" i="2"/>
  <c r="A140" i="4"/>
  <c r="M139" i="3"/>
  <c r="C139" i="3"/>
  <c r="P139" i="3"/>
  <c r="E139" i="3"/>
  <c r="H139" i="3"/>
  <c r="S139" i="3"/>
  <c r="Y139" i="3" s="1"/>
  <c r="Z139" i="3" s="1"/>
  <c r="V139" i="3"/>
  <c r="J139" i="3"/>
  <c r="G139" i="3"/>
  <c r="N141" i="2"/>
  <c r="H140" i="2"/>
  <c r="L141" i="2"/>
  <c r="I140" i="2"/>
  <c r="A141" i="4" l="1"/>
  <c r="J140" i="3"/>
  <c r="V140" i="3"/>
  <c r="M140" i="3"/>
  <c r="E140" i="3"/>
  <c r="P140" i="3"/>
  <c r="S140" i="3"/>
  <c r="Y140" i="3" s="1"/>
  <c r="Z140" i="3" s="1"/>
  <c r="C140" i="3"/>
  <c r="G140" i="3"/>
  <c r="J141" i="2"/>
  <c r="M142" i="2"/>
  <c r="D139" i="4"/>
  <c r="AA139" i="3"/>
  <c r="T141" i="2"/>
  <c r="G141" i="2"/>
  <c r="T140" i="3" s="1"/>
  <c r="D142" i="2"/>
  <c r="L142" i="2"/>
  <c r="I141" i="2"/>
  <c r="C140" i="4"/>
  <c r="AB139" i="3"/>
  <c r="E140" i="4" s="1"/>
  <c r="K144" i="2"/>
  <c r="F138" i="3"/>
  <c r="D139" i="3"/>
  <c r="N142" i="2"/>
  <c r="H141" i="2"/>
  <c r="K140" i="4"/>
  <c r="N140" i="4" s="1"/>
  <c r="I140" i="4"/>
  <c r="M140" i="4" s="1"/>
  <c r="G140" i="4"/>
  <c r="L140" i="4" s="1"/>
  <c r="I137" i="3"/>
  <c r="F138" i="4" s="1"/>
  <c r="U137" i="3"/>
  <c r="J138" i="4" s="1"/>
  <c r="O137" i="3"/>
  <c r="H138" i="4" s="1"/>
  <c r="B141" i="3"/>
  <c r="B143" i="2"/>
  <c r="E141" i="2"/>
  <c r="H140" i="3" s="1"/>
  <c r="F141" i="2"/>
  <c r="N140" i="3" s="1"/>
  <c r="C142" i="2"/>
  <c r="K145" i="2" l="1"/>
  <c r="L143" i="2"/>
  <c r="I142" i="2"/>
  <c r="E142" i="2"/>
  <c r="F142" i="2"/>
  <c r="C143" i="2"/>
  <c r="T142" i="2"/>
  <c r="D143" i="2"/>
  <c r="C141" i="4"/>
  <c r="AB140" i="3"/>
  <c r="E141" i="4" s="1"/>
  <c r="B142" i="3"/>
  <c r="B144" i="2"/>
  <c r="N143" i="2"/>
  <c r="H142" i="2"/>
  <c r="D140" i="4"/>
  <c r="AA140" i="3"/>
  <c r="A142" i="4"/>
  <c r="E141" i="3"/>
  <c r="G141" i="3"/>
  <c r="S141" i="3"/>
  <c r="Y141" i="3" s="1"/>
  <c r="Z141" i="3" s="1"/>
  <c r="H141" i="3"/>
  <c r="J141" i="3"/>
  <c r="V141" i="3"/>
  <c r="N141" i="3"/>
  <c r="P141" i="3"/>
  <c r="C141" i="3"/>
  <c r="M141" i="3"/>
  <c r="F139" i="3"/>
  <c r="D140" i="3"/>
  <c r="O138" i="3"/>
  <c r="H139" i="4" s="1"/>
  <c r="U138" i="3"/>
  <c r="J139" i="4" s="1"/>
  <c r="I138" i="3"/>
  <c r="F139" i="4" s="1"/>
  <c r="M143" i="2"/>
  <c r="J142" i="2"/>
  <c r="G142" i="2" s="1"/>
  <c r="T141" i="3" s="1"/>
  <c r="K141" i="4"/>
  <c r="N141" i="4" s="1"/>
  <c r="G141" i="4"/>
  <c r="L141" i="4" s="1"/>
  <c r="I141" i="4"/>
  <c r="M141" i="4" s="1"/>
  <c r="D144" i="2" l="1"/>
  <c r="T143" i="2"/>
  <c r="J143" i="2"/>
  <c r="G143" i="2" s="1"/>
  <c r="T142" i="3" s="1"/>
  <c r="M144" i="2"/>
  <c r="F140" i="3"/>
  <c r="D141" i="3"/>
  <c r="O139" i="3"/>
  <c r="H140" i="4" s="1"/>
  <c r="U139" i="3"/>
  <c r="J140" i="4" s="1"/>
  <c r="I139" i="3"/>
  <c r="F140" i="4" s="1"/>
  <c r="I142" i="4"/>
  <c r="M142" i="4" s="1"/>
  <c r="K142" i="4"/>
  <c r="N142" i="4" s="1"/>
  <c r="G142" i="4"/>
  <c r="L142" i="4" s="1"/>
  <c r="C144" i="2"/>
  <c r="C142" i="4"/>
  <c r="AB141" i="3"/>
  <c r="E142" i="4" s="1"/>
  <c r="D141" i="4"/>
  <c r="AA141" i="3"/>
  <c r="N144" i="2"/>
  <c r="H143" i="2"/>
  <c r="E143" i="2" s="1"/>
  <c r="H142" i="3" s="1"/>
  <c r="L144" i="2"/>
  <c r="I143" i="2"/>
  <c r="F143" i="2" s="1"/>
  <c r="N142" i="3" s="1"/>
  <c r="B143" i="3"/>
  <c r="B145" i="2"/>
  <c r="A143" i="4"/>
  <c r="C142" i="3"/>
  <c r="P142" i="3"/>
  <c r="E142" i="3"/>
  <c r="G142" i="3"/>
  <c r="S142" i="3"/>
  <c r="Y142" i="3" s="1"/>
  <c r="Z142" i="3" s="1"/>
  <c r="M142" i="3"/>
  <c r="V142" i="3"/>
  <c r="J142" i="3"/>
  <c r="K146" i="2"/>
  <c r="N145" i="2" l="1"/>
  <c r="H144" i="2"/>
  <c r="K147" i="2"/>
  <c r="F141" i="3"/>
  <c r="D142" i="3"/>
  <c r="D142" i="4"/>
  <c r="AA142" i="3"/>
  <c r="I143" i="4"/>
  <c r="M143" i="4" s="1"/>
  <c r="K143" i="4"/>
  <c r="N143" i="4" s="1"/>
  <c r="G143" i="4"/>
  <c r="L143" i="4" s="1"/>
  <c r="I140" i="3"/>
  <c r="F141" i="4" s="1"/>
  <c r="U140" i="3"/>
  <c r="J141" i="4" s="1"/>
  <c r="O140" i="3"/>
  <c r="H141" i="4" s="1"/>
  <c r="B144" i="3"/>
  <c r="B146" i="2"/>
  <c r="E144" i="2"/>
  <c r="F144" i="2"/>
  <c r="N143" i="3" s="1"/>
  <c r="C145" i="2"/>
  <c r="M145" i="2"/>
  <c r="J144" i="2"/>
  <c r="G144" i="2" s="1"/>
  <c r="T143" i="3" s="1"/>
  <c r="A144" i="4"/>
  <c r="M143" i="3"/>
  <c r="C143" i="3"/>
  <c r="P143" i="3"/>
  <c r="E143" i="3"/>
  <c r="H143" i="3"/>
  <c r="S143" i="3"/>
  <c r="Y143" i="3" s="1"/>
  <c r="Z143" i="3" s="1"/>
  <c r="V143" i="3"/>
  <c r="G143" i="3"/>
  <c r="J143" i="3"/>
  <c r="C143" i="4"/>
  <c r="AB142" i="3"/>
  <c r="E143" i="4" s="1"/>
  <c r="L145" i="2"/>
  <c r="I144" i="2"/>
  <c r="T144" i="2"/>
  <c r="D145" i="2"/>
  <c r="C146" i="2" l="1"/>
  <c r="D143" i="4"/>
  <c r="AA143" i="3"/>
  <c r="D146" i="2"/>
  <c r="T145" i="2"/>
  <c r="B145" i="3"/>
  <c r="B147" i="2"/>
  <c r="A145" i="4"/>
  <c r="J144" i="3"/>
  <c r="V144" i="3"/>
  <c r="M144" i="3"/>
  <c r="E144" i="3"/>
  <c r="P144" i="3"/>
  <c r="S144" i="3"/>
  <c r="Y144" i="3" s="1"/>
  <c r="Z144" i="3" s="1"/>
  <c r="C144" i="3"/>
  <c r="G144" i="3"/>
  <c r="F142" i="3"/>
  <c r="D143" i="3"/>
  <c r="I141" i="3"/>
  <c r="F142" i="4" s="1"/>
  <c r="U141" i="3"/>
  <c r="J142" i="4" s="1"/>
  <c r="O141" i="3"/>
  <c r="H142" i="4" s="1"/>
  <c r="I145" i="2"/>
  <c r="F145" i="2" s="1"/>
  <c r="N144" i="3" s="1"/>
  <c r="L146" i="2"/>
  <c r="K148" i="2"/>
  <c r="C144" i="4"/>
  <c r="AB143" i="3"/>
  <c r="E144" i="4" s="1"/>
  <c r="M146" i="2"/>
  <c r="J145" i="2"/>
  <c r="G145" i="2" s="1"/>
  <c r="T144" i="3" s="1"/>
  <c r="G144" i="4"/>
  <c r="L144" i="4" s="1"/>
  <c r="I144" i="4"/>
  <c r="M144" i="4" s="1"/>
  <c r="K144" i="4"/>
  <c r="N144" i="4" s="1"/>
  <c r="N146" i="2"/>
  <c r="H145" i="2"/>
  <c r="E145" i="2" s="1"/>
  <c r="H144" i="3" s="1"/>
  <c r="F143" i="3" l="1"/>
  <c r="D144" i="3"/>
  <c r="O142" i="3"/>
  <c r="H143" i="4" s="1"/>
  <c r="U142" i="3"/>
  <c r="J143" i="4" s="1"/>
  <c r="I142" i="3"/>
  <c r="F143" i="4" s="1"/>
  <c r="M147" i="2"/>
  <c r="J146" i="2"/>
  <c r="B146" i="3"/>
  <c r="B148" i="2"/>
  <c r="G145" i="4"/>
  <c r="L145" i="4" s="1"/>
  <c r="I145" i="4"/>
  <c r="M145" i="4" s="1"/>
  <c r="K145" i="4"/>
  <c r="N145" i="4" s="1"/>
  <c r="A146" i="4"/>
  <c r="E145" i="3"/>
  <c r="G145" i="3"/>
  <c r="S145" i="3"/>
  <c r="Y145" i="3" s="1"/>
  <c r="Z145" i="3" s="1"/>
  <c r="J145" i="3"/>
  <c r="V145" i="3"/>
  <c r="P145" i="3"/>
  <c r="C145" i="3"/>
  <c r="M145" i="3"/>
  <c r="N147" i="2"/>
  <c r="H146" i="2"/>
  <c r="K149" i="2"/>
  <c r="T146" i="2"/>
  <c r="G146" i="2"/>
  <c r="T145" i="3" s="1"/>
  <c r="D147" i="2"/>
  <c r="L147" i="2"/>
  <c r="I146" i="2"/>
  <c r="F146" i="2" s="1"/>
  <c r="N145" i="3" s="1"/>
  <c r="D144" i="4"/>
  <c r="AA144" i="3"/>
  <c r="C145" i="4"/>
  <c r="AB144" i="3"/>
  <c r="E145" i="4" s="1"/>
  <c r="E146" i="2"/>
  <c r="H145" i="3" s="1"/>
  <c r="C147" i="2"/>
  <c r="D148" i="2" l="1"/>
  <c r="T147" i="2"/>
  <c r="B147" i="3"/>
  <c r="B149" i="2"/>
  <c r="A147" i="4"/>
  <c r="C146" i="3"/>
  <c r="P146" i="3"/>
  <c r="E146" i="3"/>
  <c r="G146" i="3"/>
  <c r="S146" i="3"/>
  <c r="Y146" i="3" s="1"/>
  <c r="Z146" i="3" s="1"/>
  <c r="M146" i="3"/>
  <c r="V146" i="3"/>
  <c r="J146" i="3"/>
  <c r="C148" i="2"/>
  <c r="K150" i="2"/>
  <c r="M148" i="2"/>
  <c r="J147" i="2"/>
  <c r="G147" i="2" s="1"/>
  <c r="T146" i="3" s="1"/>
  <c r="L148" i="2"/>
  <c r="I147" i="2"/>
  <c r="F147" i="2" s="1"/>
  <c r="N146" i="3" s="1"/>
  <c r="N148" i="2"/>
  <c r="H147" i="2"/>
  <c r="E147" i="2" s="1"/>
  <c r="H146" i="3" s="1"/>
  <c r="G146" i="4"/>
  <c r="L146" i="4" s="1"/>
  <c r="K146" i="4"/>
  <c r="N146" i="4" s="1"/>
  <c r="I146" i="4"/>
  <c r="M146" i="4" s="1"/>
  <c r="C146" i="4"/>
  <c r="AB145" i="3"/>
  <c r="E146" i="4" s="1"/>
  <c r="D145" i="4"/>
  <c r="AA145" i="3"/>
  <c r="F144" i="3"/>
  <c r="D145" i="3"/>
  <c r="O143" i="3"/>
  <c r="H144" i="4" s="1"/>
  <c r="U143" i="3"/>
  <c r="J144" i="4" s="1"/>
  <c r="I143" i="3"/>
  <c r="F144" i="4" s="1"/>
  <c r="M149" i="2" l="1"/>
  <c r="J148" i="2"/>
  <c r="K151" i="2"/>
  <c r="C149" i="2"/>
  <c r="G147" i="4"/>
  <c r="L147" i="4" s="1"/>
  <c r="I147" i="4"/>
  <c r="M147" i="4" s="1"/>
  <c r="K147" i="4"/>
  <c r="N147" i="4" s="1"/>
  <c r="B148" i="3"/>
  <c r="B150" i="2"/>
  <c r="F145" i="3"/>
  <c r="D146" i="3"/>
  <c r="A148" i="4"/>
  <c r="M147" i="3"/>
  <c r="C147" i="3"/>
  <c r="P147" i="3"/>
  <c r="T147" i="3"/>
  <c r="J147" i="3"/>
  <c r="S147" i="3"/>
  <c r="Y147" i="3" s="1"/>
  <c r="Z147" i="3" s="1"/>
  <c r="V147" i="3"/>
  <c r="E147" i="3"/>
  <c r="G147" i="3"/>
  <c r="I144" i="3"/>
  <c r="F145" i="4" s="1"/>
  <c r="U144" i="3"/>
  <c r="J145" i="4" s="1"/>
  <c r="O144" i="3"/>
  <c r="H145" i="4" s="1"/>
  <c r="N149" i="2"/>
  <c r="H148" i="2"/>
  <c r="E148" i="2" s="1"/>
  <c r="H147" i="3" s="1"/>
  <c r="D146" i="4"/>
  <c r="AA146" i="3"/>
  <c r="D149" i="2"/>
  <c r="T148" i="2"/>
  <c r="G148" i="2"/>
  <c r="I148" i="2"/>
  <c r="F148" i="2" s="1"/>
  <c r="N147" i="3" s="1"/>
  <c r="L149" i="2"/>
  <c r="C147" i="4"/>
  <c r="AB146" i="3"/>
  <c r="E147" i="4" s="1"/>
  <c r="D147" i="4" l="1"/>
  <c r="AA147" i="3"/>
  <c r="N150" i="2"/>
  <c r="H149" i="2"/>
  <c r="C148" i="4"/>
  <c r="AB147" i="3"/>
  <c r="E148" i="4" s="1"/>
  <c r="E149" i="2"/>
  <c r="F149" i="2"/>
  <c r="C150" i="2"/>
  <c r="I148" i="4"/>
  <c r="M148" i="4" s="1"/>
  <c r="G148" i="4"/>
  <c r="L148" i="4" s="1"/>
  <c r="K148" i="4"/>
  <c r="N148" i="4" s="1"/>
  <c r="L150" i="2"/>
  <c r="I149" i="2"/>
  <c r="F146" i="3"/>
  <c r="D147" i="3"/>
  <c r="I145" i="3"/>
  <c r="F146" i="4" s="1"/>
  <c r="U145" i="3"/>
  <c r="J146" i="4" s="1"/>
  <c r="O145" i="3"/>
  <c r="H146" i="4" s="1"/>
  <c r="B149" i="3"/>
  <c r="B151" i="2"/>
  <c r="K152" i="2"/>
  <c r="A149" i="4"/>
  <c r="H148" i="3"/>
  <c r="J148" i="3"/>
  <c r="V148" i="3"/>
  <c r="M148" i="3"/>
  <c r="E148" i="3"/>
  <c r="G148" i="3"/>
  <c r="N148" i="3"/>
  <c r="P148" i="3"/>
  <c r="C148" i="3"/>
  <c r="S148" i="3"/>
  <c r="Y148" i="3" s="1"/>
  <c r="Z148" i="3" s="1"/>
  <c r="T149" i="2"/>
  <c r="D150" i="2"/>
  <c r="M150" i="2"/>
  <c r="J149" i="2"/>
  <c r="G149" i="2" s="1"/>
  <c r="T148" i="3" s="1"/>
  <c r="B150" i="3" l="1"/>
  <c r="B152" i="2"/>
  <c r="C149" i="4"/>
  <c r="AB148" i="3"/>
  <c r="E149" i="4" s="1"/>
  <c r="D148" i="3"/>
  <c r="F147" i="3"/>
  <c r="J150" i="2"/>
  <c r="G150" i="2" s="1"/>
  <c r="T149" i="3" s="1"/>
  <c r="M151" i="2"/>
  <c r="O146" i="3"/>
  <c r="H147" i="4" s="1"/>
  <c r="U146" i="3"/>
  <c r="J147" i="4" s="1"/>
  <c r="I146" i="3"/>
  <c r="F147" i="4" s="1"/>
  <c r="D151" i="2"/>
  <c r="T150" i="2"/>
  <c r="C151" i="2"/>
  <c r="I150" i="2"/>
  <c r="F150" i="2" s="1"/>
  <c r="N149" i="3" s="1"/>
  <c r="L151" i="2"/>
  <c r="A150" i="4"/>
  <c r="E149" i="3"/>
  <c r="G149" i="3"/>
  <c r="S149" i="3"/>
  <c r="Y149" i="3" s="1"/>
  <c r="Z149" i="3" s="1"/>
  <c r="J149" i="3"/>
  <c r="V149" i="3"/>
  <c r="C149" i="3"/>
  <c r="M149" i="3"/>
  <c r="P149" i="3"/>
  <c r="G149" i="4"/>
  <c r="L149" i="4" s="1"/>
  <c r="K149" i="4"/>
  <c r="N149" i="4" s="1"/>
  <c r="I149" i="4"/>
  <c r="M149" i="4" s="1"/>
  <c r="N151" i="2"/>
  <c r="H150" i="2"/>
  <c r="E150" i="2" s="1"/>
  <c r="H149" i="3" s="1"/>
  <c r="D148" i="4"/>
  <c r="AA148" i="3"/>
  <c r="K153" i="2"/>
  <c r="T151" i="2" l="1"/>
  <c r="D152" i="2"/>
  <c r="G150" i="4"/>
  <c r="L150" i="4" s="1"/>
  <c r="K150" i="4"/>
  <c r="N150" i="4" s="1"/>
  <c r="I150" i="4"/>
  <c r="M150" i="4" s="1"/>
  <c r="M152" i="2"/>
  <c r="J151" i="2"/>
  <c r="G151" i="2" s="1"/>
  <c r="T150" i="3" s="1"/>
  <c r="K154" i="2"/>
  <c r="L152" i="2"/>
  <c r="I151" i="2"/>
  <c r="F151" i="2" s="1"/>
  <c r="N150" i="3" s="1"/>
  <c r="O147" i="3"/>
  <c r="H148" i="4" s="1"/>
  <c r="I147" i="3"/>
  <c r="F148" i="4" s="1"/>
  <c r="U147" i="3"/>
  <c r="J148" i="4" s="1"/>
  <c r="D149" i="4"/>
  <c r="AA149" i="3"/>
  <c r="C150" i="4"/>
  <c r="AB149" i="3"/>
  <c r="E150" i="4" s="1"/>
  <c r="F148" i="3"/>
  <c r="D149" i="3"/>
  <c r="C152" i="2"/>
  <c r="N152" i="2"/>
  <c r="H151" i="2"/>
  <c r="E151" i="2" s="1"/>
  <c r="H150" i="3" s="1"/>
  <c r="B151" i="3"/>
  <c r="B153" i="2"/>
  <c r="A151" i="4"/>
  <c r="C150" i="3"/>
  <c r="P150" i="3"/>
  <c r="G150" i="3"/>
  <c r="S150" i="3"/>
  <c r="Y150" i="3" s="1"/>
  <c r="Z150" i="3" s="1"/>
  <c r="V150" i="3"/>
  <c r="E150" i="3"/>
  <c r="J150" i="3"/>
  <c r="M150" i="3"/>
  <c r="F149" i="3" l="1"/>
  <c r="D150" i="3"/>
  <c r="K155" i="2"/>
  <c r="I148" i="3"/>
  <c r="F149" i="4" s="1"/>
  <c r="U148" i="3"/>
  <c r="J149" i="4" s="1"/>
  <c r="O148" i="3"/>
  <c r="H149" i="4" s="1"/>
  <c r="M153" i="2"/>
  <c r="J152" i="2"/>
  <c r="G152" i="2" s="1"/>
  <c r="T151" i="3" s="1"/>
  <c r="I151" i="4"/>
  <c r="M151" i="4" s="1"/>
  <c r="G151" i="4"/>
  <c r="L151" i="4" s="1"/>
  <c r="K151" i="4"/>
  <c r="N151" i="4" s="1"/>
  <c r="D150" i="4"/>
  <c r="AA150" i="3"/>
  <c r="C151" i="4"/>
  <c r="AB150" i="3"/>
  <c r="E151" i="4" s="1"/>
  <c r="B152" i="3"/>
  <c r="B154" i="2"/>
  <c r="A152" i="4"/>
  <c r="M151" i="3"/>
  <c r="C151" i="3"/>
  <c r="P151" i="3"/>
  <c r="S151" i="3"/>
  <c r="Y151" i="3" s="1"/>
  <c r="Z151" i="3" s="1"/>
  <c r="V151" i="3"/>
  <c r="E151" i="3"/>
  <c r="G151" i="3"/>
  <c r="J151" i="3"/>
  <c r="C153" i="2"/>
  <c r="F152" i="2"/>
  <c r="N151" i="3" s="1"/>
  <c r="D153" i="2"/>
  <c r="T152" i="2"/>
  <c r="N153" i="2"/>
  <c r="H152" i="2"/>
  <c r="E152" i="2" s="1"/>
  <c r="H151" i="3" s="1"/>
  <c r="L153" i="2"/>
  <c r="I152" i="2"/>
  <c r="C154" i="2" l="1"/>
  <c r="K152" i="4"/>
  <c r="N152" i="4" s="1"/>
  <c r="I152" i="4"/>
  <c r="M152" i="4" s="1"/>
  <c r="G152" i="4"/>
  <c r="L152" i="4" s="1"/>
  <c r="B153" i="3"/>
  <c r="B155" i="2"/>
  <c r="A153" i="4"/>
  <c r="J152" i="3"/>
  <c r="V152" i="3"/>
  <c r="M152" i="3"/>
  <c r="E152" i="3"/>
  <c r="G152" i="3"/>
  <c r="P152" i="3"/>
  <c r="S152" i="3"/>
  <c r="Y152" i="3" s="1"/>
  <c r="Z152" i="3" s="1"/>
  <c r="C152" i="3"/>
  <c r="J153" i="2"/>
  <c r="G153" i="2" s="1"/>
  <c r="T152" i="3" s="1"/>
  <c r="M154" i="2"/>
  <c r="C152" i="4"/>
  <c r="AB151" i="3"/>
  <c r="E152" i="4" s="1"/>
  <c r="L154" i="2"/>
  <c r="I153" i="2"/>
  <c r="F153" i="2" s="1"/>
  <c r="N152" i="3" s="1"/>
  <c r="D151" i="4"/>
  <c r="AA151" i="3"/>
  <c r="N154" i="2"/>
  <c r="H153" i="2"/>
  <c r="E153" i="2" s="1"/>
  <c r="H152" i="3" s="1"/>
  <c r="K156" i="2"/>
  <c r="T153" i="2"/>
  <c r="D154" i="2"/>
  <c r="F150" i="3"/>
  <c r="D151" i="3"/>
  <c r="I149" i="3"/>
  <c r="F150" i="4" s="1"/>
  <c r="U149" i="3"/>
  <c r="J150" i="4" s="1"/>
  <c r="O149" i="3"/>
  <c r="H150" i="4" s="1"/>
  <c r="K157" i="2" l="1"/>
  <c r="K153" i="4"/>
  <c r="N153" i="4" s="1"/>
  <c r="G153" i="4"/>
  <c r="L153" i="4" s="1"/>
  <c r="I153" i="4"/>
  <c r="M153" i="4" s="1"/>
  <c r="N155" i="2"/>
  <c r="H154" i="2"/>
  <c r="D152" i="4"/>
  <c r="AA152" i="3"/>
  <c r="A154" i="4"/>
  <c r="E153" i="3"/>
  <c r="G153" i="3"/>
  <c r="S153" i="3"/>
  <c r="Y153" i="3" s="1"/>
  <c r="Z153" i="3" s="1"/>
  <c r="J153" i="3"/>
  <c r="V153" i="3"/>
  <c r="C153" i="3"/>
  <c r="M153" i="3"/>
  <c r="P153" i="3"/>
  <c r="C153" i="4"/>
  <c r="AB152" i="3"/>
  <c r="E153" i="4" s="1"/>
  <c r="D152" i="3"/>
  <c r="F151" i="3"/>
  <c r="L155" i="2"/>
  <c r="I154" i="2"/>
  <c r="F154" i="2" s="1"/>
  <c r="N153" i="3" s="1"/>
  <c r="B154" i="3"/>
  <c r="B156" i="2"/>
  <c r="O150" i="3"/>
  <c r="H151" i="4" s="1"/>
  <c r="U150" i="3"/>
  <c r="J151" i="4" s="1"/>
  <c r="I150" i="3"/>
  <c r="F151" i="4" s="1"/>
  <c r="E154" i="2"/>
  <c r="H153" i="3" s="1"/>
  <c r="C155" i="2"/>
  <c r="T154" i="2"/>
  <c r="D155" i="2"/>
  <c r="M155" i="2"/>
  <c r="J154" i="2"/>
  <c r="G154" i="2" s="1"/>
  <c r="T153" i="3" s="1"/>
  <c r="D153" i="4" l="1"/>
  <c r="AA153" i="3"/>
  <c r="C154" i="4"/>
  <c r="AB153" i="3"/>
  <c r="E154" i="4" s="1"/>
  <c r="N156" i="2"/>
  <c r="H155" i="2"/>
  <c r="B155" i="3"/>
  <c r="B157" i="2"/>
  <c r="A155" i="4"/>
  <c r="N154" i="3"/>
  <c r="C154" i="3"/>
  <c r="P154" i="3"/>
  <c r="G154" i="3"/>
  <c r="S154" i="3"/>
  <c r="Y154" i="3" s="1"/>
  <c r="Z154" i="3" s="1"/>
  <c r="V154" i="3"/>
  <c r="E154" i="3"/>
  <c r="H154" i="3"/>
  <c r="J154" i="3"/>
  <c r="M154" i="3"/>
  <c r="J155" i="2"/>
  <c r="G155" i="2" s="1"/>
  <c r="T154" i="3" s="1"/>
  <c r="M156" i="2"/>
  <c r="D156" i="2"/>
  <c r="T155" i="2"/>
  <c r="L156" i="2"/>
  <c r="I155" i="2"/>
  <c r="C156" i="2"/>
  <c r="E155" i="2"/>
  <c r="F155" i="2"/>
  <c r="O151" i="3"/>
  <c r="H152" i="4" s="1"/>
  <c r="U151" i="3"/>
  <c r="J152" i="4" s="1"/>
  <c r="I151" i="3"/>
  <c r="F152" i="4" s="1"/>
  <c r="F152" i="3"/>
  <c r="D153" i="3"/>
  <c r="I154" i="4"/>
  <c r="M154" i="4" s="1"/>
  <c r="K154" i="4"/>
  <c r="N154" i="4" s="1"/>
  <c r="G154" i="4"/>
  <c r="L154" i="4" s="1"/>
  <c r="K158" i="2"/>
  <c r="F153" i="3" l="1"/>
  <c r="D154" i="3"/>
  <c r="T156" i="2"/>
  <c r="D157" i="2"/>
  <c r="I152" i="3"/>
  <c r="F153" i="4" s="1"/>
  <c r="U152" i="3"/>
  <c r="J153" i="4" s="1"/>
  <c r="O152" i="3"/>
  <c r="H153" i="4" s="1"/>
  <c r="M157" i="2"/>
  <c r="J156" i="2"/>
  <c r="G156" i="2" s="1"/>
  <c r="T155" i="3" s="1"/>
  <c r="I155" i="4"/>
  <c r="M155" i="4" s="1"/>
  <c r="K155" i="4"/>
  <c r="N155" i="4" s="1"/>
  <c r="G155" i="4"/>
  <c r="L155" i="4" s="1"/>
  <c r="C155" i="4"/>
  <c r="AB154" i="3"/>
  <c r="E155" i="4" s="1"/>
  <c r="B156" i="3"/>
  <c r="B158" i="2"/>
  <c r="A156" i="4"/>
  <c r="M155" i="3"/>
  <c r="C155" i="3"/>
  <c r="P155" i="3"/>
  <c r="S155" i="3"/>
  <c r="Y155" i="3" s="1"/>
  <c r="Z155" i="3" s="1"/>
  <c r="V155" i="3"/>
  <c r="E155" i="3"/>
  <c r="G155" i="3"/>
  <c r="J155" i="3"/>
  <c r="K159" i="2"/>
  <c r="N157" i="2"/>
  <c r="H156" i="2"/>
  <c r="E156" i="2" s="1"/>
  <c r="H155" i="3" s="1"/>
  <c r="F156" i="2"/>
  <c r="N155" i="3" s="1"/>
  <c r="C157" i="2"/>
  <c r="L157" i="2"/>
  <c r="I156" i="2"/>
  <c r="D154" i="4"/>
  <c r="AA154" i="3"/>
  <c r="N158" i="2" l="1"/>
  <c r="H157" i="2"/>
  <c r="C156" i="4"/>
  <c r="AB155" i="3"/>
  <c r="E156" i="4" s="1"/>
  <c r="K160" i="2"/>
  <c r="G156" i="4"/>
  <c r="L156" i="4" s="1"/>
  <c r="I156" i="4"/>
  <c r="M156" i="4" s="1"/>
  <c r="K156" i="4"/>
  <c r="N156" i="4" s="1"/>
  <c r="M158" i="2"/>
  <c r="J157" i="2"/>
  <c r="B157" i="3"/>
  <c r="B159" i="2"/>
  <c r="A157" i="4"/>
  <c r="H156" i="3"/>
  <c r="T156" i="3"/>
  <c r="J156" i="3"/>
  <c r="V156" i="3"/>
  <c r="M156" i="3"/>
  <c r="E156" i="3"/>
  <c r="G156" i="3"/>
  <c r="P156" i="3"/>
  <c r="S156" i="3"/>
  <c r="Y156" i="3" s="1"/>
  <c r="Z156" i="3" s="1"/>
  <c r="C156" i="3"/>
  <c r="D155" i="4"/>
  <c r="AA155" i="3"/>
  <c r="D158" i="2"/>
  <c r="T157" i="2"/>
  <c r="G157" i="2"/>
  <c r="I157" i="2"/>
  <c r="F157" i="2" s="1"/>
  <c r="N156" i="3" s="1"/>
  <c r="L158" i="2"/>
  <c r="C158" i="2"/>
  <c r="E157" i="2"/>
  <c r="F154" i="3"/>
  <c r="D155" i="3"/>
  <c r="I153" i="3"/>
  <c r="F154" i="4" s="1"/>
  <c r="U153" i="3"/>
  <c r="J154" i="4" s="1"/>
  <c r="O153" i="3"/>
  <c r="H154" i="4" s="1"/>
  <c r="C159" i="2" l="1"/>
  <c r="C157" i="4"/>
  <c r="AB156" i="3"/>
  <c r="E157" i="4" s="1"/>
  <c r="L159" i="2"/>
  <c r="I158" i="2"/>
  <c r="F158" i="2" s="1"/>
  <c r="N157" i="3" s="1"/>
  <c r="D156" i="4"/>
  <c r="AA156" i="3"/>
  <c r="G157" i="4"/>
  <c r="L157" i="4" s="1"/>
  <c r="I157" i="4"/>
  <c r="M157" i="4" s="1"/>
  <c r="K157" i="4"/>
  <c r="N157" i="4" s="1"/>
  <c r="K161" i="2"/>
  <c r="D156" i="3"/>
  <c r="F155" i="3"/>
  <c r="B158" i="3"/>
  <c r="B160" i="2"/>
  <c r="T158" i="2"/>
  <c r="G158" i="2"/>
  <c r="T157" i="3" s="1"/>
  <c r="D159" i="2"/>
  <c r="O154" i="3"/>
  <c r="H155" i="4" s="1"/>
  <c r="U154" i="3"/>
  <c r="J155" i="4" s="1"/>
  <c r="I154" i="3"/>
  <c r="F155" i="4" s="1"/>
  <c r="A158" i="4"/>
  <c r="E157" i="3"/>
  <c r="G157" i="3"/>
  <c r="S157" i="3"/>
  <c r="Y157" i="3" s="1"/>
  <c r="Z157" i="3" s="1"/>
  <c r="J157" i="3"/>
  <c r="V157" i="3"/>
  <c r="C157" i="3"/>
  <c r="M157" i="3"/>
  <c r="P157" i="3"/>
  <c r="M159" i="2"/>
  <c r="J158" i="2"/>
  <c r="N159" i="2"/>
  <c r="H158" i="2"/>
  <c r="E158" i="2" s="1"/>
  <c r="H157" i="3" s="1"/>
  <c r="D160" i="2" l="1"/>
  <c r="T159" i="2"/>
  <c r="B159" i="3"/>
  <c r="B161" i="2"/>
  <c r="D157" i="4"/>
  <c r="AA157" i="3"/>
  <c r="A159" i="4"/>
  <c r="N158" i="3"/>
  <c r="P158" i="3"/>
  <c r="G158" i="3"/>
  <c r="S158" i="3"/>
  <c r="Y158" i="3" s="1"/>
  <c r="Z158" i="3" s="1"/>
  <c r="C158" i="3"/>
  <c r="V158" i="3"/>
  <c r="E158" i="3"/>
  <c r="M158" i="3"/>
  <c r="J158" i="3"/>
  <c r="O155" i="3"/>
  <c r="H156" i="4" s="1"/>
  <c r="U155" i="3"/>
  <c r="J156" i="4" s="1"/>
  <c r="I155" i="3"/>
  <c r="F156" i="4" s="1"/>
  <c r="N160" i="2"/>
  <c r="H159" i="2"/>
  <c r="E159" i="2" s="1"/>
  <c r="H158" i="3" s="1"/>
  <c r="F156" i="3"/>
  <c r="D157" i="3"/>
  <c r="L160" i="2"/>
  <c r="I159" i="2"/>
  <c r="M160" i="2"/>
  <c r="J159" i="2"/>
  <c r="G159" i="2" s="1"/>
  <c r="T158" i="3" s="1"/>
  <c r="G158" i="4"/>
  <c r="L158" i="4" s="1"/>
  <c r="K158" i="4"/>
  <c r="N158" i="4" s="1"/>
  <c r="I158" i="4"/>
  <c r="M158" i="4" s="1"/>
  <c r="K162" i="2"/>
  <c r="F159" i="2"/>
  <c r="C160" i="2"/>
  <c r="C158" i="4"/>
  <c r="AB157" i="3"/>
  <c r="E158" i="4" s="1"/>
  <c r="N161" i="2" l="1"/>
  <c r="H160" i="2"/>
  <c r="G159" i="4"/>
  <c r="L159" i="4" s="1"/>
  <c r="I159" i="4"/>
  <c r="M159" i="4" s="1"/>
  <c r="K159" i="4"/>
  <c r="N159" i="4" s="1"/>
  <c r="D158" i="4"/>
  <c r="AA158" i="3"/>
  <c r="C159" i="4"/>
  <c r="AB158" i="3"/>
  <c r="E159" i="4" s="1"/>
  <c r="M161" i="2"/>
  <c r="J160" i="2"/>
  <c r="B160" i="3"/>
  <c r="B162" i="2"/>
  <c r="E160" i="2"/>
  <c r="C161" i="2"/>
  <c r="A160" i="4"/>
  <c r="M159" i="3"/>
  <c r="C159" i="3"/>
  <c r="P159" i="3"/>
  <c r="H159" i="3"/>
  <c r="G159" i="3"/>
  <c r="J159" i="3"/>
  <c r="T159" i="3"/>
  <c r="V159" i="3"/>
  <c r="E159" i="3"/>
  <c r="S159" i="3"/>
  <c r="Y159" i="3" s="1"/>
  <c r="Z159" i="3" s="1"/>
  <c r="I160" i="2"/>
  <c r="F160" i="2" s="1"/>
  <c r="N159" i="3" s="1"/>
  <c r="L161" i="2"/>
  <c r="F157" i="3"/>
  <c r="D158" i="3"/>
  <c r="D161" i="2"/>
  <c r="T160" i="2"/>
  <c r="G160" i="2"/>
  <c r="K163" i="2"/>
  <c r="I156" i="3"/>
  <c r="F157" i="4" s="1"/>
  <c r="U156" i="3"/>
  <c r="J157" i="4" s="1"/>
  <c r="O156" i="3"/>
  <c r="H157" i="4" s="1"/>
  <c r="F158" i="3" l="1"/>
  <c r="D159" i="3"/>
  <c r="I157" i="3"/>
  <c r="F158" i="4" s="1"/>
  <c r="U157" i="3"/>
  <c r="J158" i="4" s="1"/>
  <c r="O157" i="3"/>
  <c r="H158" i="4" s="1"/>
  <c r="D159" i="4"/>
  <c r="AA159" i="3"/>
  <c r="T161" i="2"/>
  <c r="D162" i="2"/>
  <c r="L162" i="2"/>
  <c r="I161" i="2"/>
  <c r="F161" i="2" s="1"/>
  <c r="N160" i="3" s="1"/>
  <c r="C160" i="4"/>
  <c r="AB159" i="3"/>
  <c r="E160" i="4" s="1"/>
  <c r="I160" i="4"/>
  <c r="M160" i="4" s="1"/>
  <c r="G160" i="4"/>
  <c r="L160" i="4" s="1"/>
  <c r="K160" i="4"/>
  <c r="N160" i="4" s="1"/>
  <c r="C162" i="2"/>
  <c r="B161" i="3"/>
  <c r="B163" i="2"/>
  <c r="A161" i="4"/>
  <c r="J160" i="3"/>
  <c r="V160" i="3"/>
  <c r="M160" i="3"/>
  <c r="P160" i="3"/>
  <c r="C160" i="3"/>
  <c r="S160" i="3"/>
  <c r="Y160" i="3" s="1"/>
  <c r="Z160" i="3" s="1"/>
  <c r="E160" i="3"/>
  <c r="G160" i="3"/>
  <c r="K164" i="2"/>
  <c r="M162" i="2"/>
  <c r="J161" i="2"/>
  <c r="G161" i="2" s="1"/>
  <c r="T160" i="3" s="1"/>
  <c r="N162" i="2"/>
  <c r="H161" i="2"/>
  <c r="E161" i="2" s="1"/>
  <c r="H160" i="3" s="1"/>
  <c r="A162" i="4" l="1"/>
  <c r="E161" i="3"/>
  <c r="G161" i="3"/>
  <c r="S161" i="3"/>
  <c r="Y161" i="3" s="1"/>
  <c r="Z161" i="3" s="1"/>
  <c r="J161" i="3"/>
  <c r="V161" i="3"/>
  <c r="H161" i="3"/>
  <c r="M161" i="3"/>
  <c r="C161" i="3"/>
  <c r="P161" i="3"/>
  <c r="D163" i="2"/>
  <c r="T162" i="2"/>
  <c r="C163" i="2"/>
  <c r="E162" i="2"/>
  <c r="I162" i="2"/>
  <c r="F162" i="2" s="1"/>
  <c r="N161" i="3" s="1"/>
  <c r="L163" i="2"/>
  <c r="C161" i="4"/>
  <c r="AB160" i="3"/>
  <c r="E161" i="4" s="1"/>
  <c r="D160" i="4"/>
  <c r="AA160" i="3"/>
  <c r="N163" i="2"/>
  <c r="H162" i="2"/>
  <c r="J162" i="2"/>
  <c r="G162" i="2" s="1"/>
  <c r="T161" i="3" s="1"/>
  <c r="M163" i="2"/>
  <c r="K165" i="2"/>
  <c r="G161" i="4"/>
  <c r="L161" i="4" s="1"/>
  <c r="K161" i="4"/>
  <c r="N161" i="4" s="1"/>
  <c r="I161" i="4"/>
  <c r="M161" i="4" s="1"/>
  <c r="D160" i="3"/>
  <c r="F159" i="3"/>
  <c r="B162" i="3"/>
  <c r="B164" i="2"/>
  <c r="O158" i="3"/>
  <c r="H159" i="4" s="1"/>
  <c r="U158" i="3"/>
  <c r="J159" i="4" s="1"/>
  <c r="I158" i="3"/>
  <c r="F159" i="4" s="1"/>
  <c r="D161" i="4" l="1"/>
  <c r="AA161" i="3"/>
  <c r="L164" i="2"/>
  <c r="I163" i="2"/>
  <c r="F163" i="2" s="1"/>
  <c r="N162" i="3" s="1"/>
  <c r="C162" i="4"/>
  <c r="AB161" i="3"/>
  <c r="E162" i="4" s="1"/>
  <c r="K166" i="2"/>
  <c r="B163" i="3"/>
  <c r="B165" i="2"/>
  <c r="M164" i="2"/>
  <c r="J163" i="2"/>
  <c r="C164" i="2"/>
  <c r="A163" i="4"/>
  <c r="P162" i="3"/>
  <c r="G162" i="3"/>
  <c r="S162" i="3"/>
  <c r="Y162" i="3" s="1"/>
  <c r="Z162" i="3" s="1"/>
  <c r="J162" i="3"/>
  <c r="M162" i="3"/>
  <c r="C162" i="3"/>
  <c r="T162" i="3"/>
  <c r="V162" i="3"/>
  <c r="E162" i="3"/>
  <c r="O159" i="3"/>
  <c r="H160" i="4" s="1"/>
  <c r="I159" i="3"/>
  <c r="F160" i="4" s="1"/>
  <c r="U159" i="3"/>
  <c r="J160" i="4" s="1"/>
  <c r="D161" i="3"/>
  <c r="F160" i="3"/>
  <c r="N164" i="2"/>
  <c r="H163" i="2"/>
  <c r="E163" i="2" s="1"/>
  <c r="H162" i="3" s="1"/>
  <c r="T163" i="2"/>
  <c r="G163" i="2"/>
  <c r="D164" i="2"/>
  <c r="G162" i="4"/>
  <c r="L162" i="4" s="1"/>
  <c r="I162" i="4"/>
  <c r="M162" i="4" s="1"/>
  <c r="K162" i="4"/>
  <c r="N162" i="4" s="1"/>
  <c r="C163" i="4" l="1"/>
  <c r="AB162" i="3"/>
  <c r="E163" i="4" s="1"/>
  <c r="B164" i="3"/>
  <c r="B166" i="2"/>
  <c r="M165" i="2"/>
  <c r="J164" i="2"/>
  <c r="N165" i="2"/>
  <c r="H164" i="2"/>
  <c r="A164" i="4"/>
  <c r="M163" i="3"/>
  <c r="P163" i="3"/>
  <c r="C163" i="3"/>
  <c r="E163" i="3"/>
  <c r="S163" i="3"/>
  <c r="Y163" i="3" s="1"/>
  <c r="Z163" i="3" s="1"/>
  <c r="V163" i="3"/>
  <c r="J163" i="3"/>
  <c r="G163" i="3"/>
  <c r="O160" i="3"/>
  <c r="H161" i="4" s="1"/>
  <c r="U160" i="3"/>
  <c r="J161" i="4" s="1"/>
  <c r="I160" i="3"/>
  <c r="F161" i="4" s="1"/>
  <c r="D162" i="3"/>
  <c r="F161" i="3"/>
  <c r="K167" i="2"/>
  <c r="G163" i="4"/>
  <c r="L163" i="4" s="1"/>
  <c r="I163" i="4"/>
  <c r="M163" i="4" s="1"/>
  <c r="K163" i="4"/>
  <c r="N163" i="4" s="1"/>
  <c r="C165" i="2"/>
  <c r="F164" i="2"/>
  <c r="N163" i="3" s="1"/>
  <c r="E164" i="2"/>
  <c r="H163" i="3" s="1"/>
  <c r="L165" i="2"/>
  <c r="I164" i="2"/>
  <c r="D162" i="4"/>
  <c r="AA162" i="3"/>
  <c r="G164" i="2"/>
  <c r="T163" i="3" s="1"/>
  <c r="D165" i="2"/>
  <c r="T164" i="2"/>
  <c r="C166" i="2" l="1"/>
  <c r="D163" i="3"/>
  <c r="F162" i="3"/>
  <c r="N166" i="2"/>
  <c r="H165" i="2"/>
  <c r="E165" i="2" s="1"/>
  <c r="H164" i="3" s="1"/>
  <c r="B165" i="3"/>
  <c r="B167" i="2"/>
  <c r="C164" i="4"/>
  <c r="AB163" i="3"/>
  <c r="E164" i="4" s="1"/>
  <c r="T165" i="2"/>
  <c r="D166" i="2"/>
  <c r="J165" i="2"/>
  <c r="G165" i="2" s="1"/>
  <c r="T164" i="3" s="1"/>
  <c r="M166" i="2"/>
  <c r="A165" i="4"/>
  <c r="M164" i="3"/>
  <c r="C164" i="3"/>
  <c r="P164" i="3"/>
  <c r="E164" i="3"/>
  <c r="S164" i="3"/>
  <c r="Y164" i="3" s="1"/>
  <c r="Z164" i="3" s="1"/>
  <c r="G164" i="3"/>
  <c r="V164" i="3"/>
  <c r="J164" i="3"/>
  <c r="G164" i="4"/>
  <c r="L164" i="4" s="1"/>
  <c r="K164" i="4"/>
  <c r="N164" i="4" s="1"/>
  <c r="I164" i="4"/>
  <c r="M164" i="4" s="1"/>
  <c r="K168" i="2"/>
  <c r="D163" i="4"/>
  <c r="AA163" i="3"/>
  <c r="L166" i="2"/>
  <c r="I165" i="2"/>
  <c r="F165" i="2" s="1"/>
  <c r="N164" i="3" s="1"/>
  <c r="I161" i="3"/>
  <c r="F162" i="4" s="1"/>
  <c r="U161" i="3"/>
  <c r="J162" i="4" s="1"/>
  <c r="O161" i="3"/>
  <c r="H162" i="4" s="1"/>
  <c r="K169" i="2" l="1"/>
  <c r="B166" i="3"/>
  <c r="B168" i="2"/>
  <c r="A166" i="4"/>
  <c r="J165" i="3"/>
  <c r="C165" i="3"/>
  <c r="P165" i="3"/>
  <c r="E165" i="3"/>
  <c r="S165" i="3"/>
  <c r="Y165" i="3" s="1"/>
  <c r="Z165" i="3" s="1"/>
  <c r="M165" i="3"/>
  <c r="V165" i="3"/>
  <c r="G165" i="3"/>
  <c r="C165" i="4"/>
  <c r="AB164" i="3"/>
  <c r="E165" i="4" s="1"/>
  <c r="N167" i="2"/>
  <c r="H166" i="2"/>
  <c r="G165" i="4"/>
  <c r="L165" i="4" s="1"/>
  <c r="I165" i="4"/>
  <c r="M165" i="4" s="1"/>
  <c r="K165" i="4"/>
  <c r="N165" i="4" s="1"/>
  <c r="O162" i="3"/>
  <c r="H163" i="4" s="1"/>
  <c r="I162" i="3"/>
  <c r="F163" i="4" s="1"/>
  <c r="U162" i="3"/>
  <c r="J163" i="4" s="1"/>
  <c r="M167" i="2"/>
  <c r="J166" i="2"/>
  <c r="D164" i="3"/>
  <c r="F163" i="3"/>
  <c r="L167" i="2"/>
  <c r="I166" i="2"/>
  <c r="F166" i="2" s="1"/>
  <c r="N165" i="3" s="1"/>
  <c r="E166" i="2"/>
  <c r="H165" i="3" s="1"/>
  <c r="C167" i="2"/>
  <c r="D164" i="4"/>
  <c r="AA164" i="3"/>
  <c r="T166" i="2"/>
  <c r="G166" i="2"/>
  <c r="T165" i="3" s="1"/>
  <c r="D167" i="2"/>
  <c r="L168" i="2" l="1"/>
  <c r="I167" i="2"/>
  <c r="O163" i="3"/>
  <c r="H164" i="4" s="1"/>
  <c r="I163" i="3"/>
  <c r="F164" i="4" s="1"/>
  <c r="U163" i="3"/>
  <c r="J164" i="4" s="1"/>
  <c r="D165" i="3"/>
  <c r="F164" i="3"/>
  <c r="D168" i="2"/>
  <c r="T167" i="2"/>
  <c r="G167" i="2"/>
  <c r="N168" i="2"/>
  <c r="H167" i="2"/>
  <c r="E167" i="2" s="1"/>
  <c r="H166" i="3" s="1"/>
  <c r="J167" i="2"/>
  <c r="M168" i="2"/>
  <c r="I166" i="4"/>
  <c r="M166" i="4" s="1"/>
  <c r="K166" i="4"/>
  <c r="N166" i="4" s="1"/>
  <c r="G166" i="4"/>
  <c r="L166" i="4" s="1"/>
  <c r="D165" i="4"/>
  <c r="AA165" i="3"/>
  <c r="B167" i="3"/>
  <c r="B169" i="2"/>
  <c r="A167" i="4"/>
  <c r="M166" i="3"/>
  <c r="N166" i="3"/>
  <c r="C166" i="3"/>
  <c r="P166" i="3"/>
  <c r="T166" i="3"/>
  <c r="J166" i="3"/>
  <c r="S166" i="3"/>
  <c r="Y166" i="3" s="1"/>
  <c r="Z166" i="3" s="1"/>
  <c r="V166" i="3"/>
  <c r="E166" i="3"/>
  <c r="G166" i="3"/>
  <c r="C168" i="2"/>
  <c r="F167" i="2"/>
  <c r="C166" i="4"/>
  <c r="AB165" i="3"/>
  <c r="E166" i="4" s="1"/>
  <c r="K170" i="2"/>
  <c r="B168" i="3" l="1"/>
  <c r="B170" i="2"/>
  <c r="N169" i="2"/>
  <c r="H168" i="2"/>
  <c r="D166" i="4"/>
  <c r="AA166" i="3"/>
  <c r="A168" i="4"/>
  <c r="J167" i="3"/>
  <c r="V167" i="3"/>
  <c r="M167" i="3"/>
  <c r="C167" i="3"/>
  <c r="E167" i="3"/>
  <c r="P167" i="3"/>
  <c r="S167" i="3"/>
  <c r="Y167" i="3" s="1"/>
  <c r="Z167" i="3" s="1"/>
  <c r="G167" i="3"/>
  <c r="T168" i="2"/>
  <c r="D169" i="2"/>
  <c r="K171" i="2"/>
  <c r="O164" i="3"/>
  <c r="H165" i="4" s="1"/>
  <c r="I164" i="3"/>
  <c r="F165" i="4" s="1"/>
  <c r="U164" i="3"/>
  <c r="J165" i="4" s="1"/>
  <c r="F165" i="3"/>
  <c r="D166" i="3"/>
  <c r="C167" i="4"/>
  <c r="AB166" i="3"/>
  <c r="E167" i="4" s="1"/>
  <c r="M169" i="2"/>
  <c r="J168" i="2"/>
  <c r="G168" i="2" s="1"/>
  <c r="T167" i="3" s="1"/>
  <c r="E168" i="2"/>
  <c r="H167" i="3" s="1"/>
  <c r="F168" i="2"/>
  <c r="N167" i="3" s="1"/>
  <c r="C169" i="2"/>
  <c r="K167" i="4"/>
  <c r="N167" i="4" s="1"/>
  <c r="G167" i="4"/>
  <c r="L167" i="4" s="1"/>
  <c r="I167" i="4"/>
  <c r="M167" i="4" s="1"/>
  <c r="L169" i="2"/>
  <c r="I168" i="2"/>
  <c r="C168" i="4" l="1"/>
  <c r="AB167" i="3"/>
  <c r="E168" i="4" s="1"/>
  <c r="K172" i="2"/>
  <c r="D170" i="2"/>
  <c r="T169" i="2"/>
  <c r="M170" i="2"/>
  <c r="J169" i="2"/>
  <c r="G169" i="2" s="1"/>
  <c r="T168" i="3" s="1"/>
  <c r="K168" i="4"/>
  <c r="N168" i="4" s="1"/>
  <c r="G168" i="4"/>
  <c r="L168" i="4" s="1"/>
  <c r="I168" i="4"/>
  <c r="M168" i="4" s="1"/>
  <c r="I169" i="2"/>
  <c r="L170" i="2"/>
  <c r="D167" i="4"/>
  <c r="AA167" i="3"/>
  <c r="C170" i="2"/>
  <c r="E169" i="2"/>
  <c r="H168" i="3" s="1"/>
  <c r="F169" i="2"/>
  <c r="N168" i="3" s="1"/>
  <c r="F166" i="3"/>
  <c r="D167" i="3"/>
  <c r="O165" i="3"/>
  <c r="H166" i="4" s="1"/>
  <c r="U165" i="3"/>
  <c r="J166" i="4" s="1"/>
  <c r="I165" i="3"/>
  <c r="F166" i="4" s="1"/>
  <c r="N170" i="2"/>
  <c r="H169" i="2"/>
  <c r="B169" i="3"/>
  <c r="B171" i="2"/>
  <c r="A169" i="4"/>
  <c r="E168" i="3"/>
  <c r="G168" i="3"/>
  <c r="S168" i="3"/>
  <c r="Y168" i="3" s="1"/>
  <c r="Z168" i="3" s="1"/>
  <c r="J168" i="3"/>
  <c r="V168" i="3"/>
  <c r="M168" i="3"/>
  <c r="P168" i="3"/>
  <c r="C168" i="3"/>
  <c r="F167" i="3" l="1"/>
  <c r="D168" i="3"/>
  <c r="O166" i="3"/>
  <c r="H167" i="4" s="1"/>
  <c r="U166" i="3"/>
  <c r="J167" i="4" s="1"/>
  <c r="I166" i="3"/>
  <c r="F167" i="4" s="1"/>
  <c r="I169" i="4"/>
  <c r="M169" i="4" s="1"/>
  <c r="K169" i="4"/>
  <c r="N169" i="4" s="1"/>
  <c r="G169" i="4"/>
  <c r="L169" i="4" s="1"/>
  <c r="C171" i="2"/>
  <c r="M171" i="2"/>
  <c r="J170" i="2"/>
  <c r="B170" i="3"/>
  <c r="B172" i="2"/>
  <c r="D168" i="4"/>
  <c r="AA168" i="3"/>
  <c r="A170" i="4"/>
  <c r="P169" i="3"/>
  <c r="G169" i="3"/>
  <c r="S169" i="3"/>
  <c r="Y169" i="3" s="1"/>
  <c r="Z169" i="3" s="1"/>
  <c r="C169" i="3"/>
  <c r="V169" i="3"/>
  <c r="E169" i="3"/>
  <c r="J169" i="3"/>
  <c r="M169" i="3"/>
  <c r="T169" i="3"/>
  <c r="L171" i="2"/>
  <c r="I170" i="2"/>
  <c r="F170" i="2" s="1"/>
  <c r="N169" i="3" s="1"/>
  <c r="T170" i="2"/>
  <c r="G170" i="2"/>
  <c r="D171" i="2"/>
  <c r="N171" i="2"/>
  <c r="H170" i="2"/>
  <c r="E170" i="2" s="1"/>
  <c r="H169" i="3" s="1"/>
  <c r="K173" i="2"/>
  <c r="C169" i="4"/>
  <c r="AB168" i="3"/>
  <c r="E169" i="4" s="1"/>
  <c r="I170" i="4" l="1"/>
  <c r="M170" i="4" s="1"/>
  <c r="K170" i="4"/>
  <c r="N170" i="4" s="1"/>
  <c r="G170" i="4"/>
  <c r="L170" i="4" s="1"/>
  <c r="L172" i="2"/>
  <c r="I171" i="2"/>
  <c r="C170" i="4"/>
  <c r="AB169" i="3"/>
  <c r="E170" i="4" s="1"/>
  <c r="B171" i="3"/>
  <c r="B173" i="2"/>
  <c r="A171" i="4"/>
  <c r="M170" i="3"/>
  <c r="P170" i="3"/>
  <c r="N170" i="3"/>
  <c r="S170" i="3"/>
  <c r="Y170" i="3" s="1"/>
  <c r="Z170" i="3" s="1"/>
  <c r="C170" i="3"/>
  <c r="E170" i="3"/>
  <c r="J170" i="3"/>
  <c r="G170" i="3"/>
  <c r="V170" i="3"/>
  <c r="K174" i="2"/>
  <c r="M172" i="2"/>
  <c r="J171" i="2"/>
  <c r="G171" i="2" s="1"/>
  <c r="T170" i="3" s="1"/>
  <c r="N172" i="2"/>
  <c r="H171" i="2"/>
  <c r="F171" i="2"/>
  <c r="C172" i="2"/>
  <c r="E171" i="2"/>
  <c r="H170" i="3" s="1"/>
  <c r="F168" i="3"/>
  <c r="D169" i="3"/>
  <c r="D169" i="4"/>
  <c r="AA169" i="3"/>
  <c r="D172" i="2"/>
  <c r="T171" i="2"/>
  <c r="I167" i="3"/>
  <c r="F168" i="4" s="1"/>
  <c r="U167" i="3"/>
  <c r="J168" i="4" s="1"/>
  <c r="O167" i="3"/>
  <c r="H168" i="4" s="1"/>
  <c r="B172" i="3" l="1"/>
  <c r="B174" i="2"/>
  <c r="D170" i="3"/>
  <c r="F169" i="3"/>
  <c r="I168" i="3"/>
  <c r="F169" i="4" s="1"/>
  <c r="U168" i="3"/>
  <c r="J169" i="4" s="1"/>
  <c r="O168" i="3"/>
  <c r="H169" i="4" s="1"/>
  <c r="A172" i="4"/>
  <c r="H171" i="3"/>
  <c r="J171" i="3"/>
  <c r="V171" i="3"/>
  <c r="P171" i="3"/>
  <c r="C171" i="3"/>
  <c r="E171" i="3"/>
  <c r="S171" i="3"/>
  <c r="Y171" i="3" s="1"/>
  <c r="Z171" i="3" s="1"/>
  <c r="G171" i="3"/>
  <c r="M171" i="3"/>
  <c r="E172" i="2"/>
  <c r="C173" i="2"/>
  <c r="I172" i="2"/>
  <c r="F172" i="2" s="1"/>
  <c r="N171" i="3" s="1"/>
  <c r="L173" i="2"/>
  <c r="N173" i="2"/>
  <c r="H172" i="2"/>
  <c r="D173" i="2"/>
  <c r="T172" i="2"/>
  <c r="M173" i="2"/>
  <c r="J172" i="2"/>
  <c r="G172" i="2" s="1"/>
  <c r="T171" i="3" s="1"/>
  <c r="C171" i="4"/>
  <c r="AB170" i="3"/>
  <c r="E171" i="4" s="1"/>
  <c r="D170" i="4"/>
  <c r="AA170" i="3"/>
  <c r="K175" i="2"/>
  <c r="G171" i="4"/>
  <c r="L171" i="4" s="1"/>
  <c r="I171" i="4"/>
  <c r="M171" i="4" s="1"/>
  <c r="K171" i="4"/>
  <c r="N171" i="4" s="1"/>
  <c r="C174" i="2" l="1"/>
  <c r="L174" i="2"/>
  <c r="I173" i="2"/>
  <c r="F173" i="2" s="1"/>
  <c r="N172" i="3" s="1"/>
  <c r="D171" i="4"/>
  <c r="AA171" i="3"/>
  <c r="G172" i="4"/>
  <c r="L172" i="4" s="1"/>
  <c r="I172" i="4"/>
  <c r="M172" i="4" s="1"/>
  <c r="K172" i="4"/>
  <c r="N172" i="4" s="1"/>
  <c r="C172" i="4"/>
  <c r="AB171" i="3"/>
  <c r="E172" i="4" s="1"/>
  <c r="M174" i="2"/>
  <c r="J173" i="2"/>
  <c r="K176" i="2"/>
  <c r="I169" i="3"/>
  <c r="F170" i="4" s="1"/>
  <c r="U169" i="3"/>
  <c r="J170" i="4" s="1"/>
  <c r="O169" i="3"/>
  <c r="H170" i="4" s="1"/>
  <c r="T173" i="2"/>
  <c r="G173" i="2"/>
  <c r="T172" i="3" s="1"/>
  <c r="D174" i="2"/>
  <c r="F170" i="3"/>
  <c r="D171" i="3"/>
  <c r="B173" i="3"/>
  <c r="B175" i="2"/>
  <c r="N174" i="2"/>
  <c r="H173" i="2"/>
  <c r="E173" i="2" s="1"/>
  <c r="H172" i="3" s="1"/>
  <c r="A173" i="4"/>
  <c r="E172" i="3"/>
  <c r="G172" i="3"/>
  <c r="S172" i="3"/>
  <c r="Y172" i="3" s="1"/>
  <c r="Z172" i="3" s="1"/>
  <c r="P172" i="3"/>
  <c r="C172" i="3"/>
  <c r="V172" i="3"/>
  <c r="J172" i="3"/>
  <c r="M172" i="3"/>
  <c r="G173" i="4" l="1"/>
  <c r="L173" i="4" s="1"/>
  <c r="I173" i="4"/>
  <c r="M173" i="4" s="1"/>
  <c r="K173" i="4"/>
  <c r="N173" i="4" s="1"/>
  <c r="C173" i="4"/>
  <c r="AB172" i="3"/>
  <c r="E173" i="4" s="1"/>
  <c r="D172" i="4"/>
  <c r="AA172" i="3"/>
  <c r="N175" i="2"/>
  <c r="H174" i="2"/>
  <c r="E174" i="2" s="1"/>
  <c r="H173" i="3" s="1"/>
  <c r="K177" i="2"/>
  <c r="B174" i="3"/>
  <c r="B176" i="2"/>
  <c r="A174" i="4"/>
  <c r="P173" i="3"/>
  <c r="C173" i="3"/>
  <c r="E173" i="3"/>
  <c r="S173" i="3"/>
  <c r="Y173" i="3" s="1"/>
  <c r="Z173" i="3" s="1"/>
  <c r="T173" i="3"/>
  <c r="G173" i="3"/>
  <c r="V173" i="3"/>
  <c r="J173" i="3"/>
  <c r="M173" i="3"/>
  <c r="J174" i="2"/>
  <c r="M175" i="2"/>
  <c r="I174" i="2"/>
  <c r="L175" i="2"/>
  <c r="D172" i="3"/>
  <c r="F171" i="3"/>
  <c r="C175" i="2"/>
  <c r="F174" i="2"/>
  <c r="N173" i="3" s="1"/>
  <c r="O170" i="3"/>
  <c r="H171" i="4" s="1"/>
  <c r="U170" i="3"/>
  <c r="J171" i="4" s="1"/>
  <c r="I170" i="3"/>
  <c r="F171" i="4" s="1"/>
  <c r="D175" i="2"/>
  <c r="T174" i="2"/>
  <c r="G174" i="2"/>
  <c r="O171" i="3" l="1"/>
  <c r="H172" i="4" s="1"/>
  <c r="U171" i="3"/>
  <c r="J172" i="4" s="1"/>
  <c r="I171" i="3"/>
  <c r="F172" i="4" s="1"/>
  <c r="D173" i="4"/>
  <c r="AA173" i="3"/>
  <c r="C176" i="2"/>
  <c r="D173" i="3"/>
  <c r="F172" i="3"/>
  <c r="N176" i="2"/>
  <c r="H175" i="2"/>
  <c r="E175" i="2" s="1"/>
  <c r="H174" i="3" s="1"/>
  <c r="L176" i="2"/>
  <c r="I175" i="2"/>
  <c r="F175" i="2" s="1"/>
  <c r="N174" i="3" s="1"/>
  <c r="M176" i="2"/>
  <c r="J175" i="2"/>
  <c r="G175" i="2" s="1"/>
  <c r="T174" i="3" s="1"/>
  <c r="T175" i="2"/>
  <c r="D176" i="2"/>
  <c r="G174" i="4"/>
  <c r="L174" i="4" s="1"/>
  <c r="I174" i="4"/>
  <c r="M174" i="4" s="1"/>
  <c r="K174" i="4"/>
  <c r="N174" i="4" s="1"/>
  <c r="C174" i="4"/>
  <c r="AB173" i="3"/>
  <c r="E174" i="4" s="1"/>
  <c r="B175" i="3"/>
  <c r="B177" i="2"/>
  <c r="A175" i="4"/>
  <c r="M174" i="3"/>
  <c r="E174" i="3"/>
  <c r="S174" i="3"/>
  <c r="Y174" i="3" s="1"/>
  <c r="Z174" i="3" s="1"/>
  <c r="G174" i="3"/>
  <c r="V174" i="3"/>
  <c r="J174" i="3"/>
  <c r="C174" i="3"/>
  <c r="P174" i="3"/>
  <c r="K178" i="2"/>
  <c r="O172" i="3" l="1"/>
  <c r="H173" i="4" s="1"/>
  <c r="U172" i="3"/>
  <c r="J173" i="4" s="1"/>
  <c r="I172" i="3"/>
  <c r="F173" i="4" s="1"/>
  <c r="D174" i="3"/>
  <c r="F173" i="3"/>
  <c r="C175" i="4"/>
  <c r="AB174" i="3"/>
  <c r="E175" i="4" s="1"/>
  <c r="D177" i="2"/>
  <c r="T176" i="2"/>
  <c r="K179" i="2"/>
  <c r="G175" i="4"/>
  <c r="L175" i="4" s="1"/>
  <c r="I175" i="4"/>
  <c r="M175" i="4" s="1"/>
  <c r="K175" i="4"/>
  <c r="N175" i="4" s="1"/>
  <c r="C177" i="2"/>
  <c r="E176" i="2"/>
  <c r="H175" i="3" s="1"/>
  <c r="B176" i="3"/>
  <c r="B178" i="2"/>
  <c r="D174" i="4"/>
  <c r="AA174" i="3"/>
  <c r="A176" i="4"/>
  <c r="J175" i="3"/>
  <c r="V175" i="3"/>
  <c r="C175" i="3"/>
  <c r="E175" i="3"/>
  <c r="S175" i="3"/>
  <c r="Y175" i="3" s="1"/>
  <c r="Z175" i="3" s="1"/>
  <c r="G175" i="3"/>
  <c r="P175" i="3"/>
  <c r="M175" i="3"/>
  <c r="M177" i="2"/>
  <c r="J176" i="2"/>
  <c r="G176" i="2" s="1"/>
  <c r="T175" i="3" s="1"/>
  <c r="N177" i="2"/>
  <c r="H176" i="2"/>
  <c r="L177" i="2"/>
  <c r="I176" i="2"/>
  <c r="F176" i="2" s="1"/>
  <c r="N175" i="3" s="1"/>
  <c r="A177" i="4" l="1"/>
  <c r="E176" i="3"/>
  <c r="G176" i="3"/>
  <c r="S176" i="3"/>
  <c r="Y176" i="3" s="1"/>
  <c r="Z176" i="3" s="1"/>
  <c r="V176" i="3"/>
  <c r="J176" i="3"/>
  <c r="M176" i="3"/>
  <c r="C176" i="3"/>
  <c r="N176" i="3"/>
  <c r="P176" i="3"/>
  <c r="T177" i="2"/>
  <c r="D178" i="2"/>
  <c r="K180" i="2"/>
  <c r="E177" i="2"/>
  <c r="H176" i="3" s="1"/>
  <c r="F177" i="2"/>
  <c r="C178" i="2"/>
  <c r="L178" i="2"/>
  <c r="I177" i="2"/>
  <c r="B177" i="3"/>
  <c r="B179" i="2"/>
  <c r="U173" i="3"/>
  <c r="J174" i="4" s="1"/>
  <c r="I173" i="3"/>
  <c r="F174" i="4" s="1"/>
  <c r="O173" i="3"/>
  <c r="H174" i="4" s="1"/>
  <c r="N178" i="2"/>
  <c r="H177" i="2"/>
  <c r="D175" i="3"/>
  <c r="F174" i="3"/>
  <c r="M178" i="2"/>
  <c r="J177" i="2"/>
  <c r="G177" i="2" s="1"/>
  <c r="T176" i="3" s="1"/>
  <c r="G176" i="4"/>
  <c r="L176" i="4" s="1"/>
  <c r="K176" i="4"/>
  <c r="N176" i="4" s="1"/>
  <c r="I176" i="4"/>
  <c r="M176" i="4" s="1"/>
  <c r="C176" i="4"/>
  <c r="AB175" i="3"/>
  <c r="E176" i="4" s="1"/>
  <c r="D175" i="4"/>
  <c r="AA175" i="3"/>
  <c r="B178" i="3" l="1"/>
  <c r="B180" i="2"/>
  <c r="C177" i="4"/>
  <c r="AB176" i="3"/>
  <c r="E177" i="4" s="1"/>
  <c r="M179" i="2"/>
  <c r="J178" i="2"/>
  <c r="C179" i="2"/>
  <c r="L179" i="2"/>
  <c r="I178" i="2"/>
  <c r="F178" i="2" s="1"/>
  <c r="N177" i="3" s="1"/>
  <c r="D176" i="4"/>
  <c r="AA176" i="3"/>
  <c r="U174" i="3"/>
  <c r="J175" i="4" s="1"/>
  <c r="I174" i="3"/>
  <c r="F175" i="4" s="1"/>
  <c r="O174" i="3"/>
  <c r="H175" i="4" s="1"/>
  <c r="D176" i="3"/>
  <c r="F175" i="3"/>
  <c r="A178" i="4"/>
  <c r="P177" i="3"/>
  <c r="G177" i="3"/>
  <c r="V177" i="3"/>
  <c r="J177" i="3"/>
  <c r="M177" i="3"/>
  <c r="E177" i="3"/>
  <c r="S177" i="3"/>
  <c r="Y177" i="3" s="1"/>
  <c r="Z177" i="3" s="1"/>
  <c r="C177" i="3"/>
  <c r="K181" i="2"/>
  <c r="N179" i="2"/>
  <c r="H178" i="2"/>
  <c r="E178" i="2" s="1"/>
  <c r="H177" i="3" s="1"/>
  <c r="T178" i="2"/>
  <c r="G178" i="2"/>
  <c r="T177" i="3" s="1"/>
  <c r="D179" i="2"/>
  <c r="G177" i="4"/>
  <c r="L177" i="4" s="1"/>
  <c r="K177" i="4"/>
  <c r="N177" i="4" s="1"/>
  <c r="I177" i="4"/>
  <c r="M177" i="4" s="1"/>
  <c r="L180" i="2" l="1"/>
  <c r="I179" i="2"/>
  <c r="N180" i="2"/>
  <c r="H179" i="2"/>
  <c r="C180" i="2"/>
  <c r="E179" i="2"/>
  <c r="F179" i="2"/>
  <c r="K182" i="2"/>
  <c r="I178" i="4"/>
  <c r="M178" i="4" s="1"/>
  <c r="G178" i="4"/>
  <c r="L178" i="4" s="1"/>
  <c r="K178" i="4"/>
  <c r="N178" i="4" s="1"/>
  <c r="U175" i="3"/>
  <c r="J176" i="4" s="1"/>
  <c r="I175" i="3"/>
  <c r="F176" i="4" s="1"/>
  <c r="O175" i="3"/>
  <c r="H176" i="4" s="1"/>
  <c r="D177" i="3"/>
  <c r="F176" i="3"/>
  <c r="J179" i="2"/>
  <c r="M180" i="2"/>
  <c r="C178" i="4"/>
  <c r="AB177" i="3"/>
  <c r="E178" i="4" s="1"/>
  <c r="B179" i="3"/>
  <c r="B181" i="2"/>
  <c r="D180" i="2"/>
  <c r="T179" i="2"/>
  <c r="G179" i="2"/>
  <c r="D177" i="4"/>
  <c r="AA177" i="3"/>
  <c r="A179" i="4"/>
  <c r="M178" i="3"/>
  <c r="G178" i="3"/>
  <c r="T178" i="3"/>
  <c r="H178" i="3"/>
  <c r="V178" i="3"/>
  <c r="J178" i="3"/>
  <c r="N178" i="3"/>
  <c r="S178" i="3"/>
  <c r="Y178" i="3" s="1"/>
  <c r="Z178" i="3" s="1"/>
  <c r="C178" i="3"/>
  <c r="E178" i="3"/>
  <c r="P178" i="3"/>
  <c r="M181" i="2" l="1"/>
  <c r="J180" i="2"/>
  <c r="C179" i="4"/>
  <c r="AB178" i="3"/>
  <c r="E179" i="4" s="1"/>
  <c r="K183" i="2"/>
  <c r="K179" i="4"/>
  <c r="N179" i="4" s="1"/>
  <c r="G179" i="4"/>
  <c r="L179" i="4" s="1"/>
  <c r="I179" i="4"/>
  <c r="M179" i="4" s="1"/>
  <c r="U176" i="3"/>
  <c r="J177" i="4" s="1"/>
  <c r="I176" i="3"/>
  <c r="F177" i="4" s="1"/>
  <c r="O176" i="3"/>
  <c r="H177" i="4" s="1"/>
  <c r="D178" i="4"/>
  <c r="AA178" i="3"/>
  <c r="F177" i="3"/>
  <c r="D178" i="3"/>
  <c r="E180" i="2"/>
  <c r="F180" i="2"/>
  <c r="N179" i="3" s="1"/>
  <c r="C181" i="2"/>
  <c r="T180" i="2"/>
  <c r="G180" i="2"/>
  <c r="D181" i="2"/>
  <c r="N181" i="2"/>
  <c r="H180" i="2"/>
  <c r="B180" i="3"/>
  <c r="B182" i="2"/>
  <c r="A180" i="4"/>
  <c r="G179" i="3"/>
  <c r="S179" i="3"/>
  <c r="Y179" i="3" s="1"/>
  <c r="Z179" i="3" s="1"/>
  <c r="H179" i="3"/>
  <c r="T179" i="3"/>
  <c r="J179" i="3"/>
  <c r="V179" i="3"/>
  <c r="M179" i="3"/>
  <c r="C179" i="3"/>
  <c r="E179" i="3"/>
  <c r="P179" i="3"/>
  <c r="L181" i="2"/>
  <c r="I180" i="2"/>
  <c r="C182" i="2" l="1"/>
  <c r="F178" i="3"/>
  <c r="D179" i="3"/>
  <c r="I181" i="2"/>
  <c r="F181" i="2" s="1"/>
  <c r="N180" i="3" s="1"/>
  <c r="L182" i="2"/>
  <c r="K180" i="4"/>
  <c r="N180" i="4" s="1"/>
  <c r="G180" i="4"/>
  <c r="L180" i="4" s="1"/>
  <c r="I180" i="4"/>
  <c r="M180" i="4" s="1"/>
  <c r="U177" i="3"/>
  <c r="J178" i="4" s="1"/>
  <c r="I177" i="3"/>
  <c r="F178" i="4" s="1"/>
  <c r="O177" i="3"/>
  <c r="H178" i="4" s="1"/>
  <c r="B181" i="3"/>
  <c r="B183" i="2"/>
  <c r="D179" i="4"/>
  <c r="AA179" i="3"/>
  <c r="K184" i="2"/>
  <c r="A181" i="4"/>
  <c r="C180" i="3"/>
  <c r="P180" i="3"/>
  <c r="E180" i="3"/>
  <c r="G180" i="3"/>
  <c r="S180" i="3"/>
  <c r="Y180" i="3" s="1"/>
  <c r="Z180" i="3" s="1"/>
  <c r="J180" i="3"/>
  <c r="V180" i="3"/>
  <c r="M180" i="3"/>
  <c r="N182" i="2"/>
  <c r="H181" i="2"/>
  <c r="E181" i="2" s="1"/>
  <c r="H180" i="3" s="1"/>
  <c r="C180" i="4"/>
  <c r="AB179" i="3"/>
  <c r="E180" i="4" s="1"/>
  <c r="D182" i="2"/>
  <c r="T181" i="2"/>
  <c r="M182" i="2"/>
  <c r="J181" i="2"/>
  <c r="G181" i="2" s="1"/>
  <c r="T180" i="3" s="1"/>
  <c r="C181" i="4" l="1"/>
  <c r="AB180" i="3"/>
  <c r="E181" i="4" s="1"/>
  <c r="N183" i="2"/>
  <c r="H182" i="2"/>
  <c r="D180" i="4"/>
  <c r="AA180" i="3"/>
  <c r="L183" i="2"/>
  <c r="I182" i="2"/>
  <c r="I181" i="4"/>
  <c r="M181" i="4" s="1"/>
  <c r="K181" i="4"/>
  <c r="N181" i="4" s="1"/>
  <c r="G181" i="4"/>
  <c r="L181" i="4" s="1"/>
  <c r="M183" i="2"/>
  <c r="J182" i="2"/>
  <c r="B182" i="3"/>
  <c r="B184" i="2"/>
  <c r="A182" i="4"/>
  <c r="M181" i="3"/>
  <c r="N181" i="3"/>
  <c r="C181" i="3"/>
  <c r="P181" i="3"/>
  <c r="E181" i="3"/>
  <c r="G181" i="3"/>
  <c r="S181" i="3"/>
  <c r="Y181" i="3" s="1"/>
  <c r="Z181" i="3" s="1"/>
  <c r="J181" i="3"/>
  <c r="T181" i="3"/>
  <c r="V181" i="3"/>
  <c r="F179" i="3"/>
  <c r="D180" i="3"/>
  <c r="K185" i="2"/>
  <c r="U178" i="3"/>
  <c r="J179" i="4" s="1"/>
  <c r="I178" i="3"/>
  <c r="F179" i="4" s="1"/>
  <c r="O178" i="3"/>
  <c r="H179" i="4" s="1"/>
  <c r="T182" i="2"/>
  <c r="G182" i="2"/>
  <c r="D183" i="2"/>
  <c r="E182" i="2"/>
  <c r="H181" i="3" s="1"/>
  <c r="F182" i="2"/>
  <c r="C183" i="2"/>
  <c r="F180" i="3" l="1"/>
  <c r="D181" i="3"/>
  <c r="C182" i="4"/>
  <c r="AB181" i="3"/>
  <c r="E182" i="4" s="1"/>
  <c r="C184" i="2"/>
  <c r="I179" i="3"/>
  <c r="F180" i="4" s="1"/>
  <c r="U179" i="3"/>
  <c r="J180" i="4" s="1"/>
  <c r="O179" i="3"/>
  <c r="H180" i="4" s="1"/>
  <c r="I182" i="4"/>
  <c r="M182" i="4" s="1"/>
  <c r="K182" i="4"/>
  <c r="N182" i="4" s="1"/>
  <c r="G182" i="4"/>
  <c r="L182" i="4" s="1"/>
  <c r="L184" i="2"/>
  <c r="I183" i="2"/>
  <c r="F183" i="2" s="1"/>
  <c r="N182" i="3" s="1"/>
  <c r="B183" i="3"/>
  <c r="B185" i="2"/>
  <c r="D181" i="4"/>
  <c r="AA181" i="3"/>
  <c r="A183" i="4"/>
  <c r="J182" i="3"/>
  <c r="V182" i="3"/>
  <c r="M182" i="3"/>
  <c r="C182" i="3"/>
  <c r="P182" i="3"/>
  <c r="S182" i="3"/>
  <c r="Y182" i="3" s="1"/>
  <c r="Z182" i="3" s="1"/>
  <c r="G182" i="3"/>
  <c r="E182" i="3"/>
  <c r="G183" i="2"/>
  <c r="T182" i="3" s="1"/>
  <c r="D184" i="2"/>
  <c r="T183" i="2"/>
  <c r="M184" i="2"/>
  <c r="J183" i="2"/>
  <c r="N184" i="2"/>
  <c r="H183" i="2"/>
  <c r="E183" i="2" s="1"/>
  <c r="H182" i="3" s="1"/>
  <c r="K186" i="2"/>
  <c r="D185" i="2" l="1"/>
  <c r="T184" i="2"/>
  <c r="B184" i="3"/>
  <c r="B186" i="2"/>
  <c r="A184" i="4"/>
  <c r="G183" i="3"/>
  <c r="S183" i="3"/>
  <c r="Y183" i="3" s="1"/>
  <c r="Z183" i="3" s="1"/>
  <c r="J183" i="3"/>
  <c r="V183" i="3"/>
  <c r="M183" i="3"/>
  <c r="C183" i="3"/>
  <c r="E183" i="3"/>
  <c r="P183" i="3"/>
  <c r="G183" i="4"/>
  <c r="L183" i="4" s="1"/>
  <c r="I183" i="4"/>
  <c r="M183" i="4" s="1"/>
  <c r="K183" i="4"/>
  <c r="N183" i="4" s="1"/>
  <c r="K187" i="2"/>
  <c r="C185" i="2"/>
  <c r="I184" i="2"/>
  <c r="F184" i="2" s="1"/>
  <c r="N183" i="3" s="1"/>
  <c r="L185" i="2"/>
  <c r="N185" i="2"/>
  <c r="H184" i="2"/>
  <c r="E184" i="2" s="1"/>
  <c r="H183" i="3" s="1"/>
  <c r="D182" i="4"/>
  <c r="AA182" i="3"/>
  <c r="M185" i="2"/>
  <c r="J184" i="2"/>
  <c r="G184" i="2" s="1"/>
  <c r="T183" i="3" s="1"/>
  <c r="C183" i="4"/>
  <c r="AB182" i="3"/>
  <c r="E183" i="4" s="1"/>
  <c r="F181" i="3"/>
  <c r="D182" i="3"/>
  <c r="O180" i="3"/>
  <c r="H181" i="4" s="1"/>
  <c r="I180" i="3"/>
  <c r="F181" i="4" s="1"/>
  <c r="U180" i="3"/>
  <c r="J181" i="4" s="1"/>
  <c r="K188" i="2" l="1"/>
  <c r="D183" i="4"/>
  <c r="AA183" i="3"/>
  <c r="L186" i="2"/>
  <c r="I185" i="2"/>
  <c r="G184" i="4"/>
  <c r="L184" i="4" s="1"/>
  <c r="I184" i="4"/>
  <c r="M184" i="4" s="1"/>
  <c r="K184" i="4"/>
  <c r="N184" i="4" s="1"/>
  <c r="B185" i="3"/>
  <c r="B187" i="2"/>
  <c r="M186" i="2"/>
  <c r="J185" i="2"/>
  <c r="F182" i="3"/>
  <c r="D183" i="3"/>
  <c r="E185" i="2"/>
  <c r="H184" i="3" s="1"/>
  <c r="F185" i="2"/>
  <c r="C186" i="2"/>
  <c r="A185" i="4"/>
  <c r="C184" i="3"/>
  <c r="P184" i="3"/>
  <c r="E184" i="3"/>
  <c r="G184" i="3"/>
  <c r="S184" i="3"/>
  <c r="Y184" i="3" s="1"/>
  <c r="Z184" i="3" s="1"/>
  <c r="J184" i="3"/>
  <c r="V184" i="3"/>
  <c r="N184" i="3"/>
  <c r="M184" i="3"/>
  <c r="O181" i="3"/>
  <c r="H182" i="4" s="1"/>
  <c r="I181" i="3"/>
  <c r="F182" i="4" s="1"/>
  <c r="U181" i="3"/>
  <c r="J182" i="4" s="1"/>
  <c r="N186" i="2"/>
  <c r="H185" i="2"/>
  <c r="C184" i="4"/>
  <c r="AB183" i="3"/>
  <c r="E184" i="4" s="1"/>
  <c r="T185" i="2"/>
  <c r="G185" i="2"/>
  <c r="T184" i="3" s="1"/>
  <c r="D186" i="2"/>
  <c r="G185" i="4" l="1"/>
  <c r="L185" i="4" s="1"/>
  <c r="I185" i="4"/>
  <c r="M185" i="4" s="1"/>
  <c r="K185" i="4"/>
  <c r="N185" i="4" s="1"/>
  <c r="C185" i="4"/>
  <c r="AB184" i="3"/>
  <c r="E185" i="4" s="1"/>
  <c r="F183" i="3"/>
  <c r="D184" i="3"/>
  <c r="I182" i="3"/>
  <c r="F183" i="4" s="1"/>
  <c r="U182" i="3"/>
  <c r="J183" i="4" s="1"/>
  <c r="O182" i="3"/>
  <c r="H183" i="4" s="1"/>
  <c r="I186" i="2"/>
  <c r="L187" i="2"/>
  <c r="D187" i="2"/>
  <c r="G186" i="2"/>
  <c r="T186" i="2"/>
  <c r="D184" i="4"/>
  <c r="AA184" i="3"/>
  <c r="J186" i="2"/>
  <c r="M187" i="2"/>
  <c r="B186" i="3"/>
  <c r="B188" i="2"/>
  <c r="C187" i="2"/>
  <c r="F186" i="2"/>
  <c r="N187" i="2"/>
  <c r="H186" i="2"/>
  <c r="E186" i="2" s="1"/>
  <c r="H185" i="3" s="1"/>
  <c r="A186" i="4"/>
  <c r="M185" i="3"/>
  <c r="N185" i="3"/>
  <c r="C185" i="3"/>
  <c r="P185" i="3"/>
  <c r="E185" i="3"/>
  <c r="G185" i="3"/>
  <c r="S185" i="3"/>
  <c r="Y185" i="3" s="1"/>
  <c r="Z185" i="3" s="1"/>
  <c r="J185" i="3"/>
  <c r="V185" i="3"/>
  <c r="T185" i="3"/>
  <c r="K189" i="2"/>
  <c r="M188" i="2" l="1"/>
  <c r="J187" i="2"/>
  <c r="F184" i="3"/>
  <c r="D185" i="3"/>
  <c r="A187" i="4"/>
  <c r="J186" i="3"/>
  <c r="V186" i="3"/>
  <c r="M186" i="3"/>
  <c r="N186" i="3"/>
  <c r="C186" i="3"/>
  <c r="P186" i="3"/>
  <c r="G186" i="3"/>
  <c r="S186" i="3"/>
  <c r="Y186" i="3" s="1"/>
  <c r="Z186" i="3" s="1"/>
  <c r="E186" i="3"/>
  <c r="I183" i="3"/>
  <c r="F184" i="4" s="1"/>
  <c r="U183" i="3"/>
  <c r="J184" i="4" s="1"/>
  <c r="O183" i="3"/>
  <c r="H184" i="4" s="1"/>
  <c r="D185" i="4"/>
  <c r="AA185" i="3"/>
  <c r="K190" i="2"/>
  <c r="C186" i="4"/>
  <c r="AB185" i="3"/>
  <c r="E186" i="4" s="1"/>
  <c r="G186" i="4"/>
  <c r="L186" i="4" s="1"/>
  <c r="I186" i="4"/>
  <c r="M186" i="4" s="1"/>
  <c r="K186" i="4"/>
  <c r="N186" i="4" s="1"/>
  <c r="N188" i="2"/>
  <c r="H187" i="2"/>
  <c r="E187" i="2" s="1"/>
  <c r="H186" i="3" s="1"/>
  <c r="T187" i="2"/>
  <c r="G187" i="2"/>
  <c r="T186" i="3" s="1"/>
  <c r="D188" i="2"/>
  <c r="B187" i="3"/>
  <c r="B189" i="2"/>
  <c r="L188" i="2"/>
  <c r="I187" i="2"/>
  <c r="F187" i="2"/>
  <c r="C188" i="2"/>
  <c r="D189" i="2" l="1"/>
  <c r="T188" i="2"/>
  <c r="K191" i="2"/>
  <c r="N189" i="2"/>
  <c r="H188" i="2"/>
  <c r="C187" i="4"/>
  <c r="AB186" i="3"/>
  <c r="E187" i="4" s="1"/>
  <c r="D186" i="4"/>
  <c r="AA186" i="3"/>
  <c r="G187" i="4"/>
  <c r="L187" i="4" s="1"/>
  <c r="I187" i="4"/>
  <c r="M187" i="4" s="1"/>
  <c r="K187" i="4"/>
  <c r="N187" i="4" s="1"/>
  <c r="C189" i="2"/>
  <c r="E188" i="2"/>
  <c r="F185" i="3"/>
  <c r="D186" i="3"/>
  <c r="L189" i="2"/>
  <c r="I188" i="2"/>
  <c r="F188" i="2" s="1"/>
  <c r="N187" i="3" s="1"/>
  <c r="O184" i="3"/>
  <c r="H185" i="4" s="1"/>
  <c r="I184" i="3"/>
  <c r="F185" i="4" s="1"/>
  <c r="U184" i="3"/>
  <c r="J185" i="4" s="1"/>
  <c r="B188" i="3"/>
  <c r="B190" i="2"/>
  <c r="A188" i="4"/>
  <c r="G187" i="3"/>
  <c r="S187" i="3"/>
  <c r="Y187" i="3" s="1"/>
  <c r="Z187" i="3" s="1"/>
  <c r="H187" i="3"/>
  <c r="J187" i="3"/>
  <c r="V187" i="3"/>
  <c r="M187" i="3"/>
  <c r="C187" i="3"/>
  <c r="E187" i="3"/>
  <c r="P187" i="3"/>
  <c r="M189" i="2"/>
  <c r="J188" i="2"/>
  <c r="G188" i="2" s="1"/>
  <c r="T187" i="3" s="1"/>
  <c r="L190" i="2" l="1"/>
  <c r="I189" i="2"/>
  <c r="F189" i="2" s="1"/>
  <c r="N188" i="3" s="1"/>
  <c r="D187" i="4"/>
  <c r="AA187" i="3"/>
  <c r="F186" i="3"/>
  <c r="D187" i="3"/>
  <c r="M190" i="2"/>
  <c r="J189" i="2"/>
  <c r="G188" i="4"/>
  <c r="L188" i="4" s="1"/>
  <c r="K188" i="4"/>
  <c r="N188" i="4" s="1"/>
  <c r="I188" i="4"/>
  <c r="M188" i="4" s="1"/>
  <c r="C190" i="2"/>
  <c r="N190" i="2"/>
  <c r="H189" i="2"/>
  <c r="E189" i="2" s="1"/>
  <c r="H188" i="3" s="1"/>
  <c r="B189" i="3"/>
  <c r="B191" i="2"/>
  <c r="O185" i="3"/>
  <c r="H186" i="4" s="1"/>
  <c r="I185" i="3"/>
  <c r="F186" i="4" s="1"/>
  <c r="U185" i="3"/>
  <c r="J186" i="4" s="1"/>
  <c r="A189" i="4"/>
  <c r="C188" i="3"/>
  <c r="P188" i="3"/>
  <c r="E188" i="3"/>
  <c r="G188" i="3"/>
  <c r="S188" i="3"/>
  <c r="Y188" i="3" s="1"/>
  <c r="Z188" i="3" s="1"/>
  <c r="T188" i="3"/>
  <c r="J188" i="3"/>
  <c r="V188" i="3"/>
  <c r="M188" i="3"/>
  <c r="K192" i="2"/>
  <c r="T189" i="2"/>
  <c r="G189" i="2"/>
  <c r="D190" i="2"/>
  <c r="C188" i="4"/>
  <c r="AB187" i="3"/>
  <c r="E188" i="4" s="1"/>
  <c r="A190" i="4" l="1"/>
  <c r="M189" i="3"/>
  <c r="C189" i="3"/>
  <c r="P189" i="3"/>
  <c r="E189" i="3"/>
  <c r="G189" i="3"/>
  <c r="S189" i="3"/>
  <c r="Y189" i="3" s="1"/>
  <c r="Z189" i="3" s="1"/>
  <c r="V189" i="3"/>
  <c r="J189" i="3"/>
  <c r="M191" i="2"/>
  <c r="J190" i="2"/>
  <c r="N191" i="2"/>
  <c r="H190" i="2"/>
  <c r="F187" i="3"/>
  <c r="D188" i="3"/>
  <c r="C189" i="4"/>
  <c r="AB188" i="3"/>
  <c r="E189" i="4" s="1"/>
  <c r="T190" i="2"/>
  <c r="G190" i="2"/>
  <c r="T189" i="3" s="1"/>
  <c r="D191" i="2"/>
  <c r="E190" i="2"/>
  <c r="H189" i="3" s="1"/>
  <c r="C191" i="2"/>
  <c r="I186" i="3"/>
  <c r="F187" i="4" s="1"/>
  <c r="U186" i="3"/>
  <c r="J187" i="4" s="1"/>
  <c r="O186" i="3"/>
  <c r="H187" i="4" s="1"/>
  <c r="B190" i="3"/>
  <c r="B192" i="2"/>
  <c r="D188" i="4"/>
  <c r="AA188" i="3"/>
  <c r="K193" i="2"/>
  <c r="G189" i="4"/>
  <c r="L189" i="4" s="1"/>
  <c r="I189" i="4"/>
  <c r="M189" i="4" s="1"/>
  <c r="K189" i="4"/>
  <c r="N189" i="4" s="1"/>
  <c r="L191" i="2"/>
  <c r="I190" i="2"/>
  <c r="F190" i="2" s="1"/>
  <c r="N189" i="3" s="1"/>
  <c r="D192" i="2" l="1"/>
  <c r="T191" i="2"/>
  <c r="K194" i="2"/>
  <c r="B191" i="3"/>
  <c r="B193" i="2"/>
  <c r="L192" i="2"/>
  <c r="I191" i="2"/>
  <c r="A191" i="4"/>
  <c r="J190" i="3"/>
  <c r="V190" i="3"/>
  <c r="M190" i="3"/>
  <c r="C190" i="3"/>
  <c r="P190" i="3"/>
  <c r="E190" i="3"/>
  <c r="G190" i="3"/>
  <c r="S190" i="3"/>
  <c r="Y190" i="3" s="1"/>
  <c r="Z190" i="3" s="1"/>
  <c r="F188" i="3"/>
  <c r="D189" i="3"/>
  <c r="I187" i="3"/>
  <c r="F188" i="4" s="1"/>
  <c r="U187" i="3"/>
  <c r="J188" i="4" s="1"/>
  <c r="O187" i="3"/>
  <c r="H188" i="4" s="1"/>
  <c r="N192" i="2"/>
  <c r="H191" i="2"/>
  <c r="D189" i="4"/>
  <c r="AA189" i="3"/>
  <c r="C192" i="2"/>
  <c r="E191" i="2"/>
  <c r="H190" i="3" s="1"/>
  <c r="F191" i="2"/>
  <c r="N190" i="3" s="1"/>
  <c r="C190" i="4"/>
  <c r="AB189" i="3"/>
  <c r="E190" i="4" s="1"/>
  <c r="J191" i="2"/>
  <c r="G191" i="2" s="1"/>
  <c r="T190" i="3" s="1"/>
  <c r="M192" i="2"/>
  <c r="I190" i="4"/>
  <c r="M190" i="4" s="1"/>
  <c r="K190" i="4"/>
  <c r="N190" i="4" s="1"/>
  <c r="G190" i="4"/>
  <c r="L190" i="4" s="1"/>
  <c r="F189" i="3" l="1"/>
  <c r="D190" i="3"/>
  <c r="L193" i="2"/>
  <c r="I192" i="2"/>
  <c r="F192" i="2"/>
  <c r="C193" i="2"/>
  <c r="B192" i="3"/>
  <c r="B194" i="2"/>
  <c r="D190" i="4"/>
  <c r="AA190" i="3"/>
  <c r="A192" i="4"/>
  <c r="G191" i="3"/>
  <c r="S191" i="3"/>
  <c r="Y191" i="3" s="1"/>
  <c r="Z191" i="3" s="1"/>
  <c r="J191" i="3"/>
  <c r="V191" i="3"/>
  <c r="M191" i="3"/>
  <c r="C191" i="3"/>
  <c r="E191" i="3"/>
  <c r="P191" i="3"/>
  <c r="N191" i="3"/>
  <c r="K195" i="2"/>
  <c r="O188" i="3"/>
  <c r="H189" i="4" s="1"/>
  <c r="I188" i="3"/>
  <c r="F189" i="4" s="1"/>
  <c r="U188" i="3"/>
  <c r="J189" i="4" s="1"/>
  <c r="N193" i="2"/>
  <c r="H192" i="2"/>
  <c r="E192" i="2" s="1"/>
  <c r="H191" i="3" s="1"/>
  <c r="K191" i="4"/>
  <c r="N191" i="4" s="1"/>
  <c r="G191" i="4"/>
  <c r="L191" i="4" s="1"/>
  <c r="I191" i="4"/>
  <c r="M191" i="4" s="1"/>
  <c r="M193" i="2"/>
  <c r="J192" i="2"/>
  <c r="G192" i="2" s="1"/>
  <c r="T191" i="3" s="1"/>
  <c r="C191" i="4"/>
  <c r="AB190" i="3"/>
  <c r="E191" i="4" s="1"/>
  <c r="T192" i="2"/>
  <c r="D193" i="2"/>
  <c r="K196" i="2" l="1"/>
  <c r="K192" i="4"/>
  <c r="N192" i="4" s="1"/>
  <c r="G192" i="4"/>
  <c r="L192" i="4" s="1"/>
  <c r="I192" i="4"/>
  <c r="M192" i="4" s="1"/>
  <c r="B193" i="3"/>
  <c r="B195" i="2"/>
  <c r="A193" i="4"/>
  <c r="C192" i="3"/>
  <c r="P192" i="3"/>
  <c r="E192" i="3"/>
  <c r="G192" i="3"/>
  <c r="S192" i="3"/>
  <c r="Y192" i="3" s="1"/>
  <c r="Z192" i="3" s="1"/>
  <c r="J192" i="3"/>
  <c r="V192" i="3"/>
  <c r="M192" i="3"/>
  <c r="D191" i="4"/>
  <c r="AA191" i="3"/>
  <c r="C192" i="4"/>
  <c r="AB191" i="3"/>
  <c r="E192" i="4" s="1"/>
  <c r="C194" i="2"/>
  <c r="D194" i="2"/>
  <c r="T193" i="2"/>
  <c r="G193" i="2"/>
  <c r="T192" i="3" s="1"/>
  <c r="N194" i="2"/>
  <c r="H193" i="2"/>
  <c r="E193" i="2" s="1"/>
  <c r="H192" i="3" s="1"/>
  <c r="I193" i="2"/>
  <c r="F193" i="2" s="1"/>
  <c r="N192" i="3" s="1"/>
  <c r="L194" i="2"/>
  <c r="F190" i="3"/>
  <c r="D191" i="3"/>
  <c r="M194" i="2"/>
  <c r="J193" i="2"/>
  <c r="O189" i="3"/>
  <c r="H190" i="4" s="1"/>
  <c r="I189" i="3"/>
  <c r="F190" i="4" s="1"/>
  <c r="U189" i="3"/>
  <c r="J190" i="4" s="1"/>
  <c r="L195" i="2" l="1"/>
  <c r="I194" i="2"/>
  <c r="D192" i="4"/>
  <c r="AA192" i="3"/>
  <c r="I193" i="4"/>
  <c r="M193" i="4" s="1"/>
  <c r="K193" i="4"/>
  <c r="N193" i="4" s="1"/>
  <c r="G193" i="4"/>
  <c r="L193" i="4" s="1"/>
  <c r="C193" i="4"/>
  <c r="AB192" i="3"/>
  <c r="E193" i="4" s="1"/>
  <c r="B194" i="3"/>
  <c r="B196" i="2"/>
  <c r="N195" i="2"/>
  <c r="H194" i="2"/>
  <c r="A194" i="4"/>
  <c r="M193" i="3"/>
  <c r="C193" i="3"/>
  <c r="P193" i="3"/>
  <c r="E193" i="3"/>
  <c r="G193" i="3"/>
  <c r="S193" i="3"/>
  <c r="Y193" i="3" s="1"/>
  <c r="Z193" i="3" s="1"/>
  <c r="V193" i="3"/>
  <c r="J193" i="3"/>
  <c r="T194" i="2"/>
  <c r="D195" i="2"/>
  <c r="M195" i="2"/>
  <c r="J194" i="2"/>
  <c r="G194" i="2" s="1"/>
  <c r="T193" i="3" s="1"/>
  <c r="E194" i="2"/>
  <c r="H193" i="3" s="1"/>
  <c r="F194" i="2"/>
  <c r="N193" i="3" s="1"/>
  <c r="C195" i="2"/>
  <c r="F191" i="3"/>
  <c r="D192" i="3"/>
  <c r="I190" i="3"/>
  <c r="F191" i="4" s="1"/>
  <c r="U190" i="3"/>
  <c r="J191" i="4" s="1"/>
  <c r="O190" i="3"/>
  <c r="H191" i="4" s="1"/>
  <c r="K197" i="2"/>
  <c r="C196" i="2" l="1"/>
  <c r="M196" i="2"/>
  <c r="J195" i="2"/>
  <c r="G195" i="2" s="1"/>
  <c r="T194" i="3" s="1"/>
  <c r="D196" i="2"/>
  <c r="T195" i="2"/>
  <c r="K198" i="2"/>
  <c r="C194" i="4"/>
  <c r="AB193" i="3"/>
  <c r="E194" i="4" s="1"/>
  <c r="I194" i="4"/>
  <c r="M194" i="4" s="1"/>
  <c r="K194" i="4"/>
  <c r="N194" i="4" s="1"/>
  <c r="G194" i="4"/>
  <c r="L194" i="4" s="1"/>
  <c r="D193" i="4"/>
  <c r="AA193" i="3"/>
  <c r="N196" i="2"/>
  <c r="H195" i="2"/>
  <c r="E195" i="2" s="1"/>
  <c r="H194" i="3" s="1"/>
  <c r="F192" i="3"/>
  <c r="D193" i="3"/>
  <c r="B195" i="3"/>
  <c r="B197" i="2"/>
  <c r="I191" i="3"/>
  <c r="F192" i="4" s="1"/>
  <c r="U191" i="3"/>
  <c r="J192" i="4" s="1"/>
  <c r="O191" i="3"/>
  <c r="H192" i="4" s="1"/>
  <c r="A195" i="4"/>
  <c r="J194" i="3"/>
  <c r="V194" i="3"/>
  <c r="M194" i="3"/>
  <c r="C194" i="3"/>
  <c r="P194" i="3"/>
  <c r="E194" i="3"/>
  <c r="G194" i="3"/>
  <c r="S194" i="3"/>
  <c r="Y194" i="3" s="1"/>
  <c r="Z194" i="3" s="1"/>
  <c r="L196" i="2"/>
  <c r="I195" i="2"/>
  <c r="F195" i="2" s="1"/>
  <c r="N194" i="3" s="1"/>
  <c r="F193" i="3" l="1"/>
  <c r="D194" i="3"/>
  <c r="C195" i="4"/>
  <c r="AB194" i="3"/>
  <c r="E195" i="4" s="1"/>
  <c r="N197" i="2"/>
  <c r="H196" i="2"/>
  <c r="E196" i="2" s="1"/>
  <c r="H195" i="3" s="1"/>
  <c r="K199" i="2"/>
  <c r="D194" i="4"/>
  <c r="AA194" i="3"/>
  <c r="O192" i="3"/>
  <c r="H193" i="4" s="1"/>
  <c r="I192" i="3"/>
  <c r="F193" i="4" s="1"/>
  <c r="U192" i="3"/>
  <c r="J193" i="4" s="1"/>
  <c r="D197" i="2"/>
  <c r="T196" i="2"/>
  <c r="G196" i="2"/>
  <c r="L197" i="2"/>
  <c r="I196" i="2"/>
  <c r="G195" i="4"/>
  <c r="L195" i="4" s="1"/>
  <c r="I195" i="4"/>
  <c r="M195" i="4" s="1"/>
  <c r="K195" i="4"/>
  <c r="N195" i="4" s="1"/>
  <c r="M197" i="2"/>
  <c r="J196" i="2"/>
  <c r="B196" i="3"/>
  <c r="B198" i="2"/>
  <c r="F196" i="2"/>
  <c r="C197" i="2"/>
  <c r="A196" i="4"/>
  <c r="G195" i="3"/>
  <c r="S195" i="3"/>
  <c r="Y195" i="3" s="1"/>
  <c r="Z195" i="3" s="1"/>
  <c r="T195" i="3"/>
  <c r="J195" i="3"/>
  <c r="V195" i="3"/>
  <c r="M195" i="3"/>
  <c r="C195" i="3"/>
  <c r="E195" i="3"/>
  <c r="N195" i="3"/>
  <c r="P195" i="3"/>
  <c r="D195" i="4" l="1"/>
  <c r="AA195" i="3"/>
  <c r="G196" i="4"/>
  <c r="L196" i="4" s="1"/>
  <c r="I196" i="4"/>
  <c r="M196" i="4" s="1"/>
  <c r="K196" i="4"/>
  <c r="N196" i="4" s="1"/>
  <c r="K200" i="2"/>
  <c r="L198" i="2"/>
  <c r="I197" i="2"/>
  <c r="N198" i="2"/>
  <c r="H197" i="2"/>
  <c r="B197" i="3"/>
  <c r="B199" i="2"/>
  <c r="C196" i="4"/>
  <c r="AB195" i="3"/>
  <c r="E196" i="4" s="1"/>
  <c r="A197" i="4"/>
  <c r="C196" i="3"/>
  <c r="P196" i="3"/>
  <c r="E196" i="3"/>
  <c r="G196" i="3"/>
  <c r="S196" i="3"/>
  <c r="Y196" i="3" s="1"/>
  <c r="Z196" i="3" s="1"/>
  <c r="J196" i="3"/>
  <c r="V196" i="3"/>
  <c r="M196" i="3"/>
  <c r="E197" i="2"/>
  <c r="H196" i="3" s="1"/>
  <c r="F197" i="2"/>
  <c r="N196" i="3" s="1"/>
  <c r="C198" i="2"/>
  <c r="T197" i="2"/>
  <c r="G197" i="2"/>
  <c r="T196" i="3" s="1"/>
  <c r="D198" i="2"/>
  <c r="F194" i="3"/>
  <c r="D195" i="3"/>
  <c r="M198" i="2"/>
  <c r="J197" i="2"/>
  <c r="O193" i="3"/>
  <c r="H194" i="4" s="1"/>
  <c r="I193" i="3"/>
  <c r="F194" i="4" s="1"/>
  <c r="U193" i="3"/>
  <c r="J194" i="4" s="1"/>
  <c r="D199" i="2" l="1"/>
  <c r="T198" i="2"/>
  <c r="I198" i="2"/>
  <c r="L199" i="2"/>
  <c r="K201" i="2"/>
  <c r="G197" i="4"/>
  <c r="L197" i="4" s="1"/>
  <c r="I197" i="4"/>
  <c r="M197" i="4" s="1"/>
  <c r="K197" i="4"/>
  <c r="N197" i="4" s="1"/>
  <c r="C197" i="4"/>
  <c r="AB196" i="3"/>
  <c r="E197" i="4" s="1"/>
  <c r="C199" i="2"/>
  <c r="F198" i="2"/>
  <c r="B198" i="3"/>
  <c r="B200" i="2"/>
  <c r="J198" i="2"/>
  <c r="G198" i="2" s="1"/>
  <c r="T197" i="3" s="1"/>
  <c r="M199" i="2"/>
  <c r="A198" i="4"/>
  <c r="M197" i="3"/>
  <c r="N197" i="3"/>
  <c r="C197" i="3"/>
  <c r="P197" i="3"/>
  <c r="E197" i="3"/>
  <c r="G197" i="3"/>
  <c r="S197" i="3"/>
  <c r="Y197" i="3" s="1"/>
  <c r="Z197" i="3" s="1"/>
  <c r="J197" i="3"/>
  <c r="V197" i="3"/>
  <c r="F195" i="3"/>
  <c r="D196" i="3"/>
  <c r="D196" i="4"/>
  <c r="AA196" i="3"/>
  <c r="I194" i="3"/>
  <c r="F195" i="4" s="1"/>
  <c r="U194" i="3"/>
  <c r="J195" i="4" s="1"/>
  <c r="O194" i="3"/>
  <c r="H195" i="4" s="1"/>
  <c r="N199" i="2"/>
  <c r="H198" i="2"/>
  <c r="E198" i="2" s="1"/>
  <c r="H197" i="3" s="1"/>
  <c r="F196" i="3" l="1"/>
  <c r="D197" i="3"/>
  <c r="C198" i="4"/>
  <c r="AB197" i="3"/>
  <c r="E198" i="4" s="1"/>
  <c r="M200" i="2"/>
  <c r="J199" i="2"/>
  <c r="B199" i="3"/>
  <c r="B201" i="2"/>
  <c r="I195" i="3"/>
  <c r="F196" i="4" s="1"/>
  <c r="U195" i="3"/>
  <c r="J196" i="4" s="1"/>
  <c r="O195" i="3"/>
  <c r="H196" i="4" s="1"/>
  <c r="A199" i="4"/>
  <c r="J198" i="3"/>
  <c r="V198" i="3"/>
  <c r="M198" i="3"/>
  <c r="C198" i="3"/>
  <c r="P198" i="3"/>
  <c r="S198" i="3"/>
  <c r="Y198" i="3" s="1"/>
  <c r="Z198" i="3" s="1"/>
  <c r="G198" i="3"/>
  <c r="E198" i="3"/>
  <c r="K202" i="2"/>
  <c r="N200" i="2"/>
  <c r="H199" i="2"/>
  <c r="G198" i="4"/>
  <c r="L198" i="4" s="1"/>
  <c r="I198" i="4"/>
  <c r="M198" i="4" s="1"/>
  <c r="K198" i="4"/>
  <c r="N198" i="4" s="1"/>
  <c r="L200" i="2"/>
  <c r="I199" i="2"/>
  <c r="F199" i="2" s="1"/>
  <c r="N198" i="3" s="1"/>
  <c r="E199" i="2"/>
  <c r="H198" i="3" s="1"/>
  <c r="C200" i="2"/>
  <c r="D197" i="4"/>
  <c r="AA197" i="3"/>
  <c r="T199" i="2"/>
  <c r="G199" i="2"/>
  <c r="T198" i="3" s="1"/>
  <c r="D200" i="2"/>
  <c r="K203" i="2" l="1"/>
  <c r="G199" i="4"/>
  <c r="L199" i="4" s="1"/>
  <c r="K199" i="4"/>
  <c r="N199" i="4" s="1"/>
  <c r="I199" i="4"/>
  <c r="M199" i="4" s="1"/>
  <c r="L201" i="2"/>
  <c r="I200" i="2"/>
  <c r="B200" i="3"/>
  <c r="B202" i="2"/>
  <c r="D201" i="2"/>
  <c r="T200" i="2"/>
  <c r="A200" i="4"/>
  <c r="G199" i="3"/>
  <c r="S199" i="3"/>
  <c r="Y199" i="3" s="1"/>
  <c r="Z199" i="3" s="1"/>
  <c r="J199" i="3"/>
  <c r="V199" i="3"/>
  <c r="M199" i="3"/>
  <c r="C199" i="3"/>
  <c r="E199" i="3"/>
  <c r="P199" i="3"/>
  <c r="M201" i="2"/>
  <c r="J200" i="2"/>
  <c r="G200" i="2" s="1"/>
  <c r="T199" i="3" s="1"/>
  <c r="C199" i="4"/>
  <c r="AB198" i="3"/>
  <c r="E199" i="4" s="1"/>
  <c r="D198" i="4"/>
  <c r="AA198" i="3"/>
  <c r="C201" i="2"/>
  <c r="F200" i="2"/>
  <c r="N199" i="3" s="1"/>
  <c r="N201" i="2"/>
  <c r="H200" i="2"/>
  <c r="E200" i="2" s="1"/>
  <c r="H199" i="3" s="1"/>
  <c r="F197" i="3"/>
  <c r="D198" i="3"/>
  <c r="O196" i="3"/>
  <c r="H197" i="4" s="1"/>
  <c r="I196" i="3"/>
  <c r="F197" i="4" s="1"/>
  <c r="U196" i="3"/>
  <c r="J197" i="4" s="1"/>
  <c r="B201" i="3" l="1"/>
  <c r="B203" i="2"/>
  <c r="C200" i="4"/>
  <c r="AB199" i="3"/>
  <c r="E200" i="4" s="1"/>
  <c r="A201" i="4"/>
  <c r="C200" i="3"/>
  <c r="P200" i="3"/>
  <c r="E200" i="3"/>
  <c r="G200" i="3"/>
  <c r="S200" i="3"/>
  <c r="Y200" i="3" s="1"/>
  <c r="Z200" i="3" s="1"/>
  <c r="J200" i="3"/>
  <c r="V200" i="3"/>
  <c r="M200" i="3"/>
  <c r="C202" i="2"/>
  <c r="D199" i="4"/>
  <c r="AA199" i="3"/>
  <c r="F198" i="3"/>
  <c r="D199" i="3"/>
  <c r="J201" i="2"/>
  <c r="G201" i="2" s="1"/>
  <c r="T200" i="3" s="1"/>
  <c r="M202" i="2"/>
  <c r="G200" i="4"/>
  <c r="L200" i="4" s="1"/>
  <c r="K200" i="4"/>
  <c r="N200" i="4" s="1"/>
  <c r="I200" i="4"/>
  <c r="M200" i="4" s="1"/>
  <c r="L202" i="2"/>
  <c r="I201" i="2"/>
  <c r="F201" i="2" s="1"/>
  <c r="N200" i="3" s="1"/>
  <c r="O197" i="3"/>
  <c r="H198" i="4" s="1"/>
  <c r="I197" i="3"/>
  <c r="F198" i="4" s="1"/>
  <c r="U197" i="3"/>
  <c r="J198" i="4" s="1"/>
  <c r="T201" i="2"/>
  <c r="D202" i="2"/>
  <c r="N202" i="2"/>
  <c r="H201" i="2"/>
  <c r="E201" i="2" s="1"/>
  <c r="H200" i="3" s="1"/>
  <c r="K204" i="2"/>
  <c r="F199" i="3" l="1"/>
  <c r="D200" i="3"/>
  <c r="I198" i="3"/>
  <c r="F199" i="4" s="1"/>
  <c r="U198" i="3"/>
  <c r="J199" i="4" s="1"/>
  <c r="O198" i="3"/>
  <c r="H199" i="4" s="1"/>
  <c r="K205" i="2"/>
  <c r="F202" i="2"/>
  <c r="C203" i="2"/>
  <c r="D200" i="4"/>
  <c r="AA200" i="3"/>
  <c r="L203" i="2"/>
  <c r="I202" i="2"/>
  <c r="K201" i="4"/>
  <c r="N201" i="4" s="1"/>
  <c r="G201" i="4"/>
  <c r="L201" i="4" s="1"/>
  <c r="I201" i="4"/>
  <c r="M201" i="4" s="1"/>
  <c r="N203" i="2"/>
  <c r="H202" i="2"/>
  <c r="E202" i="2" s="1"/>
  <c r="H201" i="3" s="1"/>
  <c r="C201" i="4"/>
  <c r="AB200" i="3"/>
  <c r="E201" i="4" s="1"/>
  <c r="T202" i="2"/>
  <c r="D203" i="2"/>
  <c r="B202" i="3"/>
  <c r="B204" i="2"/>
  <c r="M203" i="2"/>
  <c r="J202" i="2"/>
  <c r="G202" i="2" s="1"/>
  <c r="T201" i="3" s="1"/>
  <c r="A202" i="4"/>
  <c r="M201" i="3"/>
  <c r="N201" i="3"/>
  <c r="C201" i="3"/>
  <c r="P201" i="3"/>
  <c r="E201" i="3"/>
  <c r="G201" i="3"/>
  <c r="S201" i="3"/>
  <c r="Y201" i="3" s="1"/>
  <c r="Z201" i="3" s="1"/>
  <c r="J201" i="3"/>
  <c r="V201" i="3"/>
  <c r="D201" i="4" l="1"/>
  <c r="AA201" i="3"/>
  <c r="C204" i="2"/>
  <c r="C202" i="4"/>
  <c r="AB201" i="3"/>
  <c r="E202" i="4" s="1"/>
  <c r="N204" i="2"/>
  <c r="H203" i="2"/>
  <c r="E203" i="2" s="1"/>
  <c r="H202" i="3" s="1"/>
  <c r="I202" i="4"/>
  <c r="M202" i="4" s="1"/>
  <c r="G202" i="4"/>
  <c r="L202" i="4" s="1"/>
  <c r="K202" i="4"/>
  <c r="N202" i="4" s="1"/>
  <c r="J203" i="2"/>
  <c r="M204" i="2"/>
  <c r="K206" i="2"/>
  <c r="B203" i="3"/>
  <c r="B205" i="2"/>
  <c r="A203" i="4"/>
  <c r="J202" i="3"/>
  <c r="V202" i="3"/>
  <c r="M202" i="3"/>
  <c r="C202" i="3"/>
  <c r="P202" i="3"/>
  <c r="G202" i="3"/>
  <c r="S202" i="3"/>
  <c r="Y202" i="3" s="1"/>
  <c r="Z202" i="3" s="1"/>
  <c r="E202" i="3"/>
  <c r="F200" i="3"/>
  <c r="D201" i="3"/>
  <c r="D204" i="2"/>
  <c r="T203" i="2"/>
  <c r="G203" i="2"/>
  <c r="T202" i="3" s="1"/>
  <c r="L204" i="2"/>
  <c r="I203" i="2"/>
  <c r="F203" i="2" s="1"/>
  <c r="N202" i="3" s="1"/>
  <c r="I199" i="3"/>
  <c r="F200" i="4" s="1"/>
  <c r="U199" i="3"/>
  <c r="J200" i="4" s="1"/>
  <c r="O199" i="3"/>
  <c r="H200" i="4" s="1"/>
  <c r="T204" i="2" l="1"/>
  <c r="D205" i="2"/>
  <c r="O200" i="3"/>
  <c r="H201" i="4" s="1"/>
  <c r="I200" i="3"/>
  <c r="F201" i="4" s="1"/>
  <c r="U200" i="3"/>
  <c r="J201" i="4" s="1"/>
  <c r="K203" i="4"/>
  <c r="N203" i="4" s="1"/>
  <c r="I203" i="4"/>
  <c r="M203" i="4" s="1"/>
  <c r="G203" i="4"/>
  <c r="L203" i="4" s="1"/>
  <c r="B204" i="3"/>
  <c r="B206" i="2"/>
  <c r="A204" i="4"/>
  <c r="G203" i="3"/>
  <c r="S203" i="3"/>
  <c r="Y203" i="3" s="1"/>
  <c r="Z203" i="3" s="1"/>
  <c r="J203" i="3"/>
  <c r="V203" i="3"/>
  <c r="M203" i="3"/>
  <c r="C203" i="3"/>
  <c r="E203" i="3"/>
  <c r="P203" i="3"/>
  <c r="N205" i="2"/>
  <c r="H204" i="2"/>
  <c r="E204" i="2" s="1"/>
  <c r="H203" i="3" s="1"/>
  <c r="K207" i="2"/>
  <c r="F201" i="3"/>
  <c r="D202" i="3"/>
  <c r="M205" i="2"/>
  <c r="J204" i="2"/>
  <c r="G204" i="2" s="1"/>
  <c r="T203" i="3" s="1"/>
  <c r="L205" i="2"/>
  <c r="I204" i="2"/>
  <c r="F204" i="2" s="1"/>
  <c r="N203" i="3" s="1"/>
  <c r="C205" i="2"/>
  <c r="D202" i="4"/>
  <c r="AA202" i="3"/>
  <c r="C203" i="4"/>
  <c r="AB202" i="3"/>
  <c r="E203" i="4" s="1"/>
  <c r="I205" i="2" l="1"/>
  <c r="L206" i="2"/>
  <c r="C204" i="4"/>
  <c r="AB203" i="3"/>
  <c r="E204" i="4" s="1"/>
  <c r="M206" i="2"/>
  <c r="J205" i="2"/>
  <c r="G205" i="2" s="1"/>
  <c r="T204" i="3" s="1"/>
  <c r="F202" i="3"/>
  <c r="D203" i="3"/>
  <c r="O201" i="3"/>
  <c r="H202" i="4" s="1"/>
  <c r="I201" i="3"/>
  <c r="F202" i="4" s="1"/>
  <c r="U201" i="3"/>
  <c r="J202" i="4" s="1"/>
  <c r="C206" i="2"/>
  <c r="F205" i="2"/>
  <c r="N206" i="2"/>
  <c r="H205" i="2"/>
  <c r="E205" i="2" s="1"/>
  <c r="H204" i="3" s="1"/>
  <c r="K204" i="4"/>
  <c r="N204" i="4" s="1"/>
  <c r="G204" i="4"/>
  <c r="L204" i="4" s="1"/>
  <c r="I204" i="4"/>
  <c r="M204" i="4" s="1"/>
  <c r="D206" i="2"/>
  <c r="T205" i="2"/>
  <c r="D203" i="4"/>
  <c r="AA203" i="3"/>
  <c r="B205" i="3"/>
  <c r="B207" i="2"/>
  <c r="K208" i="2"/>
  <c r="A205" i="4"/>
  <c r="C204" i="3"/>
  <c r="P204" i="3"/>
  <c r="E204" i="3"/>
  <c r="G204" i="3"/>
  <c r="S204" i="3"/>
  <c r="Y204" i="3" s="1"/>
  <c r="Z204" i="3" s="1"/>
  <c r="J204" i="3"/>
  <c r="V204" i="3"/>
  <c r="N204" i="3"/>
  <c r="M204" i="3"/>
  <c r="C207" i="2" l="1"/>
  <c r="K205" i="4"/>
  <c r="N205" i="4" s="1"/>
  <c r="I205" i="4"/>
  <c r="M205" i="4" s="1"/>
  <c r="G205" i="4"/>
  <c r="L205" i="4" s="1"/>
  <c r="F203" i="3"/>
  <c r="D204" i="3"/>
  <c r="C205" i="4"/>
  <c r="AB204" i="3"/>
  <c r="E205" i="4" s="1"/>
  <c r="I202" i="3"/>
  <c r="F203" i="4" s="1"/>
  <c r="U202" i="3"/>
  <c r="J203" i="4" s="1"/>
  <c r="O202" i="3"/>
  <c r="H203" i="4" s="1"/>
  <c r="K209" i="2"/>
  <c r="T206" i="2"/>
  <c r="G206" i="2"/>
  <c r="D207" i="2"/>
  <c r="B206" i="3"/>
  <c r="B208" i="2"/>
  <c r="M207" i="2"/>
  <c r="J206" i="2"/>
  <c r="A206" i="4"/>
  <c r="M205" i="3"/>
  <c r="C205" i="3"/>
  <c r="P205" i="3"/>
  <c r="E205" i="3"/>
  <c r="G205" i="3"/>
  <c r="S205" i="3"/>
  <c r="Y205" i="3" s="1"/>
  <c r="Z205" i="3" s="1"/>
  <c r="V205" i="3"/>
  <c r="T205" i="3"/>
  <c r="J205" i="3"/>
  <c r="D204" i="4"/>
  <c r="AA204" i="3"/>
  <c r="N207" i="2"/>
  <c r="H206" i="2"/>
  <c r="E206" i="2" s="1"/>
  <c r="H205" i="3" s="1"/>
  <c r="L207" i="2"/>
  <c r="I206" i="2"/>
  <c r="F206" i="2" s="1"/>
  <c r="N205" i="3" s="1"/>
  <c r="M208" i="2" l="1"/>
  <c r="J207" i="2"/>
  <c r="B207" i="3"/>
  <c r="B209" i="2"/>
  <c r="A207" i="4"/>
  <c r="J206" i="3"/>
  <c r="V206" i="3"/>
  <c r="M206" i="3"/>
  <c r="N206" i="3"/>
  <c r="C206" i="3"/>
  <c r="P206" i="3"/>
  <c r="E206" i="3"/>
  <c r="G206" i="3"/>
  <c r="S206" i="3"/>
  <c r="Y206" i="3" s="1"/>
  <c r="Z206" i="3" s="1"/>
  <c r="G207" i="2"/>
  <c r="T206" i="3" s="1"/>
  <c r="D208" i="2"/>
  <c r="T207" i="2"/>
  <c r="F204" i="3"/>
  <c r="D205" i="3"/>
  <c r="I203" i="3"/>
  <c r="F204" i="4" s="1"/>
  <c r="U203" i="3"/>
  <c r="J204" i="4" s="1"/>
  <c r="O203" i="3"/>
  <c r="H204" i="4" s="1"/>
  <c r="L208" i="2"/>
  <c r="I207" i="2"/>
  <c r="K210" i="2"/>
  <c r="C206" i="4"/>
  <c r="AB205" i="3"/>
  <c r="E206" i="4" s="1"/>
  <c r="F207" i="2"/>
  <c r="C208" i="2"/>
  <c r="N208" i="2"/>
  <c r="H207" i="2"/>
  <c r="E207" i="2" s="1"/>
  <c r="H206" i="3" s="1"/>
  <c r="D205" i="4"/>
  <c r="AA205" i="3"/>
  <c r="I206" i="4"/>
  <c r="M206" i="4" s="1"/>
  <c r="K206" i="4"/>
  <c r="N206" i="4" s="1"/>
  <c r="G206" i="4"/>
  <c r="L206" i="4" s="1"/>
  <c r="N209" i="2" l="1"/>
  <c r="H208" i="2"/>
  <c r="C207" i="4"/>
  <c r="AB206" i="3"/>
  <c r="E207" i="4" s="1"/>
  <c r="D209" i="2"/>
  <c r="T208" i="2"/>
  <c r="F205" i="3"/>
  <c r="D206" i="3"/>
  <c r="I207" i="4"/>
  <c r="M207" i="4" s="1"/>
  <c r="K207" i="4"/>
  <c r="N207" i="4" s="1"/>
  <c r="G207" i="4"/>
  <c r="L207" i="4" s="1"/>
  <c r="B208" i="3"/>
  <c r="B210" i="2"/>
  <c r="E208" i="2"/>
  <c r="C209" i="2"/>
  <c r="K211" i="2"/>
  <c r="A208" i="4"/>
  <c r="G207" i="3"/>
  <c r="S207" i="3"/>
  <c r="Y207" i="3" s="1"/>
  <c r="Z207" i="3" s="1"/>
  <c r="H207" i="3"/>
  <c r="J207" i="3"/>
  <c r="V207" i="3"/>
  <c r="M207" i="3"/>
  <c r="C207" i="3"/>
  <c r="E207" i="3"/>
  <c r="P207" i="3"/>
  <c r="O204" i="3"/>
  <c r="H205" i="4" s="1"/>
  <c r="I204" i="3"/>
  <c r="F205" i="4" s="1"/>
  <c r="U204" i="3"/>
  <c r="J205" i="4" s="1"/>
  <c r="D206" i="4"/>
  <c r="AA206" i="3"/>
  <c r="L209" i="2"/>
  <c r="I208" i="2"/>
  <c r="F208" i="2" s="1"/>
  <c r="N207" i="3" s="1"/>
  <c r="M209" i="2"/>
  <c r="J208" i="2"/>
  <c r="G208" i="2" s="1"/>
  <c r="T207" i="3" s="1"/>
  <c r="K212" i="2" l="1"/>
  <c r="F206" i="3"/>
  <c r="D207" i="3"/>
  <c r="C210" i="2"/>
  <c r="O205" i="3"/>
  <c r="H206" i="4" s="1"/>
  <c r="I205" i="3"/>
  <c r="F206" i="4" s="1"/>
  <c r="U205" i="3"/>
  <c r="J206" i="4" s="1"/>
  <c r="M210" i="2"/>
  <c r="J209" i="2"/>
  <c r="G209" i="2" s="1"/>
  <c r="T208" i="3" s="1"/>
  <c r="C208" i="4"/>
  <c r="AB207" i="3"/>
  <c r="E208" i="4" s="1"/>
  <c r="B209" i="3"/>
  <c r="B211" i="2"/>
  <c r="T209" i="2"/>
  <c r="D210" i="2"/>
  <c r="L210" i="2"/>
  <c r="I209" i="2"/>
  <c r="F209" i="2" s="1"/>
  <c r="N208" i="3" s="1"/>
  <c r="A209" i="4"/>
  <c r="C208" i="3"/>
  <c r="P208" i="3"/>
  <c r="E208" i="3"/>
  <c r="G208" i="3"/>
  <c r="S208" i="3"/>
  <c r="Y208" i="3" s="1"/>
  <c r="Z208" i="3" s="1"/>
  <c r="J208" i="3"/>
  <c r="V208" i="3"/>
  <c r="M208" i="3"/>
  <c r="G208" i="4"/>
  <c r="L208" i="4" s="1"/>
  <c r="I208" i="4"/>
  <c r="M208" i="4" s="1"/>
  <c r="K208" i="4"/>
  <c r="N208" i="4" s="1"/>
  <c r="D207" i="4"/>
  <c r="AA207" i="3"/>
  <c r="N210" i="2"/>
  <c r="H209" i="2"/>
  <c r="E209" i="2" s="1"/>
  <c r="H208" i="3" s="1"/>
  <c r="G209" i="4" l="1"/>
  <c r="L209" i="4" s="1"/>
  <c r="I209" i="4"/>
  <c r="M209" i="4" s="1"/>
  <c r="K209" i="4"/>
  <c r="N209" i="4" s="1"/>
  <c r="C209" i="4"/>
  <c r="AB208" i="3"/>
  <c r="E209" i="4" s="1"/>
  <c r="I210" i="2"/>
  <c r="F210" i="2" s="1"/>
  <c r="N209" i="3" s="1"/>
  <c r="L211" i="2"/>
  <c r="D211" i="2"/>
  <c r="G210" i="2"/>
  <c r="T210" i="2"/>
  <c r="C211" i="2"/>
  <c r="N211" i="2"/>
  <c r="H210" i="2"/>
  <c r="E210" i="2" s="1"/>
  <c r="H209" i="3" s="1"/>
  <c r="D208" i="4"/>
  <c r="AA208" i="3"/>
  <c r="B210" i="3"/>
  <c r="B212" i="2"/>
  <c r="F207" i="3"/>
  <c r="D208" i="3"/>
  <c r="A210" i="4"/>
  <c r="M209" i="3"/>
  <c r="C209" i="3"/>
  <c r="P209" i="3"/>
  <c r="E209" i="3"/>
  <c r="G209" i="3"/>
  <c r="S209" i="3"/>
  <c r="Y209" i="3" s="1"/>
  <c r="Z209" i="3" s="1"/>
  <c r="T209" i="3"/>
  <c r="V209" i="3"/>
  <c r="J209" i="3"/>
  <c r="I206" i="3"/>
  <c r="F207" i="4" s="1"/>
  <c r="U206" i="3"/>
  <c r="J207" i="4" s="1"/>
  <c r="O206" i="3"/>
  <c r="H207" i="4" s="1"/>
  <c r="J210" i="2"/>
  <c r="M211" i="2"/>
  <c r="K213" i="2"/>
  <c r="I207" i="3" l="1"/>
  <c r="F208" i="4" s="1"/>
  <c r="U207" i="3"/>
  <c r="J208" i="4" s="1"/>
  <c r="O207" i="3"/>
  <c r="H208" i="4" s="1"/>
  <c r="T211" i="2"/>
  <c r="D212" i="2"/>
  <c r="B211" i="3"/>
  <c r="B213" i="2"/>
  <c r="L212" i="2"/>
  <c r="I211" i="2"/>
  <c r="D209" i="4"/>
  <c r="AA209" i="3"/>
  <c r="K214" i="2"/>
  <c r="N212" i="2"/>
  <c r="H211" i="2"/>
  <c r="A211" i="4"/>
  <c r="J210" i="3"/>
  <c r="V210" i="3"/>
  <c r="M210" i="3"/>
  <c r="N210" i="3"/>
  <c r="C210" i="3"/>
  <c r="P210" i="3"/>
  <c r="E210" i="3"/>
  <c r="G210" i="3"/>
  <c r="S210" i="3"/>
  <c r="Y210" i="3" s="1"/>
  <c r="Z210" i="3" s="1"/>
  <c r="M212" i="2"/>
  <c r="J211" i="2"/>
  <c r="G211" i="2" s="1"/>
  <c r="T210" i="3" s="1"/>
  <c r="C210" i="4"/>
  <c r="AB209" i="3"/>
  <c r="E210" i="4" s="1"/>
  <c r="E211" i="2"/>
  <c r="H210" i="3" s="1"/>
  <c r="F211" i="2"/>
  <c r="C212" i="2"/>
  <c r="F208" i="3"/>
  <c r="D209" i="3"/>
  <c r="G210" i="4"/>
  <c r="L210" i="4" s="1"/>
  <c r="I210" i="4"/>
  <c r="M210" i="4" s="1"/>
  <c r="K210" i="4"/>
  <c r="N210" i="4" s="1"/>
  <c r="C213" i="2" l="1"/>
  <c r="O208" i="3"/>
  <c r="H209" i="4" s="1"/>
  <c r="I208" i="3"/>
  <c r="F209" i="4" s="1"/>
  <c r="U208" i="3"/>
  <c r="J209" i="4" s="1"/>
  <c r="D210" i="4"/>
  <c r="AA210" i="3"/>
  <c r="C211" i="4"/>
  <c r="AB210" i="3"/>
  <c r="E211" i="4" s="1"/>
  <c r="B212" i="3"/>
  <c r="B214" i="2"/>
  <c r="L213" i="2"/>
  <c r="I212" i="2"/>
  <c r="F212" i="2" s="1"/>
  <c r="N211" i="3" s="1"/>
  <c r="A212" i="4"/>
  <c r="G211" i="3"/>
  <c r="S211" i="3"/>
  <c r="Y211" i="3" s="1"/>
  <c r="Z211" i="3" s="1"/>
  <c r="J211" i="3"/>
  <c r="V211" i="3"/>
  <c r="M211" i="3"/>
  <c r="C211" i="3"/>
  <c r="E211" i="3"/>
  <c r="P211" i="3"/>
  <c r="D213" i="2"/>
  <c r="T212" i="2"/>
  <c r="M213" i="2"/>
  <c r="J212" i="2"/>
  <c r="G212" i="2" s="1"/>
  <c r="T211" i="3" s="1"/>
  <c r="G211" i="4"/>
  <c r="L211" i="4" s="1"/>
  <c r="I211" i="4"/>
  <c r="M211" i="4" s="1"/>
  <c r="K211" i="4"/>
  <c r="N211" i="4" s="1"/>
  <c r="N213" i="2"/>
  <c r="H212" i="2"/>
  <c r="E212" i="2" s="1"/>
  <c r="H211" i="3" s="1"/>
  <c r="F209" i="3"/>
  <c r="D210" i="3"/>
  <c r="K215" i="2"/>
  <c r="B213" i="3" l="1"/>
  <c r="B215" i="2"/>
  <c r="D211" i="4"/>
  <c r="AA211" i="3"/>
  <c r="K216" i="2"/>
  <c r="C212" i="4"/>
  <c r="AB211" i="3"/>
  <c r="E212" i="4" s="1"/>
  <c r="J213" i="2"/>
  <c r="G213" i="2" s="1"/>
  <c r="T212" i="3" s="1"/>
  <c r="M214" i="2"/>
  <c r="F210" i="3"/>
  <c r="D211" i="3"/>
  <c r="T213" i="2"/>
  <c r="D214" i="2"/>
  <c r="G212" i="4"/>
  <c r="L212" i="4" s="1"/>
  <c r="K212" i="4"/>
  <c r="N212" i="4" s="1"/>
  <c r="I212" i="4"/>
  <c r="M212" i="4" s="1"/>
  <c r="A213" i="4"/>
  <c r="C212" i="3"/>
  <c r="P212" i="3"/>
  <c r="E212" i="3"/>
  <c r="G212" i="3"/>
  <c r="S212" i="3"/>
  <c r="Y212" i="3" s="1"/>
  <c r="Z212" i="3" s="1"/>
  <c r="H212" i="3"/>
  <c r="J212" i="3"/>
  <c r="V212" i="3"/>
  <c r="N212" i="3"/>
  <c r="M212" i="3"/>
  <c r="O209" i="3"/>
  <c r="H210" i="4" s="1"/>
  <c r="I209" i="3"/>
  <c r="F210" i="4" s="1"/>
  <c r="U209" i="3"/>
  <c r="J210" i="4" s="1"/>
  <c r="N214" i="2"/>
  <c r="H213" i="2"/>
  <c r="L214" i="2"/>
  <c r="I213" i="2"/>
  <c r="E213" i="2"/>
  <c r="F213" i="2"/>
  <c r="C214" i="2"/>
  <c r="F211" i="3" l="1"/>
  <c r="D212" i="3"/>
  <c r="I210" i="3"/>
  <c r="F211" i="4" s="1"/>
  <c r="U210" i="3"/>
  <c r="J211" i="4" s="1"/>
  <c r="O210" i="3"/>
  <c r="H211" i="4" s="1"/>
  <c r="G213" i="4"/>
  <c r="L213" i="4" s="1"/>
  <c r="I213" i="4"/>
  <c r="M213" i="4" s="1"/>
  <c r="K213" i="4"/>
  <c r="N213" i="4" s="1"/>
  <c r="M215" i="2"/>
  <c r="J214" i="2"/>
  <c r="C215" i="2"/>
  <c r="K217" i="2"/>
  <c r="D212" i="4"/>
  <c r="AA212" i="3"/>
  <c r="L215" i="2"/>
  <c r="I214" i="2"/>
  <c r="F214" i="2" s="1"/>
  <c r="N213" i="3" s="1"/>
  <c r="T214" i="2"/>
  <c r="G214" i="2"/>
  <c r="D215" i="2"/>
  <c r="B214" i="3"/>
  <c r="B216" i="2"/>
  <c r="C213" i="4"/>
  <c r="AB212" i="3"/>
  <c r="E213" i="4" s="1"/>
  <c r="N215" i="2"/>
  <c r="H214" i="2"/>
  <c r="E214" i="2" s="1"/>
  <c r="H213" i="3" s="1"/>
  <c r="A214" i="4"/>
  <c r="M213" i="3"/>
  <c r="C213" i="3"/>
  <c r="P213" i="3"/>
  <c r="E213" i="3"/>
  <c r="G213" i="3"/>
  <c r="S213" i="3"/>
  <c r="Y213" i="3" s="1"/>
  <c r="Z213" i="3" s="1"/>
  <c r="J213" i="3"/>
  <c r="T213" i="3"/>
  <c r="V213" i="3"/>
  <c r="J215" i="2" l="1"/>
  <c r="M216" i="2"/>
  <c r="C214" i="4"/>
  <c r="AB213" i="3"/>
  <c r="E214" i="4" s="1"/>
  <c r="L216" i="2"/>
  <c r="I215" i="2"/>
  <c r="I214" i="4"/>
  <c r="M214" i="4" s="1"/>
  <c r="K214" i="4"/>
  <c r="N214" i="4" s="1"/>
  <c r="G214" i="4"/>
  <c r="L214" i="4" s="1"/>
  <c r="D213" i="4"/>
  <c r="AA213" i="3"/>
  <c r="N216" i="2"/>
  <c r="H215" i="2"/>
  <c r="K218" i="2"/>
  <c r="C216" i="2"/>
  <c r="E215" i="2"/>
  <c r="F215" i="2"/>
  <c r="N214" i="3" s="1"/>
  <c r="B215" i="3"/>
  <c r="B217" i="2"/>
  <c r="A215" i="4"/>
  <c r="J214" i="3"/>
  <c r="V214" i="3"/>
  <c r="M214" i="3"/>
  <c r="C214" i="3"/>
  <c r="P214" i="3"/>
  <c r="H214" i="3"/>
  <c r="T214" i="3"/>
  <c r="S214" i="3"/>
  <c r="Y214" i="3" s="1"/>
  <c r="Z214" i="3" s="1"/>
  <c r="G214" i="3"/>
  <c r="E214" i="3"/>
  <c r="F212" i="3"/>
  <c r="D213" i="3"/>
  <c r="T215" i="2"/>
  <c r="G215" i="2"/>
  <c r="D216" i="2"/>
  <c r="I211" i="3"/>
  <c r="F212" i="4" s="1"/>
  <c r="U211" i="3"/>
  <c r="J212" i="4" s="1"/>
  <c r="O211" i="3"/>
  <c r="H212" i="4" s="1"/>
  <c r="O212" i="3" l="1"/>
  <c r="H213" i="4" s="1"/>
  <c r="I212" i="3"/>
  <c r="F213" i="4" s="1"/>
  <c r="U212" i="3"/>
  <c r="J213" i="4" s="1"/>
  <c r="K215" i="4"/>
  <c r="N215" i="4" s="1"/>
  <c r="G215" i="4"/>
  <c r="L215" i="4" s="1"/>
  <c r="I215" i="4"/>
  <c r="M215" i="4" s="1"/>
  <c r="F216" i="2"/>
  <c r="N215" i="3" s="1"/>
  <c r="C217" i="2"/>
  <c r="K219" i="2"/>
  <c r="L217" i="2"/>
  <c r="I216" i="2"/>
  <c r="A216" i="4"/>
  <c r="G215" i="3"/>
  <c r="S215" i="3"/>
  <c r="Y215" i="3" s="1"/>
  <c r="Z215" i="3" s="1"/>
  <c r="T215" i="3"/>
  <c r="J215" i="3"/>
  <c r="V215" i="3"/>
  <c r="M215" i="3"/>
  <c r="C215" i="3"/>
  <c r="E215" i="3"/>
  <c r="P215" i="3"/>
  <c r="T216" i="2"/>
  <c r="G216" i="2"/>
  <c r="D217" i="2"/>
  <c r="B216" i="3"/>
  <c r="B218" i="2"/>
  <c r="C215" i="4"/>
  <c r="AB214" i="3"/>
  <c r="E215" i="4" s="1"/>
  <c r="N217" i="2"/>
  <c r="H216" i="2"/>
  <c r="E216" i="2" s="1"/>
  <c r="H215" i="3" s="1"/>
  <c r="D214" i="4"/>
  <c r="AA214" i="3"/>
  <c r="M217" i="2"/>
  <c r="J216" i="2"/>
  <c r="F213" i="3"/>
  <c r="D214" i="3"/>
  <c r="A217" i="4" l="1"/>
  <c r="C216" i="3"/>
  <c r="P216" i="3"/>
  <c r="E216" i="3"/>
  <c r="G216" i="3"/>
  <c r="S216" i="3"/>
  <c r="Y216" i="3" s="1"/>
  <c r="Z216" i="3" s="1"/>
  <c r="H216" i="3"/>
  <c r="J216" i="3"/>
  <c r="V216" i="3"/>
  <c r="M216" i="3"/>
  <c r="C218" i="2"/>
  <c r="E217" i="2"/>
  <c r="F214" i="3"/>
  <c r="D215" i="3"/>
  <c r="D218" i="2"/>
  <c r="T217" i="2"/>
  <c r="O213" i="3"/>
  <c r="H214" i="4" s="1"/>
  <c r="I213" i="3"/>
  <c r="F214" i="4" s="1"/>
  <c r="U213" i="3"/>
  <c r="J214" i="4" s="1"/>
  <c r="C216" i="4"/>
  <c r="AB215" i="3"/>
  <c r="E216" i="4" s="1"/>
  <c r="B217" i="3"/>
  <c r="B219" i="2"/>
  <c r="G216" i="4"/>
  <c r="L216" i="4" s="1"/>
  <c r="I216" i="4"/>
  <c r="M216" i="4" s="1"/>
  <c r="K216" i="4"/>
  <c r="N216" i="4" s="1"/>
  <c r="M218" i="2"/>
  <c r="J217" i="2"/>
  <c r="G217" i="2" s="1"/>
  <c r="T216" i="3" s="1"/>
  <c r="N218" i="2"/>
  <c r="H217" i="2"/>
  <c r="D215" i="4"/>
  <c r="AA215" i="3"/>
  <c r="L218" i="2"/>
  <c r="I217" i="2"/>
  <c r="F217" i="2" s="1"/>
  <c r="N216" i="3" s="1"/>
  <c r="K220" i="2"/>
  <c r="N219" i="2" l="1"/>
  <c r="H218" i="2"/>
  <c r="C217" i="4"/>
  <c r="AB216" i="3"/>
  <c r="E217" i="4" s="1"/>
  <c r="T218" i="2"/>
  <c r="D219" i="2"/>
  <c r="F215" i="3"/>
  <c r="D216" i="3"/>
  <c r="K221" i="2"/>
  <c r="L219" i="2"/>
  <c r="I218" i="2"/>
  <c r="I214" i="3"/>
  <c r="F215" i="4" s="1"/>
  <c r="U214" i="3"/>
  <c r="J215" i="4" s="1"/>
  <c r="O214" i="3"/>
  <c r="H215" i="4" s="1"/>
  <c r="D216" i="4"/>
  <c r="AA216" i="3"/>
  <c r="B218" i="3"/>
  <c r="B220" i="2"/>
  <c r="A218" i="4"/>
  <c r="M217" i="3"/>
  <c r="N217" i="3"/>
  <c r="C217" i="3"/>
  <c r="P217" i="3"/>
  <c r="E217" i="3"/>
  <c r="G217" i="3"/>
  <c r="S217" i="3"/>
  <c r="Y217" i="3" s="1"/>
  <c r="Z217" i="3" s="1"/>
  <c r="J217" i="3"/>
  <c r="V217" i="3"/>
  <c r="M219" i="2"/>
  <c r="J218" i="2"/>
  <c r="G218" i="2" s="1"/>
  <c r="T217" i="3" s="1"/>
  <c r="E218" i="2"/>
  <c r="H217" i="3" s="1"/>
  <c r="F218" i="2"/>
  <c r="C219" i="2"/>
  <c r="K217" i="4"/>
  <c r="N217" i="4" s="1"/>
  <c r="G217" i="4"/>
  <c r="L217" i="4" s="1"/>
  <c r="I217" i="4"/>
  <c r="M217" i="4" s="1"/>
  <c r="I219" i="2" l="1"/>
  <c r="L220" i="2"/>
  <c r="C218" i="4"/>
  <c r="AB217" i="3"/>
  <c r="E218" i="4" s="1"/>
  <c r="K222" i="2"/>
  <c r="M220" i="2"/>
  <c r="J219" i="2"/>
  <c r="K218" i="4"/>
  <c r="N218" i="4" s="1"/>
  <c r="G218" i="4"/>
  <c r="L218" i="4" s="1"/>
  <c r="I218" i="4"/>
  <c r="M218" i="4" s="1"/>
  <c r="F216" i="3"/>
  <c r="D217" i="3"/>
  <c r="B219" i="3"/>
  <c r="B221" i="2"/>
  <c r="I215" i="3"/>
  <c r="F216" i="4" s="1"/>
  <c r="U215" i="3"/>
  <c r="J216" i="4" s="1"/>
  <c r="O215" i="3"/>
  <c r="H216" i="4" s="1"/>
  <c r="A219" i="4"/>
  <c r="J218" i="3"/>
  <c r="V218" i="3"/>
  <c r="M218" i="3"/>
  <c r="N218" i="3"/>
  <c r="C218" i="3"/>
  <c r="P218" i="3"/>
  <c r="G218" i="3"/>
  <c r="S218" i="3"/>
  <c r="Y218" i="3" s="1"/>
  <c r="Z218" i="3" s="1"/>
  <c r="E218" i="3"/>
  <c r="D220" i="2"/>
  <c r="T219" i="2"/>
  <c r="G219" i="2"/>
  <c r="T218" i="3" s="1"/>
  <c r="D217" i="4"/>
  <c r="AA217" i="3"/>
  <c r="F219" i="2"/>
  <c r="C220" i="2"/>
  <c r="N220" i="2"/>
  <c r="H219" i="2"/>
  <c r="E219" i="2" s="1"/>
  <c r="H218" i="3" s="1"/>
  <c r="D221" i="2" l="1"/>
  <c r="T220" i="2"/>
  <c r="I219" i="4"/>
  <c r="M219" i="4" s="1"/>
  <c r="K219" i="4"/>
  <c r="N219" i="4" s="1"/>
  <c r="G219" i="4"/>
  <c r="L219" i="4" s="1"/>
  <c r="M221" i="2"/>
  <c r="J220" i="2"/>
  <c r="G220" i="2" s="1"/>
  <c r="T219" i="3" s="1"/>
  <c r="N221" i="2"/>
  <c r="H220" i="2"/>
  <c r="B220" i="3"/>
  <c r="B222" i="2"/>
  <c r="A220" i="4"/>
  <c r="G219" i="3"/>
  <c r="S219" i="3"/>
  <c r="Y219" i="3" s="1"/>
  <c r="Z219" i="3" s="1"/>
  <c r="J219" i="3"/>
  <c r="V219" i="3"/>
  <c r="M219" i="3"/>
  <c r="C219" i="3"/>
  <c r="E219" i="3"/>
  <c r="P219" i="3"/>
  <c r="K223" i="2"/>
  <c r="E220" i="2"/>
  <c r="H219" i="3" s="1"/>
  <c r="F220" i="2"/>
  <c r="N219" i="3" s="1"/>
  <c r="C221" i="2"/>
  <c r="F217" i="3"/>
  <c r="D218" i="3"/>
  <c r="O216" i="3"/>
  <c r="H217" i="4" s="1"/>
  <c r="I216" i="3"/>
  <c r="F217" i="4" s="1"/>
  <c r="U216" i="3"/>
  <c r="J217" i="4" s="1"/>
  <c r="D218" i="4"/>
  <c r="AA218" i="3"/>
  <c r="L221" i="2"/>
  <c r="I220" i="2"/>
  <c r="C219" i="4"/>
  <c r="AB218" i="3"/>
  <c r="E219" i="4" s="1"/>
  <c r="N222" i="2" l="1"/>
  <c r="H221" i="2"/>
  <c r="C220" i="4"/>
  <c r="AB219" i="3"/>
  <c r="E220" i="4" s="1"/>
  <c r="O217" i="3"/>
  <c r="H218" i="4" s="1"/>
  <c r="I217" i="3"/>
  <c r="F218" i="4" s="1"/>
  <c r="U217" i="3"/>
  <c r="J218" i="4" s="1"/>
  <c r="F218" i="3"/>
  <c r="D219" i="3"/>
  <c r="M222" i="2"/>
  <c r="J221" i="2"/>
  <c r="G221" i="2" s="1"/>
  <c r="T220" i="3" s="1"/>
  <c r="F221" i="2"/>
  <c r="C222" i="2"/>
  <c r="E221" i="2"/>
  <c r="L222" i="2"/>
  <c r="I221" i="2"/>
  <c r="K224" i="2"/>
  <c r="I220" i="4"/>
  <c r="M220" i="4" s="1"/>
  <c r="K220" i="4"/>
  <c r="N220" i="4" s="1"/>
  <c r="G220" i="4"/>
  <c r="L220" i="4" s="1"/>
  <c r="D219" i="4"/>
  <c r="AA219" i="3"/>
  <c r="B221" i="3"/>
  <c r="B223" i="2"/>
  <c r="A221" i="4"/>
  <c r="C220" i="3"/>
  <c r="P220" i="3"/>
  <c r="E220" i="3"/>
  <c r="G220" i="3"/>
  <c r="S220" i="3"/>
  <c r="Y220" i="3" s="1"/>
  <c r="Z220" i="3" s="1"/>
  <c r="H220" i="3"/>
  <c r="J220" i="3"/>
  <c r="V220" i="3"/>
  <c r="N220" i="3"/>
  <c r="M220" i="3"/>
  <c r="D222" i="2"/>
  <c r="T221" i="2"/>
  <c r="M223" i="2" l="1"/>
  <c r="J222" i="2"/>
  <c r="F219" i="3"/>
  <c r="D220" i="3"/>
  <c r="I218" i="3"/>
  <c r="F219" i="4" s="1"/>
  <c r="U218" i="3"/>
  <c r="J219" i="4" s="1"/>
  <c r="O218" i="3"/>
  <c r="H219" i="4" s="1"/>
  <c r="D223" i="2"/>
  <c r="G222" i="2"/>
  <c r="T222" i="2"/>
  <c r="G221" i="4"/>
  <c r="L221" i="4" s="1"/>
  <c r="I221" i="4"/>
  <c r="M221" i="4" s="1"/>
  <c r="K221" i="4"/>
  <c r="N221" i="4" s="1"/>
  <c r="K225" i="2"/>
  <c r="C221" i="4"/>
  <c r="AB220" i="3"/>
  <c r="E221" i="4" s="1"/>
  <c r="B222" i="3"/>
  <c r="B224" i="2"/>
  <c r="A222" i="4"/>
  <c r="M221" i="3"/>
  <c r="C221" i="3"/>
  <c r="P221" i="3"/>
  <c r="E221" i="3"/>
  <c r="G221" i="3"/>
  <c r="S221" i="3"/>
  <c r="Y221" i="3" s="1"/>
  <c r="Z221" i="3" s="1"/>
  <c r="V221" i="3"/>
  <c r="T221" i="3"/>
  <c r="J221" i="3"/>
  <c r="I222" i="2"/>
  <c r="F222" i="2" s="1"/>
  <c r="N221" i="3" s="1"/>
  <c r="L223" i="2"/>
  <c r="D220" i="4"/>
  <c r="AA220" i="3"/>
  <c r="C223" i="2"/>
  <c r="N223" i="2"/>
  <c r="H222" i="2"/>
  <c r="E222" i="2" s="1"/>
  <c r="H221" i="3" s="1"/>
  <c r="C222" i="4" l="1"/>
  <c r="AB221" i="3"/>
  <c r="E222" i="4" s="1"/>
  <c r="G222" i="4"/>
  <c r="L222" i="4" s="1"/>
  <c r="I222" i="4"/>
  <c r="M222" i="4" s="1"/>
  <c r="K222" i="4"/>
  <c r="N222" i="4" s="1"/>
  <c r="B223" i="3"/>
  <c r="B225" i="2"/>
  <c r="A223" i="4"/>
  <c r="J222" i="3"/>
  <c r="V222" i="3"/>
  <c r="M222" i="3"/>
  <c r="C222" i="3"/>
  <c r="P222" i="3"/>
  <c r="E222" i="3"/>
  <c r="G222" i="3"/>
  <c r="S222" i="3"/>
  <c r="Y222" i="3" s="1"/>
  <c r="Z222" i="3" s="1"/>
  <c r="L224" i="2"/>
  <c r="I223" i="2"/>
  <c r="T223" i="2"/>
  <c r="D224" i="2"/>
  <c r="N224" i="2"/>
  <c r="H223" i="2"/>
  <c r="E223" i="2"/>
  <c r="H222" i="3" s="1"/>
  <c r="F223" i="2"/>
  <c r="N222" i="3" s="1"/>
  <c r="C224" i="2"/>
  <c r="K226" i="2"/>
  <c r="F220" i="3"/>
  <c r="D221" i="3"/>
  <c r="I219" i="3"/>
  <c r="F220" i="4" s="1"/>
  <c r="U219" i="3"/>
  <c r="J220" i="4" s="1"/>
  <c r="O219" i="3"/>
  <c r="H220" i="4" s="1"/>
  <c r="D221" i="4"/>
  <c r="AA221" i="3"/>
  <c r="M224" i="2"/>
  <c r="J223" i="2"/>
  <c r="G223" i="2" s="1"/>
  <c r="T222" i="3" s="1"/>
  <c r="O220" i="3" l="1"/>
  <c r="H221" i="4" s="1"/>
  <c r="I220" i="3"/>
  <c r="F221" i="4" s="1"/>
  <c r="U220" i="3"/>
  <c r="J221" i="4" s="1"/>
  <c r="F221" i="3"/>
  <c r="D222" i="3"/>
  <c r="A224" i="4"/>
  <c r="G223" i="3"/>
  <c r="S223" i="3"/>
  <c r="Y223" i="3" s="1"/>
  <c r="Z223" i="3" s="1"/>
  <c r="J223" i="3"/>
  <c r="V223" i="3"/>
  <c r="M223" i="3"/>
  <c r="C223" i="3"/>
  <c r="E223" i="3"/>
  <c r="P223" i="3"/>
  <c r="C225" i="2"/>
  <c r="L225" i="2"/>
  <c r="I224" i="2"/>
  <c r="F224" i="2" s="1"/>
  <c r="N223" i="3" s="1"/>
  <c r="J224" i="2"/>
  <c r="G224" i="2" s="1"/>
  <c r="T223" i="3" s="1"/>
  <c r="M225" i="2"/>
  <c r="G223" i="4"/>
  <c r="L223" i="4" s="1"/>
  <c r="I223" i="4"/>
  <c r="M223" i="4" s="1"/>
  <c r="K223" i="4"/>
  <c r="N223" i="4" s="1"/>
  <c r="K227" i="2"/>
  <c r="B224" i="3"/>
  <c r="B226" i="2"/>
  <c r="D222" i="4"/>
  <c r="AA222" i="3"/>
  <c r="N225" i="2"/>
  <c r="H224" i="2"/>
  <c r="E224" i="2" s="1"/>
  <c r="H223" i="3" s="1"/>
  <c r="D225" i="2"/>
  <c r="T224" i="2"/>
  <c r="C223" i="4"/>
  <c r="AB222" i="3"/>
  <c r="E223" i="4" s="1"/>
  <c r="N226" i="2" l="1"/>
  <c r="H225" i="2"/>
  <c r="D223" i="4"/>
  <c r="AA223" i="3"/>
  <c r="M226" i="2"/>
  <c r="J225" i="2"/>
  <c r="A225" i="4"/>
  <c r="C224" i="3"/>
  <c r="P224" i="3"/>
  <c r="E224" i="3"/>
  <c r="G224" i="3"/>
  <c r="S224" i="3"/>
  <c r="Y224" i="3" s="1"/>
  <c r="Z224" i="3" s="1"/>
  <c r="J224" i="3"/>
  <c r="V224" i="3"/>
  <c r="M224" i="3"/>
  <c r="L226" i="2"/>
  <c r="I225" i="2"/>
  <c r="B225" i="3"/>
  <c r="B227" i="2"/>
  <c r="K228" i="2"/>
  <c r="E225" i="2"/>
  <c r="H224" i="3" s="1"/>
  <c r="F225" i="2"/>
  <c r="N224" i="3" s="1"/>
  <c r="C226" i="2"/>
  <c r="G224" i="4"/>
  <c r="L224" i="4" s="1"/>
  <c r="I224" i="4"/>
  <c r="M224" i="4" s="1"/>
  <c r="K224" i="4"/>
  <c r="N224" i="4" s="1"/>
  <c r="F222" i="3"/>
  <c r="D223" i="3"/>
  <c r="T225" i="2"/>
  <c r="G225" i="2"/>
  <c r="T224" i="3" s="1"/>
  <c r="D226" i="2"/>
  <c r="O221" i="3"/>
  <c r="H222" i="4" s="1"/>
  <c r="I221" i="3"/>
  <c r="F222" i="4" s="1"/>
  <c r="U221" i="3"/>
  <c r="J222" i="4" s="1"/>
  <c r="C224" i="4"/>
  <c r="AB223" i="3"/>
  <c r="E224" i="4" s="1"/>
  <c r="K229" i="2" l="1"/>
  <c r="I222" i="3"/>
  <c r="F223" i="4" s="1"/>
  <c r="U222" i="3"/>
  <c r="J223" i="4" s="1"/>
  <c r="O222" i="3"/>
  <c r="H223" i="4" s="1"/>
  <c r="A226" i="4"/>
  <c r="M225" i="3"/>
  <c r="C225" i="3"/>
  <c r="P225" i="3"/>
  <c r="E225" i="3"/>
  <c r="G225" i="3"/>
  <c r="S225" i="3"/>
  <c r="Y225" i="3" s="1"/>
  <c r="Z225" i="3" s="1"/>
  <c r="V225" i="3"/>
  <c r="J225" i="3"/>
  <c r="B226" i="3"/>
  <c r="B228" i="2"/>
  <c r="L227" i="2"/>
  <c r="I226" i="2"/>
  <c r="G225" i="4"/>
  <c r="L225" i="4" s="1"/>
  <c r="I225" i="4"/>
  <c r="M225" i="4" s="1"/>
  <c r="K225" i="4"/>
  <c r="N225" i="4" s="1"/>
  <c r="C225" i="4"/>
  <c r="AB224" i="3"/>
  <c r="E225" i="4" s="1"/>
  <c r="M227" i="2"/>
  <c r="J226" i="2"/>
  <c r="D224" i="4"/>
  <c r="AA224" i="3"/>
  <c r="E226" i="2"/>
  <c r="H225" i="3" s="1"/>
  <c r="C227" i="2"/>
  <c r="F226" i="2"/>
  <c r="N225" i="3" s="1"/>
  <c r="F223" i="3"/>
  <c r="D224" i="3"/>
  <c r="T226" i="2"/>
  <c r="G226" i="2"/>
  <c r="T225" i="3" s="1"/>
  <c r="D227" i="2"/>
  <c r="N227" i="2"/>
  <c r="H226" i="2"/>
  <c r="D225" i="4" l="1"/>
  <c r="AA225" i="3"/>
  <c r="L228" i="2"/>
  <c r="I227" i="2"/>
  <c r="C228" i="2"/>
  <c r="E227" i="2"/>
  <c r="F227" i="2"/>
  <c r="B227" i="3"/>
  <c r="B229" i="2"/>
  <c r="C226" i="4"/>
  <c r="AB225" i="3"/>
  <c r="E226" i="4" s="1"/>
  <c r="N228" i="2"/>
  <c r="H227" i="2"/>
  <c r="J227" i="2"/>
  <c r="M228" i="2"/>
  <c r="A227" i="4"/>
  <c r="J226" i="3"/>
  <c r="V226" i="3"/>
  <c r="M226" i="3"/>
  <c r="N226" i="3"/>
  <c r="C226" i="3"/>
  <c r="P226" i="3"/>
  <c r="H226" i="3"/>
  <c r="T226" i="3"/>
  <c r="E226" i="3"/>
  <c r="G226" i="3"/>
  <c r="S226" i="3"/>
  <c r="Y226" i="3" s="1"/>
  <c r="Z226" i="3" s="1"/>
  <c r="G226" i="4"/>
  <c r="L226" i="4" s="1"/>
  <c r="I226" i="4"/>
  <c r="M226" i="4" s="1"/>
  <c r="K226" i="4"/>
  <c r="N226" i="4" s="1"/>
  <c r="T227" i="2"/>
  <c r="G227" i="2"/>
  <c r="D228" i="2"/>
  <c r="F224" i="3"/>
  <c r="D225" i="3"/>
  <c r="I223" i="3"/>
  <c r="F224" i="4" s="1"/>
  <c r="U223" i="3"/>
  <c r="J224" i="4" s="1"/>
  <c r="O223" i="3"/>
  <c r="H224" i="4" s="1"/>
  <c r="K230" i="2"/>
  <c r="B228" i="3" l="1"/>
  <c r="B230" i="2"/>
  <c r="A228" i="4"/>
  <c r="G227" i="3"/>
  <c r="S227" i="3"/>
  <c r="Y227" i="3" s="1"/>
  <c r="Z227" i="3" s="1"/>
  <c r="J227" i="3"/>
  <c r="V227" i="3"/>
  <c r="M227" i="3"/>
  <c r="C227" i="3"/>
  <c r="E227" i="3"/>
  <c r="P227" i="3"/>
  <c r="K231" i="2"/>
  <c r="C227" i="4"/>
  <c r="AB226" i="3"/>
  <c r="E227" i="4" s="1"/>
  <c r="N229" i="2"/>
  <c r="H228" i="2"/>
  <c r="E228" i="2"/>
  <c r="H227" i="3" s="1"/>
  <c r="C229" i="2"/>
  <c r="T228" i="2"/>
  <c r="D229" i="2"/>
  <c r="G227" i="4"/>
  <c r="L227" i="4" s="1"/>
  <c r="I227" i="4"/>
  <c r="M227" i="4" s="1"/>
  <c r="K227" i="4"/>
  <c r="N227" i="4" s="1"/>
  <c r="M229" i="2"/>
  <c r="J228" i="2"/>
  <c r="G228" i="2" s="1"/>
  <c r="T227" i="3" s="1"/>
  <c r="L229" i="2"/>
  <c r="I228" i="2"/>
  <c r="F228" i="2" s="1"/>
  <c r="N227" i="3" s="1"/>
  <c r="F225" i="3"/>
  <c r="D226" i="3"/>
  <c r="D226" i="4"/>
  <c r="AA226" i="3"/>
  <c r="O224" i="3"/>
  <c r="H225" i="4" s="1"/>
  <c r="I224" i="3"/>
  <c r="F225" i="4" s="1"/>
  <c r="U224" i="3"/>
  <c r="J225" i="4" s="1"/>
  <c r="C230" i="2" l="1"/>
  <c r="C228" i="4"/>
  <c r="AB227" i="3"/>
  <c r="E228" i="4" s="1"/>
  <c r="L230" i="2"/>
  <c r="I229" i="2"/>
  <c r="F229" i="2" s="1"/>
  <c r="N228" i="3" s="1"/>
  <c r="M230" i="2"/>
  <c r="J229" i="2"/>
  <c r="N230" i="2"/>
  <c r="H229" i="2"/>
  <c r="E229" i="2" s="1"/>
  <c r="H228" i="3" s="1"/>
  <c r="K232" i="2"/>
  <c r="G228" i="4"/>
  <c r="L228" i="4" s="1"/>
  <c r="I228" i="4"/>
  <c r="M228" i="4" s="1"/>
  <c r="K228" i="4"/>
  <c r="N228" i="4" s="1"/>
  <c r="F226" i="3"/>
  <c r="D227" i="3"/>
  <c r="D230" i="2"/>
  <c r="T229" i="2"/>
  <c r="G229" i="2"/>
  <c r="T228" i="3" s="1"/>
  <c r="B229" i="3"/>
  <c r="B231" i="2"/>
  <c r="D227" i="4"/>
  <c r="AA227" i="3"/>
  <c r="O225" i="3"/>
  <c r="H226" i="4" s="1"/>
  <c r="I225" i="3"/>
  <c r="F226" i="4" s="1"/>
  <c r="U225" i="3"/>
  <c r="J226" i="4" s="1"/>
  <c r="A229" i="4"/>
  <c r="C228" i="3"/>
  <c r="P228" i="3"/>
  <c r="E228" i="3"/>
  <c r="G228" i="3"/>
  <c r="S228" i="3"/>
  <c r="Y228" i="3" s="1"/>
  <c r="Z228" i="3" s="1"/>
  <c r="J228" i="3"/>
  <c r="V228" i="3"/>
  <c r="M228" i="3"/>
  <c r="K233" i="2" l="1"/>
  <c r="T230" i="2"/>
  <c r="D231" i="2"/>
  <c r="N231" i="2"/>
  <c r="H230" i="2"/>
  <c r="F227" i="3"/>
  <c r="D228" i="3"/>
  <c r="K229" i="4"/>
  <c r="N229" i="4" s="1"/>
  <c r="G229" i="4"/>
  <c r="L229" i="4" s="1"/>
  <c r="I229" i="4"/>
  <c r="M229" i="4" s="1"/>
  <c r="I226" i="3"/>
  <c r="F227" i="4" s="1"/>
  <c r="U226" i="3"/>
  <c r="J227" i="4" s="1"/>
  <c r="O226" i="3"/>
  <c r="H227" i="4" s="1"/>
  <c r="M231" i="2"/>
  <c r="J230" i="2"/>
  <c r="G230" i="2" s="1"/>
  <c r="T229" i="3" s="1"/>
  <c r="C229" i="4"/>
  <c r="AB228" i="3"/>
  <c r="E229" i="4" s="1"/>
  <c r="L231" i="2"/>
  <c r="I230" i="2"/>
  <c r="F230" i="2" s="1"/>
  <c r="N229" i="3" s="1"/>
  <c r="D228" i="4"/>
  <c r="AA228" i="3"/>
  <c r="B230" i="3"/>
  <c r="B232" i="2"/>
  <c r="A230" i="4"/>
  <c r="M229" i="3"/>
  <c r="C229" i="3"/>
  <c r="P229" i="3"/>
  <c r="E229" i="3"/>
  <c r="G229" i="3"/>
  <c r="S229" i="3"/>
  <c r="Y229" i="3" s="1"/>
  <c r="Z229" i="3" s="1"/>
  <c r="J229" i="3"/>
  <c r="V229" i="3"/>
  <c r="E230" i="2"/>
  <c r="H229" i="3" s="1"/>
  <c r="C231" i="2"/>
  <c r="F228" i="3" l="1"/>
  <c r="D229" i="3"/>
  <c r="I227" i="3"/>
  <c r="F228" i="4" s="1"/>
  <c r="U227" i="3"/>
  <c r="J228" i="4" s="1"/>
  <c r="O227" i="3"/>
  <c r="H228" i="4" s="1"/>
  <c r="I231" i="2"/>
  <c r="L232" i="2"/>
  <c r="F231" i="2"/>
  <c r="C232" i="2"/>
  <c r="M232" i="2"/>
  <c r="J231" i="2"/>
  <c r="G231" i="2" s="1"/>
  <c r="T230" i="3" s="1"/>
  <c r="C230" i="4"/>
  <c r="AB229" i="3"/>
  <c r="E230" i="4" s="1"/>
  <c r="N232" i="2"/>
  <c r="H231" i="2"/>
  <c r="E231" i="2" s="1"/>
  <c r="H230" i="3" s="1"/>
  <c r="K230" i="4"/>
  <c r="N230" i="4" s="1"/>
  <c r="G230" i="4"/>
  <c r="L230" i="4" s="1"/>
  <c r="I230" i="4"/>
  <c r="M230" i="4" s="1"/>
  <c r="D232" i="2"/>
  <c r="T231" i="2"/>
  <c r="B231" i="3"/>
  <c r="B233" i="2"/>
  <c r="A231" i="4"/>
  <c r="J230" i="3"/>
  <c r="V230" i="3"/>
  <c r="M230" i="3"/>
  <c r="N230" i="3"/>
  <c r="C230" i="3"/>
  <c r="P230" i="3"/>
  <c r="S230" i="3"/>
  <c r="Y230" i="3" s="1"/>
  <c r="Z230" i="3" s="1"/>
  <c r="G230" i="3"/>
  <c r="E230" i="3"/>
  <c r="D229" i="4"/>
  <c r="AA229" i="3"/>
  <c r="K234" i="2"/>
  <c r="D233" i="2" l="1"/>
  <c r="T232" i="2"/>
  <c r="M233" i="2"/>
  <c r="J232" i="2"/>
  <c r="G232" i="2" s="1"/>
  <c r="T231" i="3" s="1"/>
  <c r="C233" i="2"/>
  <c r="C231" i="4"/>
  <c r="AB230" i="3"/>
  <c r="E231" i="4" s="1"/>
  <c r="I232" i="2"/>
  <c r="F232" i="2" s="1"/>
  <c r="N231" i="3" s="1"/>
  <c r="L233" i="2"/>
  <c r="K235" i="2"/>
  <c r="I231" i="4"/>
  <c r="M231" i="4" s="1"/>
  <c r="K231" i="4"/>
  <c r="N231" i="4" s="1"/>
  <c r="G231" i="4"/>
  <c r="L231" i="4" s="1"/>
  <c r="B232" i="3"/>
  <c r="B234" i="2"/>
  <c r="N233" i="2"/>
  <c r="H232" i="2"/>
  <c r="E232" i="2" s="1"/>
  <c r="H231" i="3" s="1"/>
  <c r="D230" i="4"/>
  <c r="AA230" i="3"/>
  <c r="A232" i="4"/>
  <c r="G231" i="3"/>
  <c r="S231" i="3"/>
  <c r="Y231" i="3" s="1"/>
  <c r="Z231" i="3" s="1"/>
  <c r="J231" i="3"/>
  <c r="V231" i="3"/>
  <c r="M231" i="3"/>
  <c r="C231" i="3"/>
  <c r="E231" i="3"/>
  <c r="P231" i="3"/>
  <c r="F229" i="3"/>
  <c r="D230" i="3"/>
  <c r="O228" i="3"/>
  <c r="H229" i="4" s="1"/>
  <c r="I228" i="3"/>
  <c r="F229" i="4" s="1"/>
  <c r="U228" i="3"/>
  <c r="J229" i="4" s="1"/>
  <c r="L234" i="2" l="1"/>
  <c r="I233" i="2"/>
  <c r="N234" i="2"/>
  <c r="H233" i="2"/>
  <c r="C232" i="4"/>
  <c r="AB231" i="3"/>
  <c r="E232" i="4" s="1"/>
  <c r="B233" i="3"/>
  <c r="B235" i="2"/>
  <c r="F233" i="2"/>
  <c r="C234" i="2"/>
  <c r="E233" i="2"/>
  <c r="H232" i="3" s="1"/>
  <c r="M234" i="2"/>
  <c r="J233" i="2"/>
  <c r="O229" i="3"/>
  <c r="H230" i="4" s="1"/>
  <c r="I229" i="3"/>
  <c r="F230" i="4" s="1"/>
  <c r="U229" i="3"/>
  <c r="J230" i="4" s="1"/>
  <c r="I232" i="4"/>
  <c r="M232" i="4" s="1"/>
  <c r="K232" i="4"/>
  <c r="N232" i="4" s="1"/>
  <c r="G232" i="4"/>
  <c r="L232" i="4" s="1"/>
  <c r="A233" i="4"/>
  <c r="C232" i="3"/>
  <c r="P232" i="3"/>
  <c r="E232" i="3"/>
  <c r="G232" i="3"/>
  <c r="S232" i="3"/>
  <c r="Y232" i="3" s="1"/>
  <c r="Z232" i="3" s="1"/>
  <c r="T232" i="3"/>
  <c r="J232" i="3"/>
  <c r="V232" i="3"/>
  <c r="M232" i="3"/>
  <c r="N232" i="3"/>
  <c r="F230" i="3"/>
  <c r="D231" i="3"/>
  <c r="D231" i="4"/>
  <c r="AA231" i="3"/>
  <c r="K236" i="2"/>
  <c r="G233" i="2"/>
  <c r="D234" i="2"/>
  <c r="T233" i="2"/>
  <c r="F231" i="3" l="1"/>
  <c r="D232" i="3"/>
  <c r="M235" i="2"/>
  <c r="J234" i="2"/>
  <c r="I230" i="3"/>
  <c r="F231" i="4" s="1"/>
  <c r="U230" i="3"/>
  <c r="J231" i="4" s="1"/>
  <c r="O230" i="3"/>
  <c r="H231" i="4" s="1"/>
  <c r="G233" i="4"/>
  <c r="L233" i="4" s="1"/>
  <c r="I233" i="4"/>
  <c r="M233" i="4" s="1"/>
  <c r="K233" i="4"/>
  <c r="N233" i="4" s="1"/>
  <c r="C235" i="2"/>
  <c r="C233" i="4"/>
  <c r="AB232" i="3"/>
  <c r="E233" i="4" s="1"/>
  <c r="B234" i="3"/>
  <c r="B236" i="2"/>
  <c r="A234" i="4"/>
  <c r="M233" i="3"/>
  <c r="C233" i="3"/>
  <c r="P233" i="3"/>
  <c r="E233" i="3"/>
  <c r="G233" i="3"/>
  <c r="S233" i="3"/>
  <c r="Y233" i="3" s="1"/>
  <c r="Z233" i="3" s="1"/>
  <c r="V233" i="3"/>
  <c r="J233" i="3"/>
  <c r="D235" i="2"/>
  <c r="G234" i="2"/>
  <c r="T233" i="3" s="1"/>
  <c r="T234" i="2"/>
  <c r="N235" i="2"/>
  <c r="H234" i="2"/>
  <c r="E234" i="2" s="1"/>
  <c r="H233" i="3" s="1"/>
  <c r="K237" i="2"/>
  <c r="D232" i="4"/>
  <c r="AA232" i="3"/>
  <c r="I234" i="2"/>
  <c r="F234" i="2" s="1"/>
  <c r="N233" i="3" s="1"/>
  <c r="L235" i="2"/>
  <c r="N236" i="2" l="1"/>
  <c r="H235" i="2"/>
  <c r="C234" i="4"/>
  <c r="AB233" i="3"/>
  <c r="E234" i="4" s="1"/>
  <c r="T235" i="2"/>
  <c r="D236" i="2"/>
  <c r="G234" i="4"/>
  <c r="L234" i="4" s="1"/>
  <c r="I234" i="4"/>
  <c r="M234" i="4" s="1"/>
  <c r="K234" i="4"/>
  <c r="N234" i="4" s="1"/>
  <c r="B235" i="3"/>
  <c r="B237" i="2"/>
  <c r="L236" i="2"/>
  <c r="I235" i="2"/>
  <c r="A235" i="4"/>
  <c r="J234" i="3"/>
  <c r="V234" i="3"/>
  <c r="M234" i="3"/>
  <c r="C234" i="3"/>
  <c r="P234" i="3"/>
  <c r="S234" i="3"/>
  <c r="Y234" i="3" s="1"/>
  <c r="Z234" i="3" s="1"/>
  <c r="E234" i="3"/>
  <c r="G234" i="3"/>
  <c r="D233" i="4"/>
  <c r="AA233" i="3"/>
  <c r="E235" i="2"/>
  <c r="H234" i="3" s="1"/>
  <c r="F235" i="2"/>
  <c r="N234" i="3" s="1"/>
  <c r="C236" i="2"/>
  <c r="K238" i="2"/>
  <c r="M236" i="2"/>
  <c r="J235" i="2"/>
  <c r="G235" i="2" s="1"/>
  <c r="T234" i="3" s="1"/>
  <c r="F232" i="3"/>
  <c r="D233" i="3"/>
  <c r="I231" i="3"/>
  <c r="F232" i="4" s="1"/>
  <c r="U231" i="3"/>
  <c r="J232" i="4" s="1"/>
  <c r="O231" i="3"/>
  <c r="H232" i="4" s="1"/>
  <c r="C237" i="2" l="1"/>
  <c r="C235" i="4"/>
  <c r="AB234" i="3"/>
  <c r="E235" i="4" s="1"/>
  <c r="D234" i="4"/>
  <c r="AA234" i="3"/>
  <c r="G236" i="2"/>
  <c r="T235" i="3" s="1"/>
  <c r="D237" i="2"/>
  <c r="T236" i="2"/>
  <c r="G235" i="4"/>
  <c r="L235" i="4" s="1"/>
  <c r="I235" i="4"/>
  <c r="M235" i="4" s="1"/>
  <c r="K235" i="4"/>
  <c r="N235" i="4" s="1"/>
  <c r="K239" i="2"/>
  <c r="L237" i="2"/>
  <c r="I236" i="2"/>
  <c r="F236" i="2" s="1"/>
  <c r="N235" i="3" s="1"/>
  <c r="F233" i="3"/>
  <c r="D234" i="3"/>
  <c r="O232" i="3"/>
  <c r="H233" i="4" s="1"/>
  <c r="I232" i="3"/>
  <c r="F233" i="4" s="1"/>
  <c r="U232" i="3"/>
  <c r="J233" i="4" s="1"/>
  <c r="B236" i="3"/>
  <c r="B238" i="2"/>
  <c r="A236" i="4"/>
  <c r="G235" i="3"/>
  <c r="S235" i="3"/>
  <c r="Y235" i="3" s="1"/>
  <c r="Z235" i="3" s="1"/>
  <c r="J235" i="3"/>
  <c r="V235" i="3"/>
  <c r="M235" i="3"/>
  <c r="C235" i="3"/>
  <c r="E235" i="3"/>
  <c r="P235" i="3"/>
  <c r="J236" i="2"/>
  <c r="M237" i="2"/>
  <c r="N237" i="2"/>
  <c r="H236" i="2"/>
  <c r="E236" i="2" s="1"/>
  <c r="H235" i="3" s="1"/>
  <c r="F234" i="3" l="1"/>
  <c r="D235" i="3"/>
  <c r="O233" i="3"/>
  <c r="H234" i="4" s="1"/>
  <c r="I233" i="3"/>
  <c r="F234" i="4" s="1"/>
  <c r="U233" i="3"/>
  <c r="J234" i="4" s="1"/>
  <c r="L238" i="2"/>
  <c r="I237" i="2"/>
  <c r="D235" i="4"/>
  <c r="AA235" i="3"/>
  <c r="T237" i="2"/>
  <c r="G237" i="2"/>
  <c r="D238" i="2"/>
  <c r="N238" i="2"/>
  <c r="H237" i="2"/>
  <c r="K240" i="2"/>
  <c r="C236" i="4"/>
  <c r="AB235" i="3"/>
  <c r="E236" i="4" s="1"/>
  <c r="M238" i="2"/>
  <c r="J237" i="2"/>
  <c r="G236" i="4"/>
  <c r="L236" i="4" s="1"/>
  <c r="I236" i="4"/>
  <c r="M236" i="4" s="1"/>
  <c r="K236" i="4"/>
  <c r="N236" i="4" s="1"/>
  <c r="B237" i="3"/>
  <c r="B239" i="2"/>
  <c r="A237" i="4"/>
  <c r="C236" i="3"/>
  <c r="P236" i="3"/>
  <c r="G236" i="3"/>
  <c r="S236" i="3"/>
  <c r="Y236" i="3" s="1"/>
  <c r="Z236" i="3" s="1"/>
  <c r="H236" i="3"/>
  <c r="T236" i="3"/>
  <c r="J236" i="3"/>
  <c r="V236" i="3"/>
  <c r="E236" i="3"/>
  <c r="N236" i="3"/>
  <c r="M236" i="3"/>
  <c r="E237" i="2"/>
  <c r="F237" i="2"/>
  <c r="C238" i="2"/>
  <c r="T238" i="2" l="1"/>
  <c r="D239" i="2"/>
  <c r="D236" i="4"/>
  <c r="AA236" i="3"/>
  <c r="C239" i="2"/>
  <c r="M239" i="2"/>
  <c r="J238" i="2"/>
  <c r="G238" i="2" s="1"/>
  <c r="T237" i="3" s="1"/>
  <c r="L239" i="2"/>
  <c r="I238" i="2"/>
  <c r="F238" i="2" s="1"/>
  <c r="N237" i="3" s="1"/>
  <c r="G237" i="4"/>
  <c r="L237" i="4" s="1"/>
  <c r="I237" i="4"/>
  <c r="M237" i="4" s="1"/>
  <c r="K237" i="4"/>
  <c r="N237" i="4" s="1"/>
  <c r="C237" i="4"/>
  <c r="AB236" i="3"/>
  <c r="E237" i="4" s="1"/>
  <c r="B238" i="3"/>
  <c r="B240" i="2"/>
  <c r="A238" i="4"/>
  <c r="M237" i="3"/>
  <c r="C237" i="3"/>
  <c r="P237" i="3"/>
  <c r="E237" i="3"/>
  <c r="S237" i="3"/>
  <c r="Y237" i="3" s="1"/>
  <c r="Z237" i="3" s="1"/>
  <c r="V237" i="3"/>
  <c r="G237" i="3"/>
  <c r="J237" i="3"/>
  <c r="K241" i="2"/>
  <c r="F235" i="3"/>
  <c r="D236" i="3"/>
  <c r="N239" i="2"/>
  <c r="H238" i="2"/>
  <c r="E238" i="2" s="1"/>
  <c r="H237" i="3" s="1"/>
  <c r="I234" i="3"/>
  <c r="F235" i="4" s="1"/>
  <c r="U234" i="3"/>
  <c r="J235" i="4" s="1"/>
  <c r="O234" i="3"/>
  <c r="H235" i="4" s="1"/>
  <c r="I235" i="3" l="1"/>
  <c r="F236" i="4" s="1"/>
  <c r="U235" i="3"/>
  <c r="J236" i="4" s="1"/>
  <c r="O235" i="3"/>
  <c r="H236" i="4" s="1"/>
  <c r="C238" i="4"/>
  <c r="AB237" i="3"/>
  <c r="E238" i="4" s="1"/>
  <c r="A239" i="4"/>
  <c r="J238" i="3"/>
  <c r="V238" i="3"/>
  <c r="N238" i="3"/>
  <c r="M238" i="3"/>
  <c r="P238" i="3"/>
  <c r="S238" i="3"/>
  <c r="Y238" i="3" s="1"/>
  <c r="Z238" i="3" s="1"/>
  <c r="C238" i="3"/>
  <c r="T238" i="3"/>
  <c r="E238" i="3"/>
  <c r="G238" i="3"/>
  <c r="J239" i="2"/>
  <c r="M240" i="2"/>
  <c r="K242" i="2"/>
  <c r="G238" i="4"/>
  <c r="L238" i="4" s="1"/>
  <c r="K238" i="4"/>
  <c r="N238" i="4" s="1"/>
  <c r="I238" i="4"/>
  <c r="M238" i="4" s="1"/>
  <c r="L240" i="2"/>
  <c r="I239" i="2"/>
  <c r="B239" i="3"/>
  <c r="B241" i="2"/>
  <c r="C240" i="2"/>
  <c r="E239" i="2"/>
  <c r="H238" i="3" s="1"/>
  <c r="F239" i="2"/>
  <c r="D237" i="4"/>
  <c r="AA237" i="3"/>
  <c r="N240" i="2"/>
  <c r="H239" i="2"/>
  <c r="T239" i="2"/>
  <c r="G239" i="2"/>
  <c r="D240" i="2"/>
  <c r="F236" i="3"/>
  <c r="D237" i="3"/>
  <c r="D238" i="4" l="1"/>
  <c r="AA238" i="3"/>
  <c r="C239" i="4"/>
  <c r="AB238" i="3"/>
  <c r="E239" i="4" s="1"/>
  <c r="C241" i="2"/>
  <c r="F237" i="3"/>
  <c r="D238" i="3"/>
  <c r="M241" i="2"/>
  <c r="J240" i="2"/>
  <c r="G240" i="2" s="1"/>
  <c r="T239" i="3" s="1"/>
  <c r="B240" i="3"/>
  <c r="B242" i="2"/>
  <c r="O236" i="3"/>
  <c r="H237" i="4" s="1"/>
  <c r="I236" i="3"/>
  <c r="F237" i="4" s="1"/>
  <c r="U236" i="3"/>
  <c r="J237" i="4" s="1"/>
  <c r="A240" i="4"/>
  <c r="G239" i="3"/>
  <c r="S239" i="3"/>
  <c r="Y239" i="3" s="1"/>
  <c r="Z239" i="3" s="1"/>
  <c r="C239" i="3"/>
  <c r="E239" i="3"/>
  <c r="V239" i="3"/>
  <c r="J239" i="3"/>
  <c r="M239" i="3"/>
  <c r="P239" i="3"/>
  <c r="G239" i="4"/>
  <c r="L239" i="4" s="1"/>
  <c r="I239" i="4"/>
  <c r="M239" i="4" s="1"/>
  <c r="K239" i="4"/>
  <c r="N239" i="4" s="1"/>
  <c r="T240" i="2"/>
  <c r="D241" i="2"/>
  <c r="K243" i="2"/>
  <c r="L241" i="2"/>
  <c r="I240" i="2"/>
  <c r="F240" i="2" s="1"/>
  <c r="N239" i="3" s="1"/>
  <c r="N241" i="2"/>
  <c r="H240" i="2"/>
  <c r="E240" i="2" s="1"/>
  <c r="H239" i="3" s="1"/>
  <c r="A241" i="4" l="1"/>
  <c r="C240" i="3"/>
  <c r="G240" i="3"/>
  <c r="J240" i="3"/>
  <c r="M240" i="3"/>
  <c r="P240" i="3"/>
  <c r="S240" i="3"/>
  <c r="Y240" i="3" s="1"/>
  <c r="Z240" i="3" s="1"/>
  <c r="V240" i="3"/>
  <c r="E240" i="3"/>
  <c r="M242" i="2"/>
  <c r="J241" i="2"/>
  <c r="F238" i="3"/>
  <c r="D239" i="3"/>
  <c r="O237" i="3"/>
  <c r="H238" i="4" s="1"/>
  <c r="I237" i="3"/>
  <c r="F238" i="4" s="1"/>
  <c r="U237" i="3"/>
  <c r="J238" i="4" s="1"/>
  <c r="C242" i="2"/>
  <c r="E241" i="2"/>
  <c r="H240" i="3" s="1"/>
  <c r="F241" i="2"/>
  <c r="N240" i="3" s="1"/>
  <c r="N242" i="2"/>
  <c r="H241" i="2"/>
  <c r="I240" i="4"/>
  <c r="M240" i="4" s="1"/>
  <c r="K240" i="4"/>
  <c r="N240" i="4" s="1"/>
  <c r="G240" i="4"/>
  <c r="L240" i="4" s="1"/>
  <c r="L242" i="2"/>
  <c r="I241" i="2"/>
  <c r="K244" i="2"/>
  <c r="C240" i="4"/>
  <c r="AB239" i="3"/>
  <c r="E240" i="4" s="1"/>
  <c r="D239" i="4"/>
  <c r="AA239" i="3"/>
  <c r="D242" i="2"/>
  <c r="T241" i="2"/>
  <c r="G241" i="2"/>
  <c r="T240" i="3" s="1"/>
  <c r="B241" i="3"/>
  <c r="B243" i="2"/>
  <c r="N243" i="2" l="1"/>
  <c r="H242" i="2"/>
  <c r="K245" i="2"/>
  <c r="E242" i="2"/>
  <c r="C243" i="2"/>
  <c r="B242" i="3"/>
  <c r="B244" i="2"/>
  <c r="L243" i="2"/>
  <c r="I242" i="2"/>
  <c r="F242" i="2" s="1"/>
  <c r="N241" i="3" s="1"/>
  <c r="C241" i="4"/>
  <c r="AB240" i="3"/>
  <c r="E241" i="4" s="1"/>
  <c r="A242" i="4"/>
  <c r="H241" i="3"/>
  <c r="J241" i="3"/>
  <c r="V241" i="3"/>
  <c r="M241" i="3"/>
  <c r="C241" i="3"/>
  <c r="E241" i="3"/>
  <c r="G241" i="3"/>
  <c r="S241" i="3"/>
  <c r="Y241" i="3" s="1"/>
  <c r="Z241" i="3" s="1"/>
  <c r="P241" i="3"/>
  <c r="F239" i="3"/>
  <c r="D240" i="3"/>
  <c r="I238" i="3"/>
  <c r="F239" i="4" s="1"/>
  <c r="U238" i="3"/>
  <c r="J239" i="4" s="1"/>
  <c r="O238" i="3"/>
  <c r="H239" i="4" s="1"/>
  <c r="T242" i="2"/>
  <c r="G242" i="2"/>
  <c r="T241" i="3" s="1"/>
  <c r="D243" i="2"/>
  <c r="D240" i="4"/>
  <c r="AA240" i="3"/>
  <c r="M243" i="2"/>
  <c r="J242" i="2"/>
  <c r="K241" i="4"/>
  <c r="N241" i="4" s="1"/>
  <c r="G241" i="4"/>
  <c r="L241" i="4" s="1"/>
  <c r="I241" i="4"/>
  <c r="M241" i="4" s="1"/>
  <c r="M244" i="2" l="1"/>
  <c r="J243" i="2"/>
  <c r="D241" i="4"/>
  <c r="AA241" i="3"/>
  <c r="I243" i="2"/>
  <c r="L244" i="2"/>
  <c r="D244" i="2"/>
  <c r="T243" i="2"/>
  <c r="G243" i="2"/>
  <c r="T242" i="3" s="1"/>
  <c r="B243" i="3"/>
  <c r="B245" i="2"/>
  <c r="A243" i="4"/>
  <c r="E242" i="3"/>
  <c r="G242" i="3"/>
  <c r="S242" i="3"/>
  <c r="Y242" i="3" s="1"/>
  <c r="Z242" i="3" s="1"/>
  <c r="J242" i="3"/>
  <c r="V242" i="3"/>
  <c r="N242" i="3"/>
  <c r="P242" i="3"/>
  <c r="M242" i="3"/>
  <c r="C242" i="3"/>
  <c r="C242" i="4"/>
  <c r="AB241" i="3"/>
  <c r="E242" i="4" s="1"/>
  <c r="F243" i="2"/>
  <c r="C244" i="2"/>
  <c r="F240" i="3"/>
  <c r="D241" i="3"/>
  <c r="K246" i="2"/>
  <c r="O239" i="3"/>
  <c r="H240" i="4" s="1"/>
  <c r="U239" i="3"/>
  <c r="J240" i="4" s="1"/>
  <c r="I239" i="3"/>
  <c r="F240" i="4" s="1"/>
  <c r="K242" i="4"/>
  <c r="N242" i="4" s="1"/>
  <c r="G242" i="4"/>
  <c r="L242" i="4" s="1"/>
  <c r="I242" i="4"/>
  <c r="M242" i="4" s="1"/>
  <c r="N244" i="2"/>
  <c r="H243" i="2"/>
  <c r="E243" i="2" s="1"/>
  <c r="H242" i="3" s="1"/>
  <c r="I243" i="4" l="1"/>
  <c r="M243" i="4" s="1"/>
  <c r="K243" i="4"/>
  <c r="N243" i="4" s="1"/>
  <c r="G243" i="4"/>
  <c r="L243" i="4" s="1"/>
  <c r="B244" i="3"/>
  <c r="B246" i="2"/>
  <c r="C243" i="4"/>
  <c r="AB242" i="3"/>
  <c r="E243" i="4" s="1"/>
  <c r="A244" i="4"/>
  <c r="C243" i="3"/>
  <c r="P243" i="3"/>
  <c r="E243" i="3"/>
  <c r="G243" i="3"/>
  <c r="S243" i="3"/>
  <c r="Y243" i="3" s="1"/>
  <c r="Z243" i="3" s="1"/>
  <c r="M243" i="3"/>
  <c r="J243" i="3"/>
  <c r="V243" i="3"/>
  <c r="K247" i="2"/>
  <c r="D245" i="2"/>
  <c r="T244" i="2"/>
  <c r="N245" i="2"/>
  <c r="H244" i="2"/>
  <c r="E244" i="2" s="1"/>
  <c r="H243" i="3" s="1"/>
  <c r="D242" i="3"/>
  <c r="F241" i="3"/>
  <c r="I244" i="2"/>
  <c r="L245" i="2"/>
  <c r="O240" i="3"/>
  <c r="H241" i="4" s="1"/>
  <c r="I240" i="3"/>
  <c r="F241" i="4" s="1"/>
  <c r="U240" i="3"/>
  <c r="J241" i="4" s="1"/>
  <c r="D242" i="4"/>
  <c r="AA242" i="3"/>
  <c r="F244" i="2"/>
  <c r="N243" i="3" s="1"/>
  <c r="C245" i="2"/>
  <c r="M245" i="2"/>
  <c r="J244" i="2"/>
  <c r="G244" i="2" s="1"/>
  <c r="T243" i="3" s="1"/>
  <c r="C244" i="4" l="1"/>
  <c r="AB243" i="3"/>
  <c r="E244" i="4" s="1"/>
  <c r="B245" i="3"/>
  <c r="B247" i="2"/>
  <c r="L246" i="2"/>
  <c r="I245" i="2"/>
  <c r="I241" i="3"/>
  <c r="F242" i="4" s="1"/>
  <c r="U241" i="3"/>
  <c r="J242" i="4" s="1"/>
  <c r="O241" i="3"/>
  <c r="H242" i="4" s="1"/>
  <c r="A245" i="4"/>
  <c r="M244" i="3"/>
  <c r="C244" i="3"/>
  <c r="P244" i="3"/>
  <c r="E244" i="3"/>
  <c r="J244" i="3"/>
  <c r="V244" i="3"/>
  <c r="G244" i="3"/>
  <c r="S244" i="3"/>
  <c r="Y244" i="3" s="1"/>
  <c r="Z244" i="3" s="1"/>
  <c r="M246" i="2"/>
  <c r="J245" i="2"/>
  <c r="G245" i="2" s="1"/>
  <c r="T244" i="3" s="1"/>
  <c r="F242" i="3"/>
  <c r="D243" i="3"/>
  <c r="F245" i="2"/>
  <c r="N244" i="3" s="1"/>
  <c r="C246" i="2"/>
  <c r="K248" i="2"/>
  <c r="N246" i="2"/>
  <c r="H245" i="2"/>
  <c r="E245" i="2" s="1"/>
  <c r="H244" i="3" s="1"/>
  <c r="D243" i="4"/>
  <c r="AA243" i="3"/>
  <c r="I244" i="4"/>
  <c r="M244" i="4" s="1"/>
  <c r="K244" i="4"/>
  <c r="N244" i="4" s="1"/>
  <c r="G244" i="4"/>
  <c r="L244" i="4" s="1"/>
  <c r="D246" i="2"/>
  <c r="T245" i="2"/>
  <c r="I242" i="3" l="1"/>
  <c r="F243" i="4" s="1"/>
  <c r="U242" i="3"/>
  <c r="J243" i="4" s="1"/>
  <c r="O242" i="3"/>
  <c r="H243" i="4" s="1"/>
  <c r="C245" i="4"/>
  <c r="AB244" i="3"/>
  <c r="E245" i="4" s="1"/>
  <c r="D244" i="4"/>
  <c r="AA244" i="3"/>
  <c r="M247" i="2"/>
  <c r="J246" i="2"/>
  <c r="G246" i="2" s="1"/>
  <c r="T245" i="3" s="1"/>
  <c r="G245" i="4"/>
  <c r="L245" i="4" s="1"/>
  <c r="I245" i="4"/>
  <c r="M245" i="4" s="1"/>
  <c r="K245" i="4"/>
  <c r="N245" i="4" s="1"/>
  <c r="N247" i="2"/>
  <c r="H246" i="2"/>
  <c r="E246" i="2" s="1"/>
  <c r="H245" i="3" s="1"/>
  <c r="D247" i="2"/>
  <c r="T246" i="2"/>
  <c r="K249" i="2"/>
  <c r="I246" i="2"/>
  <c r="F246" i="2" s="1"/>
  <c r="N245" i="3" s="1"/>
  <c r="L247" i="2"/>
  <c r="B246" i="3"/>
  <c r="B248" i="2"/>
  <c r="C247" i="2"/>
  <c r="A246" i="4"/>
  <c r="J245" i="3"/>
  <c r="V245" i="3"/>
  <c r="M245" i="3"/>
  <c r="C245" i="3"/>
  <c r="E245" i="3"/>
  <c r="G245" i="3"/>
  <c r="S245" i="3"/>
  <c r="Y245" i="3" s="1"/>
  <c r="Z245" i="3" s="1"/>
  <c r="P245" i="3"/>
  <c r="F243" i="3"/>
  <c r="D244" i="3"/>
  <c r="L248" i="2" l="1"/>
  <c r="I247" i="2"/>
  <c r="K250" i="2"/>
  <c r="M248" i="2"/>
  <c r="J247" i="2"/>
  <c r="F244" i="3"/>
  <c r="D245" i="3"/>
  <c r="D245" i="4"/>
  <c r="AA245" i="3"/>
  <c r="O243" i="3"/>
  <c r="H244" i="4" s="1"/>
  <c r="I243" i="3"/>
  <c r="F244" i="4" s="1"/>
  <c r="U243" i="3"/>
  <c r="J244" i="4" s="1"/>
  <c r="G246" i="4"/>
  <c r="L246" i="4" s="1"/>
  <c r="I246" i="4"/>
  <c r="M246" i="4" s="1"/>
  <c r="K246" i="4"/>
  <c r="N246" i="4" s="1"/>
  <c r="T247" i="2"/>
  <c r="G247" i="2"/>
  <c r="T246" i="3" s="1"/>
  <c r="D248" i="2"/>
  <c r="C246" i="4"/>
  <c r="AB245" i="3"/>
  <c r="E246" i="4" s="1"/>
  <c r="F247" i="2"/>
  <c r="C248" i="2"/>
  <c r="N248" i="2"/>
  <c r="H247" i="2"/>
  <c r="E247" i="2" s="1"/>
  <c r="H246" i="3" s="1"/>
  <c r="B247" i="3"/>
  <c r="B249" i="2"/>
  <c r="A247" i="4"/>
  <c r="E246" i="3"/>
  <c r="G246" i="3"/>
  <c r="S246" i="3"/>
  <c r="Y246" i="3" s="1"/>
  <c r="Z246" i="3" s="1"/>
  <c r="J246" i="3"/>
  <c r="V246" i="3"/>
  <c r="N246" i="3"/>
  <c r="P246" i="3"/>
  <c r="C246" i="3"/>
  <c r="M246" i="3"/>
  <c r="D249" i="2" l="1"/>
  <c r="T248" i="2"/>
  <c r="D246" i="4"/>
  <c r="AA246" i="3"/>
  <c r="G247" i="4"/>
  <c r="L247" i="4" s="1"/>
  <c r="K247" i="4"/>
  <c r="N247" i="4" s="1"/>
  <c r="I247" i="4"/>
  <c r="M247" i="4" s="1"/>
  <c r="D246" i="3"/>
  <c r="F245" i="3"/>
  <c r="C247" i="4"/>
  <c r="AB246" i="3"/>
  <c r="E247" i="4" s="1"/>
  <c r="B248" i="3"/>
  <c r="B250" i="2"/>
  <c r="O244" i="3"/>
  <c r="H245" i="4" s="1"/>
  <c r="I244" i="3"/>
  <c r="F245" i="4" s="1"/>
  <c r="U244" i="3"/>
  <c r="J245" i="4" s="1"/>
  <c r="A248" i="4"/>
  <c r="C247" i="3"/>
  <c r="P247" i="3"/>
  <c r="E247" i="3"/>
  <c r="G247" i="3"/>
  <c r="S247" i="3"/>
  <c r="Y247" i="3" s="1"/>
  <c r="Z247" i="3" s="1"/>
  <c r="M247" i="3"/>
  <c r="J247" i="3"/>
  <c r="V247" i="3"/>
  <c r="J248" i="2"/>
  <c r="G248" i="2" s="1"/>
  <c r="T247" i="3" s="1"/>
  <c r="M249" i="2"/>
  <c r="N249" i="2"/>
  <c r="H248" i="2"/>
  <c r="E248" i="2" s="1"/>
  <c r="H247" i="3" s="1"/>
  <c r="C249" i="2"/>
  <c r="K251" i="2"/>
  <c r="L249" i="2"/>
  <c r="I248" i="2"/>
  <c r="F248" i="2" s="1"/>
  <c r="N247" i="3" s="1"/>
  <c r="F246" i="3" l="1"/>
  <c r="D247" i="3"/>
  <c r="N250" i="2"/>
  <c r="H249" i="2"/>
  <c r="M250" i="2"/>
  <c r="J249" i="2"/>
  <c r="I248" i="4"/>
  <c r="M248" i="4" s="1"/>
  <c r="G248" i="4"/>
  <c r="L248" i="4" s="1"/>
  <c r="K248" i="4"/>
  <c r="N248" i="4" s="1"/>
  <c r="C248" i="4"/>
  <c r="AB247" i="3"/>
  <c r="E248" i="4" s="1"/>
  <c r="K252" i="2"/>
  <c r="B249" i="3"/>
  <c r="B251" i="2"/>
  <c r="D247" i="4"/>
  <c r="AA247" i="3"/>
  <c r="L250" i="2"/>
  <c r="I249" i="2"/>
  <c r="F249" i="2" s="1"/>
  <c r="N248" i="3" s="1"/>
  <c r="A249" i="4"/>
  <c r="M248" i="3"/>
  <c r="C248" i="3"/>
  <c r="P248" i="3"/>
  <c r="E248" i="3"/>
  <c r="H248" i="3"/>
  <c r="J248" i="3"/>
  <c r="V248" i="3"/>
  <c r="G248" i="3"/>
  <c r="S248" i="3"/>
  <c r="Y248" i="3" s="1"/>
  <c r="Z248" i="3" s="1"/>
  <c r="T249" i="2"/>
  <c r="G249" i="2"/>
  <c r="T248" i="3" s="1"/>
  <c r="D250" i="2"/>
  <c r="E249" i="2"/>
  <c r="C250" i="2"/>
  <c r="I245" i="3"/>
  <c r="F246" i="4" s="1"/>
  <c r="U245" i="3"/>
  <c r="J246" i="4" s="1"/>
  <c r="O245" i="3"/>
  <c r="H246" i="4" s="1"/>
  <c r="C249" i="4" l="1"/>
  <c r="AB248" i="3"/>
  <c r="E249" i="4" s="1"/>
  <c r="L251" i="2"/>
  <c r="I250" i="2"/>
  <c r="D248" i="4"/>
  <c r="AA248" i="3"/>
  <c r="B250" i="3"/>
  <c r="B252" i="2"/>
  <c r="K249" i="4"/>
  <c r="N249" i="4" s="1"/>
  <c r="G249" i="4"/>
  <c r="L249" i="4" s="1"/>
  <c r="I249" i="4"/>
  <c r="M249" i="4" s="1"/>
  <c r="A250" i="4"/>
  <c r="J249" i="3"/>
  <c r="V249" i="3"/>
  <c r="M249" i="3"/>
  <c r="N249" i="3"/>
  <c r="C249" i="3"/>
  <c r="E249" i="3"/>
  <c r="G249" i="3"/>
  <c r="S249" i="3"/>
  <c r="Y249" i="3" s="1"/>
  <c r="Z249" i="3" s="1"/>
  <c r="P249" i="3"/>
  <c r="M251" i="2"/>
  <c r="J250" i="2"/>
  <c r="G250" i="2" s="1"/>
  <c r="T249" i="3" s="1"/>
  <c r="C251" i="2"/>
  <c r="F250" i="2"/>
  <c r="K253" i="2"/>
  <c r="N251" i="2"/>
  <c r="H250" i="2"/>
  <c r="E250" i="2" s="1"/>
  <c r="H249" i="3" s="1"/>
  <c r="F247" i="3"/>
  <c r="D248" i="3"/>
  <c r="T250" i="2"/>
  <c r="D251" i="2"/>
  <c r="I246" i="3"/>
  <c r="F247" i="4" s="1"/>
  <c r="U246" i="3"/>
  <c r="J247" i="4" s="1"/>
  <c r="O246" i="3"/>
  <c r="H247" i="4" s="1"/>
  <c r="O247" i="3" l="1"/>
  <c r="H248" i="4" s="1"/>
  <c r="I247" i="3"/>
  <c r="F248" i="4" s="1"/>
  <c r="U247" i="3"/>
  <c r="J248" i="4" s="1"/>
  <c r="N252" i="2"/>
  <c r="H251" i="2"/>
  <c r="K254" i="2"/>
  <c r="C250" i="4"/>
  <c r="AB249" i="3"/>
  <c r="E250" i="4" s="1"/>
  <c r="B251" i="3"/>
  <c r="B253" i="2"/>
  <c r="A251" i="4"/>
  <c r="E250" i="3"/>
  <c r="G250" i="3"/>
  <c r="S250" i="3"/>
  <c r="Y250" i="3" s="1"/>
  <c r="Z250" i="3" s="1"/>
  <c r="H250" i="3"/>
  <c r="J250" i="3"/>
  <c r="V250" i="3"/>
  <c r="P250" i="3"/>
  <c r="M250" i="3"/>
  <c r="C250" i="3"/>
  <c r="C252" i="2"/>
  <c r="E251" i="2"/>
  <c r="F251" i="2"/>
  <c r="N250" i="3" s="1"/>
  <c r="D249" i="4"/>
  <c r="AA249" i="3"/>
  <c r="T251" i="2"/>
  <c r="D252" i="2"/>
  <c r="J251" i="2"/>
  <c r="G251" i="2" s="1"/>
  <c r="T250" i="3" s="1"/>
  <c r="M252" i="2"/>
  <c r="I250" i="4"/>
  <c r="M250" i="4" s="1"/>
  <c r="K250" i="4"/>
  <c r="N250" i="4" s="1"/>
  <c r="G250" i="4"/>
  <c r="L250" i="4" s="1"/>
  <c r="L252" i="2"/>
  <c r="I251" i="2"/>
  <c r="F248" i="3"/>
  <c r="D249" i="3"/>
  <c r="C253" i="2" l="1"/>
  <c r="G251" i="4"/>
  <c r="L251" i="4" s="1"/>
  <c r="I251" i="4"/>
  <c r="M251" i="4" s="1"/>
  <c r="K251" i="4"/>
  <c r="N251" i="4" s="1"/>
  <c r="C251" i="4"/>
  <c r="AB250" i="3"/>
  <c r="E251" i="4" s="1"/>
  <c r="A252" i="4"/>
  <c r="C251" i="3"/>
  <c r="P251" i="3"/>
  <c r="E251" i="3"/>
  <c r="G251" i="3"/>
  <c r="S251" i="3"/>
  <c r="Y251" i="3" s="1"/>
  <c r="Z251" i="3" s="1"/>
  <c r="M251" i="3"/>
  <c r="J251" i="3"/>
  <c r="V251" i="3"/>
  <c r="B252" i="3"/>
  <c r="B254" i="2"/>
  <c r="M253" i="2"/>
  <c r="J252" i="2"/>
  <c r="D250" i="3"/>
  <c r="F249" i="3"/>
  <c r="T252" i="2"/>
  <c r="G252" i="2"/>
  <c r="T251" i="3" s="1"/>
  <c r="D253" i="2"/>
  <c r="K255" i="2"/>
  <c r="O248" i="3"/>
  <c r="H249" i="4" s="1"/>
  <c r="U248" i="3"/>
  <c r="J249" i="4" s="1"/>
  <c r="I248" i="3"/>
  <c r="F249" i="4" s="1"/>
  <c r="L253" i="2"/>
  <c r="I252" i="2"/>
  <c r="F252" i="2" s="1"/>
  <c r="N251" i="3" s="1"/>
  <c r="D250" i="4"/>
  <c r="AA250" i="3"/>
  <c r="N253" i="2"/>
  <c r="H252" i="2"/>
  <c r="E252" i="2" s="1"/>
  <c r="H251" i="3" s="1"/>
  <c r="A253" i="4" l="1"/>
  <c r="M252" i="3"/>
  <c r="C252" i="3"/>
  <c r="P252" i="3"/>
  <c r="E252" i="3"/>
  <c r="J252" i="3"/>
  <c r="V252" i="3"/>
  <c r="G252" i="3"/>
  <c r="S252" i="3"/>
  <c r="Y252" i="3" s="1"/>
  <c r="Z252" i="3" s="1"/>
  <c r="G252" i="4"/>
  <c r="L252" i="4" s="1"/>
  <c r="I252" i="4"/>
  <c r="M252" i="4" s="1"/>
  <c r="K252" i="4"/>
  <c r="N252" i="4" s="1"/>
  <c r="K256" i="2"/>
  <c r="C252" i="4"/>
  <c r="AB251" i="3"/>
  <c r="E252" i="4" s="1"/>
  <c r="D254" i="2"/>
  <c r="T253" i="2"/>
  <c r="N254" i="2"/>
  <c r="H253" i="2"/>
  <c r="F250" i="3"/>
  <c r="D251" i="3"/>
  <c r="D251" i="4"/>
  <c r="AA251" i="3"/>
  <c r="C254" i="2"/>
  <c r="E253" i="2"/>
  <c r="H252" i="3" s="1"/>
  <c r="F253" i="2"/>
  <c r="N252" i="3" s="1"/>
  <c r="I249" i="3"/>
  <c r="F250" i="4" s="1"/>
  <c r="U249" i="3"/>
  <c r="J250" i="4" s="1"/>
  <c r="O249" i="3"/>
  <c r="H250" i="4" s="1"/>
  <c r="I253" i="2"/>
  <c r="L254" i="2"/>
  <c r="M254" i="2"/>
  <c r="J253" i="2"/>
  <c r="G253" i="2" s="1"/>
  <c r="T252" i="3" s="1"/>
  <c r="B253" i="3"/>
  <c r="B255" i="2"/>
  <c r="C255" i="2" l="1"/>
  <c r="B254" i="3"/>
  <c r="B256" i="2"/>
  <c r="D252" i="4"/>
  <c r="AA252" i="3"/>
  <c r="K257" i="2"/>
  <c r="A254" i="4"/>
  <c r="J253" i="3"/>
  <c r="V253" i="3"/>
  <c r="M253" i="3"/>
  <c r="C253" i="3"/>
  <c r="E253" i="3"/>
  <c r="G253" i="3"/>
  <c r="S253" i="3"/>
  <c r="Y253" i="3" s="1"/>
  <c r="Z253" i="3" s="1"/>
  <c r="P253" i="3"/>
  <c r="F251" i="3"/>
  <c r="D252" i="3"/>
  <c r="T254" i="2"/>
  <c r="D255" i="2"/>
  <c r="M255" i="2"/>
  <c r="J254" i="2"/>
  <c r="G254" i="2" s="1"/>
  <c r="T253" i="3" s="1"/>
  <c r="I250" i="3"/>
  <c r="F251" i="4" s="1"/>
  <c r="U250" i="3"/>
  <c r="J251" i="4" s="1"/>
  <c r="O250" i="3"/>
  <c r="H251" i="4" s="1"/>
  <c r="L255" i="2"/>
  <c r="I254" i="2"/>
  <c r="F254" i="2" s="1"/>
  <c r="N253" i="3" s="1"/>
  <c r="N255" i="2"/>
  <c r="H254" i="2"/>
  <c r="E254" i="2" s="1"/>
  <c r="H253" i="3" s="1"/>
  <c r="C253" i="4"/>
  <c r="AB252" i="3"/>
  <c r="E253" i="4" s="1"/>
  <c r="G253" i="4"/>
  <c r="L253" i="4" s="1"/>
  <c r="K253" i="4"/>
  <c r="N253" i="4" s="1"/>
  <c r="I253" i="4"/>
  <c r="M253" i="4" s="1"/>
  <c r="I255" i="2" l="1"/>
  <c r="L256" i="2"/>
  <c r="F252" i="3"/>
  <c r="D253" i="3"/>
  <c r="N256" i="2"/>
  <c r="H255" i="2"/>
  <c r="O251" i="3"/>
  <c r="H252" i="4" s="1"/>
  <c r="I251" i="3"/>
  <c r="F252" i="4" s="1"/>
  <c r="U251" i="3"/>
  <c r="J252" i="4" s="1"/>
  <c r="I254" i="4"/>
  <c r="M254" i="4" s="1"/>
  <c r="K254" i="4"/>
  <c r="N254" i="4" s="1"/>
  <c r="G254" i="4"/>
  <c r="L254" i="4" s="1"/>
  <c r="D253" i="4"/>
  <c r="AA253" i="3"/>
  <c r="B255" i="3"/>
  <c r="B257" i="2"/>
  <c r="A255" i="4"/>
  <c r="E254" i="3"/>
  <c r="G254" i="3"/>
  <c r="S254" i="3"/>
  <c r="Y254" i="3" s="1"/>
  <c r="Z254" i="3" s="1"/>
  <c r="H254" i="3"/>
  <c r="J254" i="3"/>
  <c r="V254" i="3"/>
  <c r="P254" i="3"/>
  <c r="C254" i="3"/>
  <c r="M254" i="3"/>
  <c r="K258" i="2"/>
  <c r="M256" i="2"/>
  <c r="J255" i="2"/>
  <c r="G255" i="2" s="1"/>
  <c r="T254" i="3" s="1"/>
  <c r="C254" i="4"/>
  <c r="AB253" i="3"/>
  <c r="E254" i="4" s="1"/>
  <c r="F255" i="2"/>
  <c r="N254" i="3" s="1"/>
  <c r="C256" i="2"/>
  <c r="E255" i="2"/>
  <c r="D256" i="2"/>
  <c r="T255" i="2"/>
  <c r="M257" i="2" l="1"/>
  <c r="J256" i="2"/>
  <c r="K259" i="2"/>
  <c r="K255" i="4"/>
  <c r="N255" i="4" s="1"/>
  <c r="G255" i="4"/>
  <c r="L255" i="4" s="1"/>
  <c r="I255" i="4"/>
  <c r="M255" i="4" s="1"/>
  <c r="C255" i="4"/>
  <c r="AB254" i="3"/>
  <c r="E255" i="4" s="1"/>
  <c r="B256" i="3"/>
  <c r="B258" i="2"/>
  <c r="A256" i="4"/>
  <c r="C255" i="3"/>
  <c r="P255" i="3"/>
  <c r="E255" i="3"/>
  <c r="G255" i="3"/>
  <c r="S255" i="3"/>
  <c r="Y255" i="3" s="1"/>
  <c r="Z255" i="3" s="1"/>
  <c r="T255" i="3"/>
  <c r="M255" i="3"/>
  <c r="J255" i="3"/>
  <c r="V255" i="3"/>
  <c r="D257" i="2"/>
  <c r="T256" i="2"/>
  <c r="G256" i="2"/>
  <c r="D254" i="4"/>
  <c r="AA254" i="3"/>
  <c r="N257" i="2"/>
  <c r="H256" i="2"/>
  <c r="E256" i="2" s="1"/>
  <c r="H255" i="3" s="1"/>
  <c r="D254" i="3"/>
  <c r="F253" i="3"/>
  <c r="O252" i="3"/>
  <c r="H253" i="4" s="1"/>
  <c r="I252" i="3"/>
  <c r="F253" i="4" s="1"/>
  <c r="U252" i="3"/>
  <c r="J253" i="4" s="1"/>
  <c r="C257" i="2"/>
  <c r="L257" i="2"/>
  <c r="I256" i="2"/>
  <c r="F256" i="2" s="1"/>
  <c r="N255" i="3" s="1"/>
  <c r="I253" i="3" l="1"/>
  <c r="F254" i="4" s="1"/>
  <c r="U253" i="3"/>
  <c r="J254" i="4" s="1"/>
  <c r="O253" i="3"/>
  <c r="H254" i="4" s="1"/>
  <c r="C256" i="4"/>
  <c r="AB255" i="3"/>
  <c r="E256" i="4" s="1"/>
  <c r="D255" i="4"/>
  <c r="AA255" i="3"/>
  <c r="L258" i="2"/>
  <c r="I257" i="2"/>
  <c r="F257" i="2" s="1"/>
  <c r="N256" i="3" s="1"/>
  <c r="C258" i="2"/>
  <c r="D258" i="2"/>
  <c r="T257" i="2"/>
  <c r="I256" i="4"/>
  <c r="M256" i="4" s="1"/>
  <c r="K256" i="4"/>
  <c r="N256" i="4" s="1"/>
  <c r="G256" i="4"/>
  <c r="L256" i="4" s="1"/>
  <c r="K260" i="2"/>
  <c r="B257" i="3"/>
  <c r="B259" i="2"/>
  <c r="F254" i="3"/>
  <c r="D255" i="3"/>
  <c r="N258" i="2"/>
  <c r="H257" i="2"/>
  <c r="E257" i="2" s="1"/>
  <c r="H256" i="3" s="1"/>
  <c r="A257" i="4"/>
  <c r="M256" i="3"/>
  <c r="C256" i="3"/>
  <c r="P256" i="3"/>
  <c r="E256" i="3"/>
  <c r="J256" i="3"/>
  <c r="V256" i="3"/>
  <c r="G256" i="3"/>
  <c r="S256" i="3"/>
  <c r="Y256" i="3" s="1"/>
  <c r="Z256" i="3" s="1"/>
  <c r="M258" i="2"/>
  <c r="J257" i="2"/>
  <c r="G257" i="2" s="1"/>
  <c r="T256" i="3" s="1"/>
  <c r="A258" i="4" l="1"/>
  <c r="J257" i="3"/>
  <c r="V257" i="3"/>
  <c r="M257" i="3"/>
  <c r="C257" i="3"/>
  <c r="E257" i="3"/>
  <c r="G257" i="3"/>
  <c r="S257" i="3"/>
  <c r="Y257" i="3" s="1"/>
  <c r="Z257" i="3" s="1"/>
  <c r="P257" i="3"/>
  <c r="C259" i="2"/>
  <c r="K261" i="2"/>
  <c r="I258" i="2"/>
  <c r="F258" i="2" s="1"/>
  <c r="N257" i="3" s="1"/>
  <c r="L259" i="2"/>
  <c r="C257" i="4"/>
  <c r="AB256" i="3"/>
  <c r="E257" i="4" s="1"/>
  <c r="D256" i="4"/>
  <c r="AA256" i="3"/>
  <c r="M259" i="2"/>
  <c r="J258" i="2"/>
  <c r="G257" i="4"/>
  <c r="L257" i="4" s="1"/>
  <c r="I257" i="4"/>
  <c r="M257" i="4" s="1"/>
  <c r="K257" i="4"/>
  <c r="N257" i="4" s="1"/>
  <c r="N259" i="2"/>
  <c r="H258" i="2"/>
  <c r="E258" i="2" s="1"/>
  <c r="H257" i="3" s="1"/>
  <c r="F255" i="3"/>
  <c r="D256" i="3"/>
  <c r="I254" i="3"/>
  <c r="F255" i="4" s="1"/>
  <c r="U254" i="3"/>
  <c r="J255" i="4" s="1"/>
  <c r="O254" i="3"/>
  <c r="H255" i="4" s="1"/>
  <c r="D259" i="2"/>
  <c r="G258" i="2"/>
  <c r="T257" i="3" s="1"/>
  <c r="T258" i="2"/>
  <c r="B258" i="3"/>
  <c r="B260" i="2"/>
  <c r="M260" i="2" l="1"/>
  <c r="J259" i="2"/>
  <c r="F256" i="3"/>
  <c r="D257" i="3"/>
  <c r="O255" i="3"/>
  <c r="H256" i="4" s="1"/>
  <c r="I255" i="3"/>
  <c r="F256" i="4" s="1"/>
  <c r="U255" i="3"/>
  <c r="J256" i="4" s="1"/>
  <c r="D257" i="4"/>
  <c r="AA257" i="3"/>
  <c r="N260" i="2"/>
  <c r="H259" i="2"/>
  <c r="B259" i="3"/>
  <c r="B261" i="2"/>
  <c r="L260" i="2"/>
  <c r="I259" i="2"/>
  <c r="A259" i="4"/>
  <c r="E258" i="3"/>
  <c r="G258" i="3"/>
  <c r="S258" i="3"/>
  <c r="Y258" i="3" s="1"/>
  <c r="Z258" i="3" s="1"/>
  <c r="J258" i="3"/>
  <c r="V258" i="3"/>
  <c r="P258" i="3"/>
  <c r="M258" i="3"/>
  <c r="C258" i="3"/>
  <c r="C258" i="4"/>
  <c r="AB257" i="3"/>
  <c r="E258" i="4" s="1"/>
  <c r="K262" i="2"/>
  <c r="T259" i="2"/>
  <c r="G259" i="2"/>
  <c r="T258" i="3" s="1"/>
  <c r="D260" i="2"/>
  <c r="E259" i="2"/>
  <c r="H258" i="3" s="1"/>
  <c r="F259" i="2"/>
  <c r="N258" i="3" s="1"/>
  <c r="C260" i="2"/>
  <c r="G258" i="4"/>
  <c r="L258" i="4" s="1"/>
  <c r="I258" i="4"/>
  <c r="M258" i="4" s="1"/>
  <c r="K258" i="4"/>
  <c r="N258" i="4" s="1"/>
  <c r="A260" i="4" l="1"/>
  <c r="C259" i="3"/>
  <c r="P259" i="3"/>
  <c r="E259" i="3"/>
  <c r="G259" i="3"/>
  <c r="S259" i="3"/>
  <c r="Y259" i="3" s="1"/>
  <c r="Z259" i="3" s="1"/>
  <c r="H259" i="3"/>
  <c r="M259" i="3"/>
  <c r="J259" i="3"/>
  <c r="V259" i="3"/>
  <c r="D261" i="2"/>
  <c r="T260" i="2"/>
  <c r="N261" i="2"/>
  <c r="H260" i="2"/>
  <c r="D258" i="4"/>
  <c r="AA258" i="3"/>
  <c r="K263" i="2"/>
  <c r="G259" i="4"/>
  <c r="L259" i="4" s="1"/>
  <c r="I259" i="4"/>
  <c r="M259" i="4" s="1"/>
  <c r="K259" i="4"/>
  <c r="N259" i="4" s="1"/>
  <c r="D258" i="3"/>
  <c r="F257" i="3"/>
  <c r="O256" i="3"/>
  <c r="H257" i="4" s="1"/>
  <c r="U256" i="3"/>
  <c r="J257" i="4" s="1"/>
  <c r="I256" i="3"/>
  <c r="F257" i="4" s="1"/>
  <c r="C259" i="4"/>
  <c r="AB258" i="3"/>
  <c r="E259" i="4" s="1"/>
  <c r="L261" i="2"/>
  <c r="I260" i="2"/>
  <c r="F260" i="2" s="1"/>
  <c r="N259" i="3" s="1"/>
  <c r="C261" i="2"/>
  <c r="E260" i="2"/>
  <c r="B260" i="3"/>
  <c r="B262" i="2"/>
  <c r="J260" i="2"/>
  <c r="G260" i="2" s="1"/>
  <c r="T259" i="3" s="1"/>
  <c r="M261" i="2"/>
  <c r="L262" i="2" l="1"/>
  <c r="I261" i="2"/>
  <c r="C260" i="4"/>
  <c r="AB259" i="3"/>
  <c r="E260" i="4" s="1"/>
  <c r="K264" i="2"/>
  <c r="B261" i="3"/>
  <c r="B263" i="2"/>
  <c r="I257" i="3"/>
  <c r="F258" i="4" s="1"/>
  <c r="U257" i="3"/>
  <c r="J258" i="4" s="1"/>
  <c r="O257" i="3"/>
  <c r="H258" i="4" s="1"/>
  <c r="A261" i="4"/>
  <c r="M260" i="3"/>
  <c r="N260" i="3"/>
  <c r="C260" i="3"/>
  <c r="P260" i="3"/>
  <c r="E260" i="3"/>
  <c r="J260" i="3"/>
  <c r="V260" i="3"/>
  <c r="G260" i="3"/>
  <c r="S260" i="3"/>
  <c r="Y260" i="3" s="1"/>
  <c r="Z260" i="3" s="1"/>
  <c r="F258" i="3"/>
  <c r="D259" i="3"/>
  <c r="N262" i="2"/>
  <c r="H261" i="2"/>
  <c r="D259" i="4"/>
  <c r="AA259" i="3"/>
  <c r="T261" i="2"/>
  <c r="D262" i="2"/>
  <c r="J261" i="2"/>
  <c r="G261" i="2" s="1"/>
  <c r="T260" i="3" s="1"/>
  <c r="M262" i="2"/>
  <c r="E261" i="2"/>
  <c r="H260" i="3" s="1"/>
  <c r="F261" i="2"/>
  <c r="C262" i="2"/>
  <c r="G260" i="4"/>
  <c r="L260" i="4" s="1"/>
  <c r="I260" i="4"/>
  <c r="M260" i="4" s="1"/>
  <c r="K260" i="4"/>
  <c r="N260" i="4" s="1"/>
  <c r="I258" i="3" l="1"/>
  <c r="F259" i="4" s="1"/>
  <c r="U258" i="3"/>
  <c r="J259" i="4" s="1"/>
  <c r="O258" i="3"/>
  <c r="H259" i="4" s="1"/>
  <c r="K261" i="4"/>
  <c r="N261" i="4" s="1"/>
  <c r="G261" i="4"/>
  <c r="L261" i="4" s="1"/>
  <c r="I261" i="4"/>
  <c r="M261" i="4" s="1"/>
  <c r="M263" i="2"/>
  <c r="J262" i="2"/>
  <c r="G262" i="2" s="1"/>
  <c r="T261" i="3" s="1"/>
  <c r="T262" i="2"/>
  <c r="D263" i="2"/>
  <c r="B262" i="3"/>
  <c r="B264" i="2"/>
  <c r="A262" i="4"/>
  <c r="J261" i="3"/>
  <c r="V261" i="3"/>
  <c r="M261" i="3"/>
  <c r="C261" i="3"/>
  <c r="E261" i="3"/>
  <c r="G261" i="3"/>
  <c r="S261" i="3"/>
  <c r="Y261" i="3" s="1"/>
  <c r="Z261" i="3" s="1"/>
  <c r="P261" i="3"/>
  <c r="K265" i="2"/>
  <c r="D260" i="4"/>
  <c r="AA260" i="3"/>
  <c r="N263" i="2"/>
  <c r="H262" i="2"/>
  <c r="E262" i="2"/>
  <c r="H261" i="3" s="1"/>
  <c r="C263" i="2"/>
  <c r="F259" i="3"/>
  <c r="D260" i="3"/>
  <c r="C261" i="4"/>
  <c r="AB260" i="3"/>
  <c r="E261" i="4" s="1"/>
  <c r="L263" i="2"/>
  <c r="I262" i="2"/>
  <c r="F262" i="2" s="1"/>
  <c r="N261" i="3" s="1"/>
  <c r="O259" i="3" l="1"/>
  <c r="H260" i="4" s="1"/>
  <c r="I259" i="3"/>
  <c r="F260" i="4" s="1"/>
  <c r="U259" i="3"/>
  <c r="J260" i="4" s="1"/>
  <c r="C264" i="2"/>
  <c r="F263" i="2"/>
  <c r="C262" i="4"/>
  <c r="AB261" i="3"/>
  <c r="E262" i="4" s="1"/>
  <c r="J263" i="2"/>
  <c r="M264" i="2"/>
  <c r="N264" i="2"/>
  <c r="H263" i="2"/>
  <c r="E263" i="2" s="1"/>
  <c r="H262" i="3" s="1"/>
  <c r="D261" i="4"/>
  <c r="AA261" i="3"/>
  <c r="L264" i="2"/>
  <c r="I263" i="2"/>
  <c r="K266" i="2"/>
  <c r="I262" i="4"/>
  <c r="M262" i="4" s="1"/>
  <c r="G262" i="4"/>
  <c r="L262" i="4" s="1"/>
  <c r="K262" i="4"/>
  <c r="N262" i="4" s="1"/>
  <c r="B263" i="3"/>
  <c r="B265" i="2"/>
  <c r="F260" i="3"/>
  <c r="D261" i="3"/>
  <c r="A263" i="4"/>
  <c r="E262" i="3"/>
  <c r="G262" i="3"/>
  <c r="S262" i="3"/>
  <c r="Y262" i="3" s="1"/>
  <c r="Z262" i="3" s="1"/>
  <c r="T262" i="3"/>
  <c r="J262" i="3"/>
  <c r="V262" i="3"/>
  <c r="N262" i="3"/>
  <c r="P262" i="3"/>
  <c r="C262" i="3"/>
  <c r="M262" i="3"/>
  <c r="T263" i="2"/>
  <c r="G263" i="2"/>
  <c r="D264" i="2"/>
  <c r="M265" i="2" l="1"/>
  <c r="J264" i="2"/>
  <c r="N265" i="2"/>
  <c r="H264" i="2"/>
  <c r="K267" i="2"/>
  <c r="T264" i="2"/>
  <c r="G264" i="2"/>
  <c r="D265" i="2"/>
  <c r="G263" i="4"/>
  <c r="L263" i="4" s="1"/>
  <c r="I263" i="4"/>
  <c r="M263" i="4" s="1"/>
  <c r="K263" i="4"/>
  <c r="N263" i="4" s="1"/>
  <c r="C263" i="4"/>
  <c r="AB262" i="3"/>
  <c r="E263" i="4" s="1"/>
  <c r="D262" i="3"/>
  <c r="F261" i="3"/>
  <c r="E264" i="2"/>
  <c r="C265" i="2"/>
  <c r="O260" i="3"/>
  <c r="H261" i="4" s="1"/>
  <c r="I260" i="3"/>
  <c r="F261" i="4" s="1"/>
  <c r="U260" i="3"/>
  <c r="J261" i="4" s="1"/>
  <c r="L265" i="2"/>
  <c r="I264" i="2"/>
  <c r="F264" i="2" s="1"/>
  <c r="N263" i="3" s="1"/>
  <c r="B264" i="3"/>
  <c r="B266" i="2"/>
  <c r="D262" i="4"/>
  <c r="AA262" i="3"/>
  <c r="A264" i="4"/>
  <c r="C263" i="3"/>
  <c r="P263" i="3"/>
  <c r="E263" i="3"/>
  <c r="G263" i="3"/>
  <c r="S263" i="3"/>
  <c r="Y263" i="3" s="1"/>
  <c r="Z263" i="3" s="1"/>
  <c r="H263" i="3"/>
  <c r="T263" i="3"/>
  <c r="M263" i="3"/>
  <c r="J263" i="3"/>
  <c r="V263" i="3"/>
  <c r="C266" i="2" l="1"/>
  <c r="F265" i="2"/>
  <c r="N264" i="3" s="1"/>
  <c r="D266" i="2"/>
  <c r="T265" i="2"/>
  <c r="G264" i="4"/>
  <c r="L264" i="4" s="1"/>
  <c r="I264" i="4"/>
  <c r="M264" i="4" s="1"/>
  <c r="K264" i="4"/>
  <c r="N264" i="4" s="1"/>
  <c r="D263" i="4"/>
  <c r="AA263" i="3"/>
  <c r="I261" i="3"/>
  <c r="F262" i="4" s="1"/>
  <c r="U261" i="3"/>
  <c r="J262" i="4" s="1"/>
  <c r="O261" i="3"/>
  <c r="H262" i="4" s="1"/>
  <c r="F262" i="3"/>
  <c r="D263" i="3"/>
  <c r="C264" i="4"/>
  <c r="AB263" i="3"/>
  <c r="E264" i="4" s="1"/>
  <c r="B265" i="3"/>
  <c r="B267" i="2"/>
  <c r="K268" i="2"/>
  <c r="A265" i="4"/>
  <c r="M264" i="3"/>
  <c r="C264" i="3"/>
  <c r="P264" i="3"/>
  <c r="E264" i="3"/>
  <c r="J264" i="3"/>
  <c r="V264" i="3"/>
  <c r="G264" i="3"/>
  <c r="S264" i="3"/>
  <c r="Y264" i="3" s="1"/>
  <c r="Z264" i="3" s="1"/>
  <c r="N266" i="2"/>
  <c r="H265" i="2"/>
  <c r="E265" i="2" s="1"/>
  <c r="H264" i="3" s="1"/>
  <c r="L266" i="2"/>
  <c r="I265" i="2"/>
  <c r="M266" i="2"/>
  <c r="J265" i="2"/>
  <c r="G265" i="2" s="1"/>
  <c r="T264" i="3" s="1"/>
  <c r="L267" i="2" l="1"/>
  <c r="I266" i="2"/>
  <c r="B266" i="3"/>
  <c r="B268" i="2"/>
  <c r="A266" i="4"/>
  <c r="J265" i="3"/>
  <c r="V265" i="3"/>
  <c r="M265" i="3"/>
  <c r="N265" i="3"/>
  <c r="C265" i="3"/>
  <c r="E265" i="3"/>
  <c r="G265" i="3"/>
  <c r="S265" i="3"/>
  <c r="Y265" i="3" s="1"/>
  <c r="Z265" i="3" s="1"/>
  <c r="P265" i="3"/>
  <c r="F263" i="3"/>
  <c r="D264" i="3"/>
  <c r="M267" i="2"/>
  <c r="J266" i="2"/>
  <c r="G266" i="2" s="1"/>
  <c r="T265" i="3" s="1"/>
  <c r="I262" i="3"/>
  <c r="F263" i="4" s="1"/>
  <c r="U262" i="3"/>
  <c r="J263" i="4" s="1"/>
  <c r="O262" i="3"/>
  <c r="H263" i="4" s="1"/>
  <c r="T266" i="2"/>
  <c r="D267" i="2"/>
  <c r="C265" i="4"/>
  <c r="AB264" i="3"/>
  <c r="E265" i="4" s="1"/>
  <c r="N267" i="2"/>
  <c r="H266" i="2"/>
  <c r="E266" i="2" s="1"/>
  <c r="H265" i="3" s="1"/>
  <c r="K265" i="4"/>
  <c r="N265" i="4" s="1"/>
  <c r="G265" i="4"/>
  <c r="L265" i="4" s="1"/>
  <c r="I265" i="4"/>
  <c r="M265" i="4" s="1"/>
  <c r="D264" i="4"/>
  <c r="AA264" i="3"/>
  <c r="K269" i="2"/>
  <c r="F266" i="2"/>
  <c r="C267" i="2"/>
  <c r="C268" i="2" l="1"/>
  <c r="F264" i="3"/>
  <c r="D265" i="3"/>
  <c r="C266" i="4"/>
  <c r="AB265" i="3"/>
  <c r="E266" i="4" s="1"/>
  <c r="M268" i="2"/>
  <c r="J267" i="2"/>
  <c r="N268" i="2"/>
  <c r="H267" i="2"/>
  <c r="E267" i="2" s="1"/>
  <c r="H266" i="3" s="1"/>
  <c r="O263" i="3"/>
  <c r="H264" i="4" s="1"/>
  <c r="I263" i="3"/>
  <c r="F264" i="4" s="1"/>
  <c r="U263" i="3"/>
  <c r="J264" i="4" s="1"/>
  <c r="I266" i="4"/>
  <c r="M266" i="4" s="1"/>
  <c r="K266" i="4"/>
  <c r="N266" i="4" s="1"/>
  <c r="G266" i="4"/>
  <c r="L266" i="4" s="1"/>
  <c r="B267" i="3"/>
  <c r="B269" i="2"/>
  <c r="K270" i="2"/>
  <c r="A267" i="4"/>
  <c r="E266" i="3"/>
  <c r="G266" i="3"/>
  <c r="S266" i="3"/>
  <c r="Y266" i="3" s="1"/>
  <c r="Z266" i="3" s="1"/>
  <c r="J266" i="3"/>
  <c r="V266" i="3"/>
  <c r="P266" i="3"/>
  <c r="M266" i="3"/>
  <c r="C266" i="3"/>
  <c r="D265" i="4"/>
  <c r="AA265" i="3"/>
  <c r="D268" i="2"/>
  <c r="G267" i="2"/>
  <c r="T266" i="3" s="1"/>
  <c r="T267" i="2"/>
  <c r="L268" i="2"/>
  <c r="I267" i="2"/>
  <c r="F267" i="2" s="1"/>
  <c r="N266" i="3" s="1"/>
  <c r="N269" i="2" l="1"/>
  <c r="H268" i="2"/>
  <c r="A268" i="4"/>
  <c r="C267" i="3"/>
  <c r="P267" i="3"/>
  <c r="E267" i="3"/>
  <c r="G267" i="3"/>
  <c r="S267" i="3"/>
  <c r="Y267" i="3" s="1"/>
  <c r="Z267" i="3" s="1"/>
  <c r="H267" i="3"/>
  <c r="T267" i="3"/>
  <c r="M267" i="3"/>
  <c r="J267" i="3"/>
  <c r="V267" i="3"/>
  <c r="B268" i="3"/>
  <c r="B270" i="2"/>
  <c r="J268" i="2"/>
  <c r="M269" i="2"/>
  <c r="I268" i="2"/>
  <c r="L269" i="2"/>
  <c r="K271" i="2"/>
  <c r="D266" i="3"/>
  <c r="F265" i="3"/>
  <c r="O264" i="3"/>
  <c r="H265" i="4" s="1"/>
  <c r="U264" i="3"/>
  <c r="J265" i="4" s="1"/>
  <c r="I264" i="3"/>
  <c r="F265" i="4" s="1"/>
  <c r="D269" i="2"/>
  <c r="T268" i="2"/>
  <c r="G268" i="2"/>
  <c r="D266" i="4"/>
  <c r="AA266" i="3"/>
  <c r="E268" i="2"/>
  <c r="C269" i="2"/>
  <c r="F268" i="2"/>
  <c r="N267" i="3" s="1"/>
  <c r="C267" i="4"/>
  <c r="AB266" i="3"/>
  <c r="E267" i="4" s="1"/>
  <c r="G267" i="4"/>
  <c r="L267" i="4" s="1"/>
  <c r="I267" i="4"/>
  <c r="M267" i="4" s="1"/>
  <c r="K267" i="4"/>
  <c r="N267" i="4" s="1"/>
  <c r="C270" i="2" l="1"/>
  <c r="I265" i="3"/>
  <c r="F266" i="4" s="1"/>
  <c r="U265" i="3"/>
  <c r="J266" i="4" s="1"/>
  <c r="O265" i="3"/>
  <c r="H266" i="4" s="1"/>
  <c r="C268" i="4"/>
  <c r="AB267" i="3"/>
  <c r="E268" i="4" s="1"/>
  <c r="F266" i="3"/>
  <c r="D267" i="3"/>
  <c r="D267" i="4"/>
  <c r="AA267" i="3"/>
  <c r="L270" i="2"/>
  <c r="I269" i="2"/>
  <c r="F269" i="2" s="1"/>
  <c r="N268" i="3" s="1"/>
  <c r="M270" i="2"/>
  <c r="J269" i="2"/>
  <c r="T269" i="2"/>
  <c r="G269" i="2"/>
  <c r="T268" i="3" s="1"/>
  <c r="D270" i="2"/>
  <c r="B269" i="3"/>
  <c r="B271" i="2"/>
  <c r="A269" i="4"/>
  <c r="M268" i="3"/>
  <c r="C268" i="3"/>
  <c r="P268" i="3"/>
  <c r="E268" i="3"/>
  <c r="J268" i="3"/>
  <c r="V268" i="3"/>
  <c r="G268" i="3"/>
  <c r="S268" i="3"/>
  <c r="Y268" i="3" s="1"/>
  <c r="Z268" i="3" s="1"/>
  <c r="G268" i="4"/>
  <c r="L268" i="4" s="1"/>
  <c r="I268" i="4"/>
  <c r="M268" i="4" s="1"/>
  <c r="K268" i="4"/>
  <c r="N268" i="4" s="1"/>
  <c r="K272" i="2"/>
  <c r="N270" i="2"/>
  <c r="H269" i="2"/>
  <c r="E269" i="2" s="1"/>
  <c r="H268" i="3" s="1"/>
  <c r="D268" i="4" l="1"/>
  <c r="AA268" i="3"/>
  <c r="C269" i="4"/>
  <c r="AB268" i="3"/>
  <c r="E269" i="4" s="1"/>
  <c r="G269" i="4"/>
  <c r="L269" i="4" s="1"/>
  <c r="I269" i="4"/>
  <c r="M269" i="4" s="1"/>
  <c r="K269" i="4"/>
  <c r="N269" i="4" s="1"/>
  <c r="F267" i="3"/>
  <c r="D268" i="3"/>
  <c r="B270" i="3"/>
  <c r="B272" i="2"/>
  <c r="A270" i="4"/>
  <c r="J269" i="3"/>
  <c r="V269" i="3"/>
  <c r="M269" i="3"/>
  <c r="C269" i="3"/>
  <c r="E269" i="3"/>
  <c r="G269" i="3"/>
  <c r="S269" i="3"/>
  <c r="Y269" i="3" s="1"/>
  <c r="Z269" i="3" s="1"/>
  <c r="P269" i="3"/>
  <c r="I266" i="3"/>
  <c r="F267" i="4" s="1"/>
  <c r="U266" i="3"/>
  <c r="J267" i="4" s="1"/>
  <c r="O266" i="3"/>
  <c r="H267" i="4" s="1"/>
  <c r="D271" i="2"/>
  <c r="G270" i="2"/>
  <c r="T269" i="3" s="1"/>
  <c r="T270" i="2"/>
  <c r="K273" i="2"/>
  <c r="M271" i="2"/>
  <c r="J270" i="2"/>
  <c r="C271" i="2"/>
  <c r="N271" i="2"/>
  <c r="H270" i="2"/>
  <c r="E270" i="2" s="1"/>
  <c r="H269" i="3" s="1"/>
  <c r="L271" i="2"/>
  <c r="I270" i="2"/>
  <c r="F270" i="2" s="1"/>
  <c r="N269" i="3" s="1"/>
  <c r="F268" i="3" l="1"/>
  <c r="D269" i="3"/>
  <c r="J271" i="2"/>
  <c r="M272" i="2"/>
  <c r="O267" i="3"/>
  <c r="H268" i="4" s="1"/>
  <c r="I267" i="3"/>
  <c r="F268" i="4" s="1"/>
  <c r="U267" i="3"/>
  <c r="J268" i="4" s="1"/>
  <c r="K274" i="2"/>
  <c r="C270" i="4"/>
  <c r="AB269" i="3"/>
  <c r="E270" i="4" s="1"/>
  <c r="L272" i="2"/>
  <c r="I271" i="2"/>
  <c r="D272" i="2"/>
  <c r="T271" i="2"/>
  <c r="G271" i="2"/>
  <c r="G270" i="4"/>
  <c r="L270" i="4" s="1"/>
  <c r="I270" i="4"/>
  <c r="M270" i="4" s="1"/>
  <c r="K270" i="4"/>
  <c r="N270" i="4" s="1"/>
  <c r="C272" i="2"/>
  <c r="F271" i="2"/>
  <c r="B271" i="3"/>
  <c r="B273" i="2"/>
  <c r="D269" i="4"/>
  <c r="AA269" i="3"/>
  <c r="N272" i="2"/>
  <c r="H271" i="2"/>
  <c r="E271" i="2" s="1"/>
  <c r="H270" i="3" s="1"/>
  <c r="A271" i="4"/>
  <c r="E270" i="3"/>
  <c r="G270" i="3"/>
  <c r="S270" i="3"/>
  <c r="Y270" i="3" s="1"/>
  <c r="Z270" i="3" s="1"/>
  <c r="T270" i="3"/>
  <c r="J270" i="3"/>
  <c r="V270" i="3"/>
  <c r="N270" i="3"/>
  <c r="P270" i="3"/>
  <c r="C270" i="3"/>
  <c r="M270" i="3"/>
  <c r="C273" i="2" l="1"/>
  <c r="L273" i="2"/>
  <c r="I272" i="2"/>
  <c r="F272" i="2" s="1"/>
  <c r="N271" i="3" s="1"/>
  <c r="K275" i="2"/>
  <c r="K271" i="4"/>
  <c r="N271" i="4" s="1"/>
  <c r="G271" i="4"/>
  <c r="L271" i="4" s="1"/>
  <c r="I271" i="4"/>
  <c r="M271" i="4" s="1"/>
  <c r="N273" i="2"/>
  <c r="H272" i="2"/>
  <c r="E272" i="2" s="1"/>
  <c r="H271" i="3" s="1"/>
  <c r="M273" i="2"/>
  <c r="J272" i="2"/>
  <c r="D270" i="4"/>
  <c r="AA270" i="3"/>
  <c r="B272" i="3"/>
  <c r="B274" i="2"/>
  <c r="C271" i="4"/>
  <c r="AB270" i="3"/>
  <c r="E271" i="4" s="1"/>
  <c r="A272" i="4"/>
  <c r="C271" i="3"/>
  <c r="P271" i="3"/>
  <c r="E271" i="3"/>
  <c r="G271" i="3"/>
  <c r="S271" i="3"/>
  <c r="Y271" i="3" s="1"/>
  <c r="Z271" i="3" s="1"/>
  <c r="T271" i="3"/>
  <c r="M271" i="3"/>
  <c r="J271" i="3"/>
  <c r="V271" i="3"/>
  <c r="T272" i="2"/>
  <c r="G272" i="2"/>
  <c r="D273" i="2"/>
  <c r="D270" i="3"/>
  <c r="F269" i="3"/>
  <c r="O268" i="3"/>
  <c r="H269" i="4" s="1"/>
  <c r="I268" i="3"/>
  <c r="F269" i="4" s="1"/>
  <c r="U268" i="3"/>
  <c r="J269" i="4" s="1"/>
  <c r="I272" i="4" l="1"/>
  <c r="M272" i="4" s="1"/>
  <c r="K272" i="4"/>
  <c r="N272" i="4" s="1"/>
  <c r="G272" i="4"/>
  <c r="L272" i="4" s="1"/>
  <c r="D271" i="4"/>
  <c r="AA271" i="3"/>
  <c r="K276" i="2"/>
  <c r="I269" i="3"/>
  <c r="F270" i="4" s="1"/>
  <c r="U269" i="3"/>
  <c r="J270" i="4" s="1"/>
  <c r="O269" i="3"/>
  <c r="H270" i="4" s="1"/>
  <c r="M274" i="2"/>
  <c r="J273" i="2"/>
  <c r="L274" i="2"/>
  <c r="I273" i="2"/>
  <c r="C272" i="4"/>
  <c r="AB271" i="3"/>
  <c r="E272" i="4" s="1"/>
  <c r="A273" i="4"/>
  <c r="M272" i="3"/>
  <c r="C272" i="3"/>
  <c r="P272" i="3"/>
  <c r="E272" i="3"/>
  <c r="J272" i="3"/>
  <c r="V272" i="3"/>
  <c r="G272" i="3"/>
  <c r="S272" i="3"/>
  <c r="Y272" i="3" s="1"/>
  <c r="Z272" i="3" s="1"/>
  <c r="F270" i="3"/>
  <c r="D271" i="3"/>
  <c r="F273" i="2"/>
  <c r="N272" i="3" s="1"/>
  <c r="C274" i="2"/>
  <c r="E273" i="2"/>
  <c r="H272" i="3" s="1"/>
  <c r="D274" i="2"/>
  <c r="T273" i="2"/>
  <c r="G273" i="2"/>
  <c r="T272" i="3" s="1"/>
  <c r="N274" i="2"/>
  <c r="H273" i="2"/>
  <c r="B273" i="3"/>
  <c r="B275" i="2"/>
  <c r="C273" i="4" l="1"/>
  <c r="AB272" i="3"/>
  <c r="E273" i="4" s="1"/>
  <c r="K277" i="2"/>
  <c r="I270" i="3"/>
  <c r="F271" i="4" s="1"/>
  <c r="U270" i="3"/>
  <c r="J271" i="4" s="1"/>
  <c r="O270" i="3"/>
  <c r="H271" i="4" s="1"/>
  <c r="G273" i="4"/>
  <c r="L273" i="4" s="1"/>
  <c r="I273" i="4"/>
  <c r="M273" i="4" s="1"/>
  <c r="K273" i="4"/>
  <c r="N273" i="4" s="1"/>
  <c r="D272" i="4"/>
  <c r="AA272" i="3"/>
  <c r="F271" i="3"/>
  <c r="D272" i="3"/>
  <c r="B274" i="3"/>
  <c r="B276" i="2"/>
  <c r="A274" i="4"/>
  <c r="H273" i="3"/>
  <c r="T273" i="3"/>
  <c r="J273" i="3"/>
  <c r="V273" i="3"/>
  <c r="M273" i="3"/>
  <c r="C273" i="3"/>
  <c r="E273" i="3"/>
  <c r="G273" i="3"/>
  <c r="S273" i="3"/>
  <c r="Y273" i="3" s="1"/>
  <c r="Z273" i="3" s="1"/>
  <c r="P273" i="3"/>
  <c r="N275" i="2"/>
  <c r="H274" i="2"/>
  <c r="L275" i="2"/>
  <c r="I274" i="2"/>
  <c r="E274" i="2"/>
  <c r="F274" i="2"/>
  <c r="N273" i="3" s="1"/>
  <c r="C275" i="2"/>
  <c r="J274" i="2"/>
  <c r="M275" i="2"/>
  <c r="D275" i="2"/>
  <c r="T274" i="2"/>
  <c r="G274" i="2"/>
  <c r="C274" i="4" l="1"/>
  <c r="AB273" i="3"/>
  <c r="E274" i="4" s="1"/>
  <c r="L276" i="2"/>
  <c r="I275" i="2"/>
  <c r="N276" i="2"/>
  <c r="H275" i="2"/>
  <c r="G274" i="4"/>
  <c r="L274" i="4" s="1"/>
  <c r="I274" i="4"/>
  <c r="M274" i="4" s="1"/>
  <c r="K274" i="4"/>
  <c r="N274" i="4" s="1"/>
  <c r="B275" i="3"/>
  <c r="B277" i="2"/>
  <c r="A275" i="4"/>
  <c r="E274" i="3"/>
  <c r="G274" i="3"/>
  <c r="S274" i="3"/>
  <c r="Y274" i="3" s="1"/>
  <c r="Z274" i="3" s="1"/>
  <c r="H274" i="3"/>
  <c r="J274" i="3"/>
  <c r="V274" i="3"/>
  <c r="N274" i="3"/>
  <c r="P274" i="3"/>
  <c r="M274" i="3"/>
  <c r="C274" i="3"/>
  <c r="T275" i="2"/>
  <c r="D276" i="2"/>
  <c r="M276" i="2"/>
  <c r="J275" i="2"/>
  <c r="G275" i="2" s="1"/>
  <c r="T274" i="3" s="1"/>
  <c r="O271" i="3"/>
  <c r="H272" i="4" s="1"/>
  <c r="I271" i="3"/>
  <c r="F272" i="4" s="1"/>
  <c r="U271" i="3"/>
  <c r="J272" i="4" s="1"/>
  <c r="K278" i="2"/>
  <c r="F272" i="3"/>
  <c r="D273" i="3"/>
  <c r="D273" i="4"/>
  <c r="AA273" i="3"/>
  <c r="E275" i="2"/>
  <c r="F275" i="2"/>
  <c r="C276" i="2"/>
  <c r="M277" i="2" l="1"/>
  <c r="J276" i="2"/>
  <c r="D277" i="2"/>
  <c r="G276" i="2"/>
  <c r="T276" i="2"/>
  <c r="N277" i="2"/>
  <c r="H276" i="2"/>
  <c r="E276" i="2" s="1"/>
  <c r="H275" i="3" s="1"/>
  <c r="D274" i="4"/>
  <c r="AA274" i="3"/>
  <c r="K279" i="2"/>
  <c r="F276" i="2"/>
  <c r="N275" i="3" s="1"/>
  <c r="C277" i="2"/>
  <c r="G275" i="4"/>
  <c r="L275" i="4" s="1"/>
  <c r="I275" i="4"/>
  <c r="M275" i="4" s="1"/>
  <c r="K275" i="4"/>
  <c r="N275" i="4" s="1"/>
  <c r="L277" i="2"/>
  <c r="I276" i="2"/>
  <c r="D274" i="3"/>
  <c r="F273" i="3"/>
  <c r="B276" i="3"/>
  <c r="B278" i="2"/>
  <c r="O272" i="3"/>
  <c r="H273" i="4" s="1"/>
  <c r="U272" i="3"/>
  <c r="J273" i="4" s="1"/>
  <c r="I272" i="3"/>
  <c r="F273" i="4" s="1"/>
  <c r="C275" i="4"/>
  <c r="AB274" i="3"/>
  <c r="E275" i="4" s="1"/>
  <c r="A276" i="4"/>
  <c r="C275" i="3"/>
  <c r="P275" i="3"/>
  <c r="E275" i="3"/>
  <c r="G275" i="3"/>
  <c r="S275" i="3"/>
  <c r="Y275" i="3" s="1"/>
  <c r="Z275" i="3" s="1"/>
  <c r="T275" i="3"/>
  <c r="M275" i="3"/>
  <c r="J275" i="3"/>
  <c r="V275" i="3"/>
  <c r="F274" i="3" l="1"/>
  <c r="D275" i="3"/>
  <c r="I273" i="3"/>
  <c r="F274" i="4" s="1"/>
  <c r="U273" i="3"/>
  <c r="J274" i="4" s="1"/>
  <c r="O273" i="3"/>
  <c r="H274" i="4" s="1"/>
  <c r="K280" i="2"/>
  <c r="I277" i="2"/>
  <c r="L278" i="2"/>
  <c r="D275" i="4"/>
  <c r="AA275" i="3"/>
  <c r="G276" i="4"/>
  <c r="L276" i="4" s="1"/>
  <c r="I276" i="4"/>
  <c r="M276" i="4" s="1"/>
  <c r="K276" i="4"/>
  <c r="N276" i="4" s="1"/>
  <c r="N278" i="2"/>
  <c r="H277" i="2"/>
  <c r="C276" i="4"/>
  <c r="AB275" i="3"/>
  <c r="E276" i="4" s="1"/>
  <c r="D278" i="2"/>
  <c r="T277" i="2"/>
  <c r="G277" i="2"/>
  <c r="T276" i="3" s="1"/>
  <c r="B277" i="3"/>
  <c r="B279" i="2"/>
  <c r="A277" i="4"/>
  <c r="M276" i="3"/>
  <c r="C276" i="3"/>
  <c r="P276" i="3"/>
  <c r="E276" i="3"/>
  <c r="J276" i="3"/>
  <c r="V276" i="3"/>
  <c r="G276" i="3"/>
  <c r="S276" i="3"/>
  <c r="Y276" i="3" s="1"/>
  <c r="Z276" i="3" s="1"/>
  <c r="E277" i="2"/>
  <c r="H276" i="3" s="1"/>
  <c r="C278" i="2"/>
  <c r="F277" i="2"/>
  <c r="N276" i="3" s="1"/>
  <c r="J277" i="2"/>
  <c r="M278" i="2"/>
  <c r="D276" i="4" l="1"/>
  <c r="AA276" i="3"/>
  <c r="T278" i="2"/>
  <c r="D279" i="2"/>
  <c r="L279" i="2"/>
  <c r="I278" i="2"/>
  <c r="F278" i="2" s="1"/>
  <c r="N277" i="3" s="1"/>
  <c r="M279" i="2"/>
  <c r="J278" i="2"/>
  <c r="G278" i="2" s="1"/>
  <c r="T277" i="3" s="1"/>
  <c r="K281" i="2"/>
  <c r="N279" i="2"/>
  <c r="H278" i="2"/>
  <c r="E278" i="2"/>
  <c r="C279" i="2"/>
  <c r="C277" i="4"/>
  <c r="AB276" i="3"/>
  <c r="E277" i="4" s="1"/>
  <c r="K277" i="4"/>
  <c r="N277" i="4" s="1"/>
  <c r="G277" i="4"/>
  <c r="L277" i="4" s="1"/>
  <c r="I277" i="4"/>
  <c r="M277" i="4" s="1"/>
  <c r="F275" i="3"/>
  <c r="D276" i="3"/>
  <c r="B278" i="3"/>
  <c r="B280" i="2"/>
  <c r="A278" i="4"/>
  <c r="H277" i="3"/>
  <c r="J277" i="3"/>
  <c r="V277" i="3"/>
  <c r="M277" i="3"/>
  <c r="C277" i="3"/>
  <c r="E277" i="3"/>
  <c r="G277" i="3"/>
  <c r="P277" i="3"/>
  <c r="S277" i="3"/>
  <c r="Y277" i="3" s="1"/>
  <c r="Z277" i="3" s="1"/>
  <c r="I274" i="3"/>
  <c r="F275" i="4" s="1"/>
  <c r="U274" i="3"/>
  <c r="J275" i="4" s="1"/>
  <c r="O274" i="3"/>
  <c r="H275" i="4" s="1"/>
  <c r="N280" i="2" l="1"/>
  <c r="H279" i="2"/>
  <c r="M280" i="2"/>
  <c r="J279" i="2"/>
  <c r="C278" i="4"/>
  <c r="AB277" i="3"/>
  <c r="E278" i="4" s="1"/>
  <c r="L280" i="2"/>
  <c r="I279" i="2"/>
  <c r="I278" i="4"/>
  <c r="M278" i="4" s="1"/>
  <c r="K278" i="4"/>
  <c r="N278" i="4" s="1"/>
  <c r="G278" i="4"/>
  <c r="L278" i="4" s="1"/>
  <c r="D280" i="2"/>
  <c r="G279" i="2"/>
  <c r="T279" i="2"/>
  <c r="B279" i="3"/>
  <c r="B281" i="2"/>
  <c r="F279" i="2"/>
  <c r="C280" i="2"/>
  <c r="E279" i="2"/>
  <c r="A279" i="4"/>
  <c r="E278" i="3"/>
  <c r="G278" i="3"/>
  <c r="S278" i="3"/>
  <c r="Y278" i="3" s="1"/>
  <c r="Z278" i="3" s="1"/>
  <c r="J278" i="3"/>
  <c r="V278" i="3"/>
  <c r="N278" i="3"/>
  <c r="M278" i="3"/>
  <c r="P278" i="3"/>
  <c r="T278" i="3"/>
  <c r="H278" i="3"/>
  <c r="C278" i="3"/>
  <c r="F276" i="3"/>
  <c r="D277" i="3"/>
  <c r="D277" i="4"/>
  <c r="AA277" i="3"/>
  <c r="K282" i="2"/>
  <c r="O275" i="3"/>
  <c r="H276" i="4" s="1"/>
  <c r="I275" i="3"/>
  <c r="F276" i="4" s="1"/>
  <c r="U275" i="3"/>
  <c r="J276" i="4" s="1"/>
  <c r="D278" i="4" l="1"/>
  <c r="AA278" i="3"/>
  <c r="D278" i="3"/>
  <c r="F277" i="3"/>
  <c r="C281" i="2"/>
  <c r="F280" i="2"/>
  <c r="G279" i="4"/>
  <c r="L279" i="4" s="1"/>
  <c r="I279" i="4"/>
  <c r="M279" i="4" s="1"/>
  <c r="K279" i="4"/>
  <c r="N279" i="4" s="1"/>
  <c r="B280" i="3"/>
  <c r="B282" i="2"/>
  <c r="L281" i="2"/>
  <c r="I280" i="2"/>
  <c r="C279" i="4"/>
  <c r="AB278" i="3"/>
  <c r="E279" i="4" s="1"/>
  <c r="A280" i="4"/>
  <c r="N279" i="3"/>
  <c r="C279" i="3"/>
  <c r="P279" i="3"/>
  <c r="G279" i="3"/>
  <c r="S279" i="3"/>
  <c r="Y279" i="3" s="1"/>
  <c r="Z279" i="3" s="1"/>
  <c r="M279" i="3"/>
  <c r="V279" i="3"/>
  <c r="E279" i="3"/>
  <c r="J279" i="3"/>
  <c r="O276" i="3"/>
  <c r="H277" i="4" s="1"/>
  <c r="I276" i="3"/>
  <c r="F277" i="4" s="1"/>
  <c r="U276" i="3"/>
  <c r="J277" i="4" s="1"/>
  <c r="K283" i="2"/>
  <c r="D281" i="2"/>
  <c r="T280" i="2"/>
  <c r="G280" i="2"/>
  <c r="T279" i="3" s="1"/>
  <c r="J280" i="2"/>
  <c r="M281" i="2"/>
  <c r="N281" i="2"/>
  <c r="H280" i="2"/>
  <c r="E280" i="2" s="1"/>
  <c r="H279" i="3" s="1"/>
  <c r="K284" i="2" l="1"/>
  <c r="G280" i="4"/>
  <c r="L280" i="4" s="1"/>
  <c r="I280" i="4"/>
  <c r="M280" i="4" s="1"/>
  <c r="K280" i="4"/>
  <c r="N280" i="4" s="1"/>
  <c r="C282" i="2"/>
  <c r="M282" i="2"/>
  <c r="J281" i="2"/>
  <c r="N282" i="2"/>
  <c r="H281" i="2"/>
  <c r="E281" i="2" s="1"/>
  <c r="H280" i="3" s="1"/>
  <c r="L282" i="2"/>
  <c r="I281" i="2"/>
  <c r="F281" i="2" s="1"/>
  <c r="N280" i="3" s="1"/>
  <c r="I277" i="3"/>
  <c r="F278" i="4" s="1"/>
  <c r="U277" i="3"/>
  <c r="J278" i="4" s="1"/>
  <c r="O277" i="3"/>
  <c r="H278" i="4" s="1"/>
  <c r="B281" i="3"/>
  <c r="B283" i="2"/>
  <c r="F278" i="3"/>
  <c r="D279" i="3"/>
  <c r="C280" i="4"/>
  <c r="AB279" i="3"/>
  <c r="E280" i="4" s="1"/>
  <c r="A281" i="4"/>
  <c r="M280" i="3"/>
  <c r="C280" i="3"/>
  <c r="P280" i="3"/>
  <c r="T280" i="3"/>
  <c r="J280" i="3"/>
  <c r="S280" i="3"/>
  <c r="Y280" i="3" s="1"/>
  <c r="Z280" i="3" s="1"/>
  <c r="V280" i="3"/>
  <c r="G280" i="3"/>
  <c r="E280" i="3"/>
  <c r="D279" i="4"/>
  <c r="AA279" i="3"/>
  <c r="T281" i="2"/>
  <c r="G281" i="2"/>
  <c r="D282" i="2"/>
  <c r="B282" i="3" l="1"/>
  <c r="B284" i="2"/>
  <c r="F279" i="3"/>
  <c r="D280" i="3"/>
  <c r="M283" i="2"/>
  <c r="J282" i="2"/>
  <c r="I278" i="3"/>
  <c r="F279" i="4" s="1"/>
  <c r="U278" i="3"/>
  <c r="J279" i="4" s="1"/>
  <c r="O278" i="3"/>
  <c r="H279" i="4" s="1"/>
  <c r="C283" i="2"/>
  <c r="E282" i="2"/>
  <c r="H281" i="3" s="1"/>
  <c r="A282" i="4"/>
  <c r="J281" i="3"/>
  <c r="V281" i="3"/>
  <c r="M281" i="3"/>
  <c r="C281" i="3"/>
  <c r="E281" i="3"/>
  <c r="G281" i="3"/>
  <c r="P281" i="3"/>
  <c r="S281" i="3"/>
  <c r="Y281" i="3" s="1"/>
  <c r="Z281" i="3" s="1"/>
  <c r="C281" i="4"/>
  <c r="AB280" i="3"/>
  <c r="E281" i="4" s="1"/>
  <c r="L283" i="2"/>
  <c r="I282" i="2"/>
  <c r="F282" i="2" s="1"/>
  <c r="N281" i="3" s="1"/>
  <c r="D283" i="2"/>
  <c r="T282" i="2"/>
  <c r="G282" i="2"/>
  <c r="T281" i="3" s="1"/>
  <c r="G281" i="4"/>
  <c r="L281" i="4" s="1"/>
  <c r="I281" i="4"/>
  <c r="M281" i="4" s="1"/>
  <c r="K281" i="4"/>
  <c r="N281" i="4" s="1"/>
  <c r="N283" i="2"/>
  <c r="H282" i="2"/>
  <c r="D280" i="4"/>
  <c r="AA280" i="3"/>
  <c r="K285" i="2"/>
  <c r="C284" i="2" l="1"/>
  <c r="K286" i="2"/>
  <c r="C282" i="4"/>
  <c r="AB281" i="3"/>
  <c r="E282" i="4" s="1"/>
  <c r="D281" i="4"/>
  <c r="AA281" i="3"/>
  <c r="D284" i="2"/>
  <c r="T283" i="2"/>
  <c r="G283" i="2"/>
  <c r="J283" i="2"/>
  <c r="M284" i="2"/>
  <c r="F280" i="3"/>
  <c r="D281" i="3"/>
  <c r="L284" i="2"/>
  <c r="I283" i="2"/>
  <c r="F283" i="2" s="1"/>
  <c r="N282" i="3" s="1"/>
  <c r="O279" i="3"/>
  <c r="H280" i="4" s="1"/>
  <c r="I279" i="3"/>
  <c r="F280" i="4" s="1"/>
  <c r="U279" i="3"/>
  <c r="J280" i="4" s="1"/>
  <c r="B283" i="3"/>
  <c r="B285" i="2"/>
  <c r="N284" i="2"/>
  <c r="H283" i="2"/>
  <c r="E283" i="2" s="1"/>
  <c r="H282" i="3" s="1"/>
  <c r="G282" i="4"/>
  <c r="L282" i="4" s="1"/>
  <c r="I282" i="4"/>
  <c r="M282" i="4" s="1"/>
  <c r="K282" i="4"/>
  <c r="N282" i="4" s="1"/>
  <c r="A283" i="4"/>
  <c r="E282" i="3"/>
  <c r="G282" i="3"/>
  <c r="J282" i="3"/>
  <c r="V282" i="3"/>
  <c r="M282" i="3"/>
  <c r="P282" i="3"/>
  <c r="S282" i="3"/>
  <c r="Y282" i="3" s="1"/>
  <c r="Z282" i="3" s="1"/>
  <c r="C282" i="3"/>
  <c r="T282" i="3"/>
  <c r="B284" i="3" l="1"/>
  <c r="B286" i="2"/>
  <c r="A284" i="4"/>
  <c r="C283" i="3"/>
  <c r="G283" i="3"/>
  <c r="S283" i="3"/>
  <c r="Y283" i="3" s="1"/>
  <c r="Z283" i="3" s="1"/>
  <c r="E283" i="3"/>
  <c r="J283" i="3"/>
  <c r="M283" i="3"/>
  <c r="V283" i="3"/>
  <c r="P283" i="3"/>
  <c r="T284" i="2"/>
  <c r="G284" i="2"/>
  <c r="T283" i="3" s="1"/>
  <c r="D285" i="2"/>
  <c r="D282" i="4"/>
  <c r="AA282" i="3"/>
  <c r="N285" i="2"/>
  <c r="H284" i="2"/>
  <c r="K283" i="4"/>
  <c r="N283" i="4" s="1"/>
  <c r="G283" i="4"/>
  <c r="L283" i="4" s="1"/>
  <c r="I283" i="4"/>
  <c r="M283" i="4" s="1"/>
  <c r="L285" i="2"/>
  <c r="I284" i="2"/>
  <c r="K287" i="2"/>
  <c r="F281" i="3"/>
  <c r="D282" i="3"/>
  <c r="O280" i="3"/>
  <c r="H281" i="4" s="1"/>
  <c r="I280" i="3"/>
  <c r="F281" i="4" s="1"/>
  <c r="U280" i="3"/>
  <c r="J281" i="4" s="1"/>
  <c r="E284" i="2"/>
  <c r="H283" i="3" s="1"/>
  <c r="F284" i="2"/>
  <c r="N283" i="3" s="1"/>
  <c r="C285" i="2"/>
  <c r="M285" i="2"/>
  <c r="J284" i="2"/>
  <c r="C283" i="4"/>
  <c r="AB282" i="3"/>
  <c r="E283" i="4" s="1"/>
  <c r="C284" i="4" l="1"/>
  <c r="AB283" i="3"/>
  <c r="E284" i="4" s="1"/>
  <c r="F282" i="3"/>
  <c r="D283" i="3"/>
  <c r="I281" i="3"/>
  <c r="F282" i="4" s="1"/>
  <c r="U281" i="3"/>
  <c r="J282" i="4" s="1"/>
  <c r="O281" i="3"/>
  <c r="H282" i="4" s="1"/>
  <c r="N286" i="2"/>
  <c r="H285" i="2"/>
  <c r="D283" i="4"/>
  <c r="AA283" i="3"/>
  <c r="K288" i="2"/>
  <c r="D286" i="2"/>
  <c r="T285" i="2"/>
  <c r="M286" i="2"/>
  <c r="J285" i="2"/>
  <c r="G285" i="2" s="1"/>
  <c r="T284" i="3" s="1"/>
  <c r="L286" i="2"/>
  <c r="I285" i="2"/>
  <c r="F285" i="2"/>
  <c r="C286" i="2"/>
  <c r="E285" i="2"/>
  <c r="I284" i="4"/>
  <c r="M284" i="4" s="1"/>
  <c r="K284" i="4"/>
  <c r="N284" i="4" s="1"/>
  <c r="G284" i="4"/>
  <c r="L284" i="4" s="1"/>
  <c r="B285" i="3"/>
  <c r="B287" i="2"/>
  <c r="A285" i="4"/>
  <c r="C284" i="3"/>
  <c r="P284" i="3"/>
  <c r="H284" i="3"/>
  <c r="S284" i="3"/>
  <c r="Y284" i="3" s="1"/>
  <c r="Z284" i="3" s="1"/>
  <c r="V284" i="3"/>
  <c r="E284" i="3"/>
  <c r="G284" i="3"/>
  <c r="N284" i="3"/>
  <c r="J284" i="3"/>
  <c r="M284" i="3"/>
  <c r="D284" i="4" l="1"/>
  <c r="AA284" i="3"/>
  <c r="C287" i="2"/>
  <c r="K289" i="2"/>
  <c r="G285" i="4"/>
  <c r="L285" i="4" s="1"/>
  <c r="I285" i="4"/>
  <c r="M285" i="4" s="1"/>
  <c r="K285" i="4"/>
  <c r="N285" i="4" s="1"/>
  <c r="N287" i="2"/>
  <c r="H286" i="2"/>
  <c r="E286" i="2" s="1"/>
  <c r="H285" i="3" s="1"/>
  <c r="C285" i="4"/>
  <c r="AB284" i="3"/>
  <c r="E285" i="4" s="1"/>
  <c r="B286" i="3"/>
  <c r="B288" i="2"/>
  <c r="I286" i="2"/>
  <c r="F286" i="2" s="1"/>
  <c r="N285" i="3" s="1"/>
  <c r="L287" i="2"/>
  <c r="A286" i="4"/>
  <c r="M285" i="3"/>
  <c r="C285" i="3"/>
  <c r="G285" i="3"/>
  <c r="J285" i="3"/>
  <c r="P285" i="3"/>
  <c r="S285" i="3"/>
  <c r="Y285" i="3" s="1"/>
  <c r="Z285" i="3" s="1"/>
  <c r="V285" i="3"/>
  <c r="E285" i="3"/>
  <c r="J286" i="2"/>
  <c r="G286" i="2" s="1"/>
  <c r="T285" i="3" s="1"/>
  <c r="M287" i="2"/>
  <c r="F283" i="3"/>
  <c r="D284" i="3"/>
  <c r="I282" i="3"/>
  <c r="F283" i="4" s="1"/>
  <c r="U282" i="3"/>
  <c r="J283" i="4" s="1"/>
  <c r="O282" i="3"/>
  <c r="H283" i="4" s="1"/>
  <c r="D287" i="2"/>
  <c r="T286" i="2"/>
  <c r="G286" i="4" l="1"/>
  <c r="L286" i="4" s="1"/>
  <c r="I286" i="4"/>
  <c r="M286" i="4" s="1"/>
  <c r="K286" i="4"/>
  <c r="N286" i="4" s="1"/>
  <c r="L288" i="2"/>
  <c r="I287" i="2"/>
  <c r="F287" i="2" s="1"/>
  <c r="N286" i="3" s="1"/>
  <c r="M288" i="2"/>
  <c r="J287" i="2"/>
  <c r="B287" i="3"/>
  <c r="B289" i="2"/>
  <c r="K290" i="2"/>
  <c r="A287" i="4"/>
  <c r="E286" i="3"/>
  <c r="J286" i="3"/>
  <c r="V286" i="3"/>
  <c r="C286" i="3"/>
  <c r="G286" i="3"/>
  <c r="M286" i="3"/>
  <c r="P286" i="3"/>
  <c r="S286" i="3"/>
  <c r="Y286" i="3" s="1"/>
  <c r="Z286" i="3" s="1"/>
  <c r="T287" i="2"/>
  <c r="G287" i="2"/>
  <c r="T286" i="3" s="1"/>
  <c r="D288" i="2"/>
  <c r="E287" i="2"/>
  <c r="H286" i="3" s="1"/>
  <c r="C288" i="2"/>
  <c r="O283" i="3"/>
  <c r="H284" i="4" s="1"/>
  <c r="I283" i="3"/>
  <c r="F284" i="4" s="1"/>
  <c r="U283" i="3"/>
  <c r="J284" i="4" s="1"/>
  <c r="N288" i="2"/>
  <c r="H287" i="2"/>
  <c r="D285" i="4"/>
  <c r="AA285" i="3"/>
  <c r="F284" i="3"/>
  <c r="D285" i="3"/>
  <c r="C286" i="4"/>
  <c r="AB285" i="3"/>
  <c r="E286" i="4" s="1"/>
  <c r="B288" i="3" l="1"/>
  <c r="B290" i="2"/>
  <c r="C289" i="2"/>
  <c r="M289" i="2"/>
  <c r="J288" i="2"/>
  <c r="G288" i="2" s="1"/>
  <c r="T287" i="3" s="1"/>
  <c r="L289" i="2"/>
  <c r="I288" i="2"/>
  <c r="F288" i="2" s="1"/>
  <c r="N287" i="3" s="1"/>
  <c r="C287" i="4"/>
  <c r="AB286" i="3"/>
  <c r="E287" i="4" s="1"/>
  <c r="D286" i="3"/>
  <c r="F285" i="3"/>
  <c r="D289" i="2"/>
  <c r="T288" i="2"/>
  <c r="A288" i="4"/>
  <c r="C287" i="3"/>
  <c r="G287" i="3"/>
  <c r="S287" i="3"/>
  <c r="Y287" i="3" s="1"/>
  <c r="Z287" i="3" s="1"/>
  <c r="M287" i="3"/>
  <c r="P287" i="3"/>
  <c r="V287" i="3"/>
  <c r="E287" i="3"/>
  <c r="J287" i="3"/>
  <c r="O284" i="3"/>
  <c r="H285" i="4" s="1"/>
  <c r="U284" i="3"/>
  <c r="J285" i="4" s="1"/>
  <c r="I284" i="3"/>
  <c r="F285" i="4" s="1"/>
  <c r="D286" i="4"/>
  <c r="AA286" i="3"/>
  <c r="G287" i="4"/>
  <c r="L287" i="4" s="1"/>
  <c r="I287" i="4"/>
  <c r="M287" i="4" s="1"/>
  <c r="K287" i="4"/>
  <c r="N287" i="4" s="1"/>
  <c r="N289" i="2"/>
  <c r="H288" i="2"/>
  <c r="E288" i="2" s="1"/>
  <c r="H287" i="3" s="1"/>
  <c r="K291" i="2"/>
  <c r="C288" i="4" l="1"/>
  <c r="AB287" i="3"/>
  <c r="E288" i="4" s="1"/>
  <c r="D287" i="4"/>
  <c r="AA287" i="3"/>
  <c r="F286" i="3"/>
  <c r="D287" i="3"/>
  <c r="L290" i="2"/>
  <c r="I289" i="2"/>
  <c r="J289" i="2"/>
  <c r="M290" i="2"/>
  <c r="K292" i="2"/>
  <c r="G288" i="4"/>
  <c r="L288" i="4" s="1"/>
  <c r="I288" i="4"/>
  <c r="M288" i="4" s="1"/>
  <c r="K288" i="4"/>
  <c r="N288" i="4" s="1"/>
  <c r="N290" i="2"/>
  <c r="H289" i="2"/>
  <c r="E289" i="2"/>
  <c r="C290" i="2"/>
  <c r="F289" i="2"/>
  <c r="D290" i="2"/>
  <c r="T289" i="2"/>
  <c r="G289" i="2"/>
  <c r="B289" i="3"/>
  <c r="B291" i="2"/>
  <c r="I285" i="3"/>
  <c r="F286" i="4" s="1"/>
  <c r="U285" i="3"/>
  <c r="J286" i="4" s="1"/>
  <c r="O285" i="3"/>
  <c r="H286" i="4" s="1"/>
  <c r="A289" i="4"/>
  <c r="C288" i="3"/>
  <c r="P288" i="3"/>
  <c r="H288" i="3"/>
  <c r="J288" i="3"/>
  <c r="M288" i="3"/>
  <c r="N288" i="3"/>
  <c r="S288" i="3"/>
  <c r="Y288" i="3" s="1"/>
  <c r="Z288" i="3" s="1"/>
  <c r="G288" i="3"/>
  <c r="E288" i="3"/>
  <c r="T288" i="3"/>
  <c r="V288" i="3"/>
  <c r="C291" i="2" l="1"/>
  <c r="M291" i="2"/>
  <c r="J290" i="2"/>
  <c r="K293" i="2"/>
  <c r="T290" i="2"/>
  <c r="G290" i="2"/>
  <c r="D291" i="2"/>
  <c r="K289" i="4"/>
  <c r="N289" i="4" s="1"/>
  <c r="G289" i="4"/>
  <c r="L289" i="4" s="1"/>
  <c r="I289" i="4"/>
  <c r="M289" i="4" s="1"/>
  <c r="N291" i="2"/>
  <c r="H290" i="2"/>
  <c r="E290" i="2" s="1"/>
  <c r="H289" i="3" s="1"/>
  <c r="L291" i="2"/>
  <c r="I290" i="2"/>
  <c r="F290" i="2" s="1"/>
  <c r="N289" i="3" s="1"/>
  <c r="F287" i="3"/>
  <c r="D288" i="3"/>
  <c r="I286" i="3"/>
  <c r="F287" i="4" s="1"/>
  <c r="U286" i="3"/>
  <c r="J287" i="4" s="1"/>
  <c r="O286" i="3"/>
  <c r="H287" i="4" s="1"/>
  <c r="B290" i="3"/>
  <c r="B292" i="2"/>
  <c r="D288" i="4"/>
  <c r="AA288" i="3"/>
  <c r="A290" i="4"/>
  <c r="T289" i="3"/>
  <c r="M289" i="3"/>
  <c r="C289" i="3"/>
  <c r="S289" i="3"/>
  <c r="Y289" i="3" s="1"/>
  <c r="Z289" i="3" s="1"/>
  <c r="V289" i="3"/>
  <c r="E289" i="3"/>
  <c r="G289" i="3"/>
  <c r="J289" i="3"/>
  <c r="P289" i="3"/>
  <c r="C289" i="4"/>
  <c r="AB288" i="3"/>
  <c r="E289" i="4" s="1"/>
  <c r="F288" i="3" l="1"/>
  <c r="D289" i="3"/>
  <c r="D292" i="2"/>
  <c r="T291" i="2"/>
  <c r="C290" i="4"/>
  <c r="AB289" i="3"/>
  <c r="E290" i="4" s="1"/>
  <c r="O287" i="3"/>
  <c r="H288" i="4" s="1"/>
  <c r="I287" i="3"/>
  <c r="F288" i="4" s="1"/>
  <c r="U287" i="3"/>
  <c r="J288" i="4" s="1"/>
  <c r="L292" i="2"/>
  <c r="I291" i="2"/>
  <c r="F291" i="2" s="1"/>
  <c r="N290" i="3" s="1"/>
  <c r="I290" i="4"/>
  <c r="M290" i="4" s="1"/>
  <c r="K290" i="4"/>
  <c r="N290" i="4" s="1"/>
  <c r="G290" i="4"/>
  <c r="L290" i="4" s="1"/>
  <c r="K294" i="2"/>
  <c r="D289" i="4"/>
  <c r="AA289" i="3"/>
  <c r="N292" i="2"/>
  <c r="H291" i="2"/>
  <c r="E291" i="2" s="1"/>
  <c r="H290" i="3" s="1"/>
  <c r="M292" i="2"/>
  <c r="J291" i="2"/>
  <c r="G291" i="2" s="1"/>
  <c r="T290" i="3" s="1"/>
  <c r="B291" i="3"/>
  <c r="B293" i="2"/>
  <c r="C292" i="2"/>
  <c r="A291" i="4"/>
  <c r="E290" i="3"/>
  <c r="J290" i="3"/>
  <c r="V290" i="3"/>
  <c r="M290" i="3"/>
  <c r="P290" i="3"/>
  <c r="S290" i="3"/>
  <c r="Y290" i="3" s="1"/>
  <c r="Z290" i="3" s="1"/>
  <c r="C290" i="3"/>
  <c r="G290" i="3"/>
  <c r="C291" i="4" l="1"/>
  <c r="AB290" i="3"/>
  <c r="E291" i="4" s="1"/>
  <c r="L293" i="2"/>
  <c r="I292" i="2"/>
  <c r="D290" i="4"/>
  <c r="AA290" i="3"/>
  <c r="G291" i="4"/>
  <c r="L291" i="4" s="1"/>
  <c r="I291" i="4"/>
  <c r="M291" i="4" s="1"/>
  <c r="K291" i="4"/>
  <c r="N291" i="4" s="1"/>
  <c r="K295" i="2"/>
  <c r="F292" i="2"/>
  <c r="C293" i="2"/>
  <c r="B292" i="3"/>
  <c r="B294" i="2"/>
  <c r="A292" i="4"/>
  <c r="N291" i="3"/>
  <c r="C291" i="3"/>
  <c r="G291" i="3"/>
  <c r="S291" i="3"/>
  <c r="Y291" i="3" s="1"/>
  <c r="Z291" i="3" s="1"/>
  <c r="E291" i="3"/>
  <c r="J291" i="3"/>
  <c r="M291" i="3"/>
  <c r="P291" i="3"/>
  <c r="V291" i="3"/>
  <c r="D293" i="2"/>
  <c r="T292" i="2"/>
  <c r="G292" i="2"/>
  <c r="T291" i="3" s="1"/>
  <c r="N293" i="2"/>
  <c r="H292" i="2"/>
  <c r="E292" i="2" s="1"/>
  <c r="H291" i="3" s="1"/>
  <c r="F289" i="3"/>
  <c r="D290" i="3"/>
  <c r="J292" i="2"/>
  <c r="M293" i="2"/>
  <c r="O288" i="3"/>
  <c r="H289" i="4" s="1"/>
  <c r="I288" i="3"/>
  <c r="F289" i="4" s="1"/>
  <c r="U288" i="3"/>
  <c r="J289" i="4" s="1"/>
  <c r="N294" i="2" l="1"/>
  <c r="H293" i="2"/>
  <c r="T293" i="2"/>
  <c r="D294" i="2"/>
  <c r="G292" i="4"/>
  <c r="L292" i="4" s="1"/>
  <c r="I292" i="4"/>
  <c r="M292" i="4" s="1"/>
  <c r="K292" i="4"/>
  <c r="N292" i="4" s="1"/>
  <c r="B293" i="3"/>
  <c r="B295" i="2"/>
  <c r="A293" i="4"/>
  <c r="P292" i="3"/>
  <c r="M292" i="3"/>
  <c r="S292" i="3"/>
  <c r="Y292" i="3" s="1"/>
  <c r="Z292" i="3" s="1"/>
  <c r="C292" i="3"/>
  <c r="E292" i="3"/>
  <c r="G292" i="3"/>
  <c r="V292" i="3"/>
  <c r="H292" i="3"/>
  <c r="J292" i="3"/>
  <c r="D291" i="4"/>
  <c r="AA291" i="3"/>
  <c r="E293" i="2"/>
  <c r="C294" i="2"/>
  <c r="M294" i="2"/>
  <c r="J293" i="2"/>
  <c r="G293" i="2" s="1"/>
  <c r="T292" i="3" s="1"/>
  <c r="C292" i="4"/>
  <c r="AB291" i="3"/>
  <c r="E292" i="4" s="1"/>
  <c r="L294" i="2"/>
  <c r="I293" i="2"/>
  <c r="F293" i="2" s="1"/>
  <c r="N292" i="3" s="1"/>
  <c r="K296" i="2"/>
  <c r="F290" i="3"/>
  <c r="D291" i="3"/>
  <c r="I289" i="3"/>
  <c r="F290" i="4" s="1"/>
  <c r="U289" i="3"/>
  <c r="J290" i="4" s="1"/>
  <c r="O289" i="3"/>
  <c r="H290" i="4" s="1"/>
  <c r="L295" i="2" l="1"/>
  <c r="I294" i="2"/>
  <c r="A294" i="4"/>
  <c r="M293" i="3"/>
  <c r="C293" i="3"/>
  <c r="S293" i="3"/>
  <c r="Y293" i="3" s="1"/>
  <c r="Z293" i="3" s="1"/>
  <c r="E293" i="3"/>
  <c r="T293" i="3"/>
  <c r="V293" i="3"/>
  <c r="G293" i="3"/>
  <c r="J293" i="3"/>
  <c r="P293" i="3"/>
  <c r="M295" i="2"/>
  <c r="J294" i="2"/>
  <c r="D295" i="2"/>
  <c r="G294" i="2"/>
  <c r="T294" i="2"/>
  <c r="F291" i="3"/>
  <c r="D292" i="3"/>
  <c r="C293" i="4"/>
  <c r="AB292" i="3"/>
  <c r="E293" i="4" s="1"/>
  <c r="F294" i="2"/>
  <c r="N293" i="3" s="1"/>
  <c r="C295" i="2"/>
  <c r="I290" i="3"/>
  <c r="F291" i="4" s="1"/>
  <c r="U290" i="3"/>
  <c r="J291" i="4" s="1"/>
  <c r="O290" i="3"/>
  <c r="H291" i="4" s="1"/>
  <c r="D292" i="4"/>
  <c r="AA292" i="3"/>
  <c r="G293" i="4"/>
  <c r="L293" i="4" s="1"/>
  <c r="I293" i="4"/>
  <c r="M293" i="4" s="1"/>
  <c r="K293" i="4"/>
  <c r="N293" i="4" s="1"/>
  <c r="K297" i="2"/>
  <c r="B294" i="3"/>
  <c r="B296" i="2"/>
  <c r="N295" i="2"/>
  <c r="H294" i="2"/>
  <c r="E294" i="2" s="1"/>
  <c r="H293" i="3" s="1"/>
  <c r="F292" i="3" l="1"/>
  <c r="D293" i="3"/>
  <c r="O291" i="3"/>
  <c r="H292" i="4" s="1"/>
  <c r="I291" i="3"/>
  <c r="F292" i="4" s="1"/>
  <c r="U291" i="3"/>
  <c r="J292" i="4" s="1"/>
  <c r="D293" i="4"/>
  <c r="AA293" i="3"/>
  <c r="N296" i="2"/>
  <c r="H295" i="2"/>
  <c r="B295" i="3"/>
  <c r="B297" i="2"/>
  <c r="D296" i="2"/>
  <c r="T295" i="2"/>
  <c r="A295" i="4"/>
  <c r="J294" i="3"/>
  <c r="V294" i="3"/>
  <c r="G294" i="3"/>
  <c r="M294" i="3"/>
  <c r="P294" i="3"/>
  <c r="C294" i="3"/>
  <c r="S294" i="3"/>
  <c r="Y294" i="3" s="1"/>
  <c r="Z294" i="3" s="1"/>
  <c r="E294" i="3"/>
  <c r="C294" i="4"/>
  <c r="AB293" i="3"/>
  <c r="E294" i="4" s="1"/>
  <c r="J295" i="2"/>
  <c r="G295" i="2" s="1"/>
  <c r="T294" i="3" s="1"/>
  <c r="M296" i="2"/>
  <c r="G294" i="4"/>
  <c r="L294" i="4" s="1"/>
  <c r="I294" i="4"/>
  <c r="M294" i="4" s="1"/>
  <c r="K294" i="4"/>
  <c r="N294" i="4" s="1"/>
  <c r="K298" i="2"/>
  <c r="E295" i="2"/>
  <c r="H294" i="3" s="1"/>
  <c r="C296" i="2"/>
  <c r="F295" i="2"/>
  <c r="N294" i="3" s="1"/>
  <c r="I295" i="2"/>
  <c r="L296" i="2"/>
  <c r="T296" i="2" l="1"/>
  <c r="D297" i="2"/>
  <c r="B296" i="3"/>
  <c r="B298" i="2"/>
  <c r="A296" i="4"/>
  <c r="C295" i="3"/>
  <c r="M295" i="3"/>
  <c r="N295" i="3"/>
  <c r="P295" i="3"/>
  <c r="E295" i="3"/>
  <c r="S295" i="3"/>
  <c r="Y295" i="3" s="1"/>
  <c r="Z295" i="3" s="1"/>
  <c r="G295" i="3"/>
  <c r="V295" i="3"/>
  <c r="J295" i="3"/>
  <c r="C295" i="4"/>
  <c r="AB294" i="3"/>
  <c r="E295" i="4" s="1"/>
  <c r="N297" i="2"/>
  <c r="H296" i="2"/>
  <c r="D294" i="4"/>
  <c r="AA294" i="3"/>
  <c r="L297" i="2"/>
  <c r="I296" i="2"/>
  <c r="M297" i="2"/>
  <c r="J296" i="2"/>
  <c r="G296" i="2" s="1"/>
  <c r="T295" i="3" s="1"/>
  <c r="K295" i="4"/>
  <c r="N295" i="4" s="1"/>
  <c r="G295" i="4"/>
  <c r="L295" i="4" s="1"/>
  <c r="I295" i="4"/>
  <c r="M295" i="4" s="1"/>
  <c r="F293" i="3"/>
  <c r="D294" i="3"/>
  <c r="E296" i="2"/>
  <c r="H295" i="3" s="1"/>
  <c r="F296" i="2"/>
  <c r="C297" i="2"/>
  <c r="K299" i="2"/>
  <c r="O292" i="3"/>
  <c r="H293" i="4" s="1"/>
  <c r="U292" i="3"/>
  <c r="J293" i="4" s="1"/>
  <c r="I292" i="3"/>
  <c r="F293" i="4" s="1"/>
  <c r="F294" i="3" l="1"/>
  <c r="D295" i="3"/>
  <c r="D295" i="4"/>
  <c r="AA295" i="3"/>
  <c r="I293" i="3"/>
  <c r="F294" i="4" s="1"/>
  <c r="U293" i="3"/>
  <c r="J294" i="4" s="1"/>
  <c r="O293" i="3"/>
  <c r="H294" i="4" s="1"/>
  <c r="L298" i="2"/>
  <c r="I297" i="2"/>
  <c r="N298" i="2"/>
  <c r="H297" i="2"/>
  <c r="C296" i="4"/>
  <c r="AB295" i="3"/>
  <c r="E296" i="4" s="1"/>
  <c r="I296" i="4"/>
  <c r="M296" i="4" s="1"/>
  <c r="K296" i="4"/>
  <c r="N296" i="4" s="1"/>
  <c r="G296" i="4"/>
  <c r="L296" i="4" s="1"/>
  <c r="B297" i="3"/>
  <c r="B299" i="2"/>
  <c r="A297" i="4"/>
  <c r="M296" i="3"/>
  <c r="N296" i="3"/>
  <c r="P296" i="3"/>
  <c r="C296" i="3"/>
  <c r="S296" i="3"/>
  <c r="Y296" i="3" s="1"/>
  <c r="Z296" i="3" s="1"/>
  <c r="E296" i="3"/>
  <c r="G296" i="3"/>
  <c r="H296" i="3"/>
  <c r="J296" i="3"/>
  <c r="V296" i="3"/>
  <c r="D298" i="2"/>
  <c r="T297" i="2"/>
  <c r="K300" i="2"/>
  <c r="F297" i="2"/>
  <c r="C298" i="2"/>
  <c r="E297" i="2"/>
  <c r="M298" i="2"/>
  <c r="J297" i="2"/>
  <c r="G297" i="2" s="1"/>
  <c r="T296" i="3" s="1"/>
  <c r="C297" i="4" l="1"/>
  <c r="AB296" i="3"/>
  <c r="E297" i="4" s="1"/>
  <c r="D299" i="2"/>
  <c r="T298" i="2"/>
  <c r="G297" i="4"/>
  <c r="L297" i="4" s="1"/>
  <c r="I297" i="4"/>
  <c r="M297" i="4" s="1"/>
  <c r="K297" i="4"/>
  <c r="N297" i="4" s="1"/>
  <c r="N299" i="2"/>
  <c r="H298" i="2"/>
  <c r="B298" i="3"/>
  <c r="B300" i="2"/>
  <c r="A298" i="4"/>
  <c r="C297" i="3"/>
  <c r="N297" i="3"/>
  <c r="P297" i="3"/>
  <c r="E297" i="3"/>
  <c r="S297" i="3"/>
  <c r="Y297" i="3" s="1"/>
  <c r="Z297" i="3" s="1"/>
  <c r="G297" i="3"/>
  <c r="H297" i="3"/>
  <c r="V297" i="3"/>
  <c r="J297" i="3"/>
  <c r="M297" i="3"/>
  <c r="L299" i="2"/>
  <c r="I298" i="2"/>
  <c r="E298" i="2"/>
  <c r="C299" i="2"/>
  <c r="F298" i="2"/>
  <c r="D296" i="4"/>
  <c r="AA296" i="3"/>
  <c r="J298" i="2"/>
  <c r="G298" i="2" s="1"/>
  <c r="T297" i="3" s="1"/>
  <c r="M299" i="2"/>
  <c r="D296" i="3"/>
  <c r="F295" i="3"/>
  <c r="K301" i="2"/>
  <c r="I294" i="3"/>
  <c r="F295" i="4" s="1"/>
  <c r="O294" i="3"/>
  <c r="H295" i="4" s="1"/>
  <c r="U294" i="3"/>
  <c r="J295" i="4" s="1"/>
  <c r="D297" i="4" l="1"/>
  <c r="AA297" i="3"/>
  <c r="M300" i="2"/>
  <c r="J299" i="2"/>
  <c r="K302" i="2"/>
  <c r="L300" i="2"/>
  <c r="I299" i="2"/>
  <c r="G298" i="4"/>
  <c r="L298" i="4" s="1"/>
  <c r="I298" i="4"/>
  <c r="M298" i="4" s="1"/>
  <c r="K298" i="4"/>
  <c r="N298" i="4" s="1"/>
  <c r="N300" i="2"/>
  <c r="H299" i="2"/>
  <c r="C298" i="4"/>
  <c r="AB297" i="3"/>
  <c r="E298" i="4" s="1"/>
  <c r="B299" i="3"/>
  <c r="B301" i="2"/>
  <c r="T299" i="2"/>
  <c r="G299" i="2"/>
  <c r="D300" i="2"/>
  <c r="E299" i="2"/>
  <c r="H298" i="3" s="1"/>
  <c r="F299" i="2"/>
  <c r="C300" i="2"/>
  <c r="O295" i="3"/>
  <c r="H296" i="4" s="1"/>
  <c r="I295" i="3"/>
  <c r="F296" i="4" s="1"/>
  <c r="U295" i="3"/>
  <c r="J296" i="4" s="1"/>
  <c r="A299" i="4"/>
  <c r="N298" i="3"/>
  <c r="C298" i="3"/>
  <c r="P298" i="3"/>
  <c r="E298" i="3"/>
  <c r="S298" i="3"/>
  <c r="Y298" i="3" s="1"/>
  <c r="Z298" i="3" s="1"/>
  <c r="G298" i="3"/>
  <c r="T298" i="3"/>
  <c r="J298" i="3"/>
  <c r="V298" i="3"/>
  <c r="M298" i="3"/>
  <c r="F296" i="3"/>
  <c r="D297" i="3"/>
  <c r="D301" i="2" l="1"/>
  <c r="T300" i="2"/>
  <c r="B300" i="3"/>
  <c r="B302" i="2"/>
  <c r="D298" i="3"/>
  <c r="F297" i="3"/>
  <c r="A300" i="4"/>
  <c r="M299" i="3"/>
  <c r="C299" i="3"/>
  <c r="P299" i="3"/>
  <c r="E299" i="3"/>
  <c r="S299" i="3"/>
  <c r="Y299" i="3" s="1"/>
  <c r="Z299" i="3" s="1"/>
  <c r="G299" i="3"/>
  <c r="J299" i="3"/>
  <c r="V299" i="3"/>
  <c r="L301" i="2"/>
  <c r="I300" i="2"/>
  <c r="O296" i="3"/>
  <c r="H297" i="4" s="1"/>
  <c r="U296" i="3"/>
  <c r="J297" i="4" s="1"/>
  <c r="I296" i="3"/>
  <c r="F297" i="4" s="1"/>
  <c r="G299" i="4"/>
  <c r="L299" i="4" s="1"/>
  <c r="I299" i="4"/>
  <c r="M299" i="4" s="1"/>
  <c r="K299" i="4"/>
  <c r="N299" i="4" s="1"/>
  <c r="C299" i="4"/>
  <c r="AB298" i="3"/>
  <c r="E299" i="4" s="1"/>
  <c r="K303" i="2"/>
  <c r="N301" i="2"/>
  <c r="H300" i="2"/>
  <c r="E300" i="2" s="1"/>
  <c r="H299" i="3" s="1"/>
  <c r="M301" i="2"/>
  <c r="J300" i="2"/>
  <c r="G300" i="2" s="1"/>
  <c r="T299" i="3" s="1"/>
  <c r="F300" i="2"/>
  <c r="N299" i="3" s="1"/>
  <c r="C301" i="2"/>
  <c r="D298" i="4"/>
  <c r="AA298" i="3"/>
  <c r="C300" i="4" l="1"/>
  <c r="AB299" i="3"/>
  <c r="E300" i="4" s="1"/>
  <c r="N302" i="2"/>
  <c r="H301" i="2"/>
  <c r="K304" i="2"/>
  <c r="L302" i="2"/>
  <c r="I301" i="2"/>
  <c r="G300" i="4"/>
  <c r="L300" i="4" s="1"/>
  <c r="I300" i="4"/>
  <c r="M300" i="4" s="1"/>
  <c r="K300" i="4"/>
  <c r="N300" i="4" s="1"/>
  <c r="D299" i="4"/>
  <c r="AA299" i="3"/>
  <c r="I297" i="3"/>
  <c r="F298" i="4" s="1"/>
  <c r="O297" i="3"/>
  <c r="H298" i="4" s="1"/>
  <c r="U297" i="3"/>
  <c r="J298" i="4" s="1"/>
  <c r="D299" i="3"/>
  <c r="F298" i="3"/>
  <c r="B301" i="3"/>
  <c r="B303" i="2"/>
  <c r="E301" i="2"/>
  <c r="H300" i="3" s="1"/>
  <c r="F301" i="2"/>
  <c r="C302" i="2"/>
  <c r="A301" i="4"/>
  <c r="M300" i="3"/>
  <c r="N300" i="3"/>
  <c r="C300" i="3"/>
  <c r="P300" i="3"/>
  <c r="E300" i="3"/>
  <c r="T300" i="3"/>
  <c r="G300" i="3"/>
  <c r="J300" i="3"/>
  <c r="S300" i="3"/>
  <c r="Y300" i="3" s="1"/>
  <c r="Z300" i="3" s="1"/>
  <c r="V300" i="3"/>
  <c r="J301" i="2"/>
  <c r="M302" i="2"/>
  <c r="D302" i="2"/>
  <c r="T301" i="2"/>
  <c r="G301" i="2"/>
  <c r="B302" i="3" l="1"/>
  <c r="B304" i="2"/>
  <c r="A302" i="4"/>
  <c r="J301" i="3"/>
  <c r="V301" i="3"/>
  <c r="M301" i="3"/>
  <c r="C301" i="3"/>
  <c r="E301" i="3"/>
  <c r="P301" i="3"/>
  <c r="S301" i="3"/>
  <c r="Y301" i="3" s="1"/>
  <c r="Z301" i="3" s="1"/>
  <c r="G301" i="3"/>
  <c r="O298" i="3"/>
  <c r="H299" i="4" s="1"/>
  <c r="U298" i="3"/>
  <c r="J299" i="4" s="1"/>
  <c r="I298" i="3"/>
  <c r="F299" i="4" s="1"/>
  <c r="D300" i="3"/>
  <c r="F299" i="3"/>
  <c r="L303" i="2"/>
  <c r="I302" i="2"/>
  <c r="F302" i="2" s="1"/>
  <c r="N301" i="3" s="1"/>
  <c r="K305" i="2"/>
  <c r="M303" i="2"/>
  <c r="J302" i="2"/>
  <c r="C301" i="4"/>
  <c r="AB300" i="3"/>
  <c r="E301" i="4" s="1"/>
  <c r="D300" i="4"/>
  <c r="AA300" i="3"/>
  <c r="T302" i="2"/>
  <c r="G302" i="2"/>
  <c r="T301" i="3" s="1"/>
  <c r="D303" i="2"/>
  <c r="K301" i="4"/>
  <c r="N301" i="4" s="1"/>
  <c r="G301" i="4"/>
  <c r="L301" i="4" s="1"/>
  <c r="I301" i="4"/>
  <c r="M301" i="4" s="1"/>
  <c r="N303" i="2"/>
  <c r="H302" i="2"/>
  <c r="E302" i="2"/>
  <c r="H301" i="3" s="1"/>
  <c r="C303" i="2"/>
  <c r="K306" i="2" l="1"/>
  <c r="D304" i="2"/>
  <c r="T303" i="2"/>
  <c r="I303" i="2"/>
  <c r="L304" i="2"/>
  <c r="C302" i="4"/>
  <c r="AB301" i="3"/>
  <c r="E302" i="4" s="1"/>
  <c r="M304" i="2"/>
  <c r="J303" i="2"/>
  <c r="G303" i="2" s="1"/>
  <c r="T302" i="3" s="1"/>
  <c r="F303" i="2"/>
  <c r="C304" i="2"/>
  <c r="I299" i="3"/>
  <c r="F300" i="4" s="1"/>
  <c r="U299" i="3"/>
  <c r="J300" i="4" s="1"/>
  <c r="O299" i="3"/>
  <c r="H300" i="4" s="1"/>
  <c r="F300" i="3"/>
  <c r="D301" i="3"/>
  <c r="N304" i="2"/>
  <c r="H303" i="2"/>
  <c r="E303" i="2" s="1"/>
  <c r="H302" i="3" s="1"/>
  <c r="D301" i="4"/>
  <c r="AA301" i="3"/>
  <c r="I302" i="4"/>
  <c r="M302" i="4" s="1"/>
  <c r="K302" i="4"/>
  <c r="N302" i="4" s="1"/>
  <c r="G302" i="4"/>
  <c r="L302" i="4" s="1"/>
  <c r="B303" i="3"/>
  <c r="B305" i="2"/>
  <c r="A303" i="4"/>
  <c r="E302" i="3"/>
  <c r="G302" i="3"/>
  <c r="S302" i="3"/>
  <c r="Y302" i="3" s="1"/>
  <c r="Z302" i="3" s="1"/>
  <c r="J302" i="3"/>
  <c r="V302" i="3"/>
  <c r="N302" i="3"/>
  <c r="P302" i="3"/>
  <c r="C302" i="3"/>
  <c r="M302" i="3"/>
  <c r="D302" i="4" l="1"/>
  <c r="AA302" i="3"/>
  <c r="J304" i="2"/>
  <c r="M305" i="2"/>
  <c r="G303" i="4"/>
  <c r="L303" i="4" s="1"/>
  <c r="I303" i="4"/>
  <c r="M303" i="4" s="1"/>
  <c r="K303" i="4"/>
  <c r="N303" i="4" s="1"/>
  <c r="N305" i="2"/>
  <c r="H304" i="2"/>
  <c r="E304" i="2" s="1"/>
  <c r="H303" i="3" s="1"/>
  <c r="C303" i="4"/>
  <c r="AB302" i="3"/>
  <c r="E303" i="4" s="1"/>
  <c r="B304" i="3"/>
  <c r="B306" i="2"/>
  <c r="F301" i="3"/>
  <c r="D302" i="3"/>
  <c r="I304" i="2"/>
  <c r="L305" i="2"/>
  <c r="A304" i="4"/>
  <c r="N303" i="3"/>
  <c r="C303" i="3"/>
  <c r="P303" i="3"/>
  <c r="E303" i="3"/>
  <c r="G303" i="3"/>
  <c r="S303" i="3"/>
  <c r="Y303" i="3" s="1"/>
  <c r="Z303" i="3" s="1"/>
  <c r="T303" i="3"/>
  <c r="J303" i="3"/>
  <c r="M303" i="3"/>
  <c r="V303" i="3"/>
  <c r="O300" i="3"/>
  <c r="H301" i="4" s="1"/>
  <c r="I300" i="3"/>
  <c r="F301" i="4" s="1"/>
  <c r="U300" i="3"/>
  <c r="J301" i="4" s="1"/>
  <c r="T304" i="2"/>
  <c r="G304" i="2"/>
  <c r="D305" i="2"/>
  <c r="C305" i="2"/>
  <c r="F304" i="2"/>
  <c r="K307" i="2"/>
  <c r="N306" i="2" l="1"/>
  <c r="H305" i="2"/>
  <c r="G304" i="4"/>
  <c r="L304" i="4" s="1"/>
  <c r="I304" i="4"/>
  <c r="M304" i="4" s="1"/>
  <c r="K304" i="4"/>
  <c r="N304" i="4" s="1"/>
  <c r="L306" i="2"/>
  <c r="I305" i="2"/>
  <c r="C304" i="4"/>
  <c r="AB303" i="3"/>
  <c r="E304" i="4" s="1"/>
  <c r="F302" i="3"/>
  <c r="D303" i="3"/>
  <c r="I301" i="3"/>
  <c r="F302" i="4" s="1"/>
  <c r="U301" i="3"/>
  <c r="J302" i="4" s="1"/>
  <c r="O301" i="3"/>
  <c r="H302" i="4" s="1"/>
  <c r="E305" i="2"/>
  <c r="F305" i="2"/>
  <c r="C306" i="2"/>
  <c r="B305" i="3"/>
  <c r="B307" i="2"/>
  <c r="M306" i="2"/>
  <c r="J305" i="2"/>
  <c r="G305" i="2" s="1"/>
  <c r="T304" i="3" s="1"/>
  <c r="K308" i="2"/>
  <c r="A305" i="4"/>
  <c r="M304" i="3"/>
  <c r="N304" i="3"/>
  <c r="C304" i="3"/>
  <c r="P304" i="3"/>
  <c r="E304" i="3"/>
  <c r="H304" i="3"/>
  <c r="G304" i="3"/>
  <c r="J304" i="3"/>
  <c r="S304" i="3"/>
  <c r="Y304" i="3" s="1"/>
  <c r="Z304" i="3" s="1"/>
  <c r="V304" i="3"/>
  <c r="D303" i="4"/>
  <c r="AA303" i="3"/>
  <c r="T305" i="2"/>
  <c r="D306" i="2"/>
  <c r="J306" i="2" l="1"/>
  <c r="M307" i="2"/>
  <c r="B306" i="3"/>
  <c r="B308" i="2"/>
  <c r="A306" i="4"/>
  <c r="J305" i="3"/>
  <c r="V305" i="3"/>
  <c r="M305" i="3"/>
  <c r="N305" i="3"/>
  <c r="C305" i="3"/>
  <c r="E305" i="3"/>
  <c r="G305" i="3"/>
  <c r="P305" i="3"/>
  <c r="S305" i="3"/>
  <c r="Y305" i="3" s="1"/>
  <c r="Z305" i="3" s="1"/>
  <c r="I306" i="2"/>
  <c r="L307" i="2"/>
  <c r="F306" i="2"/>
  <c r="C307" i="2"/>
  <c r="D307" i="2"/>
  <c r="G306" i="2"/>
  <c r="T305" i="3" s="1"/>
  <c r="T306" i="2"/>
  <c r="C305" i="4"/>
  <c r="AB304" i="3"/>
  <c r="E305" i="4" s="1"/>
  <c r="F303" i="3"/>
  <c r="D304" i="3"/>
  <c r="D304" i="4"/>
  <c r="AA304" i="3"/>
  <c r="G305" i="4"/>
  <c r="L305" i="4" s="1"/>
  <c r="I305" i="4"/>
  <c r="M305" i="4" s="1"/>
  <c r="K305" i="4"/>
  <c r="N305" i="4" s="1"/>
  <c r="K309" i="2"/>
  <c r="I302" i="3"/>
  <c r="F303" i="4" s="1"/>
  <c r="U302" i="3"/>
  <c r="J303" i="4" s="1"/>
  <c r="O302" i="3"/>
  <c r="H303" i="4" s="1"/>
  <c r="N307" i="2"/>
  <c r="H306" i="2"/>
  <c r="E306" i="2" s="1"/>
  <c r="H305" i="3" s="1"/>
  <c r="D308" i="2" l="1"/>
  <c r="T307" i="2"/>
  <c r="C306" i="4"/>
  <c r="AB305" i="3"/>
  <c r="E306" i="4" s="1"/>
  <c r="F307" i="2"/>
  <c r="C308" i="2"/>
  <c r="N308" i="2"/>
  <c r="H307" i="2"/>
  <c r="E307" i="2" s="1"/>
  <c r="H306" i="3" s="1"/>
  <c r="D305" i="4"/>
  <c r="AA305" i="3"/>
  <c r="L308" i="2"/>
  <c r="I307" i="2"/>
  <c r="G306" i="4"/>
  <c r="L306" i="4" s="1"/>
  <c r="I306" i="4"/>
  <c r="M306" i="4" s="1"/>
  <c r="K306" i="4"/>
  <c r="N306" i="4" s="1"/>
  <c r="F304" i="3"/>
  <c r="D305" i="3"/>
  <c r="B307" i="3"/>
  <c r="B309" i="2"/>
  <c r="O303" i="3"/>
  <c r="H304" i="4" s="1"/>
  <c r="I303" i="3"/>
  <c r="F304" i="4" s="1"/>
  <c r="U303" i="3"/>
  <c r="J304" i="4" s="1"/>
  <c r="A307" i="4"/>
  <c r="E306" i="3"/>
  <c r="G306" i="3"/>
  <c r="S306" i="3"/>
  <c r="Y306" i="3" s="1"/>
  <c r="Z306" i="3" s="1"/>
  <c r="J306" i="3"/>
  <c r="V306" i="3"/>
  <c r="N306" i="3"/>
  <c r="M306" i="3"/>
  <c r="P306" i="3"/>
  <c r="C306" i="3"/>
  <c r="M308" i="2"/>
  <c r="J307" i="2"/>
  <c r="G307" i="2" s="1"/>
  <c r="T306" i="3" s="1"/>
  <c r="K310" i="2"/>
  <c r="B308" i="3" l="1"/>
  <c r="B310" i="2"/>
  <c r="A308" i="4"/>
  <c r="C307" i="3"/>
  <c r="P307" i="3"/>
  <c r="E307" i="3"/>
  <c r="G307" i="3"/>
  <c r="S307" i="3"/>
  <c r="Y307" i="3" s="1"/>
  <c r="Z307" i="3" s="1"/>
  <c r="M307" i="3"/>
  <c r="V307" i="3"/>
  <c r="J307" i="3"/>
  <c r="F305" i="3"/>
  <c r="D306" i="3"/>
  <c r="D306" i="4"/>
  <c r="AA306" i="3"/>
  <c r="O304" i="3"/>
  <c r="H305" i="4" s="1"/>
  <c r="I304" i="3"/>
  <c r="F305" i="4" s="1"/>
  <c r="U304" i="3"/>
  <c r="J305" i="4" s="1"/>
  <c r="N309" i="2"/>
  <c r="H308" i="2"/>
  <c r="E308" i="2" s="1"/>
  <c r="H307" i="3" s="1"/>
  <c r="C309" i="2"/>
  <c r="K311" i="2"/>
  <c r="J308" i="2"/>
  <c r="G308" i="2" s="1"/>
  <c r="T307" i="3" s="1"/>
  <c r="M309" i="2"/>
  <c r="K307" i="4"/>
  <c r="N307" i="4" s="1"/>
  <c r="G307" i="4"/>
  <c r="L307" i="4" s="1"/>
  <c r="I307" i="4"/>
  <c r="M307" i="4" s="1"/>
  <c r="D309" i="2"/>
  <c r="T308" i="2"/>
  <c r="C307" i="4"/>
  <c r="AB306" i="3"/>
  <c r="E307" i="4" s="1"/>
  <c r="I308" i="2"/>
  <c r="F308" i="2" s="1"/>
  <c r="N307" i="3" s="1"/>
  <c r="L309" i="2"/>
  <c r="N310" i="2" l="1"/>
  <c r="H309" i="2"/>
  <c r="C308" i="4"/>
  <c r="AB307" i="3"/>
  <c r="E308" i="4" s="1"/>
  <c r="L310" i="2"/>
  <c r="I309" i="2"/>
  <c r="F309" i="2" s="1"/>
  <c r="N308" i="3" s="1"/>
  <c r="M310" i="2"/>
  <c r="J309" i="2"/>
  <c r="D307" i="4"/>
  <c r="AA307" i="3"/>
  <c r="F306" i="3"/>
  <c r="D307" i="3"/>
  <c r="K312" i="2"/>
  <c r="I305" i="3"/>
  <c r="F306" i="4" s="1"/>
  <c r="U305" i="3"/>
  <c r="J306" i="4" s="1"/>
  <c r="O305" i="3"/>
  <c r="H306" i="4" s="1"/>
  <c r="I308" i="4"/>
  <c r="M308" i="4" s="1"/>
  <c r="K308" i="4"/>
  <c r="N308" i="4" s="1"/>
  <c r="G308" i="4"/>
  <c r="L308" i="4" s="1"/>
  <c r="E309" i="2"/>
  <c r="H308" i="3" s="1"/>
  <c r="C310" i="2"/>
  <c r="B309" i="3"/>
  <c r="B311" i="2"/>
  <c r="T309" i="2"/>
  <c r="G309" i="2"/>
  <c r="D310" i="2"/>
  <c r="A309" i="4"/>
  <c r="M308" i="3"/>
  <c r="C308" i="3"/>
  <c r="P308" i="3"/>
  <c r="E308" i="3"/>
  <c r="T308" i="3"/>
  <c r="V308" i="3"/>
  <c r="G308" i="3"/>
  <c r="S308" i="3"/>
  <c r="Y308" i="3" s="1"/>
  <c r="Z308" i="3" s="1"/>
  <c r="J308" i="3"/>
  <c r="F307" i="3" l="1"/>
  <c r="D308" i="3"/>
  <c r="I306" i="3"/>
  <c r="F307" i="4" s="1"/>
  <c r="U306" i="3"/>
  <c r="J307" i="4" s="1"/>
  <c r="O306" i="3"/>
  <c r="H307" i="4" s="1"/>
  <c r="D308" i="4"/>
  <c r="AA308" i="3"/>
  <c r="C309" i="4"/>
  <c r="AB308" i="3"/>
  <c r="E309" i="4" s="1"/>
  <c r="G309" i="4"/>
  <c r="L309" i="4" s="1"/>
  <c r="I309" i="4"/>
  <c r="M309" i="4" s="1"/>
  <c r="K309" i="4"/>
  <c r="N309" i="4" s="1"/>
  <c r="G310" i="2"/>
  <c r="D311" i="2"/>
  <c r="T310" i="2"/>
  <c r="M311" i="2"/>
  <c r="J310" i="2"/>
  <c r="L311" i="2"/>
  <c r="I310" i="2"/>
  <c r="F310" i="2" s="1"/>
  <c r="N309" i="3" s="1"/>
  <c r="B310" i="3"/>
  <c r="B312" i="2"/>
  <c r="A310" i="4"/>
  <c r="T309" i="3"/>
  <c r="J309" i="3"/>
  <c r="V309" i="3"/>
  <c r="M309" i="3"/>
  <c r="C309" i="3"/>
  <c r="E309" i="3"/>
  <c r="G309" i="3"/>
  <c r="P309" i="3"/>
  <c r="S309" i="3"/>
  <c r="Y309" i="3" s="1"/>
  <c r="Z309" i="3" s="1"/>
  <c r="C311" i="2"/>
  <c r="E310" i="2"/>
  <c r="H309" i="3" s="1"/>
  <c r="K313" i="2"/>
  <c r="N311" i="2"/>
  <c r="H310" i="2"/>
  <c r="A311" i="4" l="1"/>
  <c r="E310" i="3"/>
  <c r="G310" i="3"/>
  <c r="S310" i="3"/>
  <c r="Y310" i="3" s="1"/>
  <c r="Z310" i="3" s="1"/>
  <c r="J310" i="3"/>
  <c r="V310" i="3"/>
  <c r="N310" i="3"/>
  <c r="C310" i="3"/>
  <c r="M310" i="3"/>
  <c r="P310" i="3"/>
  <c r="I311" i="2"/>
  <c r="L312" i="2"/>
  <c r="B311" i="3"/>
  <c r="B313" i="2"/>
  <c r="J311" i="2"/>
  <c r="G311" i="2" s="1"/>
  <c r="T310" i="3" s="1"/>
  <c r="M312" i="2"/>
  <c r="D309" i="4"/>
  <c r="AA309" i="3"/>
  <c r="N312" i="2"/>
  <c r="H311" i="2"/>
  <c r="C310" i="4"/>
  <c r="AB309" i="3"/>
  <c r="E310" i="4" s="1"/>
  <c r="D312" i="2"/>
  <c r="T311" i="2"/>
  <c r="K314" i="2"/>
  <c r="F308" i="3"/>
  <c r="D309" i="3"/>
  <c r="C312" i="2"/>
  <c r="E311" i="2"/>
  <c r="H310" i="3" s="1"/>
  <c r="F311" i="2"/>
  <c r="G310" i="4"/>
  <c r="L310" i="4" s="1"/>
  <c r="I310" i="4"/>
  <c r="M310" i="4" s="1"/>
  <c r="K310" i="4"/>
  <c r="N310" i="4" s="1"/>
  <c r="O307" i="3"/>
  <c r="H308" i="4" s="1"/>
  <c r="I307" i="3"/>
  <c r="F308" i="4" s="1"/>
  <c r="U307" i="3"/>
  <c r="J308" i="4" s="1"/>
  <c r="C311" i="4" l="1"/>
  <c r="AB310" i="3"/>
  <c r="E311" i="4" s="1"/>
  <c r="C313" i="2"/>
  <c r="D310" i="4"/>
  <c r="AA310" i="3"/>
  <c r="D310" i="3"/>
  <c r="F309" i="3"/>
  <c r="O308" i="3"/>
  <c r="H309" i="4" s="1"/>
  <c r="U308" i="3"/>
  <c r="J309" i="4" s="1"/>
  <c r="I308" i="3"/>
  <c r="F309" i="4" s="1"/>
  <c r="M313" i="2"/>
  <c r="J312" i="2"/>
  <c r="N313" i="2"/>
  <c r="H312" i="2"/>
  <c r="E312" i="2" s="1"/>
  <c r="H311" i="3" s="1"/>
  <c r="K315" i="2"/>
  <c r="B312" i="3"/>
  <c r="B314" i="2"/>
  <c r="A312" i="4"/>
  <c r="C311" i="3"/>
  <c r="P311" i="3"/>
  <c r="E311" i="3"/>
  <c r="G311" i="3"/>
  <c r="S311" i="3"/>
  <c r="Y311" i="3" s="1"/>
  <c r="Z311" i="3" s="1"/>
  <c r="J311" i="3"/>
  <c r="M311" i="3"/>
  <c r="V311" i="3"/>
  <c r="L313" i="2"/>
  <c r="I312" i="2"/>
  <c r="F312" i="2" s="1"/>
  <c r="N311" i="3" s="1"/>
  <c r="T312" i="2"/>
  <c r="G312" i="2"/>
  <c r="T311" i="3" s="1"/>
  <c r="D313" i="2"/>
  <c r="G311" i="4"/>
  <c r="L311" i="4" s="1"/>
  <c r="I311" i="4"/>
  <c r="M311" i="4" s="1"/>
  <c r="K311" i="4"/>
  <c r="N311" i="4" s="1"/>
  <c r="L314" i="2" l="1"/>
  <c r="I313" i="2"/>
  <c r="G312" i="4"/>
  <c r="L312" i="4" s="1"/>
  <c r="K312" i="4"/>
  <c r="N312" i="4" s="1"/>
  <c r="I312" i="4"/>
  <c r="M312" i="4" s="1"/>
  <c r="I309" i="3"/>
  <c r="F310" i="4" s="1"/>
  <c r="U309" i="3"/>
  <c r="J310" i="4" s="1"/>
  <c r="O309" i="3"/>
  <c r="H310" i="4" s="1"/>
  <c r="B313" i="3"/>
  <c r="B315" i="2"/>
  <c r="F310" i="3"/>
  <c r="D311" i="3"/>
  <c r="C312" i="4"/>
  <c r="AB311" i="3"/>
  <c r="E312" i="4" s="1"/>
  <c r="A313" i="4"/>
  <c r="M312" i="3"/>
  <c r="N312" i="3"/>
  <c r="C312" i="3"/>
  <c r="P312" i="3"/>
  <c r="E312" i="3"/>
  <c r="H312" i="3"/>
  <c r="S312" i="3"/>
  <c r="Y312" i="3" s="1"/>
  <c r="Z312" i="3" s="1"/>
  <c r="V312" i="3"/>
  <c r="G312" i="3"/>
  <c r="J312" i="3"/>
  <c r="D311" i="4"/>
  <c r="AA311" i="3"/>
  <c r="K316" i="2"/>
  <c r="F313" i="2"/>
  <c r="C314" i="2"/>
  <c r="E313" i="2"/>
  <c r="N314" i="2"/>
  <c r="H313" i="2"/>
  <c r="D314" i="2"/>
  <c r="T313" i="2"/>
  <c r="M314" i="2"/>
  <c r="J313" i="2"/>
  <c r="G313" i="2" s="1"/>
  <c r="T312" i="3" s="1"/>
  <c r="A314" i="4" l="1"/>
  <c r="J313" i="3"/>
  <c r="V313" i="3"/>
  <c r="M313" i="3"/>
  <c r="C313" i="3"/>
  <c r="E313" i="3"/>
  <c r="S313" i="3"/>
  <c r="Y313" i="3" s="1"/>
  <c r="Z313" i="3" s="1"/>
  <c r="P313" i="3"/>
  <c r="G313" i="3"/>
  <c r="C315" i="2"/>
  <c r="C313" i="4"/>
  <c r="AB312" i="3"/>
  <c r="E313" i="4" s="1"/>
  <c r="K317" i="2"/>
  <c r="D312" i="4"/>
  <c r="AA312" i="3"/>
  <c r="J314" i="2"/>
  <c r="G314" i="2" s="1"/>
  <c r="T313" i="3" s="1"/>
  <c r="M315" i="2"/>
  <c r="K313" i="4"/>
  <c r="N313" i="4" s="1"/>
  <c r="G313" i="4"/>
  <c r="L313" i="4" s="1"/>
  <c r="I313" i="4"/>
  <c r="M313" i="4" s="1"/>
  <c r="D315" i="2"/>
  <c r="T314" i="2"/>
  <c r="F311" i="3"/>
  <c r="D312" i="3"/>
  <c r="I310" i="3"/>
  <c r="F311" i="4" s="1"/>
  <c r="U310" i="3"/>
  <c r="J311" i="4" s="1"/>
  <c r="O310" i="3"/>
  <c r="H311" i="4" s="1"/>
  <c r="N315" i="2"/>
  <c r="H314" i="2"/>
  <c r="E314" i="2" s="1"/>
  <c r="H313" i="3" s="1"/>
  <c r="B314" i="3"/>
  <c r="B316" i="2"/>
  <c r="I314" i="2"/>
  <c r="F314" i="2" s="1"/>
  <c r="N313" i="3" s="1"/>
  <c r="L315" i="2"/>
  <c r="F312" i="3" l="1"/>
  <c r="D313" i="3"/>
  <c r="O311" i="3"/>
  <c r="H312" i="4" s="1"/>
  <c r="I311" i="3"/>
  <c r="F312" i="4" s="1"/>
  <c r="U311" i="3"/>
  <c r="J312" i="4" s="1"/>
  <c r="D313" i="4"/>
  <c r="AA313" i="3"/>
  <c r="M316" i="2"/>
  <c r="J315" i="2"/>
  <c r="G315" i="2" s="1"/>
  <c r="T314" i="3" s="1"/>
  <c r="L316" i="2"/>
  <c r="I315" i="2"/>
  <c r="F315" i="2" s="1"/>
  <c r="N314" i="3" s="1"/>
  <c r="T315" i="2"/>
  <c r="D316" i="2"/>
  <c r="K318" i="2"/>
  <c r="C314" i="4"/>
  <c r="AB313" i="3"/>
  <c r="E314" i="4" s="1"/>
  <c r="B315" i="3"/>
  <c r="B317" i="2"/>
  <c r="A315" i="4"/>
  <c r="E314" i="3"/>
  <c r="G314" i="3"/>
  <c r="S314" i="3"/>
  <c r="Y314" i="3" s="1"/>
  <c r="Z314" i="3" s="1"/>
  <c r="J314" i="3"/>
  <c r="V314" i="3"/>
  <c r="C314" i="3"/>
  <c r="M314" i="3"/>
  <c r="P314" i="3"/>
  <c r="N316" i="2"/>
  <c r="H315" i="2"/>
  <c r="E315" i="2"/>
  <c r="H314" i="3" s="1"/>
  <c r="C316" i="2"/>
  <c r="I314" i="4"/>
  <c r="M314" i="4" s="1"/>
  <c r="G314" i="4"/>
  <c r="L314" i="4" s="1"/>
  <c r="K314" i="4"/>
  <c r="N314" i="4" s="1"/>
  <c r="L317" i="2" l="1"/>
  <c r="I316" i="2"/>
  <c r="G315" i="4"/>
  <c r="L315" i="4" s="1"/>
  <c r="K315" i="4"/>
  <c r="N315" i="4" s="1"/>
  <c r="I315" i="4"/>
  <c r="M315" i="4" s="1"/>
  <c r="B316" i="3"/>
  <c r="B318" i="2"/>
  <c r="M317" i="2"/>
  <c r="J316" i="2"/>
  <c r="C315" i="4"/>
  <c r="AB314" i="3"/>
  <c r="E315" i="4" s="1"/>
  <c r="A316" i="4"/>
  <c r="N315" i="3"/>
  <c r="C315" i="3"/>
  <c r="P315" i="3"/>
  <c r="E315" i="3"/>
  <c r="G315" i="3"/>
  <c r="S315" i="3"/>
  <c r="Y315" i="3" s="1"/>
  <c r="Z315" i="3" s="1"/>
  <c r="T315" i="3"/>
  <c r="J315" i="3"/>
  <c r="M315" i="3"/>
  <c r="V315" i="3"/>
  <c r="D314" i="4"/>
  <c r="AA314" i="3"/>
  <c r="N317" i="2"/>
  <c r="H316" i="2"/>
  <c r="E316" i="2" s="1"/>
  <c r="H315" i="3" s="1"/>
  <c r="K319" i="2"/>
  <c r="G316" i="2"/>
  <c r="D317" i="2"/>
  <c r="T316" i="2"/>
  <c r="D314" i="3"/>
  <c r="F313" i="3"/>
  <c r="F316" i="2"/>
  <c r="C317" i="2"/>
  <c r="O312" i="3"/>
  <c r="H313" i="4" s="1"/>
  <c r="U312" i="3"/>
  <c r="J313" i="4" s="1"/>
  <c r="I312" i="3"/>
  <c r="F313" i="4" s="1"/>
  <c r="F314" i="3" l="1"/>
  <c r="D315" i="3"/>
  <c r="D318" i="2"/>
  <c r="T317" i="2"/>
  <c r="B317" i="3"/>
  <c r="B319" i="2"/>
  <c r="J317" i="2"/>
  <c r="G317" i="2" s="1"/>
  <c r="T316" i="3" s="1"/>
  <c r="M318" i="2"/>
  <c r="A317" i="4"/>
  <c r="M316" i="3"/>
  <c r="C316" i="3"/>
  <c r="P316" i="3"/>
  <c r="E316" i="3"/>
  <c r="G316" i="3"/>
  <c r="J316" i="3"/>
  <c r="S316" i="3"/>
  <c r="Y316" i="3" s="1"/>
  <c r="Z316" i="3" s="1"/>
  <c r="V316" i="3"/>
  <c r="K320" i="2"/>
  <c r="N318" i="2"/>
  <c r="H317" i="2"/>
  <c r="D315" i="4"/>
  <c r="AA315" i="3"/>
  <c r="C318" i="2"/>
  <c r="E317" i="2"/>
  <c r="H316" i="3" s="1"/>
  <c r="K316" i="4"/>
  <c r="N316" i="4" s="1"/>
  <c r="G316" i="4"/>
  <c r="L316" i="4" s="1"/>
  <c r="I316" i="4"/>
  <c r="M316" i="4" s="1"/>
  <c r="I313" i="3"/>
  <c r="F314" i="4" s="1"/>
  <c r="U313" i="3"/>
  <c r="J314" i="4" s="1"/>
  <c r="O313" i="3"/>
  <c r="H314" i="4" s="1"/>
  <c r="C316" i="4"/>
  <c r="AB315" i="3"/>
  <c r="E316" i="4" s="1"/>
  <c r="I317" i="2"/>
  <c r="F317" i="2" s="1"/>
  <c r="N316" i="3" s="1"/>
  <c r="L318" i="2"/>
  <c r="C317" i="4" l="1"/>
  <c r="AB316" i="3"/>
  <c r="E317" i="4" s="1"/>
  <c r="K321" i="2"/>
  <c r="G317" i="4"/>
  <c r="L317" i="4" s="1"/>
  <c r="I317" i="4"/>
  <c r="M317" i="4" s="1"/>
  <c r="K317" i="4"/>
  <c r="N317" i="4" s="1"/>
  <c r="M319" i="2"/>
  <c r="J318" i="2"/>
  <c r="G318" i="2" s="1"/>
  <c r="T317" i="3" s="1"/>
  <c r="B318" i="3"/>
  <c r="B320" i="2"/>
  <c r="N319" i="2"/>
  <c r="H318" i="2"/>
  <c r="L319" i="2"/>
  <c r="I318" i="2"/>
  <c r="A318" i="4"/>
  <c r="H317" i="3"/>
  <c r="J317" i="3"/>
  <c r="V317" i="3"/>
  <c r="M317" i="3"/>
  <c r="C317" i="3"/>
  <c r="E317" i="3"/>
  <c r="P317" i="3"/>
  <c r="S317" i="3"/>
  <c r="Y317" i="3" s="1"/>
  <c r="Z317" i="3" s="1"/>
  <c r="G317" i="3"/>
  <c r="E318" i="2"/>
  <c r="F318" i="2"/>
  <c r="N317" i="3" s="1"/>
  <c r="C319" i="2"/>
  <c r="D316" i="4"/>
  <c r="AA316" i="3"/>
  <c r="T318" i="2"/>
  <c r="D319" i="2"/>
  <c r="F315" i="3"/>
  <c r="D316" i="3"/>
  <c r="I314" i="3"/>
  <c r="F315" i="4" s="1"/>
  <c r="U314" i="3"/>
  <c r="J315" i="4" s="1"/>
  <c r="O314" i="3"/>
  <c r="H315" i="4" s="1"/>
  <c r="C318" i="4" l="1"/>
  <c r="AB317" i="3"/>
  <c r="E318" i="4" s="1"/>
  <c r="D317" i="4"/>
  <c r="AA317" i="3"/>
  <c r="M320" i="2"/>
  <c r="J319" i="2"/>
  <c r="G318" i="4"/>
  <c r="L318" i="4" s="1"/>
  <c r="I318" i="4"/>
  <c r="M318" i="4" s="1"/>
  <c r="K318" i="4"/>
  <c r="N318" i="4" s="1"/>
  <c r="L320" i="2"/>
  <c r="I319" i="2"/>
  <c r="F319" i="2"/>
  <c r="C320" i="2"/>
  <c r="F316" i="3"/>
  <c r="D317" i="3"/>
  <c r="O315" i="3"/>
  <c r="H316" i="4" s="1"/>
  <c r="I315" i="3"/>
  <c r="F316" i="4" s="1"/>
  <c r="U315" i="3"/>
  <c r="J316" i="4" s="1"/>
  <c r="N320" i="2"/>
  <c r="H319" i="2"/>
  <c r="E319" i="2" s="1"/>
  <c r="H318" i="3" s="1"/>
  <c r="K322" i="2"/>
  <c r="G319" i="2"/>
  <c r="D320" i="2"/>
  <c r="T319" i="2"/>
  <c r="B319" i="3"/>
  <c r="B321" i="2"/>
  <c r="A319" i="4"/>
  <c r="E318" i="3"/>
  <c r="G318" i="3"/>
  <c r="S318" i="3"/>
  <c r="Y318" i="3" s="1"/>
  <c r="Z318" i="3" s="1"/>
  <c r="T318" i="3"/>
  <c r="J318" i="3"/>
  <c r="V318" i="3"/>
  <c r="N318" i="3"/>
  <c r="P318" i="3"/>
  <c r="C318" i="3"/>
  <c r="M318" i="3"/>
  <c r="N321" i="2" l="1"/>
  <c r="H320" i="2"/>
  <c r="K319" i="4"/>
  <c r="N319" i="4" s="1"/>
  <c r="G319" i="4"/>
  <c r="L319" i="4" s="1"/>
  <c r="I319" i="4"/>
  <c r="M319" i="4" s="1"/>
  <c r="B320" i="3"/>
  <c r="B322" i="2"/>
  <c r="C319" i="4"/>
  <c r="AB318" i="3"/>
  <c r="E319" i="4" s="1"/>
  <c r="F317" i="3"/>
  <c r="D318" i="3"/>
  <c r="A320" i="4"/>
  <c r="C319" i="3"/>
  <c r="P319" i="3"/>
  <c r="E319" i="3"/>
  <c r="G319" i="3"/>
  <c r="S319" i="3"/>
  <c r="Y319" i="3" s="1"/>
  <c r="Z319" i="3" s="1"/>
  <c r="J319" i="3"/>
  <c r="M319" i="3"/>
  <c r="V319" i="3"/>
  <c r="O316" i="3"/>
  <c r="H317" i="4" s="1"/>
  <c r="I316" i="3"/>
  <c r="F317" i="4" s="1"/>
  <c r="U316" i="3"/>
  <c r="J317" i="4" s="1"/>
  <c r="J320" i="2"/>
  <c r="G320" i="2" s="1"/>
  <c r="T319" i="3" s="1"/>
  <c r="M321" i="2"/>
  <c r="D321" i="2"/>
  <c r="T320" i="2"/>
  <c r="C321" i="2"/>
  <c r="E320" i="2"/>
  <c r="H319" i="3" s="1"/>
  <c r="D318" i="4"/>
  <c r="AA318" i="3"/>
  <c r="K323" i="2"/>
  <c r="I320" i="2"/>
  <c r="F320" i="2" s="1"/>
  <c r="N319" i="3" s="1"/>
  <c r="L321" i="2"/>
  <c r="C322" i="2" l="1"/>
  <c r="B321" i="3"/>
  <c r="B323" i="2"/>
  <c r="A321" i="4"/>
  <c r="M320" i="3"/>
  <c r="C320" i="3"/>
  <c r="P320" i="3"/>
  <c r="E320" i="3"/>
  <c r="G320" i="3"/>
  <c r="J320" i="3"/>
  <c r="S320" i="3"/>
  <c r="Y320" i="3" s="1"/>
  <c r="Z320" i="3" s="1"/>
  <c r="V320" i="3"/>
  <c r="T321" i="2"/>
  <c r="D322" i="2"/>
  <c r="L322" i="2"/>
  <c r="I321" i="2"/>
  <c r="F321" i="2" s="1"/>
  <c r="N320" i="3" s="1"/>
  <c r="M322" i="2"/>
  <c r="J321" i="2"/>
  <c r="G321" i="2" s="1"/>
  <c r="T320" i="3" s="1"/>
  <c r="G320" i="4"/>
  <c r="L320" i="4" s="1"/>
  <c r="I320" i="4"/>
  <c r="M320" i="4" s="1"/>
  <c r="K320" i="4"/>
  <c r="N320" i="4" s="1"/>
  <c r="F318" i="3"/>
  <c r="D319" i="3"/>
  <c r="K324" i="2"/>
  <c r="D319" i="4"/>
  <c r="AA319" i="3"/>
  <c r="C320" i="4"/>
  <c r="AB319" i="3"/>
  <c r="E320" i="4" s="1"/>
  <c r="I317" i="3"/>
  <c r="F318" i="4" s="1"/>
  <c r="U317" i="3"/>
  <c r="J318" i="4" s="1"/>
  <c r="O317" i="3"/>
  <c r="H318" i="4" s="1"/>
  <c r="N322" i="2"/>
  <c r="H321" i="2"/>
  <c r="E321" i="2" s="1"/>
  <c r="H320" i="3" s="1"/>
  <c r="M323" i="2" l="1"/>
  <c r="J322" i="2"/>
  <c r="K325" i="2"/>
  <c r="L323" i="2"/>
  <c r="I322" i="2"/>
  <c r="F322" i="2" s="1"/>
  <c r="N321" i="3" s="1"/>
  <c r="D320" i="4"/>
  <c r="AA320" i="3"/>
  <c r="F319" i="3"/>
  <c r="D320" i="3"/>
  <c r="G322" i="2"/>
  <c r="D323" i="2"/>
  <c r="T322" i="2"/>
  <c r="I318" i="3"/>
  <c r="F319" i="4" s="1"/>
  <c r="U318" i="3"/>
  <c r="J319" i="4" s="1"/>
  <c r="O318" i="3"/>
  <c r="H319" i="4" s="1"/>
  <c r="C321" i="4"/>
  <c r="AB320" i="3"/>
  <c r="E321" i="4" s="1"/>
  <c r="N323" i="2"/>
  <c r="H322" i="2"/>
  <c r="G321" i="4"/>
  <c r="L321" i="4" s="1"/>
  <c r="I321" i="4"/>
  <c r="M321" i="4" s="1"/>
  <c r="K321" i="4"/>
  <c r="N321" i="4" s="1"/>
  <c r="B322" i="3"/>
  <c r="B324" i="2"/>
  <c r="A322" i="4"/>
  <c r="H321" i="3"/>
  <c r="T321" i="3"/>
  <c r="J321" i="3"/>
  <c r="V321" i="3"/>
  <c r="M321" i="3"/>
  <c r="C321" i="3"/>
  <c r="E321" i="3"/>
  <c r="G321" i="3"/>
  <c r="P321" i="3"/>
  <c r="S321" i="3"/>
  <c r="Y321" i="3" s="1"/>
  <c r="Z321" i="3" s="1"/>
  <c r="C323" i="2"/>
  <c r="E322" i="2"/>
  <c r="C322" i="4" l="1"/>
  <c r="AB321" i="3"/>
  <c r="E322" i="4" s="1"/>
  <c r="F320" i="3"/>
  <c r="D321" i="3"/>
  <c r="O319" i="3"/>
  <c r="H320" i="4" s="1"/>
  <c r="I319" i="3"/>
  <c r="F320" i="4" s="1"/>
  <c r="U319" i="3"/>
  <c r="J320" i="4" s="1"/>
  <c r="D321" i="4"/>
  <c r="AA321" i="3"/>
  <c r="N324" i="2"/>
  <c r="H323" i="2"/>
  <c r="E323" i="2" s="1"/>
  <c r="H322" i="3" s="1"/>
  <c r="C324" i="2"/>
  <c r="G322" i="4"/>
  <c r="L322" i="4" s="1"/>
  <c r="I322" i="4"/>
  <c r="M322" i="4" s="1"/>
  <c r="K322" i="4"/>
  <c r="N322" i="4" s="1"/>
  <c r="I323" i="2"/>
  <c r="F323" i="2" s="1"/>
  <c r="N322" i="3" s="1"/>
  <c r="L324" i="2"/>
  <c r="B323" i="3"/>
  <c r="B325" i="2"/>
  <c r="A323" i="4"/>
  <c r="E322" i="3"/>
  <c r="G322" i="3"/>
  <c r="S322" i="3"/>
  <c r="Y322" i="3" s="1"/>
  <c r="Z322" i="3" s="1"/>
  <c r="J322" i="3"/>
  <c r="V322" i="3"/>
  <c r="M322" i="3"/>
  <c r="P322" i="3"/>
  <c r="C322" i="3"/>
  <c r="K326" i="2"/>
  <c r="D324" i="2"/>
  <c r="T323" i="2"/>
  <c r="J323" i="2"/>
  <c r="G323" i="2" s="1"/>
  <c r="T322" i="3" s="1"/>
  <c r="M324" i="2"/>
  <c r="B324" i="3" l="1"/>
  <c r="B326" i="2"/>
  <c r="C325" i="2"/>
  <c r="A324" i="4"/>
  <c r="C323" i="3"/>
  <c r="P323" i="3"/>
  <c r="E323" i="3"/>
  <c r="G323" i="3"/>
  <c r="S323" i="3"/>
  <c r="Y323" i="3" s="1"/>
  <c r="Z323" i="3" s="1"/>
  <c r="M323" i="3"/>
  <c r="V323" i="3"/>
  <c r="J323" i="3"/>
  <c r="C323" i="4"/>
  <c r="AB322" i="3"/>
  <c r="E323" i="4" s="1"/>
  <c r="L325" i="2"/>
  <c r="I324" i="2"/>
  <c r="F324" i="2" s="1"/>
  <c r="N323" i="3" s="1"/>
  <c r="N325" i="2"/>
  <c r="H324" i="2"/>
  <c r="E324" i="2" s="1"/>
  <c r="H323" i="3" s="1"/>
  <c r="D322" i="4"/>
  <c r="AA322" i="3"/>
  <c r="M325" i="2"/>
  <c r="J324" i="2"/>
  <c r="G324" i="2" s="1"/>
  <c r="T323" i="3" s="1"/>
  <c r="F321" i="3"/>
  <c r="D322" i="3"/>
  <c r="O320" i="3"/>
  <c r="H321" i="4" s="1"/>
  <c r="I320" i="3"/>
  <c r="F321" i="4" s="1"/>
  <c r="U320" i="3"/>
  <c r="J321" i="4" s="1"/>
  <c r="T324" i="2"/>
  <c r="D325" i="2"/>
  <c r="K327" i="2"/>
  <c r="G323" i="4"/>
  <c r="L323" i="4" s="1"/>
  <c r="I323" i="4"/>
  <c r="M323" i="4" s="1"/>
  <c r="K323" i="4"/>
  <c r="N323" i="4" s="1"/>
  <c r="D326" i="2" l="1"/>
  <c r="T325" i="2"/>
  <c r="N326" i="2"/>
  <c r="H325" i="2"/>
  <c r="K328" i="2"/>
  <c r="L326" i="2"/>
  <c r="I325" i="2"/>
  <c r="F325" i="2" s="1"/>
  <c r="N324" i="3" s="1"/>
  <c r="G324" i="4"/>
  <c r="L324" i="4" s="1"/>
  <c r="I324" i="4"/>
  <c r="M324" i="4" s="1"/>
  <c r="K324" i="4"/>
  <c r="N324" i="4" s="1"/>
  <c r="F322" i="3"/>
  <c r="D323" i="3"/>
  <c r="C326" i="2"/>
  <c r="E325" i="2"/>
  <c r="I321" i="3"/>
  <c r="F322" i="4" s="1"/>
  <c r="U321" i="3"/>
  <c r="J322" i="4" s="1"/>
  <c r="O321" i="3"/>
  <c r="H322" i="4" s="1"/>
  <c r="C324" i="4"/>
  <c r="AB323" i="3"/>
  <c r="E324" i="4" s="1"/>
  <c r="M326" i="2"/>
  <c r="J325" i="2"/>
  <c r="G325" i="2" s="1"/>
  <c r="T324" i="3" s="1"/>
  <c r="B325" i="3"/>
  <c r="B327" i="2"/>
  <c r="D323" i="4"/>
  <c r="AA323" i="3"/>
  <c r="A325" i="4"/>
  <c r="M324" i="3"/>
  <c r="C324" i="3"/>
  <c r="P324" i="3"/>
  <c r="E324" i="3"/>
  <c r="H324" i="3"/>
  <c r="V324" i="3"/>
  <c r="G324" i="3"/>
  <c r="S324" i="3"/>
  <c r="Y324" i="3" s="1"/>
  <c r="Z324" i="3" s="1"/>
  <c r="J324" i="3"/>
  <c r="C325" i="4" l="1"/>
  <c r="AB324" i="3"/>
  <c r="E325" i="4" s="1"/>
  <c r="G325" i="4"/>
  <c r="L325" i="4" s="1"/>
  <c r="I325" i="4"/>
  <c r="M325" i="4" s="1"/>
  <c r="K325" i="4"/>
  <c r="N325" i="4" s="1"/>
  <c r="I326" i="2"/>
  <c r="L327" i="2"/>
  <c r="D324" i="4"/>
  <c r="AA324" i="3"/>
  <c r="C327" i="2"/>
  <c r="F326" i="2"/>
  <c r="K329" i="2"/>
  <c r="B326" i="3"/>
  <c r="B328" i="2"/>
  <c r="F323" i="3"/>
  <c r="D324" i="3"/>
  <c r="A326" i="4"/>
  <c r="T325" i="3"/>
  <c r="J325" i="3"/>
  <c r="V325" i="3"/>
  <c r="M325" i="3"/>
  <c r="N325" i="3"/>
  <c r="C325" i="3"/>
  <c r="E325" i="3"/>
  <c r="G325" i="3"/>
  <c r="P325" i="3"/>
  <c r="S325" i="3"/>
  <c r="Y325" i="3" s="1"/>
  <c r="Z325" i="3" s="1"/>
  <c r="I322" i="3"/>
  <c r="F323" i="4" s="1"/>
  <c r="U322" i="3"/>
  <c r="J323" i="4" s="1"/>
  <c r="O322" i="3"/>
  <c r="H323" i="4" s="1"/>
  <c r="N327" i="2"/>
  <c r="H326" i="2"/>
  <c r="E326" i="2" s="1"/>
  <c r="H325" i="3" s="1"/>
  <c r="J326" i="2"/>
  <c r="M327" i="2"/>
  <c r="D327" i="2"/>
  <c r="T326" i="2"/>
  <c r="G326" i="2"/>
  <c r="K326" i="4" l="1"/>
  <c r="N326" i="4" s="1"/>
  <c r="G326" i="4"/>
  <c r="L326" i="4" s="1"/>
  <c r="I326" i="4"/>
  <c r="M326" i="4" s="1"/>
  <c r="L328" i="2"/>
  <c r="I327" i="2"/>
  <c r="D325" i="4"/>
  <c r="AA325" i="3"/>
  <c r="F324" i="3"/>
  <c r="D325" i="3"/>
  <c r="O323" i="3"/>
  <c r="H324" i="4" s="1"/>
  <c r="I323" i="3"/>
  <c r="F324" i="4" s="1"/>
  <c r="U323" i="3"/>
  <c r="J324" i="4" s="1"/>
  <c r="B327" i="3"/>
  <c r="B329" i="2"/>
  <c r="A327" i="4"/>
  <c r="E326" i="3"/>
  <c r="G326" i="3"/>
  <c r="S326" i="3"/>
  <c r="Y326" i="3" s="1"/>
  <c r="Z326" i="3" s="1"/>
  <c r="J326" i="3"/>
  <c r="V326" i="3"/>
  <c r="N326" i="3"/>
  <c r="C326" i="3"/>
  <c r="M326" i="3"/>
  <c r="P326" i="3"/>
  <c r="T327" i="2"/>
  <c r="D328" i="2"/>
  <c r="M328" i="2"/>
  <c r="J327" i="2"/>
  <c r="G327" i="2" s="1"/>
  <c r="T326" i="3" s="1"/>
  <c r="K330" i="2"/>
  <c r="C326" i="4"/>
  <c r="AB325" i="3"/>
  <c r="E326" i="4" s="1"/>
  <c r="N328" i="2"/>
  <c r="H327" i="2"/>
  <c r="E327" i="2"/>
  <c r="H326" i="3" s="1"/>
  <c r="F327" i="2"/>
  <c r="C328" i="2"/>
  <c r="O324" i="3" l="1"/>
  <c r="H325" i="4" s="1"/>
  <c r="U324" i="3"/>
  <c r="J325" i="4" s="1"/>
  <c r="I324" i="3"/>
  <c r="F325" i="4" s="1"/>
  <c r="K331" i="2"/>
  <c r="D326" i="4"/>
  <c r="AA326" i="3"/>
  <c r="M329" i="2"/>
  <c r="J328" i="2"/>
  <c r="G328" i="2"/>
  <c r="D329" i="2"/>
  <c r="T328" i="2"/>
  <c r="F328" i="2"/>
  <c r="C329" i="2"/>
  <c r="L329" i="2"/>
  <c r="I328" i="2"/>
  <c r="D326" i="3"/>
  <c r="F325" i="3"/>
  <c r="I327" i="4"/>
  <c r="M327" i="4" s="1"/>
  <c r="K327" i="4"/>
  <c r="N327" i="4" s="1"/>
  <c r="G327" i="4"/>
  <c r="L327" i="4" s="1"/>
  <c r="B328" i="3"/>
  <c r="B330" i="2"/>
  <c r="C327" i="4"/>
  <c r="AB326" i="3"/>
  <c r="E327" i="4" s="1"/>
  <c r="A328" i="4"/>
  <c r="N327" i="3"/>
  <c r="C327" i="3"/>
  <c r="P327" i="3"/>
  <c r="E327" i="3"/>
  <c r="G327" i="3"/>
  <c r="S327" i="3"/>
  <c r="Y327" i="3" s="1"/>
  <c r="Z327" i="3" s="1"/>
  <c r="T327" i="3"/>
  <c r="J327" i="3"/>
  <c r="M327" i="3"/>
  <c r="V327" i="3"/>
  <c r="N329" i="2"/>
  <c r="H328" i="2"/>
  <c r="E328" i="2" s="1"/>
  <c r="H327" i="3" s="1"/>
  <c r="D330" i="2" l="1"/>
  <c r="T329" i="2"/>
  <c r="J329" i="2"/>
  <c r="G329" i="2" s="1"/>
  <c r="T328" i="3" s="1"/>
  <c r="M330" i="2"/>
  <c r="I325" i="3"/>
  <c r="F326" i="4" s="1"/>
  <c r="U325" i="3"/>
  <c r="J326" i="4" s="1"/>
  <c r="O325" i="3"/>
  <c r="H326" i="4" s="1"/>
  <c r="D327" i="4"/>
  <c r="AA327" i="3"/>
  <c r="N330" i="2"/>
  <c r="H329" i="2"/>
  <c r="G328" i="4"/>
  <c r="L328" i="4" s="1"/>
  <c r="I328" i="4"/>
  <c r="M328" i="4" s="1"/>
  <c r="K328" i="4"/>
  <c r="N328" i="4" s="1"/>
  <c r="F326" i="3"/>
  <c r="D327" i="3"/>
  <c r="C328" i="4"/>
  <c r="AB327" i="3"/>
  <c r="E328" i="4" s="1"/>
  <c r="I329" i="2"/>
  <c r="L330" i="2"/>
  <c r="K332" i="2"/>
  <c r="B329" i="3"/>
  <c r="B331" i="2"/>
  <c r="A329" i="4"/>
  <c r="M328" i="3"/>
  <c r="C328" i="3"/>
  <c r="P328" i="3"/>
  <c r="E328" i="3"/>
  <c r="S328" i="3"/>
  <c r="Y328" i="3" s="1"/>
  <c r="Z328" i="3" s="1"/>
  <c r="V328" i="3"/>
  <c r="G328" i="3"/>
  <c r="J328" i="3"/>
  <c r="C330" i="2"/>
  <c r="E329" i="2"/>
  <c r="H328" i="3" s="1"/>
  <c r="F329" i="2"/>
  <c r="N328" i="3" s="1"/>
  <c r="N331" i="2" l="1"/>
  <c r="H330" i="2"/>
  <c r="L331" i="2"/>
  <c r="I330" i="2"/>
  <c r="F330" i="2" s="1"/>
  <c r="N329" i="3" s="1"/>
  <c r="D328" i="4"/>
  <c r="AA328" i="3"/>
  <c r="F327" i="3"/>
  <c r="D328" i="3"/>
  <c r="I326" i="3"/>
  <c r="F327" i="4" s="1"/>
  <c r="U326" i="3"/>
  <c r="J327" i="4" s="1"/>
  <c r="O326" i="3"/>
  <c r="H327" i="4" s="1"/>
  <c r="C329" i="4"/>
  <c r="AB328" i="3"/>
  <c r="E329" i="4" s="1"/>
  <c r="E330" i="2"/>
  <c r="C331" i="2"/>
  <c r="G329" i="4"/>
  <c r="L329" i="4" s="1"/>
  <c r="I329" i="4"/>
  <c r="M329" i="4" s="1"/>
  <c r="K329" i="4"/>
  <c r="N329" i="4" s="1"/>
  <c r="M331" i="2"/>
  <c r="J330" i="2"/>
  <c r="G330" i="2" s="1"/>
  <c r="T329" i="3" s="1"/>
  <c r="B330" i="3"/>
  <c r="B332" i="2"/>
  <c r="A330" i="4"/>
  <c r="H329" i="3"/>
  <c r="J329" i="3"/>
  <c r="V329" i="3"/>
  <c r="M329" i="3"/>
  <c r="C329" i="3"/>
  <c r="E329" i="3"/>
  <c r="S329" i="3"/>
  <c r="Y329" i="3" s="1"/>
  <c r="Z329" i="3" s="1"/>
  <c r="G329" i="3"/>
  <c r="P329" i="3"/>
  <c r="K333" i="2"/>
  <c r="T330" i="2"/>
  <c r="D331" i="2"/>
  <c r="M332" i="2" l="1"/>
  <c r="J331" i="2"/>
  <c r="C330" i="4"/>
  <c r="AB329" i="3"/>
  <c r="E330" i="4" s="1"/>
  <c r="F328" i="3"/>
  <c r="D329" i="3"/>
  <c r="O327" i="3"/>
  <c r="H328" i="4" s="1"/>
  <c r="I327" i="3"/>
  <c r="F328" i="4" s="1"/>
  <c r="U327" i="3"/>
  <c r="J328" i="4" s="1"/>
  <c r="D329" i="4"/>
  <c r="AA329" i="3"/>
  <c r="C332" i="2"/>
  <c r="K334" i="2"/>
  <c r="G330" i="4"/>
  <c r="L330" i="4" s="1"/>
  <c r="I330" i="4"/>
  <c r="M330" i="4" s="1"/>
  <c r="K330" i="4"/>
  <c r="N330" i="4" s="1"/>
  <c r="L332" i="2"/>
  <c r="I331" i="2"/>
  <c r="F331" i="2" s="1"/>
  <c r="N330" i="3" s="1"/>
  <c r="G331" i="2"/>
  <c r="D332" i="2"/>
  <c r="T331" i="2"/>
  <c r="B331" i="3"/>
  <c r="B333" i="2"/>
  <c r="A331" i="4"/>
  <c r="E330" i="3"/>
  <c r="G330" i="3"/>
  <c r="S330" i="3"/>
  <c r="Y330" i="3" s="1"/>
  <c r="Z330" i="3" s="1"/>
  <c r="T330" i="3"/>
  <c r="J330" i="3"/>
  <c r="V330" i="3"/>
  <c r="C330" i="3"/>
  <c r="M330" i="3"/>
  <c r="P330" i="3"/>
  <c r="N332" i="2"/>
  <c r="H331" i="2"/>
  <c r="E331" i="2" s="1"/>
  <c r="H330" i="3" s="1"/>
  <c r="I332" i="2" l="1"/>
  <c r="L333" i="2"/>
  <c r="D330" i="4"/>
  <c r="AA330" i="3"/>
  <c r="N333" i="2"/>
  <c r="H332" i="2"/>
  <c r="G331" i="4"/>
  <c r="L331" i="4" s="1"/>
  <c r="I331" i="4"/>
  <c r="M331" i="4" s="1"/>
  <c r="K331" i="4"/>
  <c r="N331" i="4" s="1"/>
  <c r="D330" i="3"/>
  <c r="F329" i="3"/>
  <c r="O328" i="3"/>
  <c r="H329" i="4" s="1"/>
  <c r="U328" i="3"/>
  <c r="J329" i="4" s="1"/>
  <c r="I328" i="3"/>
  <c r="F329" i="4" s="1"/>
  <c r="C331" i="4"/>
  <c r="AB330" i="3"/>
  <c r="E331" i="4" s="1"/>
  <c r="A332" i="4"/>
  <c r="C331" i="3"/>
  <c r="P331" i="3"/>
  <c r="E331" i="3"/>
  <c r="G331" i="3"/>
  <c r="S331" i="3"/>
  <c r="Y331" i="3" s="1"/>
  <c r="Z331" i="3" s="1"/>
  <c r="H331" i="3"/>
  <c r="J331" i="3"/>
  <c r="M331" i="3"/>
  <c r="V331" i="3"/>
  <c r="B332" i="3"/>
  <c r="B334" i="2"/>
  <c r="K335" i="2"/>
  <c r="D333" i="2"/>
  <c r="T332" i="2"/>
  <c r="C333" i="2"/>
  <c r="E332" i="2"/>
  <c r="F332" i="2"/>
  <c r="N331" i="3" s="1"/>
  <c r="J332" i="2"/>
  <c r="G332" i="2" s="1"/>
  <c r="T331" i="3" s="1"/>
  <c r="M333" i="2"/>
  <c r="T333" i="2" l="1"/>
  <c r="D334" i="2"/>
  <c r="K336" i="2"/>
  <c r="A333" i="4"/>
  <c r="M332" i="3"/>
  <c r="N332" i="3"/>
  <c r="C332" i="3"/>
  <c r="P332" i="3"/>
  <c r="E332" i="3"/>
  <c r="G332" i="3"/>
  <c r="J332" i="3"/>
  <c r="S332" i="3"/>
  <c r="Y332" i="3" s="1"/>
  <c r="Z332" i="3" s="1"/>
  <c r="V332" i="3"/>
  <c r="K332" i="4"/>
  <c r="N332" i="4" s="1"/>
  <c r="G332" i="4"/>
  <c r="L332" i="4" s="1"/>
  <c r="I332" i="4"/>
  <c r="M332" i="4" s="1"/>
  <c r="B333" i="3"/>
  <c r="B335" i="2"/>
  <c r="M334" i="2"/>
  <c r="J333" i="2"/>
  <c r="G333" i="2" s="1"/>
  <c r="T332" i="3" s="1"/>
  <c r="C332" i="4"/>
  <c r="AB331" i="3"/>
  <c r="E332" i="4" s="1"/>
  <c r="N334" i="2"/>
  <c r="H333" i="2"/>
  <c r="E333" i="2" s="1"/>
  <c r="H332" i="3" s="1"/>
  <c r="D331" i="4"/>
  <c r="AA331" i="3"/>
  <c r="I329" i="3"/>
  <c r="F330" i="4" s="1"/>
  <c r="U329" i="3"/>
  <c r="J330" i="4" s="1"/>
  <c r="O329" i="3"/>
  <c r="H330" i="4" s="1"/>
  <c r="L334" i="2"/>
  <c r="I333" i="2"/>
  <c r="F333" i="2"/>
  <c r="C334" i="2"/>
  <c r="F330" i="3"/>
  <c r="D331" i="3"/>
  <c r="D332" i="4" l="1"/>
  <c r="AA332" i="3"/>
  <c r="C333" i="4"/>
  <c r="AB332" i="3"/>
  <c r="E333" i="4" s="1"/>
  <c r="I330" i="3"/>
  <c r="F331" i="4" s="1"/>
  <c r="U330" i="3"/>
  <c r="J331" i="4" s="1"/>
  <c r="O330" i="3"/>
  <c r="H331" i="4" s="1"/>
  <c r="N335" i="2"/>
  <c r="H334" i="2"/>
  <c r="I333" i="4"/>
  <c r="M333" i="4" s="1"/>
  <c r="K333" i="4"/>
  <c r="N333" i="4" s="1"/>
  <c r="G333" i="4"/>
  <c r="L333" i="4" s="1"/>
  <c r="C335" i="2"/>
  <c r="E334" i="2"/>
  <c r="K337" i="2"/>
  <c r="F331" i="3"/>
  <c r="D332" i="3"/>
  <c r="G334" i="2"/>
  <c r="D335" i="2"/>
  <c r="T334" i="2"/>
  <c r="M335" i="2"/>
  <c r="J334" i="2"/>
  <c r="A334" i="4"/>
  <c r="H333" i="3"/>
  <c r="T333" i="3"/>
  <c r="J333" i="3"/>
  <c r="V333" i="3"/>
  <c r="M333" i="3"/>
  <c r="C333" i="3"/>
  <c r="E333" i="3"/>
  <c r="P333" i="3"/>
  <c r="S333" i="3"/>
  <c r="Y333" i="3" s="1"/>
  <c r="Z333" i="3" s="1"/>
  <c r="G333" i="3"/>
  <c r="L335" i="2"/>
  <c r="I334" i="2"/>
  <c r="F334" i="2" s="1"/>
  <c r="N333" i="3" s="1"/>
  <c r="B334" i="3"/>
  <c r="B336" i="2"/>
  <c r="F332" i="3" l="1"/>
  <c r="D333" i="3"/>
  <c r="D336" i="2"/>
  <c r="T335" i="2"/>
  <c r="C334" i="4"/>
  <c r="AB333" i="3"/>
  <c r="E334" i="4" s="1"/>
  <c r="O331" i="3"/>
  <c r="H332" i="4" s="1"/>
  <c r="I331" i="3"/>
  <c r="F332" i="4" s="1"/>
  <c r="U331" i="3"/>
  <c r="J332" i="4" s="1"/>
  <c r="N336" i="2"/>
  <c r="H335" i="2"/>
  <c r="E335" i="2" s="1"/>
  <c r="H334" i="3" s="1"/>
  <c r="K338" i="2"/>
  <c r="A335" i="4"/>
  <c r="E334" i="3"/>
  <c r="G334" i="3"/>
  <c r="S334" i="3"/>
  <c r="Y334" i="3" s="1"/>
  <c r="Z334" i="3" s="1"/>
  <c r="J334" i="3"/>
  <c r="V334" i="3"/>
  <c r="P334" i="3"/>
  <c r="C334" i="3"/>
  <c r="M334" i="3"/>
  <c r="C336" i="2"/>
  <c r="F335" i="2"/>
  <c r="N334" i="3" s="1"/>
  <c r="I335" i="2"/>
  <c r="L336" i="2"/>
  <c r="G334" i="4"/>
  <c r="L334" i="4" s="1"/>
  <c r="I334" i="4"/>
  <c r="M334" i="4" s="1"/>
  <c r="K334" i="4"/>
  <c r="N334" i="4" s="1"/>
  <c r="B335" i="3"/>
  <c r="B337" i="2"/>
  <c r="J335" i="2"/>
  <c r="G335" i="2" s="1"/>
  <c r="T334" i="3" s="1"/>
  <c r="M336" i="2"/>
  <c r="D333" i="4"/>
  <c r="AA333" i="3"/>
  <c r="N337" i="2" l="1"/>
  <c r="H336" i="2"/>
  <c r="D334" i="4"/>
  <c r="AA334" i="3"/>
  <c r="L337" i="2"/>
  <c r="I336" i="2"/>
  <c r="M337" i="2"/>
  <c r="J336" i="2"/>
  <c r="B336" i="3"/>
  <c r="B338" i="2"/>
  <c r="E336" i="2"/>
  <c r="F336" i="2"/>
  <c r="C337" i="2"/>
  <c r="G335" i="4"/>
  <c r="L335" i="4" s="1"/>
  <c r="I335" i="4"/>
  <c r="M335" i="4" s="1"/>
  <c r="K335" i="4"/>
  <c r="N335" i="4" s="1"/>
  <c r="T336" i="2"/>
  <c r="G336" i="2"/>
  <c r="D337" i="2"/>
  <c r="A336" i="4"/>
  <c r="N335" i="3"/>
  <c r="C335" i="3"/>
  <c r="P335" i="3"/>
  <c r="E335" i="3"/>
  <c r="G335" i="3"/>
  <c r="S335" i="3"/>
  <c r="Y335" i="3" s="1"/>
  <c r="Z335" i="3" s="1"/>
  <c r="H335" i="3"/>
  <c r="T335" i="3"/>
  <c r="J335" i="3"/>
  <c r="M335" i="3"/>
  <c r="V335" i="3"/>
  <c r="C335" i="4"/>
  <c r="AB334" i="3"/>
  <c r="E335" i="4" s="1"/>
  <c r="D334" i="3"/>
  <c r="F333" i="3"/>
  <c r="K339" i="2"/>
  <c r="O332" i="3"/>
  <c r="H333" i="4" s="1"/>
  <c r="I332" i="3"/>
  <c r="F333" i="4" s="1"/>
  <c r="U332" i="3"/>
  <c r="J333" i="4" s="1"/>
  <c r="G336" i="4" l="1"/>
  <c r="L336" i="4" s="1"/>
  <c r="I336" i="4"/>
  <c r="M336" i="4" s="1"/>
  <c r="K336" i="4"/>
  <c r="N336" i="4" s="1"/>
  <c r="D338" i="2"/>
  <c r="T337" i="2"/>
  <c r="B337" i="3"/>
  <c r="B339" i="2"/>
  <c r="C336" i="4"/>
  <c r="AB335" i="3"/>
  <c r="E336" i="4" s="1"/>
  <c r="A337" i="4"/>
  <c r="M336" i="3"/>
  <c r="N336" i="3"/>
  <c r="C336" i="3"/>
  <c r="P336" i="3"/>
  <c r="E336" i="3"/>
  <c r="G336" i="3"/>
  <c r="J336" i="3"/>
  <c r="S336" i="3"/>
  <c r="Y336" i="3" s="1"/>
  <c r="Z336" i="3" s="1"/>
  <c r="V336" i="3"/>
  <c r="M338" i="2"/>
  <c r="J337" i="2"/>
  <c r="G337" i="2" s="1"/>
  <c r="T336" i="3" s="1"/>
  <c r="L338" i="2"/>
  <c r="I337" i="2"/>
  <c r="D335" i="4"/>
  <c r="AA335" i="3"/>
  <c r="K340" i="2"/>
  <c r="I333" i="3"/>
  <c r="F334" i="4" s="1"/>
  <c r="U333" i="3"/>
  <c r="J334" i="4" s="1"/>
  <c r="O333" i="3"/>
  <c r="H334" i="4" s="1"/>
  <c r="F334" i="3"/>
  <c r="D335" i="3"/>
  <c r="F337" i="2"/>
  <c r="C338" i="2"/>
  <c r="E337" i="2"/>
  <c r="H336" i="3" s="1"/>
  <c r="N338" i="2"/>
  <c r="H337" i="2"/>
  <c r="B338" i="3" l="1"/>
  <c r="B340" i="2"/>
  <c r="A338" i="4"/>
  <c r="J337" i="3"/>
  <c r="V337" i="3"/>
  <c r="M337" i="3"/>
  <c r="C337" i="3"/>
  <c r="E337" i="3"/>
  <c r="G337" i="3"/>
  <c r="P337" i="3"/>
  <c r="S337" i="3"/>
  <c r="Y337" i="3" s="1"/>
  <c r="Z337" i="3" s="1"/>
  <c r="D339" i="2"/>
  <c r="T338" i="2"/>
  <c r="K341" i="2"/>
  <c r="D336" i="4"/>
  <c r="AA336" i="3"/>
  <c r="N339" i="2"/>
  <c r="H338" i="2"/>
  <c r="E338" i="2" s="1"/>
  <c r="H337" i="3" s="1"/>
  <c r="C337" i="4"/>
  <c r="AB336" i="3"/>
  <c r="E337" i="4" s="1"/>
  <c r="C339" i="2"/>
  <c r="I338" i="2"/>
  <c r="F338" i="2" s="1"/>
  <c r="N337" i="3" s="1"/>
  <c r="L339" i="2"/>
  <c r="F335" i="3"/>
  <c r="D336" i="3"/>
  <c r="J338" i="2"/>
  <c r="G338" i="2" s="1"/>
  <c r="T337" i="3" s="1"/>
  <c r="M339" i="2"/>
  <c r="G337" i="4"/>
  <c r="L337" i="4" s="1"/>
  <c r="I337" i="4"/>
  <c r="M337" i="4" s="1"/>
  <c r="K337" i="4"/>
  <c r="N337" i="4" s="1"/>
  <c r="I334" i="3"/>
  <c r="F335" i="4" s="1"/>
  <c r="U334" i="3"/>
  <c r="J335" i="4" s="1"/>
  <c r="O334" i="3"/>
  <c r="H335" i="4" s="1"/>
  <c r="M340" i="2" l="1"/>
  <c r="J339" i="2"/>
  <c r="N340" i="2"/>
  <c r="H339" i="2"/>
  <c r="E339" i="2" s="1"/>
  <c r="H338" i="3" s="1"/>
  <c r="D337" i="4"/>
  <c r="AA337" i="3"/>
  <c r="F336" i="3"/>
  <c r="D337" i="3"/>
  <c r="C338" i="4"/>
  <c r="AB337" i="3"/>
  <c r="E338" i="4" s="1"/>
  <c r="O335" i="3"/>
  <c r="H336" i="4" s="1"/>
  <c r="I335" i="3"/>
  <c r="F336" i="4" s="1"/>
  <c r="U335" i="3"/>
  <c r="J336" i="4" s="1"/>
  <c r="L340" i="2"/>
  <c r="I339" i="2"/>
  <c r="K342" i="2"/>
  <c r="T339" i="2"/>
  <c r="G339" i="2"/>
  <c r="D340" i="2"/>
  <c r="K338" i="4"/>
  <c r="N338" i="4" s="1"/>
  <c r="G338" i="4"/>
  <c r="L338" i="4" s="1"/>
  <c r="I338" i="4"/>
  <c r="M338" i="4" s="1"/>
  <c r="F339" i="2"/>
  <c r="C340" i="2"/>
  <c r="B339" i="3"/>
  <c r="B341" i="2"/>
  <c r="A339" i="4"/>
  <c r="E338" i="3"/>
  <c r="G338" i="3"/>
  <c r="S338" i="3"/>
  <c r="Y338" i="3" s="1"/>
  <c r="Z338" i="3" s="1"/>
  <c r="T338" i="3"/>
  <c r="J338" i="3"/>
  <c r="V338" i="3"/>
  <c r="N338" i="3"/>
  <c r="M338" i="3"/>
  <c r="P338" i="3"/>
  <c r="C338" i="3"/>
  <c r="I339" i="4" l="1"/>
  <c r="M339" i="4" s="1"/>
  <c r="K339" i="4"/>
  <c r="N339" i="4" s="1"/>
  <c r="G339" i="4"/>
  <c r="L339" i="4" s="1"/>
  <c r="D341" i="2"/>
  <c r="T340" i="2"/>
  <c r="F337" i="3"/>
  <c r="D338" i="3"/>
  <c r="B340" i="3"/>
  <c r="B342" i="2"/>
  <c r="O336" i="3"/>
  <c r="H337" i="4" s="1"/>
  <c r="I336" i="3"/>
  <c r="F337" i="4" s="1"/>
  <c r="U336" i="3"/>
  <c r="J337" i="4" s="1"/>
  <c r="A340" i="4"/>
  <c r="C339" i="3"/>
  <c r="P339" i="3"/>
  <c r="E339" i="3"/>
  <c r="G339" i="3"/>
  <c r="S339" i="3"/>
  <c r="Y339" i="3" s="1"/>
  <c r="Z339" i="3" s="1"/>
  <c r="M339" i="3"/>
  <c r="V339" i="3"/>
  <c r="J339" i="3"/>
  <c r="D338" i="4"/>
  <c r="AA338" i="3"/>
  <c r="C339" i="4"/>
  <c r="AB338" i="3"/>
  <c r="E339" i="4" s="1"/>
  <c r="C341" i="2"/>
  <c r="K343" i="2"/>
  <c r="N341" i="2"/>
  <c r="H340" i="2"/>
  <c r="E340" i="2" s="1"/>
  <c r="H339" i="3" s="1"/>
  <c r="L341" i="2"/>
  <c r="I340" i="2"/>
  <c r="F340" i="2" s="1"/>
  <c r="N339" i="3" s="1"/>
  <c r="M341" i="2"/>
  <c r="J340" i="2"/>
  <c r="G340" i="2" s="1"/>
  <c r="T339" i="3" s="1"/>
  <c r="F338" i="3" l="1"/>
  <c r="D339" i="3"/>
  <c r="I337" i="3"/>
  <c r="F338" i="4" s="1"/>
  <c r="U337" i="3"/>
  <c r="J338" i="4" s="1"/>
  <c r="O337" i="3"/>
  <c r="H338" i="4" s="1"/>
  <c r="K344" i="2"/>
  <c r="C342" i="2"/>
  <c r="F341" i="2"/>
  <c r="A341" i="4"/>
  <c r="M340" i="3"/>
  <c r="N340" i="3"/>
  <c r="C340" i="3"/>
  <c r="P340" i="3"/>
  <c r="E340" i="3"/>
  <c r="T340" i="3"/>
  <c r="V340" i="3"/>
  <c r="G340" i="3"/>
  <c r="S340" i="3"/>
  <c r="Y340" i="3" s="1"/>
  <c r="Z340" i="3" s="1"/>
  <c r="J340" i="3"/>
  <c r="D342" i="2"/>
  <c r="T341" i="2"/>
  <c r="G341" i="2"/>
  <c r="J341" i="2"/>
  <c r="M342" i="2"/>
  <c r="D339" i="4"/>
  <c r="AA339" i="3"/>
  <c r="G340" i="4"/>
  <c r="L340" i="4" s="1"/>
  <c r="I340" i="4"/>
  <c r="M340" i="4" s="1"/>
  <c r="K340" i="4"/>
  <c r="N340" i="4" s="1"/>
  <c r="C340" i="4"/>
  <c r="AB339" i="3"/>
  <c r="E340" i="4" s="1"/>
  <c r="I341" i="2"/>
  <c r="L342" i="2"/>
  <c r="N342" i="2"/>
  <c r="H341" i="2"/>
  <c r="E341" i="2" s="1"/>
  <c r="H340" i="3" s="1"/>
  <c r="B341" i="3"/>
  <c r="B343" i="2"/>
  <c r="C341" i="4" l="1"/>
  <c r="AB340" i="3"/>
  <c r="E341" i="4" s="1"/>
  <c r="T342" i="2"/>
  <c r="D343" i="2"/>
  <c r="G341" i="4"/>
  <c r="L341" i="4" s="1"/>
  <c r="I341" i="4"/>
  <c r="M341" i="4" s="1"/>
  <c r="K341" i="4"/>
  <c r="N341" i="4" s="1"/>
  <c r="E342" i="2"/>
  <c r="H341" i="3" s="1"/>
  <c r="C343" i="2"/>
  <c r="K345" i="2"/>
  <c r="A342" i="4"/>
  <c r="J341" i="3"/>
  <c r="V341" i="3"/>
  <c r="M341" i="3"/>
  <c r="C341" i="3"/>
  <c r="E341" i="3"/>
  <c r="G341" i="3"/>
  <c r="S341" i="3"/>
  <c r="Y341" i="3" s="1"/>
  <c r="Z341" i="3" s="1"/>
  <c r="P341" i="3"/>
  <c r="N343" i="2"/>
  <c r="H342" i="2"/>
  <c r="B342" i="3"/>
  <c r="B344" i="2"/>
  <c r="L343" i="2"/>
  <c r="I342" i="2"/>
  <c r="F342" i="2" s="1"/>
  <c r="N341" i="3" s="1"/>
  <c r="M343" i="2"/>
  <c r="J342" i="2"/>
  <c r="G342" i="2" s="1"/>
  <c r="T341" i="3" s="1"/>
  <c r="F339" i="3"/>
  <c r="D340" i="3"/>
  <c r="D340" i="4"/>
  <c r="AA340" i="3"/>
  <c r="I338" i="3"/>
  <c r="F339" i="4" s="1"/>
  <c r="U338" i="3"/>
  <c r="J339" i="4" s="1"/>
  <c r="O338" i="3"/>
  <c r="H339" i="4" s="1"/>
  <c r="M344" i="2" l="1"/>
  <c r="J343" i="2"/>
  <c r="C342" i="4"/>
  <c r="AB341" i="3"/>
  <c r="E342" i="4" s="1"/>
  <c r="L344" i="2"/>
  <c r="I343" i="2"/>
  <c r="B343" i="3"/>
  <c r="B345" i="2"/>
  <c r="A343" i="4"/>
  <c r="E342" i="3"/>
  <c r="J342" i="3"/>
  <c r="V342" i="3"/>
  <c r="C342" i="3"/>
  <c r="G342" i="3"/>
  <c r="M342" i="3"/>
  <c r="P342" i="3"/>
  <c r="S342" i="3"/>
  <c r="Y342" i="3" s="1"/>
  <c r="Z342" i="3" s="1"/>
  <c r="N344" i="2"/>
  <c r="H343" i="2"/>
  <c r="G342" i="4"/>
  <c r="L342" i="4" s="1"/>
  <c r="I342" i="4"/>
  <c r="M342" i="4" s="1"/>
  <c r="K342" i="4"/>
  <c r="N342" i="4" s="1"/>
  <c r="G343" i="2"/>
  <c r="T342" i="3" s="1"/>
  <c r="D344" i="2"/>
  <c r="T343" i="2"/>
  <c r="D341" i="4"/>
  <c r="AA341" i="3"/>
  <c r="K346" i="2"/>
  <c r="F343" i="2"/>
  <c r="N342" i="3" s="1"/>
  <c r="C344" i="2"/>
  <c r="E343" i="2"/>
  <c r="H342" i="3" s="1"/>
  <c r="F340" i="3"/>
  <c r="D341" i="3"/>
  <c r="O339" i="3"/>
  <c r="H340" i="4" s="1"/>
  <c r="I339" i="3"/>
  <c r="F340" i="4" s="1"/>
  <c r="U339" i="3"/>
  <c r="J340" i="4" s="1"/>
  <c r="K347" i="2" l="1"/>
  <c r="D342" i="4"/>
  <c r="AA342" i="3"/>
  <c r="N345" i="2"/>
  <c r="H344" i="2"/>
  <c r="G343" i="4"/>
  <c r="L343" i="4" s="1"/>
  <c r="I343" i="4"/>
  <c r="M343" i="4" s="1"/>
  <c r="K343" i="4"/>
  <c r="N343" i="4" s="1"/>
  <c r="B344" i="3"/>
  <c r="B346" i="2"/>
  <c r="A344" i="4"/>
  <c r="C343" i="3"/>
  <c r="G343" i="3"/>
  <c r="S343" i="3"/>
  <c r="Y343" i="3" s="1"/>
  <c r="Z343" i="3" s="1"/>
  <c r="P343" i="3"/>
  <c r="V343" i="3"/>
  <c r="E343" i="3"/>
  <c r="H343" i="3"/>
  <c r="M343" i="3"/>
  <c r="J343" i="3"/>
  <c r="D345" i="2"/>
  <c r="T344" i="2"/>
  <c r="C343" i="4"/>
  <c r="AB342" i="3"/>
  <c r="E343" i="4" s="1"/>
  <c r="I344" i="2"/>
  <c r="F344" i="2" s="1"/>
  <c r="N343" i="3" s="1"/>
  <c r="L345" i="2"/>
  <c r="D342" i="3"/>
  <c r="F341" i="3"/>
  <c r="O340" i="3"/>
  <c r="H341" i="4" s="1"/>
  <c r="U340" i="3"/>
  <c r="J341" i="4" s="1"/>
  <c r="I340" i="3"/>
  <c r="F341" i="4" s="1"/>
  <c r="C345" i="2"/>
  <c r="E344" i="2"/>
  <c r="J344" i="2"/>
  <c r="G344" i="2" s="1"/>
  <c r="T343" i="3" s="1"/>
  <c r="M345" i="2"/>
  <c r="I341" i="3" l="1"/>
  <c r="F342" i="4" s="1"/>
  <c r="U341" i="3"/>
  <c r="J342" i="4" s="1"/>
  <c r="O341" i="3"/>
  <c r="H342" i="4" s="1"/>
  <c r="F342" i="3"/>
  <c r="D343" i="3"/>
  <c r="L346" i="2"/>
  <c r="I345" i="2"/>
  <c r="M346" i="2"/>
  <c r="J345" i="2"/>
  <c r="G345" i="2" s="1"/>
  <c r="T344" i="3" s="1"/>
  <c r="N346" i="2"/>
  <c r="H345" i="2"/>
  <c r="D343" i="4"/>
  <c r="AA343" i="3"/>
  <c r="E345" i="2"/>
  <c r="F345" i="2"/>
  <c r="C346" i="2"/>
  <c r="T345" i="2"/>
  <c r="D346" i="2"/>
  <c r="K344" i="4"/>
  <c r="N344" i="4" s="1"/>
  <c r="G344" i="4"/>
  <c r="L344" i="4" s="1"/>
  <c r="I344" i="4"/>
  <c r="M344" i="4" s="1"/>
  <c r="B345" i="3"/>
  <c r="B347" i="2"/>
  <c r="C344" i="4"/>
  <c r="AB343" i="3"/>
  <c r="E344" i="4" s="1"/>
  <c r="A345" i="4"/>
  <c r="C344" i="3"/>
  <c r="P344" i="3"/>
  <c r="H344" i="3"/>
  <c r="J344" i="3"/>
  <c r="M344" i="3"/>
  <c r="N344" i="3"/>
  <c r="S344" i="3"/>
  <c r="Y344" i="3" s="1"/>
  <c r="Z344" i="3" s="1"/>
  <c r="V344" i="3"/>
  <c r="E344" i="3"/>
  <c r="G344" i="3"/>
  <c r="K348" i="2"/>
  <c r="N347" i="2" l="1"/>
  <c r="H346" i="2"/>
  <c r="M347" i="2"/>
  <c r="J346" i="2"/>
  <c r="K349" i="2"/>
  <c r="G346" i="2"/>
  <c r="D347" i="2"/>
  <c r="T346" i="2"/>
  <c r="C345" i="4"/>
  <c r="AB344" i="3"/>
  <c r="E345" i="4" s="1"/>
  <c r="I345" i="4"/>
  <c r="M345" i="4" s="1"/>
  <c r="K345" i="4"/>
  <c r="N345" i="4" s="1"/>
  <c r="G345" i="4"/>
  <c r="L345" i="4" s="1"/>
  <c r="L347" i="2"/>
  <c r="I346" i="2"/>
  <c r="F343" i="3"/>
  <c r="D344" i="3"/>
  <c r="F346" i="2"/>
  <c r="C347" i="2"/>
  <c r="E346" i="2"/>
  <c r="H345" i="3" s="1"/>
  <c r="I342" i="3"/>
  <c r="F343" i="4" s="1"/>
  <c r="U342" i="3"/>
  <c r="J343" i="4" s="1"/>
  <c r="O342" i="3"/>
  <c r="H343" i="4" s="1"/>
  <c r="B346" i="3"/>
  <c r="B348" i="2"/>
  <c r="A346" i="4"/>
  <c r="T345" i="3"/>
  <c r="M345" i="3"/>
  <c r="C345" i="3"/>
  <c r="E345" i="3"/>
  <c r="G345" i="3"/>
  <c r="J345" i="3"/>
  <c r="N345" i="3"/>
  <c r="P345" i="3"/>
  <c r="S345" i="3"/>
  <c r="Y345" i="3" s="1"/>
  <c r="Z345" i="3" s="1"/>
  <c r="V345" i="3"/>
  <c r="D344" i="4"/>
  <c r="AA344" i="3"/>
  <c r="C348" i="2" l="1"/>
  <c r="C346" i="4"/>
  <c r="AB345" i="3"/>
  <c r="E346" i="4" s="1"/>
  <c r="F344" i="3"/>
  <c r="D345" i="3"/>
  <c r="O343" i="3"/>
  <c r="H344" i="4" s="1"/>
  <c r="I343" i="3"/>
  <c r="F344" i="4" s="1"/>
  <c r="U343" i="3"/>
  <c r="J344" i="4" s="1"/>
  <c r="D348" i="2"/>
  <c r="T347" i="2"/>
  <c r="D345" i="4"/>
  <c r="AA345" i="3"/>
  <c r="G346" i="4"/>
  <c r="L346" i="4" s="1"/>
  <c r="I346" i="4"/>
  <c r="M346" i="4" s="1"/>
  <c r="K346" i="4"/>
  <c r="N346" i="4" s="1"/>
  <c r="I347" i="2"/>
  <c r="F347" i="2" s="1"/>
  <c r="N346" i="3" s="1"/>
  <c r="L348" i="2"/>
  <c r="B347" i="3"/>
  <c r="B349" i="2"/>
  <c r="K350" i="2"/>
  <c r="A347" i="4"/>
  <c r="E346" i="3"/>
  <c r="J346" i="3"/>
  <c r="V346" i="3"/>
  <c r="S346" i="3"/>
  <c r="Y346" i="3" s="1"/>
  <c r="Z346" i="3" s="1"/>
  <c r="C346" i="3"/>
  <c r="G346" i="3"/>
  <c r="M346" i="3"/>
  <c r="P346" i="3"/>
  <c r="J347" i="2"/>
  <c r="G347" i="2" s="1"/>
  <c r="T346" i="3" s="1"/>
  <c r="M348" i="2"/>
  <c r="N348" i="2"/>
  <c r="H347" i="2"/>
  <c r="E347" i="2" s="1"/>
  <c r="H346" i="3" s="1"/>
  <c r="A348" i="4" l="1"/>
  <c r="C347" i="3"/>
  <c r="G347" i="3"/>
  <c r="S347" i="3"/>
  <c r="Y347" i="3" s="1"/>
  <c r="Z347" i="3" s="1"/>
  <c r="M347" i="3"/>
  <c r="P347" i="3"/>
  <c r="V347" i="3"/>
  <c r="E347" i="3"/>
  <c r="J347" i="3"/>
  <c r="L349" i="2"/>
  <c r="I348" i="2"/>
  <c r="T348" i="2"/>
  <c r="D349" i="2"/>
  <c r="F345" i="3"/>
  <c r="D346" i="3"/>
  <c r="O344" i="3"/>
  <c r="H345" i="4" s="1"/>
  <c r="U344" i="3"/>
  <c r="J345" i="4" s="1"/>
  <c r="I344" i="3"/>
  <c r="F345" i="4" s="1"/>
  <c r="M349" i="2"/>
  <c r="J348" i="2"/>
  <c r="G348" i="2" s="1"/>
  <c r="T347" i="3" s="1"/>
  <c r="N349" i="2"/>
  <c r="H348" i="2"/>
  <c r="G347" i="4"/>
  <c r="L347" i="4" s="1"/>
  <c r="I347" i="4"/>
  <c r="M347" i="4" s="1"/>
  <c r="K347" i="4"/>
  <c r="N347" i="4" s="1"/>
  <c r="D346" i="4"/>
  <c r="AA346" i="3"/>
  <c r="K351" i="2"/>
  <c r="C347" i="4"/>
  <c r="AB346" i="3"/>
  <c r="E347" i="4" s="1"/>
  <c r="B348" i="3"/>
  <c r="B350" i="2"/>
  <c r="E348" i="2"/>
  <c r="H347" i="3" s="1"/>
  <c r="F348" i="2"/>
  <c r="N347" i="3" s="1"/>
  <c r="C349" i="2"/>
  <c r="K352" i="2" l="1"/>
  <c r="M350" i="2"/>
  <c r="J349" i="2"/>
  <c r="D347" i="4"/>
  <c r="AA347" i="3"/>
  <c r="C350" i="2"/>
  <c r="F346" i="3"/>
  <c r="D347" i="3"/>
  <c r="I345" i="3"/>
  <c r="F346" i="4" s="1"/>
  <c r="U345" i="3"/>
  <c r="J346" i="4" s="1"/>
  <c r="O345" i="3"/>
  <c r="H346" i="4" s="1"/>
  <c r="C348" i="4"/>
  <c r="AB347" i="3"/>
  <c r="E348" i="4" s="1"/>
  <c r="G349" i="2"/>
  <c r="D350" i="2"/>
  <c r="T349" i="2"/>
  <c r="A349" i="4"/>
  <c r="C348" i="3"/>
  <c r="P348" i="3"/>
  <c r="G348" i="3"/>
  <c r="J348" i="3"/>
  <c r="M348" i="3"/>
  <c r="T348" i="3"/>
  <c r="E348" i="3"/>
  <c r="V348" i="3"/>
  <c r="S348" i="3"/>
  <c r="Y348" i="3" s="1"/>
  <c r="Z348" i="3" s="1"/>
  <c r="B349" i="3"/>
  <c r="B351" i="2"/>
  <c r="N350" i="2"/>
  <c r="H349" i="2"/>
  <c r="E349" i="2" s="1"/>
  <c r="H348" i="3" s="1"/>
  <c r="L350" i="2"/>
  <c r="I349" i="2"/>
  <c r="F349" i="2" s="1"/>
  <c r="N348" i="3" s="1"/>
  <c r="G348" i="4"/>
  <c r="L348" i="4" s="1"/>
  <c r="I348" i="4"/>
  <c r="M348" i="4" s="1"/>
  <c r="K348" i="4"/>
  <c r="N348" i="4" s="1"/>
  <c r="F347" i="3" l="1"/>
  <c r="D348" i="3"/>
  <c r="I350" i="2"/>
  <c r="L351" i="2"/>
  <c r="N351" i="2"/>
  <c r="H350" i="2"/>
  <c r="I346" i="3"/>
  <c r="F347" i="4" s="1"/>
  <c r="U346" i="3"/>
  <c r="J347" i="4" s="1"/>
  <c r="O346" i="3"/>
  <c r="H347" i="4" s="1"/>
  <c r="B350" i="3"/>
  <c r="B352" i="2"/>
  <c r="A350" i="4"/>
  <c r="M349" i="3"/>
  <c r="C349" i="3"/>
  <c r="P349" i="3"/>
  <c r="S349" i="3"/>
  <c r="Y349" i="3" s="1"/>
  <c r="Z349" i="3" s="1"/>
  <c r="E349" i="3"/>
  <c r="V349" i="3"/>
  <c r="G349" i="3"/>
  <c r="J349" i="3"/>
  <c r="G349" i="4"/>
  <c r="L349" i="4" s="1"/>
  <c r="I349" i="4"/>
  <c r="M349" i="4" s="1"/>
  <c r="K349" i="4"/>
  <c r="N349" i="4" s="1"/>
  <c r="C351" i="2"/>
  <c r="E350" i="2"/>
  <c r="H349" i="3" s="1"/>
  <c r="F350" i="2"/>
  <c r="N349" i="3" s="1"/>
  <c r="D351" i="2"/>
  <c r="T350" i="2"/>
  <c r="G350" i="2"/>
  <c r="T349" i="3" s="1"/>
  <c r="D348" i="4"/>
  <c r="AA348" i="3"/>
  <c r="J350" i="2"/>
  <c r="M351" i="2"/>
  <c r="C349" i="4"/>
  <c r="AB348" i="3"/>
  <c r="E349" i="4" s="1"/>
  <c r="K353" i="2"/>
  <c r="K350" i="4" l="1"/>
  <c r="N350" i="4" s="1"/>
  <c r="G350" i="4"/>
  <c r="L350" i="4" s="1"/>
  <c r="I350" i="4"/>
  <c r="M350" i="4" s="1"/>
  <c r="B351" i="3"/>
  <c r="B353" i="2"/>
  <c r="A351" i="4"/>
  <c r="E350" i="3"/>
  <c r="V350" i="3"/>
  <c r="G350" i="3"/>
  <c r="J350" i="3"/>
  <c r="M350" i="3"/>
  <c r="C350" i="3"/>
  <c r="P350" i="3"/>
  <c r="S350" i="3"/>
  <c r="Y350" i="3" s="1"/>
  <c r="Z350" i="3" s="1"/>
  <c r="T351" i="2"/>
  <c r="D352" i="2"/>
  <c r="K354" i="2"/>
  <c r="E351" i="2"/>
  <c r="H350" i="3" s="1"/>
  <c r="F351" i="2"/>
  <c r="N350" i="3" s="1"/>
  <c r="C352" i="2"/>
  <c r="N352" i="2"/>
  <c r="H351" i="2"/>
  <c r="L352" i="2"/>
  <c r="I351" i="2"/>
  <c r="M352" i="2"/>
  <c r="J351" i="2"/>
  <c r="G351" i="2" s="1"/>
  <c r="T350" i="3" s="1"/>
  <c r="F348" i="3"/>
  <c r="D349" i="3"/>
  <c r="D349" i="4"/>
  <c r="AA349" i="3"/>
  <c r="C350" i="4"/>
  <c r="AB349" i="3"/>
  <c r="E350" i="4" s="1"/>
  <c r="O347" i="3"/>
  <c r="H348" i="4" s="1"/>
  <c r="I347" i="3"/>
  <c r="F348" i="4" s="1"/>
  <c r="U347" i="3"/>
  <c r="J348" i="4" s="1"/>
  <c r="F349" i="3" l="1"/>
  <c r="D350" i="3"/>
  <c r="O348" i="3"/>
  <c r="H349" i="4" s="1"/>
  <c r="I348" i="3"/>
  <c r="F349" i="4" s="1"/>
  <c r="U348" i="3"/>
  <c r="J349" i="4" s="1"/>
  <c r="D353" i="2"/>
  <c r="T352" i="2"/>
  <c r="M353" i="2"/>
  <c r="J352" i="2"/>
  <c r="G352" i="2" s="1"/>
  <c r="T351" i="3" s="1"/>
  <c r="I351" i="4"/>
  <c r="M351" i="4" s="1"/>
  <c r="K351" i="4"/>
  <c r="N351" i="4" s="1"/>
  <c r="G351" i="4"/>
  <c r="L351" i="4" s="1"/>
  <c r="B352" i="3"/>
  <c r="B354" i="2"/>
  <c r="L353" i="2"/>
  <c r="I352" i="2"/>
  <c r="A352" i="4"/>
  <c r="C351" i="3"/>
  <c r="M351" i="3"/>
  <c r="P351" i="3"/>
  <c r="S351" i="3"/>
  <c r="Y351" i="3" s="1"/>
  <c r="Z351" i="3" s="1"/>
  <c r="G351" i="3"/>
  <c r="J351" i="3"/>
  <c r="V351" i="3"/>
  <c r="E351" i="3"/>
  <c r="N353" i="2"/>
  <c r="H352" i="2"/>
  <c r="E352" i="2" s="1"/>
  <c r="H351" i="3" s="1"/>
  <c r="F352" i="2"/>
  <c r="N351" i="3" s="1"/>
  <c r="C353" i="2"/>
  <c r="C351" i="4"/>
  <c r="AB350" i="3"/>
  <c r="E351" i="4" s="1"/>
  <c r="D350" i="4"/>
  <c r="AA350" i="3"/>
  <c r="K355" i="2"/>
  <c r="C354" i="2" l="1"/>
  <c r="N354" i="2"/>
  <c r="H353" i="2"/>
  <c r="E353" i="2" s="1"/>
  <c r="H352" i="3" s="1"/>
  <c r="G352" i="4"/>
  <c r="L352" i="4" s="1"/>
  <c r="I352" i="4"/>
  <c r="M352" i="4" s="1"/>
  <c r="K352" i="4"/>
  <c r="N352" i="4" s="1"/>
  <c r="J353" i="2"/>
  <c r="M354" i="2"/>
  <c r="I353" i="2"/>
  <c r="F353" i="2" s="1"/>
  <c r="N352" i="3" s="1"/>
  <c r="L354" i="2"/>
  <c r="D354" i="2"/>
  <c r="T353" i="2"/>
  <c r="G353" i="2"/>
  <c r="C352" i="4"/>
  <c r="AB351" i="3"/>
  <c r="E352" i="4" s="1"/>
  <c r="K356" i="2"/>
  <c r="B353" i="3"/>
  <c r="B355" i="2"/>
  <c r="D351" i="4"/>
  <c r="AA351" i="3"/>
  <c r="A353" i="4"/>
  <c r="C352" i="3"/>
  <c r="P352" i="3"/>
  <c r="S352" i="3"/>
  <c r="Y352" i="3" s="1"/>
  <c r="Z352" i="3" s="1"/>
  <c r="T352" i="3"/>
  <c r="E352" i="3"/>
  <c r="G352" i="3"/>
  <c r="V352" i="3"/>
  <c r="J352" i="3"/>
  <c r="M352" i="3"/>
  <c r="F350" i="3"/>
  <c r="D351" i="3"/>
  <c r="I349" i="3"/>
  <c r="F350" i="4" s="1"/>
  <c r="U349" i="3"/>
  <c r="J350" i="4" s="1"/>
  <c r="O349" i="3"/>
  <c r="H350" i="4" s="1"/>
  <c r="B354" i="3" l="1"/>
  <c r="B356" i="2"/>
  <c r="K357" i="2"/>
  <c r="F351" i="3"/>
  <c r="D352" i="3"/>
  <c r="T354" i="2"/>
  <c r="D355" i="2"/>
  <c r="N355" i="2"/>
  <c r="H354" i="2"/>
  <c r="E354" i="2" s="1"/>
  <c r="H353" i="3" s="1"/>
  <c r="I350" i="3"/>
  <c r="F351" i="4" s="1"/>
  <c r="U350" i="3"/>
  <c r="J351" i="4" s="1"/>
  <c r="O350" i="3"/>
  <c r="H351" i="4" s="1"/>
  <c r="G353" i="4"/>
  <c r="L353" i="4" s="1"/>
  <c r="I353" i="4"/>
  <c r="M353" i="4" s="1"/>
  <c r="K353" i="4"/>
  <c r="N353" i="4" s="1"/>
  <c r="L355" i="2"/>
  <c r="I354" i="2"/>
  <c r="F354" i="2" s="1"/>
  <c r="N353" i="3" s="1"/>
  <c r="A354" i="4"/>
  <c r="C353" i="3"/>
  <c r="E353" i="3"/>
  <c r="V353" i="3"/>
  <c r="G353" i="3"/>
  <c r="J353" i="3"/>
  <c r="M353" i="3"/>
  <c r="S353" i="3"/>
  <c r="Y353" i="3" s="1"/>
  <c r="Z353" i="3" s="1"/>
  <c r="P353" i="3"/>
  <c r="C353" i="4"/>
  <c r="AB352" i="3"/>
  <c r="E353" i="4" s="1"/>
  <c r="D352" i="4"/>
  <c r="AA352" i="3"/>
  <c r="M355" i="2"/>
  <c r="J354" i="2"/>
  <c r="G354" i="2" s="1"/>
  <c r="T353" i="3" s="1"/>
  <c r="C355" i="2"/>
  <c r="N356" i="2" l="1"/>
  <c r="H355" i="2"/>
  <c r="L356" i="2"/>
  <c r="I355" i="2"/>
  <c r="D356" i="2"/>
  <c r="T355" i="2"/>
  <c r="C354" i="4"/>
  <c r="AB353" i="3"/>
  <c r="E354" i="4" s="1"/>
  <c r="F355" i="2"/>
  <c r="C356" i="2"/>
  <c r="E355" i="2"/>
  <c r="H354" i="3" s="1"/>
  <c r="F352" i="3"/>
  <c r="D353" i="3"/>
  <c r="O351" i="3"/>
  <c r="H352" i="4" s="1"/>
  <c r="I351" i="3"/>
  <c r="F352" i="4" s="1"/>
  <c r="U351" i="3"/>
  <c r="J352" i="4" s="1"/>
  <c r="G354" i="4"/>
  <c r="L354" i="4" s="1"/>
  <c r="I354" i="4"/>
  <c r="M354" i="4" s="1"/>
  <c r="K354" i="4"/>
  <c r="N354" i="4" s="1"/>
  <c r="K358" i="2"/>
  <c r="M356" i="2"/>
  <c r="J355" i="2"/>
  <c r="G355" i="2" s="1"/>
  <c r="T354" i="3" s="1"/>
  <c r="B355" i="3"/>
  <c r="B357" i="2"/>
  <c r="D353" i="4"/>
  <c r="AA353" i="3"/>
  <c r="A355" i="4"/>
  <c r="J354" i="3"/>
  <c r="M354" i="3"/>
  <c r="N354" i="3"/>
  <c r="P354" i="3"/>
  <c r="C354" i="3"/>
  <c r="E354" i="3"/>
  <c r="V354" i="3"/>
  <c r="G354" i="3"/>
  <c r="S354" i="3"/>
  <c r="Y354" i="3" s="1"/>
  <c r="Z354" i="3" s="1"/>
  <c r="C357" i="2" l="1"/>
  <c r="C355" i="4"/>
  <c r="AB354" i="3"/>
  <c r="E355" i="4" s="1"/>
  <c r="G355" i="4"/>
  <c r="L355" i="4" s="1"/>
  <c r="I355" i="4"/>
  <c r="M355" i="4" s="1"/>
  <c r="K355" i="4"/>
  <c r="N355" i="4" s="1"/>
  <c r="D354" i="4"/>
  <c r="AA354" i="3"/>
  <c r="K359" i="2"/>
  <c r="D357" i="2"/>
  <c r="T356" i="2"/>
  <c r="A356" i="4"/>
  <c r="C355" i="3"/>
  <c r="M355" i="3"/>
  <c r="P355" i="3"/>
  <c r="E355" i="3"/>
  <c r="S355" i="3"/>
  <c r="Y355" i="3" s="1"/>
  <c r="Z355" i="3" s="1"/>
  <c r="G355" i="3"/>
  <c r="V355" i="3"/>
  <c r="J355" i="3"/>
  <c r="B356" i="3"/>
  <c r="B358" i="2"/>
  <c r="I356" i="2"/>
  <c r="F356" i="2" s="1"/>
  <c r="N355" i="3" s="1"/>
  <c r="L357" i="2"/>
  <c r="J356" i="2"/>
  <c r="G356" i="2" s="1"/>
  <c r="T355" i="3" s="1"/>
  <c r="M357" i="2"/>
  <c r="F353" i="3"/>
  <c r="D354" i="3"/>
  <c r="O352" i="3"/>
  <c r="H353" i="4" s="1"/>
  <c r="U352" i="3"/>
  <c r="J353" i="4" s="1"/>
  <c r="I352" i="3"/>
  <c r="F353" i="4" s="1"/>
  <c r="N357" i="2"/>
  <c r="H356" i="2"/>
  <c r="E356" i="2" s="1"/>
  <c r="H355" i="3" s="1"/>
  <c r="C356" i="4" l="1"/>
  <c r="AB355" i="3"/>
  <c r="E356" i="4" s="1"/>
  <c r="L358" i="2"/>
  <c r="I357" i="2"/>
  <c r="B357" i="3"/>
  <c r="B359" i="2"/>
  <c r="M358" i="2"/>
  <c r="J357" i="2"/>
  <c r="A357" i="4"/>
  <c r="M356" i="3"/>
  <c r="P356" i="3"/>
  <c r="C356" i="3"/>
  <c r="S356" i="3"/>
  <c r="Y356" i="3" s="1"/>
  <c r="Z356" i="3" s="1"/>
  <c r="E356" i="3"/>
  <c r="G356" i="3"/>
  <c r="J356" i="3"/>
  <c r="V356" i="3"/>
  <c r="K356" i="4"/>
  <c r="N356" i="4" s="1"/>
  <c r="G356" i="4"/>
  <c r="L356" i="4" s="1"/>
  <c r="I356" i="4"/>
  <c r="M356" i="4" s="1"/>
  <c r="T357" i="2"/>
  <c r="G357" i="2"/>
  <c r="T356" i="3" s="1"/>
  <c r="D358" i="2"/>
  <c r="F354" i="3"/>
  <c r="D355" i="3"/>
  <c r="K360" i="2"/>
  <c r="N358" i="2"/>
  <c r="H357" i="2"/>
  <c r="E357" i="2" s="1"/>
  <c r="H356" i="3" s="1"/>
  <c r="I353" i="3"/>
  <c r="F354" i="4" s="1"/>
  <c r="U353" i="3"/>
  <c r="J354" i="4" s="1"/>
  <c r="O353" i="3"/>
  <c r="H354" i="4" s="1"/>
  <c r="D355" i="4"/>
  <c r="AA355" i="3"/>
  <c r="F357" i="2"/>
  <c r="N356" i="3" s="1"/>
  <c r="C358" i="2"/>
  <c r="C357" i="4" l="1"/>
  <c r="AB356" i="3"/>
  <c r="E357" i="4" s="1"/>
  <c r="K361" i="2"/>
  <c r="I357" i="4"/>
  <c r="M357" i="4" s="1"/>
  <c r="K357" i="4"/>
  <c r="N357" i="4" s="1"/>
  <c r="G357" i="4"/>
  <c r="L357" i="4" s="1"/>
  <c r="C359" i="2"/>
  <c r="D356" i="3"/>
  <c r="F355" i="3"/>
  <c r="M359" i="2"/>
  <c r="J358" i="2"/>
  <c r="G358" i="2" s="1"/>
  <c r="T357" i="3" s="1"/>
  <c r="N359" i="2"/>
  <c r="H358" i="2"/>
  <c r="E358" i="2" s="1"/>
  <c r="H357" i="3" s="1"/>
  <c r="I354" i="3"/>
  <c r="F355" i="4" s="1"/>
  <c r="O354" i="3"/>
  <c r="H355" i="4" s="1"/>
  <c r="U354" i="3"/>
  <c r="J355" i="4" s="1"/>
  <c r="B358" i="3"/>
  <c r="B360" i="2"/>
  <c r="D359" i="2"/>
  <c r="T358" i="2"/>
  <c r="A358" i="4"/>
  <c r="C357" i="3"/>
  <c r="P357" i="3"/>
  <c r="E357" i="3"/>
  <c r="S357" i="3"/>
  <c r="Y357" i="3" s="1"/>
  <c r="Z357" i="3" s="1"/>
  <c r="G357" i="3"/>
  <c r="V357" i="3"/>
  <c r="M357" i="3"/>
  <c r="J357" i="3"/>
  <c r="D356" i="4"/>
  <c r="AA356" i="3"/>
  <c r="L359" i="2"/>
  <c r="I358" i="2"/>
  <c r="F358" i="2" s="1"/>
  <c r="N357" i="3" s="1"/>
  <c r="B359" i="3" l="1"/>
  <c r="B361" i="2"/>
  <c r="C360" i="2"/>
  <c r="A359" i="4"/>
  <c r="P358" i="3"/>
  <c r="C358" i="3"/>
  <c r="S358" i="3"/>
  <c r="Y358" i="3" s="1"/>
  <c r="Z358" i="3" s="1"/>
  <c r="E358" i="3"/>
  <c r="G358" i="3"/>
  <c r="V358" i="3"/>
  <c r="J358" i="3"/>
  <c r="M358" i="3"/>
  <c r="N360" i="2"/>
  <c r="H359" i="2"/>
  <c r="E359" i="2" s="1"/>
  <c r="H358" i="3" s="1"/>
  <c r="D357" i="4"/>
  <c r="AA357" i="3"/>
  <c r="G358" i="4"/>
  <c r="L358" i="4" s="1"/>
  <c r="I358" i="4"/>
  <c r="M358" i="4" s="1"/>
  <c r="K358" i="4"/>
  <c r="N358" i="4" s="1"/>
  <c r="J359" i="2"/>
  <c r="M360" i="2"/>
  <c r="I359" i="2"/>
  <c r="F359" i="2" s="1"/>
  <c r="N358" i="3" s="1"/>
  <c r="L360" i="2"/>
  <c r="O355" i="3"/>
  <c r="H356" i="4" s="1"/>
  <c r="I355" i="3"/>
  <c r="F356" i="4" s="1"/>
  <c r="U355" i="3"/>
  <c r="J356" i="4" s="1"/>
  <c r="K362" i="2"/>
  <c r="C358" i="4"/>
  <c r="AB357" i="3"/>
  <c r="E358" i="4" s="1"/>
  <c r="D360" i="2"/>
  <c r="T359" i="2"/>
  <c r="G359" i="2"/>
  <c r="T358" i="3" s="1"/>
  <c r="F356" i="3"/>
  <c r="D357" i="3"/>
  <c r="D358" i="4" l="1"/>
  <c r="AA358" i="3"/>
  <c r="D358" i="3"/>
  <c r="F357" i="3"/>
  <c r="K363" i="2"/>
  <c r="L361" i="2"/>
  <c r="I360" i="2"/>
  <c r="O356" i="3"/>
  <c r="H357" i="4" s="1"/>
  <c r="U356" i="3"/>
  <c r="J357" i="4" s="1"/>
  <c r="I356" i="3"/>
  <c r="F357" i="4" s="1"/>
  <c r="N361" i="2"/>
  <c r="H360" i="2"/>
  <c r="I359" i="4"/>
  <c r="M359" i="4" s="1"/>
  <c r="G359" i="4"/>
  <c r="L359" i="4" s="1"/>
  <c r="K359" i="4"/>
  <c r="N359" i="4" s="1"/>
  <c r="M361" i="2"/>
  <c r="J360" i="2"/>
  <c r="G360" i="2" s="1"/>
  <c r="T359" i="3" s="1"/>
  <c r="C359" i="4"/>
  <c r="AB358" i="3"/>
  <c r="E359" i="4" s="1"/>
  <c r="T360" i="2"/>
  <c r="D361" i="2"/>
  <c r="E360" i="2"/>
  <c r="F360" i="2"/>
  <c r="C361" i="2"/>
  <c r="B360" i="3"/>
  <c r="B362" i="2"/>
  <c r="A360" i="4"/>
  <c r="C359" i="3"/>
  <c r="E359" i="3"/>
  <c r="S359" i="3"/>
  <c r="Y359" i="3" s="1"/>
  <c r="Z359" i="3" s="1"/>
  <c r="G359" i="3"/>
  <c r="V359" i="3"/>
  <c r="H359" i="3"/>
  <c r="J359" i="3"/>
  <c r="N359" i="3"/>
  <c r="M359" i="3"/>
  <c r="P359" i="3"/>
  <c r="N362" i="2" l="1"/>
  <c r="H361" i="2"/>
  <c r="G360" i="4"/>
  <c r="L360" i="4" s="1"/>
  <c r="I360" i="4"/>
  <c r="M360" i="4" s="1"/>
  <c r="K360" i="4"/>
  <c r="N360" i="4" s="1"/>
  <c r="M362" i="2"/>
  <c r="J361" i="2"/>
  <c r="B361" i="3"/>
  <c r="B363" i="2"/>
  <c r="L362" i="2"/>
  <c r="I361" i="2"/>
  <c r="C360" i="4"/>
  <c r="AB359" i="3"/>
  <c r="E360" i="4" s="1"/>
  <c r="A361" i="4"/>
  <c r="E360" i="3"/>
  <c r="T360" i="3"/>
  <c r="G360" i="3"/>
  <c r="V360" i="3"/>
  <c r="J360" i="3"/>
  <c r="M360" i="3"/>
  <c r="P360" i="3"/>
  <c r="S360" i="3"/>
  <c r="Y360" i="3" s="1"/>
  <c r="Z360" i="3" s="1"/>
  <c r="C360" i="3"/>
  <c r="F361" i="2"/>
  <c r="N360" i="3" s="1"/>
  <c r="C362" i="2"/>
  <c r="E361" i="2"/>
  <c r="H360" i="3" s="1"/>
  <c r="K364" i="2"/>
  <c r="I357" i="3"/>
  <c r="F358" i="4" s="1"/>
  <c r="U357" i="3"/>
  <c r="J358" i="4" s="1"/>
  <c r="O357" i="3"/>
  <c r="H358" i="4" s="1"/>
  <c r="F358" i="3"/>
  <c r="D359" i="3"/>
  <c r="G361" i="2"/>
  <c r="D362" i="2"/>
  <c r="T361" i="2"/>
  <c r="D359" i="4"/>
  <c r="AA359" i="3"/>
  <c r="C361" i="4" l="1"/>
  <c r="AB360" i="3"/>
  <c r="E361" i="4" s="1"/>
  <c r="B362" i="3"/>
  <c r="B364" i="2"/>
  <c r="A362" i="4"/>
  <c r="C361" i="3"/>
  <c r="G361" i="3"/>
  <c r="V361" i="3"/>
  <c r="J361" i="3"/>
  <c r="M361" i="3"/>
  <c r="S361" i="3"/>
  <c r="Y361" i="3" s="1"/>
  <c r="Z361" i="3" s="1"/>
  <c r="E361" i="3"/>
  <c r="P361" i="3"/>
  <c r="J362" i="2"/>
  <c r="M363" i="2"/>
  <c r="K365" i="2"/>
  <c r="C363" i="2"/>
  <c r="E362" i="2"/>
  <c r="H361" i="3" s="1"/>
  <c r="G361" i="4"/>
  <c r="L361" i="4" s="1"/>
  <c r="I361" i="4"/>
  <c r="M361" i="4" s="1"/>
  <c r="K361" i="4"/>
  <c r="N361" i="4" s="1"/>
  <c r="D363" i="2"/>
  <c r="T362" i="2"/>
  <c r="G362" i="2"/>
  <c r="T361" i="3" s="1"/>
  <c r="D360" i="4"/>
  <c r="AA360" i="3"/>
  <c r="F359" i="3"/>
  <c r="D360" i="3"/>
  <c r="U358" i="3"/>
  <c r="J359" i="4" s="1"/>
  <c r="I358" i="3"/>
  <c r="F359" i="4" s="1"/>
  <c r="O358" i="3"/>
  <c r="H359" i="4" s="1"/>
  <c r="I362" i="2"/>
  <c r="F362" i="2" s="1"/>
  <c r="N361" i="3" s="1"/>
  <c r="L363" i="2"/>
  <c r="N363" i="2"/>
  <c r="H362" i="2"/>
  <c r="C362" i="4" l="1"/>
  <c r="AB361" i="3"/>
  <c r="E362" i="4" s="1"/>
  <c r="O359" i="3"/>
  <c r="H360" i="4" s="1"/>
  <c r="I359" i="3"/>
  <c r="F360" i="4" s="1"/>
  <c r="U359" i="3"/>
  <c r="J360" i="4" s="1"/>
  <c r="D361" i="4"/>
  <c r="AA361" i="3"/>
  <c r="C364" i="2"/>
  <c r="K366" i="2"/>
  <c r="F360" i="3"/>
  <c r="D361" i="3"/>
  <c r="N364" i="2"/>
  <c r="H363" i="2"/>
  <c r="E363" i="2" s="1"/>
  <c r="H362" i="3" s="1"/>
  <c r="T363" i="2"/>
  <c r="D364" i="2"/>
  <c r="M364" i="2"/>
  <c r="J363" i="2"/>
  <c r="G363" i="2" s="1"/>
  <c r="T362" i="3" s="1"/>
  <c r="L364" i="2"/>
  <c r="I363" i="2"/>
  <c r="F363" i="2" s="1"/>
  <c r="N362" i="3" s="1"/>
  <c r="K362" i="4"/>
  <c r="N362" i="4" s="1"/>
  <c r="G362" i="4"/>
  <c r="L362" i="4" s="1"/>
  <c r="I362" i="4"/>
  <c r="M362" i="4" s="1"/>
  <c r="B363" i="3"/>
  <c r="B365" i="2"/>
  <c r="A363" i="4"/>
  <c r="G362" i="3"/>
  <c r="S362" i="3"/>
  <c r="Y362" i="3" s="1"/>
  <c r="Z362" i="3" s="1"/>
  <c r="J362" i="3"/>
  <c r="V362" i="3"/>
  <c r="M362" i="3"/>
  <c r="C362" i="3"/>
  <c r="E362" i="3"/>
  <c r="P362" i="3"/>
  <c r="L365" i="2" l="1"/>
  <c r="I364" i="2"/>
  <c r="F364" i="2" s="1"/>
  <c r="N363" i="3" s="1"/>
  <c r="C365" i="2"/>
  <c r="I363" i="4"/>
  <c r="M363" i="4" s="1"/>
  <c r="G363" i="4"/>
  <c r="L363" i="4" s="1"/>
  <c r="K363" i="4"/>
  <c r="N363" i="4" s="1"/>
  <c r="M365" i="2"/>
  <c r="J364" i="2"/>
  <c r="B364" i="3"/>
  <c r="B366" i="2"/>
  <c r="G364" i="2"/>
  <c r="D365" i="2"/>
  <c r="T364" i="2"/>
  <c r="D362" i="4"/>
  <c r="AA362" i="3"/>
  <c r="K367" i="2"/>
  <c r="A364" i="4"/>
  <c r="C363" i="3"/>
  <c r="P363" i="3"/>
  <c r="E363" i="3"/>
  <c r="G363" i="3"/>
  <c r="S363" i="3"/>
  <c r="Y363" i="3" s="1"/>
  <c r="Z363" i="3" s="1"/>
  <c r="T363" i="3"/>
  <c r="J363" i="3"/>
  <c r="V363" i="3"/>
  <c r="M363" i="3"/>
  <c r="C363" i="4"/>
  <c r="AB362" i="3"/>
  <c r="E363" i="4" s="1"/>
  <c r="N365" i="2"/>
  <c r="H364" i="2"/>
  <c r="E364" i="2" s="1"/>
  <c r="H363" i="3" s="1"/>
  <c r="F361" i="3"/>
  <c r="D362" i="3"/>
  <c r="U360" i="3"/>
  <c r="J361" i="4" s="1"/>
  <c r="I360" i="3"/>
  <c r="F361" i="4" s="1"/>
  <c r="O360" i="3"/>
  <c r="H361" i="4" s="1"/>
  <c r="J365" i="2" l="1"/>
  <c r="M366" i="2"/>
  <c r="G364" i="4"/>
  <c r="L364" i="4" s="1"/>
  <c r="I364" i="4"/>
  <c r="M364" i="4" s="1"/>
  <c r="K364" i="4"/>
  <c r="N364" i="4" s="1"/>
  <c r="C364" i="4"/>
  <c r="AB363" i="3"/>
  <c r="E364" i="4" s="1"/>
  <c r="K368" i="2"/>
  <c r="D363" i="4"/>
  <c r="AA363" i="3"/>
  <c r="D366" i="2"/>
  <c r="T365" i="2"/>
  <c r="G365" i="2"/>
  <c r="F362" i="3"/>
  <c r="D363" i="3"/>
  <c r="C366" i="2"/>
  <c r="B365" i="3"/>
  <c r="B367" i="2"/>
  <c r="O361" i="3"/>
  <c r="H362" i="4" s="1"/>
  <c r="U361" i="3"/>
  <c r="J362" i="4" s="1"/>
  <c r="I361" i="3"/>
  <c r="F362" i="4" s="1"/>
  <c r="A365" i="4"/>
  <c r="M364" i="3"/>
  <c r="C364" i="3"/>
  <c r="P364" i="3"/>
  <c r="E364" i="3"/>
  <c r="G364" i="3"/>
  <c r="S364" i="3"/>
  <c r="Y364" i="3" s="1"/>
  <c r="Z364" i="3" s="1"/>
  <c r="T364" i="3"/>
  <c r="V364" i="3"/>
  <c r="J364" i="3"/>
  <c r="N366" i="2"/>
  <c r="H365" i="2"/>
  <c r="E365" i="2" s="1"/>
  <c r="H364" i="3" s="1"/>
  <c r="I365" i="2"/>
  <c r="F365" i="2" s="1"/>
  <c r="N364" i="3" s="1"/>
  <c r="L366" i="2"/>
  <c r="A366" i="4" l="1"/>
  <c r="J365" i="3"/>
  <c r="V365" i="3"/>
  <c r="M365" i="3"/>
  <c r="C365" i="3"/>
  <c r="P365" i="3"/>
  <c r="E365" i="3"/>
  <c r="G365" i="3"/>
  <c r="S365" i="3"/>
  <c r="Y365" i="3" s="1"/>
  <c r="Z365" i="3" s="1"/>
  <c r="K369" i="2"/>
  <c r="B366" i="3"/>
  <c r="B368" i="2"/>
  <c r="E366" i="2"/>
  <c r="H365" i="3" s="1"/>
  <c r="C367" i="2"/>
  <c r="L367" i="2"/>
  <c r="I366" i="2"/>
  <c r="F366" i="2" s="1"/>
  <c r="N365" i="3" s="1"/>
  <c r="F363" i="3"/>
  <c r="D364" i="3"/>
  <c r="I362" i="3"/>
  <c r="F363" i="4" s="1"/>
  <c r="U362" i="3"/>
  <c r="J363" i="4" s="1"/>
  <c r="O362" i="3"/>
  <c r="H363" i="4" s="1"/>
  <c r="C365" i="4"/>
  <c r="AB364" i="3"/>
  <c r="E365" i="4" s="1"/>
  <c r="N367" i="2"/>
  <c r="H366" i="2"/>
  <c r="G365" i="4"/>
  <c r="L365" i="4" s="1"/>
  <c r="I365" i="4"/>
  <c r="M365" i="4" s="1"/>
  <c r="K365" i="4"/>
  <c r="N365" i="4" s="1"/>
  <c r="T366" i="2"/>
  <c r="G366" i="2"/>
  <c r="T365" i="3" s="1"/>
  <c r="D367" i="2"/>
  <c r="D364" i="4"/>
  <c r="AA364" i="3"/>
  <c r="M367" i="2"/>
  <c r="J366" i="2"/>
  <c r="F364" i="3" l="1"/>
  <c r="D365" i="3"/>
  <c r="O363" i="3"/>
  <c r="H364" i="4" s="1"/>
  <c r="I363" i="3"/>
  <c r="F364" i="4" s="1"/>
  <c r="U363" i="3"/>
  <c r="J364" i="4" s="1"/>
  <c r="L368" i="2"/>
  <c r="I367" i="2"/>
  <c r="F367" i="2"/>
  <c r="C368" i="2"/>
  <c r="M368" i="2"/>
  <c r="J367" i="2"/>
  <c r="G367" i="2" s="1"/>
  <c r="T366" i="3" s="1"/>
  <c r="D365" i="4"/>
  <c r="AA365" i="3"/>
  <c r="N368" i="2"/>
  <c r="H367" i="2"/>
  <c r="E367" i="2" s="1"/>
  <c r="H366" i="3" s="1"/>
  <c r="B367" i="3"/>
  <c r="B369" i="2"/>
  <c r="C366" i="4"/>
  <c r="AB365" i="3"/>
  <c r="E366" i="4" s="1"/>
  <c r="D368" i="2"/>
  <c r="T367" i="2"/>
  <c r="A367" i="4"/>
  <c r="G366" i="3"/>
  <c r="S366" i="3"/>
  <c r="Y366" i="3" s="1"/>
  <c r="Z366" i="3" s="1"/>
  <c r="J366" i="3"/>
  <c r="V366" i="3"/>
  <c r="M366" i="3"/>
  <c r="C366" i="3"/>
  <c r="E366" i="3"/>
  <c r="N366" i="3"/>
  <c r="P366" i="3"/>
  <c r="K370" i="2"/>
  <c r="G366" i="4"/>
  <c r="L366" i="4" s="1"/>
  <c r="I366" i="4"/>
  <c r="M366" i="4" s="1"/>
  <c r="K366" i="4"/>
  <c r="N366" i="4" s="1"/>
  <c r="K371" i="2" l="1"/>
  <c r="G367" i="4"/>
  <c r="L367" i="4" s="1"/>
  <c r="I367" i="4"/>
  <c r="M367" i="4" s="1"/>
  <c r="K367" i="4"/>
  <c r="N367" i="4" s="1"/>
  <c r="D369" i="2"/>
  <c r="T368" i="2"/>
  <c r="G368" i="2"/>
  <c r="T367" i="3" s="1"/>
  <c r="J368" i="2"/>
  <c r="M369" i="2"/>
  <c r="C369" i="2"/>
  <c r="E368" i="2"/>
  <c r="F368" i="2"/>
  <c r="C367" i="4"/>
  <c r="AB366" i="3"/>
  <c r="E367" i="4" s="1"/>
  <c r="B368" i="3"/>
  <c r="B370" i="2"/>
  <c r="I368" i="2"/>
  <c r="L369" i="2"/>
  <c r="A368" i="4"/>
  <c r="C367" i="3"/>
  <c r="P367" i="3"/>
  <c r="E367" i="3"/>
  <c r="G367" i="3"/>
  <c r="S367" i="3"/>
  <c r="Y367" i="3" s="1"/>
  <c r="Z367" i="3" s="1"/>
  <c r="H367" i="3"/>
  <c r="J367" i="3"/>
  <c r="V367" i="3"/>
  <c r="N367" i="3"/>
  <c r="M367" i="3"/>
  <c r="N369" i="2"/>
  <c r="H368" i="2"/>
  <c r="D366" i="4"/>
  <c r="AA366" i="3"/>
  <c r="F365" i="3"/>
  <c r="D366" i="3"/>
  <c r="O364" i="3"/>
  <c r="H365" i="4" s="1"/>
  <c r="I364" i="3"/>
  <c r="F365" i="4" s="1"/>
  <c r="U364" i="3"/>
  <c r="J365" i="4" s="1"/>
  <c r="F366" i="3" l="1"/>
  <c r="D367" i="3"/>
  <c r="K368" i="4"/>
  <c r="N368" i="4" s="1"/>
  <c r="G368" i="4"/>
  <c r="L368" i="4" s="1"/>
  <c r="I368" i="4"/>
  <c r="M368" i="4" s="1"/>
  <c r="C368" i="4"/>
  <c r="AB367" i="3"/>
  <c r="E368" i="4" s="1"/>
  <c r="L370" i="2"/>
  <c r="I369" i="2"/>
  <c r="F369" i="2" s="1"/>
  <c r="N368" i="3" s="1"/>
  <c r="N370" i="2"/>
  <c r="H369" i="2"/>
  <c r="T369" i="2"/>
  <c r="D370" i="2"/>
  <c r="B369" i="3"/>
  <c r="B371" i="2"/>
  <c r="A369" i="4"/>
  <c r="M368" i="3"/>
  <c r="C368" i="3"/>
  <c r="P368" i="3"/>
  <c r="E368" i="3"/>
  <c r="G368" i="3"/>
  <c r="S368" i="3"/>
  <c r="Y368" i="3" s="1"/>
  <c r="Z368" i="3" s="1"/>
  <c r="J368" i="3"/>
  <c r="V368" i="3"/>
  <c r="H368" i="3"/>
  <c r="I365" i="3"/>
  <c r="F366" i="4" s="1"/>
  <c r="U365" i="3"/>
  <c r="J366" i="4" s="1"/>
  <c r="O365" i="3"/>
  <c r="H366" i="4" s="1"/>
  <c r="D367" i="4"/>
  <c r="AA367" i="3"/>
  <c r="E369" i="2"/>
  <c r="C370" i="2"/>
  <c r="M370" i="2"/>
  <c r="J369" i="2"/>
  <c r="G369" i="2" s="1"/>
  <c r="T368" i="3" s="1"/>
  <c r="K372" i="2"/>
  <c r="D368" i="4" l="1"/>
  <c r="AA368" i="3"/>
  <c r="L371" i="2"/>
  <c r="I370" i="2"/>
  <c r="C369" i="4"/>
  <c r="AB368" i="3"/>
  <c r="E369" i="4" s="1"/>
  <c r="I369" i="4"/>
  <c r="M369" i="4" s="1"/>
  <c r="G369" i="4"/>
  <c r="L369" i="4" s="1"/>
  <c r="K369" i="4"/>
  <c r="N369" i="4" s="1"/>
  <c r="B370" i="3"/>
  <c r="B372" i="2"/>
  <c r="A370" i="4"/>
  <c r="J369" i="3"/>
  <c r="V369" i="3"/>
  <c r="M369" i="3"/>
  <c r="C369" i="3"/>
  <c r="P369" i="3"/>
  <c r="S369" i="3"/>
  <c r="Y369" i="3" s="1"/>
  <c r="Z369" i="3" s="1"/>
  <c r="G369" i="3"/>
  <c r="E369" i="3"/>
  <c r="D371" i="2"/>
  <c r="T370" i="2"/>
  <c r="K373" i="2"/>
  <c r="F367" i="3"/>
  <c r="D368" i="3"/>
  <c r="M371" i="2"/>
  <c r="J370" i="2"/>
  <c r="G370" i="2" s="1"/>
  <c r="T369" i="3" s="1"/>
  <c r="F370" i="2"/>
  <c r="N369" i="3" s="1"/>
  <c r="C371" i="2"/>
  <c r="N371" i="2"/>
  <c r="H370" i="2"/>
  <c r="E370" i="2" s="1"/>
  <c r="H369" i="3" s="1"/>
  <c r="I366" i="3"/>
  <c r="F367" i="4" s="1"/>
  <c r="U366" i="3"/>
  <c r="J367" i="4" s="1"/>
  <c r="O366" i="3"/>
  <c r="H367" i="4" s="1"/>
  <c r="O367" i="3" l="1"/>
  <c r="H368" i="4" s="1"/>
  <c r="I367" i="3"/>
  <c r="F368" i="4" s="1"/>
  <c r="U367" i="3"/>
  <c r="J368" i="4" s="1"/>
  <c r="K374" i="2"/>
  <c r="C370" i="4"/>
  <c r="AB369" i="3"/>
  <c r="E370" i="4" s="1"/>
  <c r="F368" i="3"/>
  <c r="D369" i="3"/>
  <c r="J371" i="2"/>
  <c r="M372" i="2"/>
  <c r="N372" i="2"/>
  <c r="H371" i="2"/>
  <c r="G370" i="4"/>
  <c r="L370" i="4" s="1"/>
  <c r="I370" i="4"/>
  <c r="M370" i="4" s="1"/>
  <c r="K370" i="4"/>
  <c r="N370" i="4" s="1"/>
  <c r="I371" i="2"/>
  <c r="L372" i="2"/>
  <c r="D372" i="2"/>
  <c r="T371" i="2"/>
  <c r="G371" i="2"/>
  <c r="B371" i="3"/>
  <c r="B373" i="2"/>
  <c r="D369" i="4"/>
  <c r="AA369" i="3"/>
  <c r="C372" i="2"/>
  <c r="E371" i="2"/>
  <c r="F371" i="2"/>
  <c r="A371" i="4"/>
  <c r="G370" i="3"/>
  <c r="S370" i="3"/>
  <c r="Y370" i="3" s="1"/>
  <c r="Z370" i="3" s="1"/>
  <c r="H370" i="3"/>
  <c r="T370" i="3"/>
  <c r="J370" i="3"/>
  <c r="V370" i="3"/>
  <c r="M370" i="3"/>
  <c r="C370" i="3"/>
  <c r="E370" i="3"/>
  <c r="N370" i="3"/>
  <c r="P370" i="3"/>
  <c r="M373" i="2" l="1"/>
  <c r="J372" i="2"/>
  <c r="T372" i="2"/>
  <c r="G372" i="2"/>
  <c r="D373" i="2"/>
  <c r="L373" i="2"/>
  <c r="I372" i="2"/>
  <c r="F369" i="3"/>
  <c r="D370" i="3"/>
  <c r="N373" i="2"/>
  <c r="H372" i="2"/>
  <c r="G371" i="4"/>
  <c r="L371" i="4" s="1"/>
  <c r="I371" i="4"/>
  <c r="M371" i="4" s="1"/>
  <c r="K371" i="4"/>
  <c r="N371" i="4" s="1"/>
  <c r="O368" i="3"/>
  <c r="H369" i="4" s="1"/>
  <c r="I368" i="3"/>
  <c r="F369" i="4" s="1"/>
  <c r="U368" i="3"/>
  <c r="J369" i="4" s="1"/>
  <c r="E372" i="2"/>
  <c r="F372" i="2"/>
  <c r="C373" i="2"/>
  <c r="D370" i="4"/>
  <c r="AA370" i="3"/>
  <c r="K375" i="2"/>
  <c r="C371" i="4"/>
  <c r="AB370" i="3"/>
  <c r="E371" i="4" s="1"/>
  <c r="B372" i="3"/>
  <c r="B374" i="2"/>
  <c r="A372" i="4"/>
  <c r="C371" i="3"/>
  <c r="P371" i="3"/>
  <c r="E371" i="3"/>
  <c r="G371" i="3"/>
  <c r="S371" i="3"/>
  <c r="Y371" i="3" s="1"/>
  <c r="Z371" i="3" s="1"/>
  <c r="H371" i="3"/>
  <c r="T371" i="3"/>
  <c r="J371" i="3"/>
  <c r="V371" i="3"/>
  <c r="N371" i="3"/>
  <c r="M371" i="3"/>
  <c r="C374" i="2" l="1"/>
  <c r="N374" i="2"/>
  <c r="H373" i="2"/>
  <c r="E373" i="2" s="1"/>
  <c r="H372" i="3" s="1"/>
  <c r="F370" i="3"/>
  <c r="D371" i="3"/>
  <c r="G372" i="4"/>
  <c r="L372" i="4" s="1"/>
  <c r="I372" i="4"/>
  <c r="M372" i="4" s="1"/>
  <c r="K372" i="4"/>
  <c r="N372" i="4" s="1"/>
  <c r="I369" i="3"/>
  <c r="F370" i="4" s="1"/>
  <c r="U369" i="3"/>
  <c r="J370" i="4" s="1"/>
  <c r="O369" i="3"/>
  <c r="H370" i="4" s="1"/>
  <c r="C372" i="4"/>
  <c r="AB371" i="3"/>
  <c r="E372" i="4" s="1"/>
  <c r="B373" i="3"/>
  <c r="B375" i="2"/>
  <c r="A373" i="4"/>
  <c r="M372" i="3"/>
  <c r="C372" i="3"/>
  <c r="P372" i="3"/>
  <c r="E372" i="3"/>
  <c r="G372" i="3"/>
  <c r="S372" i="3"/>
  <c r="Y372" i="3" s="1"/>
  <c r="Z372" i="3" s="1"/>
  <c r="J372" i="3"/>
  <c r="V372" i="3"/>
  <c r="L374" i="2"/>
  <c r="I373" i="2"/>
  <c r="F373" i="2" s="1"/>
  <c r="N372" i="3" s="1"/>
  <c r="G373" i="2"/>
  <c r="T372" i="3" s="1"/>
  <c r="D374" i="2"/>
  <c r="T373" i="2"/>
  <c r="K376" i="2"/>
  <c r="D371" i="4"/>
  <c r="AA371" i="3"/>
  <c r="M374" i="2"/>
  <c r="J373" i="2"/>
  <c r="D375" i="2" l="1"/>
  <c r="T374" i="2"/>
  <c r="C373" i="4"/>
  <c r="AB372" i="3"/>
  <c r="E373" i="4" s="1"/>
  <c r="I374" i="2"/>
  <c r="L375" i="2"/>
  <c r="G373" i="4"/>
  <c r="L373" i="4" s="1"/>
  <c r="I373" i="4"/>
  <c r="M373" i="4" s="1"/>
  <c r="K373" i="4"/>
  <c r="N373" i="4" s="1"/>
  <c r="B374" i="3"/>
  <c r="B376" i="2"/>
  <c r="A374" i="4"/>
  <c r="J373" i="3"/>
  <c r="V373" i="3"/>
  <c r="M373" i="3"/>
  <c r="N373" i="3"/>
  <c r="C373" i="3"/>
  <c r="P373" i="3"/>
  <c r="H373" i="3"/>
  <c r="S373" i="3"/>
  <c r="Y373" i="3" s="1"/>
  <c r="Z373" i="3" s="1"/>
  <c r="E373" i="3"/>
  <c r="G373" i="3"/>
  <c r="F371" i="3"/>
  <c r="D372" i="3"/>
  <c r="J374" i="2"/>
  <c r="G374" i="2" s="1"/>
  <c r="T373" i="3" s="1"/>
  <c r="M375" i="2"/>
  <c r="I370" i="3"/>
  <c r="F371" i="4" s="1"/>
  <c r="U370" i="3"/>
  <c r="J371" i="4" s="1"/>
  <c r="O370" i="3"/>
  <c r="H371" i="4" s="1"/>
  <c r="D372" i="4"/>
  <c r="AA372" i="3"/>
  <c r="N375" i="2"/>
  <c r="H374" i="2"/>
  <c r="K377" i="2"/>
  <c r="C375" i="2"/>
  <c r="E374" i="2"/>
  <c r="F374" i="2"/>
  <c r="M376" i="2" l="1"/>
  <c r="J375" i="2"/>
  <c r="C374" i="4"/>
  <c r="AB373" i="3"/>
  <c r="E374" i="4" s="1"/>
  <c r="L376" i="2"/>
  <c r="I375" i="2"/>
  <c r="F375" i="2"/>
  <c r="C376" i="2"/>
  <c r="F372" i="3"/>
  <c r="D373" i="3"/>
  <c r="O371" i="3"/>
  <c r="H372" i="4" s="1"/>
  <c r="I371" i="3"/>
  <c r="F372" i="4" s="1"/>
  <c r="U371" i="3"/>
  <c r="J372" i="4" s="1"/>
  <c r="G374" i="4"/>
  <c r="L374" i="4" s="1"/>
  <c r="I374" i="4"/>
  <c r="M374" i="4" s="1"/>
  <c r="K374" i="4"/>
  <c r="N374" i="4" s="1"/>
  <c r="B375" i="3"/>
  <c r="B377" i="2"/>
  <c r="K378" i="2"/>
  <c r="A375" i="4"/>
  <c r="G374" i="3"/>
  <c r="S374" i="3"/>
  <c r="Y374" i="3" s="1"/>
  <c r="Z374" i="3" s="1"/>
  <c r="J374" i="3"/>
  <c r="V374" i="3"/>
  <c r="M374" i="3"/>
  <c r="C374" i="3"/>
  <c r="E374" i="3"/>
  <c r="P374" i="3"/>
  <c r="N374" i="3"/>
  <c r="D373" i="4"/>
  <c r="AA373" i="3"/>
  <c r="N376" i="2"/>
  <c r="H375" i="2"/>
  <c r="E375" i="2" s="1"/>
  <c r="H374" i="3" s="1"/>
  <c r="T375" i="2"/>
  <c r="G375" i="2"/>
  <c r="T374" i="3" s="1"/>
  <c r="D376" i="2"/>
  <c r="F373" i="3" l="1"/>
  <c r="D374" i="3"/>
  <c r="B376" i="3"/>
  <c r="B378" i="2"/>
  <c r="O372" i="3"/>
  <c r="H373" i="4" s="1"/>
  <c r="I372" i="3"/>
  <c r="F373" i="4" s="1"/>
  <c r="U372" i="3"/>
  <c r="J373" i="4" s="1"/>
  <c r="K379" i="2"/>
  <c r="A376" i="4"/>
  <c r="C375" i="3"/>
  <c r="P375" i="3"/>
  <c r="E375" i="3"/>
  <c r="G375" i="3"/>
  <c r="S375" i="3"/>
  <c r="Y375" i="3" s="1"/>
  <c r="Z375" i="3" s="1"/>
  <c r="J375" i="3"/>
  <c r="V375" i="3"/>
  <c r="M375" i="3"/>
  <c r="C377" i="2"/>
  <c r="E376" i="2"/>
  <c r="H375" i="3" s="1"/>
  <c r="C375" i="4"/>
  <c r="AB374" i="3"/>
  <c r="E375" i="4" s="1"/>
  <c r="D377" i="2"/>
  <c r="T376" i="2"/>
  <c r="L377" i="2"/>
  <c r="I376" i="2"/>
  <c r="F376" i="2" s="1"/>
  <c r="N375" i="3" s="1"/>
  <c r="N377" i="2"/>
  <c r="H376" i="2"/>
  <c r="D374" i="4"/>
  <c r="AA374" i="3"/>
  <c r="G375" i="4"/>
  <c r="L375" i="4" s="1"/>
  <c r="I375" i="4"/>
  <c r="M375" i="4" s="1"/>
  <c r="K375" i="4"/>
  <c r="N375" i="4" s="1"/>
  <c r="M377" i="2"/>
  <c r="J376" i="2"/>
  <c r="G376" i="2" s="1"/>
  <c r="T375" i="3" s="1"/>
  <c r="D375" i="4" l="1"/>
  <c r="AA375" i="3"/>
  <c r="C378" i="2"/>
  <c r="E377" i="2"/>
  <c r="G376" i="4"/>
  <c r="L376" i="4" s="1"/>
  <c r="I376" i="4"/>
  <c r="M376" i="4" s="1"/>
  <c r="K376" i="4"/>
  <c r="N376" i="4" s="1"/>
  <c r="N378" i="2"/>
  <c r="H377" i="2"/>
  <c r="C376" i="4"/>
  <c r="AB375" i="3"/>
  <c r="E376" i="4" s="1"/>
  <c r="K380" i="2"/>
  <c r="J377" i="2"/>
  <c r="G377" i="2" s="1"/>
  <c r="T376" i="3" s="1"/>
  <c r="M378" i="2"/>
  <c r="I377" i="2"/>
  <c r="F377" i="2" s="1"/>
  <c r="N376" i="3" s="1"/>
  <c r="L378" i="2"/>
  <c r="D378" i="2"/>
  <c r="T377" i="2"/>
  <c r="B377" i="3"/>
  <c r="B379" i="2"/>
  <c r="A377" i="4"/>
  <c r="M376" i="3"/>
  <c r="C376" i="3"/>
  <c r="P376" i="3"/>
  <c r="E376" i="3"/>
  <c r="G376" i="3"/>
  <c r="S376" i="3"/>
  <c r="Y376" i="3" s="1"/>
  <c r="Z376" i="3" s="1"/>
  <c r="V376" i="3"/>
  <c r="H376" i="3"/>
  <c r="J376" i="3"/>
  <c r="F374" i="3"/>
  <c r="D375" i="3"/>
  <c r="I373" i="3"/>
  <c r="F374" i="4" s="1"/>
  <c r="U373" i="3"/>
  <c r="J374" i="4" s="1"/>
  <c r="O373" i="3"/>
  <c r="H374" i="4" s="1"/>
  <c r="N379" i="2" l="1"/>
  <c r="H378" i="2"/>
  <c r="T378" i="2"/>
  <c r="D379" i="2"/>
  <c r="L379" i="2"/>
  <c r="I378" i="2"/>
  <c r="F378" i="2" s="1"/>
  <c r="N377" i="3" s="1"/>
  <c r="M379" i="2"/>
  <c r="J378" i="2"/>
  <c r="G378" i="2" s="1"/>
  <c r="T377" i="3" s="1"/>
  <c r="F375" i="3"/>
  <c r="D376" i="3"/>
  <c r="C377" i="4"/>
  <c r="AB376" i="3"/>
  <c r="E377" i="4" s="1"/>
  <c r="K381" i="2"/>
  <c r="I374" i="3"/>
  <c r="F375" i="4" s="1"/>
  <c r="U374" i="3"/>
  <c r="J375" i="4" s="1"/>
  <c r="O374" i="3"/>
  <c r="H375" i="4" s="1"/>
  <c r="G377" i="4"/>
  <c r="L377" i="4" s="1"/>
  <c r="I377" i="4"/>
  <c r="M377" i="4" s="1"/>
  <c r="K377" i="4"/>
  <c r="N377" i="4" s="1"/>
  <c r="E378" i="2"/>
  <c r="C379" i="2"/>
  <c r="B378" i="3"/>
  <c r="B380" i="2"/>
  <c r="D376" i="4"/>
  <c r="AA376" i="3"/>
  <c r="A378" i="4"/>
  <c r="J377" i="3"/>
  <c r="V377" i="3"/>
  <c r="M377" i="3"/>
  <c r="C377" i="3"/>
  <c r="P377" i="3"/>
  <c r="E377" i="3"/>
  <c r="G377" i="3"/>
  <c r="H377" i="3"/>
  <c r="S377" i="3"/>
  <c r="Y377" i="3" s="1"/>
  <c r="Z377" i="3" s="1"/>
  <c r="F376" i="3" l="1"/>
  <c r="D377" i="3"/>
  <c r="O375" i="3"/>
  <c r="H376" i="4" s="1"/>
  <c r="I375" i="3"/>
  <c r="F376" i="4" s="1"/>
  <c r="U375" i="3"/>
  <c r="J376" i="4" s="1"/>
  <c r="G378" i="4"/>
  <c r="L378" i="4" s="1"/>
  <c r="I378" i="4"/>
  <c r="M378" i="4" s="1"/>
  <c r="K378" i="4"/>
  <c r="N378" i="4" s="1"/>
  <c r="M380" i="2"/>
  <c r="J379" i="2"/>
  <c r="D377" i="4"/>
  <c r="AA377" i="3"/>
  <c r="C378" i="4"/>
  <c r="AB377" i="3"/>
  <c r="E378" i="4" s="1"/>
  <c r="L380" i="2"/>
  <c r="I379" i="2"/>
  <c r="F379" i="2" s="1"/>
  <c r="N378" i="3" s="1"/>
  <c r="B379" i="3"/>
  <c r="B381" i="2"/>
  <c r="G379" i="2"/>
  <c r="D380" i="2"/>
  <c r="T379" i="2"/>
  <c r="A379" i="4"/>
  <c r="G378" i="3"/>
  <c r="S378" i="3"/>
  <c r="Y378" i="3" s="1"/>
  <c r="Z378" i="3" s="1"/>
  <c r="T378" i="3"/>
  <c r="M378" i="3"/>
  <c r="C378" i="3"/>
  <c r="P378" i="3"/>
  <c r="V378" i="3"/>
  <c r="J378" i="3"/>
  <c r="E378" i="3"/>
  <c r="C380" i="2"/>
  <c r="K382" i="2"/>
  <c r="N380" i="2"/>
  <c r="H379" i="2"/>
  <c r="E379" i="2" s="1"/>
  <c r="H378" i="3" s="1"/>
  <c r="D381" i="2" l="1"/>
  <c r="T380" i="2"/>
  <c r="B380" i="3"/>
  <c r="B382" i="2"/>
  <c r="A380" i="4"/>
  <c r="C379" i="3"/>
  <c r="P379" i="3"/>
  <c r="E379" i="3"/>
  <c r="J379" i="3"/>
  <c r="V379" i="3"/>
  <c r="G379" i="3"/>
  <c r="M379" i="3"/>
  <c r="S379" i="3"/>
  <c r="Y379" i="3" s="1"/>
  <c r="Z379" i="3" s="1"/>
  <c r="C379" i="4"/>
  <c r="AB378" i="3"/>
  <c r="E379" i="4" s="1"/>
  <c r="I380" i="2"/>
  <c r="L381" i="2"/>
  <c r="D378" i="4"/>
  <c r="AA378" i="3"/>
  <c r="J380" i="2"/>
  <c r="G380" i="2" s="1"/>
  <c r="T379" i="3" s="1"/>
  <c r="M381" i="2"/>
  <c r="N381" i="2"/>
  <c r="H380" i="2"/>
  <c r="E380" i="2" s="1"/>
  <c r="H379" i="3" s="1"/>
  <c r="K383" i="2"/>
  <c r="F377" i="3"/>
  <c r="D378" i="3"/>
  <c r="C381" i="2"/>
  <c r="F380" i="2"/>
  <c r="N379" i="3" s="1"/>
  <c r="K379" i="4"/>
  <c r="N379" i="4" s="1"/>
  <c r="G379" i="4"/>
  <c r="L379" i="4" s="1"/>
  <c r="I379" i="4"/>
  <c r="M379" i="4" s="1"/>
  <c r="O376" i="3"/>
  <c r="H377" i="4" s="1"/>
  <c r="I376" i="3"/>
  <c r="F377" i="4" s="1"/>
  <c r="U376" i="3"/>
  <c r="J377" i="4" s="1"/>
  <c r="L382" i="2" l="1"/>
  <c r="I381" i="2"/>
  <c r="D379" i="4"/>
  <c r="AA379" i="3"/>
  <c r="F381" i="2"/>
  <c r="C382" i="2"/>
  <c r="F378" i="3"/>
  <c r="D379" i="3"/>
  <c r="I377" i="3"/>
  <c r="F378" i="4" s="1"/>
  <c r="U377" i="3"/>
  <c r="J378" i="4" s="1"/>
  <c r="O377" i="3"/>
  <c r="H378" i="4" s="1"/>
  <c r="I380" i="4"/>
  <c r="M380" i="4" s="1"/>
  <c r="K380" i="4"/>
  <c r="N380" i="4" s="1"/>
  <c r="G380" i="4"/>
  <c r="L380" i="4" s="1"/>
  <c r="B381" i="3"/>
  <c r="B383" i="2"/>
  <c r="K384" i="2"/>
  <c r="A381" i="4"/>
  <c r="M380" i="3"/>
  <c r="N380" i="3"/>
  <c r="G380" i="3"/>
  <c r="S380" i="3"/>
  <c r="Y380" i="3" s="1"/>
  <c r="Z380" i="3" s="1"/>
  <c r="C380" i="3"/>
  <c r="V380" i="3"/>
  <c r="E380" i="3"/>
  <c r="J380" i="3"/>
  <c r="P380" i="3"/>
  <c r="N382" i="2"/>
  <c r="H381" i="2"/>
  <c r="E381" i="2" s="1"/>
  <c r="H380" i="3" s="1"/>
  <c r="C380" i="4"/>
  <c r="AB379" i="3"/>
  <c r="E380" i="4" s="1"/>
  <c r="M382" i="2"/>
  <c r="J381" i="2"/>
  <c r="G381" i="2" s="1"/>
  <c r="T380" i="3" s="1"/>
  <c r="T381" i="2"/>
  <c r="D382" i="2"/>
  <c r="N383" i="2" l="1"/>
  <c r="H382" i="2"/>
  <c r="G381" i="4"/>
  <c r="L381" i="4" s="1"/>
  <c r="I381" i="4"/>
  <c r="M381" i="4" s="1"/>
  <c r="K381" i="4"/>
  <c r="N381" i="4" s="1"/>
  <c r="K385" i="2"/>
  <c r="D380" i="3"/>
  <c r="F379" i="3"/>
  <c r="C381" i="4"/>
  <c r="AB380" i="3"/>
  <c r="E381" i="4" s="1"/>
  <c r="B382" i="3"/>
  <c r="B384" i="2"/>
  <c r="O378" i="3"/>
  <c r="H379" i="4" s="1"/>
  <c r="U378" i="3"/>
  <c r="J379" i="4" s="1"/>
  <c r="I378" i="3"/>
  <c r="F379" i="4" s="1"/>
  <c r="D383" i="2"/>
  <c r="T382" i="2"/>
  <c r="A382" i="4"/>
  <c r="J381" i="3"/>
  <c r="V381" i="3"/>
  <c r="P381" i="3"/>
  <c r="M381" i="3"/>
  <c r="S381" i="3"/>
  <c r="Y381" i="3" s="1"/>
  <c r="Z381" i="3" s="1"/>
  <c r="G381" i="3"/>
  <c r="C381" i="3"/>
  <c r="H381" i="3"/>
  <c r="E381" i="3"/>
  <c r="C383" i="2"/>
  <c r="E382" i="2"/>
  <c r="D380" i="4"/>
  <c r="AA380" i="3"/>
  <c r="M383" i="2"/>
  <c r="J382" i="2"/>
  <c r="G382" i="2" s="1"/>
  <c r="T381" i="3" s="1"/>
  <c r="L383" i="2"/>
  <c r="I382" i="2"/>
  <c r="F382" i="2" s="1"/>
  <c r="N381" i="3" s="1"/>
  <c r="J383" i="2" l="1"/>
  <c r="M384" i="2"/>
  <c r="C384" i="2"/>
  <c r="O379" i="3"/>
  <c r="H380" i="4" s="1"/>
  <c r="I379" i="3"/>
  <c r="F380" i="4" s="1"/>
  <c r="U379" i="3"/>
  <c r="J380" i="4" s="1"/>
  <c r="G382" i="4"/>
  <c r="L382" i="4" s="1"/>
  <c r="I382" i="4"/>
  <c r="M382" i="4" s="1"/>
  <c r="K382" i="4"/>
  <c r="N382" i="4" s="1"/>
  <c r="D381" i="3"/>
  <c r="F380" i="3"/>
  <c r="D384" i="2"/>
  <c r="T383" i="2"/>
  <c r="G383" i="2"/>
  <c r="K386" i="2"/>
  <c r="I383" i="2"/>
  <c r="F383" i="2" s="1"/>
  <c r="N382" i="3" s="1"/>
  <c r="L384" i="2"/>
  <c r="B383" i="3"/>
  <c r="B385" i="2"/>
  <c r="C382" i="4"/>
  <c r="AB381" i="3"/>
  <c r="E382" i="4" s="1"/>
  <c r="A383" i="4"/>
  <c r="G382" i="3"/>
  <c r="S382" i="3"/>
  <c r="Y382" i="3" s="1"/>
  <c r="Z382" i="3" s="1"/>
  <c r="T382" i="3"/>
  <c r="M382" i="3"/>
  <c r="C382" i="3"/>
  <c r="E382" i="3"/>
  <c r="J382" i="3"/>
  <c r="V382" i="3"/>
  <c r="P382" i="3"/>
  <c r="D381" i="4"/>
  <c r="AA381" i="3"/>
  <c r="N384" i="2"/>
  <c r="H383" i="2"/>
  <c r="E383" i="2" s="1"/>
  <c r="H382" i="3" s="1"/>
  <c r="A384" i="4" l="1"/>
  <c r="C383" i="3"/>
  <c r="P383" i="3"/>
  <c r="E383" i="3"/>
  <c r="J383" i="3"/>
  <c r="S383" i="3"/>
  <c r="Y383" i="3" s="1"/>
  <c r="Z383" i="3" s="1"/>
  <c r="V383" i="3"/>
  <c r="G383" i="3"/>
  <c r="M383" i="3"/>
  <c r="C383" i="4"/>
  <c r="AB382" i="3"/>
  <c r="E383" i="4" s="1"/>
  <c r="K387" i="2"/>
  <c r="L385" i="2"/>
  <c r="I384" i="2"/>
  <c r="F384" i="2" s="1"/>
  <c r="N383" i="3" s="1"/>
  <c r="T384" i="2"/>
  <c r="G384" i="2"/>
  <c r="T383" i="3" s="1"/>
  <c r="D385" i="2"/>
  <c r="N385" i="2"/>
  <c r="H384" i="2"/>
  <c r="E384" i="2" s="1"/>
  <c r="H383" i="3" s="1"/>
  <c r="D382" i="4"/>
  <c r="AA382" i="3"/>
  <c r="G383" i="4"/>
  <c r="L383" i="4" s="1"/>
  <c r="I383" i="4"/>
  <c r="M383" i="4" s="1"/>
  <c r="K383" i="4"/>
  <c r="N383" i="4" s="1"/>
  <c r="I380" i="3"/>
  <c r="F381" i="4" s="1"/>
  <c r="U380" i="3"/>
  <c r="J381" i="4" s="1"/>
  <c r="O380" i="3"/>
  <c r="H381" i="4" s="1"/>
  <c r="F381" i="3"/>
  <c r="D382" i="3"/>
  <c r="C385" i="2"/>
  <c r="M385" i="2"/>
  <c r="J384" i="2"/>
  <c r="B384" i="3"/>
  <c r="B386" i="2"/>
  <c r="C384" i="4" l="1"/>
  <c r="AB383" i="3"/>
  <c r="E384" i="4" s="1"/>
  <c r="I381" i="3"/>
  <c r="F382" i="4" s="1"/>
  <c r="U381" i="3"/>
  <c r="J382" i="4" s="1"/>
  <c r="O381" i="3"/>
  <c r="H382" i="4" s="1"/>
  <c r="N386" i="2"/>
  <c r="H385" i="2"/>
  <c r="G385" i="2"/>
  <c r="D386" i="2"/>
  <c r="T385" i="2"/>
  <c r="L386" i="2"/>
  <c r="I385" i="2"/>
  <c r="F385" i="2" s="1"/>
  <c r="N384" i="3" s="1"/>
  <c r="M386" i="2"/>
  <c r="J385" i="2"/>
  <c r="F382" i="3"/>
  <c r="D383" i="3"/>
  <c r="K388" i="2"/>
  <c r="A385" i="4"/>
  <c r="E384" i="3"/>
  <c r="T384" i="3"/>
  <c r="V384" i="3"/>
  <c r="G384" i="3"/>
  <c r="J384" i="3"/>
  <c r="C384" i="3"/>
  <c r="M384" i="3"/>
  <c r="P384" i="3"/>
  <c r="S384" i="3"/>
  <c r="Y384" i="3" s="1"/>
  <c r="Z384" i="3" s="1"/>
  <c r="B385" i="3"/>
  <c r="B387" i="2"/>
  <c r="C386" i="2"/>
  <c r="E385" i="2"/>
  <c r="H384" i="3" s="1"/>
  <c r="D383" i="4"/>
  <c r="AA383" i="3"/>
  <c r="G384" i="4"/>
  <c r="L384" i="4" s="1"/>
  <c r="I384" i="4"/>
  <c r="M384" i="4" s="1"/>
  <c r="K384" i="4"/>
  <c r="N384" i="4" s="1"/>
  <c r="I386" i="2" l="1"/>
  <c r="L387" i="2"/>
  <c r="C387" i="2"/>
  <c r="F386" i="2"/>
  <c r="D387" i="2"/>
  <c r="T386" i="2"/>
  <c r="B386" i="3"/>
  <c r="B388" i="2"/>
  <c r="A386" i="4"/>
  <c r="V385" i="3"/>
  <c r="J385" i="3"/>
  <c r="M385" i="3"/>
  <c r="N385" i="3"/>
  <c r="E385" i="3"/>
  <c r="C385" i="3"/>
  <c r="G385" i="3"/>
  <c r="P385" i="3"/>
  <c r="S385" i="3"/>
  <c r="Y385" i="3" s="1"/>
  <c r="Z385" i="3" s="1"/>
  <c r="K385" i="4"/>
  <c r="N385" i="4" s="1"/>
  <c r="G385" i="4"/>
  <c r="L385" i="4" s="1"/>
  <c r="I385" i="4"/>
  <c r="M385" i="4" s="1"/>
  <c r="N387" i="2"/>
  <c r="H386" i="2"/>
  <c r="E386" i="2" s="1"/>
  <c r="H385" i="3" s="1"/>
  <c r="K389" i="2"/>
  <c r="C385" i="4"/>
  <c r="AB384" i="3"/>
  <c r="E385" i="4" s="1"/>
  <c r="F383" i="3"/>
  <c r="D384" i="3"/>
  <c r="O382" i="3"/>
  <c r="H383" i="4" s="1"/>
  <c r="I382" i="3"/>
  <c r="F383" i="4" s="1"/>
  <c r="U382" i="3"/>
  <c r="J383" i="4" s="1"/>
  <c r="D384" i="4"/>
  <c r="AA384" i="3"/>
  <c r="J386" i="2"/>
  <c r="G386" i="2" s="1"/>
  <c r="T385" i="3" s="1"/>
  <c r="M387" i="2"/>
  <c r="O383" i="3" l="1"/>
  <c r="H384" i="4" s="1"/>
  <c r="U383" i="3"/>
  <c r="J384" i="4" s="1"/>
  <c r="I383" i="3"/>
  <c r="F384" i="4" s="1"/>
  <c r="I386" i="4"/>
  <c r="M386" i="4" s="1"/>
  <c r="K386" i="4"/>
  <c r="N386" i="4" s="1"/>
  <c r="G386" i="4"/>
  <c r="L386" i="4" s="1"/>
  <c r="B387" i="3"/>
  <c r="B389" i="2"/>
  <c r="F384" i="3"/>
  <c r="D385" i="3"/>
  <c r="A387" i="4"/>
  <c r="J386" i="3"/>
  <c r="M386" i="3"/>
  <c r="S386" i="3"/>
  <c r="Y386" i="3" s="1"/>
  <c r="Z386" i="3" s="1"/>
  <c r="C386" i="3"/>
  <c r="E386" i="3"/>
  <c r="G386" i="3"/>
  <c r="P386" i="3"/>
  <c r="V386" i="3"/>
  <c r="M388" i="2"/>
  <c r="J387" i="2"/>
  <c r="K390" i="2"/>
  <c r="T387" i="2"/>
  <c r="G387" i="2"/>
  <c r="T386" i="3" s="1"/>
  <c r="D388" i="2"/>
  <c r="D385" i="4"/>
  <c r="AA385" i="3"/>
  <c r="N388" i="2"/>
  <c r="H387" i="2"/>
  <c r="C386" i="4"/>
  <c r="AB385" i="3"/>
  <c r="E386" i="4" s="1"/>
  <c r="E387" i="2"/>
  <c r="H386" i="3" s="1"/>
  <c r="C388" i="2"/>
  <c r="L388" i="2"/>
  <c r="I387" i="2"/>
  <c r="F387" i="2" s="1"/>
  <c r="N386" i="3" s="1"/>
  <c r="I384" i="3" l="1"/>
  <c r="F385" i="4" s="1"/>
  <c r="U384" i="3"/>
  <c r="J385" i="4" s="1"/>
  <c r="O384" i="3"/>
  <c r="H385" i="4" s="1"/>
  <c r="B388" i="3"/>
  <c r="B390" i="2"/>
  <c r="D386" i="4"/>
  <c r="AA386" i="3"/>
  <c r="A388" i="4"/>
  <c r="C387" i="3"/>
  <c r="E387" i="3"/>
  <c r="J387" i="3"/>
  <c r="M387" i="3"/>
  <c r="P387" i="3"/>
  <c r="G387" i="3"/>
  <c r="V387" i="3"/>
  <c r="S387" i="3"/>
  <c r="Y387" i="3" s="1"/>
  <c r="Z387" i="3" s="1"/>
  <c r="N389" i="2"/>
  <c r="H388" i="2"/>
  <c r="D389" i="2"/>
  <c r="T388" i="2"/>
  <c r="L389" i="2"/>
  <c r="I388" i="2"/>
  <c r="F388" i="2" s="1"/>
  <c r="N387" i="3" s="1"/>
  <c r="C387" i="4"/>
  <c r="AB386" i="3"/>
  <c r="E387" i="4" s="1"/>
  <c r="C389" i="2"/>
  <c r="E388" i="2"/>
  <c r="H387" i="3" s="1"/>
  <c r="K391" i="2"/>
  <c r="M389" i="2"/>
  <c r="J388" i="2"/>
  <c r="G388" i="2" s="1"/>
  <c r="T387" i="3" s="1"/>
  <c r="G387" i="4"/>
  <c r="L387" i="4" s="1"/>
  <c r="I387" i="4"/>
  <c r="M387" i="4" s="1"/>
  <c r="K387" i="4"/>
  <c r="N387" i="4" s="1"/>
  <c r="D386" i="3"/>
  <c r="F385" i="3"/>
  <c r="J389" i="2" l="1"/>
  <c r="M390" i="2"/>
  <c r="C388" i="4"/>
  <c r="AB387" i="3"/>
  <c r="E388" i="4" s="1"/>
  <c r="D390" i="2"/>
  <c r="T389" i="2"/>
  <c r="G389" i="2"/>
  <c r="K392" i="2"/>
  <c r="N390" i="2"/>
  <c r="H389" i="2"/>
  <c r="E389" i="2" s="1"/>
  <c r="H388" i="3" s="1"/>
  <c r="G388" i="4"/>
  <c r="L388" i="4" s="1"/>
  <c r="I388" i="4"/>
  <c r="M388" i="4" s="1"/>
  <c r="K388" i="4"/>
  <c r="N388" i="4" s="1"/>
  <c r="I385" i="3"/>
  <c r="F386" i="4" s="1"/>
  <c r="U385" i="3"/>
  <c r="J386" i="4" s="1"/>
  <c r="O385" i="3"/>
  <c r="H386" i="4" s="1"/>
  <c r="D387" i="4"/>
  <c r="AA387" i="3"/>
  <c r="F386" i="3"/>
  <c r="D387" i="3"/>
  <c r="C390" i="2"/>
  <c r="B389" i="3"/>
  <c r="B391" i="2"/>
  <c r="A389" i="4"/>
  <c r="J388" i="3"/>
  <c r="M388" i="3"/>
  <c r="P388" i="3"/>
  <c r="C388" i="3"/>
  <c r="G388" i="3"/>
  <c r="E388" i="3"/>
  <c r="V388" i="3"/>
  <c r="S388" i="3"/>
  <c r="Y388" i="3" s="1"/>
  <c r="Z388" i="3" s="1"/>
  <c r="T388" i="3"/>
  <c r="I389" i="2"/>
  <c r="F389" i="2" s="1"/>
  <c r="N388" i="3" s="1"/>
  <c r="L390" i="2"/>
  <c r="F387" i="3" l="1"/>
  <c r="D388" i="3"/>
  <c r="D388" i="4"/>
  <c r="AA388" i="3"/>
  <c r="N391" i="2"/>
  <c r="H390" i="2"/>
  <c r="I386" i="3"/>
  <c r="F387" i="4" s="1"/>
  <c r="O386" i="3"/>
  <c r="H387" i="4" s="1"/>
  <c r="U386" i="3"/>
  <c r="J387" i="4" s="1"/>
  <c r="C389" i="4"/>
  <c r="AB388" i="3"/>
  <c r="E389" i="4" s="1"/>
  <c r="K393" i="2"/>
  <c r="L391" i="2"/>
  <c r="I390" i="2"/>
  <c r="G389" i="4"/>
  <c r="L389" i="4" s="1"/>
  <c r="I389" i="4"/>
  <c r="M389" i="4" s="1"/>
  <c r="K389" i="4"/>
  <c r="N389" i="4" s="1"/>
  <c r="B390" i="3"/>
  <c r="B392" i="2"/>
  <c r="T390" i="2"/>
  <c r="D391" i="2"/>
  <c r="A390" i="4"/>
  <c r="M389" i="3"/>
  <c r="N389" i="3"/>
  <c r="C389" i="3"/>
  <c r="P389" i="3"/>
  <c r="H389" i="3"/>
  <c r="V389" i="3"/>
  <c r="G389" i="3"/>
  <c r="J389" i="3"/>
  <c r="S389" i="3"/>
  <c r="Y389" i="3" s="1"/>
  <c r="Z389" i="3" s="1"/>
  <c r="E389" i="3"/>
  <c r="M391" i="2"/>
  <c r="J390" i="2"/>
  <c r="G390" i="2" s="1"/>
  <c r="T389" i="3" s="1"/>
  <c r="E390" i="2"/>
  <c r="F390" i="2"/>
  <c r="C391" i="2"/>
  <c r="B391" i="3" l="1"/>
  <c r="B393" i="2"/>
  <c r="A391" i="4"/>
  <c r="M390" i="3"/>
  <c r="P390" i="3"/>
  <c r="C390" i="3"/>
  <c r="G390" i="3"/>
  <c r="J390" i="3"/>
  <c r="S390" i="3"/>
  <c r="Y390" i="3" s="1"/>
  <c r="Z390" i="3" s="1"/>
  <c r="V390" i="3"/>
  <c r="E390" i="3"/>
  <c r="N392" i="2"/>
  <c r="H391" i="2"/>
  <c r="D389" i="4"/>
  <c r="AA389" i="3"/>
  <c r="C390" i="4"/>
  <c r="AB389" i="3"/>
  <c r="E390" i="4" s="1"/>
  <c r="M392" i="2"/>
  <c r="J391" i="2"/>
  <c r="G390" i="4"/>
  <c r="L390" i="4" s="1"/>
  <c r="I390" i="4"/>
  <c r="M390" i="4" s="1"/>
  <c r="K390" i="4"/>
  <c r="N390" i="4" s="1"/>
  <c r="G391" i="2"/>
  <c r="T390" i="3" s="1"/>
  <c r="D392" i="2"/>
  <c r="T391" i="2"/>
  <c r="L392" i="2"/>
  <c r="I391" i="2"/>
  <c r="D389" i="3"/>
  <c r="F388" i="3"/>
  <c r="F391" i="2"/>
  <c r="N390" i="3" s="1"/>
  <c r="C392" i="2"/>
  <c r="E391" i="2"/>
  <c r="H390" i="3" s="1"/>
  <c r="K394" i="2"/>
  <c r="O387" i="3"/>
  <c r="H388" i="4" s="1"/>
  <c r="I387" i="3"/>
  <c r="F388" i="4" s="1"/>
  <c r="U387" i="3"/>
  <c r="J388" i="4" s="1"/>
  <c r="F389" i="3" l="1"/>
  <c r="D390" i="3"/>
  <c r="O388" i="3"/>
  <c r="H389" i="4" s="1"/>
  <c r="U388" i="3"/>
  <c r="J389" i="4" s="1"/>
  <c r="I388" i="3"/>
  <c r="F389" i="4" s="1"/>
  <c r="J392" i="2"/>
  <c r="M393" i="2"/>
  <c r="I392" i="2"/>
  <c r="F392" i="2" s="1"/>
  <c r="N391" i="3" s="1"/>
  <c r="L393" i="2"/>
  <c r="D393" i="2"/>
  <c r="T392" i="2"/>
  <c r="G392" i="2"/>
  <c r="D390" i="4"/>
  <c r="AA390" i="3"/>
  <c r="C391" i="4"/>
  <c r="AB390" i="3"/>
  <c r="E391" i="4" s="1"/>
  <c r="K395" i="2"/>
  <c r="N393" i="2"/>
  <c r="H392" i="2"/>
  <c r="E392" i="2" s="1"/>
  <c r="H391" i="3" s="1"/>
  <c r="K391" i="4"/>
  <c r="N391" i="4" s="1"/>
  <c r="G391" i="4"/>
  <c r="L391" i="4" s="1"/>
  <c r="I391" i="4"/>
  <c r="M391" i="4" s="1"/>
  <c r="B392" i="3"/>
  <c r="B394" i="2"/>
  <c r="C393" i="2"/>
  <c r="A392" i="4"/>
  <c r="C391" i="3"/>
  <c r="E391" i="3"/>
  <c r="M391" i="3"/>
  <c r="P391" i="3"/>
  <c r="S391" i="3"/>
  <c r="Y391" i="3" s="1"/>
  <c r="Z391" i="3" s="1"/>
  <c r="J391" i="3"/>
  <c r="T391" i="3"/>
  <c r="V391" i="3"/>
  <c r="G391" i="3"/>
  <c r="T393" i="2" l="1"/>
  <c r="D394" i="2"/>
  <c r="L394" i="2"/>
  <c r="I393" i="2"/>
  <c r="I392" i="4"/>
  <c r="M392" i="4" s="1"/>
  <c r="K392" i="4"/>
  <c r="N392" i="4" s="1"/>
  <c r="G392" i="4"/>
  <c r="L392" i="4" s="1"/>
  <c r="C392" i="4"/>
  <c r="AB391" i="3"/>
  <c r="E392" i="4" s="1"/>
  <c r="N394" i="2"/>
  <c r="H393" i="2"/>
  <c r="M394" i="2"/>
  <c r="J393" i="2"/>
  <c r="G393" i="2" s="1"/>
  <c r="T392" i="3" s="1"/>
  <c r="E393" i="2"/>
  <c r="F393" i="2"/>
  <c r="N392" i="3" s="1"/>
  <c r="C394" i="2"/>
  <c r="K396" i="2"/>
  <c r="B393" i="3"/>
  <c r="B395" i="2"/>
  <c r="A393" i="4"/>
  <c r="P392" i="3"/>
  <c r="C392" i="3"/>
  <c r="E392" i="3"/>
  <c r="S392" i="3"/>
  <c r="Y392" i="3" s="1"/>
  <c r="Z392" i="3" s="1"/>
  <c r="J392" i="3"/>
  <c r="M392" i="3"/>
  <c r="V392" i="3"/>
  <c r="H392" i="3"/>
  <c r="G392" i="3"/>
  <c r="D391" i="4"/>
  <c r="AA391" i="3"/>
  <c r="F390" i="3"/>
  <c r="D391" i="3"/>
  <c r="I389" i="3"/>
  <c r="F390" i="4" s="1"/>
  <c r="U389" i="3"/>
  <c r="J390" i="4" s="1"/>
  <c r="O389" i="3"/>
  <c r="H390" i="4" s="1"/>
  <c r="A394" i="4" l="1"/>
  <c r="C393" i="3"/>
  <c r="P393" i="3"/>
  <c r="E393" i="3"/>
  <c r="S393" i="3"/>
  <c r="Y393" i="3" s="1"/>
  <c r="Z393" i="3" s="1"/>
  <c r="G393" i="3"/>
  <c r="M393" i="3"/>
  <c r="V393" i="3"/>
  <c r="J393" i="3"/>
  <c r="K397" i="2"/>
  <c r="C393" i="4"/>
  <c r="AB392" i="3"/>
  <c r="E393" i="4" s="1"/>
  <c r="F394" i="2"/>
  <c r="N393" i="3" s="1"/>
  <c r="C395" i="2"/>
  <c r="D392" i="3"/>
  <c r="F391" i="3"/>
  <c r="M395" i="2"/>
  <c r="J394" i="2"/>
  <c r="G394" i="2" s="1"/>
  <c r="T393" i="3" s="1"/>
  <c r="L395" i="2"/>
  <c r="I394" i="2"/>
  <c r="D395" i="2"/>
  <c r="T394" i="2"/>
  <c r="B394" i="3"/>
  <c r="B396" i="2"/>
  <c r="N395" i="2"/>
  <c r="H394" i="2"/>
  <c r="E394" i="2" s="1"/>
  <c r="H393" i="3" s="1"/>
  <c r="O390" i="3"/>
  <c r="H391" i="4" s="1"/>
  <c r="I390" i="3"/>
  <c r="F391" i="4" s="1"/>
  <c r="U390" i="3"/>
  <c r="J391" i="4" s="1"/>
  <c r="D392" i="4"/>
  <c r="AA392" i="3"/>
  <c r="G393" i="4"/>
  <c r="L393" i="4" s="1"/>
  <c r="I393" i="4"/>
  <c r="M393" i="4" s="1"/>
  <c r="K393" i="4"/>
  <c r="N393" i="4" s="1"/>
  <c r="J395" i="2" l="1"/>
  <c r="M396" i="2"/>
  <c r="O391" i="3"/>
  <c r="H392" i="4" s="1"/>
  <c r="I391" i="3"/>
  <c r="F392" i="4" s="1"/>
  <c r="U391" i="3"/>
  <c r="J392" i="4" s="1"/>
  <c r="D393" i="3"/>
  <c r="F392" i="3"/>
  <c r="C394" i="4"/>
  <c r="AB393" i="3"/>
  <c r="E394" i="4" s="1"/>
  <c r="N396" i="2"/>
  <c r="H395" i="2"/>
  <c r="E395" i="2" s="1"/>
  <c r="H394" i="3" s="1"/>
  <c r="B395" i="3"/>
  <c r="B397" i="2"/>
  <c r="C396" i="2"/>
  <c r="A395" i="4"/>
  <c r="T394" i="3"/>
  <c r="P394" i="3"/>
  <c r="C394" i="3"/>
  <c r="S394" i="3"/>
  <c r="Y394" i="3" s="1"/>
  <c r="Z394" i="3" s="1"/>
  <c r="E394" i="3"/>
  <c r="G394" i="3"/>
  <c r="V394" i="3"/>
  <c r="J394" i="3"/>
  <c r="M394" i="3"/>
  <c r="I395" i="2"/>
  <c r="F395" i="2" s="1"/>
  <c r="N394" i="3" s="1"/>
  <c r="L396" i="2"/>
  <c r="D396" i="2"/>
  <c r="T395" i="2"/>
  <c r="G395" i="2"/>
  <c r="D393" i="4"/>
  <c r="AA393" i="3"/>
  <c r="K398" i="2"/>
  <c r="G394" i="4"/>
  <c r="L394" i="4" s="1"/>
  <c r="I394" i="4"/>
  <c r="M394" i="4" s="1"/>
  <c r="K394" i="4"/>
  <c r="N394" i="4" s="1"/>
  <c r="K399" i="2" l="1"/>
  <c r="A396" i="4"/>
  <c r="C395" i="3"/>
  <c r="E395" i="3"/>
  <c r="S395" i="3"/>
  <c r="Y395" i="3" s="1"/>
  <c r="Z395" i="3" s="1"/>
  <c r="G395" i="3"/>
  <c r="H395" i="3"/>
  <c r="V395" i="3"/>
  <c r="M395" i="3"/>
  <c r="P395" i="3"/>
  <c r="J395" i="3"/>
  <c r="N397" i="2"/>
  <c r="H396" i="2"/>
  <c r="D394" i="4"/>
  <c r="AA394" i="3"/>
  <c r="T396" i="2"/>
  <c r="G396" i="2"/>
  <c r="T395" i="3" s="1"/>
  <c r="D397" i="2"/>
  <c r="O392" i="3"/>
  <c r="H393" i="4" s="1"/>
  <c r="I392" i="3"/>
  <c r="F393" i="4" s="1"/>
  <c r="U392" i="3"/>
  <c r="J393" i="4" s="1"/>
  <c r="L397" i="2"/>
  <c r="I396" i="2"/>
  <c r="D394" i="3"/>
  <c r="F393" i="3"/>
  <c r="G395" i="4"/>
  <c r="L395" i="4" s="1"/>
  <c r="K395" i="4"/>
  <c r="N395" i="4" s="1"/>
  <c r="I395" i="4"/>
  <c r="M395" i="4" s="1"/>
  <c r="C395" i="4"/>
  <c r="AB394" i="3"/>
  <c r="E395" i="4" s="1"/>
  <c r="E396" i="2"/>
  <c r="F396" i="2"/>
  <c r="N395" i="3" s="1"/>
  <c r="C397" i="2"/>
  <c r="M397" i="2"/>
  <c r="J396" i="2"/>
  <c r="B396" i="3"/>
  <c r="B398" i="2"/>
  <c r="C396" i="4" l="1"/>
  <c r="AB395" i="3"/>
  <c r="E396" i="4" s="1"/>
  <c r="D398" i="2"/>
  <c r="T397" i="2"/>
  <c r="D395" i="4"/>
  <c r="AA395" i="3"/>
  <c r="M398" i="2"/>
  <c r="J397" i="2"/>
  <c r="G397" i="2" s="1"/>
  <c r="T396" i="3" s="1"/>
  <c r="I393" i="3"/>
  <c r="F394" i="4" s="1"/>
  <c r="U393" i="3"/>
  <c r="J394" i="4" s="1"/>
  <c r="O393" i="3"/>
  <c r="H394" i="4" s="1"/>
  <c r="A397" i="4"/>
  <c r="C396" i="3"/>
  <c r="P396" i="3"/>
  <c r="E396" i="3"/>
  <c r="S396" i="3"/>
  <c r="Y396" i="3" s="1"/>
  <c r="Z396" i="3" s="1"/>
  <c r="G396" i="3"/>
  <c r="M396" i="3"/>
  <c r="V396" i="3"/>
  <c r="J396" i="3"/>
  <c r="C398" i="2"/>
  <c r="F394" i="3"/>
  <c r="D395" i="3"/>
  <c r="N398" i="2"/>
  <c r="H397" i="2"/>
  <c r="E397" i="2" s="1"/>
  <c r="H396" i="3" s="1"/>
  <c r="I396" i="4"/>
  <c r="M396" i="4" s="1"/>
  <c r="G396" i="4"/>
  <c r="L396" i="4" s="1"/>
  <c r="K396" i="4"/>
  <c r="N396" i="4" s="1"/>
  <c r="B397" i="3"/>
  <c r="B399" i="2"/>
  <c r="L398" i="2"/>
  <c r="I397" i="2"/>
  <c r="F397" i="2" s="1"/>
  <c r="N396" i="3" s="1"/>
  <c r="K400" i="2"/>
  <c r="C397" i="4" l="1"/>
  <c r="AB396" i="3"/>
  <c r="E397" i="4" s="1"/>
  <c r="J398" i="2"/>
  <c r="M399" i="2"/>
  <c r="D396" i="4"/>
  <c r="AA396" i="3"/>
  <c r="K401" i="2"/>
  <c r="N399" i="2"/>
  <c r="H398" i="2"/>
  <c r="D396" i="3"/>
  <c r="F395" i="3"/>
  <c r="I398" i="2"/>
  <c r="L399" i="2"/>
  <c r="O394" i="3"/>
  <c r="H395" i="4" s="1"/>
  <c r="U394" i="3"/>
  <c r="J395" i="4" s="1"/>
  <c r="I394" i="3"/>
  <c r="F395" i="4" s="1"/>
  <c r="D399" i="2"/>
  <c r="T398" i="2"/>
  <c r="G398" i="2"/>
  <c r="B398" i="3"/>
  <c r="B400" i="2"/>
  <c r="A398" i="4"/>
  <c r="C397" i="3"/>
  <c r="P397" i="3"/>
  <c r="E397" i="3"/>
  <c r="S397" i="3"/>
  <c r="Y397" i="3" s="1"/>
  <c r="Z397" i="3" s="1"/>
  <c r="G397" i="3"/>
  <c r="T397" i="3"/>
  <c r="J397" i="3"/>
  <c r="N397" i="3"/>
  <c r="V397" i="3"/>
  <c r="M397" i="3"/>
  <c r="C399" i="2"/>
  <c r="E398" i="2"/>
  <c r="H397" i="3" s="1"/>
  <c r="F398" i="2"/>
  <c r="K397" i="4"/>
  <c r="N397" i="4" s="1"/>
  <c r="G397" i="4"/>
  <c r="L397" i="4" s="1"/>
  <c r="I397" i="4"/>
  <c r="M397" i="4" s="1"/>
  <c r="O395" i="3" l="1"/>
  <c r="H396" i="4" s="1"/>
  <c r="U395" i="3"/>
  <c r="J396" i="4" s="1"/>
  <c r="I395" i="3"/>
  <c r="F396" i="4" s="1"/>
  <c r="C400" i="2"/>
  <c r="I398" i="4"/>
  <c r="M398" i="4" s="1"/>
  <c r="K398" i="4"/>
  <c r="N398" i="4" s="1"/>
  <c r="G398" i="4"/>
  <c r="L398" i="4" s="1"/>
  <c r="D397" i="3"/>
  <c r="F396" i="3"/>
  <c r="C398" i="4"/>
  <c r="AB397" i="3"/>
  <c r="E398" i="4" s="1"/>
  <c r="B399" i="3"/>
  <c r="B401" i="2"/>
  <c r="A399" i="4"/>
  <c r="C398" i="3"/>
  <c r="P398" i="3"/>
  <c r="E398" i="3"/>
  <c r="S398" i="3"/>
  <c r="Y398" i="3" s="1"/>
  <c r="Z398" i="3" s="1"/>
  <c r="G398" i="3"/>
  <c r="V398" i="3"/>
  <c r="J398" i="3"/>
  <c r="M398" i="3"/>
  <c r="N400" i="2"/>
  <c r="H399" i="2"/>
  <c r="E399" i="2" s="1"/>
  <c r="H398" i="3" s="1"/>
  <c r="K402" i="2"/>
  <c r="T399" i="2"/>
  <c r="G399" i="2"/>
  <c r="T398" i="3" s="1"/>
  <c r="D400" i="2"/>
  <c r="D397" i="4"/>
  <c r="AA397" i="3"/>
  <c r="M400" i="2"/>
  <c r="J399" i="2"/>
  <c r="L400" i="2"/>
  <c r="I399" i="2"/>
  <c r="F399" i="2" s="1"/>
  <c r="N398" i="3" s="1"/>
  <c r="K403" i="2" l="1"/>
  <c r="N401" i="2"/>
  <c r="H400" i="2"/>
  <c r="G399" i="4"/>
  <c r="L399" i="4" s="1"/>
  <c r="I399" i="4"/>
  <c r="M399" i="4" s="1"/>
  <c r="K399" i="4"/>
  <c r="N399" i="4" s="1"/>
  <c r="L401" i="2"/>
  <c r="I400" i="2"/>
  <c r="C399" i="4"/>
  <c r="AB398" i="3"/>
  <c r="E399" i="4" s="1"/>
  <c r="B400" i="3"/>
  <c r="B402" i="2"/>
  <c r="F400" i="2"/>
  <c r="C401" i="2"/>
  <c r="E400" i="2"/>
  <c r="A400" i="4"/>
  <c r="C399" i="3"/>
  <c r="M399" i="3"/>
  <c r="N399" i="3"/>
  <c r="P399" i="3"/>
  <c r="E399" i="3"/>
  <c r="S399" i="3"/>
  <c r="Y399" i="3" s="1"/>
  <c r="Z399" i="3" s="1"/>
  <c r="J399" i="3"/>
  <c r="V399" i="3"/>
  <c r="G399" i="3"/>
  <c r="H399" i="3"/>
  <c r="M401" i="2"/>
  <c r="J400" i="2"/>
  <c r="G400" i="2" s="1"/>
  <c r="T399" i="3" s="1"/>
  <c r="D398" i="4"/>
  <c r="AA398" i="3"/>
  <c r="U396" i="3"/>
  <c r="J397" i="4" s="1"/>
  <c r="I396" i="3"/>
  <c r="F397" i="4" s="1"/>
  <c r="O396" i="3"/>
  <c r="H397" i="4" s="1"/>
  <c r="D401" i="2"/>
  <c r="T400" i="2"/>
  <c r="D398" i="3"/>
  <c r="F397" i="3"/>
  <c r="C400" i="4" l="1"/>
  <c r="AB399" i="3"/>
  <c r="E400" i="4" s="1"/>
  <c r="D399" i="4"/>
  <c r="AA399" i="3"/>
  <c r="I401" i="2"/>
  <c r="L402" i="2"/>
  <c r="J401" i="2"/>
  <c r="M402" i="2"/>
  <c r="G400" i="4"/>
  <c r="L400" i="4" s="1"/>
  <c r="I400" i="4"/>
  <c r="M400" i="4" s="1"/>
  <c r="K400" i="4"/>
  <c r="N400" i="4" s="1"/>
  <c r="C402" i="2"/>
  <c r="F401" i="2"/>
  <c r="D402" i="2"/>
  <c r="T401" i="2"/>
  <c r="G401" i="2"/>
  <c r="B401" i="3"/>
  <c r="B403" i="2"/>
  <c r="I397" i="3"/>
  <c r="F398" i="4" s="1"/>
  <c r="U397" i="3"/>
  <c r="J398" i="4" s="1"/>
  <c r="O397" i="3"/>
  <c r="H398" i="4" s="1"/>
  <c r="F398" i="3"/>
  <c r="D399" i="3"/>
  <c r="A401" i="4"/>
  <c r="M400" i="3"/>
  <c r="N400" i="3"/>
  <c r="C400" i="3"/>
  <c r="P400" i="3"/>
  <c r="E400" i="3"/>
  <c r="V400" i="3"/>
  <c r="G400" i="3"/>
  <c r="T400" i="3"/>
  <c r="J400" i="3"/>
  <c r="S400" i="3"/>
  <c r="Y400" i="3" s="1"/>
  <c r="Z400" i="3" s="1"/>
  <c r="N402" i="2"/>
  <c r="H401" i="2"/>
  <c r="E401" i="2" s="1"/>
  <c r="H400" i="3" s="1"/>
  <c r="K404" i="2"/>
  <c r="B402" i="3" l="1"/>
  <c r="B404" i="2"/>
  <c r="M403" i="2"/>
  <c r="J402" i="2"/>
  <c r="A402" i="4"/>
  <c r="M401" i="3"/>
  <c r="C401" i="3"/>
  <c r="P401" i="3"/>
  <c r="V401" i="3"/>
  <c r="E401" i="3"/>
  <c r="G401" i="3"/>
  <c r="J401" i="3"/>
  <c r="S401" i="3"/>
  <c r="Y401" i="3" s="1"/>
  <c r="Z401" i="3" s="1"/>
  <c r="T402" i="2"/>
  <c r="G402" i="2"/>
  <c r="T401" i="3" s="1"/>
  <c r="D403" i="2"/>
  <c r="L403" i="2"/>
  <c r="I402" i="2"/>
  <c r="C401" i="4"/>
  <c r="AB400" i="3"/>
  <c r="E401" i="4" s="1"/>
  <c r="K405" i="2"/>
  <c r="N403" i="2"/>
  <c r="H402" i="2"/>
  <c r="E402" i="2" s="1"/>
  <c r="H401" i="3" s="1"/>
  <c r="G401" i="4"/>
  <c r="L401" i="4" s="1"/>
  <c r="K401" i="4"/>
  <c r="N401" i="4" s="1"/>
  <c r="I401" i="4"/>
  <c r="M401" i="4" s="1"/>
  <c r="D400" i="4"/>
  <c r="AA400" i="3"/>
  <c r="D400" i="3"/>
  <c r="F399" i="3"/>
  <c r="F402" i="2"/>
  <c r="N401" i="3" s="1"/>
  <c r="C403" i="2"/>
  <c r="O398" i="3"/>
  <c r="H399" i="4" s="1"/>
  <c r="I398" i="3"/>
  <c r="F399" i="4" s="1"/>
  <c r="U398" i="3"/>
  <c r="J399" i="4" s="1"/>
  <c r="D401" i="4" l="1"/>
  <c r="AA401" i="3"/>
  <c r="L404" i="2"/>
  <c r="I403" i="2"/>
  <c r="D404" i="2"/>
  <c r="T403" i="2"/>
  <c r="C402" i="4"/>
  <c r="AB401" i="3"/>
  <c r="E402" i="4" s="1"/>
  <c r="I402" i="4"/>
  <c r="M402" i="4" s="1"/>
  <c r="G402" i="4"/>
  <c r="L402" i="4" s="1"/>
  <c r="K402" i="4"/>
  <c r="N402" i="4" s="1"/>
  <c r="D401" i="3"/>
  <c r="F400" i="3"/>
  <c r="M404" i="2"/>
  <c r="J403" i="2"/>
  <c r="G403" i="2" s="1"/>
  <c r="T402" i="3" s="1"/>
  <c r="N404" i="2"/>
  <c r="H403" i="2"/>
  <c r="B403" i="3"/>
  <c r="B405" i="2"/>
  <c r="F403" i="2"/>
  <c r="C404" i="2"/>
  <c r="E403" i="2"/>
  <c r="O399" i="3"/>
  <c r="H400" i="4" s="1"/>
  <c r="I399" i="3"/>
  <c r="F400" i="4" s="1"/>
  <c r="U399" i="3"/>
  <c r="J400" i="4" s="1"/>
  <c r="K406" i="2"/>
  <c r="A403" i="4"/>
  <c r="J402" i="3"/>
  <c r="V402" i="3"/>
  <c r="M402" i="3"/>
  <c r="N402" i="3"/>
  <c r="C402" i="3"/>
  <c r="G402" i="3"/>
  <c r="S402" i="3"/>
  <c r="Y402" i="3" s="1"/>
  <c r="Z402" i="3" s="1"/>
  <c r="E402" i="3"/>
  <c r="H402" i="3"/>
  <c r="P402" i="3"/>
  <c r="A404" i="4" l="1"/>
  <c r="G403" i="3"/>
  <c r="S403" i="3"/>
  <c r="Y403" i="3" s="1"/>
  <c r="Z403" i="3" s="1"/>
  <c r="J403" i="3"/>
  <c r="V403" i="3"/>
  <c r="P403" i="3"/>
  <c r="C403" i="3"/>
  <c r="E403" i="3"/>
  <c r="M403" i="3"/>
  <c r="K403" i="4"/>
  <c r="N403" i="4" s="1"/>
  <c r="G403" i="4"/>
  <c r="L403" i="4" s="1"/>
  <c r="I403" i="4"/>
  <c r="M403" i="4" s="1"/>
  <c r="N405" i="2"/>
  <c r="H404" i="2"/>
  <c r="B404" i="3"/>
  <c r="B406" i="2"/>
  <c r="K407" i="2"/>
  <c r="J404" i="2"/>
  <c r="M405" i="2"/>
  <c r="D405" i="2"/>
  <c r="T404" i="2"/>
  <c r="G404" i="2"/>
  <c r="T403" i="3" s="1"/>
  <c r="O400" i="3"/>
  <c r="H401" i="4" s="1"/>
  <c r="I400" i="3"/>
  <c r="F401" i="4" s="1"/>
  <c r="U400" i="3"/>
  <c r="J401" i="4" s="1"/>
  <c r="C403" i="4"/>
  <c r="AB402" i="3"/>
  <c r="E403" i="4" s="1"/>
  <c r="D402" i="3"/>
  <c r="F401" i="3"/>
  <c r="I404" i="2"/>
  <c r="L405" i="2"/>
  <c r="D402" i="4"/>
  <c r="AA402" i="3"/>
  <c r="C405" i="2"/>
  <c r="E404" i="2"/>
  <c r="H403" i="3" s="1"/>
  <c r="F404" i="2"/>
  <c r="N403" i="3" s="1"/>
  <c r="I401" i="3" l="1"/>
  <c r="F402" i="4" s="1"/>
  <c r="U401" i="3"/>
  <c r="J402" i="4" s="1"/>
  <c r="O401" i="3"/>
  <c r="H402" i="4" s="1"/>
  <c r="K408" i="2"/>
  <c r="C404" i="4"/>
  <c r="AB403" i="3"/>
  <c r="E404" i="4" s="1"/>
  <c r="B405" i="3"/>
  <c r="B407" i="2"/>
  <c r="D403" i="3"/>
  <c r="F402" i="3"/>
  <c r="A405" i="4"/>
  <c r="P404" i="3"/>
  <c r="E404" i="3"/>
  <c r="G404" i="3"/>
  <c r="S404" i="3"/>
  <c r="Y404" i="3" s="1"/>
  <c r="Z404" i="3" s="1"/>
  <c r="M404" i="3"/>
  <c r="V404" i="3"/>
  <c r="C404" i="3"/>
  <c r="J404" i="3"/>
  <c r="N406" i="2"/>
  <c r="H405" i="2"/>
  <c r="E405" i="2" s="1"/>
  <c r="H404" i="3" s="1"/>
  <c r="F405" i="2"/>
  <c r="N404" i="3" s="1"/>
  <c r="C406" i="2"/>
  <c r="D403" i="4"/>
  <c r="AA403" i="3"/>
  <c r="T405" i="2"/>
  <c r="D406" i="2"/>
  <c r="L406" i="2"/>
  <c r="I405" i="2"/>
  <c r="M406" i="2"/>
  <c r="J405" i="2"/>
  <c r="G405" i="2" s="1"/>
  <c r="T404" i="3" s="1"/>
  <c r="I404" i="4"/>
  <c r="M404" i="4" s="1"/>
  <c r="K404" i="4"/>
  <c r="N404" i="4" s="1"/>
  <c r="G404" i="4"/>
  <c r="L404" i="4" s="1"/>
  <c r="N407" i="2" l="1"/>
  <c r="H406" i="2"/>
  <c r="O402" i="3"/>
  <c r="H403" i="4" s="1"/>
  <c r="U402" i="3"/>
  <c r="J403" i="4" s="1"/>
  <c r="I402" i="3"/>
  <c r="F403" i="4" s="1"/>
  <c r="M407" i="2"/>
  <c r="J406" i="2"/>
  <c r="G406" i="2" s="1"/>
  <c r="T405" i="3" s="1"/>
  <c r="D404" i="3"/>
  <c r="F403" i="3"/>
  <c r="G405" i="4"/>
  <c r="L405" i="4" s="1"/>
  <c r="I405" i="4"/>
  <c r="M405" i="4" s="1"/>
  <c r="K405" i="4"/>
  <c r="N405" i="4" s="1"/>
  <c r="L407" i="2"/>
  <c r="I406" i="2"/>
  <c r="D407" i="2"/>
  <c r="T406" i="2"/>
  <c r="B406" i="3"/>
  <c r="B408" i="2"/>
  <c r="A406" i="4"/>
  <c r="M405" i="3"/>
  <c r="N405" i="3"/>
  <c r="C405" i="3"/>
  <c r="P405" i="3"/>
  <c r="E405" i="3"/>
  <c r="J405" i="3"/>
  <c r="V405" i="3"/>
  <c r="S405" i="3"/>
  <c r="Y405" i="3" s="1"/>
  <c r="Z405" i="3" s="1"/>
  <c r="G405" i="3"/>
  <c r="H405" i="3"/>
  <c r="C405" i="4"/>
  <c r="AB404" i="3"/>
  <c r="E405" i="4" s="1"/>
  <c r="D404" i="4"/>
  <c r="AA404" i="3"/>
  <c r="K409" i="2"/>
  <c r="F406" i="2"/>
  <c r="C407" i="2"/>
  <c r="E406" i="2"/>
  <c r="G406" i="4" l="1"/>
  <c r="L406" i="4" s="1"/>
  <c r="I406" i="4"/>
  <c r="M406" i="4" s="1"/>
  <c r="K406" i="4"/>
  <c r="N406" i="4" s="1"/>
  <c r="B407" i="3"/>
  <c r="B409" i="2"/>
  <c r="C406" i="4"/>
  <c r="AB405" i="3"/>
  <c r="E406" i="4" s="1"/>
  <c r="A407" i="4"/>
  <c r="J406" i="3"/>
  <c r="V406" i="3"/>
  <c r="M406" i="3"/>
  <c r="C406" i="3"/>
  <c r="G406" i="3"/>
  <c r="S406" i="3"/>
  <c r="Y406" i="3" s="1"/>
  <c r="Z406" i="3" s="1"/>
  <c r="E406" i="3"/>
  <c r="P406" i="3"/>
  <c r="I403" i="3"/>
  <c r="F404" i="4" s="1"/>
  <c r="U403" i="3"/>
  <c r="J404" i="4" s="1"/>
  <c r="O403" i="3"/>
  <c r="H404" i="4" s="1"/>
  <c r="F404" i="3"/>
  <c r="D405" i="3"/>
  <c r="D408" i="2"/>
  <c r="T407" i="2"/>
  <c r="G407" i="2"/>
  <c r="T406" i="3" s="1"/>
  <c r="C408" i="2"/>
  <c r="J407" i="2"/>
  <c r="M408" i="2"/>
  <c r="I407" i="2"/>
  <c r="F407" i="2" s="1"/>
  <c r="N406" i="3" s="1"/>
  <c r="L408" i="2"/>
  <c r="K410" i="2"/>
  <c r="D405" i="4"/>
  <c r="AA405" i="3"/>
  <c r="N408" i="2"/>
  <c r="H407" i="2"/>
  <c r="E407" i="2" s="1"/>
  <c r="H406" i="3" s="1"/>
  <c r="M409" i="2" l="1"/>
  <c r="J408" i="2"/>
  <c r="G407" i="4"/>
  <c r="L407" i="4" s="1"/>
  <c r="K407" i="4"/>
  <c r="N407" i="4" s="1"/>
  <c r="I407" i="4"/>
  <c r="M407" i="4" s="1"/>
  <c r="L409" i="2"/>
  <c r="I408" i="2"/>
  <c r="F408" i="2" s="1"/>
  <c r="N407" i="3" s="1"/>
  <c r="B408" i="3"/>
  <c r="B410" i="2"/>
  <c r="C409" i="2"/>
  <c r="A408" i="4"/>
  <c r="G407" i="3"/>
  <c r="S407" i="3"/>
  <c r="Y407" i="3" s="1"/>
  <c r="Z407" i="3" s="1"/>
  <c r="T407" i="3"/>
  <c r="J407" i="3"/>
  <c r="V407" i="3"/>
  <c r="P407" i="3"/>
  <c r="M407" i="3"/>
  <c r="C407" i="3"/>
  <c r="E407" i="3"/>
  <c r="N409" i="2"/>
  <c r="H408" i="2"/>
  <c r="E408" i="2" s="1"/>
  <c r="H407" i="3" s="1"/>
  <c r="D406" i="4"/>
  <c r="AA406" i="3"/>
  <c r="T408" i="2"/>
  <c r="G408" i="2"/>
  <c r="D409" i="2"/>
  <c r="F405" i="3"/>
  <c r="D406" i="3"/>
  <c r="K411" i="2"/>
  <c r="I404" i="3"/>
  <c r="F405" i="4" s="1"/>
  <c r="U404" i="3"/>
  <c r="J405" i="4" s="1"/>
  <c r="O404" i="3"/>
  <c r="H405" i="4" s="1"/>
  <c r="C407" i="4"/>
  <c r="AB406" i="3"/>
  <c r="E407" i="4" s="1"/>
  <c r="O405" i="3" l="1"/>
  <c r="H406" i="4" s="1"/>
  <c r="U405" i="3"/>
  <c r="J406" i="4" s="1"/>
  <c r="I405" i="3"/>
  <c r="F406" i="4" s="1"/>
  <c r="A409" i="4"/>
  <c r="P408" i="3"/>
  <c r="E408" i="3"/>
  <c r="G408" i="3"/>
  <c r="S408" i="3"/>
  <c r="Y408" i="3" s="1"/>
  <c r="Z408" i="3" s="1"/>
  <c r="M408" i="3"/>
  <c r="V408" i="3"/>
  <c r="C408" i="3"/>
  <c r="J408" i="3"/>
  <c r="D407" i="3"/>
  <c r="F406" i="3"/>
  <c r="D410" i="2"/>
  <c r="T409" i="2"/>
  <c r="B409" i="3"/>
  <c r="B411" i="2"/>
  <c r="L410" i="2"/>
  <c r="I409" i="2"/>
  <c r="D407" i="4"/>
  <c r="AA407" i="3"/>
  <c r="N410" i="2"/>
  <c r="H409" i="2"/>
  <c r="I408" i="4"/>
  <c r="M408" i="4" s="1"/>
  <c r="K408" i="4"/>
  <c r="N408" i="4" s="1"/>
  <c r="G408" i="4"/>
  <c r="L408" i="4" s="1"/>
  <c r="F409" i="2"/>
  <c r="N408" i="3" s="1"/>
  <c r="C410" i="2"/>
  <c r="E409" i="2"/>
  <c r="H408" i="3" s="1"/>
  <c r="K412" i="2"/>
  <c r="C408" i="4"/>
  <c r="AB407" i="3"/>
  <c r="E408" i="4" s="1"/>
  <c r="M410" i="2"/>
  <c r="J409" i="2"/>
  <c r="G409" i="2" s="1"/>
  <c r="T408" i="3" s="1"/>
  <c r="C411" i="2" l="1"/>
  <c r="B410" i="3"/>
  <c r="B412" i="2"/>
  <c r="A410" i="4"/>
  <c r="M409" i="3"/>
  <c r="C409" i="3"/>
  <c r="P409" i="3"/>
  <c r="E409" i="3"/>
  <c r="J409" i="3"/>
  <c r="V409" i="3"/>
  <c r="S409" i="3"/>
  <c r="Y409" i="3" s="1"/>
  <c r="Z409" i="3" s="1"/>
  <c r="G409" i="3"/>
  <c r="D411" i="2"/>
  <c r="T410" i="2"/>
  <c r="I410" i="2"/>
  <c r="F410" i="2" s="1"/>
  <c r="N409" i="3" s="1"/>
  <c r="L411" i="2"/>
  <c r="J410" i="2"/>
  <c r="G410" i="2" s="1"/>
  <c r="T409" i="3" s="1"/>
  <c r="M411" i="2"/>
  <c r="O406" i="3"/>
  <c r="H407" i="4" s="1"/>
  <c r="U406" i="3"/>
  <c r="J407" i="4" s="1"/>
  <c r="I406" i="3"/>
  <c r="F407" i="4" s="1"/>
  <c r="D408" i="3"/>
  <c r="F407" i="3"/>
  <c r="K409" i="4"/>
  <c r="N409" i="4" s="1"/>
  <c r="G409" i="4"/>
  <c r="L409" i="4" s="1"/>
  <c r="I409" i="4"/>
  <c r="M409" i="4" s="1"/>
  <c r="N411" i="2"/>
  <c r="H410" i="2"/>
  <c r="E410" i="2" s="1"/>
  <c r="H409" i="3" s="1"/>
  <c r="K413" i="2"/>
  <c r="D408" i="4"/>
  <c r="AA408" i="3"/>
  <c r="C409" i="4"/>
  <c r="AB408" i="3"/>
  <c r="E409" i="4" s="1"/>
  <c r="N412" i="2" l="1"/>
  <c r="H411" i="2"/>
  <c r="M412" i="2"/>
  <c r="J411" i="2"/>
  <c r="L412" i="2"/>
  <c r="I411" i="2"/>
  <c r="C410" i="4"/>
  <c r="AB409" i="3"/>
  <c r="E410" i="4" s="1"/>
  <c r="T411" i="2"/>
  <c r="G411" i="2"/>
  <c r="D412" i="2"/>
  <c r="I410" i="4"/>
  <c r="M410" i="4" s="1"/>
  <c r="K410" i="4"/>
  <c r="N410" i="4" s="1"/>
  <c r="G410" i="4"/>
  <c r="L410" i="4" s="1"/>
  <c r="D409" i="4"/>
  <c r="AA409" i="3"/>
  <c r="I407" i="3"/>
  <c r="F408" i="4" s="1"/>
  <c r="U407" i="3"/>
  <c r="J408" i="4" s="1"/>
  <c r="O407" i="3"/>
  <c r="H408" i="4" s="1"/>
  <c r="B411" i="3"/>
  <c r="B413" i="2"/>
  <c r="F408" i="3"/>
  <c r="D409" i="3"/>
  <c r="A411" i="4"/>
  <c r="J410" i="3"/>
  <c r="V410" i="3"/>
  <c r="M410" i="3"/>
  <c r="C410" i="3"/>
  <c r="G410" i="3"/>
  <c r="S410" i="3"/>
  <c r="Y410" i="3" s="1"/>
  <c r="Z410" i="3" s="1"/>
  <c r="P410" i="3"/>
  <c r="T410" i="3"/>
  <c r="E410" i="3"/>
  <c r="K414" i="2"/>
  <c r="E411" i="2"/>
  <c r="H410" i="3" s="1"/>
  <c r="F411" i="2"/>
  <c r="N410" i="3" s="1"/>
  <c r="C412" i="2"/>
  <c r="B412" i="3" l="1"/>
  <c r="B414" i="2"/>
  <c r="F412" i="2"/>
  <c r="C413" i="2"/>
  <c r="D410" i="4"/>
  <c r="AA410" i="3"/>
  <c r="D413" i="2"/>
  <c r="T412" i="2"/>
  <c r="C411" i="4"/>
  <c r="AB410" i="3"/>
  <c r="E411" i="4" s="1"/>
  <c r="L413" i="2"/>
  <c r="I412" i="2"/>
  <c r="K415" i="2"/>
  <c r="G411" i="4"/>
  <c r="L411" i="4" s="1"/>
  <c r="I411" i="4"/>
  <c r="M411" i="4" s="1"/>
  <c r="K411" i="4"/>
  <c r="N411" i="4" s="1"/>
  <c r="M413" i="2"/>
  <c r="J412" i="2"/>
  <c r="G412" i="2" s="1"/>
  <c r="T411" i="3" s="1"/>
  <c r="F409" i="3"/>
  <c r="D410" i="3"/>
  <c r="A412" i="4"/>
  <c r="G411" i="3"/>
  <c r="S411" i="3"/>
  <c r="Y411" i="3" s="1"/>
  <c r="Z411" i="3" s="1"/>
  <c r="J411" i="3"/>
  <c r="V411" i="3"/>
  <c r="P411" i="3"/>
  <c r="M411" i="3"/>
  <c r="N411" i="3"/>
  <c r="E411" i="3"/>
  <c r="C411" i="3"/>
  <c r="I408" i="3"/>
  <c r="F409" i="4" s="1"/>
  <c r="U408" i="3"/>
  <c r="J409" i="4" s="1"/>
  <c r="O408" i="3"/>
  <c r="H409" i="4" s="1"/>
  <c r="N413" i="2"/>
  <c r="H412" i="2"/>
  <c r="E412" i="2" s="1"/>
  <c r="H411" i="3" s="1"/>
  <c r="C412" i="4" l="1"/>
  <c r="AB411" i="3"/>
  <c r="E412" i="4" s="1"/>
  <c r="J413" i="2"/>
  <c r="M414" i="2"/>
  <c r="D414" i="2"/>
  <c r="T413" i="2"/>
  <c r="G413" i="2"/>
  <c r="D411" i="4"/>
  <c r="AA411" i="3"/>
  <c r="C414" i="2"/>
  <c r="E413" i="2"/>
  <c r="H412" i="3" s="1"/>
  <c r="N414" i="2"/>
  <c r="H413" i="2"/>
  <c r="G412" i="4"/>
  <c r="L412" i="4" s="1"/>
  <c r="I412" i="4"/>
  <c r="M412" i="4" s="1"/>
  <c r="K412" i="4"/>
  <c r="N412" i="4" s="1"/>
  <c r="K416" i="2"/>
  <c r="D411" i="3"/>
  <c r="F410" i="3"/>
  <c r="B413" i="3"/>
  <c r="B415" i="2"/>
  <c r="O409" i="3"/>
  <c r="H410" i="4" s="1"/>
  <c r="U409" i="3"/>
  <c r="J410" i="4" s="1"/>
  <c r="I409" i="3"/>
  <c r="F410" i="4" s="1"/>
  <c r="I413" i="2"/>
  <c r="F413" i="2" s="1"/>
  <c r="N412" i="3" s="1"/>
  <c r="L414" i="2"/>
  <c r="A413" i="4"/>
  <c r="P412" i="3"/>
  <c r="E412" i="3"/>
  <c r="G412" i="3"/>
  <c r="S412" i="3"/>
  <c r="Y412" i="3" s="1"/>
  <c r="Z412" i="3" s="1"/>
  <c r="T412" i="3"/>
  <c r="M412" i="3"/>
  <c r="C412" i="3"/>
  <c r="J412" i="3"/>
  <c r="V412" i="3"/>
  <c r="O410" i="3" l="1"/>
  <c r="H411" i="4" s="1"/>
  <c r="I410" i="3"/>
  <c r="F411" i="4" s="1"/>
  <c r="U410" i="3"/>
  <c r="J411" i="4" s="1"/>
  <c r="D412" i="3"/>
  <c r="F411" i="3"/>
  <c r="C415" i="2"/>
  <c r="K417" i="2"/>
  <c r="D412" i="4"/>
  <c r="AA412" i="3"/>
  <c r="G413" i="4"/>
  <c r="L413" i="4" s="1"/>
  <c r="K413" i="4"/>
  <c r="N413" i="4" s="1"/>
  <c r="I413" i="4"/>
  <c r="M413" i="4" s="1"/>
  <c r="L415" i="2"/>
  <c r="I414" i="2"/>
  <c r="F414" i="2" s="1"/>
  <c r="N413" i="3" s="1"/>
  <c r="T414" i="2"/>
  <c r="D415" i="2"/>
  <c r="M415" i="2"/>
  <c r="J414" i="2"/>
  <c r="G414" i="2" s="1"/>
  <c r="T413" i="3" s="1"/>
  <c r="B414" i="3"/>
  <c r="B416" i="2"/>
  <c r="C413" i="4"/>
  <c r="AB412" i="3"/>
  <c r="E413" i="4" s="1"/>
  <c r="A414" i="4"/>
  <c r="M413" i="3"/>
  <c r="C413" i="3"/>
  <c r="P413" i="3"/>
  <c r="E413" i="3"/>
  <c r="J413" i="3"/>
  <c r="V413" i="3"/>
  <c r="G413" i="3"/>
  <c r="S413" i="3"/>
  <c r="Y413" i="3" s="1"/>
  <c r="Z413" i="3" s="1"/>
  <c r="N415" i="2"/>
  <c r="H414" i="2"/>
  <c r="E414" i="2" s="1"/>
  <c r="H413" i="3" s="1"/>
  <c r="M416" i="2" l="1"/>
  <c r="J415" i="2"/>
  <c r="D413" i="4"/>
  <c r="AA413" i="3"/>
  <c r="K418" i="2"/>
  <c r="C416" i="2"/>
  <c r="E415" i="2"/>
  <c r="H414" i="3" s="1"/>
  <c r="A415" i="4"/>
  <c r="J414" i="3"/>
  <c r="V414" i="3"/>
  <c r="M414" i="3"/>
  <c r="C414" i="3"/>
  <c r="G414" i="3"/>
  <c r="S414" i="3"/>
  <c r="Y414" i="3" s="1"/>
  <c r="Z414" i="3" s="1"/>
  <c r="E414" i="3"/>
  <c r="P414" i="3"/>
  <c r="T414" i="3"/>
  <c r="G415" i="2"/>
  <c r="D416" i="2"/>
  <c r="T415" i="2"/>
  <c r="C414" i="4"/>
  <c r="AB413" i="3"/>
  <c r="E414" i="4" s="1"/>
  <c r="L416" i="2"/>
  <c r="I415" i="2"/>
  <c r="F415" i="2" s="1"/>
  <c r="N414" i="3" s="1"/>
  <c r="N416" i="2"/>
  <c r="H415" i="2"/>
  <c r="I414" i="4"/>
  <c r="M414" i="4" s="1"/>
  <c r="K414" i="4"/>
  <c r="N414" i="4" s="1"/>
  <c r="G414" i="4"/>
  <c r="L414" i="4" s="1"/>
  <c r="I411" i="3"/>
  <c r="F412" i="4" s="1"/>
  <c r="U411" i="3"/>
  <c r="J412" i="4" s="1"/>
  <c r="O411" i="3"/>
  <c r="H412" i="4" s="1"/>
  <c r="F412" i="3"/>
  <c r="D413" i="3"/>
  <c r="B415" i="3"/>
  <c r="B417" i="2"/>
  <c r="K415" i="4" l="1"/>
  <c r="N415" i="4" s="1"/>
  <c r="G415" i="4"/>
  <c r="L415" i="4" s="1"/>
  <c r="I415" i="4"/>
  <c r="M415" i="4" s="1"/>
  <c r="C417" i="2"/>
  <c r="E416" i="2"/>
  <c r="H415" i="3" s="1"/>
  <c r="F416" i="2"/>
  <c r="B416" i="3"/>
  <c r="B418" i="2"/>
  <c r="A416" i="4"/>
  <c r="G415" i="3"/>
  <c r="S415" i="3"/>
  <c r="Y415" i="3" s="1"/>
  <c r="Z415" i="3" s="1"/>
  <c r="J415" i="3"/>
  <c r="V415" i="3"/>
  <c r="P415" i="3"/>
  <c r="C415" i="3"/>
  <c r="E415" i="3"/>
  <c r="M415" i="3"/>
  <c r="N415" i="3"/>
  <c r="F413" i="3"/>
  <c r="D414" i="3"/>
  <c r="N417" i="2"/>
  <c r="H416" i="2"/>
  <c r="K419" i="2"/>
  <c r="D417" i="2"/>
  <c r="T416" i="2"/>
  <c r="G416" i="2"/>
  <c r="T415" i="3" s="1"/>
  <c r="I412" i="3"/>
  <c r="F413" i="4" s="1"/>
  <c r="U412" i="3"/>
  <c r="J413" i="4" s="1"/>
  <c r="O412" i="3"/>
  <c r="H413" i="4" s="1"/>
  <c r="D414" i="4"/>
  <c r="AA414" i="3"/>
  <c r="I416" i="2"/>
  <c r="L417" i="2"/>
  <c r="C415" i="4"/>
  <c r="AB414" i="3"/>
  <c r="E415" i="4" s="1"/>
  <c r="J416" i="2"/>
  <c r="M417" i="2"/>
  <c r="D415" i="3" l="1"/>
  <c r="F414" i="3"/>
  <c r="O413" i="3"/>
  <c r="H414" i="4" s="1"/>
  <c r="I413" i="3"/>
  <c r="F414" i="4" s="1"/>
  <c r="U413" i="3"/>
  <c r="J414" i="4" s="1"/>
  <c r="I416" i="4"/>
  <c r="M416" i="4" s="1"/>
  <c r="K416" i="4"/>
  <c r="N416" i="4" s="1"/>
  <c r="G416" i="4"/>
  <c r="L416" i="4" s="1"/>
  <c r="B417" i="3"/>
  <c r="B419" i="2"/>
  <c r="C416" i="4"/>
  <c r="AB415" i="3"/>
  <c r="E416" i="4" s="1"/>
  <c r="A417" i="4"/>
  <c r="P416" i="3"/>
  <c r="E416" i="3"/>
  <c r="G416" i="3"/>
  <c r="S416" i="3"/>
  <c r="Y416" i="3" s="1"/>
  <c r="Z416" i="3" s="1"/>
  <c r="M416" i="3"/>
  <c r="C416" i="3"/>
  <c r="J416" i="3"/>
  <c r="V416" i="3"/>
  <c r="M418" i="2"/>
  <c r="J417" i="2"/>
  <c r="C418" i="2"/>
  <c r="T417" i="2"/>
  <c r="G417" i="2"/>
  <c r="T416" i="3" s="1"/>
  <c r="D418" i="2"/>
  <c r="K420" i="2"/>
  <c r="N418" i="2"/>
  <c r="H417" i="2"/>
  <c r="E417" i="2" s="1"/>
  <c r="H416" i="3" s="1"/>
  <c r="L418" i="2"/>
  <c r="I417" i="2"/>
  <c r="F417" i="2" s="1"/>
  <c r="N416" i="3" s="1"/>
  <c r="D415" i="4"/>
  <c r="AA415" i="3"/>
  <c r="A418" i="4" l="1"/>
  <c r="M417" i="3"/>
  <c r="C417" i="3"/>
  <c r="P417" i="3"/>
  <c r="E417" i="3"/>
  <c r="J417" i="3"/>
  <c r="V417" i="3"/>
  <c r="G417" i="3"/>
  <c r="S417" i="3"/>
  <c r="Y417" i="3" s="1"/>
  <c r="Z417" i="3" s="1"/>
  <c r="D419" i="2"/>
  <c r="T418" i="2"/>
  <c r="C417" i="4"/>
  <c r="AB416" i="3"/>
  <c r="E417" i="4" s="1"/>
  <c r="C419" i="2"/>
  <c r="D416" i="4"/>
  <c r="AA416" i="3"/>
  <c r="L419" i="2"/>
  <c r="I418" i="2"/>
  <c r="F418" i="2" s="1"/>
  <c r="N417" i="3" s="1"/>
  <c r="M419" i="2"/>
  <c r="J418" i="2"/>
  <c r="G418" i="2" s="1"/>
  <c r="T417" i="3" s="1"/>
  <c r="G417" i="4"/>
  <c r="L417" i="4" s="1"/>
  <c r="I417" i="4"/>
  <c r="M417" i="4" s="1"/>
  <c r="K417" i="4"/>
  <c r="N417" i="4" s="1"/>
  <c r="N419" i="2"/>
  <c r="H418" i="2"/>
  <c r="E418" i="2" s="1"/>
  <c r="H417" i="3" s="1"/>
  <c r="O414" i="3"/>
  <c r="H415" i="4" s="1"/>
  <c r="I414" i="3"/>
  <c r="F415" i="4" s="1"/>
  <c r="U414" i="3"/>
  <c r="J415" i="4" s="1"/>
  <c r="K421" i="2"/>
  <c r="B418" i="3"/>
  <c r="B420" i="2"/>
  <c r="D416" i="3"/>
  <c r="F415" i="3"/>
  <c r="I419" i="2" l="1"/>
  <c r="L420" i="2"/>
  <c r="D417" i="4"/>
  <c r="AA417" i="3"/>
  <c r="N420" i="2"/>
  <c r="H419" i="2"/>
  <c r="C420" i="2"/>
  <c r="E419" i="2"/>
  <c r="F419" i="2"/>
  <c r="I415" i="3"/>
  <c r="F416" i="4" s="1"/>
  <c r="U415" i="3"/>
  <c r="J416" i="4" s="1"/>
  <c r="O415" i="3"/>
  <c r="H416" i="4" s="1"/>
  <c r="F416" i="3"/>
  <c r="D417" i="3"/>
  <c r="B419" i="3"/>
  <c r="B421" i="2"/>
  <c r="A419" i="4"/>
  <c r="J418" i="3"/>
  <c r="V418" i="3"/>
  <c r="M418" i="3"/>
  <c r="C418" i="3"/>
  <c r="G418" i="3"/>
  <c r="S418" i="3"/>
  <c r="Y418" i="3" s="1"/>
  <c r="Z418" i="3" s="1"/>
  <c r="E418" i="3"/>
  <c r="H418" i="3"/>
  <c r="P418" i="3"/>
  <c r="N418" i="3"/>
  <c r="K422" i="2"/>
  <c r="D420" i="2"/>
  <c r="T419" i="2"/>
  <c r="C418" i="4"/>
  <c r="AB417" i="3"/>
  <c r="E418" i="4" s="1"/>
  <c r="J419" i="2"/>
  <c r="G419" i="2" s="1"/>
  <c r="T418" i="3" s="1"/>
  <c r="M420" i="2"/>
  <c r="G418" i="4"/>
  <c r="L418" i="4" s="1"/>
  <c r="I418" i="4"/>
  <c r="M418" i="4" s="1"/>
  <c r="K418" i="4"/>
  <c r="N418" i="4" s="1"/>
  <c r="C419" i="4" l="1"/>
  <c r="AB418" i="3"/>
  <c r="E419" i="4" s="1"/>
  <c r="T420" i="2"/>
  <c r="D421" i="2"/>
  <c r="C421" i="2"/>
  <c r="K423" i="2"/>
  <c r="G419" i="4"/>
  <c r="L419" i="4" s="1"/>
  <c r="I419" i="4"/>
  <c r="M419" i="4" s="1"/>
  <c r="K419" i="4"/>
  <c r="N419" i="4" s="1"/>
  <c r="N421" i="2"/>
  <c r="H420" i="2"/>
  <c r="E420" i="2" s="1"/>
  <c r="H419" i="3" s="1"/>
  <c r="B420" i="3"/>
  <c r="B422" i="2"/>
  <c r="D418" i="4"/>
  <c r="AA418" i="3"/>
  <c r="A420" i="4"/>
  <c r="G419" i="3"/>
  <c r="S419" i="3"/>
  <c r="Y419" i="3" s="1"/>
  <c r="Z419" i="3" s="1"/>
  <c r="J419" i="3"/>
  <c r="V419" i="3"/>
  <c r="P419" i="3"/>
  <c r="C419" i="3"/>
  <c r="E419" i="3"/>
  <c r="M419" i="3"/>
  <c r="F417" i="3"/>
  <c r="D418" i="3"/>
  <c r="L421" i="2"/>
  <c r="I420" i="2"/>
  <c r="F420" i="2" s="1"/>
  <c r="N419" i="3" s="1"/>
  <c r="M421" i="2"/>
  <c r="J420" i="2"/>
  <c r="G420" i="2" s="1"/>
  <c r="T419" i="3" s="1"/>
  <c r="I416" i="3"/>
  <c r="F417" i="4" s="1"/>
  <c r="U416" i="3"/>
  <c r="J417" i="4" s="1"/>
  <c r="O416" i="3"/>
  <c r="H417" i="4" s="1"/>
  <c r="D419" i="3" l="1"/>
  <c r="F418" i="3"/>
  <c r="O417" i="3"/>
  <c r="H418" i="4" s="1"/>
  <c r="I417" i="3"/>
  <c r="F418" i="4" s="1"/>
  <c r="U417" i="3"/>
  <c r="J418" i="4" s="1"/>
  <c r="C420" i="4"/>
  <c r="AB419" i="3"/>
  <c r="E420" i="4" s="1"/>
  <c r="D419" i="4"/>
  <c r="AA419" i="3"/>
  <c r="K424" i="2"/>
  <c r="G420" i="4"/>
  <c r="L420" i="4" s="1"/>
  <c r="I420" i="4"/>
  <c r="M420" i="4" s="1"/>
  <c r="K420" i="4"/>
  <c r="N420" i="4" s="1"/>
  <c r="B421" i="3"/>
  <c r="B423" i="2"/>
  <c r="C422" i="2"/>
  <c r="A421" i="4"/>
  <c r="P420" i="3"/>
  <c r="E420" i="3"/>
  <c r="G420" i="3"/>
  <c r="S420" i="3"/>
  <c r="Y420" i="3" s="1"/>
  <c r="Z420" i="3" s="1"/>
  <c r="M420" i="3"/>
  <c r="V420" i="3"/>
  <c r="C420" i="3"/>
  <c r="J420" i="3"/>
  <c r="N422" i="2"/>
  <c r="H421" i="2"/>
  <c r="E421" i="2" s="1"/>
  <c r="H420" i="3" s="1"/>
  <c r="D422" i="2"/>
  <c r="T421" i="2"/>
  <c r="M422" i="2"/>
  <c r="J421" i="2"/>
  <c r="G421" i="2" s="1"/>
  <c r="T420" i="3" s="1"/>
  <c r="L422" i="2"/>
  <c r="I421" i="2"/>
  <c r="F421" i="2" s="1"/>
  <c r="N420" i="3" s="1"/>
  <c r="N423" i="2" l="1"/>
  <c r="H422" i="2"/>
  <c r="K421" i="4"/>
  <c r="N421" i="4" s="1"/>
  <c r="G421" i="4"/>
  <c r="L421" i="4" s="1"/>
  <c r="I421" i="4"/>
  <c r="M421" i="4" s="1"/>
  <c r="C421" i="4"/>
  <c r="AB420" i="3"/>
  <c r="E421" i="4" s="1"/>
  <c r="K425" i="2"/>
  <c r="C423" i="2"/>
  <c r="E422" i="2"/>
  <c r="F422" i="2"/>
  <c r="N421" i="3" s="1"/>
  <c r="D420" i="4"/>
  <c r="AA420" i="3"/>
  <c r="J422" i="2"/>
  <c r="M423" i="2"/>
  <c r="B422" i="3"/>
  <c r="B424" i="2"/>
  <c r="I422" i="2"/>
  <c r="L423" i="2"/>
  <c r="A422" i="4"/>
  <c r="M421" i="3"/>
  <c r="C421" i="3"/>
  <c r="P421" i="3"/>
  <c r="J421" i="3"/>
  <c r="V421" i="3"/>
  <c r="H421" i="3"/>
  <c r="S421" i="3"/>
  <c r="Y421" i="3" s="1"/>
  <c r="Z421" i="3" s="1"/>
  <c r="G421" i="3"/>
  <c r="E421" i="3"/>
  <c r="O418" i="3"/>
  <c r="H419" i="4" s="1"/>
  <c r="U418" i="3"/>
  <c r="J419" i="4" s="1"/>
  <c r="I418" i="3"/>
  <c r="F419" i="4" s="1"/>
  <c r="D423" i="2"/>
  <c r="T422" i="2"/>
  <c r="G422" i="2"/>
  <c r="T421" i="3" s="1"/>
  <c r="D420" i="3"/>
  <c r="F419" i="3"/>
  <c r="I422" i="4" l="1"/>
  <c r="M422" i="4" s="1"/>
  <c r="K422" i="4"/>
  <c r="N422" i="4" s="1"/>
  <c r="G422" i="4"/>
  <c r="L422" i="4" s="1"/>
  <c r="L424" i="2"/>
  <c r="I423" i="2"/>
  <c r="K426" i="2"/>
  <c r="B423" i="3"/>
  <c r="B425" i="2"/>
  <c r="A423" i="4"/>
  <c r="J422" i="3"/>
  <c r="V422" i="3"/>
  <c r="M422" i="3"/>
  <c r="C422" i="3"/>
  <c r="G422" i="3"/>
  <c r="S422" i="3"/>
  <c r="Y422" i="3" s="1"/>
  <c r="Z422" i="3" s="1"/>
  <c r="E422" i="3"/>
  <c r="P422" i="3"/>
  <c r="T422" i="3"/>
  <c r="I419" i="3"/>
  <c r="F420" i="4" s="1"/>
  <c r="U419" i="3"/>
  <c r="J420" i="4" s="1"/>
  <c r="O419" i="3"/>
  <c r="H420" i="4" s="1"/>
  <c r="M424" i="2"/>
  <c r="J423" i="2"/>
  <c r="D421" i="4"/>
  <c r="AA421" i="3"/>
  <c r="F420" i="3"/>
  <c r="D421" i="3"/>
  <c r="T423" i="2"/>
  <c r="G423" i="2"/>
  <c r="D424" i="2"/>
  <c r="C422" i="4"/>
  <c r="AB421" i="3"/>
  <c r="E422" i="4" s="1"/>
  <c r="E423" i="2"/>
  <c r="H422" i="3" s="1"/>
  <c r="F423" i="2"/>
  <c r="N422" i="3" s="1"/>
  <c r="C424" i="2"/>
  <c r="N424" i="2"/>
  <c r="H423" i="2"/>
  <c r="A424" i="4" l="1"/>
  <c r="G423" i="3"/>
  <c r="S423" i="3"/>
  <c r="Y423" i="3" s="1"/>
  <c r="Z423" i="3" s="1"/>
  <c r="J423" i="3"/>
  <c r="V423" i="3"/>
  <c r="P423" i="3"/>
  <c r="C423" i="3"/>
  <c r="E423" i="3"/>
  <c r="N423" i="3"/>
  <c r="M423" i="3"/>
  <c r="B424" i="3"/>
  <c r="B426" i="2"/>
  <c r="K427" i="2"/>
  <c r="D425" i="2"/>
  <c r="T424" i="2"/>
  <c r="F421" i="3"/>
  <c r="D422" i="3"/>
  <c r="I420" i="3"/>
  <c r="F421" i="4" s="1"/>
  <c r="U420" i="3"/>
  <c r="J421" i="4" s="1"/>
  <c r="O420" i="3"/>
  <c r="H421" i="4" s="1"/>
  <c r="D422" i="4"/>
  <c r="AA422" i="3"/>
  <c r="L425" i="2"/>
  <c r="I424" i="2"/>
  <c r="N425" i="2"/>
  <c r="H424" i="2"/>
  <c r="E424" i="2" s="1"/>
  <c r="H423" i="3" s="1"/>
  <c r="F424" i="2"/>
  <c r="C425" i="2"/>
  <c r="M425" i="2"/>
  <c r="J424" i="2"/>
  <c r="G424" i="2" s="1"/>
  <c r="T423" i="3" s="1"/>
  <c r="C423" i="4"/>
  <c r="AB422" i="3"/>
  <c r="E423" i="4" s="1"/>
  <c r="G423" i="4"/>
  <c r="L423" i="4" s="1"/>
  <c r="I423" i="4"/>
  <c r="M423" i="4" s="1"/>
  <c r="K423" i="4"/>
  <c r="N423" i="4" s="1"/>
  <c r="J425" i="2" l="1"/>
  <c r="M426" i="2"/>
  <c r="D423" i="3"/>
  <c r="F422" i="3"/>
  <c r="C424" i="4"/>
  <c r="AB423" i="3"/>
  <c r="E424" i="4" s="1"/>
  <c r="C426" i="2"/>
  <c r="E425" i="2"/>
  <c r="F425" i="2"/>
  <c r="O421" i="3"/>
  <c r="H422" i="4" s="1"/>
  <c r="I421" i="3"/>
  <c r="F422" i="4" s="1"/>
  <c r="U421" i="3"/>
  <c r="J422" i="4" s="1"/>
  <c r="D426" i="2"/>
  <c r="T425" i="2"/>
  <c r="G425" i="2"/>
  <c r="N426" i="2"/>
  <c r="H425" i="2"/>
  <c r="I425" i="2"/>
  <c r="L426" i="2"/>
  <c r="K428" i="2"/>
  <c r="D423" i="4"/>
  <c r="AA423" i="3"/>
  <c r="B425" i="3"/>
  <c r="B427" i="2"/>
  <c r="A425" i="4"/>
  <c r="P424" i="3"/>
  <c r="E424" i="3"/>
  <c r="G424" i="3"/>
  <c r="S424" i="3"/>
  <c r="Y424" i="3" s="1"/>
  <c r="Z424" i="3" s="1"/>
  <c r="M424" i="3"/>
  <c r="T424" i="3"/>
  <c r="V424" i="3"/>
  <c r="C424" i="3"/>
  <c r="H424" i="3"/>
  <c r="J424" i="3"/>
  <c r="N424" i="3"/>
  <c r="G424" i="4"/>
  <c r="L424" i="4" s="1"/>
  <c r="I424" i="4"/>
  <c r="M424" i="4" s="1"/>
  <c r="K424" i="4"/>
  <c r="N424" i="4" s="1"/>
  <c r="D424" i="4" l="1"/>
  <c r="AA424" i="3"/>
  <c r="A426" i="4"/>
  <c r="M425" i="3"/>
  <c r="C425" i="3"/>
  <c r="P425" i="3"/>
  <c r="J425" i="3"/>
  <c r="V425" i="3"/>
  <c r="S425" i="3"/>
  <c r="Y425" i="3" s="1"/>
  <c r="Z425" i="3" s="1"/>
  <c r="H425" i="3"/>
  <c r="E425" i="3"/>
  <c r="G425" i="3"/>
  <c r="K429" i="2"/>
  <c r="C425" i="4"/>
  <c r="AB424" i="3"/>
  <c r="E425" i="4" s="1"/>
  <c r="L427" i="2"/>
  <c r="I426" i="2"/>
  <c r="E426" i="2"/>
  <c r="F426" i="2"/>
  <c r="N425" i="3" s="1"/>
  <c r="C427" i="2"/>
  <c r="N427" i="2"/>
  <c r="H426" i="2"/>
  <c r="O422" i="3"/>
  <c r="H423" i="4" s="1"/>
  <c r="I422" i="3"/>
  <c r="F423" i="4" s="1"/>
  <c r="U422" i="3"/>
  <c r="J423" i="4" s="1"/>
  <c r="D424" i="3"/>
  <c r="F423" i="3"/>
  <c r="G425" i="4"/>
  <c r="L425" i="4" s="1"/>
  <c r="K425" i="4"/>
  <c r="N425" i="4" s="1"/>
  <c r="I425" i="4"/>
  <c r="M425" i="4" s="1"/>
  <c r="M427" i="2"/>
  <c r="J426" i="2"/>
  <c r="G426" i="2" s="1"/>
  <c r="T425" i="3" s="1"/>
  <c r="B426" i="3"/>
  <c r="B428" i="2"/>
  <c r="T426" i="2"/>
  <c r="D427" i="2"/>
  <c r="C428" i="2" l="1"/>
  <c r="N428" i="2"/>
  <c r="H427" i="2"/>
  <c r="E427" i="2" s="1"/>
  <c r="H426" i="3" s="1"/>
  <c r="D428" i="2"/>
  <c r="T427" i="2"/>
  <c r="L428" i="2"/>
  <c r="I427" i="2"/>
  <c r="F427" i="2" s="1"/>
  <c r="N426" i="3" s="1"/>
  <c r="I423" i="3"/>
  <c r="F424" i="4" s="1"/>
  <c r="U423" i="3"/>
  <c r="J424" i="4" s="1"/>
  <c r="O423" i="3"/>
  <c r="H424" i="4" s="1"/>
  <c r="F424" i="3"/>
  <c r="D425" i="3"/>
  <c r="K430" i="2"/>
  <c r="C426" i="4"/>
  <c r="AB425" i="3"/>
  <c r="E426" i="4" s="1"/>
  <c r="A427" i="4"/>
  <c r="J426" i="3"/>
  <c r="V426" i="3"/>
  <c r="M426" i="3"/>
  <c r="C426" i="3"/>
  <c r="G426" i="3"/>
  <c r="S426" i="3"/>
  <c r="Y426" i="3" s="1"/>
  <c r="Z426" i="3" s="1"/>
  <c r="P426" i="3"/>
  <c r="E426" i="3"/>
  <c r="G426" i="4"/>
  <c r="L426" i="4" s="1"/>
  <c r="I426" i="4"/>
  <c r="M426" i="4" s="1"/>
  <c r="K426" i="4"/>
  <c r="N426" i="4" s="1"/>
  <c r="B427" i="3"/>
  <c r="B429" i="2"/>
  <c r="D425" i="4"/>
  <c r="AA425" i="3"/>
  <c r="M428" i="2"/>
  <c r="J427" i="2"/>
  <c r="G427" i="2" s="1"/>
  <c r="T426" i="3" s="1"/>
  <c r="C427" i="4" l="1"/>
  <c r="AB426" i="3"/>
  <c r="E427" i="4" s="1"/>
  <c r="I428" i="2"/>
  <c r="L429" i="2"/>
  <c r="K427" i="4"/>
  <c r="N427" i="4" s="1"/>
  <c r="G427" i="4"/>
  <c r="L427" i="4" s="1"/>
  <c r="I427" i="4"/>
  <c r="M427" i="4" s="1"/>
  <c r="D429" i="2"/>
  <c r="T428" i="2"/>
  <c r="J428" i="2"/>
  <c r="G428" i="2" s="1"/>
  <c r="T427" i="3" s="1"/>
  <c r="M429" i="2"/>
  <c r="D426" i="4"/>
  <c r="AA426" i="3"/>
  <c r="K431" i="2"/>
  <c r="N429" i="2"/>
  <c r="H428" i="2"/>
  <c r="B428" i="3"/>
  <c r="B430" i="2"/>
  <c r="F425" i="3"/>
  <c r="D426" i="3"/>
  <c r="A428" i="4"/>
  <c r="G427" i="3"/>
  <c r="S427" i="3"/>
  <c r="Y427" i="3" s="1"/>
  <c r="Z427" i="3" s="1"/>
  <c r="J427" i="3"/>
  <c r="V427" i="3"/>
  <c r="P427" i="3"/>
  <c r="C427" i="3"/>
  <c r="E427" i="3"/>
  <c r="M427" i="3"/>
  <c r="I424" i="3"/>
  <c r="F425" i="4" s="1"/>
  <c r="U424" i="3"/>
  <c r="J425" i="4" s="1"/>
  <c r="O424" i="3"/>
  <c r="H425" i="4" s="1"/>
  <c r="C429" i="2"/>
  <c r="E428" i="2"/>
  <c r="H427" i="3" s="1"/>
  <c r="F428" i="2"/>
  <c r="N427" i="3" s="1"/>
  <c r="C428" i="4" l="1"/>
  <c r="AB427" i="3"/>
  <c r="E428" i="4" s="1"/>
  <c r="O425" i="3"/>
  <c r="H426" i="4" s="1"/>
  <c r="U425" i="3"/>
  <c r="J426" i="4" s="1"/>
  <c r="I425" i="3"/>
  <c r="F426" i="4" s="1"/>
  <c r="B429" i="3"/>
  <c r="B431" i="2"/>
  <c r="T429" i="2"/>
  <c r="D430" i="2"/>
  <c r="A429" i="4"/>
  <c r="P428" i="3"/>
  <c r="E428" i="3"/>
  <c r="G428" i="3"/>
  <c r="S428" i="3"/>
  <c r="Y428" i="3" s="1"/>
  <c r="Z428" i="3" s="1"/>
  <c r="M428" i="3"/>
  <c r="C428" i="3"/>
  <c r="J428" i="3"/>
  <c r="V428" i="3"/>
  <c r="N430" i="2"/>
  <c r="H429" i="2"/>
  <c r="E429" i="2" s="1"/>
  <c r="H428" i="3" s="1"/>
  <c r="K432" i="2"/>
  <c r="D427" i="4"/>
  <c r="AA427" i="3"/>
  <c r="L430" i="2"/>
  <c r="I429" i="2"/>
  <c r="M430" i="2"/>
  <c r="J429" i="2"/>
  <c r="G429" i="2" s="1"/>
  <c r="T428" i="3" s="1"/>
  <c r="I428" i="4"/>
  <c r="M428" i="4" s="1"/>
  <c r="K428" i="4"/>
  <c r="N428" i="4" s="1"/>
  <c r="G428" i="4"/>
  <c r="L428" i="4" s="1"/>
  <c r="F429" i="2"/>
  <c r="N428" i="3" s="1"/>
  <c r="C430" i="2"/>
  <c r="D427" i="3"/>
  <c r="F426" i="3"/>
  <c r="N431" i="2" l="1"/>
  <c r="H430" i="2"/>
  <c r="G429" i="4"/>
  <c r="L429" i="4" s="1"/>
  <c r="I429" i="4"/>
  <c r="M429" i="4" s="1"/>
  <c r="K429" i="4"/>
  <c r="N429" i="4" s="1"/>
  <c r="D431" i="2"/>
  <c r="T430" i="2"/>
  <c r="O426" i="3"/>
  <c r="H427" i="4" s="1"/>
  <c r="I426" i="3"/>
  <c r="F427" i="4" s="1"/>
  <c r="U426" i="3"/>
  <c r="J427" i="4" s="1"/>
  <c r="M431" i="2"/>
  <c r="J430" i="2"/>
  <c r="G430" i="2" s="1"/>
  <c r="T429" i="3" s="1"/>
  <c r="B430" i="3"/>
  <c r="B432" i="2"/>
  <c r="D428" i="3"/>
  <c r="F427" i="3"/>
  <c r="A430" i="4"/>
  <c r="M429" i="3"/>
  <c r="C429" i="3"/>
  <c r="P429" i="3"/>
  <c r="J429" i="3"/>
  <c r="V429" i="3"/>
  <c r="E429" i="3"/>
  <c r="G429" i="3"/>
  <c r="S429" i="3"/>
  <c r="Y429" i="3" s="1"/>
  <c r="Z429" i="3" s="1"/>
  <c r="C431" i="2"/>
  <c r="E430" i="2"/>
  <c r="H429" i="3" s="1"/>
  <c r="L431" i="2"/>
  <c r="I430" i="2"/>
  <c r="F430" i="2" s="1"/>
  <c r="N429" i="3" s="1"/>
  <c r="D428" i="4"/>
  <c r="AA428" i="3"/>
  <c r="C429" i="4"/>
  <c r="AB428" i="3"/>
  <c r="E429" i="4" s="1"/>
  <c r="K433" i="2"/>
  <c r="I431" i="2" l="1"/>
  <c r="L432" i="2"/>
  <c r="C432" i="2"/>
  <c r="F431" i="2"/>
  <c r="C430" i="4"/>
  <c r="AB429" i="3"/>
  <c r="E430" i="4" s="1"/>
  <c r="D432" i="2"/>
  <c r="T431" i="2"/>
  <c r="G430" i="4"/>
  <c r="L430" i="4" s="1"/>
  <c r="I430" i="4"/>
  <c r="M430" i="4" s="1"/>
  <c r="K430" i="4"/>
  <c r="N430" i="4" s="1"/>
  <c r="I427" i="3"/>
  <c r="F428" i="4" s="1"/>
  <c r="U427" i="3"/>
  <c r="J428" i="4" s="1"/>
  <c r="O427" i="3"/>
  <c r="H428" i="4" s="1"/>
  <c r="F428" i="3"/>
  <c r="D429" i="3"/>
  <c r="B431" i="3"/>
  <c r="B433" i="2"/>
  <c r="K434" i="2"/>
  <c r="A431" i="4"/>
  <c r="J430" i="3"/>
  <c r="V430" i="3"/>
  <c r="M430" i="3"/>
  <c r="C430" i="3"/>
  <c r="G430" i="3"/>
  <c r="S430" i="3"/>
  <c r="Y430" i="3" s="1"/>
  <c r="Z430" i="3" s="1"/>
  <c r="P430" i="3"/>
  <c r="E430" i="3"/>
  <c r="N430" i="3"/>
  <c r="D429" i="4"/>
  <c r="AA429" i="3"/>
  <c r="J431" i="2"/>
  <c r="G431" i="2" s="1"/>
  <c r="T430" i="3" s="1"/>
  <c r="M432" i="2"/>
  <c r="N432" i="2"/>
  <c r="H431" i="2"/>
  <c r="E431" i="2" s="1"/>
  <c r="H430" i="3" s="1"/>
  <c r="K435" i="2" l="1"/>
  <c r="B432" i="3"/>
  <c r="B434" i="2"/>
  <c r="A432" i="4"/>
  <c r="G431" i="3"/>
  <c r="S431" i="3"/>
  <c r="Y431" i="3" s="1"/>
  <c r="Z431" i="3" s="1"/>
  <c r="J431" i="3"/>
  <c r="V431" i="3"/>
  <c r="P431" i="3"/>
  <c r="M431" i="3"/>
  <c r="C431" i="3"/>
  <c r="E431" i="3"/>
  <c r="F429" i="3"/>
  <c r="D430" i="3"/>
  <c r="I428" i="3"/>
  <c r="F429" i="4" s="1"/>
  <c r="U428" i="3"/>
  <c r="J429" i="4" s="1"/>
  <c r="O428" i="3"/>
  <c r="H429" i="4" s="1"/>
  <c r="T432" i="2"/>
  <c r="G432" i="2"/>
  <c r="T431" i="3" s="1"/>
  <c r="D433" i="2"/>
  <c r="N433" i="2"/>
  <c r="H432" i="2"/>
  <c r="C431" i="4"/>
  <c r="AB430" i="3"/>
  <c r="E431" i="4" s="1"/>
  <c r="M433" i="2"/>
  <c r="J432" i="2"/>
  <c r="E432" i="2"/>
  <c r="H431" i="3" s="1"/>
  <c r="F432" i="2"/>
  <c r="N431" i="3" s="1"/>
  <c r="C433" i="2"/>
  <c r="D430" i="4"/>
  <c r="AA430" i="3"/>
  <c r="G431" i="4"/>
  <c r="L431" i="4" s="1"/>
  <c r="I431" i="4"/>
  <c r="M431" i="4" s="1"/>
  <c r="K431" i="4"/>
  <c r="N431" i="4" s="1"/>
  <c r="L433" i="2"/>
  <c r="I432" i="2"/>
  <c r="D434" i="2" l="1"/>
  <c r="T433" i="2"/>
  <c r="D431" i="4"/>
  <c r="AA431" i="3"/>
  <c r="C434" i="2"/>
  <c r="L434" i="2"/>
  <c r="I433" i="2"/>
  <c r="F433" i="2" s="1"/>
  <c r="N432" i="3" s="1"/>
  <c r="D431" i="3"/>
  <c r="F430" i="3"/>
  <c r="M434" i="2"/>
  <c r="J433" i="2"/>
  <c r="G433" i="2" s="1"/>
  <c r="T432" i="3" s="1"/>
  <c r="O429" i="3"/>
  <c r="H430" i="4" s="1"/>
  <c r="U429" i="3"/>
  <c r="J430" i="4" s="1"/>
  <c r="I429" i="3"/>
  <c r="F430" i="4" s="1"/>
  <c r="G432" i="4"/>
  <c r="L432" i="4" s="1"/>
  <c r="I432" i="4"/>
  <c r="M432" i="4" s="1"/>
  <c r="K432" i="4"/>
  <c r="N432" i="4" s="1"/>
  <c r="B433" i="3"/>
  <c r="B435" i="2"/>
  <c r="A433" i="4"/>
  <c r="P432" i="3"/>
  <c r="E432" i="3"/>
  <c r="G432" i="3"/>
  <c r="S432" i="3"/>
  <c r="Y432" i="3" s="1"/>
  <c r="Z432" i="3" s="1"/>
  <c r="M432" i="3"/>
  <c r="J432" i="3"/>
  <c r="C432" i="3"/>
  <c r="V432" i="3"/>
  <c r="N434" i="2"/>
  <c r="H433" i="2"/>
  <c r="E433" i="2" s="1"/>
  <c r="H432" i="3" s="1"/>
  <c r="C432" i="4"/>
  <c r="AB431" i="3"/>
  <c r="E432" i="4" s="1"/>
  <c r="K436" i="2"/>
  <c r="A434" i="4" l="1"/>
  <c r="M433" i="3"/>
  <c r="C433" i="3"/>
  <c r="P433" i="3"/>
  <c r="J433" i="3"/>
  <c r="V433" i="3"/>
  <c r="E433" i="3"/>
  <c r="G433" i="3"/>
  <c r="T433" i="3"/>
  <c r="S433" i="3"/>
  <c r="Y433" i="3" s="1"/>
  <c r="Z433" i="3" s="1"/>
  <c r="O430" i="3"/>
  <c r="H431" i="4" s="1"/>
  <c r="U430" i="3"/>
  <c r="J431" i="4" s="1"/>
  <c r="I430" i="3"/>
  <c r="F431" i="4" s="1"/>
  <c r="D432" i="3"/>
  <c r="F431" i="3"/>
  <c r="I434" i="2"/>
  <c r="L435" i="2"/>
  <c r="C433" i="4"/>
  <c r="AB432" i="3"/>
  <c r="E433" i="4" s="1"/>
  <c r="C435" i="2"/>
  <c r="E434" i="2"/>
  <c r="H433" i="3" s="1"/>
  <c r="F434" i="2"/>
  <c r="N433" i="3" s="1"/>
  <c r="D432" i="4"/>
  <c r="AA432" i="3"/>
  <c r="K437" i="2"/>
  <c r="N435" i="2"/>
  <c r="H434" i="2"/>
  <c r="K433" i="4"/>
  <c r="N433" i="4" s="1"/>
  <c r="G433" i="4"/>
  <c r="L433" i="4" s="1"/>
  <c r="I433" i="4"/>
  <c r="M433" i="4" s="1"/>
  <c r="D435" i="2"/>
  <c r="T434" i="2"/>
  <c r="G434" i="2"/>
  <c r="B434" i="3"/>
  <c r="B436" i="2"/>
  <c r="J434" i="2"/>
  <c r="M435" i="2"/>
  <c r="C436" i="2" l="1"/>
  <c r="L436" i="2"/>
  <c r="I435" i="2"/>
  <c r="F435" i="2" s="1"/>
  <c r="N434" i="3" s="1"/>
  <c r="M436" i="2"/>
  <c r="J435" i="2"/>
  <c r="B435" i="3"/>
  <c r="B437" i="2"/>
  <c r="N436" i="2"/>
  <c r="H435" i="2"/>
  <c r="E435" i="2" s="1"/>
  <c r="H434" i="3" s="1"/>
  <c r="I431" i="3"/>
  <c r="F432" i="4" s="1"/>
  <c r="U431" i="3"/>
  <c r="J432" i="4" s="1"/>
  <c r="O431" i="3"/>
  <c r="H432" i="4" s="1"/>
  <c r="A435" i="4"/>
  <c r="J434" i="3"/>
  <c r="V434" i="3"/>
  <c r="M434" i="3"/>
  <c r="C434" i="3"/>
  <c r="G434" i="3"/>
  <c r="S434" i="3"/>
  <c r="Y434" i="3" s="1"/>
  <c r="Z434" i="3" s="1"/>
  <c r="E434" i="3"/>
  <c r="P434" i="3"/>
  <c r="F432" i="3"/>
  <c r="D433" i="3"/>
  <c r="C434" i="4"/>
  <c r="AB433" i="3"/>
  <c r="E434" i="4" s="1"/>
  <c r="K438" i="2"/>
  <c r="D433" i="4"/>
  <c r="AA433" i="3"/>
  <c r="T435" i="2"/>
  <c r="G435" i="2"/>
  <c r="T434" i="3" s="1"/>
  <c r="D436" i="2"/>
  <c r="I434" i="4"/>
  <c r="M434" i="4" s="1"/>
  <c r="K434" i="4"/>
  <c r="N434" i="4" s="1"/>
  <c r="G434" i="4"/>
  <c r="L434" i="4" s="1"/>
  <c r="D434" i="4" l="1"/>
  <c r="AA434" i="3"/>
  <c r="N437" i="2"/>
  <c r="H436" i="2"/>
  <c r="B436" i="3"/>
  <c r="B438" i="2"/>
  <c r="K439" i="2"/>
  <c r="A436" i="4"/>
  <c r="G435" i="3"/>
  <c r="S435" i="3"/>
  <c r="Y435" i="3" s="1"/>
  <c r="Z435" i="3" s="1"/>
  <c r="H435" i="3"/>
  <c r="J435" i="3"/>
  <c r="V435" i="3"/>
  <c r="P435" i="3"/>
  <c r="C435" i="3"/>
  <c r="N435" i="3"/>
  <c r="E435" i="3"/>
  <c r="M435" i="3"/>
  <c r="C435" i="4"/>
  <c r="AB434" i="3"/>
  <c r="E435" i="4" s="1"/>
  <c r="M437" i="2"/>
  <c r="J436" i="2"/>
  <c r="G436" i="2" s="1"/>
  <c r="T435" i="3" s="1"/>
  <c r="F433" i="3"/>
  <c r="D434" i="3"/>
  <c r="L437" i="2"/>
  <c r="I436" i="2"/>
  <c r="I432" i="3"/>
  <c r="F433" i="4" s="1"/>
  <c r="U432" i="3"/>
  <c r="J433" i="4" s="1"/>
  <c r="O432" i="3"/>
  <c r="H433" i="4" s="1"/>
  <c r="G435" i="4"/>
  <c r="L435" i="4" s="1"/>
  <c r="I435" i="4"/>
  <c r="M435" i="4" s="1"/>
  <c r="K435" i="4"/>
  <c r="N435" i="4" s="1"/>
  <c r="F436" i="2"/>
  <c r="C437" i="2"/>
  <c r="E436" i="2"/>
  <c r="D437" i="2"/>
  <c r="T436" i="2"/>
  <c r="J437" i="2" l="1"/>
  <c r="M438" i="2"/>
  <c r="G436" i="4"/>
  <c r="L436" i="4" s="1"/>
  <c r="I436" i="4"/>
  <c r="M436" i="4" s="1"/>
  <c r="K436" i="4"/>
  <c r="N436" i="4" s="1"/>
  <c r="C436" i="4"/>
  <c r="AB435" i="3"/>
  <c r="E436" i="4" s="1"/>
  <c r="K440" i="2"/>
  <c r="B437" i="3"/>
  <c r="B439" i="2"/>
  <c r="A437" i="4"/>
  <c r="P436" i="3"/>
  <c r="E436" i="3"/>
  <c r="G436" i="3"/>
  <c r="S436" i="3"/>
  <c r="Y436" i="3" s="1"/>
  <c r="Z436" i="3" s="1"/>
  <c r="M436" i="3"/>
  <c r="T436" i="3"/>
  <c r="V436" i="3"/>
  <c r="C436" i="3"/>
  <c r="J436" i="3"/>
  <c r="D438" i="2"/>
  <c r="T437" i="2"/>
  <c r="G437" i="2"/>
  <c r="C438" i="2"/>
  <c r="E437" i="2"/>
  <c r="H436" i="3" s="1"/>
  <c r="F437" i="2"/>
  <c r="N436" i="3" s="1"/>
  <c r="I437" i="2"/>
  <c r="L438" i="2"/>
  <c r="N438" i="2"/>
  <c r="H437" i="2"/>
  <c r="D435" i="3"/>
  <c r="F434" i="3"/>
  <c r="D435" i="4"/>
  <c r="AA435" i="3"/>
  <c r="O433" i="3"/>
  <c r="H434" i="4" s="1"/>
  <c r="I433" i="3"/>
  <c r="F434" i="4" s="1"/>
  <c r="U433" i="3"/>
  <c r="J434" i="4" s="1"/>
  <c r="N439" i="2" l="1"/>
  <c r="H438" i="2"/>
  <c r="K441" i="2"/>
  <c r="L439" i="2"/>
  <c r="I438" i="2"/>
  <c r="C437" i="4"/>
  <c r="AB436" i="3"/>
  <c r="E437" i="4" s="1"/>
  <c r="E438" i="2"/>
  <c r="F438" i="2"/>
  <c r="C439" i="2"/>
  <c r="D436" i="4"/>
  <c r="AA436" i="3"/>
  <c r="B438" i="3"/>
  <c r="B440" i="2"/>
  <c r="M439" i="2"/>
  <c r="J438" i="2"/>
  <c r="T438" i="2"/>
  <c r="G438" i="2"/>
  <c r="D439" i="2"/>
  <c r="G437" i="4"/>
  <c r="L437" i="4" s="1"/>
  <c r="I437" i="4"/>
  <c r="M437" i="4" s="1"/>
  <c r="K437" i="4"/>
  <c r="N437" i="4" s="1"/>
  <c r="O434" i="3"/>
  <c r="H435" i="4" s="1"/>
  <c r="U434" i="3"/>
  <c r="J435" i="4" s="1"/>
  <c r="I434" i="3"/>
  <c r="F435" i="4" s="1"/>
  <c r="D436" i="3"/>
  <c r="F435" i="3"/>
  <c r="A438" i="4"/>
  <c r="M437" i="3"/>
  <c r="N437" i="3"/>
  <c r="C437" i="3"/>
  <c r="P437" i="3"/>
  <c r="J437" i="3"/>
  <c r="V437" i="3"/>
  <c r="H437" i="3"/>
  <c r="S437" i="3"/>
  <c r="Y437" i="3" s="1"/>
  <c r="Z437" i="3" s="1"/>
  <c r="T437" i="3"/>
  <c r="G437" i="3"/>
  <c r="E437" i="3"/>
  <c r="C440" i="2" l="1"/>
  <c r="C438" i="4"/>
  <c r="AB437" i="3"/>
  <c r="E438" i="4" s="1"/>
  <c r="G438" i="4"/>
  <c r="L438" i="4" s="1"/>
  <c r="I438" i="4"/>
  <c r="M438" i="4" s="1"/>
  <c r="K438" i="4"/>
  <c r="N438" i="4" s="1"/>
  <c r="D440" i="2"/>
  <c r="T439" i="2"/>
  <c r="I435" i="3"/>
  <c r="F436" i="4" s="1"/>
  <c r="U435" i="3"/>
  <c r="J436" i="4" s="1"/>
  <c r="O435" i="3"/>
  <c r="H436" i="4" s="1"/>
  <c r="F436" i="3"/>
  <c r="D437" i="3"/>
  <c r="L440" i="2"/>
  <c r="I439" i="2"/>
  <c r="F439" i="2" s="1"/>
  <c r="N438" i="3" s="1"/>
  <c r="M440" i="2"/>
  <c r="J439" i="2"/>
  <c r="G439" i="2" s="1"/>
  <c r="T438" i="3" s="1"/>
  <c r="K442" i="2"/>
  <c r="B439" i="3"/>
  <c r="B441" i="2"/>
  <c r="A439" i="4"/>
  <c r="J438" i="3"/>
  <c r="V438" i="3"/>
  <c r="M438" i="3"/>
  <c r="C438" i="3"/>
  <c r="G438" i="3"/>
  <c r="S438" i="3"/>
  <c r="Y438" i="3" s="1"/>
  <c r="Z438" i="3" s="1"/>
  <c r="E438" i="3"/>
  <c r="P438" i="3"/>
  <c r="D437" i="4"/>
  <c r="AA437" i="3"/>
  <c r="N440" i="2"/>
  <c r="H439" i="2"/>
  <c r="E439" i="2" s="1"/>
  <c r="H438" i="3" s="1"/>
  <c r="K443" i="2" l="1"/>
  <c r="J440" i="2"/>
  <c r="M441" i="2"/>
  <c r="I440" i="2"/>
  <c r="L441" i="2"/>
  <c r="C439" i="4"/>
  <c r="AB438" i="3"/>
  <c r="E439" i="4" s="1"/>
  <c r="F437" i="3"/>
  <c r="D438" i="3"/>
  <c r="I436" i="3"/>
  <c r="F437" i="4" s="1"/>
  <c r="U436" i="3"/>
  <c r="J437" i="4" s="1"/>
  <c r="O436" i="3"/>
  <c r="H437" i="4" s="1"/>
  <c r="K439" i="4"/>
  <c r="N439" i="4" s="1"/>
  <c r="G439" i="4"/>
  <c r="L439" i="4" s="1"/>
  <c r="I439" i="4"/>
  <c r="M439" i="4" s="1"/>
  <c r="B440" i="3"/>
  <c r="B442" i="2"/>
  <c r="N441" i="2"/>
  <c r="H440" i="2"/>
  <c r="D438" i="4"/>
  <c r="AA438" i="3"/>
  <c r="A440" i="4"/>
  <c r="G439" i="3"/>
  <c r="S439" i="3"/>
  <c r="Y439" i="3" s="1"/>
  <c r="Z439" i="3" s="1"/>
  <c r="H439" i="3"/>
  <c r="T439" i="3"/>
  <c r="J439" i="3"/>
  <c r="V439" i="3"/>
  <c r="P439" i="3"/>
  <c r="C439" i="3"/>
  <c r="E439" i="3"/>
  <c r="M439" i="3"/>
  <c r="N439" i="3"/>
  <c r="C441" i="2"/>
  <c r="E440" i="2"/>
  <c r="F440" i="2"/>
  <c r="D441" i="2"/>
  <c r="T440" i="2"/>
  <c r="G440" i="2"/>
  <c r="C440" i="4" l="1"/>
  <c r="AB439" i="3"/>
  <c r="E440" i="4" s="1"/>
  <c r="N442" i="2"/>
  <c r="H441" i="2"/>
  <c r="D439" i="3"/>
  <c r="F438" i="3"/>
  <c r="B441" i="3"/>
  <c r="B443" i="2"/>
  <c r="O437" i="3"/>
  <c r="H438" i="4" s="1"/>
  <c r="I437" i="3"/>
  <c r="F438" i="4" s="1"/>
  <c r="U437" i="3"/>
  <c r="J438" i="4" s="1"/>
  <c r="A441" i="4"/>
  <c r="P440" i="3"/>
  <c r="E440" i="3"/>
  <c r="G440" i="3"/>
  <c r="S440" i="3"/>
  <c r="Y440" i="3" s="1"/>
  <c r="Z440" i="3" s="1"/>
  <c r="M440" i="3"/>
  <c r="V440" i="3"/>
  <c r="C440" i="3"/>
  <c r="H440" i="3"/>
  <c r="J440" i="3"/>
  <c r="L442" i="2"/>
  <c r="I441" i="2"/>
  <c r="F441" i="2" s="1"/>
  <c r="N440" i="3" s="1"/>
  <c r="M442" i="2"/>
  <c r="J441" i="2"/>
  <c r="G441" i="2" s="1"/>
  <c r="T440" i="3" s="1"/>
  <c r="T441" i="2"/>
  <c r="D442" i="2"/>
  <c r="E441" i="2"/>
  <c r="C442" i="2"/>
  <c r="I440" i="4"/>
  <c r="M440" i="4" s="1"/>
  <c r="K440" i="4"/>
  <c r="N440" i="4" s="1"/>
  <c r="G440" i="4"/>
  <c r="L440" i="4" s="1"/>
  <c r="D439" i="4"/>
  <c r="AA439" i="3"/>
  <c r="K444" i="2"/>
  <c r="L443" i="2" l="1"/>
  <c r="I442" i="2"/>
  <c r="G441" i="4"/>
  <c r="L441" i="4" s="1"/>
  <c r="I441" i="4"/>
  <c r="M441" i="4" s="1"/>
  <c r="K441" i="4"/>
  <c r="N441" i="4" s="1"/>
  <c r="F442" i="2"/>
  <c r="C443" i="2"/>
  <c r="B442" i="3"/>
  <c r="B444" i="2"/>
  <c r="A442" i="4"/>
  <c r="M441" i="3"/>
  <c r="N441" i="3"/>
  <c r="C441" i="3"/>
  <c r="P441" i="3"/>
  <c r="J441" i="3"/>
  <c r="V441" i="3"/>
  <c r="S441" i="3"/>
  <c r="Y441" i="3" s="1"/>
  <c r="Z441" i="3" s="1"/>
  <c r="E441" i="3"/>
  <c r="G441" i="3"/>
  <c r="K445" i="2"/>
  <c r="D443" i="2"/>
  <c r="T442" i="2"/>
  <c r="O438" i="3"/>
  <c r="H439" i="4" s="1"/>
  <c r="I438" i="3"/>
  <c r="F439" i="4" s="1"/>
  <c r="U438" i="3"/>
  <c r="J439" i="4" s="1"/>
  <c r="D440" i="4"/>
  <c r="AA440" i="3"/>
  <c r="C441" i="4"/>
  <c r="AB440" i="3"/>
  <c r="E441" i="4" s="1"/>
  <c r="D440" i="3"/>
  <c r="F439" i="3"/>
  <c r="N443" i="2"/>
  <c r="H442" i="2"/>
  <c r="E442" i="2" s="1"/>
  <c r="H441" i="3" s="1"/>
  <c r="M443" i="2"/>
  <c r="J442" i="2"/>
  <c r="G442" i="2" s="1"/>
  <c r="T441" i="3" s="1"/>
  <c r="A443" i="4" l="1"/>
  <c r="J442" i="3"/>
  <c r="V442" i="3"/>
  <c r="M442" i="3"/>
  <c r="C442" i="3"/>
  <c r="G442" i="3"/>
  <c r="S442" i="3"/>
  <c r="Y442" i="3" s="1"/>
  <c r="Z442" i="3" s="1"/>
  <c r="P442" i="3"/>
  <c r="T442" i="3"/>
  <c r="E442" i="3"/>
  <c r="D441" i="4"/>
  <c r="AA441" i="3"/>
  <c r="C444" i="2"/>
  <c r="D444" i="2"/>
  <c r="T443" i="2"/>
  <c r="G443" i="2"/>
  <c r="J443" i="2"/>
  <c r="M444" i="2"/>
  <c r="I439" i="3"/>
  <c r="F440" i="4" s="1"/>
  <c r="U439" i="3"/>
  <c r="J440" i="4" s="1"/>
  <c r="O439" i="3"/>
  <c r="H440" i="4" s="1"/>
  <c r="C442" i="4"/>
  <c r="AB441" i="3"/>
  <c r="E442" i="4" s="1"/>
  <c r="F440" i="3"/>
  <c r="D441" i="3"/>
  <c r="K446" i="2"/>
  <c r="G442" i="4"/>
  <c r="L442" i="4" s="1"/>
  <c r="I442" i="4"/>
  <c r="M442" i="4" s="1"/>
  <c r="K442" i="4"/>
  <c r="N442" i="4" s="1"/>
  <c r="N444" i="2"/>
  <c r="H443" i="2"/>
  <c r="E443" i="2" s="1"/>
  <c r="H442" i="3" s="1"/>
  <c r="B443" i="3"/>
  <c r="B445" i="2"/>
  <c r="I443" i="2"/>
  <c r="F443" i="2" s="1"/>
  <c r="N442" i="3" s="1"/>
  <c r="L444" i="2"/>
  <c r="M445" i="2" l="1"/>
  <c r="J444" i="2"/>
  <c r="I444" i="2"/>
  <c r="L445" i="2"/>
  <c r="K447" i="2"/>
  <c r="T444" i="2"/>
  <c r="G444" i="2"/>
  <c r="D445" i="2"/>
  <c r="B444" i="3"/>
  <c r="B446" i="2"/>
  <c r="F441" i="3"/>
  <c r="D442" i="3"/>
  <c r="A444" i="4"/>
  <c r="G443" i="3"/>
  <c r="S443" i="3"/>
  <c r="Y443" i="3" s="1"/>
  <c r="Z443" i="3" s="1"/>
  <c r="T443" i="3"/>
  <c r="J443" i="3"/>
  <c r="V443" i="3"/>
  <c r="P443" i="3"/>
  <c r="C443" i="3"/>
  <c r="E443" i="3"/>
  <c r="M443" i="3"/>
  <c r="I440" i="3"/>
  <c r="F441" i="4" s="1"/>
  <c r="U440" i="3"/>
  <c r="J441" i="4" s="1"/>
  <c r="O440" i="3"/>
  <c r="H441" i="4" s="1"/>
  <c r="C443" i="4"/>
  <c r="AB442" i="3"/>
  <c r="E443" i="4" s="1"/>
  <c r="F444" i="2"/>
  <c r="N443" i="3" s="1"/>
  <c r="C445" i="2"/>
  <c r="N445" i="2"/>
  <c r="H444" i="2"/>
  <c r="E444" i="2" s="1"/>
  <c r="H443" i="3" s="1"/>
  <c r="D442" i="4"/>
  <c r="AA442" i="3"/>
  <c r="G443" i="4"/>
  <c r="L443" i="4" s="1"/>
  <c r="I443" i="4"/>
  <c r="M443" i="4" s="1"/>
  <c r="K443" i="4"/>
  <c r="N443" i="4" s="1"/>
  <c r="C444" i="4" l="1"/>
  <c r="AB443" i="3"/>
  <c r="E444" i="4" s="1"/>
  <c r="O441" i="3"/>
  <c r="H442" i="4" s="1"/>
  <c r="U441" i="3"/>
  <c r="J442" i="4" s="1"/>
  <c r="I441" i="3"/>
  <c r="F442" i="4" s="1"/>
  <c r="B445" i="3"/>
  <c r="B447" i="2"/>
  <c r="N446" i="2"/>
  <c r="H445" i="2"/>
  <c r="E445" i="2" s="1"/>
  <c r="H444" i="3" s="1"/>
  <c r="A445" i="4"/>
  <c r="P444" i="3"/>
  <c r="E444" i="3"/>
  <c r="G444" i="3"/>
  <c r="S444" i="3"/>
  <c r="Y444" i="3" s="1"/>
  <c r="Z444" i="3" s="1"/>
  <c r="M444" i="3"/>
  <c r="C444" i="3"/>
  <c r="J444" i="3"/>
  <c r="V444" i="3"/>
  <c r="C446" i="2"/>
  <c r="T445" i="2"/>
  <c r="D446" i="2"/>
  <c r="K448" i="2"/>
  <c r="I445" i="2"/>
  <c r="F445" i="2" s="1"/>
  <c r="N444" i="3" s="1"/>
  <c r="L446" i="2"/>
  <c r="G444" i="4"/>
  <c r="L444" i="4" s="1"/>
  <c r="I444" i="4"/>
  <c r="M444" i="4" s="1"/>
  <c r="K444" i="4"/>
  <c r="N444" i="4" s="1"/>
  <c r="D443" i="4"/>
  <c r="AA443" i="3"/>
  <c r="D443" i="3"/>
  <c r="F442" i="3"/>
  <c r="M446" i="2"/>
  <c r="J445" i="2"/>
  <c r="G445" i="2" s="1"/>
  <c r="T444" i="3" s="1"/>
  <c r="C447" i="2" l="1"/>
  <c r="F446" i="2"/>
  <c r="K445" i="4"/>
  <c r="N445" i="4" s="1"/>
  <c r="G445" i="4"/>
  <c r="L445" i="4" s="1"/>
  <c r="I445" i="4"/>
  <c r="M445" i="4" s="1"/>
  <c r="N447" i="2"/>
  <c r="H446" i="2"/>
  <c r="E446" i="2" s="1"/>
  <c r="H445" i="3" s="1"/>
  <c r="L447" i="2"/>
  <c r="I446" i="2"/>
  <c r="B446" i="3"/>
  <c r="B448" i="2"/>
  <c r="J446" i="2"/>
  <c r="M447" i="2"/>
  <c r="A446" i="4"/>
  <c r="M445" i="3"/>
  <c r="N445" i="3"/>
  <c r="C445" i="3"/>
  <c r="P445" i="3"/>
  <c r="J445" i="3"/>
  <c r="V445" i="3"/>
  <c r="E445" i="3"/>
  <c r="G445" i="3"/>
  <c r="S445" i="3"/>
  <c r="Y445" i="3" s="1"/>
  <c r="Z445" i="3" s="1"/>
  <c r="O442" i="3"/>
  <c r="H443" i="4" s="1"/>
  <c r="I442" i="3"/>
  <c r="F443" i="4" s="1"/>
  <c r="U442" i="3"/>
  <c r="J443" i="4" s="1"/>
  <c r="D444" i="3"/>
  <c r="F443" i="3"/>
  <c r="K449" i="2"/>
  <c r="C445" i="4"/>
  <c r="AB444" i="3"/>
  <c r="E445" i="4" s="1"/>
  <c r="D444" i="4"/>
  <c r="AA444" i="3"/>
  <c r="T446" i="2"/>
  <c r="D447" i="2"/>
  <c r="G446" i="2"/>
  <c r="T445" i="3" s="1"/>
  <c r="I447" i="2" l="1"/>
  <c r="L448" i="2"/>
  <c r="K450" i="2"/>
  <c r="I443" i="3"/>
  <c r="F444" i="4" s="1"/>
  <c r="U443" i="3"/>
  <c r="J444" i="4" s="1"/>
  <c r="O443" i="3"/>
  <c r="H444" i="4" s="1"/>
  <c r="N448" i="2"/>
  <c r="H447" i="2"/>
  <c r="F444" i="3"/>
  <c r="D445" i="3"/>
  <c r="C446" i="4"/>
  <c r="AB445" i="3"/>
  <c r="E446" i="4" s="1"/>
  <c r="I446" i="4"/>
  <c r="M446" i="4" s="1"/>
  <c r="K446" i="4"/>
  <c r="N446" i="4" s="1"/>
  <c r="G446" i="4"/>
  <c r="L446" i="4" s="1"/>
  <c r="M448" i="2"/>
  <c r="J447" i="2"/>
  <c r="G447" i="2" s="1"/>
  <c r="T446" i="3" s="1"/>
  <c r="B447" i="3"/>
  <c r="B449" i="2"/>
  <c r="T447" i="2"/>
  <c r="D448" i="2"/>
  <c r="D445" i="4"/>
  <c r="AA445" i="3"/>
  <c r="A447" i="4"/>
  <c r="J446" i="3"/>
  <c r="V446" i="3"/>
  <c r="M446" i="3"/>
  <c r="C446" i="3"/>
  <c r="G446" i="3"/>
  <c r="S446" i="3"/>
  <c r="Y446" i="3" s="1"/>
  <c r="Z446" i="3" s="1"/>
  <c r="P446" i="3"/>
  <c r="E446" i="3"/>
  <c r="E447" i="2"/>
  <c r="H446" i="3" s="1"/>
  <c r="F447" i="2"/>
  <c r="N446" i="3" s="1"/>
  <c r="C448" i="2"/>
  <c r="B448" i="3" l="1"/>
  <c r="B450" i="2"/>
  <c r="F445" i="3"/>
  <c r="D446" i="3"/>
  <c r="C449" i="2"/>
  <c r="A448" i="4"/>
  <c r="G447" i="3"/>
  <c r="S447" i="3"/>
  <c r="Y447" i="3" s="1"/>
  <c r="Z447" i="3" s="1"/>
  <c r="T447" i="3"/>
  <c r="J447" i="3"/>
  <c r="V447" i="3"/>
  <c r="P447" i="3"/>
  <c r="M447" i="3"/>
  <c r="C447" i="3"/>
  <c r="E447" i="3"/>
  <c r="I444" i="3"/>
  <c r="F445" i="4" s="1"/>
  <c r="U444" i="3"/>
  <c r="J445" i="4" s="1"/>
  <c r="O444" i="3"/>
  <c r="H445" i="4" s="1"/>
  <c r="C447" i="4"/>
  <c r="AB446" i="3"/>
  <c r="E447" i="4" s="1"/>
  <c r="M449" i="2"/>
  <c r="J448" i="2"/>
  <c r="N449" i="2"/>
  <c r="H448" i="2"/>
  <c r="E448" i="2" s="1"/>
  <c r="H447" i="3" s="1"/>
  <c r="D446" i="4"/>
  <c r="AA446" i="3"/>
  <c r="K451" i="2"/>
  <c r="G447" i="4"/>
  <c r="L447" i="4" s="1"/>
  <c r="I447" i="4"/>
  <c r="M447" i="4" s="1"/>
  <c r="K447" i="4"/>
  <c r="N447" i="4" s="1"/>
  <c r="G448" i="2"/>
  <c r="T448" i="2"/>
  <c r="D449" i="2"/>
  <c r="I448" i="2"/>
  <c r="F448" i="2" s="1"/>
  <c r="N447" i="3" s="1"/>
  <c r="L449" i="2"/>
  <c r="G448" i="4" l="1"/>
  <c r="L448" i="4" s="1"/>
  <c r="I448" i="4"/>
  <c r="M448" i="4" s="1"/>
  <c r="K448" i="4"/>
  <c r="N448" i="4" s="1"/>
  <c r="I449" i="2"/>
  <c r="L450" i="2"/>
  <c r="K452" i="2"/>
  <c r="D447" i="4"/>
  <c r="AA447" i="3"/>
  <c r="C450" i="2"/>
  <c r="E449" i="2"/>
  <c r="H448" i="3" s="1"/>
  <c r="F449" i="2"/>
  <c r="T449" i="2"/>
  <c r="D450" i="2"/>
  <c r="C448" i="4"/>
  <c r="AB447" i="3"/>
  <c r="E448" i="4" s="1"/>
  <c r="D447" i="3"/>
  <c r="F446" i="3"/>
  <c r="N450" i="2"/>
  <c r="H449" i="2"/>
  <c r="O445" i="3"/>
  <c r="H446" i="4" s="1"/>
  <c r="U445" i="3"/>
  <c r="J446" i="4" s="1"/>
  <c r="I445" i="3"/>
  <c r="F446" i="4" s="1"/>
  <c r="B449" i="3"/>
  <c r="B451" i="2"/>
  <c r="J449" i="2"/>
  <c r="G449" i="2" s="1"/>
  <c r="T448" i="3" s="1"/>
  <c r="M450" i="2"/>
  <c r="A449" i="4"/>
  <c r="P448" i="3"/>
  <c r="E448" i="3"/>
  <c r="G448" i="3"/>
  <c r="S448" i="3"/>
  <c r="Y448" i="3" s="1"/>
  <c r="Z448" i="3" s="1"/>
  <c r="M448" i="3"/>
  <c r="J448" i="3"/>
  <c r="N448" i="3"/>
  <c r="C448" i="3"/>
  <c r="V448" i="3"/>
  <c r="D448" i="4" l="1"/>
  <c r="AA448" i="3"/>
  <c r="N451" i="2"/>
  <c r="H450" i="2"/>
  <c r="C449" i="4"/>
  <c r="AB448" i="3"/>
  <c r="E449" i="4" s="1"/>
  <c r="O446" i="3"/>
  <c r="H447" i="4" s="1"/>
  <c r="U446" i="3"/>
  <c r="J447" i="4" s="1"/>
  <c r="I446" i="3"/>
  <c r="F447" i="4" s="1"/>
  <c r="D448" i="3"/>
  <c r="F447" i="3"/>
  <c r="K453" i="2"/>
  <c r="G449" i="4"/>
  <c r="L449" i="4" s="1"/>
  <c r="I449" i="4"/>
  <c r="M449" i="4" s="1"/>
  <c r="K449" i="4"/>
  <c r="N449" i="4" s="1"/>
  <c r="I450" i="2"/>
  <c r="L451" i="2"/>
  <c r="M451" i="2"/>
  <c r="J450" i="2"/>
  <c r="G450" i="2" s="1"/>
  <c r="T449" i="3" s="1"/>
  <c r="T450" i="2"/>
  <c r="D451" i="2"/>
  <c r="B450" i="3"/>
  <c r="B452" i="2"/>
  <c r="A450" i="4"/>
  <c r="M449" i="3"/>
  <c r="C449" i="3"/>
  <c r="J449" i="3"/>
  <c r="V449" i="3"/>
  <c r="E449" i="3"/>
  <c r="G449" i="3"/>
  <c r="P449" i="3"/>
  <c r="S449" i="3"/>
  <c r="Y449" i="3" s="1"/>
  <c r="Z449" i="3" s="1"/>
  <c r="N449" i="3"/>
  <c r="E450" i="2"/>
  <c r="H449" i="3" s="1"/>
  <c r="F450" i="2"/>
  <c r="C451" i="2"/>
  <c r="K454" i="2" l="1"/>
  <c r="I447" i="3"/>
  <c r="F448" i="4" s="1"/>
  <c r="U447" i="3"/>
  <c r="J448" i="4" s="1"/>
  <c r="O447" i="3"/>
  <c r="H448" i="4" s="1"/>
  <c r="M452" i="2"/>
  <c r="J451" i="2"/>
  <c r="F448" i="3"/>
  <c r="D449" i="3"/>
  <c r="I451" i="2"/>
  <c r="L452" i="2"/>
  <c r="C450" i="4"/>
  <c r="AB449" i="3"/>
  <c r="E450" i="4" s="1"/>
  <c r="C452" i="2"/>
  <c r="F451" i="2"/>
  <c r="G450" i="4"/>
  <c r="L450" i="4" s="1"/>
  <c r="I450" i="4"/>
  <c r="M450" i="4" s="1"/>
  <c r="K450" i="4"/>
  <c r="N450" i="4" s="1"/>
  <c r="B451" i="3"/>
  <c r="B453" i="2"/>
  <c r="A451" i="4"/>
  <c r="J450" i="3"/>
  <c r="V450" i="3"/>
  <c r="C450" i="3"/>
  <c r="G450" i="3"/>
  <c r="S450" i="3"/>
  <c r="Y450" i="3" s="1"/>
  <c r="Z450" i="3" s="1"/>
  <c r="M450" i="3"/>
  <c r="N450" i="3"/>
  <c r="P450" i="3"/>
  <c r="T450" i="3"/>
  <c r="E450" i="3"/>
  <c r="N452" i="2"/>
  <c r="H451" i="2"/>
  <c r="E451" i="2" s="1"/>
  <c r="H450" i="3" s="1"/>
  <c r="G451" i="2"/>
  <c r="T451" i="2"/>
  <c r="D452" i="2"/>
  <c r="D449" i="4"/>
  <c r="AA449" i="3"/>
  <c r="B452" i="3" l="1"/>
  <c r="B454" i="2"/>
  <c r="A452" i="4"/>
  <c r="G451" i="3"/>
  <c r="S451" i="3"/>
  <c r="Y451" i="3" s="1"/>
  <c r="Z451" i="3" s="1"/>
  <c r="P451" i="3"/>
  <c r="C451" i="3"/>
  <c r="V451" i="3"/>
  <c r="E451" i="3"/>
  <c r="J451" i="3"/>
  <c r="M451" i="3"/>
  <c r="L453" i="2"/>
  <c r="I452" i="2"/>
  <c r="F449" i="3"/>
  <c r="D450" i="3"/>
  <c r="I448" i="3"/>
  <c r="F449" i="4" s="1"/>
  <c r="U448" i="3"/>
  <c r="J449" i="4" s="1"/>
  <c r="O448" i="3"/>
  <c r="H449" i="4" s="1"/>
  <c r="C451" i="4"/>
  <c r="AB450" i="3"/>
  <c r="E451" i="4" s="1"/>
  <c r="J452" i="2"/>
  <c r="G452" i="2" s="1"/>
  <c r="T451" i="3" s="1"/>
  <c r="M453" i="2"/>
  <c r="T452" i="2"/>
  <c r="D453" i="2"/>
  <c r="C453" i="2"/>
  <c r="F452" i="2"/>
  <c r="N451" i="3" s="1"/>
  <c r="D450" i="4"/>
  <c r="AA450" i="3"/>
  <c r="N453" i="2"/>
  <c r="H452" i="2"/>
  <c r="E452" i="2" s="1"/>
  <c r="H451" i="3" s="1"/>
  <c r="K451" i="4"/>
  <c r="N451" i="4" s="1"/>
  <c r="G451" i="4"/>
  <c r="L451" i="4" s="1"/>
  <c r="I451" i="4"/>
  <c r="M451" i="4" s="1"/>
  <c r="K455" i="2"/>
  <c r="N454" i="2" l="1"/>
  <c r="H453" i="2"/>
  <c r="D451" i="4"/>
  <c r="AA451" i="3"/>
  <c r="K456" i="2"/>
  <c r="D451" i="3"/>
  <c r="F450" i="3"/>
  <c r="E453" i="2"/>
  <c r="H452" i="3" s="1"/>
  <c r="C454" i="2"/>
  <c r="F453" i="2"/>
  <c r="O449" i="3"/>
  <c r="H450" i="4" s="1"/>
  <c r="U449" i="3"/>
  <c r="J450" i="4" s="1"/>
  <c r="I449" i="3"/>
  <c r="F450" i="4" s="1"/>
  <c r="T453" i="2"/>
  <c r="G453" i="2"/>
  <c r="D454" i="2"/>
  <c r="I453" i="2"/>
  <c r="L454" i="2"/>
  <c r="I452" i="4"/>
  <c r="M452" i="4" s="1"/>
  <c r="K452" i="4"/>
  <c r="N452" i="4" s="1"/>
  <c r="G452" i="4"/>
  <c r="L452" i="4" s="1"/>
  <c r="B453" i="3"/>
  <c r="B455" i="2"/>
  <c r="M454" i="2"/>
  <c r="J453" i="2"/>
  <c r="C452" i="4"/>
  <c r="AB451" i="3"/>
  <c r="E452" i="4" s="1"/>
  <c r="A453" i="4"/>
  <c r="P452" i="3"/>
  <c r="M452" i="3"/>
  <c r="N452" i="3"/>
  <c r="S452" i="3"/>
  <c r="Y452" i="3" s="1"/>
  <c r="Z452" i="3" s="1"/>
  <c r="T452" i="3"/>
  <c r="G452" i="3"/>
  <c r="J452" i="3"/>
  <c r="V452" i="3"/>
  <c r="C452" i="3"/>
  <c r="E452" i="3"/>
  <c r="C455" i="2" l="1"/>
  <c r="O450" i="3"/>
  <c r="H451" i="4" s="1"/>
  <c r="I450" i="3"/>
  <c r="F451" i="4" s="1"/>
  <c r="U450" i="3"/>
  <c r="J451" i="4" s="1"/>
  <c r="I454" i="2"/>
  <c r="F454" i="2" s="1"/>
  <c r="N453" i="3" s="1"/>
  <c r="L455" i="2"/>
  <c r="D452" i="3"/>
  <c r="F451" i="3"/>
  <c r="K457" i="2"/>
  <c r="C453" i="4"/>
  <c r="AB452" i="3"/>
  <c r="E453" i="4" s="1"/>
  <c r="G453" i="4"/>
  <c r="L453" i="4" s="1"/>
  <c r="I453" i="4"/>
  <c r="M453" i="4" s="1"/>
  <c r="K453" i="4"/>
  <c r="N453" i="4" s="1"/>
  <c r="G454" i="2"/>
  <c r="D455" i="2"/>
  <c r="T454" i="2"/>
  <c r="M455" i="2"/>
  <c r="J454" i="2"/>
  <c r="D452" i="4"/>
  <c r="AA452" i="3"/>
  <c r="B454" i="3"/>
  <c r="B456" i="2"/>
  <c r="A454" i="4"/>
  <c r="M453" i="3"/>
  <c r="C453" i="3"/>
  <c r="J453" i="3"/>
  <c r="V453" i="3"/>
  <c r="T453" i="3"/>
  <c r="E453" i="3"/>
  <c r="G453" i="3"/>
  <c r="P453" i="3"/>
  <c r="S453" i="3"/>
  <c r="Y453" i="3" s="1"/>
  <c r="Z453" i="3" s="1"/>
  <c r="N455" i="2"/>
  <c r="H454" i="2"/>
  <c r="E454" i="2" s="1"/>
  <c r="H453" i="3" s="1"/>
  <c r="J455" i="2" l="1"/>
  <c r="M456" i="2"/>
  <c r="K458" i="2"/>
  <c r="T455" i="2"/>
  <c r="G455" i="2"/>
  <c r="D456" i="2"/>
  <c r="I451" i="3"/>
  <c r="F452" i="4" s="1"/>
  <c r="U451" i="3"/>
  <c r="J452" i="4" s="1"/>
  <c r="O451" i="3"/>
  <c r="H452" i="4" s="1"/>
  <c r="F452" i="3"/>
  <c r="D453" i="3"/>
  <c r="L456" i="2"/>
  <c r="I455" i="2"/>
  <c r="C454" i="4"/>
  <c r="AB453" i="3"/>
  <c r="E454" i="4" s="1"/>
  <c r="G454" i="4"/>
  <c r="L454" i="4" s="1"/>
  <c r="I454" i="4"/>
  <c r="M454" i="4" s="1"/>
  <c r="K454" i="4"/>
  <c r="N454" i="4" s="1"/>
  <c r="D453" i="4"/>
  <c r="AA453" i="3"/>
  <c r="N456" i="2"/>
  <c r="H455" i="2"/>
  <c r="E455" i="2" s="1"/>
  <c r="H454" i="3" s="1"/>
  <c r="B455" i="3"/>
  <c r="B457" i="2"/>
  <c r="A455" i="4"/>
  <c r="J454" i="3"/>
  <c r="V454" i="3"/>
  <c r="C454" i="3"/>
  <c r="G454" i="3"/>
  <c r="S454" i="3"/>
  <c r="Y454" i="3" s="1"/>
  <c r="Z454" i="3" s="1"/>
  <c r="M454" i="3"/>
  <c r="P454" i="3"/>
  <c r="T454" i="3"/>
  <c r="E454" i="3"/>
  <c r="C456" i="2"/>
  <c r="F455" i="2"/>
  <c r="N454" i="3" s="1"/>
  <c r="D454" i="4" l="1"/>
  <c r="AA454" i="3"/>
  <c r="F453" i="3"/>
  <c r="D454" i="3"/>
  <c r="C455" i="4"/>
  <c r="AB454" i="3"/>
  <c r="E455" i="4" s="1"/>
  <c r="I452" i="3"/>
  <c r="F453" i="4" s="1"/>
  <c r="U452" i="3"/>
  <c r="J453" i="4" s="1"/>
  <c r="O452" i="3"/>
  <c r="H453" i="4" s="1"/>
  <c r="T456" i="2"/>
  <c r="D457" i="2"/>
  <c r="C457" i="2"/>
  <c r="G455" i="4"/>
  <c r="L455" i="4" s="1"/>
  <c r="I455" i="4"/>
  <c r="M455" i="4" s="1"/>
  <c r="K455" i="4"/>
  <c r="N455" i="4" s="1"/>
  <c r="B456" i="3"/>
  <c r="B458" i="2"/>
  <c r="A456" i="4"/>
  <c r="G455" i="3"/>
  <c r="S455" i="3"/>
  <c r="Y455" i="3" s="1"/>
  <c r="Z455" i="3" s="1"/>
  <c r="P455" i="3"/>
  <c r="C455" i="3"/>
  <c r="V455" i="3"/>
  <c r="E455" i="3"/>
  <c r="J455" i="3"/>
  <c r="M455" i="3"/>
  <c r="K459" i="2"/>
  <c r="M457" i="2"/>
  <c r="J456" i="2"/>
  <c r="G456" i="2" s="1"/>
  <c r="T455" i="3" s="1"/>
  <c r="N457" i="2"/>
  <c r="H456" i="2"/>
  <c r="E456" i="2" s="1"/>
  <c r="H455" i="3" s="1"/>
  <c r="I456" i="2"/>
  <c r="F456" i="2" s="1"/>
  <c r="N455" i="3" s="1"/>
  <c r="L457" i="2"/>
  <c r="N458" i="2" l="1"/>
  <c r="H457" i="2"/>
  <c r="K460" i="2"/>
  <c r="G456" i="4"/>
  <c r="L456" i="4" s="1"/>
  <c r="I456" i="4"/>
  <c r="M456" i="4" s="1"/>
  <c r="K456" i="4"/>
  <c r="N456" i="4" s="1"/>
  <c r="T457" i="2"/>
  <c r="D458" i="2"/>
  <c r="I457" i="2"/>
  <c r="L458" i="2"/>
  <c r="B457" i="3"/>
  <c r="B459" i="2"/>
  <c r="C456" i="4"/>
  <c r="AB455" i="3"/>
  <c r="E456" i="4" s="1"/>
  <c r="A457" i="4"/>
  <c r="P456" i="3"/>
  <c r="M456" i="3"/>
  <c r="S456" i="3"/>
  <c r="Y456" i="3" s="1"/>
  <c r="Z456" i="3" s="1"/>
  <c r="G456" i="3"/>
  <c r="J456" i="3"/>
  <c r="E456" i="3"/>
  <c r="V456" i="3"/>
  <c r="C456" i="3"/>
  <c r="D455" i="3"/>
  <c r="F454" i="3"/>
  <c r="E457" i="2"/>
  <c r="H456" i="3" s="1"/>
  <c r="F457" i="2"/>
  <c r="N456" i="3" s="1"/>
  <c r="C458" i="2"/>
  <c r="O453" i="3"/>
  <c r="H454" i="4" s="1"/>
  <c r="U453" i="3"/>
  <c r="J454" i="4" s="1"/>
  <c r="I453" i="3"/>
  <c r="F454" i="4" s="1"/>
  <c r="M458" i="2"/>
  <c r="J457" i="2"/>
  <c r="G457" i="2" s="1"/>
  <c r="T456" i="3" s="1"/>
  <c r="D455" i="4"/>
  <c r="AA455" i="3"/>
  <c r="C459" i="2" l="1"/>
  <c r="C457" i="4"/>
  <c r="AB456" i="3"/>
  <c r="E457" i="4" s="1"/>
  <c r="O454" i="3"/>
  <c r="H455" i="4" s="1"/>
  <c r="I454" i="3"/>
  <c r="F455" i="4" s="1"/>
  <c r="U454" i="3"/>
  <c r="J455" i="4" s="1"/>
  <c r="D456" i="3"/>
  <c r="F455" i="3"/>
  <c r="K457" i="4"/>
  <c r="N457" i="4" s="1"/>
  <c r="G457" i="4"/>
  <c r="L457" i="4" s="1"/>
  <c r="I457" i="4"/>
  <c r="M457" i="4" s="1"/>
  <c r="D456" i="4"/>
  <c r="AA456" i="3"/>
  <c r="B458" i="3"/>
  <c r="B460" i="2"/>
  <c r="J458" i="2"/>
  <c r="M459" i="2"/>
  <c r="A458" i="4"/>
  <c r="M457" i="3"/>
  <c r="C457" i="3"/>
  <c r="J457" i="3"/>
  <c r="T457" i="3"/>
  <c r="E457" i="3"/>
  <c r="V457" i="3"/>
  <c r="G457" i="3"/>
  <c r="P457" i="3"/>
  <c r="S457" i="3"/>
  <c r="Y457" i="3" s="1"/>
  <c r="Z457" i="3" s="1"/>
  <c r="K461" i="2"/>
  <c r="I458" i="2"/>
  <c r="F458" i="2" s="1"/>
  <c r="N457" i="3" s="1"/>
  <c r="L459" i="2"/>
  <c r="D459" i="2"/>
  <c r="T458" i="2"/>
  <c r="G458" i="2"/>
  <c r="N459" i="2"/>
  <c r="H458" i="2"/>
  <c r="E458" i="2" s="1"/>
  <c r="H457" i="3" s="1"/>
  <c r="C458" i="4" l="1"/>
  <c r="AB457" i="3"/>
  <c r="E458" i="4" s="1"/>
  <c r="K462" i="2"/>
  <c r="I458" i="4"/>
  <c r="M458" i="4" s="1"/>
  <c r="K458" i="4"/>
  <c r="N458" i="4" s="1"/>
  <c r="G458" i="4"/>
  <c r="L458" i="4" s="1"/>
  <c r="M460" i="2"/>
  <c r="J459" i="2"/>
  <c r="G459" i="2" s="1"/>
  <c r="T458" i="3" s="1"/>
  <c r="I455" i="3"/>
  <c r="F456" i="4" s="1"/>
  <c r="U455" i="3"/>
  <c r="J456" i="4" s="1"/>
  <c r="O455" i="3"/>
  <c r="H456" i="4" s="1"/>
  <c r="F456" i="3"/>
  <c r="D457" i="3"/>
  <c r="B459" i="3"/>
  <c r="B461" i="2"/>
  <c r="A459" i="4"/>
  <c r="J458" i="3"/>
  <c r="V458" i="3"/>
  <c r="C458" i="3"/>
  <c r="M458" i="3"/>
  <c r="P458" i="3"/>
  <c r="E458" i="3"/>
  <c r="G458" i="3"/>
  <c r="S458" i="3"/>
  <c r="Y458" i="3" s="1"/>
  <c r="Z458" i="3" s="1"/>
  <c r="D457" i="4"/>
  <c r="AA457" i="3"/>
  <c r="N460" i="2"/>
  <c r="H459" i="2"/>
  <c r="E459" i="2" s="1"/>
  <c r="H458" i="3" s="1"/>
  <c r="T459" i="2"/>
  <c r="D460" i="2"/>
  <c r="I459" i="2"/>
  <c r="F459" i="2" s="1"/>
  <c r="N458" i="3" s="1"/>
  <c r="L460" i="2"/>
  <c r="C460" i="2"/>
  <c r="T460" i="2" l="1"/>
  <c r="D461" i="2"/>
  <c r="M461" i="2"/>
  <c r="J460" i="2"/>
  <c r="G460" i="2" s="1"/>
  <c r="T459" i="3" s="1"/>
  <c r="N461" i="2"/>
  <c r="H460" i="2"/>
  <c r="D458" i="4"/>
  <c r="AA458" i="3"/>
  <c r="G459" i="4"/>
  <c r="L459" i="4" s="1"/>
  <c r="I459" i="4"/>
  <c r="M459" i="4" s="1"/>
  <c r="K459" i="4"/>
  <c r="N459" i="4" s="1"/>
  <c r="B460" i="3"/>
  <c r="B462" i="2"/>
  <c r="A460" i="4"/>
  <c r="G459" i="3"/>
  <c r="S459" i="3"/>
  <c r="Y459" i="3" s="1"/>
  <c r="Z459" i="3" s="1"/>
  <c r="P459" i="3"/>
  <c r="C459" i="3"/>
  <c r="E459" i="3"/>
  <c r="V459" i="3"/>
  <c r="J459" i="3"/>
  <c r="M459" i="3"/>
  <c r="C461" i="2"/>
  <c r="E460" i="2"/>
  <c r="H459" i="3" s="1"/>
  <c r="F457" i="3"/>
  <c r="D458" i="3"/>
  <c r="I460" i="2"/>
  <c r="F460" i="2" s="1"/>
  <c r="N459" i="3" s="1"/>
  <c r="L461" i="2"/>
  <c r="I456" i="3"/>
  <c r="F457" i="4" s="1"/>
  <c r="U456" i="3"/>
  <c r="J457" i="4" s="1"/>
  <c r="O456" i="3"/>
  <c r="H457" i="4" s="1"/>
  <c r="K463" i="2"/>
  <c r="C459" i="4"/>
  <c r="AB458" i="3"/>
  <c r="E459" i="4" s="1"/>
  <c r="D459" i="3" l="1"/>
  <c r="F458" i="3"/>
  <c r="O457" i="3"/>
  <c r="H458" i="4" s="1"/>
  <c r="U457" i="3"/>
  <c r="J458" i="4" s="1"/>
  <c r="I457" i="3"/>
  <c r="F458" i="4" s="1"/>
  <c r="D459" i="4"/>
  <c r="AA459" i="3"/>
  <c r="C462" i="2"/>
  <c r="E461" i="2"/>
  <c r="F461" i="2"/>
  <c r="G460" i="4"/>
  <c r="L460" i="4" s="1"/>
  <c r="I460" i="4"/>
  <c r="M460" i="4" s="1"/>
  <c r="K460" i="4"/>
  <c r="N460" i="4" s="1"/>
  <c r="N462" i="2"/>
  <c r="H461" i="2"/>
  <c r="I461" i="2"/>
  <c r="L462" i="2"/>
  <c r="B461" i="3"/>
  <c r="B463" i="2"/>
  <c r="K464" i="2"/>
  <c r="C460" i="4"/>
  <c r="AB459" i="3"/>
  <c r="E460" i="4" s="1"/>
  <c r="A461" i="4"/>
  <c r="P460" i="3"/>
  <c r="S460" i="3"/>
  <c r="Y460" i="3" s="1"/>
  <c r="Z460" i="3" s="1"/>
  <c r="C460" i="3"/>
  <c r="E460" i="3"/>
  <c r="V460" i="3"/>
  <c r="G460" i="3"/>
  <c r="H460" i="3"/>
  <c r="J460" i="3"/>
  <c r="N460" i="3"/>
  <c r="M460" i="3"/>
  <c r="J461" i="2"/>
  <c r="G461" i="2" s="1"/>
  <c r="T460" i="3" s="1"/>
  <c r="M462" i="2"/>
  <c r="D462" i="2"/>
  <c r="T461" i="2"/>
  <c r="K465" i="2" l="1"/>
  <c r="B462" i="3"/>
  <c r="B464" i="2"/>
  <c r="A462" i="4"/>
  <c r="C461" i="3"/>
  <c r="G461" i="3"/>
  <c r="V461" i="3"/>
  <c r="J461" i="3"/>
  <c r="M461" i="3"/>
  <c r="E461" i="3"/>
  <c r="P461" i="3"/>
  <c r="S461" i="3"/>
  <c r="Y461" i="3" s="1"/>
  <c r="Z461" i="3" s="1"/>
  <c r="L463" i="2"/>
  <c r="I462" i="2"/>
  <c r="F462" i="2"/>
  <c r="N461" i="3" s="1"/>
  <c r="C463" i="2"/>
  <c r="D460" i="4"/>
  <c r="AA460" i="3"/>
  <c r="T462" i="2"/>
  <c r="D463" i="2"/>
  <c r="N463" i="2"/>
  <c r="H462" i="2"/>
  <c r="E462" i="2" s="1"/>
  <c r="H461" i="3" s="1"/>
  <c r="G461" i="4"/>
  <c r="L461" i="4" s="1"/>
  <c r="I461" i="4"/>
  <c r="M461" i="4" s="1"/>
  <c r="K461" i="4"/>
  <c r="N461" i="4" s="1"/>
  <c r="C461" i="4"/>
  <c r="AB460" i="3"/>
  <c r="E461" i="4" s="1"/>
  <c r="O458" i="3"/>
  <c r="H459" i="4" s="1"/>
  <c r="I458" i="3"/>
  <c r="F459" i="4" s="1"/>
  <c r="U458" i="3"/>
  <c r="J459" i="4" s="1"/>
  <c r="M463" i="2"/>
  <c r="J462" i="2"/>
  <c r="G462" i="2" s="1"/>
  <c r="T461" i="3" s="1"/>
  <c r="D460" i="3"/>
  <c r="F459" i="3"/>
  <c r="D461" i="4" l="1"/>
  <c r="AA461" i="3"/>
  <c r="C462" i="4"/>
  <c r="AB461" i="3"/>
  <c r="E462" i="4" s="1"/>
  <c r="C464" i="2"/>
  <c r="F460" i="3"/>
  <c r="D461" i="3"/>
  <c r="I463" i="2"/>
  <c r="F463" i="2" s="1"/>
  <c r="N462" i="3" s="1"/>
  <c r="L464" i="2"/>
  <c r="G462" i="4"/>
  <c r="L462" i="4" s="1"/>
  <c r="I462" i="4"/>
  <c r="M462" i="4" s="1"/>
  <c r="K462" i="4"/>
  <c r="N462" i="4" s="1"/>
  <c r="I459" i="3"/>
  <c r="F460" i="4" s="1"/>
  <c r="U459" i="3"/>
  <c r="J460" i="4" s="1"/>
  <c r="O459" i="3"/>
  <c r="H460" i="4" s="1"/>
  <c r="M464" i="2"/>
  <c r="J463" i="2"/>
  <c r="B463" i="3"/>
  <c r="B465" i="2"/>
  <c r="N464" i="2"/>
  <c r="H463" i="2"/>
  <c r="E463" i="2" s="1"/>
  <c r="H462" i="3" s="1"/>
  <c r="A463" i="4"/>
  <c r="C462" i="3"/>
  <c r="V462" i="3"/>
  <c r="J462" i="3"/>
  <c r="M462" i="3"/>
  <c r="P462" i="3"/>
  <c r="E462" i="3"/>
  <c r="S462" i="3"/>
  <c r="Y462" i="3" s="1"/>
  <c r="Z462" i="3" s="1"/>
  <c r="G462" i="3"/>
  <c r="G463" i="2"/>
  <c r="T462" i="3" s="1"/>
  <c r="T463" i="2"/>
  <c r="D464" i="2"/>
  <c r="K466" i="2"/>
  <c r="B464" i="3" l="1"/>
  <c r="B466" i="2"/>
  <c r="A464" i="4"/>
  <c r="J463" i="3"/>
  <c r="M463" i="3"/>
  <c r="P463" i="3"/>
  <c r="C463" i="3"/>
  <c r="E463" i="3"/>
  <c r="G463" i="3"/>
  <c r="S463" i="3"/>
  <c r="Y463" i="3" s="1"/>
  <c r="Z463" i="3" s="1"/>
  <c r="V463" i="3"/>
  <c r="L465" i="2"/>
  <c r="I464" i="2"/>
  <c r="F464" i="2" s="1"/>
  <c r="N463" i="3" s="1"/>
  <c r="M465" i="2"/>
  <c r="J464" i="2"/>
  <c r="F461" i="3"/>
  <c r="D462" i="3"/>
  <c r="C463" i="4"/>
  <c r="AB462" i="3"/>
  <c r="E463" i="4" s="1"/>
  <c r="I460" i="3"/>
  <c r="F461" i="4" s="1"/>
  <c r="U460" i="3"/>
  <c r="J461" i="4" s="1"/>
  <c r="O460" i="3"/>
  <c r="H461" i="4" s="1"/>
  <c r="C465" i="2"/>
  <c r="K467" i="2"/>
  <c r="T464" i="2"/>
  <c r="D465" i="2"/>
  <c r="G464" i="2"/>
  <c r="T463" i="3" s="1"/>
  <c r="K463" i="4"/>
  <c r="N463" i="4" s="1"/>
  <c r="G463" i="4"/>
  <c r="L463" i="4" s="1"/>
  <c r="I463" i="4"/>
  <c r="M463" i="4" s="1"/>
  <c r="D462" i="4"/>
  <c r="AA462" i="3"/>
  <c r="N465" i="2"/>
  <c r="H464" i="2"/>
  <c r="E464" i="2" s="1"/>
  <c r="H463" i="3" s="1"/>
  <c r="D466" i="2" l="1"/>
  <c r="T465" i="2"/>
  <c r="D463" i="3"/>
  <c r="F462" i="3"/>
  <c r="O461" i="3"/>
  <c r="H462" i="4" s="1"/>
  <c r="U461" i="3"/>
  <c r="J462" i="4" s="1"/>
  <c r="I461" i="3"/>
  <c r="F462" i="4" s="1"/>
  <c r="N466" i="2"/>
  <c r="H465" i="2"/>
  <c r="E465" i="2" s="1"/>
  <c r="H464" i="3" s="1"/>
  <c r="K468" i="2"/>
  <c r="D463" i="4"/>
  <c r="AA463" i="3"/>
  <c r="M466" i="2"/>
  <c r="J465" i="2"/>
  <c r="G465" i="2" s="1"/>
  <c r="T464" i="3" s="1"/>
  <c r="C464" i="4"/>
  <c r="AB463" i="3"/>
  <c r="E464" i="4" s="1"/>
  <c r="C466" i="2"/>
  <c r="F465" i="2"/>
  <c r="I465" i="2"/>
  <c r="L466" i="2"/>
  <c r="I464" i="4"/>
  <c r="M464" i="4" s="1"/>
  <c r="K464" i="4"/>
  <c r="N464" i="4" s="1"/>
  <c r="G464" i="4"/>
  <c r="L464" i="4" s="1"/>
  <c r="B465" i="3"/>
  <c r="B467" i="2"/>
  <c r="A465" i="4"/>
  <c r="M464" i="3"/>
  <c r="N464" i="3"/>
  <c r="P464" i="3"/>
  <c r="C464" i="3"/>
  <c r="S464" i="3"/>
  <c r="Y464" i="3" s="1"/>
  <c r="Z464" i="3" s="1"/>
  <c r="E464" i="3"/>
  <c r="G464" i="3"/>
  <c r="J464" i="3"/>
  <c r="V464" i="3"/>
  <c r="I466" i="2" l="1"/>
  <c r="L467" i="2"/>
  <c r="K469" i="2"/>
  <c r="C465" i="4"/>
  <c r="AB464" i="3"/>
  <c r="E465" i="4" s="1"/>
  <c r="N467" i="2"/>
  <c r="H466" i="2"/>
  <c r="E466" i="2" s="1"/>
  <c r="H465" i="3" s="1"/>
  <c r="G465" i="4"/>
  <c r="L465" i="4" s="1"/>
  <c r="I465" i="4"/>
  <c r="M465" i="4" s="1"/>
  <c r="K465" i="4"/>
  <c r="N465" i="4" s="1"/>
  <c r="F466" i="2"/>
  <c r="C467" i="2"/>
  <c r="B466" i="3"/>
  <c r="B468" i="2"/>
  <c r="A466" i="4"/>
  <c r="C465" i="3"/>
  <c r="M465" i="3"/>
  <c r="N465" i="3"/>
  <c r="P465" i="3"/>
  <c r="S465" i="3"/>
  <c r="Y465" i="3" s="1"/>
  <c r="Z465" i="3" s="1"/>
  <c r="E465" i="3"/>
  <c r="G465" i="3"/>
  <c r="J465" i="3"/>
  <c r="V465" i="3"/>
  <c r="O462" i="3"/>
  <c r="H463" i="4" s="1"/>
  <c r="I462" i="3"/>
  <c r="F463" i="4" s="1"/>
  <c r="U462" i="3"/>
  <c r="J463" i="4" s="1"/>
  <c r="D464" i="3"/>
  <c r="F463" i="3"/>
  <c r="J466" i="2"/>
  <c r="G466" i="2" s="1"/>
  <c r="T465" i="3" s="1"/>
  <c r="M467" i="2"/>
  <c r="D464" i="4"/>
  <c r="AA464" i="3"/>
  <c r="T466" i="2"/>
  <c r="D467" i="2"/>
  <c r="C466" i="4" l="1"/>
  <c r="AB465" i="3"/>
  <c r="E466" i="4" s="1"/>
  <c r="F464" i="3"/>
  <c r="D465" i="3"/>
  <c r="G466" i="4"/>
  <c r="L466" i="4" s="1"/>
  <c r="I466" i="4"/>
  <c r="M466" i="4" s="1"/>
  <c r="K466" i="4"/>
  <c r="N466" i="4" s="1"/>
  <c r="I463" i="3"/>
  <c r="F464" i="4" s="1"/>
  <c r="U463" i="3"/>
  <c r="J464" i="4" s="1"/>
  <c r="O463" i="3"/>
  <c r="H464" i="4" s="1"/>
  <c r="T467" i="2"/>
  <c r="D468" i="2"/>
  <c r="B467" i="3"/>
  <c r="B469" i="2"/>
  <c r="N468" i="2"/>
  <c r="H467" i="2"/>
  <c r="E467" i="2" s="1"/>
  <c r="H466" i="3" s="1"/>
  <c r="A467" i="4"/>
  <c r="C466" i="3"/>
  <c r="P466" i="3"/>
  <c r="E466" i="3"/>
  <c r="S466" i="3"/>
  <c r="Y466" i="3" s="1"/>
  <c r="Z466" i="3" s="1"/>
  <c r="G466" i="3"/>
  <c r="V466" i="3"/>
  <c r="J466" i="3"/>
  <c r="M466" i="3"/>
  <c r="C468" i="2"/>
  <c r="D465" i="4"/>
  <c r="AA465" i="3"/>
  <c r="K470" i="2"/>
  <c r="M468" i="2"/>
  <c r="J467" i="2"/>
  <c r="G467" i="2" s="1"/>
  <c r="T466" i="3" s="1"/>
  <c r="L468" i="2"/>
  <c r="I467" i="2"/>
  <c r="F467" i="2" s="1"/>
  <c r="N466" i="3" s="1"/>
  <c r="D466" i="4" l="1"/>
  <c r="AA466" i="3"/>
  <c r="C469" i="2"/>
  <c r="G467" i="4"/>
  <c r="L467" i="4" s="1"/>
  <c r="I467" i="4"/>
  <c r="M467" i="4" s="1"/>
  <c r="K467" i="4"/>
  <c r="N467" i="4" s="1"/>
  <c r="C467" i="4"/>
  <c r="AB466" i="3"/>
  <c r="E467" i="4" s="1"/>
  <c r="N469" i="2"/>
  <c r="H468" i="2"/>
  <c r="E468" i="2" s="1"/>
  <c r="H467" i="3" s="1"/>
  <c r="B468" i="3"/>
  <c r="B470" i="2"/>
  <c r="A468" i="4"/>
  <c r="C467" i="3"/>
  <c r="E467" i="3"/>
  <c r="S467" i="3"/>
  <c r="Y467" i="3" s="1"/>
  <c r="Z467" i="3" s="1"/>
  <c r="G467" i="3"/>
  <c r="V467" i="3"/>
  <c r="J467" i="3"/>
  <c r="P467" i="3"/>
  <c r="M467" i="3"/>
  <c r="I468" i="2"/>
  <c r="F468" i="2" s="1"/>
  <c r="N467" i="3" s="1"/>
  <c r="L469" i="2"/>
  <c r="M469" i="2"/>
  <c r="J468" i="2"/>
  <c r="G468" i="2" s="1"/>
  <c r="T467" i="3" s="1"/>
  <c r="D469" i="2"/>
  <c r="T468" i="2"/>
  <c r="F465" i="3"/>
  <c r="D466" i="3"/>
  <c r="I464" i="3"/>
  <c r="F465" i="4" s="1"/>
  <c r="U464" i="3"/>
  <c r="J465" i="4" s="1"/>
  <c r="O464" i="3"/>
  <c r="H465" i="4" s="1"/>
  <c r="K471" i="2"/>
  <c r="M470" i="2" l="1"/>
  <c r="J469" i="2"/>
  <c r="G469" i="2" s="1"/>
  <c r="T468" i="3" s="1"/>
  <c r="L470" i="2"/>
  <c r="I469" i="2"/>
  <c r="T469" i="2"/>
  <c r="D470" i="2"/>
  <c r="K472" i="2"/>
  <c r="G468" i="4"/>
  <c r="L468" i="4" s="1"/>
  <c r="I468" i="4"/>
  <c r="M468" i="4" s="1"/>
  <c r="K468" i="4"/>
  <c r="N468" i="4" s="1"/>
  <c r="C468" i="4"/>
  <c r="AB467" i="3"/>
  <c r="E468" i="4" s="1"/>
  <c r="B469" i="3"/>
  <c r="B471" i="2"/>
  <c r="A469" i="4"/>
  <c r="S468" i="3"/>
  <c r="Y468" i="3" s="1"/>
  <c r="Z468" i="3" s="1"/>
  <c r="E468" i="3"/>
  <c r="G468" i="3"/>
  <c r="V468" i="3"/>
  <c r="J468" i="3"/>
  <c r="C468" i="3"/>
  <c r="M468" i="3"/>
  <c r="N468" i="3"/>
  <c r="P468" i="3"/>
  <c r="F469" i="2"/>
  <c r="C470" i="2"/>
  <c r="D467" i="3"/>
  <c r="F466" i="3"/>
  <c r="N470" i="2"/>
  <c r="H469" i="2"/>
  <c r="E469" i="2" s="1"/>
  <c r="H468" i="3" s="1"/>
  <c r="D467" i="4"/>
  <c r="AA467" i="3"/>
  <c r="O465" i="3"/>
  <c r="H466" i="4" s="1"/>
  <c r="U465" i="3"/>
  <c r="J466" i="4" s="1"/>
  <c r="I465" i="3"/>
  <c r="F466" i="4" s="1"/>
  <c r="O466" i="3" l="1"/>
  <c r="H467" i="4" s="1"/>
  <c r="U466" i="3"/>
  <c r="J467" i="4" s="1"/>
  <c r="I466" i="3"/>
  <c r="F467" i="4" s="1"/>
  <c r="C471" i="2"/>
  <c r="D468" i="3"/>
  <c r="F467" i="3"/>
  <c r="K469" i="4"/>
  <c r="N469" i="4" s="1"/>
  <c r="G469" i="4"/>
  <c r="L469" i="4" s="1"/>
  <c r="I469" i="4"/>
  <c r="M469" i="4" s="1"/>
  <c r="K473" i="2"/>
  <c r="B470" i="3"/>
  <c r="B472" i="2"/>
  <c r="T470" i="2"/>
  <c r="D471" i="2"/>
  <c r="A470" i="4"/>
  <c r="C469" i="3"/>
  <c r="G469" i="3"/>
  <c r="V469" i="3"/>
  <c r="J469" i="3"/>
  <c r="M469" i="3"/>
  <c r="E469" i="3"/>
  <c r="S469" i="3"/>
  <c r="Y469" i="3" s="1"/>
  <c r="Z469" i="3" s="1"/>
  <c r="P469" i="3"/>
  <c r="C469" i="4"/>
  <c r="AB468" i="3"/>
  <c r="E469" i="4" s="1"/>
  <c r="D468" i="4"/>
  <c r="AA468" i="3"/>
  <c r="L471" i="2"/>
  <c r="I470" i="2"/>
  <c r="F470" i="2" s="1"/>
  <c r="N469" i="3" s="1"/>
  <c r="N471" i="2"/>
  <c r="H470" i="2"/>
  <c r="E470" i="2" s="1"/>
  <c r="H469" i="3" s="1"/>
  <c r="M471" i="2"/>
  <c r="J470" i="2"/>
  <c r="G470" i="2" s="1"/>
  <c r="T469" i="3" s="1"/>
  <c r="I471" i="2" l="1"/>
  <c r="L472" i="2"/>
  <c r="I470" i="4"/>
  <c r="M470" i="4" s="1"/>
  <c r="K470" i="4"/>
  <c r="N470" i="4" s="1"/>
  <c r="G470" i="4"/>
  <c r="L470" i="4" s="1"/>
  <c r="D472" i="2"/>
  <c r="T471" i="2"/>
  <c r="I467" i="3"/>
  <c r="F468" i="4" s="1"/>
  <c r="U467" i="3"/>
  <c r="J468" i="4" s="1"/>
  <c r="O467" i="3"/>
  <c r="H468" i="4" s="1"/>
  <c r="F468" i="3"/>
  <c r="D469" i="3"/>
  <c r="M472" i="2"/>
  <c r="J471" i="2"/>
  <c r="G471" i="2" s="1"/>
  <c r="T470" i="3" s="1"/>
  <c r="B471" i="3"/>
  <c r="B473" i="2"/>
  <c r="C472" i="2"/>
  <c r="F471" i="2"/>
  <c r="C470" i="4"/>
  <c r="AB469" i="3"/>
  <c r="E470" i="4" s="1"/>
  <c r="A471" i="4"/>
  <c r="S470" i="3"/>
  <c r="Y470" i="3" s="1"/>
  <c r="Z470" i="3" s="1"/>
  <c r="G470" i="3"/>
  <c r="V470" i="3"/>
  <c r="J470" i="3"/>
  <c r="M470" i="3"/>
  <c r="C470" i="3"/>
  <c r="P470" i="3"/>
  <c r="E470" i="3"/>
  <c r="N470" i="3"/>
  <c r="D469" i="4"/>
  <c r="AA469" i="3"/>
  <c r="N472" i="2"/>
  <c r="H471" i="2"/>
  <c r="E471" i="2" s="1"/>
  <c r="H470" i="3" s="1"/>
  <c r="K474" i="2"/>
  <c r="P470" i="4" l="1"/>
  <c r="N473" i="2"/>
  <c r="H472" i="2"/>
  <c r="C471" i="4"/>
  <c r="AB470" i="3"/>
  <c r="E471" i="4" s="1"/>
  <c r="E472" i="2"/>
  <c r="C473" i="2"/>
  <c r="T472" i="2"/>
  <c r="D473" i="2"/>
  <c r="B472" i="3"/>
  <c r="B474" i="2"/>
  <c r="K475" i="2"/>
  <c r="A472" i="4"/>
  <c r="E471" i="3"/>
  <c r="S471" i="3"/>
  <c r="Y471" i="3" s="1"/>
  <c r="Z471" i="3" s="1"/>
  <c r="G471" i="3"/>
  <c r="H471" i="3"/>
  <c r="V471" i="3"/>
  <c r="J471" i="3"/>
  <c r="P471" i="3"/>
  <c r="C471" i="3"/>
  <c r="M471" i="3"/>
  <c r="J472" i="2"/>
  <c r="G472" i="2" s="1"/>
  <c r="T471" i="3" s="1"/>
  <c r="M473" i="2"/>
  <c r="F469" i="3"/>
  <c r="D470" i="3"/>
  <c r="I468" i="3"/>
  <c r="F469" i="4" s="1"/>
  <c r="U468" i="3"/>
  <c r="J469" i="4" s="1"/>
  <c r="O468" i="3"/>
  <c r="H469" i="4" s="1"/>
  <c r="D470" i="4"/>
  <c r="AA470" i="3"/>
  <c r="G471" i="4"/>
  <c r="L471" i="4" s="1"/>
  <c r="I471" i="4"/>
  <c r="M471" i="4" s="1"/>
  <c r="K471" i="4"/>
  <c r="N471" i="4" s="1"/>
  <c r="I472" i="2"/>
  <c r="F472" i="2" s="1"/>
  <c r="N471" i="3" s="1"/>
  <c r="L473" i="2"/>
  <c r="B473" i="3" l="1"/>
  <c r="B475" i="2"/>
  <c r="D471" i="4"/>
  <c r="AA471" i="3"/>
  <c r="A473" i="4"/>
  <c r="E472" i="3"/>
  <c r="G472" i="3"/>
  <c r="S472" i="3"/>
  <c r="Y472" i="3" s="1"/>
  <c r="Z472" i="3" s="1"/>
  <c r="J472" i="3"/>
  <c r="V472" i="3"/>
  <c r="C472" i="3"/>
  <c r="P472" i="3"/>
  <c r="M472" i="3"/>
  <c r="T473" i="2"/>
  <c r="D474" i="2"/>
  <c r="C474" i="2"/>
  <c r="L474" i="2"/>
  <c r="I473" i="2"/>
  <c r="F473" i="2" s="1"/>
  <c r="N472" i="3" s="1"/>
  <c r="F470" i="3"/>
  <c r="D471" i="3"/>
  <c r="O469" i="3"/>
  <c r="H470" i="4" s="1"/>
  <c r="U469" i="3"/>
  <c r="J470" i="4" s="1"/>
  <c r="I469" i="3"/>
  <c r="F470" i="4" s="1"/>
  <c r="M474" i="2"/>
  <c r="J473" i="2"/>
  <c r="G473" i="2" s="1"/>
  <c r="T472" i="3" s="1"/>
  <c r="G472" i="4"/>
  <c r="L472" i="4" s="1"/>
  <c r="I472" i="4"/>
  <c r="M472" i="4" s="1"/>
  <c r="K472" i="4"/>
  <c r="N472" i="4" s="1"/>
  <c r="C472" i="4"/>
  <c r="AB471" i="3"/>
  <c r="E472" i="4" s="1"/>
  <c r="K476" i="2"/>
  <c r="N474" i="2"/>
  <c r="H473" i="2"/>
  <c r="E473" i="2" s="1"/>
  <c r="H472" i="3" s="1"/>
  <c r="I474" i="2" l="1"/>
  <c r="L475" i="2"/>
  <c r="C475" i="2"/>
  <c r="F474" i="2"/>
  <c r="D475" i="2"/>
  <c r="T474" i="2"/>
  <c r="N475" i="2"/>
  <c r="H474" i="2"/>
  <c r="E474" i="2" s="1"/>
  <c r="H473" i="3" s="1"/>
  <c r="M475" i="2"/>
  <c r="J474" i="2"/>
  <c r="G474" i="2" s="1"/>
  <c r="T473" i="3" s="1"/>
  <c r="K477" i="2"/>
  <c r="G473" i="4"/>
  <c r="L473" i="4" s="1"/>
  <c r="I473" i="4"/>
  <c r="M473" i="4" s="1"/>
  <c r="K473" i="4"/>
  <c r="N473" i="4" s="1"/>
  <c r="C473" i="4"/>
  <c r="AB472" i="3"/>
  <c r="E473" i="4" s="1"/>
  <c r="D472" i="4"/>
  <c r="AA472" i="3"/>
  <c r="D472" i="3"/>
  <c r="F471" i="3"/>
  <c r="B474" i="3"/>
  <c r="B476" i="2"/>
  <c r="U470" i="3"/>
  <c r="J471" i="4" s="1"/>
  <c r="I470" i="3"/>
  <c r="F471" i="4" s="1"/>
  <c r="O470" i="3"/>
  <c r="H471" i="4" s="1"/>
  <c r="A474" i="4"/>
  <c r="N473" i="3"/>
  <c r="C473" i="3"/>
  <c r="P473" i="3"/>
  <c r="E473" i="3"/>
  <c r="G473" i="3"/>
  <c r="S473" i="3"/>
  <c r="Y473" i="3" s="1"/>
  <c r="Z473" i="3" s="1"/>
  <c r="M473" i="3"/>
  <c r="J473" i="3"/>
  <c r="V473" i="3"/>
  <c r="D473" i="4" l="1"/>
  <c r="AA473" i="3"/>
  <c r="M476" i="2"/>
  <c r="J475" i="2"/>
  <c r="G475" i="2" s="1"/>
  <c r="T474" i="3" s="1"/>
  <c r="N476" i="2"/>
  <c r="H475" i="2"/>
  <c r="E475" i="2" s="1"/>
  <c r="H474" i="3" s="1"/>
  <c r="G474" i="4"/>
  <c r="L474" i="4" s="1"/>
  <c r="I474" i="4"/>
  <c r="M474" i="4" s="1"/>
  <c r="K474" i="4"/>
  <c r="N474" i="4" s="1"/>
  <c r="T475" i="2"/>
  <c r="D476" i="2"/>
  <c r="B475" i="3"/>
  <c r="B477" i="2"/>
  <c r="C476" i="2"/>
  <c r="A475" i="4"/>
  <c r="M474" i="3"/>
  <c r="C474" i="3"/>
  <c r="P474" i="3"/>
  <c r="E474" i="3"/>
  <c r="J474" i="3"/>
  <c r="V474" i="3"/>
  <c r="G474" i="3"/>
  <c r="S474" i="3"/>
  <c r="Y474" i="3" s="1"/>
  <c r="Z474" i="3" s="1"/>
  <c r="C474" i="4"/>
  <c r="AB473" i="3"/>
  <c r="E474" i="4" s="1"/>
  <c r="I471" i="3"/>
  <c r="F472" i="4" s="1"/>
  <c r="U471" i="3"/>
  <c r="J472" i="4" s="1"/>
  <c r="O471" i="3"/>
  <c r="H472" i="4" s="1"/>
  <c r="I475" i="2"/>
  <c r="F475" i="2" s="1"/>
  <c r="N474" i="3" s="1"/>
  <c r="L476" i="2"/>
  <c r="F472" i="3"/>
  <c r="D473" i="3"/>
  <c r="K478" i="2"/>
  <c r="C475" i="4" l="1"/>
  <c r="AB474" i="3"/>
  <c r="E475" i="4" s="1"/>
  <c r="K475" i="4"/>
  <c r="N475" i="4" s="1"/>
  <c r="G475" i="4"/>
  <c r="L475" i="4" s="1"/>
  <c r="I475" i="4"/>
  <c r="M475" i="4" s="1"/>
  <c r="C477" i="2"/>
  <c r="K479" i="2"/>
  <c r="F473" i="3"/>
  <c r="D474" i="3"/>
  <c r="B476" i="3"/>
  <c r="B478" i="2"/>
  <c r="N477" i="2"/>
  <c r="H476" i="2"/>
  <c r="E476" i="2" s="1"/>
  <c r="H475" i="3" s="1"/>
  <c r="A476" i="4"/>
  <c r="J475" i="3"/>
  <c r="V475" i="3"/>
  <c r="M475" i="3"/>
  <c r="E475" i="3"/>
  <c r="G475" i="3"/>
  <c r="S475" i="3"/>
  <c r="Y475" i="3" s="1"/>
  <c r="Z475" i="3" s="1"/>
  <c r="P475" i="3"/>
  <c r="C475" i="3"/>
  <c r="T476" i="2"/>
  <c r="D477" i="2"/>
  <c r="M477" i="2"/>
  <c r="J476" i="2"/>
  <c r="G476" i="2" s="1"/>
  <c r="T475" i="3" s="1"/>
  <c r="I472" i="3"/>
  <c r="F473" i="4" s="1"/>
  <c r="U472" i="3"/>
  <c r="J473" i="4" s="1"/>
  <c r="O472" i="3"/>
  <c r="H473" i="4" s="1"/>
  <c r="I476" i="2"/>
  <c r="F476" i="2" s="1"/>
  <c r="N475" i="3" s="1"/>
  <c r="L477" i="2"/>
  <c r="D474" i="4"/>
  <c r="AA474" i="3"/>
  <c r="M478" i="2" l="1"/>
  <c r="J477" i="2"/>
  <c r="C478" i="2"/>
  <c r="D478" i="2"/>
  <c r="T477" i="2"/>
  <c r="G477" i="2"/>
  <c r="I476" i="4"/>
  <c r="M476" i="4" s="1"/>
  <c r="K476" i="4"/>
  <c r="N476" i="4" s="1"/>
  <c r="G476" i="4"/>
  <c r="L476" i="4" s="1"/>
  <c r="D475" i="4"/>
  <c r="AA475" i="3"/>
  <c r="N478" i="2"/>
  <c r="H477" i="2"/>
  <c r="E477" i="2" s="1"/>
  <c r="H476" i="3" s="1"/>
  <c r="B477" i="3"/>
  <c r="B479" i="2"/>
  <c r="I477" i="2"/>
  <c r="F477" i="2" s="1"/>
  <c r="N476" i="3" s="1"/>
  <c r="L478" i="2"/>
  <c r="A477" i="4"/>
  <c r="E476" i="3"/>
  <c r="G476" i="3"/>
  <c r="S476" i="3"/>
  <c r="Y476" i="3" s="1"/>
  <c r="Z476" i="3" s="1"/>
  <c r="T476" i="3"/>
  <c r="J476" i="3"/>
  <c r="V476" i="3"/>
  <c r="P476" i="3"/>
  <c r="M476" i="3"/>
  <c r="C476" i="3"/>
  <c r="F474" i="3"/>
  <c r="D475" i="3"/>
  <c r="O473" i="3"/>
  <c r="H474" i="4" s="1"/>
  <c r="I473" i="3"/>
  <c r="F474" i="4" s="1"/>
  <c r="U473" i="3"/>
  <c r="J474" i="4" s="1"/>
  <c r="C476" i="4"/>
  <c r="AB475" i="3"/>
  <c r="E476" i="4" s="1"/>
  <c r="D476" i="3" l="1"/>
  <c r="F475" i="3"/>
  <c r="O474" i="3"/>
  <c r="H475" i="4" s="1"/>
  <c r="I474" i="3"/>
  <c r="F475" i="4" s="1"/>
  <c r="U474" i="3"/>
  <c r="J475" i="4" s="1"/>
  <c r="G477" i="4"/>
  <c r="L477" i="4" s="1"/>
  <c r="I477" i="4"/>
  <c r="M477" i="4" s="1"/>
  <c r="K477" i="4"/>
  <c r="N477" i="4" s="1"/>
  <c r="L479" i="2"/>
  <c r="I479" i="2" s="1"/>
  <c r="I478" i="2"/>
  <c r="F478" i="2" s="1"/>
  <c r="N477" i="3" s="1"/>
  <c r="C477" i="4"/>
  <c r="AB476" i="3"/>
  <c r="E477" i="4" s="1"/>
  <c r="B478" i="3"/>
  <c r="B480" i="2"/>
  <c r="A478" i="4"/>
  <c r="C477" i="3"/>
  <c r="P477" i="3"/>
  <c r="E477" i="3"/>
  <c r="G477" i="3"/>
  <c r="S477" i="3"/>
  <c r="Y477" i="3" s="1"/>
  <c r="Z477" i="3" s="1"/>
  <c r="M477" i="3"/>
  <c r="V477" i="3"/>
  <c r="J477" i="3"/>
  <c r="T478" i="2"/>
  <c r="D479" i="2"/>
  <c r="N479" i="2"/>
  <c r="H478" i="2"/>
  <c r="E478" i="2" s="1"/>
  <c r="H477" i="3" s="1"/>
  <c r="D476" i="4"/>
  <c r="AA476" i="3"/>
  <c r="C479" i="2"/>
  <c r="M479" i="2"/>
  <c r="J479" i="2" s="1"/>
  <c r="J478" i="2"/>
  <c r="G478" i="2" s="1"/>
  <c r="T477" i="3" s="1"/>
  <c r="D477" i="4" l="1"/>
  <c r="AA477" i="3"/>
  <c r="N480" i="2"/>
  <c r="H479" i="2"/>
  <c r="T479" i="2"/>
  <c r="G479" i="2"/>
  <c r="T478" i="3" s="1"/>
  <c r="G478" i="4"/>
  <c r="L478" i="4" s="1"/>
  <c r="I478" i="4"/>
  <c r="M478" i="4" s="1"/>
  <c r="K478" i="4"/>
  <c r="N478" i="4" s="1"/>
  <c r="B479" i="3"/>
  <c r="B481" i="2"/>
  <c r="A479" i="4"/>
  <c r="M478" i="3"/>
  <c r="C478" i="3"/>
  <c r="P478" i="3"/>
  <c r="E478" i="3"/>
  <c r="J478" i="3"/>
  <c r="V478" i="3"/>
  <c r="G478" i="3"/>
  <c r="S478" i="3"/>
  <c r="Y478" i="3" s="1"/>
  <c r="Z478" i="3" s="1"/>
  <c r="C478" i="4"/>
  <c r="AB477" i="3"/>
  <c r="E478" i="4" s="1"/>
  <c r="I475" i="3"/>
  <c r="F476" i="4" s="1"/>
  <c r="U475" i="3"/>
  <c r="J476" i="4" s="1"/>
  <c r="O475" i="3"/>
  <c r="H476" i="4" s="1"/>
  <c r="E479" i="2"/>
  <c r="H478" i="3" s="1"/>
  <c r="F479" i="2"/>
  <c r="N478" i="3" s="1"/>
  <c r="F476" i="3"/>
  <c r="D477" i="3"/>
  <c r="N481" i="2" l="1"/>
  <c r="H480" i="2"/>
  <c r="E480" i="2" s="1"/>
  <c r="F477" i="3"/>
  <c r="D478" i="3"/>
  <c r="C479" i="4"/>
  <c r="AB478" i="3"/>
  <c r="E479" i="4" s="1"/>
  <c r="G479" i="4"/>
  <c r="L479" i="4" s="1"/>
  <c r="I479" i="4"/>
  <c r="M479" i="4" s="1"/>
  <c r="K479" i="4"/>
  <c r="N479" i="4" s="1"/>
  <c r="I476" i="3"/>
  <c r="F477" i="4" s="1"/>
  <c r="U476" i="3"/>
  <c r="J477" i="4" s="1"/>
  <c r="O476" i="3"/>
  <c r="H477" i="4" s="1"/>
  <c r="B480" i="3"/>
  <c r="B482" i="2"/>
  <c r="B481" i="3" s="1"/>
  <c r="D478" i="4"/>
  <c r="AA478" i="3"/>
  <c r="A480" i="4"/>
  <c r="H479" i="3"/>
  <c r="T479" i="3"/>
  <c r="J479" i="3"/>
  <c r="V479" i="3"/>
  <c r="M479" i="3"/>
  <c r="N479" i="3"/>
  <c r="E479" i="3"/>
  <c r="G479" i="3"/>
  <c r="S479" i="3"/>
  <c r="Y479" i="3" s="1"/>
  <c r="Z479" i="3" s="1"/>
  <c r="C479" i="3"/>
  <c r="P479" i="3"/>
  <c r="N482" i="2" l="1"/>
  <c r="H481" i="2"/>
  <c r="E481" i="2" s="1"/>
  <c r="C480" i="4"/>
  <c r="AB479" i="3"/>
  <c r="E480" i="4" s="1"/>
  <c r="G480" i="4"/>
  <c r="L480" i="4" s="1"/>
  <c r="I480" i="4"/>
  <c r="M480" i="4" s="1"/>
  <c r="K480" i="4"/>
  <c r="N480" i="4" s="1"/>
  <c r="D479" i="4"/>
  <c r="AA479" i="3"/>
  <c r="A482" i="4"/>
  <c r="N481" i="3"/>
  <c r="C481" i="3"/>
  <c r="P481" i="3"/>
  <c r="E481" i="3"/>
  <c r="G481" i="3"/>
  <c r="S481" i="3"/>
  <c r="Y482" i="3" s="1"/>
  <c r="Z482" i="3" s="1"/>
  <c r="T481" i="3"/>
  <c r="M481" i="3"/>
  <c r="V481" i="3"/>
  <c r="J481" i="3"/>
  <c r="A481" i="4"/>
  <c r="E480" i="3"/>
  <c r="G480" i="3"/>
  <c r="S480" i="3"/>
  <c r="Y480" i="3" s="1"/>
  <c r="Z480" i="3" s="1"/>
  <c r="H480" i="3"/>
  <c r="T480" i="3"/>
  <c r="J480" i="3"/>
  <c r="V480" i="3"/>
  <c r="N480" i="3"/>
  <c r="P480" i="3"/>
  <c r="C480" i="3"/>
  <c r="M480" i="3"/>
  <c r="D479" i="3"/>
  <c r="F478" i="3"/>
  <c r="O477" i="3"/>
  <c r="H478" i="4" s="1"/>
  <c r="U477" i="3"/>
  <c r="J478" i="4" s="1"/>
  <c r="I477" i="3"/>
  <c r="F478" i="4" s="1"/>
  <c r="N483" i="2" l="1"/>
  <c r="J482" i="3" s="1"/>
  <c r="G483" i="4" s="1"/>
  <c r="L483" i="4" s="1"/>
  <c r="H482" i="2"/>
  <c r="E482" i="2" s="1"/>
  <c r="H481" i="3" s="1"/>
  <c r="Y481" i="3"/>
  <c r="Z481" i="3" s="1"/>
  <c r="O478" i="3"/>
  <c r="H479" i="4" s="1"/>
  <c r="I478" i="3"/>
  <c r="F479" i="4" s="1"/>
  <c r="U478" i="3"/>
  <c r="J479" i="4" s="1"/>
  <c r="D480" i="3"/>
  <c r="F479" i="3"/>
  <c r="K481" i="4"/>
  <c r="N481" i="4" s="1"/>
  <c r="G481" i="4"/>
  <c r="L481" i="4" s="1"/>
  <c r="I481" i="4"/>
  <c r="M481" i="4" s="1"/>
  <c r="I482" i="4"/>
  <c r="M482" i="4" s="1"/>
  <c r="K482" i="4"/>
  <c r="N482" i="4" s="1"/>
  <c r="G482" i="4"/>
  <c r="L482" i="4" s="1"/>
  <c r="C481" i="4"/>
  <c r="AB480" i="3"/>
  <c r="E481" i="4" s="1"/>
  <c r="D480" i="4"/>
  <c r="AA480" i="3"/>
  <c r="C482" i="4"/>
  <c r="AB481" i="3"/>
  <c r="E482" i="4" s="1"/>
  <c r="N484" i="2" l="1"/>
  <c r="J483" i="3" s="1"/>
  <c r="G484" i="4" s="1"/>
  <c r="L484" i="4" s="1"/>
  <c r="H483" i="2"/>
  <c r="E483" i="2" s="1"/>
  <c r="H482" i="3" s="1"/>
  <c r="I482" i="3" s="1"/>
  <c r="F483" i="4" s="1"/>
  <c r="D481" i="4"/>
  <c r="AA481" i="3"/>
  <c r="I479" i="3"/>
  <c r="F480" i="4" s="1"/>
  <c r="U479" i="3"/>
  <c r="J480" i="4" s="1"/>
  <c r="O479" i="3"/>
  <c r="H480" i="4" s="1"/>
  <c r="F480" i="3"/>
  <c r="D481" i="3"/>
  <c r="F481" i="3" s="1"/>
  <c r="D482" i="4" l="1"/>
  <c r="AA482" i="3"/>
  <c r="N485" i="2"/>
  <c r="J484" i="3" s="1"/>
  <c r="G485" i="4" s="1"/>
  <c r="L485" i="4" s="1"/>
  <c r="H484" i="2"/>
  <c r="E484" i="2" s="1"/>
  <c r="H483" i="3" s="1"/>
  <c r="I483" i="3" s="1"/>
  <c r="F484" i="4" s="1"/>
  <c r="O481" i="3"/>
  <c r="H482" i="4" s="1"/>
  <c r="U481" i="3"/>
  <c r="J482" i="4" s="1"/>
  <c r="I481" i="3"/>
  <c r="F482" i="4" s="1"/>
  <c r="I480" i="3"/>
  <c r="F481" i="4" s="1"/>
  <c r="U480" i="3"/>
  <c r="J481" i="4" s="1"/>
  <c r="O480" i="3"/>
  <c r="H481" i="4" s="1"/>
  <c r="D483" i="4" l="1"/>
  <c r="AA483" i="3"/>
  <c r="N486" i="2"/>
  <c r="J485" i="3" s="1"/>
  <c r="G486" i="4" s="1"/>
  <c r="L486" i="4" s="1"/>
  <c r="H485" i="2"/>
  <c r="E485" i="2" s="1"/>
  <c r="H484" i="3" s="1"/>
  <c r="I484" i="3" s="1"/>
  <c r="F485" i="4" s="1"/>
  <c r="AA484" i="3" l="1"/>
  <c r="D484" i="4"/>
  <c r="N487" i="2"/>
  <c r="J486" i="3" s="1"/>
  <c r="G487" i="4" s="1"/>
  <c r="L487" i="4" s="1"/>
  <c r="H486" i="2"/>
  <c r="E486" i="2" s="1"/>
  <c r="H485" i="3" s="1"/>
  <c r="I485" i="3" s="1"/>
  <c r="F486" i="4" s="1"/>
  <c r="AA485" i="3" l="1"/>
  <c r="D485" i="4"/>
  <c r="N488" i="2"/>
  <c r="J487" i="3" s="1"/>
  <c r="G488" i="4" s="1"/>
  <c r="L488" i="4" s="1"/>
  <c r="H487" i="2"/>
  <c r="E487" i="2" s="1"/>
  <c r="H486" i="3" s="1"/>
  <c r="I486" i="3" s="1"/>
  <c r="F487" i="4" s="1"/>
  <c r="AA486" i="3" l="1"/>
  <c r="D486" i="4"/>
  <c r="N489" i="2"/>
  <c r="J488" i="3" s="1"/>
  <c r="G489" i="4" s="1"/>
  <c r="L489" i="4" s="1"/>
  <c r="H488" i="2"/>
  <c r="E488" i="2" s="1"/>
  <c r="H487" i="3" s="1"/>
  <c r="I487" i="3" s="1"/>
  <c r="F488" i="4" s="1"/>
  <c r="AA487" i="3" l="1"/>
  <c r="D487" i="4"/>
  <c r="N490" i="2"/>
  <c r="H489" i="2"/>
  <c r="E489" i="2" s="1"/>
  <c r="H488" i="3" s="1"/>
  <c r="I488" i="3" s="1"/>
  <c r="F489" i="4" s="1"/>
  <c r="H490" i="2" l="1"/>
  <c r="E490" i="2" s="1"/>
  <c r="H489" i="3" s="1"/>
  <c r="I489" i="3" s="1"/>
  <c r="F490" i="4" s="1"/>
  <c r="N491" i="2"/>
  <c r="J489" i="3"/>
  <c r="G490" i="4" s="1"/>
  <c r="L490" i="4" s="1"/>
  <c r="AA488" i="3"/>
  <c r="D488" i="4"/>
  <c r="N492" i="2" l="1"/>
  <c r="Q494" i="2" s="1"/>
  <c r="K493" i="3" s="1"/>
  <c r="L493" i="3" s="1"/>
  <c r="L494" i="3" s="1"/>
  <c r="L495" i="3" s="1"/>
  <c r="L496" i="3" s="1"/>
  <c r="L497" i="3" s="1"/>
  <c r="J490" i="3"/>
  <c r="G491" i="4" s="1"/>
  <c r="L491" i="4" s="1"/>
  <c r="H491" i="2"/>
  <c r="E491" i="2" s="1"/>
  <c r="H490" i="3" s="1"/>
  <c r="I490" i="3" s="1"/>
  <c r="F491" i="4" s="1"/>
  <c r="AA489" i="3"/>
  <c r="D489" i="4"/>
  <c r="J491" i="3" l="1"/>
  <c r="G492" i="4" s="1"/>
  <c r="L492" i="4" s="1"/>
  <c r="H492" i="2"/>
  <c r="E492" i="2" s="1"/>
  <c r="H491" i="3" s="1"/>
  <c r="I491" i="3" s="1"/>
  <c r="F492" i="4" s="1"/>
  <c r="AA490" i="3"/>
  <c r="D490" i="4"/>
  <c r="AA491" i="3" l="1"/>
  <c r="D491" i="4"/>
  <c r="AA492" i="3" l="1"/>
  <c r="AA493" i="3" s="1"/>
  <c r="AA494" i="3" s="1"/>
  <c r="AA495" i="3" s="1"/>
  <c r="AA496" i="3" s="1"/>
  <c r="AA497" i="3" s="1"/>
  <c r="D49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<sst xmlns="http://schemas.openxmlformats.org/spreadsheetml/2006/main" count="150" uniqueCount="85">
  <si>
    <t>K.Thúc GT</t>
  </si>
  <si>
    <t>GT LỚP 1</t>
  </si>
  <si>
    <t>GT LỚP 2</t>
  </si>
  <si>
    <t>GT LỚP 3</t>
  </si>
  <si>
    <t>GT LỚP 4</t>
  </si>
  <si>
    <t>GT LỚP 5</t>
  </si>
  <si>
    <t>GT LỚP 6</t>
  </si>
  <si>
    <t>GT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</si>
  <si>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</si>
  <si>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</si>
  <si>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</si>
  <si>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</si>
  <si>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</si>
  <si>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</si>
  <si>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</si>
  <si>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</si>
  <si>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</si>
  <si>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</si>
  <si>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</si>
  <si>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</si>
  <si>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</si>
  <si>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</si>
  <si>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</si>
  <si>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</si>
  <si>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</si>
  <si>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</si>
  <si>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</si>
  <si>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</si>
  <si>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</si>
  <si>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</si>
  <si>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</si>
  <si>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Km116+240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</si>
  <si>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</si>
  <si>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</si>
  <si>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</si>
  <si>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</si>
  <si>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</si>
  <si>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</si>
  <si>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</si>
  <si>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</si>
  <si>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</si>
  <si>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</si>
  <si>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</si>
  <si>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</si>
  <si>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</si>
  <si>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</si>
  <si>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</si>
  <si>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</si>
  <si>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</si>
  <si>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</si>
  <si>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</si>
  <si>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</si>
  <si>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</si>
  <si>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</si>
  <si>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</si>
  <si>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</si>
  <si>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</si>
  <si>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</si>
  <si>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</si>
  <si>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</si>
  <si>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</si>
  <si>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</si>
  <si>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</si>
  <si>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</si>
  <si>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</si>
  <si>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</si>
  <si>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</si>
  <si>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</si>
  <si>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</si>
  <si>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</si>
  <si>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</si>
  <si>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</si>
  <si>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</si>
  <si>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</si>
  <si>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</si>
  <si>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</si>
  <si>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Dữ nguyên dãy 
dữ liệu này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</si>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</sst>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theme="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43" fontId="22" fillId="0" borderId="0" applyFont="0" applyFill="0" applyBorder="0" applyAlignment="0" applyProtection="0"/>
    <xf numFmtId="0" fontId="2" fillId="0" borderId="0"/>
    <xf numFmtId="0" fontId="26" fillId="0" borderId="0"/>
    <xf numFmtId="0" fontId="26" fillId="0" borderId="0">
      <alignment vertical="center"/>
    </xf>
  </cellStyleXfs>
  <cellXfs count="260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11" fillId="0" borderId="1" xfId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3" fontId="11" fillId="0" borderId="0" xfId="1" applyNumberFormat="1" applyFont="1" applyAlignment="1">
      <alignment horizontal="center"/>
    </xf>
    <xf numFmtId="166" fontId="11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/>
    </xf>
    <xf numFmtId="4" fontId="11" fillId="0" borderId="1" xfId="1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/>
    </xf>
    <xf numFmtId="14" fontId="11" fillId="0" borderId="2" xfId="2" applyNumberFormat="1" applyFont="1" applyBorder="1" applyAlignment="1">
      <alignment vertical="center" shrinkToFit="1"/>
    </xf>
    <xf numFmtId="3" fontId="11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19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/>
    </xf>
    <xf numFmtId="0" fontId="20" fillId="3" borderId="0" xfId="4" applyFont="1" applyFill="1" applyAlignment="1">
      <alignment horizontal="center"/>
    </xf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center" vertical="center"/>
    </xf>
    <xf numFmtId="167" fontId="19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7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4" fontId="10" fillId="3" borderId="0" xfId="4" applyNumberFormat="1" applyFont="1" applyFill="1" applyAlignment="1">
      <alignment horizontal="center" vertical="center"/>
    </xf>
    <xf numFmtId="0" fontId="10" fillId="3" borderId="0" xfId="4" applyFont="1" applyFill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166" fontId="19" fillId="3" borderId="0" xfId="4" applyNumberFormat="1" applyFont="1" applyFill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/>
    </xf>
    <xf numFmtId="168" fontId="21" fillId="3" borderId="1" xfId="4" applyNumberFormat="1" applyFont="1" applyFill="1" applyBorder="1" applyAlignment="1">
      <alignment horizontal="center" vertical="center" wrapText="1"/>
    </xf>
    <xf numFmtId="169" fontId="21" fillId="0" borderId="9" xfId="4" applyNumberFormat="1" applyFont="1" applyBorder="1" applyAlignment="1">
      <alignment horizontal="center" vertical="center" wrapText="1"/>
    </xf>
    <xf numFmtId="169" fontId="20" fillId="0" borderId="1" xfId="4" applyNumberFormat="1" applyFont="1" applyBorder="1" applyAlignment="1">
      <alignment horizontal="center" vertical="center"/>
    </xf>
    <xf numFmtId="169" fontId="21" fillId="0" borderId="1" xfId="4" applyNumberFormat="1" applyFont="1" applyBorder="1" applyAlignment="1">
      <alignment horizontal="center" vertical="center"/>
    </xf>
    <xf numFmtId="170" fontId="21" fillId="0" borderId="1" xfId="4" applyNumberFormat="1" applyFont="1" applyBorder="1" applyAlignment="1">
      <alignment horizontal="center" vertical="center"/>
    </xf>
    <xf numFmtId="171" fontId="21" fillId="0" borderId="3" xfId="4" applyNumberFormat="1" applyFont="1" applyBorder="1" applyAlignment="1">
      <alignment horizontal="center" vertical="center"/>
    </xf>
    <xf numFmtId="169" fontId="21" fillId="0" borderId="1" xfId="4" applyNumberFormat="1" applyFont="1" applyBorder="1" applyAlignment="1">
      <alignment horizontal="center" vertical="center" wrapText="1"/>
    </xf>
    <xf numFmtId="171" fontId="21" fillId="0" borderId="1" xfId="5" applyNumberFormat="1" applyFont="1" applyFill="1" applyBorder="1" applyAlignment="1">
      <alignment horizontal="center" vertical="center"/>
    </xf>
    <xf numFmtId="170" fontId="21" fillId="0" borderId="3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" fontId="20" fillId="0" borderId="1" xfId="4" applyNumberFormat="1" applyFont="1" applyBorder="1" applyAlignment="1">
      <alignment horizontal="center" vertical="center"/>
    </xf>
    <xf numFmtId="166" fontId="20" fillId="0" borderId="1" xfId="4" applyNumberFormat="1" applyFont="1" applyBorder="1" applyAlignment="1">
      <alignment horizontal="center" vertical="center"/>
    </xf>
    <xf numFmtId="3" fontId="21" fillId="0" borderId="3" xfId="4" applyNumberFormat="1" applyFont="1" applyBorder="1" applyAlignment="1">
      <alignment horizontal="center" vertical="center"/>
    </xf>
    <xf numFmtId="166" fontId="20" fillId="0" borderId="3" xfId="4" applyNumberFormat="1" applyFont="1" applyBorder="1" applyAlignment="1">
      <alignment horizontal="center" vertical="center"/>
    </xf>
    <xf numFmtId="0" fontId="20" fillId="3" borderId="0" xfId="4" applyFont="1" applyFill="1" applyAlignment="1">
      <alignment vertical="center"/>
    </xf>
    <xf numFmtId="14" fontId="23" fillId="0" borderId="0" xfId="2" applyNumberFormat="1" applyFont="1" applyAlignment="1">
      <alignment horizontal="center" vertical="center" shrinkToFit="1"/>
    </xf>
    <xf numFmtId="0" fontId="20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/>
    </xf>
    <xf numFmtId="14" fontId="23" fillId="0" borderId="22" xfId="2" applyNumberFormat="1" applyFont="1" applyBorder="1" applyAlignment="1">
      <alignment horizontal="center" vertical="center" shrinkToFit="1"/>
    </xf>
    <xf numFmtId="14" fontId="23" fillId="0" borderId="23" xfId="2" applyNumberFormat="1" applyFont="1" applyBorder="1" applyAlignment="1">
      <alignment horizontal="center" vertical="center" shrinkToFit="1"/>
    </xf>
    <xf numFmtId="0" fontId="20" fillId="3" borderId="0" xfId="4" applyFont="1" applyFill="1" applyAlignment="1">
      <alignment horizontal="center" vertical="center"/>
    </xf>
    <xf numFmtId="3" fontId="20" fillId="3" borderId="0" xfId="4" applyNumberFormat="1" applyFont="1" applyFill="1" applyAlignment="1">
      <alignment horizontal="center"/>
    </xf>
    <xf numFmtId="0" fontId="20" fillId="0" borderId="24" xfId="4" applyFont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3" fontId="20" fillId="2" borderId="0" xfId="4" applyNumberFormat="1" applyFont="1" applyFill="1" applyAlignment="1">
      <alignment horizontal="center"/>
    </xf>
    <xf numFmtId="0" fontId="20" fillId="2" borderId="0" xfId="4" applyFont="1" applyFill="1" applyAlignment="1">
      <alignment horizontal="center"/>
    </xf>
    <xf numFmtId="0" fontId="20" fillId="5" borderId="0" xfId="4" applyFont="1" applyFill="1" applyAlignment="1">
      <alignment horizontal="center" vertical="center"/>
    </xf>
    <xf numFmtId="3" fontId="20" fillId="5" borderId="0" xfId="4" applyNumberFormat="1" applyFont="1" applyFill="1" applyAlignment="1">
      <alignment horizontal="center"/>
    </xf>
    <xf numFmtId="0" fontId="20" fillId="5" borderId="0" xfId="4" applyFont="1" applyFill="1" applyAlignment="1">
      <alignment horizontal="center"/>
    </xf>
    <xf numFmtId="0" fontId="20" fillId="0" borderId="0" xfId="4" applyFont="1" applyAlignment="1">
      <alignment horizontal="center" vertical="center"/>
    </xf>
    <xf numFmtId="3" fontId="20" fillId="0" borderId="0" xfId="4" applyNumberFormat="1" applyFont="1" applyAlignment="1">
      <alignment horizontal="center"/>
    </xf>
    <xf numFmtId="0" fontId="20" fillId="0" borderId="0" xfId="4" applyFont="1" applyAlignment="1">
      <alignment horizontal="center"/>
    </xf>
    <xf numFmtId="0" fontId="20" fillId="4" borderId="0" xfId="4" applyFont="1" applyFill="1" applyAlignment="1">
      <alignment horizontal="center" vertical="center"/>
    </xf>
    <xf numFmtId="3" fontId="20" fillId="4" borderId="0" xfId="4" applyNumberFormat="1" applyFont="1" applyFill="1" applyAlignment="1">
      <alignment horizontal="center"/>
    </xf>
    <xf numFmtId="169" fontId="21" fillId="0" borderId="21" xfId="4" applyNumberFormat="1" applyFont="1" applyBorder="1" applyAlignment="1">
      <alignment horizontal="center" vertical="center" wrapText="1"/>
    </xf>
    <xf numFmtId="169" fontId="20" fillId="0" borderId="3" xfId="4" applyNumberFormat="1" applyFont="1" applyBorder="1" applyAlignment="1">
      <alignment horizontal="center" vertical="center" wrapText="1"/>
    </xf>
    <xf numFmtId="3" fontId="20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/>
    </xf>
    <xf numFmtId="169" fontId="21" fillId="0" borderId="3" xfId="4" applyNumberFormat="1" applyFont="1" applyBorder="1" applyAlignment="1">
      <alignment horizontal="center" vertical="center" wrapText="1"/>
    </xf>
    <xf numFmtId="171" fontId="21" fillId="0" borderId="3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" fontId="20" fillId="0" borderId="3" xfId="4" applyNumberFormat="1" applyFont="1" applyBorder="1" applyAlignment="1">
      <alignment horizontal="center" vertical="center"/>
    </xf>
    <xf numFmtId="167" fontId="20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4" fontId="21" fillId="0" borderId="1" xfId="4" applyNumberFormat="1" applyFont="1" applyBorder="1" applyAlignment="1">
      <alignment horizontal="center" vertical="center" wrapText="1"/>
    </xf>
    <xf numFmtId="167" fontId="21" fillId="0" borderId="1" xfId="4" applyNumberFormat="1" applyFont="1" applyBorder="1" applyAlignment="1">
      <alignment horizontal="center" vertical="center" wrapText="1"/>
    </xf>
    <xf numFmtId="0" fontId="25" fillId="3" borderId="0" xfId="4" applyFont="1" applyFill="1" applyAlignment="1">
      <alignment vertical="center"/>
    </xf>
    <xf numFmtId="0" fontId="25" fillId="3" borderId="0" xfId="4" applyFont="1" applyFill="1" applyAlignment="1">
      <alignment horizontal="center"/>
    </xf>
    <xf numFmtId="0" fontId="25" fillId="0" borderId="24" xfId="4" applyFont="1" applyBorder="1" applyAlignment="1">
      <alignment vertical="center"/>
    </xf>
    <xf numFmtId="0" fontId="20" fillId="3" borderId="0" xfId="4" applyFont="1" applyFill="1"/>
    <xf numFmtId="0" fontId="20" fillId="3" borderId="25" xfId="4" applyFont="1" applyFill="1" applyBorder="1" applyAlignment="1">
      <alignment horizontal="center"/>
    </xf>
    <xf numFmtId="0" fontId="20" fillId="0" borderId="0" xfId="4" applyFont="1"/>
    <xf numFmtId="0" fontId="21" fillId="0" borderId="0" xfId="4" applyFont="1"/>
    <xf numFmtId="0" fontId="21" fillId="3" borderId="0" xfId="4" applyFont="1" applyFill="1"/>
    <xf numFmtId="0" fontId="25" fillId="3" borderId="0" xfId="6" applyFont="1" applyFill="1"/>
    <xf numFmtId="166" fontId="25" fillId="3" borderId="26" xfId="6" applyNumberFormat="1" applyFont="1" applyFill="1" applyBorder="1" applyAlignment="1">
      <alignment horizontal="left"/>
    </xf>
    <xf numFmtId="0" fontId="20" fillId="3" borderId="24" xfId="4" applyFont="1" applyFill="1" applyBorder="1"/>
    <xf numFmtId="0" fontId="20" fillId="3" borderId="10" xfId="4" applyFont="1" applyFill="1" applyBorder="1" applyAlignment="1">
      <alignment horizontal="center"/>
    </xf>
    <xf numFmtId="0" fontId="20" fillId="3" borderId="11" xfId="4" applyFont="1" applyFill="1" applyBorder="1" applyAlignment="1">
      <alignment horizontal="center"/>
    </xf>
    <xf numFmtId="3" fontId="13" fillId="0" borderId="11" xfId="1" applyNumberFormat="1" applyFont="1" applyBorder="1" applyAlignment="1">
      <alignment horizontal="center"/>
    </xf>
    <xf numFmtId="0" fontId="5" fillId="0" borderId="11" xfId="4" applyFont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20" fillId="3" borderId="13" xfId="4" applyFont="1" applyFill="1" applyBorder="1" applyAlignment="1">
      <alignment horizontal="center"/>
    </xf>
    <xf numFmtId="0" fontId="20" fillId="3" borderId="14" xfId="4" applyFont="1" applyFill="1" applyBorder="1" applyAlignment="1">
      <alignment horizontal="center"/>
    </xf>
    <xf numFmtId="0" fontId="20" fillId="3" borderId="16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19" fillId="3" borderId="27" xfId="4" applyFont="1" applyFill="1" applyBorder="1" applyAlignment="1">
      <alignment vertical="center"/>
    </xf>
    <xf numFmtId="0" fontId="26" fillId="0" borderId="0" xfId="7"/>
    <xf numFmtId="0" fontId="26" fillId="8" borderId="0" xfId="7" applyFill="1"/>
    <xf numFmtId="0" fontId="26" fillId="3" borderId="0" xfId="7" applyFill="1" applyAlignment="1">
      <alignment vertical="center"/>
    </xf>
    <xf numFmtId="0" fontId="21" fillId="3" borderId="0" xfId="7" applyFont="1" applyFill="1" applyAlignment="1">
      <alignment vertical="center"/>
    </xf>
    <xf numFmtId="168" fontId="21" fillId="3" borderId="0" xfId="7" applyNumberFormat="1" applyFont="1" applyFill="1" applyAlignment="1">
      <alignment vertical="center"/>
    </xf>
    <xf numFmtId="166" fontId="21" fillId="3" borderId="0" xfId="7" applyNumberFormat="1" applyFont="1" applyFill="1" applyAlignment="1">
      <alignment vertical="center"/>
    </xf>
    <xf numFmtId="0" fontId="21" fillId="0" borderId="1" xfId="7" applyFont="1" applyBorder="1" applyAlignment="1">
      <alignment horizontal="center" vertical="center" wrapText="1"/>
    </xf>
    <xf numFmtId="1" fontId="21" fillId="0" borderId="1" xfId="7" applyNumberFormat="1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wrapText="1"/>
    </xf>
    <xf numFmtId="2" fontId="21" fillId="0" borderId="1" xfId="7" applyNumberFormat="1" applyFont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1" fontId="21" fillId="2" borderId="1" xfId="7" applyNumberFormat="1" applyFont="1" applyFill="1" applyBorder="1" applyAlignment="1">
      <alignment horizontal="center" vertical="center" wrapText="1"/>
    </xf>
    <xf numFmtId="168" fontId="21" fillId="2" borderId="1" xfId="7" applyNumberFormat="1" applyFont="1" applyFill="1" applyBorder="1" applyAlignment="1">
      <alignment horizontal="center" vertical="center" wrapText="1"/>
    </xf>
    <xf numFmtId="2" fontId="21" fillId="2" borderId="1" xfId="7" applyNumberFormat="1" applyFont="1" applyFill="1" applyBorder="1" applyAlignment="1">
      <alignment horizontal="center" vertical="center" wrapText="1"/>
    </xf>
    <xf numFmtId="166" fontId="20" fillId="2" borderId="1" xfId="4" applyNumberFormat="1" applyFont="1" applyFill="1" applyBorder="1" applyAlignment="1">
      <alignment horizontal="center" vertical="center"/>
    </xf>
    <xf numFmtId="172" fontId="26" fillId="0" borderId="0" xfId="7" applyNumberFormat="1"/>
    <xf numFmtId="173" fontId="26" fillId="0" borderId="0" xfId="7" applyNumberFormat="1"/>
    <xf numFmtId="174" fontId="26" fillId="0" borderId="0" xfId="7" applyNumberFormat="1"/>
    <xf numFmtId="168" fontId="26" fillId="0" borderId="0" xfId="7" applyNumberFormat="1"/>
    <xf numFmtId="175" fontId="26" fillId="0" borderId="0" xfId="7" applyNumberFormat="1"/>
    <xf numFmtId="0" fontId="23" fillId="0" borderId="26" xfId="8" applyFont="1" applyBorder="1" applyAlignment="1">
      <alignment horizontal="center" vertical="center" wrapText="1"/>
    </xf>
    <xf numFmtId="0" fontId="21" fillId="0" borderId="1" xfId="8" applyFont="1" applyBorder="1" applyAlignment="1">
      <alignment horizontal="center" vertical="center" textRotation="90" wrapText="1"/>
    </xf>
    <xf numFmtId="3" fontId="13" fillId="0" borderId="0" xfId="1" applyNumberFormat="1" applyFont="1" applyAlignment="1">
      <alignment horizontal="center"/>
    </xf>
    <xf numFmtId="0" fontId="5" fillId="0" borderId="0" xfId="4" applyFont="1"/>
    <xf numFmtId="0" fontId="5" fillId="0" borderId="20" xfId="4" applyFont="1" applyBorder="1"/>
    <xf numFmtId="0" fontId="5" fillId="0" borderId="20" xfId="4" applyFont="1" applyBorder="1" applyAlignment="1">
      <alignment vertical="center"/>
    </xf>
    <xf numFmtId="0" fontId="5" fillId="0" borderId="21" xfId="4" applyFont="1" applyBorder="1" applyAlignment="1">
      <alignment vertical="center"/>
    </xf>
    <xf numFmtId="0" fontId="5" fillId="0" borderId="10" xfId="4" applyFont="1" applyBorder="1"/>
    <xf numFmtId="0" fontId="5" fillId="0" borderId="13" xfId="4" applyFont="1" applyBorder="1"/>
    <xf numFmtId="0" fontId="5" fillId="0" borderId="16" xfId="4" applyFont="1" applyBorder="1"/>
    <xf numFmtId="0" fontId="16" fillId="3" borderId="19" xfId="4" applyFont="1" applyFill="1" applyBorder="1" applyAlignment="1">
      <alignment vertical="center" wrapText="1"/>
    </xf>
    <xf numFmtId="0" fontId="16" fillId="3" borderId="20" xfId="4" applyFont="1" applyFill="1" applyBorder="1" applyAlignment="1">
      <alignment vertical="center" wrapText="1"/>
    </xf>
    <xf numFmtId="0" fontId="16" fillId="3" borderId="25" xfId="4" applyFont="1" applyFill="1" applyBorder="1" applyAlignment="1">
      <alignment vertical="center" wrapText="1"/>
    </xf>
    <xf numFmtId="0" fontId="16" fillId="3" borderId="0" xfId="4" applyFont="1" applyFill="1" applyAlignment="1">
      <alignment vertical="center" wrapText="1"/>
    </xf>
    <xf numFmtId="0" fontId="16" fillId="3" borderId="4" xfId="4" applyFont="1" applyFill="1" applyBorder="1" applyAlignment="1">
      <alignment vertical="center" wrapText="1"/>
    </xf>
    <xf numFmtId="0" fontId="16" fillId="3" borderId="5" xfId="4" applyFont="1" applyFill="1" applyBorder="1" applyAlignment="1">
      <alignment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0" fontId="25" fillId="2" borderId="1" xfId="4" applyFont="1" applyFill="1" applyBorder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 wrapText="1"/>
    </xf>
    <xf numFmtId="166" fontId="20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16" fillId="3" borderId="6" xfId="4" applyFont="1" applyFill="1" applyBorder="1" applyAlignment="1">
      <alignment horizontal="center" vertical="center" wrapText="1"/>
    </xf>
    <xf numFmtId="0" fontId="16" fillId="3" borderId="5" xfId="4" applyFont="1" applyFill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 wrapText="1"/>
    </xf>
    <xf numFmtId="0" fontId="16" fillId="3" borderId="26" xfId="4" applyFont="1" applyFill="1" applyBorder="1" applyAlignment="1">
      <alignment horizontal="center" vertical="center" wrapText="1"/>
    </xf>
    <xf numFmtId="0" fontId="16" fillId="3" borderId="0" xfId="4" applyFont="1" applyFill="1" applyAlignment="1">
      <alignment horizontal="center" vertical="center" wrapText="1"/>
    </xf>
    <xf numFmtId="0" fontId="16" fillId="3" borderId="25" xfId="4" applyFont="1" applyFill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center"/>
    </xf>
    <xf numFmtId="3" fontId="13" fillId="0" borderId="4" xfId="1" applyNumberFormat="1" applyFont="1" applyBorder="1" applyAlignment="1">
      <alignment horizontal="center" vertical="center"/>
    </xf>
    <xf numFmtId="3" fontId="13" fillId="0" borderId="21" xfId="1" applyNumberFormat="1" applyFont="1" applyBorder="1" applyAlignment="1">
      <alignment horizontal="center" vertical="center" wrapText="1"/>
    </xf>
    <xf numFmtId="3" fontId="13" fillId="0" borderId="20" xfId="1" applyNumberFormat="1" applyFont="1" applyBorder="1" applyAlignment="1">
      <alignment horizontal="center" vertical="center" wrapText="1"/>
    </xf>
    <xf numFmtId="3" fontId="13" fillId="0" borderId="19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/>
    </xf>
    <xf numFmtId="3" fontId="13" fillId="0" borderId="20" xfId="1" applyNumberFormat="1" applyFont="1" applyBorder="1" applyAlignment="1">
      <alignment horizontal="center" vertical="center"/>
    </xf>
    <xf numFmtId="3" fontId="13" fillId="0" borderId="19" xfId="1" applyNumberFormat="1" applyFont="1" applyBorder="1" applyAlignment="1">
      <alignment horizontal="center" vertical="center"/>
    </xf>
    <xf numFmtId="0" fontId="15" fillId="0" borderId="26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15" fillId="0" borderId="25" xfId="4" applyFont="1" applyBorder="1" applyAlignment="1">
      <alignment horizontal="center" vertical="center" wrapText="1"/>
    </xf>
    <xf numFmtId="14" fontId="5" fillId="0" borderId="11" xfId="4" applyNumberFormat="1" applyFont="1" applyBorder="1" applyAlignment="1">
      <alignment horizontal="center" vertical="center"/>
    </xf>
    <xf numFmtId="0" fontId="24" fillId="7" borderId="1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/>
    </xf>
    <xf numFmtId="166" fontId="5" fillId="0" borderId="11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49" fontId="21" fillId="0" borderId="1" xfId="2" applyNumberFormat="1" applyFont="1" applyBorder="1" applyAlignment="1">
      <alignment horizontal="center" vertical="center" wrapText="1" shrinkToFit="1"/>
    </xf>
    <xf numFmtId="166" fontId="21" fillId="0" borderId="1" xfId="7" applyNumberFormat="1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168" fontId="21" fillId="0" borderId="1" xfId="7" applyNumberFormat="1" applyFont="1" applyBorder="1" applyAlignment="1">
      <alignment horizontal="center" vertical="center" textRotation="90" wrapText="1"/>
    </xf>
    <xf numFmtId="168" fontId="21" fillId="0" borderId="2" xfId="7" applyNumberFormat="1" applyFont="1" applyBorder="1" applyAlignment="1">
      <alignment horizontal="center" vertical="center" textRotation="90" wrapText="1"/>
    </xf>
    <xf numFmtId="168" fontId="21" fillId="0" borderId="3" xfId="7" applyNumberFormat="1" applyFont="1" applyBorder="1" applyAlignment="1">
      <alignment horizontal="center" vertical="center" textRotation="90" wrapText="1"/>
    </xf>
    <xf numFmtId="0" fontId="21" fillId="0" borderId="1" xfId="7" applyFont="1" applyBorder="1" applyAlignment="1">
      <alignment horizontal="center" vertical="center" textRotation="90" wrapText="1"/>
    </xf>
    <xf numFmtId="168" fontId="21" fillId="0" borderId="1" xfId="8" applyNumberFormat="1" applyFont="1" applyBorder="1" applyAlignment="1">
      <alignment horizontal="center" vertical="center" wrapText="1"/>
    </xf>
    <xf numFmtId="166" fontId="27" fillId="0" borderId="1" xfId="2" applyNumberFormat="1" applyFont="1" applyBorder="1" applyAlignment="1">
      <alignment horizontal="center" vertical="center"/>
    </xf>
    <xf numFmtId="0" fontId="16" fillId="3" borderId="1" xfId="4" applyFont="1" applyFill="1" applyBorder="1" applyAlignment="1">
      <alignment horizontal="center" vertical="center" wrapText="1"/>
    </xf>
    <xf numFmtId="0" fontId="16" fillId="3" borderId="9" xfId="4" applyFont="1" applyFill="1" applyBorder="1" applyAlignment="1">
      <alignment horizontal="center" vertical="center" wrapText="1"/>
    </xf>
    <xf numFmtId="0" fontId="16" fillId="3" borderId="8" xfId="4" applyFont="1" applyFill="1" applyBorder="1" applyAlignment="1">
      <alignment horizontal="center" vertical="center" wrapText="1"/>
    </xf>
    <xf numFmtId="0" fontId="16" fillId="3" borderId="7" xfId="4" applyFont="1" applyFill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3" fontId="28" fillId="0" borderId="1" xfId="1" applyNumberFormat="1" applyFont="1" applyBorder="1" applyAlignment="1">
      <alignment horizontal="center"/>
    </xf>
    <xf numFmtId="3" fontId="28" fillId="2" borderId="1" xfId="1" applyNumberFormat="1" applyFont="1" applyFill="1" applyBorder="1" applyAlignment="1">
      <alignment horizontal="center"/>
    </xf>
    <xf numFmtId="3" fontId="3" fillId="0" borderId="28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</cellXfs>
  <cellStyles count="9">
    <cellStyle name="Bình thường 2" xfId="1" xr:uid="{CF047763-727E-408B-A0AD-57A2D4BCE766}"/>
    <cellStyle name="Comma 2" xfId="5" xr:uid="{B84320D6-0F09-4571-9D85-FA59712A6FE8}"/>
    <cellStyle name="Normal" xfId="0" builtinId="0"/>
    <cellStyle name="Normal 2" xfId="4" xr:uid="{0B28E633-C42A-4201-B8EF-962C5364FE58}"/>
    <cellStyle name="Normal 24" xfId="3" xr:uid="{0187C9C2-76A7-46BA-8B50-705233A955AF}"/>
    <cellStyle name="Normal 3" xfId="7" xr:uid="{A7E69099-6B6E-474A-A3D3-F13CE2C50421}"/>
    <cellStyle name="Normal_Form" xfId="6" xr:uid="{9AE9BCA2-A4F6-444F-8AF4-D91D8464D3A6}"/>
    <cellStyle name="표준_계측(양식)" xfId="2" xr:uid="{205321DD-CAD3-4185-BED6-48BDD315151C}"/>
    <cellStyle name="常规_路堤稳定和沉降观测 - 沉降板" xfId="8" xr:uid="{C1F9F50F-F0AE-42B0-BFB9-42BBA87DF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6+24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'SL.116+240'!$L$12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'SL.116+240'!$A$14:$A$800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'SL.116+240'!$L$14:$L$800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-5.9999999999999982</c:v>
                </c:pt>
                <c:pt idx="13">
                  <c:v>-8</c:v>
                </c:pt>
                <c:pt idx="14">
                  <c:v>-10.000000000000002</c:v>
                </c:pt>
                <c:pt idx="15">
                  <c:v>-12</c:v>
                </c:pt>
                <c:pt idx="16">
                  <c:v>-17</c:v>
                </c:pt>
                <c:pt idx="17">
                  <c:v>-19</c:v>
                </c:pt>
                <c:pt idx="18">
                  <c:v>-21</c:v>
                </c:pt>
                <c:pt idx="19">
                  <c:v>-23</c:v>
                </c:pt>
                <c:pt idx="20">
                  <c:v>-28</c:v>
                </c:pt>
                <c:pt idx="21">
                  <c:v>-34</c:v>
                </c:pt>
                <c:pt idx="22">
                  <c:v>-36.000000000000007</c:v>
                </c:pt>
                <c:pt idx="23">
                  <c:v>-38</c:v>
                </c:pt>
                <c:pt idx="24">
                  <c:v>-40</c:v>
                </c:pt>
                <c:pt idx="25">
                  <c:v>-45</c:v>
                </c:pt>
                <c:pt idx="26">
                  <c:v>-47</c:v>
                </c:pt>
                <c:pt idx="27">
                  <c:v>-49</c:v>
                </c:pt>
                <c:pt idx="28">
                  <c:v>-51.000000000000007</c:v>
                </c:pt>
                <c:pt idx="29">
                  <c:v>-56</c:v>
                </c:pt>
                <c:pt idx="30">
                  <c:v>-56</c:v>
                </c:pt>
                <c:pt idx="31">
                  <c:v>-62</c:v>
                </c:pt>
                <c:pt idx="32">
                  <c:v>-64</c:v>
                </c:pt>
                <c:pt idx="33">
                  <c:v>-66</c:v>
                </c:pt>
                <c:pt idx="34">
                  <c:v>-68</c:v>
                </c:pt>
                <c:pt idx="35">
                  <c:v>-73.000000000000014</c:v>
                </c:pt>
                <c:pt idx="36">
                  <c:v>-75.000000000000014</c:v>
                </c:pt>
                <c:pt idx="37">
                  <c:v>-77</c:v>
                </c:pt>
                <c:pt idx="38">
                  <c:v>-79</c:v>
                </c:pt>
                <c:pt idx="39">
                  <c:v>-83.999999999999986</c:v>
                </c:pt>
                <c:pt idx="40">
                  <c:v>-83.999999999999986</c:v>
                </c:pt>
                <c:pt idx="41">
                  <c:v>-84.999999999999986</c:v>
                </c:pt>
                <c:pt idx="42">
                  <c:v>-84.999999999999986</c:v>
                </c:pt>
                <c:pt idx="43">
                  <c:v>-84.999999999999986</c:v>
                </c:pt>
                <c:pt idx="44">
                  <c:v>-88</c:v>
                </c:pt>
                <c:pt idx="45">
                  <c:v>-91</c:v>
                </c:pt>
                <c:pt idx="46">
                  <c:v>-95</c:v>
                </c:pt>
                <c:pt idx="47">
                  <c:v>-98</c:v>
                </c:pt>
                <c:pt idx="48">
                  <c:v>-107</c:v>
                </c:pt>
                <c:pt idx="49">
                  <c:v>-109</c:v>
                </c:pt>
                <c:pt idx="50">
                  <c:v>-112.99999999999999</c:v>
                </c:pt>
                <c:pt idx="51">
                  <c:v>-119</c:v>
                </c:pt>
                <c:pt idx="52">
                  <c:v>-128</c:v>
                </c:pt>
                <c:pt idx="53">
                  <c:v>-131</c:v>
                </c:pt>
                <c:pt idx="54">
                  <c:v>-135</c:v>
                </c:pt>
                <c:pt idx="55">
                  <c:v>-138</c:v>
                </c:pt>
                <c:pt idx="56">
                  <c:v>-147</c:v>
                </c:pt>
                <c:pt idx="57">
                  <c:v>-149</c:v>
                </c:pt>
                <c:pt idx="58">
                  <c:v>-153</c:v>
                </c:pt>
                <c:pt idx="59">
                  <c:v>-156</c:v>
                </c:pt>
                <c:pt idx="60">
                  <c:v>-158.99999999999997</c:v>
                </c:pt>
                <c:pt idx="61">
                  <c:v>-167.99999999999997</c:v>
                </c:pt>
                <c:pt idx="62">
                  <c:v>-169.99999999999997</c:v>
                </c:pt>
                <c:pt idx="63">
                  <c:v>-172</c:v>
                </c:pt>
                <c:pt idx="64">
                  <c:v>-174</c:v>
                </c:pt>
                <c:pt idx="65">
                  <c:v>-177</c:v>
                </c:pt>
                <c:pt idx="66">
                  <c:v>-181</c:v>
                </c:pt>
                <c:pt idx="67">
                  <c:v>-184</c:v>
                </c:pt>
                <c:pt idx="68">
                  <c:v>-193</c:v>
                </c:pt>
                <c:pt idx="69">
                  <c:v>-195</c:v>
                </c:pt>
                <c:pt idx="70">
                  <c:v>-199</c:v>
                </c:pt>
                <c:pt idx="71">
                  <c:v>-205.00000000000003</c:v>
                </c:pt>
                <c:pt idx="72">
                  <c:v>-213.99999999999997</c:v>
                </c:pt>
                <c:pt idx="73">
                  <c:v>-216.99999999999997</c:v>
                </c:pt>
                <c:pt idx="74">
                  <c:v>-220.99999999999997</c:v>
                </c:pt>
                <c:pt idx="75">
                  <c:v>-223.99999999999997</c:v>
                </c:pt>
                <c:pt idx="76">
                  <c:v>-232.99999999999997</c:v>
                </c:pt>
                <c:pt idx="77">
                  <c:v>-235</c:v>
                </c:pt>
                <c:pt idx="78">
                  <c:v>-239</c:v>
                </c:pt>
                <c:pt idx="79">
                  <c:v>-242</c:v>
                </c:pt>
                <c:pt idx="80">
                  <c:v>-245</c:v>
                </c:pt>
                <c:pt idx="81">
                  <c:v>-254</c:v>
                </c:pt>
                <c:pt idx="82">
                  <c:v>-256</c:v>
                </c:pt>
                <c:pt idx="83">
                  <c:v>-258</c:v>
                </c:pt>
                <c:pt idx="84">
                  <c:v>-260</c:v>
                </c:pt>
                <c:pt idx="85">
                  <c:v>-263</c:v>
                </c:pt>
                <c:pt idx="86">
                  <c:v>-267</c:v>
                </c:pt>
                <c:pt idx="87">
                  <c:v>-270</c:v>
                </c:pt>
                <c:pt idx="88">
                  <c:v>-278.99999999999994</c:v>
                </c:pt>
                <c:pt idx="89">
                  <c:v>-281</c:v>
                </c:pt>
                <c:pt idx="90">
                  <c:v>-285</c:v>
                </c:pt>
                <c:pt idx="91">
                  <c:v>-291</c:v>
                </c:pt>
                <c:pt idx="92">
                  <c:v>-300</c:v>
                </c:pt>
                <c:pt idx="93">
                  <c:v>-303</c:v>
                </c:pt>
                <c:pt idx="94">
                  <c:v>-307</c:v>
                </c:pt>
                <c:pt idx="95">
                  <c:v>-310</c:v>
                </c:pt>
                <c:pt idx="96">
                  <c:v>-319</c:v>
                </c:pt>
                <c:pt idx="97">
                  <c:v>-321</c:v>
                </c:pt>
                <c:pt idx="98">
                  <c:v>-324.99999999999994</c:v>
                </c:pt>
                <c:pt idx="99">
                  <c:v>-327.99999999999994</c:v>
                </c:pt>
                <c:pt idx="100">
                  <c:v>-330.99999999999994</c:v>
                </c:pt>
                <c:pt idx="101">
                  <c:v>-339.99999999999994</c:v>
                </c:pt>
                <c:pt idx="102">
                  <c:v>-341.99999999999994</c:v>
                </c:pt>
                <c:pt idx="103">
                  <c:v>-344</c:v>
                </c:pt>
                <c:pt idx="104">
                  <c:v>-346</c:v>
                </c:pt>
                <c:pt idx="105">
                  <c:v>-348</c:v>
                </c:pt>
                <c:pt idx="106">
                  <c:v>-349</c:v>
                </c:pt>
                <c:pt idx="107">
                  <c:v>-349</c:v>
                </c:pt>
                <c:pt idx="108">
                  <c:v>-350</c:v>
                </c:pt>
                <c:pt idx="109">
                  <c:v>-350</c:v>
                </c:pt>
                <c:pt idx="110">
                  <c:v>-352</c:v>
                </c:pt>
                <c:pt idx="111">
                  <c:v>-354</c:v>
                </c:pt>
                <c:pt idx="112">
                  <c:v>-356</c:v>
                </c:pt>
                <c:pt idx="113">
                  <c:v>-358</c:v>
                </c:pt>
                <c:pt idx="114">
                  <c:v>-359</c:v>
                </c:pt>
                <c:pt idx="115">
                  <c:v>-361</c:v>
                </c:pt>
                <c:pt idx="116">
                  <c:v>-363</c:v>
                </c:pt>
                <c:pt idx="117">
                  <c:v>-365</c:v>
                </c:pt>
                <c:pt idx="118">
                  <c:v>-367</c:v>
                </c:pt>
                <c:pt idx="119">
                  <c:v>-367</c:v>
                </c:pt>
                <c:pt idx="120">
                  <c:v>-367</c:v>
                </c:pt>
                <c:pt idx="121">
                  <c:v>-367</c:v>
                </c:pt>
                <c:pt idx="122">
                  <c:v>-369</c:v>
                </c:pt>
                <c:pt idx="123">
                  <c:v>-371</c:v>
                </c:pt>
                <c:pt idx="124">
                  <c:v>-373</c:v>
                </c:pt>
                <c:pt idx="125">
                  <c:v>-375</c:v>
                </c:pt>
                <c:pt idx="126">
                  <c:v>-376</c:v>
                </c:pt>
                <c:pt idx="127">
                  <c:v>-378</c:v>
                </c:pt>
                <c:pt idx="128">
                  <c:v>-380</c:v>
                </c:pt>
                <c:pt idx="129">
                  <c:v>-382</c:v>
                </c:pt>
                <c:pt idx="130">
                  <c:v>-383.99999999999994</c:v>
                </c:pt>
                <c:pt idx="131">
                  <c:v>-383.99999999999994</c:v>
                </c:pt>
                <c:pt idx="132">
                  <c:v>-383.99999999999994</c:v>
                </c:pt>
                <c:pt idx="133">
                  <c:v>-383.99999999999994</c:v>
                </c:pt>
                <c:pt idx="134">
                  <c:v>-383.99999999999994</c:v>
                </c:pt>
                <c:pt idx="135">
                  <c:v>-385.99999999999994</c:v>
                </c:pt>
                <c:pt idx="136">
                  <c:v>-387.99999999999994</c:v>
                </c:pt>
                <c:pt idx="137">
                  <c:v>-389.99999999999994</c:v>
                </c:pt>
                <c:pt idx="138">
                  <c:v>-391.99999999999994</c:v>
                </c:pt>
                <c:pt idx="139">
                  <c:v>-392.99999999999994</c:v>
                </c:pt>
                <c:pt idx="140">
                  <c:v>-394.99999999999994</c:v>
                </c:pt>
                <c:pt idx="141">
                  <c:v>-396.99999999999994</c:v>
                </c:pt>
                <c:pt idx="142">
                  <c:v>-398.99999999999994</c:v>
                </c:pt>
                <c:pt idx="143">
                  <c:v>-400.99999999999994</c:v>
                </c:pt>
                <c:pt idx="144">
                  <c:v>-402.99999999999994</c:v>
                </c:pt>
                <c:pt idx="145">
                  <c:v>-403.99999999999994</c:v>
                </c:pt>
                <c:pt idx="146">
                  <c:v>-406</c:v>
                </c:pt>
                <c:pt idx="147">
                  <c:v>-408</c:v>
                </c:pt>
                <c:pt idx="148">
                  <c:v>-410</c:v>
                </c:pt>
                <c:pt idx="149">
                  <c:v>-412</c:v>
                </c:pt>
                <c:pt idx="150">
                  <c:v>-412</c:v>
                </c:pt>
                <c:pt idx="151">
                  <c:v>-412</c:v>
                </c:pt>
                <c:pt idx="152">
                  <c:v>-412</c:v>
                </c:pt>
                <c:pt idx="153">
                  <c:v>-412</c:v>
                </c:pt>
                <c:pt idx="154">
                  <c:v>-412</c:v>
                </c:pt>
                <c:pt idx="155">
                  <c:v>-412</c:v>
                </c:pt>
                <c:pt idx="156">
                  <c:v>-412</c:v>
                </c:pt>
                <c:pt idx="157">
                  <c:v>-414</c:v>
                </c:pt>
                <c:pt idx="158">
                  <c:v>-416</c:v>
                </c:pt>
                <c:pt idx="159">
                  <c:v>-418</c:v>
                </c:pt>
                <c:pt idx="160">
                  <c:v>-420</c:v>
                </c:pt>
                <c:pt idx="161">
                  <c:v>-421</c:v>
                </c:pt>
                <c:pt idx="162">
                  <c:v>-423</c:v>
                </c:pt>
                <c:pt idx="163">
                  <c:v>-425</c:v>
                </c:pt>
                <c:pt idx="164">
                  <c:v>-427</c:v>
                </c:pt>
                <c:pt idx="165">
                  <c:v>-429</c:v>
                </c:pt>
                <c:pt idx="166">
                  <c:v>-429</c:v>
                </c:pt>
                <c:pt idx="167">
                  <c:v>-429</c:v>
                </c:pt>
                <c:pt idx="168">
                  <c:v>-429</c:v>
                </c:pt>
                <c:pt idx="169">
                  <c:v>-429</c:v>
                </c:pt>
                <c:pt idx="170">
                  <c:v>-429</c:v>
                </c:pt>
                <c:pt idx="171">
                  <c:v>-429</c:v>
                </c:pt>
                <c:pt idx="172">
                  <c:v>-429</c:v>
                </c:pt>
                <c:pt idx="173">
                  <c:v>-429</c:v>
                </c:pt>
                <c:pt idx="174">
                  <c:v>-429</c:v>
                </c:pt>
                <c:pt idx="175">
                  <c:v>-429</c:v>
                </c:pt>
                <c:pt idx="176">
                  <c:v>-429</c:v>
                </c:pt>
                <c:pt idx="177">
                  <c:v>-429</c:v>
                </c:pt>
                <c:pt idx="178">
                  <c:v>-429</c:v>
                </c:pt>
                <c:pt idx="179">
                  <c:v>-429</c:v>
                </c:pt>
                <c:pt idx="180">
                  <c:v>-429</c:v>
                </c:pt>
                <c:pt idx="181">
                  <c:v>-429</c:v>
                </c:pt>
                <c:pt idx="182">
                  <c:v>-429</c:v>
                </c:pt>
                <c:pt idx="183">
                  <c:v>-429</c:v>
                </c:pt>
                <c:pt idx="184">
                  <c:v>-429</c:v>
                </c:pt>
                <c:pt idx="185">
                  <c:v>-429</c:v>
                </c:pt>
                <c:pt idx="186">
                  <c:v>-439</c:v>
                </c:pt>
                <c:pt idx="187">
                  <c:v>-448.99999999999994</c:v>
                </c:pt>
                <c:pt idx="188">
                  <c:v>-456.99999999999994</c:v>
                </c:pt>
                <c:pt idx="189">
                  <c:v>-465.99999999999994</c:v>
                </c:pt>
                <c:pt idx="190">
                  <c:v>-475</c:v>
                </c:pt>
                <c:pt idx="191">
                  <c:v>-485</c:v>
                </c:pt>
                <c:pt idx="192">
                  <c:v>-495</c:v>
                </c:pt>
                <c:pt idx="193">
                  <c:v>-503</c:v>
                </c:pt>
                <c:pt idx="194">
                  <c:v>-512</c:v>
                </c:pt>
                <c:pt idx="195">
                  <c:v>-520</c:v>
                </c:pt>
                <c:pt idx="196">
                  <c:v>-528</c:v>
                </c:pt>
                <c:pt idx="197">
                  <c:v>-538</c:v>
                </c:pt>
                <c:pt idx="198">
                  <c:v>-546</c:v>
                </c:pt>
                <c:pt idx="199">
                  <c:v>-548</c:v>
                </c:pt>
                <c:pt idx="200">
                  <c:v>-550</c:v>
                </c:pt>
                <c:pt idx="201">
                  <c:v>-560</c:v>
                </c:pt>
                <c:pt idx="202">
                  <c:v>-562</c:v>
                </c:pt>
                <c:pt idx="203">
                  <c:v>-564</c:v>
                </c:pt>
                <c:pt idx="204">
                  <c:v>-567.00000000000011</c:v>
                </c:pt>
                <c:pt idx="205">
                  <c:v>-569.00000000000011</c:v>
                </c:pt>
                <c:pt idx="206">
                  <c:v>-570.00000000000011</c:v>
                </c:pt>
                <c:pt idx="207">
                  <c:v>-572.00000000000011</c:v>
                </c:pt>
                <c:pt idx="208">
                  <c:v>-574.00000000000011</c:v>
                </c:pt>
                <c:pt idx="209">
                  <c:v>-576.00000000000011</c:v>
                </c:pt>
                <c:pt idx="210">
                  <c:v>-578.00000000000011</c:v>
                </c:pt>
                <c:pt idx="211">
                  <c:v>-580.00000000000011</c:v>
                </c:pt>
                <c:pt idx="212">
                  <c:v>-582.00000000000011</c:v>
                </c:pt>
                <c:pt idx="213">
                  <c:v>-585.00000000000011</c:v>
                </c:pt>
                <c:pt idx="214">
                  <c:v>-587.00000000000011</c:v>
                </c:pt>
                <c:pt idx="215">
                  <c:v>-597.00000000000011</c:v>
                </c:pt>
                <c:pt idx="216">
                  <c:v>-607</c:v>
                </c:pt>
                <c:pt idx="217">
                  <c:v>-617</c:v>
                </c:pt>
                <c:pt idx="218">
                  <c:v>-627</c:v>
                </c:pt>
                <c:pt idx="219">
                  <c:v>-637</c:v>
                </c:pt>
                <c:pt idx="220">
                  <c:v>-647</c:v>
                </c:pt>
                <c:pt idx="221">
                  <c:v>-657</c:v>
                </c:pt>
                <c:pt idx="222">
                  <c:v>-667</c:v>
                </c:pt>
                <c:pt idx="223">
                  <c:v>-677</c:v>
                </c:pt>
                <c:pt idx="224">
                  <c:v>-687</c:v>
                </c:pt>
                <c:pt idx="225">
                  <c:v>-697.00000000000011</c:v>
                </c:pt>
                <c:pt idx="226">
                  <c:v>-707.00000000000011</c:v>
                </c:pt>
                <c:pt idx="227">
                  <c:v>-717.00000000000011</c:v>
                </c:pt>
                <c:pt idx="228">
                  <c:v>-727.00000000000011</c:v>
                </c:pt>
                <c:pt idx="229">
                  <c:v>-737</c:v>
                </c:pt>
                <c:pt idx="230">
                  <c:v>-747</c:v>
                </c:pt>
                <c:pt idx="231">
                  <c:v>-757</c:v>
                </c:pt>
                <c:pt idx="232">
                  <c:v>-767</c:v>
                </c:pt>
                <c:pt idx="233">
                  <c:v>-777</c:v>
                </c:pt>
                <c:pt idx="234">
                  <c:v>-787</c:v>
                </c:pt>
                <c:pt idx="235">
                  <c:v>-797</c:v>
                </c:pt>
                <c:pt idx="236">
                  <c:v>-807</c:v>
                </c:pt>
                <c:pt idx="237">
                  <c:v>-817.00000000000011</c:v>
                </c:pt>
                <c:pt idx="238">
                  <c:v>-827.00000000000011</c:v>
                </c:pt>
                <c:pt idx="239">
                  <c:v>-837.00000000000011</c:v>
                </c:pt>
                <c:pt idx="240">
                  <c:v>-847.00000000000011</c:v>
                </c:pt>
                <c:pt idx="241">
                  <c:v>-857</c:v>
                </c:pt>
                <c:pt idx="242">
                  <c:v>-867</c:v>
                </c:pt>
                <c:pt idx="243">
                  <c:v>-877</c:v>
                </c:pt>
                <c:pt idx="244">
                  <c:v>-887</c:v>
                </c:pt>
                <c:pt idx="245">
                  <c:v>-897</c:v>
                </c:pt>
                <c:pt idx="246">
                  <c:v>-907</c:v>
                </c:pt>
                <c:pt idx="247">
                  <c:v>-917</c:v>
                </c:pt>
                <c:pt idx="248">
                  <c:v>-927</c:v>
                </c:pt>
                <c:pt idx="249">
                  <c:v>-937</c:v>
                </c:pt>
                <c:pt idx="250">
                  <c:v>-947.00000000000011</c:v>
                </c:pt>
                <c:pt idx="251">
                  <c:v>-957.00000000000011</c:v>
                </c:pt>
                <c:pt idx="252">
                  <c:v>-967.00000000000011</c:v>
                </c:pt>
                <c:pt idx="253">
                  <c:v>-975.00000000000011</c:v>
                </c:pt>
                <c:pt idx="254">
                  <c:v>-984</c:v>
                </c:pt>
                <c:pt idx="255">
                  <c:v>-992</c:v>
                </c:pt>
                <c:pt idx="256">
                  <c:v>-1000</c:v>
                </c:pt>
                <c:pt idx="257">
                  <c:v>-1006</c:v>
                </c:pt>
                <c:pt idx="258">
                  <c:v>-1012.9999999999999</c:v>
                </c:pt>
                <c:pt idx="259">
                  <c:v>-1016.9999999999999</c:v>
                </c:pt>
                <c:pt idx="260">
                  <c:v>-1022</c:v>
                </c:pt>
                <c:pt idx="261">
                  <c:v>-1025</c:v>
                </c:pt>
                <c:pt idx="262">
                  <c:v>-1027</c:v>
                </c:pt>
                <c:pt idx="263">
                  <c:v>-1029</c:v>
                </c:pt>
                <c:pt idx="264">
                  <c:v>-1030</c:v>
                </c:pt>
                <c:pt idx="265">
                  <c:v>-1032</c:v>
                </c:pt>
                <c:pt idx="266">
                  <c:v>-1037</c:v>
                </c:pt>
                <c:pt idx="267">
                  <c:v>-1042</c:v>
                </c:pt>
                <c:pt idx="268">
                  <c:v>-1047</c:v>
                </c:pt>
                <c:pt idx="269">
                  <c:v>-1049</c:v>
                </c:pt>
                <c:pt idx="270">
                  <c:v>-1051</c:v>
                </c:pt>
                <c:pt idx="271">
                  <c:v>-1053</c:v>
                </c:pt>
                <c:pt idx="272">
                  <c:v>-1055</c:v>
                </c:pt>
                <c:pt idx="273">
                  <c:v>-1057</c:v>
                </c:pt>
                <c:pt idx="274">
                  <c:v>-1060</c:v>
                </c:pt>
                <c:pt idx="275">
                  <c:v>-1062</c:v>
                </c:pt>
                <c:pt idx="276">
                  <c:v>-1065</c:v>
                </c:pt>
                <c:pt idx="277">
                  <c:v>-1067</c:v>
                </c:pt>
                <c:pt idx="278">
                  <c:v>-1076</c:v>
                </c:pt>
                <c:pt idx="279">
                  <c:v>-1084</c:v>
                </c:pt>
                <c:pt idx="280">
                  <c:v>-1092</c:v>
                </c:pt>
                <c:pt idx="281">
                  <c:v>-1098</c:v>
                </c:pt>
                <c:pt idx="282">
                  <c:v>-1105</c:v>
                </c:pt>
                <c:pt idx="283">
                  <c:v>-1109</c:v>
                </c:pt>
                <c:pt idx="284">
                  <c:v>-1114</c:v>
                </c:pt>
                <c:pt idx="285">
                  <c:v>-1117</c:v>
                </c:pt>
                <c:pt idx="286">
                  <c:v>-1119</c:v>
                </c:pt>
                <c:pt idx="287">
                  <c:v>-1121</c:v>
                </c:pt>
                <c:pt idx="288">
                  <c:v>-1122</c:v>
                </c:pt>
                <c:pt idx="289">
                  <c:v>-1124</c:v>
                </c:pt>
                <c:pt idx="290">
                  <c:v>-1129</c:v>
                </c:pt>
                <c:pt idx="291">
                  <c:v>-1134.0000000000002</c:v>
                </c:pt>
                <c:pt idx="292">
                  <c:v>-1137</c:v>
                </c:pt>
                <c:pt idx="293">
                  <c:v>-1139</c:v>
                </c:pt>
                <c:pt idx="294">
                  <c:v>-1140.0000000000002</c:v>
                </c:pt>
                <c:pt idx="295">
                  <c:v>-1143</c:v>
                </c:pt>
                <c:pt idx="296">
                  <c:v>-1145</c:v>
                </c:pt>
                <c:pt idx="297">
                  <c:v>-1146.0000000000002</c:v>
                </c:pt>
                <c:pt idx="298">
                  <c:v>-1148.0000000000002</c:v>
                </c:pt>
                <c:pt idx="299">
                  <c:v>-1149</c:v>
                </c:pt>
                <c:pt idx="300">
                  <c:v>-1150.0000000000002</c:v>
                </c:pt>
                <c:pt idx="301">
                  <c:v>-1152.0000000000002</c:v>
                </c:pt>
                <c:pt idx="302">
                  <c:v>-1154.0000000000002</c:v>
                </c:pt>
                <c:pt idx="303">
                  <c:v>-1156.0000000000002</c:v>
                </c:pt>
                <c:pt idx="304">
                  <c:v>-1158.0000000000002</c:v>
                </c:pt>
                <c:pt idx="305">
                  <c:v>-1159</c:v>
                </c:pt>
                <c:pt idx="306">
                  <c:v>-1161</c:v>
                </c:pt>
                <c:pt idx="307">
                  <c:v>-1163</c:v>
                </c:pt>
                <c:pt idx="308">
                  <c:v>-1165</c:v>
                </c:pt>
                <c:pt idx="309">
                  <c:v>-1167</c:v>
                </c:pt>
                <c:pt idx="310">
                  <c:v>-1169</c:v>
                </c:pt>
                <c:pt idx="311">
                  <c:v>-1171</c:v>
                </c:pt>
                <c:pt idx="312">
                  <c:v>-1174</c:v>
                </c:pt>
                <c:pt idx="313">
                  <c:v>-1176</c:v>
                </c:pt>
                <c:pt idx="314">
                  <c:v>-1179</c:v>
                </c:pt>
                <c:pt idx="315">
                  <c:v>-1181</c:v>
                </c:pt>
                <c:pt idx="316">
                  <c:v>-1182</c:v>
                </c:pt>
                <c:pt idx="317">
                  <c:v>-1185</c:v>
                </c:pt>
                <c:pt idx="318">
                  <c:v>-1187</c:v>
                </c:pt>
                <c:pt idx="319">
                  <c:v>-1188</c:v>
                </c:pt>
                <c:pt idx="320">
                  <c:v>-1190</c:v>
                </c:pt>
                <c:pt idx="321">
                  <c:v>-1192</c:v>
                </c:pt>
                <c:pt idx="322">
                  <c:v>-1194</c:v>
                </c:pt>
                <c:pt idx="323">
                  <c:v>-1197</c:v>
                </c:pt>
                <c:pt idx="324">
                  <c:v>-1199</c:v>
                </c:pt>
                <c:pt idx="325">
                  <c:v>-1202</c:v>
                </c:pt>
                <c:pt idx="326">
                  <c:v>-1204</c:v>
                </c:pt>
                <c:pt idx="327">
                  <c:v>-1205</c:v>
                </c:pt>
                <c:pt idx="328">
                  <c:v>-1208</c:v>
                </c:pt>
                <c:pt idx="329">
                  <c:v>-1210</c:v>
                </c:pt>
                <c:pt idx="330">
                  <c:v>-1211</c:v>
                </c:pt>
                <c:pt idx="331">
                  <c:v>-1214</c:v>
                </c:pt>
                <c:pt idx="332">
                  <c:v>-1216</c:v>
                </c:pt>
                <c:pt idx="333">
                  <c:v>-1217</c:v>
                </c:pt>
                <c:pt idx="334">
                  <c:v>-1218</c:v>
                </c:pt>
                <c:pt idx="335">
                  <c:v>-1220</c:v>
                </c:pt>
                <c:pt idx="336">
                  <c:v>-1222</c:v>
                </c:pt>
                <c:pt idx="337">
                  <c:v>-1224</c:v>
                </c:pt>
                <c:pt idx="338">
                  <c:v>-1226</c:v>
                </c:pt>
                <c:pt idx="339">
                  <c:v>-1228</c:v>
                </c:pt>
                <c:pt idx="340">
                  <c:v>-1230</c:v>
                </c:pt>
                <c:pt idx="341">
                  <c:v>-1233</c:v>
                </c:pt>
                <c:pt idx="342">
                  <c:v>-1235</c:v>
                </c:pt>
                <c:pt idx="343">
                  <c:v>-1238</c:v>
                </c:pt>
                <c:pt idx="344">
                  <c:v>-1240</c:v>
                </c:pt>
                <c:pt idx="345">
                  <c:v>-1241</c:v>
                </c:pt>
                <c:pt idx="346">
                  <c:v>-1244</c:v>
                </c:pt>
                <c:pt idx="347">
                  <c:v>-1246</c:v>
                </c:pt>
                <c:pt idx="348">
                  <c:v>-1247</c:v>
                </c:pt>
                <c:pt idx="349">
                  <c:v>-1249</c:v>
                </c:pt>
                <c:pt idx="350">
                  <c:v>-1251</c:v>
                </c:pt>
                <c:pt idx="351">
                  <c:v>-1253</c:v>
                </c:pt>
                <c:pt idx="352">
                  <c:v>-1255.0000000000002</c:v>
                </c:pt>
                <c:pt idx="353">
                  <c:v>-1257.0000000000002</c:v>
                </c:pt>
                <c:pt idx="354">
                  <c:v>-1260</c:v>
                </c:pt>
                <c:pt idx="355">
                  <c:v>-1262</c:v>
                </c:pt>
                <c:pt idx="356">
                  <c:v>-1265.0000000000002</c:v>
                </c:pt>
                <c:pt idx="357">
                  <c:v>-1269.0000000000002</c:v>
                </c:pt>
                <c:pt idx="358">
                  <c:v>-1270</c:v>
                </c:pt>
                <c:pt idx="359">
                  <c:v>-1273.0000000000002</c:v>
                </c:pt>
                <c:pt idx="360">
                  <c:v>-1276</c:v>
                </c:pt>
                <c:pt idx="361">
                  <c:v>-1277.0000000000002</c:v>
                </c:pt>
                <c:pt idx="362">
                  <c:v>-1277.0000000000002</c:v>
                </c:pt>
                <c:pt idx="363">
                  <c:v>-1279.0000000000002</c:v>
                </c:pt>
                <c:pt idx="364">
                  <c:v>-1282</c:v>
                </c:pt>
                <c:pt idx="365">
                  <c:v>-1284</c:v>
                </c:pt>
                <c:pt idx="366">
                  <c:v>-1288</c:v>
                </c:pt>
                <c:pt idx="367">
                  <c:v>-1290</c:v>
                </c:pt>
                <c:pt idx="368">
                  <c:v>-1291</c:v>
                </c:pt>
                <c:pt idx="369">
                  <c:v>-1293</c:v>
                </c:pt>
                <c:pt idx="370">
                  <c:v>-1295</c:v>
                </c:pt>
                <c:pt idx="371">
                  <c:v>-1296</c:v>
                </c:pt>
                <c:pt idx="372">
                  <c:v>-1299</c:v>
                </c:pt>
                <c:pt idx="373">
                  <c:v>-1301</c:v>
                </c:pt>
                <c:pt idx="374">
                  <c:v>-1301</c:v>
                </c:pt>
                <c:pt idx="375">
                  <c:v>-1304</c:v>
                </c:pt>
                <c:pt idx="376">
                  <c:v>-1306</c:v>
                </c:pt>
                <c:pt idx="377">
                  <c:v>-1309</c:v>
                </c:pt>
                <c:pt idx="378">
                  <c:v>-1311</c:v>
                </c:pt>
                <c:pt idx="379">
                  <c:v>-1312</c:v>
                </c:pt>
                <c:pt idx="380">
                  <c:v>-1315</c:v>
                </c:pt>
                <c:pt idx="381">
                  <c:v>-1317</c:v>
                </c:pt>
                <c:pt idx="382">
                  <c:v>-1318</c:v>
                </c:pt>
                <c:pt idx="383">
                  <c:v>-1320</c:v>
                </c:pt>
                <c:pt idx="384">
                  <c:v>-1322</c:v>
                </c:pt>
                <c:pt idx="385">
                  <c:v>-1322</c:v>
                </c:pt>
                <c:pt idx="386">
                  <c:v>-1322</c:v>
                </c:pt>
                <c:pt idx="387">
                  <c:v>-1322</c:v>
                </c:pt>
                <c:pt idx="388">
                  <c:v>-1322</c:v>
                </c:pt>
                <c:pt idx="389">
                  <c:v>-1322</c:v>
                </c:pt>
                <c:pt idx="390">
                  <c:v>-1322</c:v>
                </c:pt>
                <c:pt idx="391">
                  <c:v>-1322</c:v>
                </c:pt>
                <c:pt idx="392">
                  <c:v>-1322</c:v>
                </c:pt>
                <c:pt idx="393">
                  <c:v>-1322</c:v>
                </c:pt>
                <c:pt idx="394">
                  <c:v>-1322</c:v>
                </c:pt>
                <c:pt idx="395">
                  <c:v>-1325</c:v>
                </c:pt>
                <c:pt idx="396">
                  <c:v>-1327</c:v>
                </c:pt>
                <c:pt idx="397">
                  <c:v>-1330</c:v>
                </c:pt>
                <c:pt idx="398">
                  <c:v>-1332</c:v>
                </c:pt>
                <c:pt idx="399">
                  <c:v>-1333</c:v>
                </c:pt>
                <c:pt idx="400">
                  <c:v>-1336</c:v>
                </c:pt>
                <c:pt idx="401">
                  <c:v>-1338</c:v>
                </c:pt>
                <c:pt idx="402">
                  <c:v>-1339</c:v>
                </c:pt>
                <c:pt idx="403">
                  <c:v>-1341</c:v>
                </c:pt>
                <c:pt idx="404">
                  <c:v>-1343</c:v>
                </c:pt>
                <c:pt idx="405">
                  <c:v>-1343</c:v>
                </c:pt>
                <c:pt idx="406">
                  <c:v>-1343</c:v>
                </c:pt>
                <c:pt idx="407">
                  <c:v>-1346</c:v>
                </c:pt>
                <c:pt idx="408">
                  <c:v>-1348</c:v>
                </c:pt>
                <c:pt idx="409">
                  <c:v>-1351</c:v>
                </c:pt>
                <c:pt idx="410">
                  <c:v>-1353</c:v>
                </c:pt>
                <c:pt idx="411">
                  <c:v>-1354</c:v>
                </c:pt>
                <c:pt idx="412">
                  <c:v>-1357</c:v>
                </c:pt>
                <c:pt idx="413">
                  <c:v>-1359</c:v>
                </c:pt>
                <c:pt idx="414">
                  <c:v>-1360</c:v>
                </c:pt>
                <c:pt idx="415">
                  <c:v>-1362</c:v>
                </c:pt>
                <c:pt idx="416">
                  <c:v>-1364</c:v>
                </c:pt>
                <c:pt idx="417">
                  <c:v>-1364</c:v>
                </c:pt>
                <c:pt idx="418">
                  <c:v>-1364</c:v>
                </c:pt>
                <c:pt idx="419">
                  <c:v>-1364</c:v>
                </c:pt>
                <c:pt idx="420">
                  <c:v>-1364</c:v>
                </c:pt>
                <c:pt idx="421">
                  <c:v>-1364</c:v>
                </c:pt>
                <c:pt idx="422">
                  <c:v>-1367</c:v>
                </c:pt>
                <c:pt idx="423">
                  <c:v>-1369</c:v>
                </c:pt>
                <c:pt idx="424">
                  <c:v>-1372</c:v>
                </c:pt>
                <c:pt idx="425">
                  <c:v>-1374</c:v>
                </c:pt>
                <c:pt idx="426">
                  <c:v>-1375</c:v>
                </c:pt>
                <c:pt idx="427">
                  <c:v>-1378</c:v>
                </c:pt>
                <c:pt idx="428">
                  <c:v>-1380.0000000000002</c:v>
                </c:pt>
                <c:pt idx="429">
                  <c:v>-1381</c:v>
                </c:pt>
                <c:pt idx="430">
                  <c:v>-1383</c:v>
                </c:pt>
                <c:pt idx="431">
                  <c:v>-1385</c:v>
                </c:pt>
                <c:pt idx="432">
                  <c:v>-1385</c:v>
                </c:pt>
                <c:pt idx="433">
                  <c:v>-1385</c:v>
                </c:pt>
                <c:pt idx="434">
                  <c:v>-1385</c:v>
                </c:pt>
                <c:pt idx="435">
                  <c:v>-1385</c:v>
                </c:pt>
                <c:pt idx="436">
                  <c:v>-1385</c:v>
                </c:pt>
                <c:pt idx="437">
                  <c:v>-1385</c:v>
                </c:pt>
                <c:pt idx="438">
                  <c:v>-1385</c:v>
                </c:pt>
                <c:pt idx="439">
                  <c:v>-1385</c:v>
                </c:pt>
                <c:pt idx="440">
                  <c:v>-1388.0000000000002</c:v>
                </c:pt>
                <c:pt idx="441">
                  <c:v>-1390.0000000000002</c:v>
                </c:pt>
                <c:pt idx="442">
                  <c:v>-1393</c:v>
                </c:pt>
                <c:pt idx="443">
                  <c:v>-1395</c:v>
                </c:pt>
                <c:pt idx="444">
                  <c:v>-1396.0000000000002</c:v>
                </c:pt>
                <c:pt idx="445">
                  <c:v>-1399</c:v>
                </c:pt>
                <c:pt idx="446">
                  <c:v>-1401</c:v>
                </c:pt>
                <c:pt idx="447">
                  <c:v>-1402.0000000000002</c:v>
                </c:pt>
                <c:pt idx="448">
                  <c:v>-1404.0000000000002</c:v>
                </c:pt>
                <c:pt idx="449">
                  <c:v>-1406.0000000000002</c:v>
                </c:pt>
                <c:pt idx="450">
                  <c:v>-1407</c:v>
                </c:pt>
                <c:pt idx="451">
                  <c:v>-1407</c:v>
                </c:pt>
                <c:pt idx="452">
                  <c:v>-1409</c:v>
                </c:pt>
                <c:pt idx="453">
                  <c:v>-1412.0000000000002</c:v>
                </c:pt>
                <c:pt idx="454">
                  <c:v>-1527.0000000000002</c:v>
                </c:pt>
                <c:pt idx="455">
                  <c:v>-1529.0000000000002</c:v>
                </c:pt>
                <c:pt idx="456">
                  <c:v>-1530</c:v>
                </c:pt>
                <c:pt idx="457">
                  <c:v>-1550</c:v>
                </c:pt>
                <c:pt idx="458">
                  <c:v>-1577</c:v>
                </c:pt>
                <c:pt idx="459">
                  <c:v>-1593</c:v>
                </c:pt>
                <c:pt idx="460">
                  <c:v>-1618</c:v>
                </c:pt>
                <c:pt idx="461">
                  <c:v>-1633</c:v>
                </c:pt>
                <c:pt idx="462">
                  <c:v>-1657</c:v>
                </c:pt>
                <c:pt idx="463">
                  <c:v>-1670</c:v>
                </c:pt>
                <c:pt idx="464">
                  <c:v>-1692</c:v>
                </c:pt>
                <c:pt idx="465">
                  <c:v>-1719</c:v>
                </c:pt>
                <c:pt idx="466">
                  <c:v>-1739</c:v>
                </c:pt>
                <c:pt idx="467">
                  <c:v>-1757.0000000000002</c:v>
                </c:pt>
                <c:pt idx="468">
                  <c:v>-1771.0000000000002</c:v>
                </c:pt>
                <c:pt idx="469">
                  <c:v>-1783.0000000000002</c:v>
                </c:pt>
                <c:pt idx="470">
                  <c:v>-1795</c:v>
                </c:pt>
                <c:pt idx="471">
                  <c:v>-1807</c:v>
                </c:pt>
                <c:pt idx="472">
                  <c:v>-1821</c:v>
                </c:pt>
                <c:pt idx="473">
                  <c:v>-1833</c:v>
                </c:pt>
                <c:pt idx="474">
                  <c:v>-1845</c:v>
                </c:pt>
                <c:pt idx="475">
                  <c:v>-1856</c:v>
                </c:pt>
                <c:pt idx="476">
                  <c:v>-1866</c:v>
                </c:pt>
                <c:pt idx="477">
                  <c:v>-1876</c:v>
                </c:pt>
                <c:pt idx="478">
                  <c:v>-1885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1-4ABA-BD08-C581D4D57CCB}"/>
            </c:ext>
          </c:extLst>
        </c:ser>
        <c:ser>
          <c:idx val="2"/>
          <c:order val="2"/>
          <c:tx>
            <c:strRef>
              <c:f>'SL.116+240'!$M$12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'SL.116+240'!$A$14:$A$800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'SL.116+240'!$M$14:$M$800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-7.9999999999999929</c:v>
                </c:pt>
                <c:pt idx="13">
                  <c:v>-9.9999999999999947</c:v>
                </c:pt>
                <c:pt idx="14">
                  <c:v>-11.999999999999996</c:v>
                </c:pt>
                <c:pt idx="15">
                  <c:v>-13.999999999999998</c:v>
                </c:pt>
                <c:pt idx="16">
                  <c:v>-21.999999999999993</c:v>
                </c:pt>
                <c:pt idx="17">
                  <c:v>-23.999999999999993</c:v>
                </c:pt>
                <c:pt idx="18">
                  <c:v>-25.999999999999996</c:v>
                </c:pt>
                <c:pt idx="19">
                  <c:v>-27.999999999999996</c:v>
                </c:pt>
                <c:pt idx="20">
                  <c:v>-36.000000000000007</c:v>
                </c:pt>
                <c:pt idx="21">
                  <c:v>-44</c:v>
                </c:pt>
                <c:pt idx="22">
                  <c:v>-46</c:v>
                </c:pt>
                <c:pt idx="23">
                  <c:v>-48</c:v>
                </c:pt>
                <c:pt idx="24">
                  <c:v>-50</c:v>
                </c:pt>
                <c:pt idx="25">
                  <c:v>-58.000000000000007</c:v>
                </c:pt>
                <c:pt idx="26">
                  <c:v>-60.000000000000014</c:v>
                </c:pt>
                <c:pt idx="27">
                  <c:v>-61.999999999999986</c:v>
                </c:pt>
                <c:pt idx="28">
                  <c:v>-63.999999999999986</c:v>
                </c:pt>
                <c:pt idx="29">
                  <c:v>-72</c:v>
                </c:pt>
                <c:pt idx="30">
                  <c:v>-73</c:v>
                </c:pt>
                <c:pt idx="31">
                  <c:v>-81</c:v>
                </c:pt>
                <c:pt idx="32">
                  <c:v>-83</c:v>
                </c:pt>
                <c:pt idx="33">
                  <c:v>-85</c:v>
                </c:pt>
                <c:pt idx="34">
                  <c:v>-87.000000000000014</c:v>
                </c:pt>
                <c:pt idx="35">
                  <c:v>-94.999999999999986</c:v>
                </c:pt>
                <c:pt idx="36">
                  <c:v>-96.999999999999986</c:v>
                </c:pt>
                <c:pt idx="37">
                  <c:v>-98.999999999999986</c:v>
                </c:pt>
                <c:pt idx="38">
                  <c:v>-100.99999999999999</c:v>
                </c:pt>
                <c:pt idx="39">
                  <c:v>-109</c:v>
                </c:pt>
                <c:pt idx="40">
                  <c:v>-110</c:v>
                </c:pt>
                <c:pt idx="41">
                  <c:v>-110</c:v>
                </c:pt>
                <c:pt idx="42">
                  <c:v>-111</c:v>
                </c:pt>
                <c:pt idx="43">
                  <c:v>-111</c:v>
                </c:pt>
                <c:pt idx="44">
                  <c:v>-112</c:v>
                </c:pt>
                <c:pt idx="45">
                  <c:v>-112</c:v>
                </c:pt>
                <c:pt idx="46">
                  <c:v>-112</c:v>
                </c:pt>
                <c:pt idx="47">
                  <c:v>-112</c:v>
                </c:pt>
                <c:pt idx="48">
                  <c:v>-112</c:v>
                </c:pt>
                <c:pt idx="49">
                  <c:v>-112</c:v>
                </c:pt>
                <c:pt idx="50">
                  <c:v>-114</c:v>
                </c:pt>
                <c:pt idx="51">
                  <c:v>-114</c:v>
                </c:pt>
                <c:pt idx="52">
                  <c:v>-114</c:v>
                </c:pt>
                <c:pt idx="53">
                  <c:v>-116</c:v>
                </c:pt>
                <c:pt idx="54">
                  <c:v>-116</c:v>
                </c:pt>
                <c:pt idx="55">
                  <c:v>-116</c:v>
                </c:pt>
                <c:pt idx="56">
                  <c:v>-116</c:v>
                </c:pt>
                <c:pt idx="57">
                  <c:v>-118.00000000000001</c:v>
                </c:pt>
                <c:pt idx="58">
                  <c:v>-118.00000000000001</c:v>
                </c:pt>
                <c:pt idx="59">
                  <c:v>-118.00000000000001</c:v>
                </c:pt>
                <c:pt idx="60">
                  <c:v>-118.00000000000001</c:v>
                </c:pt>
                <c:pt idx="61">
                  <c:v>-120.00000000000001</c:v>
                </c:pt>
                <c:pt idx="62">
                  <c:v>-120.00000000000001</c:v>
                </c:pt>
                <c:pt idx="63">
                  <c:v>-122.00000000000001</c:v>
                </c:pt>
                <c:pt idx="64">
                  <c:v>-123.00000000000001</c:v>
                </c:pt>
                <c:pt idx="65">
                  <c:v>-123.00000000000001</c:v>
                </c:pt>
                <c:pt idx="66">
                  <c:v>-123.00000000000001</c:v>
                </c:pt>
                <c:pt idx="67">
                  <c:v>-126</c:v>
                </c:pt>
                <c:pt idx="68">
                  <c:v>-127</c:v>
                </c:pt>
                <c:pt idx="69">
                  <c:v>-127</c:v>
                </c:pt>
                <c:pt idx="70">
                  <c:v>-127</c:v>
                </c:pt>
                <c:pt idx="71">
                  <c:v>-127</c:v>
                </c:pt>
                <c:pt idx="72">
                  <c:v>-130</c:v>
                </c:pt>
                <c:pt idx="73">
                  <c:v>-130</c:v>
                </c:pt>
                <c:pt idx="74">
                  <c:v>-130</c:v>
                </c:pt>
                <c:pt idx="75">
                  <c:v>-131</c:v>
                </c:pt>
                <c:pt idx="76">
                  <c:v>-133</c:v>
                </c:pt>
                <c:pt idx="77">
                  <c:v>-133</c:v>
                </c:pt>
                <c:pt idx="78">
                  <c:v>-133</c:v>
                </c:pt>
                <c:pt idx="79">
                  <c:v>-136</c:v>
                </c:pt>
                <c:pt idx="80">
                  <c:v>-136</c:v>
                </c:pt>
                <c:pt idx="81">
                  <c:v>-136</c:v>
                </c:pt>
                <c:pt idx="82">
                  <c:v>-136</c:v>
                </c:pt>
                <c:pt idx="83">
                  <c:v>-144.00000000000003</c:v>
                </c:pt>
                <c:pt idx="84">
                  <c:v>-146.00000000000003</c:v>
                </c:pt>
                <c:pt idx="85">
                  <c:v>-148.00000000000003</c:v>
                </c:pt>
                <c:pt idx="86">
                  <c:v>-150.00000000000003</c:v>
                </c:pt>
                <c:pt idx="87">
                  <c:v>-157.99999999999997</c:v>
                </c:pt>
                <c:pt idx="88">
                  <c:v>-159.99999999999997</c:v>
                </c:pt>
                <c:pt idx="89">
                  <c:v>-161.99999999999997</c:v>
                </c:pt>
                <c:pt idx="90">
                  <c:v>-163.99999999999997</c:v>
                </c:pt>
                <c:pt idx="91">
                  <c:v>-172</c:v>
                </c:pt>
                <c:pt idx="92">
                  <c:v>-173</c:v>
                </c:pt>
                <c:pt idx="93">
                  <c:v>-173</c:v>
                </c:pt>
                <c:pt idx="94">
                  <c:v>-174</c:v>
                </c:pt>
                <c:pt idx="95">
                  <c:v>-174</c:v>
                </c:pt>
                <c:pt idx="96">
                  <c:v>-174</c:v>
                </c:pt>
                <c:pt idx="97">
                  <c:v>-174</c:v>
                </c:pt>
                <c:pt idx="98">
                  <c:v>-174</c:v>
                </c:pt>
                <c:pt idx="99">
                  <c:v>-174</c:v>
                </c:pt>
                <c:pt idx="100">
                  <c:v>-174</c:v>
                </c:pt>
                <c:pt idx="101">
                  <c:v>-174</c:v>
                </c:pt>
                <c:pt idx="102">
                  <c:v>-174</c:v>
                </c:pt>
                <c:pt idx="103">
                  <c:v>-174</c:v>
                </c:pt>
                <c:pt idx="104">
                  <c:v>-174</c:v>
                </c:pt>
                <c:pt idx="105">
                  <c:v>-174</c:v>
                </c:pt>
                <c:pt idx="106">
                  <c:v>-174</c:v>
                </c:pt>
                <c:pt idx="107">
                  <c:v>-174</c:v>
                </c:pt>
                <c:pt idx="108">
                  <c:v>-174</c:v>
                </c:pt>
                <c:pt idx="109">
                  <c:v>-174</c:v>
                </c:pt>
                <c:pt idx="110">
                  <c:v>-174</c:v>
                </c:pt>
                <c:pt idx="111">
                  <c:v>-174</c:v>
                </c:pt>
                <c:pt idx="112">
                  <c:v>-174</c:v>
                </c:pt>
                <c:pt idx="113">
                  <c:v>-174</c:v>
                </c:pt>
                <c:pt idx="114">
                  <c:v>-174</c:v>
                </c:pt>
                <c:pt idx="115">
                  <c:v>-174</c:v>
                </c:pt>
                <c:pt idx="116">
                  <c:v>-174</c:v>
                </c:pt>
                <c:pt idx="117">
                  <c:v>-174</c:v>
                </c:pt>
                <c:pt idx="118">
                  <c:v>-174</c:v>
                </c:pt>
                <c:pt idx="119">
                  <c:v>-174</c:v>
                </c:pt>
                <c:pt idx="120">
                  <c:v>-174</c:v>
                </c:pt>
                <c:pt idx="121">
                  <c:v>-174</c:v>
                </c:pt>
                <c:pt idx="122">
                  <c:v>-174</c:v>
                </c:pt>
                <c:pt idx="123">
                  <c:v>-174</c:v>
                </c:pt>
                <c:pt idx="124">
                  <c:v>-174</c:v>
                </c:pt>
                <c:pt idx="125">
                  <c:v>-174</c:v>
                </c:pt>
                <c:pt idx="126">
                  <c:v>-174</c:v>
                </c:pt>
                <c:pt idx="127">
                  <c:v>-174</c:v>
                </c:pt>
                <c:pt idx="128">
                  <c:v>-174</c:v>
                </c:pt>
                <c:pt idx="129">
                  <c:v>-174</c:v>
                </c:pt>
                <c:pt idx="130">
                  <c:v>-174</c:v>
                </c:pt>
                <c:pt idx="131">
                  <c:v>-174</c:v>
                </c:pt>
                <c:pt idx="132">
                  <c:v>-174</c:v>
                </c:pt>
                <c:pt idx="133">
                  <c:v>-174</c:v>
                </c:pt>
                <c:pt idx="134">
                  <c:v>-174</c:v>
                </c:pt>
                <c:pt idx="135">
                  <c:v>-174</c:v>
                </c:pt>
                <c:pt idx="136">
                  <c:v>-174</c:v>
                </c:pt>
                <c:pt idx="137">
                  <c:v>-174</c:v>
                </c:pt>
                <c:pt idx="138">
                  <c:v>-174</c:v>
                </c:pt>
                <c:pt idx="139">
                  <c:v>-174</c:v>
                </c:pt>
                <c:pt idx="140">
                  <c:v>-174</c:v>
                </c:pt>
                <c:pt idx="141">
                  <c:v>-174</c:v>
                </c:pt>
                <c:pt idx="142">
                  <c:v>-174</c:v>
                </c:pt>
                <c:pt idx="143">
                  <c:v>-174</c:v>
                </c:pt>
                <c:pt idx="144">
                  <c:v>-174</c:v>
                </c:pt>
                <c:pt idx="145">
                  <c:v>-174</c:v>
                </c:pt>
                <c:pt idx="146">
                  <c:v>-174</c:v>
                </c:pt>
                <c:pt idx="147">
                  <c:v>-174</c:v>
                </c:pt>
                <c:pt idx="148">
                  <c:v>-174</c:v>
                </c:pt>
                <c:pt idx="149">
                  <c:v>-174</c:v>
                </c:pt>
                <c:pt idx="150">
                  <c:v>-174</c:v>
                </c:pt>
                <c:pt idx="151">
                  <c:v>-174</c:v>
                </c:pt>
                <c:pt idx="152">
                  <c:v>-174</c:v>
                </c:pt>
                <c:pt idx="153">
                  <c:v>-174</c:v>
                </c:pt>
                <c:pt idx="154">
                  <c:v>-174</c:v>
                </c:pt>
                <c:pt idx="155">
                  <c:v>-174</c:v>
                </c:pt>
                <c:pt idx="156">
                  <c:v>-174</c:v>
                </c:pt>
                <c:pt idx="157">
                  <c:v>-174</c:v>
                </c:pt>
                <c:pt idx="158">
                  <c:v>-174</c:v>
                </c:pt>
                <c:pt idx="159">
                  <c:v>-174</c:v>
                </c:pt>
                <c:pt idx="160">
                  <c:v>-174</c:v>
                </c:pt>
                <c:pt idx="161">
                  <c:v>-174</c:v>
                </c:pt>
                <c:pt idx="162">
                  <c:v>-174</c:v>
                </c:pt>
                <c:pt idx="163">
                  <c:v>-174</c:v>
                </c:pt>
                <c:pt idx="164">
                  <c:v>-174</c:v>
                </c:pt>
                <c:pt idx="165">
                  <c:v>-174</c:v>
                </c:pt>
                <c:pt idx="166">
                  <c:v>-174</c:v>
                </c:pt>
                <c:pt idx="167">
                  <c:v>-174</c:v>
                </c:pt>
                <c:pt idx="168">
                  <c:v>-174</c:v>
                </c:pt>
                <c:pt idx="169">
                  <c:v>-174</c:v>
                </c:pt>
                <c:pt idx="170">
                  <c:v>-174</c:v>
                </c:pt>
                <c:pt idx="171">
                  <c:v>-174</c:v>
                </c:pt>
                <c:pt idx="172">
                  <c:v>-174</c:v>
                </c:pt>
                <c:pt idx="173">
                  <c:v>-174</c:v>
                </c:pt>
                <c:pt idx="174">
                  <c:v>-174</c:v>
                </c:pt>
                <c:pt idx="175">
                  <c:v>-174</c:v>
                </c:pt>
                <c:pt idx="176">
                  <c:v>-174</c:v>
                </c:pt>
                <c:pt idx="177">
                  <c:v>-174</c:v>
                </c:pt>
                <c:pt idx="178">
                  <c:v>-174</c:v>
                </c:pt>
                <c:pt idx="179">
                  <c:v>-174</c:v>
                </c:pt>
                <c:pt idx="180">
                  <c:v>-174</c:v>
                </c:pt>
                <c:pt idx="181">
                  <c:v>-174</c:v>
                </c:pt>
                <c:pt idx="182">
                  <c:v>-174</c:v>
                </c:pt>
                <c:pt idx="183">
                  <c:v>-174</c:v>
                </c:pt>
                <c:pt idx="184">
                  <c:v>-174</c:v>
                </c:pt>
                <c:pt idx="185">
                  <c:v>-174</c:v>
                </c:pt>
                <c:pt idx="186">
                  <c:v>-184</c:v>
                </c:pt>
                <c:pt idx="187">
                  <c:v>-194</c:v>
                </c:pt>
                <c:pt idx="188">
                  <c:v>-202.99999999999997</c:v>
                </c:pt>
                <c:pt idx="189">
                  <c:v>-210.99999999999997</c:v>
                </c:pt>
                <c:pt idx="190">
                  <c:v>-218.99999999999997</c:v>
                </c:pt>
                <c:pt idx="191">
                  <c:v>-228.99999999999997</c:v>
                </c:pt>
                <c:pt idx="192">
                  <c:v>-239</c:v>
                </c:pt>
                <c:pt idx="193">
                  <c:v>-246</c:v>
                </c:pt>
                <c:pt idx="194">
                  <c:v>-254</c:v>
                </c:pt>
                <c:pt idx="195">
                  <c:v>-261</c:v>
                </c:pt>
                <c:pt idx="196">
                  <c:v>-267.99999999999994</c:v>
                </c:pt>
                <c:pt idx="197">
                  <c:v>-277.99999999999994</c:v>
                </c:pt>
                <c:pt idx="198">
                  <c:v>-285</c:v>
                </c:pt>
                <c:pt idx="199">
                  <c:v>-292</c:v>
                </c:pt>
                <c:pt idx="200">
                  <c:v>-297</c:v>
                </c:pt>
                <c:pt idx="201">
                  <c:v>-307</c:v>
                </c:pt>
                <c:pt idx="202">
                  <c:v>-311</c:v>
                </c:pt>
                <c:pt idx="203">
                  <c:v>-314</c:v>
                </c:pt>
                <c:pt idx="204">
                  <c:v>-316</c:v>
                </c:pt>
                <c:pt idx="205">
                  <c:v>-320</c:v>
                </c:pt>
                <c:pt idx="206">
                  <c:v>-323</c:v>
                </c:pt>
                <c:pt idx="207">
                  <c:v>-325</c:v>
                </c:pt>
                <c:pt idx="208">
                  <c:v>-329.99999999999994</c:v>
                </c:pt>
                <c:pt idx="209">
                  <c:v>-334.99999999999994</c:v>
                </c:pt>
                <c:pt idx="210">
                  <c:v>-338.99999999999994</c:v>
                </c:pt>
                <c:pt idx="211">
                  <c:v>-341.99999999999994</c:v>
                </c:pt>
                <c:pt idx="212">
                  <c:v>-344</c:v>
                </c:pt>
                <c:pt idx="213">
                  <c:v>-345</c:v>
                </c:pt>
                <c:pt idx="214">
                  <c:v>-347</c:v>
                </c:pt>
                <c:pt idx="215">
                  <c:v>-357</c:v>
                </c:pt>
                <c:pt idx="216">
                  <c:v>-367</c:v>
                </c:pt>
                <c:pt idx="217">
                  <c:v>-377</c:v>
                </c:pt>
                <c:pt idx="218">
                  <c:v>-387</c:v>
                </c:pt>
                <c:pt idx="219">
                  <c:v>-396.99999999999994</c:v>
                </c:pt>
                <c:pt idx="220">
                  <c:v>-407</c:v>
                </c:pt>
                <c:pt idx="221">
                  <c:v>-417</c:v>
                </c:pt>
                <c:pt idx="222">
                  <c:v>-427</c:v>
                </c:pt>
                <c:pt idx="223">
                  <c:v>-437</c:v>
                </c:pt>
                <c:pt idx="224">
                  <c:v>-447</c:v>
                </c:pt>
                <c:pt idx="225">
                  <c:v>-457</c:v>
                </c:pt>
                <c:pt idx="226">
                  <c:v>-467</c:v>
                </c:pt>
                <c:pt idx="227">
                  <c:v>-477.00000000000006</c:v>
                </c:pt>
                <c:pt idx="228">
                  <c:v>-486.99999999999994</c:v>
                </c:pt>
                <c:pt idx="229">
                  <c:v>-496.99999999999994</c:v>
                </c:pt>
                <c:pt idx="230">
                  <c:v>-507</c:v>
                </c:pt>
                <c:pt idx="231">
                  <c:v>-517</c:v>
                </c:pt>
                <c:pt idx="232">
                  <c:v>-527</c:v>
                </c:pt>
                <c:pt idx="233">
                  <c:v>-537</c:v>
                </c:pt>
                <c:pt idx="234">
                  <c:v>-547</c:v>
                </c:pt>
                <c:pt idx="235">
                  <c:v>-557</c:v>
                </c:pt>
                <c:pt idx="236">
                  <c:v>-567.00000000000011</c:v>
                </c:pt>
                <c:pt idx="237">
                  <c:v>-577.00000000000011</c:v>
                </c:pt>
                <c:pt idx="238">
                  <c:v>-587.00000000000011</c:v>
                </c:pt>
                <c:pt idx="239">
                  <c:v>-597.00000000000011</c:v>
                </c:pt>
                <c:pt idx="240">
                  <c:v>-607.00000000000011</c:v>
                </c:pt>
                <c:pt idx="241">
                  <c:v>-617</c:v>
                </c:pt>
                <c:pt idx="242">
                  <c:v>-627</c:v>
                </c:pt>
                <c:pt idx="243">
                  <c:v>-637</c:v>
                </c:pt>
                <c:pt idx="244">
                  <c:v>-647</c:v>
                </c:pt>
                <c:pt idx="245">
                  <c:v>-657</c:v>
                </c:pt>
                <c:pt idx="246">
                  <c:v>-667</c:v>
                </c:pt>
                <c:pt idx="247">
                  <c:v>-677</c:v>
                </c:pt>
                <c:pt idx="248">
                  <c:v>-687</c:v>
                </c:pt>
                <c:pt idx="249">
                  <c:v>-697.00000000000011</c:v>
                </c:pt>
                <c:pt idx="250">
                  <c:v>-707.00000000000011</c:v>
                </c:pt>
                <c:pt idx="251">
                  <c:v>-717.00000000000011</c:v>
                </c:pt>
                <c:pt idx="252">
                  <c:v>-727.00000000000011</c:v>
                </c:pt>
                <c:pt idx="253">
                  <c:v>-736</c:v>
                </c:pt>
                <c:pt idx="254">
                  <c:v>-744</c:v>
                </c:pt>
                <c:pt idx="255">
                  <c:v>-752</c:v>
                </c:pt>
                <c:pt idx="256">
                  <c:v>-758</c:v>
                </c:pt>
                <c:pt idx="257">
                  <c:v>-765</c:v>
                </c:pt>
                <c:pt idx="258">
                  <c:v>-769</c:v>
                </c:pt>
                <c:pt idx="259">
                  <c:v>-774</c:v>
                </c:pt>
                <c:pt idx="260">
                  <c:v>-777</c:v>
                </c:pt>
                <c:pt idx="261">
                  <c:v>-779</c:v>
                </c:pt>
                <c:pt idx="262">
                  <c:v>-781</c:v>
                </c:pt>
                <c:pt idx="263">
                  <c:v>-782</c:v>
                </c:pt>
                <c:pt idx="264">
                  <c:v>-784</c:v>
                </c:pt>
                <c:pt idx="265">
                  <c:v>-789</c:v>
                </c:pt>
                <c:pt idx="266">
                  <c:v>-798</c:v>
                </c:pt>
                <c:pt idx="267">
                  <c:v>-806</c:v>
                </c:pt>
                <c:pt idx="268">
                  <c:v>-814</c:v>
                </c:pt>
                <c:pt idx="269">
                  <c:v>-820.00000000000011</c:v>
                </c:pt>
                <c:pt idx="270">
                  <c:v>-827.00000000000011</c:v>
                </c:pt>
                <c:pt idx="271">
                  <c:v>-831.00000000000011</c:v>
                </c:pt>
                <c:pt idx="272">
                  <c:v>-836.00000000000011</c:v>
                </c:pt>
                <c:pt idx="273">
                  <c:v>-839.00000000000011</c:v>
                </c:pt>
                <c:pt idx="274">
                  <c:v>-841.00000000000011</c:v>
                </c:pt>
                <c:pt idx="275">
                  <c:v>-843.00000000000011</c:v>
                </c:pt>
                <c:pt idx="276">
                  <c:v>-844.00000000000011</c:v>
                </c:pt>
                <c:pt idx="277">
                  <c:v>-846.00000000000011</c:v>
                </c:pt>
                <c:pt idx="278">
                  <c:v>-851.00000000000011</c:v>
                </c:pt>
                <c:pt idx="279">
                  <c:v>-856.00000000000011</c:v>
                </c:pt>
                <c:pt idx="280">
                  <c:v>-861</c:v>
                </c:pt>
                <c:pt idx="281">
                  <c:v>-870</c:v>
                </c:pt>
                <c:pt idx="282">
                  <c:v>-878</c:v>
                </c:pt>
                <c:pt idx="283">
                  <c:v>-886</c:v>
                </c:pt>
                <c:pt idx="284">
                  <c:v>-892</c:v>
                </c:pt>
                <c:pt idx="285">
                  <c:v>-899</c:v>
                </c:pt>
                <c:pt idx="286">
                  <c:v>-903</c:v>
                </c:pt>
                <c:pt idx="287">
                  <c:v>-908</c:v>
                </c:pt>
                <c:pt idx="288">
                  <c:v>-911</c:v>
                </c:pt>
                <c:pt idx="289">
                  <c:v>-913</c:v>
                </c:pt>
                <c:pt idx="290">
                  <c:v>-915</c:v>
                </c:pt>
                <c:pt idx="291">
                  <c:v>-916</c:v>
                </c:pt>
                <c:pt idx="292">
                  <c:v>-918</c:v>
                </c:pt>
                <c:pt idx="293">
                  <c:v>-922.99999999999989</c:v>
                </c:pt>
                <c:pt idx="294">
                  <c:v>-928</c:v>
                </c:pt>
                <c:pt idx="295">
                  <c:v>-930</c:v>
                </c:pt>
                <c:pt idx="296">
                  <c:v>-932</c:v>
                </c:pt>
                <c:pt idx="297">
                  <c:v>-937</c:v>
                </c:pt>
                <c:pt idx="298">
                  <c:v>-939</c:v>
                </c:pt>
                <c:pt idx="299">
                  <c:v>-944.00000000000011</c:v>
                </c:pt>
                <c:pt idx="300">
                  <c:v>-947</c:v>
                </c:pt>
                <c:pt idx="301">
                  <c:v>-949</c:v>
                </c:pt>
                <c:pt idx="302">
                  <c:v>-954.00000000000011</c:v>
                </c:pt>
                <c:pt idx="303">
                  <c:v>-959</c:v>
                </c:pt>
                <c:pt idx="304">
                  <c:v>-963</c:v>
                </c:pt>
                <c:pt idx="305">
                  <c:v>-966.00000000000011</c:v>
                </c:pt>
                <c:pt idx="306">
                  <c:v>-968.00000000000011</c:v>
                </c:pt>
                <c:pt idx="307">
                  <c:v>-973</c:v>
                </c:pt>
                <c:pt idx="308">
                  <c:v>-978.00000000000011</c:v>
                </c:pt>
                <c:pt idx="309">
                  <c:v>-982.00000000000011</c:v>
                </c:pt>
                <c:pt idx="310">
                  <c:v>-985</c:v>
                </c:pt>
                <c:pt idx="311">
                  <c:v>-987</c:v>
                </c:pt>
                <c:pt idx="312">
                  <c:v>-988.00000000000011</c:v>
                </c:pt>
                <c:pt idx="313">
                  <c:v>-990.00000000000011</c:v>
                </c:pt>
                <c:pt idx="314">
                  <c:v>-992.00000000000011</c:v>
                </c:pt>
                <c:pt idx="315">
                  <c:v>-994.00000000000011</c:v>
                </c:pt>
                <c:pt idx="316">
                  <c:v>-996.00000000000011</c:v>
                </c:pt>
                <c:pt idx="317">
                  <c:v>-998.00000000000011</c:v>
                </c:pt>
                <c:pt idx="318">
                  <c:v>-1000</c:v>
                </c:pt>
                <c:pt idx="319">
                  <c:v>-1004.9999999999999</c:v>
                </c:pt>
                <c:pt idx="320">
                  <c:v>-1008.9999999999999</c:v>
                </c:pt>
                <c:pt idx="321">
                  <c:v>-1012</c:v>
                </c:pt>
                <c:pt idx="322">
                  <c:v>-1014</c:v>
                </c:pt>
                <c:pt idx="323">
                  <c:v>-1014.9999999999999</c:v>
                </c:pt>
                <c:pt idx="324">
                  <c:v>-1016.9999999999999</c:v>
                </c:pt>
                <c:pt idx="325">
                  <c:v>-1018.9999999999999</c:v>
                </c:pt>
                <c:pt idx="326">
                  <c:v>-1020.9999999999999</c:v>
                </c:pt>
                <c:pt idx="327">
                  <c:v>-1022.9999999999999</c:v>
                </c:pt>
                <c:pt idx="328">
                  <c:v>-1025</c:v>
                </c:pt>
                <c:pt idx="329">
                  <c:v>-1027</c:v>
                </c:pt>
                <c:pt idx="330">
                  <c:v>-1032</c:v>
                </c:pt>
                <c:pt idx="331">
                  <c:v>-1034</c:v>
                </c:pt>
                <c:pt idx="332">
                  <c:v>-1036</c:v>
                </c:pt>
                <c:pt idx="333">
                  <c:v>-1038</c:v>
                </c:pt>
                <c:pt idx="334">
                  <c:v>-1041</c:v>
                </c:pt>
                <c:pt idx="335">
                  <c:v>-1043</c:v>
                </c:pt>
                <c:pt idx="336">
                  <c:v>-1047.9999999999998</c:v>
                </c:pt>
                <c:pt idx="337">
                  <c:v>-1053</c:v>
                </c:pt>
                <c:pt idx="338">
                  <c:v>-1057</c:v>
                </c:pt>
                <c:pt idx="339">
                  <c:v>-1059.9999999999998</c:v>
                </c:pt>
                <c:pt idx="340">
                  <c:v>-1061.9999999999998</c:v>
                </c:pt>
                <c:pt idx="341">
                  <c:v>-1063</c:v>
                </c:pt>
                <c:pt idx="342">
                  <c:v>-1065</c:v>
                </c:pt>
                <c:pt idx="343">
                  <c:v>-1067</c:v>
                </c:pt>
                <c:pt idx="344">
                  <c:v>-1069</c:v>
                </c:pt>
                <c:pt idx="345">
                  <c:v>-1071</c:v>
                </c:pt>
                <c:pt idx="346">
                  <c:v>-1073</c:v>
                </c:pt>
                <c:pt idx="347">
                  <c:v>-1075</c:v>
                </c:pt>
                <c:pt idx="348">
                  <c:v>-1079.9999999999998</c:v>
                </c:pt>
                <c:pt idx="349">
                  <c:v>-1085</c:v>
                </c:pt>
                <c:pt idx="350">
                  <c:v>-1089.9999999999998</c:v>
                </c:pt>
                <c:pt idx="351">
                  <c:v>-1093.9999999999998</c:v>
                </c:pt>
                <c:pt idx="352">
                  <c:v>-1097</c:v>
                </c:pt>
                <c:pt idx="353">
                  <c:v>-1099</c:v>
                </c:pt>
                <c:pt idx="354">
                  <c:v>-1099.9999999999998</c:v>
                </c:pt>
                <c:pt idx="355">
                  <c:v>-1101.9999999999998</c:v>
                </c:pt>
                <c:pt idx="356">
                  <c:v>-1103.9999999999998</c:v>
                </c:pt>
                <c:pt idx="357">
                  <c:v>-1105.9999999999998</c:v>
                </c:pt>
                <c:pt idx="358">
                  <c:v>-1107.9999999999998</c:v>
                </c:pt>
                <c:pt idx="359">
                  <c:v>-1109.9999999999998</c:v>
                </c:pt>
                <c:pt idx="360">
                  <c:v>-1111.9999999999998</c:v>
                </c:pt>
                <c:pt idx="361">
                  <c:v>-1117</c:v>
                </c:pt>
                <c:pt idx="362">
                  <c:v>-1117</c:v>
                </c:pt>
                <c:pt idx="363">
                  <c:v>-1117</c:v>
                </c:pt>
                <c:pt idx="364">
                  <c:v>-1117.9999999999998</c:v>
                </c:pt>
                <c:pt idx="365">
                  <c:v>-1119.9999999999998</c:v>
                </c:pt>
                <c:pt idx="366">
                  <c:v>-1122</c:v>
                </c:pt>
                <c:pt idx="367">
                  <c:v>-1124</c:v>
                </c:pt>
                <c:pt idx="368">
                  <c:v>-1126</c:v>
                </c:pt>
                <c:pt idx="369">
                  <c:v>-1128</c:v>
                </c:pt>
                <c:pt idx="370">
                  <c:v>-1130</c:v>
                </c:pt>
                <c:pt idx="371">
                  <c:v>-1135</c:v>
                </c:pt>
                <c:pt idx="372">
                  <c:v>-1140</c:v>
                </c:pt>
                <c:pt idx="373">
                  <c:v>-1145</c:v>
                </c:pt>
                <c:pt idx="374">
                  <c:v>-1145</c:v>
                </c:pt>
                <c:pt idx="375">
                  <c:v>-1146</c:v>
                </c:pt>
                <c:pt idx="376">
                  <c:v>-1148</c:v>
                </c:pt>
                <c:pt idx="377">
                  <c:v>-1150</c:v>
                </c:pt>
                <c:pt idx="378">
                  <c:v>-1152</c:v>
                </c:pt>
                <c:pt idx="379">
                  <c:v>-1154</c:v>
                </c:pt>
                <c:pt idx="380">
                  <c:v>-1156</c:v>
                </c:pt>
                <c:pt idx="381">
                  <c:v>-1158</c:v>
                </c:pt>
                <c:pt idx="382">
                  <c:v>-1163</c:v>
                </c:pt>
                <c:pt idx="383">
                  <c:v>-1168</c:v>
                </c:pt>
                <c:pt idx="384">
                  <c:v>-1172.9999999999998</c:v>
                </c:pt>
                <c:pt idx="385">
                  <c:v>-1172.9999999999998</c:v>
                </c:pt>
                <c:pt idx="386">
                  <c:v>-1172.9999999999998</c:v>
                </c:pt>
                <c:pt idx="387">
                  <c:v>-1172.9999999999998</c:v>
                </c:pt>
                <c:pt idx="388">
                  <c:v>-1172.9999999999998</c:v>
                </c:pt>
                <c:pt idx="389">
                  <c:v>-1172.9999999999998</c:v>
                </c:pt>
                <c:pt idx="390">
                  <c:v>-1172.9999999999998</c:v>
                </c:pt>
                <c:pt idx="391">
                  <c:v>-1172.9999999999998</c:v>
                </c:pt>
                <c:pt idx="392">
                  <c:v>-1172.9999999999998</c:v>
                </c:pt>
                <c:pt idx="393">
                  <c:v>-1172.9999999999998</c:v>
                </c:pt>
                <c:pt idx="394">
                  <c:v>-1172.9999999999998</c:v>
                </c:pt>
                <c:pt idx="395">
                  <c:v>-1174</c:v>
                </c:pt>
                <c:pt idx="396">
                  <c:v>-1176</c:v>
                </c:pt>
                <c:pt idx="397">
                  <c:v>-1178</c:v>
                </c:pt>
                <c:pt idx="398">
                  <c:v>-1180</c:v>
                </c:pt>
                <c:pt idx="399">
                  <c:v>-1182</c:v>
                </c:pt>
                <c:pt idx="400">
                  <c:v>-1184</c:v>
                </c:pt>
                <c:pt idx="401">
                  <c:v>-1186</c:v>
                </c:pt>
                <c:pt idx="402">
                  <c:v>-1190.9999999999998</c:v>
                </c:pt>
                <c:pt idx="403">
                  <c:v>-1196</c:v>
                </c:pt>
                <c:pt idx="404">
                  <c:v>-1200.9999999999998</c:v>
                </c:pt>
                <c:pt idx="405">
                  <c:v>-1200.9999999999998</c:v>
                </c:pt>
                <c:pt idx="406">
                  <c:v>-1200.9999999999998</c:v>
                </c:pt>
                <c:pt idx="407">
                  <c:v>-1202</c:v>
                </c:pt>
                <c:pt idx="408">
                  <c:v>-1204</c:v>
                </c:pt>
                <c:pt idx="409">
                  <c:v>-1206</c:v>
                </c:pt>
                <c:pt idx="410">
                  <c:v>-1208</c:v>
                </c:pt>
                <c:pt idx="411">
                  <c:v>-1210</c:v>
                </c:pt>
                <c:pt idx="412">
                  <c:v>-1212</c:v>
                </c:pt>
                <c:pt idx="413">
                  <c:v>-1214</c:v>
                </c:pt>
                <c:pt idx="414">
                  <c:v>-1218.9999999999998</c:v>
                </c:pt>
                <c:pt idx="415">
                  <c:v>-1224</c:v>
                </c:pt>
                <c:pt idx="416">
                  <c:v>-1228.9999999999998</c:v>
                </c:pt>
                <c:pt idx="417">
                  <c:v>-1228.9999999999998</c:v>
                </c:pt>
                <c:pt idx="418">
                  <c:v>-1228.9999999999998</c:v>
                </c:pt>
                <c:pt idx="419">
                  <c:v>-1228.9999999999998</c:v>
                </c:pt>
                <c:pt idx="420">
                  <c:v>-1228.9999999999998</c:v>
                </c:pt>
                <c:pt idx="421">
                  <c:v>-1228.9999999999998</c:v>
                </c:pt>
                <c:pt idx="422">
                  <c:v>-1230</c:v>
                </c:pt>
                <c:pt idx="423">
                  <c:v>-1232</c:v>
                </c:pt>
                <c:pt idx="424">
                  <c:v>-1234</c:v>
                </c:pt>
                <c:pt idx="425">
                  <c:v>-1236</c:v>
                </c:pt>
                <c:pt idx="426">
                  <c:v>-1238</c:v>
                </c:pt>
                <c:pt idx="427">
                  <c:v>-1240</c:v>
                </c:pt>
                <c:pt idx="428">
                  <c:v>-1242</c:v>
                </c:pt>
                <c:pt idx="429">
                  <c:v>-1247</c:v>
                </c:pt>
                <c:pt idx="430">
                  <c:v>-1257</c:v>
                </c:pt>
                <c:pt idx="431">
                  <c:v>-1267</c:v>
                </c:pt>
                <c:pt idx="432">
                  <c:v>-1277</c:v>
                </c:pt>
                <c:pt idx="433">
                  <c:v>-1287</c:v>
                </c:pt>
                <c:pt idx="434">
                  <c:v>-1297</c:v>
                </c:pt>
                <c:pt idx="435">
                  <c:v>-1307</c:v>
                </c:pt>
                <c:pt idx="436">
                  <c:v>-1317</c:v>
                </c:pt>
                <c:pt idx="437">
                  <c:v>-1327</c:v>
                </c:pt>
                <c:pt idx="438">
                  <c:v>-1337</c:v>
                </c:pt>
                <c:pt idx="439">
                  <c:v>-1347</c:v>
                </c:pt>
                <c:pt idx="440">
                  <c:v>-1357</c:v>
                </c:pt>
                <c:pt idx="441">
                  <c:v>-1367</c:v>
                </c:pt>
                <c:pt idx="442">
                  <c:v>-1377</c:v>
                </c:pt>
                <c:pt idx="443">
                  <c:v>-1387</c:v>
                </c:pt>
                <c:pt idx="444">
                  <c:v>-1397</c:v>
                </c:pt>
                <c:pt idx="445">
                  <c:v>-1407</c:v>
                </c:pt>
                <c:pt idx="446">
                  <c:v>-1417</c:v>
                </c:pt>
                <c:pt idx="447">
                  <c:v>-1426.9999999999998</c:v>
                </c:pt>
                <c:pt idx="448">
                  <c:v>-1436.9999999999998</c:v>
                </c:pt>
                <c:pt idx="449">
                  <c:v>-1446.9999999999998</c:v>
                </c:pt>
                <c:pt idx="450">
                  <c:v>-1456.9999999999998</c:v>
                </c:pt>
                <c:pt idx="451">
                  <c:v>-1466.9999999999998</c:v>
                </c:pt>
                <c:pt idx="452">
                  <c:v>-1476.9999999999998</c:v>
                </c:pt>
                <c:pt idx="453">
                  <c:v>-1486.9999999999998</c:v>
                </c:pt>
                <c:pt idx="454">
                  <c:v>-1497</c:v>
                </c:pt>
                <c:pt idx="455">
                  <c:v>-1506</c:v>
                </c:pt>
                <c:pt idx="456">
                  <c:v>-1516</c:v>
                </c:pt>
                <c:pt idx="457">
                  <c:v>-1545.9999999999998</c:v>
                </c:pt>
                <c:pt idx="458">
                  <c:v>-1585.9999999999998</c:v>
                </c:pt>
                <c:pt idx="459">
                  <c:v>-1613.9999999999998</c:v>
                </c:pt>
                <c:pt idx="460">
                  <c:v>-1653</c:v>
                </c:pt>
                <c:pt idx="461">
                  <c:v>-1682</c:v>
                </c:pt>
                <c:pt idx="462">
                  <c:v>-1718</c:v>
                </c:pt>
                <c:pt idx="463">
                  <c:v>-1746</c:v>
                </c:pt>
                <c:pt idx="464">
                  <c:v>-1781</c:v>
                </c:pt>
                <c:pt idx="465">
                  <c:v>-1821</c:v>
                </c:pt>
                <c:pt idx="466">
                  <c:v>-1859</c:v>
                </c:pt>
                <c:pt idx="467">
                  <c:v>-1895</c:v>
                </c:pt>
                <c:pt idx="468">
                  <c:v>-1928</c:v>
                </c:pt>
                <c:pt idx="469">
                  <c:v>-1961.9999999999998</c:v>
                </c:pt>
                <c:pt idx="470">
                  <c:v>-1992</c:v>
                </c:pt>
                <c:pt idx="471">
                  <c:v>-2020</c:v>
                </c:pt>
                <c:pt idx="472">
                  <c:v>-2046.9999999999998</c:v>
                </c:pt>
                <c:pt idx="473">
                  <c:v>-2070.9999999999995</c:v>
                </c:pt>
                <c:pt idx="474">
                  <c:v>-2096</c:v>
                </c:pt>
                <c:pt idx="475">
                  <c:v>-2120</c:v>
                </c:pt>
                <c:pt idx="476">
                  <c:v>-2146</c:v>
                </c:pt>
                <c:pt idx="477">
                  <c:v>-2170</c:v>
                </c:pt>
                <c:pt idx="478">
                  <c:v>-2193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1-4ABA-BD08-C581D4D57CCB}"/>
            </c:ext>
          </c:extLst>
        </c:ser>
        <c:ser>
          <c:idx val="3"/>
          <c:order val="3"/>
          <c:tx>
            <c:strRef>
              <c:f>'SL.116+240'!$N$12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'SL.116+240'!$A$14:$A$800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'SL.116+240'!$N$14:$N$800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-5.0000000000000044</c:v>
                </c:pt>
                <c:pt idx="13">
                  <c:v>-5.9999999999999982</c:v>
                </c:pt>
                <c:pt idx="14">
                  <c:v>-6.9999999999999991</c:v>
                </c:pt>
                <c:pt idx="15">
                  <c:v>-9.0000000000000018</c:v>
                </c:pt>
                <c:pt idx="16">
                  <c:v>-13.999999999999998</c:v>
                </c:pt>
                <c:pt idx="17">
                  <c:v>-15</c:v>
                </c:pt>
                <c:pt idx="18">
                  <c:v>-17</c:v>
                </c:pt>
                <c:pt idx="19">
                  <c:v>-18.000000000000004</c:v>
                </c:pt>
                <c:pt idx="20">
                  <c:v>-24</c:v>
                </c:pt>
                <c:pt idx="21">
                  <c:v>-28.999999999999996</c:v>
                </c:pt>
                <c:pt idx="22">
                  <c:v>-30</c:v>
                </c:pt>
                <c:pt idx="23">
                  <c:v>-31</c:v>
                </c:pt>
                <c:pt idx="24">
                  <c:v>-33</c:v>
                </c:pt>
                <c:pt idx="25">
                  <c:v>-38.000000000000007</c:v>
                </c:pt>
                <c:pt idx="26">
                  <c:v>-39.000000000000007</c:v>
                </c:pt>
                <c:pt idx="27">
                  <c:v>-40.999999999999993</c:v>
                </c:pt>
                <c:pt idx="28">
                  <c:v>-41.999999999999993</c:v>
                </c:pt>
                <c:pt idx="29">
                  <c:v>-48</c:v>
                </c:pt>
                <c:pt idx="30">
                  <c:v>-48</c:v>
                </c:pt>
                <c:pt idx="31">
                  <c:v>-53.000000000000007</c:v>
                </c:pt>
                <c:pt idx="32">
                  <c:v>-54.000000000000007</c:v>
                </c:pt>
                <c:pt idx="33">
                  <c:v>-55.000000000000007</c:v>
                </c:pt>
                <c:pt idx="34">
                  <c:v>-56.999999999999993</c:v>
                </c:pt>
                <c:pt idx="35">
                  <c:v>-62</c:v>
                </c:pt>
                <c:pt idx="36">
                  <c:v>-63</c:v>
                </c:pt>
                <c:pt idx="37">
                  <c:v>-65</c:v>
                </c:pt>
                <c:pt idx="38">
                  <c:v>-66</c:v>
                </c:pt>
                <c:pt idx="39">
                  <c:v>-72</c:v>
                </c:pt>
                <c:pt idx="40">
                  <c:v>-72</c:v>
                </c:pt>
                <c:pt idx="41">
                  <c:v>-73</c:v>
                </c:pt>
                <c:pt idx="42">
                  <c:v>-73</c:v>
                </c:pt>
                <c:pt idx="43">
                  <c:v>-73</c:v>
                </c:pt>
                <c:pt idx="44">
                  <c:v>-73</c:v>
                </c:pt>
                <c:pt idx="45">
                  <c:v>-74</c:v>
                </c:pt>
                <c:pt idx="46">
                  <c:v>-74</c:v>
                </c:pt>
                <c:pt idx="47">
                  <c:v>-74</c:v>
                </c:pt>
                <c:pt idx="48">
                  <c:v>-74</c:v>
                </c:pt>
                <c:pt idx="49">
                  <c:v>-74</c:v>
                </c:pt>
                <c:pt idx="50">
                  <c:v>-76</c:v>
                </c:pt>
                <c:pt idx="51">
                  <c:v>-76</c:v>
                </c:pt>
                <c:pt idx="52">
                  <c:v>-76</c:v>
                </c:pt>
                <c:pt idx="53">
                  <c:v>-77</c:v>
                </c:pt>
                <c:pt idx="54">
                  <c:v>-77</c:v>
                </c:pt>
                <c:pt idx="55">
                  <c:v>-77</c:v>
                </c:pt>
                <c:pt idx="56">
                  <c:v>-77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-83</c:v>
                </c:pt>
                <c:pt idx="63">
                  <c:v>-83</c:v>
                </c:pt>
                <c:pt idx="64">
                  <c:v>-83</c:v>
                </c:pt>
                <c:pt idx="65">
                  <c:v>-83</c:v>
                </c:pt>
                <c:pt idx="66">
                  <c:v>-83</c:v>
                </c:pt>
                <c:pt idx="67">
                  <c:v>-83</c:v>
                </c:pt>
                <c:pt idx="68">
                  <c:v>-83</c:v>
                </c:pt>
                <c:pt idx="69">
                  <c:v>-84</c:v>
                </c:pt>
                <c:pt idx="70">
                  <c:v>-84</c:v>
                </c:pt>
                <c:pt idx="71">
                  <c:v>-84</c:v>
                </c:pt>
                <c:pt idx="72">
                  <c:v>-84</c:v>
                </c:pt>
                <c:pt idx="73">
                  <c:v>-84</c:v>
                </c:pt>
                <c:pt idx="74">
                  <c:v>-84</c:v>
                </c:pt>
                <c:pt idx="75">
                  <c:v>-84</c:v>
                </c:pt>
                <c:pt idx="76">
                  <c:v>-84</c:v>
                </c:pt>
                <c:pt idx="77">
                  <c:v>-84</c:v>
                </c:pt>
                <c:pt idx="78">
                  <c:v>-84</c:v>
                </c:pt>
                <c:pt idx="79">
                  <c:v>-84</c:v>
                </c:pt>
                <c:pt idx="80">
                  <c:v>-84</c:v>
                </c:pt>
                <c:pt idx="81">
                  <c:v>-84</c:v>
                </c:pt>
                <c:pt idx="82">
                  <c:v>-84</c:v>
                </c:pt>
                <c:pt idx="83">
                  <c:v>-89</c:v>
                </c:pt>
                <c:pt idx="84">
                  <c:v>-90</c:v>
                </c:pt>
                <c:pt idx="85">
                  <c:v>-91</c:v>
                </c:pt>
                <c:pt idx="86">
                  <c:v>-93</c:v>
                </c:pt>
                <c:pt idx="87">
                  <c:v>-98</c:v>
                </c:pt>
                <c:pt idx="88">
                  <c:v>-99</c:v>
                </c:pt>
                <c:pt idx="89">
                  <c:v>-101</c:v>
                </c:pt>
                <c:pt idx="90">
                  <c:v>-102.00000000000001</c:v>
                </c:pt>
                <c:pt idx="91">
                  <c:v>-108.00000000000001</c:v>
                </c:pt>
                <c:pt idx="92">
                  <c:v>-108.00000000000001</c:v>
                </c:pt>
                <c:pt idx="93">
                  <c:v>-109.00000000000001</c:v>
                </c:pt>
                <c:pt idx="94">
                  <c:v>-109.00000000000001</c:v>
                </c:pt>
                <c:pt idx="95">
                  <c:v>-109.00000000000001</c:v>
                </c:pt>
                <c:pt idx="96">
                  <c:v>-109.00000000000001</c:v>
                </c:pt>
                <c:pt idx="97">
                  <c:v>-109.00000000000001</c:v>
                </c:pt>
                <c:pt idx="98">
                  <c:v>-109.00000000000001</c:v>
                </c:pt>
                <c:pt idx="99">
                  <c:v>-109.00000000000001</c:v>
                </c:pt>
                <c:pt idx="100">
                  <c:v>-109.00000000000001</c:v>
                </c:pt>
                <c:pt idx="101">
                  <c:v>-109.00000000000001</c:v>
                </c:pt>
                <c:pt idx="102">
                  <c:v>-109.00000000000001</c:v>
                </c:pt>
                <c:pt idx="103">
                  <c:v>-109.00000000000001</c:v>
                </c:pt>
                <c:pt idx="104">
                  <c:v>-109.00000000000001</c:v>
                </c:pt>
                <c:pt idx="105">
                  <c:v>-109.00000000000001</c:v>
                </c:pt>
                <c:pt idx="106">
                  <c:v>-109.00000000000001</c:v>
                </c:pt>
                <c:pt idx="107">
                  <c:v>-109.00000000000001</c:v>
                </c:pt>
                <c:pt idx="108">
                  <c:v>-109.00000000000001</c:v>
                </c:pt>
                <c:pt idx="109">
                  <c:v>-109.00000000000001</c:v>
                </c:pt>
                <c:pt idx="110">
                  <c:v>-109.00000000000001</c:v>
                </c:pt>
                <c:pt idx="111">
                  <c:v>-109.00000000000001</c:v>
                </c:pt>
                <c:pt idx="112">
                  <c:v>-109.00000000000001</c:v>
                </c:pt>
                <c:pt idx="113">
                  <c:v>-109.00000000000001</c:v>
                </c:pt>
                <c:pt idx="114">
                  <c:v>-109.00000000000001</c:v>
                </c:pt>
                <c:pt idx="115">
                  <c:v>-109.00000000000001</c:v>
                </c:pt>
                <c:pt idx="116">
                  <c:v>-109.00000000000001</c:v>
                </c:pt>
                <c:pt idx="117">
                  <c:v>-109.00000000000001</c:v>
                </c:pt>
                <c:pt idx="118">
                  <c:v>-109.00000000000001</c:v>
                </c:pt>
                <c:pt idx="119">
                  <c:v>-109.00000000000001</c:v>
                </c:pt>
                <c:pt idx="120">
                  <c:v>-109.00000000000001</c:v>
                </c:pt>
                <c:pt idx="121">
                  <c:v>-109.00000000000001</c:v>
                </c:pt>
                <c:pt idx="122">
                  <c:v>-109.00000000000001</c:v>
                </c:pt>
                <c:pt idx="123">
                  <c:v>-109.00000000000001</c:v>
                </c:pt>
                <c:pt idx="124">
                  <c:v>-109.00000000000001</c:v>
                </c:pt>
                <c:pt idx="125">
                  <c:v>-109.00000000000001</c:v>
                </c:pt>
                <c:pt idx="126">
                  <c:v>-109.00000000000001</c:v>
                </c:pt>
                <c:pt idx="127">
                  <c:v>-109.00000000000001</c:v>
                </c:pt>
                <c:pt idx="128">
                  <c:v>-109.00000000000001</c:v>
                </c:pt>
                <c:pt idx="129">
                  <c:v>-109.00000000000001</c:v>
                </c:pt>
                <c:pt idx="130">
                  <c:v>-109.00000000000001</c:v>
                </c:pt>
                <c:pt idx="131">
                  <c:v>-109.00000000000001</c:v>
                </c:pt>
                <c:pt idx="132">
                  <c:v>-109.00000000000001</c:v>
                </c:pt>
                <c:pt idx="133">
                  <c:v>-109.00000000000001</c:v>
                </c:pt>
                <c:pt idx="134">
                  <c:v>-109.00000000000001</c:v>
                </c:pt>
                <c:pt idx="135">
                  <c:v>-109.00000000000001</c:v>
                </c:pt>
                <c:pt idx="136">
                  <c:v>-109.00000000000001</c:v>
                </c:pt>
                <c:pt idx="137">
                  <c:v>-109.00000000000001</c:v>
                </c:pt>
                <c:pt idx="138">
                  <c:v>-109.00000000000001</c:v>
                </c:pt>
                <c:pt idx="139">
                  <c:v>-109.00000000000001</c:v>
                </c:pt>
                <c:pt idx="140">
                  <c:v>-109.00000000000001</c:v>
                </c:pt>
                <c:pt idx="141">
                  <c:v>-109.00000000000001</c:v>
                </c:pt>
                <c:pt idx="142">
                  <c:v>-109.00000000000001</c:v>
                </c:pt>
                <c:pt idx="143">
                  <c:v>-109.00000000000001</c:v>
                </c:pt>
                <c:pt idx="144">
                  <c:v>-109.00000000000001</c:v>
                </c:pt>
                <c:pt idx="145">
                  <c:v>-109.00000000000001</c:v>
                </c:pt>
                <c:pt idx="146">
                  <c:v>-109.00000000000001</c:v>
                </c:pt>
                <c:pt idx="147">
                  <c:v>-109.00000000000001</c:v>
                </c:pt>
                <c:pt idx="148">
                  <c:v>-109.00000000000001</c:v>
                </c:pt>
                <c:pt idx="149">
                  <c:v>-109.00000000000001</c:v>
                </c:pt>
                <c:pt idx="150">
                  <c:v>-109.00000000000001</c:v>
                </c:pt>
                <c:pt idx="151">
                  <c:v>-109.00000000000001</c:v>
                </c:pt>
                <c:pt idx="152">
                  <c:v>-109.00000000000001</c:v>
                </c:pt>
                <c:pt idx="153">
                  <c:v>-109.00000000000001</c:v>
                </c:pt>
                <c:pt idx="154">
                  <c:v>-109.00000000000001</c:v>
                </c:pt>
                <c:pt idx="155">
                  <c:v>-109.00000000000001</c:v>
                </c:pt>
                <c:pt idx="156">
                  <c:v>-109.00000000000001</c:v>
                </c:pt>
                <c:pt idx="157">
                  <c:v>-109.00000000000001</c:v>
                </c:pt>
                <c:pt idx="158">
                  <c:v>-109.00000000000001</c:v>
                </c:pt>
                <c:pt idx="159">
                  <c:v>-109.00000000000001</c:v>
                </c:pt>
                <c:pt idx="160">
                  <c:v>-109.00000000000001</c:v>
                </c:pt>
                <c:pt idx="161">
                  <c:v>-109.00000000000001</c:v>
                </c:pt>
                <c:pt idx="162">
                  <c:v>-109.00000000000001</c:v>
                </c:pt>
                <c:pt idx="163">
                  <c:v>-109.00000000000001</c:v>
                </c:pt>
                <c:pt idx="164">
                  <c:v>-109.00000000000001</c:v>
                </c:pt>
                <c:pt idx="165">
                  <c:v>-109.00000000000001</c:v>
                </c:pt>
                <c:pt idx="166">
                  <c:v>-109.00000000000001</c:v>
                </c:pt>
                <c:pt idx="167">
                  <c:v>-109.00000000000001</c:v>
                </c:pt>
                <c:pt idx="168">
                  <c:v>-109.00000000000001</c:v>
                </c:pt>
                <c:pt idx="169">
                  <c:v>-109.00000000000001</c:v>
                </c:pt>
                <c:pt idx="170">
                  <c:v>-109.00000000000001</c:v>
                </c:pt>
                <c:pt idx="171">
                  <c:v>-109.00000000000001</c:v>
                </c:pt>
                <c:pt idx="172">
                  <c:v>-109.00000000000001</c:v>
                </c:pt>
                <c:pt idx="173">
                  <c:v>-109.00000000000001</c:v>
                </c:pt>
                <c:pt idx="174">
                  <c:v>-109.00000000000001</c:v>
                </c:pt>
                <c:pt idx="175">
                  <c:v>-109.00000000000001</c:v>
                </c:pt>
                <c:pt idx="176">
                  <c:v>-109.00000000000001</c:v>
                </c:pt>
                <c:pt idx="177">
                  <c:v>-109.00000000000001</c:v>
                </c:pt>
                <c:pt idx="178">
                  <c:v>-109.00000000000001</c:v>
                </c:pt>
                <c:pt idx="179">
                  <c:v>-109.00000000000001</c:v>
                </c:pt>
                <c:pt idx="180">
                  <c:v>-109.00000000000001</c:v>
                </c:pt>
                <c:pt idx="181">
                  <c:v>-109.00000000000001</c:v>
                </c:pt>
                <c:pt idx="182">
                  <c:v>-109.00000000000001</c:v>
                </c:pt>
                <c:pt idx="183">
                  <c:v>-109.00000000000001</c:v>
                </c:pt>
                <c:pt idx="184">
                  <c:v>-109.00000000000001</c:v>
                </c:pt>
                <c:pt idx="185">
                  <c:v>-109.00000000000001</c:v>
                </c:pt>
                <c:pt idx="186">
                  <c:v>-119</c:v>
                </c:pt>
                <c:pt idx="187">
                  <c:v>-129</c:v>
                </c:pt>
                <c:pt idx="188">
                  <c:v>-137</c:v>
                </c:pt>
                <c:pt idx="189">
                  <c:v>-146</c:v>
                </c:pt>
                <c:pt idx="190">
                  <c:v>-155</c:v>
                </c:pt>
                <c:pt idx="191">
                  <c:v>-165</c:v>
                </c:pt>
                <c:pt idx="192">
                  <c:v>-175</c:v>
                </c:pt>
                <c:pt idx="193">
                  <c:v>-183</c:v>
                </c:pt>
                <c:pt idx="194">
                  <c:v>-192</c:v>
                </c:pt>
                <c:pt idx="195">
                  <c:v>-200</c:v>
                </c:pt>
                <c:pt idx="196">
                  <c:v>-208</c:v>
                </c:pt>
                <c:pt idx="197">
                  <c:v>-218</c:v>
                </c:pt>
                <c:pt idx="198">
                  <c:v>-225</c:v>
                </c:pt>
                <c:pt idx="199">
                  <c:v>-227</c:v>
                </c:pt>
                <c:pt idx="200">
                  <c:v>-229</c:v>
                </c:pt>
                <c:pt idx="201">
                  <c:v>-239.00000000000003</c:v>
                </c:pt>
                <c:pt idx="202">
                  <c:v>-240.00000000000003</c:v>
                </c:pt>
                <c:pt idx="203">
                  <c:v>-242.00000000000003</c:v>
                </c:pt>
                <c:pt idx="204">
                  <c:v>-243.00000000000003</c:v>
                </c:pt>
                <c:pt idx="205">
                  <c:v>-245.00000000000003</c:v>
                </c:pt>
                <c:pt idx="206">
                  <c:v>-246.00000000000003</c:v>
                </c:pt>
                <c:pt idx="207">
                  <c:v>-247.00000000000003</c:v>
                </c:pt>
                <c:pt idx="208">
                  <c:v>-249.00000000000003</c:v>
                </c:pt>
                <c:pt idx="209">
                  <c:v>-251</c:v>
                </c:pt>
                <c:pt idx="210">
                  <c:v>-253</c:v>
                </c:pt>
                <c:pt idx="211">
                  <c:v>-254</c:v>
                </c:pt>
                <c:pt idx="212">
                  <c:v>-256</c:v>
                </c:pt>
                <c:pt idx="213">
                  <c:v>-257</c:v>
                </c:pt>
                <c:pt idx="214">
                  <c:v>-258</c:v>
                </c:pt>
                <c:pt idx="215">
                  <c:v>-268</c:v>
                </c:pt>
                <c:pt idx="216">
                  <c:v>-278</c:v>
                </c:pt>
                <c:pt idx="217">
                  <c:v>-288.00000000000006</c:v>
                </c:pt>
                <c:pt idx="218">
                  <c:v>-298.00000000000006</c:v>
                </c:pt>
                <c:pt idx="219">
                  <c:v>-308.00000000000006</c:v>
                </c:pt>
                <c:pt idx="220">
                  <c:v>-317.99999999999994</c:v>
                </c:pt>
                <c:pt idx="221">
                  <c:v>-327.99999999999994</c:v>
                </c:pt>
                <c:pt idx="222">
                  <c:v>-337.99999999999994</c:v>
                </c:pt>
                <c:pt idx="223">
                  <c:v>-348</c:v>
                </c:pt>
                <c:pt idx="224">
                  <c:v>-358</c:v>
                </c:pt>
                <c:pt idx="225">
                  <c:v>-368</c:v>
                </c:pt>
                <c:pt idx="226">
                  <c:v>-378</c:v>
                </c:pt>
                <c:pt idx="227">
                  <c:v>-388</c:v>
                </c:pt>
                <c:pt idx="228">
                  <c:v>-398</c:v>
                </c:pt>
                <c:pt idx="229">
                  <c:v>-408.00000000000006</c:v>
                </c:pt>
                <c:pt idx="230">
                  <c:v>-418.00000000000006</c:v>
                </c:pt>
                <c:pt idx="231">
                  <c:v>-428.00000000000006</c:v>
                </c:pt>
                <c:pt idx="232">
                  <c:v>-438.00000000000006</c:v>
                </c:pt>
                <c:pt idx="233">
                  <c:v>-447.99999999999994</c:v>
                </c:pt>
                <c:pt idx="234">
                  <c:v>-457.99999999999994</c:v>
                </c:pt>
                <c:pt idx="235">
                  <c:v>-468</c:v>
                </c:pt>
                <c:pt idx="236">
                  <c:v>-478</c:v>
                </c:pt>
                <c:pt idx="237">
                  <c:v>-488</c:v>
                </c:pt>
                <c:pt idx="238">
                  <c:v>-498</c:v>
                </c:pt>
                <c:pt idx="239">
                  <c:v>-508</c:v>
                </c:pt>
                <c:pt idx="240">
                  <c:v>-518</c:v>
                </c:pt>
                <c:pt idx="241">
                  <c:v>-528</c:v>
                </c:pt>
                <c:pt idx="242">
                  <c:v>-537.99999999999989</c:v>
                </c:pt>
                <c:pt idx="243">
                  <c:v>-547.99999999999989</c:v>
                </c:pt>
                <c:pt idx="244">
                  <c:v>-557.99999999999989</c:v>
                </c:pt>
                <c:pt idx="245">
                  <c:v>-568</c:v>
                </c:pt>
                <c:pt idx="246">
                  <c:v>-578</c:v>
                </c:pt>
                <c:pt idx="247">
                  <c:v>-588</c:v>
                </c:pt>
                <c:pt idx="248">
                  <c:v>-598</c:v>
                </c:pt>
                <c:pt idx="249">
                  <c:v>-608</c:v>
                </c:pt>
                <c:pt idx="250">
                  <c:v>-618</c:v>
                </c:pt>
                <c:pt idx="251">
                  <c:v>-628</c:v>
                </c:pt>
                <c:pt idx="252">
                  <c:v>-638</c:v>
                </c:pt>
                <c:pt idx="253">
                  <c:v>-648</c:v>
                </c:pt>
                <c:pt idx="254">
                  <c:v>-657.99999999999989</c:v>
                </c:pt>
                <c:pt idx="255">
                  <c:v>-667.99999999999989</c:v>
                </c:pt>
                <c:pt idx="256">
                  <c:v>-676.99999999999989</c:v>
                </c:pt>
                <c:pt idx="257">
                  <c:v>-684.99999999999989</c:v>
                </c:pt>
                <c:pt idx="258">
                  <c:v>-693</c:v>
                </c:pt>
                <c:pt idx="259">
                  <c:v>-699</c:v>
                </c:pt>
                <c:pt idx="260">
                  <c:v>-706</c:v>
                </c:pt>
                <c:pt idx="261">
                  <c:v>-710</c:v>
                </c:pt>
                <c:pt idx="262">
                  <c:v>-718</c:v>
                </c:pt>
                <c:pt idx="263">
                  <c:v>-724</c:v>
                </c:pt>
                <c:pt idx="264">
                  <c:v>-731</c:v>
                </c:pt>
                <c:pt idx="265">
                  <c:v>-735</c:v>
                </c:pt>
                <c:pt idx="266">
                  <c:v>-740</c:v>
                </c:pt>
                <c:pt idx="267">
                  <c:v>-743</c:v>
                </c:pt>
                <c:pt idx="268">
                  <c:v>-751</c:v>
                </c:pt>
                <c:pt idx="269">
                  <c:v>-757</c:v>
                </c:pt>
                <c:pt idx="270">
                  <c:v>-764</c:v>
                </c:pt>
                <c:pt idx="271">
                  <c:v>-768</c:v>
                </c:pt>
                <c:pt idx="272">
                  <c:v>-773</c:v>
                </c:pt>
                <c:pt idx="273">
                  <c:v>-776</c:v>
                </c:pt>
                <c:pt idx="274">
                  <c:v>-778</c:v>
                </c:pt>
                <c:pt idx="275">
                  <c:v>-780</c:v>
                </c:pt>
                <c:pt idx="276">
                  <c:v>-781</c:v>
                </c:pt>
                <c:pt idx="277">
                  <c:v>-782.99999999999989</c:v>
                </c:pt>
                <c:pt idx="278">
                  <c:v>-787.99999999999989</c:v>
                </c:pt>
                <c:pt idx="279">
                  <c:v>-792.99999999999989</c:v>
                </c:pt>
                <c:pt idx="280">
                  <c:v>-797.99999999999989</c:v>
                </c:pt>
                <c:pt idx="281">
                  <c:v>-799.99999999999989</c:v>
                </c:pt>
                <c:pt idx="282">
                  <c:v>-804.99999999999989</c:v>
                </c:pt>
                <c:pt idx="283">
                  <c:v>-809.99999999999989</c:v>
                </c:pt>
                <c:pt idx="284">
                  <c:v>-818</c:v>
                </c:pt>
                <c:pt idx="285">
                  <c:v>-824</c:v>
                </c:pt>
                <c:pt idx="286">
                  <c:v>-831</c:v>
                </c:pt>
                <c:pt idx="287">
                  <c:v>-835</c:v>
                </c:pt>
                <c:pt idx="288">
                  <c:v>-840</c:v>
                </c:pt>
                <c:pt idx="289">
                  <c:v>-843</c:v>
                </c:pt>
                <c:pt idx="290">
                  <c:v>-845</c:v>
                </c:pt>
                <c:pt idx="291">
                  <c:v>-847</c:v>
                </c:pt>
                <c:pt idx="292">
                  <c:v>-848</c:v>
                </c:pt>
                <c:pt idx="293">
                  <c:v>-850</c:v>
                </c:pt>
                <c:pt idx="294">
                  <c:v>-855</c:v>
                </c:pt>
                <c:pt idx="295">
                  <c:v>-860</c:v>
                </c:pt>
                <c:pt idx="296">
                  <c:v>-865</c:v>
                </c:pt>
                <c:pt idx="297">
                  <c:v>-867</c:v>
                </c:pt>
                <c:pt idx="298">
                  <c:v>-872</c:v>
                </c:pt>
                <c:pt idx="299">
                  <c:v>-877</c:v>
                </c:pt>
                <c:pt idx="300">
                  <c:v>-879</c:v>
                </c:pt>
                <c:pt idx="301">
                  <c:v>-880</c:v>
                </c:pt>
                <c:pt idx="302">
                  <c:v>-882</c:v>
                </c:pt>
                <c:pt idx="303">
                  <c:v>-884</c:v>
                </c:pt>
                <c:pt idx="304">
                  <c:v>-886</c:v>
                </c:pt>
                <c:pt idx="305">
                  <c:v>-887</c:v>
                </c:pt>
                <c:pt idx="306">
                  <c:v>-888</c:v>
                </c:pt>
                <c:pt idx="307">
                  <c:v>-890</c:v>
                </c:pt>
                <c:pt idx="308">
                  <c:v>-892</c:v>
                </c:pt>
                <c:pt idx="309">
                  <c:v>-894</c:v>
                </c:pt>
                <c:pt idx="310">
                  <c:v>-902</c:v>
                </c:pt>
                <c:pt idx="311">
                  <c:v>-907.99999999999989</c:v>
                </c:pt>
                <c:pt idx="312">
                  <c:v>-914.99999999999989</c:v>
                </c:pt>
                <c:pt idx="313">
                  <c:v>-918.99999999999989</c:v>
                </c:pt>
                <c:pt idx="314">
                  <c:v>-923.99999999999989</c:v>
                </c:pt>
                <c:pt idx="315">
                  <c:v>-926.99999999999989</c:v>
                </c:pt>
                <c:pt idx="316">
                  <c:v>-928.99999999999989</c:v>
                </c:pt>
                <c:pt idx="317">
                  <c:v>-930.99999999999989</c:v>
                </c:pt>
                <c:pt idx="318">
                  <c:v>-931.99999999999989</c:v>
                </c:pt>
                <c:pt idx="319">
                  <c:v>-933.99999999999989</c:v>
                </c:pt>
                <c:pt idx="320">
                  <c:v>-939</c:v>
                </c:pt>
                <c:pt idx="321">
                  <c:v>-944</c:v>
                </c:pt>
                <c:pt idx="322">
                  <c:v>-949</c:v>
                </c:pt>
                <c:pt idx="323">
                  <c:v>-951</c:v>
                </c:pt>
                <c:pt idx="324">
                  <c:v>-952</c:v>
                </c:pt>
                <c:pt idx="325">
                  <c:v>-954</c:v>
                </c:pt>
                <c:pt idx="326">
                  <c:v>-962</c:v>
                </c:pt>
                <c:pt idx="327">
                  <c:v>-968</c:v>
                </c:pt>
                <c:pt idx="328">
                  <c:v>-974.99999999999989</c:v>
                </c:pt>
                <c:pt idx="329">
                  <c:v>-978.99999999999989</c:v>
                </c:pt>
                <c:pt idx="330">
                  <c:v>-984</c:v>
                </c:pt>
                <c:pt idx="331">
                  <c:v>-986.99999999999989</c:v>
                </c:pt>
                <c:pt idx="332">
                  <c:v>-988.99999999999989</c:v>
                </c:pt>
                <c:pt idx="333">
                  <c:v>-990.99999999999989</c:v>
                </c:pt>
                <c:pt idx="334">
                  <c:v>-992</c:v>
                </c:pt>
                <c:pt idx="335">
                  <c:v>-994</c:v>
                </c:pt>
                <c:pt idx="336">
                  <c:v>-998.99999999999989</c:v>
                </c:pt>
                <c:pt idx="337">
                  <c:v>-1004</c:v>
                </c:pt>
                <c:pt idx="338">
                  <c:v>-1008.9999999999999</c:v>
                </c:pt>
                <c:pt idx="339">
                  <c:v>-1010.9999999999999</c:v>
                </c:pt>
                <c:pt idx="340">
                  <c:v>-1012.9999999999999</c:v>
                </c:pt>
                <c:pt idx="341">
                  <c:v>-1020.9999999999999</c:v>
                </c:pt>
                <c:pt idx="342">
                  <c:v>-1027</c:v>
                </c:pt>
                <c:pt idx="343">
                  <c:v>-1034</c:v>
                </c:pt>
                <c:pt idx="344">
                  <c:v>-1038</c:v>
                </c:pt>
                <c:pt idx="345">
                  <c:v>-1043</c:v>
                </c:pt>
                <c:pt idx="346">
                  <c:v>-1046</c:v>
                </c:pt>
                <c:pt idx="347">
                  <c:v>-1048</c:v>
                </c:pt>
                <c:pt idx="348">
                  <c:v>-1050</c:v>
                </c:pt>
                <c:pt idx="349">
                  <c:v>-1051</c:v>
                </c:pt>
                <c:pt idx="350">
                  <c:v>-1053</c:v>
                </c:pt>
                <c:pt idx="351">
                  <c:v>-1058</c:v>
                </c:pt>
                <c:pt idx="352">
                  <c:v>-1063</c:v>
                </c:pt>
                <c:pt idx="353">
                  <c:v>-1068</c:v>
                </c:pt>
                <c:pt idx="354">
                  <c:v>-1070</c:v>
                </c:pt>
                <c:pt idx="355">
                  <c:v>-1071</c:v>
                </c:pt>
                <c:pt idx="356">
                  <c:v>-1073</c:v>
                </c:pt>
                <c:pt idx="357">
                  <c:v>-1081</c:v>
                </c:pt>
                <c:pt idx="358">
                  <c:v>-1087</c:v>
                </c:pt>
                <c:pt idx="359">
                  <c:v>-1094</c:v>
                </c:pt>
                <c:pt idx="360">
                  <c:v>-1097.9999999999998</c:v>
                </c:pt>
                <c:pt idx="361">
                  <c:v>-1103</c:v>
                </c:pt>
                <c:pt idx="362">
                  <c:v>-1105.9999999999998</c:v>
                </c:pt>
                <c:pt idx="363">
                  <c:v>-1107.9999999999998</c:v>
                </c:pt>
                <c:pt idx="364">
                  <c:v>-1109.9999999999998</c:v>
                </c:pt>
                <c:pt idx="365">
                  <c:v>-1111</c:v>
                </c:pt>
                <c:pt idx="366">
                  <c:v>-1111.9999999999998</c:v>
                </c:pt>
                <c:pt idx="367">
                  <c:v>-1113.9999999999998</c:v>
                </c:pt>
                <c:pt idx="368">
                  <c:v>-1115.9999999999998</c:v>
                </c:pt>
                <c:pt idx="369">
                  <c:v>-1115.9999999999998</c:v>
                </c:pt>
                <c:pt idx="370">
                  <c:v>-1115.9999999999998</c:v>
                </c:pt>
                <c:pt idx="371">
                  <c:v>-1117.9999999999998</c:v>
                </c:pt>
                <c:pt idx="372">
                  <c:v>-1119.9999999999998</c:v>
                </c:pt>
                <c:pt idx="373">
                  <c:v>-1122</c:v>
                </c:pt>
                <c:pt idx="374">
                  <c:v>-1122</c:v>
                </c:pt>
                <c:pt idx="375">
                  <c:v>-1130</c:v>
                </c:pt>
                <c:pt idx="376">
                  <c:v>-1136</c:v>
                </c:pt>
                <c:pt idx="377">
                  <c:v>-1137</c:v>
                </c:pt>
                <c:pt idx="378">
                  <c:v>-1139</c:v>
                </c:pt>
                <c:pt idx="379">
                  <c:v>-1141</c:v>
                </c:pt>
                <c:pt idx="380">
                  <c:v>-1141</c:v>
                </c:pt>
                <c:pt idx="381">
                  <c:v>-1141</c:v>
                </c:pt>
                <c:pt idx="382">
                  <c:v>-1143</c:v>
                </c:pt>
                <c:pt idx="383">
                  <c:v>-1144</c:v>
                </c:pt>
                <c:pt idx="384">
                  <c:v>-1146</c:v>
                </c:pt>
                <c:pt idx="385">
                  <c:v>-1151</c:v>
                </c:pt>
                <c:pt idx="386">
                  <c:v>-1156</c:v>
                </c:pt>
                <c:pt idx="387">
                  <c:v>-1157</c:v>
                </c:pt>
                <c:pt idx="388">
                  <c:v>-1159</c:v>
                </c:pt>
                <c:pt idx="389">
                  <c:v>-1161</c:v>
                </c:pt>
                <c:pt idx="390">
                  <c:v>-1161</c:v>
                </c:pt>
                <c:pt idx="391">
                  <c:v>-1161</c:v>
                </c:pt>
                <c:pt idx="392">
                  <c:v>-1168</c:v>
                </c:pt>
                <c:pt idx="393">
                  <c:v>-1172</c:v>
                </c:pt>
                <c:pt idx="394">
                  <c:v>-1177</c:v>
                </c:pt>
                <c:pt idx="395">
                  <c:v>-1178</c:v>
                </c:pt>
                <c:pt idx="396">
                  <c:v>-1180</c:v>
                </c:pt>
                <c:pt idx="397">
                  <c:v>-1182</c:v>
                </c:pt>
                <c:pt idx="398">
                  <c:v>-1182</c:v>
                </c:pt>
                <c:pt idx="399">
                  <c:v>-1182</c:v>
                </c:pt>
                <c:pt idx="400">
                  <c:v>-1187</c:v>
                </c:pt>
                <c:pt idx="401">
                  <c:v>-1192</c:v>
                </c:pt>
                <c:pt idx="402">
                  <c:v>-1197</c:v>
                </c:pt>
                <c:pt idx="403">
                  <c:v>-1199</c:v>
                </c:pt>
                <c:pt idx="404">
                  <c:v>-1201</c:v>
                </c:pt>
                <c:pt idx="405">
                  <c:v>-1201</c:v>
                </c:pt>
                <c:pt idx="406">
                  <c:v>-1201</c:v>
                </c:pt>
                <c:pt idx="407">
                  <c:v>-1202</c:v>
                </c:pt>
                <c:pt idx="408">
                  <c:v>-1203</c:v>
                </c:pt>
                <c:pt idx="409">
                  <c:v>-1205</c:v>
                </c:pt>
                <c:pt idx="410">
                  <c:v>-1207</c:v>
                </c:pt>
                <c:pt idx="411">
                  <c:v>-1208</c:v>
                </c:pt>
                <c:pt idx="412">
                  <c:v>-1210</c:v>
                </c:pt>
                <c:pt idx="413">
                  <c:v>-1211</c:v>
                </c:pt>
                <c:pt idx="414">
                  <c:v>-1213</c:v>
                </c:pt>
                <c:pt idx="415">
                  <c:v>-1215</c:v>
                </c:pt>
                <c:pt idx="416">
                  <c:v>-1217</c:v>
                </c:pt>
                <c:pt idx="417">
                  <c:v>-1217</c:v>
                </c:pt>
                <c:pt idx="418">
                  <c:v>-1217</c:v>
                </c:pt>
                <c:pt idx="419">
                  <c:v>-1217</c:v>
                </c:pt>
                <c:pt idx="420">
                  <c:v>-1217</c:v>
                </c:pt>
                <c:pt idx="421">
                  <c:v>-1217</c:v>
                </c:pt>
                <c:pt idx="422">
                  <c:v>-1218</c:v>
                </c:pt>
                <c:pt idx="423">
                  <c:v>-1219</c:v>
                </c:pt>
                <c:pt idx="424">
                  <c:v>-1220.9999999999998</c:v>
                </c:pt>
                <c:pt idx="425">
                  <c:v>-1222.9999999999998</c:v>
                </c:pt>
                <c:pt idx="426">
                  <c:v>-1224</c:v>
                </c:pt>
                <c:pt idx="427">
                  <c:v>-1226</c:v>
                </c:pt>
                <c:pt idx="428">
                  <c:v>-1226.9999999999998</c:v>
                </c:pt>
                <c:pt idx="429">
                  <c:v>-1228.9999999999998</c:v>
                </c:pt>
                <c:pt idx="430">
                  <c:v>-1230.9999999999998</c:v>
                </c:pt>
                <c:pt idx="431">
                  <c:v>-1232.9999999999998</c:v>
                </c:pt>
                <c:pt idx="432">
                  <c:v>-1232.9999999999998</c:v>
                </c:pt>
                <c:pt idx="433">
                  <c:v>-1232.9999999999998</c:v>
                </c:pt>
                <c:pt idx="434">
                  <c:v>-1234</c:v>
                </c:pt>
                <c:pt idx="435">
                  <c:v>-1236</c:v>
                </c:pt>
                <c:pt idx="436">
                  <c:v>-1238</c:v>
                </c:pt>
                <c:pt idx="437">
                  <c:v>-1238</c:v>
                </c:pt>
                <c:pt idx="438">
                  <c:v>-1238</c:v>
                </c:pt>
                <c:pt idx="439">
                  <c:v>-1240</c:v>
                </c:pt>
                <c:pt idx="440">
                  <c:v>-1240</c:v>
                </c:pt>
                <c:pt idx="441">
                  <c:v>-1240</c:v>
                </c:pt>
                <c:pt idx="442">
                  <c:v>-1240.9999999999998</c:v>
                </c:pt>
                <c:pt idx="443">
                  <c:v>-1242.9999999999998</c:v>
                </c:pt>
                <c:pt idx="444">
                  <c:v>-1248</c:v>
                </c:pt>
                <c:pt idx="445">
                  <c:v>-1255</c:v>
                </c:pt>
                <c:pt idx="446">
                  <c:v>-1256</c:v>
                </c:pt>
                <c:pt idx="447">
                  <c:v>-1258</c:v>
                </c:pt>
                <c:pt idx="448">
                  <c:v>-1260</c:v>
                </c:pt>
                <c:pt idx="449">
                  <c:v>-1262</c:v>
                </c:pt>
                <c:pt idx="450">
                  <c:v>-1262</c:v>
                </c:pt>
                <c:pt idx="451">
                  <c:v>-1272</c:v>
                </c:pt>
                <c:pt idx="452">
                  <c:v>-1274</c:v>
                </c:pt>
                <c:pt idx="453">
                  <c:v>-1274</c:v>
                </c:pt>
                <c:pt idx="454">
                  <c:v>-1275</c:v>
                </c:pt>
                <c:pt idx="455">
                  <c:v>-1277</c:v>
                </c:pt>
                <c:pt idx="456">
                  <c:v>-1279</c:v>
                </c:pt>
                <c:pt idx="457">
                  <c:v>-1304</c:v>
                </c:pt>
                <c:pt idx="458">
                  <c:v>-1339</c:v>
                </c:pt>
                <c:pt idx="459">
                  <c:v>-1361</c:v>
                </c:pt>
                <c:pt idx="460">
                  <c:v>-1391</c:v>
                </c:pt>
                <c:pt idx="461">
                  <c:v>-1411</c:v>
                </c:pt>
                <c:pt idx="462">
                  <c:v>-1439</c:v>
                </c:pt>
                <c:pt idx="463">
                  <c:v>-1455</c:v>
                </c:pt>
                <c:pt idx="464">
                  <c:v>-1480</c:v>
                </c:pt>
                <c:pt idx="465">
                  <c:v>-1515</c:v>
                </c:pt>
                <c:pt idx="466">
                  <c:v>-1550</c:v>
                </c:pt>
                <c:pt idx="467">
                  <c:v>-1580</c:v>
                </c:pt>
                <c:pt idx="468">
                  <c:v>-1601.9999999999998</c:v>
                </c:pt>
                <c:pt idx="469">
                  <c:v>-1619.9999999999998</c:v>
                </c:pt>
                <c:pt idx="470">
                  <c:v>-1634</c:v>
                </c:pt>
                <c:pt idx="471">
                  <c:v>-1646</c:v>
                </c:pt>
                <c:pt idx="472">
                  <c:v>-1658</c:v>
                </c:pt>
                <c:pt idx="473">
                  <c:v>-1669</c:v>
                </c:pt>
                <c:pt idx="474">
                  <c:v>-1681</c:v>
                </c:pt>
                <c:pt idx="475">
                  <c:v>-1692</c:v>
                </c:pt>
                <c:pt idx="476">
                  <c:v>-1703</c:v>
                </c:pt>
                <c:pt idx="477">
                  <c:v>-1713</c:v>
                </c:pt>
                <c:pt idx="478">
                  <c:v>-1722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E1-4ABA-BD08-C581D4D57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'SL.116+240'!$C$12:$C$13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'SL.116+240'!$A$14:$A$701</c:f>
              <c:numCache>
                <c:formatCode>dd/mm/yyyy;@</c:formatCode>
                <c:ptCount val="688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'SL.116+240'!$C$14:$C$701</c:f>
              <c:numCache>
                <c:formatCode>0.000</c:formatCode>
                <c:ptCount val="688"/>
                <c:pt idx="0">
                  <c:v>-0.08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-0.08</c:v>
                </c:pt>
                <c:pt idx="5">
                  <c:v>-0.08</c:v>
                </c:pt>
                <c:pt idx="6">
                  <c:v>-0.08</c:v>
                </c:pt>
                <c:pt idx="7">
                  <c:v>-0.08</c:v>
                </c:pt>
                <c:pt idx="8">
                  <c:v>-0.08</c:v>
                </c:pt>
                <c:pt idx="9">
                  <c:v>-0.08</c:v>
                </c:pt>
                <c:pt idx="10">
                  <c:v>-0.08</c:v>
                </c:pt>
                <c:pt idx="11">
                  <c:v>-0.08</c:v>
                </c:pt>
                <c:pt idx="12">
                  <c:v>9.1999999999999998E-2</c:v>
                </c:pt>
                <c:pt idx="13">
                  <c:v>0.09</c:v>
                </c:pt>
                <c:pt idx="14">
                  <c:v>8.7999999999999995E-2</c:v>
                </c:pt>
                <c:pt idx="15">
                  <c:v>0.38600000000000001</c:v>
                </c:pt>
                <c:pt idx="16">
                  <c:v>0.378</c:v>
                </c:pt>
                <c:pt idx="17">
                  <c:v>0.376</c:v>
                </c:pt>
                <c:pt idx="18">
                  <c:v>0.374</c:v>
                </c:pt>
                <c:pt idx="19">
                  <c:v>0.67200000000000004</c:v>
                </c:pt>
                <c:pt idx="20">
                  <c:v>0.66400000000000003</c:v>
                </c:pt>
                <c:pt idx="21">
                  <c:v>0.65600000000000003</c:v>
                </c:pt>
                <c:pt idx="22">
                  <c:v>0.65400000000000003</c:v>
                </c:pt>
                <c:pt idx="23">
                  <c:v>0.65200000000000002</c:v>
                </c:pt>
                <c:pt idx="24">
                  <c:v>0.95</c:v>
                </c:pt>
                <c:pt idx="25">
                  <c:v>0.94199999999999995</c:v>
                </c:pt>
                <c:pt idx="26">
                  <c:v>0.94</c:v>
                </c:pt>
                <c:pt idx="27">
                  <c:v>0.93799999999999994</c:v>
                </c:pt>
                <c:pt idx="28">
                  <c:v>1.236</c:v>
                </c:pt>
                <c:pt idx="29">
                  <c:v>1.228</c:v>
                </c:pt>
                <c:pt idx="30">
                  <c:v>1.2270000000000001</c:v>
                </c:pt>
                <c:pt idx="31">
                  <c:v>1.2190000000000001</c:v>
                </c:pt>
                <c:pt idx="32">
                  <c:v>1.5169999999999999</c:v>
                </c:pt>
                <c:pt idx="33">
                  <c:v>1.5149999999999999</c:v>
                </c:pt>
                <c:pt idx="34">
                  <c:v>1.5129999999999999</c:v>
                </c:pt>
                <c:pt idx="35">
                  <c:v>1.5049999999999999</c:v>
                </c:pt>
                <c:pt idx="36">
                  <c:v>1.5029999999999999</c:v>
                </c:pt>
                <c:pt idx="37">
                  <c:v>1.5009999999999999</c:v>
                </c:pt>
                <c:pt idx="38">
                  <c:v>1.4990000000000001</c:v>
                </c:pt>
                <c:pt idx="39">
                  <c:v>1.4910000000000001</c:v>
                </c:pt>
                <c:pt idx="40">
                  <c:v>1.49</c:v>
                </c:pt>
                <c:pt idx="41">
                  <c:v>1.49</c:v>
                </c:pt>
                <c:pt idx="42">
                  <c:v>1.4890000000000001</c:v>
                </c:pt>
                <c:pt idx="43">
                  <c:v>1.4890000000000001</c:v>
                </c:pt>
                <c:pt idx="44">
                  <c:v>1.488</c:v>
                </c:pt>
                <c:pt idx="45">
                  <c:v>1.488</c:v>
                </c:pt>
                <c:pt idx="46">
                  <c:v>1.488</c:v>
                </c:pt>
                <c:pt idx="47">
                  <c:v>1.488</c:v>
                </c:pt>
                <c:pt idx="48">
                  <c:v>1.488</c:v>
                </c:pt>
                <c:pt idx="49">
                  <c:v>1.488</c:v>
                </c:pt>
                <c:pt idx="50">
                  <c:v>1.486</c:v>
                </c:pt>
                <c:pt idx="51">
                  <c:v>1.486</c:v>
                </c:pt>
                <c:pt idx="52">
                  <c:v>1.486</c:v>
                </c:pt>
                <c:pt idx="53">
                  <c:v>1.484</c:v>
                </c:pt>
                <c:pt idx="54">
                  <c:v>1.484</c:v>
                </c:pt>
                <c:pt idx="55">
                  <c:v>1.484</c:v>
                </c:pt>
                <c:pt idx="56">
                  <c:v>1.484</c:v>
                </c:pt>
                <c:pt idx="57">
                  <c:v>1.482</c:v>
                </c:pt>
                <c:pt idx="58">
                  <c:v>1.482</c:v>
                </c:pt>
                <c:pt idx="59">
                  <c:v>1.482</c:v>
                </c:pt>
                <c:pt idx="60">
                  <c:v>1.482</c:v>
                </c:pt>
                <c:pt idx="61">
                  <c:v>1.48</c:v>
                </c:pt>
                <c:pt idx="62">
                  <c:v>1.48</c:v>
                </c:pt>
                <c:pt idx="63">
                  <c:v>1.478</c:v>
                </c:pt>
                <c:pt idx="64">
                  <c:v>1.4770000000000001</c:v>
                </c:pt>
                <c:pt idx="65">
                  <c:v>1.4770000000000001</c:v>
                </c:pt>
                <c:pt idx="66">
                  <c:v>1.4770000000000001</c:v>
                </c:pt>
                <c:pt idx="67">
                  <c:v>1.474</c:v>
                </c:pt>
                <c:pt idx="68">
                  <c:v>1.4730000000000001</c:v>
                </c:pt>
                <c:pt idx="69">
                  <c:v>1.4730000000000001</c:v>
                </c:pt>
                <c:pt idx="70">
                  <c:v>1.4730000000000001</c:v>
                </c:pt>
                <c:pt idx="71">
                  <c:v>1.4730000000000001</c:v>
                </c:pt>
                <c:pt idx="72">
                  <c:v>1.47</c:v>
                </c:pt>
                <c:pt idx="73">
                  <c:v>1.47</c:v>
                </c:pt>
                <c:pt idx="74">
                  <c:v>1.77</c:v>
                </c:pt>
                <c:pt idx="75">
                  <c:v>1.7689999999999999</c:v>
                </c:pt>
                <c:pt idx="76">
                  <c:v>1.7669999999999999</c:v>
                </c:pt>
                <c:pt idx="77">
                  <c:v>1.7669999999999999</c:v>
                </c:pt>
                <c:pt idx="78">
                  <c:v>1.7669999999999999</c:v>
                </c:pt>
                <c:pt idx="79">
                  <c:v>1.764</c:v>
                </c:pt>
                <c:pt idx="80">
                  <c:v>1.764</c:v>
                </c:pt>
                <c:pt idx="81">
                  <c:v>1.764</c:v>
                </c:pt>
                <c:pt idx="82">
                  <c:v>1.764</c:v>
                </c:pt>
                <c:pt idx="83">
                  <c:v>2.056</c:v>
                </c:pt>
                <c:pt idx="84">
                  <c:v>2.0539999999999998</c:v>
                </c:pt>
                <c:pt idx="85">
                  <c:v>2.052</c:v>
                </c:pt>
                <c:pt idx="86">
                  <c:v>2.0499999999999998</c:v>
                </c:pt>
                <c:pt idx="87">
                  <c:v>2.0419999999999998</c:v>
                </c:pt>
                <c:pt idx="88">
                  <c:v>2.04</c:v>
                </c:pt>
                <c:pt idx="89">
                  <c:v>2.0379999999999998</c:v>
                </c:pt>
                <c:pt idx="90">
                  <c:v>2.036</c:v>
                </c:pt>
                <c:pt idx="91">
                  <c:v>2.028</c:v>
                </c:pt>
                <c:pt idx="92">
                  <c:v>2.0270000000000001</c:v>
                </c:pt>
                <c:pt idx="93">
                  <c:v>2.0270000000000001</c:v>
                </c:pt>
                <c:pt idx="94">
                  <c:v>2.0259999999999998</c:v>
                </c:pt>
                <c:pt idx="95">
                  <c:v>2.0259999999999998</c:v>
                </c:pt>
                <c:pt idx="96">
                  <c:v>2.0259999999999998</c:v>
                </c:pt>
                <c:pt idx="97">
                  <c:v>2.0259999999999998</c:v>
                </c:pt>
                <c:pt idx="98">
                  <c:v>2.0259999999999998</c:v>
                </c:pt>
                <c:pt idx="99">
                  <c:v>2.0259999999999998</c:v>
                </c:pt>
                <c:pt idx="100">
                  <c:v>2.0259999999999998</c:v>
                </c:pt>
                <c:pt idx="101">
                  <c:v>2.0259999999999998</c:v>
                </c:pt>
                <c:pt idx="102">
                  <c:v>2.0259999999999998</c:v>
                </c:pt>
                <c:pt idx="103">
                  <c:v>2.0259999999999998</c:v>
                </c:pt>
                <c:pt idx="104">
                  <c:v>2.0259999999999998</c:v>
                </c:pt>
                <c:pt idx="105">
                  <c:v>2.0259999999999998</c:v>
                </c:pt>
                <c:pt idx="106">
                  <c:v>2.0259999999999998</c:v>
                </c:pt>
                <c:pt idx="107">
                  <c:v>2.0259999999999998</c:v>
                </c:pt>
                <c:pt idx="108">
                  <c:v>2.0259999999999998</c:v>
                </c:pt>
                <c:pt idx="109">
                  <c:v>2.0259999999999998</c:v>
                </c:pt>
                <c:pt idx="110">
                  <c:v>2.0259999999999998</c:v>
                </c:pt>
                <c:pt idx="111">
                  <c:v>2.0259999999999998</c:v>
                </c:pt>
                <c:pt idx="112">
                  <c:v>2.0259999999999998</c:v>
                </c:pt>
                <c:pt idx="113">
                  <c:v>2.0259999999999998</c:v>
                </c:pt>
                <c:pt idx="114">
                  <c:v>2.0259999999999998</c:v>
                </c:pt>
                <c:pt idx="115">
                  <c:v>2.0259999999999998</c:v>
                </c:pt>
                <c:pt idx="116">
                  <c:v>2.0259999999999998</c:v>
                </c:pt>
                <c:pt idx="117">
                  <c:v>2.0259999999999998</c:v>
                </c:pt>
                <c:pt idx="118">
                  <c:v>2.0259999999999998</c:v>
                </c:pt>
                <c:pt idx="119">
                  <c:v>2.0259999999999998</c:v>
                </c:pt>
                <c:pt idx="120">
                  <c:v>2.0259999999999998</c:v>
                </c:pt>
                <c:pt idx="121">
                  <c:v>2.0259999999999998</c:v>
                </c:pt>
                <c:pt idx="122">
                  <c:v>2.0259999999999998</c:v>
                </c:pt>
                <c:pt idx="123">
                  <c:v>2.0259999999999998</c:v>
                </c:pt>
                <c:pt idx="124">
                  <c:v>2.0259999999999998</c:v>
                </c:pt>
                <c:pt idx="125">
                  <c:v>2.0259999999999998</c:v>
                </c:pt>
                <c:pt idx="126">
                  <c:v>2.0259999999999998</c:v>
                </c:pt>
                <c:pt idx="127">
                  <c:v>2.0259999999999998</c:v>
                </c:pt>
                <c:pt idx="128">
                  <c:v>2.0259999999999998</c:v>
                </c:pt>
                <c:pt idx="129">
                  <c:v>2.0259999999999998</c:v>
                </c:pt>
                <c:pt idx="130">
                  <c:v>2.0259999999999998</c:v>
                </c:pt>
                <c:pt idx="131">
                  <c:v>2.0259999999999998</c:v>
                </c:pt>
                <c:pt idx="132">
                  <c:v>2.0259999999999998</c:v>
                </c:pt>
                <c:pt idx="133">
                  <c:v>2.0259999999999998</c:v>
                </c:pt>
                <c:pt idx="134">
                  <c:v>2.0259999999999998</c:v>
                </c:pt>
                <c:pt idx="135">
                  <c:v>2.0259999999999998</c:v>
                </c:pt>
                <c:pt idx="136">
                  <c:v>2.0259999999999998</c:v>
                </c:pt>
                <c:pt idx="137">
                  <c:v>2.0259999999999998</c:v>
                </c:pt>
                <c:pt idx="138">
                  <c:v>2.0259999999999998</c:v>
                </c:pt>
                <c:pt idx="139">
                  <c:v>2.0259999999999998</c:v>
                </c:pt>
                <c:pt idx="140">
                  <c:v>2.0259999999999998</c:v>
                </c:pt>
                <c:pt idx="141">
                  <c:v>2.0259999999999998</c:v>
                </c:pt>
                <c:pt idx="142">
                  <c:v>2.0259999999999998</c:v>
                </c:pt>
                <c:pt idx="143">
                  <c:v>2.0259999999999998</c:v>
                </c:pt>
                <c:pt idx="144">
                  <c:v>2.0259999999999998</c:v>
                </c:pt>
                <c:pt idx="145">
                  <c:v>2.0259999999999998</c:v>
                </c:pt>
                <c:pt idx="146">
                  <c:v>2.0259999999999998</c:v>
                </c:pt>
                <c:pt idx="147">
                  <c:v>2.0259999999999998</c:v>
                </c:pt>
                <c:pt idx="148">
                  <c:v>2.0259999999999998</c:v>
                </c:pt>
                <c:pt idx="149">
                  <c:v>2.0259999999999998</c:v>
                </c:pt>
                <c:pt idx="150">
                  <c:v>2.0259999999999998</c:v>
                </c:pt>
                <c:pt idx="151">
                  <c:v>2.0259999999999998</c:v>
                </c:pt>
                <c:pt idx="152">
                  <c:v>2.0259999999999998</c:v>
                </c:pt>
                <c:pt idx="153">
                  <c:v>2.0259999999999998</c:v>
                </c:pt>
                <c:pt idx="154">
                  <c:v>2.0259999999999998</c:v>
                </c:pt>
                <c:pt idx="155">
                  <c:v>2.0259999999999998</c:v>
                </c:pt>
                <c:pt idx="156">
                  <c:v>2.0259999999999998</c:v>
                </c:pt>
                <c:pt idx="157">
                  <c:v>2.0259999999999998</c:v>
                </c:pt>
                <c:pt idx="158">
                  <c:v>2.0259999999999998</c:v>
                </c:pt>
                <c:pt idx="159">
                  <c:v>2.0259999999999998</c:v>
                </c:pt>
                <c:pt idx="160">
                  <c:v>2.0259999999999998</c:v>
                </c:pt>
                <c:pt idx="161">
                  <c:v>2.0259999999999998</c:v>
                </c:pt>
                <c:pt idx="162">
                  <c:v>2.0259999999999998</c:v>
                </c:pt>
                <c:pt idx="163">
                  <c:v>2.0259999999999998</c:v>
                </c:pt>
                <c:pt idx="164">
                  <c:v>2.0259999999999998</c:v>
                </c:pt>
                <c:pt idx="165">
                  <c:v>2.0259999999999998</c:v>
                </c:pt>
                <c:pt idx="166">
                  <c:v>2.0259999999999998</c:v>
                </c:pt>
                <c:pt idx="167">
                  <c:v>2.0259999999999998</c:v>
                </c:pt>
                <c:pt idx="168">
                  <c:v>2.0259999999999998</c:v>
                </c:pt>
                <c:pt idx="169">
                  <c:v>2.0259999999999998</c:v>
                </c:pt>
                <c:pt idx="170">
                  <c:v>2.0259999999999998</c:v>
                </c:pt>
                <c:pt idx="171">
                  <c:v>2.0259999999999998</c:v>
                </c:pt>
                <c:pt idx="172">
                  <c:v>2.0259999999999998</c:v>
                </c:pt>
                <c:pt idx="173">
                  <c:v>2.0259999999999998</c:v>
                </c:pt>
                <c:pt idx="174">
                  <c:v>2.0259999999999998</c:v>
                </c:pt>
                <c:pt idx="175">
                  <c:v>2.0259999999999998</c:v>
                </c:pt>
                <c:pt idx="176">
                  <c:v>2.0259999999999998</c:v>
                </c:pt>
                <c:pt idx="177">
                  <c:v>2.0259999999999998</c:v>
                </c:pt>
                <c:pt idx="178">
                  <c:v>2.0259999999999998</c:v>
                </c:pt>
                <c:pt idx="179">
                  <c:v>2.0259999999999998</c:v>
                </c:pt>
                <c:pt idx="180">
                  <c:v>2.0259999999999998</c:v>
                </c:pt>
                <c:pt idx="181">
                  <c:v>2.0259999999999998</c:v>
                </c:pt>
                <c:pt idx="182">
                  <c:v>2.0259999999999998</c:v>
                </c:pt>
                <c:pt idx="183">
                  <c:v>2.0259999999999998</c:v>
                </c:pt>
                <c:pt idx="184">
                  <c:v>2.0259999999999998</c:v>
                </c:pt>
                <c:pt idx="185">
                  <c:v>2.0259999999999998</c:v>
                </c:pt>
                <c:pt idx="186">
                  <c:v>2.3159999999999998</c:v>
                </c:pt>
                <c:pt idx="187">
                  <c:v>2.306</c:v>
                </c:pt>
                <c:pt idx="188">
                  <c:v>2.2970000000000002</c:v>
                </c:pt>
                <c:pt idx="189">
                  <c:v>2.2890000000000001</c:v>
                </c:pt>
                <c:pt idx="190">
                  <c:v>2.2810000000000001</c:v>
                </c:pt>
                <c:pt idx="191">
                  <c:v>2.581</c:v>
                </c:pt>
                <c:pt idx="192">
                  <c:v>2.5710000000000002</c:v>
                </c:pt>
                <c:pt idx="193">
                  <c:v>2.5640000000000001</c:v>
                </c:pt>
                <c:pt idx="194">
                  <c:v>2.556</c:v>
                </c:pt>
                <c:pt idx="195">
                  <c:v>2.5489999999999999</c:v>
                </c:pt>
                <c:pt idx="196">
                  <c:v>2.8420000000000001</c:v>
                </c:pt>
                <c:pt idx="197">
                  <c:v>2.8319999999999999</c:v>
                </c:pt>
                <c:pt idx="198">
                  <c:v>2.8250000000000002</c:v>
                </c:pt>
                <c:pt idx="199">
                  <c:v>2.8180000000000001</c:v>
                </c:pt>
                <c:pt idx="200">
                  <c:v>2.8130000000000002</c:v>
                </c:pt>
                <c:pt idx="201">
                  <c:v>3.1030000000000002</c:v>
                </c:pt>
                <c:pt idx="202">
                  <c:v>3.0990000000000002</c:v>
                </c:pt>
                <c:pt idx="203">
                  <c:v>3.0960000000000001</c:v>
                </c:pt>
                <c:pt idx="204">
                  <c:v>3.0939999999999999</c:v>
                </c:pt>
                <c:pt idx="205">
                  <c:v>3.09</c:v>
                </c:pt>
                <c:pt idx="206">
                  <c:v>3.0870000000000002</c:v>
                </c:pt>
                <c:pt idx="207">
                  <c:v>3.085</c:v>
                </c:pt>
                <c:pt idx="208">
                  <c:v>3.08</c:v>
                </c:pt>
                <c:pt idx="209">
                  <c:v>3.0750000000000002</c:v>
                </c:pt>
                <c:pt idx="210">
                  <c:v>3.0710000000000002</c:v>
                </c:pt>
                <c:pt idx="211">
                  <c:v>3.0680000000000001</c:v>
                </c:pt>
                <c:pt idx="212">
                  <c:v>3.0659999999999998</c:v>
                </c:pt>
                <c:pt idx="213">
                  <c:v>3.0649999999999999</c:v>
                </c:pt>
                <c:pt idx="214">
                  <c:v>3.0630000000000002</c:v>
                </c:pt>
                <c:pt idx="215">
                  <c:v>3.3530000000000002</c:v>
                </c:pt>
                <c:pt idx="216">
                  <c:v>3.343</c:v>
                </c:pt>
                <c:pt idx="217">
                  <c:v>3.3330000000000002</c:v>
                </c:pt>
                <c:pt idx="218">
                  <c:v>3.323</c:v>
                </c:pt>
                <c:pt idx="219">
                  <c:v>3.3130000000000002</c:v>
                </c:pt>
                <c:pt idx="220">
                  <c:v>3.6030000000000002</c:v>
                </c:pt>
                <c:pt idx="221">
                  <c:v>3.593</c:v>
                </c:pt>
                <c:pt idx="222">
                  <c:v>3.5830000000000002</c:v>
                </c:pt>
                <c:pt idx="223">
                  <c:v>3.573</c:v>
                </c:pt>
                <c:pt idx="224">
                  <c:v>3.5630000000000002</c:v>
                </c:pt>
                <c:pt idx="225">
                  <c:v>3.8530000000000002</c:v>
                </c:pt>
                <c:pt idx="226">
                  <c:v>3.843</c:v>
                </c:pt>
                <c:pt idx="227">
                  <c:v>3.8330000000000002</c:v>
                </c:pt>
                <c:pt idx="228">
                  <c:v>3.823</c:v>
                </c:pt>
                <c:pt idx="229">
                  <c:v>3.8130000000000002</c:v>
                </c:pt>
                <c:pt idx="230">
                  <c:v>3.8029999999999999</c:v>
                </c:pt>
                <c:pt idx="231">
                  <c:v>3.7930000000000001</c:v>
                </c:pt>
                <c:pt idx="232">
                  <c:v>3.7829999999999999</c:v>
                </c:pt>
                <c:pt idx="233">
                  <c:v>3.7730000000000001</c:v>
                </c:pt>
                <c:pt idx="234">
                  <c:v>3.7629999999999999</c:v>
                </c:pt>
                <c:pt idx="235">
                  <c:v>3.7530000000000001</c:v>
                </c:pt>
                <c:pt idx="236">
                  <c:v>3.7429999999999999</c:v>
                </c:pt>
                <c:pt idx="237">
                  <c:v>3.7330000000000001</c:v>
                </c:pt>
                <c:pt idx="238">
                  <c:v>3.7229999999999999</c:v>
                </c:pt>
                <c:pt idx="239">
                  <c:v>3.7130000000000001</c:v>
                </c:pt>
                <c:pt idx="240">
                  <c:v>3.7029999999999998</c:v>
                </c:pt>
                <c:pt idx="241">
                  <c:v>3.6930000000000001</c:v>
                </c:pt>
                <c:pt idx="242">
                  <c:v>3.6829999999999998</c:v>
                </c:pt>
                <c:pt idx="243">
                  <c:v>3.673</c:v>
                </c:pt>
                <c:pt idx="244">
                  <c:v>3.6629999999999998</c:v>
                </c:pt>
                <c:pt idx="245">
                  <c:v>3.653</c:v>
                </c:pt>
                <c:pt idx="246">
                  <c:v>3.6429999999999998</c:v>
                </c:pt>
                <c:pt idx="247">
                  <c:v>3.633</c:v>
                </c:pt>
                <c:pt idx="248">
                  <c:v>3.6230000000000002</c:v>
                </c:pt>
                <c:pt idx="249">
                  <c:v>3.613</c:v>
                </c:pt>
                <c:pt idx="250">
                  <c:v>3.6030000000000002</c:v>
                </c:pt>
                <c:pt idx="251">
                  <c:v>3.593</c:v>
                </c:pt>
                <c:pt idx="252">
                  <c:v>3.5830000000000002</c:v>
                </c:pt>
                <c:pt idx="253">
                  <c:v>3.5739999999999998</c:v>
                </c:pt>
                <c:pt idx="254">
                  <c:v>3.5659999999999998</c:v>
                </c:pt>
                <c:pt idx="255">
                  <c:v>3.5579999999999998</c:v>
                </c:pt>
                <c:pt idx="256">
                  <c:v>3.552</c:v>
                </c:pt>
                <c:pt idx="257">
                  <c:v>3.5449999999999999</c:v>
                </c:pt>
                <c:pt idx="258">
                  <c:v>3.5409999999999999</c:v>
                </c:pt>
                <c:pt idx="259">
                  <c:v>3.536</c:v>
                </c:pt>
                <c:pt idx="260">
                  <c:v>3.5329999999999999</c:v>
                </c:pt>
                <c:pt idx="261">
                  <c:v>3.5310000000000001</c:v>
                </c:pt>
                <c:pt idx="262">
                  <c:v>3.5289999999999999</c:v>
                </c:pt>
                <c:pt idx="263">
                  <c:v>3.528</c:v>
                </c:pt>
                <c:pt idx="264">
                  <c:v>3.5259999999999998</c:v>
                </c:pt>
                <c:pt idx="265">
                  <c:v>3.5209999999999999</c:v>
                </c:pt>
                <c:pt idx="266">
                  <c:v>3.512</c:v>
                </c:pt>
                <c:pt idx="267">
                  <c:v>3.504</c:v>
                </c:pt>
                <c:pt idx="268">
                  <c:v>3.496</c:v>
                </c:pt>
                <c:pt idx="269">
                  <c:v>3.49</c:v>
                </c:pt>
                <c:pt idx="270">
                  <c:v>3.4830000000000001</c:v>
                </c:pt>
                <c:pt idx="271">
                  <c:v>3.4790000000000001</c:v>
                </c:pt>
                <c:pt idx="272">
                  <c:v>3.4740000000000002</c:v>
                </c:pt>
                <c:pt idx="273">
                  <c:v>3.4710000000000001</c:v>
                </c:pt>
                <c:pt idx="274">
                  <c:v>3.4689999999999999</c:v>
                </c:pt>
                <c:pt idx="275">
                  <c:v>3.4670000000000001</c:v>
                </c:pt>
                <c:pt idx="276">
                  <c:v>3.4660000000000002</c:v>
                </c:pt>
                <c:pt idx="277">
                  <c:v>3.464</c:v>
                </c:pt>
                <c:pt idx="278">
                  <c:v>3.4590000000000001</c:v>
                </c:pt>
                <c:pt idx="279">
                  <c:v>3.4540000000000002</c:v>
                </c:pt>
                <c:pt idx="280">
                  <c:v>3.4489999999999998</c:v>
                </c:pt>
                <c:pt idx="281">
                  <c:v>3.44</c:v>
                </c:pt>
                <c:pt idx="282">
                  <c:v>3.4319999999999999</c:v>
                </c:pt>
                <c:pt idx="283">
                  <c:v>3.4239999999999999</c:v>
                </c:pt>
                <c:pt idx="284">
                  <c:v>3.4180000000000001</c:v>
                </c:pt>
                <c:pt idx="285">
                  <c:v>3.411</c:v>
                </c:pt>
                <c:pt idx="286">
                  <c:v>3.407</c:v>
                </c:pt>
                <c:pt idx="287">
                  <c:v>3.4020000000000001</c:v>
                </c:pt>
                <c:pt idx="288">
                  <c:v>3.399</c:v>
                </c:pt>
                <c:pt idx="289">
                  <c:v>3.3969999999999998</c:v>
                </c:pt>
                <c:pt idx="290">
                  <c:v>3.395</c:v>
                </c:pt>
                <c:pt idx="291">
                  <c:v>3.3940000000000001</c:v>
                </c:pt>
                <c:pt idx="292">
                  <c:v>3.3919999999999999</c:v>
                </c:pt>
                <c:pt idx="293">
                  <c:v>3.387</c:v>
                </c:pt>
                <c:pt idx="294">
                  <c:v>3.3820000000000001</c:v>
                </c:pt>
                <c:pt idx="295">
                  <c:v>3.38</c:v>
                </c:pt>
                <c:pt idx="296">
                  <c:v>3.3780000000000001</c:v>
                </c:pt>
                <c:pt idx="297">
                  <c:v>3.3730000000000002</c:v>
                </c:pt>
                <c:pt idx="298">
                  <c:v>3.371</c:v>
                </c:pt>
                <c:pt idx="299">
                  <c:v>3.3660000000000001</c:v>
                </c:pt>
                <c:pt idx="300">
                  <c:v>3.363</c:v>
                </c:pt>
                <c:pt idx="301">
                  <c:v>3.3610000000000002</c:v>
                </c:pt>
                <c:pt idx="302">
                  <c:v>3.3559999999999999</c:v>
                </c:pt>
                <c:pt idx="303">
                  <c:v>3.351</c:v>
                </c:pt>
                <c:pt idx="304">
                  <c:v>3.347</c:v>
                </c:pt>
                <c:pt idx="305">
                  <c:v>3.3439999999999999</c:v>
                </c:pt>
                <c:pt idx="306">
                  <c:v>3.3420000000000001</c:v>
                </c:pt>
                <c:pt idx="307">
                  <c:v>3.3370000000000002</c:v>
                </c:pt>
                <c:pt idx="308">
                  <c:v>3.3319999999999999</c:v>
                </c:pt>
                <c:pt idx="309">
                  <c:v>3.3279999999999998</c:v>
                </c:pt>
                <c:pt idx="310">
                  <c:v>3.3250000000000002</c:v>
                </c:pt>
                <c:pt idx="311">
                  <c:v>3.323</c:v>
                </c:pt>
                <c:pt idx="312">
                  <c:v>3.3220000000000001</c:v>
                </c:pt>
                <c:pt idx="313">
                  <c:v>3.32</c:v>
                </c:pt>
                <c:pt idx="314">
                  <c:v>3.3180000000000001</c:v>
                </c:pt>
                <c:pt idx="315">
                  <c:v>3.3159999999999998</c:v>
                </c:pt>
                <c:pt idx="316">
                  <c:v>3.3140000000000001</c:v>
                </c:pt>
                <c:pt idx="317">
                  <c:v>3.3119999999999998</c:v>
                </c:pt>
                <c:pt idx="318">
                  <c:v>3.31</c:v>
                </c:pt>
                <c:pt idx="319">
                  <c:v>3.3050000000000002</c:v>
                </c:pt>
                <c:pt idx="320">
                  <c:v>3.3010000000000002</c:v>
                </c:pt>
                <c:pt idx="321">
                  <c:v>3.298</c:v>
                </c:pt>
                <c:pt idx="322">
                  <c:v>3.2959999999999998</c:v>
                </c:pt>
                <c:pt idx="323">
                  <c:v>3.2949999999999999</c:v>
                </c:pt>
                <c:pt idx="324">
                  <c:v>3.2930000000000001</c:v>
                </c:pt>
                <c:pt idx="325">
                  <c:v>3.2909999999999999</c:v>
                </c:pt>
                <c:pt idx="326">
                  <c:v>3.2890000000000001</c:v>
                </c:pt>
                <c:pt idx="327">
                  <c:v>3.2869999999999999</c:v>
                </c:pt>
                <c:pt idx="328">
                  <c:v>3.2850000000000001</c:v>
                </c:pt>
                <c:pt idx="329">
                  <c:v>3.2829999999999999</c:v>
                </c:pt>
                <c:pt idx="330">
                  <c:v>3.278</c:v>
                </c:pt>
                <c:pt idx="331">
                  <c:v>3.2759999999999998</c:v>
                </c:pt>
                <c:pt idx="332">
                  <c:v>3.274</c:v>
                </c:pt>
                <c:pt idx="333">
                  <c:v>3.2719999999999998</c:v>
                </c:pt>
                <c:pt idx="334">
                  <c:v>3.2690000000000001</c:v>
                </c:pt>
                <c:pt idx="335">
                  <c:v>3.2669999999999999</c:v>
                </c:pt>
                <c:pt idx="336">
                  <c:v>3.262</c:v>
                </c:pt>
                <c:pt idx="337">
                  <c:v>3.2570000000000001</c:v>
                </c:pt>
                <c:pt idx="338">
                  <c:v>3.2530000000000001</c:v>
                </c:pt>
                <c:pt idx="339">
                  <c:v>3.25</c:v>
                </c:pt>
                <c:pt idx="340">
                  <c:v>3.2480000000000002</c:v>
                </c:pt>
                <c:pt idx="341">
                  <c:v>3.2469999999999999</c:v>
                </c:pt>
                <c:pt idx="342">
                  <c:v>3.2450000000000001</c:v>
                </c:pt>
                <c:pt idx="343">
                  <c:v>3.2429999999999999</c:v>
                </c:pt>
                <c:pt idx="344">
                  <c:v>3.2410000000000001</c:v>
                </c:pt>
                <c:pt idx="345">
                  <c:v>3.2389999999999999</c:v>
                </c:pt>
                <c:pt idx="346">
                  <c:v>3.2370000000000001</c:v>
                </c:pt>
                <c:pt idx="347">
                  <c:v>3.2349999999999999</c:v>
                </c:pt>
                <c:pt idx="348">
                  <c:v>3.23</c:v>
                </c:pt>
                <c:pt idx="349">
                  <c:v>3.2250000000000001</c:v>
                </c:pt>
                <c:pt idx="350">
                  <c:v>3.22</c:v>
                </c:pt>
                <c:pt idx="351">
                  <c:v>3.2160000000000002</c:v>
                </c:pt>
                <c:pt idx="352">
                  <c:v>3.2130000000000001</c:v>
                </c:pt>
                <c:pt idx="353">
                  <c:v>3.2109999999999999</c:v>
                </c:pt>
                <c:pt idx="354">
                  <c:v>3.21</c:v>
                </c:pt>
                <c:pt idx="355">
                  <c:v>3.2080000000000002</c:v>
                </c:pt>
                <c:pt idx="356">
                  <c:v>3.206</c:v>
                </c:pt>
                <c:pt idx="357">
                  <c:v>3.2040000000000002</c:v>
                </c:pt>
                <c:pt idx="358">
                  <c:v>3.202</c:v>
                </c:pt>
                <c:pt idx="359">
                  <c:v>3.2</c:v>
                </c:pt>
                <c:pt idx="360">
                  <c:v>3.198</c:v>
                </c:pt>
                <c:pt idx="361">
                  <c:v>3.1930000000000001</c:v>
                </c:pt>
                <c:pt idx="362">
                  <c:v>3.1930000000000001</c:v>
                </c:pt>
                <c:pt idx="363">
                  <c:v>3.1930000000000001</c:v>
                </c:pt>
                <c:pt idx="364">
                  <c:v>3.1920000000000002</c:v>
                </c:pt>
                <c:pt idx="365">
                  <c:v>3.19</c:v>
                </c:pt>
                <c:pt idx="366">
                  <c:v>3.1880000000000002</c:v>
                </c:pt>
                <c:pt idx="367">
                  <c:v>3.1859999999999999</c:v>
                </c:pt>
                <c:pt idx="368">
                  <c:v>3.1840000000000002</c:v>
                </c:pt>
                <c:pt idx="369">
                  <c:v>3.1819999999999999</c:v>
                </c:pt>
                <c:pt idx="370">
                  <c:v>3.18</c:v>
                </c:pt>
                <c:pt idx="371">
                  <c:v>3.1749999999999998</c:v>
                </c:pt>
                <c:pt idx="372">
                  <c:v>3.17</c:v>
                </c:pt>
                <c:pt idx="373">
                  <c:v>3.165</c:v>
                </c:pt>
                <c:pt idx="374">
                  <c:v>3.165</c:v>
                </c:pt>
                <c:pt idx="375">
                  <c:v>3.1640000000000001</c:v>
                </c:pt>
                <c:pt idx="376">
                  <c:v>3.1619999999999999</c:v>
                </c:pt>
                <c:pt idx="377">
                  <c:v>3.16</c:v>
                </c:pt>
                <c:pt idx="378">
                  <c:v>3.1579999999999999</c:v>
                </c:pt>
                <c:pt idx="379">
                  <c:v>3.1560000000000001</c:v>
                </c:pt>
                <c:pt idx="380">
                  <c:v>3.1539999999999999</c:v>
                </c:pt>
                <c:pt idx="381">
                  <c:v>3.1520000000000001</c:v>
                </c:pt>
                <c:pt idx="382">
                  <c:v>3.1469999999999998</c:v>
                </c:pt>
                <c:pt idx="383">
                  <c:v>3.1419999999999999</c:v>
                </c:pt>
                <c:pt idx="384">
                  <c:v>3.137</c:v>
                </c:pt>
                <c:pt idx="385">
                  <c:v>3.137</c:v>
                </c:pt>
                <c:pt idx="386">
                  <c:v>3.137</c:v>
                </c:pt>
                <c:pt idx="387">
                  <c:v>3.137</c:v>
                </c:pt>
                <c:pt idx="388">
                  <c:v>3.137</c:v>
                </c:pt>
                <c:pt idx="389">
                  <c:v>3.137</c:v>
                </c:pt>
                <c:pt idx="390">
                  <c:v>3.137</c:v>
                </c:pt>
                <c:pt idx="391">
                  <c:v>3.137</c:v>
                </c:pt>
                <c:pt idx="392">
                  <c:v>3.137</c:v>
                </c:pt>
                <c:pt idx="393">
                  <c:v>3.137</c:v>
                </c:pt>
                <c:pt idx="394">
                  <c:v>3.137</c:v>
                </c:pt>
                <c:pt idx="395">
                  <c:v>3.1360000000000001</c:v>
                </c:pt>
                <c:pt idx="396">
                  <c:v>3.1339999999999999</c:v>
                </c:pt>
                <c:pt idx="397">
                  <c:v>3.1320000000000001</c:v>
                </c:pt>
                <c:pt idx="398">
                  <c:v>3.13</c:v>
                </c:pt>
                <c:pt idx="399">
                  <c:v>3.1280000000000001</c:v>
                </c:pt>
                <c:pt idx="400">
                  <c:v>3.1259999999999999</c:v>
                </c:pt>
                <c:pt idx="401">
                  <c:v>3.1240000000000001</c:v>
                </c:pt>
                <c:pt idx="402">
                  <c:v>3.1190000000000002</c:v>
                </c:pt>
                <c:pt idx="403">
                  <c:v>3.1139999999999999</c:v>
                </c:pt>
                <c:pt idx="404">
                  <c:v>3.109</c:v>
                </c:pt>
                <c:pt idx="405">
                  <c:v>3.109</c:v>
                </c:pt>
                <c:pt idx="406">
                  <c:v>3.109</c:v>
                </c:pt>
                <c:pt idx="407">
                  <c:v>3.1080000000000001</c:v>
                </c:pt>
                <c:pt idx="408">
                  <c:v>3.1059999999999999</c:v>
                </c:pt>
                <c:pt idx="409">
                  <c:v>3.3540000000000001</c:v>
                </c:pt>
                <c:pt idx="410">
                  <c:v>3.3519999999999999</c:v>
                </c:pt>
                <c:pt idx="411">
                  <c:v>3.35</c:v>
                </c:pt>
                <c:pt idx="412">
                  <c:v>3.3479999999999999</c:v>
                </c:pt>
                <c:pt idx="413">
                  <c:v>3.3460000000000001</c:v>
                </c:pt>
                <c:pt idx="414">
                  <c:v>3.6309999999999998</c:v>
                </c:pt>
                <c:pt idx="415">
                  <c:v>3.6259999999999999</c:v>
                </c:pt>
                <c:pt idx="416">
                  <c:v>3.621</c:v>
                </c:pt>
                <c:pt idx="417">
                  <c:v>3.621</c:v>
                </c:pt>
                <c:pt idx="418">
                  <c:v>3.621</c:v>
                </c:pt>
                <c:pt idx="419">
                  <c:v>3.9209999999999998</c:v>
                </c:pt>
                <c:pt idx="420">
                  <c:v>3.9209999999999998</c:v>
                </c:pt>
                <c:pt idx="421">
                  <c:v>3.9209999999999998</c:v>
                </c:pt>
                <c:pt idx="422">
                  <c:v>3.92</c:v>
                </c:pt>
                <c:pt idx="423">
                  <c:v>3.9180000000000001</c:v>
                </c:pt>
                <c:pt idx="424">
                  <c:v>4.2160000000000002</c:v>
                </c:pt>
                <c:pt idx="425">
                  <c:v>4.2140000000000004</c:v>
                </c:pt>
                <c:pt idx="426">
                  <c:v>4.2119999999999997</c:v>
                </c:pt>
                <c:pt idx="427">
                  <c:v>4.21</c:v>
                </c:pt>
                <c:pt idx="428">
                  <c:v>4.2080000000000002</c:v>
                </c:pt>
                <c:pt idx="429">
                  <c:v>4.5030000000000001</c:v>
                </c:pt>
                <c:pt idx="430">
                  <c:v>4.4930000000000003</c:v>
                </c:pt>
                <c:pt idx="431">
                  <c:v>4.4829999999999997</c:v>
                </c:pt>
                <c:pt idx="432">
                  <c:v>4.4729999999999999</c:v>
                </c:pt>
                <c:pt idx="433">
                  <c:v>4.4630000000000001</c:v>
                </c:pt>
                <c:pt idx="434">
                  <c:v>4.7530000000000001</c:v>
                </c:pt>
                <c:pt idx="435">
                  <c:v>4.7430000000000003</c:v>
                </c:pt>
                <c:pt idx="436">
                  <c:v>4.7329999999999997</c:v>
                </c:pt>
                <c:pt idx="437">
                  <c:v>4.7229999999999999</c:v>
                </c:pt>
                <c:pt idx="438">
                  <c:v>4.7130000000000001</c:v>
                </c:pt>
                <c:pt idx="439">
                  <c:v>5.0030000000000001</c:v>
                </c:pt>
                <c:pt idx="440">
                  <c:v>4.9930000000000003</c:v>
                </c:pt>
                <c:pt idx="441">
                  <c:v>4.9829999999999997</c:v>
                </c:pt>
                <c:pt idx="442">
                  <c:v>4.9729999999999999</c:v>
                </c:pt>
                <c:pt idx="443">
                  <c:v>4.9630000000000001</c:v>
                </c:pt>
                <c:pt idx="444">
                  <c:v>5.2530000000000001</c:v>
                </c:pt>
                <c:pt idx="445">
                  <c:v>5.2430000000000003</c:v>
                </c:pt>
                <c:pt idx="446">
                  <c:v>5.2329999999999997</c:v>
                </c:pt>
                <c:pt idx="447">
                  <c:v>5.2229999999999999</c:v>
                </c:pt>
                <c:pt idx="448">
                  <c:v>5.2130000000000001</c:v>
                </c:pt>
                <c:pt idx="449">
                  <c:v>5.2030000000000003</c:v>
                </c:pt>
                <c:pt idx="450">
                  <c:v>5.1929999999999996</c:v>
                </c:pt>
                <c:pt idx="451">
                  <c:v>5.1829999999999998</c:v>
                </c:pt>
                <c:pt idx="452">
                  <c:v>5.173</c:v>
                </c:pt>
                <c:pt idx="453">
                  <c:v>5.1630000000000003</c:v>
                </c:pt>
                <c:pt idx="454">
                  <c:v>5.1529999999999996</c:v>
                </c:pt>
                <c:pt idx="455">
                  <c:v>5.1440000000000001</c:v>
                </c:pt>
                <c:pt idx="456">
                  <c:v>5.4340000000000002</c:v>
                </c:pt>
                <c:pt idx="457">
                  <c:v>5.4039999999999999</c:v>
                </c:pt>
                <c:pt idx="458">
                  <c:v>5.3639999999999999</c:v>
                </c:pt>
                <c:pt idx="459">
                  <c:v>5.3360000000000003</c:v>
                </c:pt>
                <c:pt idx="460">
                  <c:v>5.2969999999999997</c:v>
                </c:pt>
                <c:pt idx="461">
                  <c:v>5.2679999999999998</c:v>
                </c:pt>
                <c:pt idx="462">
                  <c:v>5.2320000000000002</c:v>
                </c:pt>
                <c:pt idx="463">
                  <c:v>5.2039999999999997</c:v>
                </c:pt>
                <c:pt idx="464">
                  <c:v>5.1689999999999996</c:v>
                </c:pt>
                <c:pt idx="465">
                  <c:v>5.1289999999999996</c:v>
                </c:pt>
                <c:pt idx="466">
                  <c:v>5.0910000000000002</c:v>
                </c:pt>
                <c:pt idx="467">
                  <c:v>5.0549999999999997</c:v>
                </c:pt>
                <c:pt idx="468">
                  <c:v>5.0220000000000002</c:v>
                </c:pt>
                <c:pt idx="469">
                  <c:v>4.9880000000000004</c:v>
                </c:pt>
                <c:pt idx="470">
                  <c:v>4.9580000000000002</c:v>
                </c:pt>
                <c:pt idx="471">
                  <c:v>4.93</c:v>
                </c:pt>
                <c:pt idx="472">
                  <c:v>4.9029999999999996</c:v>
                </c:pt>
                <c:pt idx="473">
                  <c:v>4.8789999999999996</c:v>
                </c:pt>
                <c:pt idx="474">
                  <c:v>4.8540000000000001</c:v>
                </c:pt>
                <c:pt idx="475">
                  <c:v>4.83</c:v>
                </c:pt>
                <c:pt idx="476">
                  <c:v>4.8040000000000003</c:v>
                </c:pt>
                <c:pt idx="477">
                  <c:v>4.78</c:v>
                </c:pt>
                <c:pt idx="478">
                  <c:v>4.7569999999999997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E1-4ABA-BD08-C581D4D57CCB}"/>
            </c:ext>
          </c:extLst>
        </c:ser>
        <c:ser>
          <c:idx val="4"/>
          <c:order val="4"/>
          <c:tx>
            <c:strRef>
              <c:f>'SL.116+240'!$E$12:$E$13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'SL.116+240'!$A$14:$A$700</c:f>
              <c:numCache>
                <c:formatCode>dd/mm/yyyy;@</c:formatCode>
                <c:ptCount val="6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'SL.116+240'!$D$14:$D$700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0.42299999999999999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0.42299999999999999</c:v>
                </c:pt>
                <c:pt idx="19">
                  <c:v>0.72199999999999998</c:v>
                </c:pt>
                <c:pt idx="20">
                  <c:v>0.72199999999999998</c:v>
                </c:pt>
                <c:pt idx="21">
                  <c:v>0.72199999999999998</c:v>
                </c:pt>
                <c:pt idx="22">
                  <c:v>0.72199999999999998</c:v>
                </c:pt>
                <c:pt idx="23">
                  <c:v>0.72199999999999998</c:v>
                </c:pt>
                <c:pt idx="24">
                  <c:v>1.02</c:v>
                </c:pt>
                <c:pt idx="25">
                  <c:v>1.02</c:v>
                </c:pt>
                <c:pt idx="26">
                  <c:v>1.02</c:v>
                </c:pt>
                <c:pt idx="27">
                  <c:v>1.02</c:v>
                </c:pt>
                <c:pt idx="28">
                  <c:v>1.319</c:v>
                </c:pt>
                <c:pt idx="29">
                  <c:v>1.319</c:v>
                </c:pt>
                <c:pt idx="30">
                  <c:v>1.319</c:v>
                </c:pt>
                <c:pt idx="31">
                  <c:v>1.319</c:v>
                </c:pt>
                <c:pt idx="32">
                  <c:v>1.6179999999999999</c:v>
                </c:pt>
                <c:pt idx="33">
                  <c:v>1.6179999999999999</c:v>
                </c:pt>
                <c:pt idx="34">
                  <c:v>1.6179999999999999</c:v>
                </c:pt>
                <c:pt idx="35">
                  <c:v>1.6179999999999999</c:v>
                </c:pt>
                <c:pt idx="36">
                  <c:v>1.6179999999999999</c:v>
                </c:pt>
                <c:pt idx="37">
                  <c:v>1.6179999999999999</c:v>
                </c:pt>
                <c:pt idx="38">
                  <c:v>1.6179999999999999</c:v>
                </c:pt>
                <c:pt idx="39">
                  <c:v>1.6179999999999999</c:v>
                </c:pt>
                <c:pt idx="40">
                  <c:v>1.6179999999999999</c:v>
                </c:pt>
                <c:pt idx="41">
                  <c:v>1.6179999999999999</c:v>
                </c:pt>
                <c:pt idx="42">
                  <c:v>1.6179999999999999</c:v>
                </c:pt>
                <c:pt idx="43">
                  <c:v>1.6179999999999999</c:v>
                </c:pt>
                <c:pt idx="44">
                  <c:v>1.6179999999999999</c:v>
                </c:pt>
                <c:pt idx="45">
                  <c:v>1.6179999999999999</c:v>
                </c:pt>
                <c:pt idx="46">
                  <c:v>1.6179999999999999</c:v>
                </c:pt>
                <c:pt idx="47">
                  <c:v>1.6179999999999999</c:v>
                </c:pt>
                <c:pt idx="48">
                  <c:v>1.6179999999999999</c:v>
                </c:pt>
                <c:pt idx="49">
                  <c:v>1.6179999999999999</c:v>
                </c:pt>
                <c:pt idx="50">
                  <c:v>1.6179999999999999</c:v>
                </c:pt>
                <c:pt idx="51">
                  <c:v>1.6179999999999999</c:v>
                </c:pt>
                <c:pt idx="52">
                  <c:v>1.6179999999999999</c:v>
                </c:pt>
                <c:pt idx="53">
                  <c:v>1.6179999999999999</c:v>
                </c:pt>
                <c:pt idx="54">
                  <c:v>1.6179999999999999</c:v>
                </c:pt>
                <c:pt idx="55">
                  <c:v>1.6179999999999999</c:v>
                </c:pt>
                <c:pt idx="56">
                  <c:v>1.6179999999999999</c:v>
                </c:pt>
                <c:pt idx="57">
                  <c:v>1.6179999999999999</c:v>
                </c:pt>
                <c:pt idx="58">
                  <c:v>1.6179999999999999</c:v>
                </c:pt>
                <c:pt idx="59">
                  <c:v>1.6179999999999999</c:v>
                </c:pt>
                <c:pt idx="60">
                  <c:v>1.6179999999999999</c:v>
                </c:pt>
                <c:pt idx="61">
                  <c:v>1.6179999999999999</c:v>
                </c:pt>
                <c:pt idx="62">
                  <c:v>1.6179999999999999</c:v>
                </c:pt>
                <c:pt idx="63">
                  <c:v>1.6179999999999999</c:v>
                </c:pt>
                <c:pt idx="64">
                  <c:v>1.6179999999999999</c:v>
                </c:pt>
                <c:pt idx="65">
                  <c:v>1.6179999999999999</c:v>
                </c:pt>
                <c:pt idx="66">
                  <c:v>1.6179999999999999</c:v>
                </c:pt>
                <c:pt idx="67">
                  <c:v>1.6179999999999999</c:v>
                </c:pt>
                <c:pt idx="68">
                  <c:v>1.6179999999999999</c:v>
                </c:pt>
                <c:pt idx="69">
                  <c:v>1.6179999999999999</c:v>
                </c:pt>
                <c:pt idx="70">
                  <c:v>1.6179999999999999</c:v>
                </c:pt>
                <c:pt idx="71">
                  <c:v>1.6179999999999999</c:v>
                </c:pt>
                <c:pt idx="72">
                  <c:v>1.6179999999999999</c:v>
                </c:pt>
                <c:pt idx="73">
                  <c:v>1.6179999999999999</c:v>
                </c:pt>
                <c:pt idx="74">
                  <c:v>1.9179999999999999</c:v>
                </c:pt>
                <c:pt idx="75">
                  <c:v>1.9179999999999999</c:v>
                </c:pt>
                <c:pt idx="76">
                  <c:v>1.9179999999999999</c:v>
                </c:pt>
                <c:pt idx="77">
                  <c:v>1.9179999999999999</c:v>
                </c:pt>
                <c:pt idx="78">
                  <c:v>1.9179999999999999</c:v>
                </c:pt>
                <c:pt idx="79">
                  <c:v>1.9179999999999999</c:v>
                </c:pt>
                <c:pt idx="80">
                  <c:v>1.9179999999999999</c:v>
                </c:pt>
                <c:pt idx="81">
                  <c:v>1.9179999999999999</c:v>
                </c:pt>
                <c:pt idx="82">
                  <c:v>1.9179999999999999</c:v>
                </c:pt>
                <c:pt idx="83">
                  <c:v>2.2130000000000001</c:v>
                </c:pt>
                <c:pt idx="84">
                  <c:v>2.2130000000000001</c:v>
                </c:pt>
                <c:pt idx="85">
                  <c:v>2.2130000000000001</c:v>
                </c:pt>
                <c:pt idx="86">
                  <c:v>2.2130000000000001</c:v>
                </c:pt>
                <c:pt idx="87">
                  <c:v>2.2130000000000001</c:v>
                </c:pt>
                <c:pt idx="88">
                  <c:v>2.2130000000000001</c:v>
                </c:pt>
                <c:pt idx="89">
                  <c:v>2.2130000000000001</c:v>
                </c:pt>
                <c:pt idx="90">
                  <c:v>2.2130000000000001</c:v>
                </c:pt>
                <c:pt idx="91">
                  <c:v>2.2130000000000001</c:v>
                </c:pt>
                <c:pt idx="92">
                  <c:v>2.2130000000000001</c:v>
                </c:pt>
                <c:pt idx="93">
                  <c:v>2.2130000000000001</c:v>
                </c:pt>
                <c:pt idx="94">
                  <c:v>2.2130000000000001</c:v>
                </c:pt>
                <c:pt idx="95">
                  <c:v>2.2130000000000001</c:v>
                </c:pt>
                <c:pt idx="96">
                  <c:v>2.2130000000000001</c:v>
                </c:pt>
                <c:pt idx="97">
                  <c:v>2.2130000000000001</c:v>
                </c:pt>
                <c:pt idx="98">
                  <c:v>2.2130000000000001</c:v>
                </c:pt>
                <c:pt idx="99">
                  <c:v>2.2130000000000001</c:v>
                </c:pt>
                <c:pt idx="100">
                  <c:v>2.2130000000000001</c:v>
                </c:pt>
                <c:pt idx="101">
                  <c:v>2.2130000000000001</c:v>
                </c:pt>
                <c:pt idx="102">
                  <c:v>2.2130000000000001</c:v>
                </c:pt>
                <c:pt idx="103">
                  <c:v>2.2130000000000001</c:v>
                </c:pt>
                <c:pt idx="104">
                  <c:v>2.2130000000000001</c:v>
                </c:pt>
                <c:pt idx="105">
                  <c:v>2.2130000000000001</c:v>
                </c:pt>
                <c:pt idx="106">
                  <c:v>2.2130000000000001</c:v>
                </c:pt>
                <c:pt idx="107">
                  <c:v>2.2130000000000001</c:v>
                </c:pt>
                <c:pt idx="108">
                  <c:v>2.2130000000000001</c:v>
                </c:pt>
                <c:pt idx="109">
                  <c:v>2.2130000000000001</c:v>
                </c:pt>
                <c:pt idx="110">
                  <c:v>2.2130000000000001</c:v>
                </c:pt>
                <c:pt idx="111">
                  <c:v>2.2130000000000001</c:v>
                </c:pt>
                <c:pt idx="112">
                  <c:v>2.2130000000000001</c:v>
                </c:pt>
                <c:pt idx="113">
                  <c:v>2.2130000000000001</c:v>
                </c:pt>
                <c:pt idx="114">
                  <c:v>2.2130000000000001</c:v>
                </c:pt>
                <c:pt idx="115">
                  <c:v>2.2130000000000001</c:v>
                </c:pt>
                <c:pt idx="116">
                  <c:v>2.2130000000000001</c:v>
                </c:pt>
                <c:pt idx="117">
                  <c:v>2.2130000000000001</c:v>
                </c:pt>
                <c:pt idx="118">
                  <c:v>2.2130000000000001</c:v>
                </c:pt>
                <c:pt idx="119">
                  <c:v>2.2130000000000001</c:v>
                </c:pt>
                <c:pt idx="120">
                  <c:v>2.2130000000000001</c:v>
                </c:pt>
                <c:pt idx="121">
                  <c:v>2.2130000000000001</c:v>
                </c:pt>
                <c:pt idx="122">
                  <c:v>2.2130000000000001</c:v>
                </c:pt>
                <c:pt idx="123">
                  <c:v>2.2130000000000001</c:v>
                </c:pt>
                <c:pt idx="124">
                  <c:v>2.2130000000000001</c:v>
                </c:pt>
                <c:pt idx="125">
                  <c:v>2.2130000000000001</c:v>
                </c:pt>
                <c:pt idx="126">
                  <c:v>2.2130000000000001</c:v>
                </c:pt>
                <c:pt idx="127">
                  <c:v>2.2130000000000001</c:v>
                </c:pt>
                <c:pt idx="128">
                  <c:v>2.2130000000000001</c:v>
                </c:pt>
                <c:pt idx="129">
                  <c:v>2.2130000000000001</c:v>
                </c:pt>
                <c:pt idx="130">
                  <c:v>2.2130000000000001</c:v>
                </c:pt>
                <c:pt idx="131">
                  <c:v>2.2130000000000001</c:v>
                </c:pt>
                <c:pt idx="132">
                  <c:v>2.2130000000000001</c:v>
                </c:pt>
                <c:pt idx="133">
                  <c:v>2.2130000000000001</c:v>
                </c:pt>
                <c:pt idx="134">
                  <c:v>2.2130000000000001</c:v>
                </c:pt>
                <c:pt idx="135">
                  <c:v>2.2130000000000001</c:v>
                </c:pt>
                <c:pt idx="136">
                  <c:v>2.2130000000000001</c:v>
                </c:pt>
                <c:pt idx="137">
                  <c:v>2.2130000000000001</c:v>
                </c:pt>
                <c:pt idx="138">
                  <c:v>2.2130000000000001</c:v>
                </c:pt>
                <c:pt idx="139">
                  <c:v>2.2130000000000001</c:v>
                </c:pt>
                <c:pt idx="140">
                  <c:v>2.2130000000000001</c:v>
                </c:pt>
                <c:pt idx="141">
                  <c:v>2.2130000000000001</c:v>
                </c:pt>
                <c:pt idx="142">
                  <c:v>2.2130000000000001</c:v>
                </c:pt>
                <c:pt idx="143">
                  <c:v>2.2130000000000001</c:v>
                </c:pt>
                <c:pt idx="144">
                  <c:v>2.2130000000000001</c:v>
                </c:pt>
                <c:pt idx="145">
                  <c:v>2.2130000000000001</c:v>
                </c:pt>
                <c:pt idx="146">
                  <c:v>2.2130000000000001</c:v>
                </c:pt>
                <c:pt idx="147">
                  <c:v>2.2130000000000001</c:v>
                </c:pt>
                <c:pt idx="148">
                  <c:v>2.2130000000000001</c:v>
                </c:pt>
                <c:pt idx="149">
                  <c:v>2.2130000000000001</c:v>
                </c:pt>
                <c:pt idx="150">
                  <c:v>2.2130000000000001</c:v>
                </c:pt>
                <c:pt idx="151">
                  <c:v>2.2130000000000001</c:v>
                </c:pt>
                <c:pt idx="152">
                  <c:v>2.2130000000000001</c:v>
                </c:pt>
                <c:pt idx="153">
                  <c:v>2.2130000000000001</c:v>
                </c:pt>
                <c:pt idx="154">
                  <c:v>2.2130000000000001</c:v>
                </c:pt>
                <c:pt idx="155">
                  <c:v>2.2130000000000001</c:v>
                </c:pt>
                <c:pt idx="156">
                  <c:v>2.2130000000000001</c:v>
                </c:pt>
                <c:pt idx="157">
                  <c:v>2.2130000000000001</c:v>
                </c:pt>
                <c:pt idx="158">
                  <c:v>2.2130000000000001</c:v>
                </c:pt>
                <c:pt idx="159">
                  <c:v>2.2130000000000001</c:v>
                </c:pt>
                <c:pt idx="160">
                  <c:v>2.2130000000000001</c:v>
                </c:pt>
                <c:pt idx="161">
                  <c:v>2.2130000000000001</c:v>
                </c:pt>
                <c:pt idx="162">
                  <c:v>2.2130000000000001</c:v>
                </c:pt>
                <c:pt idx="163">
                  <c:v>2.2130000000000001</c:v>
                </c:pt>
                <c:pt idx="164">
                  <c:v>2.2130000000000001</c:v>
                </c:pt>
                <c:pt idx="165">
                  <c:v>2.2130000000000001</c:v>
                </c:pt>
                <c:pt idx="166">
                  <c:v>2.2130000000000001</c:v>
                </c:pt>
                <c:pt idx="167">
                  <c:v>2.2130000000000001</c:v>
                </c:pt>
                <c:pt idx="168">
                  <c:v>2.2130000000000001</c:v>
                </c:pt>
                <c:pt idx="169">
                  <c:v>2.2130000000000001</c:v>
                </c:pt>
                <c:pt idx="170">
                  <c:v>2.2130000000000001</c:v>
                </c:pt>
                <c:pt idx="171">
                  <c:v>2.2130000000000001</c:v>
                </c:pt>
                <c:pt idx="172">
                  <c:v>2.2130000000000001</c:v>
                </c:pt>
                <c:pt idx="173">
                  <c:v>2.2130000000000001</c:v>
                </c:pt>
                <c:pt idx="174">
                  <c:v>2.2130000000000001</c:v>
                </c:pt>
                <c:pt idx="175">
                  <c:v>2.2130000000000001</c:v>
                </c:pt>
                <c:pt idx="176">
                  <c:v>2.2130000000000001</c:v>
                </c:pt>
                <c:pt idx="177">
                  <c:v>2.2130000000000001</c:v>
                </c:pt>
                <c:pt idx="178">
                  <c:v>2.2130000000000001</c:v>
                </c:pt>
                <c:pt idx="179">
                  <c:v>2.2130000000000001</c:v>
                </c:pt>
                <c:pt idx="180">
                  <c:v>2.2130000000000001</c:v>
                </c:pt>
                <c:pt idx="181">
                  <c:v>2.2130000000000001</c:v>
                </c:pt>
                <c:pt idx="182">
                  <c:v>2.2130000000000001</c:v>
                </c:pt>
                <c:pt idx="183">
                  <c:v>2.2130000000000001</c:v>
                </c:pt>
                <c:pt idx="184">
                  <c:v>2.2130000000000001</c:v>
                </c:pt>
                <c:pt idx="185">
                  <c:v>2.2130000000000001</c:v>
                </c:pt>
                <c:pt idx="186">
                  <c:v>2.5030000000000001</c:v>
                </c:pt>
                <c:pt idx="187">
                  <c:v>2.5030000000000001</c:v>
                </c:pt>
                <c:pt idx="188">
                  <c:v>2.5030000000000001</c:v>
                </c:pt>
                <c:pt idx="189">
                  <c:v>2.5030000000000001</c:v>
                </c:pt>
                <c:pt idx="190">
                  <c:v>2.5030000000000001</c:v>
                </c:pt>
                <c:pt idx="191">
                  <c:v>2.8029999999999999</c:v>
                </c:pt>
                <c:pt idx="192">
                  <c:v>2.8029999999999999</c:v>
                </c:pt>
                <c:pt idx="193">
                  <c:v>2.8029999999999999</c:v>
                </c:pt>
                <c:pt idx="194">
                  <c:v>2.8029999999999999</c:v>
                </c:pt>
                <c:pt idx="195">
                  <c:v>2.8029999999999999</c:v>
                </c:pt>
                <c:pt idx="196">
                  <c:v>3.0949999999999998</c:v>
                </c:pt>
                <c:pt idx="197">
                  <c:v>3.0949999999999998</c:v>
                </c:pt>
                <c:pt idx="198">
                  <c:v>3.0949999999999998</c:v>
                </c:pt>
                <c:pt idx="199">
                  <c:v>3.0949999999999998</c:v>
                </c:pt>
                <c:pt idx="200">
                  <c:v>3.0949999999999998</c:v>
                </c:pt>
                <c:pt idx="201">
                  <c:v>3.3849999999999998</c:v>
                </c:pt>
                <c:pt idx="202">
                  <c:v>3.3849999999999998</c:v>
                </c:pt>
                <c:pt idx="203">
                  <c:v>3.3849999999999998</c:v>
                </c:pt>
                <c:pt idx="204">
                  <c:v>3.3849999999999998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3.3849999999999998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3.3849999999999998</c:v>
                </c:pt>
                <c:pt idx="213">
                  <c:v>3.3849999999999998</c:v>
                </c:pt>
                <c:pt idx="214">
                  <c:v>3.3849999999999998</c:v>
                </c:pt>
                <c:pt idx="215">
                  <c:v>3.6749999999999998</c:v>
                </c:pt>
                <c:pt idx="216">
                  <c:v>3.6749999999999998</c:v>
                </c:pt>
                <c:pt idx="217">
                  <c:v>3.6749999999999998</c:v>
                </c:pt>
                <c:pt idx="218">
                  <c:v>3.6749999999999998</c:v>
                </c:pt>
                <c:pt idx="219">
                  <c:v>3.6749999999999998</c:v>
                </c:pt>
                <c:pt idx="220">
                  <c:v>3.9649999999999999</c:v>
                </c:pt>
                <c:pt idx="221">
                  <c:v>3.9649999999999999</c:v>
                </c:pt>
                <c:pt idx="222">
                  <c:v>3.9649999999999999</c:v>
                </c:pt>
                <c:pt idx="223">
                  <c:v>3.9649999999999999</c:v>
                </c:pt>
                <c:pt idx="224">
                  <c:v>3.9649999999999999</c:v>
                </c:pt>
                <c:pt idx="225">
                  <c:v>4.2549999999999999</c:v>
                </c:pt>
                <c:pt idx="226">
                  <c:v>4.2549999999999999</c:v>
                </c:pt>
                <c:pt idx="227">
                  <c:v>4.2549999999999999</c:v>
                </c:pt>
                <c:pt idx="228">
                  <c:v>4.2549999999999999</c:v>
                </c:pt>
                <c:pt idx="229">
                  <c:v>4.2549999999999999</c:v>
                </c:pt>
                <c:pt idx="230">
                  <c:v>4.2549999999999999</c:v>
                </c:pt>
                <c:pt idx="231">
                  <c:v>4.2549999999999999</c:v>
                </c:pt>
                <c:pt idx="232">
                  <c:v>4.2549999999999999</c:v>
                </c:pt>
                <c:pt idx="233">
                  <c:v>4.2549999999999999</c:v>
                </c:pt>
                <c:pt idx="234">
                  <c:v>4.2549999999999999</c:v>
                </c:pt>
                <c:pt idx="235">
                  <c:v>4.2549999999999999</c:v>
                </c:pt>
                <c:pt idx="236">
                  <c:v>4.2549999999999999</c:v>
                </c:pt>
                <c:pt idx="237">
                  <c:v>4.2549999999999999</c:v>
                </c:pt>
                <c:pt idx="238">
                  <c:v>4.2549999999999999</c:v>
                </c:pt>
                <c:pt idx="239">
                  <c:v>4.2549999999999999</c:v>
                </c:pt>
                <c:pt idx="240">
                  <c:v>4.2549999999999999</c:v>
                </c:pt>
                <c:pt idx="241">
                  <c:v>4.2549999999999999</c:v>
                </c:pt>
                <c:pt idx="242">
                  <c:v>4.2549999999999999</c:v>
                </c:pt>
                <c:pt idx="243">
                  <c:v>4.2549999999999999</c:v>
                </c:pt>
                <c:pt idx="244">
                  <c:v>4.2549999999999999</c:v>
                </c:pt>
                <c:pt idx="245">
                  <c:v>4.2549999999999999</c:v>
                </c:pt>
                <c:pt idx="246">
                  <c:v>4.2549999999999999</c:v>
                </c:pt>
                <c:pt idx="247">
                  <c:v>4.2549999999999999</c:v>
                </c:pt>
                <c:pt idx="248">
                  <c:v>4.2549999999999999</c:v>
                </c:pt>
                <c:pt idx="249">
                  <c:v>4.2549999999999999</c:v>
                </c:pt>
                <c:pt idx="250">
                  <c:v>4.2549999999999999</c:v>
                </c:pt>
                <c:pt idx="251">
                  <c:v>4.2549999999999999</c:v>
                </c:pt>
                <c:pt idx="252">
                  <c:v>4.2549999999999999</c:v>
                </c:pt>
                <c:pt idx="253">
                  <c:v>4.2549999999999999</c:v>
                </c:pt>
                <c:pt idx="254">
                  <c:v>4.2549999999999999</c:v>
                </c:pt>
                <c:pt idx="255">
                  <c:v>4.2549999999999999</c:v>
                </c:pt>
                <c:pt idx="256">
                  <c:v>4.2549999999999999</c:v>
                </c:pt>
                <c:pt idx="257">
                  <c:v>4.2549999999999999</c:v>
                </c:pt>
                <c:pt idx="258">
                  <c:v>4.2549999999999999</c:v>
                </c:pt>
                <c:pt idx="259">
                  <c:v>4.2549999999999999</c:v>
                </c:pt>
                <c:pt idx="260">
                  <c:v>4.2549999999999999</c:v>
                </c:pt>
                <c:pt idx="261">
                  <c:v>4.2549999999999999</c:v>
                </c:pt>
                <c:pt idx="262">
                  <c:v>4.2549999999999999</c:v>
                </c:pt>
                <c:pt idx="263">
                  <c:v>4.2549999999999999</c:v>
                </c:pt>
                <c:pt idx="264">
                  <c:v>4.2549999999999999</c:v>
                </c:pt>
                <c:pt idx="265">
                  <c:v>4.2549999999999999</c:v>
                </c:pt>
                <c:pt idx="266">
                  <c:v>4.2549999999999999</c:v>
                </c:pt>
                <c:pt idx="267">
                  <c:v>4.2549999999999999</c:v>
                </c:pt>
                <c:pt idx="268">
                  <c:v>4.2549999999999999</c:v>
                </c:pt>
                <c:pt idx="269">
                  <c:v>4.2549999999999999</c:v>
                </c:pt>
                <c:pt idx="270">
                  <c:v>4.2549999999999999</c:v>
                </c:pt>
                <c:pt idx="271">
                  <c:v>4.2549999999999999</c:v>
                </c:pt>
                <c:pt idx="272">
                  <c:v>4.2549999999999999</c:v>
                </c:pt>
                <c:pt idx="273">
                  <c:v>4.2549999999999999</c:v>
                </c:pt>
                <c:pt idx="274">
                  <c:v>4.2549999999999999</c:v>
                </c:pt>
                <c:pt idx="275">
                  <c:v>4.2549999999999999</c:v>
                </c:pt>
                <c:pt idx="276">
                  <c:v>4.2549999999999999</c:v>
                </c:pt>
                <c:pt idx="277">
                  <c:v>4.2549999999999999</c:v>
                </c:pt>
                <c:pt idx="278">
                  <c:v>4.2549999999999999</c:v>
                </c:pt>
                <c:pt idx="279">
                  <c:v>4.2549999999999999</c:v>
                </c:pt>
                <c:pt idx="280">
                  <c:v>4.2549999999999999</c:v>
                </c:pt>
                <c:pt idx="281">
                  <c:v>4.2549999999999999</c:v>
                </c:pt>
                <c:pt idx="282">
                  <c:v>4.2549999999999999</c:v>
                </c:pt>
                <c:pt idx="283">
                  <c:v>4.2549999999999999</c:v>
                </c:pt>
                <c:pt idx="284">
                  <c:v>4.2549999999999999</c:v>
                </c:pt>
                <c:pt idx="285">
                  <c:v>4.2549999999999999</c:v>
                </c:pt>
                <c:pt idx="286">
                  <c:v>4.2549999999999999</c:v>
                </c:pt>
                <c:pt idx="287">
                  <c:v>4.2549999999999999</c:v>
                </c:pt>
                <c:pt idx="288">
                  <c:v>4.2549999999999999</c:v>
                </c:pt>
                <c:pt idx="289">
                  <c:v>4.2549999999999999</c:v>
                </c:pt>
                <c:pt idx="290">
                  <c:v>4.2549999999999999</c:v>
                </c:pt>
                <c:pt idx="291">
                  <c:v>4.2549999999999999</c:v>
                </c:pt>
                <c:pt idx="292">
                  <c:v>4.2549999999999999</c:v>
                </c:pt>
                <c:pt idx="293">
                  <c:v>4.2549999999999999</c:v>
                </c:pt>
                <c:pt idx="294">
                  <c:v>4.2549999999999999</c:v>
                </c:pt>
                <c:pt idx="295">
                  <c:v>4.2549999999999999</c:v>
                </c:pt>
                <c:pt idx="296">
                  <c:v>4.2549999999999999</c:v>
                </c:pt>
                <c:pt idx="297">
                  <c:v>4.2549999999999999</c:v>
                </c:pt>
                <c:pt idx="298">
                  <c:v>4.2549999999999999</c:v>
                </c:pt>
                <c:pt idx="299">
                  <c:v>4.2549999999999999</c:v>
                </c:pt>
                <c:pt idx="300">
                  <c:v>4.2549999999999999</c:v>
                </c:pt>
                <c:pt idx="301">
                  <c:v>4.2549999999999999</c:v>
                </c:pt>
                <c:pt idx="302">
                  <c:v>4.2549999999999999</c:v>
                </c:pt>
                <c:pt idx="303">
                  <c:v>4.2549999999999999</c:v>
                </c:pt>
                <c:pt idx="304">
                  <c:v>4.2549999999999999</c:v>
                </c:pt>
                <c:pt idx="305">
                  <c:v>4.2549999999999999</c:v>
                </c:pt>
                <c:pt idx="306">
                  <c:v>4.2549999999999999</c:v>
                </c:pt>
                <c:pt idx="307">
                  <c:v>4.2549999999999999</c:v>
                </c:pt>
                <c:pt idx="308">
                  <c:v>4.2549999999999999</c:v>
                </c:pt>
                <c:pt idx="309">
                  <c:v>4.2549999999999999</c:v>
                </c:pt>
                <c:pt idx="310">
                  <c:v>4.2549999999999999</c:v>
                </c:pt>
                <c:pt idx="311">
                  <c:v>4.2549999999999999</c:v>
                </c:pt>
                <c:pt idx="312">
                  <c:v>4.2549999999999999</c:v>
                </c:pt>
                <c:pt idx="313">
                  <c:v>4.2549999999999999</c:v>
                </c:pt>
                <c:pt idx="314">
                  <c:v>4.2549999999999999</c:v>
                </c:pt>
                <c:pt idx="315">
                  <c:v>4.2549999999999999</c:v>
                </c:pt>
                <c:pt idx="316">
                  <c:v>4.2549999999999999</c:v>
                </c:pt>
                <c:pt idx="317">
                  <c:v>4.2549999999999999</c:v>
                </c:pt>
                <c:pt idx="318">
                  <c:v>4.2549999999999999</c:v>
                </c:pt>
                <c:pt idx="319">
                  <c:v>4.2549999999999999</c:v>
                </c:pt>
                <c:pt idx="320">
                  <c:v>4.2549999999999999</c:v>
                </c:pt>
                <c:pt idx="321">
                  <c:v>4.2549999999999999</c:v>
                </c:pt>
                <c:pt idx="322">
                  <c:v>4.2549999999999999</c:v>
                </c:pt>
                <c:pt idx="323">
                  <c:v>4.2549999999999999</c:v>
                </c:pt>
                <c:pt idx="324">
                  <c:v>4.2549999999999999</c:v>
                </c:pt>
                <c:pt idx="325">
                  <c:v>4.2549999999999999</c:v>
                </c:pt>
                <c:pt idx="326">
                  <c:v>4.2549999999999999</c:v>
                </c:pt>
                <c:pt idx="327">
                  <c:v>4.2549999999999999</c:v>
                </c:pt>
                <c:pt idx="328">
                  <c:v>4.2549999999999999</c:v>
                </c:pt>
                <c:pt idx="329">
                  <c:v>4.2549999999999999</c:v>
                </c:pt>
                <c:pt idx="330">
                  <c:v>4.2549999999999999</c:v>
                </c:pt>
                <c:pt idx="331">
                  <c:v>4.2549999999999999</c:v>
                </c:pt>
                <c:pt idx="332">
                  <c:v>4.2549999999999999</c:v>
                </c:pt>
                <c:pt idx="333">
                  <c:v>4.2549999999999999</c:v>
                </c:pt>
                <c:pt idx="334">
                  <c:v>4.2549999999999999</c:v>
                </c:pt>
                <c:pt idx="335">
                  <c:v>4.2549999999999999</c:v>
                </c:pt>
                <c:pt idx="336">
                  <c:v>4.2549999999999999</c:v>
                </c:pt>
                <c:pt idx="337">
                  <c:v>4.2549999999999999</c:v>
                </c:pt>
                <c:pt idx="338">
                  <c:v>4.2549999999999999</c:v>
                </c:pt>
                <c:pt idx="339">
                  <c:v>4.2549999999999999</c:v>
                </c:pt>
                <c:pt idx="340">
                  <c:v>4.2549999999999999</c:v>
                </c:pt>
                <c:pt idx="341">
                  <c:v>4.2549999999999999</c:v>
                </c:pt>
                <c:pt idx="342">
                  <c:v>4.2549999999999999</c:v>
                </c:pt>
                <c:pt idx="343">
                  <c:v>4.2549999999999999</c:v>
                </c:pt>
                <c:pt idx="344">
                  <c:v>4.2549999999999999</c:v>
                </c:pt>
                <c:pt idx="345">
                  <c:v>4.2549999999999999</c:v>
                </c:pt>
                <c:pt idx="346">
                  <c:v>4.2549999999999999</c:v>
                </c:pt>
                <c:pt idx="347">
                  <c:v>4.2549999999999999</c:v>
                </c:pt>
                <c:pt idx="348">
                  <c:v>4.2549999999999999</c:v>
                </c:pt>
                <c:pt idx="349">
                  <c:v>4.2549999999999999</c:v>
                </c:pt>
                <c:pt idx="350">
                  <c:v>4.2549999999999999</c:v>
                </c:pt>
                <c:pt idx="351">
                  <c:v>4.2549999999999999</c:v>
                </c:pt>
                <c:pt idx="352">
                  <c:v>4.2549999999999999</c:v>
                </c:pt>
                <c:pt idx="353">
                  <c:v>4.2549999999999999</c:v>
                </c:pt>
                <c:pt idx="354">
                  <c:v>4.2549999999999999</c:v>
                </c:pt>
                <c:pt idx="355">
                  <c:v>4.2549999999999999</c:v>
                </c:pt>
                <c:pt idx="356">
                  <c:v>4.2549999999999999</c:v>
                </c:pt>
                <c:pt idx="357">
                  <c:v>4.2549999999999999</c:v>
                </c:pt>
                <c:pt idx="358">
                  <c:v>4.2549999999999999</c:v>
                </c:pt>
                <c:pt idx="359">
                  <c:v>4.2549999999999999</c:v>
                </c:pt>
                <c:pt idx="360">
                  <c:v>4.2549999999999999</c:v>
                </c:pt>
                <c:pt idx="361">
                  <c:v>4.2549999999999999</c:v>
                </c:pt>
                <c:pt idx="362">
                  <c:v>4.2549999999999999</c:v>
                </c:pt>
                <c:pt idx="363">
                  <c:v>4.2549999999999999</c:v>
                </c:pt>
                <c:pt idx="364">
                  <c:v>4.2549999999999999</c:v>
                </c:pt>
                <c:pt idx="365">
                  <c:v>4.2549999999999999</c:v>
                </c:pt>
                <c:pt idx="366">
                  <c:v>4.2549999999999999</c:v>
                </c:pt>
                <c:pt idx="367">
                  <c:v>4.2549999999999999</c:v>
                </c:pt>
                <c:pt idx="368">
                  <c:v>4.2549999999999999</c:v>
                </c:pt>
                <c:pt idx="369">
                  <c:v>4.2549999999999999</c:v>
                </c:pt>
                <c:pt idx="370">
                  <c:v>4.2549999999999999</c:v>
                </c:pt>
                <c:pt idx="371">
                  <c:v>4.2549999999999999</c:v>
                </c:pt>
                <c:pt idx="372">
                  <c:v>4.2549999999999999</c:v>
                </c:pt>
                <c:pt idx="373">
                  <c:v>4.2549999999999999</c:v>
                </c:pt>
                <c:pt idx="374">
                  <c:v>4.2549999999999999</c:v>
                </c:pt>
                <c:pt idx="375">
                  <c:v>4.2549999999999999</c:v>
                </c:pt>
                <c:pt idx="376">
                  <c:v>4.2549999999999999</c:v>
                </c:pt>
                <c:pt idx="377">
                  <c:v>4.2549999999999999</c:v>
                </c:pt>
                <c:pt idx="378">
                  <c:v>4.2549999999999999</c:v>
                </c:pt>
                <c:pt idx="379">
                  <c:v>4.2549999999999999</c:v>
                </c:pt>
                <c:pt idx="380">
                  <c:v>4.2549999999999999</c:v>
                </c:pt>
                <c:pt idx="381">
                  <c:v>4.2549999999999999</c:v>
                </c:pt>
                <c:pt idx="382">
                  <c:v>4.2549999999999999</c:v>
                </c:pt>
                <c:pt idx="383">
                  <c:v>4.2549999999999999</c:v>
                </c:pt>
                <c:pt idx="384">
                  <c:v>4.2549999999999999</c:v>
                </c:pt>
                <c:pt idx="385">
                  <c:v>4.2549999999999999</c:v>
                </c:pt>
                <c:pt idx="386">
                  <c:v>4.2549999999999999</c:v>
                </c:pt>
                <c:pt idx="387">
                  <c:v>4.2549999999999999</c:v>
                </c:pt>
                <c:pt idx="388">
                  <c:v>4.2549999999999999</c:v>
                </c:pt>
                <c:pt idx="389">
                  <c:v>4.2549999999999999</c:v>
                </c:pt>
                <c:pt idx="390">
                  <c:v>4.2549999999999999</c:v>
                </c:pt>
                <c:pt idx="391">
                  <c:v>4.2549999999999999</c:v>
                </c:pt>
                <c:pt idx="392">
                  <c:v>4.2549999999999999</c:v>
                </c:pt>
                <c:pt idx="393">
                  <c:v>4.2549999999999999</c:v>
                </c:pt>
                <c:pt idx="394">
                  <c:v>4.2549999999999999</c:v>
                </c:pt>
                <c:pt idx="395">
                  <c:v>4.2549999999999999</c:v>
                </c:pt>
                <c:pt idx="396">
                  <c:v>4.2549999999999999</c:v>
                </c:pt>
                <c:pt idx="397">
                  <c:v>4.2549999999999999</c:v>
                </c:pt>
                <c:pt idx="398">
                  <c:v>4.2549999999999999</c:v>
                </c:pt>
                <c:pt idx="399">
                  <c:v>4.2549999999999999</c:v>
                </c:pt>
                <c:pt idx="400">
                  <c:v>4.2549999999999999</c:v>
                </c:pt>
                <c:pt idx="401">
                  <c:v>4.2549999999999999</c:v>
                </c:pt>
                <c:pt idx="402">
                  <c:v>4.2549999999999999</c:v>
                </c:pt>
                <c:pt idx="403">
                  <c:v>4.2549999999999999</c:v>
                </c:pt>
                <c:pt idx="404">
                  <c:v>4.2549999999999999</c:v>
                </c:pt>
                <c:pt idx="405">
                  <c:v>4.2549999999999999</c:v>
                </c:pt>
                <c:pt idx="406">
                  <c:v>4.2549999999999999</c:v>
                </c:pt>
                <c:pt idx="407">
                  <c:v>4.2549999999999999</c:v>
                </c:pt>
                <c:pt idx="408">
                  <c:v>4.2549999999999999</c:v>
                </c:pt>
                <c:pt idx="409">
                  <c:v>4.5030000000000001</c:v>
                </c:pt>
                <c:pt idx="410">
                  <c:v>4.5030000000000001</c:v>
                </c:pt>
                <c:pt idx="411">
                  <c:v>4.5030000000000001</c:v>
                </c:pt>
                <c:pt idx="412">
                  <c:v>4.5030000000000001</c:v>
                </c:pt>
                <c:pt idx="413">
                  <c:v>4.5030000000000001</c:v>
                </c:pt>
                <c:pt idx="414">
                  <c:v>4.7910000000000004</c:v>
                </c:pt>
                <c:pt idx="415">
                  <c:v>4.7910000000000004</c:v>
                </c:pt>
                <c:pt idx="416">
                  <c:v>4.7910000000000004</c:v>
                </c:pt>
                <c:pt idx="417">
                  <c:v>4.7910000000000004</c:v>
                </c:pt>
                <c:pt idx="418">
                  <c:v>4.7910000000000004</c:v>
                </c:pt>
                <c:pt idx="419">
                  <c:v>5.0910000000000002</c:v>
                </c:pt>
                <c:pt idx="420">
                  <c:v>5.0910000000000002</c:v>
                </c:pt>
                <c:pt idx="421">
                  <c:v>5.0910000000000002</c:v>
                </c:pt>
                <c:pt idx="422">
                  <c:v>5.0910000000000002</c:v>
                </c:pt>
                <c:pt idx="423">
                  <c:v>5.0910000000000002</c:v>
                </c:pt>
                <c:pt idx="424">
                  <c:v>5.3890000000000002</c:v>
                </c:pt>
                <c:pt idx="425">
                  <c:v>5.3890000000000002</c:v>
                </c:pt>
                <c:pt idx="426">
                  <c:v>5.3890000000000002</c:v>
                </c:pt>
                <c:pt idx="427">
                  <c:v>5.3890000000000002</c:v>
                </c:pt>
                <c:pt idx="428">
                  <c:v>5.3890000000000002</c:v>
                </c:pt>
                <c:pt idx="429">
                  <c:v>5.6870000000000003</c:v>
                </c:pt>
                <c:pt idx="430">
                  <c:v>5.6870000000000003</c:v>
                </c:pt>
                <c:pt idx="431">
                  <c:v>5.6870000000000003</c:v>
                </c:pt>
                <c:pt idx="432">
                  <c:v>5.6870000000000003</c:v>
                </c:pt>
                <c:pt idx="433">
                  <c:v>5.6870000000000003</c:v>
                </c:pt>
                <c:pt idx="434">
                  <c:v>5.9860000000000007</c:v>
                </c:pt>
                <c:pt idx="435">
                  <c:v>5.9860000000000007</c:v>
                </c:pt>
                <c:pt idx="436">
                  <c:v>5.9860000000000007</c:v>
                </c:pt>
                <c:pt idx="437">
                  <c:v>5.9860000000000007</c:v>
                </c:pt>
                <c:pt idx="438">
                  <c:v>5.9860000000000007</c:v>
                </c:pt>
                <c:pt idx="439">
                  <c:v>6.2840000000000007</c:v>
                </c:pt>
                <c:pt idx="440">
                  <c:v>6.2840000000000007</c:v>
                </c:pt>
                <c:pt idx="441">
                  <c:v>6.2840000000000007</c:v>
                </c:pt>
                <c:pt idx="442">
                  <c:v>6.2840000000000007</c:v>
                </c:pt>
                <c:pt idx="443">
                  <c:v>6.2840000000000007</c:v>
                </c:pt>
                <c:pt idx="444">
                  <c:v>6.5790000000000006</c:v>
                </c:pt>
                <c:pt idx="445">
                  <c:v>6.5790000000000006</c:v>
                </c:pt>
                <c:pt idx="446">
                  <c:v>6.5790000000000006</c:v>
                </c:pt>
                <c:pt idx="447">
                  <c:v>6.5790000000000006</c:v>
                </c:pt>
                <c:pt idx="448">
                  <c:v>6.5790000000000006</c:v>
                </c:pt>
                <c:pt idx="449">
                  <c:v>6.5790000000000006</c:v>
                </c:pt>
                <c:pt idx="450">
                  <c:v>6.5790000000000006</c:v>
                </c:pt>
                <c:pt idx="451">
                  <c:v>6.5790000000000006</c:v>
                </c:pt>
                <c:pt idx="452">
                  <c:v>6.5790000000000006</c:v>
                </c:pt>
                <c:pt idx="453">
                  <c:v>6.5790000000000006</c:v>
                </c:pt>
                <c:pt idx="454">
                  <c:v>6.5790000000000006</c:v>
                </c:pt>
                <c:pt idx="455">
                  <c:v>6.5790000000000006</c:v>
                </c:pt>
                <c:pt idx="456">
                  <c:v>6.8770000000000007</c:v>
                </c:pt>
                <c:pt idx="457">
                  <c:v>6.8770000000000007</c:v>
                </c:pt>
                <c:pt idx="458">
                  <c:v>6.8770000000000007</c:v>
                </c:pt>
                <c:pt idx="459">
                  <c:v>6.8770000000000007</c:v>
                </c:pt>
                <c:pt idx="460">
                  <c:v>6.8770000000000007</c:v>
                </c:pt>
                <c:pt idx="461">
                  <c:v>6.8770000000000007</c:v>
                </c:pt>
                <c:pt idx="462">
                  <c:v>6.8770000000000007</c:v>
                </c:pt>
                <c:pt idx="463">
                  <c:v>6.8770000000000007</c:v>
                </c:pt>
                <c:pt idx="464">
                  <c:v>6.8770000000000007</c:v>
                </c:pt>
                <c:pt idx="465">
                  <c:v>6.8770000000000007</c:v>
                </c:pt>
                <c:pt idx="466">
                  <c:v>6.8770000000000007</c:v>
                </c:pt>
                <c:pt idx="467">
                  <c:v>6.8770000000000007</c:v>
                </c:pt>
                <c:pt idx="468">
                  <c:v>6.8770000000000007</c:v>
                </c:pt>
                <c:pt idx="469">
                  <c:v>6.8770000000000007</c:v>
                </c:pt>
                <c:pt idx="470">
                  <c:v>6.8770000000000007</c:v>
                </c:pt>
                <c:pt idx="471">
                  <c:v>6.8770000000000007</c:v>
                </c:pt>
                <c:pt idx="472">
                  <c:v>6.8770000000000007</c:v>
                </c:pt>
                <c:pt idx="473">
                  <c:v>6.8770000000000007</c:v>
                </c:pt>
                <c:pt idx="474">
                  <c:v>6.8770000000000007</c:v>
                </c:pt>
                <c:pt idx="475">
                  <c:v>6.8770000000000007</c:v>
                </c:pt>
                <c:pt idx="476">
                  <c:v>6.8770000000000007</c:v>
                </c:pt>
                <c:pt idx="477">
                  <c:v>6.8770000000000007</c:v>
                </c:pt>
                <c:pt idx="478">
                  <c:v>6.8770000000000007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E1-4ABA-BD08-C581D4D57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8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60"/>
      </c:valAx>
      <c:valAx>
        <c:axId val="576372736"/>
        <c:scaling>
          <c:orientation val="minMax"/>
          <c:max val="1600"/>
          <c:min val="-16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4497897931751676E-4"/>
              <c:y val="0.3767027131030583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4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223879</xdr:colOff>
      <xdr:row>471</xdr:row>
      <xdr:rowOff>163700</xdr:rowOff>
    </xdr:from>
    <xdr:to>
      <xdr:col>30</xdr:col>
      <xdr:colOff>465667</xdr:colOff>
      <xdr:row>498</xdr:row>
      <xdr:rowOff>100134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8D3D09C-CE85-4DD0-BE91-0003CCA5C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BD02-A1D1-4634-8A4E-326867B24160}">
  <sheetPr>
    <tabColor rgb="FF00B0F0"/>
    <pageSetUpPr fitToPage="1"/>
  </sheetPr>
  <dimension ref="A1:AF684"/>
  <sheetViews>
    <sheetView tabSelected="1" view="pageBreakPreview" zoomScaleNormal="83" zoomScaleSheetLayoutView="100" workbookViewId="0">
      <pane ySplit="14" topLeftCell="A474" activePane="bottomLeft" state="frozen"/>
      <selection activeCell="T482" sqref="T482"/>
      <selection pane="bottomLeft" activeCell="X429" sqref="X42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3" width="9.28515625" style="1" customWidth="1"/>
    <col min="24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X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>
        <f t="shared" si="0"/>
        <v>23</v>
      </c>
      <c r="Y1" s="3"/>
      <c r="Z1" s="3">
        <f>+X1+1</f>
        <v>24</v>
      </c>
      <c r="AA1" s="3">
        <f>+Z1+1</f>
        <v>25</v>
      </c>
      <c r="AB1" s="3">
        <f>+AA1+1</f>
        <v>26</v>
      </c>
    </row>
    <row r="2" spans="1:32" ht="19.5" customHeight="1">
      <c r="A2" s="187" t="s">
        <v>45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</row>
    <row r="3" spans="1:32" ht="19.5" customHeight="1">
      <c r="A3" s="187" t="s">
        <v>44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</row>
    <row r="4" spans="1:32" ht="19.5" customHeight="1">
      <c r="A4" s="18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</row>
    <row r="5" spans="1:32" ht="18.75" customHeight="1">
      <c r="A5" s="188" t="s">
        <v>43</v>
      </c>
      <c r="B5" s="189"/>
      <c r="C5" s="189"/>
      <c r="D5" s="189"/>
      <c r="E5" s="189"/>
      <c r="F5" s="189"/>
      <c r="G5" s="189"/>
      <c r="H5" s="190"/>
      <c r="I5" s="191" t="s">
        <v>42</v>
      </c>
      <c r="J5" s="192"/>
      <c r="K5" s="192"/>
      <c r="L5" s="192"/>
      <c r="M5" s="192"/>
      <c r="N5" s="192"/>
      <c r="O5" s="192"/>
      <c r="P5" s="192"/>
      <c r="Q5" s="192"/>
      <c r="R5" s="193"/>
      <c r="S5" s="191" t="s">
        <v>41</v>
      </c>
      <c r="T5" s="192"/>
      <c r="U5" s="192"/>
      <c r="V5" s="192"/>
      <c r="W5" s="192"/>
      <c r="X5" s="192"/>
      <c r="Y5" s="192"/>
      <c r="Z5" s="192"/>
      <c r="AA5" s="192"/>
      <c r="AB5" s="193"/>
    </row>
    <row r="6" spans="1:32" ht="17.25" customHeight="1">
      <c r="A6" s="194" t="s">
        <v>40</v>
      </c>
      <c r="B6" s="195"/>
      <c r="C6" s="195"/>
      <c r="D6" s="195"/>
      <c r="E6" s="195"/>
      <c r="F6" s="195"/>
      <c r="G6" s="195"/>
      <c r="H6" s="196"/>
      <c r="I6" s="20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8"/>
      <c r="K6" s="208"/>
      <c r="L6" s="208"/>
      <c r="M6" s="208"/>
      <c r="N6" s="208"/>
      <c r="O6" s="208"/>
      <c r="P6" s="208"/>
      <c r="Q6" s="208"/>
      <c r="R6" s="209"/>
      <c r="S6" s="210" t="s">
        <v>39</v>
      </c>
      <c r="T6" s="211"/>
      <c r="U6" s="211"/>
      <c r="V6" s="211"/>
      <c r="W6" s="211"/>
      <c r="X6" s="211"/>
      <c r="Y6" s="211"/>
      <c r="Z6" s="211"/>
      <c r="AA6" s="211"/>
      <c r="AB6" s="212"/>
    </row>
    <row r="7" spans="1:32" ht="21" customHeight="1">
      <c r="A7" s="197" t="s">
        <v>38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9"/>
    </row>
    <row r="8" spans="1:32" ht="15">
      <c r="A8" s="62" t="s">
        <v>37</v>
      </c>
      <c r="B8" s="60"/>
      <c r="C8" s="60"/>
      <c r="D8" s="60"/>
      <c r="E8" s="60"/>
      <c r="F8" s="60"/>
      <c r="G8" s="60"/>
      <c r="H8" s="60"/>
      <c r="I8" s="60"/>
      <c r="J8" s="61"/>
      <c r="K8" s="61" t="s">
        <v>36</v>
      </c>
      <c r="L8" s="61"/>
      <c r="M8" s="61"/>
      <c r="N8" s="61"/>
      <c r="O8" s="60"/>
      <c r="P8" s="60"/>
      <c r="Q8" s="60"/>
      <c r="R8" s="60"/>
      <c r="S8" s="60"/>
      <c r="T8" s="60"/>
      <c r="U8" s="60"/>
      <c r="V8" s="60"/>
      <c r="W8" s="59"/>
      <c r="X8" s="59"/>
      <c r="Y8" s="59"/>
      <c r="Z8" s="59"/>
      <c r="AA8" s="59"/>
      <c r="AB8" s="58"/>
    </row>
    <row r="9" spans="1:32" ht="15">
      <c r="A9" s="56" t="s">
        <v>35</v>
      </c>
      <c r="B9" s="54"/>
      <c r="C9" s="54" t="s">
        <v>34</v>
      </c>
      <c r="D9" s="54"/>
      <c r="E9" s="54"/>
      <c r="F9" s="54"/>
      <c r="G9" s="54"/>
      <c r="H9" s="54"/>
      <c r="I9" s="54"/>
      <c r="J9" s="55"/>
      <c r="K9" s="55" t="s">
        <v>33</v>
      </c>
      <c r="L9" s="55"/>
      <c r="M9" s="57">
        <f>C14</f>
        <v>844</v>
      </c>
      <c r="N9" s="55"/>
      <c r="O9" s="54"/>
      <c r="P9" s="54"/>
      <c r="Q9" s="54"/>
      <c r="R9" s="54"/>
      <c r="S9" s="54"/>
      <c r="T9" s="54"/>
      <c r="U9" s="54"/>
      <c r="V9" s="54"/>
      <c r="W9" s="53"/>
      <c r="X9" s="53"/>
      <c r="Y9" s="53"/>
      <c r="Z9" s="53"/>
      <c r="AA9" s="53"/>
      <c r="AB9" s="52"/>
    </row>
    <row r="10" spans="1:32" ht="15">
      <c r="A10" s="56" t="s">
        <v>32</v>
      </c>
      <c r="B10" s="54"/>
      <c r="C10" s="54" t="s">
        <v>31</v>
      </c>
      <c r="D10" s="54"/>
      <c r="E10" s="54"/>
      <c r="F10" s="54"/>
      <c r="G10" s="54"/>
      <c r="H10" s="54"/>
      <c r="I10" s="54"/>
      <c r="J10" s="55"/>
      <c r="K10" s="55" t="s">
        <v>30</v>
      </c>
      <c r="L10" s="55"/>
      <c r="M10" s="200">
        <f>B14</f>
        <v>45281</v>
      </c>
      <c r="N10" s="200"/>
      <c r="O10" s="54"/>
      <c r="P10" s="54"/>
      <c r="Q10" s="54"/>
      <c r="R10" s="54"/>
      <c r="S10" s="54"/>
      <c r="T10" s="54"/>
      <c r="U10" s="54"/>
      <c r="V10" s="54"/>
      <c r="W10" s="53"/>
      <c r="X10" s="53"/>
      <c r="Y10" s="53"/>
      <c r="Z10" s="53"/>
      <c r="AA10" s="53"/>
      <c r="AB10" s="52"/>
    </row>
    <row r="11" spans="1:32" ht="11.25" customHeight="1">
      <c r="A11" s="51"/>
      <c r="B11" s="48"/>
      <c r="C11" s="5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8"/>
      <c r="U11" s="48"/>
      <c r="V11" s="48"/>
      <c r="W11" s="48"/>
      <c r="X11" s="48"/>
      <c r="Y11" s="48"/>
      <c r="Z11" s="48"/>
      <c r="AA11" s="48"/>
      <c r="AB11" s="47"/>
    </row>
    <row r="12" spans="1:32" ht="47.25" customHeight="1">
      <c r="A12" s="182" t="s">
        <v>29</v>
      </c>
      <c r="B12" s="182" t="s">
        <v>28</v>
      </c>
      <c r="C12" s="182" t="s">
        <v>27</v>
      </c>
      <c r="D12" s="182" t="s">
        <v>26</v>
      </c>
      <c r="E12" s="184" t="s">
        <v>25</v>
      </c>
      <c r="F12" s="185"/>
      <c r="G12" s="186"/>
      <c r="H12" s="184" t="s">
        <v>24</v>
      </c>
      <c r="I12" s="185"/>
      <c r="J12" s="186"/>
      <c r="K12" s="184" t="s">
        <v>23</v>
      </c>
      <c r="L12" s="185"/>
      <c r="M12" s="186"/>
      <c r="N12" s="184" t="s">
        <v>22</v>
      </c>
      <c r="O12" s="185"/>
      <c r="P12" s="186"/>
      <c r="Q12" s="201" t="s">
        <v>21</v>
      </c>
      <c r="R12" s="202"/>
      <c r="S12" s="203"/>
      <c r="T12" s="182" t="s">
        <v>20</v>
      </c>
      <c r="U12" s="204" t="s">
        <v>19</v>
      </c>
      <c r="V12" s="205"/>
      <c r="W12" s="206"/>
      <c r="X12" s="182" t="s">
        <v>18</v>
      </c>
      <c r="Y12" s="182" t="s">
        <v>17</v>
      </c>
      <c r="Z12" s="182" t="s">
        <v>16</v>
      </c>
      <c r="AA12" s="182" t="s">
        <v>15</v>
      </c>
      <c r="AB12" s="182" t="s">
        <v>14</v>
      </c>
    </row>
    <row r="13" spans="1:32" ht="33" customHeight="1">
      <c r="A13" s="183"/>
      <c r="B13" s="183"/>
      <c r="C13" s="183"/>
      <c r="D13" s="183"/>
      <c r="E13" s="46" t="s">
        <v>13</v>
      </c>
      <c r="F13" s="46" t="s">
        <v>12</v>
      </c>
      <c r="G13" s="46" t="s">
        <v>11</v>
      </c>
      <c r="H13" s="46" t="s">
        <v>13</v>
      </c>
      <c r="I13" s="46" t="s">
        <v>12</v>
      </c>
      <c r="J13" s="46" t="s">
        <v>11</v>
      </c>
      <c r="K13" s="46" t="s">
        <v>13</v>
      </c>
      <c r="L13" s="46" t="s">
        <v>12</v>
      </c>
      <c r="M13" s="46" t="s">
        <v>11</v>
      </c>
      <c r="N13" s="46" t="s">
        <v>13</v>
      </c>
      <c r="O13" s="46" t="s">
        <v>12</v>
      </c>
      <c r="P13" s="46" t="s">
        <v>11</v>
      </c>
      <c r="Q13" s="46" t="s">
        <v>13</v>
      </c>
      <c r="R13" s="46" t="s">
        <v>12</v>
      </c>
      <c r="S13" s="46" t="s">
        <v>11</v>
      </c>
      <c r="T13" s="183"/>
      <c r="U13" s="46" t="s">
        <v>13</v>
      </c>
      <c r="V13" s="46" t="s">
        <v>12</v>
      </c>
      <c r="W13" s="46" t="s">
        <v>11</v>
      </c>
      <c r="X13" s="183"/>
      <c r="Y13" s="183"/>
      <c r="Z13" s="183"/>
      <c r="AA13" s="183"/>
      <c r="AB13" s="183"/>
    </row>
    <row r="14" spans="1:32" s="37" customFormat="1" ht="15">
      <c r="A14" s="45">
        <v>0</v>
      </c>
      <c r="B14" s="44">
        <v>45281</v>
      </c>
      <c r="C14" s="43">
        <v>844</v>
      </c>
      <c r="D14" s="42">
        <v>1625</v>
      </c>
      <c r="E14" s="40">
        <f t="shared" ref="E14:E77" si="1">C14+D14-H14</f>
        <v>429</v>
      </c>
      <c r="F14" s="40">
        <f t="shared" ref="F14:F77" si="2">C14+D14-I14</f>
        <v>549</v>
      </c>
      <c r="G14" s="40">
        <f t="shared" ref="G14:G77" si="3">D14+C14-J14</f>
        <v>499</v>
      </c>
      <c r="H14" s="40">
        <f t="shared" ref="H14:H77" si="4">K14+N14</f>
        <v>2040</v>
      </c>
      <c r="I14" s="40">
        <f t="shared" ref="I14:I77" si="5">L14+O14</f>
        <v>1920</v>
      </c>
      <c r="J14" s="40">
        <f t="shared" ref="J14:J77" si="6">M14+P14</f>
        <v>1970</v>
      </c>
      <c r="K14" s="40">
        <v>2000</v>
      </c>
      <c r="L14" s="40">
        <v>2000</v>
      </c>
      <c r="M14" s="40">
        <v>2000</v>
      </c>
      <c r="N14" s="40">
        <v>39.999999999999993</v>
      </c>
      <c r="O14" s="40">
        <v>-80</v>
      </c>
      <c r="P14" s="40">
        <v>-30</v>
      </c>
      <c r="Q14" s="40">
        <v>0</v>
      </c>
      <c r="R14" s="40">
        <v>0</v>
      </c>
      <c r="S14" s="40">
        <v>0</v>
      </c>
      <c r="T14" s="40">
        <f t="shared" ref="T14:T77" si="7">D14+C14-V14</f>
        <v>2549</v>
      </c>
      <c r="U14" s="40">
        <f>N14</f>
        <v>39.999999999999993</v>
      </c>
      <c r="V14" s="40">
        <f>O14</f>
        <v>-80</v>
      </c>
      <c r="W14" s="40">
        <f>P14</f>
        <v>-30</v>
      </c>
      <c r="X14" s="41"/>
      <c r="Y14" s="41"/>
      <c r="Z14" s="40"/>
      <c r="AA14" s="40"/>
      <c r="AB14" s="39" t="s">
        <v>10</v>
      </c>
      <c r="AF14" s="38"/>
    </row>
    <row r="15" spans="1:32" ht="15">
      <c r="A15" s="16">
        <v>1</v>
      </c>
      <c r="B15" s="15">
        <f t="shared" ref="B15:B78" si="8">B14+1</f>
        <v>45282</v>
      </c>
      <c r="C15" s="14">
        <f t="shared" ref="C15:C78" si="9">C14</f>
        <v>844</v>
      </c>
      <c r="D15" s="13">
        <f t="shared" ref="D15:D46" si="10">D14-2</f>
        <v>1623</v>
      </c>
      <c r="E15" s="12">
        <f t="shared" si="1"/>
        <v>427</v>
      </c>
      <c r="F15" s="12">
        <f t="shared" si="2"/>
        <v>547</v>
      </c>
      <c r="G15" s="12">
        <f t="shared" si="3"/>
        <v>497</v>
      </c>
      <c r="H15" s="8">
        <f t="shared" si="4"/>
        <v>2040</v>
      </c>
      <c r="I15" s="8">
        <f t="shared" si="5"/>
        <v>1920</v>
      </c>
      <c r="J15" s="8">
        <f t="shared" si="6"/>
        <v>1970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39.999999999999993</v>
      </c>
      <c r="O15" s="8">
        <f t="shared" ref="O15:O78" si="15">O14-R15</f>
        <v>-80</v>
      </c>
      <c r="P15" s="8">
        <f t="shared" ref="P15:P78" si="16">P14-S15</f>
        <v>-30</v>
      </c>
      <c r="Q15" s="12">
        <f t="shared" ref="Q15:Q25" si="17">Q14</f>
        <v>0</v>
      </c>
      <c r="R15" s="12">
        <f t="shared" ref="R15:R25" si="18">R14</f>
        <v>0</v>
      </c>
      <c r="S15" s="12">
        <f t="shared" ref="S15:S25" si="19">S14</f>
        <v>0</v>
      </c>
      <c r="T15" s="11">
        <f t="shared" si="7"/>
        <v>2547</v>
      </c>
      <c r="U15" s="11">
        <f t="shared" ref="U15:U25" si="20">U14-Q15</f>
        <v>39.999999999999993</v>
      </c>
      <c r="V15" s="11">
        <f t="shared" ref="V15:V25" si="21">V14-R15</f>
        <v>-80</v>
      </c>
      <c r="W15" s="11">
        <f t="shared" ref="W15:W25" si="22">W14-S15</f>
        <v>-30</v>
      </c>
      <c r="X15" s="31"/>
      <c r="Y15" s="31"/>
      <c r="Z15" s="8"/>
      <c r="AA15" s="8"/>
      <c r="AB15" s="35"/>
    </row>
    <row r="16" spans="1:32" ht="15">
      <c r="A16" s="16">
        <v>2</v>
      </c>
      <c r="B16" s="15">
        <f t="shared" si="8"/>
        <v>45283</v>
      </c>
      <c r="C16" s="14">
        <f t="shared" si="9"/>
        <v>844</v>
      </c>
      <c r="D16" s="13">
        <f t="shared" si="10"/>
        <v>1621</v>
      </c>
      <c r="E16" s="12">
        <f t="shared" si="1"/>
        <v>425</v>
      </c>
      <c r="F16" s="12">
        <f t="shared" si="2"/>
        <v>545</v>
      </c>
      <c r="G16" s="12">
        <f t="shared" si="3"/>
        <v>495</v>
      </c>
      <c r="H16" s="8">
        <f t="shared" si="4"/>
        <v>2040</v>
      </c>
      <c r="I16" s="8">
        <f t="shared" si="5"/>
        <v>1920</v>
      </c>
      <c r="J16" s="8">
        <f t="shared" si="6"/>
        <v>1970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39.999999999999993</v>
      </c>
      <c r="O16" s="8">
        <f t="shared" si="15"/>
        <v>-80</v>
      </c>
      <c r="P16" s="8">
        <f t="shared" si="16"/>
        <v>-30</v>
      </c>
      <c r="Q16" s="12">
        <f t="shared" si="17"/>
        <v>0</v>
      </c>
      <c r="R16" s="12">
        <f t="shared" si="18"/>
        <v>0</v>
      </c>
      <c r="S16" s="12">
        <f t="shared" si="19"/>
        <v>0</v>
      </c>
      <c r="T16" s="11">
        <f t="shared" si="7"/>
        <v>2545</v>
      </c>
      <c r="U16" s="11">
        <f t="shared" si="20"/>
        <v>39.999999999999993</v>
      </c>
      <c r="V16" s="11">
        <f t="shared" si="21"/>
        <v>-80</v>
      </c>
      <c r="W16" s="11">
        <f t="shared" si="22"/>
        <v>-30</v>
      </c>
      <c r="X16" s="31"/>
      <c r="Y16" s="31"/>
      <c r="Z16" s="8"/>
      <c r="AA16" s="8"/>
      <c r="AB16" s="36"/>
      <c r="AD16" s="33"/>
    </row>
    <row r="17" spans="1:30" ht="15.75">
      <c r="A17" s="16">
        <v>3</v>
      </c>
      <c r="B17" s="15">
        <f t="shared" si="8"/>
        <v>45284</v>
      </c>
      <c r="C17" s="14">
        <f t="shared" si="9"/>
        <v>844</v>
      </c>
      <c r="D17" s="13">
        <f t="shared" si="10"/>
        <v>1619</v>
      </c>
      <c r="E17" s="12">
        <f t="shared" si="1"/>
        <v>423</v>
      </c>
      <c r="F17" s="12">
        <f t="shared" si="2"/>
        <v>543</v>
      </c>
      <c r="G17" s="12">
        <f t="shared" si="3"/>
        <v>493</v>
      </c>
      <c r="H17" s="8">
        <f t="shared" si="4"/>
        <v>2040</v>
      </c>
      <c r="I17" s="8">
        <f t="shared" si="5"/>
        <v>1920</v>
      </c>
      <c r="J17" s="8">
        <f t="shared" si="6"/>
        <v>1970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39.999999999999993</v>
      </c>
      <c r="O17" s="8">
        <f t="shared" si="15"/>
        <v>-80</v>
      </c>
      <c r="P17" s="8">
        <f t="shared" si="16"/>
        <v>-30</v>
      </c>
      <c r="Q17" s="12">
        <f t="shared" si="17"/>
        <v>0</v>
      </c>
      <c r="R17" s="12">
        <f t="shared" si="18"/>
        <v>0</v>
      </c>
      <c r="S17" s="12">
        <f t="shared" si="19"/>
        <v>0</v>
      </c>
      <c r="T17" s="11">
        <f t="shared" si="7"/>
        <v>2543</v>
      </c>
      <c r="U17" s="11">
        <f t="shared" si="20"/>
        <v>39.999999999999993</v>
      </c>
      <c r="V17" s="11">
        <f t="shared" si="21"/>
        <v>-80</v>
      </c>
      <c r="W17" s="11">
        <f t="shared" si="22"/>
        <v>-30</v>
      </c>
      <c r="X17" s="8"/>
      <c r="Y17" s="8"/>
      <c r="Z17" s="8"/>
      <c r="AA17" s="8"/>
      <c r="AB17" s="30"/>
      <c r="AD17" s="32">
        <v>45284</v>
      </c>
    </row>
    <row r="18" spans="1:30" ht="16.5" customHeight="1">
      <c r="A18" s="16">
        <v>4</v>
      </c>
      <c r="B18" s="15">
        <f t="shared" si="8"/>
        <v>45285</v>
      </c>
      <c r="C18" s="14">
        <f t="shared" si="9"/>
        <v>844</v>
      </c>
      <c r="D18" s="13">
        <f t="shared" si="10"/>
        <v>1617</v>
      </c>
      <c r="E18" s="12">
        <f t="shared" si="1"/>
        <v>421</v>
      </c>
      <c r="F18" s="12">
        <f t="shared" si="2"/>
        <v>541</v>
      </c>
      <c r="G18" s="12">
        <f t="shared" si="3"/>
        <v>491</v>
      </c>
      <c r="H18" s="8">
        <f t="shared" si="4"/>
        <v>2040</v>
      </c>
      <c r="I18" s="8">
        <f t="shared" si="5"/>
        <v>1920</v>
      </c>
      <c r="J18" s="8">
        <f t="shared" si="6"/>
        <v>1970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39.999999999999993</v>
      </c>
      <c r="O18" s="8">
        <f t="shared" si="15"/>
        <v>-80</v>
      </c>
      <c r="P18" s="8">
        <f t="shared" si="16"/>
        <v>-30</v>
      </c>
      <c r="Q18" s="12">
        <f t="shared" si="17"/>
        <v>0</v>
      </c>
      <c r="R18" s="12">
        <f t="shared" si="18"/>
        <v>0</v>
      </c>
      <c r="S18" s="12">
        <f t="shared" si="19"/>
        <v>0</v>
      </c>
      <c r="T18" s="11">
        <f t="shared" si="7"/>
        <v>2541</v>
      </c>
      <c r="U18" s="11">
        <f t="shared" si="20"/>
        <v>39.999999999999993</v>
      </c>
      <c r="V18" s="11">
        <f t="shared" si="21"/>
        <v>-80</v>
      </c>
      <c r="W18" s="11">
        <f t="shared" si="22"/>
        <v>-30</v>
      </c>
      <c r="X18" s="8"/>
      <c r="Y18" s="8"/>
      <c r="Z18" s="8"/>
      <c r="AA18" s="8"/>
      <c r="AB18" s="35"/>
      <c r="AD18" s="32">
        <v>45288</v>
      </c>
    </row>
    <row r="19" spans="1:30" ht="16.5" customHeight="1">
      <c r="A19" s="16">
        <v>5</v>
      </c>
      <c r="B19" s="15">
        <f t="shared" si="8"/>
        <v>45286</v>
      </c>
      <c r="C19" s="14">
        <f t="shared" si="9"/>
        <v>844</v>
      </c>
      <c r="D19" s="13">
        <f t="shared" si="10"/>
        <v>1615</v>
      </c>
      <c r="E19" s="12">
        <f t="shared" si="1"/>
        <v>419</v>
      </c>
      <c r="F19" s="12">
        <f t="shared" si="2"/>
        <v>539</v>
      </c>
      <c r="G19" s="12">
        <f t="shared" si="3"/>
        <v>489</v>
      </c>
      <c r="H19" s="8">
        <f t="shared" si="4"/>
        <v>2040</v>
      </c>
      <c r="I19" s="8">
        <f t="shared" si="5"/>
        <v>1920</v>
      </c>
      <c r="J19" s="8">
        <f t="shared" si="6"/>
        <v>1970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39.999999999999993</v>
      </c>
      <c r="O19" s="8">
        <f t="shared" si="15"/>
        <v>-80</v>
      </c>
      <c r="P19" s="8">
        <f t="shared" si="16"/>
        <v>-30</v>
      </c>
      <c r="Q19" s="12">
        <f t="shared" si="17"/>
        <v>0</v>
      </c>
      <c r="R19" s="12">
        <f t="shared" si="18"/>
        <v>0</v>
      </c>
      <c r="S19" s="12">
        <f t="shared" si="19"/>
        <v>0</v>
      </c>
      <c r="T19" s="11">
        <f t="shared" si="7"/>
        <v>2539</v>
      </c>
      <c r="U19" s="11">
        <f t="shared" si="20"/>
        <v>39.999999999999993</v>
      </c>
      <c r="V19" s="11">
        <f t="shared" si="21"/>
        <v>-80</v>
      </c>
      <c r="W19" s="11">
        <f t="shared" si="22"/>
        <v>-30</v>
      </c>
      <c r="X19" s="8"/>
      <c r="Y19" s="8"/>
      <c r="Z19" s="8"/>
      <c r="AA19" s="8"/>
      <c r="AB19" s="8"/>
      <c r="AD19" s="32">
        <v>45293</v>
      </c>
    </row>
    <row r="20" spans="1:30" ht="16.5" customHeight="1">
      <c r="A20" s="16">
        <v>6</v>
      </c>
      <c r="B20" s="15">
        <f t="shared" si="8"/>
        <v>45287</v>
      </c>
      <c r="C20" s="14">
        <f t="shared" si="9"/>
        <v>844</v>
      </c>
      <c r="D20" s="13">
        <f t="shared" si="10"/>
        <v>1613</v>
      </c>
      <c r="E20" s="12">
        <f t="shared" si="1"/>
        <v>417</v>
      </c>
      <c r="F20" s="12">
        <f t="shared" si="2"/>
        <v>537</v>
      </c>
      <c r="G20" s="12">
        <f t="shared" si="3"/>
        <v>487</v>
      </c>
      <c r="H20" s="8">
        <f t="shared" si="4"/>
        <v>2040</v>
      </c>
      <c r="I20" s="8">
        <f t="shared" si="5"/>
        <v>1920</v>
      </c>
      <c r="J20" s="8">
        <f t="shared" si="6"/>
        <v>1970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39.999999999999993</v>
      </c>
      <c r="O20" s="8">
        <f t="shared" si="15"/>
        <v>-80</v>
      </c>
      <c r="P20" s="8">
        <f t="shared" si="16"/>
        <v>-30</v>
      </c>
      <c r="Q20" s="12">
        <f t="shared" si="17"/>
        <v>0</v>
      </c>
      <c r="R20" s="12">
        <f t="shared" si="18"/>
        <v>0</v>
      </c>
      <c r="S20" s="12">
        <f t="shared" si="19"/>
        <v>0</v>
      </c>
      <c r="T20" s="11">
        <f t="shared" si="7"/>
        <v>2537</v>
      </c>
      <c r="U20" s="11">
        <f t="shared" si="20"/>
        <v>39.999999999999993</v>
      </c>
      <c r="V20" s="11">
        <f t="shared" si="21"/>
        <v>-80</v>
      </c>
      <c r="W20" s="11">
        <f t="shared" si="22"/>
        <v>-30</v>
      </c>
      <c r="X20" s="8"/>
      <c r="Y20" s="8"/>
      <c r="Z20" s="8"/>
      <c r="AA20" s="8"/>
      <c r="AB20" s="30"/>
      <c r="AD20" s="32">
        <v>45296</v>
      </c>
    </row>
    <row r="21" spans="1:30" ht="16.5" customHeight="1">
      <c r="A21" s="16">
        <v>7</v>
      </c>
      <c r="B21" s="15">
        <f t="shared" si="8"/>
        <v>45288</v>
      </c>
      <c r="C21" s="14">
        <f t="shared" si="9"/>
        <v>844</v>
      </c>
      <c r="D21" s="13">
        <f t="shared" si="10"/>
        <v>1611</v>
      </c>
      <c r="E21" s="12">
        <f t="shared" si="1"/>
        <v>415</v>
      </c>
      <c r="F21" s="12">
        <f t="shared" si="2"/>
        <v>535</v>
      </c>
      <c r="G21" s="12">
        <f t="shared" si="3"/>
        <v>485</v>
      </c>
      <c r="H21" s="8">
        <f t="shared" si="4"/>
        <v>2040</v>
      </c>
      <c r="I21" s="8">
        <f t="shared" si="5"/>
        <v>1920</v>
      </c>
      <c r="J21" s="8">
        <f t="shared" si="6"/>
        <v>1970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39.999999999999993</v>
      </c>
      <c r="O21" s="8">
        <f t="shared" si="15"/>
        <v>-80</v>
      </c>
      <c r="P21" s="8">
        <f t="shared" si="16"/>
        <v>-30</v>
      </c>
      <c r="Q21" s="12">
        <f t="shared" si="17"/>
        <v>0</v>
      </c>
      <c r="R21" s="12">
        <f t="shared" si="18"/>
        <v>0</v>
      </c>
      <c r="S21" s="12">
        <f t="shared" si="19"/>
        <v>0</v>
      </c>
      <c r="T21" s="11">
        <f t="shared" si="7"/>
        <v>2535</v>
      </c>
      <c r="U21" s="11">
        <f t="shared" si="20"/>
        <v>39.999999999999993</v>
      </c>
      <c r="V21" s="11">
        <f t="shared" si="21"/>
        <v>-80</v>
      </c>
      <c r="W21" s="11">
        <f t="shared" si="22"/>
        <v>-30</v>
      </c>
      <c r="X21" s="8"/>
      <c r="Y21" s="8"/>
      <c r="Z21" s="8"/>
      <c r="AA21" s="8"/>
      <c r="AB21" s="30"/>
      <c r="AD21" s="32">
        <v>45300</v>
      </c>
    </row>
    <row r="22" spans="1:30" ht="16.5" customHeight="1">
      <c r="A22" s="16">
        <v>8</v>
      </c>
      <c r="B22" s="15">
        <f t="shared" si="8"/>
        <v>45289</v>
      </c>
      <c r="C22" s="14">
        <f t="shared" si="9"/>
        <v>844</v>
      </c>
      <c r="D22" s="13">
        <f t="shared" si="10"/>
        <v>1609</v>
      </c>
      <c r="E22" s="12">
        <f t="shared" si="1"/>
        <v>413</v>
      </c>
      <c r="F22" s="12">
        <f t="shared" si="2"/>
        <v>533</v>
      </c>
      <c r="G22" s="12">
        <f t="shared" si="3"/>
        <v>483</v>
      </c>
      <c r="H22" s="8">
        <f t="shared" si="4"/>
        <v>2040</v>
      </c>
      <c r="I22" s="8">
        <f t="shared" si="5"/>
        <v>1920</v>
      </c>
      <c r="J22" s="8">
        <f t="shared" si="6"/>
        <v>1970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39.999999999999993</v>
      </c>
      <c r="O22" s="8">
        <f t="shared" si="15"/>
        <v>-80</v>
      </c>
      <c r="P22" s="8">
        <f t="shared" si="16"/>
        <v>-30</v>
      </c>
      <c r="Q22" s="12">
        <f t="shared" si="17"/>
        <v>0</v>
      </c>
      <c r="R22" s="12">
        <f t="shared" si="18"/>
        <v>0</v>
      </c>
      <c r="S22" s="12">
        <f t="shared" si="19"/>
        <v>0</v>
      </c>
      <c r="T22" s="11">
        <f t="shared" si="7"/>
        <v>2533</v>
      </c>
      <c r="U22" s="11">
        <f t="shared" si="20"/>
        <v>39.999999999999993</v>
      </c>
      <c r="V22" s="11">
        <f t="shared" si="21"/>
        <v>-80</v>
      </c>
      <c r="W22" s="11">
        <f t="shared" si="22"/>
        <v>-30</v>
      </c>
      <c r="X22" s="8"/>
      <c r="Y22" s="8"/>
      <c r="Z22" s="8"/>
      <c r="AA22" s="8"/>
      <c r="AB22" s="30"/>
      <c r="AD22" s="32">
        <v>45305</v>
      </c>
    </row>
    <row r="23" spans="1:30" ht="16.5" customHeight="1">
      <c r="A23" s="16">
        <v>9</v>
      </c>
      <c r="B23" s="15">
        <f t="shared" si="8"/>
        <v>45290</v>
      </c>
      <c r="C23" s="14">
        <f t="shared" si="9"/>
        <v>844</v>
      </c>
      <c r="D23" s="13">
        <f t="shared" si="10"/>
        <v>1607</v>
      </c>
      <c r="E23" s="12">
        <f t="shared" si="1"/>
        <v>411</v>
      </c>
      <c r="F23" s="12">
        <f t="shared" si="2"/>
        <v>531</v>
      </c>
      <c r="G23" s="12">
        <f t="shared" si="3"/>
        <v>481</v>
      </c>
      <c r="H23" s="8">
        <f t="shared" si="4"/>
        <v>2040</v>
      </c>
      <c r="I23" s="8">
        <f t="shared" si="5"/>
        <v>1920</v>
      </c>
      <c r="J23" s="8">
        <f t="shared" si="6"/>
        <v>1970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39.999999999999993</v>
      </c>
      <c r="O23" s="8">
        <f t="shared" si="15"/>
        <v>-80</v>
      </c>
      <c r="P23" s="8">
        <f t="shared" si="16"/>
        <v>-30</v>
      </c>
      <c r="Q23" s="12">
        <f t="shared" si="17"/>
        <v>0</v>
      </c>
      <c r="R23" s="12">
        <f t="shared" si="18"/>
        <v>0</v>
      </c>
      <c r="S23" s="12">
        <f t="shared" si="19"/>
        <v>0</v>
      </c>
      <c r="T23" s="11">
        <f t="shared" si="7"/>
        <v>2531</v>
      </c>
      <c r="U23" s="11">
        <f t="shared" si="20"/>
        <v>39.999999999999993</v>
      </c>
      <c r="V23" s="11">
        <f t="shared" si="21"/>
        <v>-80</v>
      </c>
      <c r="W23" s="11">
        <f t="shared" si="22"/>
        <v>-30</v>
      </c>
      <c r="X23" s="8"/>
      <c r="Y23" s="8"/>
      <c r="Z23" s="8"/>
      <c r="AA23" s="8"/>
      <c r="AB23" s="30"/>
      <c r="AD23" s="32">
        <v>45309</v>
      </c>
    </row>
    <row r="24" spans="1:30" ht="16.5" customHeight="1">
      <c r="A24" s="16">
        <v>10</v>
      </c>
      <c r="B24" s="15">
        <f t="shared" si="8"/>
        <v>45291</v>
      </c>
      <c r="C24" s="14">
        <f t="shared" si="9"/>
        <v>844</v>
      </c>
      <c r="D24" s="13">
        <f t="shared" si="10"/>
        <v>1605</v>
      </c>
      <c r="E24" s="12">
        <f t="shared" si="1"/>
        <v>409</v>
      </c>
      <c r="F24" s="12">
        <f t="shared" si="2"/>
        <v>529</v>
      </c>
      <c r="G24" s="12">
        <f t="shared" si="3"/>
        <v>479</v>
      </c>
      <c r="H24" s="8">
        <f t="shared" si="4"/>
        <v>2040</v>
      </c>
      <c r="I24" s="8">
        <f t="shared" si="5"/>
        <v>1920</v>
      </c>
      <c r="J24" s="8">
        <f t="shared" si="6"/>
        <v>1970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39.999999999999993</v>
      </c>
      <c r="O24" s="8">
        <f t="shared" si="15"/>
        <v>-80</v>
      </c>
      <c r="P24" s="8">
        <f t="shared" si="16"/>
        <v>-30</v>
      </c>
      <c r="Q24" s="12">
        <f t="shared" si="17"/>
        <v>0</v>
      </c>
      <c r="R24" s="12">
        <f t="shared" si="18"/>
        <v>0</v>
      </c>
      <c r="S24" s="12">
        <f t="shared" si="19"/>
        <v>0</v>
      </c>
      <c r="T24" s="11">
        <f t="shared" si="7"/>
        <v>2529</v>
      </c>
      <c r="U24" s="11">
        <f t="shared" si="20"/>
        <v>39.999999999999993</v>
      </c>
      <c r="V24" s="11">
        <f t="shared" si="21"/>
        <v>-80</v>
      </c>
      <c r="W24" s="11">
        <f t="shared" si="22"/>
        <v>-30</v>
      </c>
      <c r="X24" s="8"/>
      <c r="Y24" s="8"/>
      <c r="Z24" s="8"/>
      <c r="AA24" s="8"/>
      <c r="AB24" s="30"/>
      <c r="AD24" s="32">
        <v>45313</v>
      </c>
    </row>
    <row r="25" spans="1:30" ht="16.5" customHeight="1">
      <c r="A25" s="16">
        <v>11</v>
      </c>
      <c r="B25" s="15">
        <f t="shared" si="8"/>
        <v>45292</v>
      </c>
      <c r="C25" s="14">
        <f t="shared" si="9"/>
        <v>844</v>
      </c>
      <c r="D25" s="13">
        <f t="shared" si="10"/>
        <v>1603</v>
      </c>
      <c r="E25" s="12">
        <f t="shared" si="1"/>
        <v>407</v>
      </c>
      <c r="F25" s="12">
        <f t="shared" si="2"/>
        <v>527</v>
      </c>
      <c r="G25" s="12">
        <f t="shared" si="3"/>
        <v>477</v>
      </c>
      <c r="H25" s="8">
        <f t="shared" si="4"/>
        <v>2040</v>
      </c>
      <c r="I25" s="8">
        <f t="shared" si="5"/>
        <v>1920</v>
      </c>
      <c r="J25" s="8">
        <f t="shared" si="6"/>
        <v>1970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39.999999999999993</v>
      </c>
      <c r="O25" s="8">
        <f t="shared" si="15"/>
        <v>-80</v>
      </c>
      <c r="P25" s="8">
        <f t="shared" si="16"/>
        <v>-30</v>
      </c>
      <c r="Q25" s="24">
        <f t="shared" si="17"/>
        <v>0</v>
      </c>
      <c r="R25" s="24">
        <f t="shared" si="18"/>
        <v>0</v>
      </c>
      <c r="S25" s="24">
        <f t="shared" si="19"/>
        <v>0</v>
      </c>
      <c r="T25" s="11">
        <f t="shared" si="7"/>
        <v>2527</v>
      </c>
      <c r="U25" s="11">
        <f t="shared" si="20"/>
        <v>39.999999999999993</v>
      </c>
      <c r="V25" s="11">
        <f t="shared" si="21"/>
        <v>-80</v>
      </c>
      <c r="W25" s="11">
        <f t="shared" si="22"/>
        <v>-30</v>
      </c>
      <c r="X25" s="8"/>
      <c r="Y25" s="8"/>
      <c r="Z25" s="8"/>
      <c r="AA25" s="8"/>
      <c r="AB25" s="30"/>
      <c r="AD25" s="32">
        <v>45355</v>
      </c>
    </row>
    <row r="26" spans="1:30" ht="16.5" customHeight="1">
      <c r="A26" s="16">
        <v>12</v>
      </c>
      <c r="B26" s="15">
        <f t="shared" si="8"/>
        <v>45293</v>
      </c>
      <c r="C26" s="14">
        <f t="shared" si="9"/>
        <v>844</v>
      </c>
      <c r="D26" s="13">
        <f t="shared" si="10"/>
        <v>1601</v>
      </c>
      <c r="E26" s="12">
        <f t="shared" si="1"/>
        <v>411</v>
      </c>
      <c r="F26" s="12">
        <f t="shared" si="2"/>
        <v>533</v>
      </c>
      <c r="G26" s="12">
        <f t="shared" si="3"/>
        <v>480</v>
      </c>
      <c r="H26" s="8">
        <f t="shared" si="4"/>
        <v>2034</v>
      </c>
      <c r="I26" s="8">
        <f t="shared" si="5"/>
        <v>1912</v>
      </c>
      <c r="J26" s="8">
        <f t="shared" si="6"/>
        <v>1965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33.999999999999993</v>
      </c>
      <c r="O26" s="8">
        <f t="shared" si="15"/>
        <v>-88</v>
      </c>
      <c r="P26" s="8">
        <f t="shared" si="16"/>
        <v>-35</v>
      </c>
      <c r="Q26" s="12">
        <v>6</v>
      </c>
      <c r="R26" s="12">
        <v>8</v>
      </c>
      <c r="S26" s="12">
        <v>5</v>
      </c>
      <c r="T26" s="11">
        <f t="shared" si="7"/>
        <v>2353</v>
      </c>
      <c r="U26" s="34">
        <f>U25+0.06*1000-Q26</f>
        <v>94</v>
      </c>
      <c r="V26" s="34">
        <f t="shared" ref="V26:V89" si="23">V25+$X26*1000-R26</f>
        <v>92</v>
      </c>
      <c r="W26" s="34">
        <f>W25+0.13*1000-S26</f>
        <v>95</v>
      </c>
      <c r="X26" s="31">
        <v>0.18</v>
      </c>
      <c r="Y26" s="31"/>
      <c r="Z26" s="8"/>
      <c r="AA26" s="8"/>
      <c r="AB26" s="30">
        <v>9</v>
      </c>
      <c r="AD26" s="32">
        <v>45359</v>
      </c>
    </row>
    <row r="27" spans="1:30" ht="16.5" customHeight="1">
      <c r="A27" s="16">
        <v>13</v>
      </c>
      <c r="B27" s="15">
        <f t="shared" si="8"/>
        <v>45294</v>
      </c>
      <c r="C27" s="14">
        <f t="shared" si="9"/>
        <v>844</v>
      </c>
      <c r="D27" s="13">
        <f t="shared" si="10"/>
        <v>1599</v>
      </c>
      <c r="E27" s="12">
        <f t="shared" si="1"/>
        <v>411</v>
      </c>
      <c r="F27" s="12">
        <f t="shared" si="2"/>
        <v>533</v>
      </c>
      <c r="G27" s="12">
        <f t="shared" si="3"/>
        <v>479</v>
      </c>
      <c r="H27" s="8">
        <f t="shared" si="4"/>
        <v>2032</v>
      </c>
      <c r="I27" s="8">
        <f t="shared" si="5"/>
        <v>1910</v>
      </c>
      <c r="J27" s="8">
        <f t="shared" si="6"/>
        <v>1964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31.999999999999993</v>
      </c>
      <c r="O27" s="8">
        <f t="shared" si="15"/>
        <v>-90</v>
      </c>
      <c r="P27" s="8">
        <f t="shared" si="16"/>
        <v>-36</v>
      </c>
      <c r="Q27" s="12">
        <v>2</v>
      </c>
      <c r="R27" s="12">
        <v>2</v>
      </c>
      <c r="S27" s="12">
        <v>1</v>
      </c>
      <c r="T27" s="11">
        <f t="shared" si="7"/>
        <v>2353</v>
      </c>
      <c r="U27" s="10">
        <f t="shared" ref="U27:U90" si="24">U26+$X27*1000-Q27</f>
        <v>92</v>
      </c>
      <c r="V27" s="10">
        <f t="shared" si="23"/>
        <v>90</v>
      </c>
      <c r="W27" s="10">
        <f t="shared" ref="W27:W90" si="25">W26+$X27*1000-S27</f>
        <v>94</v>
      </c>
      <c r="X27" s="8"/>
      <c r="Y27" s="8"/>
      <c r="Z27" s="8"/>
      <c r="AA27" s="8"/>
      <c r="AB27" s="30"/>
      <c r="AD27" s="32">
        <v>45364</v>
      </c>
    </row>
    <row r="28" spans="1:30" ht="16.5" customHeight="1">
      <c r="A28" s="16">
        <v>14</v>
      </c>
      <c r="B28" s="15">
        <f t="shared" si="8"/>
        <v>45295</v>
      </c>
      <c r="C28" s="14">
        <f t="shared" si="9"/>
        <v>844</v>
      </c>
      <c r="D28" s="13">
        <f t="shared" si="10"/>
        <v>1597</v>
      </c>
      <c r="E28" s="12">
        <f t="shared" si="1"/>
        <v>411</v>
      </c>
      <c r="F28" s="12">
        <f t="shared" si="2"/>
        <v>533</v>
      </c>
      <c r="G28" s="12">
        <f t="shared" si="3"/>
        <v>478</v>
      </c>
      <c r="H28" s="8">
        <f t="shared" si="4"/>
        <v>2030</v>
      </c>
      <c r="I28" s="8">
        <f t="shared" si="5"/>
        <v>1908</v>
      </c>
      <c r="J28" s="8">
        <f t="shared" si="6"/>
        <v>1963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29.999999999999993</v>
      </c>
      <c r="O28" s="8">
        <f t="shared" si="15"/>
        <v>-92</v>
      </c>
      <c r="P28" s="8">
        <f t="shared" si="16"/>
        <v>-37</v>
      </c>
      <c r="Q28" s="12">
        <v>2</v>
      </c>
      <c r="R28" s="12">
        <v>2</v>
      </c>
      <c r="S28" s="12">
        <v>1</v>
      </c>
      <c r="T28" s="11">
        <f t="shared" si="7"/>
        <v>2353</v>
      </c>
      <c r="U28" s="10">
        <f t="shared" si="24"/>
        <v>90</v>
      </c>
      <c r="V28" s="10">
        <f t="shared" si="23"/>
        <v>88</v>
      </c>
      <c r="W28" s="10">
        <f t="shared" si="25"/>
        <v>93</v>
      </c>
      <c r="X28" s="8"/>
      <c r="Y28" s="8"/>
      <c r="Z28" s="8"/>
      <c r="AA28" s="8"/>
      <c r="AB28" s="30"/>
      <c r="AD28" s="33"/>
    </row>
    <row r="29" spans="1:30" ht="16.5" customHeight="1">
      <c r="A29" s="16">
        <v>15</v>
      </c>
      <c r="B29" s="15">
        <f t="shared" si="8"/>
        <v>45296</v>
      </c>
      <c r="C29" s="14">
        <f t="shared" si="9"/>
        <v>844</v>
      </c>
      <c r="D29" s="13">
        <f t="shared" si="10"/>
        <v>1595</v>
      </c>
      <c r="E29" s="12">
        <f t="shared" si="1"/>
        <v>411</v>
      </c>
      <c r="F29" s="12">
        <f t="shared" si="2"/>
        <v>533</v>
      </c>
      <c r="G29" s="12">
        <f t="shared" si="3"/>
        <v>478</v>
      </c>
      <c r="H29" s="8">
        <f t="shared" si="4"/>
        <v>2028</v>
      </c>
      <c r="I29" s="8">
        <f t="shared" si="5"/>
        <v>1906</v>
      </c>
      <c r="J29" s="8">
        <f t="shared" si="6"/>
        <v>1961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27.999999999999993</v>
      </c>
      <c r="O29" s="8">
        <f t="shared" si="15"/>
        <v>-94</v>
      </c>
      <c r="P29" s="8">
        <f t="shared" si="16"/>
        <v>-39</v>
      </c>
      <c r="Q29" s="12">
        <v>2</v>
      </c>
      <c r="R29" s="12">
        <v>2</v>
      </c>
      <c r="S29" s="12">
        <v>2</v>
      </c>
      <c r="T29" s="11">
        <f t="shared" si="7"/>
        <v>2053</v>
      </c>
      <c r="U29" s="10">
        <f t="shared" si="24"/>
        <v>388</v>
      </c>
      <c r="V29" s="10">
        <f t="shared" si="23"/>
        <v>386</v>
      </c>
      <c r="W29" s="10">
        <f t="shared" si="25"/>
        <v>391</v>
      </c>
      <c r="X29" s="31">
        <v>0.3</v>
      </c>
      <c r="Y29" s="31"/>
      <c r="Z29" s="8"/>
      <c r="AA29" s="8"/>
      <c r="AB29" s="30">
        <v>8</v>
      </c>
    </row>
    <row r="30" spans="1:30" ht="16.5" customHeight="1">
      <c r="A30" s="16">
        <v>16</v>
      </c>
      <c r="B30" s="15">
        <f t="shared" si="8"/>
        <v>45297</v>
      </c>
      <c r="C30" s="14">
        <f t="shared" si="9"/>
        <v>844</v>
      </c>
      <c r="D30" s="13">
        <f t="shared" si="10"/>
        <v>1593</v>
      </c>
      <c r="E30" s="12">
        <f t="shared" si="1"/>
        <v>414</v>
      </c>
      <c r="F30" s="12">
        <f t="shared" si="2"/>
        <v>539</v>
      </c>
      <c r="G30" s="12">
        <f t="shared" si="3"/>
        <v>481</v>
      </c>
      <c r="H30" s="8">
        <f t="shared" si="4"/>
        <v>2023</v>
      </c>
      <c r="I30" s="8">
        <f t="shared" si="5"/>
        <v>1898</v>
      </c>
      <c r="J30" s="8">
        <f t="shared" si="6"/>
        <v>1956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22.999999999999993</v>
      </c>
      <c r="O30" s="8">
        <f t="shared" si="15"/>
        <v>-102</v>
      </c>
      <c r="P30" s="8">
        <f t="shared" si="16"/>
        <v>-44</v>
      </c>
      <c r="Q30" s="12">
        <v>5</v>
      </c>
      <c r="R30" s="12">
        <v>8</v>
      </c>
      <c r="S30" s="12">
        <v>5</v>
      </c>
      <c r="T30" s="11">
        <f t="shared" si="7"/>
        <v>2059</v>
      </c>
      <c r="U30" s="10">
        <f t="shared" si="24"/>
        <v>383</v>
      </c>
      <c r="V30" s="10">
        <f t="shared" si="23"/>
        <v>378</v>
      </c>
      <c r="W30" s="10">
        <f t="shared" si="25"/>
        <v>386</v>
      </c>
      <c r="X30" s="8"/>
      <c r="Y30" s="8"/>
      <c r="Z30" s="8"/>
      <c r="AA30" s="8"/>
      <c r="AB30" s="30"/>
    </row>
    <row r="31" spans="1:30" ht="16.5" customHeight="1">
      <c r="A31" s="16">
        <v>17</v>
      </c>
      <c r="B31" s="15">
        <f t="shared" si="8"/>
        <v>45298</v>
      </c>
      <c r="C31" s="14">
        <f t="shared" si="9"/>
        <v>844</v>
      </c>
      <c r="D31" s="13">
        <f t="shared" si="10"/>
        <v>1591</v>
      </c>
      <c r="E31" s="12">
        <f t="shared" si="1"/>
        <v>414</v>
      </c>
      <c r="F31" s="12">
        <f t="shared" si="2"/>
        <v>539</v>
      </c>
      <c r="G31" s="12">
        <f t="shared" si="3"/>
        <v>480</v>
      </c>
      <c r="H31" s="8">
        <f t="shared" si="4"/>
        <v>2021</v>
      </c>
      <c r="I31" s="8">
        <f t="shared" si="5"/>
        <v>1896</v>
      </c>
      <c r="J31" s="8">
        <f t="shared" si="6"/>
        <v>1955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20.999999999999993</v>
      </c>
      <c r="O31" s="8">
        <f t="shared" si="15"/>
        <v>-104</v>
      </c>
      <c r="P31" s="8">
        <f t="shared" si="16"/>
        <v>-45</v>
      </c>
      <c r="Q31" s="12">
        <v>2</v>
      </c>
      <c r="R31" s="12">
        <v>2</v>
      </c>
      <c r="S31" s="12">
        <v>1</v>
      </c>
      <c r="T31" s="11">
        <f t="shared" si="7"/>
        <v>2059</v>
      </c>
      <c r="U31" s="10">
        <f t="shared" si="24"/>
        <v>381</v>
      </c>
      <c r="V31" s="10">
        <f t="shared" si="23"/>
        <v>376</v>
      </c>
      <c r="W31" s="10">
        <f t="shared" si="25"/>
        <v>385</v>
      </c>
      <c r="X31" s="8"/>
      <c r="Y31" s="8"/>
      <c r="Z31" s="8"/>
      <c r="AA31" s="8"/>
      <c r="AB31" s="30"/>
    </row>
    <row r="32" spans="1:30" ht="16.5" customHeight="1">
      <c r="A32" s="16">
        <v>18</v>
      </c>
      <c r="B32" s="15">
        <f t="shared" si="8"/>
        <v>45299</v>
      </c>
      <c r="C32" s="14">
        <f t="shared" si="9"/>
        <v>844</v>
      </c>
      <c r="D32" s="13">
        <f t="shared" si="10"/>
        <v>1589</v>
      </c>
      <c r="E32" s="12">
        <f t="shared" si="1"/>
        <v>414</v>
      </c>
      <c r="F32" s="12">
        <f t="shared" si="2"/>
        <v>539</v>
      </c>
      <c r="G32" s="12">
        <f t="shared" si="3"/>
        <v>480</v>
      </c>
      <c r="H32" s="8">
        <f t="shared" si="4"/>
        <v>2019</v>
      </c>
      <c r="I32" s="8">
        <f t="shared" si="5"/>
        <v>1894</v>
      </c>
      <c r="J32" s="8">
        <f t="shared" si="6"/>
        <v>1953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18.999999999999993</v>
      </c>
      <c r="O32" s="8">
        <f t="shared" si="15"/>
        <v>-106</v>
      </c>
      <c r="P32" s="8">
        <f t="shared" si="16"/>
        <v>-47</v>
      </c>
      <c r="Q32" s="12">
        <v>2</v>
      </c>
      <c r="R32" s="12">
        <v>2</v>
      </c>
      <c r="S32" s="12">
        <v>2</v>
      </c>
      <c r="T32" s="11">
        <f t="shared" si="7"/>
        <v>2059</v>
      </c>
      <c r="U32" s="10">
        <f t="shared" si="24"/>
        <v>379</v>
      </c>
      <c r="V32" s="10">
        <f t="shared" si="23"/>
        <v>374</v>
      </c>
      <c r="W32" s="10">
        <f t="shared" si="25"/>
        <v>383</v>
      </c>
      <c r="X32" s="8"/>
      <c r="Y32" s="8"/>
      <c r="Z32" s="8"/>
      <c r="AA32" s="8"/>
      <c r="AB32" s="30"/>
    </row>
    <row r="33" spans="1:28" ht="16.5" customHeight="1">
      <c r="A33" s="16">
        <v>19</v>
      </c>
      <c r="B33" s="15">
        <f t="shared" si="8"/>
        <v>45300</v>
      </c>
      <c r="C33" s="14">
        <f t="shared" si="9"/>
        <v>844</v>
      </c>
      <c r="D33" s="13">
        <f t="shared" si="10"/>
        <v>1587</v>
      </c>
      <c r="E33" s="12">
        <f t="shared" si="1"/>
        <v>414</v>
      </c>
      <c r="F33" s="12">
        <f t="shared" si="2"/>
        <v>539</v>
      </c>
      <c r="G33" s="12">
        <f t="shared" si="3"/>
        <v>479</v>
      </c>
      <c r="H33" s="8">
        <f t="shared" si="4"/>
        <v>2017</v>
      </c>
      <c r="I33" s="8">
        <f t="shared" si="5"/>
        <v>1892</v>
      </c>
      <c r="J33" s="8">
        <f t="shared" si="6"/>
        <v>1952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16.999999999999993</v>
      </c>
      <c r="O33" s="8">
        <f t="shared" si="15"/>
        <v>-108</v>
      </c>
      <c r="P33" s="8">
        <f t="shared" si="16"/>
        <v>-48</v>
      </c>
      <c r="Q33" s="12">
        <v>2</v>
      </c>
      <c r="R33" s="12">
        <v>2</v>
      </c>
      <c r="S33" s="12">
        <v>1</v>
      </c>
      <c r="T33" s="11">
        <f t="shared" si="7"/>
        <v>1759</v>
      </c>
      <c r="U33" s="10">
        <f t="shared" si="24"/>
        <v>677</v>
      </c>
      <c r="V33" s="10">
        <f t="shared" si="23"/>
        <v>672</v>
      </c>
      <c r="W33" s="10">
        <f t="shared" si="25"/>
        <v>682</v>
      </c>
      <c r="X33" s="31">
        <v>0.3</v>
      </c>
      <c r="Y33" s="31"/>
      <c r="Z33" s="8"/>
      <c r="AA33" s="8"/>
      <c r="AB33" s="30">
        <v>7</v>
      </c>
    </row>
    <row r="34" spans="1:28" ht="16.5" customHeight="1">
      <c r="A34" s="16">
        <v>20</v>
      </c>
      <c r="B34" s="15">
        <f t="shared" si="8"/>
        <v>45301</v>
      </c>
      <c r="C34" s="14">
        <f t="shared" si="9"/>
        <v>844</v>
      </c>
      <c r="D34" s="13">
        <f t="shared" si="10"/>
        <v>1585</v>
      </c>
      <c r="E34" s="12">
        <f t="shared" si="1"/>
        <v>417</v>
      </c>
      <c r="F34" s="12">
        <f t="shared" si="2"/>
        <v>545</v>
      </c>
      <c r="G34" s="12">
        <f t="shared" si="3"/>
        <v>483</v>
      </c>
      <c r="H34" s="8">
        <f t="shared" si="4"/>
        <v>2012</v>
      </c>
      <c r="I34" s="8">
        <f t="shared" si="5"/>
        <v>1884</v>
      </c>
      <c r="J34" s="8">
        <f t="shared" si="6"/>
        <v>1946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11.999999999999993</v>
      </c>
      <c r="O34" s="8">
        <f t="shared" si="15"/>
        <v>-116</v>
      </c>
      <c r="P34" s="8">
        <f t="shared" si="16"/>
        <v>-54</v>
      </c>
      <c r="Q34" s="12">
        <v>5</v>
      </c>
      <c r="R34" s="12">
        <v>8</v>
      </c>
      <c r="S34" s="12">
        <v>6</v>
      </c>
      <c r="T34" s="11">
        <f t="shared" si="7"/>
        <v>1765</v>
      </c>
      <c r="U34" s="10">
        <f t="shared" si="24"/>
        <v>672</v>
      </c>
      <c r="V34" s="10">
        <f t="shared" si="23"/>
        <v>664</v>
      </c>
      <c r="W34" s="10">
        <f t="shared" si="25"/>
        <v>676</v>
      </c>
      <c r="X34" s="8"/>
      <c r="Y34" s="8"/>
      <c r="Z34" s="8"/>
      <c r="AA34" s="8"/>
      <c r="AB34" s="30"/>
    </row>
    <row r="35" spans="1:28" ht="16.5" customHeight="1">
      <c r="A35" s="16">
        <v>21</v>
      </c>
      <c r="B35" s="15">
        <f t="shared" si="8"/>
        <v>45302</v>
      </c>
      <c r="C35" s="14">
        <f t="shared" si="9"/>
        <v>844</v>
      </c>
      <c r="D35" s="13">
        <f t="shared" si="10"/>
        <v>1583</v>
      </c>
      <c r="E35" s="12">
        <f t="shared" si="1"/>
        <v>421</v>
      </c>
      <c r="F35" s="12">
        <f t="shared" si="2"/>
        <v>551</v>
      </c>
      <c r="G35" s="12">
        <f t="shared" si="3"/>
        <v>486</v>
      </c>
      <c r="H35" s="8">
        <f t="shared" si="4"/>
        <v>2006</v>
      </c>
      <c r="I35" s="8">
        <f t="shared" si="5"/>
        <v>1876</v>
      </c>
      <c r="J35" s="8">
        <f t="shared" si="6"/>
        <v>1941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5.9999999999999929</v>
      </c>
      <c r="O35" s="8">
        <f t="shared" si="15"/>
        <v>-124</v>
      </c>
      <c r="P35" s="8">
        <f t="shared" si="16"/>
        <v>-59</v>
      </c>
      <c r="Q35" s="12">
        <v>6</v>
      </c>
      <c r="R35" s="12">
        <v>8</v>
      </c>
      <c r="S35" s="12">
        <v>5</v>
      </c>
      <c r="T35" s="11">
        <f t="shared" si="7"/>
        <v>1771</v>
      </c>
      <c r="U35" s="10">
        <f t="shared" si="24"/>
        <v>666</v>
      </c>
      <c r="V35" s="10">
        <f t="shared" si="23"/>
        <v>656</v>
      </c>
      <c r="W35" s="10">
        <f t="shared" si="25"/>
        <v>671</v>
      </c>
      <c r="X35" s="8"/>
      <c r="Y35" s="8"/>
      <c r="Z35" s="8"/>
      <c r="AA35" s="8"/>
      <c r="AB35" s="30"/>
    </row>
    <row r="36" spans="1:28" ht="16.5" customHeight="1">
      <c r="A36" s="16">
        <v>22</v>
      </c>
      <c r="B36" s="15">
        <f t="shared" si="8"/>
        <v>45303</v>
      </c>
      <c r="C36" s="14">
        <f t="shared" si="9"/>
        <v>844</v>
      </c>
      <c r="D36" s="13">
        <f t="shared" si="10"/>
        <v>1581</v>
      </c>
      <c r="E36" s="12">
        <f t="shared" si="1"/>
        <v>421</v>
      </c>
      <c r="F36" s="12">
        <f t="shared" si="2"/>
        <v>551</v>
      </c>
      <c r="G36" s="12">
        <f t="shared" si="3"/>
        <v>485</v>
      </c>
      <c r="H36" s="8">
        <f t="shared" si="4"/>
        <v>2004</v>
      </c>
      <c r="I36" s="8">
        <f t="shared" si="5"/>
        <v>1874</v>
      </c>
      <c r="J36" s="8">
        <f t="shared" si="6"/>
        <v>1940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3.9999999999999929</v>
      </c>
      <c r="O36" s="8">
        <f t="shared" si="15"/>
        <v>-126</v>
      </c>
      <c r="P36" s="8">
        <f t="shared" si="16"/>
        <v>-60</v>
      </c>
      <c r="Q36" s="12">
        <v>2</v>
      </c>
      <c r="R36" s="12">
        <v>2</v>
      </c>
      <c r="S36" s="12">
        <v>1</v>
      </c>
      <c r="T36" s="11">
        <f t="shared" si="7"/>
        <v>1771</v>
      </c>
      <c r="U36" s="10">
        <f t="shared" si="24"/>
        <v>664</v>
      </c>
      <c r="V36" s="10">
        <f t="shared" si="23"/>
        <v>654</v>
      </c>
      <c r="W36" s="10">
        <f t="shared" si="25"/>
        <v>670</v>
      </c>
      <c r="X36" s="8"/>
      <c r="Y36" s="8"/>
      <c r="Z36" s="8"/>
      <c r="AA36" s="8"/>
      <c r="AB36" s="30"/>
    </row>
    <row r="37" spans="1:28" ht="16.5" customHeight="1">
      <c r="A37" s="16">
        <v>23</v>
      </c>
      <c r="B37" s="15">
        <f t="shared" si="8"/>
        <v>45304</v>
      </c>
      <c r="C37" s="14">
        <f t="shared" si="9"/>
        <v>844</v>
      </c>
      <c r="D37" s="13">
        <f t="shared" si="10"/>
        <v>1579</v>
      </c>
      <c r="E37" s="12">
        <f t="shared" si="1"/>
        <v>421</v>
      </c>
      <c r="F37" s="12">
        <f t="shared" si="2"/>
        <v>551</v>
      </c>
      <c r="G37" s="12">
        <f t="shared" si="3"/>
        <v>484</v>
      </c>
      <c r="H37" s="8">
        <f t="shared" si="4"/>
        <v>2002</v>
      </c>
      <c r="I37" s="8">
        <f t="shared" si="5"/>
        <v>1872</v>
      </c>
      <c r="J37" s="8">
        <f t="shared" si="6"/>
        <v>1939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1.9999999999999929</v>
      </c>
      <c r="O37" s="8">
        <f t="shared" si="15"/>
        <v>-128</v>
      </c>
      <c r="P37" s="8">
        <f t="shared" si="16"/>
        <v>-61</v>
      </c>
      <c r="Q37" s="12">
        <v>2</v>
      </c>
      <c r="R37" s="12">
        <v>2</v>
      </c>
      <c r="S37" s="12">
        <v>1</v>
      </c>
      <c r="T37" s="11">
        <f t="shared" si="7"/>
        <v>1771</v>
      </c>
      <c r="U37" s="10">
        <f t="shared" si="24"/>
        <v>662</v>
      </c>
      <c r="V37" s="10">
        <f t="shared" si="23"/>
        <v>652</v>
      </c>
      <c r="W37" s="10">
        <f t="shared" si="25"/>
        <v>669</v>
      </c>
      <c r="X37" s="8"/>
      <c r="Y37" s="8"/>
      <c r="Z37" s="8"/>
      <c r="AA37" s="8"/>
      <c r="AB37" s="30"/>
    </row>
    <row r="38" spans="1:28" ht="16.5" customHeight="1">
      <c r="A38" s="16">
        <v>24</v>
      </c>
      <c r="B38" s="15">
        <f t="shared" si="8"/>
        <v>45305</v>
      </c>
      <c r="C38" s="14">
        <f t="shared" si="9"/>
        <v>844</v>
      </c>
      <c r="D38" s="13">
        <f t="shared" si="10"/>
        <v>1577</v>
      </c>
      <c r="E38" s="12">
        <f t="shared" si="1"/>
        <v>421</v>
      </c>
      <c r="F38" s="12">
        <f t="shared" si="2"/>
        <v>551</v>
      </c>
      <c r="G38" s="12">
        <f t="shared" si="3"/>
        <v>484</v>
      </c>
      <c r="H38" s="8">
        <f t="shared" si="4"/>
        <v>2000</v>
      </c>
      <c r="I38" s="8">
        <f t="shared" si="5"/>
        <v>1870</v>
      </c>
      <c r="J38" s="8">
        <f t="shared" si="6"/>
        <v>1937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-7.1054273576010019E-15</v>
      </c>
      <c r="O38" s="8">
        <f t="shared" si="15"/>
        <v>-130</v>
      </c>
      <c r="P38" s="8">
        <f t="shared" si="16"/>
        <v>-63</v>
      </c>
      <c r="Q38" s="12">
        <v>2</v>
      </c>
      <c r="R38" s="12">
        <v>2</v>
      </c>
      <c r="S38" s="12">
        <v>2</v>
      </c>
      <c r="T38" s="11">
        <f t="shared" si="7"/>
        <v>1471</v>
      </c>
      <c r="U38" s="10">
        <f t="shared" si="24"/>
        <v>960</v>
      </c>
      <c r="V38" s="10">
        <f t="shared" si="23"/>
        <v>950</v>
      </c>
      <c r="W38" s="10">
        <f t="shared" si="25"/>
        <v>967</v>
      </c>
      <c r="X38" s="31">
        <v>0.3</v>
      </c>
      <c r="Y38" s="31"/>
      <c r="Z38" s="8"/>
      <c r="AA38" s="8"/>
      <c r="AB38" s="30">
        <v>6</v>
      </c>
    </row>
    <row r="39" spans="1:28" ht="16.5" customHeight="1">
      <c r="A39" s="16">
        <v>25</v>
      </c>
      <c r="B39" s="15">
        <f t="shared" si="8"/>
        <v>45306</v>
      </c>
      <c r="C39" s="14">
        <f t="shared" si="9"/>
        <v>844</v>
      </c>
      <c r="D39" s="13">
        <f t="shared" si="10"/>
        <v>1575</v>
      </c>
      <c r="E39" s="12">
        <f t="shared" si="1"/>
        <v>424</v>
      </c>
      <c r="F39" s="12">
        <f t="shared" si="2"/>
        <v>557</v>
      </c>
      <c r="G39" s="12">
        <f t="shared" si="3"/>
        <v>487</v>
      </c>
      <c r="H39" s="8">
        <f t="shared" si="4"/>
        <v>1995</v>
      </c>
      <c r="I39" s="8">
        <f t="shared" si="5"/>
        <v>1862</v>
      </c>
      <c r="J39" s="8">
        <f t="shared" si="6"/>
        <v>1932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-5.0000000000000071</v>
      </c>
      <c r="O39" s="8">
        <f t="shared" si="15"/>
        <v>-138</v>
      </c>
      <c r="P39" s="8">
        <f t="shared" si="16"/>
        <v>-68</v>
      </c>
      <c r="Q39" s="12">
        <v>5</v>
      </c>
      <c r="R39" s="12">
        <v>8</v>
      </c>
      <c r="S39" s="12">
        <v>5</v>
      </c>
      <c r="T39" s="11">
        <f t="shared" si="7"/>
        <v>1477</v>
      </c>
      <c r="U39" s="10">
        <f t="shared" si="24"/>
        <v>955</v>
      </c>
      <c r="V39" s="10">
        <f t="shared" si="23"/>
        <v>942</v>
      </c>
      <c r="W39" s="10">
        <f t="shared" si="25"/>
        <v>962</v>
      </c>
      <c r="X39" s="8"/>
      <c r="Y39" s="8"/>
      <c r="Z39" s="8"/>
      <c r="AA39" s="8"/>
      <c r="AB39" s="30"/>
    </row>
    <row r="40" spans="1:28" ht="16.5" customHeight="1">
      <c r="A40" s="16">
        <v>26</v>
      </c>
      <c r="B40" s="15">
        <f t="shared" si="8"/>
        <v>45307</v>
      </c>
      <c r="C40" s="14">
        <f t="shared" si="9"/>
        <v>844</v>
      </c>
      <c r="D40" s="13">
        <f t="shared" si="10"/>
        <v>1573</v>
      </c>
      <c r="E40" s="12">
        <f t="shared" si="1"/>
        <v>424</v>
      </c>
      <c r="F40" s="12">
        <f t="shared" si="2"/>
        <v>557</v>
      </c>
      <c r="G40" s="12">
        <f t="shared" si="3"/>
        <v>486</v>
      </c>
      <c r="H40" s="8">
        <f t="shared" si="4"/>
        <v>1993</v>
      </c>
      <c r="I40" s="8">
        <f t="shared" si="5"/>
        <v>1860</v>
      </c>
      <c r="J40" s="8">
        <f t="shared" si="6"/>
        <v>1931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-7.0000000000000071</v>
      </c>
      <c r="O40" s="8">
        <f t="shared" si="15"/>
        <v>-140</v>
      </c>
      <c r="P40" s="8">
        <f t="shared" si="16"/>
        <v>-69</v>
      </c>
      <c r="Q40" s="12">
        <v>2</v>
      </c>
      <c r="R40" s="12">
        <v>2</v>
      </c>
      <c r="S40" s="12">
        <v>1</v>
      </c>
      <c r="T40" s="11">
        <f t="shared" si="7"/>
        <v>1477</v>
      </c>
      <c r="U40" s="10">
        <f t="shared" si="24"/>
        <v>953</v>
      </c>
      <c r="V40" s="10">
        <f t="shared" si="23"/>
        <v>940</v>
      </c>
      <c r="W40" s="10">
        <f t="shared" si="25"/>
        <v>961</v>
      </c>
      <c r="X40" s="8"/>
      <c r="Y40" s="8"/>
      <c r="Z40" s="8"/>
      <c r="AA40" s="8"/>
      <c r="AB40" s="30"/>
    </row>
    <row r="41" spans="1:28" ht="16.5" customHeight="1">
      <c r="A41" s="16">
        <v>27</v>
      </c>
      <c r="B41" s="15">
        <f t="shared" si="8"/>
        <v>45308</v>
      </c>
      <c r="C41" s="14">
        <f t="shared" si="9"/>
        <v>844</v>
      </c>
      <c r="D41" s="13">
        <f t="shared" si="10"/>
        <v>1571</v>
      </c>
      <c r="E41" s="12">
        <f t="shared" si="1"/>
        <v>424</v>
      </c>
      <c r="F41" s="12">
        <f t="shared" si="2"/>
        <v>557</v>
      </c>
      <c r="G41" s="12">
        <f t="shared" si="3"/>
        <v>486</v>
      </c>
      <c r="H41" s="8">
        <f t="shared" si="4"/>
        <v>1991</v>
      </c>
      <c r="I41" s="8">
        <f t="shared" si="5"/>
        <v>1858</v>
      </c>
      <c r="J41" s="8">
        <f t="shared" si="6"/>
        <v>1929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-9.0000000000000071</v>
      </c>
      <c r="O41" s="8">
        <f t="shared" si="15"/>
        <v>-142</v>
      </c>
      <c r="P41" s="8">
        <f t="shared" si="16"/>
        <v>-71</v>
      </c>
      <c r="Q41" s="12">
        <v>2</v>
      </c>
      <c r="R41" s="12">
        <v>2</v>
      </c>
      <c r="S41" s="12">
        <v>2</v>
      </c>
      <c r="T41" s="11">
        <f t="shared" si="7"/>
        <v>1477</v>
      </c>
      <c r="U41" s="10">
        <f t="shared" si="24"/>
        <v>951</v>
      </c>
      <c r="V41" s="10">
        <f t="shared" si="23"/>
        <v>938</v>
      </c>
      <c r="W41" s="10">
        <f t="shared" si="25"/>
        <v>959</v>
      </c>
      <c r="X41" s="8"/>
      <c r="Y41" s="8"/>
      <c r="Z41" s="8"/>
      <c r="AA41" s="8"/>
      <c r="AB41" s="30"/>
    </row>
    <row r="42" spans="1:28" ht="16.5" customHeight="1">
      <c r="A42" s="16">
        <v>28</v>
      </c>
      <c r="B42" s="15">
        <f t="shared" si="8"/>
        <v>45309</v>
      </c>
      <c r="C42" s="14">
        <f t="shared" si="9"/>
        <v>844</v>
      </c>
      <c r="D42" s="13">
        <f t="shared" si="10"/>
        <v>1569</v>
      </c>
      <c r="E42" s="12">
        <f t="shared" si="1"/>
        <v>424</v>
      </c>
      <c r="F42" s="12">
        <f t="shared" si="2"/>
        <v>557</v>
      </c>
      <c r="G42" s="12">
        <f t="shared" si="3"/>
        <v>485</v>
      </c>
      <c r="H42" s="8">
        <f t="shared" si="4"/>
        <v>1989</v>
      </c>
      <c r="I42" s="8">
        <f t="shared" si="5"/>
        <v>1856</v>
      </c>
      <c r="J42" s="8">
        <f t="shared" si="6"/>
        <v>1928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-11.000000000000007</v>
      </c>
      <c r="O42" s="8">
        <f t="shared" si="15"/>
        <v>-144</v>
      </c>
      <c r="P42" s="8">
        <f t="shared" si="16"/>
        <v>-72</v>
      </c>
      <c r="Q42" s="12">
        <v>2</v>
      </c>
      <c r="R42" s="12">
        <v>2</v>
      </c>
      <c r="S42" s="12">
        <v>1</v>
      </c>
      <c r="T42" s="11">
        <f t="shared" si="7"/>
        <v>1177</v>
      </c>
      <c r="U42" s="10">
        <f t="shared" si="24"/>
        <v>1249</v>
      </c>
      <c r="V42" s="10">
        <f t="shared" si="23"/>
        <v>1236</v>
      </c>
      <c r="W42" s="10">
        <f t="shared" si="25"/>
        <v>1258</v>
      </c>
      <c r="X42" s="31">
        <v>0.3</v>
      </c>
      <c r="Y42" s="31"/>
      <c r="Z42" s="8"/>
      <c r="AA42" s="8"/>
      <c r="AB42" s="30">
        <v>5</v>
      </c>
    </row>
    <row r="43" spans="1:28" ht="16.5" customHeight="1">
      <c r="A43" s="16">
        <v>29</v>
      </c>
      <c r="B43" s="15">
        <f t="shared" si="8"/>
        <v>45310</v>
      </c>
      <c r="C43" s="14">
        <f t="shared" si="9"/>
        <v>844</v>
      </c>
      <c r="D43" s="13">
        <f t="shared" si="10"/>
        <v>1567</v>
      </c>
      <c r="E43" s="12">
        <f t="shared" si="1"/>
        <v>427</v>
      </c>
      <c r="F43" s="12">
        <f t="shared" si="2"/>
        <v>563</v>
      </c>
      <c r="G43" s="12">
        <f t="shared" si="3"/>
        <v>489</v>
      </c>
      <c r="H43" s="8">
        <f t="shared" si="4"/>
        <v>1984</v>
      </c>
      <c r="I43" s="8">
        <f t="shared" si="5"/>
        <v>1848</v>
      </c>
      <c r="J43" s="8">
        <f t="shared" si="6"/>
        <v>1922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-16.000000000000007</v>
      </c>
      <c r="O43" s="8">
        <f t="shared" si="15"/>
        <v>-152</v>
      </c>
      <c r="P43" s="8">
        <f t="shared" si="16"/>
        <v>-78</v>
      </c>
      <c r="Q43" s="12">
        <v>5</v>
      </c>
      <c r="R43" s="12">
        <v>8</v>
      </c>
      <c r="S43" s="12">
        <v>6</v>
      </c>
      <c r="T43" s="11">
        <f t="shared" si="7"/>
        <v>1183</v>
      </c>
      <c r="U43" s="10">
        <f t="shared" si="24"/>
        <v>1244</v>
      </c>
      <c r="V43" s="10">
        <f t="shared" si="23"/>
        <v>1228</v>
      </c>
      <c r="W43" s="10">
        <f t="shared" si="25"/>
        <v>1252</v>
      </c>
      <c r="X43" s="8"/>
      <c r="Y43" s="8"/>
      <c r="Z43" s="8"/>
      <c r="AA43" s="8"/>
      <c r="AB43" s="30"/>
    </row>
    <row r="44" spans="1:28" ht="16.5" customHeight="1">
      <c r="A44" s="16">
        <v>30</v>
      </c>
      <c r="B44" s="15">
        <f t="shared" si="8"/>
        <v>45311</v>
      </c>
      <c r="C44" s="14">
        <f t="shared" si="9"/>
        <v>844</v>
      </c>
      <c r="D44" s="13">
        <f t="shared" si="10"/>
        <v>1565</v>
      </c>
      <c r="E44" s="12">
        <f t="shared" si="1"/>
        <v>425</v>
      </c>
      <c r="F44" s="12">
        <f t="shared" si="2"/>
        <v>562</v>
      </c>
      <c r="G44" s="12">
        <f t="shared" si="3"/>
        <v>487</v>
      </c>
      <c r="H44" s="8">
        <f t="shared" si="4"/>
        <v>1984</v>
      </c>
      <c r="I44" s="8">
        <f t="shared" si="5"/>
        <v>1847</v>
      </c>
      <c r="J44" s="8">
        <f t="shared" si="6"/>
        <v>1922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-16.000000000000007</v>
      </c>
      <c r="O44" s="8">
        <f t="shared" si="15"/>
        <v>-153</v>
      </c>
      <c r="P44" s="8">
        <f t="shared" si="16"/>
        <v>-78</v>
      </c>
      <c r="Q44" s="12">
        <v>0</v>
      </c>
      <c r="R44" s="12">
        <v>1</v>
      </c>
      <c r="S44" s="12">
        <v>0</v>
      </c>
      <c r="T44" s="11">
        <f t="shared" si="7"/>
        <v>1182</v>
      </c>
      <c r="U44" s="10">
        <f t="shared" si="24"/>
        <v>1244</v>
      </c>
      <c r="V44" s="10">
        <f t="shared" si="23"/>
        <v>1227</v>
      </c>
      <c r="W44" s="10">
        <f t="shared" si="25"/>
        <v>1252</v>
      </c>
      <c r="X44" s="8"/>
      <c r="Y44" s="8"/>
      <c r="Z44" s="8"/>
      <c r="AA44" s="8"/>
      <c r="AB44" s="30"/>
    </row>
    <row r="45" spans="1:28" ht="15">
      <c r="A45" s="16">
        <v>31</v>
      </c>
      <c r="B45" s="15">
        <f t="shared" si="8"/>
        <v>45312</v>
      </c>
      <c r="C45" s="14">
        <f t="shared" si="9"/>
        <v>844</v>
      </c>
      <c r="D45" s="13">
        <f t="shared" si="10"/>
        <v>1563</v>
      </c>
      <c r="E45" s="12">
        <f t="shared" si="1"/>
        <v>429</v>
      </c>
      <c r="F45" s="12">
        <f t="shared" si="2"/>
        <v>568</v>
      </c>
      <c r="G45" s="12">
        <f t="shared" si="3"/>
        <v>490</v>
      </c>
      <c r="H45" s="8">
        <f t="shared" si="4"/>
        <v>1978</v>
      </c>
      <c r="I45" s="8">
        <f t="shared" si="5"/>
        <v>1839</v>
      </c>
      <c r="J45" s="8">
        <f t="shared" si="6"/>
        <v>1917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-22.000000000000007</v>
      </c>
      <c r="O45" s="8">
        <f t="shared" si="15"/>
        <v>-161</v>
      </c>
      <c r="P45" s="8">
        <f t="shared" si="16"/>
        <v>-83</v>
      </c>
      <c r="Q45" s="12">
        <v>6</v>
      </c>
      <c r="R45" s="12">
        <v>8</v>
      </c>
      <c r="S45" s="12">
        <v>5</v>
      </c>
      <c r="T45" s="11">
        <f t="shared" si="7"/>
        <v>1188</v>
      </c>
      <c r="U45" s="10">
        <f t="shared" si="24"/>
        <v>1238</v>
      </c>
      <c r="V45" s="10">
        <f t="shared" si="23"/>
        <v>1219</v>
      </c>
      <c r="W45" s="10">
        <f t="shared" si="25"/>
        <v>1247</v>
      </c>
      <c r="X45" s="8"/>
      <c r="Y45" s="8"/>
      <c r="Z45" s="8"/>
      <c r="AA45" s="8"/>
      <c r="AB45" s="30"/>
    </row>
    <row r="46" spans="1:28" ht="15" customHeight="1">
      <c r="A46" s="16">
        <v>32</v>
      </c>
      <c r="B46" s="15">
        <f t="shared" si="8"/>
        <v>45313</v>
      </c>
      <c r="C46" s="14">
        <f t="shared" si="9"/>
        <v>844</v>
      </c>
      <c r="D46" s="13">
        <f t="shared" si="10"/>
        <v>1561</v>
      </c>
      <c r="E46" s="12">
        <f t="shared" si="1"/>
        <v>429</v>
      </c>
      <c r="F46" s="12">
        <f t="shared" si="2"/>
        <v>568</v>
      </c>
      <c r="G46" s="12">
        <f t="shared" si="3"/>
        <v>489</v>
      </c>
      <c r="H46" s="8">
        <f t="shared" si="4"/>
        <v>1976</v>
      </c>
      <c r="I46" s="8">
        <f t="shared" si="5"/>
        <v>1837</v>
      </c>
      <c r="J46" s="8">
        <f t="shared" si="6"/>
        <v>1916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-24.000000000000007</v>
      </c>
      <c r="O46" s="8">
        <f t="shared" si="15"/>
        <v>-163</v>
      </c>
      <c r="P46" s="8">
        <f t="shared" si="16"/>
        <v>-84</v>
      </c>
      <c r="Q46" s="12">
        <v>2</v>
      </c>
      <c r="R46" s="12">
        <v>2</v>
      </c>
      <c r="S46" s="12">
        <v>1</v>
      </c>
      <c r="T46" s="11">
        <f t="shared" si="7"/>
        <v>888</v>
      </c>
      <c r="U46" s="10">
        <f t="shared" si="24"/>
        <v>1536</v>
      </c>
      <c r="V46" s="10">
        <f t="shared" si="23"/>
        <v>1517</v>
      </c>
      <c r="W46" s="10">
        <f t="shared" si="25"/>
        <v>1546</v>
      </c>
      <c r="X46" s="31">
        <v>0.3</v>
      </c>
      <c r="Y46" s="31"/>
      <c r="Z46" s="8"/>
      <c r="AA46" s="8"/>
      <c r="AB46" s="30">
        <v>4</v>
      </c>
    </row>
    <row r="47" spans="1:28" ht="15" customHeight="1">
      <c r="A47" s="16">
        <v>33</v>
      </c>
      <c r="B47" s="15">
        <f t="shared" si="8"/>
        <v>45314</v>
      </c>
      <c r="C47" s="14">
        <f t="shared" si="9"/>
        <v>844</v>
      </c>
      <c r="D47" s="13">
        <f t="shared" ref="D47:D78" si="26">D46-2</f>
        <v>1559</v>
      </c>
      <c r="E47" s="12">
        <f t="shared" si="1"/>
        <v>429</v>
      </c>
      <c r="F47" s="12">
        <f t="shared" si="2"/>
        <v>568</v>
      </c>
      <c r="G47" s="12">
        <f t="shared" si="3"/>
        <v>488</v>
      </c>
      <c r="H47" s="8">
        <f t="shared" si="4"/>
        <v>1974</v>
      </c>
      <c r="I47" s="8">
        <f t="shared" si="5"/>
        <v>1835</v>
      </c>
      <c r="J47" s="8">
        <f t="shared" si="6"/>
        <v>1915</v>
      </c>
      <c r="K47" s="8">
        <f t="shared" ref="K47:K78" si="27">K46</f>
        <v>2000</v>
      </c>
      <c r="L47" s="8">
        <f t="shared" ref="L47:L78" si="28">L46</f>
        <v>2000</v>
      </c>
      <c r="M47" s="8">
        <f t="shared" ref="M47:M78" si="29">M46</f>
        <v>2000</v>
      </c>
      <c r="N47" s="8">
        <f t="shared" si="14"/>
        <v>-26.000000000000007</v>
      </c>
      <c r="O47" s="8">
        <f t="shared" si="15"/>
        <v>-165</v>
      </c>
      <c r="P47" s="8">
        <f t="shared" si="16"/>
        <v>-85</v>
      </c>
      <c r="Q47" s="12">
        <v>2</v>
      </c>
      <c r="R47" s="12">
        <v>2</v>
      </c>
      <c r="S47" s="12">
        <v>1</v>
      </c>
      <c r="T47" s="11">
        <f t="shared" si="7"/>
        <v>888</v>
      </c>
      <c r="U47" s="10">
        <f t="shared" si="24"/>
        <v>1534</v>
      </c>
      <c r="V47" s="10">
        <f t="shared" si="23"/>
        <v>1515</v>
      </c>
      <c r="W47" s="10">
        <f t="shared" si="25"/>
        <v>1545</v>
      </c>
      <c r="X47" s="8"/>
      <c r="Y47" s="8"/>
      <c r="Z47" s="8"/>
      <c r="AA47" s="8"/>
      <c r="AB47" s="30"/>
    </row>
    <row r="48" spans="1:28" ht="15" customHeight="1">
      <c r="A48" s="16">
        <v>34</v>
      </c>
      <c r="B48" s="15">
        <f t="shared" si="8"/>
        <v>45315</v>
      </c>
      <c r="C48" s="14">
        <f t="shared" si="9"/>
        <v>844</v>
      </c>
      <c r="D48" s="13">
        <f t="shared" si="26"/>
        <v>1557</v>
      </c>
      <c r="E48" s="12">
        <f t="shared" si="1"/>
        <v>429</v>
      </c>
      <c r="F48" s="12">
        <f t="shared" si="2"/>
        <v>568</v>
      </c>
      <c r="G48" s="12">
        <f t="shared" si="3"/>
        <v>488</v>
      </c>
      <c r="H48" s="8">
        <f t="shared" si="4"/>
        <v>1972</v>
      </c>
      <c r="I48" s="8">
        <f t="shared" si="5"/>
        <v>1833</v>
      </c>
      <c r="J48" s="8">
        <f t="shared" si="6"/>
        <v>1913</v>
      </c>
      <c r="K48" s="8">
        <f t="shared" si="27"/>
        <v>2000</v>
      </c>
      <c r="L48" s="8">
        <f t="shared" si="28"/>
        <v>2000</v>
      </c>
      <c r="M48" s="8">
        <f t="shared" si="29"/>
        <v>2000</v>
      </c>
      <c r="N48" s="8">
        <f t="shared" si="14"/>
        <v>-28.000000000000007</v>
      </c>
      <c r="O48" s="8">
        <f t="shared" si="15"/>
        <v>-167</v>
      </c>
      <c r="P48" s="8">
        <f t="shared" si="16"/>
        <v>-87</v>
      </c>
      <c r="Q48" s="12">
        <v>2</v>
      </c>
      <c r="R48" s="12">
        <v>2</v>
      </c>
      <c r="S48" s="12">
        <v>2</v>
      </c>
      <c r="T48" s="11">
        <f t="shared" si="7"/>
        <v>888</v>
      </c>
      <c r="U48" s="10">
        <f t="shared" si="24"/>
        <v>1532</v>
      </c>
      <c r="V48" s="10">
        <f t="shared" si="23"/>
        <v>1513</v>
      </c>
      <c r="W48" s="10">
        <f t="shared" si="25"/>
        <v>1543</v>
      </c>
      <c r="X48" s="8"/>
      <c r="Y48" s="8"/>
      <c r="Z48" s="8"/>
      <c r="AA48" s="8"/>
      <c r="AB48" s="30"/>
    </row>
    <row r="49" spans="1:28" ht="15" customHeight="1">
      <c r="A49" s="16">
        <v>35</v>
      </c>
      <c r="B49" s="15">
        <f t="shared" si="8"/>
        <v>45316</v>
      </c>
      <c r="C49" s="14">
        <f t="shared" si="9"/>
        <v>844</v>
      </c>
      <c r="D49" s="13">
        <f t="shared" si="26"/>
        <v>1555</v>
      </c>
      <c r="E49" s="12">
        <f t="shared" si="1"/>
        <v>432</v>
      </c>
      <c r="F49" s="12">
        <f t="shared" si="2"/>
        <v>574</v>
      </c>
      <c r="G49" s="12">
        <f t="shared" si="3"/>
        <v>491</v>
      </c>
      <c r="H49" s="8">
        <f t="shared" si="4"/>
        <v>1967</v>
      </c>
      <c r="I49" s="8">
        <f t="shared" si="5"/>
        <v>1825</v>
      </c>
      <c r="J49" s="8">
        <f t="shared" si="6"/>
        <v>1908</v>
      </c>
      <c r="K49" s="8">
        <f t="shared" si="27"/>
        <v>2000</v>
      </c>
      <c r="L49" s="8">
        <f t="shared" si="28"/>
        <v>2000</v>
      </c>
      <c r="M49" s="8">
        <f t="shared" si="29"/>
        <v>2000</v>
      </c>
      <c r="N49" s="8">
        <f t="shared" si="14"/>
        <v>-33.000000000000007</v>
      </c>
      <c r="O49" s="8">
        <f t="shared" si="15"/>
        <v>-175</v>
      </c>
      <c r="P49" s="8">
        <f t="shared" si="16"/>
        <v>-92</v>
      </c>
      <c r="Q49" s="12">
        <v>5</v>
      </c>
      <c r="R49" s="12">
        <v>8</v>
      </c>
      <c r="S49" s="12">
        <v>5</v>
      </c>
      <c r="T49" s="11">
        <f t="shared" si="7"/>
        <v>894</v>
      </c>
      <c r="U49" s="10">
        <f t="shared" si="24"/>
        <v>1527</v>
      </c>
      <c r="V49" s="10">
        <f t="shared" si="23"/>
        <v>1505</v>
      </c>
      <c r="W49" s="10">
        <f t="shared" si="25"/>
        <v>1538</v>
      </c>
      <c r="X49" s="8"/>
      <c r="Y49" s="8"/>
      <c r="Z49" s="8"/>
      <c r="AA49" s="8"/>
      <c r="AB49" s="30"/>
    </row>
    <row r="50" spans="1:28" ht="15" customHeight="1">
      <c r="A50" s="16">
        <v>36</v>
      </c>
      <c r="B50" s="15">
        <f t="shared" si="8"/>
        <v>45317</v>
      </c>
      <c r="C50" s="14">
        <f t="shared" si="9"/>
        <v>844</v>
      </c>
      <c r="D50" s="13">
        <f t="shared" si="26"/>
        <v>1553</v>
      </c>
      <c r="E50" s="12">
        <f t="shared" si="1"/>
        <v>432</v>
      </c>
      <c r="F50" s="12">
        <f t="shared" si="2"/>
        <v>574</v>
      </c>
      <c r="G50" s="12">
        <f t="shared" si="3"/>
        <v>490</v>
      </c>
      <c r="H50" s="8">
        <f t="shared" si="4"/>
        <v>1965</v>
      </c>
      <c r="I50" s="8">
        <f t="shared" si="5"/>
        <v>1823</v>
      </c>
      <c r="J50" s="8">
        <f t="shared" si="6"/>
        <v>1907</v>
      </c>
      <c r="K50" s="8">
        <f t="shared" si="27"/>
        <v>2000</v>
      </c>
      <c r="L50" s="8">
        <f t="shared" si="28"/>
        <v>2000</v>
      </c>
      <c r="M50" s="8">
        <f t="shared" si="29"/>
        <v>2000</v>
      </c>
      <c r="N50" s="8">
        <f t="shared" si="14"/>
        <v>-35.000000000000007</v>
      </c>
      <c r="O50" s="8">
        <f t="shared" si="15"/>
        <v>-177</v>
      </c>
      <c r="P50" s="8">
        <f t="shared" si="16"/>
        <v>-93</v>
      </c>
      <c r="Q50" s="12">
        <v>2</v>
      </c>
      <c r="R50" s="12">
        <v>2</v>
      </c>
      <c r="S50" s="12">
        <v>1</v>
      </c>
      <c r="T50" s="11">
        <f t="shared" si="7"/>
        <v>894</v>
      </c>
      <c r="U50" s="10">
        <f t="shared" si="24"/>
        <v>1525</v>
      </c>
      <c r="V50" s="10">
        <f t="shared" si="23"/>
        <v>1503</v>
      </c>
      <c r="W50" s="10">
        <f t="shared" si="25"/>
        <v>1537</v>
      </c>
      <c r="X50" s="8"/>
      <c r="Y50" s="8"/>
      <c r="Z50" s="8"/>
      <c r="AA50" s="8"/>
      <c r="AB50" s="30"/>
    </row>
    <row r="51" spans="1:28" ht="15" customHeight="1">
      <c r="A51" s="16">
        <v>37</v>
      </c>
      <c r="B51" s="15">
        <f t="shared" si="8"/>
        <v>45318</v>
      </c>
      <c r="C51" s="14">
        <f t="shared" si="9"/>
        <v>844</v>
      </c>
      <c r="D51" s="13">
        <f t="shared" si="26"/>
        <v>1551</v>
      </c>
      <c r="E51" s="12">
        <f t="shared" si="1"/>
        <v>432</v>
      </c>
      <c r="F51" s="12">
        <f t="shared" si="2"/>
        <v>574</v>
      </c>
      <c r="G51" s="12">
        <f t="shared" si="3"/>
        <v>490</v>
      </c>
      <c r="H51" s="8">
        <f t="shared" si="4"/>
        <v>1963</v>
      </c>
      <c r="I51" s="8">
        <f t="shared" si="5"/>
        <v>1821</v>
      </c>
      <c r="J51" s="8">
        <f t="shared" si="6"/>
        <v>1905</v>
      </c>
      <c r="K51" s="8">
        <f t="shared" si="27"/>
        <v>2000</v>
      </c>
      <c r="L51" s="8">
        <f t="shared" si="28"/>
        <v>2000</v>
      </c>
      <c r="M51" s="8">
        <f t="shared" si="29"/>
        <v>2000</v>
      </c>
      <c r="N51" s="8">
        <f t="shared" si="14"/>
        <v>-37.000000000000007</v>
      </c>
      <c r="O51" s="8">
        <f t="shared" si="15"/>
        <v>-179</v>
      </c>
      <c r="P51" s="8">
        <f t="shared" si="16"/>
        <v>-95</v>
      </c>
      <c r="Q51" s="12">
        <v>2</v>
      </c>
      <c r="R51" s="12">
        <v>2</v>
      </c>
      <c r="S51" s="12">
        <v>2</v>
      </c>
      <c r="T51" s="11">
        <f t="shared" si="7"/>
        <v>894</v>
      </c>
      <c r="U51" s="10">
        <f t="shared" si="24"/>
        <v>1523</v>
      </c>
      <c r="V51" s="10">
        <f t="shared" si="23"/>
        <v>1501</v>
      </c>
      <c r="W51" s="10">
        <f t="shared" si="25"/>
        <v>1535</v>
      </c>
      <c r="X51" s="8"/>
      <c r="Y51" s="8"/>
      <c r="Z51" s="8"/>
      <c r="AA51" s="8"/>
      <c r="AB51" s="30"/>
    </row>
    <row r="52" spans="1:28" ht="15" customHeight="1">
      <c r="A52" s="16">
        <v>38</v>
      </c>
      <c r="B52" s="15">
        <f t="shared" si="8"/>
        <v>45319</v>
      </c>
      <c r="C52" s="14">
        <f t="shared" si="9"/>
        <v>844</v>
      </c>
      <c r="D52" s="13">
        <f t="shared" si="26"/>
        <v>1549</v>
      </c>
      <c r="E52" s="12">
        <f t="shared" si="1"/>
        <v>432</v>
      </c>
      <c r="F52" s="12">
        <f t="shared" si="2"/>
        <v>574</v>
      </c>
      <c r="G52" s="12">
        <f t="shared" si="3"/>
        <v>489</v>
      </c>
      <c r="H52" s="8">
        <f t="shared" si="4"/>
        <v>1961</v>
      </c>
      <c r="I52" s="8">
        <f t="shared" si="5"/>
        <v>1819</v>
      </c>
      <c r="J52" s="8">
        <f t="shared" si="6"/>
        <v>1904</v>
      </c>
      <c r="K52" s="8">
        <f t="shared" si="27"/>
        <v>2000</v>
      </c>
      <c r="L52" s="8">
        <f t="shared" si="28"/>
        <v>2000</v>
      </c>
      <c r="M52" s="8">
        <f t="shared" si="29"/>
        <v>2000</v>
      </c>
      <c r="N52" s="8">
        <f t="shared" si="14"/>
        <v>-39.000000000000007</v>
      </c>
      <c r="O52" s="8">
        <f t="shared" si="15"/>
        <v>-181</v>
      </c>
      <c r="P52" s="8">
        <f t="shared" si="16"/>
        <v>-96</v>
      </c>
      <c r="Q52" s="12">
        <v>2</v>
      </c>
      <c r="R52" s="12">
        <v>2</v>
      </c>
      <c r="S52" s="12">
        <v>1</v>
      </c>
      <c r="T52" s="11">
        <f t="shared" si="7"/>
        <v>894</v>
      </c>
      <c r="U52" s="10">
        <f t="shared" si="24"/>
        <v>1521</v>
      </c>
      <c r="V52" s="10">
        <f t="shared" si="23"/>
        <v>1499</v>
      </c>
      <c r="W52" s="10">
        <f t="shared" si="25"/>
        <v>1534</v>
      </c>
      <c r="X52" s="8"/>
      <c r="Y52" s="8"/>
      <c r="Z52" s="8"/>
      <c r="AA52" s="8"/>
      <c r="AB52" s="30"/>
    </row>
    <row r="53" spans="1:28" ht="15" customHeight="1">
      <c r="A53" s="16">
        <v>39</v>
      </c>
      <c r="B53" s="15">
        <f t="shared" si="8"/>
        <v>45320</v>
      </c>
      <c r="C53" s="14">
        <f t="shared" si="9"/>
        <v>844</v>
      </c>
      <c r="D53" s="13">
        <f t="shared" si="26"/>
        <v>1547</v>
      </c>
      <c r="E53" s="12">
        <f t="shared" si="1"/>
        <v>435</v>
      </c>
      <c r="F53" s="12">
        <f t="shared" si="2"/>
        <v>580</v>
      </c>
      <c r="G53" s="12">
        <f t="shared" si="3"/>
        <v>493</v>
      </c>
      <c r="H53" s="8">
        <f t="shared" si="4"/>
        <v>1956</v>
      </c>
      <c r="I53" s="8">
        <f t="shared" si="5"/>
        <v>1811</v>
      </c>
      <c r="J53" s="8">
        <f t="shared" si="6"/>
        <v>1898</v>
      </c>
      <c r="K53" s="8">
        <f t="shared" si="27"/>
        <v>2000</v>
      </c>
      <c r="L53" s="8">
        <f t="shared" si="28"/>
        <v>2000</v>
      </c>
      <c r="M53" s="8">
        <f t="shared" si="29"/>
        <v>2000</v>
      </c>
      <c r="N53" s="8">
        <f t="shared" si="14"/>
        <v>-44.000000000000007</v>
      </c>
      <c r="O53" s="8">
        <f t="shared" si="15"/>
        <v>-189</v>
      </c>
      <c r="P53" s="8">
        <f t="shared" si="16"/>
        <v>-102</v>
      </c>
      <c r="Q53" s="12">
        <v>5</v>
      </c>
      <c r="R53" s="12">
        <v>8</v>
      </c>
      <c r="S53" s="12">
        <v>6</v>
      </c>
      <c r="T53" s="11">
        <f t="shared" si="7"/>
        <v>900</v>
      </c>
      <c r="U53" s="10">
        <f t="shared" si="24"/>
        <v>1516</v>
      </c>
      <c r="V53" s="10">
        <f t="shared" si="23"/>
        <v>1491</v>
      </c>
      <c r="W53" s="10">
        <f t="shared" si="25"/>
        <v>1528</v>
      </c>
      <c r="X53" s="8"/>
      <c r="Y53" s="8"/>
      <c r="Z53" s="8"/>
      <c r="AA53" s="8"/>
      <c r="AB53" s="30"/>
    </row>
    <row r="54" spans="1:28" ht="15" customHeight="1">
      <c r="A54" s="16">
        <v>40</v>
      </c>
      <c r="B54" s="15">
        <f t="shared" si="8"/>
        <v>45321</v>
      </c>
      <c r="C54" s="14">
        <f t="shared" si="9"/>
        <v>844</v>
      </c>
      <c r="D54" s="13">
        <f t="shared" si="26"/>
        <v>1545</v>
      </c>
      <c r="E54" s="12">
        <f t="shared" si="1"/>
        <v>433</v>
      </c>
      <c r="F54" s="12">
        <f t="shared" si="2"/>
        <v>579</v>
      </c>
      <c r="G54" s="12">
        <f t="shared" si="3"/>
        <v>491</v>
      </c>
      <c r="H54" s="8">
        <f t="shared" si="4"/>
        <v>1956</v>
      </c>
      <c r="I54" s="8">
        <f t="shared" si="5"/>
        <v>1810</v>
      </c>
      <c r="J54" s="8">
        <f t="shared" si="6"/>
        <v>1898</v>
      </c>
      <c r="K54" s="8">
        <f t="shared" si="27"/>
        <v>2000</v>
      </c>
      <c r="L54" s="8">
        <f t="shared" si="28"/>
        <v>2000</v>
      </c>
      <c r="M54" s="8">
        <f t="shared" si="29"/>
        <v>2000</v>
      </c>
      <c r="N54" s="8">
        <f t="shared" si="14"/>
        <v>-44.000000000000007</v>
      </c>
      <c r="O54" s="8">
        <f t="shared" si="15"/>
        <v>-190</v>
      </c>
      <c r="P54" s="8">
        <f t="shared" si="16"/>
        <v>-102</v>
      </c>
      <c r="Q54" s="12">
        <v>0</v>
      </c>
      <c r="R54" s="12">
        <v>1</v>
      </c>
      <c r="S54" s="12">
        <v>0</v>
      </c>
      <c r="T54" s="11">
        <f t="shared" si="7"/>
        <v>899</v>
      </c>
      <c r="U54" s="10">
        <f t="shared" si="24"/>
        <v>1516</v>
      </c>
      <c r="V54" s="10">
        <f t="shared" si="23"/>
        <v>1490</v>
      </c>
      <c r="W54" s="10">
        <f t="shared" si="25"/>
        <v>1528</v>
      </c>
      <c r="X54" s="8"/>
      <c r="Y54" s="8"/>
      <c r="Z54" s="8"/>
      <c r="AA54" s="8"/>
      <c r="AB54" s="30"/>
    </row>
    <row r="55" spans="1:28" ht="15" customHeight="1">
      <c r="A55" s="16">
        <v>41</v>
      </c>
      <c r="B55" s="15">
        <f t="shared" si="8"/>
        <v>45322</v>
      </c>
      <c r="C55" s="14">
        <f t="shared" si="9"/>
        <v>844</v>
      </c>
      <c r="D55" s="13">
        <f t="shared" si="26"/>
        <v>1543</v>
      </c>
      <c r="E55" s="12">
        <f t="shared" si="1"/>
        <v>432</v>
      </c>
      <c r="F55" s="12">
        <f t="shared" si="2"/>
        <v>577</v>
      </c>
      <c r="G55" s="12">
        <f t="shared" si="3"/>
        <v>490</v>
      </c>
      <c r="H55" s="8">
        <f t="shared" si="4"/>
        <v>1955</v>
      </c>
      <c r="I55" s="8">
        <f t="shared" si="5"/>
        <v>1810</v>
      </c>
      <c r="J55" s="8">
        <f t="shared" si="6"/>
        <v>1897</v>
      </c>
      <c r="K55" s="8">
        <f t="shared" si="27"/>
        <v>2000</v>
      </c>
      <c r="L55" s="8">
        <f t="shared" si="28"/>
        <v>2000</v>
      </c>
      <c r="M55" s="8">
        <f t="shared" si="29"/>
        <v>2000</v>
      </c>
      <c r="N55" s="8">
        <f t="shared" si="14"/>
        <v>-45.000000000000007</v>
      </c>
      <c r="O55" s="8">
        <f t="shared" si="15"/>
        <v>-190</v>
      </c>
      <c r="P55" s="8">
        <f t="shared" si="16"/>
        <v>-103</v>
      </c>
      <c r="Q55" s="12">
        <v>1</v>
      </c>
      <c r="R55" s="12">
        <v>0</v>
      </c>
      <c r="S55" s="12">
        <v>1</v>
      </c>
      <c r="T55" s="11">
        <f t="shared" si="7"/>
        <v>897</v>
      </c>
      <c r="U55" s="10">
        <f t="shared" si="24"/>
        <v>1515</v>
      </c>
      <c r="V55" s="10">
        <f t="shared" si="23"/>
        <v>1490</v>
      </c>
      <c r="W55" s="10">
        <f t="shared" si="25"/>
        <v>1527</v>
      </c>
      <c r="X55" s="8"/>
      <c r="Y55" s="8"/>
      <c r="Z55" s="8"/>
      <c r="AA55" s="8"/>
      <c r="AB55" s="30"/>
    </row>
    <row r="56" spans="1:28" ht="15" customHeight="1">
      <c r="A56" s="16">
        <v>42</v>
      </c>
      <c r="B56" s="15">
        <f t="shared" si="8"/>
        <v>45323</v>
      </c>
      <c r="C56" s="14">
        <f t="shared" si="9"/>
        <v>844</v>
      </c>
      <c r="D56" s="13">
        <f t="shared" si="26"/>
        <v>1541</v>
      </c>
      <c r="E56" s="12">
        <f t="shared" si="1"/>
        <v>430</v>
      </c>
      <c r="F56" s="12">
        <f t="shared" si="2"/>
        <v>576</v>
      </c>
      <c r="G56" s="12">
        <f t="shared" si="3"/>
        <v>488</v>
      </c>
      <c r="H56" s="8">
        <f t="shared" si="4"/>
        <v>1955</v>
      </c>
      <c r="I56" s="8">
        <f t="shared" si="5"/>
        <v>1809</v>
      </c>
      <c r="J56" s="8">
        <f t="shared" si="6"/>
        <v>1897</v>
      </c>
      <c r="K56" s="8">
        <f t="shared" si="27"/>
        <v>2000</v>
      </c>
      <c r="L56" s="8">
        <f t="shared" si="28"/>
        <v>2000</v>
      </c>
      <c r="M56" s="8">
        <f t="shared" si="29"/>
        <v>2000</v>
      </c>
      <c r="N56" s="8">
        <f t="shared" si="14"/>
        <v>-45.000000000000007</v>
      </c>
      <c r="O56" s="8">
        <f t="shared" si="15"/>
        <v>-191</v>
      </c>
      <c r="P56" s="8">
        <f t="shared" si="16"/>
        <v>-103</v>
      </c>
      <c r="Q56" s="12">
        <v>0</v>
      </c>
      <c r="R56" s="12">
        <v>1</v>
      </c>
      <c r="S56" s="12">
        <v>0</v>
      </c>
      <c r="T56" s="11">
        <f t="shared" si="7"/>
        <v>896</v>
      </c>
      <c r="U56" s="10">
        <f t="shared" si="24"/>
        <v>1515</v>
      </c>
      <c r="V56" s="10">
        <f t="shared" si="23"/>
        <v>1489</v>
      </c>
      <c r="W56" s="10">
        <f t="shared" si="25"/>
        <v>1527</v>
      </c>
      <c r="X56" s="8"/>
      <c r="Y56" s="8"/>
      <c r="Z56" s="8"/>
      <c r="AA56" s="8"/>
      <c r="AB56" s="30"/>
    </row>
    <row r="57" spans="1:28" ht="15" customHeight="1">
      <c r="A57" s="16">
        <v>43</v>
      </c>
      <c r="B57" s="15">
        <f t="shared" si="8"/>
        <v>45324</v>
      </c>
      <c r="C57" s="14">
        <f t="shared" si="9"/>
        <v>844</v>
      </c>
      <c r="D57" s="13">
        <f t="shared" si="26"/>
        <v>1539</v>
      </c>
      <c r="E57" s="12">
        <f t="shared" si="1"/>
        <v>428</v>
      </c>
      <c r="F57" s="12">
        <f t="shared" si="2"/>
        <v>574</v>
      </c>
      <c r="G57" s="12">
        <f t="shared" si="3"/>
        <v>486</v>
      </c>
      <c r="H57" s="8">
        <f t="shared" si="4"/>
        <v>1955</v>
      </c>
      <c r="I57" s="8">
        <f t="shared" si="5"/>
        <v>1809</v>
      </c>
      <c r="J57" s="8">
        <f t="shared" si="6"/>
        <v>1897</v>
      </c>
      <c r="K57" s="8">
        <f t="shared" si="27"/>
        <v>2000</v>
      </c>
      <c r="L57" s="8">
        <f t="shared" si="28"/>
        <v>2000</v>
      </c>
      <c r="M57" s="8">
        <f t="shared" si="29"/>
        <v>2000</v>
      </c>
      <c r="N57" s="8">
        <f t="shared" si="14"/>
        <v>-45.000000000000007</v>
      </c>
      <c r="O57" s="8">
        <f t="shared" si="15"/>
        <v>-191</v>
      </c>
      <c r="P57" s="8">
        <f t="shared" si="16"/>
        <v>-103</v>
      </c>
      <c r="Q57" s="12">
        <v>0</v>
      </c>
      <c r="R57" s="12">
        <v>0</v>
      </c>
      <c r="S57" s="12">
        <v>0</v>
      </c>
      <c r="T57" s="11">
        <f t="shared" si="7"/>
        <v>894</v>
      </c>
      <c r="U57" s="10">
        <f t="shared" si="24"/>
        <v>1515</v>
      </c>
      <c r="V57" s="10">
        <f t="shared" si="23"/>
        <v>1489</v>
      </c>
      <c r="W57" s="10">
        <f t="shared" si="25"/>
        <v>1527</v>
      </c>
      <c r="X57" s="8"/>
      <c r="Y57" s="8"/>
      <c r="Z57" s="8"/>
      <c r="AA57" s="8"/>
      <c r="AB57" s="30"/>
    </row>
    <row r="58" spans="1:28" ht="15" customHeight="1">
      <c r="A58" s="16">
        <v>44</v>
      </c>
      <c r="B58" s="15">
        <f t="shared" si="8"/>
        <v>45325</v>
      </c>
      <c r="C58" s="14">
        <f t="shared" si="9"/>
        <v>844</v>
      </c>
      <c r="D58" s="13">
        <f t="shared" si="26"/>
        <v>1537</v>
      </c>
      <c r="E58" s="12">
        <f t="shared" si="1"/>
        <v>429</v>
      </c>
      <c r="F58" s="12">
        <f t="shared" si="2"/>
        <v>573</v>
      </c>
      <c r="G58" s="12">
        <f t="shared" si="3"/>
        <v>484</v>
      </c>
      <c r="H58" s="8">
        <f t="shared" si="4"/>
        <v>1952</v>
      </c>
      <c r="I58" s="8">
        <f t="shared" si="5"/>
        <v>1808</v>
      </c>
      <c r="J58" s="8">
        <f t="shared" si="6"/>
        <v>1897</v>
      </c>
      <c r="K58" s="8">
        <f t="shared" si="27"/>
        <v>2000</v>
      </c>
      <c r="L58" s="8">
        <f t="shared" si="28"/>
        <v>2000</v>
      </c>
      <c r="M58" s="8">
        <f t="shared" si="29"/>
        <v>2000</v>
      </c>
      <c r="N58" s="8">
        <f t="shared" si="14"/>
        <v>-48.000000000000007</v>
      </c>
      <c r="O58" s="8">
        <f t="shared" si="15"/>
        <v>-192</v>
      </c>
      <c r="P58" s="8">
        <f t="shared" si="16"/>
        <v>-103</v>
      </c>
      <c r="Q58" s="12">
        <v>3</v>
      </c>
      <c r="R58" s="12">
        <v>1</v>
      </c>
      <c r="S58" s="12">
        <v>0</v>
      </c>
      <c r="T58" s="11">
        <f t="shared" si="7"/>
        <v>893</v>
      </c>
      <c r="U58" s="10">
        <f t="shared" si="24"/>
        <v>1512</v>
      </c>
      <c r="V58" s="10">
        <f t="shared" si="23"/>
        <v>1488</v>
      </c>
      <c r="W58" s="10">
        <f t="shared" si="25"/>
        <v>1527</v>
      </c>
      <c r="X58" s="8"/>
      <c r="Y58" s="8"/>
      <c r="Z58" s="8"/>
      <c r="AA58" s="8"/>
      <c r="AB58" s="30"/>
    </row>
    <row r="59" spans="1:28" ht="15" customHeight="1">
      <c r="A59" s="16">
        <v>45</v>
      </c>
      <c r="B59" s="15">
        <f t="shared" si="8"/>
        <v>45326</v>
      </c>
      <c r="C59" s="14">
        <f t="shared" si="9"/>
        <v>844</v>
      </c>
      <c r="D59" s="13">
        <f t="shared" si="26"/>
        <v>1535</v>
      </c>
      <c r="E59" s="12">
        <f t="shared" si="1"/>
        <v>430</v>
      </c>
      <c r="F59" s="12">
        <f t="shared" si="2"/>
        <v>571</v>
      </c>
      <c r="G59" s="12">
        <f t="shared" si="3"/>
        <v>483</v>
      </c>
      <c r="H59" s="8">
        <f t="shared" si="4"/>
        <v>1949</v>
      </c>
      <c r="I59" s="8">
        <f t="shared" si="5"/>
        <v>1808</v>
      </c>
      <c r="J59" s="8">
        <f t="shared" si="6"/>
        <v>1896</v>
      </c>
      <c r="K59" s="8">
        <f t="shared" si="27"/>
        <v>2000</v>
      </c>
      <c r="L59" s="8">
        <f t="shared" si="28"/>
        <v>2000</v>
      </c>
      <c r="M59" s="8">
        <f t="shared" si="29"/>
        <v>2000</v>
      </c>
      <c r="N59" s="8">
        <f t="shared" si="14"/>
        <v>-51.000000000000007</v>
      </c>
      <c r="O59" s="8">
        <f t="shared" si="15"/>
        <v>-192</v>
      </c>
      <c r="P59" s="8">
        <f t="shared" si="16"/>
        <v>-104</v>
      </c>
      <c r="Q59" s="12">
        <v>3</v>
      </c>
      <c r="R59" s="12">
        <v>0</v>
      </c>
      <c r="S59" s="12">
        <v>1</v>
      </c>
      <c r="T59" s="11">
        <f t="shared" si="7"/>
        <v>891</v>
      </c>
      <c r="U59" s="10">
        <f t="shared" si="24"/>
        <v>1509</v>
      </c>
      <c r="V59" s="10">
        <f t="shared" si="23"/>
        <v>1488</v>
      </c>
      <c r="W59" s="10">
        <f t="shared" si="25"/>
        <v>1526</v>
      </c>
      <c r="X59" s="8"/>
      <c r="Y59" s="8"/>
      <c r="Z59" s="8"/>
      <c r="AA59" s="8"/>
      <c r="AB59" s="30"/>
    </row>
    <row r="60" spans="1:28" ht="15" customHeight="1">
      <c r="A60" s="16">
        <v>46</v>
      </c>
      <c r="B60" s="15">
        <f t="shared" si="8"/>
        <v>45327</v>
      </c>
      <c r="C60" s="14">
        <f t="shared" si="9"/>
        <v>844</v>
      </c>
      <c r="D60" s="13">
        <f t="shared" si="26"/>
        <v>1533</v>
      </c>
      <c r="E60" s="12">
        <f t="shared" si="1"/>
        <v>432</v>
      </c>
      <c r="F60" s="12">
        <f t="shared" si="2"/>
        <v>569</v>
      </c>
      <c r="G60" s="12">
        <f t="shared" si="3"/>
        <v>481</v>
      </c>
      <c r="H60" s="8">
        <f t="shared" si="4"/>
        <v>1945</v>
      </c>
      <c r="I60" s="8">
        <f t="shared" si="5"/>
        <v>1808</v>
      </c>
      <c r="J60" s="8">
        <f t="shared" si="6"/>
        <v>1896</v>
      </c>
      <c r="K60" s="8">
        <f t="shared" si="27"/>
        <v>2000</v>
      </c>
      <c r="L60" s="8">
        <f t="shared" si="28"/>
        <v>2000</v>
      </c>
      <c r="M60" s="8">
        <f t="shared" si="29"/>
        <v>2000</v>
      </c>
      <c r="N60" s="8">
        <f t="shared" si="14"/>
        <v>-55.000000000000007</v>
      </c>
      <c r="O60" s="8">
        <f t="shared" si="15"/>
        <v>-192</v>
      </c>
      <c r="P60" s="8">
        <f t="shared" si="16"/>
        <v>-104</v>
      </c>
      <c r="Q60" s="12">
        <v>4</v>
      </c>
      <c r="R60" s="12">
        <v>0</v>
      </c>
      <c r="S60" s="12">
        <v>0</v>
      </c>
      <c r="T60" s="11">
        <f t="shared" si="7"/>
        <v>889</v>
      </c>
      <c r="U60" s="10">
        <f t="shared" si="24"/>
        <v>1505</v>
      </c>
      <c r="V60" s="10">
        <f t="shared" si="23"/>
        <v>1488</v>
      </c>
      <c r="W60" s="10">
        <f t="shared" si="25"/>
        <v>1526</v>
      </c>
      <c r="X60" s="8"/>
      <c r="Y60" s="8"/>
      <c r="Z60" s="8"/>
      <c r="AA60" s="8"/>
      <c r="AB60" s="30"/>
    </row>
    <row r="61" spans="1:28" ht="15" customHeight="1">
      <c r="A61" s="16">
        <v>47</v>
      </c>
      <c r="B61" s="15">
        <f t="shared" si="8"/>
        <v>45328</v>
      </c>
      <c r="C61" s="14">
        <f t="shared" si="9"/>
        <v>844</v>
      </c>
      <c r="D61" s="13">
        <f t="shared" si="26"/>
        <v>1531</v>
      </c>
      <c r="E61" s="12">
        <f t="shared" si="1"/>
        <v>433</v>
      </c>
      <c r="F61" s="12">
        <f t="shared" si="2"/>
        <v>567</v>
      </c>
      <c r="G61" s="12">
        <f t="shared" si="3"/>
        <v>479</v>
      </c>
      <c r="H61" s="8">
        <f t="shared" si="4"/>
        <v>1942</v>
      </c>
      <c r="I61" s="8">
        <f t="shared" si="5"/>
        <v>1808</v>
      </c>
      <c r="J61" s="8">
        <f t="shared" si="6"/>
        <v>1896</v>
      </c>
      <c r="K61" s="8">
        <f t="shared" si="27"/>
        <v>2000</v>
      </c>
      <c r="L61" s="8">
        <f t="shared" si="28"/>
        <v>2000</v>
      </c>
      <c r="M61" s="8">
        <f t="shared" si="29"/>
        <v>2000</v>
      </c>
      <c r="N61" s="8">
        <f t="shared" si="14"/>
        <v>-58.000000000000007</v>
      </c>
      <c r="O61" s="8">
        <f t="shared" si="15"/>
        <v>-192</v>
      </c>
      <c r="P61" s="8">
        <f t="shared" si="16"/>
        <v>-104</v>
      </c>
      <c r="Q61" s="12">
        <v>3</v>
      </c>
      <c r="R61" s="12">
        <v>0</v>
      </c>
      <c r="S61" s="12">
        <v>0</v>
      </c>
      <c r="T61" s="11">
        <f t="shared" si="7"/>
        <v>887</v>
      </c>
      <c r="U61" s="10">
        <f t="shared" si="24"/>
        <v>1502</v>
      </c>
      <c r="V61" s="10">
        <f t="shared" si="23"/>
        <v>1488</v>
      </c>
      <c r="W61" s="10">
        <f t="shared" si="25"/>
        <v>1526</v>
      </c>
      <c r="X61" s="8"/>
      <c r="Y61" s="8"/>
      <c r="Z61" s="8"/>
      <c r="AA61" s="8"/>
      <c r="AB61" s="30"/>
    </row>
    <row r="62" spans="1:28" ht="15" customHeight="1">
      <c r="A62" s="16">
        <v>48</v>
      </c>
      <c r="B62" s="15">
        <f t="shared" si="8"/>
        <v>45329</v>
      </c>
      <c r="C62" s="14">
        <f t="shared" si="9"/>
        <v>844</v>
      </c>
      <c r="D62" s="13">
        <f t="shared" si="26"/>
        <v>1529</v>
      </c>
      <c r="E62" s="12">
        <f t="shared" si="1"/>
        <v>440</v>
      </c>
      <c r="F62" s="12">
        <f t="shared" si="2"/>
        <v>565</v>
      </c>
      <c r="G62" s="12">
        <f t="shared" si="3"/>
        <v>477</v>
      </c>
      <c r="H62" s="8">
        <f t="shared" si="4"/>
        <v>1933</v>
      </c>
      <c r="I62" s="8">
        <f t="shared" si="5"/>
        <v>1808</v>
      </c>
      <c r="J62" s="8">
        <f t="shared" si="6"/>
        <v>1896</v>
      </c>
      <c r="K62" s="8">
        <f t="shared" si="27"/>
        <v>2000</v>
      </c>
      <c r="L62" s="8">
        <f t="shared" si="28"/>
        <v>2000</v>
      </c>
      <c r="M62" s="8">
        <f t="shared" si="29"/>
        <v>2000</v>
      </c>
      <c r="N62" s="8">
        <f t="shared" si="14"/>
        <v>-67</v>
      </c>
      <c r="O62" s="8">
        <f t="shared" si="15"/>
        <v>-192</v>
      </c>
      <c r="P62" s="8">
        <f t="shared" si="16"/>
        <v>-104</v>
      </c>
      <c r="Q62" s="12">
        <v>9</v>
      </c>
      <c r="R62" s="12">
        <v>0</v>
      </c>
      <c r="S62" s="12">
        <v>0</v>
      </c>
      <c r="T62" s="11">
        <f t="shared" si="7"/>
        <v>885</v>
      </c>
      <c r="U62" s="10">
        <f t="shared" si="24"/>
        <v>1493</v>
      </c>
      <c r="V62" s="10">
        <f t="shared" si="23"/>
        <v>1488</v>
      </c>
      <c r="W62" s="10">
        <f t="shared" si="25"/>
        <v>1526</v>
      </c>
      <c r="X62" s="8"/>
      <c r="Y62" s="8"/>
      <c r="Z62" s="8"/>
      <c r="AA62" s="8"/>
      <c r="AB62" s="30"/>
    </row>
    <row r="63" spans="1:28" ht="15" customHeight="1">
      <c r="A63" s="16">
        <v>49</v>
      </c>
      <c r="B63" s="15">
        <f t="shared" si="8"/>
        <v>45330</v>
      </c>
      <c r="C63" s="14">
        <f t="shared" si="9"/>
        <v>844</v>
      </c>
      <c r="D63" s="13">
        <f t="shared" si="26"/>
        <v>1527</v>
      </c>
      <c r="E63" s="12">
        <f t="shared" si="1"/>
        <v>440</v>
      </c>
      <c r="F63" s="12">
        <f t="shared" si="2"/>
        <v>563</v>
      </c>
      <c r="G63" s="12">
        <f t="shared" si="3"/>
        <v>475</v>
      </c>
      <c r="H63" s="8">
        <f t="shared" si="4"/>
        <v>1931</v>
      </c>
      <c r="I63" s="8">
        <f t="shared" si="5"/>
        <v>1808</v>
      </c>
      <c r="J63" s="8">
        <f t="shared" si="6"/>
        <v>1896</v>
      </c>
      <c r="K63" s="8">
        <f t="shared" si="27"/>
        <v>2000</v>
      </c>
      <c r="L63" s="8">
        <f t="shared" si="28"/>
        <v>2000</v>
      </c>
      <c r="M63" s="8">
        <f t="shared" si="29"/>
        <v>2000</v>
      </c>
      <c r="N63" s="8">
        <f t="shared" si="14"/>
        <v>-69</v>
      </c>
      <c r="O63" s="8">
        <f t="shared" si="15"/>
        <v>-192</v>
      </c>
      <c r="P63" s="8">
        <f t="shared" si="16"/>
        <v>-104</v>
      </c>
      <c r="Q63" s="12">
        <v>2</v>
      </c>
      <c r="R63" s="12">
        <v>0</v>
      </c>
      <c r="S63" s="12">
        <v>0</v>
      </c>
      <c r="T63" s="11">
        <f t="shared" si="7"/>
        <v>883</v>
      </c>
      <c r="U63" s="10">
        <f t="shared" si="24"/>
        <v>1491</v>
      </c>
      <c r="V63" s="10">
        <f t="shared" si="23"/>
        <v>1488</v>
      </c>
      <c r="W63" s="10">
        <f t="shared" si="25"/>
        <v>1526</v>
      </c>
      <c r="X63" s="8"/>
      <c r="Y63" s="8"/>
      <c r="Z63" s="8"/>
      <c r="AA63" s="8"/>
      <c r="AB63" s="30"/>
    </row>
    <row r="64" spans="1:28" ht="15" customHeight="1">
      <c r="A64" s="16">
        <v>50</v>
      </c>
      <c r="B64" s="15">
        <f t="shared" si="8"/>
        <v>45331</v>
      </c>
      <c r="C64" s="14">
        <f t="shared" si="9"/>
        <v>844</v>
      </c>
      <c r="D64" s="13">
        <f t="shared" si="26"/>
        <v>1525</v>
      </c>
      <c r="E64" s="12">
        <f t="shared" si="1"/>
        <v>442</v>
      </c>
      <c r="F64" s="12">
        <f t="shared" si="2"/>
        <v>563</v>
      </c>
      <c r="G64" s="12">
        <f t="shared" si="3"/>
        <v>475</v>
      </c>
      <c r="H64" s="8">
        <f t="shared" si="4"/>
        <v>1927</v>
      </c>
      <c r="I64" s="8">
        <f t="shared" si="5"/>
        <v>1806</v>
      </c>
      <c r="J64" s="8">
        <f t="shared" si="6"/>
        <v>1894</v>
      </c>
      <c r="K64" s="8">
        <f t="shared" si="27"/>
        <v>2000</v>
      </c>
      <c r="L64" s="8">
        <f t="shared" si="28"/>
        <v>2000</v>
      </c>
      <c r="M64" s="8">
        <f t="shared" si="29"/>
        <v>2000</v>
      </c>
      <c r="N64" s="8">
        <f t="shared" si="14"/>
        <v>-73</v>
      </c>
      <c r="O64" s="8">
        <f t="shared" si="15"/>
        <v>-194</v>
      </c>
      <c r="P64" s="8">
        <f t="shared" si="16"/>
        <v>-106</v>
      </c>
      <c r="Q64" s="12">
        <v>4</v>
      </c>
      <c r="R64" s="12">
        <v>2</v>
      </c>
      <c r="S64" s="12">
        <v>2</v>
      </c>
      <c r="T64" s="11">
        <f t="shared" si="7"/>
        <v>883</v>
      </c>
      <c r="U64" s="10">
        <f t="shared" si="24"/>
        <v>1487</v>
      </c>
      <c r="V64" s="10">
        <f t="shared" si="23"/>
        <v>1486</v>
      </c>
      <c r="W64" s="10">
        <f t="shared" si="25"/>
        <v>1524</v>
      </c>
      <c r="X64" s="8"/>
      <c r="Y64" s="8"/>
      <c r="Z64" s="8"/>
      <c r="AA64" s="8"/>
      <c r="AB64" s="30"/>
    </row>
    <row r="65" spans="1:28" ht="15" customHeight="1">
      <c r="A65" s="16">
        <v>51</v>
      </c>
      <c r="B65" s="15">
        <f t="shared" si="8"/>
        <v>45332</v>
      </c>
      <c r="C65" s="14">
        <f t="shared" si="9"/>
        <v>844</v>
      </c>
      <c r="D65" s="13">
        <f t="shared" si="26"/>
        <v>1523</v>
      </c>
      <c r="E65" s="12">
        <f t="shared" si="1"/>
        <v>446</v>
      </c>
      <c r="F65" s="12">
        <f t="shared" si="2"/>
        <v>561</v>
      </c>
      <c r="G65" s="12">
        <f t="shared" si="3"/>
        <v>473</v>
      </c>
      <c r="H65" s="8">
        <f t="shared" si="4"/>
        <v>1921</v>
      </c>
      <c r="I65" s="8">
        <f t="shared" si="5"/>
        <v>1806</v>
      </c>
      <c r="J65" s="8">
        <f t="shared" si="6"/>
        <v>1894</v>
      </c>
      <c r="K65" s="8">
        <f t="shared" si="27"/>
        <v>2000</v>
      </c>
      <c r="L65" s="8">
        <f t="shared" si="28"/>
        <v>2000</v>
      </c>
      <c r="M65" s="8">
        <f t="shared" si="29"/>
        <v>2000</v>
      </c>
      <c r="N65" s="8">
        <f t="shared" si="14"/>
        <v>-79</v>
      </c>
      <c r="O65" s="8">
        <f t="shared" si="15"/>
        <v>-194</v>
      </c>
      <c r="P65" s="8">
        <f t="shared" si="16"/>
        <v>-106</v>
      </c>
      <c r="Q65" s="12">
        <v>6</v>
      </c>
      <c r="R65" s="12">
        <v>0</v>
      </c>
      <c r="S65" s="12">
        <v>0</v>
      </c>
      <c r="T65" s="11">
        <f t="shared" si="7"/>
        <v>881</v>
      </c>
      <c r="U65" s="10">
        <f t="shared" si="24"/>
        <v>1481</v>
      </c>
      <c r="V65" s="10">
        <f t="shared" si="23"/>
        <v>1486</v>
      </c>
      <c r="W65" s="10">
        <f t="shared" si="25"/>
        <v>1524</v>
      </c>
      <c r="X65" s="8"/>
      <c r="Y65" s="8"/>
      <c r="Z65" s="8"/>
      <c r="AA65" s="8"/>
      <c r="AB65" s="30"/>
    </row>
    <row r="66" spans="1:28" ht="15" customHeight="1">
      <c r="A66" s="16">
        <v>52</v>
      </c>
      <c r="B66" s="15">
        <f t="shared" si="8"/>
        <v>45333</v>
      </c>
      <c r="C66" s="14">
        <f t="shared" si="9"/>
        <v>844</v>
      </c>
      <c r="D66" s="13">
        <f t="shared" si="26"/>
        <v>1521</v>
      </c>
      <c r="E66" s="12">
        <f t="shared" si="1"/>
        <v>453</v>
      </c>
      <c r="F66" s="12">
        <f t="shared" si="2"/>
        <v>559</v>
      </c>
      <c r="G66" s="12">
        <f t="shared" si="3"/>
        <v>471</v>
      </c>
      <c r="H66" s="8">
        <f t="shared" si="4"/>
        <v>1912</v>
      </c>
      <c r="I66" s="8">
        <f t="shared" si="5"/>
        <v>1806</v>
      </c>
      <c r="J66" s="8">
        <f t="shared" si="6"/>
        <v>1894</v>
      </c>
      <c r="K66" s="8">
        <f t="shared" si="27"/>
        <v>2000</v>
      </c>
      <c r="L66" s="8">
        <f t="shared" si="28"/>
        <v>2000</v>
      </c>
      <c r="M66" s="8">
        <f t="shared" si="29"/>
        <v>2000</v>
      </c>
      <c r="N66" s="8">
        <f t="shared" si="14"/>
        <v>-88</v>
      </c>
      <c r="O66" s="8">
        <f t="shared" si="15"/>
        <v>-194</v>
      </c>
      <c r="P66" s="8">
        <f t="shared" si="16"/>
        <v>-106</v>
      </c>
      <c r="Q66" s="12">
        <v>9</v>
      </c>
      <c r="R66" s="12">
        <v>0</v>
      </c>
      <c r="S66" s="12">
        <v>0</v>
      </c>
      <c r="T66" s="11">
        <f t="shared" si="7"/>
        <v>879</v>
      </c>
      <c r="U66" s="10">
        <f t="shared" si="24"/>
        <v>1472</v>
      </c>
      <c r="V66" s="10">
        <f t="shared" si="23"/>
        <v>1486</v>
      </c>
      <c r="W66" s="10">
        <f t="shared" si="25"/>
        <v>1524</v>
      </c>
      <c r="X66" s="8"/>
      <c r="Y66" s="8"/>
      <c r="Z66" s="8"/>
      <c r="AA66" s="8"/>
      <c r="AB66" s="30"/>
    </row>
    <row r="67" spans="1:28" ht="15" customHeight="1">
      <c r="A67" s="16">
        <v>53</v>
      </c>
      <c r="B67" s="15">
        <f t="shared" si="8"/>
        <v>45334</v>
      </c>
      <c r="C67" s="14">
        <f t="shared" si="9"/>
        <v>844</v>
      </c>
      <c r="D67" s="13">
        <f t="shared" si="26"/>
        <v>1519</v>
      </c>
      <c r="E67" s="12">
        <f t="shared" si="1"/>
        <v>454</v>
      </c>
      <c r="F67" s="12">
        <f t="shared" si="2"/>
        <v>559</v>
      </c>
      <c r="G67" s="12">
        <f t="shared" si="3"/>
        <v>470</v>
      </c>
      <c r="H67" s="8">
        <f t="shared" si="4"/>
        <v>1909</v>
      </c>
      <c r="I67" s="8">
        <f t="shared" si="5"/>
        <v>1804</v>
      </c>
      <c r="J67" s="8">
        <f t="shared" si="6"/>
        <v>1893</v>
      </c>
      <c r="K67" s="8">
        <f t="shared" si="27"/>
        <v>2000</v>
      </c>
      <c r="L67" s="8">
        <f t="shared" si="28"/>
        <v>2000</v>
      </c>
      <c r="M67" s="8">
        <f t="shared" si="29"/>
        <v>2000</v>
      </c>
      <c r="N67" s="8">
        <f t="shared" si="14"/>
        <v>-91</v>
      </c>
      <c r="O67" s="8">
        <f t="shared" si="15"/>
        <v>-196</v>
      </c>
      <c r="P67" s="8">
        <f t="shared" si="16"/>
        <v>-107</v>
      </c>
      <c r="Q67" s="12">
        <v>3</v>
      </c>
      <c r="R67" s="12">
        <v>2</v>
      </c>
      <c r="S67" s="12">
        <v>1</v>
      </c>
      <c r="T67" s="11">
        <f t="shared" si="7"/>
        <v>879</v>
      </c>
      <c r="U67" s="10">
        <f t="shared" si="24"/>
        <v>1469</v>
      </c>
      <c r="V67" s="10">
        <f t="shared" si="23"/>
        <v>1484</v>
      </c>
      <c r="W67" s="10">
        <f t="shared" si="25"/>
        <v>1523</v>
      </c>
      <c r="X67" s="8"/>
      <c r="Y67" s="8"/>
      <c r="Z67" s="8"/>
      <c r="AA67" s="8"/>
      <c r="AB67" s="30"/>
    </row>
    <row r="68" spans="1:28" ht="15" customHeight="1">
      <c r="A68" s="16">
        <v>54</v>
      </c>
      <c r="B68" s="15">
        <f t="shared" si="8"/>
        <v>45335</v>
      </c>
      <c r="C68" s="14">
        <f t="shared" si="9"/>
        <v>844</v>
      </c>
      <c r="D68" s="13">
        <f t="shared" si="26"/>
        <v>1517</v>
      </c>
      <c r="E68" s="12">
        <f t="shared" si="1"/>
        <v>456</v>
      </c>
      <c r="F68" s="12">
        <f t="shared" si="2"/>
        <v>557</v>
      </c>
      <c r="G68" s="12">
        <f t="shared" si="3"/>
        <v>468</v>
      </c>
      <c r="H68" s="8">
        <f t="shared" si="4"/>
        <v>1905</v>
      </c>
      <c r="I68" s="8">
        <f t="shared" si="5"/>
        <v>1804</v>
      </c>
      <c r="J68" s="8">
        <f t="shared" si="6"/>
        <v>1893</v>
      </c>
      <c r="K68" s="8">
        <f t="shared" si="27"/>
        <v>2000</v>
      </c>
      <c r="L68" s="8">
        <f t="shared" si="28"/>
        <v>2000</v>
      </c>
      <c r="M68" s="8">
        <f t="shared" si="29"/>
        <v>2000</v>
      </c>
      <c r="N68" s="8">
        <f t="shared" si="14"/>
        <v>-95</v>
      </c>
      <c r="O68" s="8">
        <f t="shared" si="15"/>
        <v>-196</v>
      </c>
      <c r="P68" s="8">
        <f t="shared" si="16"/>
        <v>-107</v>
      </c>
      <c r="Q68" s="12">
        <v>4</v>
      </c>
      <c r="R68" s="12">
        <v>0</v>
      </c>
      <c r="S68" s="12">
        <v>0</v>
      </c>
      <c r="T68" s="11">
        <f t="shared" si="7"/>
        <v>877</v>
      </c>
      <c r="U68" s="10">
        <f t="shared" si="24"/>
        <v>1465</v>
      </c>
      <c r="V68" s="10">
        <f t="shared" si="23"/>
        <v>1484</v>
      </c>
      <c r="W68" s="10">
        <f t="shared" si="25"/>
        <v>1523</v>
      </c>
      <c r="X68" s="8"/>
      <c r="Y68" s="8"/>
      <c r="Z68" s="8"/>
      <c r="AA68" s="8"/>
      <c r="AB68" s="30"/>
    </row>
    <row r="69" spans="1:28" ht="15" customHeight="1">
      <c r="A69" s="16">
        <v>55</v>
      </c>
      <c r="B69" s="15">
        <f t="shared" si="8"/>
        <v>45336</v>
      </c>
      <c r="C69" s="14">
        <f t="shared" si="9"/>
        <v>844</v>
      </c>
      <c r="D69" s="13">
        <f t="shared" si="26"/>
        <v>1515</v>
      </c>
      <c r="E69" s="12">
        <f t="shared" si="1"/>
        <v>457</v>
      </c>
      <c r="F69" s="12">
        <f t="shared" si="2"/>
        <v>555</v>
      </c>
      <c r="G69" s="12">
        <f t="shared" si="3"/>
        <v>466</v>
      </c>
      <c r="H69" s="8">
        <f t="shared" si="4"/>
        <v>1902</v>
      </c>
      <c r="I69" s="8">
        <f t="shared" si="5"/>
        <v>1804</v>
      </c>
      <c r="J69" s="8">
        <f t="shared" si="6"/>
        <v>1893</v>
      </c>
      <c r="K69" s="8">
        <f t="shared" si="27"/>
        <v>2000</v>
      </c>
      <c r="L69" s="8">
        <f t="shared" si="28"/>
        <v>2000</v>
      </c>
      <c r="M69" s="8">
        <f t="shared" si="29"/>
        <v>2000</v>
      </c>
      <c r="N69" s="8">
        <f t="shared" si="14"/>
        <v>-98</v>
      </c>
      <c r="O69" s="8">
        <f t="shared" si="15"/>
        <v>-196</v>
      </c>
      <c r="P69" s="8">
        <f t="shared" si="16"/>
        <v>-107</v>
      </c>
      <c r="Q69" s="12">
        <v>3</v>
      </c>
      <c r="R69" s="12">
        <v>0</v>
      </c>
      <c r="S69" s="12">
        <v>0</v>
      </c>
      <c r="T69" s="11">
        <f t="shared" si="7"/>
        <v>875</v>
      </c>
      <c r="U69" s="10">
        <f t="shared" si="24"/>
        <v>1462</v>
      </c>
      <c r="V69" s="10">
        <f t="shared" si="23"/>
        <v>1484</v>
      </c>
      <c r="W69" s="10">
        <f t="shared" si="25"/>
        <v>1523</v>
      </c>
      <c r="X69" s="8"/>
      <c r="Y69" s="8"/>
      <c r="Z69" s="8"/>
      <c r="AA69" s="8"/>
      <c r="AB69" s="30"/>
    </row>
    <row r="70" spans="1:28" ht="15" customHeight="1">
      <c r="A70" s="16">
        <v>56</v>
      </c>
      <c r="B70" s="15">
        <f t="shared" si="8"/>
        <v>45337</v>
      </c>
      <c r="C70" s="14">
        <f t="shared" si="9"/>
        <v>844</v>
      </c>
      <c r="D70" s="13">
        <f t="shared" si="26"/>
        <v>1513</v>
      </c>
      <c r="E70" s="12">
        <f t="shared" si="1"/>
        <v>464</v>
      </c>
      <c r="F70" s="12">
        <f t="shared" si="2"/>
        <v>553</v>
      </c>
      <c r="G70" s="12">
        <f t="shared" si="3"/>
        <v>464</v>
      </c>
      <c r="H70" s="8">
        <f t="shared" si="4"/>
        <v>1893</v>
      </c>
      <c r="I70" s="8">
        <f t="shared" si="5"/>
        <v>1804</v>
      </c>
      <c r="J70" s="8">
        <f t="shared" si="6"/>
        <v>1893</v>
      </c>
      <c r="K70" s="8">
        <f t="shared" si="27"/>
        <v>2000</v>
      </c>
      <c r="L70" s="8">
        <f t="shared" si="28"/>
        <v>2000</v>
      </c>
      <c r="M70" s="8">
        <f t="shared" si="29"/>
        <v>2000</v>
      </c>
      <c r="N70" s="8">
        <f t="shared" si="14"/>
        <v>-107</v>
      </c>
      <c r="O70" s="8">
        <f t="shared" si="15"/>
        <v>-196</v>
      </c>
      <c r="P70" s="8">
        <f t="shared" si="16"/>
        <v>-107</v>
      </c>
      <c r="Q70" s="12">
        <v>9</v>
      </c>
      <c r="R70" s="12">
        <v>0</v>
      </c>
      <c r="S70" s="12">
        <v>0</v>
      </c>
      <c r="T70" s="11">
        <f t="shared" si="7"/>
        <v>873</v>
      </c>
      <c r="U70" s="10">
        <f t="shared" si="24"/>
        <v>1453</v>
      </c>
      <c r="V70" s="10">
        <f t="shared" si="23"/>
        <v>1484</v>
      </c>
      <c r="W70" s="10">
        <f t="shared" si="25"/>
        <v>1523</v>
      </c>
      <c r="X70" s="8"/>
      <c r="Y70" s="8"/>
      <c r="Z70" s="8"/>
      <c r="AA70" s="8"/>
      <c r="AB70" s="30"/>
    </row>
    <row r="71" spans="1:28" ht="15" customHeight="1">
      <c r="A71" s="16">
        <v>57</v>
      </c>
      <c r="B71" s="15">
        <f t="shared" si="8"/>
        <v>45338</v>
      </c>
      <c r="C71" s="14">
        <f t="shared" si="9"/>
        <v>844</v>
      </c>
      <c r="D71" s="13">
        <f t="shared" si="26"/>
        <v>1511</v>
      </c>
      <c r="E71" s="12">
        <f t="shared" si="1"/>
        <v>464</v>
      </c>
      <c r="F71" s="12">
        <f t="shared" si="2"/>
        <v>553</v>
      </c>
      <c r="G71" s="12">
        <f t="shared" si="3"/>
        <v>465</v>
      </c>
      <c r="H71" s="8">
        <f t="shared" si="4"/>
        <v>1891</v>
      </c>
      <c r="I71" s="8">
        <f t="shared" si="5"/>
        <v>1802</v>
      </c>
      <c r="J71" s="8">
        <f t="shared" si="6"/>
        <v>1890</v>
      </c>
      <c r="K71" s="8">
        <f t="shared" si="27"/>
        <v>2000</v>
      </c>
      <c r="L71" s="8">
        <f t="shared" si="28"/>
        <v>2000</v>
      </c>
      <c r="M71" s="8">
        <f t="shared" si="29"/>
        <v>2000</v>
      </c>
      <c r="N71" s="8">
        <f t="shared" si="14"/>
        <v>-109</v>
      </c>
      <c r="O71" s="8">
        <f t="shared" si="15"/>
        <v>-198</v>
      </c>
      <c r="P71" s="8">
        <f t="shared" si="16"/>
        <v>-110</v>
      </c>
      <c r="Q71" s="12">
        <v>2</v>
      </c>
      <c r="R71" s="12">
        <v>2</v>
      </c>
      <c r="S71" s="12">
        <v>3</v>
      </c>
      <c r="T71" s="11">
        <f t="shared" si="7"/>
        <v>873</v>
      </c>
      <c r="U71" s="10">
        <f t="shared" si="24"/>
        <v>1451</v>
      </c>
      <c r="V71" s="10">
        <f t="shared" si="23"/>
        <v>1482</v>
      </c>
      <c r="W71" s="10">
        <f t="shared" si="25"/>
        <v>1520</v>
      </c>
      <c r="X71" s="8"/>
      <c r="Y71" s="8"/>
      <c r="Z71" s="8"/>
      <c r="AA71" s="8"/>
      <c r="AB71" s="30"/>
    </row>
    <row r="72" spans="1:28" ht="15" customHeight="1">
      <c r="A72" s="16">
        <v>58</v>
      </c>
      <c r="B72" s="15">
        <f t="shared" si="8"/>
        <v>45339</v>
      </c>
      <c r="C72" s="14">
        <f t="shared" si="9"/>
        <v>844</v>
      </c>
      <c r="D72" s="13">
        <f t="shared" si="26"/>
        <v>1509</v>
      </c>
      <c r="E72" s="12">
        <f t="shared" si="1"/>
        <v>466</v>
      </c>
      <c r="F72" s="12">
        <f t="shared" si="2"/>
        <v>551</v>
      </c>
      <c r="G72" s="12">
        <f t="shared" si="3"/>
        <v>463</v>
      </c>
      <c r="H72" s="8">
        <f t="shared" si="4"/>
        <v>1887</v>
      </c>
      <c r="I72" s="8">
        <f t="shared" si="5"/>
        <v>1802</v>
      </c>
      <c r="J72" s="8">
        <f t="shared" si="6"/>
        <v>1890</v>
      </c>
      <c r="K72" s="8">
        <f t="shared" si="27"/>
        <v>2000</v>
      </c>
      <c r="L72" s="8">
        <f t="shared" si="28"/>
        <v>2000</v>
      </c>
      <c r="M72" s="8">
        <f t="shared" si="29"/>
        <v>2000</v>
      </c>
      <c r="N72" s="8">
        <f t="shared" si="14"/>
        <v>-113</v>
      </c>
      <c r="O72" s="8">
        <f t="shared" si="15"/>
        <v>-198</v>
      </c>
      <c r="P72" s="8">
        <f t="shared" si="16"/>
        <v>-110</v>
      </c>
      <c r="Q72" s="12">
        <v>4</v>
      </c>
      <c r="R72" s="12">
        <v>0</v>
      </c>
      <c r="S72" s="12">
        <v>0</v>
      </c>
      <c r="T72" s="11">
        <f t="shared" si="7"/>
        <v>871</v>
      </c>
      <c r="U72" s="10">
        <f t="shared" si="24"/>
        <v>1447</v>
      </c>
      <c r="V72" s="10">
        <f t="shared" si="23"/>
        <v>1482</v>
      </c>
      <c r="W72" s="10">
        <f t="shared" si="25"/>
        <v>1520</v>
      </c>
      <c r="X72" s="8"/>
      <c r="Y72" s="8"/>
      <c r="Z72" s="8"/>
      <c r="AA72" s="8"/>
      <c r="AB72" s="30"/>
    </row>
    <row r="73" spans="1:28" ht="15" customHeight="1">
      <c r="A73" s="16">
        <v>59</v>
      </c>
      <c r="B73" s="15">
        <f t="shared" si="8"/>
        <v>45340</v>
      </c>
      <c r="C73" s="14">
        <f t="shared" si="9"/>
        <v>844</v>
      </c>
      <c r="D73" s="13">
        <f t="shared" si="26"/>
        <v>1507</v>
      </c>
      <c r="E73" s="12">
        <f t="shared" si="1"/>
        <v>467</v>
      </c>
      <c r="F73" s="12">
        <f t="shared" si="2"/>
        <v>549</v>
      </c>
      <c r="G73" s="12">
        <f t="shared" si="3"/>
        <v>461</v>
      </c>
      <c r="H73" s="8">
        <f t="shared" si="4"/>
        <v>1884</v>
      </c>
      <c r="I73" s="8">
        <f t="shared" si="5"/>
        <v>1802</v>
      </c>
      <c r="J73" s="8">
        <f t="shared" si="6"/>
        <v>1890</v>
      </c>
      <c r="K73" s="8">
        <f t="shared" si="27"/>
        <v>2000</v>
      </c>
      <c r="L73" s="8">
        <f t="shared" si="28"/>
        <v>2000</v>
      </c>
      <c r="M73" s="8">
        <f t="shared" si="29"/>
        <v>2000</v>
      </c>
      <c r="N73" s="8">
        <f t="shared" si="14"/>
        <v>-116</v>
      </c>
      <c r="O73" s="8">
        <f t="shared" si="15"/>
        <v>-198</v>
      </c>
      <c r="P73" s="8">
        <f t="shared" si="16"/>
        <v>-110</v>
      </c>
      <c r="Q73" s="12">
        <v>3</v>
      </c>
      <c r="R73" s="12">
        <v>0</v>
      </c>
      <c r="S73" s="12">
        <v>0</v>
      </c>
      <c r="T73" s="11">
        <f t="shared" si="7"/>
        <v>869</v>
      </c>
      <c r="U73" s="10">
        <f t="shared" si="24"/>
        <v>1444</v>
      </c>
      <c r="V73" s="10">
        <f t="shared" si="23"/>
        <v>1482</v>
      </c>
      <c r="W73" s="10">
        <f t="shared" si="25"/>
        <v>1520</v>
      </c>
      <c r="X73" s="8"/>
      <c r="Y73" s="8"/>
      <c r="Z73" s="8"/>
      <c r="AA73" s="8"/>
      <c r="AB73" s="30"/>
    </row>
    <row r="74" spans="1:28" ht="15" customHeight="1">
      <c r="A74" s="16">
        <v>60</v>
      </c>
      <c r="B74" s="15">
        <f t="shared" si="8"/>
        <v>45341</v>
      </c>
      <c r="C74" s="14">
        <f t="shared" si="9"/>
        <v>844</v>
      </c>
      <c r="D74" s="13">
        <f t="shared" si="26"/>
        <v>1505</v>
      </c>
      <c r="E74" s="12">
        <f t="shared" si="1"/>
        <v>468</v>
      </c>
      <c r="F74" s="12">
        <f t="shared" si="2"/>
        <v>547</v>
      </c>
      <c r="G74" s="12">
        <f t="shared" si="3"/>
        <v>459</v>
      </c>
      <c r="H74" s="8">
        <f t="shared" si="4"/>
        <v>1881</v>
      </c>
      <c r="I74" s="8">
        <f t="shared" si="5"/>
        <v>1802</v>
      </c>
      <c r="J74" s="8">
        <f t="shared" si="6"/>
        <v>1890</v>
      </c>
      <c r="K74" s="8">
        <f t="shared" si="27"/>
        <v>2000</v>
      </c>
      <c r="L74" s="8">
        <f t="shared" si="28"/>
        <v>2000</v>
      </c>
      <c r="M74" s="8">
        <f t="shared" si="29"/>
        <v>2000</v>
      </c>
      <c r="N74" s="8">
        <f t="shared" si="14"/>
        <v>-119</v>
      </c>
      <c r="O74" s="8">
        <f t="shared" si="15"/>
        <v>-198</v>
      </c>
      <c r="P74" s="8">
        <f t="shared" si="16"/>
        <v>-110</v>
      </c>
      <c r="Q74" s="12">
        <v>3</v>
      </c>
      <c r="R74" s="12">
        <v>0</v>
      </c>
      <c r="S74" s="12">
        <v>0</v>
      </c>
      <c r="T74" s="11">
        <f t="shared" si="7"/>
        <v>867</v>
      </c>
      <c r="U74" s="10">
        <f t="shared" si="24"/>
        <v>1441</v>
      </c>
      <c r="V74" s="10">
        <f t="shared" si="23"/>
        <v>1482</v>
      </c>
      <c r="W74" s="10">
        <f t="shared" si="25"/>
        <v>1520</v>
      </c>
      <c r="X74" s="8"/>
      <c r="Y74" s="8"/>
      <c r="Z74" s="8"/>
      <c r="AA74" s="8"/>
      <c r="AB74" s="30"/>
    </row>
    <row r="75" spans="1:28" ht="15" customHeight="1">
      <c r="A75" s="16">
        <v>61</v>
      </c>
      <c r="B75" s="15">
        <f t="shared" si="8"/>
        <v>45342</v>
      </c>
      <c r="C75" s="14">
        <f t="shared" si="9"/>
        <v>844</v>
      </c>
      <c r="D75" s="13">
        <f t="shared" si="26"/>
        <v>1503</v>
      </c>
      <c r="E75" s="12">
        <f t="shared" si="1"/>
        <v>475</v>
      </c>
      <c r="F75" s="12">
        <f t="shared" si="2"/>
        <v>547</v>
      </c>
      <c r="G75" s="12">
        <f t="shared" si="3"/>
        <v>457</v>
      </c>
      <c r="H75" s="8">
        <f t="shared" si="4"/>
        <v>1872</v>
      </c>
      <c r="I75" s="8">
        <f t="shared" si="5"/>
        <v>1800</v>
      </c>
      <c r="J75" s="8">
        <f t="shared" si="6"/>
        <v>1890</v>
      </c>
      <c r="K75" s="8">
        <f t="shared" si="27"/>
        <v>2000</v>
      </c>
      <c r="L75" s="8">
        <f t="shared" si="28"/>
        <v>2000</v>
      </c>
      <c r="M75" s="8">
        <f t="shared" si="29"/>
        <v>2000</v>
      </c>
      <c r="N75" s="8">
        <f t="shared" si="14"/>
        <v>-128</v>
      </c>
      <c r="O75" s="8">
        <f t="shared" si="15"/>
        <v>-200</v>
      </c>
      <c r="P75" s="8">
        <f t="shared" si="16"/>
        <v>-110</v>
      </c>
      <c r="Q75" s="12">
        <v>9</v>
      </c>
      <c r="R75" s="12">
        <v>2</v>
      </c>
      <c r="S75" s="12">
        <v>0</v>
      </c>
      <c r="T75" s="11">
        <f t="shared" si="7"/>
        <v>867</v>
      </c>
      <c r="U75" s="10">
        <f t="shared" si="24"/>
        <v>1432</v>
      </c>
      <c r="V75" s="10">
        <f t="shared" si="23"/>
        <v>1480</v>
      </c>
      <c r="W75" s="10">
        <f t="shared" si="25"/>
        <v>1520</v>
      </c>
      <c r="X75" s="8"/>
      <c r="Y75" s="8"/>
      <c r="Z75" s="8"/>
      <c r="AA75" s="8"/>
      <c r="AB75" s="30"/>
    </row>
    <row r="76" spans="1:28" ht="15">
      <c r="A76" s="16">
        <v>62</v>
      </c>
      <c r="B76" s="15">
        <f t="shared" si="8"/>
        <v>45343</v>
      </c>
      <c r="C76" s="14">
        <f t="shared" si="9"/>
        <v>844</v>
      </c>
      <c r="D76" s="13">
        <f t="shared" si="26"/>
        <v>1501</v>
      </c>
      <c r="E76" s="12">
        <f t="shared" si="1"/>
        <v>475</v>
      </c>
      <c r="F76" s="12">
        <f t="shared" si="2"/>
        <v>545</v>
      </c>
      <c r="G76" s="12">
        <f t="shared" si="3"/>
        <v>458</v>
      </c>
      <c r="H76" s="8">
        <f t="shared" si="4"/>
        <v>1870</v>
      </c>
      <c r="I76" s="8">
        <f t="shared" si="5"/>
        <v>1800</v>
      </c>
      <c r="J76" s="8">
        <f t="shared" si="6"/>
        <v>1887</v>
      </c>
      <c r="K76" s="8">
        <f t="shared" si="27"/>
        <v>2000</v>
      </c>
      <c r="L76" s="8">
        <f t="shared" si="28"/>
        <v>2000</v>
      </c>
      <c r="M76" s="8">
        <f t="shared" si="29"/>
        <v>2000</v>
      </c>
      <c r="N76" s="8">
        <f t="shared" si="14"/>
        <v>-130</v>
      </c>
      <c r="O76" s="8">
        <f t="shared" si="15"/>
        <v>-200</v>
      </c>
      <c r="P76" s="8">
        <f t="shared" si="16"/>
        <v>-113</v>
      </c>
      <c r="Q76" s="12">
        <v>2</v>
      </c>
      <c r="R76" s="12">
        <v>0</v>
      </c>
      <c r="S76" s="12">
        <v>3</v>
      </c>
      <c r="T76" s="11">
        <f t="shared" si="7"/>
        <v>865</v>
      </c>
      <c r="U76" s="10">
        <f t="shared" si="24"/>
        <v>1430</v>
      </c>
      <c r="V76" s="10">
        <f t="shared" si="23"/>
        <v>1480</v>
      </c>
      <c r="W76" s="10">
        <f t="shared" si="25"/>
        <v>1517</v>
      </c>
      <c r="X76" s="8"/>
      <c r="Y76" s="8"/>
      <c r="Z76" s="8"/>
      <c r="AA76" s="8"/>
      <c r="AB76" s="30"/>
    </row>
    <row r="77" spans="1:28" ht="15" customHeight="1">
      <c r="A77" s="16">
        <v>63</v>
      </c>
      <c r="B77" s="15">
        <f t="shared" si="8"/>
        <v>45344</v>
      </c>
      <c r="C77" s="14">
        <f t="shared" si="9"/>
        <v>844</v>
      </c>
      <c r="D77" s="13">
        <f t="shared" si="26"/>
        <v>1499</v>
      </c>
      <c r="E77" s="12">
        <f t="shared" si="1"/>
        <v>475</v>
      </c>
      <c r="F77" s="12">
        <f t="shared" si="2"/>
        <v>545</v>
      </c>
      <c r="G77" s="12">
        <f t="shared" si="3"/>
        <v>456</v>
      </c>
      <c r="H77" s="8">
        <f t="shared" si="4"/>
        <v>1868</v>
      </c>
      <c r="I77" s="8">
        <f t="shared" si="5"/>
        <v>1798</v>
      </c>
      <c r="J77" s="8">
        <f t="shared" si="6"/>
        <v>1887</v>
      </c>
      <c r="K77" s="8">
        <f t="shared" si="27"/>
        <v>2000</v>
      </c>
      <c r="L77" s="8">
        <f t="shared" si="28"/>
        <v>2000</v>
      </c>
      <c r="M77" s="8">
        <f t="shared" si="29"/>
        <v>2000</v>
      </c>
      <c r="N77" s="8">
        <f t="shared" si="14"/>
        <v>-132</v>
      </c>
      <c r="O77" s="8">
        <f t="shared" si="15"/>
        <v>-202</v>
      </c>
      <c r="P77" s="8">
        <f t="shared" si="16"/>
        <v>-113</v>
      </c>
      <c r="Q77" s="12">
        <v>2</v>
      </c>
      <c r="R77" s="12">
        <v>2</v>
      </c>
      <c r="S77" s="12">
        <v>0</v>
      </c>
      <c r="T77" s="11">
        <f t="shared" si="7"/>
        <v>865</v>
      </c>
      <c r="U77" s="10">
        <f t="shared" si="24"/>
        <v>1428</v>
      </c>
      <c r="V77" s="10">
        <f t="shared" si="23"/>
        <v>1478</v>
      </c>
      <c r="W77" s="10">
        <f t="shared" si="25"/>
        <v>1517</v>
      </c>
      <c r="X77" s="8"/>
      <c r="Y77" s="8"/>
      <c r="Z77" s="8"/>
      <c r="AA77" s="8"/>
      <c r="AB77" s="30"/>
    </row>
    <row r="78" spans="1:28" ht="15" customHeight="1">
      <c r="A78" s="16">
        <v>64</v>
      </c>
      <c r="B78" s="15">
        <f t="shared" si="8"/>
        <v>45345</v>
      </c>
      <c r="C78" s="14">
        <f t="shared" si="9"/>
        <v>844</v>
      </c>
      <c r="D78" s="13">
        <f t="shared" si="26"/>
        <v>1497</v>
      </c>
      <c r="E78" s="12">
        <f t="shared" ref="E78:E141" si="30">C78+D78-H78</f>
        <v>475</v>
      </c>
      <c r="F78" s="12">
        <f t="shared" ref="F78:F141" si="31">C78+D78-I78</f>
        <v>544</v>
      </c>
      <c r="G78" s="12">
        <f t="shared" ref="G78:G141" si="32">D78+C78-J78</f>
        <v>454</v>
      </c>
      <c r="H78" s="8">
        <f t="shared" ref="H78:H141" si="33">K78+N78</f>
        <v>1866</v>
      </c>
      <c r="I78" s="8">
        <f t="shared" ref="I78:I141" si="34">L78+O78</f>
        <v>1797</v>
      </c>
      <c r="J78" s="8">
        <f t="shared" ref="J78:J141" si="35">M78+P78</f>
        <v>1887</v>
      </c>
      <c r="K78" s="8">
        <f t="shared" si="27"/>
        <v>2000</v>
      </c>
      <c r="L78" s="8">
        <f t="shared" si="28"/>
        <v>2000</v>
      </c>
      <c r="M78" s="8">
        <f t="shared" si="29"/>
        <v>2000</v>
      </c>
      <c r="N78" s="8">
        <f t="shared" si="14"/>
        <v>-134</v>
      </c>
      <c r="O78" s="8">
        <f t="shared" si="15"/>
        <v>-203</v>
      </c>
      <c r="P78" s="8">
        <f t="shared" si="16"/>
        <v>-113</v>
      </c>
      <c r="Q78" s="12">
        <v>2</v>
      </c>
      <c r="R78" s="12">
        <v>1</v>
      </c>
      <c r="S78" s="12">
        <v>0</v>
      </c>
      <c r="T78" s="11">
        <f t="shared" ref="T78:T141" si="36">D78+C78-V78</f>
        <v>864</v>
      </c>
      <c r="U78" s="10">
        <f t="shared" si="24"/>
        <v>1426</v>
      </c>
      <c r="V78" s="10">
        <f t="shared" si="23"/>
        <v>1477</v>
      </c>
      <c r="W78" s="10">
        <f t="shared" si="25"/>
        <v>1517</v>
      </c>
      <c r="X78" s="8"/>
      <c r="Y78" s="8"/>
      <c r="Z78" s="8"/>
      <c r="AA78" s="8"/>
      <c r="AB78" s="30"/>
    </row>
    <row r="79" spans="1:28" ht="15" customHeight="1">
      <c r="A79" s="16">
        <v>65</v>
      </c>
      <c r="B79" s="15">
        <f t="shared" ref="B79:B142" si="37">B78+1</f>
        <v>45346</v>
      </c>
      <c r="C79" s="14">
        <f t="shared" ref="C79:C142" si="38">C78</f>
        <v>844</v>
      </c>
      <c r="D79" s="13">
        <f t="shared" ref="D79:D110" si="39">D78-2</f>
        <v>1495</v>
      </c>
      <c r="E79" s="12">
        <f t="shared" si="30"/>
        <v>476</v>
      </c>
      <c r="F79" s="12">
        <f t="shared" si="31"/>
        <v>542</v>
      </c>
      <c r="G79" s="12">
        <f t="shared" si="32"/>
        <v>452</v>
      </c>
      <c r="H79" s="8">
        <f t="shared" si="33"/>
        <v>1863</v>
      </c>
      <c r="I79" s="8">
        <f t="shared" si="34"/>
        <v>1797</v>
      </c>
      <c r="J79" s="8">
        <f t="shared" si="35"/>
        <v>1887</v>
      </c>
      <c r="K79" s="8">
        <f t="shared" ref="K79:K90" si="40">K78</f>
        <v>2000</v>
      </c>
      <c r="L79" s="8">
        <f t="shared" ref="L79:L90" si="41">L78</f>
        <v>2000</v>
      </c>
      <c r="M79" s="8">
        <f t="shared" ref="M79:M90" si="42">M78</f>
        <v>2000</v>
      </c>
      <c r="N79" s="8">
        <f t="shared" ref="N79:N142" si="43">N78-Q79</f>
        <v>-137</v>
      </c>
      <c r="O79" s="8">
        <f t="shared" ref="O79:O142" si="44">O78-R79</f>
        <v>-203</v>
      </c>
      <c r="P79" s="8">
        <f t="shared" ref="P79:P142" si="45">P78-S79</f>
        <v>-113</v>
      </c>
      <c r="Q79" s="12">
        <v>3</v>
      </c>
      <c r="R79" s="12">
        <v>0</v>
      </c>
      <c r="S79" s="12">
        <v>0</v>
      </c>
      <c r="T79" s="11">
        <f t="shared" si="36"/>
        <v>862</v>
      </c>
      <c r="U79" s="10">
        <f t="shared" si="24"/>
        <v>1423</v>
      </c>
      <c r="V79" s="10">
        <f t="shared" si="23"/>
        <v>1477</v>
      </c>
      <c r="W79" s="10">
        <f t="shared" si="25"/>
        <v>1517</v>
      </c>
      <c r="X79" s="8"/>
      <c r="Y79" s="8"/>
      <c r="Z79" s="8"/>
      <c r="AA79" s="8"/>
      <c r="AB79" s="30"/>
    </row>
    <row r="80" spans="1:28" ht="15" customHeight="1">
      <c r="A80" s="16">
        <v>66</v>
      </c>
      <c r="B80" s="15">
        <f t="shared" si="37"/>
        <v>45347</v>
      </c>
      <c r="C80" s="14">
        <f t="shared" si="38"/>
        <v>844</v>
      </c>
      <c r="D80" s="13">
        <f t="shared" si="39"/>
        <v>1493</v>
      </c>
      <c r="E80" s="12">
        <f t="shared" si="30"/>
        <v>478</v>
      </c>
      <c r="F80" s="12">
        <f t="shared" si="31"/>
        <v>540</v>
      </c>
      <c r="G80" s="12">
        <f t="shared" si="32"/>
        <v>450</v>
      </c>
      <c r="H80" s="8">
        <f t="shared" si="33"/>
        <v>1859</v>
      </c>
      <c r="I80" s="8">
        <f t="shared" si="34"/>
        <v>1797</v>
      </c>
      <c r="J80" s="8">
        <f t="shared" si="35"/>
        <v>1887</v>
      </c>
      <c r="K80" s="8">
        <f t="shared" si="40"/>
        <v>2000</v>
      </c>
      <c r="L80" s="8">
        <f t="shared" si="41"/>
        <v>2000</v>
      </c>
      <c r="M80" s="8">
        <f t="shared" si="42"/>
        <v>2000</v>
      </c>
      <c r="N80" s="8">
        <f t="shared" si="43"/>
        <v>-141</v>
      </c>
      <c r="O80" s="8">
        <f t="shared" si="44"/>
        <v>-203</v>
      </c>
      <c r="P80" s="8">
        <f t="shared" si="45"/>
        <v>-113</v>
      </c>
      <c r="Q80" s="12">
        <v>4</v>
      </c>
      <c r="R80" s="12">
        <v>0</v>
      </c>
      <c r="S80" s="12">
        <v>0</v>
      </c>
      <c r="T80" s="11">
        <f t="shared" si="36"/>
        <v>860</v>
      </c>
      <c r="U80" s="10">
        <f t="shared" si="24"/>
        <v>1419</v>
      </c>
      <c r="V80" s="10">
        <f t="shared" si="23"/>
        <v>1477</v>
      </c>
      <c r="W80" s="10">
        <f t="shared" si="25"/>
        <v>1517</v>
      </c>
      <c r="X80" s="8"/>
      <c r="Y80" s="8"/>
      <c r="Z80" s="8"/>
      <c r="AA80" s="8"/>
      <c r="AB80" s="30"/>
    </row>
    <row r="81" spans="1:30" ht="15" customHeight="1">
      <c r="A81" s="16">
        <v>67</v>
      </c>
      <c r="B81" s="15">
        <f t="shared" si="37"/>
        <v>45348</v>
      </c>
      <c r="C81" s="14">
        <f t="shared" si="38"/>
        <v>844</v>
      </c>
      <c r="D81" s="13">
        <f t="shared" si="39"/>
        <v>1491</v>
      </c>
      <c r="E81" s="12">
        <f t="shared" si="30"/>
        <v>479</v>
      </c>
      <c r="F81" s="12">
        <f t="shared" si="31"/>
        <v>541</v>
      </c>
      <c r="G81" s="12">
        <f t="shared" si="32"/>
        <v>448</v>
      </c>
      <c r="H81" s="8">
        <f t="shared" si="33"/>
        <v>1856</v>
      </c>
      <c r="I81" s="8">
        <f t="shared" si="34"/>
        <v>1794</v>
      </c>
      <c r="J81" s="8">
        <f t="shared" si="35"/>
        <v>1887</v>
      </c>
      <c r="K81" s="8">
        <f t="shared" si="40"/>
        <v>2000</v>
      </c>
      <c r="L81" s="8">
        <f t="shared" si="41"/>
        <v>2000</v>
      </c>
      <c r="M81" s="8">
        <f t="shared" si="42"/>
        <v>2000</v>
      </c>
      <c r="N81" s="8">
        <f t="shared" si="43"/>
        <v>-144</v>
      </c>
      <c r="O81" s="8">
        <f t="shared" si="44"/>
        <v>-206</v>
      </c>
      <c r="P81" s="8">
        <f t="shared" si="45"/>
        <v>-113</v>
      </c>
      <c r="Q81" s="12">
        <v>3</v>
      </c>
      <c r="R81" s="12">
        <v>3</v>
      </c>
      <c r="S81" s="12">
        <v>0</v>
      </c>
      <c r="T81" s="11">
        <f t="shared" si="36"/>
        <v>861</v>
      </c>
      <c r="U81" s="10">
        <f t="shared" si="24"/>
        <v>1416</v>
      </c>
      <c r="V81" s="10">
        <f t="shared" si="23"/>
        <v>1474</v>
      </c>
      <c r="W81" s="10">
        <f t="shared" si="25"/>
        <v>1517</v>
      </c>
      <c r="X81" s="8"/>
      <c r="Y81" s="8"/>
      <c r="Z81" s="8"/>
      <c r="AA81" s="8"/>
      <c r="AB81" s="30"/>
    </row>
    <row r="82" spans="1:30" ht="15" customHeight="1">
      <c r="A82" s="16">
        <v>68</v>
      </c>
      <c r="B82" s="15">
        <f t="shared" si="37"/>
        <v>45349</v>
      </c>
      <c r="C82" s="14">
        <f t="shared" si="38"/>
        <v>844</v>
      </c>
      <c r="D82" s="13">
        <f t="shared" si="39"/>
        <v>1489</v>
      </c>
      <c r="E82" s="12">
        <f t="shared" si="30"/>
        <v>486</v>
      </c>
      <c r="F82" s="12">
        <f t="shared" si="31"/>
        <v>540</v>
      </c>
      <c r="G82" s="12">
        <f t="shared" si="32"/>
        <v>446</v>
      </c>
      <c r="H82" s="8">
        <f t="shared" si="33"/>
        <v>1847</v>
      </c>
      <c r="I82" s="8">
        <f t="shared" si="34"/>
        <v>1793</v>
      </c>
      <c r="J82" s="8">
        <f t="shared" si="35"/>
        <v>1887</v>
      </c>
      <c r="K82" s="8">
        <f t="shared" si="40"/>
        <v>2000</v>
      </c>
      <c r="L82" s="8">
        <f t="shared" si="41"/>
        <v>2000</v>
      </c>
      <c r="M82" s="8">
        <f t="shared" si="42"/>
        <v>2000</v>
      </c>
      <c r="N82" s="8">
        <f t="shared" si="43"/>
        <v>-153</v>
      </c>
      <c r="O82" s="8">
        <f t="shared" si="44"/>
        <v>-207</v>
      </c>
      <c r="P82" s="8">
        <f t="shared" si="45"/>
        <v>-113</v>
      </c>
      <c r="Q82" s="12">
        <v>9</v>
      </c>
      <c r="R82" s="12">
        <v>1</v>
      </c>
      <c r="S82" s="12">
        <v>0</v>
      </c>
      <c r="T82" s="11">
        <f t="shared" si="36"/>
        <v>860</v>
      </c>
      <c r="U82" s="10">
        <f t="shared" si="24"/>
        <v>1407</v>
      </c>
      <c r="V82" s="10">
        <f t="shared" si="23"/>
        <v>1473</v>
      </c>
      <c r="W82" s="10">
        <f t="shared" si="25"/>
        <v>1517</v>
      </c>
      <c r="X82" s="8"/>
      <c r="Y82" s="8"/>
      <c r="Z82" s="8"/>
      <c r="AA82" s="8"/>
      <c r="AB82" s="30"/>
    </row>
    <row r="83" spans="1:30" ht="15" customHeight="1">
      <c r="A83" s="16">
        <v>69</v>
      </c>
      <c r="B83" s="15">
        <f t="shared" si="37"/>
        <v>45350</v>
      </c>
      <c r="C83" s="14">
        <f t="shared" si="38"/>
        <v>844</v>
      </c>
      <c r="D83" s="13">
        <f t="shared" si="39"/>
        <v>1487</v>
      </c>
      <c r="E83" s="12">
        <f t="shared" si="30"/>
        <v>486</v>
      </c>
      <c r="F83" s="12">
        <f t="shared" si="31"/>
        <v>538</v>
      </c>
      <c r="G83" s="12">
        <f t="shared" si="32"/>
        <v>445</v>
      </c>
      <c r="H83" s="8">
        <f t="shared" si="33"/>
        <v>1845</v>
      </c>
      <c r="I83" s="8">
        <f t="shared" si="34"/>
        <v>1793</v>
      </c>
      <c r="J83" s="8">
        <f t="shared" si="35"/>
        <v>1886</v>
      </c>
      <c r="K83" s="8">
        <f t="shared" si="40"/>
        <v>2000</v>
      </c>
      <c r="L83" s="8">
        <f t="shared" si="41"/>
        <v>2000</v>
      </c>
      <c r="M83" s="8">
        <f t="shared" si="42"/>
        <v>2000</v>
      </c>
      <c r="N83" s="8">
        <f t="shared" si="43"/>
        <v>-155</v>
      </c>
      <c r="O83" s="8">
        <f t="shared" si="44"/>
        <v>-207</v>
      </c>
      <c r="P83" s="8">
        <f t="shared" si="45"/>
        <v>-114</v>
      </c>
      <c r="Q83" s="12">
        <v>2</v>
      </c>
      <c r="R83" s="12">
        <v>0</v>
      </c>
      <c r="S83" s="12">
        <v>1</v>
      </c>
      <c r="T83" s="11">
        <f t="shared" si="36"/>
        <v>858</v>
      </c>
      <c r="U83" s="10">
        <f t="shared" si="24"/>
        <v>1405</v>
      </c>
      <c r="V83" s="10">
        <f t="shared" si="23"/>
        <v>1473</v>
      </c>
      <c r="W83" s="10">
        <f t="shared" si="25"/>
        <v>1516</v>
      </c>
      <c r="X83" s="8"/>
      <c r="Y83" s="8"/>
      <c r="Z83" s="8"/>
      <c r="AA83" s="8"/>
      <c r="AB83" s="30"/>
    </row>
    <row r="84" spans="1:30" ht="15" customHeight="1">
      <c r="A84" s="16">
        <v>70</v>
      </c>
      <c r="B84" s="15">
        <f t="shared" si="37"/>
        <v>45351</v>
      </c>
      <c r="C84" s="14">
        <f t="shared" si="38"/>
        <v>844</v>
      </c>
      <c r="D84" s="13">
        <f t="shared" si="39"/>
        <v>1485</v>
      </c>
      <c r="E84" s="12">
        <f t="shared" si="30"/>
        <v>488</v>
      </c>
      <c r="F84" s="12">
        <f t="shared" si="31"/>
        <v>536</v>
      </c>
      <c r="G84" s="12">
        <f t="shared" si="32"/>
        <v>443</v>
      </c>
      <c r="H84" s="8">
        <f t="shared" si="33"/>
        <v>1841</v>
      </c>
      <c r="I84" s="8">
        <f t="shared" si="34"/>
        <v>1793</v>
      </c>
      <c r="J84" s="8">
        <f t="shared" si="35"/>
        <v>1886</v>
      </c>
      <c r="K84" s="8">
        <f t="shared" si="40"/>
        <v>2000</v>
      </c>
      <c r="L84" s="8">
        <f t="shared" si="41"/>
        <v>2000</v>
      </c>
      <c r="M84" s="8">
        <f t="shared" si="42"/>
        <v>2000</v>
      </c>
      <c r="N84" s="8">
        <f t="shared" si="43"/>
        <v>-159</v>
      </c>
      <c r="O84" s="8">
        <f t="shared" si="44"/>
        <v>-207</v>
      </c>
      <c r="P84" s="8">
        <f t="shared" si="45"/>
        <v>-114</v>
      </c>
      <c r="Q84" s="12">
        <v>4</v>
      </c>
      <c r="R84" s="12">
        <v>0</v>
      </c>
      <c r="S84" s="12">
        <v>0</v>
      </c>
      <c r="T84" s="11">
        <f t="shared" si="36"/>
        <v>856</v>
      </c>
      <c r="U84" s="10">
        <f t="shared" si="24"/>
        <v>1401</v>
      </c>
      <c r="V84" s="10">
        <f t="shared" si="23"/>
        <v>1473</v>
      </c>
      <c r="W84" s="10">
        <f t="shared" si="25"/>
        <v>1516</v>
      </c>
      <c r="X84" s="8"/>
      <c r="Y84" s="8"/>
      <c r="Z84" s="8"/>
      <c r="AA84" s="8"/>
      <c r="AB84" s="30"/>
    </row>
    <row r="85" spans="1:30" ht="15" customHeight="1">
      <c r="A85" s="16">
        <v>71</v>
      </c>
      <c r="B85" s="15">
        <f t="shared" si="37"/>
        <v>45352</v>
      </c>
      <c r="C85" s="14">
        <f t="shared" si="38"/>
        <v>844</v>
      </c>
      <c r="D85" s="13">
        <f t="shared" si="39"/>
        <v>1483</v>
      </c>
      <c r="E85" s="12">
        <f t="shared" si="30"/>
        <v>492</v>
      </c>
      <c r="F85" s="12">
        <f t="shared" si="31"/>
        <v>534</v>
      </c>
      <c r="G85" s="12">
        <f t="shared" si="32"/>
        <v>441</v>
      </c>
      <c r="H85" s="8">
        <f t="shared" si="33"/>
        <v>1835</v>
      </c>
      <c r="I85" s="8">
        <f t="shared" si="34"/>
        <v>1793</v>
      </c>
      <c r="J85" s="8">
        <f t="shared" si="35"/>
        <v>1886</v>
      </c>
      <c r="K85" s="8">
        <f t="shared" si="40"/>
        <v>2000</v>
      </c>
      <c r="L85" s="8">
        <f t="shared" si="41"/>
        <v>2000</v>
      </c>
      <c r="M85" s="8">
        <f t="shared" si="42"/>
        <v>2000</v>
      </c>
      <c r="N85" s="8">
        <f t="shared" si="43"/>
        <v>-165</v>
      </c>
      <c r="O85" s="8">
        <f t="shared" si="44"/>
        <v>-207</v>
      </c>
      <c r="P85" s="8">
        <f t="shared" si="45"/>
        <v>-114</v>
      </c>
      <c r="Q85" s="12">
        <v>6</v>
      </c>
      <c r="R85" s="12">
        <v>0</v>
      </c>
      <c r="S85" s="12">
        <v>0</v>
      </c>
      <c r="T85" s="11">
        <f t="shared" si="36"/>
        <v>854</v>
      </c>
      <c r="U85" s="10">
        <f t="shared" si="24"/>
        <v>1395</v>
      </c>
      <c r="V85" s="10">
        <f t="shared" si="23"/>
        <v>1473</v>
      </c>
      <c r="W85" s="10">
        <f t="shared" si="25"/>
        <v>1516</v>
      </c>
      <c r="X85" s="8"/>
      <c r="Y85" s="8"/>
      <c r="Z85" s="8"/>
      <c r="AA85" s="8"/>
      <c r="AB85" s="30"/>
    </row>
    <row r="86" spans="1:30" ht="15" customHeight="1">
      <c r="A86" s="16">
        <v>72</v>
      </c>
      <c r="B86" s="15">
        <f t="shared" si="37"/>
        <v>45353</v>
      </c>
      <c r="C86" s="14">
        <f t="shared" si="38"/>
        <v>844</v>
      </c>
      <c r="D86" s="13">
        <f t="shared" si="39"/>
        <v>1481</v>
      </c>
      <c r="E86" s="12">
        <f t="shared" si="30"/>
        <v>499</v>
      </c>
      <c r="F86" s="12">
        <f t="shared" si="31"/>
        <v>535</v>
      </c>
      <c r="G86" s="12">
        <f t="shared" si="32"/>
        <v>439</v>
      </c>
      <c r="H86" s="8">
        <f t="shared" si="33"/>
        <v>1826</v>
      </c>
      <c r="I86" s="8">
        <f t="shared" si="34"/>
        <v>1790</v>
      </c>
      <c r="J86" s="8">
        <f t="shared" si="35"/>
        <v>1886</v>
      </c>
      <c r="K86" s="8">
        <f t="shared" si="40"/>
        <v>2000</v>
      </c>
      <c r="L86" s="8">
        <f t="shared" si="41"/>
        <v>2000</v>
      </c>
      <c r="M86" s="8">
        <f t="shared" si="42"/>
        <v>2000</v>
      </c>
      <c r="N86" s="8">
        <f t="shared" si="43"/>
        <v>-174</v>
      </c>
      <c r="O86" s="8">
        <f t="shared" si="44"/>
        <v>-210</v>
      </c>
      <c r="P86" s="8">
        <f t="shared" si="45"/>
        <v>-114</v>
      </c>
      <c r="Q86" s="12">
        <v>9</v>
      </c>
      <c r="R86" s="12">
        <v>3</v>
      </c>
      <c r="S86" s="12">
        <v>0</v>
      </c>
      <c r="T86" s="11">
        <f t="shared" si="36"/>
        <v>855</v>
      </c>
      <c r="U86" s="10">
        <f t="shared" si="24"/>
        <v>1386</v>
      </c>
      <c r="V86" s="10">
        <f t="shared" si="23"/>
        <v>1470</v>
      </c>
      <c r="W86" s="10">
        <f t="shared" si="25"/>
        <v>1516</v>
      </c>
      <c r="X86" s="8"/>
      <c r="Y86" s="8"/>
      <c r="Z86" s="8"/>
      <c r="AA86" s="8"/>
      <c r="AB86" s="30"/>
    </row>
    <row r="87" spans="1:30" ht="15" customHeight="1">
      <c r="A87" s="16">
        <v>73</v>
      </c>
      <c r="B87" s="15">
        <f t="shared" si="37"/>
        <v>45354</v>
      </c>
      <c r="C87" s="14">
        <f t="shared" si="38"/>
        <v>844</v>
      </c>
      <c r="D87" s="13">
        <f t="shared" si="39"/>
        <v>1479</v>
      </c>
      <c r="E87" s="12">
        <f t="shared" si="30"/>
        <v>500</v>
      </c>
      <c r="F87" s="12">
        <f t="shared" si="31"/>
        <v>533</v>
      </c>
      <c r="G87" s="12">
        <f t="shared" si="32"/>
        <v>437</v>
      </c>
      <c r="H87" s="8">
        <f t="shared" si="33"/>
        <v>1823</v>
      </c>
      <c r="I87" s="8">
        <f t="shared" si="34"/>
        <v>1790</v>
      </c>
      <c r="J87" s="8">
        <f t="shared" si="35"/>
        <v>1886</v>
      </c>
      <c r="K87" s="8">
        <f t="shared" si="40"/>
        <v>2000</v>
      </c>
      <c r="L87" s="8">
        <f t="shared" si="41"/>
        <v>2000</v>
      </c>
      <c r="M87" s="8">
        <f t="shared" si="42"/>
        <v>2000</v>
      </c>
      <c r="N87" s="8">
        <f t="shared" si="43"/>
        <v>-177</v>
      </c>
      <c r="O87" s="8">
        <f t="shared" si="44"/>
        <v>-210</v>
      </c>
      <c r="P87" s="8">
        <f t="shared" si="45"/>
        <v>-114</v>
      </c>
      <c r="Q87" s="12">
        <v>3</v>
      </c>
      <c r="R87" s="12">
        <v>0</v>
      </c>
      <c r="S87" s="12">
        <v>0</v>
      </c>
      <c r="T87" s="11">
        <f t="shared" si="36"/>
        <v>853</v>
      </c>
      <c r="U87" s="10">
        <f t="shared" si="24"/>
        <v>1383</v>
      </c>
      <c r="V87" s="10">
        <f t="shared" si="23"/>
        <v>1470</v>
      </c>
      <c r="W87" s="10">
        <f t="shared" si="25"/>
        <v>1516</v>
      </c>
      <c r="X87" s="8"/>
      <c r="Y87" s="8"/>
      <c r="Z87" s="8"/>
      <c r="AA87" s="8"/>
      <c r="AB87" s="30"/>
      <c r="AD87" s="32">
        <v>45355</v>
      </c>
    </row>
    <row r="88" spans="1:30" ht="15" customHeight="1">
      <c r="A88" s="16">
        <v>74</v>
      </c>
      <c r="B88" s="15">
        <f t="shared" si="37"/>
        <v>45355</v>
      </c>
      <c r="C88" s="14">
        <f t="shared" si="38"/>
        <v>844</v>
      </c>
      <c r="D88" s="13">
        <f t="shared" si="39"/>
        <v>1477</v>
      </c>
      <c r="E88" s="12">
        <f t="shared" si="30"/>
        <v>502</v>
      </c>
      <c r="F88" s="12">
        <f t="shared" si="31"/>
        <v>531</v>
      </c>
      <c r="G88" s="12">
        <f t="shared" si="32"/>
        <v>435</v>
      </c>
      <c r="H88" s="8">
        <f t="shared" si="33"/>
        <v>1819</v>
      </c>
      <c r="I88" s="8">
        <f t="shared" si="34"/>
        <v>1790</v>
      </c>
      <c r="J88" s="8">
        <f t="shared" si="35"/>
        <v>1886</v>
      </c>
      <c r="K88" s="8">
        <f t="shared" si="40"/>
        <v>2000</v>
      </c>
      <c r="L88" s="8">
        <f t="shared" si="41"/>
        <v>2000</v>
      </c>
      <c r="M88" s="8">
        <f t="shared" si="42"/>
        <v>2000</v>
      </c>
      <c r="N88" s="8">
        <f t="shared" si="43"/>
        <v>-181</v>
      </c>
      <c r="O88" s="8">
        <f t="shared" si="44"/>
        <v>-210</v>
      </c>
      <c r="P88" s="8">
        <f t="shared" si="45"/>
        <v>-114</v>
      </c>
      <c r="Q88" s="12">
        <v>4</v>
      </c>
      <c r="R88" s="12">
        <v>0</v>
      </c>
      <c r="S88" s="12">
        <v>0</v>
      </c>
      <c r="T88" s="11">
        <f t="shared" si="36"/>
        <v>551</v>
      </c>
      <c r="U88" s="10">
        <f t="shared" si="24"/>
        <v>1679</v>
      </c>
      <c r="V88" s="10">
        <f t="shared" si="23"/>
        <v>1770</v>
      </c>
      <c r="W88" s="10">
        <f t="shared" si="25"/>
        <v>1816</v>
      </c>
      <c r="X88" s="31">
        <v>0.3</v>
      </c>
      <c r="Y88" s="31"/>
      <c r="Z88" s="8"/>
      <c r="AA88" s="8"/>
      <c r="AB88" s="30">
        <v>3</v>
      </c>
      <c r="AD88" s="32">
        <v>45359</v>
      </c>
    </row>
    <row r="89" spans="1:30" ht="15" customHeight="1">
      <c r="A89" s="16">
        <v>75</v>
      </c>
      <c r="B89" s="15">
        <f t="shared" si="37"/>
        <v>45356</v>
      </c>
      <c r="C89" s="14">
        <f t="shared" si="38"/>
        <v>844</v>
      </c>
      <c r="D89" s="13">
        <f t="shared" si="39"/>
        <v>1475</v>
      </c>
      <c r="E89" s="12">
        <f t="shared" si="30"/>
        <v>503</v>
      </c>
      <c r="F89" s="12">
        <f t="shared" si="31"/>
        <v>530</v>
      </c>
      <c r="G89" s="12">
        <f t="shared" si="32"/>
        <v>433</v>
      </c>
      <c r="H89" s="8">
        <f t="shared" si="33"/>
        <v>1816</v>
      </c>
      <c r="I89" s="8">
        <f t="shared" si="34"/>
        <v>1789</v>
      </c>
      <c r="J89" s="8">
        <f t="shared" si="35"/>
        <v>1886</v>
      </c>
      <c r="K89" s="8">
        <f t="shared" si="40"/>
        <v>2000</v>
      </c>
      <c r="L89" s="8">
        <f t="shared" si="41"/>
        <v>2000</v>
      </c>
      <c r="M89" s="8">
        <f t="shared" si="42"/>
        <v>2000</v>
      </c>
      <c r="N89" s="8">
        <f t="shared" si="43"/>
        <v>-184</v>
      </c>
      <c r="O89" s="8">
        <f t="shared" si="44"/>
        <v>-211</v>
      </c>
      <c r="P89" s="8">
        <f t="shared" si="45"/>
        <v>-114</v>
      </c>
      <c r="Q89" s="12">
        <v>3</v>
      </c>
      <c r="R89" s="12">
        <v>1</v>
      </c>
      <c r="S89" s="12">
        <v>0</v>
      </c>
      <c r="T89" s="11">
        <f t="shared" si="36"/>
        <v>550</v>
      </c>
      <c r="U89" s="10">
        <f t="shared" si="24"/>
        <v>1676</v>
      </c>
      <c r="V89" s="10">
        <f t="shared" si="23"/>
        <v>1769</v>
      </c>
      <c r="W89" s="10">
        <f t="shared" si="25"/>
        <v>1816</v>
      </c>
      <c r="X89" s="8"/>
      <c r="Y89" s="8"/>
      <c r="Z89" s="8"/>
      <c r="AA89" s="8"/>
      <c r="AB89" s="30"/>
      <c r="AD89" s="32">
        <v>45364</v>
      </c>
    </row>
    <row r="90" spans="1:30" ht="15" customHeight="1">
      <c r="A90" s="16">
        <v>76</v>
      </c>
      <c r="B90" s="15">
        <f t="shared" si="37"/>
        <v>45357</v>
      </c>
      <c r="C90" s="14">
        <f t="shared" si="38"/>
        <v>844</v>
      </c>
      <c r="D90" s="13">
        <f t="shared" si="39"/>
        <v>1473</v>
      </c>
      <c r="E90" s="12">
        <f t="shared" si="30"/>
        <v>510</v>
      </c>
      <c r="F90" s="12">
        <f t="shared" si="31"/>
        <v>530</v>
      </c>
      <c r="G90" s="12">
        <f t="shared" si="32"/>
        <v>431</v>
      </c>
      <c r="H90" s="8">
        <f t="shared" si="33"/>
        <v>1807</v>
      </c>
      <c r="I90" s="8">
        <f t="shared" si="34"/>
        <v>1787</v>
      </c>
      <c r="J90" s="8">
        <f t="shared" si="35"/>
        <v>1886</v>
      </c>
      <c r="K90" s="8">
        <f t="shared" si="40"/>
        <v>2000</v>
      </c>
      <c r="L90" s="8">
        <f t="shared" si="41"/>
        <v>2000</v>
      </c>
      <c r="M90" s="8">
        <f t="shared" si="42"/>
        <v>2000</v>
      </c>
      <c r="N90" s="8">
        <f t="shared" si="43"/>
        <v>-193</v>
      </c>
      <c r="O90" s="8">
        <f t="shared" si="44"/>
        <v>-213</v>
      </c>
      <c r="P90" s="8">
        <f t="shared" si="45"/>
        <v>-114</v>
      </c>
      <c r="Q90" s="12">
        <v>9</v>
      </c>
      <c r="R90" s="12">
        <v>2</v>
      </c>
      <c r="S90" s="12">
        <v>0</v>
      </c>
      <c r="T90" s="11">
        <f t="shared" si="36"/>
        <v>550</v>
      </c>
      <c r="U90" s="10">
        <f t="shared" si="24"/>
        <v>1667</v>
      </c>
      <c r="V90" s="10">
        <f t="shared" ref="V90:V153" si="46">V89+$X90*1000-R90</f>
        <v>1767</v>
      </c>
      <c r="W90" s="10">
        <f t="shared" si="25"/>
        <v>1816</v>
      </c>
      <c r="X90" s="8"/>
      <c r="Y90" s="8"/>
      <c r="Z90" s="8"/>
      <c r="AA90" s="8"/>
      <c r="AB90" s="30" t="s">
        <v>9</v>
      </c>
    </row>
    <row r="91" spans="1:30" ht="15" customHeight="1">
      <c r="A91" s="16">
        <v>77</v>
      </c>
      <c r="B91" s="15">
        <f t="shared" si="37"/>
        <v>45358</v>
      </c>
      <c r="C91" s="14">
        <f t="shared" si="38"/>
        <v>844</v>
      </c>
      <c r="D91" s="13">
        <f t="shared" si="39"/>
        <v>1471</v>
      </c>
      <c r="E91" s="12">
        <f t="shared" si="30"/>
        <v>-490</v>
      </c>
      <c r="F91" s="12">
        <f t="shared" si="31"/>
        <v>-472</v>
      </c>
      <c r="G91" s="12">
        <f t="shared" si="32"/>
        <v>-571</v>
      </c>
      <c r="H91" s="8">
        <f t="shared" si="33"/>
        <v>2805</v>
      </c>
      <c r="I91" s="8">
        <f t="shared" si="34"/>
        <v>2787</v>
      </c>
      <c r="J91" s="8">
        <f t="shared" si="35"/>
        <v>2886</v>
      </c>
      <c r="K91" s="8">
        <f>K90+1000</f>
        <v>3000</v>
      </c>
      <c r="L91" s="8">
        <f>L90+1000</f>
        <v>3000</v>
      </c>
      <c r="M91" s="8">
        <f>M90+1000</f>
        <v>3000</v>
      </c>
      <c r="N91" s="8">
        <f t="shared" si="43"/>
        <v>-195</v>
      </c>
      <c r="O91" s="8">
        <f t="shared" si="44"/>
        <v>-213</v>
      </c>
      <c r="P91" s="8">
        <f t="shared" si="45"/>
        <v>-114</v>
      </c>
      <c r="Q91" s="12">
        <v>2</v>
      </c>
      <c r="R91" s="12">
        <v>0</v>
      </c>
      <c r="S91" s="12">
        <v>0</v>
      </c>
      <c r="T91" s="11">
        <f t="shared" si="36"/>
        <v>548</v>
      </c>
      <c r="U91" s="10">
        <f t="shared" ref="U91:U154" si="47">U90+$X91*1000-Q91</f>
        <v>1665</v>
      </c>
      <c r="V91" s="10">
        <f t="shared" si="46"/>
        <v>1767</v>
      </c>
      <c r="W91" s="10">
        <f t="shared" ref="W91:W154" si="48">W90+$X91*1000-S91</f>
        <v>1816</v>
      </c>
      <c r="X91" s="8"/>
      <c r="Y91" s="8"/>
      <c r="Z91" s="8"/>
      <c r="AA91" s="8"/>
      <c r="AB91" s="30" t="s">
        <v>8</v>
      </c>
    </row>
    <row r="92" spans="1:30" ht="15" customHeight="1">
      <c r="A92" s="16">
        <v>78</v>
      </c>
      <c r="B92" s="15">
        <f t="shared" si="37"/>
        <v>45359</v>
      </c>
      <c r="C92" s="14">
        <f t="shared" si="38"/>
        <v>844</v>
      </c>
      <c r="D92" s="13">
        <f t="shared" si="39"/>
        <v>1469</v>
      </c>
      <c r="E92" s="12">
        <f t="shared" si="30"/>
        <v>-488</v>
      </c>
      <c r="F92" s="12">
        <f t="shared" si="31"/>
        <v>-474</v>
      </c>
      <c r="G92" s="12">
        <f t="shared" si="32"/>
        <v>-573</v>
      </c>
      <c r="H92" s="8">
        <f t="shared" si="33"/>
        <v>2801</v>
      </c>
      <c r="I92" s="8">
        <f t="shared" si="34"/>
        <v>2787</v>
      </c>
      <c r="J92" s="8">
        <f t="shared" si="35"/>
        <v>2886</v>
      </c>
      <c r="K92" s="8">
        <f t="shared" ref="K92:K123" si="49">K91</f>
        <v>3000</v>
      </c>
      <c r="L92" s="8">
        <f t="shared" ref="L92:L123" si="50">L91</f>
        <v>3000</v>
      </c>
      <c r="M92" s="8">
        <f t="shared" ref="M92:M123" si="51">M91</f>
        <v>3000</v>
      </c>
      <c r="N92" s="8">
        <f t="shared" si="43"/>
        <v>-199</v>
      </c>
      <c r="O92" s="8">
        <f t="shared" si="44"/>
        <v>-213</v>
      </c>
      <c r="P92" s="8">
        <f t="shared" si="45"/>
        <v>-114</v>
      </c>
      <c r="Q92" s="12">
        <v>4</v>
      </c>
      <c r="R92" s="12">
        <v>0</v>
      </c>
      <c r="S92" s="12">
        <v>0</v>
      </c>
      <c r="T92" s="11">
        <f t="shared" si="36"/>
        <v>546</v>
      </c>
      <c r="U92" s="10">
        <f t="shared" si="47"/>
        <v>1661</v>
      </c>
      <c r="V92" s="10">
        <f t="shared" si="46"/>
        <v>1767</v>
      </c>
      <c r="W92" s="10">
        <f t="shared" si="48"/>
        <v>1816</v>
      </c>
      <c r="X92" s="8"/>
      <c r="Y92" s="8"/>
      <c r="Z92" s="8"/>
      <c r="AA92" s="8"/>
      <c r="AB92" s="30">
        <v>2</v>
      </c>
    </row>
    <row r="93" spans="1:30" ht="15" customHeight="1">
      <c r="A93" s="16">
        <v>79</v>
      </c>
      <c r="B93" s="15">
        <f t="shared" si="37"/>
        <v>45360</v>
      </c>
      <c r="C93" s="14">
        <f t="shared" si="38"/>
        <v>844</v>
      </c>
      <c r="D93" s="13">
        <f t="shared" si="39"/>
        <v>1467</v>
      </c>
      <c r="E93" s="12">
        <f t="shared" si="30"/>
        <v>-487</v>
      </c>
      <c r="F93" s="12">
        <f t="shared" si="31"/>
        <v>-473</v>
      </c>
      <c r="G93" s="12">
        <f t="shared" si="32"/>
        <v>-575</v>
      </c>
      <c r="H93" s="8">
        <f t="shared" si="33"/>
        <v>2798</v>
      </c>
      <c r="I93" s="8">
        <f t="shared" si="34"/>
        <v>2784</v>
      </c>
      <c r="J93" s="8">
        <f t="shared" si="35"/>
        <v>2886</v>
      </c>
      <c r="K93" s="8">
        <f t="shared" si="49"/>
        <v>3000</v>
      </c>
      <c r="L93" s="8">
        <f t="shared" si="50"/>
        <v>3000</v>
      </c>
      <c r="M93" s="8">
        <f t="shared" si="51"/>
        <v>3000</v>
      </c>
      <c r="N93" s="8">
        <f t="shared" si="43"/>
        <v>-202</v>
      </c>
      <c r="O93" s="8">
        <f t="shared" si="44"/>
        <v>-216</v>
      </c>
      <c r="P93" s="8">
        <f t="shared" si="45"/>
        <v>-114</v>
      </c>
      <c r="Q93" s="12">
        <v>3</v>
      </c>
      <c r="R93" s="12">
        <v>3</v>
      </c>
      <c r="S93" s="12">
        <v>0</v>
      </c>
      <c r="T93" s="11">
        <f t="shared" si="36"/>
        <v>547</v>
      </c>
      <c r="U93" s="10">
        <f t="shared" si="47"/>
        <v>1658</v>
      </c>
      <c r="V93" s="10">
        <f t="shared" si="46"/>
        <v>1764</v>
      </c>
      <c r="W93" s="10">
        <f t="shared" si="48"/>
        <v>1816</v>
      </c>
      <c r="X93" s="8"/>
      <c r="Y93" s="8"/>
      <c r="Z93" s="8"/>
      <c r="AA93" s="8"/>
      <c r="AB93" s="30"/>
    </row>
    <row r="94" spans="1:30" ht="15" customHeight="1">
      <c r="A94" s="16">
        <v>80</v>
      </c>
      <c r="B94" s="15">
        <f t="shared" si="37"/>
        <v>45361</v>
      </c>
      <c r="C94" s="14">
        <f t="shared" si="38"/>
        <v>844</v>
      </c>
      <c r="D94" s="13">
        <f t="shared" si="39"/>
        <v>1465</v>
      </c>
      <c r="E94" s="12">
        <f t="shared" si="30"/>
        <v>-486</v>
      </c>
      <c r="F94" s="12">
        <f t="shared" si="31"/>
        <v>-475</v>
      </c>
      <c r="G94" s="12">
        <f t="shared" si="32"/>
        <v>-577</v>
      </c>
      <c r="H94" s="8">
        <f t="shared" si="33"/>
        <v>2795</v>
      </c>
      <c r="I94" s="8">
        <f t="shared" si="34"/>
        <v>2784</v>
      </c>
      <c r="J94" s="8">
        <f t="shared" si="35"/>
        <v>2886</v>
      </c>
      <c r="K94" s="8">
        <f t="shared" si="49"/>
        <v>3000</v>
      </c>
      <c r="L94" s="8">
        <f t="shared" si="50"/>
        <v>3000</v>
      </c>
      <c r="M94" s="8">
        <f t="shared" si="51"/>
        <v>3000</v>
      </c>
      <c r="N94" s="8">
        <f t="shared" si="43"/>
        <v>-205</v>
      </c>
      <c r="O94" s="8">
        <f t="shared" si="44"/>
        <v>-216</v>
      </c>
      <c r="P94" s="8">
        <f t="shared" si="45"/>
        <v>-114</v>
      </c>
      <c r="Q94" s="12">
        <v>3</v>
      </c>
      <c r="R94" s="12">
        <v>0</v>
      </c>
      <c r="S94" s="12">
        <v>0</v>
      </c>
      <c r="T94" s="11">
        <f t="shared" si="36"/>
        <v>545</v>
      </c>
      <c r="U94" s="10">
        <f t="shared" si="47"/>
        <v>1655</v>
      </c>
      <c r="V94" s="10">
        <f t="shared" si="46"/>
        <v>1764</v>
      </c>
      <c r="W94" s="10">
        <f t="shared" si="48"/>
        <v>1816</v>
      </c>
      <c r="X94" s="8"/>
      <c r="Y94" s="8"/>
      <c r="Z94" s="8"/>
      <c r="AA94" s="8"/>
      <c r="AB94" s="30"/>
    </row>
    <row r="95" spans="1:30" ht="15" customHeight="1">
      <c r="A95" s="16">
        <v>81</v>
      </c>
      <c r="B95" s="15">
        <f t="shared" si="37"/>
        <v>45362</v>
      </c>
      <c r="C95" s="14">
        <f t="shared" si="38"/>
        <v>844</v>
      </c>
      <c r="D95" s="13">
        <f t="shared" si="39"/>
        <v>1463</v>
      </c>
      <c r="E95" s="12">
        <f t="shared" si="30"/>
        <v>-479</v>
      </c>
      <c r="F95" s="12">
        <f t="shared" si="31"/>
        <v>-477</v>
      </c>
      <c r="G95" s="12">
        <f t="shared" si="32"/>
        <v>-579</v>
      </c>
      <c r="H95" s="8">
        <f t="shared" si="33"/>
        <v>2786</v>
      </c>
      <c r="I95" s="8">
        <f t="shared" si="34"/>
        <v>2784</v>
      </c>
      <c r="J95" s="8">
        <f t="shared" si="35"/>
        <v>2886</v>
      </c>
      <c r="K95" s="8">
        <f t="shared" si="49"/>
        <v>3000</v>
      </c>
      <c r="L95" s="8">
        <f t="shared" si="50"/>
        <v>3000</v>
      </c>
      <c r="M95" s="8">
        <f t="shared" si="51"/>
        <v>3000</v>
      </c>
      <c r="N95" s="8">
        <f t="shared" si="43"/>
        <v>-214</v>
      </c>
      <c r="O95" s="8">
        <f t="shared" si="44"/>
        <v>-216</v>
      </c>
      <c r="P95" s="8">
        <f t="shared" si="45"/>
        <v>-114</v>
      </c>
      <c r="Q95" s="12">
        <v>9</v>
      </c>
      <c r="R95" s="12">
        <v>0</v>
      </c>
      <c r="S95" s="12">
        <v>0</v>
      </c>
      <c r="T95" s="11">
        <f t="shared" si="36"/>
        <v>543</v>
      </c>
      <c r="U95" s="10">
        <f t="shared" si="47"/>
        <v>1646</v>
      </c>
      <c r="V95" s="10">
        <f t="shared" si="46"/>
        <v>1764</v>
      </c>
      <c r="W95" s="10">
        <f t="shared" si="48"/>
        <v>1816</v>
      </c>
      <c r="X95" s="8"/>
      <c r="Y95" s="8"/>
      <c r="Z95" s="8"/>
      <c r="AA95" s="8"/>
      <c r="AB95" s="30"/>
    </row>
    <row r="96" spans="1:30" ht="15" customHeight="1">
      <c r="A96" s="16">
        <v>82</v>
      </c>
      <c r="B96" s="15">
        <f t="shared" si="37"/>
        <v>45363</v>
      </c>
      <c r="C96" s="14">
        <f t="shared" si="38"/>
        <v>844</v>
      </c>
      <c r="D96" s="13">
        <f t="shared" si="39"/>
        <v>1461</v>
      </c>
      <c r="E96" s="12">
        <f t="shared" si="30"/>
        <v>-479</v>
      </c>
      <c r="F96" s="12">
        <f t="shared" si="31"/>
        <v>-479</v>
      </c>
      <c r="G96" s="12">
        <f t="shared" si="32"/>
        <v>-581</v>
      </c>
      <c r="H96" s="8">
        <f t="shared" si="33"/>
        <v>2784</v>
      </c>
      <c r="I96" s="8">
        <f t="shared" si="34"/>
        <v>2784</v>
      </c>
      <c r="J96" s="8">
        <f t="shared" si="35"/>
        <v>2886</v>
      </c>
      <c r="K96" s="8">
        <f t="shared" si="49"/>
        <v>3000</v>
      </c>
      <c r="L96" s="8">
        <f t="shared" si="50"/>
        <v>3000</v>
      </c>
      <c r="M96" s="8">
        <f t="shared" si="51"/>
        <v>3000</v>
      </c>
      <c r="N96" s="8">
        <f t="shared" si="43"/>
        <v>-216</v>
      </c>
      <c r="O96" s="8">
        <f t="shared" si="44"/>
        <v>-216</v>
      </c>
      <c r="P96" s="8">
        <f t="shared" si="45"/>
        <v>-114</v>
      </c>
      <c r="Q96" s="12">
        <v>2</v>
      </c>
      <c r="R96" s="12">
        <v>0</v>
      </c>
      <c r="S96" s="12">
        <v>0</v>
      </c>
      <c r="T96" s="11">
        <f t="shared" si="36"/>
        <v>541</v>
      </c>
      <c r="U96" s="10">
        <f t="shared" si="47"/>
        <v>1644</v>
      </c>
      <c r="V96" s="10">
        <f t="shared" si="46"/>
        <v>1764</v>
      </c>
      <c r="W96" s="10">
        <f t="shared" si="48"/>
        <v>1816</v>
      </c>
      <c r="X96" s="8"/>
      <c r="Y96" s="8"/>
      <c r="Z96" s="8"/>
      <c r="AA96" s="8"/>
      <c r="AB96" s="30"/>
    </row>
    <row r="97" spans="1:28" ht="15" customHeight="1">
      <c r="A97" s="16">
        <v>83</v>
      </c>
      <c r="B97" s="15">
        <f t="shared" si="37"/>
        <v>45364</v>
      </c>
      <c r="C97" s="14">
        <f t="shared" si="38"/>
        <v>844</v>
      </c>
      <c r="D97" s="13">
        <f t="shared" si="39"/>
        <v>1459</v>
      </c>
      <c r="E97" s="12">
        <f t="shared" si="30"/>
        <v>-479</v>
      </c>
      <c r="F97" s="12">
        <f t="shared" si="31"/>
        <v>-473</v>
      </c>
      <c r="G97" s="12">
        <f t="shared" si="32"/>
        <v>-578</v>
      </c>
      <c r="H97" s="8">
        <f t="shared" si="33"/>
        <v>2782</v>
      </c>
      <c r="I97" s="8">
        <f t="shared" si="34"/>
        <v>2776</v>
      </c>
      <c r="J97" s="8">
        <f t="shared" si="35"/>
        <v>2881</v>
      </c>
      <c r="K97" s="8">
        <f t="shared" si="49"/>
        <v>3000</v>
      </c>
      <c r="L97" s="8">
        <f t="shared" si="50"/>
        <v>3000</v>
      </c>
      <c r="M97" s="8">
        <f t="shared" si="51"/>
        <v>3000</v>
      </c>
      <c r="N97" s="8">
        <f t="shared" si="43"/>
        <v>-218</v>
      </c>
      <c r="O97" s="8">
        <f t="shared" si="44"/>
        <v>-224</v>
      </c>
      <c r="P97" s="8">
        <f t="shared" si="45"/>
        <v>-119</v>
      </c>
      <c r="Q97" s="12">
        <v>2</v>
      </c>
      <c r="R97" s="12">
        <v>8</v>
      </c>
      <c r="S97" s="12">
        <v>5</v>
      </c>
      <c r="T97" s="11">
        <f t="shared" si="36"/>
        <v>247</v>
      </c>
      <c r="U97" s="10">
        <f t="shared" si="47"/>
        <v>1942</v>
      </c>
      <c r="V97" s="10">
        <f t="shared" si="46"/>
        <v>2056</v>
      </c>
      <c r="W97" s="10">
        <f t="shared" si="48"/>
        <v>2111</v>
      </c>
      <c r="X97" s="31">
        <v>0.3</v>
      </c>
      <c r="Y97" s="31"/>
      <c r="Z97" s="8"/>
      <c r="AA97" s="8"/>
      <c r="AB97" s="30">
        <v>1</v>
      </c>
    </row>
    <row r="98" spans="1:28" ht="15" customHeight="1">
      <c r="A98" s="16">
        <v>84</v>
      </c>
      <c r="B98" s="15">
        <f t="shared" si="37"/>
        <v>45365</v>
      </c>
      <c r="C98" s="14">
        <f t="shared" si="38"/>
        <v>844</v>
      </c>
      <c r="D98" s="13">
        <f t="shared" si="39"/>
        <v>1457</v>
      </c>
      <c r="E98" s="12">
        <f t="shared" si="30"/>
        <v>-479</v>
      </c>
      <c r="F98" s="12">
        <f t="shared" si="31"/>
        <v>-473</v>
      </c>
      <c r="G98" s="12">
        <f t="shared" si="32"/>
        <v>-579</v>
      </c>
      <c r="H98" s="8">
        <f t="shared" si="33"/>
        <v>2780</v>
      </c>
      <c r="I98" s="8">
        <f t="shared" si="34"/>
        <v>2774</v>
      </c>
      <c r="J98" s="8">
        <f t="shared" si="35"/>
        <v>2880</v>
      </c>
      <c r="K98" s="8">
        <f t="shared" si="49"/>
        <v>3000</v>
      </c>
      <c r="L98" s="8">
        <f t="shared" si="50"/>
        <v>3000</v>
      </c>
      <c r="M98" s="8">
        <f t="shared" si="51"/>
        <v>3000</v>
      </c>
      <c r="N98" s="8">
        <f t="shared" si="43"/>
        <v>-220</v>
      </c>
      <c r="O98" s="8">
        <f t="shared" si="44"/>
        <v>-226</v>
      </c>
      <c r="P98" s="8">
        <f t="shared" si="45"/>
        <v>-120</v>
      </c>
      <c r="Q98" s="12">
        <v>2</v>
      </c>
      <c r="R98" s="12">
        <v>2</v>
      </c>
      <c r="S98" s="12">
        <v>1</v>
      </c>
      <c r="T98" s="11">
        <f t="shared" si="36"/>
        <v>247</v>
      </c>
      <c r="U98" s="10">
        <f t="shared" si="47"/>
        <v>1940</v>
      </c>
      <c r="V98" s="10">
        <f t="shared" si="46"/>
        <v>2054</v>
      </c>
      <c r="W98" s="10">
        <f t="shared" si="48"/>
        <v>2110</v>
      </c>
      <c r="X98" s="8"/>
      <c r="Y98" s="8"/>
      <c r="Z98" s="8"/>
      <c r="AA98" s="8"/>
      <c r="AB98" s="30"/>
    </row>
    <row r="99" spans="1:28" ht="15" customHeight="1">
      <c r="A99" s="16">
        <v>85</v>
      </c>
      <c r="B99" s="15">
        <f t="shared" si="37"/>
        <v>45366</v>
      </c>
      <c r="C99" s="14">
        <f t="shared" si="38"/>
        <v>844</v>
      </c>
      <c r="D99" s="13">
        <f t="shared" si="39"/>
        <v>1455</v>
      </c>
      <c r="E99" s="12">
        <f t="shared" si="30"/>
        <v>-478</v>
      </c>
      <c r="F99" s="12">
        <f t="shared" si="31"/>
        <v>-473</v>
      </c>
      <c r="G99" s="12">
        <f t="shared" si="32"/>
        <v>-580</v>
      </c>
      <c r="H99" s="8">
        <f t="shared" si="33"/>
        <v>2777</v>
      </c>
      <c r="I99" s="8">
        <f t="shared" si="34"/>
        <v>2772</v>
      </c>
      <c r="J99" s="8">
        <f t="shared" si="35"/>
        <v>2879</v>
      </c>
      <c r="K99" s="8">
        <f t="shared" si="49"/>
        <v>3000</v>
      </c>
      <c r="L99" s="8">
        <f t="shared" si="50"/>
        <v>3000</v>
      </c>
      <c r="M99" s="8">
        <f t="shared" si="51"/>
        <v>3000</v>
      </c>
      <c r="N99" s="8">
        <f t="shared" si="43"/>
        <v>-223</v>
      </c>
      <c r="O99" s="8">
        <f t="shared" si="44"/>
        <v>-228</v>
      </c>
      <c r="P99" s="8">
        <f t="shared" si="45"/>
        <v>-121</v>
      </c>
      <c r="Q99" s="12">
        <v>3</v>
      </c>
      <c r="R99" s="12">
        <v>2</v>
      </c>
      <c r="S99" s="12">
        <v>1</v>
      </c>
      <c r="T99" s="11">
        <f t="shared" si="36"/>
        <v>247</v>
      </c>
      <c r="U99" s="10">
        <f t="shared" si="47"/>
        <v>1937</v>
      </c>
      <c r="V99" s="10">
        <f t="shared" si="46"/>
        <v>2052</v>
      </c>
      <c r="W99" s="10">
        <f t="shared" si="48"/>
        <v>2109</v>
      </c>
      <c r="X99" s="8"/>
      <c r="Y99" s="8"/>
      <c r="Z99" s="8"/>
      <c r="AA99" s="8"/>
      <c r="AB99" s="30"/>
    </row>
    <row r="100" spans="1:28" ht="15" customHeight="1">
      <c r="A100" s="16">
        <v>86</v>
      </c>
      <c r="B100" s="15">
        <f t="shared" si="37"/>
        <v>45367</v>
      </c>
      <c r="C100" s="14">
        <f t="shared" si="38"/>
        <v>844</v>
      </c>
      <c r="D100" s="13">
        <f t="shared" si="39"/>
        <v>1453</v>
      </c>
      <c r="E100" s="12">
        <f t="shared" si="30"/>
        <v>-476</v>
      </c>
      <c r="F100" s="12">
        <f t="shared" si="31"/>
        <v>-473</v>
      </c>
      <c r="G100" s="12">
        <f t="shared" si="32"/>
        <v>-580</v>
      </c>
      <c r="H100" s="8">
        <f t="shared" si="33"/>
        <v>2773</v>
      </c>
      <c r="I100" s="8">
        <f t="shared" si="34"/>
        <v>2770</v>
      </c>
      <c r="J100" s="8">
        <f t="shared" si="35"/>
        <v>2877</v>
      </c>
      <c r="K100" s="8">
        <f t="shared" si="49"/>
        <v>3000</v>
      </c>
      <c r="L100" s="8">
        <f t="shared" si="50"/>
        <v>3000</v>
      </c>
      <c r="M100" s="8">
        <f t="shared" si="51"/>
        <v>3000</v>
      </c>
      <c r="N100" s="8">
        <f t="shared" si="43"/>
        <v>-227</v>
      </c>
      <c r="O100" s="8">
        <f t="shared" si="44"/>
        <v>-230</v>
      </c>
      <c r="P100" s="8">
        <f t="shared" si="45"/>
        <v>-123</v>
      </c>
      <c r="Q100" s="12">
        <v>4</v>
      </c>
      <c r="R100" s="12">
        <v>2</v>
      </c>
      <c r="S100" s="12">
        <v>2</v>
      </c>
      <c r="T100" s="11">
        <f t="shared" si="36"/>
        <v>247</v>
      </c>
      <c r="U100" s="10">
        <f t="shared" si="47"/>
        <v>1933</v>
      </c>
      <c r="V100" s="10">
        <f t="shared" si="46"/>
        <v>2050</v>
      </c>
      <c r="W100" s="10">
        <f t="shared" si="48"/>
        <v>2107</v>
      </c>
      <c r="X100" s="8"/>
      <c r="Y100" s="8"/>
      <c r="Z100" s="8"/>
      <c r="AA100" s="8"/>
      <c r="AB100" s="30"/>
    </row>
    <row r="101" spans="1:28" ht="15" customHeight="1">
      <c r="A101" s="16">
        <v>87</v>
      </c>
      <c r="B101" s="15">
        <f t="shared" si="37"/>
        <v>45368</v>
      </c>
      <c r="C101" s="14">
        <f t="shared" si="38"/>
        <v>844</v>
      </c>
      <c r="D101" s="13">
        <f t="shared" si="39"/>
        <v>1451</v>
      </c>
      <c r="E101" s="12">
        <f t="shared" si="30"/>
        <v>-475</v>
      </c>
      <c r="F101" s="12">
        <f t="shared" si="31"/>
        <v>-467</v>
      </c>
      <c r="G101" s="12">
        <f t="shared" si="32"/>
        <v>-577</v>
      </c>
      <c r="H101" s="8">
        <f t="shared" si="33"/>
        <v>2770</v>
      </c>
      <c r="I101" s="8">
        <f t="shared" si="34"/>
        <v>2762</v>
      </c>
      <c r="J101" s="8">
        <f t="shared" si="35"/>
        <v>2872</v>
      </c>
      <c r="K101" s="8">
        <f t="shared" si="49"/>
        <v>3000</v>
      </c>
      <c r="L101" s="8">
        <f t="shared" si="50"/>
        <v>3000</v>
      </c>
      <c r="M101" s="8">
        <f t="shared" si="51"/>
        <v>3000</v>
      </c>
      <c r="N101" s="8">
        <f t="shared" si="43"/>
        <v>-230</v>
      </c>
      <c r="O101" s="8">
        <f t="shared" si="44"/>
        <v>-238</v>
      </c>
      <c r="P101" s="8">
        <f t="shared" si="45"/>
        <v>-128</v>
      </c>
      <c r="Q101" s="12">
        <v>3</v>
      </c>
      <c r="R101" s="12">
        <v>8</v>
      </c>
      <c r="S101" s="12">
        <v>5</v>
      </c>
      <c r="T101" s="11">
        <f t="shared" si="36"/>
        <v>253</v>
      </c>
      <c r="U101" s="10">
        <f t="shared" si="47"/>
        <v>1930</v>
      </c>
      <c r="V101" s="10">
        <f t="shared" si="46"/>
        <v>2042</v>
      </c>
      <c r="W101" s="10">
        <f t="shared" si="48"/>
        <v>2102</v>
      </c>
      <c r="X101" s="8"/>
      <c r="Y101" s="8"/>
      <c r="Z101" s="8"/>
      <c r="AA101" s="8"/>
      <c r="AB101" s="30"/>
    </row>
    <row r="102" spans="1:28" ht="15" customHeight="1">
      <c r="A102" s="16">
        <v>88</v>
      </c>
      <c r="B102" s="15">
        <f t="shared" si="37"/>
        <v>45369</v>
      </c>
      <c r="C102" s="14">
        <f t="shared" si="38"/>
        <v>844</v>
      </c>
      <c r="D102" s="13">
        <f t="shared" si="39"/>
        <v>1449</v>
      </c>
      <c r="E102" s="12">
        <f t="shared" si="30"/>
        <v>-468</v>
      </c>
      <c r="F102" s="12">
        <f t="shared" si="31"/>
        <v>-467</v>
      </c>
      <c r="G102" s="12">
        <f t="shared" si="32"/>
        <v>-578</v>
      </c>
      <c r="H102" s="8">
        <f t="shared" si="33"/>
        <v>2761</v>
      </c>
      <c r="I102" s="8">
        <f t="shared" si="34"/>
        <v>2760</v>
      </c>
      <c r="J102" s="8">
        <f t="shared" si="35"/>
        <v>2871</v>
      </c>
      <c r="K102" s="8">
        <f t="shared" si="49"/>
        <v>3000</v>
      </c>
      <c r="L102" s="8">
        <f t="shared" si="50"/>
        <v>3000</v>
      </c>
      <c r="M102" s="8">
        <f t="shared" si="51"/>
        <v>3000</v>
      </c>
      <c r="N102" s="8">
        <f t="shared" si="43"/>
        <v>-239</v>
      </c>
      <c r="O102" s="8">
        <f t="shared" si="44"/>
        <v>-240</v>
      </c>
      <c r="P102" s="8">
        <f t="shared" si="45"/>
        <v>-129</v>
      </c>
      <c r="Q102" s="12">
        <v>9</v>
      </c>
      <c r="R102" s="12">
        <v>2</v>
      </c>
      <c r="S102" s="12">
        <v>1</v>
      </c>
      <c r="T102" s="11">
        <f t="shared" si="36"/>
        <v>253</v>
      </c>
      <c r="U102" s="10">
        <f t="shared" si="47"/>
        <v>1921</v>
      </c>
      <c r="V102" s="10">
        <f t="shared" si="46"/>
        <v>2040</v>
      </c>
      <c r="W102" s="10">
        <f t="shared" si="48"/>
        <v>2101</v>
      </c>
      <c r="X102" s="8"/>
      <c r="Y102" s="8"/>
      <c r="Z102" s="8"/>
      <c r="AA102" s="8"/>
      <c r="AB102" s="30"/>
    </row>
    <row r="103" spans="1:28" ht="15" customHeight="1">
      <c r="A103" s="16">
        <v>89</v>
      </c>
      <c r="B103" s="15">
        <f t="shared" si="37"/>
        <v>45370</v>
      </c>
      <c r="C103" s="14">
        <f t="shared" si="38"/>
        <v>844</v>
      </c>
      <c r="D103" s="13">
        <f t="shared" si="39"/>
        <v>1447</v>
      </c>
      <c r="E103" s="12">
        <f t="shared" si="30"/>
        <v>-468</v>
      </c>
      <c r="F103" s="12">
        <f t="shared" si="31"/>
        <v>-467</v>
      </c>
      <c r="G103" s="12">
        <f t="shared" si="32"/>
        <v>-578</v>
      </c>
      <c r="H103" s="8">
        <f t="shared" si="33"/>
        <v>2759</v>
      </c>
      <c r="I103" s="8">
        <f t="shared" si="34"/>
        <v>2758</v>
      </c>
      <c r="J103" s="8">
        <f t="shared" si="35"/>
        <v>2869</v>
      </c>
      <c r="K103" s="8">
        <f t="shared" si="49"/>
        <v>3000</v>
      </c>
      <c r="L103" s="8">
        <f t="shared" si="50"/>
        <v>3000</v>
      </c>
      <c r="M103" s="8">
        <f t="shared" si="51"/>
        <v>3000</v>
      </c>
      <c r="N103" s="8">
        <f t="shared" si="43"/>
        <v>-241</v>
      </c>
      <c r="O103" s="8">
        <f t="shared" si="44"/>
        <v>-242</v>
      </c>
      <c r="P103" s="8">
        <f t="shared" si="45"/>
        <v>-131</v>
      </c>
      <c r="Q103" s="12">
        <v>2</v>
      </c>
      <c r="R103" s="12">
        <v>2</v>
      </c>
      <c r="S103" s="12">
        <v>2</v>
      </c>
      <c r="T103" s="11">
        <f t="shared" si="36"/>
        <v>253</v>
      </c>
      <c r="U103" s="10">
        <f t="shared" si="47"/>
        <v>1919</v>
      </c>
      <c r="V103" s="10">
        <f t="shared" si="46"/>
        <v>2038</v>
      </c>
      <c r="W103" s="10">
        <f t="shared" si="48"/>
        <v>2099</v>
      </c>
      <c r="X103" s="8"/>
      <c r="Y103" s="8"/>
      <c r="Z103" s="8"/>
      <c r="AA103" s="8"/>
      <c r="AB103" s="30"/>
    </row>
    <row r="104" spans="1:28" ht="15" customHeight="1">
      <c r="A104" s="16">
        <v>90</v>
      </c>
      <c r="B104" s="15">
        <f t="shared" si="37"/>
        <v>45371</v>
      </c>
      <c r="C104" s="14">
        <f t="shared" si="38"/>
        <v>844</v>
      </c>
      <c r="D104" s="13">
        <f t="shared" si="39"/>
        <v>1445</v>
      </c>
      <c r="E104" s="12">
        <f t="shared" si="30"/>
        <v>-466</v>
      </c>
      <c r="F104" s="12">
        <f t="shared" si="31"/>
        <v>-467</v>
      </c>
      <c r="G104" s="12">
        <f t="shared" si="32"/>
        <v>-579</v>
      </c>
      <c r="H104" s="8">
        <f t="shared" si="33"/>
        <v>2755</v>
      </c>
      <c r="I104" s="8">
        <f t="shared" si="34"/>
        <v>2756</v>
      </c>
      <c r="J104" s="8">
        <f t="shared" si="35"/>
        <v>2868</v>
      </c>
      <c r="K104" s="8">
        <f t="shared" si="49"/>
        <v>3000</v>
      </c>
      <c r="L104" s="8">
        <f t="shared" si="50"/>
        <v>3000</v>
      </c>
      <c r="M104" s="8">
        <f t="shared" si="51"/>
        <v>3000</v>
      </c>
      <c r="N104" s="8">
        <f t="shared" si="43"/>
        <v>-245</v>
      </c>
      <c r="O104" s="8">
        <f t="shared" si="44"/>
        <v>-244</v>
      </c>
      <c r="P104" s="8">
        <f t="shared" si="45"/>
        <v>-132</v>
      </c>
      <c r="Q104" s="12">
        <v>4</v>
      </c>
      <c r="R104" s="12">
        <v>2</v>
      </c>
      <c r="S104" s="12">
        <v>1</v>
      </c>
      <c r="T104" s="11">
        <f t="shared" si="36"/>
        <v>253</v>
      </c>
      <c r="U104" s="10">
        <f t="shared" si="47"/>
        <v>1915</v>
      </c>
      <c r="V104" s="10">
        <f t="shared" si="46"/>
        <v>2036</v>
      </c>
      <c r="W104" s="10">
        <f t="shared" si="48"/>
        <v>2098</v>
      </c>
      <c r="X104" s="8"/>
      <c r="Y104" s="8"/>
      <c r="Z104" s="8"/>
      <c r="AA104" s="8"/>
      <c r="AB104" s="30"/>
    </row>
    <row r="105" spans="1:28" ht="15" customHeight="1">
      <c r="A105" s="16">
        <v>91</v>
      </c>
      <c r="B105" s="15">
        <f t="shared" si="37"/>
        <v>45372</v>
      </c>
      <c r="C105" s="14">
        <f t="shared" si="38"/>
        <v>844</v>
      </c>
      <c r="D105" s="13">
        <f t="shared" si="39"/>
        <v>1443</v>
      </c>
      <c r="E105" s="12">
        <f t="shared" si="30"/>
        <v>-462</v>
      </c>
      <c r="F105" s="12">
        <f t="shared" si="31"/>
        <v>-461</v>
      </c>
      <c r="G105" s="12">
        <f t="shared" si="32"/>
        <v>-575</v>
      </c>
      <c r="H105" s="8">
        <f t="shared" si="33"/>
        <v>2749</v>
      </c>
      <c r="I105" s="8">
        <f t="shared" si="34"/>
        <v>2748</v>
      </c>
      <c r="J105" s="8">
        <f t="shared" si="35"/>
        <v>2862</v>
      </c>
      <c r="K105" s="8">
        <f t="shared" si="49"/>
        <v>3000</v>
      </c>
      <c r="L105" s="8">
        <f t="shared" si="50"/>
        <v>3000</v>
      </c>
      <c r="M105" s="8">
        <f t="shared" si="51"/>
        <v>3000</v>
      </c>
      <c r="N105" s="8">
        <f t="shared" si="43"/>
        <v>-251</v>
      </c>
      <c r="O105" s="8">
        <f t="shared" si="44"/>
        <v>-252</v>
      </c>
      <c r="P105" s="8">
        <f t="shared" si="45"/>
        <v>-138</v>
      </c>
      <c r="Q105" s="12">
        <v>6</v>
      </c>
      <c r="R105" s="12">
        <v>8</v>
      </c>
      <c r="S105" s="12">
        <v>6</v>
      </c>
      <c r="T105" s="11">
        <f t="shared" si="36"/>
        <v>259</v>
      </c>
      <c r="U105" s="10">
        <f t="shared" si="47"/>
        <v>1909</v>
      </c>
      <c r="V105" s="10">
        <f t="shared" si="46"/>
        <v>2028</v>
      </c>
      <c r="W105" s="10">
        <f t="shared" si="48"/>
        <v>2092</v>
      </c>
      <c r="X105" s="8"/>
      <c r="Y105" s="8"/>
      <c r="Z105" s="8"/>
      <c r="AA105" s="8"/>
      <c r="AB105" s="30"/>
    </row>
    <row r="106" spans="1:28" ht="15" customHeight="1">
      <c r="A106" s="16">
        <v>92</v>
      </c>
      <c r="B106" s="15">
        <f t="shared" si="37"/>
        <v>45373</v>
      </c>
      <c r="C106" s="14">
        <f t="shared" si="38"/>
        <v>844</v>
      </c>
      <c r="D106" s="13">
        <f t="shared" si="39"/>
        <v>1441</v>
      </c>
      <c r="E106" s="12">
        <f t="shared" si="30"/>
        <v>-455</v>
      </c>
      <c r="F106" s="12">
        <f t="shared" si="31"/>
        <v>-462</v>
      </c>
      <c r="G106" s="12">
        <f t="shared" si="32"/>
        <v>-577</v>
      </c>
      <c r="H106" s="8">
        <f t="shared" si="33"/>
        <v>2740</v>
      </c>
      <c r="I106" s="8">
        <f t="shared" si="34"/>
        <v>2747</v>
      </c>
      <c r="J106" s="8">
        <f t="shared" si="35"/>
        <v>2862</v>
      </c>
      <c r="K106" s="8">
        <f t="shared" si="49"/>
        <v>3000</v>
      </c>
      <c r="L106" s="8">
        <f t="shared" si="50"/>
        <v>3000</v>
      </c>
      <c r="M106" s="8">
        <f t="shared" si="51"/>
        <v>3000</v>
      </c>
      <c r="N106" s="8">
        <f t="shared" si="43"/>
        <v>-260</v>
      </c>
      <c r="O106" s="8">
        <f t="shared" si="44"/>
        <v>-253</v>
      </c>
      <c r="P106" s="8">
        <f t="shared" si="45"/>
        <v>-138</v>
      </c>
      <c r="Q106" s="12">
        <v>9</v>
      </c>
      <c r="R106" s="12">
        <v>1</v>
      </c>
      <c r="S106" s="12">
        <v>0</v>
      </c>
      <c r="T106" s="11">
        <f t="shared" si="36"/>
        <v>258</v>
      </c>
      <c r="U106" s="10">
        <f t="shared" si="47"/>
        <v>1900</v>
      </c>
      <c r="V106" s="10">
        <f t="shared" si="46"/>
        <v>2027</v>
      </c>
      <c r="W106" s="10">
        <f t="shared" si="48"/>
        <v>2092</v>
      </c>
      <c r="X106" s="8"/>
      <c r="Y106" s="8"/>
      <c r="Z106" s="8"/>
      <c r="AA106" s="8"/>
      <c r="AB106" s="30"/>
    </row>
    <row r="107" spans="1:28" ht="15" customHeight="1">
      <c r="A107" s="16">
        <v>93</v>
      </c>
      <c r="B107" s="15">
        <f t="shared" si="37"/>
        <v>45374</v>
      </c>
      <c r="C107" s="14">
        <f t="shared" si="38"/>
        <v>844</v>
      </c>
      <c r="D107" s="13">
        <f t="shared" si="39"/>
        <v>1439</v>
      </c>
      <c r="E107" s="12">
        <f t="shared" si="30"/>
        <v>-454</v>
      </c>
      <c r="F107" s="12">
        <f t="shared" si="31"/>
        <v>-464</v>
      </c>
      <c r="G107" s="12">
        <f t="shared" si="32"/>
        <v>-578</v>
      </c>
      <c r="H107" s="8">
        <f t="shared" si="33"/>
        <v>2737</v>
      </c>
      <c r="I107" s="8">
        <f t="shared" si="34"/>
        <v>2747</v>
      </c>
      <c r="J107" s="8">
        <f t="shared" si="35"/>
        <v>2861</v>
      </c>
      <c r="K107" s="8">
        <f t="shared" si="49"/>
        <v>3000</v>
      </c>
      <c r="L107" s="8">
        <f t="shared" si="50"/>
        <v>3000</v>
      </c>
      <c r="M107" s="8">
        <f t="shared" si="51"/>
        <v>3000</v>
      </c>
      <c r="N107" s="8">
        <f t="shared" si="43"/>
        <v>-263</v>
      </c>
      <c r="O107" s="8">
        <f t="shared" si="44"/>
        <v>-253</v>
      </c>
      <c r="P107" s="8">
        <f t="shared" si="45"/>
        <v>-139</v>
      </c>
      <c r="Q107" s="12">
        <v>3</v>
      </c>
      <c r="R107" s="12">
        <v>0</v>
      </c>
      <c r="S107" s="12">
        <v>1</v>
      </c>
      <c r="T107" s="11">
        <f t="shared" si="36"/>
        <v>256</v>
      </c>
      <c r="U107" s="10">
        <f t="shared" si="47"/>
        <v>1897</v>
      </c>
      <c r="V107" s="10">
        <f t="shared" si="46"/>
        <v>2027</v>
      </c>
      <c r="W107" s="10">
        <f t="shared" si="48"/>
        <v>2091</v>
      </c>
      <c r="X107" s="8"/>
      <c r="Y107" s="8"/>
      <c r="Z107" s="8"/>
      <c r="AA107" s="8"/>
      <c r="AB107" s="30"/>
    </row>
    <row r="108" spans="1:28" ht="15" customHeight="1">
      <c r="A108" s="16">
        <v>94</v>
      </c>
      <c r="B108" s="15">
        <f t="shared" si="37"/>
        <v>45375</v>
      </c>
      <c r="C108" s="14">
        <f t="shared" si="38"/>
        <v>844</v>
      </c>
      <c r="D108" s="13">
        <f t="shared" si="39"/>
        <v>1437</v>
      </c>
      <c r="E108" s="12">
        <f t="shared" si="30"/>
        <v>-452</v>
      </c>
      <c r="F108" s="12">
        <f t="shared" si="31"/>
        <v>-465</v>
      </c>
      <c r="G108" s="12">
        <f t="shared" si="32"/>
        <v>-580</v>
      </c>
      <c r="H108" s="8">
        <f t="shared" si="33"/>
        <v>2733</v>
      </c>
      <c r="I108" s="8">
        <f t="shared" si="34"/>
        <v>2746</v>
      </c>
      <c r="J108" s="8">
        <f t="shared" si="35"/>
        <v>2861</v>
      </c>
      <c r="K108" s="8">
        <f t="shared" si="49"/>
        <v>3000</v>
      </c>
      <c r="L108" s="8">
        <f t="shared" si="50"/>
        <v>3000</v>
      </c>
      <c r="M108" s="8">
        <f t="shared" si="51"/>
        <v>3000</v>
      </c>
      <c r="N108" s="8">
        <f t="shared" si="43"/>
        <v>-267</v>
      </c>
      <c r="O108" s="8">
        <f t="shared" si="44"/>
        <v>-254</v>
      </c>
      <c r="P108" s="8">
        <f t="shared" si="45"/>
        <v>-139</v>
      </c>
      <c r="Q108" s="12">
        <v>4</v>
      </c>
      <c r="R108" s="12">
        <v>1</v>
      </c>
      <c r="S108" s="12">
        <v>0</v>
      </c>
      <c r="T108" s="11">
        <f t="shared" si="36"/>
        <v>255</v>
      </c>
      <c r="U108" s="10">
        <f t="shared" si="47"/>
        <v>1893</v>
      </c>
      <c r="V108" s="10">
        <f t="shared" si="46"/>
        <v>2026</v>
      </c>
      <c r="W108" s="10">
        <f t="shared" si="48"/>
        <v>2091</v>
      </c>
      <c r="X108" s="8"/>
      <c r="Y108" s="8"/>
      <c r="Z108" s="8"/>
      <c r="AA108" s="8"/>
      <c r="AB108" s="30"/>
    </row>
    <row r="109" spans="1:28" ht="15" customHeight="1">
      <c r="A109" s="16">
        <v>95</v>
      </c>
      <c r="B109" s="15">
        <f t="shared" si="37"/>
        <v>45376</v>
      </c>
      <c r="C109" s="14">
        <f t="shared" si="38"/>
        <v>844</v>
      </c>
      <c r="D109" s="13">
        <f t="shared" si="39"/>
        <v>1435</v>
      </c>
      <c r="E109" s="12">
        <f t="shared" si="30"/>
        <v>-451</v>
      </c>
      <c r="F109" s="12">
        <f t="shared" si="31"/>
        <v>-467</v>
      </c>
      <c r="G109" s="12">
        <f t="shared" si="32"/>
        <v>-582</v>
      </c>
      <c r="H109" s="8">
        <f t="shared" si="33"/>
        <v>2730</v>
      </c>
      <c r="I109" s="8">
        <f t="shared" si="34"/>
        <v>2746</v>
      </c>
      <c r="J109" s="8">
        <f t="shared" si="35"/>
        <v>2861</v>
      </c>
      <c r="K109" s="8">
        <f t="shared" si="49"/>
        <v>3000</v>
      </c>
      <c r="L109" s="8">
        <f t="shared" si="50"/>
        <v>3000</v>
      </c>
      <c r="M109" s="8">
        <f t="shared" si="51"/>
        <v>3000</v>
      </c>
      <c r="N109" s="8">
        <f t="shared" si="43"/>
        <v>-270</v>
      </c>
      <c r="O109" s="8">
        <f t="shared" si="44"/>
        <v>-254</v>
      </c>
      <c r="P109" s="8">
        <f t="shared" si="45"/>
        <v>-139</v>
      </c>
      <c r="Q109" s="12">
        <v>3</v>
      </c>
      <c r="R109" s="12">
        <v>0</v>
      </c>
      <c r="S109" s="12">
        <v>0</v>
      </c>
      <c r="T109" s="11">
        <f t="shared" si="36"/>
        <v>253</v>
      </c>
      <c r="U109" s="10">
        <f t="shared" si="47"/>
        <v>1890</v>
      </c>
      <c r="V109" s="10">
        <f t="shared" si="46"/>
        <v>2026</v>
      </c>
      <c r="W109" s="10">
        <f t="shared" si="48"/>
        <v>2091</v>
      </c>
      <c r="X109" s="8"/>
      <c r="Y109" s="8"/>
      <c r="Z109" s="8"/>
      <c r="AA109" s="8"/>
      <c r="AB109" s="30"/>
    </row>
    <row r="110" spans="1:28" ht="15" customHeight="1">
      <c r="A110" s="16">
        <v>96</v>
      </c>
      <c r="B110" s="15">
        <f t="shared" si="37"/>
        <v>45377</v>
      </c>
      <c r="C110" s="14">
        <f t="shared" si="38"/>
        <v>844</v>
      </c>
      <c r="D110" s="13">
        <f t="shared" si="39"/>
        <v>1433</v>
      </c>
      <c r="E110" s="12">
        <f t="shared" si="30"/>
        <v>-444</v>
      </c>
      <c r="F110" s="12">
        <f t="shared" si="31"/>
        <v>-469</v>
      </c>
      <c r="G110" s="12">
        <f t="shared" si="32"/>
        <v>-584</v>
      </c>
      <c r="H110" s="8">
        <f t="shared" si="33"/>
        <v>2721</v>
      </c>
      <c r="I110" s="8">
        <f t="shared" si="34"/>
        <v>2746</v>
      </c>
      <c r="J110" s="8">
        <f t="shared" si="35"/>
        <v>2861</v>
      </c>
      <c r="K110" s="8">
        <f t="shared" si="49"/>
        <v>3000</v>
      </c>
      <c r="L110" s="8">
        <f t="shared" si="50"/>
        <v>3000</v>
      </c>
      <c r="M110" s="8">
        <f t="shared" si="51"/>
        <v>3000</v>
      </c>
      <c r="N110" s="8">
        <f t="shared" si="43"/>
        <v>-279</v>
      </c>
      <c r="O110" s="8">
        <f t="shared" si="44"/>
        <v>-254</v>
      </c>
      <c r="P110" s="8">
        <f t="shared" si="45"/>
        <v>-139</v>
      </c>
      <c r="Q110" s="12">
        <v>9</v>
      </c>
      <c r="R110" s="12">
        <v>0</v>
      </c>
      <c r="S110" s="12">
        <v>0</v>
      </c>
      <c r="T110" s="11">
        <f t="shared" si="36"/>
        <v>251</v>
      </c>
      <c r="U110" s="10">
        <f t="shared" si="47"/>
        <v>1881</v>
      </c>
      <c r="V110" s="10">
        <f t="shared" si="46"/>
        <v>2026</v>
      </c>
      <c r="W110" s="10">
        <f t="shared" si="48"/>
        <v>2091</v>
      </c>
      <c r="X110" s="8"/>
      <c r="Y110" s="8"/>
      <c r="Z110" s="8"/>
      <c r="AA110" s="8"/>
      <c r="AB110" s="30"/>
    </row>
    <row r="111" spans="1:28" ht="15" customHeight="1">
      <c r="A111" s="16">
        <v>97</v>
      </c>
      <c r="B111" s="15">
        <f t="shared" si="37"/>
        <v>45378</v>
      </c>
      <c r="C111" s="14">
        <f t="shared" si="38"/>
        <v>844</v>
      </c>
      <c r="D111" s="13">
        <f t="shared" ref="D111:D126" si="52">D110-2</f>
        <v>1431</v>
      </c>
      <c r="E111" s="12">
        <f t="shared" si="30"/>
        <v>-444</v>
      </c>
      <c r="F111" s="12">
        <f t="shared" si="31"/>
        <v>-471</v>
      </c>
      <c r="G111" s="12">
        <f t="shared" si="32"/>
        <v>-586</v>
      </c>
      <c r="H111" s="8">
        <f t="shared" si="33"/>
        <v>2719</v>
      </c>
      <c r="I111" s="8">
        <f t="shared" si="34"/>
        <v>2746</v>
      </c>
      <c r="J111" s="8">
        <f t="shared" si="35"/>
        <v>2861</v>
      </c>
      <c r="K111" s="8">
        <f t="shared" si="49"/>
        <v>3000</v>
      </c>
      <c r="L111" s="8">
        <f t="shared" si="50"/>
        <v>3000</v>
      </c>
      <c r="M111" s="8">
        <f t="shared" si="51"/>
        <v>3000</v>
      </c>
      <c r="N111" s="8">
        <f t="shared" si="43"/>
        <v>-281</v>
      </c>
      <c r="O111" s="8">
        <f t="shared" si="44"/>
        <v>-254</v>
      </c>
      <c r="P111" s="8">
        <f t="shared" si="45"/>
        <v>-139</v>
      </c>
      <c r="Q111" s="12">
        <v>2</v>
      </c>
      <c r="R111" s="12">
        <v>0</v>
      </c>
      <c r="S111" s="12">
        <v>0</v>
      </c>
      <c r="T111" s="11">
        <f t="shared" si="36"/>
        <v>249</v>
      </c>
      <c r="U111" s="10">
        <f t="shared" si="47"/>
        <v>1879</v>
      </c>
      <c r="V111" s="10">
        <f t="shared" si="46"/>
        <v>2026</v>
      </c>
      <c r="W111" s="10">
        <f t="shared" si="48"/>
        <v>2091</v>
      </c>
      <c r="X111" s="8"/>
      <c r="Y111" s="8"/>
      <c r="Z111" s="8"/>
      <c r="AA111" s="8"/>
      <c r="AB111" s="30"/>
    </row>
    <row r="112" spans="1:28" ht="15" customHeight="1">
      <c r="A112" s="16">
        <v>98</v>
      </c>
      <c r="B112" s="15">
        <f t="shared" si="37"/>
        <v>45379</v>
      </c>
      <c r="C112" s="14">
        <f t="shared" si="38"/>
        <v>844</v>
      </c>
      <c r="D112" s="13">
        <f t="shared" si="52"/>
        <v>1429</v>
      </c>
      <c r="E112" s="12">
        <f t="shared" si="30"/>
        <v>-442</v>
      </c>
      <c r="F112" s="12">
        <f t="shared" si="31"/>
        <v>-473</v>
      </c>
      <c r="G112" s="12">
        <f t="shared" si="32"/>
        <v>-588</v>
      </c>
      <c r="H112" s="8">
        <f t="shared" si="33"/>
        <v>2715</v>
      </c>
      <c r="I112" s="8">
        <f t="shared" si="34"/>
        <v>2746</v>
      </c>
      <c r="J112" s="8">
        <f t="shared" si="35"/>
        <v>2861</v>
      </c>
      <c r="K112" s="8">
        <f t="shared" si="49"/>
        <v>3000</v>
      </c>
      <c r="L112" s="8">
        <f t="shared" si="50"/>
        <v>3000</v>
      </c>
      <c r="M112" s="8">
        <f t="shared" si="51"/>
        <v>3000</v>
      </c>
      <c r="N112" s="8">
        <f t="shared" si="43"/>
        <v>-285</v>
      </c>
      <c r="O112" s="8">
        <f t="shared" si="44"/>
        <v>-254</v>
      </c>
      <c r="P112" s="8">
        <f t="shared" si="45"/>
        <v>-139</v>
      </c>
      <c r="Q112" s="12">
        <v>4</v>
      </c>
      <c r="R112" s="12">
        <v>0</v>
      </c>
      <c r="S112" s="12">
        <v>0</v>
      </c>
      <c r="T112" s="11">
        <f t="shared" si="36"/>
        <v>247</v>
      </c>
      <c r="U112" s="10">
        <f t="shared" si="47"/>
        <v>1875</v>
      </c>
      <c r="V112" s="10">
        <f t="shared" si="46"/>
        <v>2026</v>
      </c>
      <c r="W112" s="10">
        <f t="shared" si="48"/>
        <v>2091</v>
      </c>
      <c r="X112" s="8"/>
      <c r="Y112" s="8"/>
      <c r="Z112" s="8"/>
      <c r="AA112" s="8"/>
      <c r="AB112" s="30"/>
    </row>
    <row r="113" spans="1:28" ht="15" customHeight="1">
      <c r="A113" s="16">
        <v>99</v>
      </c>
      <c r="B113" s="15">
        <f t="shared" si="37"/>
        <v>45380</v>
      </c>
      <c r="C113" s="14">
        <f t="shared" si="38"/>
        <v>844</v>
      </c>
      <c r="D113" s="13">
        <f t="shared" si="52"/>
        <v>1427</v>
      </c>
      <c r="E113" s="12">
        <f t="shared" si="30"/>
        <v>-441</v>
      </c>
      <c r="F113" s="12">
        <f t="shared" si="31"/>
        <v>-475</v>
      </c>
      <c r="G113" s="12">
        <f t="shared" si="32"/>
        <v>-590</v>
      </c>
      <c r="H113" s="8">
        <f t="shared" si="33"/>
        <v>2712</v>
      </c>
      <c r="I113" s="8">
        <f t="shared" si="34"/>
        <v>2746</v>
      </c>
      <c r="J113" s="8">
        <f t="shared" si="35"/>
        <v>2861</v>
      </c>
      <c r="K113" s="8">
        <f t="shared" si="49"/>
        <v>3000</v>
      </c>
      <c r="L113" s="8">
        <f t="shared" si="50"/>
        <v>3000</v>
      </c>
      <c r="M113" s="8">
        <f t="shared" si="51"/>
        <v>3000</v>
      </c>
      <c r="N113" s="8">
        <f t="shared" si="43"/>
        <v>-288</v>
      </c>
      <c r="O113" s="8">
        <f t="shared" si="44"/>
        <v>-254</v>
      </c>
      <c r="P113" s="8">
        <f t="shared" si="45"/>
        <v>-139</v>
      </c>
      <c r="Q113" s="12">
        <v>3</v>
      </c>
      <c r="R113" s="12">
        <v>0</v>
      </c>
      <c r="S113" s="12">
        <v>0</v>
      </c>
      <c r="T113" s="11">
        <f t="shared" si="36"/>
        <v>245</v>
      </c>
      <c r="U113" s="10">
        <f t="shared" si="47"/>
        <v>1872</v>
      </c>
      <c r="V113" s="10">
        <f t="shared" si="46"/>
        <v>2026</v>
      </c>
      <c r="W113" s="10">
        <f t="shared" si="48"/>
        <v>2091</v>
      </c>
      <c r="X113" s="8"/>
      <c r="Y113" s="8"/>
      <c r="Z113" s="8"/>
      <c r="AA113" s="8"/>
      <c r="AB113" s="30"/>
    </row>
    <row r="114" spans="1:28" ht="15" customHeight="1">
      <c r="A114" s="16">
        <v>100</v>
      </c>
      <c r="B114" s="15">
        <f t="shared" si="37"/>
        <v>45381</v>
      </c>
      <c r="C114" s="14">
        <f t="shared" si="38"/>
        <v>844</v>
      </c>
      <c r="D114" s="13">
        <f t="shared" si="52"/>
        <v>1425</v>
      </c>
      <c r="E114" s="12">
        <f t="shared" si="30"/>
        <v>-440</v>
      </c>
      <c r="F114" s="12">
        <f t="shared" si="31"/>
        <v>-477</v>
      </c>
      <c r="G114" s="12">
        <f t="shared" si="32"/>
        <v>-592</v>
      </c>
      <c r="H114" s="8">
        <f t="shared" si="33"/>
        <v>2709</v>
      </c>
      <c r="I114" s="8">
        <f t="shared" si="34"/>
        <v>2746</v>
      </c>
      <c r="J114" s="8">
        <f t="shared" si="35"/>
        <v>2861</v>
      </c>
      <c r="K114" s="8">
        <f t="shared" si="49"/>
        <v>3000</v>
      </c>
      <c r="L114" s="8">
        <f t="shared" si="50"/>
        <v>3000</v>
      </c>
      <c r="M114" s="8">
        <f t="shared" si="51"/>
        <v>3000</v>
      </c>
      <c r="N114" s="8">
        <f t="shared" si="43"/>
        <v>-291</v>
      </c>
      <c r="O114" s="8">
        <f t="shared" si="44"/>
        <v>-254</v>
      </c>
      <c r="P114" s="8">
        <f t="shared" si="45"/>
        <v>-139</v>
      </c>
      <c r="Q114" s="12">
        <v>3</v>
      </c>
      <c r="R114" s="12">
        <v>0</v>
      </c>
      <c r="S114" s="12">
        <v>0</v>
      </c>
      <c r="T114" s="11">
        <f t="shared" si="36"/>
        <v>243</v>
      </c>
      <c r="U114" s="10">
        <f t="shared" si="47"/>
        <v>1869</v>
      </c>
      <c r="V114" s="10">
        <f t="shared" si="46"/>
        <v>2026</v>
      </c>
      <c r="W114" s="10">
        <f t="shared" si="48"/>
        <v>2091</v>
      </c>
      <c r="X114" s="8"/>
      <c r="Y114" s="8"/>
      <c r="Z114" s="8"/>
      <c r="AA114" s="8"/>
      <c r="AB114" s="30"/>
    </row>
    <row r="115" spans="1:28" ht="15" customHeight="1">
      <c r="A115" s="16">
        <v>101</v>
      </c>
      <c r="B115" s="15">
        <f t="shared" si="37"/>
        <v>45382</v>
      </c>
      <c r="C115" s="14">
        <f t="shared" si="38"/>
        <v>844</v>
      </c>
      <c r="D115" s="13">
        <f t="shared" si="52"/>
        <v>1423</v>
      </c>
      <c r="E115" s="12">
        <f t="shared" si="30"/>
        <v>-433</v>
      </c>
      <c r="F115" s="12">
        <f t="shared" si="31"/>
        <v>-479</v>
      </c>
      <c r="G115" s="12">
        <f t="shared" si="32"/>
        <v>-594</v>
      </c>
      <c r="H115" s="8">
        <f t="shared" si="33"/>
        <v>2700</v>
      </c>
      <c r="I115" s="8">
        <f t="shared" si="34"/>
        <v>2746</v>
      </c>
      <c r="J115" s="8">
        <f t="shared" si="35"/>
        <v>2861</v>
      </c>
      <c r="K115" s="8">
        <f t="shared" si="49"/>
        <v>3000</v>
      </c>
      <c r="L115" s="8">
        <f t="shared" si="50"/>
        <v>3000</v>
      </c>
      <c r="M115" s="8">
        <f t="shared" si="51"/>
        <v>3000</v>
      </c>
      <c r="N115" s="8">
        <f t="shared" si="43"/>
        <v>-300</v>
      </c>
      <c r="O115" s="8">
        <f t="shared" si="44"/>
        <v>-254</v>
      </c>
      <c r="P115" s="8">
        <f t="shared" si="45"/>
        <v>-139</v>
      </c>
      <c r="Q115" s="12">
        <v>9</v>
      </c>
      <c r="R115" s="12">
        <v>0</v>
      </c>
      <c r="S115" s="12">
        <v>0</v>
      </c>
      <c r="T115" s="11">
        <f t="shared" si="36"/>
        <v>241</v>
      </c>
      <c r="U115" s="10">
        <f t="shared" si="47"/>
        <v>1860</v>
      </c>
      <c r="V115" s="10">
        <f t="shared" si="46"/>
        <v>2026</v>
      </c>
      <c r="W115" s="10">
        <f t="shared" si="48"/>
        <v>2091</v>
      </c>
      <c r="X115" s="8"/>
      <c r="Y115" s="8"/>
      <c r="Z115" s="8"/>
      <c r="AA115" s="8"/>
      <c r="AB115" s="30"/>
    </row>
    <row r="116" spans="1:28" ht="13.15" customHeight="1">
      <c r="A116" s="16">
        <v>102</v>
      </c>
      <c r="B116" s="15">
        <f t="shared" si="37"/>
        <v>45383</v>
      </c>
      <c r="C116" s="14">
        <f t="shared" si="38"/>
        <v>844</v>
      </c>
      <c r="D116" s="13">
        <f t="shared" si="52"/>
        <v>1421</v>
      </c>
      <c r="E116" s="12">
        <f t="shared" si="30"/>
        <v>-433</v>
      </c>
      <c r="F116" s="12">
        <f t="shared" si="31"/>
        <v>-481</v>
      </c>
      <c r="G116" s="12">
        <f t="shared" si="32"/>
        <v>-596</v>
      </c>
      <c r="H116" s="8">
        <f t="shared" si="33"/>
        <v>2698</v>
      </c>
      <c r="I116" s="8">
        <f t="shared" si="34"/>
        <v>2746</v>
      </c>
      <c r="J116" s="8">
        <f t="shared" si="35"/>
        <v>2861</v>
      </c>
      <c r="K116" s="8">
        <f t="shared" si="49"/>
        <v>3000</v>
      </c>
      <c r="L116" s="8">
        <f t="shared" si="50"/>
        <v>3000</v>
      </c>
      <c r="M116" s="8">
        <f t="shared" si="51"/>
        <v>3000</v>
      </c>
      <c r="N116" s="8">
        <f t="shared" si="43"/>
        <v>-302</v>
      </c>
      <c r="O116" s="8">
        <f t="shared" si="44"/>
        <v>-254</v>
      </c>
      <c r="P116" s="8">
        <f t="shared" si="45"/>
        <v>-139</v>
      </c>
      <c r="Q116" s="12">
        <v>2</v>
      </c>
      <c r="R116" s="12">
        <v>0</v>
      </c>
      <c r="S116" s="12">
        <v>0</v>
      </c>
      <c r="T116" s="11">
        <f t="shared" si="36"/>
        <v>239</v>
      </c>
      <c r="U116" s="10">
        <f t="shared" si="47"/>
        <v>1858</v>
      </c>
      <c r="V116" s="10">
        <f t="shared" si="46"/>
        <v>2026</v>
      </c>
      <c r="W116" s="10">
        <f t="shared" si="48"/>
        <v>2091</v>
      </c>
      <c r="X116" s="8"/>
      <c r="Y116" s="8"/>
      <c r="Z116" s="8"/>
      <c r="AA116" s="8"/>
      <c r="AB116" s="30"/>
    </row>
    <row r="117" spans="1:28" ht="13.15" customHeight="1">
      <c r="A117" s="16">
        <v>103</v>
      </c>
      <c r="B117" s="15">
        <f t="shared" si="37"/>
        <v>45384</v>
      </c>
      <c r="C117" s="14">
        <f t="shared" si="38"/>
        <v>844</v>
      </c>
      <c r="D117" s="13">
        <f t="shared" si="52"/>
        <v>1419</v>
      </c>
      <c r="E117" s="12">
        <f t="shared" si="30"/>
        <v>-433</v>
      </c>
      <c r="F117" s="12">
        <f t="shared" si="31"/>
        <v>-483</v>
      </c>
      <c r="G117" s="12">
        <f t="shared" si="32"/>
        <v>-598</v>
      </c>
      <c r="H117" s="8">
        <f t="shared" si="33"/>
        <v>2696</v>
      </c>
      <c r="I117" s="8">
        <f t="shared" si="34"/>
        <v>2746</v>
      </c>
      <c r="J117" s="8">
        <f t="shared" si="35"/>
        <v>2861</v>
      </c>
      <c r="K117" s="8">
        <f t="shared" si="49"/>
        <v>3000</v>
      </c>
      <c r="L117" s="8">
        <f t="shared" si="50"/>
        <v>3000</v>
      </c>
      <c r="M117" s="8">
        <f t="shared" si="51"/>
        <v>3000</v>
      </c>
      <c r="N117" s="8">
        <f t="shared" si="43"/>
        <v>-304</v>
      </c>
      <c r="O117" s="8">
        <f t="shared" si="44"/>
        <v>-254</v>
      </c>
      <c r="P117" s="8">
        <f t="shared" si="45"/>
        <v>-139</v>
      </c>
      <c r="Q117" s="12">
        <v>2</v>
      </c>
      <c r="R117" s="12">
        <v>0</v>
      </c>
      <c r="S117" s="12">
        <v>0</v>
      </c>
      <c r="T117" s="11">
        <f t="shared" si="36"/>
        <v>237</v>
      </c>
      <c r="U117" s="10">
        <f t="shared" si="47"/>
        <v>1856</v>
      </c>
      <c r="V117" s="10">
        <f t="shared" si="46"/>
        <v>2026</v>
      </c>
      <c r="W117" s="10">
        <f t="shared" si="48"/>
        <v>2091</v>
      </c>
      <c r="X117" s="8"/>
      <c r="Y117" s="8"/>
      <c r="Z117" s="8"/>
      <c r="AA117" s="8"/>
      <c r="AB117" s="30"/>
    </row>
    <row r="118" spans="1:28" ht="13.15" customHeight="1">
      <c r="A118" s="16">
        <v>104</v>
      </c>
      <c r="B118" s="15">
        <f t="shared" si="37"/>
        <v>45385</v>
      </c>
      <c r="C118" s="14">
        <f t="shared" si="38"/>
        <v>844</v>
      </c>
      <c r="D118" s="13">
        <f t="shared" si="52"/>
        <v>1417</v>
      </c>
      <c r="E118" s="12">
        <f t="shared" si="30"/>
        <v>-433</v>
      </c>
      <c r="F118" s="12">
        <f t="shared" si="31"/>
        <v>-485</v>
      </c>
      <c r="G118" s="12">
        <f t="shared" si="32"/>
        <v>-600</v>
      </c>
      <c r="H118" s="8">
        <f t="shared" si="33"/>
        <v>2694</v>
      </c>
      <c r="I118" s="8">
        <f t="shared" si="34"/>
        <v>2746</v>
      </c>
      <c r="J118" s="8">
        <f t="shared" si="35"/>
        <v>2861</v>
      </c>
      <c r="K118" s="8">
        <f t="shared" si="49"/>
        <v>3000</v>
      </c>
      <c r="L118" s="8">
        <f t="shared" si="50"/>
        <v>3000</v>
      </c>
      <c r="M118" s="8">
        <f t="shared" si="51"/>
        <v>3000</v>
      </c>
      <c r="N118" s="8">
        <f t="shared" si="43"/>
        <v>-306</v>
      </c>
      <c r="O118" s="8">
        <f t="shared" si="44"/>
        <v>-254</v>
      </c>
      <c r="P118" s="8">
        <f t="shared" si="45"/>
        <v>-139</v>
      </c>
      <c r="Q118" s="12">
        <v>2</v>
      </c>
      <c r="R118" s="12">
        <v>0</v>
      </c>
      <c r="S118" s="12">
        <v>0</v>
      </c>
      <c r="T118" s="11">
        <f t="shared" si="36"/>
        <v>235</v>
      </c>
      <c r="U118" s="10">
        <f t="shared" si="47"/>
        <v>1854</v>
      </c>
      <c r="V118" s="10">
        <f t="shared" si="46"/>
        <v>2026</v>
      </c>
      <c r="W118" s="10">
        <f t="shared" si="48"/>
        <v>2091</v>
      </c>
      <c r="X118" s="8"/>
      <c r="Y118" s="8"/>
      <c r="Z118" s="8"/>
      <c r="AA118" s="8"/>
      <c r="AB118" s="30"/>
    </row>
    <row r="119" spans="1:28" ht="13.15" customHeight="1">
      <c r="A119" s="16">
        <v>105</v>
      </c>
      <c r="B119" s="15">
        <f t="shared" si="37"/>
        <v>45386</v>
      </c>
      <c r="C119" s="14">
        <f t="shared" si="38"/>
        <v>844</v>
      </c>
      <c r="D119" s="13">
        <f t="shared" si="52"/>
        <v>1415</v>
      </c>
      <c r="E119" s="12">
        <f t="shared" si="30"/>
        <v>-433</v>
      </c>
      <c r="F119" s="12">
        <f t="shared" si="31"/>
        <v>-487</v>
      </c>
      <c r="G119" s="12">
        <f t="shared" si="32"/>
        <v>-602</v>
      </c>
      <c r="H119" s="8">
        <f t="shared" si="33"/>
        <v>2692</v>
      </c>
      <c r="I119" s="8">
        <f t="shared" si="34"/>
        <v>2746</v>
      </c>
      <c r="J119" s="8">
        <f t="shared" si="35"/>
        <v>2861</v>
      </c>
      <c r="K119" s="8">
        <f t="shared" si="49"/>
        <v>3000</v>
      </c>
      <c r="L119" s="8">
        <f t="shared" si="50"/>
        <v>3000</v>
      </c>
      <c r="M119" s="8">
        <f t="shared" si="51"/>
        <v>3000</v>
      </c>
      <c r="N119" s="8">
        <f t="shared" si="43"/>
        <v>-308</v>
      </c>
      <c r="O119" s="8">
        <f t="shared" si="44"/>
        <v>-254</v>
      </c>
      <c r="P119" s="8">
        <f t="shared" si="45"/>
        <v>-139</v>
      </c>
      <c r="Q119" s="12">
        <v>2</v>
      </c>
      <c r="R119" s="12">
        <v>0</v>
      </c>
      <c r="S119" s="12">
        <v>0</v>
      </c>
      <c r="T119" s="11">
        <f t="shared" si="36"/>
        <v>233</v>
      </c>
      <c r="U119" s="10">
        <f t="shared" si="47"/>
        <v>1852</v>
      </c>
      <c r="V119" s="10">
        <f t="shared" si="46"/>
        <v>2026</v>
      </c>
      <c r="W119" s="10">
        <f t="shared" si="48"/>
        <v>2091</v>
      </c>
      <c r="X119" s="8"/>
      <c r="Y119" s="8"/>
      <c r="Z119" s="8"/>
      <c r="AA119" s="8"/>
      <c r="AB119" s="30"/>
    </row>
    <row r="120" spans="1:28" ht="13.15" customHeight="1">
      <c r="A120" s="16">
        <v>106</v>
      </c>
      <c r="B120" s="15">
        <f t="shared" si="37"/>
        <v>45387</v>
      </c>
      <c r="C120" s="14">
        <f t="shared" si="38"/>
        <v>844</v>
      </c>
      <c r="D120" s="13">
        <f t="shared" si="52"/>
        <v>1413</v>
      </c>
      <c r="E120" s="12">
        <f t="shared" si="30"/>
        <v>-434</v>
      </c>
      <c r="F120" s="12">
        <f t="shared" si="31"/>
        <v>-489</v>
      </c>
      <c r="G120" s="12">
        <f t="shared" si="32"/>
        <v>-604</v>
      </c>
      <c r="H120" s="8">
        <f t="shared" si="33"/>
        <v>2691</v>
      </c>
      <c r="I120" s="8">
        <f t="shared" si="34"/>
        <v>2746</v>
      </c>
      <c r="J120" s="8">
        <f t="shared" si="35"/>
        <v>2861</v>
      </c>
      <c r="K120" s="8">
        <f t="shared" si="49"/>
        <v>3000</v>
      </c>
      <c r="L120" s="8">
        <f t="shared" si="50"/>
        <v>3000</v>
      </c>
      <c r="M120" s="8">
        <f t="shared" si="51"/>
        <v>3000</v>
      </c>
      <c r="N120" s="8">
        <f t="shared" si="43"/>
        <v>-309</v>
      </c>
      <c r="O120" s="8">
        <f t="shared" si="44"/>
        <v>-254</v>
      </c>
      <c r="P120" s="8">
        <f t="shared" si="45"/>
        <v>-139</v>
      </c>
      <c r="Q120" s="12">
        <v>1</v>
      </c>
      <c r="R120" s="12">
        <v>0</v>
      </c>
      <c r="S120" s="12">
        <v>0</v>
      </c>
      <c r="T120" s="11">
        <f t="shared" si="36"/>
        <v>231</v>
      </c>
      <c r="U120" s="10">
        <f t="shared" si="47"/>
        <v>1851</v>
      </c>
      <c r="V120" s="10">
        <f t="shared" si="46"/>
        <v>2026</v>
      </c>
      <c r="W120" s="10">
        <f t="shared" si="48"/>
        <v>2091</v>
      </c>
      <c r="X120" s="8"/>
      <c r="Y120" s="8"/>
      <c r="Z120" s="8"/>
      <c r="AA120" s="8"/>
      <c r="AB120" s="30"/>
    </row>
    <row r="121" spans="1:28" ht="13.15" customHeight="1">
      <c r="A121" s="16">
        <v>107</v>
      </c>
      <c r="B121" s="15">
        <f t="shared" si="37"/>
        <v>45388</v>
      </c>
      <c r="C121" s="14">
        <f t="shared" si="38"/>
        <v>844</v>
      </c>
      <c r="D121" s="13">
        <f t="shared" si="52"/>
        <v>1411</v>
      </c>
      <c r="E121" s="12">
        <f t="shared" si="30"/>
        <v>-436</v>
      </c>
      <c r="F121" s="12">
        <f t="shared" si="31"/>
        <v>-491</v>
      </c>
      <c r="G121" s="12">
        <f t="shared" si="32"/>
        <v>-606</v>
      </c>
      <c r="H121" s="8">
        <f t="shared" si="33"/>
        <v>2691</v>
      </c>
      <c r="I121" s="8">
        <f t="shared" si="34"/>
        <v>2746</v>
      </c>
      <c r="J121" s="8">
        <f t="shared" si="35"/>
        <v>2861</v>
      </c>
      <c r="K121" s="8">
        <f t="shared" si="49"/>
        <v>3000</v>
      </c>
      <c r="L121" s="8">
        <f t="shared" si="50"/>
        <v>3000</v>
      </c>
      <c r="M121" s="8">
        <f t="shared" si="51"/>
        <v>3000</v>
      </c>
      <c r="N121" s="8">
        <f t="shared" si="43"/>
        <v>-309</v>
      </c>
      <c r="O121" s="8">
        <f t="shared" si="44"/>
        <v>-254</v>
      </c>
      <c r="P121" s="8">
        <f t="shared" si="45"/>
        <v>-139</v>
      </c>
      <c r="Q121" s="12">
        <v>0</v>
      </c>
      <c r="R121" s="12">
        <v>0</v>
      </c>
      <c r="S121" s="12">
        <v>0</v>
      </c>
      <c r="T121" s="11">
        <f t="shared" si="36"/>
        <v>229</v>
      </c>
      <c r="U121" s="10">
        <f t="shared" si="47"/>
        <v>1851</v>
      </c>
      <c r="V121" s="10">
        <f t="shared" si="46"/>
        <v>2026</v>
      </c>
      <c r="W121" s="10">
        <f t="shared" si="48"/>
        <v>2091</v>
      </c>
      <c r="X121" s="8"/>
      <c r="Y121" s="8"/>
      <c r="Z121" s="8"/>
      <c r="AA121" s="8"/>
      <c r="AB121" s="30"/>
    </row>
    <row r="122" spans="1:28" ht="13.15" customHeight="1">
      <c r="A122" s="16">
        <v>108</v>
      </c>
      <c r="B122" s="15">
        <f t="shared" si="37"/>
        <v>45389</v>
      </c>
      <c r="C122" s="14">
        <f t="shared" si="38"/>
        <v>844</v>
      </c>
      <c r="D122" s="13">
        <f t="shared" si="52"/>
        <v>1409</v>
      </c>
      <c r="E122" s="12">
        <f t="shared" si="30"/>
        <v>-437</v>
      </c>
      <c r="F122" s="12">
        <f t="shared" si="31"/>
        <v>-493</v>
      </c>
      <c r="G122" s="12">
        <f t="shared" si="32"/>
        <v>-608</v>
      </c>
      <c r="H122" s="8">
        <f t="shared" si="33"/>
        <v>2690</v>
      </c>
      <c r="I122" s="8">
        <f t="shared" si="34"/>
        <v>2746</v>
      </c>
      <c r="J122" s="8">
        <f t="shared" si="35"/>
        <v>2861</v>
      </c>
      <c r="K122" s="8">
        <f t="shared" si="49"/>
        <v>3000</v>
      </c>
      <c r="L122" s="8">
        <f t="shared" si="50"/>
        <v>3000</v>
      </c>
      <c r="M122" s="8">
        <f t="shared" si="51"/>
        <v>3000</v>
      </c>
      <c r="N122" s="8">
        <f t="shared" si="43"/>
        <v>-310</v>
      </c>
      <c r="O122" s="8">
        <f t="shared" si="44"/>
        <v>-254</v>
      </c>
      <c r="P122" s="8">
        <f t="shared" si="45"/>
        <v>-139</v>
      </c>
      <c r="Q122" s="12">
        <v>1</v>
      </c>
      <c r="R122" s="12">
        <v>0</v>
      </c>
      <c r="S122" s="12">
        <v>0</v>
      </c>
      <c r="T122" s="11">
        <f t="shared" si="36"/>
        <v>227</v>
      </c>
      <c r="U122" s="10">
        <f t="shared" si="47"/>
        <v>1850</v>
      </c>
      <c r="V122" s="10">
        <f t="shared" si="46"/>
        <v>2026</v>
      </c>
      <c r="W122" s="10">
        <f t="shared" si="48"/>
        <v>2091</v>
      </c>
      <c r="X122" s="8"/>
      <c r="Y122" s="8"/>
      <c r="Z122" s="8"/>
      <c r="AA122" s="8"/>
      <c r="AB122" s="30"/>
    </row>
    <row r="123" spans="1:28" ht="13.15" customHeight="1">
      <c r="A123" s="16">
        <v>109</v>
      </c>
      <c r="B123" s="15">
        <f t="shared" si="37"/>
        <v>45390</v>
      </c>
      <c r="C123" s="14">
        <f t="shared" si="38"/>
        <v>844</v>
      </c>
      <c r="D123" s="13">
        <f t="shared" si="52"/>
        <v>1407</v>
      </c>
      <c r="E123" s="12">
        <f t="shared" si="30"/>
        <v>-439</v>
      </c>
      <c r="F123" s="12">
        <f t="shared" si="31"/>
        <v>-495</v>
      </c>
      <c r="G123" s="12">
        <f t="shared" si="32"/>
        <v>-610</v>
      </c>
      <c r="H123" s="8">
        <f t="shared" si="33"/>
        <v>2690</v>
      </c>
      <c r="I123" s="8">
        <f t="shared" si="34"/>
        <v>2746</v>
      </c>
      <c r="J123" s="8">
        <f t="shared" si="35"/>
        <v>2861</v>
      </c>
      <c r="K123" s="8">
        <f t="shared" si="49"/>
        <v>3000</v>
      </c>
      <c r="L123" s="8">
        <f t="shared" si="50"/>
        <v>3000</v>
      </c>
      <c r="M123" s="8">
        <f t="shared" si="51"/>
        <v>3000</v>
      </c>
      <c r="N123" s="8">
        <f t="shared" si="43"/>
        <v>-310</v>
      </c>
      <c r="O123" s="8">
        <f t="shared" si="44"/>
        <v>-254</v>
      </c>
      <c r="P123" s="8">
        <f t="shared" si="45"/>
        <v>-139</v>
      </c>
      <c r="Q123" s="12">
        <v>0</v>
      </c>
      <c r="R123" s="12">
        <v>0</v>
      </c>
      <c r="S123" s="12">
        <v>0</v>
      </c>
      <c r="T123" s="11">
        <f t="shared" si="36"/>
        <v>225</v>
      </c>
      <c r="U123" s="10">
        <f t="shared" si="47"/>
        <v>1850</v>
      </c>
      <c r="V123" s="10">
        <f t="shared" si="46"/>
        <v>2026</v>
      </c>
      <c r="W123" s="10">
        <f t="shared" si="48"/>
        <v>2091</v>
      </c>
      <c r="X123" s="8"/>
      <c r="Y123" s="8"/>
      <c r="Z123" s="8"/>
      <c r="AA123" s="8"/>
      <c r="AB123" s="30"/>
    </row>
    <row r="124" spans="1:28" ht="13.15" customHeight="1">
      <c r="A124" s="16">
        <v>110</v>
      </c>
      <c r="B124" s="15">
        <f t="shared" si="37"/>
        <v>45391</v>
      </c>
      <c r="C124" s="14">
        <f t="shared" si="38"/>
        <v>844</v>
      </c>
      <c r="D124" s="13">
        <f t="shared" si="52"/>
        <v>1405</v>
      </c>
      <c r="E124" s="12">
        <f t="shared" si="30"/>
        <v>-439</v>
      </c>
      <c r="F124" s="12">
        <f t="shared" si="31"/>
        <v>-497</v>
      </c>
      <c r="G124" s="12">
        <f t="shared" si="32"/>
        <v>-612</v>
      </c>
      <c r="H124" s="8">
        <f t="shared" si="33"/>
        <v>2688</v>
      </c>
      <c r="I124" s="8">
        <f t="shared" si="34"/>
        <v>2746</v>
      </c>
      <c r="J124" s="8">
        <f t="shared" si="35"/>
        <v>2861</v>
      </c>
      <c r="K124" s="8">
        <f t="shared" ref="K124:K147" si="53">K123</f>
        <v>3000</v>
      </c>
      <c r="L124" s="8">
        <f t="shared" ref="L124:L147" si="54">L123</f>
        <v>3000</v>
      </c>
      <c r="M124" s="8">
        <f t="shared" ref="M124:M147" si="55">M123</f>
        <v>3000</v>
      </c>
      <c r="N124" s="8">
        <f t="shared" si="43"/>
        <v>-312</v>
      </c>
      <c r="O124" s="8">
        <f t="shared" si="44"/>
        <v>-254</v>
      </c>
      <c r="P124" s="8">
        <f t="shared" si="45"/>
        <v>-139</v>
      </c>
      <c r="Q124" s="12">
        <v>2</v>
      </c>
      <c r="R124" s="12">
        <v>0</v>
      </c>
      <c r="S124" s="12">
        <v>0</v>
      </c>
      <c r="T124" s="11">
        <f t="shared" si="36"/>
        <v>223</v>
      </c>
      <c r="U124" s="10">
        <f t="shared" si="47"/>
        <v>1848</v>
      </c>
      <c r="V124" s="10">
        <f t="shared" si="46"/>
        <v>2026</v>
      </c>
      <c r="W124" s="10">
        <f t="shared" si="48"/>
        <v>2091</v>
      </c>
      <c r="X124" s="8"/>
      <c r="Y124" s="8"/>
      <c r="Z124" s="8"/>
      <c r="AA124" s="8"/>
      <c r="AB124" s="30"/>
    </row>
    <row r="125" spans="1:28" ht="13.15" customHeight="1">
      <c r="A125" s="16">
        <v>111</v>
      </c>
      <c r="B125" s="15">
        <f t="shared" si="37"/>
        <v>45392</v>
      </c>
      <c r="C125" s="14">
        <f t="shared" si="38"/>
        <v>844</v>
      </c>
      <c r="D125" s="13">
        <f t="shared" si="52"/>
        <v>1403</v>
      </c>
      <c r="E125" s="12">
        <f t="shared" si="30"/>
        <v>-439</v>
      </c>
      <c r="F125" s="12">
        <f t="shared" si="31"/>
        <v>-499</v>
      </c>
      <c r="G125" s="12">
        <f t="shared" si="32"/>
        <v>-614</v>
      </c>
      <c r="H125" s="8">
        <f t="shared" si="33"/>
        <v>2686</v>
      </c>
      <c r="I125" s="8">
        <f t="shared" si="34"/>
        <v>2746</v>
      </c>
      <c r="J125" s="8">
        <f t="shared" si="35"/>
        <v>2861</v>
      </c>
      <c r="K125" s="8">
        <f t="shared" si="53"/>
        <v>3000</v>
      </c>
      <c r="L125" s="8">
        <f t="shared" si="54"/>
        <v>3000</v>
      </c>
      <c r="M125" s="8">
        <f t="shared" si="55"/>
        <v>3000</v>
      </c>
      <c r="N125" s="8">
        <f t="shared" si="43"/>
        <v>-314</v>
      </c>
      <c r="O125" s="8">
        <f t="shared" si="44"/>
        <v>-254</v>
      </c>
      <c r="P125" s="8">
        <f t="shared" si="45"/>
        <v>-139</v>
      </c>
      <c r="Q125" s="12">
        <v>2</v>
      </c>
      <c r="R125" s="12">
        <v>0</v>
      </c>
      <c r="S125" s="12">
        <v>0</v>
      </c>
      <c r="T125" s="11">
        <f t="shared" si="36"/>
        <v>221</v>
      </c>
      <c r="U125" s="10">
        <f t="shared" si="47"/>
        <v>1846</v>
      </c>
      <c r="V125" s="10">
        <f t="shared" si="46"/>
        <v>2026</v>
      </c>
      <c r="W125" s="10">
        <f t="shared" si="48"/>
        <v>2091</v>
      </c>
      <c r="X125" s="8"/>
      <c r="Y125" s="8"/>
      <c r="Z125" s="8"/>
      <c r="AA125" s="8"/>
      <c r="AB125" s="30"/>
    </row>
    <row r="126" spans="1:28" ht="13.15" customHeight="1">
      <c r="A126" s="16">
        <v>112</v>
      </c>
      <c r="B126" s="15">
        <f t="shared" si="37"/>
        <v>45393</v>
      </c>
      <c r="C126" s="14">
        <f t="shared" si="38"/>
        <v>844</v>
      </c>
      <c r="D126" s="13">
        <f t="shared" si="52"/>
        <v>1401</v>
      </c>
      <c r="E126" s="12">
        <f t="shared" si="30"/>
        <v>-439</v>
      </c>
      <c r="F126" s="12">
        <f t="shared" si="31"/>
        <v>-501</v>
      </c>
      <c r="G126" s="12">
        <f t="shared" si="32"/>
        <v>-616</v>
      </c>
      <c r="H126" s="8">
        <f t="shared" si="33"/>
        <v>2684</v>
      </c>
      <c r="I126" s="8">
        <f t="shared" si="34"/>
        <v>2746</v>
      </c>
      <c r="J126" s="8">
        <f t="shared" si="35"/>
        <v>2861</v>
      </c>
      <c r="K126" s="8">
        <f t="shared" si="53"/>
        <v>3000</v>
      </c>
      <c r="L126" s="8">
        <f t="shared" si="54"/>
        <v>3000</v>
      </c>
      <c r="M126" s="8">
        <f t="shared" si="55"/>
        <v>3000</v>
      </c>
      <c r="N126" s="8">
        <f t="shared" si="43"/>
        <v>-316</v>
      </c>
      <c r="O126" s="8">
        <f t="shared" si="44"/>
        <v>-254</v>
      </c>
      <c r="P126" s="8">
        <f t="shared" si="45"/>
        <v>-139</v>
      </c>
      <c r="Q126" s="12">
        <v>2</v>
      </c>
      <c r="R126" s="12">
        <v>0</v>
      </c>
      <c r="S126" s="12">
        <v>0</v>
      </c>
      <c r="T126" s="11">
        <f t="shared" si="36"/>
        <v>219</v>
      </c>
      <c r="U126" s="10">
        <f t="shared" si="47"/>
        <v>1844</v>
      </c>
      <c r="V126" s="10">
        <f t="shared" si="46"/>
        <v>2026</v>
      </c>
      <c r="W126" s="10">
        <f t="shared" si="48"/>
        <v>2091</v>
      </c>
      <c r="X126" s="8"/>
      <c r="Y126" s="8"/>
      <c r="Z126" s="8"/>
      <c r="AA126" s="8"/>
      <c r="AB126" s="30"/>
    </row>
    <row r="127" spans="1:28" ht="13.15" customHeight="1">
      <c r="A127" s="16">
        <v>113</v>
      </c>
      <c r="B127" s="15">
        <f t="shared" si="37"/>
        <v>45394</v>
      </c>
      <c r="C127" s="14">
        <f t="shared" si="38"/>
        <v>844</v>
      </c>
      <c r="D127" s="13">
        <f t="shared" ref="D127:D190" si="56">D126+2</f>
        <v>1403</v>
      </c>
      <c r="E127" s="12">
        <f t="shared" si="30"/>
        <v>-435</v>
      </c>
      <c r="F127" s="12">
        <f t="shared" si="31"/>
        <v>-499</v>
      </c>
      <c r="G127" s="12">
        <f t="shared" si="32"/>
        <v>-614</v>
      </c>
      <c r="H127" s="8">
        <f t="shared" si="33"/>
        <v>2682</v>
      </c>
      <c r="I127" s="8">
        <f t="shared" si="34"/>
        <v>2746</v>
      </c>
      <c r="J127" s="8">
        <f t="shared" si="35"/>
        <v>2861</v>
      </c>
      <c r="K127" s="8">
        <f t="shared" si="53"/>
        <v>3000</v>
      </c>
      <c r="L127" s="8">
        <f t="shared" si="54"/>
        <v>3000</v>
      </c>
      <c r="M127" s="8">
        <f t="shared" si="55"/>
        <v>3000</v>
      </c>
      <c r="N127" s="8">
        <f t="shared" si="43"/>
        <v>-318</v>
      </c>
      <c r="O127" s="8">
        <f t="shared" si="44"/>
        <v>-254</v>
      </c>
      <c r="P127" s="8">
        <f t="shared" si="45"/>
        <v>-139</v>
      </c>
      <c r="Q127" s="12">
        <v>2</v>
      </c>
      <c r="R127" s="12">
        <v>0</v>
      </c>
      <c r="S127" s="12">
        <v>0</v>
      </c>
      <c r="T127" s="11">
        <f t="shared" si="36"/>
        <v>221</v>
      </c>
      <c r="U127" s="10">
        <f t="shared" si="47"/>
        <v>1842</v>
      </c>
      <c r="V127" s="10">
        <f t="shared" si="46"/>
        <v>2026</v>
      </c>
      <c r="W127" s="10">
        <f t="shared" si="48"/>
        <v>2091</v>
      </c>
      <c r="X127" s="8"/>
      <c r="Y127" s="8"/>
      <c r="Z127" s="8"/>
      <c r="AA127" s="8"/>
      <c r="AB127" s="30"/>
    </row>
    <row r="128" spans="1:28" ht="13.15" customHeight="1">
      <c r="A128" s="16">
        <v>114</v>
      </c>
      <c r="B128" s="15">
        <f t="shared" si="37"/>
        <v>45395</v>
      </c>
      <c r="C128" s="14">
        <f t="shared" si="38"/>
        <v>844</v>
      </c>
      <c r="D128" s="13">
        <f t="shared" si="56"/>
        <v>1405</v>
      </c>
      <c r="E128" s="12">
        <f t="shared" si="30"/>
        <v>-432</v>
      </c>
      <c r="F128" s="12">
        <f t="shared" si="31"/>
        <v>-497</v>
      </c>
      <c r="G128" s="12">
        <f t="shared" si="32"/>
        <v>-612</v>
      </c>
      <c r="H128" s="8">
        <f t="shared" si="33"/>
        <v>2681</v>
      </c>
      <c r="I128" s="8">
        <f t="shared" si="34"/>
        <v>2746</v>
      </c>
      <c r="J128" s="8">
        <f t="shared" si="35"/>
        <v>2861</v>
      </c>
      <c r="K128" s="8">
        <f t="shared" si="53"/>
        <v>3000</v>
      </c>
      <c r="L128" s="8">
        <f t="shared" si="54"/>
        <v>3000</v>
      </c>
      <c r="M128" s="8">
        <f t="shared" si="55"/>
        <v>3000</v>
      </c>
      <c r="N128" s="8">
        <f t="shared" si="43"/>
        <v>-319</v>
      </c>
      <c r="O128" s="8">
        <f t="shared" si="44"/>
        <v>-254</v>
      </c>
      <c r="P128" s="8">
        <f t="shared" si="45"/>
        <v>-139</v>
      </c>
      <c r="Q128" s="12">
        <v>1</v>
      </c>
      <c r="R128" s="12">
        <v>0</v>
      </c>
      <c r="S128" s="12">
        <v>0</v>
      </c>
      <c r="T128" s="11">
        <f t="shared" si="36"/>
        <v>223</v>
      </c>
      <c r="U128" s="10">
        <f t="shared" si="47"/>
        <v>1841</v>
      </c>
      <c r="V128" s="10">
        <f t="shared" si="46"/>
        <v>2026</v>
      </c>
      <c r="W128" s="10">
        <f t="shared" si="48"/>
        <v>2091</v>
      </c>
      <c r="X128" s="8"/>
      <c r="Y128" s="8"/>
      <c r="Z128" s="8"/>
      <c r="AA128" s="8"/>
      <c r="AB128" s="30"/>
    </row>
    <row r="129" spans="1:28" ht="13.15" customHeight="1">
      <c r="A129" s="16">
        <v>115</v>
      </c>
      <c r="B129" s="15">
        <f t="shared" si="37"/>
        <v>45396</v>
      </c>
      <c r="C129" s="14">
        <f t="shared" si="38"/>
        <v>844</v>
      </c>
      <c r="D129" s="13">
        <f t="shared" si="56"/>
        <v>1407</v>
      </c>
      <c r="E129" s="12">
        <f t="shared" si="30"/>
        <v>-428</v>
      </c>
      <c r="F129" s="12">
        <f t="shared" si="31"/>
        <v>-495</v>
      </c>
      <c r="G129" s="12">
        <f t="shared" si="32"/>
        <v>-610</v>
      </c>
      <c r="H129" s="8">
        <f t="shared" si="33"/>
        <v>2679</v>
      </c>
      <c r="I129" s="8">
        <f t="shared" si="34"/>
        <v>2746</v>
      </c>
      <c r="J129" s="8">
        <f t="shared" si="35"/>
        <v>2861</v>
      </c>
      <c r="K129" s="8">
        <f t="shared" si="53"/>
        <v>3000</v>
      </c>
      <c r="L129" s="8">
        <f t="shared" si="54"/>
        <v>3000</v>
      </c>
      <c r="M129" s="8">
        <f t="shared" si="55"/>
        <v>3000</v>
      </c>
      <c r="N129" s="8">
        <f t="shared" si="43"/>
        <v>-321</v>
      </c>
      <c r="O129" s="8">
        <f t="shared" si="44"/>
        <v>-254</v>
      </c>
      <c r="P129" s="8">
        <f t="shared" si="45"/>
        <v>-139</v>
      </c>
      <c r="Q129" s="12">
        <v>2</v>
      </c>
      <c r="R129" s="12">
        <v>0</v>
      </c>
      <c r="S129" s="12">
        <v>0</v>
      </c>
      <c r="T129" s="11">
        <f t="shared" si="36"/>
        <v>225</v>
      </c>
      <c r="U129" s="10">
        <f t="shared" si="47"/>
        <v>1839</v>
      </c>
      <c r="V129" s="10">
        <f t="shared" si="46"/>
        <v>2026</v>
      </c>
      <c r="W129" s="10">
        <f t="shared" si="48"/>
        <v>2091</v>
      </c>
      <c r="X129" s="8"/>
      <c r="Y129" s="8"/>
      <c r="Z129" s="8"/>
      <c r="AA129" s="8"/>
      <c r="AB129" s="30"/>
    </row>
    <row r="130" spans="1:28" ht="13.15" customHeight="1">
      <c r="A130" s="16">
        <v>116</v>
      </c>
      <c r="B130" s="15">
        <f t="shared" si="37"/>
        <v>45397</v>
      </c>
      <c r="C130" s="14">
        <f t="shared" si="38"/>
        <v>844</v>
      </c>
      <c r="D130" s="13">
        <f t="shared" si="56"/>
        <v>1409</v>
      </c>
      <c r="E130" s="12">
        <f t="shared" si="30"/>
        <v>-424</v>
      </c>
      <c r="F130" s="12">
        <f t="shared" si="31"/>
        <v>-493</v>
      </c>
      <c r="G130" s="12">
        <f t="shared" si="32"/>
        <v>-608</v>
      </c>
      <c r="H130" s="8">
        <f t="shared" si="33"/>
        <v>2677</v>
      </c>
      <c r="I130" s="8">
        <f t="shared" si="34"/>
        <v>2746</v>
      </c>
      <c r="J130" s="8">
        <f t="shared" si="35"/>
        <v>2861</v>
      </c>
      <c r="K130" s="8">
        <f t="shared" si="53"/>
        <v>3000</v>
      </c>
      <c r="L130" s="8">
        <f t="shared" si="54"/>
        <v>3000</v>
      </c>
      <c r="M130" s="8">
        <f t="shared" si="55"/>
        <v>3000</v>
      </c>
      <c r="N130" s="8">
        <f t="shared" si="43"/>
        <v>-323</v>
      </c>
      <c r="O130" s="8">
        <f t="shared" si="44"/>
        <v>-254</v>
      </c>
      <c r="P130" s="8">
        <f t="shared" si="45"/>
        <v>-139</v>
      </c>
      <c r="Q130" s="12">
        <v>2</v>
      </c>
      <c r="R130" s="12">
        <v>0</v>
      </c>
      <c r="S130" s="12">
        <v>0</v>
      </c>
      <c r="T130" s="11">
        <f t="shared" si="36"/>
        <v>227</v>
      </c>
      <c r="U130" s="10">
        <f t="shared" si="47"/>
        <v>1837</v>
      </c>
      <c r="V130" s="10">
        <f t="shared" si="46"/>
        <v>2026</v>
      </c>
      <c r="W130" s="10">
        <f t="shared" si="48"/>
        <v>2091</v>
      </c>
      <c r="X130" s="8"/>
      <c r="Y130" s="8"/>
      <c r="Z130" s="8"/>
      <c r="AA130" s="8"/>
      <c r="AB130" s="30"/>
    </row>
    <row r="131" spans="1:28" ht="13.15" customHeight="1">
      <c r="A131" s="16">
        <v>117</v>
      </c>
      <c r="B131" s="15">
        <f t="shared" si="37"/>
        <v>45398</v>
      </c>
      <c r="C131" s="14">
        <f t="shared" si="38"/>
        <v>844</v>
      </c>
      <c r="D131" s="13">
        <f t="shared" si="56"/>
        <v>1411</v>
      </c>
      <c r="E131" s="12">
        <f t="shared" si="30"/>
        <v>-420</v>
      </c>
      <c r="F131" s="12">
        <f t="shared" si="31"/>
        <v>-491</v>
      </c>
      <c r="G131" s="12">
        <f t="shared" si="32"/>
        <v>-606</v>
      </c>
      <c r="H131" s="8">
        <f t="shared" si="33"/>
        <v>2675</v>
      </c>
      <c r="I131" s="8">
        <f t="shared" si="34"/>
        <v>2746</v>
      </c>
      <c r="J131" s="8">
        <f t="shared" si="35"/>
        <v>2861</v>
      </c>
      <c r="K131" s="8">
        <f t="shared" si="53"/>
        <v>3000</v>
      </c>
      <c r="L131" s="8">
        <f t="shared" si="54"/>
        <v>3000</v>
      </c>
      <c r="M131" s="8">
        <f t="shared" si="55"/>
        <v>3000</v>
      </c>
      <c r="N131" s="8">
        <f t="shared" si="43"/>
        <v>-325</v>
      </c>
      <c r="O131" s="8">
        <f t="shared" si="44"/>
        <v>-254</v>
      </c>
      <c r="P131" s="8">
        <f t="shared" si="45"/>
        <v>-139</v>
      </c>
      <c r="Q131" s="12">
        <v>2</v>
      </c>
      <c r="R131" s="12">
        <v>0</v>
      </c>
      <c r="S131" s="12">
        <v>0</v>
      </c>
      <c r="T131" s="11">
        <f t="shared" si="36"/>
        <v>229</v>
      </c>
      <c r="U131" s="10">
        <f t="shared" si="47"/>
        <v>1835</v>
      </c>
      <c r="V131" s="10">
        <f t="shared" si="46"/>
        <v>2026</v>
      </c>
      <c r="W131" s="10">
        <f t="shared" si="48"/>
        <v>2091</v>
      </c>
      <c r="X131" s="8"/>
      <c r="Y131" s="8"/>
      <c r="Z131" s="8"/>
      <c r="AA131" s="8"/>
      <c r="AB131" s="30"/>
    </row>
    <row r="132" spans="1:28" ht="13.15" customHeight="1">
      <c r="A132" s="16">
        <v>118</v>
      </c>
      <c r="B132" s="15">
        <f t="shared" si="37"/>
        <v>45399</v>
      </c>
      <c r="C132" s="14">
        <f t="shared" si="38"/>
        <v>844</v>
      </c>
      <c r="D132" s="13">
        <f t="shared" si="56"/>
        <v>1413</v>
      </c>
      <c r="E132" s="12">
        <f t="shared" si="30"/>
        <v>-416</v>
      </c>
      <c r="F132" s="12">
        <f t="shared" si="31"/>
        <v>-489</v>
      </c>
      <c r="G132" s="12">
        <f t="shared" si="32"/>
        <v>-604</v>
      </c>
      <c r="H132" s="8">
        <f t="shared" si="33"/>
        <v>2673</v>
      </c>
      <c r="I132" s="8">
        <f t="shared" si="34"/>
        <v>2746</v>
      </c>
      <c r="J132" s="8">
        <f t="shared" si="35"/>
        <v>2861</v>
      </c>
      <c r="K132" s="8">
        <f t="shared" si="53"/>
        <v>3000</v>
      </c>
      <c r="L132" s="8">
        <f t="shared" si="54"/>
        <v>3000</v>
      </c>
      <c r="M132" s="8">
        <f t="shared" si="55"/>
        <v>3000</v>
      </c>
      <c r="N132" s="8">
        <f t="shared" si="43"/>
        <v>-327</v>
      </c>
      <c r="O132" s="8">
        <f t="shared" si="44"/>
        <v>-254</v>
      </c>
      <c r="P132" s="8">
        <f t="shared" si="45"/>
        <v>-139</v>
      </c>
      <c r="Q132" s="12">
        <v>2</v>
      </c>
      <c r="R132" s="12">
        <v>0</v>
      </c>
      <c r="S132" s="12">
        <v>0</v>
      </c>
      <c r="T132" s="11">
        <f t="shared" si="36"/>
        <v>231</v>
      </c>
      <c r="U132" s="10">
        <f t="shared" si="47"/>
        <v>1833</v>
      </c>
      <c r="V132" s="10">
        <f t="shared" si="46"/>
        <v>2026</v>
      </c>
      <c r="W132" s="10">
        <f t="shared" si="48"/>
        <v>2091</v>
      </c>
      <c r="X132" s="8"/>
      <c r="Y132" s="8"/>
      <c r="Z132" s="8"/>
      <c r="AA132" s="8"/>
      <c r="AB132" s="30"/>
    </row>
    <row r="133" spans="1:28" ht="13.15" customHeight="1">
      <c r="A133" s="16">
        <v>119</v>
      </c>
      <c r="B133" s="15">
        <f t="shared" si="37"/>
        <v>45400</v>
      </c>
      <c r="C133" s="14">
        <f t="shared" si="38"/>
        <v>844</v>
      </c>
      <c r="D133" s="13">
        <f t="shared" si="56"/>
        <v>1415</v>
      </c>
      <c r="E133" s="12">
        <f t="shared" si="30"/>
        <v>-414</v>
      </c>
      <c r="F133" s="12">
        <f t="shared" si="31"/>
        <v>-487</v>
      </c>
      <c r="G133" s="12">
        <f t="shared" si="32"/>
        <v>-602</v>
      </c>
      <c r="H133" s="8">
        <f t="shared" si="33"/>
        <v>2673</v>
      </c>
      <c r="I133" s="8">
        <f t="shared" si="34"/>
        <v>2746</v>
      </c>
      <c r="J133" s="8">
        <f t="shared" si="35"/>
        <v>2861</v>
      </c>
      <c r="K133" s="8">
        <f t="shared" si="53"/>
        <v>3000</v>
      </c>
      <c r="L133" s="8">
        <f t="shared" si="54"/>
        <v>3000</v>
      </c>
      <c r="M133" s="8">
        <f t="shared" si="55"/>
        <v>3000</v>
      </c>
      <c r="N133" s="8">
        <f t="shared" si="43"/>
        <v>-327</v>
      </c>
      <c r="O133" s="8">
        <f t="shared" si="44"/>
        <v>-254</v>
      </c>
      <c r="P133" s="8">
        <f t="shared" si="45"/>
        <v>-139</v>
      </c>
      <c r="Q133" s="12">
        <v>0</v>
      </c>
      <c r="R133" s="12">
        <v>0</v>
      </c>
      <c r="S133" s="12">
        <v>0</v>
      </c>
      <c r="T133" s="11">
        <f t="shared" si="36"/>
        <v>233</v>
      </c>
      <c r="U133" s="10">
        <f t="shared" si="47"/>
        <v>1833</v>
      </c>
      <c r="V133" s="10">
        <f t="shared" si="46"/>
        <v>2026</v>
      </c>
      <c r="W133" s="10">
        <f t="shared" si="48"/>
        <v>2091</v>
      </c>
      <c r="X133" s="8"/>
      <c r="Y133" s="8"/>
      <c r="Z133" s="8"/>
      <c r="AA133" s="8"/>
      <c r="AB133" s="30"/>
    </row>
    <row r="134" spans="1:28" ht="13.15" customHeight="1">
      <c r="A134" s="16">
        <v>120</v>
      </c>
      <c r="B134" s="15">
        <f t="shared" si="37"/>
        <v>45401</v>
      </c>
      <c r="C134" s="14">
        <f t="shared" si="38"/>
        <v>844</v>
      </c>
      <c r="D134" s="13">
        <f t="shared" si="56"/>
        <v>1417</v>
      </c>
      <c r="E134" s="12">
        <f t="shared" si="30"/>
        <v>-412</v>
      </c>
      <c r="F134" s="12">
        <f t="shared" si="31"/>
        <v>-485</v>
      </c>
      <c r="G134" s="12">
        <f t="shared" si="32"/>
        <v>-600</v>
      </c>
      <c r="H134" s="8">
        <f t="shared" si="33"/>
        <v>2673</v>
      </c>
      <c r="I134" s="8">
        <f t="shared" si="34"/>
        <v>2746</v>
      </c>
      <c r="J134" s="8">
        <f t="shared" si="35"/>
        <v>2861</v>
      </c>
      <c r="K134" s="8">
        <f t="shared" si="53"/>
        <v>3000</v>
      </c>
      <c r="L134" s="8">
        <f t="shared" si="54"/>
        <v>3000</v>
      </c>
      <c r="M134" s="8">
        <f t="shared" si="55"/>
        <v>3000</v>
      </c>
      <c r="N134" s="8">
        <f t="shared" si="43"/>
        <v>-327</v>
      </c>
      <c r="O134" s="8">
        <f t="shared" si="44"/>
        <v>-254</v>
      </c>
      <c r="P134" s="8">
        <f t="shared" si="45"/>
        <v>-139</v>
      </c>
      <c r="Q134" s="12">
        <v>0</v>
      </c>
      <c r="R134" s="12">
        <v>0</v>
      </c>
      <c r="S134" s="12">
        <v>0</v>
      </c>
      <c r="T134" s="11">
        <f t="shared" si="36"/>
        <v>235</v>
      </c>
      <c r="U134" s="10">
        <f t="shared" si="47"/>
        <v>1833</v>
      </c>
      <c r="V134" s="10">
        <f t="shared" si="46"/>
        <v>2026</v>
      </c>
      <c r="W134" s="10">
        <f t="shared" si="48"/>
        <v>2091</v>
      </c>
      <c r="X134" s="8"/>
      <c r="Y134" s="8"/>
      <c r="Z134" s="8"/>
      <c r="AA134" s="8"/>
      <c r="AB134" s="30"/>
    </row>
    <row r="135" spans="1:28" ht="13.15" customHeight="1">
      <c r="A135" s="16">
        <v>121</v>
      </c>
      <c r="B135" s="15">
        <f t="shared" si="37"/>
        <v>45402</v>
      </c>
      <c r="C135" s="14">
        <f t="shared" si="38"/>
        <v>844</v>
      </c>
      <c r="D135" s="13">
        <f t="shared" si="56"/>
        <v>1419</v>
      </c>
      <c r="E135" s="12">
        <f t="shared" si="30"/>
        <v>-410</v>
      </c>
      <c r="F135" s="12">
        <f t="shared" si="31"/>
        <v>-483</v>
      </c>
      <c r="G135" s="12">
        <f t="shared" si="32"/>
        <v>-598</v>
      </c>
      <c r="H135" s="8">
        <f t="shared" si="33"/>
        <v>2673</v>
      </c>
      <c r="I135" s="8">
        <f t="shared" si="34"/>
        <v>2746</v>
      </c>
      <c r="J135" s="8">
        <f t="shared" si="35"/>
        <v>2861</v>
      </c>
      <c r="K135" s="8">
        <f t="shared" si="53"/>
        <v>3000</v>
      </c>
      <c r="L135" s="8">
        <f t="shared" si="54"/>
        <v>3000</v>
      </c>
      <c r="M135" s="8">
        <f t="shared" si="55"/>
        <v>3000</v>
      </c>
      <c r="N135" s="8">
        <f t="shared" si="43"/>
        <v>-327</v>
      </c>
      <c r="O135" s="8">
        <f t="shared" si="44"/>
        <v>-254</v>
      </c>
      <c r="P135" s="8">
        <f t="shared" si="45"/>
        <v>-139</v>
      </c>
      <c r="Q135" s="12">
        <v>0</v>
      </c>
      <c r="R135" s="12">
        <v>0</v>
      </c>
      <c r="S135" s="12">
        <v>0</v>
      </c>
      <c r="T135" s="11">
        <f t="shared" si="36"/>
        <v>237</v>
      </c>
      <c r="U135" s="10">
        <f t="shared" si="47"/>
        <v>1833</v>
      </c>
      <c r="V135" s="10">
        <f t="shared" si="46"/>
        <v>2026</v>
      </c>
      <c r="W135" s="10">
        <f t="shared" si="48"/>
        <v>2091</v>
      </c>
      <c r="X135" s="8"/>
      <c r="Y135" s="8"/>
      <c r="Z135" s="8"/>
      <c r="AA135" s="8"/>
      <c r="AB135" s="30"/>
    </row>
    <row r="136" spans="1:28" ht="13.15" customHeight="1">
      <c r="A136" s="16">
        <v>122</v>
      </c>
      <c r="B136" s="15">
        <f t="shared" si="37"/>
        <v>45403</v>
      </c>
      <c r="C136" s="14">
        <f t="shared" si="38"/>
        <v>844</v>
      </c>
      <c r="D136" s="13">
        <f t="shared" si="56"/>
        <v>1421</v>
      </c>
      <c r="E136" s="12">
        <f t="shared" si="30"/>
        <v>-406</v>
      </c>
      <c r="F136" s="12">
        <f t="shared" si="31"/>
        <v>-481</v>
      </c>
      <c r="G136" s="12">
        <f t="shared" si="32"/>
        <v>-596</v>
      </c>
      <c r="H136" s="8">
        <f t="shared" si="33"/>
        <v>2671</v>
      </c>
      <c r="I136" s="8">
        <f t="shared" si="34"/>
        <v>2746</v>
      </c>
      <c r="J136" s="8">
        <f t="shared" si="35"/>
        <v>2861</v>
      </c>
      <c r="K136" s="8">
        <f t="shared" si="53"/>
        <v>3000</v>
      </c>
      <c r="L136" s="8">
        <f t="shared" si="54"/>
        <v>3000</v>
      </c>
      <c r="M136" s="8">
        <f t="shared" si="55"/>
        <v>3000</v>
      </c>
      <c r="N136" s="8">
        <f t="shared" si="43"/>
        <v>-329</v>
      </c>
      <c r="O136" s="8">
        <f t="shared" si="44"/>
        <v>-254</v>
      </c>
      <c r="P136" s="8">
        <f t="shared" si="45"/>
        <v>-139</v>
      </c>
      <c r="Q136" s="12">
        <v>2</v>
      </c>
      <c r="R136" s="12">
        <v>0</v>
      </c>
      <c r="S136" s="12">
        <v>0</v>
      </c>
      <c r="T136" s="11">
        <f t="shared" si="36"/>
        <v>239</v>
      </c>
      <c r="U136" s="10">
        <f t="shared" si="47"/>
        <v>1831</v>
      </c>
      <c r="V136" s="10">
        <f t="shared" si="46"/>
        <v>2026</v>
      </c>
      <c r="W136" s="10">
        <f t="shared" si="48"/>
        <v>2091</v>
      </c>
      <c r="X136" s="8"/>
      <c r="Y136" s="8"/>
      <c r="Z136" s="8"/>
      <c r="AA136" s="8"/>
      <c r="AB136" s="30"/>
    </row>
    <row r="137" spans="1:28" ht="13.15" customHeight="1">
      <c r="A137" s="16">
        <v>123</v>
      </c>
      <c r="B137" s="15">
        <f t="shared" si="37"/>
        <v>45404</v>
      </c>
      <c r="C137" s="14">
        <f t="shared" si="38"/>
        <v>844</v>
      </c>
      <c r="D137" s="13">
        <f t="shared" si="56"/>
        <v>1423</v>
      </c>
      <c r="E137" s="12">
        <f t="shared" si="30"/>
        <v>-402</v>
      </c>
      <c r="F137" s="12">
        <f t="shared" si="31"/>
        <v>-479</v>
      </c>
      <c r="G137" s="12">
        <f t="shared" si="32"/>
        <v>-594</v>
      </c>
      <c r="H137" s="8">
        <f t="shared" si="33"/>
        <v>2669</v>
      </c>
      <c r="I137" s="8">
        <f t="shared" si="34"/>
        <v>2746</v>
      </c>
      <c r="J137" s="8">
        <f t="shared" si="35"/>
        <v>2861</v>
      </c>
      <c r="K137" s="8">
        <f t="shared" si="53"/>
        <v>3000</v>
      </c>
      <c r="L137" s="8">
        <f t="shared" si="54"/>
        <v>3000</v>
      </c>
      <c r="M137" s="8">
        <f t="shared" si="55"/>
        <v>3000</v>
      </c>
      <c r="N137" s="8">
        <f t="shared" si="43"/>
        <v>-331</v>
      </c>
      <c r="O137" s="8">
        <f t="shared" si="44"/>
        <v>-254</v>
      </c>
      <c r="P137" s="8">
        <f t="shared" si="45"/>
        <v>-139</v>
      </c>
      <c r="Q137" s="12">
        <v>2</v>
      </c>
      <c r="R137" s="12">
        <v>0</v>
      </c>
      <c r="S137" s="12">
        <v>0</v>
      </c>
      <c r="T137" s="11">
        <f t="shared" si="36"/>
        <v>241</v>
      </c>
      <c r="U137" s="10">
        <f t="shared" si="47"/>
        <v>1829</v>
      </c>
      <c r="V137" s="10">
        <f t="shared" si="46"/>
        <v>2026</v>
      </c>
      <c r="W137" s="10">
        <f t="shared" si="48"/>
        <v>2091</v>
      </c>
      <c r="X137" s="8"/>
      <c r="Y137" s="8"/>
      <c r="Z137" s="8"/>
      <c r="AA137" s="8"/>
      <c r="AB137" s="30"/>
    </row>
    <row r="138" spans="1:28" ht="13.15" customHeight="1">
      <c r="A138" s="16">
        <v>124</v>
      </c>
      <c r="B138" s="15">
        <f t="shared" si="37"/>
        <v>45405</v>
      </c>
      <c r="C138" s="14">
        <f t="shared" si="38"/>
        <v>844</v>
      </c>
      <c r="D138" s="13">
        <f t="shared" si="56"/>
        <v>1425</v>
      </c>
      <c r="E138" s="12">
        <f t="shared" si="30"/>
        <v>-398</v>
      </c>
      <c r="F138" s="12">
        <f t="shared" si="31"/>
        <v>-477</v>
      </c>
      <c r="G138" s="12">
        <f t="shared" si="32"/>
        <v>-592</v>
      </c>
      <c r="H138" s="8">
        <f t="shared" si="33"/>
        <v>2667</v>
      </c>
      <c r="I138" s="8">
        <f t="shared" si="34"/>
        <v>2746</v>
      </c>
      <c r="J138" s="8">
        <f t="shared" si="35"/>
        <v>2861</v>
      </c>
      <c r="K138" s="8">
        <f t="shared" si="53"/>
        <v>3000</v>
      </c>
      <c r="L138" s="8">
        <f t="shared" si="54"/>
        <v>3000</v>
      </c>
      <c r="M138" s="8">
        <f t="shared" si="55"/>
        <v>3000</v>
      </c>
      <c r="N138" s="8">
        <f t="shared" si="43"/>
        <v>-333</v>
      </c>
      <c r="O138" s="8">
        <f t="shared" si="44"/>
        <v>-254</v>
      </c>
      <c r="P138" s="8">
        <f t="shared" si="45"/>
        <v>-139</v>
      </c>
      <c r="Q138" s="12">
        <v>2</v>
      </c>
      <c r="R138" s="12">
        <v>0</v>
      </c>
      <c r="S138" s="12">
        <v>0</v>
      </c>
      <c r="T138" s="11">
        <f t="shared" si="36"/>
        <v>243</v>
      </c>
      <c r="U138" s="10">
        <f t="shared" si="47"/>
        <v>1827</v>
      </c>
      <c r="V138" s="10">
        <f t="shared" si="46"/>
        <v>2026</v>
      </c>
      <c r="W138" s="10">
        <f t="shared" si="48"/>
        <v>2091</v>
      </c>
      <c r="X138" s="8"/>
      <c r="Y138" s="8"/>
      <c r="Z138" s="8"/>
      <c r="AA138" s="8"/>
      <c r="AB138" s="30"/>
    </row>
    <row r="139" spans="1:28" ht="13.15" customHeight="1">
      <c r="A139" s="16">
        <v>125</v>
      </c>
      <c r="B139" s="15">
        <f t="shared" si="37"/>
        <v>45406</v>
      </c>
      <c r="C139" s="14">
        <f t="shared" si="38"/>
        <v>844</v>
      </c>
      <c r="D139" s="13">
        <f t="shared" si="56"/>
        <v>1427</v>
      </c>
      <c r="E139" s="12">
        <f t="shared" si="30"/>
        <v>-394</v>
      </c>
      <c r="F139" s="12">
        <f t="shared" si="31"/>
        <v>-475</v>
      </c>
      <c r="G139" s="12">
        <f t="shared" si="32"/>
        <v>-590</v>
      </c>
      <c r="H139" s="8">
        <f t="shared" si="33"/>
        <v>2665</v>
      </c>
      <c r="I139" s="8">
        <f t="shared" si="34"/>
        <v>2746</v>
      </c>
      <c r="J139" s="8">
        <f t="shared" si="35"/>
        <v>2861</v>
      </c>
      <c r="K139" s="8">
        <f t="shared" si="53"/>
        <v>3000</v>
      </c>
      <c r="L139" s="8">
        <f t="shared" si="54"/>
        <v>3000</v>
      </c>
      <c r="M139" s="8">
        <f t="shared" si="55"/>
        <v>3000</v>
      </c>
      <c r="N139" s="8">
        <f t="shared" si="43"/>
        <v>-335</v>
      </c>
      <c r="O139" s="8">
        <f t="shared" si="44"/>
        <v>-254</v>
      </c>
      <c r="P139" s="8">
        <f t="shared" si="45"/>
        <v>-139</v>
      </c>
      <c r="Q139" s="12">
        <v>2</v>
      </c>
      <c r="R139" s="12">
        <v>0</v>
      </c>
      <c r="S139" s="12">
        <v>0</v>
      </c>
      <c r="T139" s="11">
        <f t="shared" si="36"/>
        <v>245</v>
      </c>
      <c r="U139" s="10">
        <f t="shared" si="47"/>
        <v>1825</v>
      </c>
      <c r="V139" s="10">
        <f t="shared" si="46"/>
        <v>2026</v>
      </c>
      <c r="W139" s="10">
        <f t="shared" si="48"/>
        <v>2091</v>
      </c>
      <c r="X139" s="8"/>
      <c r="Y139" s="8"/>
      <c r="Z139" s="8"/>
      <c r="AA139" s="8"/>
      <c r="AB139" s="30"/>
    </row>
    <row r="140" spans="1:28" ht="13.15" customHeight="1">
      <c r="A140" s="16">
        <v>126</v>
      </c>
      <c r="B140" s="15">
        <f t="shared" si="37"/>
        <v>45407</v>
      </c>
      <c r="C140" s="14">
        <f t="shared" si="38"/>
        <v>844</v>
      </c>
      <c r="D140" s="13">
        <f t="shared" si="56"/>
        <v>1429</v>
      </c>
      <c r="E140" s="12">
        <f t="shared" si="30"/>
        <v>-391</v>
      </c>
      <c r="F140" s="12">
        <f t="shared" si="31"/>
        <v>-473</v>
      </c>
      <c r="G140" s="12">
        <f t="shared" si="32"/>
        <v>-588</v>
      </c>
      <c r="H140" s="8">
        <f t="shared" si="33"/>
        <v>2664</v>
      </c>
      <c r="I140" s="8">
        <f t="shared" si="34"/>
        <v>2746</v>
      </c>
      <c r="J140" s="8">
        <f t="shared" si="35"/>
        <v>2861</v>
      </c>
      <c r="K140" s="8">
        <f t="shared" si="53"/>
        <v>3000</v>
      </c>
      <c r="L140" s="8">
        <f t="shared" si="54"/>
        <v>3000</v>
      </c>
      <c r="M140" s="8">
        <f t="shared" si="55"/>
        <v>3000</v>
      </c>
      <c r="N140" s="8">
        <f t="shared" si="43"/>
        <v>-336</v>
      </c>
      <c r="O140" s="8">
        <f t="shared" si="44"/>
        <v>-254</v>
      </c>
      <c r="P140" s="8">
        <f t="shared" si="45"/>
        <v>-139</v>
      </c>
      <c r="Q140" s="12">
        <v>1</v>
      </c>
      <c r="R140" s="12">
        <v>0</v>
      </c>
      <c r="S140" s="12">
        <v>0</v>
      </c>
      <c r="T140" s="11">
        <f t="shared" si="36"/>
        <v>247</v>
      </c>
      <c r="U140" s="10">
        <f t="shared" si="47"/>
        <v>1824</v>
      </c>
      <c r="V140" s="10">
        <f t="shared" si="46"/>
        <v>2026</v>
      </c>
      <c r="W140" s="10">
        <f t="shared" si="48"/>
        <v>2091</v>
      </c>
      <c r="X140" s="8"/>
      <c r="Y140" s="8"/>
      <c r="Z140" s="8"/>
      <c r="AA140" s="8"/>
      <c r="AB140" s="30"/>
    </row>
    <row r="141" spans="1:28" ht="13.15" customHeight="1">
      <c r="A141" s="16">
        <v>127</v>
      </c>
      <c r="B141" s="15">
        <f t="shared" si="37"/>
        <v>45408</v>
      </c>
      <c r="C141" s="14">
        <f t="shared" si="38"/>
        <v>844</v>
      </c>
      <c r="D141" s="13">
        <f t="shared" si="56"/>
        <v>1431</v>
      </c>
      <c r="E141" s="12">
        <f t="shared" si="30"/>
        <v>-387</v>
      </c>
      <c r="F141" s="12">
        <f t="shared" si="31"/>
        <v>-471</v>
      </c>
      <c r="G141" s="12">
        <f t="shared" si="32"/>
        <v>-586</v>
      </c>
      <c r="H141" s="8">
        <f t="shared" si="33"/>
        <v>2662</v>
      </c>
      <c r="I141" s="8">
        <f t="shared" si="34"/>
        <v>2746</v>
      </c>
      <c r="J141" s="8">
        <f t="shared" si="35"/>
        <v>2861</v>
      </c>
      <c r="K141" s="8">
        <f t="shared" si="53"/>
        <v>3000</v>
      </c>
      <c r="L141" s="8">
        <f t="shared" si="54"/>
        <v>3000</v>
      </c>
      <c r="M141" s="8">
        <f t="shared" si="55"/>
        <v>3000</v>
      </c>
      <c r="N141" s="8">
        <f t="shared" si="43"/>
        <v>-338</v>
      </c>
      <c r="O141" s="8">
        <f t="shared" si="44"/>
        <v>-254</v>
      </c>
      <c r="P141" s="8">
        <f t="shared" si="45"/>
        <v>-139</v>
      </c>
      <c r="Q141" s="12">
        <v>2</v>
      </c>
      <c r="R141" s="12">
        <v>0</v>
      </c>
      <c r="S141" s="12">
        <v>0</v>
      </c>
      <c r="T141" s="11">
        <f t="shared" si="36"/>
        <v>249</v>
      </c>
      <c r="U141" s="10">
        <f t="shared" si="47"/>
        <v>1822</v>
      </c>
      <c r="V141" s="10">
        <f t="shared" si="46"/>
        <v>2026</v>
      </c>
      <c r="W141" s="10">
        <f t="shared" si="48"/>
        <v>2091</v>
      </c>
      <c r="X141" s="8"/>
      <c r="Y141" s="8"/>
      <c r="Z141" s="8"/>
      <c r="AA141" s="8"/>
      <c r="AB141" s="30"/>
    </row>
    <row r="142" spans="1:28" ht="13.15" customHeight="1">
      <c r="A142" s="16">
        <v>128</v>
      </c>
      <c r="B142" s="15">
        <f t="shared" si="37"/>
        <v>45409</v>
      </c>
      <c r="C142" s="14">
        <f t="shared" si="38"/>
        <v>844</v>
      </c>
      <c r="D142" s="13">
        <f t="shared" si="56"/>
        <v>1433</v>
      </c>
      <c r="E142" s="12">
        <f t="shared" ref="E142:E205" si="57">C142+D142-H142</f>
        <v>-383</v>
      </c>
      <c r="F142" s="12">
        <f t="shared" ref="F142:F205" si="58">C142+D142-I142</f>
        <v>-469</v>
      </c>
      <c r="G142" s="12">
        <f t="shared" ref="G142:G205" si="59">D142+C142-J142</f>
        <v>-584</v>
      </c>
      <c r="H142" s="8">
        <f t="shared" ref="H142:H205" si="60">K142+N142</f>
        <v>2660</v>
      </c>
      <c r="I142" s="8">
        <f t="shared" ref="I142:I205" si="61">L142+O142</f>
        <v>2746</v>
      </c>
      <c r="J142" s="8">
        <f t="shared" ref="J142:J205" si="62">M142+P142</f>
        <v>2861</v>
      </c>
      <c r="K142" s="8">
        <f t="shared" si="53"/>
        <v>3000</v>
      </c>
      <c r="L142" s="8">
        <f t="shared" si="54"/>
        <v>3000</v>
      </c>
      <c r="M142" s="8">
        <f t="shared" si="55"/>
        <v>3000</v>
      </c>
      <c r="N142" s="8">
        <f t="shared" si="43"/>
        <v>-340</v>
      </c>
      <c r="O142" s="8">
        <f t="shared" si="44"/>
        <v>-254</v>
      </c>
      <c r="P142" s="8">
        <f t="shared" si="45"/>
        <v>-139</v>
      </c>
      <c r="Q142" s="12">
        <v>2</v>
      </c>
      <c r="R142" s="12">
        <v>0</v>
      </c>
      <c r="S142" s="12">
        <v>0</v>
      </c>
      <c r="T142" s="11">
        <f t="shared" ref="T142:T205" si="63">D142+C142-V142</f>
        <v>251</v>
      </c>
      <c r="U142" s="10">
        <f t="shared" si="47"/>
        <v>1820</v>
      </c>
      <c r="V142" s="10">
        <f t="shared" si="46"/>
        <v>2026</v>
      </c>
      <c r="W142" s="10">
        <f t="shared" si="48"/>
        <v>2091</v>
      </c>
      <c r="X142" s="8"/>
      <c r="Y142" s="8"/>
      <c r="Z142" s="8"/>
      <c r="AA142" s="8"/>
      <c r="AB142" s="30"/>
    </row>
    <row r="143" spans="1:28" ht="13.15" customHeight="1">
      <c r="A143" s="16">
        <v>129</v>
      </c>
      <c r="B143" s="15">
        <f t="shared" ref="B143:B206" si="64">B142+1</f>
        <v>45410</v>
      </c>
      <c r="C143" s="14">
        <f t="shared" ref="C143:C206" si="65">C142</f>
        <v>844</v>
      </c>
      <c r="D143" s="13">
        <f t="shared" si="56"/>
        <v>1435</v>
      </c>
      <c r="E143" s="12">
        <f t="shared" si="57"/>
        <v>-379</v>
      </c>
      <c r="F143" s="12">
        <f t="shared" si="58"/>
        <v>-467</v>
      </c>
      <c r="G143" s="12">
        <f t="shared" si="59"/>
        <v>-582</v>
      </c>
      <c r="H143" s="8">
        <f t="shared" si="60"/>
        <v>2658</v>
      </c>
      <c r="I143" s="8">
        <f t="shared" si="61"/>
        <v>2746</v>
      </c>
      <c r="J143" s="8">
        <f t="shared" si="62"/>
        <v>2861</v>
      </c>
      <c r="K143" s="8">
        <f t="shared" si="53"/>
        <v>3000</v>
      </c>
      <c r="L143" s="8">
        <f t="shared" si="54"/>
        <v>3000</v>
      </c>
      <c r="M143" s="8">
        <f t="shared" si="55"/>
        <v>3000</v>
      </c>
      <c r="N143" s="8">
        <f t="shared" ref="N143:N206" si="66">N142-Q143</f>
        <v>-342</v>
      </c>
      <c r="O143" s="8">
        <f t="shared" ref="O143:O206" si="67">O142-R143</f>
        <v>-254</v>
      </c>
      <c r="P143" s="8">
        <f t="shared" ref="P143:P206" si="68">P142-S143</f>
        <v>-139</v>
      </c>
      <c r="Q143" s="12">
        <v>2</v>
      </c>
      <c r="R143" s="12">
        <v>0</v>
      </c>
      <c r="S143" s="12">
        <v>0</v>
      </c>
      <c r="T143" s="11">
        <f t="shared" si="63"/>
        <v>253</v>
      </c>
      <c r="U143" s="10">
        <f t="shared" si="47"/>
        <v>1818</v>
      </c>
      <c r="V143" s="10">
        <f t="shared" si="46"/>
        <v>2026</v>
      </c>
      <c r="W143" s="10">
        <f t="shared" si="48"/>
        <v>2091</v>
      </c>
      <c r="X143" s="8"/>
      <c r="Y143" s="8"/>
      <c r="Z143" s="8"/>
      <c r="AA143" s="8"/>
      <c r="AB143" s="30"/>
    </row>
    <row r="144" spans="1:28" ht="13.15" customHeight="1">
      <c r="A144" s="16">
        <v>130</v>
      </c>
      <c r="B144" s="15">
        <f t="shared" si="64"/>
        <v>45411</v>
      </c>
      <c r="C144" s="14">
        <f t="shared" si="65"/>
        <v>844</v>
      </c>
      <c r="D144" s="13">
        <f t="shared" si="56"/>
        <v>1437</v>
      </c>
      <c r="E144" s="12">
        <f t="shared" si="57"/>
        <v>-375</v>
      </c>
      <c r="F144" s="12">
        <f t="shared" si="58"/>
        <v>-465</v>
      </c>
      <c r="G144" s="12">
        <f t="shared" si="59"/>
        <v>-580</v>
      </c>
      <c r="H144" s="8">
        <f t="shared" si="60"/>
        <v>2656</v>
      </c>
      <c r="I144" s="8">
        <f t="shared" si="61"/>
        <v>2746</v>
      </c>
      <c r="J144" s="8">
        <f t="shared" si="62"/>
        <v>2861</v>
      </c>
      <c r="K144" s="8">
        <f t="shared" si="53"/>
        <v>3000</v>
      </c>
      <c r="L144" s="8">
        <f t="shared" si="54"/>
        <v>3000</v>
      </c>
      <c r="M144" s="8">
        <f t="shared" si="55"/>
        <v>3000</v>
      </c>
      <c r="N144" s="8">
        <f t="shared" si="66"/>
        <v>-344</v>
      </c>
      <c r="O144" s="8">
        <f t="shared" si="67"/>
        <v>-254</v>
      </c>
      <c r="P144" s="8">
        <f t="shared" si="68"/>
        <v>-139</v>
      </c>
      <c r="Q144" s="12">
        <v>2</v>
      </c>
      <c r="R144" s="12">
        <v>0</v>
      </c>
      <c r="S144" s="12">
        <v>0</v>
      </c>
      <c r="T144" s="11">
        <f t="shared" si="63"/>
        <v>255</v>
      </c>
      <c r="U144" s="10">
        <f t="shared" si="47"/>
        <v>1816</v>
      </c>
      <c r="V144" s="10">
        <f t="shared" si="46"/>
        <v>2026</v>
      </c>
      <c r="W144" s="10">
        <f t="shared" si="48"/>
        <v>2091</v>
      </c>
      <c r="X144" s="8"/>
      <c r="Y144" s="8"/>
      <c r="Z144" s="8"/>
      <c r="AA144" s="8"/>
      <c r="AB144" s="30"/>
    </row>
    <row r="145" spans="1:28" ht="13.15" customHeight="1">
      <c r="A145" s="16">
        <v>131</v>
      </c>
      <c r="B145" s="15">
        <f t="shared" si="64"/>
        <v>45412</v>
      </c>
      <c r="C145" s="14">
        <f t="shared" si="65"/>
        <v>844</v>
      </c>
      <c r="D145" s="13">
        <f t="shared" si="56"/>
        <v>1439</v>
      </c>
      <c r="E145" s="12">
        <f t="shared" si="57"/>
        <v>-373</v>
      </c>
      <c r="F145" s="12">
        <f t="shared" si="58"/>
        <v>-463</v>
      </c>
      <c r="G145" s="12">
        <f t="shared" si="59"/>
        <v>-578</v>
      </c>
      <c r="H145" s="8">
        <f t="shared" si="60"/>
        <v>2656</v>
      </c>
      <c r="I145" s="8">
        <f t="shared" si="61"/>
        <v>2746</v>
      </c>
      <c r="J145" s="8">
        <f t="shared" si="62"/>
        <v>2861</v>
      </c>
      <c r="K145" s="8">
        <f t="shared" si="53"/>
        <v>3000</v>
      </c>
      <c r="L145" s="8">
        <f t="shared" si="54"/>
        <v>3000</v>
      </c>
      <c r="M145" s="8">
        <f t="shared" si="55"/>
        <v>3000</v>
      </c>
      <c r="N145" s="8">
        <f t="shared" si="66"/>
        <v>-344</v>
      </c>
      <c r="O145" s="8">
        <f t="shared" si="67"/>
        <v>-254</v>
      </c>
      <c r="P145" s="8">
        <f t="shared" si="68"/>
        <v>-139</v>
      </c>
      <c r="Q145" s="12">
        <v>0</v>
      </c>
      <c r="R145" s="12">
        <v>0</v>
      </c>
      <c r="S145" s="12">
        <v>0</v>
      </c>
      <c r="T145" s="11">
        <f t="shared" si="63"/>
        <v>257</v>
      </c>
      <c r="U145" s="10">
        <f t="shared" si="47"/>
        <v>1816</v>
      </c>
      <c r="V145" s="10">
        <f t="shared" si="46"/>
        <v>2026</v>
      </c>
      <c r="W145" s="10">
        <f t="shared" si="48"/>
        <v>2091</v>
      </c>
      <c r="X145" s="8"/>
      <c r="Y145" s="8"/>
      <c r="Z145" s="8"/>
      <c r="AA145" s="8"/>
      <c r="AB145" s="30"/>
    </row>
    <row r="146" spans="1:28" ht="13.15" customHeight="1">
      <c r="A146" s="16">
        <v>132</v>
      </c>
      <c r="B146" s="15">
        <f t="shared" si="64"/>
        <v>45413</v>
      </c>
      <c r="C146" s="14">
        <f t="shared" si="65"/>
        <v>844</v>
      </c>
      <c r="D146" s="13">
        <f t="shared" si="56"/>
        <v>1441</v>
      </c>
      <c r="E146" s="12">
        <f t="shared" si="57"/>
        <v>-371</v>
      </c>
      <c r="F146" s="12">
        <f t="shared" si="58"/>
        <v>-461</v>
      </c>
      <c r="G146" s="12">
        <f t="shared" si="59"/>
        <v>-576</v>
      </c>
      <c r="H146" s="8">
        <f t="shared" si="60"/>
        <v>2656</v>
      </c>
      <c r="I146" s="8">
        <f t="shared" si="61"/>
        <v>2746</v>
      </c>
      <c r="J146" s="8">
        <f t="shared" si="62"/>
        <v>2861</v>
      </c>
      <c r="K146" s="8">
        <f t="shared" si="53"/>
        <v>3000</v>
      </c>
      <c r="L146" s="8">
        <f t="shared" si="54"/>
        <v>3000</v>
      </c>
      <c r="M146" s="8">
        <f t="shared" si="55"/>
        <v>3000</v>
      </c>
      <c r="N146" s="8">
        <f t="shared" si="66"/>
        <v>-344</v>
      </c>
      <c r="O146" s="8">
        <f t="shared" si="67"/>
        <v>-254</v>
      </c>
      <c r="P146" s="8">
        <f t="shared" si="68"/>
        <v>-139</v>
      </c>
      <c r="Q146" s="12">
        <v>0</v>
      </c>
      <c r="R146" s="12">
        <v>0</v>
      </c>
      <c r="S146" s="12">
        <v>0</v>
      </c>
      <c r="T146" s="11">
        <f t="shared" si="63"/>
        <v>259</v>
      </c>
      <c r="U146" s="10">
        <f t="shared" si="47"/>
        <v>1816</v>
      </c>
      <c r="V146" s="10">
        <f t="shared" si="46"/>
        <v>2026</v>
      </c>
      <c r="W146" s="10">
        <f t="shared" si="48"/>
        <v>2091</v>
      </c>
      <c r="X146" s="8"/>
      <c r="Y146" s="8"/>
      <c r="Z146" s="8"/>
      <c r="AA146" s="8"/>
      <c r="AB146" s="30"/>
    </row>
    <row r="147" spans="1:28" ht="13.15" customHeight="1">
      <c r="A147" s="16">
        <v>133</v>
      </c>
      <c r="B147" s="15">
        <f t="shared" si="64"/>
        <v>45414</v>
      </c>
      <c r="C147" s="14">
        <f t="shared" si="65"/>
        <v>844</v>
      </c>
      <c r="D147" s="13">
        <f t="shared" si="56"/>
        <v>1443</v>
      </c>
      <c r="E147" s="12">
        <f t="shared" si="57"/>
        <v>-369</v>
      </c>
      <c r="F147" s="12">
        <f t="shared" si="58"/>
        <v>-459</v>
      </c>
      <c r="G147" s="12">
        <f t="shared" si="59"/>
        <v>-574</v>
      </c>
      <c r="H147" s="8">
        <f t="shared" si="60"/>
        <v>2656</v>
      </c>
      <c r="I147" s="8">
        <f t="shared" si="61"/>
        <v>2746</v>
      </c>
      <c r="J147" s="8">
        <f t="shared" si="62"/>
        <v>2861</v>
      </c>
      <c r="K147" s="8">
        <f t="shared" si="53"/>
        <v>3000</v>
      </c>
      <c r="L147" s="8">
        <f t="shared" si="54"/>
        <v>3000</v>
      </c>
      <c r="M147" s="8">
        <f t="shared" si="55"/>
        <v>3000</v>
      </c>
      <c r="N147" s="8">
        <f t="shared" si="66"/>
        <v>-344</v>
      </c>
      <c r="O147" s="8">
        <f t="shared" si="67"/>
        <v>-254</v>
      </c>
      <c r="P147" s="8">
        <f t="shared" si="68"/>
        <v>-139</v>
      </c>
      <c r="Q147" s="12">
        <v>0</v>
      </c>
      <c r="R147" s="12">
        <v>0</v>
      </c>
      <c r="S147" s="12">
        <v>0</v>
      </c>
      <c r="T147" s="11">
        <f t="shared" si="63"/>
        <v>261</v>
      </c>
      <c r="U147" s="10">
        <f t="shared" si="47"/>
        <v>1816</v>
      </c>
      <c r="V147" s="10">
        <f t="shared" si="46"/>
        <v>2026</v>
      </c>
      <c r="W147" s="10">
        <f t="shared" si="48"/>
        <v>2091</v>
      </c>
      <c r="X147" s="8"/>
      <c r="Y147" s="8"/>
      <c r="Z147" s="8"/>
      <c r="AA147" s="8"/>
      <c r="AB147" s="30"/>
    </row>
    <row r="148" spans="1:28" ht="13.15" customHeight="1">
      <c r="A148" s="16">
        <v>134</v>
      </c>
      <c r="B148" s="15">
        <f t="shared" si="64"/>
        <v>45415</v>
      </c>
      <c r="C148" s="14">
        <f t="shared" si="65"/>
        <v>844</v>
      </c>
      <c r="D148" s="13">
        <f t="shared" si="56"/>
        <v>1445</v>
      </c>
      <c r="E148" s="12">
        <f t="shared" si="57"/>
        <v>-1367</v>
      </c>
      <c r="F148" s="12">
        <f t="shared" si="58"/>
        <v>-1457</v>
      </c>
      <c r="G148" s="12">
        <f t="shared" si="59"/>
        <v>-1572</v>
      </c>
      <c r="H148" s="8">
        <f t="shared" si="60"/>
        <v>3656</v>
      </c>
      <c r="I148" s="8">
        <f t="shared" si="61"/>
        <v>3746</v>
      </c>
      <c r="J148" s="8">
        <f t="shared" si="62"/>
        <v>3861</v>
      </c>
      <c r="K148" s="8">
        <f>K147+1000</f>
        <v>4000</v>
      </c>
      <c r="L148" s="8">
        <f>L147+1000</f>
        <v>4000</v>
      </c>
      <c r="M148" s="8">
        <f>M147+1000</f>
        <v>4000</v>
      </c>
      <c r="N148" s="8">
        <f t="shared" si="66"/>
        <v>-344</v>
      </c>
      <c r="O148" s="8">
        <f t="shared" si="67"/>
        <v>-254</v>
      </c>
      <c r="P148" s="8">
        <f t="shared" si="68"/>
        <v>-139</v>
      </c>
      <c r="Q148" s="12">
        <v>0</v>
      </c>
      <c r="R148" s="12">
        <v>0</v>
      </c>
      <c r="S148" s="12">
        <v>0</v>
      </c>
      <c r="T148" s="11">
        <f t="shared" si="63"/>
        <v>263</v>
      </c>
      <c r="U148" s="10">
        <f t="shared" si="47"/>
        <v>1816</v>
      </c>
      <c r="V148" s="10">
        <f t="shared" si="46"/>
        <v>2026</v>
      </c>
      <c r="W148" s="10">
        <f t="shared" si="48"/>
        <v>2091</v>
      </c>
      <c r="X148" s="8"/>
      <c r="Y148" s="8"/>
      <c r="Z148" s="8"/>
      <c r="AA148" s="8"/>
      <c r="AB148" s="30"/>
    </row>
    <row r="149" spans="1:28" ht="13.15" customHeight="1">
      <c r="A149" s="16">
        <v>135</v>
      </c>
      <c r="B149" s="15">
        <f t="shared" si="64"/>
        <v>45416</v>
      </c>
      <c r="C149" s="14">
        <f t="shared" si="65"/>
        <v>844</v>
      </c>
      <c r="D149" s="13">
        <f t="shared" si="56"/>
        <v>1447</v>
      </c>
      <c r="E149" s="12">
        <f t="shared" si="57"/>
        <v>-1363</v>
      </c>
      <c r="F149" s="12">
        <f t="shared" si="58"/>
        <v>-1455</v>
      </c>
      <c r="G149" s="12">
        <f t="shared" si="59"/>
        <v>-1570</v>
      </c>
      <c r="H149" s="8">
        <f t="shared" si="60"/>
        <v>3654</v>
      </c>
      <c r="I149" s="8">
        <f t="shared" si="61"/>
        <v>3746</v>
      </c>
      <c r="J149" s="8">
        <f t="shared" si="62"/>
        <v>3861</v>
      </c>
      <c r="K149" s="8">
        <f t="shared" ref="K149:K212" si="69">K148</f>
        <v>4000</v>
      </c>
      <c r="L149" s="8">
        <f t="shared" ref="L149:L212" si="70">L148</f>
        <v>4000</v>
      </c>
      <c r="M149" s="8">
        <f t="shared" ref="M149:M212" si="71">M148</f>
        <v>4000</v>
      </c>
      <c r="N149" s="8">
        <f t="shared" si="66"/>
        <v>-346</v>
      </c>
      <c r="O149" s="8">
        <f t="shared" si="67"/>
        <v>-254</v>
      </c>
      <c r="P149" s="8">
        <f t="shared" si="68"/>
        <v>-139</v>
      </c>
      <c r="Q149" s="12">
        <v>2</v>
      </c>
      <c r="R149" s="12">
        <v>0</v>
      </c>
      <c r="S149" s="12">
        <v>0</v>
      </c>
      <c r="T149" s="11">
        <f t="shared" si="63"/>
        <v>265</v>
      </c>
      <c r="U149" s="10">
        <f t="shared" si="47"/>
        <v>1814</v>
      </c>
      <c r="V149" s="10">
        <f t="shared" si="46"/>
        <v>2026</v>
      </c>
      <c r="W149" s="10">
        <f t="shared" si="48"/>
        <v>2091</v>
      </c>
      <c r="X149" s="8"/>
      <c r="Y149" s="8"/>
      <c r="Z149" s="8"/>
      <c r="AA149" s="8"/>
      <c r="AB149" s="30"/>
    </row>
    <row r="150" spans="1:28" ht="13.15" customHeight="1">
      <c r="A150" s="16">
        <v>136</v>
      </c>
      <c r="B150" s="15">
        <f t="shared" si="64"/>
        <v>45417</v>
      </c>
      <c r="C150" s="14">
        <f t="shared" si="65"/>
        <v>844</v>
      </c>
      <c r="D150" s="13">
        <f t="shared" si="56"/>
        <v>1449</v>
      </c>
      <c r="E150" s="12">
        <f t="shared" si="57"/>
        <v>-1359</v>
      </c>
      <c r="F150" s="12">
        <f t="shared" si="58"/>
        <v>-1453</v>
      </c>
      <c r="G150" s="12">
        <f t="shared" si="59"/>
        <v>-1568</v>
      </c>
      <c r="H150" s="8">
        <f t="shared" si="60"/>
        <v>3652</v>
      </c>
      <c r="I150" s="8">
        <f t="shared" si="61"/>
        <v>3746</v>
      </c>
      <c r="J150" s="8">
        <f t="shared" si="62"/>
        <v>3861</v>
      </c>
      <c r="K150" s="8">
        <f t="shared" si="69"/>
        <v>4000</v>
      </c>
      <c r="L150" s="8">
        <f t="shared" si="70"/>
        <v>4000</v>
      </c>
      <c r="M150" s="8">
        <f t="shared" si="71"/>
        <v>4000</v>
      </c>
      <c r="N150" s="8">
        <f t="shared" si="66"/>
        <v>-348</v>
      </c>
      <c r="O150" s="8">
        <f t="shared" si="67"/>
        <v>-254</v>
      </c>
      <c r="P150" s="8">
        <f t="shared" si="68"/>
        <v>-139</v>
      </c>
      <c r="Q150" s="12">
        <v>2</v>
      </c>
      <c r="R150" s="12">
        <v>0</v>
      </c>
      <c r="S150" s="12">
        <v>0</v>
      </c>
      <c r="T150" s="11">
        <f t="shared" si="63"/>
        <v>267</v>
      </c>
      <c r="U150" s="10">
        <f t="shared" si="47"/>
        <v>1812</v>
      </c>
      <c r="V150" s="10">
        <f t="shared" si="46"/>
        <v>2026</v>
      </c>
      <c r="W150" s="10">
        <f t="shared" si="48"/>
        <v>2091</v>
      </c>
      <c r="X150" s="8"/>
      <c r="Y150" s="8"/>
      <c r="Z150" s="8"/>
      <c r="AA150" s="8"/>
      <c r="AB150" s="30"/>
    </row>
    <row r="151" spans="1:28" ht="13.15" customHeight="1">
      <c r="A151" s="16">
        <v>137</v>
      </c>
      <c r="B151" s="15">
        <f t="shared" si="64"/>
        <v>45418</v>
      </c>
      <c r="C151" s="14">
        <f t="shared" si="65"/>
        <v>844</v>
      </c>
      <c r="D151" s="13">
        <f t="shared" si="56"/>
        <v>1451</v>
      </c>
      <c r="E151" s="12">
        <f t="shared" si="57"/>
        <v>-1355</v>
      </c>
      <c r="F151" s="12">
        <f t="shared" si="58"/>
        <v>-1451</v>
      </c>
      <c r="G151" s="12">
        <f t="shared" si="59"/>
        <v>-1566</v>
      </c>
      <c r="H151" s="8">
        <f t="shared" si="60"/>
        <v>3650</v>
      </c>
      <c r="I151" s="8">
        <f t="shared" si="61"/>
        <v>3746</v>
      </c>
      <c r="J151" s="8">
        <f t="shared" si="62"/>
        <v>3861</v>
      </c>
      <c r="K151" s="8">
        <f t="shared" si="69"/>
        <v>4000</v>
      </c>
      <c r="L151" s="8">
        <f t="shared" si="70"/>
        <v>4000</v>
      </c>
      <c r="M151" s="8">
        <f t="shared" si="71"/>
        <v>4000</v>
      </c>
      <c r="N151" s="8">
        <f t="shared" si="66"/>
        <v>-350</v>
      </c>
      <c r="O151" s="8">
        <f t="shared" si="67"/>
        <v>-254</v>
      </c>
      <c r="P151" s="8">
        <f t="shared" si="68"/>
        <v>-139</v>
      </c>
      <c r="Q151" s="12">
        <v>2</v>
      </c>
      <c r="R151" s="12">
        <v>0</v>
      </c>
      <c r="S151" s="12">
        <v>0</v>
      </c>
      <c r="T151" s="11">
        <f t="shared" si="63"/>
        <v>269</v>
      </c>
      <c r="U151" s="10">
        <f t="shared" si="47"/>
        <v>1810</v>
      </c>
      <c r="V151" s="10">
        <f t="shared" si="46"/>
        <v>2026</v>
      </c>
      <c r="W151" s="10">
        <f t="shared" si="48"/>
        <v>2091</v>
      </c>
      <c r="X151" s="8"/>
      <c r="Y151" s="8"/>
      <c r="Z151" s="8"/>
      <c r="AA151" s="8"/>
      <c r="AB151" s="30"/>
    </row>
    <row r="152" spans="1:28" ht="13.15" customHeight="1">
      <c r="A152" s="16">
        <v>138</v>
      </c>
      <c r="B152" s="15">
        <f t="shared" si="64"/>
        <v>45419</v>
      </c>
      <c r="C152" s="14">
        <f t="shared" si="65"/>
        <v>844</v>
      </c>
      <c r="D152" s="13">
        <f t="shared" si="56"/>
        <v>1453</v>
      </c>
      <c r="E152" s="12">
        <f t="shared" si="57"/>
        <v>-1351</v>
      </c>
      <c r="F152" s="12">
        <f t="shared" si="58"/>
        <v>-1449</v>
      </c>
      <c r="G152" s="12">
        <f t="shared" si="59"/>
        <v>-1564</v>
      </c>
      <c r="H152" s="8">
        <f t="shared" si="60"/>
        <v>3648</v>
      </c>
      <c r="I152" s="8">
        <f t="shared" si="61"/>
        <v>3746</v>
      </c>
      <c r="J152" s="8">
        <f t="shared" si="62"/>
        <v>3861</v>
      </c>
      <c r="K152" s="8">
        <f t="shared" si="69"/>
        <v>4000</v>
      </c>
      <c r="L152" s="8">
        <f t="shared" si="70"/>
        <v>4000</v>
      </c>
      <c r="M152" s="8">
        <f t="shared" si="71"/>
        <v>4000</v>
      </c>
      <c r="N152" s="8">
        <f t="shared" si="66"/>
        <v>-352</v>
      </c>
      <c r="O152" s="8">
        <f t="shared" si="67"/>
        <v>-254</v>
      </c>
      <c r="P152" s="8">
        <f t="shared" si="68"/>
        <v>-139</v>
      </c>
      <c r="Q152" s="12">
        <v>2</v>
      </c>
      <c r="R152" s="12">
        <v>0</v>
      </c>
      <c r="S152" s="12">
        <v>0</v>
      </c>
      <c r="T152" s="11">
        <f t="shared" si="63"/>
        <v>271</v>
      </c>
      <c r="U152" s="10">
        <f t="shared" si="47"/>
        <v>1808</v>
      </c>
      <c r="V152" s="10">
        <f t="shared" si="46"/>
        <v>2026</v>
      </c>
      <c r="W152" s="10">
        <f t="shared" si="48"/>
        <v>2091</v>
      </c>
      <c r="X152" s="8"/>
      <c r="Y152" s="8"/>
      <c r="Z152" s="8"/>
      <c r="AA152" s="8"/>
      <c r="AB152" s="30"/>
    </row>
    <row r="153" spans="1:28" ht="13.15" customHeight="1">
      <c r="A153" s="16">
        <v>139</v>
      </c>
      <c r="B153" s="15">
        <f t="shared" si="64"/>
        <v>45420</v>
      </c>
      <c r="C153" s="14">
        <f t="shared" si="65"/>
        <v>844</v>
      </c>
      <c r="D153" s="13">
        <f t="shared" si="56"/>
        <v>1455</v>
      </c>
      <c r="E153" s="12">
        <f t="shared" si="57"/>
        <v>-1348</v>
      </c>
      <c r="F153" s="12">
        <f t="shared" si="58"/>
        <v>-1447</v>
      </c>
      <c r="G153" s="12">
        <f t="shared" si="59"/>
        <v>-1562</v>
      </c>
      <c r="H153" s="8">
        <f t="shared" si="60"/>
        <v>3647</v>
      </c>
      <c r="I153" s="8">
        <f t="shared" si="61"/>
        <v>3746</v>
      </c>
      <c r="J153" s="8">
        <f t="shared" si="62"/>
        <v>3861</v>
      </c>
      <c r="K153" s="8">
        <f t="shared" si="69"/>
        <v>4000</v>
      </c>
      <c r="L153" s="8">
        <f t="shared" si="70"/>
        <v>4000</v>
      </c>
      <c r="M153" s="8">
        <f t="shared" si="71"/>
        <v>4000</v>
      </c>
      <c r="N153" s="8">
        <f t="shared" si="66"/>
        <v>-353</v>
      </c>
      <c r="O153" s="8">
        <f t="shared" si="67"/>
        <v>-254</v>
      </c>
      <c r="P153" s="8">
        <f t="shared" si="68"/>
        <v>-139</v>
      </c>
      <c r="Q153" s="12">
        <v>1</v>
      </c>
      <c r="R153" s="12">
        <v>0</v>
      </c>
      <c r="S153" s="12">
        <v>0</v>
      </c>
      <c r="T153" s="11">
        <f t="shared" si="63"/>
        <v>273</v>
      </c>
      <c r="U153" s="10">
        <f t="shared" si="47"/>
        <v>1807</v>
      </c>
      <c r="V153" s="10">
        <f t="shared" si="46"/>
        <v>2026</v>
      </c>
      <c r="W153" s="10">
        <f t="shared" si="48"/>
        <v>2091</v>
      </c>
      <c r="X153" s="8"/>
      <c r="Y153" s="8"/>
      <c r="Z153" s="8"/>
      <c r="AA153" s="8"/>
      <c r="AB153" s="30"/>
    </row>
    <row r="154" spans="1:28" ht="13.15" customHeight="1">
      <c r="A154" s="16">
        <v>140</v>
      </c>
      <c r="B154" s="15">
        <f t="shared" si="64"/>
        <v>45421</v>
      </c>
      <c r="C154" s="14">
        <f t="shared" si="65"/>
        <v>844</v>
      </c>
      <c r="D154" s="13">
        <f t="shared" si="56"/>
        <v>1457</v>
      </c>
      <c r="E154" s="12">
        <f t="shared" si="57"/>
        <v>-1344</v>
      </c>
      <c r="F154" s="12">
        <f t="shared" si="58"/>
        <v>-1445</v>
      </c>
      <c r="G154" s="12">
        <f t="shared" si="59"/>
        <v>-1560</v>
      </c>
      <c r="H154" s="8">
        <f t="shared" si="60"/>
        <v>3645</v>
      </c>
      <c r="I154" s="8">
        <f t="shared" si="61"/>
        <v>3746</v>
      </c>
      <c r="J154" s="8">
        <f t="shared" si="62"/>
        <v>3861</v>
      </c>
      <c r="K154" s="8">
        <f t="shared" si="69"/>
        <v>4000</v>
      </c>
      <c r="L154" s="8">
        <f t="shared" si="70"/>
        <v>4000</v>
      </c>
      <c r="M154" s="8">
        <f t="shared" si="71"/>
        <v>4000</v>
      </c>
      <c r="N154" s="8">
        <f t="shared" si="66"/>
        <v>-355</v>
      </c>
      <c r="O154" s="8">
        <f t="shared" si="67"/>
        <v>-254</v>
      </c>
      <c r="P154" s="8">
        <f t="shared" si="68"/>
        <v>-139</v>
      </c>
      <c r="Q154" s="12">
        <v>2</v>
      </c>
      <c r="R154" s="12">
        <v>0</v>
      </c>
      <c r="S154" s="12">
        <v>0</v>
      </c>
      <c r="T154" s="11">
        <f t="shared" si="63"/>
        <v>275</v>
      </c>
      <c r="U154" s="10">
        <f t="shared" si="47"/>
        <v>1805</v>
      </c>
      <c r="V154" s="10">
        <f t="shared" ref="V154:V217" si="72">V153+$X154*1000-R154</f>
        <v>2026</v>
      </c>
      <c r="W154" s="10">
        <f t="shared" si="48"/>
        <v>2091</v>
      </c>
      <c r="X154" s="8"/>
      <c r="Y154" s="8"/>
      <c r="Z154" s="8"/>
      <c r="AA154" s="8"/>
      <c r="AB154" s="30"/>
    </row>
    <row r="155" spans="1:28" ht="13.15" customHeight="1">
      <c r="A155" s="16">
        <v>141</v>
      </c>
      <c r="B155" s="15">
        <f t="shared" si="64"/>
        <v>45422</v>
      </c>
      <c r="C155" s="14">
        <f t="shared" si="65"/>
        <v>844</v>
      </c>
      <c r="D155" s="13">
        <f t="shared" si="56"/>
        <v>1459</v>
      </c>
      <c r="E155" s="12">
        <f t="shared" si="57"/>
        <v>-1340</v>
      </c>
      <c r="F155" s="12">
        <f t="shared" si="58"/>
        <v>-1443</v>
      </c>
      <c r="G155" s="12">
        <f t="shared" si="59"/>
        <v>-1558</v>
      </c>
      <c r="H155" s="8">
        <f t="shared" si="60"/>
        <v>3643</v>
      </c>
      <c r="I155" s="8">
        <f t="shared" si="61"/>
        <v>3746</v>
      </c>
      <c r="J155" s="8">
        <f t="shared" si="62"/>
        <v>3861</v>
      </c>
      <c r="K155" s="8">
        <f t="shared" si="69"/>
        <v>4000</v>
      </c>
      <c r="L155" s="8">
        <f t="shared" si="70"/>
        <v>4000</v>
      </c>
      <c r="M155" s="8">
        <f t="shared" si="71"/>
        <v>4000</v>
      </c>
      <c r="N155" s="8">
        <f t="shared" si="66"/>
        <v>-357</v>
      </c>
      <c r="O155" s="8">
        <f t="shared" si="67"/>
        <v>-254</v>
      </c>
      <c r="P155" s="8">
        <f t="shared" si="68"/>
        <v>-139</v>
      </c>
      <c r="Q155" s="12">
        <v>2</v>
      </c>
      <c r="R155" s="12">
        <v>0</v>
      </c>
      <c r="S155" s="12">
        <v>0</v>
      </c>
      <c r="T155" s="11">
        <f t="shared" si="63"/>
        <v>277</v>
      </c>
      <c r="U155" s="10">
        <f t="shared" ref="U155:U218" si="73">U154+$X155*1000-Q155</f>
        <v>1803</v>
      </c>
      <c r="V155" s="10">
        <f t="shared" si="72"/>
        <v>2026</v>
      </c>
      <c r="W155" s="10">
        <f t="shared" ref="W155:W218" si="74">W154+$X155*1000-S155</f>
        <v>2091</v>
      </c>
      <c r="X155" s="8"/>
      <c r="Y155" s="8"/>
      <c r="Z155" s="8"/>
      <c r="AA155" s="8"/>
      <c r="AB155" s="30"/>
    </row>
    <row r="156" spans="1:28" ht="13.15" customHeight="1">
      <c r="A156" s="16">
        <v>142</v>
      </c>
      <c r="B156" s="15">
        <f t="shared" si="64"/>
        <v>45423</v>
      </c>
      <c r="C156" s="14">
        <f t="shared" si="65"/>
        <v>844</v>
      </c>
      <c r="D156" s="13">
        <f t="shared" si="56"/>
        <v>1461</v>
      </c>
      <c r="E156" s="12">
        <f t="shared" si="57"/>
        <v>-1336</v>
      </c>
      <c r="F156" s="12">
        <f t="shared" si="58"/>
        <v>-1441</v>
      </c>
      <c r="G156" s="12">
        <f t="shared" si="59"/>
        <v>-1556</v>
      </c>
      <c r="H156" s="8">
        <f t="shared" si="60"/>
        <v>3641</v>
      </c>
      <c r="I156" s="8">
        <f t="shared" si="61"/>
        <v>3746</v>
      </c>
      <c r="J156" s="8">
        <f t="shared" si="62"/>
        <v>3861</v>
      </c>
      <c r="K156" s="8">
        <f t="shared" si="69"/>
        <v>4000</v>
      </c>
      <c r="L156" s="8">
        <f t="shared" si="70"/>
        <v>4000</v>
      </c>
      <c r="M156" s="8">
        <f t="shared" si="71"/>
        <v>4000</v>
      </c>
      <c r="N156" s="8">
        <f t="shared" si="66"/>
        <v>-359</v>
      </c>
      <c r="O156" s="8">
        <f t="shared" si="67"/>
        <v>-254</v>
      </c>
      <c r="P156" s="8">
        <f t="shared" si="68"/>
        <v>-139</v>
      </c>
      <c r="Q156" s="12">
        <v>2</v>
      </c>
      <c r="R156" s="12">
        <v>0</v>
      </c>
      <c r="S156" s="12">
        <v>0</v>
      </c>
      <c r="T156" s="11">
        <f t="shared" si="63"/>
        <v>279</v>
      </c>
      <c r="U156" s="10">
        <f t="shared" si="73"/>
        <v>1801</v>
      </c>
      <c r="V156" s="10">
        <f t="shared" si="72"/>
        <v>2026</v>
      </c>
      <c r="W156" s="10">
        <f t="shared" si="74"/>
        <v>2091</v>
      </c>
      <c r="X156" s="8"/>
      <c r="Y156" s="8"/>
      <c r="Z156" s="8"/>
      <c r="AA156" s="8"/>
      <c r="AB156" s="30"/>
    </row>
    <row r="157" spans="1:28" ht="13.15" customHeight="1">
      <c r="A157" s="16">
        <v>143</v>
      </c>
      <c r="B157" s="15">
        <f t="shared" si="64"/>
        <v>45424</v>
      </c>
      <c r="C157" s="14">
        <f t="shared" si="65"/>
        <v>844</v>
      </c>
      <c r="D157" s="13">
        <f t="shared" si="56"/>
        <v>1463</v>
      </c>
      <c r="E157" s="12">
        <f t="shared" si="57"/>
        <v>-1332</v>
      </c>
      <c r="F157" s="12">
        <f t="shared" si="58"/>
        <v>-1439</v>
      </c>
      <c r="G157" s="12">
        <f t="shared" si="59"/>
        <v>-1554</v>
      </c>
      <c r="H157" s="8">
        <f t="shared" si="60"/>
        <v>3639</v>
      </c>
      <c r="I157" s="8">
        <f t="shared" si="61"/>
        <v>3746</v>
      </c>
      <c r="J157" s="8">
        <f t="shared" si="62"/>
        <v>3861</v>
      </c>
      <c r="K157" s="8">
        <f t="shared" si="69"/>
        <v>4000</v>
      </c>
      <c r="L157" s="8">
        <f t="shared" si="70"/>
        <v>4000</v>
      </c>
      <c r="M157" s="8">
        <f t="shared" si="71"/>
        <v>4000</v>
      </c>
      <c r="N157" s="8">
        <f t="shared" si="66"/>
        <v>-361</v>
      </c>
      <c r="O157" s="8">
        <f t="shared" si="67"/>
        <v>-254</v>
      </c>
      <c r="P157" s="8">
        <f t="shared" si="68"/>
        <v>-139</v>
      </c>
      <c r="Q157" s="12">
        <v>2</v>
      </c>
      <c r="R157" s="12">
        <v>0</v>
      </c>
      <c r="S157" s="12">
        <v>0</v>
      </c>
      <c r="T157" s="11">
        <f t="shared" si="63"/>
        <v>281</v>
      </c>
      <c r="U157" s="10">
        <f t="shared" si="73"/>
        <v>1799</v>
      </c>
      <c r="V157" s="10">
        <f t="shared" si="72"/>
        <v>2026</v>
      </c>
      <c r="W157" s="10">
        <f t="shared" si="74"/>
        <v>2091</v>
      </c>
      <c r="X157" s="8"/>
      <c r="Y157" s="8"/>
      <c r="Z157" s="8"/>
      <c r="AA157" s="8"/>
      <c r="AB157" s="30"/>
    </row>
    <row r="158" spans="1:28" ht="13.15" customHeight="1">
      <c r="A158" s="16">
        <v>144</v>
      </c>
      <c r="B158" s="15">
        <f t="shared" si="64"/>
        <v>45425</v>
      </c>
      <c r="C158" s="14">
        <f t="shared" si="65"/>
        <v>844</v>
      </c>
      <c r="D158" s="13">
        <f t="shared" si="56"/>
        <v>1465</v>
      </c>
      <c r="E158" s="12">
        <f t="shared" si="57"/>
        <v>-1328</v>
      </c>
      <c r="F158" s="12">
        <f t="shared" si="58"/>
        <v>-1437</v>
      </c>
      <c r="G158" s="12">
        <f t="shared" si="59"/>
        <v>-1552</v>
      </c>
      <c r="H158" s="8">
        <f t="shared" si="60"/>
        <v>3637</v>
      </c>
      <c r="I158" s="8">
        <f t="shared" si="61"/>
        <v>3746</v>
      </c>
      <c r="J158" s="8">
        <f t="shared" si="62"/>
        <v>3861</v>
      </c>
      <c r="K158" s="8">
        <f t="shared" si="69"/>
        <v>4000</v>
      </c>
      <c r="L158" s="8">
        <f t="shared" si="70"/>
        <v>4000</v>
      </c>
      <c r="M158" s="8">
        <f t="shared" si="71"/>
        <v>4000</v>
      </c>
      <c r="N158" s="8">
        <f t="shared" si="66"/>
        <v>-363</v>
      </c>
      <c r="O158" s="8">
        <f t="shared" si="67"/>
        <v>-254</v>
      </c>
      <c r="P158" s="8">
        <f t="shared" si="68"/>
        <v>-139</v>
      </c>
      <c r="Q158" s="12">
        <v>2</v>
      </c>
      <c r="R158" s="12">
        <v>0</v>
      </c>
      <c r="S158" s="12">
        <v>0</v>
      </c>
      <c r="T158" s="11">
        <f t="shared" si="63"/>
        <v>283</v>
      </c>
      <c r="U158" s="10">
        <f t="shared" si="73"/>
        <v>1797</v>
      </c>
      <c r="V158" s="10">
        <f t="shared" si="72"/>
        <v>2026</v>
      </c>
      <c r="W158" s="10">
        <f t="shared" si="74"/>
        <v>2091</v>
      </c>
      <c r="X158" s="8"/>
      <c r="Y158" s="8"/>
      <c r="Z158" s="8"/>
      <c r="AA158" s="8"/>
      <c r="AB158" s="30"/>
    </row>
    <row r="159" spans="1:28" ht="13.15" customHeight="1">
      <c r="A159" s="16">
        <v>145</v>
      </c>
      <c r="B159" s="15">
        <f t="shared" si="64"/>
        <v>45426</v>
      </c>
      <c r="C159" s="14">
        <f t="shared" si="65"/>
        <v>844</v>
      </c>
      <c r="D159" s="13">
        <f t="shared" si="56"/>
        <v>1467</v>
      </c>
      <c r="E159" s="12">
        <f t="shared" si="57"/>
        <v>-1325</v>
      </c>
      <c r="F159" s="12">
        <f t="shared" si="58"/>
        <v>-1435</v>
      </c>
      <c r="G159" s="12">
        <f t="shared" si="59"/>
        <v>-1550</v>
      </c>
      <c r="H159" s="8">
        <f t="shared" si="60"/>
        <v>3636</v>
      </c>
      <c r="I159" s="8">
        <f t="shared" si="61"/>
        <v>3746</v>
      </c>
      <c r="J159" s="8">
        <f t="shared" si="62"/>
        <v>3861</v>
      </c>
      <c r="K159" s="8">
        <f t="shared" si="69"/>
        <v>4000</v>
      </c>
      <c r="L159" s="8">
        <f t="shared" si="70"/>
        <v>4000</v>
      </c>
      <c r="M159" s="8">
        <f t="shared" si="71"/>
        <v>4000</v>
      </c>
      <c r="N159" s="8">
        <f t="shared" si="66"/>
        <v>-364</v>
      </c>
      <c r="O159" s="8">
        <f t="shared" si="67"/>
        <v>-254</v>
      </c>
      <c r="P159" s="8">
        <f t="shared" si="68"/>
        <v>-139</v>
      </c>
      <c r="Q159" s="12">
        <v>1</v>
      </c>
      <c r="R159" s="12">
        <v>0</v>
      </c>
      <c r="S159" s="12">
        <v>0</v>
      </c>
      <c r="T159" s="11">
        <f t="shared" si="63"/>
        <v>285</v>
      </c>
      <c r="U159" s="10">
        <f t="shared" si="73"/>
        <v>1796</v>
      </c>
      <c r="V159" s="10">
        <f t="shared" si="72"/>
        <v>2026</v>
      </c>
      <c r="W159" s="10">
        <f t="shared" si="74"/>
        <v>2091</v>
      </c>
      <c r="X159" s="8"/>
      <c r="Y159" s="8"/>
      <c r="Z159" s="8"/>
      <c r="AA159" s="8"/>
      <c r="AB159" s="30"/>
    </row>
    <row r="160" spans="1:28" ht="13.15" customHeight="1">
      <c r="A160" s="16">
        <v>146</v>
      </c>
      <c r="B160" s="15">
        <f t="shared" si="64"/>
        <v>45427</v>
      </c>
      <c r="C160" s="14">
        <f t="shared" si="65"/>
        <v>844</v>
      </c>
      <c r="D160" s="13">
        <f t="shared" si="56"/>
        <v>1469</v>
      </c>
      <c r="E160" s="12">
        <f t="shared" si="57"/>
        <v>-1321</v>
      </c>
      <c r="F160" s="12">
        <f t="shared" si="58"/>
        <v>-1433</v>
      </c>
      <c r="G160" s="12">
        <f t="shared" si="59"/>
        <v>-1548</v>
      </c>
      <c r="H160" s="8">
        <f t="shared" si="60"/>
        <v>3634</v>
      </c>
      <c r="I160" s="8">
        <f t="shared" si="61"/>
        <v>3746</v>
      </c>
      <c r="J160" s="8">
        <f t="shared" si="62"/>
        <v>3861</v>
      </c>
      <c r="K160" s="8">
        <f t="shared" si="69"/>
        <v>4000</v>
      </c>
      <c r="L160" s="8">
        <f t="shared" si="70"/>
        <v>4000</v>
      </c>
      <c r="M160" s="8">
        <f t="shared" si="71"/>
        <v>4000</v>
      </c>
      <c r="N160" s="8">
        <f t="shared" si="66"/>
        <v>-366</v>
      </c>
      <c r="O160" s="8">
        <f t="shared" si="67"/>
        <v>-254</v>
      </c>
      <c r="P160" s="8">
        <f t="shared" si="68"/>
        <v>-139</v>
      </c>
      <c r="Q160" s="12">
        <v>2</v>
      </c>
      <c r="R160" s="12">
        <v>0</v>
      </c>
      <c r="S160" s="12">
        <v>0</v>
      </c>
      <c r="T160" s="11">
        <f t="shared" si="63"/>
        <v>287</v>
      </c>
      <c r="U160" s="10">
        <f t="shared" si="73"/>
        <v>1794</v>
      </c>
      <c r="V160" s="10">
        <f t="shared" si="72"/>
        <v>2026</v>
      </c>
      <c r="W160" s="10">
        <f t="shared" si="74"/>
        <v>2091</v>
      </c>
      <c r="X160" s="8"/>
      <c r="Y160" s="8"/>
      <c r="Z160" s="8"/>
      <c r="AA160" s="8"/>
      <c r="AB160" s="30"/>
    </row>
    <row r="161" spans="1:28" ht="13.15" customHeight="1">
      <c r="A161" s="16">
        <v>147</v>
      </c>
      <c r="B161" s="15">
        <f t="shared" si="64"/>
        <v>45428</v>
      </c>
      <c r="C161" s="14">
        <f t="shared" si="65"/>
        <v>844</v>
      </c>
      <c r="D161" s="13">
        <f t="shared" si="56"/>
        <v>1471</v>
      </c>
      <c r="E161" s="12">
        <f t="shared" si="57"/>
        <v>-1317</v>
      </c>
      <c r="F161" s="12">
        <f t="shared" si="58"/>
        <v>-1431</v>
      </c>
      <c r="G161" s="12">
        <f t="shared" si="59"/>
        <v>-1546</v>
      </c>
      <c r="H161" s="8">
        <f t="shared" si="60"/>
        <v>3632</v>
      </c>
      <c r="I161" s="8">
        <f t="shared" si="61"/>
        <v>3746</v>
      </c>
      <c r="J161" s="8">
        <f t="shared" si="62"/>
        <v>3861</v>
      </c>
      <c r="K161" s="8">
        <f t="shared" si="69"/>
        <v>4000</v>
      </c>
      <c r="L161" s="8">
        <f t="shared" si="70"/>
        <v>4000</v>
      </c>
      <c r="M161" s="8">
        <f t="shared" si="71"/>
        <v>4000</v>
      </c>
      <c r="N161" s="8">
        <f t="shared" si="66"/>
        <v>-368</v>
      </c>
      <c r="O161" s="8">
        <f t="shared" si="67"/>
        <v>-254</v>
      </c>
      <c r="P161" s="8">
        <f t="shared" si="68"/>
        <v>-139</v>
      </c>
      <c r="Q161" s="12">
        <v>2</v>
      </c>
      <c r="R161" s="12">
        <v>0</v>
      </c>
      <c r="S161" s="12">
        <v>0</v>
      </c>
      <c r="T161" s="11">
        <f t="shared" si="63"/>
        <v>289</v>
      </c>
      <c r="U161" s="10">
        <f t="shared" si="73"/>
        <v>1792</v>
      </c>
      <c r="V161" s="10">
        <f t="shared" si="72"/>
        <v>2026</v>
      </c>
      <c r="W161" s="10">
        <f t="shared" si="74"/>
        <v>2091</v>
      </c>
      <c r="X161" s="8"/>
      <c r="Y161" s="8"/>
      <c r="Z161" s="8"/>
      <c r="AA161" s="8"/>
      <c r="AB161" s="30"/>
    </row>
    <row r="162" spans="1:28" ht="13.15" customHeight="1">
      <c r="A162" s="16">
        <v>148</v>
      </c>
      <c r="B162" s="15">
        <f t="shared" si="64"/>
        <v>45429</v>
      </c>
      <c r="C162" s="14">
        <f t="shared" si="65"/>
        <v>844</v>
      </c>
      <c r="D162" s="13">
        <f t="shared" si="56"/>
        <v>1473</v>
      </c>
      <c r="E162" s="12">
        <f t="shared" si="57"/>
        <v>-1313</v>
      </c>
      <c r="F162" s="12">
        <f t="shared" si="58"/>
        <v>-1429</v>
      </c>
      <c r="G162" s="12">
        <f t="shared" si="59"/>
        <v>-1544</v>
      </c>
      <c r="H162" s="8">
        <f t="shared" si="60"/>
        <v>3630</v>
      </c>
      <c r="I162" s="8">
        <f t="shared" si="61"/>
        <v>3746</v>
      </c>
      <c r="J162" s="8">
        <f t="shared" si="62"/>
        <v>3861</v>
      </c>
      <c r="K162" s="8">
        <f t="shared" si="69"/>
        <v>4000</v>
      </c>
      <c r="L162" s="8">
        <f t="shared" si="70"/>
        <v>4000</v>
      </c>
      <c r="M162" s="8">
        <f t="shared" si="71"/>
        <v>4000</v>
      </c>
      <c r="N162" s="8">
        <f t="shared" si="66"/>
        <v>-370</v>
      </c>
      <c r="O162" s="8">
        <f t="shared" si="67"/>
        <v>-254</v>
      </c>
      <c r="P162" s="8">
        <f t="shared" si="68"/>
        <v>-139</v>
      </c>
      <c r="Q162" s="12">
        <v>2</v>
      </c>
      <c r="R162" s="12">
        <v>0</v>
      </c>
      <c r="S162" s="12">
        <v>0</v>
      </c>
      <c r="T162" s="11">
        <f t="shared" si="63"/>
        <v>291</v>
      </c>
      <c r="U162" s="10">
        <f t="shared" si="73"/>
        <v>1790</v>
      </c>
      <c r="V162" s="10">
        <f t="shared" si="72"/>
        <v>2026</v>
      </c>
      <c r="W162" s="10">
        <f t="shared" si="74"/>
        <v>2091</v>
      </c>
      <c r="X162" s="8"/>
      <c r="Y162" s="8"/>
      <c r="Z162" s="8"/>
      <c r="AA162" s="8"/>
      <c r="AB162" s="30"/>
    </row>
    <row r="163" spans="1:28" ht="13.15" customHeight="1">
      <c r="A163" s="16">
        <v>149</v>
      </c>
      <c r="B163" s="15">
        <f t="shared" si="64"/>
        <v>45430</v>
      </c>
      <c r="C163" s="14">
        <f t="shared" si="65"/>
        <v>844</v>
      </c>
      <c r="D163" s="13">
        <f t="shared" si="56"/>
        <v>1475</v>
      </c>
      <c r="E163" s="12">
        <f t="shared" si="57"/>
        <v>-1309</v>
      </c>
      <c r="F163" s="12">
        <f t="shared" si="58"/>
        <v>-1427</v>
      </c>
      <c r="G163" s="12">
        <f t="shared" si="59"/>
        <v>-1542</v>
      </c>
      <c r="H163" s="8">
        <f t="shared" si="60"/>
        <v>3628</v>
      </c>
      <c r="I163" s="8">
        <f t="shared" si="61"/>
        <v>3746</v>
      </c>
      <c r="J163" s="8">
        <f t="shared" si="62"/>
        <v>3861</v>
      </c>
      <c r="K163" s="8">
        <f t="shared" si="69"/>
        <v>4000</v>
      </c>
      <c r="L163" s="8">
        <f t="shared" si="70"/>
        <v>4000</v>
      </c>
      <c r="M163" s="8">
        <f t="shared" si="71"/>
        <v>4000</v>
      </c>
      <c r="N163" s="8">
        <f t="shared" si="66"/>
        <v>-372</v>
      </c>
      <c r="O163" s="8">
        <f t="shared" si="67"/>
        <v>-254</v>
      </c>
      <c r="P163" s="8">
        <f t="shared" si="68"/>
        <v>-139</v>
      </c>
      <c r="Q163" s="12">
        <v>2</v>
      </c>
      <c r="R163" s="12">
        <v>0</v>
      </c>
      <c r="S163" s="12">
        <v>0</v>
      </c>
      <c r="T163" s="11">
        <f t="shared" si="63"/>
        <v>293</v>
      </c>
      <c r="U163" s="10">
        <f t="shared" si="73"/>
        <v>1788</v>
      </c>
      <c r="V163" s="10">
        <f t="shared" si="72"/>
        <v>2026</v>
      </c>
      <c r="W163" s="10">
        <f t="shared" si="74"/>
        <v>2091</v>
      </c>
      <c r="X163" s="8"/>
      <c r="Y163" s="8"/>
      <c r="Z163" s="8"/>
      <c r="AA163" s="8"/>
      <c r="AB163" s="30"/>
    </row>
    <row r="164" spans="1:28" ht="13.15" customHeight="1">
      <c r="A164" s="16">
        <v>150</v>
      </c>
      <c r="B164" s="15">
        <f t="shared" si="64"/>
        <v>45431</v>
      </c>
      <c r="C164" s="14">
        <f t="shared" si="65"/>
        <v>844</v>
      </c>
      <c r="D164" s="13">
        <f t="shared" si="56"/>
        <v>1477</v>
      </c>
      <c r="E164" s="12">
        <f t="shared" si="57"/>
        <v>-1307</v>
      </c>
      <c r="F164" s="12">
        <f t="shared" si="58"/>
        <v>-1425</v>
      </c>
      <c r="G164" s="12">
        <f t="shared" si="59"/>
        <v>-1540</v>
      </c>
      <c r="H164" s="8">
        <f t="shared" si="60"/>
        <v>3628</v>
      </c>
      <c r="I164" s="8">
        <f t="shared" si="61"/>
        <v>3746</v>
      </c>
      <c r="J164" s="8">
        <f t="shared" si="62"/>
        <v>3861</v>
      </c>
      <c r="K164" s="8">
        <f t="shared" si="69"/>
        <v>4000</v>
      </c>
      <c r="L164" s="8">
        <f t="shared" si="70"/>
        <v>4000</v>
      </c>
      <c r="M164" s="8">
        <f t="shared" si="71"/>
        <v>4000</v>
      </c>
      <c r="N164" s="8">
        <f t="shared" si="66"/>
        <v>-372</v>
      </c>
      <c r="O164" s="8">
        <f t="shared" si="67"/>
        <v>-254</v>
      </c>
      <c r="P164" s="8">
        <f t="shared" si="68"/>
        <v>-139</v>
      </c>
      <c r="Q164" s="12">
        <v>0</v>
      </c>
      <c r="R164" s="12">
        <v>0</v>
      </c>
      <c r="S164" s="12">
        <v>0</v>
      </c>
      <c r="T164" s="11">
        <f t="shared" si="63"/>
        <v>295</v>
      </c>
      <c r="U164" s="10">
        <f t="shared" si="73"/>
        <v>1788</v>
      </c>
      <c r="V164" s="10">
        <f t="shared" si="72"/>
        <v>2026</v>
      </c>
      <c r="W164" s="10">
        <f t="shared" si="74"/>
        <v>2091</v>
      </c>
      <c r="X164" s="8"/>
      <c r="Y164" s="8"/>
      <c r="Z164" s="8"/>
      <c r="AA164" s="8"/>
      <c r="AB164" s="30"/>
    </row>
    <row r="165" spans="1:28" ht="13.15" customHeight="1">
      <c r="A165" s="16">
        <v>151</v>
      </c>
      <c r="B165" s="15">
        <f t="shared" si="64"/>
        <v>45432</v>
      </c>
      <c r="C165" s="14">
        <f t="shared" si="65"/>
        <v>844</v>
      </c>
      <c r="D165" s="13">
        <f t="shared" si="56"/>
        <v>1479</v>
      </c>
      <c r="E165" s="12">
        <f t="shared" si="57"/>
        <v>-1305</v>
      </c>
      <c r="F165" s="12">
        <f t="shared" si="58"/>
        <v>-1423</v>
      </c>
      <c r="G165" s="12">
        <f t="shared" si="59"/>
        <v>-1538</v>
      </c>
      <c r="H165" s="8">
        <f t="shared" si="60"/>
        <v>3628</v>
      </c>
      <c r="I165" s="8">
        <f t="shared" si="61"/>
        <v>3746</v>
      </c>
      <c r="J165" s="8">
        <f t="shared" si="62"/>
        <v>3861</v>
      </c>
      <c r="K165" s="8">
        <f t="shared" si="69"/>
        <v>4000</v>
      </c>
      <c r="L165" s="8">
        <f t="shared" si="70"/>
        <v>4000</v>
      </c>
      <c r="M165" s="8">
        <f t="shared" si="71"/>
        <v>4000</v>
      </c>
      <c r="N165" s="8">
        <f t="shared" si="66"/>
        <v>-372</v>
      </c>
      <c r="O165" s="8">
        <f t="shared" si="67"/>
        <v>-254</v>
      </c>
      <c r="P165" s="8">
        <f t="shared" si="68"/>
        <v>-139</v>
      </c>
      <c r="Q165" s="12">
        <v>0</v>
      </c>
      <c r="R165" s="12">
        <v>0</v>
      </c>
      <c r="S165" s="12">
        <v>0</v>
      </c>
      <c r="T165" s="11">
        <f t="shared" si="63"/>
        <v>297</v>
      </c>
      <c r="U165" s="10">
        <f t="shared" si="73"/>
        <v>1788</v>
      </c>
      <c r="V165" s="10">
        <f t="shared" si="72"/>
        <v>2026</v>
      </c>
      <c r="W165" s="10">
        <f t="shared" si="74"/>
        <v>2091</v>
      </c>
      <c r="X165" s="8"/>
      <c r="Y165" s="8"/>
      <c r="Z165" s="8"/>
      <c r="AA165" s="8"/>
      <c r="AB165" s="30"/>
    </row>
    <row r="166" spans="1:28" ht="13.15" customHeight="1">
      <c r="A166" s="16">
        <v>152</v>
      </c>
      <c r="B166" s="15">
        <f t="shared" si="64"/>
        <v>45433</v>
      </c>
      <c r="C166" s="14">
        <f t="shared" si="65"/>
        <v>844</v>
      </c>
      <c r="D166" s="13">
        <f t="shared" si="56"/>
        <v>1481</v>
      </c>
      <c r="E166" s="12">
        <f t="shared" si="57"/>
        <v>-1303</v>
      </c>
      <c r="F166" s="12">
        <f t="shared" si="58"/>
        <v>-1421</v>
      </c>
      <c r="G166" s="12">
        <f t="shared" si="59"/>
        <v>-1536</v>
      </c>
      <c r="H166" s="8">
        <f t="shared" si="60"/>
        <v>3628</v>
      </c>
      <c r="I166" s="8">
        <f t="shared" si="61"/>
        <v>3746</v>
      </c>
      <c r="J166" s="8">
        <f t="shared" si="62"/>
        <v>3861</v>
      </c>
      <c r="K166" s="8">
        <f t="shared" si="69"/>
        <v>4000</v>
      </c>
      <c r="L166" s="8">
        <f t="shared" si="70"/>
        <v>4000</v>
      </c>
      <c r="M166" s="8">
        <f t="shared" si="71"/>
        <v>4000</v>
      </c>
      <c r="N166" s="8">
        <f t="shared" si="66"/>
        <v>-372</v>
      </c>
      <c r="O166" s="8">
        <f t="shared" si="67"/>
        <v>-254</v>
      </c>
      <c r="P166" s="8">
        <f t="shared" si="68"/>
        <v>-139</v>
      </c>
      <c r="Q166" s="12">
        <v>0</v>
      </c>
      <c r="R166" s="12">
        <v>0</v>
      </c>
      <c r="S166" s="12">
        <v>0</v>
      </c>
      <c r="T166" s="11">
        <f t="shared" si="63"/>
        <v>299</v>
      </c>
      <c r="U166" s="10">
        <f t="shared" si="73"/>
        <v>1788</v>
      </c>
      <c r="V166" s="10">
        <f t="shared" si="72"/>
        <v>2026</v>
      </c>
      <c r="W166" s="10">
        <f t="shared" si="74"/>
        <v>2091</v>
      </c>
      <c r="X166" s="8"/>
      <c r="Y166" s="8"/>
      <c r="Z166" s="8"/>
      <c r="AA166" s="8"/>
      <c r="AB166" s="30"/>
    </row>
    <row r="167" spans="1:28" ht="13.15" customHeight="1">
      <c r="A167" s="16">
        <v>153</v>
      </c>
      <c r="B167" s="15">
        <f t="shared" si="64"/>
        <v>45434</v>
      </c>
      <c r="C167" s="14">
        <f t="shared" si="65"/>
        <v>844</v>
      </c>
      <c r="D167" s="13">
        <f t="shared" si="56"/>
        <v>1483</v>
      </c>
      <c r="E167" s="12">
        <f t="shared" si="57"/>
        <v>-1301</v>
      </c>
      <c r="F167" s="12">
        <f t="shared" si="58"/>
        <v>-1419</v>
      </c>
      <c r="G167" s="12">
        <f t="shared" si="59"/>
        <v>-1534</v>
      </c>
      <c r="H167" s="8">
        <f t="shared" si="60"/>
        <v>3628</v>
      </c>
      <c r="I167" s="8">
        <f t="shared" si="61"/>
        <v>3746</v>
      </c>
      <c r="J167" s="8">
        <f t="shared" si="62"/>
        <v>3861</v>
      </c>
      <c r="K167" s="8">
        <f t="shared" si="69"/>
        <v>4000</v>
      </c>
      <c r="L167" s="8">
        <f t="shared" si="70"/>
        <v>4000</v>
      </c>
      <c r="M167" s="8">
        <f t="shared" si="71"/>
        <v>4000</v>
      </c>
      <c r="N167" s="8">
        <f t="shared" si="66"/>
        <v>-372</v>
      </c>
      <c r="O167" s="8">
        <f t="shared" si="67"/>
        <v>-254</v>
      </c>
      <c r="P167" s="8">
        <f t="shared" si="68"/>
        <v>-139</v>
      </c>
      <c r="Q167" s="12">
        <v>0</v>
      </c>
      <c r="R167" s="12">
        <v>0</v>
      </c>
      <c r="S167" s="12">
        <v>0</v>
      </c>
      <c r="T167" s="11">
        <f t="shared" si="63"/>
        <v>301</v>
      </c>
      <c r="U167" s="10">
        <f t="shared" si="73"/>
        <v>1788</v>
      </c>
      <c r="V167" s="10">
        <f t="shared" si="72"/>
        <v>2026</v>
      </c>
      <c r="W167" s="10">
        <f t="shared" si="74"/>
        <v>2091</v>
      </c>
      <c r="X167" s="8"/>
      <c r="Y167" s="8"/>
      <c r="Z167" s="8"/>
      <c r="AA167" s="8"/>
      <c r="AB167" s="30"/>
    </row>
    <row r="168" spans="1:28" ht="13.15" customHeight="1">
      <c r="A168" s="16">
        <v>154</v>
      </c>
      <c r="B168" s="15">
        <f t="shared" si="64"/>
        <v>45435</v>
      </c>
      <c r="C168" s="14">
        <f t="shared" si="65"/>
        <v>844</v>
      </c>
      <c r="D168" s="13">
        <f t="shared" si="56"/>
        <v>1485</v>
      </c>
      <c r="E168" s="12">
        <f t="shared" si="57"/>
        <v>-1299</v>
      </c>
      <c r="F168" s="12">
        <f t="shared" si="58"/>
        <v>-1417</v>
      </c>
      <c r="G168" s="12">
        <f t="shared" si="59"/>
        <v>-1532</v>
      </c>
      <c r="H168" s="8">
        <f t="shared" si="60"/>
        <v>3628</v>
      </c>
      <c r="I168" s="8">
        <f t="shared" si="61"/>
        <v>3746</v>
      </c>
      <c r="J168" s="8">
        <f t="shared" si="62"/>
        <v>3861</v>
      </c>
      <c r="K168" s="8">
        <f t="shared" si="69"/>
        <v>4000</v>
      </c>
      <c r="L168" s="8">
        <f t="shared" si="70"/>
        <v>4000</v>
      </c>
      <c r="M168" s="8">
        <f t="shared" si="71"/>
        <v>4000</v>
      </c>
      <c r="N168" s="8">
        <f t="shared" si="66"/>
        <v>-372</v>
      </c>
      <c r="O168" s="8">
        <f t="shared" si="67"/>
        <v>-254</v>
      </c>
      <c r="P168" s="8">
        <f t="shared" si="68"/>
        <v>-139</v>
      </c>
      <c r="Q168" s="12">
        <v>0</v>
      </c>
      <c r="R168" s="12">
        <v>0</v>
      </c>
      <c r="S168" s="12">
        <v>0</v>
      </c>
      <c r="T168" s="11">
        <f t="shared" si="63"/>
        <v>303</v>
      </c>
      <c r="U168" s="10">
        <f t="shared" si="73"/>
        <v>1788</v>
      </c>
      <c r="V168" s="10">
        <f t="shared" si="72"/>
        <v>2026</v>
      </c>
      <c r="W168" s="10">
        <f t="shared" si="74"/>
        <v>2091</v>
      </c>
      <c r="X168" s="8"/>
      <c r="Y168" s="8"/>
      <c r="Z168" s="8"/>
      <c r="AA168" s="8"/>
      <c r="AB168" s="30"/>
    </row>
    <row r="169" spans="1:28" ht="13.15" customHeight="1">
      <c r="A169" s="16">
        <v>155</v>
      </c>
      <c r="B169" s="15">
        <f t="shared" si="64"/>
        <v>45436</v>
      </c>
      <c r="C169" s="14">
        <f t="shared" si="65"/>
        <v>844</v>
      </c>
      <c r="D169" s="13">
        <f t="shared" si="56"/>
        <v>1487</v>
      </c>
      <c r="E169" s="12">
        <f t="shared" si="57"/>
        <v>-1297</v>
      </c>
      <c r="F169" s="12">
        <f t="shared" si="58"/>
        <v>-1415</v>
      </c>
      <c r="G169" s="12">
        <f t="shared" si="59"/>
        <v>-1530</v>
      </c>
      <c r="H169" s="8">
        <f t="shared" si="60"/>
        <v>3628</v>
      </c>
      <c r="I169" s="8">
        <f t="shared" si="61"/>
        <v>3746</v>
      </c>
      <c r="J169" s="8">
        <f t="shared" si="62"/>
        <v>3861</v>
      </c>
      <c r="K169" s="8">
        <f t="shared" si="69"/>
        <v>4000</v>
      </c>
      <c r="L169" s="8">
        <f t="shared" si="70"/>
        <v>4000</v>
      </c>
      <c r="M169" s="8">
        <f t="shared" si="71"/>
        <v>4000</v>
      </c>
      <c r="N169" s="8">
        <f t="shared" si="66"/>
        <v>-372</v>
      </c>
      <c r="O169" s="8">
        <f t="shared" si="67"/>
        <v>-254</v>
      </c>
      <c r="P169" s="8">
        <f t="shared" si="68"/>
        <v>-139</v>
      </c>
      <c r="Q169" s="12">
        <v>0</v>
      </c>
      <c r="R169" s="12">
        <v>0</v>
      </c>
      <c r="S169" s="12">
        <v>0</v>
      </c>
      <c r="T169" s="11">
        <f t="shared" si="63"/>
        <v>305</v>
      </c>
      <c r="U169" s="10">
        <f t="shared" si="73"/>
        <v>1788</v>
      </c>
      <c r="V169" s="10">
        <f t="shared" si="72"/>
        <v>2026</v>
      </c>
      <c r="W169" s="10">
        <f t="shared" si="74"/>
        <v>2091</v>
      </c>
      <c r="X169" s="8"/>
      <c r="Y169" s="8"/>
      <c r="Z169" s="8"/>
      <c r="AA169" s="8"/>
      <c r="AB169" s="30"/>
    </row>
    <row r="170" spans="1:28" ht="13.15" customHeight="1">
      <c r="A170" s="16">
        <v>156</v>
      </c>
      <c r="B170" s="15">
        <f t="shared" si="64"/>
        <v>45437</v>
      </c>
      <c r="C170" s="14">
        <f t="shared" si="65"/>
        <v>844</v>
      </c>
      <c r="D170" s="13">
        <f t="shared" si="56"/>
        <v>1489</v>
      </c>
      <c r="E170" s="12">
        <f t="shared" si="57"/>
        <v>-1295</v>
      </c>
      <c r="F170" s="12">
        <f t="shared" si="58"/>
        <v>-1413</v>
      </c>
      <c r="G170" s="12">
        <f t="shared" si="59"/>
        <v>-1528</v>
      </c>
      <c r="H170" s="8">
        <f t="shared" si="60"/>
        <v>3628</v>
      </c>
      <c r="I170" s="8">
        <f t="shared" si="61"/>
        <v>3746</v>
      </c>
      <c r="J170" s="8">
        <f t="shared" si="62"/>
        <v>3861</v>
      </c>
      <c r="K170" s="8">
        <f t="shared" si="69"/>
        <v>4000</v>
      </c>
      <c r="L170" s="8">
        <f t="shared" si="70"/>
        <v>4000</v>
      </c>
      <c r="M170" s="8">
        <f t="shared" si="71"/>
        <v>4000</v>
      </c>
      <c r="N170" s="8">
        <f t="shared" si="66"/>
        <v>-372</v>
      </c>
      <c r="O170" s="8">
        <f t="shared" si="67"/>
        <v>-254</v>
      </c>
      <c r="P170" s="8">
        <f t="shared" si="68"/>
        <v>-139</v>
      </c>
      <c r="Q170" s="12">
        <v>0</v>
      </c>
      <c r="R170" s="12">
        <v>0</v>
      </c>
      <c r="S170" s="12">
        <v>0</v>
      </c>
      <c r="T170" s="11">
        <f t="shared" si="63"/>
        <v>307</v>
      </c>
      <c r="U170" s="10">
        <f t="shared" si="73"/>
        <v>1788</v>
      </c>
      <c r="V170" s="10">
        <f t="shared" si="72"/>
        <v>2026</v>
      </c>
      <c r="W170" s="10">
        <f t="shared" si="74"/>
        <v>2091</v>
      </c>
      <c r="X170" s="8"/>
      <c r="Y170" s="8"/>
      <c r="Z170" s="8"/>
      <c r="AA170" s="8"/>
      <c r="AB170" s="30"/>
    </row>
    <row r="171" spans="1:28" ht="13.15" customHeight="1">
      <c r="A171" s="16">
        <v>157</v>
      </c>
      <c r="B171" s="15">
        <f t="shared" si="64"/>
        <v>45438</v>
      </c>
      <c r="C171" s="14">
        <f t="shared" si="65"/>
        <v>844</v>
      </c>
      <c r="D171" s="13">
        <f t="shared" si="56"/>
        <v>1491</v>
      </c>
      <c r="E171" s="12">
        <f t="shared" si="57"/>
        <v>-1291</v>
      </c>
      <c r="F171" s="12">
        <f t="shared" si="58"/>
        <v>-1411</v>
      </c>
      <c r="G171" s="12">
        <f t="shared" si="59"/>
        <v>-1526</v>
      </c>
      <c r="H171" s="8">
        <f t="shared" si="60"/>
        <v>3626</v>
      </c>
      <c r="I171" s="8">
        <f t="shared" si="61"/>
        <v>3746</v>
      </c>
      <c r="J171" s="8">
        <f t="shared" si="62"/>
        <v>3861</v>
      </c>
      <c r="K171" s="8">
        <f t="shared" si="69"/>
        <v>4000</v>
      </c>
      <c r="L171" s="8">
        <f t="shared" si="70"/>
        <v>4000</v>
      </c>
      <c r="M171" s="8">
        <f t="shared" si="71"/>
        <v>4000</v>
      </c>
      <c r="N171" s="8">
        <f t="shared" si="66"/>
        <v>-374</v>
      </c>
      <c r="O171" s="8">
        <f t="shared" si="67"/>
        <v>-254</v>
      </c>
      <c r="P171" s="8">
        <f t="shared" si="68"/>
        <v>-139</v>
      </c>
      <c r="Q171" s="12">
        <v>2</v>
      </c>
      <c r="R171" s="12">
        <v>0</v>
      </c>
      <c r="S171" s="12">
        <v>0</v>
      </c>
      <c r="T171" s="11">
        <f t="shared" si="63"/>
        <v>309</v>
      </c>
      <c r="U171" s="10">
        <f t="shared" si="73"/>
        <v>1786</v>
      </c>
      <c r="V171" s="10">
        <f t="shared" si="72"/>
        <v>2026</v>
      </c>
      <c r="W171" s="10">
        <f t="shared" si="74"/>
        <v>2091</v>
      </c>
      <c r="X171" s="8"/>
      <c r="Y171" s="8"/>
      <c r="Z171" s="8"/>
      <c r="AA171" s="8"/>
      <c r="AB171" s="30"/>
    </row>
    <row r="172" spans="1:28" ht="13.15" customHeight="1">
      <c r="A172" s="16">
        <v>158</v>
      </c>
      <c r="B172" s="15">
        <f t="shared" si="64"/>
        <v>45439</v>
      </c>
      <c r="C172" s="14">
        <f t="shared" si="65"/>
        <v>844</v>
      </c>
      <c r="D172" s="13">
        <f t="shared" si="56"/>
        <v>1493</v>
      </c>
      <c r="E172" s="12">
        <f t="shared" si="57"/>
        <v>-1287</v>
      </c>
      <c r="F172" s="12">
        <f t="shared" si="58"/>
        <v>-1409</v>
      </c>
      <c r="G172" s="12">
        <f t="shared" si="59"/>
        <v>-1524</v>
      </c>
      <c r="H172" s="8">
        <f t="shared" si="60"/>
        <v>3624</v>
      </c>
      <c r="I172" s="8">
        <f t="shared" si="61"/>
        <v>3746</v>
      </c>
      <c r="J172" s="8">
        <f t="shared" si="62"/>
        <v>3861</v>
      </c>
      <c r="K172" s="8">
        <f t="shared" si="69"/>
        <v>4000</v>
      </c>
      <c r="L172" s="8">
        <f t="shared" si="70"/>
        <v>4000</v>
      </c>
      <c r="M172" s="8">
        <f t="shared" si="71"/>
        <v>4000</v>
      </c>
      <c r="N172" s="8">
        <f t="shared" si="66"/>
        <v>-376</v>
      </c>
      <c r="O172" s="8">
        <f t="shared" si="67"/>
        <v>-254</v>
      </c>
      <c r="P172" s="8">
        <f t="shared" si="68"/>
        <v>-139</v>
      </c>
      <c r="Q172" s="12">
        <v>2</v>
      </c>
      <c r="R172" s="12">
        <v>0</v>
      </c>
      <c r="S172" s="12">
        <v>0</v>
      </c>
      <c r="T172" s="11">
        <f t="shared" si="63"/>
        <v>311</v>
      </c>
      <c r="U172" s="10">
        <f t="shared" si="73"/>
        <v>1784</v>
      </c>
      <c r="V172" s="10">
        <f t="shared" si="72"/>
        <v>2026</v>
      </c>
      <c r="W172" s="10">
        <f t="shared" si="74"/>
        <v>2091</v>
      </c>
      <c r="X172" s="8"/>
      <c r="Y172" s="8"/>
      <c r="Z172" s="8"/>
      <c r="AA172" s="8"/>
      <c r="AB172" s="30"/>
    </row>
    <row r="173" spans="1:28" ht="13.15" customHeight="1">
      <c r="A173" s="16">
        <v>159</v>
      </c>
      <c r="B173" s="15">
        <f t="shared" si="64"/>
        <v>45440</v>
      </c>
      <c r="C173" s="14">
        <f t="shared" si="65"/>
        <v>844</v>
      </c>
      <c r="D173" s="13">
        <f t="shared" si="56"/>
        <v>1495</v>
      </c>
      <c r="E173" s="12">
        <f t="shared" si="57"/>
        <v>-1283</v>
      </c>
      <c r="F173" s="12">
        <f t="shared" si="58"/>
        <v>-1407</v>
      </c>
      <c r="G173" s="12">
        <f t="shared" si="59"/>
        <v>-1522</v>
      </c>
      <c r="H173" s="8">
        <f t="shared" si="60"/>
        <v>3622</v>
      </c>
      <c r="I173" s="8">
        <f t="shared" si="61"/>
        <v>3746</v>
      </c>
      <c r="J173" s="8">
        <f t="shared" si="62"/>
        <v>3861</v>
      </c>
      <c r="K173" s="8">
        <f t="shared" si="69"/>
        <v>4000</v>
      </c>
      <c r="L173" s="8">
        <f t="shared" si="70"/>
        <v>4000</v>
      </c>
      <c r="M173" s="8">
        <f t="shared" si="71"/>
        <v>4000</v>
      </c>
      <c r="N173" s="8">
        <f t="shared" si="66"/>
        <v>-378</v>
      </c>
      <c r="O173" s="8">
        <f t="shared" si="67"/>
        <v>-254</v>
      </c>
      <c r="P173" s="8">
        <f t="shared" si="68"/>
        <v>-139</v>
      </c>
      <c r="Q173" s="12">
        <v>2</v>
      </c>
      <c r="R173" s="12">
        <v>0</v>
      </c>
      <c r="S173" s="12">
        <v>0</v>
      </c>
      <c r="T173" s="11">
        <f t="shared" si="63"/>
        <v>313</v>
      </c>
      <c r="U173" s="10">
        <f t="shared" si="73"/>
        <v>1782</v>
      </c>
      <c r="V173" s="10">
        <f t="shared" si="72"/>
        <v>2026</v>
      </c>
      <c r="W173" s="10">
        <f t="shared" si="74"/>
        <v>2091</v>
      </c>
      <c r="X173" s="8"/>
      <c r="Y173" s="8"/>
      <c r="Z173" s="8"/>
      <c r="AA173" s="8"/>
      <c r="AB173" s="30"/>
    </row>
    <row r="174" spans="1:28" ht="13.15" customHeight="1">
      <c r="A174" s="16">
        <v>160</v>
      </c>
      <c r="B174" s="15">
        <f t="shared" si="64"/>
        <v>45441</v>
      </c>
      <c r="C174" s="14">
        <f t="shared" si="65"/>
        <v>844</v>
      </c>
      <c r="D174" s="13">
        <f t="shared" si="56"/>
        <v>1497</v>
      </c>
      <c r="E174" s="12">
        <f t="shared" si="57"/>
        <v>-1279</v>
      </c>
      <c r="F174" s="12">
        <f t="shared" si="58"/>
        <v>-1405</v>
      </c>
      <c r="G174" s="12">
        <f t="shared" si="59"/>
        <v>-1520</v>
      </c>
      <c r="H174" s="8">
        <f t="shared" si="60"/>
        <v>3620</v>
      </c>
      <c r="I174" s="8">
        <f t="shared" si="61"/>
        <v>3746</v>
      </c>
      <c r="J174" s="8">
        <f t="shared" si="62"/>
        <v>3861</v>
      </c>
      <c r="K174" s="8">
        <f t="shared" si="69"/>
        <v>4000</v>
      </c>
      <c r="L174" s="8">
        <f t="shared" si="70"/>
        <v>4000</v>
      </c>
      <c r="M174" s="8">
        <f t="shared" si="71"/>
        <v>4000</v>
      </c>
      <c r="N174" s="8">
        <f t="shared" si="66"/>
        <v>-380</v>
      </c>
      <c r="O174" s="8">
        <f t="shared" si="67"/>
        <v>-254</v>
      </c>
      <c r="P174" s="8">
        <f t="shared" si="68"/>
        <v>-139</v>
      </c>
      <c r="Q174" s="12">
        <v>2</v>
      </c>
      <c r="R174" s="12">
        <v>0</v>
      </c>
      <c r="S174" s="12">
        <v>0</v>
      </c>
      <c r="T174" s="11">
        <f t="shared" si="63"/>
        <v>315</v>
      </c>
      <c r="U174" s="10">
        <f t="shared" si="73"/>
        <v>1780</v>
      </c>
      <c r="V174" s="10">
        <f t="shared" si="72"/>
        <v>2026</v>
      </c>
      <c r="W174" s="10">
        <f t="shared" si="74"/>
        <v>2091</v>
      </c>
      <c r="X174" s="8"/>
      <c r="Y174" s="8"/>
      <c r="Z174" s="8"/>
      <c r="AA174" s="8"/>
      <c r="AB174" s="30"/>
    </row>
    <row r="175" spans="1:28" ht="13.15" customHeight="1">
      <c r="A175" s="16">
        <v>161</v>
      </c>
      <c r="B175" s="15">
        <f t="shared" si="64"/>
        <v>45442</v>
      </c>
      <c r="C175" s="14">
        <f t="shared" si="65"/>
        <v>844</v>
      </c>
      <c r="D175" s="13">
        <f t="shared" si="56"/>
        <v>1499</v>
      </c>
      <c r="E175" s="12">
        <f t="shared" si="57"/>
        <v>-1276</v>
      </c>
      <c r="F175" s="12">
        <f t="shared" si="58"/>
        <v>-1403</v>
      </c>
      <c r="G175" s="12">
        <f t="shared" si="59"/>
        <v>-1518</v>
      </c>
      <c r="H175" s="8">
        <f t="shared" si="60"/>
        <v>3619</v>
      </c>
      <c r="I175" s="8">
        <f t="shared" si="61"/>
        <v>3746</v>
      </c>
      <c r="J175" s="8">
        <f t="shared" si="62"/>
        <v>3861</v>
      </c>
      <c r="K175" s="8">
        <f t="shared" si="69"/>
        <v>4000</v>
      </c>
      <c r="L175" s="8">
        <f t="shared" si="70"/>
        <v>4000</v>
      </c>
      <c r="M175" s="8">
        <f t="shared" si="71"/>
        <v>4000</v>
      </c>
      <c r="N175" s="8">
        <f t="shared" si="66"/>
        <v>-381</v>
      </c>
      <c r="O175" s="8">
        <f t="shared" si="67"/>
        <v>-254</v>
      </c>
      <c r="P175" s="8">
        <f t="shared" si="68"/>
        <v>-139</v>
      </c>
      <c r="Q175" s="12">
        <v>1</v>
      </c>
      <c r="R175" s="12">
        <v>0</v>
      </c>
      <c r="S175" s="12">
        <v>0</v>
      </c>
      <c r="T175" s="11">
        <f t="shared" si="63"/>
        <v>317</v>
      </c>
      <c r="U175" s="10">
        <f t="shared" si="73"/>
        <v>1779</v>
      </c>
      <c r="V175" s="10">
        <f t="shared" si="72"/>
        <v>2026</v>
      </c>
      <c r="W175" s="10">
        <f t="shared" si="74"/>
        <v>2091</v>
      </c>
      <c r="X175" s="8"/>
      <c r="Y175" s="8"/>
      <c r="Z175" s="8"/>
      <c r="AA175" s="8"/>
      <c r="AB175" s="30"/>
    </row>
    <row r="176" spans="1:28" ht="13.15" customHeight="1">
      <c r="A176" s="16">
        <v>162</v>
      </c>
      <c r="B176" s="15">
        <f t="shared" si="64"/>
        <v>45443</v>
      </c>
      <c r="C176" s="14">
        <f t="shared" si="65"/>
        <v>844</v>
      </c>
      <c r="D176" s="13">
        <f t="shared" si="56"/>
        <v>1501</v>
      </c>
      <c r="E176" s="12">
        <f t="shared" si="57"/>
        <v>-1272</v>
      </c>
      <c r="F176" s="12">
        <f t="shared" si="58"/>
        <v>-1401</v>
      </c>
      <c r="G176" s="12">
        <f t="shared" si="59"/>
        <v>-1516</v>
      </c>
      <c r="H176" s="8">
        <f t="shared" si="60"/>
        <v>3617</v>
      </c>
      <c r="I176" s="8">
        <f t="shared" si="61"/>
        <v>3746</v>
      </c>
      <c r="J176" s="8">
        <f t="shared" si="62"/>
        <v>3861</v>
      </c>
      <c r="K176" s="8">
        <f t="shared" si="69"/>
        <v>4000</v>
      </c>
      <c r="L176" s="8">
        <f t="shared" si="70"/>
        <v>4000</v>
      </c>
      <c r="M176" s="8">
        <f t="shared" si="71"/>
        <v>4000</v>
      </c>
      <c r="N176" s="8">
        <f t="shared" si="66"/>
        <v>-383</v>
      </c>
      <c r="O176" s="8">
        <f t="shared" si="67"/>
        <v>-254</v>
      </c>
      <c r="P176" s="8">
        <f t="shared" si="68"/>
        <v>-139</v>
      </c>
      <c r="Q176" s="12">
        <v>2</v>
      </c>
      <c r="R176" s="12">
        <v>0</v>
      </c>
      <c r="S176" s="12">
        <v>0</v>
      </c>
      <c r="T176" s="11">
        <f t="shared" si="63"/>
        <v>319</v>
      </c>
      <c r="U176" s="10">
        <f t="shared" si="73"/>
        <v>1777</v>
      </c>
      <c r="V176" s="10">
        <f t="shared" si="72"/>
        <v>2026</v>
      </c>
      <c r="W176" s="10">
        <f t="shared" si="74"/>
        <v>2091</v>
      </c>
      <c r="X176" s="8"/>
      <c r="Y176" s="8"/>
      <c r="Z176" s="8"/>
      <c r="AA176" s="8"/>
      <c r="AB176" s="30"/>
    </row>
    <row r="177" spans="1:28" ht="13.15" customHeight="1">
      <c r="A177" s="16">
        <v>163</v>
      </c>
      <c r="B177" s="15">
        <f t="shared" si="64"/>
        <v>45444</v>
      </c>
      <c r="C177" s="14">
        <f t="shared" si="65"/>
        <v>844</v>
      </c>
      <c r="D177" s="13">
        <f t="shared" si="56"/>
        <v>1503</v>
      </c>
      <c r="E177" s="12">
        <f t="shared" si="57"/>
        <v>-1268</v>
      </c>
      <c r="F177" s="12">
        <f t="shared" si="58"/>
        <v>-1399</v>
      </c>
      <c r="G177" s="12">
        <f t="shared" si="59"/>
        <v>-1514</v>
      </c>
      <c r="H177" s="8">
        <f t="shared" si="60"/>
        <v>3615</v>
      </c>
      <c r="I177" s="8">
        <f t="shared" si="61"/>
        <v>3746</v>
      </c>
      <c r="J177" s="8">
        <f t="shared" si="62"/>
        <v>3861</v>
      </c>
      <c r="K177" s="8">
        <f t="shared" si="69"/>
        <v>4000</v>
      </c>
      <c r="L177" s="8">
        <f t="shared" si="70"/>
        <v>4000</v>
      </c>
      <c r="M177" s="8">
        <f t="shared" si="71"/>
        <v>4000</v>
      </c>
      <c r="N177" s="8">
        <f t="shared" si="66"/>
        <v>-385</v>
      </c>
      <c r="O177" s="8">
        <f t="shared" si="67"/>
        <v>-254</v>
      </c>
      <c r="P177" s="8">
        <f t="shared" si="68"/>
        <v>-139</v>
      </c>
      <c r="Q177" s="12">
        <v>2</v>
      </c>
      <c r="R177" s="12">
        <v>0</v>
      </c>
      <c r="S177" s="12">
        <v>0</v>
      </c>
      <c r="T177" s="11">
        <f t="shared" si="63"/>
        <v>321</v>
      </c>
      <c r="U177" s="10">
        <f t="shared" si="73"/>
        <v>1775</v>
      </c>
      <c r="V177" s="10">
        <f t="shared" si="72"/>
        <v>2026</v>
      </c>
      <c r="W177" s="10">
        <f t="shared" si="74"/>
        <v>2091</v>
      </c>
      <c r="X177" s="8"/>
      <c r="Y177" s="8"/>
      <c r="Z177" s="8"/>
      <c r="AA177" s="8"/>
      <c r="AB177" s="30"/>
    </row>
    <row r="178" spans="1:28" ht="13.15" customHeight="1">
      <c r="A178" s="16">
        <v>164</v>
      </c>
      <c r="B178" s="15">
        <f t="shared" si="64"/>
        <v>45445</v>
      </c>
      <c r="C178" s="14">
        <f t="shared" si="65"/>
        <v>844</v>
      </c>
      <c r="D178" s="13">
        <f t="shared" si="56"/>
        <v>1505</v>
      </c>
      <c r="E178" s="12">
        <f t="shared" si="57"/>
        <v>-1264</v>
      </c>
      <c r="F178" s="12">
        <f t="shared" si="58"/>
        <v>-1397</v>
      </c>
      <c r="G178" s="12">
        <f t="shared" si="59"/>
        <v>-1512</v>
      </c>
      <c r="H178" s="8">
        <f t="shared" si="60"/>
        <v>3613</v>
      </c>
      <c r="I178" s="8">
        <f t="shared" si="61"/>
        <v>3746</v>
      </c>
      <c r="J178" s="8">
        <f t="shared" si="62"/>
        <v>3861</v>
      </c>
      <c r="K178" s="8">
        <f t="shared" si="69"/>
        <v>4000</v>
      </c>
      <c r="L178" s="8">
        <f t="shared" si="70"/>
        <v>4000</v>
      </c>
      <c r="M178" s="8">
        <f t="shared" si="71"/>
        <v>4000</v>
      </c>
      <c r="N178" s="8">
        <f t="shared" si="66"/>
        <v>-387</v>
      </c>
      <c r="O178" s="8">
        <f t="shared" si="67"/>
        <v>-254</v>
      </c>
      <c r="P178" s="8">
        <f t="shared" si="68"/>
        <v>-139</v>
      </c>
      <c r="Q178" s="12">
        <v>2</v>
      </c>
      <c r="R178" s="12">
        <v>0</v>
      </c>
      <c r="S178" s="12">
        <v>0</v>
      </c>
      <c r="T178" s="11">
        <f t="shared" si="63"/>
        <v>323</v>
      </c>
      <c r="U178" s="10">
        <f t="shared" si="73"/>
        <v>1773</v>
      </c>
      <c r="V178" s="10">
        <f t="shared" si="72"/>
        <v>2026</v>
      </c>
      <c r="W178" s="10">
        <f t="shared" si="74"/>
        <v>2091</v>
      </c>
      <c r="X178" s="8"/>
      <c r="Y178" s="8"/>
      <c r="Z178" s="8"/>
      <c r="AA178" s="8"/>
      <c r="AB178" s="30"/>
    </row>
    <row r="179" spans="1:28" ht="13.15" customHeight="1">
      <c r="A179" s="16">
        <v>165</v>
      </c>
      <c r="B179" s="15">
        <f t="shared" si="64"/>
        <v>45446</v>
      </c>
      <c r="C179" s="14">
        <f t="shared" si="65"/>
        <v>844</v>
      </c>
      <c r="D179" s="13">
        <f t="shared" si="56"/>
        <v>1507</v>
      </c>
      <c r="E179" s="12">
        <f t="shared" si="57"/>
        <v>-1260</v>
      </c>
      <c r="F179" s="12">
        <f t="shared" si="58"/>
        <v>-1395</v>
      </c>
      <c r="G179" s="12">
        <f t="shared" si="59"/>
        <v>-1510</v>
      </c>
      <c r="H179" s="8">
        <f t="shared" si="60"/>
        <v>3611</v>
      </c>
      <c r="I179" s="8">
        <f t="shared" si="61"/>
        <v>3746</v>
      </c>
      <c r="J179" s="8">
        <f t="shared" si="62"/>
        <v>3861</v>
      </c>
      <c r="K179" s="8">
        <f t="shared" si="69"/>
        <v>4000</v>
      </c>
      <c r="L179" s="8">
        <f t="shared" si="70"/>
        <v>4000</v>
      </c>
      <c r="M179" s="8">
        <f t="shared" si="71"/>
        <v>4000</v>
      </c>
      <c r="N179" s="8">
        <f t="shared" si="66"/>
        <v>-389</v>
      </c>
      <c r="O179" s="8">
        <f t="shared" si="67"/>
        <v>-254</v>
      </c>
      <c r="P179" s="8">
        <f t="shared" si="68"/>
        <v>-139</v>
      </c>
      <c r="Q179" s="12">
        <v>2</v>
      </c>
      <c r="R179" s="12">
        <v>0</v>
      </c>
      <c r="S179" s="12">
        <v>0</v>
      </c>
      <c r="T179" s="11">
        <f t="shared" si="63"/>
        <v>325</v>
      </c>
      <c r="U179" s="10">
        <f t="shared" si="73"/>
        <v>1771</v>
      </c>
      <c r="V179" s="10">
        <f t="shared" si="72"/>
        <v>2026</v>
      </c>
      <c r="W179" s="10">
        <f t="shared" si="74"/>
        <v>2091</v>
      </c>
      <c r="X179" s="8"/>
      <c r="Y179" s="8"/>
      <c r="Z179" s="8"/>
      <c r="AA179" s="8"/>
      <c r="AB179" s="30"/>
    </row>
    <row r="180" spans="1:28" ht="13.15" customHeight="1">
      <c r="A180" s="16">
        <v>166</v>
      </c>
      <c r="B180" s="15">
        <f t="shared" si="64"/>
        <v>45447</v>
      </c>
      <c r="C180" s="14">
        <f t="shared" si="65"/>
        <v>844</v>
      </c>
      <c r="D180" s="13">
        <f t="shared" si="56"/>
        <v>1509</v>
      </c>
      <c r="E180" s="12">
        <f t="shared" si="57"/>
        <v>-1258</v>
      </c>
      <c r="F180" s="12">
        <f t="shared" si="58"/>
        <v>-1393</v>
      </c>
      <c r="G180" s="12">
        <f t="shared" si="59"/>
        <v>-1508</v>
      </c>
      <c r="H180" s="8">
        <f t="shared" si="60"/>
        <v>3611</v>
      </c>
      <c r="I180" s="8">
        <f t="shared" si="61"/>
        <v>3746</v>
      </c>
      <c r="J180" s="8">
        <f t="shared" si="62"/>
        <v>3861</v>
      </c>
      <c r="K180" s="8">
        <f t="shared" si="69"/>
        <v>4000</v>
      </c>
      <c r="L180" s="8">
        <f t="shared" si="70"/>
        <v>4000</v>
      </c>
      <c r="M180" s="8">
        <f t="shared" si="71"/>
        <v>4000</v>
      </c>
      <c r="N180" s="8">
        <f t="shared" si="66"/>
        <v>-389</v>
      </c>
      <c r="O180" s="8">
        <f t="shared" si="67"/>
        <v>-254</v>
      </c>
      <c r="P180" s="8">
        <f t="shared" si="68"/>
        <v>-139</v>
      </c>
      <c r="Q180" s="12">
        <v>0</v>
      </c>
      <c r="R180" s="12">
        <v>0</v>
      </c>
      <c r="S180" s="12">
        <v>0</v>
      </c>
      <c r="T180" s="11">
        <f t="shared" si="63"/>
        <v>327</v>
      </c>
      <c r="U180" s="10">
        <f t="shared" si="73"/>
        <v>1771</v>
      </c>
      <c r="V180" s="10">
        <f t="shared" si="72"/>
        <v>2026</v>
      </c>
      <c r="W180" s="10">
        <f t="shared" si="74"/>
        <v>2091</v>
      </c>
      <c r="X180" s="8"/>
      <c r="Y180" s="8"/>
      <c r="Z180" s="8"/>
      <c r="AA180" s="8"/>
      <c r="AB180" s="30"/>
    </row>
    <row r="181" spans="1:28" ht="13.15" customHeight="1">
      <c r="A181" s="16">
        <v>167</v>
      </c>
      <c r="B181" s="15">
        <f t="shared" si="64"/>
        <v>45448</v>
      </c>
      <c r="C181" s="14">
        <f t="shared" si="65"/>
        <v>844</v>
      </c>
      <c r="D181" s="13">
        <f t="shared" si="56"/>
        <v>1511</v>
      </c>
      <c r="E181" s="12">
        <f t="shared" si="57"/>
        <v>-1256</v>
      </c>
      <c r="F181" s="12">
        <f t="shared" si="58"/>
        <v>-1391</v>
      </c>
      <c r="G181" s="12">
        <f t="shared" si="59"/>
        <v>-1506</v>
      </c>
      <c r="H181" s="8">
        <f t="shared" si="60"/>
        <v>3611</v>
      </c>
      <c r="I181" s="8">
        <f t="shared" si="61"/>
        <v>3746</v>
      </c>
      <c r="J181" s="8">
        <f t="shared" si="62"/>
        <v>3861</v>
      </c>
      <c r="K181" s="8">
        <f t="shared" si="69"/>
        <v>4000</v>
      </c>
      <c r="L181" s="8">
        <f t="shared" si="70"/>
        <v>4000</v>
      </c>
      <c r="M181" s="8">
        <f t="shared" si="71"/>
        <v>4000</v>
      </c>
      <c r="N181" s="8">
        <f t="shared" si="66"/>
        <v>-389</v>
      </c>
      <c r="O181" s="8">
        <f t="shared" si="67"/>
        <v>-254</v>
      </c>
      <c r="P181" s="8">
        <f t="shared" si="68"/>
        <v>-139</v>
      </c>
      <c r="Q181" s="12">
        <v>0</v>
      </c>
      <c r="R181" s="12">
        <v>0</v>
      </c>
      <c r="S181" s="12">
        <v>0</v>
      </c>
      <c r="T181" s="11">
        <f t="shared" si="63"/>
        <v>329</v>
      </c>
      <c r="U181" s="10">
        <f t="shared" si="73"/>
        <v>1771</v>
      </c>
      <c r="V181" s="10">
        <f t="shared" si="72"/>
        <v>2026</v>
      </c>
      <c r="W181" s="10">
        <f t="shared" si="74"/>
        <v>2091</v>
      </c>
      <c r="X181" s="8"/>
      <c r="Y181" s="8"/>
      <c r="Z181" s="8"/>
      <c r="AA181" s="8"/>
      <c r="AB181" s="30"/>
    </row>
    <row r="182" spans="1:28" ht="13.15" customHeight="1">
      <c r="A182" s="16">
        <v>168</v>
      </c>
      <c r="B182" s="15">
        <f t="shared" si="64"/>
        <v>45449</v>
      </c>
      <c r="C182" s="14">
        <f t="shared" si="65"/>
        <v>844</v>
      </c>
      <c r="D182" s="13">
        <f t="shared" si="56"/>
        <v>1513</v>
      </c>
      <c r="E182" s="12">
        <f t="shared" si="57"/>
        <v>-1254</v>
      </c>
      <c r="F182" s="12">
        <f t="shared" si="58"/>
        <v>-1389</v>
      </c>
      <c r="G182" s="12">
        <f t="shared" si="59"/>
        <v>-1504</v>
      </c>
      <c r="H182" s="8">
        <f t="shared" si="60"/>
        <v>3611</v>
      </c>
      <c r="I182" s="8">
        <f t="shared" si="61"/>
        <v>3746</v>
      </c>
      <c r="J182" s="8">
        <f t="shared" si="62"/>
        <v>3861</v>
      </c>
      <c r="K182" s="8">
        <f t="shared" si="69"/>
        <v>4000</v>
      </c>
      <c r="L182" s="8">
        <f t="shared" si="70"/>
        <v>4000</v>
      </c>
      <c r="M182" s="8">
        <f t="shared" si="71"/>
        <v>4000</v>
      </c>
      <c r="N182" s="8">
        <f t="shared" si="66"/>
        <v>-389</v>
      </c>
      <c r="O182" s="8">
        <f t="shared" si="67"/>
        <v>-254</v>
      </c>
      <c r="P182" s="8">
        <f t="shared" si="68"/>
        <v>-139</v>
      </c>
      <c r="Q182" s="12">
        <v>0</v>
      </c>
      <c r="R182" s="12">
        <v>0</v>
      </c>
      <c r="S182" s="12">
        <v>0</v>
      </c>
      <c r="T182" s="11">
        <f t="shared" si="63"/>
        <v>331</v>
      </c>
      <c r="U182" s="10">
        <f t="shared" si="73"/>
        <v>1771</v>
      </c>
      <c r="V182" s="10">
        <f t="shared" si="72"/>
        <v>2026</v>
      </c>
      <c r="W182" s="10">
        <f t="shared" si="74"/>
        <v>2091</v>
      </c>
      <c r="X182" s="8"/>
      <c r="Y182" s="8"/>
      <c r="Z182" s="8"/>
      <c r="AA182" s="8"/>
      <c r="AB182" s="30"/>
    </row>
    <row r="183" spans="1:28" ht="13.15" customHeight="1">
      <c r="A183" s="16">
        <v>169</v>
      </c>
      <c r="B183" s="15">
        <f t="shared" si="64"/>
        <v>45450</v>
      </c>
      <c r="C183" s="14">
        <f t="shared" si="65"/>
        <v>844</v>
      </c>
      <c r="D183" s="13">
        <f t="shared" si="56"/>
        <v>1515</v>
      </c>
      <c r="E183" s="12">
        <f t="shared" si="57"/>
        <v>-1252</v>
      </c>
      <c r="F183" s="12">
        <f t="shared" si="58"/>
        <v>-1387</v>
      </c>
      <c r="G183" s="12">
        <f t="shared" si="59"/>
        <v>-1502</v>
      </c>
      <c r="H183" s="8">
        <f t="shared" si="60"/>
        <v>3611</v>
      </c>
      <c r="I183" s="8">
        <f t="shared" si="61"/>
        <v>3746</v>
      </c>
      <c r="J183" s="8">
        <f t="shared" si="62"/>
        <v>3861</v>
      </c>
      <c r="K183" s="8">
        <f t="shared" si="69"/>
        <v>4000</v>
      </c>
      <c r="L183" s="8">
        <f t="shared" si="70"/>
        <v>4000</v>
      </c>
      <c r="M183" s="8">
        <f t="shared" si="71"/>
        <v>4000</v>
      </c>
      <c r="N183" s="8">
        <f t="shared" si="66"/>
        <v>-389</v>
      </c>
      <c r="O183" s="8">
        <f t="shared" si="67"/>
        <v>-254</v>
      </c>
      <c r="P183" s="8">
        <f t="shared" si="68"/>
        <v>-139</v>
      </c>
      <c r="Q183" s="12">
        <v>0</v>
      </c>
      <c r="R183" s="12">
        <v>0</v>
      </c>
      <c r="S183" s="12">
        <v>0</v>
      </c>
      <c r="T183" s="11">
        <f t="shared" si="63"/>
        <v>333</v>
      </c>
      <c r="U183" s="10">
        <f t="shared" si="73"/>
        <v>1771</v>
      </c>
      <c r="V183" s="10">
        <f t="shared" si="72"/>
        <v>2026</v>
      </c>
      <c r="W183" s="10">
        <f t="shared" si="74"/>
        <v>2091</v>
      </c>
      <c r="X183" s="8"/>
      <c r="Y183" s="8"/>
      <c r="Z183" s="8"/>
      <c r="AA183" s="8"/>
      <c r="AB183" s="30"/>
    </row>
    <row r="184" spans="1:28" ht="13.15" customHeight="1">
      <c r="A184" s="16">
        <v>170</v>
      </c>
      <c r="B184" s="15">
        <f t="shared" si="64"/>
        <v>45451</v>
      </c>
      <c r="C184" s="14">
        <f t="shared" si="65"/>
        <v>844</v>
      </c>
      <c r="D184" s="13">
        <f t="shared" si="56"/>
        <v>1517</v>
      </c>
      <c r="E184" s="12">
        <f t="shared" si="57"/>
        <v>-1250</v>
      </c>
      <c r="F184" s="12">
        <f t="shared" si="58"/>
        <v>-1385</v>
      </c>
      <c r="G184" s="12">
        <f t="shared" si="59"/>
        <v>-1500</v>
      </c>
      <c r="H184" s="8">
        <f t="shared" si="60"/>
        <v>3611</v>
      </c>
      <c r="I184" s="8">
        <f t="shared" si="61"/>
        <v>3746</v>
      </c>
      <c r="J184" s="8">
        <f t="shared" si="62"/>
        <v>3861</v>
      </c>
      <c r="K184" s="8">
        <f t="shared" si="69"/>
        <v>4000</v>
      </c>
      <c r="L184" s="8">
        <f t="shared" si="70"/>
        <v>4000</v>
      </c>
      <c r="M184" s="8">
        <f t="shared" si="71"/>
        <v>4000</v>
      </c>
      <c r="N184" s="8">
        <f t="shared" si="66"/>
        <v>-389</v>
      </c>
      <c r="O184" s="8">
        <f t="shared" si="67"/>
        <v>-254</v>
      </c>
      <c r="P184" s="8">
        <f t="shared" si="68"/>
        <v>-139</v>
      </c>
      <c r="Q184" s="12">
        <v>0</v>
      </c>
      <c r="R184" s="12">
        <v>0</v>
      </c>
      <c r="S184" s="12">
        <v>0</v>
      </c>
      <c r="T184" s="11">
        <f t="shared" si="63"/>
        <v>335</v>
      </c>
      <c r="U184" s="10">
        <f t="shared" si="73"/>
        <v>1771</v>
      </c>
      <c r="V184" s="10">
        <f t="shared" si="72"/>
        <v>2026</v>
      </c>
      <c r="W184" s="10">
        <f t="shared" si="74"/>
        <v>2091</v>
      </c>
      <c r="X184" s="8"/>
      <c r="Y184" s="8"/>
      <c r="Z184" s="8"/>
      <c r="AA184" s="8"/>
      <c r="AB184" s="30"/>
    </row>
    <row r="185" spans="1:28" ht="13.15" customHeight="1">
      <c r="A185" s="16">
        <v>171</v>
      </c>
      <c r="B185" s="15">
        <f t="shared" si="64"/>
        <v>45452</v>
      </c>
      <c r="C185" s="14">
        <f t="shared" si="65"/>
        <v>844</v>
      </c>
      <c r="D185" s="13">
        <f t="shared" si="56"/>
        <v>1519</v>
      </c>
      <c r="E185" s="12">
        <f t="shared" si="57"/>
        <v>-1248</v>
      </c>
      <c r="F185" s="12">
        <f t="shared" si="58"/>
        <v>-1383</v>
      </c>
      <c r="G185" s="12">
        <f t="shared" si="59"/>
        <v>-1498</v>
      </c>
      <c r="H185" s="8">
        <f t="shared" si="60"/>
        <v>3611</v>
      </c>
      <c r="I185" s="8">
        <f t="shared" si="61"/>
        <v>3746</v>
      </c>
      <c r="J185" s="8">
        <f t="shared" si="62"/>
        <v>3861</v>
      </c>
      <c r="K185" s="8">
        <f t="shared" si="69"/>
        <v>4000</v>
      </c>
      <c r="L185" s="8">
        <f t="shared" si="70"/>
        <v>4000</v>
      </c>
      <c r="M185" s="8">
        <f t="shared" si="71"/>
        <v>4000</v>
      </c>
      <c r="N185" s="8">
        <f t="shared" si="66"/>
        <v>-389</v>
      </c>
      <c r="O185" s="8">
        <f t="shared" si="67"/>
        <v>-254</v>
      </c>
      <c r="P185" s="8">
        <f t="shared" si="68"/>
        <v>-139</v>
      </c>
      <c r="Q185" s="12">
        <v>0</v>
      </c>
      <c r="R185" s="12">
        <v>0</v>
      </c>
      <c r="S185" s="12">
        <v>0</v>
      </c>
      <c r="T185" s="11">
        <f t="shared" si="63"/>
        <v>337</v>
      </c>
      <c r="U185" s="10">
        <f t="shared" si="73"/>
        <v>1771</v>
      </c>
      <c r="V185" s="10">
        <f t="shared" si="72"/>
        <v>2026</v>
      </c>
      <c r="W185" s="10">
        <f t="shared" si="74"/>
        <v>2091</v>
      </c>
      <c r="X185" s="8"/>
      <c r="Y185" s="8"/>
      <c r="Z185" s="8"/>
      <c r="AA185" s="8"/>
      <c r="AB185" s="30"/>
    </row>
    <row r="186" spans="1:28" ht="13.15" customHeight="1">
      <c r="A186" s="16">
        <v>172</v>
      </c>
      <c r="B186" s="15">
        <f t="shared" si="64"/>
        <v>45453</v>
      </c>
      <c r="C186" s="14">
        <f t="shared" si="65"/>
        <v>844</v>
      </c>
      <c r="D186" s="13">
        <f t="shared" si="56"/>
        <v>1521</v>
      </c>
      <c r="E186" s="12">
        <f t="shared" si="57"/>
        <v>-1246</v>
      </c>
      <c r="F186" s="12">
        <f t="shared" si="58"/>
        <v>-1381</v>
      </c>
      <c r="G186" s="12">
        <f t="shared" si="59"/>
        <v>-1496</v>
      </c>
      <c r="H186" s="8">
        <f t="shared" si="60"/>
        <v>3611</v>
      </c>
      <c r="I186" s="8">
        <f t="shared" si="61"/>
        <v>3746</v>
      </c>
      <c r="J186" s="8">
        <f t="shared" si="62"/>
        <v>3861</v>
      </c>
      <c r="K186" s="8">
        <f t="shared" si="69"/>
        <v>4000</v>
      </c>
      <c r="L186" s="8">
        <f t="shared" si="70"/>
        <v>4000</v>
      </c>
      <c r="M186" s="8">
        <f t="shared" si="71"/>
        <v>4000</v>
      </c>
      <c r="N186" s="8">
        <f t="shared" si="66"/>
        <v>-389</v>
      </c>
      <c r="O186" s="8">
        <f t="shared" si="67"/>
        <v>-254</v>
      </c>
      <c r="P186" s="8">
        <f t="shared" si="68"/>
        <v>-139</v>
      </c>
      <c r="Q186" s="12">
        <v>0</v>
      </c>
      <c r="R186" s="12">
        <v>0</v>
      </c>
      <c r="S186" s="12">
        <v>0</v>
      </c>
      <c r="T186" s="11">
        <f t="shared" si="63"/>
        <v>339</v>
      </c>
      <c r="U186" s="10">
        <f t="shared" si="73"/>
        <v>1771</v>
      </c>
      <c r="V186" s="10">
        <f t="shared" si="72"/>
        <v>2026</v>
      </c>
      <c r="W186" s="10">
        <f t="shared" si="74"/>
        <v>2091</v>
      </c>
      <c r="X186" s="8"/>
      <c r="Y186" s="8"/>
      <c r="Z186" s="8"/>
      <c r="AA186" s="8"/>
      <c r="AB186" s="30"/>
    </row>
    <row r="187" spans="1:28" ht="13.15" customHeight="1">
      <c r="A187" s="16">
        <v>173</v>
      </c>
      <c r="B187" s="15">
        <f t="shared" si="64"/>
        <v>45454</v>
      </c>
      <c r="C187" s="14">
        <f t="shared" si="65"/>
        <v>844</v>
      </c>
      <c r="D187" s="13">
        <f t="shared" si="56"/>
        <v>1523</v>
      </c>
      <c r="E187" s="12">
        <f t="shared" si="57"/>
        <v>-1244</v>
      </c>
      <c r="F187" s="12">
        <f t="shared" si="58"/>
        <v>-1379</v>
      </c>
      <c r="G187" s="12">
        <f t="shared" si="59"/>
        <v>-1494</v>
      </c>
      <c r="H187" s="8">
        <f t="shared" si="60"/>
        <v>3611</v>
      </c>
      <c r="I187" s="8">
        <f t="shared" si="61"/>
        <v>3746</v>
      </c>
      <c r="J187" s="8">
        <f t="shared" si="62"/>
        <v>3861</v>
      </c>
      <c r="K187" s="8">
        <f t="shared" si="69"/>
        <v>4000</v>
      </c>
      <c r="L187" s="8">
        <f t="shared" si="70"/>
        <v>4000</v>
      </c>
      <c r="M187" s="8">
        <f t="shared" si="71"/>
        <v>4000</v>
      </c>
      <c r="N187" s="8">
        <f t="shared" si="66"/>
        <v>-389</v>
      </c>
      <c r="O187" s="8">
        <f t="shared" si="67"/>
        <v>-254</v>
      </c>
      <c r="P187" s="8">
        <f t="shared" si="68"/>
        <v>-139</v>
      </c>
      <c r="Q187" s="12">
        <v>0</v>
      </c>
      <c r="R187" s="12">
        <v>0</v>
      </c>
      <c r="S187" s="12">
        <v>0</v>
      </c>
      <c r="T187" s="11">
        <f t="shared" si="63"/>
        <v>341</v>
      </c>
      <c r="U187" s="10">
        <f t="shared" si="73"/>
        <v>1771</v>
      </c>
      <c r="V187" s="10">
        <f t="shared" si="72"/>
        <v>2026</v>
      </c>
      <c r="W187" s="10">
        <f t="shared" si="74"/>
        <v>2091</v>
      </c>
      <c r="X187" s="8"/>
      <c r="Y187" s="8"/>
      <c r="Z187" s="8"/>
      <c r="AA187" s="8"/>
      <c r="AB187" s="30"/>
    </row>
    <row r="188" spans="1:28" ht="13.15" customHeight="1">
      <c r="A188" s="16">
        <v>174</v>
      </c>
      <c r="B188" s="15">
        <f t="shared" si="64"/>
        <v>45455</v>
      </c>
      <c r="C188" s="14">
        <f t="shared" si="65"/>
        <v>844</v>
      </c>
      <c r="D188" s="13">
        <f t="shared" si="56"/>
        <v>1525</v>
      </c>
      <c r="E188" s="12">
        <f t="shared" si="57"/>
        <v>-1242</v>
      </c>
      <c r="F188" s="12">
        <f t="shared" si="58"/>
        <v>-1377</v>
      </c>
      <c r="G188" s="12">
        <f t="shared" si="59"/>
        <v>-1492</v>
      </c>
      <c r="H188" s="8">
        <f t="shared" si="60"/>
        <v>3611</v>
      </c>
      <c r="I188" s="8">
        <f t="shared" si="61"/>
        <v>3746</v>
      </c>
      <c r="J188" s="8">
        <f t="shared" si="62"/>
        <v>3861</v>
      </c>
      <c r="K188" s="8">
        <f t="shared" si="69"/>
        <v>4000</v>
      </c>
      <c r="L188" s="8">
        <f t="shared" si="70"/>
        <v>4000</v>
      </c>
      <c r="M188" s="8">
        <f t="shared" si="71"/>
        <v>4000</v>
      </c>
      <c r="N188" s="8">
        <f t="shared" si="66"/>
        <v>-389</v>
      </c>
      <c r="O188" s="8">
        <f t="shared" si="67"/>
        <v>-254</v>
      </c>
      <c r="P188" s="8">
        <f t="shared" si="68"/>
        <v>-139</v>
      </c>
      <c r="Q188" s="12">
        <v>0</v>
      </c>
      <c r="R188" s="12">
        <v>0</v>
      </c>
      <c r="S188" s="12">
        <v>0</v>
      </c>
      <c r="T188" s="11">
        <f t="shared" si="63"/>
        <v>343</v>
      </c>
      <c r="U188" s="10">
        <f t="shared" si="73"/>
        <v>1771</v>
      </c>
      <c r="V188" s="10">
        <f t="shared" si="72"/>
        <v>2026</v>
      </c>
      <c r="W188" s="10">
        <f t="shared" si="74"/>
        <v>2091</v>
      </c>
      <c r="X188" s="8"/>
      <c r="Y188" s="8"/>
      <c r="Z188" s="8"/>
      <c r="AA188" s="8"/>
      <c r="AB188" s="30"/>
    </row>
    <row r="189" spans="1:28" ht="13.15" customHeight="1">
      <c r="A189" s="16">
        <v>175</v>
      </c>
      <c r="B189" s="15">
        <f t="shared" si="64"/>
        <v>45456</v>
      </c>
      <c r="C189" s="14">
        <f t="shared" si="65"/>
        <v>844</v>
      </c>
      <c r="D189" s="13">
        <f t="shared" si="56"/>
        <v>1527</v>
      </c>
      <c r="E189" s="12">
        <f t="shared" si="57"/>
        <v>-1240</v>
      </c>
      <c r="F189" s="12">
        <f t="shared" si="58"/>
        <v>-1375</v>
      </c>
      <c r="G189" s="12">
        <f t="shared" si="59"/>
        <v>-1490</v>
      </c>
      <c r="H189" s="8">
        <f t="shared" si="60"/>
        <v>3611</v>
      </c>
      <c r="I189" s="8">
        <f t="shared" si="61"/>
        <v>3746</v>
      </c>
      <c r="J189" s="8">
        <f t="shared" si="62"/>
        <v>3861</v>
      </c>
      <c r="K189" s="8">
        <f t="shared" si="69"/>
        <v>4000</v>
      </c>
      <c r="L189" s="8">
        <f t="shared" si="70"/>
        <v>4000</v>
      </c>
      <c r="M189" s="8">
        <f t="shared" si="71"/>
        <v>4000</v>
      </c>
      <c r="N189" s="8">
        <f t="shared" si="66"/>
        <v>-389</v>
      </c>
      <c r="O189" s="8">
        <f t="shared" si="67"/>
        <v>-254</v>
      </c>
      <c r="P189" s="8">
        <f t="shared" si="68"/>
        <v>-139</v>
      </c>
      <c r="Q189" s="12">
        <v>0</v>
      </c>
      <c r="R189" s="12">
        <v>0</v>
      </c>
      <c r="S189" s="12">
        <v>0</v>
      </c>
      <c r="T189" s="11">
        <f t="shared" si="63"/>
        <v>345</v>
      </c>
      <c r="U189" s="10">
        <f t="shared" si="73"/>
        <v>1771</v>
      </c>
      <c r="V189" s="10">
        <f t="shared" si="72"/>
        <v>2026</v>
      </c>
      <c r="W189" s="10">
        <f t="shared" si="74"/>
        <v>2091</v>
      </c>
      <c r="X189" s="8"/>
      <c r="Y189" s="8"/>
      <c r="Z189" s="8"/>
      <c r="AA189" s="8"/>
      <c r="AB189" s="30"/>
    </row>
    <row r="190" spans="1:28" ht="13.15" customHeight="1">
      <c r="A190" s="16">
        <v>176</v>
      </c>
      <c r="B190" s="15">
        <f t="shared" si="64"/>
        <v>45457</v>
      </c>
      <c r="C190" s="14">
        <f t="shared" si="65"/>
        <v>844</v>
      </c>
      <c r="D190" s="13">
        <f t="shared" si="56"/>
        <v>1529</v>
      </c>
      <c r="E190" s="12">
        <f t="shared" si="57"/>
        <v>-1238</v>
      </c>
      <c r="F190" s="12">
        <f t="shared" si="58"/>
        <v>-1373</v>
      </c>
      <c r="G190" s="12">
        <f t="shared" si="59"/>
        <v>-1488</v>
      </c>
      <c r="H190" s="8">
        <f t="shared" si="60"/>
        <v>3611</v>
      </c>
      <c r="I190" s="8">
        <f t="shared" si="61"/>
        <v>3746</v>
      </c>
      <c r="J190" s="8">
        <f t="shared" si="62"/>
        <v>3861</v>
      </c>
      <c r="K190" s="8">
        <f t="shared" si="69"/>
        <v>4000</v>
      </c>
      <c r="L190" s="8">
        <f t="shared" si="70"/>
        <v>4000</v>
      </c>
      <c r="M190" s="8">
        <f t="shared" si="71"/>
        <v>4000</v>
      </c>
      <c r="N190" s="8">
        <f t="shared" si="66"/>
        <v>-389</v>
      </c>
      <c r="O190" s="8">
        <f t="shared" si="67"/>
        <v>-254</v>
      </c>
      <c r="P190" s="8">
        <f t="shared" si="68"/>
        <v>-139</v>
      </c>
      <c r="Q190" s="12">
        <v>0</v>
      </c>
      <c r="R190" s="12">
        <v>0</v>
      </c>
      <c r="S190" s="12">
        <v>0</v>
      </c>
      <c r="T190" s="11">
        <f t="shared" si="63"/>
        <v>347</v>
      </c>
      <c r="U190" s="10">
        <f t="shared" si="73"/>
        <v>1771</v>
      </c>
      <c r="V190" s="10">
        <f t="shared" si="72"/>
        <v>2026</v>
      </c>
      <c r="W190" s="10">
        <f t="shared" si="74"/>
        <v>2091</v>
      </c>
      <c r="X190" s="8"/>
      <c r="Y190" s="8"/>
      <c r="Z190" s="8"/>
      <c r="AA190" s="8"/>
      <c r="AB190" s="30"/>
    </row>
    <row r="191" spans="1:28" ht="13.15" customHeight="1">
      <c r="A191" s="16">
        <v>177</v>
      </c>
      <c r="B191" s="15">
        <f t="shared" si="64"/>
        <v>45458</v>
      </c>
      <c r="C191" s="14">
        <f t="shared" si="65"/>
        <v>844</v>
      </c>
      <c r="D191" s="13">
        <f t="shared" ref="D191:D254" si="75">D190+2</f>
        <v>1531</v>
      </c>
      <c r="E191" s="12">
        <f t="shared" si="57"/>
        <v>-1236</v>
      </c>
      <c r="F191" s="12">
        <f t="shared" si="58"/>
        <v>-1371</v>
      </c>
      <c r="G191" s="12">
        <f t="shared" si="59"/>
        <v>-1486</v>
      </c>
      <c r="H191" s="8">
        <f t="shared" si="60"/>
        <v>3611</v>
      </c>
      <c r="I191" s="8">
        <f t="shared" si="61"/>
        <v>3746</v>
      </c>
      <c r="J191" s="8">
        <f t="shared" si="62"/>
        <v>3861</v>
      </c>
      <c r="K191" s="8">
        <f t="shared" si="69"/>
        <v>4000</v>
      </c>
      <c r="L191" s="8">
        <f t="shared" si="70"/>
        <v>4000</v>
      </c>
      <c r="M191" s="8">
        <f t="shared" si="71"/>
        <v>4000</v>
      </c>
      <c r="N191" s="8">
        <f t="shared" si="66"/>
        <v>-389</v>
      </c>
      <c r="O191" s="8">
        <f t="shared" si="67"/>
        <v>-254</v>
      </c>
      <c r="P191" s="8">
        <f t="shared" si="68"/>
        <v>-139</v>
      </c>
      <c r="Q191" s="12">
        <v>0</v>
      </c>
      <c r="R191" s="12">
        <v>0</v>
      </c>
      <c r="S191" s="12">
        <v>0</v>
      </c>
      <c r="T191" s="11">
        <f t="shared" si="63"/>
        <v>349</v>
      </c>
      <c r="U191" s="10">
        <f t="shared" si="73"/>
        <v>1771</v>
      </c>
      <c r="V191" s="10">
        <f t="shared" si="72"/>
        <v>2026</v>
      </c>
      <c r="W191" s="10">
        <f t="shared" si="74"/>
        <v>2091</v>
      </c>
      <c r="X191" s="8"/>
      <c r="Y191" s="8"/>
      <c r="Z191" s="8"/>
      <c r="AA191" s="8"/>
      <c r="AB191" s="30"/>
    </row>
    <row r="192" spans="1:28" ht="13.15" customHeight="1">
      <c r="A192" s="16">
        <v>178</v>
      </c>
      <c r="B192" s="15">
        <f t="shared" si="64"/>
        <v>45459</v>
      </c>
      <c r="C192" s="14">
        <f t="shared" si="65"/>
        <v>844</v>
      </c>
      <c r="D192" s="13">
        <f t="shared" si="75"/>
        <v>1533</v>
      </c>
      <c r="E192" s="12">
        <f t="shared" si="57"/>
        <v>-1234</v>
      </c>
      <c r="F192" s="12">
        <f t="shared" si="58"/>
        <v>-1369</v>
      </c>
      <c r="G192" s="12">
        <f t="shared" si="59"/>
        <v>-1484</v>
      </c>
      <c r="H192" s="8">
        <f t="shared" si="60"/>
        <v>3611</v>
      </c>
      <c r="I192" s="8">
        <f t="shared" si="61"/>
        <v>3746</v>
      </c>
      <c r="J192" s="8">
        <f t="shared" si="62"/>
        <v>3861</v>
      </c>
      <c r="K192" s="8">
        <f t="shared" si="69"/>
        <v>4000</v>
      </c>
      <c r="L192" s="8">
        <f t="shared" si="70"/>
        <v>4000</v>
      </c>
      <c r="M192" s="8">
        <f t="shared" si="71"/>
        <v>4000</v>
      </c>
      <c r="N192" s="8">
        <f t="shared" si="66"/>
        <v>-389</v>
      </c>
      <c r="O192" s="8">
        <f t="shared" si="67"/>
        <v>-254</v>
      </c>
      <c r="P192" s="8">
        <f t="shared" si="68"/>
        <v>-139</v>
      </c>
      <c r="Q192" s="12">
        <v>0</v>
      </c>
      <c r="R192" s="12">
        <v>0</v>
      </c>
      <c r="S192" s="12">
        <v>0</v>
      </c>
      <c r="T192" s="11">
        <f t="shared" si="63"/>
        <v>351</v>
      </c>
      <c r="U192" s="10">
        <f t="shared" si="73"/>
        <v>1771</v>
      </c>
      <c r="V192" s="10">
        <f t="shared" si="72"/>
        <v>2026</v>
      </c>
      <c r="W192" s="10">
        <f t="shared" si="74"/>
        <v>2091</v>
      </c>
      <c r="X192" s="8"/>
      <c r="Y192" s="8"/>
      <c r="Z192" s="8"/>
      <c r="AA192" s="8"/>
      <c r="AB192" s="30"/>
    </row>
    <row r="193" spans="1:28" ht="13.15" customHeight="1">
      <c r="A193" s="16">
        <v>179</v>
      </c>
      <c r="B193" s="15">
        <f t="shared" si="64"/>
        <v>45460</v>
      </c>
      <c r="C193" s="14">
        <f t="shared" si="65"/>
        <v>844</v>
      </c>
      <c r="D193" s="13">
        <f t="shared" si="75"/>
        <v>1535</v>
      </c>
      <c r="E193" s="12">
        <f t="shared" si="57"/>
        <v>-1232</v>
      </c>
      <c r="F193" s="12">
        <f t="shared" si="58"/>
        <v>-1367</v>
      </c>
      <c r="G193" s="12">
        <f t="shared" si="59"/>
        <v>-1482</v>
      </c>
      <c r="H193" s="8">
        <f t="shared" si="60"/>
        <v>3611</v>
      </c>
      <c r="I193" s="8">
        <f t="shared" si="61"/>
        <v>3746</v>
      </c>
      <c r="J193" s="8">
        <f t="shared" si="62"/>
        <v>3861</v>
      </c>
      <c r="K193" s="8">
        <f t="shared" si="69"/>
        <v>4000</v>
      </c>
      <c r="L193" s="8">
        <f t="shared" si="70"/>
        <v>4000</v>
      </c>
      <c r="M193" s="8">
        <f t="shared" si="71"/>
        <v>4000</v>
      </c>
      <c r="N193" s="8">
        <f t="shared" si="66"/>
        <v>-389</v>
      </c>
      <c r="O193" s="8">
        <f t="shared" si="67"/>
        <v>-254</v>
      </c>
      <c r="P193" s="8">
        <f t="shared" si="68"/>
        <v>-139</v>
      </c>
      <c r="Q193" s="12">
        <v>0</v>
      </c>
      <c r="R193" s="12">
        <v>0</v>
      </c>
      <c r="S193" s="12">
        <v>0</v>
      </c>
      <c r="T193" s="11">
        <f t="shared" si="63"/>
        <v>353</v>
      </c>
      <c r="U193" s="10">
        <f t="shared" si="73"/>
        <v>1771</v>
      </c>
      <c r="V193" s="10">
        <f t="shared" si="72"/>
        <v>2026</v>
      </c>
      <c r="W193" s="10">
        <f t="shared" si="74"/>
        <v>2091</v>
      </c>
      <c r="X193" s="8"/>
      <c r="Y193" s="8"/>
      <c r="Z193" s="8"/>
      <c r="AA193" s="8"/>
      <c r="AB193" s="30"/>
    </row>
    <row r="194" spans="1:28" ht="13.15" customHeight="1">
      <c r="A194" s="16">
        <v>180</v>
      </c>
      <c r="B194" s="15">
        <f t="shared" si="64"/>
        <v>45461</v>
      </c>
      <c r="C194" s="14">
        <f t="shared" si="65"/>
        <v>844</v>
      </c>
      <c r="D194" s="13">
        <f t="shared" si="75"/>
        <v>1537</v>
      </c>
      <c r="E194" s="12">
        <f t="shared" si="57"/>
        <v>-1230</v>
      </c>
      <c r="F194" s="12">
        <f t="shared" si="58"/>
        <v>-1365</v>
      </c>
      <c r="G194" s="12">
        <f t="shared" si="59"/>
        <v>-1480</v>
      </c>
      <c r="H194" s="8">
        <f t="shared" si="60"/>
        <v>3611</v>
      </c>
      <c r="I194" s="8">
        <f t="shared" si="61"/>
        <v>3746</v>
      </c>
      <c r="J194" s="8">
        <f t="shared" si="62"/>
        <v>3861</v>
      </c>
      <c r="K194" s="8">
        <f t="shared" si="69"/>
        <v>4000</v>
      </c>
      <c r="L194" s="8">
        <f t="shared" si="70"/>
        <v>4000</v>
      </c>
      <c r="M194" s="8">
        <f t="shared" si="71"/>
        <v>4000</v>
      </c>
      <c r="N194" s="8">
        <f t="shared" si="66"/>
        <v>-389</v>
      </c>
      <c r="O194" s="8">
        <f t="shared" si="67"/>
        <v>-254</v>
      </c>
      <c r="P194" s="8">
        <f t="shared" si="68"/>
        <v>-139</v>
      </c>
      <c r="Q194" s="12">
        <v>0</v>
      </c>
      <c r="R194" s="12">
        <v>0</v>
      </c>
      <c r="S194" s="12">
        <v>0</v>
      </c>
      <c r="T194" s="11">
        <f t="shared" si="63"/>
        <v>355</v>
      </c>
      <c r="U194" s="10">
        <f t="shared" si="73"/>
        <v>1771</v>
      </c>
      <c r="V194" s="10">
        <f t="shared" si="72"/>
        <v>2026</v>
      </c>
      <c r="W194" s="10">
        <f t="shared" si="74"/>
        <v>2091</v>
      </c>
      <c r="X194" s="8"/>
      <c r="Y194" s="8"/>
      <c r="Z194" s="8"/>
      <c r="AA194" s="8"/>
      <c r="AB194" s="30"/>
    </row>
    <row r="195" spans="1:28" ht="13.15" customHeight="1">
      <c r="A195" s="16">
        <v>181</v>
      </c>
      <c r="B195" s="15">
        <f t="shared" si="64"/>
        <v>45462</v>
      </c>
      <c r="C195" s="14">
        <f t="shared" si="65"/>
        <v>844</v>
      </c>
      <c r="D195" s="13">
        <f t="shared" si="75"/>
        <v>1539</v>
      </c>
      <c r="E195" s="12">
        <f t="shared" si="57"/>
        <v>-1228</v>
      </c>
      <c r="F195" s="12">
        <f t="shared" si="58"/>
        <v>-1363</v>
      </c>
      <c r="G195" s="12">
        <f t="shared" si="59"/>
        <v>-1478</v>
      </c>
      <c r="H195" s="8">
        <f t="shared" si="60"/>
        <v>3611</v>
      </c>
      <c r="I195" s="8">
        <f t="shared" si="61"/>
        <v>3746</v>
      </c>
      <c r="J195" s="8">
        <f t="shared" si="62"/>
        <v>3861</v>
      </c>
      <c r="K195" s="8">
        <f t="shared" si="69"/>
        <v>4000</v>
      </c>
      <c r="L195" s="8">
        <f t="shared" si="70"/>
        <v>4000</v>
      </c>
      <c r="M195" s="8">
        <f t="shared" si="71"/>
        <v>4000</v>
      </c>
      <c r="N195" s="8">
        <f t="shared" si="66"/>
        <v>-389</v>
      </c>
      <c r="O195" s="8">
        <f t="shared" si="67"/>
        <v>-254</v>
      </c>
      <c r="P195" s="8">
        <f t="shared" si="68"/>
        <v>-139</v>
      </c>
      <c r="Q195" s="12">
        <v>0</v>
      </c>
      <c r="R195" s="12">
        <v>0</v>
      </c>
      <c r="S195" s="12">
        <v>0</v>
      </c>
      <c r="T195" s="11">
        <f t="shared" si="63"/>
        <v>357</v>
      </c>
      <c r="U195" s="10">
        <f t="shared" si="73"/>
        <v>1771</v>
      </c>
      <c r="V195" s="10">
        <f t="shared" si="72"/>
        <v>2026</v>
      </c>
      <c r="W195" s="10">
        <f t="shared" si="74"/>
        <v>2091</v>
      </c>
      <c r="X195" s="8"/>
      <c r="Y195" s="8"/>
      <c r="Z195" s="8"/>
      <c r="AA195" s="8"/>
      <c r="AB195" s="30"/>
    </row>
    <row r="196" spans="1:28" ht="13.15" customHeight="1">
      <c r="A196" s="16">
        <v>182</v>
      </c>
      <c r="B196" s="15">
        <f t="shared" si="64"/>
        <v>45463</v>
      </c>
      <c r="C196" s="14">
        <f t="shared" si="65"/>
        <v>844</v>
      </c>
      <c r="D196" s="13">
        <f t="shared" si="75"/>
        <v>1541</v>
      </c>
      <c r="E196" s="12">
        <f t="shared" si="57"/>
        <v>-1226</v>
      </c>
      <c r="F196" s="12">
        <f t="shared" si="58"/>
        <v>-1361</v>
      </c>
      <c r="G196" s="12">
        <f t="shared" si="59"/>
        <v>-1476</v>
      </c>
      <c r="H196" s="8">
        <f t="shared" si="60"/>
        <v>3611</v>
      </c>
      <c r="I196" s="8">
        <f t="shared" si="61"/>
        <v>3746</v>
      </c>
      <c r="J196" s="8">
        <f t="shared" si="62"/>
        <v>3861</v>
      </c>
      <c r="K196" s="8">
        <f t="shared" si="69"/>
        <v>4000</v>
      </c>
      <c r="L196" s="8">
        <f t="shared" si="70"/>
        <v>4000</v>
      </c>
      <c r="M196" s="8">
        <f t="shared" si="71"/>
        <v>4000</v>
      </c>
      <c r="N196" s="8">
        <f t="shared" si="66"/>
        <v>-389</v>
      </c>
      <c r="O196" s="8">
        <f t="shared" si="67"/>
        <v>-254</v>
      </c>
      <c r="P196" s="8">
        <f t="shared" si="68"/>
        <v>-139</v>
      </c>
      <c r="Q196" s="12">
        <v>0</v>
      </c>
      <c r="R196" s="12">
        <v>0</v>
      </c>
      <c r="S196" s="12">
        <v>0</v>
      </c>
      <c r="T196" s="11">
        <f t="shared" si="63"/>
        <v>359</v>
      </c>
      <c r="U196" s="10">
        <f t="shared" si="73"/>
        <v>1771</v>
      </c>
      <c r="V196" s="10">
        <f t="shared" si="72"/>
        <v>2026</v>
      </c>
      <c r="W196" s="10">
        <f t="shared" si="74"/>
        <v>2091</v>
      </c>
      <c r="X196" s="8"/>
      <c r="Y196" s="8"/>
      <c r="Z196" s="8"/>
      <c r="AA196" s="8"/>
      <c r="AB196" s="30"/>
    </row>
    <row r="197" spans="1:28" ht="13.15" customHeight="1">
      <c r="A197" s="16">
        <v>183</v>
      </c>
      <c r="B197" s="15">
        <f t="shared" si="64"/>
        <v>45464</v>
      </c>
      <c r="C197" s="14">
        <f t="shared" si="65"/>
        <v>844</v>
      </c>
      <c r="D197" s="13">
        <f t="shared" si="75"/>
        <v>1543</v>
      </c>
      <c r="E197" s="12">
        <f t="shared" si="57"/>
        <v>-1224</v>
      </c>
      <c r="F197" s="12">
        <f t="shared" si="58"/>
        <v>-1359</v>
      </c>
      <c r="G197" s="12">
        <f t="shared" si="59"/>
        <v>-1474</v>
      </c>
      <c r="H197" s="8">
        <f t="shared" si="60"/>
        <v>3611</v>
      </c>
      <c r="I197" s="8">
        <f t="shared" si="61"/>
        <v>3746</v>
      </c>
      <c r="J197" s="8">
        <f t="shared" si="62"/>
        <v>3861</v>
      </c>
      <c r="K197" s="8">
        <f t="shared" si="69"/>
        <v>4000</v>
      </c>
      <c r="L197" s="8">
        <f t="shared" si="70"/>
        <v>4000</v>
      </c>
      <c r="M197" s="8">
        <f t="shared" si="71"/>
        <v>4000</v>
      </c>
      <c r="N197" s="8">
        <f t="shared" si="66"/>
        <v>-389</v>
      </c>
      <c r="O197" s="8">
        <f t="shared" si="67"/>
        <v>-254</v>
      </c>
      <c r="P197" s="8">
        <f t="shared" si="68"/>
        <v>-139</v>
      </c>
      <c r="Q197" s="12">
        <v>0</v>
      </c>
      <c r="R197" s="12">
        <v>0</v>
      </c>
      <c r="S197" s="12">
        <v>0</v>
      </c>
      <c r="T197" s="11">
        <f t="shared" si="63"/>
        <v>361</v>
      </c>
      <c r="U197" s="10">
        <f t="shared" si="73"/>
        <v>1771</v>
      </c>
      <c r="V197" s="10">
        <f t="shared" si="72"/>
        <v>2026</v>
      </c>
      <c r="W197" s="10">
        <f t="shared" si="74"/>
        <v>2091</v>
      </c>
      <c r="X197" s="8"/>
      <c r="Y197" s="8"/>
      <c r="Z197" s="8"/>
      <c r="AA197" s="8"/>
      <c r="AB197" s="30"/>
    </row>
    <row r="198" spans="1:28" ht="13.15" customHeight="1">
      <c r="A198" s="16">
        <v>184</v>
      </c>
      <c r="B198" s="15">
        <f t="shared" si="64"/>
        <v>45465</v>
      </c>
      <c r="C198" s="14">
        <f t="shared" si="65"/>
        <v>844</v>
      </c>
      <c r="D198" s="13">
        <f t="shared" si="75"/>
        <v>1545</v>
      </c>
      <c r="E198" s="12">
        <f t="shared" si="57"/>
        <v>-1222</v>
      </c>
      <c r="F198" s="12">
        <f t="shared" si="58"/>
        <v>-1357</v>
      </c>
      <c r="G198" s="12">
        <f t="shared" si="59"/>
        <v>-1472</v>
      </c>
      <c r="H198" s="8">
        <f t="shared" si="60"/>
        <v>3611</v>
      </c>
      <c r="I198" s="8">
        <f t="shared" si="61"/>
        <v>3746</v>
      </c>
      <c r="J198" s="8">
        <f t="shared" si="62"/>
        <v>3861</v>
      </c>
      <c r="K198" s="8">
        <f t="shared" si="69"/>
        <v>4000</v>
      </c>
      <c r="L198" s="8">
        <f t="shared" si="70"/>
        <v>4000</v>
      </c>
      <c r="M198" s="8">
        <f t="shared" si="71"/>
        <v>4000</v>
      </c>
      <c r="N198" s="8">
        <f t="shared" si="66"/>
        <v>-389</v>
      </c>
      <c r="O198" s="8">
        <f t="shared" si="67"/>
        <v>-254</v>
      </c>
      <c r="P198" s="8">
        <f t="shared" si="68"/>
        <v>-139</v>
      </c>
      <c r="Q198" s="12">
        <v>0</v>
      </c>
      <c r="R198" s="12">
        <v>0</v>
      </c>
      <c r="S198" s="12">
        <v>0</v>
      </c>
      <c r="T198" s="11">
        <f t="shared" si="63"/>
        <v>363</v>
      </c>
      <c r="U198" s="10">
        <f t="shared" si="73"/>
        <v>1771</v>
      </c>
      <c r="V198" s="10">
        <f t="shared" si="72"/>
        <v>2026</v>
      </c>
      <c r="W198" s="10">
        <f t="shared" si="74"/>
        <v>2091</v>
      </c>
      <c r="X198" s="8"/>
      <c r="Y198" s="8"/>
      <c r="Z198" s="8"/>
      <c r="AA198" s="8"/>
      <c r="AB198" s="30"/>
    </row>
    <row r="199" spans="1:28" ht="13.15" customHeight="1">
      <c r="A199" s="16">
        <v>185</v>
      </c>
      <c r="B199" s="15">
        <f t="shared" si="64"/>
        <v>45466</v>
      </c>
      <c r="C199" s="14">
        <f t="shared" si="65"/>
        <v>844</v>
      </c>
      <c r="D199" s="13">
        <f t="shared" si="75"/>
        <v>1547</v>
      </c>
      <c r="E199" s="12">
        <f t="shared" si="57"/>
        <v>-1220</v>
      </c>
      <c r="F199" s="12">
        <f t="shared" si="58"/>
        <v>-1355</v>
      </c>
      <c r="G199" s="12">
        <f t="shared" si="59"/>
        <v>-1470</v>
      </c>
      <c r="H199" s="8">
        <f t="shared" si="60"/>
        <v>3611</v>
      </c>
      <c r="I199" s="8">
        <f t="shared" si="61"/>
        <v>3746</v>
      </c>
      <c r="J199" s="8">
        <f t="shared" si="62"/>
        <v>3861</v>
      </c>
      <c r="K199" s="8">
        <f t="shared" si="69"/>
        <v>4000</v>
      </c>
      <c r="L199" s="8">
        <f t="shared" si="70"/>
        <v>4000</v>
      </c>
      <c r="M199" s="8">
        <f t="shared" si="71"/>
        <v>4000</v>
      </c>
      <c r="N199" s="8">
        <f t="shared" si="66"/>
        <v>-389</v>
      </c>
      <c r="O199" s="8">
        <f t="shared" si="67"/>
        <v>-254</v>
      </c>
      <c r="P199" s="8">
        <f t="shared" si="68"/>
        <v>-139</v>
      </c>
      <c r="Q199" s="12">
        <v>0</v>
      </c>
      <c r="R199" s="12">
        <v>0</v>
      </c>
      <c r="S199" s="12">
        <v>0</v>
      </c>
      <c r="T199" s="11">
        <f t="shared" si="63"/>
        <v>365</v>
      </c>
      <c r="U199" s="10">
        <f t="shared" si="73"/>
        <v>1771</v>
      </c>
      <c r="V199" s="10">
        <f t="shared" si="72"/>
        <v>2026</v>
      </c>
      <c r="W199" s="10">
        <f t="shared" si="74"/>
        <v>2091</v>
      </c>
      <c r="X199" s="8"/>
      <c r="Y199" s="8"/>
      <c r="Z199" s="8"/>
      <c r="AA199" s="8"/>
      <c r="AB199" s="30"/>
    </row>
    <row r="200" spans="1:28" ht="13.15" customHeight="1">
      <c r="A200" s="16">
        <v>186</v>
      </c>
      <c r="B200" s="15">
        <f t="shared" si="64"/>
        <v>45467</v>
      </c>
      <c r="C200" s="14">
        <f t="shared" si="65"/>
        <v>844</v>
      </c>
      <c r="D200" s="13">
        <f t="shared" si="75"/>
        <v>1549</v>
      </c>
      <c r="E200" s="12">
        <f t="shared" si="57"/>
        <v>-1208</v>
      </c>
      <c r="F200" s="12">
        <f t="shared" si="58"/>
        <v>-1343</v>
      </c>
      <c r="G200" s="12">
        <f t="shared" si="59"/>
        <v>-1458</v>
      </c>
      <c r="H200" s="8">
        <f t="shared" si="60"/>
        <v>3601</v>
      </c>
      <c r="I200" s="8">
        <f t="shared" si="61"/>
        <v>3736</v>
      </c>
      <c r="J200" s="8">
        <f t="shared" si="62"/>
        <v>3851</v>
      </c>
      <c r="K200" s="8">
        <f t="shared" si="69"/>
        <v>4000</v>
      </c>
      <c r="L200" s="8">
        <f t="shared" si="70"/>
        <v>4000</v>
      </c>
      <c r="M200" s="8">
        <f t="shared" si="71"/>
        <v>4000</v>
      </c>
      <c r="N200" s="8">
        <f t="shared" si="66"/>
        <v>-399</v>
      </c>
      <c r="O200" s="8">
        <f t="shared" si="67"/>
        <v>-264</v>
      </c>
      <c r="P200" s="8">
        <f t="shared" si="68"/>
        <v>-149</v>
      </c>
      <c r="Q200" s="12">
        <v>10</v>
      </c>
      <c r="R200" s="12">
        <v>10</v>
      </c>
      <c r="S200" s="12">
        <v>10</v>
      </c>
      <c r="T200" s="11">
        <f t="shared" si="63"/>
        <v>77</v>
      </c>
      <c r="U200" s="10">
        <f t="shared" si="73"/>
        <v>2061</v>
      </c>
      <c r="V200" s="10">
        <f t="shared" si="72"/>
        <v>2316</v>
      </c>
      <c r="W200" s="10">
        <f t="shared" si="74"/>
        <v>2381</v>
      </c>
      <c r="X200" s="9">
        <v>0.3</v>
      </c>
      <c r="Y200" s="8"/>
      <c r="Z200" s="8"/>
      <c r="AA200" s="8"/>
      <c r="AB200" s="29" t="s">
        <v>7</v>
      </c>
    </row>
    <row r="201" spans="1:28" ht="13.15" customHeight="1">
      <c r="A201" s="16">
        <v>187</v>
      </c>
      <c r="B201" s="15">
        <f t="shared" si="64"/>
        <v>45468</v>
      </c>
      <c r="C201" s="14">
        <f t="shared" si="65"/>
        <v>844</v>
      </c>
      <c r="D201" s="13">
        <f t="shared" si="75"/>
        <v>1551</v>
      </c>
      <c r="E201" s="12">
        <f t="shared" si="57"/>
        <v>-1196</v>
      </c>
      <c r="F201" s="12">
        <f t="shared" si="58"/>
        <v>-1331</v>
      </c>
      <c r="G201" s="12">
        <f t="shared" si="59"/>
        <v>-1446</v>
      </c>
      <c r="H201" s="8">
        <f t="shared" si="60"/>
        <v>3591</v>
      </c>
      <c r="I201" s="8">
        <f t="shared" si="61"/>
        <v>3726</v>
      </c>
      <c r="J201" s="8">
        <f t="shared" si="62"/>
        <v>3841</v>
      </c>
      <c r="K201" s="8">
        <f t="shared" si="69"/>
        <v>4000</v>
      </c>
      <c r="L201" s="8">
        <f t="shared" si="70"/>
        <v>4000</v>
      </c>
      <c r="M201" s="8">
        <f t="shared" si="71"/>
        <v>4000</v>
      </c>
      <c r="N201" s="8">
        <f t="shared" si="66"/>
        <v>-409</v>
      </c>
      <c r="O201" s="8">
        <f t="shared" si="67"/>
        <v>-274</v>
      </c>
      <c r="P201" s="8">
        <f t="shared" si="68"/>
        <v>-159</v>
      </c>
      <c r="Q201" s="12">
        <v>10</v>
      </c>
      <c r="R201" s="12">
        <v>10</v>
      </c>
      <c r="S201" s="12">
        <v>10</v>
      </c>
      <c r="T201" s="11">
        <f t="shared" si="63"/>
        <v>89</v>
      </c>
      <c r="U201" s="10">
        <f t="shared" si="73"/>
        <v>2051</v>
      </c>
      <c r="V201" s="10">
        <f t="shared" si="72"/>
        <v>2306</v>
      </c>
      <c r="W201" s="10">
        <f t="shared" si="74"/>
        <v>2371</v>
      </c>
      <c r="X201" s="9"/>
      <c r="Y201" s="8"/>
      <c r="Z201" s="8"/>
      <c r="AA201" s="8"/>
      <c r="AB201" s="30"/>
    </row>
    <row r="202" spans="1:28" ht="13.15" customHeight="1">
      <c r="A202" s="16">
        <v>188</v>
      </c>
      <c r="B202" s="15">
        <f t="shared" si="64"/>
        <v>45469</v>
      </c>
      <c r="C202" s="14">
        <f t="shared" si="65"/>
        <v>844</v>
      </c>
      <c r="D202" s="13">
        <f t="shared" si="75"/>
        <v>1553</v>
      </c>
      <c r="E202" s="12">
        <f t="shared" si="57"/>
        <v>-1186</v>
      </c>
      <c r="F202" s="12">
        <f t="shared" si="58"/>
        <v>-1320</v>
      </c>
      <c r="G202" s="12">
        <f t="shared" si="59"/>
        <v>-1436</v>
      </c>
      <c r="H202" s="8">
        <f t="shared" si="60"/>
        <v>3583</v>
      </c>
      <c r="I202" s="8">
        <f t="shared" si="61"/>
        <v>3717</v>
      </c>
      <c r="J202" s="8">
        <f t="shared" si="62"/>
        <v>3833</v>
      </c>
      <c r="K202" s="8">
        <f t="shared" si="69"/>
        <v>4000</v>
      </c>
      <c r="L202" s="8">
        <f t="shared" si="70"/>
        <v>4000</v>
      </c>
      <c r="M202" s="8">
        <f t="shared" si="71"/>
        <v>4000</v>
      </c>
      <c r="N202" s="8">
        <f t="shared" si="66"/>
        <v>-417</v>
      </c>
      <c r="O202" s="8">
        <f t="shared" si="67"/>
        <v>-283</v>
      </c>
      <c r="P202" s="8">
        <f t="shared" si="68"/>
        <v>-167</v>
      </c>
      <c r="Q202" s="12">
        <v>8</v>
      </c>
      <c r="R202" s="12">
        <v>9</v>
      </c>
      <c r="S202" s="12">
        <v>8</v>
      </c>
      <c r="T202" s="11">
        <f t="shared" si="63"/>
        <v>100</v>
      </c>
      <c r="U202" s="10">
        <f t="shared" si="73"/>
        <v>2043</v>
      </c>
      <c r="V202" s="10">
        <f t="shared" si="72"/>
        <v>2297</v>
      </c>
      <c r="W202" s="10">
        <f t="shared" si="74"/>
        <v>2363</v>
      </c>
      <c r="X202" s="9"/>
      <c r="Y202" s="8"/>
      <c r="Z202" s="8"/>
      <c r="AA202" s="8"/>
      <c r="AB202" s="30"/>
    </row>
    <row r="203" spans="1:28" ht="13.15" customHeight="1">
      <c r="A203" s="16">
        <v>189</v>
      </c>
      <c r="B203" s="15">
        <f t="shared" si="64"/>
        <v>45470</v>
      </c>
      <c r="C203" s="14">
        <f t="shared" si="65"/>
        <v>844</v>
      </c>
      <c r="D203" s="13">
        <f t="shared" si="75"/>
        <v>1555</v>
      </c>
      <c r="E203" s="12">
        <f t="shared" si="57"/>
        <v>-1175</v>
      </c>
      <c r="F203" s="12">
        <f t="shared" si="58"/>
        <v>-1310</v>
      </c>
      <c r="G203" s="12">
        <f t="shared" si="59"/>
        <v>-1425</v>
      </c>
      <c r="H203" s="8">
        <f t="shared" si="60"/>
        <v>3574</v>
      </c>
      <c r="I203" s="8">
        <f t="shared" si="61"/>
        <v>3709</v>
      </c>
      <c r="J203" s="8">
        <f t="shared" si="62"/>
        <v>3824</v>
      </c>
      <c r="K203" s="8">
        <f t="shared" si="69"/>
        <v>4000</v>
      </c>
      <c r="L203" s="8">
        <f t="shared" si="70"/>
        <v>4000</v>
      </c>
      <c r="M203" s="8">
        <f t="shared" si="71"/>
        <v>4000</v>
      </c>
      <c r="N203" s="8">
        <f t="shared" si="66"/>
        <v>-426</v>
      </c>
      <c r="O203" s="8">
        <f t="shared" si="67"/>
        <v>-291</v>
      </c>
      <c r="P203" s="8">
        <f t="shared" si="68"/>
        <v>-176</v>
      </c>
      <c r="Q203" s="12">
        <v>9</v>
      </c>
      <c r="R203" s="12">
        <v>8</v>
      </c>
      <c r="S203" s="12">
        <v>9</v>
      </c>
      <c r="T203" s="11">
        <f t="shared" si="63"/>
        <v>110</v>
      </c>
      <c r="U203" s="10">
        <f t="shared" si="73"/>
        <v>2034</v>
      </c>
      <c r="V203" s="10">
        <f t="shared" si="72"/>
        <v>2289</v>
      </c>
      <c r="W203" s="10">
        <f t="shared" si="74"/>
        <v>2354</v>
      </c>
      <c r="X203" s="9"/>
      <c r="Y203" s="8"/>
      <c r="Z203" s="8"/>
      <c r="AA203" s="8"/>
      <c r="AB203" s="30"/>
    </row>
    <row r="204" spans="1:28" ht="13.15" customHeight="1">
      <c r="A204" s="16">
        <v>190</v>
      </c>
      <c r="B204" s="15">
        <f t="shared" si="64"/>
        <v>45471</v>
      </c>
      <c r="C204" s="14">
        <f t="shared" si="65"/>
        <v>844</v>
      </c>
      <c r="D204" s="13">
        <f t="shared" si="75"/>
        <v>1557</v>
      </c>
      <c r="E204" s="12">
        <f t="shared" si="57"/>
        <v>-1164</v>
      </c>
      <c r="F204" s="12">
        <f t="shared" si="58"/>
        <v>-1300</v>
      </c>
      <c r="G204" s="12">
        <f t="shared" si="59"/>
        <v>-1414</v>
      </c>
      <c r="H204" s="8">
        <f t="shared" si="60"/>
        <v>3565</v>
      </c>
      <c r="I204" s="8">
        <f t="shared" si="61"/>
        <v>3701</v>
      </c>
      <c r="J204" s="8">
        <f t="shared" si="62"/>
        <v>3815</v>
      </c>
      <c r="K204" s="8">
        <f t="shared" si="69"/>
        <v>4000</v>
      </c>
      <c r="L204" s="8">
        <f t="shared" si="70"/>
        <v>4000</v>
      </c>
      <c r="M204" s="8">
        <f t="shared" si="71"/>
        <v>4000</v>
      </c>
      <c r="N204" s="8">
        <f t="shared" si="66"/>
        <v>-435</v>
      </c>
      <c r="O204" s="8">
        <f t="shared" si="67"/>
        <v>-299</v>
      </c>
      <c r="P204" s="8">
        <f t="shared" si="68"/>
        <v>-185</v>
      </c>
      <c r="Q204" s="12">
        <v>9</v>
      </c>
      <c r="R204" s="12">
        <v>8</v>
      </c>
      <c r="S204" s="12">
        <v>9</v>
      </c>
      <c r="T204" s="11">
        <f t="shared" si="63"/>
        <v>120</v>
      </c>
      <c r="U204" s="10">
        <f t="shared" si="73"/>
        <v>2025</v>
      </c>
      <c r="V204" s="10">
        <f t="shared" si="72"/>
        <v>2281</v>
      </c>
      <c r="W204" s="10">
        <f t="shared" si="74"/>
        <v>2345</v>
      </c>
      <c r="X204" s="9"/>
      <c r="Y204" s="8"/>
      <c r="Z204" s="8"/>
      <c r="AA204" s="8"/>
      <c r="AB204" s="30"/>
    </row>
    <row r="205" spans="1:28" ht="13.15" customHeight="1">
      <c r="A205" s="16">
        <v>191</v>
      </c>
      <c r="B205" s="15">
        <f t="shared" si="64"/>
        <v>45472</v>
      </c>
      <c r="C205" s="14">
        <f t="shared" si="65"/>
        <v>844</v>
      </c>
      <c r="D205" s="13">
        <f t="shared" si="75"/>
        <v>1559</v>
      </c>
      <c r="E205" s="12">
        <f t="shared" si="57"/>
        <v>-1152</v>
      </c>
      <c r="F205" s="12">
        <f t="shared" si="58"/>
        <v>-1288</v>
      </c>
      <c r="G205" s="12">
        <f t="shared" si="59"/>
        <v>-1402</v>
      </c>
      <c r="H205" s="8">
        <f t="shared" si="60"/>
        <v>3555</v>
      </c>
      <c r="I205" s="8">
        <f t="shared" si="61"/>
        <v>3691</v>
      </c>
      <c r="J205" s="8">
        <f t="shared" si="62"/>
        <v>3805</v>
      </c>
      <c r="K205" s="8">
        <f t="shared" si="69"/>
        <v>4000</v>
      </c>
      <c r="L205" s="8">
        <f t="shared" si="70"/>
        <v>4000</v>
      </c>
      <c r="M205" s="8">
        <f t="shared" si="71"/>
        <v>4000</v>
      </c>
      <c r="N205" s="8">
        <f t="shared" si="66"/>
        <v>-445</v>
      </c>
      <c r="O205" s="8">
        <f t="shared" si="67"/>
        <v>-309</v>
      </c>
      <c r="P205" s="8">
        <f t="shared" si="68"/>
        <v>-195</v>
      </c>
      <c r="Q205" s="12">
        <v>10</v>
      </c>
      <c r="R205" s="12">
        <v>10</v>
      </c>
      <c r="S205" s="12">
        <v>10</v>
      </c>
      <c r="T205" s="11">
        <f t="shared" si="63"/>
        <v>-178</v>
      </c>
      <c r="U205" s="10">
        <f t="shared" si="73"/>
        <v>2325</v>
      </c>
      <c r="V205" s="10">
        <f t="shared" si="72"/>
        <v>2581</v>
      </c>
      <c r="W205" s="10">
        <f t="shared" si="74"/>
        <v>2645</v>
      </c>
      <c r="X205" s="9">
        <v>0.31</v>
      </c>
      <c r="Y205" s="8"/>
      <c r="Z205" s="8"/>
      <c r="AA205" s="8"/>
      <c r="AB205" s="29" t="s">
        <v>6</v>
      </c>
    </row>
    <row r="206" spans="1:28" ht="13.15" customHeight="1">
      <c r="A206" s="16">
        <v>192</v>
      </c>
      <c r="B206" s="15">
        <f t="shared" si="64"/>
        <v>45473</v>
      </c>
      <c r="C206" s="14">
        <f t="shared" si="65"/>
        <v>844</v>
      </c>
      <c r="D206" s="13">
        <f t="shared" si="75"/>
        <v>1561</v>
      </c>
      <c r="E206" s="12">
        <f t="shared" ref="E206:E269" si="76">C206+D206-H206</f>
        <v>-1140</v>
      </c>
      <c r="F206" s="12">
        <f t="shared" ref="F206:F269" si="77">C206+D206-I206</f>
        <v>-1276</v>
      </c>
      <c r="G206" s="12">
        <f t="shared" ref="G206:G269" si="78">D206+C206-J206</f>
        <v>-1390</v>
      </c>
      <c r="H206" s="8">
        <f t="shared" ref="H206:H269" si="79">K206+N206</f>
        <v>3545</v>
      </c>
      <c r="I206" s="8">
        <f t="shared" ref="I206:I269" si="80">L206+O206</f>
        <v>3681</v>
      </c>
      <c r="J206" s="8">
        <f t="shared" ref="J206:J269" si="81">M206+P206</f>
        <v>3795</v>
      </c>
      <c r="K206" s="8">
        <f t="shared" si="69"/>
        <v>4000</v>
      </c>
      <c r="L206" s="8">
        <f t="shared" si="70"/>
        <v>4000</v>
      </c>
      <c r="M206" s="8">
        <f t="shared" si="71"/>
        <v>4000</v>
      </c>
      <c r="N206" s="8">
        <f t="shared" si="66"/>
        <v>-455</v>
      </c>
      <c r="O206" s="8">
        <f t="shared" si="67"/>
        <v>-319</v>
      </c>
      <c r="P206" s="8">
        <f t="shared" si="68"/>
        <v>-205</v>
      </c>
      <c r="Q206" s="12">
        <v>10</v>
      </c>
      <c r="R206" s="12">
        <v>10</v>
      </c>
      <c r="S206" s="12">
        <v>10</v>
      </c>
      <c r="T206" s="11">
        <f t="shared" ref="T206:T269" si="82">D206+C206-V206</f>
        <v>-166</v>
      </c>
      <c r="U206" s="10">
        <f t="shared" si="73"/>
        <v>2315</v>
      </c>
      <c r="V206" s="10">
        <f t="shared" si="72"/>
        <v>2571</v>
      </c>
      <c r="W206" s="10">
        <f t="shared" si="74"/>
        <v>2635</v>
      </c>
      <c r="X206" s="9"/>
      <c r="Y206" s="8"/>
      <c r="Z206" s="8"/>
      <c r="AA206" s="8"/>
      <c r="AB206" s="30"/>
    </row>
    <row r="207" spans="1:28" ht="13.15" customHeight="1">
      <c r="A207" s="16">
        <v>193</v>
      </c>
      <c r="B207" s="15">
        <f t="shared" ref="B207:B270" si="83">B206+1</f>
        <v>45474</v>
      </c>
      <c r="C207" s="14">
        <f t="shared" ref="C207:C270" si="84">C206</f>
        <v>844</v>
      </c>
      <c r="D207" s="13">
        <f t="shared" si="75"/>
        <v>1563</v>
      </c>
      <c r="E207" s="12">
        <f t="shared" si="76"/>
        <v>-1130</v>
      </c>
      <c r="F207" s="12">
        <f t="shared" si="77"/>
        <v>-1267</v>
      </c>
      <c r="G207" s="12">
        <f t="shared" si="78"/>
        <v>-1380</v>
      </c>
      <c r="H207" s="8">
        <f t="shared" si="79"/>
        <v>3537</v>
      </c>
      <c r="I207" s="8">
        <f t="shared" si="80"/>
        <v>3674</v>
      </c>
      <c r="J207" s="8">
        <f t="shared" si="81"/>
        <v>3787</v>
      </c>
      <c r="K207" s="8">
        <f t="shared" si="69"/>
        <v>4000</v>
      </c>
      <c r="L207" s="8">
        <f t="shared" si="70"/>
        <v>4000</v>
      </c>
      <c r="M207" s="8">
        <f t="shared" si="71"/>
        <v>4000</v>
      </c>
      <c r="N207" s="8">
        <f t="shared" ref="N207:N270" si="85">N206-Q207</f>
        <v>-463</v>
      </c>
      <c r="O207" s="8">
        <f t="shared" ref="O207:O270" si="86">O206-R207</f>
        <v>-326</v>
      </c>
      <c r="P207" s="8">
        <f t="shared" ref="P207:P270" si="87">P206-S207</f>
        <v>-213</v>
      </c>
      <c r="Q207" s="12">
        <v>8</v>
      </c>
      <c r="R207" s="12">
        <v>7</v>
      </c>
      <c r="S207" s="12">
        <v>8</v>
      </c>
      <c r="T207" s="11">
        <f t="shared" si="82"/>
        <v>-157</v>
      </c>
      <c r="U207" s="10">
        <f t="shared" si="73"/>
        <v>2307</v>
      </c>
      <c r="V207" s="10">
        <f t="shared" si="72"/>
        <v>2564</v>
      </c>
      <c r="W207" s="10">
        <f t="shared" si="74"/>
        <v>2627</v>
      </c>
      <c r="X207" s="9"/>
      <c r="Y207" s="8"/>
      <c r="Z207" s="8"/>
      <c r="AA207" s="8"/>
      <c r="AB207" s="30"/>
    </row>
    <row r="208" spans="1:28" ht="13.15" customHeight="1">
      <c r="A208" s="16">
        <v>194</v>
      </c>
      <c r="B208" s="15">
        <f t="shared" si="83"/>
        <v>45475</v>
      </c>
      <c r="C208" s="14">
        <f t="shared" si="84"/>
        <v>844</v>
      </c>
      <c r="D208" s="13">
        <f t="shared" si="75"/>
        <v>1565</v>
      </c>
      <c r="E208" s="12">
        <f t="shared" si="76"/>
        <v>-1119</v>
      </c>
      <c r="F208" s="12">
        <f t="shared" si="77"/>
        <v>-1257</v>
      </c>
      <c r="G208" s="12">
        <f t="shared" si="78"/>
        <v>-1369</v>
      </c>
      <c r="H208" s="8">
        <f t="shared" si="79"/>
        <v>3528</v>
      </c>
      <c r="I208" s="8">
        <f t="shared" si="80"/>
        <v>3666</v>
      </c>
      <c r="J208" s="8">
        <f t="shared" si="81"/>
        <v>3778</v>
      </c>
      <c r="K208" s="8">
        <f t="shared" si="69"/>
        <v>4000</v>
      </c>
      <c r="L208" s="8">
        <f t="shared" si="70"/>
        <v>4000</v>
      </c>
      <c r="M208" s="8">
        <f t="shared" si="71"/>
        <v>4000</v>
      </c>
      <c r="N208" s="8">
        <f t="shared" si="85"/>
        <v>-472</v>
      </c>
      <c r="O208" s="8">
        <f t="shared" si="86"/>
        <v>-334</v>
      </c>
      <c r="P208" s="8">
        <f t="shared" si="87"/>
        <v>-222</v>
      </c>
      <c r="Q208" s="12">
        <v>9</v>
      </c>
      <c r="R208" s="12">
        <v>8</v>
      </c>
      <c r="S208" s="12">
        <v>9</v>
      </c>
      <c r="T208" s="11">
        <f t="shared" si="82"/>
        <v>-147</v>
      </c>
      <c r="U208" s="10">
        <f t="shared" si="73"/>
        <v>2298</v>
      </c>
      <c r="V208" s="10">
        <f t="shared" si="72"/>
        <v>2556</v>
      </c>
      <c r="W208" s="10">
        <f t="shared" si="74"/>
        <v>2618</v>
      </c>
      <c r="X208" s="9"/>
      <c r="Y208" s="8"/>
      <c r="Z208" s="8"/>
      <c r="AA208" s="8"/>
      <c r="AB208" s="30"/>
    </row>
    <row r="209" spans="1:28" ht="13.15" customHeight="1">
      <c r="A209" s="16">
        <v>195</v>
      </c>
      <c r="B209" s="15">
        <f t="shared" si="83"/>
        <v>45476</v>
      </c>
      <c r="C209" s="14">
        <f t="shared" si="84"/>
        <v>844</v>
      </c>
      <c r="D209" s="13">
        <f t="shared" si="75"/>
        <v>1567</v>
      </c>
      <c r="E209" s="12">
        <f t="shared" si="76"/>
        <v>-1109</v>
      </c>
      <c r="F209" s="12">
        <f t="shared" si="77"/>
        <v>-1248</v>
      </c>
      <c r="G209" s="12">
        <f t="shared" si="78"/>
        <v>-1359</v>
      </c>
      <c r="H209" s="8">
        <f t="shared" si="79"/>
        <v>3520</v>
      </c>
      <c r="I209" s="8">
        <f t="shared" si="80"/>
        <v>3659</v>
      </c>
      <c r="J209" s="8">
        <f t="shared" si="81"/>
        <v>3770</v>
      </c>
      <c r="K209" s="8">
        <f t="shared" si="69"/>
        <v>4000</v>
      </c>
      <c r="L209" s="8">
        <f t="shared" si="70"/>
        <v>4000</v>
      </c>
      <c r="M209" s="8">
        <f t="shared" si="71"/>
        <v>4000</v>
      </c>
      <c r="N209" s="8">
        <f t="shared" si="85"/>
        <v>-480</v>
      </c>
      <c r="O209" s="8">
        <f t="shared" si="86"/>
        <v>-341</v>
      </c>
      <c r="P209" s="8">
        <f t="shared" si="87"/>
        <v>-230</v>
      </c>
      <c r="Q209" s="12">
        <v>8</v>
      </c>
      <c r="R209" s="12">
        <v>7</v>
      </c>
      <c r="S209" s="12">
        <v>8</v>
      </c>
      <c r="T209" s="11">
        <f t="shared" si="82"/>
        <v>-138</v>
      </c>
      <c r="U209" s="10">
        <f t="shared" si="73"/>
        <v>2290</v>
      </c>
      <c r="V209" s="10">
        <f t="shared" si="72"/>
        <v>2549</v>
      </c>
      <c r="W209" s="10">
        <f t="shared" si="74"/>
        <v>2610</v>
      </c>
      <c r="X209" s="9"/>
      <c r="Y209" s="8"/>
      <c r="Z209" s="8"/>
      <c r="AA209" s="8"/>
      <c r="AB209" s="30"/>
    </row>
    <row r="210" spans="1:28" ht="13.15" customHeight="1">
      <c r="A210" s="16">
        <v>196</v>
      </c>
      <c r="B210" s="15">
        <f t="shared" si="83"/>
        <v>45477</v>
      </c>
      <c r="C210" s="14">
        <f t="shared" si="84"/>
        <v>844</v>
      </c>
      <c r="D210" s="13">
        <f t="shared" si="75"/>
        <v>1569</v>
      </c>
      <c r="E210" s="12">
        <f t="shared" si="76"/>
        <v>-1099</v>
      </c>
      <c r="F210" s="12">
        <f t="shared" si="77"/>
        <v>-1239</v>
      </c>
      <c r="G210" s="12">
        <f t="shared" si="78"/>
        <v>-1349</v>
      </c>
      <c r="H210" s="8">
        <f t="shared" si="79"/>
        <v>3512</v>
      </c>
      <c r="I210" s="8">
        <f t="shared" si="80"/>
        <v>3652</v>
      </c>
      <c r="J210" s="8">
        <f t="shared" si="81"/>
        <v>3762</v>
      </c>
      <c r="K210" s="8">
        <f t="shared" si="69"/>
        <v>4000</v>
      </c>
      <c r="L210" s="8">
        <f t="shared" si="70"/>
        <v>4000</v>
      </c>
      <c r="M210" s="8">
        <f t="shared" si="71"/>
        <v>4000</v>
      </c>
      <c r="N210" s="8">
        <f t="shared" si="85"/>
        <v>-488</v>
      </c>
      <c r="O210" s="8">
        <f t="shared" si="86"/>
        <v>-348</v>
      </c>
      <c r="P210" s="8">
        <f t="shared" si="87"/>
        <v>-238</v>
      </c>
      <c r="Q210" s="12">
        <v>8</v>
      </c>
      <c r="R210" s="12">
        <v>7</v>
      </c>
      <c r="S210" s="12">
        <v>8</v>
      </c>
      <c r="T210" s="11">
        <f t="shared" si="82"/>
        <v>-429</v>
      </c>
      <c r="U210" s="10">
        <f t="shared" si="73"/>
        <v>2582</v>
      </c>
      <c r="V210" s="10">
        <f t="shared" si="72"/>
        <v>2842</v>
      </c>
      <c r="W210" s="10">
        <f t="shared" si="74"/>
        <v>2902</v>
      </c>
      <c r="X210" s="9">
        <v>0.3</v>
      </c>
      <c r="Y210" s="8"/>
      <c r="Z210" s="8"/>
      <c r="AA210" s="8"/>
      <c r="AB210" s="29" t="s">
        <v>5</v>
      </c>
    </row>
    <row r="211" spans="1:28" ht="13.15" customHeight="1">
      <c r="A211" s="16">
        <v>197</v>
      </c>
      <c r="B211" s="15">
        <f t="shared" si="83"/>
        <v>45478</v>
      </c>
      <c r="C211" s="14">
        <f t="shared" si="84"/>
        <v>844</v>
      </c>
      <c r="D211" s="13">
        <f t="shared" si="75"/>
        <v>1571</v>
      </c>
      <c r="E211" s="12">
        <f t="shared" si="76"/>
        <v>-1087</v>
      </c>
      <c r="F211" s="12">
        <f t="shared" si="77"/>
        <v>-1227</v>
      </c>
      <c r="G211" s="12">
        <f t="shared" si="78"/>
        <v>-1337</v>
      </c>
      <c r="H211" s="8">
        <f t="shared" si="79"/>
        <v>3502</v>
      </c>
      <c r="I211" s="8">
        <f t="shared" si="80"/>
        <v>3642</v>
      </c>
      <c r="J211" s="8">
        <f t="shared" si="81"/>
        <v>3752</v>
      </c>
      <c r="K211" s="8">
        <f t="shared" si="69"/>
        <v>4000</v>
      </c>
      <c r="L211" s="8">
        <f t="shared" si="70"/>
        <v>4000</v>
      </c>
      <c r="M211" s="8">
        <f t="shared" si="71"/>
        <v>4000</v>
      </c>
      <c r="N211" s="8">
        <f t="shared" si="85"/>
        <v>-498</v>
      </c>
      <c r="O211" s="8">
        <f t="shared" si="86"/>
        <v>-358</v>
      </c>
      <c r="P211" s="8">
        <f t="shared" si="87"/>
        <v>-248</v>
      </c>
      <c r="Q211" s="12">
        <v>10</v>
      </c>
      <c r="R211" s="12">
        <v>10</v>
      </c>
      <c r="S211" s="12">
        <v>10</v>
      </c>
      <c r="T211" s="11">
        <f t="shared" si="82"/>
        <v>-417</v>
      </c>
      <c r="U211" s="10">
        <f t="shared" si="73"/>
        <v>2572</v>
      </c>
      <c r="V211" s="10">
        <f t="shared" si="72"/>
        <v>2832</v>
      </c>
      <c r="W211" s="10">
        <f t="shared" si="74"/>
        <v>2892</v>
      </c>
      <c r="X211" s="9"/>
      <c r="Y211" s="8"/>
      <c r="Z211" s="8"/>
      <c r="AA211" s="8"/>
      <c r="AB211" s="30"/>
    </row>
    <row r="212" spans="1:28" ht="13.15" customHeight="1">
      <c r="A212" s="16">
        <v>198</v>
      </c>
      <c r="B212" s="15">
        <f t="shared" si="83"/>
        <v>45479</v>
      </c>
      <c r="C212" s="14">
        <f t="shared" si="84"/>
        <v>844</v>
      </c>
      <c r="D212" s="13">
        <f t="shared" si="75"/>
        <v>1573</v>
      </c>
      <c r="E212" s="12">
        <f t="shared" si="76"/>
        <v>-1077</v>
      </c>
      <c r="F212" s="12">
        <f t="shared" si="77"/>
        <v>-1218</v>
      </c>
      <c r="G212" s="12">
        <f t="shared" si="78"/>
        <v>-1328</v>
      </c>
      <c r="H212" s="8">
        <f t="shared" si="79"/>
        <v>3494</v>
      </c>
      <c r="I212" s="8">
        <f t="shared" si="80"/>
        <v>3635</v>
      </c>
      <c r="J212" s="8">
        <f t="shared" si="81"/>
        <v>3745</v>
      </c>
      <c r="K212" s="8">
        <f t="shared" si="69"/>
        <v>4000</v>
      </c>
      <c r="L212" s="8">
        <f t="shared" si="70"/>
        <v>4000</v>
      </c>
      <c r="M212" s="8">
        <f t="shared" si="71"/>
        <v>4000</v>
      </c>
      <c r="N212" s="8">
        <f t="shared" si="85"/>
        <v>-506</v>
      </c>
      <c r="O212" s="8">
        <f t="shared" si="86"/>
        <v>-365</v>
      </c>
      <c r="P212" s="8">
        <f t="shared" si="87"/>
        <v>-255</v>
      </c>
      <c r="Q212" s="12">
        <v>8</v>
      </c>
      <c r="R212" s="12">
        <v>7</v>
      </c>
      <c r="S212" s="12">
        <v>7</v>
      </c>
      <c r="T212" s="11">
        <f t="shared" si="82"/>
        <v>-408</v>
      </c>
      <c r="U212" s="10">
        <f t="shared" si="73"/>
        <v>2564</v>
      </c>
      <c r="V212" s="10">
        <f t="shared" si="72"/>
        <v>2825</v>
      </c>
      <c r="W212" s="10">
        <f t="shared" si="74"/>
        <v>2885</v>
      </c>
      <c r="X212" s="9"/>
      <c r="Y212" s="8"/>
      <c r="Z212" s="8"/>
      <c r="AA212" s="8"/>
      <c r="AB212" s="30"/>
    </row>
    <row r="213" spans="1:28" ht="13.15" customHeight="1">
      <c r="A213" s="16">
        <v>199</v>
      </c>
      <c r="B213" s="15">
        <f t="shared" si="83"/>
        <v>45480</v>
      </c>
      <c r="C213" s="14">
        <f t="shared" si="84"/>
        <v>844</v>
      </c>
      <c r="D213" s="13">
        <f t="shared" si="75"/>
        <v>1575</v>
      </c>
      <c r="E213" s="12">
        <f t="shared" si="76"/>
        <v>-1073</v>
      </c>
      <c r="F213" s="12">
        <f t="shared" si="77"/>
        <v>-1209</v>
      </c>
      <c r="G213" s="12">
        <f t="shared" si="78"/>
        <v>-1324</v>
      </c>
      <c r="H213" s="8">
        <f t="shared" si="79"/>
        <v>3492</v>
      </c>
      <c r="I213" s="8">
        <f t="shared" si="80"/>
        <v>3628</v>
      </c>
      <c r="J213" s="8">
        <f t="shared" si="81"/>
        <v>3743</v>
      </c>
      <c r="K213" s="8">
        <f t="shared" ref="K213:K276" si="88">K212</f>
        <v>4000</v>
      </c>
      <c r="L213" s="8">
        <f t="shared" ref="L213:L276" si="89">L212</f>
        <v>4000</v>
      </c>
      <c r="M213" s="8">
        <f t="shared" ref="M213:M276" si="90">M212</f>
        <v>4000</v>
      </c>
      <c r="N213" s="8">
        <f t="shared" si="85"/>
        <v>-508</v>
      </c>
      <c r="O213" s="8">
        <f t="shared" si="86"/>
        <v>-372</v>
      </c>
      <c r="P213" s="8">
        <f t="shared" si="87"/>
        <v>-257</v>
      </c>
      <c r="Q213" s="12">
        <v>2</v>
      </c>
      <c r="R213" s="12">
        <v>7</v>
      </c>
      <c r="S213" s="12">
        <v>2</v>
      </c>
      <c r="T213" s="11">
        <f t="shared" si="82"/>
        <v>-399</v>
      </c>
      <c r="U213" s="10">
        <f t="shared" si="73"/>
        <v>2562</v>
      </c>
      <c r="V213" s="10">
        <f t="shared" si="72"/>
        <v>2818</v>
      </c>
      <c r="W213" s="10">
        <f t="shared" si="74"/>
        <v>2883</v>
      </c>
      <c r="X213" s="9"/>
      <c r="Y213" s="8"/>
      <c r="Z213" s="8"/>
      <c r="AA213" s="8"/>
      <c r="AB213" s="30"/>
    </row>
    <row r="214" spans="1:28" ht="13.15" customHeight="1">
      <c r="A214" s="16">
        <v>200</v>
      </c>
      <c r="B214" s="15">
        <f t="shared" si="83"/>
        <v>45481</v>
      </c>
      <c r="C214" s="14">
        <f t="shared" si="84"/>
        <v>844</v>
      </c>
      <c r="D214" s="13">
        <f t="shared" si="75"/>
        <v>1577</v>
      </c>
      <c r="E214" s="12">
        <f t="shared" si="76"/>
        <v>-1069</v>
      </c>
      <c r="F214" s="12">
        <f t="shared" si="77"/>
        <v>-1202</v>
      </c>
      <c r="G214" s="12">
        <f t="shared" si="78"/>
        <v>-1320</v>
      </c>
      <c r="H214" s="8">
        <f t="shared" si="79"/>
        <v>3490</v>
      </c>
      <c r="I214" s="8">
        <f t="shared" si="80"/>
        <v>3623</v>
      </c>
      <c r="J214" s="8">
        <f t="shared" si="81"/>
        <v>3741</v>
      </c>
      <c r="K214" s="8">
        <f t="shared" si="88"/>
        <v>4000</v>
      </c>
      <c r="L214" s="8">
        <f t="shared" si="89"/>
        <v>4000</v>
      </c>
      <c r="M214" s="8">
        <f t="shared" si="90"/>
        <v>4000</v>
      </c>
      <c r="N214" s="8">
        <f t="shared" si="85"/>
        <v>-510</v>
      </c>
      <c r="O214" s="8">
        <f t="shared" si="86"/>
        <v>-377</v>
      </c>
      <c r="P214" s="8">
        <f t="shared" si="87"/>
        <v>-259</v>
      </c>
      <c r="Q214" s="12">
        <v>2</v>
      </c>
      <c r="R214" s="12">
        <v>5</v>
      </c>
      <c r="S214" s="12">
        <v>2</v>
      </c>
      <c r="T214" s="11">
        <f t="shared" si="82"/>
        <v>-392</v>
      </c>
      <c r="U214" s="10">
        <f t="shared" si="73"/>
        <v>2560</v>
      </c>
      <c r="V214" s="10">
        <f t="shared" si="72"/>
        <v>2813</v>
      </c>
      <c r="W214" s="10">
        <f t="shared" si="74"/>
        <v>2881</v>
      </c>
      <c r="X214" s="9"/>
      <c r="Y214" s="8"/>
      <c r="Z214" s="8"/>
      <c r="AA214" s="8"/>
      <c r="AB214" s="30"/>
    </row>
    <row r="215" spans="1:28" ht="13.15" customHeight="1">
      <c r="A215" s="16">
        <v>201</v>
      </c>
      <c r="B215" s="15">
        <f t="shared" si="83"/>
        <v>45482</v>
      </c>
      <c r="C215" s="14">
        <f t="shared" si="84"/>
        <v>844</v>
      </c>
      <c r="D215" s="13">
        <f t="shared" si="75"/>
        <v>1579</v>
      </c>
      <c r="E215" s="12">
        <f t="shared" si="76"/>
        <v>-1057</v>
      </c>
      <c r="F215" s="12">
        <f t="shared" si="77"/>
        <v>-1190</v>
      </c>
      <c r="G215" s="12">
        <f t="shared" si="78"/>
        <v>-1308</v>
      </c>
      <c r="H215" s="8">
        <f t="shared" si="79"/>
        <v>3480</v>
      </c>
      <c r="I215" s="8">
        <f t="shared" si="80"/>
        <v>3613</v>
      </c>
      <c r="J215" s="8">
        <f t="shared" si="81"/>
        <v>3731</v>
      </c>
      <c r="K215" s="8">
        <f t="shared" si="88"/>
        <v>4000</v>
      </c>
      <c r="L215" s="8">
        <f t="shared" si="89"/>
        <v>4000</v>
      </c>
      <c r="M215" s="8">
        <f t="shared" si="90"/>
        <v>4000</v>
      </c>
      <c r="N215" s="8">
        <f t="shared" si="85"/>
        <v>-520</v>
      </c>
      <c r="O215" s="8">
        <f t="shared" si="86"/>
        <v>-387</v>
      </c>
      <c r="P215" s="8">
        <f t="shared" si="87"/>
        <v>-269</v>
      </c>
      <c r="Q215" s="12">
        <v>10</v>
      </c>
      <c r="R215" s="12">
        <v>10</v>
      </c>
      <c r="S215" s="12">
        <v>10</v>
      </c>
      <c r="T215" s="11">
        <f t="shared" si="82"/>
        <v>-680</v>
      </c>
      <c r="U215" s="10">
        <f t="shared" si="73"/>
        <v>2850</v>
      </c>
      <c r="V215" s="10">
        <f t="shared" si="72"/>
        <v>3103</v>
      </c>
      <c r="W215" s="10">
        <f t="shared" si="74"/>
        <v>3171</v>
      </c>
      <c r="X215" s="9">
        <v>0.3</v>
      </c>
      <c r="Y215" s="8"/>
      <c r="Z215" s="8"/>
      <c r="AA215" s="8"/>
      <c r="AB215" s="29" t="s">
        <v>4</v>
      </c>
    </row>
    <row r="216" spans="1:28" ht="13.15" customHeight="1">
      <c r="A216" s="16">
        <v>202</v>
      </c>
      <c r="B216" s="15">
        <f t="shared" si="83"/>
        <v>45483</v>
      </c>
      <c r="C216" s="14">
        <f t="shared" si="84"/>
        <v>844</v>
      </c>
      <c r="D216" s="13">
        <f t="shared" si="75"/>
        <v>1581</v>
      </c>
      <c r="E216" s="12">
        <f t="shared" si="76"/>
        <v>-1053</v>
      </c>
      <c r="F216" s="12">
        <f t="shared" si="77"/>
        <v>-1184</v>
      </c>
      <c r="G216" s="12">
        <f t="shared" si="78"/>
        <v>-1305</v>
      </c>
      <c r="H216" s="8">
        <f t="shared" si="79"/>
        <v>3478</v>
      </c>
      <c r="I216" s="8">
        <f t="shared" si="80"/>
        <v>3609</v>
      </c>
      <c r="J216" s="8">
        <f t="shared" si="81"/>
        <v>3730</v>
      </c>
      <c r="K216" s="8">
        <f t="shared" si="88"/>
        <v>4000</v>
      </c>
      <c r="L216" s="8">
        <f t="shared" si="89"/>
        <v>4000</v>
      </c>
      <c r="M216" s="8">
        <f t="shared" si="90"/>
        <v>4000</v>
      </c>
      <c r="N216" s="8">
        <f t="shared" si="85"/>
        <v>-522</v>
      </c>
      <c r="O216" s="8">
        <f t="shared" si="86"/>
        <v>-391</v>
      </c>
      <c r="P216" s="8">
        <f t="shared" si="87"/>
        <v>-270</v>
      </c>
      <c r="Q216" s="12">
        <v>2</v>
      </c>
      <c r="R216" s="12">
        <v>4</v>
      </c>
      <c r="S216" s="12">
        <v>1</v>
      </c>
      <c r="T216" s="11">
        <f t="shared" si="82"/>
        <v>-674</v>
      </c>
      <c r="U216" s="10">
        <f t="shared" si="73"/>
        <v>2848</v>
      </c>
      <c r="V216" s="10">
        <f t="shared" si="72"/>
        <v>3099</v>
      </c>
      <c r="W216" s="10">
        <f t="shared" si="74"/>
        <v>3170</v>
      </c>
      <c r="X216" s="9"/>
      <c r="Y216" s="8"/>
      <c r="Z216" s="8"/>
      <c r="AA216" s="8"/>
      <c r="AB216" s="30"/>
    </row>
    <row r="217" spans="1:28" ht="13.15" customHeight="1">
      <c r="A217" s="16">
        <v>203</v>
      </c>
      <c r="B217" s="15">
        <f t="shared" si="83"/>
        <v>45484</v>
      </c>
      <c r="C217" s="14">
        <f t="shared" si="84"/>
        <v>844</v>
      </c>
      <c r="D217" s="13">
        <f t="shared" si="75"/>
        <v>1583</v>
      </c>
      <c r="E217" s="12">
        <f t="shared" si="76"/>
        <v>-1049</v>
      </c>
      <c r="F217" s="12">
        <f t="shared" si="77"/>
        <v>-1179</v>
      </c>
      <c r="G217" s="12">
        <f t="shared" si="78"/>
        <v>-1301</v>
      </c>
      <c r="H217" s="8">
        <f t="shared" si="79"/>
        <v>3476</v>
      </c>
      <c r="I217" s="8">
        <f t="shared" si="80"/>
        <v>3606</v>
      </c>
      <c r="J217" s="8">
        <f t="shared" si="81"/>
        <v>3728</v>
      </c>
      <c r="K217" s="8">
        <f t="shared" si="88"/>
        <v>4000</v>
      </c>
      <c r="L217" s="8">
        <f t="shared" si="89"/>
        <v>4000</v>
      </c>
      <c r="M217" s="8">
        <f t="shared" si="90"/>
        <v>4000</v>
      </c>
      <c r="N217" s="8">
        <f t="shared" si="85"/>
        <v>-524</v>
      </c>
      <c r="O217" s="8">
        <f t="shared" si="86"/>
        <v>-394</v>
      </c>
      <c r="P217" s="8">
        <f t="shared" si="87"/>
        <v>-272</v>
      </c>
      <c r="Q217" s="12">
        <v>2</v>
      </c>
      <c r="R217" s="12">
        <v>3</v>
      </c>
      <c r="S217" s="12">
        <v>2</v>
      </c>
      <c r="T217" s="11">
        <f t="shared" si="82"/>
        <v>-669</v>
      </c>
      <c r="U217" s="10">
        <f t="shared" si="73"/>
        <v>2846</v>
      </c>
      <c r="V217" s="10">
        <f t="shared" si="72"/>
        <v>3096</v>
      </c>
      <c r="W217" s="10">
        <f t="shared" si="74"/>
        <v>3168</v>
      </c>
      <c r="X217" s="9"/>
      <c r="Y217" s="8"/>
      <c r="Z217" s="8"/>
      <c r="AA217" s="8"/>
      <c r="AB217" s="30"/>
    </row>
    <row r="218" spans="1:28" ht="13.15" customHeight="1">
      <c r="A218" s="16">
        <v>204</v>
      </c>
      <c r="B218" s="15">
        <f t="shared" si="83"/>
        <v>45485</v>
      </c>
      <c r="C218" s="14">
        <f t="shared" si="84"/>
        <v>844</v>
      </c>
      <c r="D218" s="13">
        <f t="shared" si="75"/>
        <v>1585</v>
      </c>
      <c r="E218" s="12">
        <f t="shared" si="76"/>
        <v>-1044</v>
      </c>
      <c r="F218" s="12">
        <f t="shared" si="77"/>
        <v>-1175</v>
      </c>
      <c r="G218" s="12">
        <f t="shared" si="78"/>
        <v>-1298</v>
      </c>
      <c r="H218" s="8">
        <f t="shared" si="79"/>
        <v>3473</v>
      </c>
      <c r="I218" s="8">
        <f t="shared" si="80"/>
        <v>3604</v>
      </c>
      <c r="J218" s="8">
        <f t="shared" si="81"/>
        <v>3727</v>
      </c>
      <c r="K218" s="8">
        <f t="shared" si="88"/>
        <v>4000</v>
      </c>
      <c r="L218" s="8">
        <f t="shared" si="89"/>
        <v>4000</v>
      </c>
      <c r="M218" s="8">
        <f t="shared" si="90"/>
        <v>4000</v>
      </c>
      <c r="N218" s="8">
        <f t="shared" si="85"/>
        <v>-527</v>
      </c>
      <c r="O218" s="8">
        <f t="shared" si="86"/>
        <v>-396</v>
      </c>
      <c r="P218" s="8">
        <f t="shared" si="87"/>
        <v>-273</v>
      </c>
      <c r="Q218" s="12">
        <v>3</v>
      </c>
      <c r="R218" s="12">
        <v>2</v>
      </c>
      <c r="S218" s="12">
        <v>1</v>
      </c>
      <c r="T218" s="11">
        <f t="shared" si="82"/>
        <v>-665</v>
      </c>
      <c r="U218" s="10">
        <f t="shared" si="73"/>
        <v>2843</v>
      </c>
      <c r="V218" s="10">
        <f t="shared" ref="V218:V281" si="91">V217+$X218*1000-R218</f>
        <v>3094</v>
      </c>
      <c r="W218" s="10">
        <f t="shared" si="74"/>
        <v>3167</v>
      </c>
      <c r="X218" s="9"/>
      <c r="Y218" s="8"/>
      <c r="Z218" s="8"/>
      <c r="AA218" s="8"/>
      <c r="AB218" s="30"/>
    </row>
    <row r="219" spans="1:28" ht="13.15" customHeight="1">
      <c r="A219" s="16">
        <v>205</v>
      </c>
      <c r="B219" s="15">
        <f t="shared" si="83"/>
        <v>45486</v>
      </c>
      <c r="C219" s="14">
        <f t="shared" si="84"/>
        <v>844</v>
      </c>
      <c r="D219" s="13">
        <f t="shared" si="75"/>
        <v>1587</v>
      </c>
      <c r="E219" s="12">
        <f t="shared" si="76"/>
        <v>-1040</v>
      </c>
      <c r="F219" s="12">
        <f t="shared" si="77"/>
        <v>-1169</v>
      </c>
      <c r="G219" s="12">
        <f t="shared" si="78"/>
        <v>-1294</v>
      </c>
      <c r="H219" s="8">
        <f t="shared" si="79"/>
        <v>3471</v>
      </c>
      <c r="I219" s="8">
        <f t="shared" si="80"/>
        <v>3600</v>
      </c>
      <c r="J219" s="8">
        <f t="shared" si="81"/>
        <v>3725</v>
      </c>
      <c r="K219" s="8">
        <f t="shared" si="88"/>
        <v>4000</v>
      </c>
      <c r="L219" s="8">
        <f t="shared" si="89"/>
        <v>4000</v>
      </c>
      <c r="M219" s="8">
        <f t="shared" si="90"/>
        <v>4000</v>
      </c>
      <c r="N219" s="8">
        <f t="shared" si="85"/>
        <v>-529</v>
      </c>
      <c r="O219" s="8">
        <f t="shared" si="86"/>
        <v>-400</v>
      </c>
      <c r="P219" s="8">
        <f t="shared" si="87"/>
        <v>-275</v>
      </c>
      <c r="Q219" s="12">
        <v>2</v>
      </c>
      <c r="R219" s="12">
        <v>4</v>
      </c>
      <c r="S219" s="12">
        <v>2</v>
      </c>
      <c r="T219" s="11">
        <f t="shared" si="82"/>
        <v>-659</v>
      </c>
      <c r="U219" s="10">
        <f t="shared" ref="U219:U282" si="92">U218+$X219*1000-Q219</f>
        <v>2841</v>
      </c>
      <c r="V219" s="10">
        <f t="shared" si="91"/>
        <v>3090</v>
      </c>
      <c r="W219" s="10">
        <f t="shared" ref="W219:W282" si="93">W218+$X219*1000-S219</f>
        <v>3165</v>
      </c>
      <c r="X219" s="9"/>
      <c r="Y219" s="8"/>
      <c r="Z219" s="8"/>
      <c r="AA219" s="8"/>
      <c r="AB219" s="30"/>
    </row>
    <row r="220" spans="1:28" ht="13.15" customHeight="1">
      <c r="A220" s="16">
        <v>206</v>
      </c>
      <c r="B220" s="15">
        <f t="shared" si="83"/>
        <v>45487</v>
      </c>
      <c r="C220" s="14">
        <f t="shared" si="84"/>
        <v>844</v>
      </c>
      <c r="D220" s="13">
        <f t="shared" si="75"/>
        <v>1589</v>
      </c>
      <c r="E220" s="12">
        <f t="shared" si="76"/>
        <v>-1037</v>
      </c>
      <c r="F220" s="12">
        <f t="shared" si="77"/>
        <v>-1164</v>
      </c>
      <c r="G220" s="12">
        <f t="shared" si="78"/>
        <v>-1291</v>
      </c>
      <c r="H220" s="8">
        <f t="shared" si="79"/>
        <v>3470</v>
      </c>
      <c r="I220" s="8">
        <f t="shared" si="80"/>
        <v>3597</v>
      </c>
      <c r="J220" s="8">
        <f t="shared" si="81"/>
        <v>3724</v>
      </c>
      <c r="K220" s="8">
        <f t="shared" si="88"/>
        <v>4000</v>
      </c>
      <c r="L220" s="8">
        <f t="shared" si="89"/>
        <v>4000</v>
      </c>
      <c r="M220" s="8">
        <f t="shared" si="90"/>
        <v>4000</v>
      </c>
      <c r="N220" s="8">
        <f t="shared" si="85"/>
        <v>-530</v>
      </c>
      <c r="O220" s="8">
        <f t="shared" si="86"/>
        <v>-403</v>
      </c>
      <c r="P220" s="8">
        <f t="shared" si="87"/>
        <v>-276</v>
      </c>
      <c r="Q220" s="12">
        <v>1</v>
      </c>
      <c r="R220" s="12">
        <v>3</v>
      </c>
      <c r="S220" s="12">
        <v>1</v>
      </c>
      <c r="T220" s="11">
        <f t="shared" si="82"/>
        <v>-654</v>
      </c>
      <c r="U220" s="10">
        <f t="shared" si="92"/>
        <v>2840</v>
      </c>
      <c r="V220" s="10">
        <f t="shared" si="91"/>
        <v>3087</v>
      </c>
      <c r="W220" s="10">
        <f t="shared" si="93"/>
        <v>3164</v>
      </c>
      <c r="X220" s="9"/>
      <c r="Y220" s="8"/>
      <c r="Z220" s="8"/>
      <c r="AA220" s="8"/>
      <c r="AB220" s="29"/>
    </row>
    <row r="221" spans="1:28" ht="13.15" customHeight="1">
      <c r="A221" s="16">
        <v>207</v>
      </c>
      <c r="B221" s="15">
        <f t="shared" si="83"/>
        <v>45488</v>
      </c>
      <c r="C221" s="14">
        <f t="shared" si="84"/>
        <v>844</v>
      </c>
      <c r="D221" s="13">
        <f t="shared" si="75"/>
        <v>1591</v>
      </c>
      <c r="E221" s="12">
        <f t="shared" si="76"/>
        <v>-1033</v>
      </c>
      <c r="F221" s="12">
        <f t="shared" si="77"/>
        <v>-1160</v>
      </c>
      <c r="G221" s="12">
        <f t="shared" si="78"/>
        <v>-1288</v>
      </c>
      <c r="H221" s="8">
        <f t="shared" si="79"/>
        <v>3468</v>
      </c>
      <c r="I221" s="8">
        <f t="shared" si="80"/>
        <v>3595</v>
      </c>
      <c r="J221" s="8">
        <f t="shared" si="81"/>
        <v>3723</v>
      </c>
      <c r="K221" s="8">
        <f t="shared" si="88"/>
        <v>4000</v>
      </c>
      <c r="L221" s="8">
        <f t="shared" si="89"/>
        <v>4000</v>
      </c>
      <c r="M221" s="8">
        <f t="shared" si="90"/>
        <v>4000</v>
      </c>
      <c r="N221" s="8">
        <f t="shared" si="85"/>
        <v>-532</v>
      </c>
      <c r="O221" s="8">
        <f t="shared" si="86"/>
        <v>-405</v>
      </c>
      <c r="P221" s="8">
        <f t="shared" si="87"/>
        <v>-277</v>
      </c>
      <c r="Q221" s="12">
        <v>2</v>
      </c>
      <c r="R221" s="12">
        <v>2</v>
      </c>
      <c r="S221" s="12">
        <v>1</v>
      </c>
      <c r="T221" s="11">
        <f t="shared" si="82"/>
        <v>-650</v>
      </c>
      <c r="U221" s="10">
        <f t="shared" si="92"/>
        <v>2838</v>
      </c>
      <c r="V221" s="10">
        <f t="shared" si="91"/>
        <v>3085</v>
      </c>
      <c r="W221" s="10">
        <f t="shared" si="93"/>
        <v>3163</v>
      </c>
      <c r="X221" s="9"/>
      <c r="Y221" s="8"/>
      <c r="Z221" s="8"/>
      <c r="AA221" s="8"/>
      <c r="AB221" s="8"/>
    </row>
    <row r="222" spans="1:28" ht="13.15" customHeight="1">
      <c r="A222" s="16">
        <v>208</v>
      </c>
      <c r="B222" s="15">
        <f t="shared" si="83"/>
        <v>45489</v>
      </c>
      <c r="C222" s="14">
        <f t="shared" si="84"/>
        <v>844</v>
      </c>
      <c r="D222" s="13">
        <f t="shared" si="75"/>
        <v>1593</v>
      </c>
      <c r="E222" s="12">
        <f t="shared" si="76"/>
        <v>-1029</v>
      </c>
      <c r="F222" s="12">
        <f t="shared" si="77"/>
        <v>-1153</v>
      </c>
      <c r="G222" s="12">
        <f t="shared" si="78"/>
        <v>-1284</v>
      </c>
      <c r="H222" s="8">
        <f t="shared" si="79"/>
        <v>3466</v>
      </c>
      <c r="I222" s="8">
        <f t="shared" si="80"/>
        <v>3590</v>
      </c>
      <c r="J222" s="8">
        <f t="shared" si="81"/>
        <v>3721</v>
      </c>
      <c r="K222" s="8">
        <f t="shared" si="88"/>
        <v>4000</v>
      </c>
      <c r="L222" s="8">
        <f t="shared" si="89"/>
        <v>4000</v>
      </c>
      <c r="M222" s="8">
        <f t="shared" si="90"/>
        <v>4000</v>
      </c>
      <c r="N222" s="8">
        <f t="shared" si="85"/>
        <v>-534</v>
      </c>
      <c r="O222" s="8">
        <f t="shared" si="86"/>
        <v>-410</v>
      </c>
      <c r="P222" s="8">
        <f t="shared" si="87"/>
        <v>-279</v>
      </c>
      <c r="Q222" s="12">
        <v>2</v>
      </c>
      <c r="R222" s="12">
        <v>5</v>
      </c>
      <c r="S222" s="12">
        <v>2</v>
      </c>
      <c r="T222" s="11">
        <f t="shared" si="82"/>
        <v>-643</v>
      </c>
      <c r="U222" s="10">
        <f t="shared" si="92"/>
        <v>2836</v>
      </c>
      <c r="V222" s="10">
        <f t="shared" si="91"/>
        <v>3080</v>
      </c>
      <c r="W222" s="10">
        <f t="shared" si="93"/>
        <v>3161</v>
      </c>
      <c r="X222" s="9"/>
      <c r="Y222" s="8"/>
      <c r="Z222" s="8"/>
      <c r="AA222" s="8"/>
      <c r="AB222" s="8"/>
    </row>
    <row r="223" spans="1:28" ht="13.15" customHeight="1">
      <c r="A223" s="16">
        <v>209</v>
      </c>
      <c r="B223" s="15">
        <f t="shared" si="83"/>
        <v>45490</v>
      </c>
      <c r="C223" s="14">
        <f t="shared" si="84"/>
        <v>844</v>
      </c>
      <c r="D223" s="13">
        <f t="shared" si="75"/>
        <v>1595</v>
      </c>
      <c r="E223" s="12">
        <f t="shared" si="76"/>
        <v>-1025</v>
      </c>
      <c r="F223" s="12">
        <f t="shared" si="77"/>
        <v>-1146</v>
      </c>
      <c r="G223" s="12">
        <f t="shared" si="78"/>
        <v>-1280</v>
      </c>
      <c r="H223" s="8">
        <f t="shared" si="79"/>
        <v>3464</v>
      </c>
      <c r="I223" s="8">
        <f t="shared" si="80"/>
        <v>3585</v>
      </c>
      <c r="J223" s="8">
        <f t="shared" si="81"/>
        <v>3719</v>
      </c>
      <c r="K223" s="8">
        <f t="shared" si="88"/>
        <v>4000</v>
      </c>
      <c r="L223" s="8">
        <f t="shared" si="89"/>
        <v>4000</v>
      </c>
      <c r="M223" s="8">
        <f t="shared" si="90"/>
        <v>4000</v>
      </c>
      <c r="N223" s="8">
        <f t="shared" si="85"/>
        <v>-536</v>
      </c>
      <c r="O223" s="8">
        <f t="shared" si="86"/>
        <v>-415</v>
      </c>
      <c r="P223" s="8">
        <f t="shared" si="87"/>
        <v>-281</v>
      </c>
      <c r="Q223" s="12">
        <v>2</v>
      </c>
      <c r="R223" s="12">
        <v>5</v>
      </c>
      <c r="S223" s="12">
        <v>2</v>
      </c>
      <c r="T223" s="11">
        <f t="shared" si="82"/>
        <v>-636</v>
      </c>
      <c r="U223" s="10">
        <f t="shared" si="92"/>
        <v>2834</v>
      </c>
      <c r="V223" s="10">
        <f t="shared" si="91"/>
        <v>3075</v>
      </c>
      <c r="W223" s="10">
        <f t="shared" si="93"/>
        <v>3159</v>
      </c>
      <c r="X223" s="9"/>
      <c r="Y223" s="8"/>
      <c r="Z223" s="8"/>
      <c r="AA223" s="8"/>
      <c r="AB223" s="8"/>
    </row>
    <row r="224" spans="1:28" ht="13.15" customHeight="1">
      <c r="A224" s="16">
        <v>210</v>
      </c>
      <c r="B224" s="15">
        <f t="shared" si="83"/>
        <v>45491</v>
      </c>
      <c r="C224" s="14">
        <f t="shared" si="84"/>
        <v>844</v>
      </c>
      <c r="D224" s="13">
        <f t="shared" si="75"/>
        <v>1597</v>
      </c>
      <c r="E224" s="12">
        <f t="shared" si="76"/>
        <v>-1021</v>
      </c>
      <c r="F224" s="12">
        <f t="shared" si="77"/>
        <v>-1140</v>
      </c>
      <c r="G224" s="12">
        <f t="shared" si="78"/>
        <v>-1276</v>
      </c>
      <c r="H224" s="8">
        <f t="shared" si="79"/>
        <v>3462</v>
      </c>
      <c r="I224" s="8">
        <f t="shared" si="80"/>
        <v>3581</v>
      </c>
      <c r="J224" s="8">
        <f t="shared" si="81"/>
        <v>3717</v>
      </c>
      <c r="K224" s="8">
        <f t="shared" si="88"/>
        <v>4000</v>
      </c>
      <c r="L224" s="8">
        <f t="shared" si="89"/>
        <v>4000</v>
      </c>
      <c r="M224" s="8">
        <f t="shared" si="90"/>
        <v>4000</v>
      </c>
      <c r="N224" s="8">
        <f t="shared" si="85"/>
        <v>-538</v>
      </c>
      <c r="O224" s="8">
        <f t="shared" si="86"/>
        <v>-419</v>
      </c>
      <c r="P224" s="8">
        <f t="shared" si="87"/>
        <v>-283</v>
      </c>
      <c r="Q224" s="12">
        <v>2</v>
      </c>
      <c r="R224" s="12">
        <v>4</v>
      </c>
      <c r="S224" s="12">
        <v>2</v>
      </c>
      <c r="T224" s="11">
        <f t="shared" si="82"/>
        <v>-630</v>
      </c>
      <c r="U224" s="10">
        <f t="shared" si="92"/>
        <v>2832</v>
      </c>
      <c r="V224" s="10">
        <f t="shared" si="91"/>
        <v>3071</v>
      </c>
      <c r="W224" s="10">
        <f t="shared" si="93"/>
        <v>3157</v>
      </c>
      <c r="X224" s="9"/>
      <c r="Y224" s="8"/>
      <c r="Z224" s="8"/>
      <c r="AA224" s="8"/>
      <c r="AB224" s="8"/>
    </row>
    <row r="225" spans="1:28" ht="13.15" customHeight="1">
      <c r="A225" s="16">
        <v>211</v>
      </c>
      <c r="B225" s="15">
        <f t="shared" si="83"/>
        <v>45492</v>
      </c>
      <c r="C225" s="14">
        <f t="shared" si="84"/>
        <v>844</v>
      </c>
      <c r="D225" s="13">
        <f t="shared" si="75"/>
        <v>1599</v>
      </c>
      <c r="E225" s="12">
        <f t="shared" si="76"/>
        <v>-1017</v>
      </c>
      <c r="F225" s="12">
        <f t="shared" si="77"/>
        <v>-1135</v>
      </c>
      <c r="G225" s="12">
        <f t="shared" si="78"/>
        <v>-1273</v>
      </c>
      <c r="H225" s="8">
        <f t="shared" si="79"/>
        <v>3460</v>
      </c>
      <c r="I225" s="8">
        <f t="shared" si="80"/>
        <v>3578</v>
      </c>
      <c r="J225" s="8">
        <f t="shared" si="81"/>
        <v>3716</v>
      </c>
      <c r="K225" s="8">
        <f t="shared" si="88"/>
        <v>4000</v>
      </c>
      <c r="L225" s="8">
        <f t="shared" si="89"/>
        <v>4000</v>
      </c>
      <c r="M225" s="8">
        <f t="shared" si="90"/>
        <v>4000</v>
      </c>
      <c r="N225" s="8">
        <f t="shared" si="85"/>
        <v>-540</v>
      </c>
      <c r="O225" s="8">
        <f t="shared" si="86"/>
        <v>-422</v>
      </c>
      <c r="P225" s="8">
        <f t="shared" si="87"/>
        <v>-284</v>
      </c>
      <c r="Q225" s="12">
        <v>2</v>
      </c>
      <c r="R225" s="12">
        <v>3</v>
      </c>
      <c r="S225" s="12">
        <v>1</v>
      </c>
      <c r="T225" s="11">
        <f t="shared" si="82"/>
        <v>-625</v>
      </c>
      <c r="U225" s="10">
        <f t="shared" si="92"/>
        <v>2830</v>
      </c>
      <c r="V225" s="10">
        <f t="shared" si="91"/>
        <v>3068</v>
      </c>
      <c r="W225" s="10">
        <f t="shared" si="93"/>
        <v>3156</v>
      </c>
      <c r="X225" s="9"/>
      <c r="Y225" s="8"/>
      <c r="Z225" s="8"/>
      <c r="AA225" s="8"/>
      <c r="AB225" s="8"/>
    </row>
    <row r="226" spans="1:28" ht="13.15" customHeight="1">
      <c r="A226" s="16">
        <v>212</v>
      </c>
      <c r="B226" s="15">
        <f t="shared" si="83"/>
        <v>45493</v>
      </c>
      <c r="C226" s="14">
        <f t="shared" si="84"/>
        <v>844</v>
      </c>
      <c r="D226" s="13">
        <f t="shared" si="75"/>
        <v>1601</v>
      </c>
      <c r="E226" s="12">
        <f t="shared" si="76"/>
        <v>-1013</v>
      </c>
      <c r="F226" s="12">
        <f t="shared" si="77"/>
        <v>-1131</v>
      </c>
      <c r="G226" s="12">
        <f t="shared" si="78"/>
        <v>-1269</v>
      </c>
      <c r="H226" s="8">
        <f t="shared" si="79"/>
        <v>3458</v>
      </c>
      <c r="I226" s="8">
        <f t="shared" si="80"/>
        <v>3576</v>
      </c>
      <c r="J226" s="8">
        <f t="shared" si="81"/>
        <v>3714</v>
      </c>
      <c r="K226" s="8">
        <f t="shared" si="88"/>
        <v>4000</v>
      </c>
      <c r="L226" s="8">
        <f t="shared" si="89"/>
        <v>4000</v>
      </c>
      <c r="M226" s="8">
        <f t="shared" si="90"/>
        <v>4000</v>
      </c>
      <c r="N226" s="8">
        <f t="shared" si="85"/>
        <v>-542</v>
      </c>
      <c r="O226" s="8">
        <f t="shared" si="86"/>
        <v>-424</v>
      </c>
      <c r="P226" s="8">
        <f t="shared" si="87"/>
        <v>-286</v>
      </c>
      <c r="Q226" s="12">
        <v>2</v>
      </c>
      <c r="R226" s="12">
        <v>2</v>
      </c>
      <c r="S226" s="12">
        <v>2</v>
      </c>
      <c r="T226" s="11">
        <f t="shared" si="82"/>
        <v>-621</v>
      </c>
      <c r="U226" s="10">
        <f t="shared" si="92"/>
        <v>2828</v>
      </c>
      <c r="V226" s="10">
        <f t="shared" si="91"/>
        <v>3066</v>
      </c>
      <c r="W226" s="10">
        <f t="shared" si="93"/>
        <v>3154</v>
      </c>
      <c r="X226" s="9"/>
      <c r="Y226" s="8"/>
      <c r="Z226" s="8"/>
      <c r="AA226" s="8"/>
      <c r="AB226" s="8"/>
    </row>
    <row r="227" spans="1:28" ht="13.15" customHeight="1">
      <c r="A227" s="16">
        <v>213</v>
      </c>
      <c r="B227" s="15">
        <f t="shared" si="83"/>
        <v>45494</v>
      </c>
      <c r="C227" s="14">
        <f t="shared" si="84"/>
        <v>844</v>
      </c>
      <c r="D227" s="13">
        <f t="shared" si="75"/>
        <v>1603</v>
      </c>
      <c r="E227" s="12">
        <f t="shared" si="76"/>
        <v>-1008</v>
      </c>
      <c r="F227" s="12">
        <f t="shared" si="77"/>
        <v>-1128</v>
      </c>
      <c r="G227" s="12">
        <f t="shared" si="78"/>
        <v>-1266</v>
      </c>
      <c r="H227" s="8">
        <f t="shared" si="79"/>
        <v>3455</v>
      </c>
      <c r="I227" s="8">
        <f t="shared" si="80"/>
        <v>3575</v>
      </c>
      <c r="J227" s="8">
        <f t="shared" si="81"/>
        <v>3713</v>
      </c>
      <c r="K227" s="8">
        <f t="shared" si="88"/>
        <v>4000</v>
      </c>
      <c r="L227" s="8">
        <f t="shared" si="89"/>
        <v>4000</v>
      </c>
      <c r="M227" s="8">
        <f t="shared" si="90"/>
        <v>4000</v>
      </c>
      <c r="N227" s="8">
        <f t="shared" si="85"/>
        <v>-545</v>
      </c>
      <c r="O227" s="8">
        <f t="shared" si="86"/>
        <v>-425</v>
      </c>
      <c r="P227" s="8">
        <f t="shared" si="87"/>
        <v>-287</v>
      </c>
      <c r="Q227" s="12">
        <v>3</v>
      </c>
      <c r="R227" s="12">
        <v>1</v>
      </c>
      <c r="S227" s="12">
        <v>1</v>
      </c>
      <c r="T227" s="11">
        <f t="shared" si="82"/>
        <v>-618</v>
      </c>
      <c r="U227" s="10">
        <f t="shared" si="92"/>
        <v>2825</v>
      </c>
      <c r="V227" s="10">
        <f t="shared" si="91"/>
        <v>3065</v>
      </c>
      <c r="W227" s="10">
        <f t="shared" si="93"/>
        <v>3153</v>
      </c>
      <c r="X227" s="9"/>
      <c r="Y227" s="8"/>
      <c r="Z227" s="8"/>
      <c r="AA227" s="8"/>
      <c r="AB227" s="8"/>
    </row>
    <row r="228" spans="1:28" ht="13.15" customHeight="1">
      <c r="A228" s="16">
        <v>214</v>
      </c>
      <c r="B228" s="15">
        <f t="shared" si="83"/>
        <v>45495</v>
      </c>
      <c r="C228" s="14">
        <f t="shared" si="84"/>
        <v>844</v>
      </c>
      <c r="D228" s="13">
        <f t="shared" si="75"/>
        <v>1605</v>
      </c>
      <c r="E228" s="12">
        <f t="shared" si="76"/>
        <v>-1004</v>
      </c>
      <c r="F228" s="12">
        <f t="shared" si="77"/>
        <v>-1124</v>
      </c>
      <c r="G228" s="12">
        <f t="shared" si="78"/>
        <v>-1263</v>
      </c>
      <c r="H228" s="8">
        <f t="shared" si="79"/>
        <v>3453</v>
      </c>
      <c r="I228" s="8">
        <f t="shared" si="80"/>
        <v>3573</v>
      </c>
      <c r="J228" s="8">
        <f t="shared" si="81"/>
        <v>3712</v>
      </c>
      <c r="K228" s="8">
        <f t="shared" si="88"/>
        <v>4000</v>
      </c>
      <c r="L228" s="8">
        <f t="shared" si="89"/>
        <v>4000</v>
      </c>
      <c r="M228" s="8">
        <f t="shared" si="90"/>
        <v>4000</v>
      </c>
      <c r="N228" s="8">
        <f t="shared" si="85"/>
        <v>-547</v>
      </c>
      <c r="O228" s="8">
        <f t="shared" si="86"/>
        <v>-427</v>
      </c>
      <c r="P228" s="8">
        <f t="shared" si="87"/>
        <v>-288</v>
      </c>
      <c r="Q228" s="12">
        <v>2</v>
      </c>
      <c r="R228" s="12">
        <v>2</v>
      </c>
      <c r="S228" s="12">
        <v>1</v>
      </c>
      <c r="T228" s="11">
        <f t="shared" si="82"/>
        <v>-614</v>
      </c>
      <c r="U228" s="10">
        <f t="shared" si="92"/>
        <v>2823</v>
      </c>
      <c r="V228" s="10">
        <f t="shared" si="91"/>
        <v>3063</v>
      </c>
      <c r="W228" s="10">
        <f t="shared" si="93"/>
        <v>3152</v>
      </c>
      <c r="X228" s="9"/>
      <c r="Y228" s="8"/>
      <c r="Z228" s="8"/>
      <c r="AA228" s="8"/>
      <c r="AB228" s="8"/>
    </row>
    <row r="229" spans="1:28" ht="13.15" customHeight="1">
      <c r="A229" s="16">
        <v>215</v>
      </c>
      <c r="B229" s="15">
        <f t="shared" si="83"/>
        <v>45496</v>
      </c>
      <c r="C229" s="14">
        <f t="shared" si="84"/>
        <v>844</v>
      </c>
      <c r="D229" s="13">
        <f t="shared" si="75"/>
        <v>1607</v>
      </c>
      <c r="E229" s="12">
        <f t="shared" si="76"/>
        <v>-992</v>
      </c>
      <c r="F229" s="12">
        <f t="shared" si="77"/>
        <v>-1112</v>
      </c>
      <c r="G229" s="12">
        <f t="shared" si="78"/>
        <v>-1251</v>
      </c>
      <c r="H229" s="8">
        <f t="shared" si="79"/>
        <v>3443</v>
      </c>
      <c r="I229" s="8">
        <f t="shared" si="80"/>
        <v>3563</v>
      </c>
      <c r="J229" s="8">
        <f t="shared" si="81"/>
        <v>3702</v>
      </c>
      <c r="K229" s="8">
        <f t="shared" si="88"/>
        <v>4000</v>
      </c>
      <c r="L229" s="8">
        <f t="shared" si="89"/>
        <v>4000</v>
      </c>
      <c r="M229" s="8">
        <f t="shared" si="90"/>
        <v>4000</v>
      </c>
      <c r="N229" s="8">
        <f t="shared" si="85"/>
        <v>-557</v>
      </c>
      <c r="O229" s="8">
        <f t="shared" si="86"/>
        <v>-437</v>
      </c>
      <c r="P229" s="8">
        <f t="shared" si="87"/>
        <v>-298</v>
      </c>
      <c r="Q229" s="12">
        <v>10</v>
      </c>
      <c r="R229" s="12">
        <v>10</v>
      </c>
      <c r="S229" s="12">
        <v>10</v>
      </c>
      <c r="T229" s="11">
        <f t="shared" si="82"/>
        <v>-902</v>
      </c>
      <c r="U229" s="10">
        <f t="shared" si="92"/>
        <v>3113</v>
      </c>
      <c r="V229" s="10">
        <f t="shared" si="91"/>
        <v>3353</v>
      </c>
      <c r="W229" s="10">
        <f t="shared" si="93"/>
        <v>3442</v>
      </c>
      <c r="X229" s="9">
        <v>0.3</v>
      </c>
      <c r="Y229" s="8"/>
      <c r="Z229" s="8"/>
      <c r="AA229" s="8"/>
      <c r="AB229" s="29" t="s">
        <v>3</v>
      </c>
    </row>
    <row r="230" spans="1:28" ht="13.15" customHeight="1">
      <c r="A230" s="16">
        <v>216</v>
      </c>
      <c r="B230" s="15">
        <f t="shared" si="83"/>
        <v>45497</v>
      </c>
      <c r="C230" s="14">
        <f t="shared" si="84"/>
        <v>844</v>
      </c>
      <c r="D230" s="13">
        <f t="shared" si="75"/>
        <v>1609</v>
      </c>
      <c r="E230" s="12">
        <f t="shared" si="76"/>
        <v>-980</v>
      </c>
      <c r="F230" s="12">
        <f t="shared" si="77"/>
        <v>-1100</v>
      </c>
      <c r="G230" s="12">
        <f t="shared" si="78"/>
        <v>-1239</v>
      </c>
      <c r="H230" s="8">
        <f t="shared" si="79"/>
        <v>3433</v>
      </c>
      <c r="I230" s="8">
        <f t="shared" si="80"/>
        <v>3553</v>
      </c>
      <c r="J230" s="8">
        <f t="shared" si="81"/>
        <v>3692</v>
      </c>
      <c r="K230" s="8">
        <f t="shared" si="88"/>
        <v>4000</v>
      </c>
      <c r="L230" s="8">
        <f t="shared" si="89"/>
        <v>4000</v>
      </c>
      <c r="M230" s="8">
        <f t="shared" si="90"/>
        <v>4000</v>
      </c>
      <c r="N230" s="8">
        <f t="shared" si="85"/>
        <v>-567</v>
      </c>
      <c r="O230" s="8">
        <f t="shared" si="86"/>
        <v>-447</v>
      </c>
      <c r="P230" s="8">
        <f t="shared" si="87"/>
        <v>-308</v>
      </c>
      <c r="Q230" s="12">
        <v>10</v>
      </c>
      <c r="R230" s="12">
        <v>10</v>
      </c>
      <c r="S230" s="12">
        <v>10</v>
      </c>
      <c r="T230" s="11">
        <f t="shared" si="82"/>
        <v>-890</v>
      </c>
      <c r="U230" s="10">
        <f t="shared" si="92"/>
        <v>3103</v>
      </c>
      <c r="V230" s="10">
        <f t="shared" si="91"/>
        <v>3343</v>
      </c>
      <c r="W230" s="10">
        <f t="shared" si="93"/>
        <v>3432</v>
      </c>
      <c r="X230" s="9"/>
      <c r="Y230" s="8"/>
      <c r="Z230" s="8"/>
      <c r="AA230" s="8"/>
      <c r="AB230" s="8"/>
    </row>
    <row r="231" spans="1:28" ht="13.15" customHeight="1">
      <c r="A231" s="16">
        <v>217</v>
      </c>
      <c r="B231" s="15">
        <f t="shared" si="83"/>
        <v>45498</v>
      </c>
      <c r="C231" s="14">
        <f t="shared" si="84"/>
        <v>844</v>
      </c>
      <c r="D231" s="13">
        <f t="shared" si="75"/>
        <v>1611</v>
      </c>
      <c r="E231" s="12">
        <f t="shared" si="76"/>
        <v>-968</v>
      </c>
      <c r="F231" s="12">
        <f t="shared" si="77"/>
        <v>-1088</v>
      </c>
      <c r="G231" s="12">
        <f t="shared" si="78"/>
        <v>-1227</v>
      </c>
      <c r="H231" s="8">
        <f t="shared" si="79"/>
        <v>3423</v>
      </c>
      <c r="I231" s="8">
        <f t="shared" si="80"/>
        <v>3543</v>
      </c>
      <c r="J231" s="8">
        <f t="shared" si="81"/>
        <v>3682</v>
      </c>
      <c r="K231" s="8">
        <f t="shared" si="88"/>
        <v>4000</v>
      </c>
      <c r="L231" s="8">
        <f t="shared" si="89"/>
        <v>4000</v>
      </c>
      <c r="M231" s="8">
        <f t="shared" si="90"/>
        <v>4000</v>
      </c>
      <c r="N231" s="8">
        <f t="shared" si="85"/>
        <v>-577</v>
      </c>
      <c r="O231" s="8">
        <f t="shared" si="86"/>
        <v>-457</v>
      </c>
      <c r="P231" s="8">
        <f t="shared" si="87"/>
        <v>-318</v>
      </c>
      <c r="Q231" s="12">
        <v>10</v>
      </c>
      <c r="R231" s="12">
        <v>10</v>
      </c>
      <c r="S231" s="12">
        <v>10</v>
      </c>
      <c r="T231" s="11">
        <f t="shared" si="82"/>
        <v>-878</v>
      </c>
      <c r="U231" s="10">
        <f t="shared" si="92"/>
        <v>3093</v>
      </c>
      <c r="V231" s="10">
        <f t="shared" si="91"/>
        <v>3333</v>
      </c>
      <c r="W231" s="10">
        <f t="shared" si="93"/>
        <v>3422</v>
      </c>
      <c r="X231" s="9"/>
      <c r="Y231" s="8"/>
      <c r="Z231" s="8"/>
      <c r="AA231" s="8"/>
      <c r="AB231" s="8"/>
    </row>
    <row r="232" spans="1:28" ht="13.15" customHeight="1">
      <c r="A232" s="16">
        <v>218</v>
      </c>
      <c r="B232" s="15">
        <f t="shared" si="83"/>
        <v>45499</v>
      </c>
      <c r="C232" s="14">
        <f t="shared" si="84"/>
        <v>844</v>
      </c>
      <c r="D232" s="13">
        <f t="shared" si="75"/>
        <v>1613</v>
      </c>
      <c r="E232" s="12">
        <f t="shared" si="76"/>
        <v>-956</v>
      </c>
      <c r="F232" s="12">
        <f t="shared" si="77"/>
        <v>-1076</v>
      </c>
      <c r="G232" s="12">
        <f t="shared" si="78"/>
        <v>-1215</v>
      </c>
      <c r="H232" s="8">
        <f t="shared" si="79"/>
        <v>3413</v>
      </c>
      <c r="I232" s="8">
        <f t="shared" si="80"/>
        <v>3533</v>
      </c>
      <c r="J232" s="8">
        <f t="shared" si="81"/>
        <v>3672</v>
      </c>
      <c r="K232" s="8">
        <f t="shared" si="88"/>
        <v>4000</v>
      </c>
      <c r="L232" s="8">
        <f t="shared" si="89"/>
        <v>4000</v>
      </c>
      <c r="M232" s="8">
        <f t="shared" si="90"/>
        <v>4000</v>
      </c>
      <c r="N232" s="8">
        <f t="shared" si="85"/>
        <v>-587</v>
      </c>
      <c r="O232" s="8">
        <f t="shared" si="86"/>
        <v>-467</v>
      </c>
      <c r="P232" s="8">
        <f t="shared" si="87"/>
        <v>-328</v>
      </c>
      <c r="Q232" s="12">
        <v>10</v>
      </c>
      <c r="R232" s="12">
        <v>10</v>
      </c>
      <c r="S232" s="12">
        <v>10</v>
      </c>
      <c r="T232" s="11">
        <f t="shared" si="82"/>
        <v>-866</v>
      </c>
      <c r="U232" s="10">
        <f t="shared" si="92"/>
        <v>3083</v>
      </c>
      <c r="V232" s="10">
        <f t="shared" si="91"/>
        <v>3323</v>
      </c>
      <c r="W232" s="10">
        <f t="shared" si="93"/>
        <v>3412</v>
      </c>
      <c r="X232" s="9"/>
      <c r="Y232" s="8"/>
      <c r="Z232" s="8"/>
      <c r="AA232" s="8"/>
      <c r="AB232" s="8"/>
    </row>
    <row r="233" spans="1:28" ht="13.15" customHeight="1">
      <c r="A233" s="16">
        <v>219</v>
      </c>
      <c r="B233" s="15">
        <f t="shared" si="83"/>
        <v>45500</v>
      </c>
      <c r="C233" s="14">
        <f t="shared" si="84"/>
        <v>844</v>
      </c>
      <c r="D233" s="13">
        <f t="shared" si="75"/>
        <v>1615</v>
      </c>
      <c r="E233" s="12">
        <f t="shared" si="76"/>
        <v>-944</v>
      </c>
      <c r="F233" s="12">
        <f t="shared" si="77"/>
        <v>-1064</v>
      </c>
      <c r="G233" s="12">
        <f t="shared" si="78"/>
        <v>-1203</v>
      </c>
      <c r="H233" s="8">
        <f t="shared" si="79"/>
        <v>3403</v>
      </c>
      <c r="I233" s="8">
        <f t="shared" si="80"/>
        <v>3523</v>
      </c>
      <c r="J233" s="8">
        <f t="shared" si="81"/>
        <v>3662</v>
      </c>
      <c r="K233" s="8">
        <f t="shared" si="88"/>
        <v>4000</v>
      </c>
      <c r="L233" s="8">
        <f t="shared" si="89"/>
        <v>4000</v>
      </c>
      <c r="M233" s="8">
        <f t="shared" si="90"/>
        <v>4000</v>
      </c>
      <c r="N233" s="8">
        <f t="shared" si="85"/>
        <v>-597</v>
      </c>
      <c r="O233" s="8">
        <f t="shared" si="86"/>
        <v>-477</v>
      </c>
      <c r="P233" s="8">
        <f t="shared" si="87"/>
        <v>-338</v>
      </c>
      <c r="Q233" s="12">
        <v>10</v>
      </c>
      <c r="R233" s="12">
        <v>10</v>
      </c>
      <c r="S233" s="12">
        <v>10</v>
      </c>
      <c r="T233" s="11">
        <f t="shared" si="82"/>
        <v>-854</v>
      </c>
      <c r="U233" s="10">
        <f t="shared" si="92"/>
        <v>3073</v>
      </c>
      <c r="V233" s="10">
        <f t="shared" si="91"/>
        <v>3313</v>
      </c>
      <c r="W233" s="10">
        <f t="shared" si="93"/>
        <v>3402</v>
      </c>
      <c r="X233" s="9"/>
      <c r="Y233" s="8"/>
      <c r="Z233" s="8"/>
      <c r="AA233" s="8"/>
      <c r="AB233" s="8"/>
    </row>
    <row r="234" spans="1:28" ht="13.15" customHeight="1">
      <c r="A234" s="16">
        <v>220</v>
      </c>
      <c r="B234" s="15">
        <f t="shared" si="83"/>
        <v>45501</v>
      </c>
      <c r="C234" s="14">
        <f t="shared" si="84"/>
        <v>844</v>
      </c>
      <c r="D234" s="13">
        <f t="shared" si="75"/>
        <v>1617</v>
      </c>
      <c r="E234" s="12">
        <f t="shared" si="76"/>
        <v>-932</v>
      </c>
      <c r="F234" s="12">
        <f t="shared" si="77"/>
        <v>-1052</v>
      </c>
      <c r="G234" s="12">
        <f t="shared" si="78"/>
        <v>-1191</v>
      </c>
      <c r="H234" s="8">
        <f t="shared" si="79"/>
        <v>3393</v>
      </c>
      <c r="I234" s="8">
        <f t="shared" si="80"/>
        <v>3513</v>
      </c>
      <c r="J234" s="8">
        <f t="shared" si="81"/>
        <v>3652</v>
      </c>
      <c r="K234" s="8">
        <f t="shared" si="88"/>
        <v>4000</v>
      </c>
      <c r="L234" s="8">
        <f t="shared" si="89"/>
        <v>4000</v>
      </c>
      <c r="M234" s="8">
        <f t="shared" si="90"/>
        <v>4000</v>
      </c>
      <c r="N234" s="8">
        <f t="shared" si="85"/>
        <v>-607</v>
      </c>
      <c r="O234" s="8">
        <f t="shared" si="86"/>
        <v>-487</v>
      </c>
      <c r="P234" s="8">
        <f t="shared" si="87"/>
        <v>-348</v>
      </c>
      <c r="Q234" s="12">
        <v>10</v>
      </c>
      <c r="R234" s="12">
        <v>10</v>
      </c>
      <c r="S234" s="12">
        <v>10</v>
      </c>
      <c r="T234" s="11">
        <f t="shared" si="82"/>
        <v>-1142</v>
      </c>
      <c r="U234" s="10">
        <f t="shared" si="92"/>
        <v>3363</v>
      </c>
      <c r="V234" s="10">
        <f t="shared" si="91"/>
        <v>3603</v>
      </c>
      <c r="W234" s="10">
        <f t="shared" si="93"/>
        <v>3692</v>
      </c>
      <c r="X234" s="9">
        <v>0.3</v>
      </c>
      <c r="Y234" s="8"/>
      <c r="Z234" s="8"/>
      <c r="AA234" s="8"/>
      <c r="AB234" s="29" t="s">
        <v>2</v>
      </c>
    </row>
    <row r="235" spans="1:28" ht="13.15" customHeight="1">
      <c r="A235" s="16">
        <v>221</v>
      </c>
      <c r="B235" s="15">
        <f t="shared" si="83"/>
        <v>45502</v>
      </c>
      <c r="C235" s="14">
        <f t="shared" si="84"/>
        <v>844</v>
      </c>
      <c r="D235" s="13">
        <f t="shared" si="75"/>
        <v>1619</v>
      </c>
      <c r="E235" s="12">
        <f t="shared" si="76"/>
        <v>-920</v>
      </c>
      <c r="F235" s="12">
        <f t="shared" si="77"/>
        <v>-1040</v>
      </c>
      <c r="G235" s="12">
        <f t="shared" si="78"/>
        <v>-1179</v>
      </c>
      <c r="H235" s="8">
        <f t="shared" si="79"/>
        <v>3383</v>
      </c>
      <c r="I235" s="8">
        <f t="shared" si="80"/>
        <v>3503</v>
      </c>
      <c r="J235" s="8">
        <f t="shared" si="81"/>
        <v>3642</v>
      </c>
      <c r="K235" s="8">
        <f t="shared" si="88"/>
        <v>4000</v>
      </c>
      <c r="L235" s="8">
        <f t="shared" si="89"/>
        <v>4000</v>
      </c>
      <c r="M235" s="8">
        <f t="shared" si="90"/>
        <v>4000</v>
      </c>
      <c r="N235" s="8">
        <f t="shared" si="85"/>
        <v>-617</v>
      </c>
      <c r="O235" s="8">
        <f t="shared" si="86"/>
        <v>-497</v>
      </c>
      <c r="P235" s="8">
        <f t="shared" si="87"/>
        <v>-358</v>
      </c>
      <c r="Q235" s="12">
        <v>10</v>
      </c>
      <c r="R235" s="12">
        <v>10</v>
      </c>
      <c r="S235" s="12">
        <v>10</v>
      </c>
      <c r="T235" s="11">
        <f t="shared" si="82"/>
        <v>-1130</v>
      </c>
      <c r="U235" s="10">
        <f t="shared" si="92"/>
        <v>3353</v>
      </c>
      <c r="V235" s="10">
        <f t="shared" si="91"/>
        <v>3593</v>
      </c>
      <c r="W235" s="10">
        <f t="shared" si="93"/>
        <v>3682</v>
      </c>
      <c r="X235" s="9"/>
      <c r="Y235" s="8"/>
      <c r="Z235" s="8"/>
      <c r="AA235" s="8"/>
      <c r="AB235" s="8"/>
    </row>
    <row r="236" spans="1:28" ht="13.15" customHeight="1">
      <c r="A236" s="16">
        <v>222</v>
      </c>
      <c r="B236" s="15">
        <f t="shared" si="83"/>
        <v>45503</v>
      </c>
      <c r="C236" s="14">
        <f t="shared" si="84"/>
        <v>844</v>
      </c>
      <c r="D236" s="13">
        <f t="shared" si="75"/>
        <v>1621</v>
      </c>
      <c r="E236" s="12">
        <f t="shared" si="76"/>
        <v>-908</v>
      </c>
      <c r="F236" s="12">
        <f t="shared" si="77"/>
        <v>-1028</v>
      </c>
      <c r="G236" s="12">
        <f t="shared" si="78"/>
        <v>-1167</v>
      </c>
      <c r="H236" s="8">
        <f t="shared" si="79"/>
        <v>3373</v>
      </c>
      <c r="I236" s="8">
        <f t="shared" si="80"/>
        <v>3493</v>
      </c>
      <c r="J236" s="8">
        <f t="shared" si="81"/>
        <v>3632</v>
      </c>
      <c r="K236" s="8">
        <f t="shared" si="88"/>
        <v>4000</v>
      </c>
      <c r="L236" s="8">
        <f t="shared" si="89"/>
        <v>4000</v>
      </c>
      <c r="M236" s="8">
        <f t="shared" si="90"/>
        <v>4000</v>
      </c>
      <c r="N236" s="8">
        <f t="shared" si="85"/>
        <v>-627</v>
      </c>
      <c r="O236" s="8">
        <f t="shared" si="86"/>
        <v>-507</v>
      </c>
      <c r="P236" s="8">
        <f t="shared" si="87"/>
        <v>-368</v>
      </c>
      <c r="Q236" s="12">
        <v>10</v>
      </c>
      <c r="R236" s="12">
        <v>10</v>
      </c>
      <c r="S236" s="12">
        <v>10</v>
      </c>
      <c r="T236" s="11">
        <f t="shared" si="82"/>
        <v>-1118</v>
      </c>
      <c r="U236" s="10">
        <f t="shared" si="92"/>
        <v>3343</v>
      </c>
      <c r="V236" s="10">
        <f t="shared" si="91"/>
        <v>3583</v>
      </c>
      <c r="W236" s="10">
        <f t="shared" si="93"/>
        <v>3672</v>
      </c>
      <c r="X236" s="9"/>
      <c r="Y236" s="8"/>
      <c r="Z236" s="8"/>
      <c r="AA236" s="8"/>
      <c r="AB236" s="8"/>
    </row>
    <row r="237" spans="1:28" ht="13.15" customHeight="1">
      <c r="A237" s="16">
        <v>223</v>
      </c>
      <c r="B237" s="15">
        <f t="shared" si="83"/>
        <v>45504</v>
      </c>
      <c r="C237" s="14">
        <f t="shared" si="84"/>
        <v>844</v>
      </c>
      <c r="D237" s="13">
        <f t="shared" si="75"/>
        <v>1623</v>
      </c>
      <c r="E237" s="12">
        <f t="shared" si="76"/>
        <v>-896</v>
      </c>
      <c r="F237" s="12">
        <f t="shared" si="77"/>
        <v>-1016</v>
      </c>
      <c r="G237" s="12">
        <f t="shared" si="78"/>
        <v>-1155</v>
      </c>
      <c r="H237" s="8">
        <f t="shared" si="79"/>
        <v>3363</v>
      </c>
      <c r="I237" s="8">
        <f t="shared" si="80"/>
        <v>3483</v>
      </c>
      <c r="J237" s="8">
        <f t="shared" si="81"/>
        <v>3622</v>
      </c>
      <c r="K237" s="8">
        <f t="shared" si="88"/>
        <v>4000</v>
      </c>
      <c r="L237" s="8">
        <f t="shared" si="89"/>
        <v>4000</v>
      </c>
      <c r="M237" s="8">
        <f t="shared" si="90"/>
        <v>4000</v>
      </c>
      <c r="N237" s="8">
        <f t="shared" si="85"/>
        <v>-637</v>
      </c>
      <c r="O237" s="8">
        <f t="shared" si="86"/>
        <v>-517</v>
      </c>
      <c r="P237" s="8">
        <f t="shared" si="87"/>
        <v>-378</v>
      </c>
      <c r="Q237" s="12">
        <v>10</v>
      </c>
      <c r="R237" s="12">
        <v>10</v>
      </c>
      <c r="S237" s="12">
        <v>10</v>
      </c>
      <c r="T237" s="11">
        <f t="shared" si="82"/>
        <v>-1106</v>
      </c>
      <c r="U237" s="10">
        <f t="shared" si="92"/>
        <v>3333</v>
      </c>
      <c r="V237" s="10">
        <f t="shared" si="91"/>
        <v>3573</v>
      </c>
      <c r="W237" s="10">
        <f t="shared" si="93"/>
        <v>3662</v>
      </c>
      <c r="X237" s="9"/>
      <c r="Y237" s="8"/>
      <c r="Z237" s="8"/>
      <c r="AA237" s="8"/>
      <c r="AB237" s="8"/>
    </row>
    <row r="238" spans="1:28" ht="13.15" customHeight="1">
      <c r="A238" s="16">
        <v>224</v>
      </c>
      <c r="B238" s="15">
        <f t="shared" si="83"/>
        <v>45505</v>
      </c>
      <c r="C238" s="14">
        <f t="shared" si="84"/>
        <v>844</v>
      </c>
      <c r="D238" s="13">
        <f t="shared" si="75"/>
        <v>1625</v>
      </c>
      <c r="E238" s="12">
        <f t="shared" si="76"/>
        <v>-884</v>
      </c>
      <c r="F238" s="12">
        <f t="shared" si="77"/>
        <v>-1004</v>
      </c>
      <c r="G238" s="12">
        <f t="shared" si="78"/>
        <v>-1143</v>
      </c>
      <c r="H238" s="8">
        <f t="shared" si="79"/>
        <v>3353</v>
      </c>
      <c r="I238" s="8">
        <f t="shared" si="80"/>
        <v>3473</v>
      </c>
      <c r="J238" s="8">
        <f t="shared" si="81"/>
        <v>3612</v>
      </c>
      <c r="K238" s="8">
        <f t="shared" si="88"/>
        <v>4000</v>
      </c>
      <c r="L238" s="8">
        <f t="shared" si="89"/>
        <v>4000</v>
      </c>
      <c r="M238" s="8">
        <f t="shared" si="90"/>
        <v>4000</v>
      </c>
      <c r="N238" s="8">
        <f t="shared" si="85"/>
        <v>-647</v>
      </c>
      <c r="O238" s="8">
        <f t="shared" si="86"/>
        <v>-527</v>
      </c>
      <c r="P238" s="8">
        <f t="shared" si="87"/>
        <v>-388</v>
      </c>
      <c r="Q238" s="12">
        <v>10</v>
      </c>
      <c r="R238" s="12">
        <v>10</v>
      </c>
      <c r="S238" s="12">
        <v>10</v>
      </c>
      <c r="T238" s="11">
        <f t="shared" si="82"/>
        <v>-1094</v>
      </c>
      <c r="U238" s="10">
        <f t="shared" si="92"/>
        <v>3323</v>
      </c>
      <c r="V238" s="10">
        <f t="shared" si="91"/>
        <v>3563</v>
      </c>
      <c r="W238" s="10">
        <f t="shared" si="93"/>
        <v>3652</v>
      </c>
      <c r="X238" s="9"/>
      <c r="Y238" s="8"/>
      <c r="Z238" s="8"/>
      <c r="AA238" s="8"/>
      <c r="AB238" s="8"/>
    </row>
    <row r="239" spans="1:28" ht="13.15" customHeight="1">
      <c r="A239" s="16">
        <v>225</v>
      </c>
      <c r="B239" s="15">
        <f t="shared" si="83"/>
        <v>45506</v>
      </c>
      <c r="C239" s="14">
        <f t="shared" si="84"/>
        <v>844</v>
      </c>
      <c r="D239" s="13">
        <f t="shared" si="75"/>
        <v>1627</v>
      </c>
      <c r="E239" s="12">
        <f t="shared" si="76"/>
        <v>-872</v>
      </c>
      <c r="F239" s="12">
        <f t="shared" si="77"/>
        <v>-992</v>
      </c>
      <c r="G239" s="12">
        <f t="shared" si="78"/>
        <v>-1131</v>
      </c>
      <c r="H239" s="8">
        <f t="shared" si="79"/>
        <v>3343</v>
      </c>
      <c r="I239" s="8">
        <f t="shared" si="80"/>
        <v>3463</v>
      </c>
      <c r="J239" s="8">
        <f t="shared" si="81"/>
        <v>3602</v>
      </c>
      <c r="K239" s="8">
        <f t="shared" si="88"/>
        <v>4000</v>
      </c>
      <c r="L239" s="8">
        <f t="shared" si="89"/>
        <v>4000</v>
      </c>
      <c r="M239" s="8">
        <f t="shared" si="90"/>
        <v>4000</v>
      </c>
      <c r="N239" s="8">
        <f t="shared" si="85"/>
        <v>-657</v>
      </c>
      <c r="O239" s="8">
        <f t="shared" si="86"/>
        <v>-537</v>
      </c>
      <c r="P239" s="8">
        <f t="shared" si="87"/>
        <v>-398</v>
      </c>
      <c r="Q239" s="12">
        <v>10</v>
      </c>
      <c r="R239" s="12">
        <v>10</v>
      </c>
      <c r="S239" s="12">
        <v>10</v>
      </c>
      <c r="T239" s="11">
        <f t="shared" si="82"/>
        <v>-1382</v>
      </c>
      <c r="U239" s="10">
        <f t="shared" si="92"/>
        <v>3613</v>
      </c>
      <c r="V239" s="10">
        <f t="shared" si="91"/>
        <v>3853</v>
      </c>
      <c r="W239" s="10">
        <f t="shared" si="93"/>
        <v>3942</v>
      </c>
      <c r="X239" s="9">
        <v>0.3</v>
      </c>
      <c r="Y239" s="8"/>
      <c r="Z239" s="8"/>
      <c r="AA239" s="8"/>
      <c r="AB239" s="29" t="s">
        <v>1</v>
      </c>
    </row>
    <row r="240" spans="1:28" ht="13.15" customHeight="1">
      <c r="A240" s="16">
        <v>226</v>
      </c>
      <c r="B240" s="15">
        <f t="shared" si="83"/>
        <v>45507</v>
      </c>
      <c r="C240" s="14">
        <f t="shared" si="84"/>
        <v>844</v>
      </c>
      <c r="D240" s="13">
        <f t="shared" si="75"/>
        <v>1629</v>
      </c>
      <c r="E240" s="12">
        <f t="shared" si="76"/>
        <v>-860</v>
      </c>
      <c r="F240" s="12">
        <f t="shared" si="77"/>
        <v>-980</v>
      </c>
      <c r="G240" s="12">
        <f t="shared" si="78"/>
        <v>-1119</v>
      </c>
      <c r="H240" s="8">
        <f t="shared" si="79"/>
        <v>3333</v>
      </c>
      <c r="I240" s="8">
        <f t="shared" si="80"/>
        <v>3453</v>
      </c>
      <c r="J240" s="8">
        <f t="shared" si="81"/>
        <v>3592</v>
      </c>
      <c r="K240" s="8">
        <f t="shared" si="88"/>
        <v>4000</v>
      </c>
      <c r="L240" s="8">
        <f t="shared" si="89"/>
        <v>4000</v>
      </c>
      <c r="M240" s="8">
        <f t="shared" si="90"/>
        <v>4000</v>
      </c>
      <c r="N240" s="8">
        <f t="shared" si="85"/>
        <v>-667</v>
      </c>
      <c r="O240" s="8">
        <f t="shared" si="86"/>
        <v>-547</v>
      </c>
      <c r="P240" s="8">
        <f t="shared" si="87"/>
        <v>-408</v>
      </c>
      <c r="Q240" s="12">
        <v>10</v>
      </c>
      <c r="R240" s="12">
        <v>10</v>
      </c>
      <c r="S240" s="12">
        <v>10</v>
      </c>
      <c r="T240" s="11">
        <f t="shared" si="82"/>
        <v>-1370</v>
      </c>
      <c r="U240" s="10">
        <f t="shared" si="92"/>
        <v>3603</v>
      </c>
      <c r="V240" s="10">
        <f t="shared" si="91"/>
        <v>3843</v>
      </c>
      <c r="W240" s="10">
        <f t="shared" si="93"/>
        <v>3932</v>
      </c>
      <c r="X240" s="9"/>
      <c r="Y240" s="8"/>
      <c r="Z240" s="8"/>
      <c r="AA240" s="8"/>
      <c r="AB240" s="8"/>
    </row>
    <row r="241" spans="1:28" ht="13.15" customHeight="1">
      <c r="A241" s="16">
        <v>227</v>
      </c>
      <c r="B241" s="15">
        <f t="shared" si="83"/>
        <v>45508</v>
      </c>
      <c r="C241" s="14">
        <f t="shared" si="84"/>
        <v>844</v>
      </c>
      <c r="D241" s="13">
        <f t="shared" si="75"/>
        <v>1631</v>
      </c>
      <c r="E241" s="12">
        <f t="shared" si="76"/>
        <v>-848</v>
      </c>
      <c r="F241" s="12">
        <f t="shared" si="77"/>
        <v>-968</v>
      </c>
      <c r="G241" s="12">
        <f t="shared" si="78"/>
        <v>-1107</v>
      </c>
      <c r="H241" s="8">
        <f t="shared" si="79"/>
        <v>3323</v>
      </c>
      <c r="I241" s="8">
        <f t="shared" si="80"/>
        <v>3443</v>
      </c>
      <c r="J241" s="8">
        <f t="shared" si="81"/>
        <v>3582</v>
      </c>
      <c r="K241" s="8">
        <f t="shared" si="88"/>
        <v>4000</v>
      </c>
      <c r="L241" s="8">
        <f t="shared" si="89"/>
        <v>4000</v>
      </c>
      <c r="M241" s="8">
        <f t="shared" si="90"/>
        <v>4000</v>
      </c>
      <c r="N241" s="8">
        <f t="shared" si="85"/>
        <v>-677</v>
      </c>
      <c r="O241" s="8">
        <f t="shared" si="86"/>
        <v>-557</v>
      </c>
      <c r="P241" s="8">
        <f t="shared" si="87"/>
        <v>-418</v>
      </c>
      <c r="Q241" s="12">
        <v>10</v>
      </c>
      <c r="R241" s="12">
        <v>10</v>
      </c>
      <c r="S241" s="12">
        <v>10</v>
      </c>
      <c r="T241" s="11">
        <f t="shared" si="82"/>
        <v>-1358</v>
      </c>
      <c r="U241" s="10">
        <f t="shared" si="92"/>
        <v>3593</v>
      </c>
      <c r="V241" s="10">
        <f t="shared" si="91"/>
        <v>3833</v>
      </c>
      <c r="W241" s="10">
        <f t="shared" si="93"/>
        <v>3922</v>
      </c>
      <c r="X241" s="9"/>
      <c r="Y241" s="8"/>
      <c r="Z241" s="8"/>
      <c r="AA241" s="8"/>
      <c r="AB241" s="8"/>
    </row>
    <row r="242" spans="1:28" ht="13.15" customHeight="1">
      <c r="A242" s="16">
        <v>228</v>
      </c>
      <c r="B242" s="15">
        <f t="shared" si="83"/>
        <v>45509</v>
      </c>
      <c r="C242" s="14">
        <f t="shared" si="84"/>
        <v>844</v>
      </c>
      <c r="D242" s="13">
        <f t="shared" si="75"/>
        <v>1633</v>
      </c>
      <c r="E242" s="12">
        <f t="shared" si="76"/>
        <v>-836</v>
      </c>
      <c r="F242" s="12">
        <f t="shared" si="77"/>
        <v>-956</v>
      </c>
      <c r="G242" s="12">
        <f t="shared" si="78"/>
        <v>-1095</v>
      </c>
      <c r="H242" s="8">
        <f t="shared" si="79"/>
        <v>3313</v>
      </c>
      <c r="I242" s="8">
        <f t="shared" si="80"/>
        <v>3433</v>
      </c>
      <c r="J242" s="8">
        <f t="shared" si="81"/>
        <v>3572</v>
      </c>
      <c r="K242" s="8">
        <f t="shared" si="88"/>
        <v>4000</v>
      </c>
      <c r="L242" s="8">
        <f t="shared" si="89"/>
        <v>4000</v>
      </c>
      <c r="M242" s="8">
        <f t="shared" si="90"/>
        <v>4000</v>
      </c>
      <c r="N242" s="8">
        <f t="shared" si="85"/>
        <v>-687</v>
      </c>
      <c r="O242" s="8">
        <f t="shared" si="86"/>
        <v>-567</v>
      </c>
      <c r="P242" s="8">
        <f t="shared" si="87"/>
        <v>-428</v>
      </c>
      <c r="Q242" s="12">
        <v>10</v>
      </c>
      <c r="R242" s="12">
        <v>10</v>
      </c>
      <c r="S242" s="12">
        <v>10</v>
      </c>
      <c r="T242" s="11">
        <f t="shared" si="82"/>
        <v>-1346</v>
      </c>
      <c r="U242" s="10">
        <f t="shared" si="92"/>
        <v>3583</v>
      </c>
      <c r="V242" s="10">
        <f t="shared" si="91"/>
        <v>3823</v>
      </c>
      <c r="W242" s="10">
        <f t="shared" si="93"/>
        <v>3912</v>
      </c>
      <c r="X242" s="9"/>
      <c r="Y242" s="8"/>
      <c r="Z242" s="8"/>
      <c r="AA242" s="8"/>
      <c r="AB242" s="8"/>
    </row>
    <row r="243" spans="1:28" ht="13.15" customHeight="1">
      <c r="A243" s="16">
        <v>229</v>
      </c>
      <c r="B243" s="15">
        <f t="shared" si="83"/>
        <v>45510</v>
      </c>
      <c r="C243" s="14">
        <f t="shared" si="84"/>
        <v>844</v>
      </c>
      <c r="D243" s="13">
        <f t="shared" si="75"/>
        <v>1635</v>
      </c>
      <c r="E243" s="12">
        <f t="shared" si="76"/>
        <v>-824</v>
      </c>
      <c r="F243" s="12">
        <f t="shared" si="77"/>
        <v>-944</v>
      </c>
      <c r="G243" s="12">
        <f t="shared" si="78"/>
        <v>-1083</v>
      </c>
      <c r="H243" s="8">
        <f t="shared" si="79"/>
        <v>3303</v>
      </c>
      <c r="I243" s="8">
        <f t="shared" si="80"/>
        <v>3423</v>
      </c>
      <c r="J243" s="8">
        <f t="shared" si="81"/>
        <v>3562</v>
      </c>
      <c r="K243" s="8">
        <f t="shared" si="88"/>
        <v>4000</v>
      </c>
      <c r="L243" s="8">
        <f t="shared" si="89"/>
        <v>4000</v>
      </c>
      <c r="M243" s="8">
        <f t="shared" si="90"/>
        <v>4000</v>
      </c>
      <c r="N243" s="8">
        <f t="shared" si="85"/>
        <v>-697</v>
      </c>
      <c r="O243" s="8">
        <f t="shared" si="86"/>
        <v>-577</v>
      </c>
      <c r="P243" s="8">
        <f t="shared" si="87"/>
        <v>-438</v>
      </c>
      <c r="Q243" s="12">
        <v>10</v>
      </c>
      <c r="R243" s="12">
        <v>10</v>
      </c>
      <c r="S243" s="12">
        <v>10</v>
      </c>
      <c r="T243" s="11">
        <f t="shared" si="82"/>
        <v>-1334</v>
      </c>
      <c r="U243" s="10">
        <f t="shared" si="92"/>
        <v>3573</v>
      </c>
      <c r="V243" s="10">
        <f t="shared" si="91"/>
        <v>3813</v>
      </c>
      <c r="W243" s="10">
        <f t="shared" si="93"/>
        <v>3902</v>
      </c>
      <c r="X243" s="9"/>
      <c r="Y243" s="8"/>
      <c r="Z243" s="8"/>
      <c r="AA243" s="8"/>
      <c r="AB243" s="8"/>
    </row>
    <row r="244" spans="1:28" ht="13.15" customHeight="1">
      <c r="A244" s="16">
        <v>230</v>
      </c>
      <c r="B244" s="15">
        <f t="shared" si="83"/>
        <v>45511</v>
      </c>
      <c r="C244" s="14">
        <f t="shared" si="84"/>
        <v>844</v>
      </c>
      <c r="D244" s="13">
        <f t="shared" si="75"/>
        <v>1637</v>
      </c>
      <c r="E244" s="12">
        <f t="shared" si="76"/>
        <v>-812</v>
      </c>
      <c r="F244" s="12">
        <f t="shared" si="77"/>
        <v>-932</v>
      </c>
      <c r="G244" s="12">
        <f t="shared" si="78"/>
        <v>-1071</v>
      </c>
      <c r="H244" s="8">
        <f t="shared" si="79"/>
        <v>3293</v>
      </c>
      <c r="I244" s="8">
        <f t="shared" si="80"/>
        <v>3413</v>
      </c>
      <c r="J244" s="8">
        <f t="shared" si="81"/>
        <v>3552</v>
      </c>
      <c r="K244" s="8">
        <f t="shared" si="88"/>
        <v>4000</v>
      </c>
      <c r="L244" s="8">
        <f t="shared" si="89"/>
        <v>4000</v>
      </c>
      <c r="M244" s="8">
        <f t="shared" si="90"/>
        <v>4000</v>
      </c>
      <c r="N244" s="8">
        <f t="shared" si="85"/>
        <v>-707</v>
      </c>
      <c r="O244" s="8">
        <f t="shared" si="86"/>
        <v>-587</v>
      </c>
      <c r="P244" s="8">
        <f t="shared" si="87"/>
        <v>-448</v>
      </c>
      <c r="Q244" s="12">
        <v>10</v>
      </c>
      <c r="R244" s="12">
        <v>10</v>
      </c>
      <c r="S244" s="12">
        <v>10</v>
      </c>
      <c r="T244" s="11">
        <f t="shared" si="82"/>
        <v>-1322</v>
      </c>
      <c r="U244" s="10">
        <f t="shared" si="92"/>
        <v>3563</v>
      </c>
      <c r="V244" s="10">
        <f t="shared" si="91"/>
        <v>3803</v>
      </c>
      <c r="W244" s="10">
        <f t="shared" si="93"/>
        <v>3892</v>
      </c>
      <c r="X244" s="9"/>
      <c r="Y244" s="8"/>
      <c r="Z244" s="8"/>
      <c r="AA244" s="8"/>
      <c r="AB244" s="8"/>
    </row>
    <row r="245" spans="1:28" ht="13.15" customHeight="1">
      <c r="A245" s="16">
        <v>231</v>
      </c>
      <c r="B245" s="15">
        <f t="shared" si="83"/>
        <v>45512</v>
      </c>
      <c r="C245" s="14">
        <f t="shared" si="84"/>
        <v>844</v>
      </c>
      <c r="D245" s="13">
        <f t="shared" si="75"/>
        <v>1639</v>
      </c>
      <c r="E245" s="12">
        <f t="shared" si="76"/>
        <v>-800</v>
      </c>
      <c r="F245" s="12">
        <f t="shared" si="77"/>
        <v>-920</v>
      </c>
      <c r="G245" s="12">
        <f t="shared" si="78"/>
        <v>-1059</v>
      </c>
      <c r="H245" s="8">
        <f t="shared" si="79"/>
        <v>3283</v>
      </c>
      <c r="I245" s="8">
        <f t="shared" si="80"/>
        <v>3403</v>
      </c>
      <c r="J245" s="8">
        <f t="shared" si="81"/>
        <v>3542</v>
      </c>
      <c r="K245" s="8">
        <f t="shared" si="88"/>
        <v>4000</v>
      </c>
      <c r="L245" s="8">
        <f t="shared" si="89"/>
        <v>4000</v>
      </c>
      <c r="M245" s="8">
        <f t="shared" si="90"/>
        <v>4000</v>
      </c>
      <c r="N245" s="8">
        <f t="shared" si="85"/>
        <v>-717</v>
      </c>
      <c r="O245" s="8">
        <f t="shared" si="86"/>
        <v>-597</v>
      </c>
      <c r="P245" s="8">
        <f t="shared" si="87"/>
        <v>-458</v>
      </c>
      <c r="Q245" s="12">
        <v>10</v>
      </c>
      <c r="R245" s="12">
        <v>10</v>
      </c>
      <c r="S245" s="12">
        <v>10</v>
      </c>
      <c r="T245" s="11">
        <f t="shared" si="82"/>
        <v>-1310</v>
      </c>
      <c r="U245" s="10">
        <f t="shared" si="92"/>
        <v>3553</v>
      </c>
      <c r="V245" s="10">
        <f t="shared" si="91"/>
        <v>3793</v>
      </c>
      <c r="W245" s="10">
        <f t="shared" si="93"/>
        <v>3882</v>
      </c>
      <c r="X245" s="9"/>
      <c r="Y245" s="8"/>
      <c r="Z245" s="8"/>
      <c r="AA245" s="8"/>
      <c r="AB245" s="8"/>
    </row>
    <row r="246" spans="1:28" ht="13.15" customHeight="1">
      <c r="A246" s="16">
        <v>232</v>
      </c>
      <c r="B246" s="15">
        <f t="shared" si="83"/>
        <v>45513</v>
      </c>
      <c r="C246" s="14">
        <f t="shared" si="84"/>
        <v>844</v>
      </c>
      <c r="D246" s="13">
        <f t="shared" si="75"/>
        <v>1641</v>
      </c>
      <c r="E246" s="12">
        <f t="shared" si="76"/>
        <v>-788</v>
      </c>
      <c r="F246" s="12">
        <f t="shared" si="77"/>
        <v>-908</v>
      </c>
      <c r="G246" s="12">
        <f t="shared" si="78"/>
        <v>-1047</v>
      </c>
      <c r="H246" s="8">
        <f t="shared" si="79"/>
        <v>3273</v>
      </c>
      <c r="I246" s="8">
        <f t="shared" si="80"/>
        <v>3393</v>
      </c>
      <c r="J246" s="8">
        <f t="shared" si="81"/>
        <v>3532</v>
      </c>
      <c r="K246" s="8">
        <f t="shared" si="88"/>
        <v>4000</v>
      </c>
      <c r="L246" s="8">
        <f t="shared" si="89"/>
        <v>4000</v>
      </c>
      <c r="M246" s="8">
        <f t="shared" si="90"/>
        <v>4000</v>
      </c>
      <c r="N246" s="8">
        <f t="shared" si="85"/>
        <v>-727</v>
      </c>
      <c r="O246" s="8">
        <f t="shared" si="86"/>
        <v>-607</v>
      </c>
      <c r="P246" s="8">
        <f t="shared" si="87"/>
        <v>-468</v>
      </c>
      <c r="Q246" s="12">
        <v>10</v>
      </c>
      <c r="R246" s="12">
        <v>10</v>
      </c>
      <c r="S246" s="12">
        <v>10</v>
      </c>
      <c r="T246" s="11">
        <f t="shared" si="82"/>
        <v>-1298</v>
      </c>
      <c r="U246" s="10">
        <f t="shared" si="92"/>
        <v>3543</v>
      </c>
      <c r="V246" s="10">
        <f t="shared" si="91"/>
        <v>3783</v>
      </c>
      <c r="W246" s="10">
        <f t="shared" si="93"/>
        <v>3872</v>
      </c>
      <c r="X246" s="9"/>
      <c r="Y246" s="8"/>
      <c r="Z246" s="8"/>
      <c r="AA246" s="8"/>
      <c r="AB246" s="8"/>
    </row>
    <row r="247" spans="1:28" ht="13.15" customHeight="1">
      <c r="A247" s="16">
        <v>233</v>
      </c>
      <c r="B247" s="15">
        <f t="shared" si="83"/>
        <v>45514</v>
      </c>
      <c r="C247" s="14">
        <f t="shared" si="84"/>
        <v>844</v>
      </c>
      <c r="D247" s="13">
        <f t="shared" si="75"/>
        <v>1643</v>
      </c>
      <c r="E247" s="12">
        <f t="shared" si="76"/>
        <v>-776</v>
      </c>
      <c r="F247" s="12">
        <f t="shared" si="77"/>
        <v>-896</v>
      </c>
      <c r="G247" s="12">
        <f t="shared" si="78"/>
        <v>-1035</v>
      </c>
      <c r="H247" s="8">
        <f t="shared" si="79"/>
        <v>3263</v>
      </c>
      <c r="I247" s="8">
        <f t="shared" si="80"/>
        <v>3383</v>
      </c>
      <c r="J247" s="8">
        <f t="shared" si="81"/>
        <v>3522</v>
      </c>
      <c r="K247" s="8">
        <f t="shared" si="88"/>
        <v>4000</v>
      </c>
      <c r="L247" s="8">
        <f t="shared" si="89"/>
        <v>4000</v>
      </c>
      <c r="M247" s="8">
        <f t="shared" si="90"/>
        <v>4000</v>
      </c>
      <c r="N247" s="8">
        <f t="shared" si="85"/>
        <v>-737</v>
      </c>
      <c r="O247" s="8">
        <f t="shared" si="86"/>
        <v>-617</v>
      </c>
      <c r="P247" s="8">
        <f t="shared" si="87"/>
        <v>-478</v>
      </c>
      <c r="Q247" s="12">
        <v>10</v>
      </c>
      <c r="R247" s="12">
        <v>10</v>
      </c>
      <c r="S247" s="12">
        <v>10</v>
      </c>
      <c r="T247" s="11">
        <f t="shared" si="82"/>
        <v>-1286</v>
      </c>
      <c r="U247" s="10">
        <f t="shared" si="92"/>
        <v>3533</v>
      </c>
      <c r="V247" s="10">
        <f t="shared" si="91"/>
        <v>3773</v>
      </c>
      <c r="W247" s="10">
        <f t="shared" si="93"/>
        <v>3862</v>
      </c>
      <c r="X247" s="9"/>
      <c r="Y247" s="8"/>
      <c r="Z247" s="8"/>
      <c r="AA247" s="8"/>
      <c r="AB247" s="8"/>
    </row>
    <row r="248" spans="1:28" ht="13.15" customHeight="1">
      <c r="A248" s="16">
        <v>234</v>
      </c>
      <c r="B248" s="15">
        <f t="shared" si="83"/>
        <v>45515</v>
      </c>
      <c r="C248" s="14">
        <f t="shared" si="84"/>
        <v>844</v>
      </c>
      <c r="D248" s="13">
        <f t="shared" si="75"/>
        <v>1645</v>
      </c>
      <c r="E248" s="12">
        <f t="shared" si="76"/>
        <v>-764</v>
      </c>
      <c r="F248" s="12">
        <f t="shared" si="77"/>
        <v>-884</v>
      </c>
      <c r="G248" s="12">
        <f t="shared" si="78"/>
        <v>-1023</v>
      </c>
      <c r="H248" s="8">
        <f t="shared" si="79"/>
        <v>3253</v>
      </c>
      <c r="I248" s="8">
        <f t="shared" si="80"/>
        <v>3373</v>
      </c>
      <c r="J248" s="8">
        <f t="shared" si="81"/>
        <v>3512</v>
      </c>
      <c r="K248" s="8">
        <f t="shared" si="88"/>
        <v>4000</v>
      </c>
      <c r="L248" s="8">
        <f t="shared" si="89"/>
        <v>4000</v>
      </c>
      <c r="M248" s="8">
        <f t="shared" si="90"/>
        <v>4000</v>
      </c>
      <c r="N248" s="8">
        <f t="shared" si="85"/>
        <v>-747</v>
      </c>
      <c r="O248" s="8">
        <f t="shared" si="86"/>
        <v>-627</v>
      </c>
      <c r="P248" s="8">
        <f t="shared" si="87"/>
        <v>-488</v>
      </c>
      <c r="Q248" s="12">
        <v>10</v>
      </c>
      <c r="R248" s="12">
        <v>10</v>
      </c>
      <c r="S248" s="12">
        <v>10</v>
      </c>
      <c r="T248" s="11">
        <f t="shared" si="82"/>
        <v>-1274</v>
      </c>
      <c r="U248" s="10">
        <f t="shared" si="92"/>
        <v>3523</v>
      </c>
      <c r="V248" s="10">
        <f t="shared" si="91"/>
        <v>3763</v>
      </c>
      <c r="W248" s="10">
        <f t="shared" si="93"/>
        <v>3852</v>
      </c>
      <c r="X248" s="9"/>
      <c r="Y248" s="8"/>
      <c r="Z248" s="8"/>
      <c r="AA248" s="8"/>
      <c r="AB248" s="8"/>
    </row>
    <row r="249" spans="1:28" ht="13.15" customHeight="1">
      <c r="A249" s="16">
        <v>235</v>
      </c>
      <c r="B249" s="15">
        <f t="shared" si="83"/>
        <v>45516</v>
      </c>
      <c r="C249" s="14">
        <f t="shared" si="84"/>
        <v>844</v>
      </c>
      <c r="D249" s="13">
        <f t="shared" si="75"/>
        <v>1647</v>
      </c>
      <c r="E249" s="12">
        <f t="shared" si="76"/>
        <v>-752</v>
      </c>
      <c r="F249" s="12">
        <f t="shared" si="77"/>
        <v>-872</v>
      </c>
      <c r="G249" s="12">
        <f t="shared" si="78"/>
        <v>-1011</v>
      </c>
      <c r="H249" s="8">
        <f t="shared" si="79"/>
        <v>3243</v>
      </c>
      <c r="I249" s="8">
        <f t="shared" si="80"/>
        <v>3363</v>
      </c>
      <c r="J249" s="8">
        <f t="shared" si="81"/>
        <v>3502</v>
      </c>
      <c r="K249" s="8">
        <f t="shared" si="88"/>
        <v>4000</v>
      </c>
      <c r="L249" s="8">
        <f t="shared" si="89"/>
        <v>4000</v>
      </c>
      <c r="M249" s="8">
        <f t="shared" si="90"/>
        <v>4000</v>
      </c>
      <c r="N249" s="8">
        <f t="shared" si="85"/>
        <v>-757</v>
      </c>
      <c r="O249" s="8">
        <f t="shared" si="86"/>
        <v>-637</v>
      </c>
      <c r="P249" s="8">
        <f t="shared" si="87"/>
        <v>-498</v>
      </c>
      <c r="Q249" s="12">
        <v>10</v>
      </c>
      <c r="R249" s="12">
        <v>10</v>
      </c>
      <c r="S249" s="12">
        <v>10</v>
      </c>
      <c r="T249" s="11">
        <f t="shared" si="82"/>
        <v>-1262</v>
      </c>
      <c r="U249" s="10">
        <f t="shared" si="92"/>
        <v>3513</v>
      </c>
      <c r="V249" s="10">
        <f t="shared" si="91"/>
        <v>3753</v>
      </c>
      <c r="W249" s="10">
        <f t="shared" si="93"/>
        <v>3842</v>
      </c>
      <c r="X249" s="9"/>
      <c r="Y249" s="8"/>
      <c r="Z249" s="8"/>
      <c r="AA249" s="8"/>
      <c r="AB249" s="8"/>
    </row>
    <row r="250" spans="1:28" ht="13.15" customHeight="1">
      <c r="A250" s="16">
        <v>236</v>
      </c>
      <c r="B250" s="15">
        <f t="shared" si="83"/>
        <v>45517</v>
      </c>
      <c r="C250" s="14">
        <f t="shared" si="84"/>
        <v>844</v>
      </c>
      <c r="D250" s="13">
        <f t="shared" si="75"/>
        <v>1649</v>
      </c>
      <c r="E250" s="12">
        <f t="shared" si="76"/>
        <v>-740</v>
      </c>
      <c r="F250" s="12">
        <f t="shared" si="77"/>
        <v>-860</v>
      </c>
      <c r="G250" s="12">
        <f t="shared" si="78"/>
        <v>-999</v>
      </c>
      <c r="H250" s="8">
        <f t="shared" si="79"/>
        <v>3233</v>
      </c>
      <c r="I250" s="8">
        <f t="shared" si="80"/>
        <v>3353</v>
      </c>
      <c r="J250" s="8">
        <f t="shared" si="81"/>
        <v>3492</v>
      </c>
      <c r="K250" s="8">
        <f t="shared" si="88"/>
        <v>4000</v>
      </c>
      <c r="L250" s="8">
        <f t="shared" si="89"/>
        <v>4000</v>
      </c>
      <c r="M250" s="8">
        <f t="shared" si="90"/>
        <v>4000</v>
      </c>
      <c r="N250" s="8">
        <f t="shared" si="85"/>
        <v>-767</v>
      </c>
      <c r="O250" s="8">
        <f t="shared" si="86"/>
        <v>-647</v>
      </c>
      <c r="P250" s="8">
        <f t="shared" si="87"/>
        <v>-508</v>
      </c>
      <c r="Q250" s="12">
        <v>10</v>
      </c>
      <c r="R250" s="12">
        <v>10</v>
      </c>
      <c r="S250" s="12">
        <v>10</v>
      </c>
      <c r="T250" s="11">
        <f t="shared" si="82"/>
        <v>-1250</v>
      </c>
      <c r="U250" s="10">
        <f t="shared" si="92"/>
        <v>3503</v>
      </c>
      <c r="V250" s="10">
        <f t="shared" si="91"/>
        <v>3743</v>
      </c>
      <c r="W250" s="10">
        <f t="shared" si="93"/>
        <v>3832</v>
      </c>
      <c r="X250" s="9"/>
      <c r="Y250" s="8"/>
      <c r="Z250" s="8"/>
      <c r="AA250" s="8"/>
      <c r="AB250" s="8"/>
    </row>
    <row r="251" spans="1:28" ht="13.15" customHeight="1">
      <c r="A251" s="16">
        <v>237</v>
      </c>
      <c r="B251" s="15">
        <f t="shared" si="83"/>
        <v>45518</v>
      </c>
      <c r="C251" s="14">
        <f t="shared" si="84"/>
        <v>844</v>
      </c>
      <c r="D251" s="13">
        <f t="shared" si="75"/>
        <v>1651</v>
      </c>
      <c r="E251" s="12">
        <f t="shared" si="76"/>
        <v>-728</v>
      </c>
      <c r="F251" s="12">
        <f t="shared" si="77"/>
        <v>-848</v>
      </c>
      <c r="G251" s="12">
        <f t="shared" si="78"/>
        <v>-987</v>
      </c>
      <c r="H251" s="8">
        <f t="shared" si="79"/>
        <v>3223</v>
      </c>
      <c r="I251" s="8">
        <f t="shared" si="80"/>
        <v>3343</v>
      </c>
      <c r="J251" s="8">
        <f t="shared" si="81"/>
        <v>3482</v>
      </c>
      <c r="K251" s="8">
        <f t="shared" si="88"/>
        <v>4000</v>
      </c>
      <c r="L251" s="8">
        <f t="shared" si="89"/>
        <v>4000</v>
      </c>
      <c r="M251" s="8">
        <f t="shared" si="90"/>
        <v>4000</v>
      </c>
      <c r="N251" s="8">
        <f t="shared" si="85"/>
        <v>-777</v>
      </c>
      <c r="O251" s="8">
        <f t="shared" si="86"/>
        <v>-657</v>
      </c>
      <c r="P251" s="8">
        <f t="shared" si="87"/>
        <v>-518</v>
      </c>
      <c r="Q251" s="12">
        <v>10</v>
      </c>
      <c r="R251" s="12">
        <v>10</v>
      </c>
      <c r="S251" s="12">
        <v>10</v>
      </c>
      <c r="T251" s="11">
        <f t="shared" si="82"/>
        <v>-1238</v>
      </c>
      <c r="U251" s="10">
        <f t="shared" si="92"/>
        <v>3493</v>
      </c>
      <c r="V251" s="10">
        <f t="shared" si="91"/>
        <v>3733</v>
      </c>
      <c r="W251" s="10">
        <f t="shared" si="93"/>
        <v>3822</v>
      </c>
      <c r="X251" s="9"/>
      <c r="Y251" s="8"/>
      <c r="Z251" s="8"/>
      <c r="AA251" s="8"/>
      <c r="AB251" s="8"/>
    </row>
    <row r="252" spans="1:28" ht="13.15" customHeight="1">
      <c r="A252" s="16">
        <v>238</v>
      </c>
      <c r="B252" s="15">
        <f t="shared" si="83"/>
        <v>45519</v>
      </c>
      <c r="C252" s="14">
        <f t="shared" si="84"/>
        <v>844</v>
      </c>
      <c r="D252" s="13">
        <f t="shared" si="75"/>
        <v>1653</v>
      </c>
      <c r="E252" s="12">
        <f t="shared" si="76"/>
        <v>-716</v>
      </c>
      <c r="F252" s="12">
        <f t="shared" si="77"/>
        <v>-836</v>
      </c>
      <c r="G252" s="12">
        <f t="shared" si="78"/>
        <v>-975</v>
      </c>
      <c r="H252" s="8">
        <f t="shared" si="79"/>
        <v>3213</v>
      </c>
      <c r="I252" s="8">
        <f t="shared" si="80"/>
        <v>3333</v>
      </c>
      <c r="J252" s="8">
        <f t="shared" si="81"/>
        <v>3472</v>
      </c>
      <c r="K252" s="8">
        <f t="shared" si="88"/>
        <v>4000</v>
      </c>
      <c r="L252" s="8">
        <f t="shared" si="89"/>
        <v>4000</v>
      </c>
      <c r="M252" s="8">
        <f t="shared" si="90"/>
        <v>4000</v>
      </c>
      <c r="N252" s="8">
        <f t="shared" si="85"/>
        <v>-787</v>
      </c>
      <c r="O252" s="8">
        <f t="shared" si="86"/>
        <v>-667</v>
      </c>
      <c r="P252" s="8">
        <f t="shared" si="87"/>
        <v>-528</v>
      </c>
      <c r="Q252" s="12">
        <v>10</v>
      </c>
      <c r="R252" s="12">
        <v>10</v>
      </c>
      <c r="S252" s="12">
        <v>10</v>
      </c>
      <c r="T252" s="11">
        <f t="shared" si="82"/>
        <v>-1226</v>
      </c>
      <c r="U252" s="10">
        <f t="shared" si="92"/>
        <v>3483</v>
      </c>
      <c r="V252" s="10">
        <f t="shared" si="91"/>
        <v>3723</v>
      </c>
      <c r="W252" s="10">
        <f t="shared" si="93"/>
        <v>3812</v>
      </c>
      <c r="X252" s="9"/>
      <c r="Y252" s="8"/>
      <c r="Z252" s="8"/>
      <c r="AA252" s="8"/>
      <c r="AB252" s="8"/>
    </row>
    <row r="253" spans="1:28" ht="13.15" customHeight="1">
      <c r="A253" s="16">
        <v>239</v>
      </c>
      <c r="B253" s="15">
        <f t="shared" si="83"/>
        <v>45520</v>
      </c>
      <c r="C253" s="14">
        <f t="shared" si="84"/>
        <v>844</v>
      </c>
      <c r="D253" s="13">
        <f t="shared" si="75"/>
        <v>1655</v>
      </c>
      <c r="E253" s="12">
        <f t="shared" si="76"/>
        <v>-704</v>
      </c>
      <c r="F253" s="12">
        <f t="shared" si="77"/>
        <v>-824</v>
      </c>
      <c r="G253" s="12">
        <f t="shared" si="78"/>
        <v>-963</v>
      </c>
      <c r="H253" s="8">
        <f t="shared" si="79"/>
        <v>3203</v>
      </c>
      <c r="I253" s="8">
        <f t="shared" si="80"/>
        <v>3323</v>
      </c>
      <c r="J253" s="8">
        <f t="shared" si="81"/>
        <v>3462</v>
      </c>
      <c r="K253" s="8">
        <f t="shared" si="88"/>
        <v>4000</v>
      </c>
      <c r="L253" s="8">
        <f t="shared" si="89"/>
        <v>4000</v>
      </c>
      <c r="M253" s="8">
        <f t="shared" si="90"/>
        <v>4000</v>
      </c>
      <c r="N253" s="8">
        <f t="shared" si="85"/>
        <v>-797</v>
      </c>
      <c r="O253" s="8">
        <f t="shared" si="86"/>
        <v>-677</v>
      </c>
      <c r="P253" s="8">
        <f t="shared" si="87"/>
        <v>-538</v>
      </c>
      <c r="Q253" s="12">
        <v>10</v>
      </c>
      <c r="R253" s="12">
        <v>10</v>
      </c>
      <c r="S253" s="12">
        <v>10</v>
      </c>
      <c r="T253" s="11">
        <f t="shared" si="82"/>
        <v>-1214</v>
      </c>
      <c r="U253" s="10">
        <f t="shared" si="92"/>
        <v>3473</v>
      </c>
      <c r="V253" s="10">
        <f t="shared" si="91"/>
        <v>3713</v>
      </c>
      <c r="W253" s="10">
        <f t="shared" si="93"/>
        <v>3802</v>
      </c>
      <c r="X253" s="9"/>
      <c r="Y253" s="8"/>
      <c r="Z253" s="8"/>
      <c r="AA253" s="8"/>
      <c r="AB253" s="8"/>
    </row>
    <row r="254" spans="1:28" ht="13.15" customHeight="1">
      <c r="A254" s="16">
        <v>240</v>
      </c>
      <c r="B254" s="15">
        <f t="shared" si="83"/>
        <v>45521</v>
      </c>
      <c r="C254" s="14">
        <f t="shared" si="84"/>
        <v>844</v>
      </c>
      <c r="D254" s="13">
        <f t="shared" si="75"/>
        <v>1657</v>
      </c>
      <c r="E254" s="12">
        <f t="shared" si="76"/>
        <v>-692</v>
      </c>
      <c r="F254" s="12">
        <f t="shared" si="77"/>
        <v>-812</v>
      </c>
      <c r="G254" s="12">
        <f t="shared" si="78"/>
        <v>-951</v>
      </c>
      <c r="H254" s="8">
        <f t="shared" si="79"/>
        <v>3193</v>
      </c>
      <c r="I254" s="8">
        <f t="shared" si="80"/>
        <v>3313</v>
      </c>
      <c r="J254" s="8">
        <f t="shared" si="81"/>
        <v>3452</v>
      </c>
      <c r="K254" s="8">
        <f t="shared" si="88"/>
        <v>4000</v>
      </c>
      <c r="L254" s="8">
        <f t="shared" si="89"/>
        <v>4000</v>
      </c>
      <c r="M254" s="8">
        <f t="shared" si="90"/>
        <v>4000</v>
      </c>
      <c r="N254" s="8">
        <f t="shared" si="85"/>
        <v>-807</v>
      </c>
      <c r="O254" s="8">
        <f t="shared" si="86"/>
        <v>-687</v>
      </c>
      <c r="P254" s="8">
        <f t="shared" si="87"/>
        <v>-548</v>
      </c>
      <c r="Q254" s="12">
        <v>10</v>
      </c>
      <c r="R254" s="12">
        <v>10</v>
      </c>
      <c r="S254" s="12">
        <v>10</v>
      </c>
      <c r="T254" s="11">
        <f t="shared" si="82"/>
        <v>-1202</v>
      </c>
      <c r="U254" s="10">
        <f t="shared" si="92"/>
        <v>3463</v>
      </c>
      <c r="V254" s="10">
        <f t="shared" si="91"/>
        <v>3703</v>
      </c>
      <c r="W254" s="10">
        <f t="shared" si="93"/>
        <v>3792</v>
      </c>
      <c r="X254" s="9"/>
      <c r="Y254" s="8"/>
      <c r="Z254" s="8"/>
      <c r="AA254" s="8"/>
      <c r="AB254" s="8"/>
    </row>
    <row r="255" spans="1:28" ht="13.15" customHeight="1">
      <c r="A255" s="16">
        <v>241</v>
      </c>
      <c r="B255" s="15">
        <f t="shared" si="83"/>
        <v>45522</v>
      </c>
      <c r="C255" s="14">
        <f t="shared" si="84"/>
        <v>844</v>
      </c>
      <c r="D255" s="13">
        <f t="shared" ref="D255:D318" si="94">D254+2</f>
        <v>1659</v>
      </c>
      <c r="E255" s="12">
        <f t="shared" si="76"/>
        <v>-680</v>
      </c>
      <c r="F255" s="12">
        <f t="shared" si="77"/>
        <v>-800</v>
      </c>
      <c r="G255" s="12">
        <f t="shared" si="78"/>
        <v>-939</v>
      </c>
      <c r="H255" s="8">
        <f t="shared" si="79"/>
        <v>3183</v>
      </c>
      <c r="I255" s="8">
        <f t="shared" si="80"/>
        <v>3303</v>
      </c>
      <c r="J255" s="8">
        <f t="shared" si="81"/>
        <v>3442</v>
      </c>
      <c r="K255" s="8">
        <f t="shared" si="88"/>
        <v>4000</v>
      </c>
      <c r="L255" s="8">
        <f t="shared" si="89"/>
        <v>4000</v>
      </c>
      <c r="M255" s="8">
        <f t="shared" si="90"/>
        <v>4000</v>
      </c>
      <c r="N255" s="8">
        <f t="shared" si="85"/>
        <v>-817</v>
      </c>
      <c r="O255" s="8">
        <f t="shared" si="86"/>
        <v>-697</v>
      </c>
      <c r="P255" s="8">
        <f t="shared" si="87"/>
        <v>-558</v>
      </c>
      <c r="Q255" s="12">
        <v>10</v>
      </c>
      <c r="R255" s="12">
        <v>10</v>
      </c>
      <c r="S255" s="12">
        <v>10</v>
      </c>
      <c r="T255" s="11">
        <f t="shared" si="82"/>
        <v>-1190</v>
      </c>
      <c r="U255" s="10">
        <f t="shared" si="92"/>
        <v>3453</v>
      </c>
      <c r="V255" s="10">
        <f t="shared" si="91"/>
        <v>3693</v>
      </c>
      <c r="W255" s="10">
        <f t="shared" si="93"/>
        <v>3782</v>
      </c>
      <c r="X255" s="9"/>
      <c r="Y255" s="8"/>
      <c r="Z255" s="8"/>
      <c r="AA255" s="8"/>
      <c r="AB255" s="8"/>
    </row>
    <row r="256" spans="1:28" ht="13.15" customHeight="1">
      <c r="A256" s="16">
        <v>242</v>
      </c>
      <c r="B256" s="15">
        <f t="shared" si="83"/>
        <v>45523</v>
      </c>
      <c r="C256" s="14">
        <f t="shared" si="84"/>
        <v>844</v>
      </c>
      <c r="D256" s="13">
        <f t="shared" si="94"/>
        <v>1661</v>
      </c>
      <c r="E256" s="12">
        <f t="shared" si="76"/>
        <v>-668</v>
      </c>
      <c r="F256" s="12">
        <f t="shared" si="77"/>
        <v>-788</v>
      </c>
      <c r="G256" s="12">
        <f t="shared" si="78"/>
        <v>-927</v>
      </c>
      <c r="H256" s="8">
        <f t="shared" si="79"/>
        <v>3173</v>
      </c>
      <c r="I256" s="8">
        <f t="shared" si="80"/>
        <v>3293</v>
      </c>
      <c r="J256" s="8">
        <f t="shared" si="81"/>
        <v>3432</v>
      </c>
      <c r="K256" s="8">
        <f t="shared" si="88"/>
        <v>4000</v>
      </c>
      <c r="L256" s="8">
        <f t="shared" si="89"/>
        <v>4000</v>
      </c>
      <c r="M256" s="8">
        <f t="shared" si="90"/>
        <v>4000</v>
      </c>
      <c r="N256" s="8">
        <f t="shared" si="85"/>
        <v>-827</v>
      </c>
      <c r="O256" s="8">
        <f t="shared" si="86"/>
        <v>-707</v>
      </c>
      <c r="P256" s="8">
        <f t="shared" si="87"/>
        <v>-568</v>
      </c>
      <c r="Q256" s="12">
        <v>10</v>
      </c>
      <c r="R256" s="12">
        <v>10</v>
      </c>
      <c r="S256" s="12">
        <v>10</v>
      </c>
      <c r="T256" s="11">
        <f t="shared" si="82"/>
        <v>-1178</v>
      </c>
      <c r="U256" s="10">
        <f t="shared" si="92"/>
        <v>3443</v>
      </c>
      <c r="V256" s="10">
        <f t="shared" si="91"/>
        <v>3683</v>
      </c>
      <c r="W256" s="10">
        <f t="shared" si="93"/>
        <v>3772</v>
      </c>
      <c r="X256" s="9"/>
      <c r="Y256" s="8"/>
      <c r="Z256" s="8"/>
      <c r="AA256" s="8"/>
      <c r="AB256" s="8"/>
    </row>
    <row r="257" spans="1:28" ht="13.15" customHeight="1">
      <c r="A257" s="16">
        <v>243</v>
      </c>
      <c r="B257" s="15">
        <f t="shared" si="83"/>
        <v>45524</v>
      </c>
      <c r="C257" s="14">
        <f t="shared" si="84"/>
        <v>844</v>
      </c>
      <c r="D257" s="13">
        <f t="shared" si="94"/>
        <v>1663</v>
      </c>
      <c r="E257" s="12">
        <f t="shared" si="76"/>
        <v>-656</v>
      </c>
      <c r="F257" s="12">
        <f t="shared" si="77"/>
        <v>-776</v>
      </c>
      <c r="G257" s="12">
        <f t="shared" si="78"/>
        <v>-915</v>
      </c>
      <c r="H257" s="8">
        <f t="shared" si="79"/>
        <v>3163</v>
      </c>
      <c r="I257" s="8">
        <f t="shared" si="80"/>
        <v>3283</v>
      </c>
      <c r="J257" s="8">
        <f t="shared" si="81"/>
        <v>3422</v>
      </c>
      <c r="K257" s="8">
        <f t="shared" si="88"/>
        <v>4000</v>
      </c>
      <c r="L257" s="8">
        <f t="shared" si="89"/>
        <v>4000</v>
      </c>
      <c r="M257" s="8">
        <f t="shared" si="90"/>
        <v>4000</v>
      </c>
      <c r="N257" s="8">
        <f t="shared" si="85"/>
        <v>-837</v>
      </c>
      <c r="O257" s="8">
        <f t="shared" si="86"/>
        <v>-717</v>
      </c>
      <c r="P257" s="8">
        <f t="shared" si="87"/>
        <v>-578</v>
      </c>
      <c r="Q257" s="12">
        <v>10</v>
      </c>
      <c r="R257" s="12">
        <v>10</v>
      </c>
      <c r="S257" s="12">
        <v>10</v>
      </c>
      <c r="T257" s="11">
        <f t="shared" si="82"/>
        <v>-1166</v>
      </c>
      <c r="U257" s="10">
        <f t="shared" si="92"/>
        <v>3433</v>
      </c>
      <c r="V257" s="10">
        <f t="shared" si="91"/>
        <v>3673</v>
      </c>
      <c r="W257" s="10">
        <f t="shared" si="93"/>
        <v>3762</v>
      </c>
      <c r="X257" s="9"/>
      <c r="Y257" s="8"/>
      <c r="Z257" s="8"/>
      <c r="AA257" s="8"/>
      <c r="AB257" s="8"/>
    </row>
    <row r="258" spans="1:28" ht="13.15" customHeight="1">
      <c r="A258" s="16">
        <v>244</v>
      </c>
      <c r="B258" s="15">
        <f t="shared" si="83"/>
        <v>45525</v>
      </c>
      <c r="C258" s="14">
        <f t="shared" si="84"/>
        <v>844</v>
      </c>
      <c r="D258" s="13">
        <f t="shared" si="94"/>
        <v>1665</v>
      </c>
      <c r="E258" s="12">
        <f t="shared" si="76"/>
        <v>-644</v>
      </c>
      <c r="F258" s="12">
        <f t="shared" si="77"/>
        <v>-764</v>
      </c>
      <c r="G258" s="12">
        <f t="shared" si="78"/>
        <v>-903</v>
      </c>
      <c r="H258" s="8">
        <f t="shared" si="79"/>
        <v>3153</v>
      </c>
      <c r="I258" s="8">
        <f t="shared" si="80"/>
        <v>3273</v>
      </c>
      <c r="J258" s="8">
        <f t="shared" si="81"/>
        <v>3412</v>
      </c>
      <c r="K258" s="8">
        <f t="shared" si="88"/>
        <v>4000</v>
      </c>
      <c r="L258" s="8">
        <f t="shared" si="89"/>
        <v>4000</v>
      </c>
      <c r="M258" s="8">
        <f t="shared" si="90"/>
        <v>4000</v>
      </c>
      <c r="N258" s="8">
        <f t="shared" si="85"/>
        <v>-847</v>
      </c>
      <c r="O258" s="8">
        <f t="shared" si="86"/>
        <v>-727</v>
      </c>
      <c r="P258" s="8">
        <f t="shared" si="87"/>
        <v>-588</v>
      </c>
      <c r="Q258" s="12">
        <v>10</v>
      </c>
      <c r="R258" s="12">
        <v>10</v>
      </c>
      <c r="S258" s="12">
        <v>10</v>
      </c>
      <c r="T258" s="11">
        <f t="shared" si="82"/>
        <v>-1154</v>
      </c>
      <c r="U258" s="10">
        <f t="shared" si="92"/>
        <v>3423</v>
      </c>
      <c r="V258" s="10">
        <f t="shared" si="91"/>
        <v>3663</v>
      </c>
      <c r="W258" s="10">
        <f t="shared" si="93"/>
        <v>3752</v>
      </c>
      <c r="X258" s="9"/>
      <c r="Y258" s="8"/>
      <c r="Z258" s="8"/>
      <c r="AA258" s="8"/>
      <c r="AB258" s="8"/>
    </row>
    <row r="259" spans="1:28" ht="13.15" customHeight="1">
      <c r="A259" s="16">
        <v>245</v>
      </c>
      <c r="B259" s="15">
        <f t="shared" si="83"/>
        <v>45526</v>
      </c>
      <c r="C259" s="14">
        <f t="shared" si="84"/>
        <v>844</v>
      </c>
      <c r="D259" s="13">
        <f t="shared" si="94"/>
        <v>1667</v>
      </c>
      <c r="E259" s="12">
        <f t="shared" si="76"/>
        <v>-632</v>
      </c>
      <c r="F259" s="12">
        <f t="shared" si="77"/>
        <v>-752</v>
      </c>
      <c r="G259" s="12">
        <f t="shared" si="78"/>
        <v>-891</v>
      </c>
      <c r="H259" s="8">
        <f t="shared" si="79"/>
        <v>3143</v>
      </c>
      <c r="I259" s="8">
        <f t="shared" si="80"/>
        <v>3263</v>
      </c>
      <c r="J259" s="8">
        <f t="shared" si="81"/>
        <v>3402</v>
      </c>
      <c r="K259" s="8">
        <f t="shared" si="88"/>
        <v>4000</v>
      </c>
      <c r="L259" s="8">
        <f t="shared" si="89"/>
        <v>4000</v>
      </c>
      <c r="M259" s="8">
        <f t="shared" si="90"/>
        <v>4000</v>
      </c>
      <c r="N259" s="8">
        <f t="shared" si="85"/>
        <v>-857</v>
      </c>
      <c r="O259" s="8">
        <f t="shared" si="86"/>
        <v>-737</v>
      </c>
      <c r="P259" s="8">
        <f t="shared" si="87"/>
        <v>-598</v>
      </c>
      <c r="Q259" s="12">
        <v>10</v>
      </c>
      <c r="R259" s="12">
        <v>10</v>
      </c>
      <c r="S259" s="12">
        <v>10</v>
      </c>
      <c r="T259" s="11">
        <f t="shared" si="82"/>
        <v>-1142</v>
      </c>
      <c r="U259" s="10">
        <f t="shared" si="92"/>
        <v>3413</v>
      </c>
      <c r="V259" s="10">
        <f t="shared" si="91"/>
        <v>3653</v>
      </c>
      <c r="W259" s="10">
        <f t="shared" si="93"/>
        <v>3742</v>
      </c>
      <c r="X259" s="9"/>
      <c r="Y259" s="8"/>
      <c r="Z259" s="8"/>
      <c r="AA259" s="8"/>
      <c r="AB259" s="8"/>
    </row>
    <row r="260" spans="1:28" ht="13.15" customHeight="1">
      <c r="A260" s="16">
        <v>246</v>
      </c>
      <c r="B260" s="15">
        <f t="shared" si="83"/>
        <v>45527</v>
      </c>
      <c r="C260" s="14">
        <f t="shared" si="84"/>
        <v>844</v>
      </c>
      <c r="D260" s="13">
        <f t="shared" si="94"/>
        <v>1669</v>
      </c>
      <c r="E260" s="12">
        <f t="shared" si="76"/>
        <v>-620</v>
      </c>
      <c r="F260" s="12">
        <f t="shared" si="77"/>
        <v>-740</v>
      </c>
      <c r="G260" s="12">
        <f t="shared" si="78"/>
        <v>-879</v>
      </c>
      <c r="H260" s="8">
        <f t="shared" si="79"/>
        <v>3133</v>
      </c>
      <c r="I260" s="8">
        <f t="shared" si="80"/>
        <v>3253</v>
      </c>
      <c r="J260" s="8">
        <f t="shared" si="81"/>
        <v>3392</v>
      </c>
      <c r="K260" s="8">
        <f t="shared" si="88"/>
        <v>4000</v>
      </c>
      <c r="L260" s="8">
        <f t="shared" si="89"/>
        <v>4000</v>
      </c>
      <c r="M260" s="8">
        <f t="shared" si="90"/>
        <v>4000</v>
      </c>
      <c r="N260" s="8">
        <f t="shared" si="85"/>
        <v>-867</v>
      </c>
      <c r="O260" s="8">
        <f t="shared" si="86"/>
        <v>-747</v>
      </c>
      <c r="P260" s="8">
        <f t="shared" si="87"/>
        <v>-608</v>
      </c>
      <c r="Q260" s="12">
        <v>10</v>
      </c>
      <c r="R260" s="12">
        <v>10</v>
      </c>
      <c r="S260" s="12">
        <v>10</v>
      </c>
      <c r="T260" s="11">
        <f t="shared" si="82"/>
        <v>-1130</v>
      </c>
      <c r="U260" s="10">
        <f t="shared" si="92"/>
        <v>3403</v>
      </c>
      <c r="V260" s="10">
        <f t="shared" si="91"/>
        <v>3643</v>
      </c>
      <c r="W260" s="10">
        <f t="shared" si="93"/>
        <v>3732</v>
      </c>
      <c r="X260" s="9"/>
      <c r="Y260" s="8"/>
      <c r="Z260" s="8"/>
      <c r="AA260" s="8"/>
      <c r="AB260" s="8"/>
    </row>
    <row r="261" spans="1:28" ht="13.15" customHeight="1">
      <c r="A261" s="16">
        <v>247</v>
      </c>
      <c r="B261" s="15">
        <f t="shared" si="83"/>
        <v>45528</v>
      </c>
      <c r="C261" s="14">
        <f t="shared" si="84"/>
        <v>844</v>
      </c>
      <c r="D261" s="13">
        <f t="shared" si="94"/>
        <v>1671</v>
      </c>
      <c r="E261" s="12">
        <f t="shared" si="76"/>
        <v>-608</v>
      </c>
      <c r="F261" s="12">
        <f t="shared" si="77"/>
        <v>-728</v>
      </c>
      <c r="G261" s="12">
        <f t="shared" si="78"/>
        <v>-867</v>
      </c>
      <c r="H261" s="8">
        <f t="shared" si="79"/>
        <v>3123</v>
      </c>
      <c r="I261" s="8">
        <f t="shared" si="80"/>
        <v>3243</v>
      </c>
      <c r="J261" s="8">
        <f t="shared" si="81"/>
        <v>3382</v>
      </c>
      <c r="K261" s="8">
        <f t="shared" si="88"/>
        <v>4000</v>
      </c>
      <c r="L261" s="8">
        <f t="shared" si="89"/>
        <v>4000</v>
      </c>
      <c r="M261" s="8">
        <f t="shared" si="90"/>
        <v>4000</v>
      </c>
      <c r="N261" s="8">
        <f t="shared" si="85"/>
        <v>-877</v>
      </c>
      <c r="O261" s="8">
        <f t="shared" si="86"/>
        <v>-757</v>
      </c>
      <c r="P261" s="8">
        <f t="shared" si="87"/>
        <v>-618</v>
      </c>
      <c r="Q261" s="12">
        <v>10</v>
      </c>
      <c r="R261" s="12">
        <v>10</v>
      </c>
      <c r="S261" s="12">
        <v>10</v>
      </c>
      <c r="T261" s="11">
        <f t="shared" si="82"/>
        <v>-1118</v>
      </c>
      <c r="U261" s="10">
        <f t="shared" si="92"/>
        <v>3393</v>
      </c>
      <c r="V261" s="10">
        <f t="shared" si="91"/>
        <v>3633</v>
      </c>
      <c r="W261" s="10">
        <f t="shared" si="93"/>
        <v>3722</v>
      </c>
      <c r="X261" s="9"/>
      <c r="Y261" s="8"/>
      <c r="Z261" s="8"/>
      <c r="AA261" s="8"/>
      <c r="AB261" s="8"/>
    </row>
    <row r="262" spans="1:28" ht="13.15" customHeight="1">
      <c r="A262" s="16">
        <v>248</v>
      </c>
      <c r="B262" s="15">
        <f t="shared" si="83"/>
        <v>45529</v>
      </c>
      <c r="C262" s="14">
        <f t="shared" si="84"/>
        <v>844</v>
      </c>
      <c r="D262" s="13">
        <f t="shared" si="94"/>
        <v>1673</v>
      </c>
      <c r="E262" s="12">
        <f t="shared" si="76"/>
        <v>-596</v>
      </c>
      <c r="F262" s="12">
        <f t="shared" si="77"/>
        <v>-716</v>
      </c>
      <c r="G262" s="12">
        <f t="shared" si="78"/>
        <v>-855</v>
      </c>
      <c r="H262" s="8">
        <f t="shared" si="79"/>
        <v>3113</v>
      </c>
      <c r="I262" s="8">
        <f t="shared" si="80"/>
        <v>3233</v>
      </c>
      <c r="J262" s="8">
        <f t="shared" si="81"/>
        <v>3372</v>
      </c>
      <c r="K262" s="8">
        <f t="shared" si="88"/>
        <v>4000</v>
      </c>
      <c r="L262" s="8">
        <f t="shared" si="89"/>
        <v>4000</v>
      </c>
      <c r="M262" s="8">
        <f t="shared" si="90"/>
        <v>4000</v>
      </c>
      <c r="N262" s="8">
        <f t="shared" si="85"/>
        <v>-887</v>
      </c>
      <c r="O262" s="8">
        <f t="shared" si="86"/>
        <v>-767</v>
      </c>
      <c r="P262" s="8">
        <f t="shared" si="87"/>
        <v>-628</v>
      </c>
      <c r="Q262" s="12">
        <v>10</v>
      </c>
      <c r="R262" s="12">
        <v>10</v>
      </c>
      <c r="S262" s="12">
        <v>10</v>
      </c>
      <c r="T262" s="11">
        <f t="shared" si="82"/>
        <v>-1106</v>
      </c>
      <c r="U262" s="10">
        <f t="shared" si="92"/>
        <v>3383</v>
      </c>
      <c r="V262" s="10">
        <f t="shared" si="91"/>
        <v>3623</v>
      </c>
      <c r="W262" s="10">
        <f t="shared" si="93"/>
        <v>3712</v>
      </c>
      <c r="X262" s="9"/>
      <c r="Y262" s="8"/>
      <c r="Z262" s="8"/>
      <c r="AA262" s="8"/>
      <c r="AB262" s="8"/>
    </row>
    <row r="263" spans="1:28" ht="13.15" customHeight="1">
      <c r="A263" s="16">
        <v>249</v>
      </c>
      <c r="B263" s="15">
        <f t="shared" si="83"/>
        <v>45530</v>
      </c>
      <c r="C263" s="14">
        <f t="shared" si="84"/>
        <v>844</v>
      </c>
      <c r="D263" s="13">
        <f t="shared" si="94"/>
        <v>1675</v>
      </c>
      <c r="E263" s="12">
        <f t="shared" si="76"/>
        <v>-584</v>
      </c>
      <c r="F263" s="12">
        <f t="shared" si="77"/>
        <v>-704</v>
      </c>
      <c r="G263" s="12">
        <f t="shared" si="78"/>
        <v>-843</v>
      </c>
      <c r="H263" s="8">
        <f t="shared" si="79"/>
        <v>3103</v>
      </c>
      <c r="I263" s="8">
        <f t="shared" si="80"/>
        <v>3223</v>
      </c>
      <c r="J263" s="8">
        <f t="shared" si="81"/>
        <v>3362</v>
      </c>
      <c r="K263" s="8">
        <f t="shared" si="88"/>
        <v>4000</v>
      </c>
      <c r="L263" s="8">
        <f t="shared" si="89"/>
        <v>4000</v>
      </c>
      <c r="M263" s="8">
        <f t="shared" si="90"/>
        <v>4000</v>
      </c>
      <c r="N263" s="8">
        <f t="shared" si="85"/>
        <v>-897</v>
      </c>
      <c r="O263" s="8">
        <f t="shared" si="86"/>
        <v>-777</v>
      </c>
      <c r="P263" s="8">
        <f t="shared" si="87"/>
        <v>-638</v>
      </c>
      <c r="Q263" s="12">
        <v>10</v>
      </c>
      <c r="R263" s="12">
        <v>10</v>
      </c>
      <c r="S263" s="12">
        <v>10</v>
      </c>
      <c r="T263" s="11">
        <f t="shared" si="82"/>
        <v>-1094</v>
      </c>
      <c r="U263" s="10">
        <f t="shared" si="92"/>
        <v>3373</v>
      </c>
      <c r="V263" s="10">
        <f t="shared" si="91"/>
        <v>3613</v>
      </c>
      <c r="W263" s="10">
        <f t="shared" si="93"/>
        <v>3702</v>
      </c>
      <c r="X263" s="9"/>
      <c r="Y263" s="8"/>
      <c r="Z263" s="8"/>
      <c r="AA263" s="8"/>
      <c r="AB263" s="8"/>
    </row>
    <row r="264" spans="1:28" ht="13.15" customHeight="1">
      <c r="A264" s="16">
        <v>250</v>
      </c>
      <c r="B264" s="15">
        <f t="shared" si="83"/>
        <v>45531</v>
      </c>
      <c r="C264" s="14">
        <f t="shared" si="84"/>
        <v>844</v>
      </c>
      <c r="D264" s="13">
        <f t="shared" si="94"/>
        <v>1677</v>
      </c>
      <c r="E264" s="12">
        <f t="shared" si="76"/>
        <v>-572</v>
      </c>
      <c r="F264" s="12">
        <f t="shared" si="77"/>
        <v>-692</v>
      </c>
      <c r="G264" s="12">
        <f t="shared" si="78"/>
        <v>-831</v>
      </c>
      <c r="H264" s="8">
        <f t="shared" si="79"/>
        <v>3093</v>
      </c>
      <c r="I264" s="8">
        <f t="shared" si="80"/>
        <v>3213</v>
      </c>
      <c r="J264" s="8">
        <f t="shared" si="81"/>
        <v>3352</v>
      </c>
      <c r="K264" s="8">
        <f t="shared" si="88"/>
        <v>4000</v>
      </c>
      <c r="L264" s="8">
        <f t="shared" si="89"/>
        <v>4000</v>
      </c>
      <c r="M264" s="8">
        <f t="shared" si="90"/>
        <v>4000</v>
      </c>
      <c r="N264" s="8">
        <f t="shared" si="85"/>
        <v>-907</v>
      </c>
      <c r="O264" s="8">
        <f t="shared" si="86"/>
        <v>-787</v>
      </c>
      <c r="P264" s="8">
        <f t="shared" si="87"/>
        <v>-648</v>
      </c>
      <c r="Q264" s="12">
        <v>10</v>
      </c>
      <c r="R264" s="12">
        <v>10</v>
      </c>
      <c r="S264" s="12">
        <v>10</v>
      </c>
      <c r="T264" s="11">
        <f t="shared" si="82"/>
        <v>-1082</v>
      </c>
      <c r="U264" s="10">
        <f t="shared" si="92"/>
        <v>3363</v>
      </c>
      <c r="V264" s="10">
        <f t="shared" si="91"/>
        <v>3603</v>
      </c>
      <c r="W264" s="10">
        <f t="shared" si="93"/>
        <v>3692</v>
      </c>
      <c r="X264" s="9"/>
      <c r="Y264" s="8"/>
      <c r="Z264" s="8"/>
      <c r="AA264" s="8"/>
      <c r="AB264" s="8"/>
    </row>
    <row r="265" spans="1:28" ht="13.15" customHeight="1">
      <c r="A265" s="16">
        <v>251</v>
      </c>
      <c r="B265" s="15">
        <f t="shared" si="83"/>
        <v>45532</v>
      </c>
      <c r="C265" s="14">
        <f t="shared" si="84"/>
        <v>844</v>
      </c>
      <c r="D265" s="13">
        <f t="shared" si="94"/>
        <v>1679</v>
      </c>
      <c r="E265" s="12">
        <f t="shared" si="76"/>
        <v>-560</v>
      </c>
      <c r="F265" s="12">
        <f t="shared" si="77"/>
        <v>-680</v>
      </c>
      <c r="G265" s="12">
        <f t="shared" si="78"/>
        <v>-819</v>
      </c>
      <c r="H265" s="8">
        <f t="shared" si="79"/>
        <v>3083</v>
      </c>
      <c r="I265" s="8">
        <f t="shared" si="80"/>
        <v>3203</v>
      </c>
      <c r="J265" s="8">
        <f t="shared" si="81"/>
        <v>3342</v>
      </c>
      <c r="K265" s="8">
        <f t="shared" si="88"/>
        <v>4000</v>
      </c>
      <c r="L265" s="8">
        <f t="shared" si="89"/>
        <v>4000</v>
      </c>
      <c r="M265" s="8">
        <f t="shared" si="90"/>
        <v>4000</v>
      </c>
      <c r="N265" s="8">
        <f t="shared" si="85"/>
        <v>-917</v>
      </c>
      <c r="O265" s="8">
        <f t="shared" si="86"/>
        <v>-797</v>
      </c>
      <c r="P265" s="8">
        <f t="shared" si="87"/>
        <v>-658</v>
      </c>
      <c r="Q265" s="12">
        <v>10</v>
      </c>
      <c r="R265" s="12">
        <v>10</v>
      </c>
      <c r="S265" s="12">
        <v>10</v>
      </c>
      <c r="T265" s="11">
        <f t="shared" si="82"/>
        <v>-1070</v>
      </c>
      <c r="U265" s="10">
        <f t="shared" si="92"/>
        <v>3353</v>
      </c>
      <c r="V265" s="10">
        <f t="shared" si="91"/>
        <v>3593</v>
      </c>
      <c r="W265" s="10">
        <f t="shared" si="93"/>
        <v>3682</v>
      </c>
      <c r="X265" s="9"/>
      <c r="Y265" s="8"/>
      <c r="Z265" s="8"/>
      <c r="AA265" s="8"/>
      <c r="AB265" s="8"/>
    </row>
    <row r="266" spans="1:28" ht="13.15" customHeight="1">
      <c r="A266" s="16">
        <v>252</v>
      </c>
      <c r="B266" s="15">
        <f t="shared" si="83"/>
        <v>45533</v>
      </c>
      <c r="C266" s="14">
        <f t="shared" si="84"/>
        <v>844</v>
      </c>
      <c r="D266" s="13">
        <f t="shared" si="94"/>
        <v>1681</v>
      </c>
      <c r="E266" s="12">
        <f t="shared" si="76"/>
        <v>-548</v>
      </c>
      <c r="F266" s="12">
        <f t="shared" si="77"/>
        <v>-668</v>
      </c>
      <c r="G266" s="12">
        <f t="shared" si="78"/>
        <v>-807</v>
      </c>
      <c r="H266" s="8">
        <f t="shared" si="79"/>
        <v>3073</v>
      </c>
      <c r="I266" s="8">
        <f t="shared" si="80"/>
        <v>3193</v>
      </c>
      <c r="J266" s="8">
        <f t="shared" si="81"/>
        <v>3332</v>
      </c>
      <c r="K266" s="8">
        <f t="shared" si="88"/>
        <v>4000</v>
      </c>
      <c r="L266" s="8">
        <f t="shared" si="89"/>
        <v>4000</v>
      </c>
      <c r="M266" s="8">
        <f t="shared" si="90"/>
        <v>4000</v>
      </c>
      <c r="N266" s="8">
        <f t="shared" si="85"/>
        <v>-927</v>
      </c>
      <c r="O266" s="8">
        <f t="shared" si="86"/>
        <v>-807</v>
      </c>
      <c r="P266" s="8">
        <f t="shared" si="87"/>
        <v>-668</v>
      </c>
      <c r="Q266" s="12">
        <v>10</v>
      </c>
      <c r="R266" s="12">
        <v>10</v>
      </c>
      <c r="S266" s="12">
        <v>10</v>
      </c>
      <c r="T266" s="11">
        <f t="shared" si="82"/>
        <v>-1058</v>
      </c>
      <c r="U266" s="10">
        <f t="shared" si="92"/>
        <v>3343</v>
      </c>
      <c r="V266" s="10">
        <f t="shared" si="91"/>
        <v>3583</v>
      </c>
      <c r="W266" s="10">
        <f t="shared" si="93"/>
        <v>3672</v>
      </c>
      <c r="X266" s="9"/>
      <c r="Y266" s="8"/>
      <c r="Z266" s="8"/>
      <c r="AA266" s="8"/>
      <c r="AB266" s="8"/>
    </row>
    <row r="267" spans="1:28" ht="13.15" customHeight="1">
      <c r="A267" s="16">
        <v>253</v>
      </c>
      <c r="B267" s="15">
        <f t="shared" si="83"/>
        <v>45534</v>
      </c>
      <c r="C267" s="14">
        <f t="shared" si="84"/>
        <v>844</v>
      </c>
      <c r="D267" s="13">
        <f t="shared" si="94"/>
        <v>1683</v>
      </c>
      <c r="E267" s="12">
        <f t="shared" si="76"/>
        <v>-538</v>
      </c>
      <c r="F267" s="12">
        <f t="shared" si="77"/>
        <v>-657</v>
      </c>
      <c r="G267" s="12">
        <f t="shared" si="78"/>
        <v>-795</v>
      </c>
      <c r="H267" s="8">
        <f t="shared" si="79"/>
        <v>3065</v>
      </c>
      <c r="I267" s="8">
        <f t="shared" si="80"/>
        <v>3184</v>
      </c>
      <c r="J267" s="8">
        <f t="shared" si="81"/>
        <v>3322</v>
      </c>
      <c r="K267" s="8">
        <f t="shared" si="88"/>
        <v>4000</v>
      </c>
      <c r="L267" s="8">
        <f t="shared" si="89"/>
        <v>4000</v>
      </c>
      <c r="M267" s="8">
        <f t="shared" si="90"/>
        <v>4000</v>
      </c>
      <c r="N267" s="8">
        <f t="shared" si="85"/>
        <v>-935</v>
      </c>
      <c r="O267" s="8">
        <f t="shared" si="86"/>
        <v>-816</v>
      </c>
      <c r="P267" s="8">
        <f t="shared" si="87"/>
        <v>-678</v>
      </c>
      <c r="Q267" s="12">
        <v>8</v>
      </c>
      <c r="R267" s="12">
        <v>9</v>
      </c>
      <c r="S267" s="12">
        <v>10</v>
      </c>
      <c r="T267" s="11">
        <f t="shared" si="82"/>
        <v>-1047</v>
      </c>
      <c r="U267" s="10">
        <f t="shared" si="92"/>
        <v>3335</v>
      </c>
      <c r="V267" s="10">
        <f t="shared" si="91"/>
        <v>3574</v>
      </c>
      <c r="W267" s="10">
        <f t="shared" si="93"/>
        <v>3662</v>
      </c>
      <c r="X267" s="9"/>
      <c r="Y267" s="8"/>
      <c r="Z267" s="8"/>
      <c r="AA267" s="8"/>
      <c r="AB267" s="8"/>
    </row>
    <row r="268" spans="1:28" ht="13.15" customHeight="1">
      <c r="A268" s="16">
        <f t="shared" ref="A268:A331" si="95">+A267+1</f>
        <v>254</v>
      </c>
      <c r="B268" s="15">
        <f t="shared" si="83"/>
        <v>45535</v>
      </c>
      <c r="C268" s="14">
        <f t="shared" si="84"/>
        <v>844</v>
      </c>
      <c r="D268" s="13">
        <f t="shared" si="94"/>
        <v>1685</v>
      </c>
      <c r="E268" s="12">
        <f t="shared" si="76"/>
        <v>-527</v>
      </c>
      <c r="F268" s="12">
        <f t="shared" si="77"/>
        <v>-647</v>
      </c>
      <c r="G268" s="12">
        <f t="shared" si="78"/>
        <v>-783</v>
      </c>
      <c r="H268" s="8">
        <f t="shared" si="79"/>
        <v>3056</v>
      </c>
      <c r="I268" s="8">
        <f t="shared" si="80"/>
        <v>3176</v>
      </c>
      <c r="J268" s="8">
        <f t="shared" si="81"/>
        <v>3312</v>
      </c>
      <c r="K268" s="8">
        <f t="shared" si="88"/>
        <v>4000</v>
      </c>
      <c r="L268" s="8">
        <f t="shared" si="89"/>
        <v>4000</v>
      </c>
      <c r="M268" s="8">
        <f t="shared" si="90"/>
        <v>4000</v>
      </c>
      <c r="N268" s="8">
        <f t="shared" si="85"/>
        <v>-944</v>
      </c>
      <c r="O268" s="8">
        <f t="shared" si="86"/>
        <v>-824</v>
      </c>
      <c r="P268" s="8">
        <f t="shared" si="87"/>
        <v>-688</v>
      </c>
      <c r="Q268" s="12">
        <v>9</v>
      </c>
      <c r="R268" s="12">
        <v>8</v>
      </c>
      <c r="S268" s="12">
        <v>10</v>
      </c>
      <c r="T268" s="11">
        <f t="shared" si="82"/>
        <v>-1037</v>
      </c>
      <c r="U268" s="10">
        <f t="shared" si="92"/>
        <v>3326</v>
      </c>
      <c r="V268" s="10">
        <f t="shared" si="91"/>
        <v>3566</v>
      </c>
      <c r="W268" s="10">
        <f t="shared" si="93"/>
        <v>3652</v>
      </c>
      <c r="X268" s="9"/>
      <c r="Y268" s="8"/>
      <c r="Z268" s="8"/>
      <c r="AA268" s="8"/>
      <c r="AB268" s="8"/>
    </row>
    <row r="269" spans="1:28" ht="13.15" customHeight="1">
      <c r="A269" s="16">
        <f t="shared" si="95"/>
        <v>255</v>
      </c>
      <c r="B269" s="15">
        <f t="shared" si="83"/>
        <v>45536</v>
      </c>
      <c r="C269" s="14">
        <f t="shared" si="84"/>
        <v>844</v>
      </c>
      <c r="D269" s="13">
        <f t="shared" si="94"/>
        <v>1687</v>
      </c>
      <c r="E269" s="12">
        <f t="shared" si="76"/>
        <v>-517</v>
      </c>
      <c r="F269" s="12">
        <f t="shared" si="77"/>
        <v>-637</v>
      </c>
      <c r="G269" s="12">
        <f t="shared" si="78"/>
        <v>-771</v>
      </c>
      <c r="H269" s="8">
        <f t="shared" si="79"/>
        <v>3048</v>
      </c>
      <c r="I269" s="8">
        <f t="shared" si="80"/>
        <v>3168</v>
      </c>
      <c r="J269" s="8">
        <f t="shared" si="81"/>
        <v>3302</v>
      </c>
      <c r="K269" s="8">
        <f t="shared" si="88"/>
        <v>4000</v>
      </c>
      <c r="L269" s="8">
        <f t="shared" si="89"/>
        <v>4000</v>
      </c>
      <c r="M269" s="8">
        <f t="shared" si="90"/>
        <v>4000</v>
      </c>
      <c r="N269" s="8">
        <f t="shared" si="85"/>
        <v>-952</v>
      </c>
      <c r="O269" s="8">
        <f t="shared" si="86"/>
        <v>-832</v>
      </c>
      <c r="P269" s="8">
        <f t="shared" si="87"/>
        <v>-698</v>
      </c>
      <c r="Q269" s="12">
        <v>8</v>
      </c>
      <c r="R269" s="12">
        <v>8</v>
      </c>
      <c r="S269" s="12">
        <v>10</v>
      </c>
      <c r="T269" s="11">
        <f t="shared" si="82"/>
        <v>-1027</v>
      </c>
      <c r="U269" s="10">
        <f t="shared" si="92"/>
        <v>3318</v>
      </c>
      <c r="V269" s="10">
        <f t="shared" si="91"/>
        <v>3558</v>
      </c>
      <c r="W269" s="10">
        <f t="shared" si="93"/>
        <v>3642</v>
      </c>
      <c r="X269" s="9"/>
      <c r="Y269" s="8"/>
      <c r="Z269" s="8"/>
      <c r="AA269" s="8"/>
      <c r="AB269" s="8"/>
    </row>
    <row r="270" spans="1:28" ht="13.15" customHeight="1">
      <c r="A270" s="16">
        <f t="shared" si="95"/>
        <v>256</v>
      </c>
      <c r="B270" s="15">
        <f t="shared" si="83"/>
        <v>45537</v>
      </c>
      <c r="C270" s="14">
        <f t="shared" si="84"/>
        <v>844</v>
      </c>
      <c r="D270" s="13">
        <f t="shared" si="94"/>
        <v>1689</v>
      </c>
      <c r="E270" s="12">
        <f t="shared" ref="E270:E333" si="96">C270+D270-H270</f>
        <v>-507</v>
      </c>
      <c r="F270" s="12">
        <f t="shared" ref="F270:F333" si="97">C270+D270-I270</f>
        <v>-629</v>
      </c>
      <c r="G270" s="12">
        <f t="shared" ref="G270:G333" si="98">D270+C270-J270</f>
        <v>-760</v>
      </c>
      <c r="H270" s="8">
        <f t="shared" ref="H270:H333" si="99">K270+N270</f>
        <v>3040</v>
      </c>
      <c r="I270" s="8">
        <f t="shared" ref="I270:I333" si="100">L270+O270</f>
        <v>3162</v>
      </c>
      <c r="J270" s="8">
        <f t="shared" ref="J270:J333" si="101">M270+P270</f>
        <v>3293</v>
      </c>
      <c r="K270" s="8">
        <f t="shared" si="88"/>
        <v>4000</v>
      </c>
      <c r="L270" s="8">
        <f t="shared" si="89"/>
        <v>4000</v>
      </c>
      <c r="M270" s="8">
        <f t="shared" si="90"/>
        <v>4000</v>
      </c>
      <c r="N270" s="8">
        <f t="shared" si="85"/>
        <v>-960</v>
      </c>
      <c r="O270" s="8">
        <f t="shared" si="86"/>
        <v>-838</v>
      </c>
      <c r="P270" s="8">
        <f t="shared" si="87"/>
        <v>-707</v>
      </c>
      <c r="Q270" s="12">
        <v>8</v>
      </c>
      <c r="R270" s="12">
        <v>6</v>
      </c>
      <c r="S270" s="12">
        <v>9</v>
      </c>
      <c r="T270" s="11">
        <f t="shared" ref="T270:T333" si="102">D270+C270-V270</f>
        <v>-1019</v>
      </c>
      <c r="U270" s="10">
        <f t="shared" si="92"/>
        <v>3310</v>
      </c>
      <c r="V270" s="10">
        <f t="shared" si="91"/>
        <v>3552</v>
      </c>
      <c r="W270" s="10">
        <f t="shared" si="93"/>
        <v>3633</v>
      </c>
      <c r="X270" s="9"/>
      <c r="Y270" s="8"/>
      <c r="Z270" s="8"/>
      <c r="AA270" s="8"/>
      <c r="AB270" s="8"/>
    </row>
    <row r="271" spans="1:28" ht="13.15" customHeight="1">
      <c r="A271" s="16">
        <f t="shared" si="95"/>
        <v>257</v>
      </c>
      <c r="B271" s="15">
        <f t="shared" ref="B271:B334" si="103">B270+1</f>
        <v>45538</v>
      </c>
      <c r="C271" s="14">
        <f t="shared" ref="C271:C334" si="104">C270</f>
        <v>844</v>
      </c>
      <c r="D271" s="13">
        <f t="shared" si="94"/>
        <v>1691</v>
      </c>
      <c r="E271" s="12">
        <f t="shared" si="96"/>
        <v>-499</v>
      </c>
      <c r="F271" s="12">
        <f t="shared" si="97"/>
        <v>-620</v>
      </c>
      <c r="G271" s="12">
        <f t="shared" si="98"/>
        <v>-750</v>
      </c>
      <c r="H271" s="8">
        <f t="shared" si="99"/>
        <v>3034</v>
      </c>
      <c r="I271" s="8">
        <f t="shared" si="100"/>
        <v>3155</v>
      </c>
      <c r="J271" s="8">
        <f t="shared" si="101"/>
        <v>3285</v>
      </c>
      <c r="K271" s="8">
        <f t="shared" si="88"/>
        <v>4000</v>
      </c>
      <c r="L271" s="8">
        <f t="shared" si="89"/>
        <v>4000</v>
      </c>
      <c r="M271" s="8">
        <f t="shared" si="90"/>
        <v>4000</v>
      </c>
      <c r="N271" s="8">
        <f t="shared" ref="N271:N334" si="105">N270-Q271</f>
        <v>-966</v>
      </c>
      <c r="O271" s="8">
        <f t="shared" ref="O271:O334" si="106">O270-R271</f>
        <v>-845</v>
      </c>
      <c r="P271" s="8">
        <f t="shared" ref="P271:P334" si="107">P270-S271</f>
        <v>-715</v>
      </c>
      <c r="Q271" s="12">
        <v>6</v>
      </c>
      <c r="R271" s="12">
        <v>7</v>
      </c>
      <c r="S271" s="12">
        <v>8</v>
      </c>
      <c r="T271" s="11">
        <f t="shared" si="102"/>
        <v>-1010</v>
      </c>
      <c r="U271" s="10">
        <f t="shared" si="92"/>
        <v>3304</v>
      </c>
      <c r="V271" s="10">
        <f t="shared" si="91"/>
        <v>3545</v>
      </c>
      <c r="W271" s="10">
        <f t="shared" si="93"/>
        <v>3625</v>
      </c>
      <c r="X271" s="9"/>
      <c r="Y271" s="8"/>
      <c r="Z271" s="8"/>
      <c r="AA271" s="8"/>
      <c r="AB271" s="8"/>
    </row>
    <row r="272" spans="1:28" ht="13.15" customHeight="1">
      <c r="A272" s="16">
        <f t="shared" si="95"/>
        <v>258</v>
      </c>
      <c r="B272" s="15">
        <f t="shared" si="103"/>
        <v>45539</v>
      </c>
      <c r="C272" s="14">
        <f t="shared" si="104"/>
        <v>844</v>
      </c>
      <c r="D272" s="13">
        <f t="shared" si="94"/>
        <v>1693</v>
      </c>
      <c r="E272" s="12">
        <f t="shared" si="96"/>
        <v>-490</v>
      </c>
      <c r="F272" s="12">
        <f t="shared" si="97"/>
        <v>-614</v>
      </c>
      <c r="G272" s="12">
        <f t="shared" si="98"/>
        <v>-740</v>
      </c>
      <c r="H272" s="8">
        <f t="shared" si="99"/>
        <v>3027</v>
      </c>
      <c r="I272" s="8">
        <f t="shared" si="100"/>
        <v>3151</v>
      </c>
      <c r="J272" s="8">
        <f t="shared" si="101"/>
        <v>3277</v>
      </c>
      <c r="K272" s="8">
        <f t="shared" si="88"/>
        <v>4000</v>
      </c>
      <c r="L272" s="8">
        <f t="shared" si="89"/>
        <v>4000</v>
      </c>
      <c r="M272" s="8">
        <f t="shared" si="90"/>
        <v>4000</v>
      </c>
      <c r="N272" s="8">
        <f t="shared" si="105"/>
        <v>-973</v>
      </c>
      <c r="O272" s="8">
        <f t="shared" si="106"/>
        <v>-849</v>
      </c>
      <c r="P272" s="8">
        <f t="shared" si="107"/>
        <v>-723</v>
      </c>
      <c r="Q272" s="12">
        <v>7</v>
      </c>
      <c r="R272" s="12">
        <v>4</v>
      </c>
      <c r="S272" s="12">
        <v>8</v>
      </c>
      <c r="T272" s="11">
        <f t="shared" si="102"/>
        <v>-1004</v>
      </c>
      <c r="U272" s="10">
        <f t="shared" si="92"/>
        <v>3297</v>
      </c>
      <c r="V272" s="10">
        <f t="shared" si="91"/>
        <v>3541</v>
      </c>
      <c r="W272" s="10">
        <f t="shared" si="93"/>
        <v>3617</v>
      </c>
      <c r="X272" s="9"/>
      <c r="Y272" s="8"/>
      <c r="Z272" s="8"/>
      <c r="AA272" s="8"/>
      <c r="AB272" s="8"/>
    </row>
    <row r="273" spans="1:28" ht="13.15" customHeight="1">
      <c r="A273" s="16">
        <f t="shared" si="95"/>
        <v>259</v>
      </c>
      <c r="B273" s="15">
        <f t="shared" si="103"/>
        <v>45540</v>
      </c>
      <c r="C273" s="14">
        <f t="shared" si="104"/>
        <v>844</v>
      </c>
      <c r="D273" s="13">
        <f t="shared" si="94"/>
        <v>1695</v>
      </c>
      <c r="E273" s="12">
        <f t="shared" si="96"/>
        <v>-484</v>
      </c>
      <c r="F273" s="12">
        <f t="shared" si="97"/>
        <v>-607</v>
      </c>
      <c r="G273" s="12">
        <f t="shared" si="98"/>
        <v>-732</v>
      </c>
      <c r="H273" s="8">
        <f t="shared" si="99"/>
        <v>3023</v>
      </c>
      <c r="I273" s="8">
        <f t="shared" si="100"/>
        <v>3146</v>
      </c>
      <c r="J273" s="8">
        <f t="shared" si="101"/>
        <v>3271</v>
      </c>
      <c r="K273" s="8">
        <f t="shared" si="88"/>
        <v>4000</v>
      </c>
      <c r="L273" s="8">
        <f t="shared" si="89"/>
        <v>4000</v>
      </c>
      <c r="M273" s="8">
        <f t="shared" si="90"/>
        <v>4000</v>
      </c>
      <c r="N273" s="8">
        <f t="shared" si="105"/>
        <v>-977</v>
      </c>
      <c r="O273" s="8">
        <f t="shared" si="106"/>
        <v>-854</v>
      </c>
      <c r="P273" s="8">
        <f t="shared" si="107"/>
        <v>-729</v>
      </c>
      <c r="Q273" s="12">
        <v>4</v>
      </c>
      <c r="R273" s="12">
        <v>5</v>
      </c>
      <c r="S273" s="12">
        <v>6</v>
      </c>
      <c r="T273" s="11">
        <f t="shared" si="102"/>
        <v>-997</v>
      </c>
      <c r="U273" s="10">
        <f t="shared" si="92"/>
        <v>3293</v>
      </c>
      <c r="V273" s="10">
        <f t="shared" si="91"/>
        <v>3536</v>
      </c>
      <c r="W273" s="10">
        <f t="shared" si="93"/>
        <v>3611</v>
      </c>
      <c r="X273" s="9"/>
      <c r="Y273" s="8"/>
      <c r="Z273" s="8"/>
      <c r="AA273" s="8"/>
      <c r="AB273" s="8"/>
    </row>
    <row r="274" spans="1:28" ht="13.15" customHeight="1">
      <c r="A274" s="16">
        <f t="shared" si="95"/>
        <v>260</v>
      </c>
      <c r="B274" s="15">
        <f t="shared" si="103"/>
        <v>45541</v>
      </c>
      <c r="C274" s="14">
        <f t="shared" si="104"/>
        <v>844</v>
      </c>
      <c r="D274" s="13">
        <f t="shared" si="94"/>
        <v>1697</v>
      </c>
      <c r="E274" s="12">
        <f t="shared" si="96"/>
        <v>-477</v>
      </c>
      <c r="F274" s="12">
        <f t="shared" si="97"/>
        <v>-602</v>
      </c>
      <c r="G274" s="12">
        <f t="shared" si="98"/>
        <v>-723</v>
      </c>
      <c r="H274" s="8">
        <f t="shared" si="99"/>
        <v>3018</v>
      </c>
      <c r="I274" s="8">
        <f t="shared" si="100"/>
        <v>3143</v>
      </c>
      <c r="J274" s="8">
        <f t="shared" si="101"/>
        <v>3264</v>
      </c>
      <c r="K274" s="8">
        <f t="shared" si="88"/>
        <v>4000</v>
      </c>
      <c r="L274" s="8">
        <f t="shared" si="89"/>
        <v>4000</v>
      </c>
      <c r="M274" s="8">
        <f t="shared" si="90"/>
        <v>4000</v>
      </c>
      <c r="N274" s="8">
        <f t="shared" si="105"/>
        <v>-982</v>
      </c>
      <c r="O274" s="8">
        <f t="shared" si="106"/>
        <v>-857</v>
      </c>
      <c r="P274" s="8">
        <f t="shared" si="107"/>
        <v>-736</v>
      </c>
      <c r="Q274" s="12">
        <v>5</v>
      </c>
      <c r="R274" s="12">
        <v>3</v>
      </c>
      <c r="S274" s="12">
        <v>7</v>
      </c>
      <c r="T274" s="11">
        <f t="shared" si="102"/>
        <v>-992</v>
      </c>
      <c r="U274" s="10">
        <f t="shared" si="92"/>
        <v>3288</v>
      </c>
      <c r="V274" s="10">
        <f t="shared" si="91"/>
        <v>3533</v>
      </c>
      <c r="W274" s="10">
        <f t="shared" si="93"/>
        <v>3604</v>
      </c>
      <c r="X274" s="9"/>
      <c r="Y274" s="8"/>
      <c r="Z274" s="8"/>
      <c r="AA274" s="8"/>
      <c r="AB274" s="8"/>
    </row>
    <row r="275" spans="1:28" ht="13.15" customHeight="1">
      <c r="A275" s="16">
        <f t="shared" si="95"/>
        <v>261</v>
      </c>
      <c r="B275" s="15">
        <f t="shared" si="103"/>
        <v>45542</v>
      </c>
      <c r="C275" s="14">
        <f t="shared" si="104"/>
        <v>844</v>
      </c>
      <c r="D275" s="13">
        <f t="shared" si="94"/>
        <v>1699</v>
      </c>
      <c r="E275" s="12">
        <f t="shared" si="96"/>
        <v>-472</v>
      </c>
      <c r="F275" s="12">
        <f t="shared" si="97"/>
        <v>-598</v>
      </c>
      <c r="G275" s="12">
        <f t="shared" si="98"/>
        <v>-717</v>
      </c>
      <c r="H275" s="8">
        <f t="shared" si="99"/>
        <v>3015</v>
      </c>
      <c r="I275" s="8">
        <f t="shared" si="100"/>
        <v>3141</v>
      </c>
      <c r="J275" s="8">
        <f t="shared" si="101"/>
        <v>3260</v>
      </c>
      <c r="K275" s="8">
        <f t="shared" si="88"/>
        <v>4000</v>
      </c>
      <c r="L275" s="8">
        <f t="shared" si="89"/>
        <v>4000</v>
      </c>
      <c r="M275" s="8">
        <f t="shared" si="90"/>
        <v>4000</v>
      </c>
      <c r="N275" s="8">
        <f t="shared" si="105"/>
        <v>-985</v>
      </c>
      <c r="O275" s="8">
        <f t="shared" si="106"/>
        <v>-859</v>
      </c>
      <c r="P275" s="8">
        <f t="shared" si="107"/>
        <v>-740</v>
      </c>
      <c r="Q275" s="12">
        <v>3</v>
      </c>
      <c r="R275" s="12">
        <v>2</v>
      </c>
      <c r="S275" s="12">
        <v>4</v>
      </c>
      <c r="T275" s="11">
        <f t="shared" si="102"/>
        <v>-988</v>
      </c>
      <c r="U275" s="10">
        <f t="shared" si="92"/>
        <v>3285</v>
      </c>
      <c r="V275" s="10">
        <f t="shared" si="91"/>
        <v>3531</v>
      </c>
      <c r="W275" s="10">
        <f t="shared" si="93"/>
        <v>3600</v>
      </c>
      <c r="X275" s="9"/>
      <c r="Y275" s="8"/>
      <c r="Z275" s="8"/>
      <c r="AA275" s="8"/>
      <c r="AB275" s="8"/>
    </row>
    <row r="276" spans="1:28" ht="13.15" customHeight="1">
      <c r="A276" s="16">
        <f t="shared" si="95"/>
        <v>262</v>
      </c>
      <c r="B276" s="15">
        <f t="shared" si="103"/>
        <v>45543</v>
      </c>
      <c r="C276" s="14">
        <f t="shared" si="104"/>
        <v>844</v>
      </c>
      <c r="D276" s="13">
        <f t="shared" si="94"/>
        <v>1701</v>
      </c>
      <c r="E276" s="12">
        <f t="shared" si="96"/>
        <v>-468</v>
      </c>
      <c r="F276" s="12">
        <f t="shared" si="97"/>
        <v>-594</v>
      </c>
      <c r="G276" s="12">
        <f t="shared" si="98"/>
        <v>-707</v>
      </c>
      <c r="H276" s="8">
        <f t="shared" si="99"/>
        <v>3013</v>
      </c>
      <c r="I276" s="8">
        <f t="shared" si="100"/>
        <v>3139</v>
      </c>
      <c r="J276" s="8">
        <f t="shared" si="101"/>
        <v>3252</v>
      </c>
      <c r="K276" s="8">
        <f t="shared" si="88"/>
        <v>4000</v>
      </c>
      <c r="L276" s="8">
        <f t="shared" si="89"/>
        <v>4000</v>
      </c>
      <c r="M276" s="8">
        <f t="shared" si="90"/>
        <v>4000</v>
      </c>
      <c r="N276" s="8">
        <f t="shared" si="105"/>
        <v>-987</v>
      </c>
      <c r="O276" s="8">
        <f t="shared" si="106"/>
        <v>-861</v>
      </c>
      <c r="P276" s="8">
        <f t="shared" si="107"/>
        <v>-748</v>
      </c>
      <c r="Q276" s="12">
        <v>2</v>
      </c>
      <c r="R276" s="12">
        <v>2</v>
      </c>
      <c r="S276" s="12">
        <v>8</v>
      </c>
      <c r="T276" s="11">
        <f t="shared" si="102"/>
        <v>-984</v>
      </c>
      <c r="U276" s="10">
        <f t="shared" si="92"/>
        <v>3283</v>
      </c>
      <c r="V276" s="10">
        <f t="shared" si="91"/>
        <v>3529</v>
      </c>
      <c r="W276" s="10">
        <f t="shared" si="93"/>
        <v>3592</v>
      </c>
      <c r="X276" s="9"/>
      <c r="Y276" s="8"/>
      <c r="Z276" s="8"/>
      <c r="AA276" s="8"/>
      <c r="AB276" s="8"/>
    </row>
    <row r="277" spans="1:28" ht="13.15" customHeight="1">
      <c r="A277" s="16">
        <f t="shared" si="95"/>
        <v>263</v>
      </c>
      <c r="B277" s="15">
        <f t="shared" si="103"/>
        <v>45544</v>
      </c>
      <c r="C277" s="14">
        <f t="shared" si="104"/>
        <v>844</v>
      </c>
      <c r="D277" s="13">
        <f t="shared" si="94"/>
        <v>1703</v>
      </c>
      <c r="E277" s="12">
        <f t="shared" si="96"/>
        <v>-464</v>
      </c>
      <c r="F277" s="12">
        <f t="shared" si="97"/>
        <v>-591</v>
      </c>
      <c r="G277" s="12">
        <f t="shared" si="98"/>
        <v>-699</v>
      </c>
      <c r="H277" s="8">
        <f t="shared" si="99"/>
        <v>3011</v>
      </c>
      <c r="I277" s="8">
        <f t="shared" si="100"/>
        <v>3138</v>
      </c>
      <c r="J277" s="8">
        <f t="shared" si="101"/>
        <v>3246</v>
      </c>
      <c r="K277" s="8">
        <f t="shared" ref="K277:K340" si="108">K276</f>
        <v>4000</v>
      </c>
      <c r="L277" s="8">
        <f t="shared" ref="L277:L340" si="109">L276</f>
        <v>4000</v>
      </c>
      <c r="M277" s="8">
        <f t="shared" ref="M277:M340" si="110">M276</f>
        <v>4000</v>
      </c>
      <c r="N277" s="8">
        <f t="shared" si="105"/>
        <v>-989</v>
      </c>
      <c r="O277" s="8">
        <f t="shared" si="106"/>
        <v>-862</v>
      </c>
      <c r="P277" s="8">
        <f t="shared" si="107"/>
        <v>-754</v>
      </c>
      <c r="Q277" s="12">
        <v>2</v>
      </c>
      <c r="R277" s="12">
        <v>1</v>
      </c>
      <c r="S277" s="12">
        <v>6</v>
      </c>
      <c r="T277" s="11">
        <f t="shared" si="102"/>
        <v>-981</v>
      </c>
      <c r="U277" s="10">
        <f t="shared" si="92"/>
        <v>3281</v>
      </c>
      <c r="V277" s="10">
        <f t="shared" si="91"/>
        <v>3528</v>
      </c>
      <c r="W277" s="10">
        <f t="shared" si="93"/>
        <v>3586</v>
      </c>
      <c r="X277" s="9"/>
      <c r="Y277" s="8"/>
      <c r="Z277" s="8"/>
      <c r="AA277" s="8"/>
      <c r="AB277" s="8"/>
    </row>
    <row r="278" spans="1:28" ht="13.15" customHeight="1">
      <c r="A278" s="16">
        <f t="shared" si="95"/>
        <v>264</v>
      </c>
      <c r="B278" s="15">
        <f t="shared" si="103"/>
        <v>45545</v>
      </c>
      <c r="C278" s="14">
        <f t="shared" si="104"/>
        <v>844</v>
      </c>
      <c r="D278" s="13">
        <f t="shared" si="94"/>
        <v>1705</v>
      </c>
      <c r="E278" s="12">
        <f t="shared" si="96"/>
        <v>-461</v>
      </c>
      <c r="F278" s="12">
        <f t="shared" si="97"/>
        <v>-587</v>
      </c>
      <c r="G278" s="12">
        <f t="shared" si="98"/>
        <v>-690</v>
      </c>
      <c r="H278" s="8">
        <f t="shared" si="99"/>
        <v>3010</v>
      </c>
      <c r="I278" s="8">
        <f t="shared" si="100"/>
        <v>3136</v>
      </c>
      <c r="J278" s="8">
        <f t="shared" si="101"/>
        <v>3239</v>
      </c>
      <c r="K278" s="8">
        <f t="shared" si="108"/>
        <v>4000</v>
      </c>
      <c r="L278" s="8">
        <f t="shared" si="109"/>
        <v>4000</v>
      </c>
      <c r="M278" s="8">
        <f t="shared" si="110"/>
        <v>4000</v>
      </c>
      <c r="N278" s="8">
        <f t="shared" si="105"/>
        <v>-990</v>
      </c>
      <c r="O278" s="8">
        <f t="shared" si="106"/>
        <v>-864</v>
      </c>
      <c r="P278" s="8">
        <f t="shared" si="107"/>
        <v>-761</v>
      </c>
      <c r="Q278" s="12">
        <v>1</v>
      </c>
      <c r="R278" s="12">
        <v>2</v>
      </c>
      <c r="S278" s="12">
        <v>7</v>
      </c>
      <c r="T278" s="11">
        <f t="shared" si="102"/>
        <v>-977</v>
      </c>
      <c r="U278" s="10">
        <f t="shared" si="92"/>
        <v>3280</v>
      </c>
      <c r="V278" s="10">
        <f t="shared" si="91"/>
        <v>3526</v>
      </c>
      <c r="W278" s="10">
        <f t="shared" si="93"/>
        <v>3579</v>
      </c>
      <c r="X278" s="9"/>
      <c r="Y278" s="8"/>
      <c r="Z278" s="8"/>
      <c r="AA278" s="8"/>
      <c r="AB278" s="8"/>
    </row>
    <row r="279" spans="1:28" ht="13.15" customHeight="1">
      <c r="A279" s="16">
        <f t="shared" si="95"/>
        <v>265</v>
      </c>
      <c r="B279" s="15">
        <f t="shared" si="103"/>
        <v>45546</v>
      </c>
      <c r="C279" s="14">
        <f t="shared" si="104"/>
        <v>844</v>
      </c>
      <c r="D279" s="13">
        <f t="shared" si="94"/>
        <v>1707</v>
      </c>
      <c r="E279" s="12">
        <f t="shared" si="96"/>
        <v>-457</v>
      </c>
      <c r="F279" s="12">
        <f t="shared" si="97"/>
        <v>-580</v>
      </c>
      <c r="G279" s="12">
        <f t="shared" si="98"/>
        <v>-684</v>
      </c>
      <c r="H279" s="8">
        <f t="shared" si="99"/>
        <v>3008</v>
      </c>
      <c r="I279" s="8">
        <f t="shared" si="100"/>
        <v>3131</v>
      </c>
      <c r="J279" s="8">
        <f t="shared" si="101"/>
        <v>3235</v>
      </c>
      <c r="K279" s="8">
        <f t="shared" si="108"/>
        <v>4000</v>
      </c>
      <c r="L279" s="8">
        <f t="shared" si="109"/>
        <v>4000</v>
      </c>
      <c r="M279" s="8">
        <f t="shared" si="110"/>
        <v>4000</v>
      </c>
      <c r="N279" s="8">
        <f t="shared" si="105"/>
        <v>-992</v>
      </c>
      <c r="O279" s="8">
        <f t="shared" si="106"/>
        <v>-869</v>
      </c>
      <c r="P279" s="8">
        <f t="shared" si="107"/>
        <v>-765</v>
      </c>
      <c r="Q279" s="12">
        <v>2</v>
      </c>
      <c r="R279" s="12">
        <v>5</v>
      </c>
      <c r="S279" s="12">
        <v>4</v>
      </c>
      <c r="T279" s="11">
        <f t="shared" si="102"/>
        <v>-970</v>
      </c>
      <c r="U279" s="10">
        <f t="shared" si="92"/>
        <v>3278</v>
      </c>
      <c r="V279" s="10">
        <f t="shared" si="91"/>
        <v>3521</v>
      </c>
      <c r="W279" s="10">
        <f t="shared" si="93"/>
        <v>3575</v>
      </c>
      <c r="X279" s="9"/>
      <c r="Y279" s="8"/>
      <c r="Z279" s="8"/>
      <c r="AA279" s="8"/>
      <c r="AB279" s="8"/>
    </row>
    <row r="280" spans="1:28" ht="13.15" customHeight="1">
      <c r="A280" s="16">
        <f t="shared" si="95"/>
        <v>266</v>
      </c>
      <c r="B280" s="15">
        <f t="shared" si="103"/>
        <v>45547</v>
      </c>
      <c r="C280" s="14">
        <f t="shared" si="104"/>
        <v>844</v>
      </c>
      <c r="D280" s="13">
        <f t="shared" si="94"/>
        <v>1709</v>
      </c>
      <c r="E280" s="12">
        <f t="shared" si="96"/>
        <v>-450</v>
      </c>
      <c r="F280" s="12">
        <f t="shared" si="97"/>
        <v>-569</v>
      </c>
      <c r="G280" s="12">
        <f t="shared" si="98"/>
        <v>-677</v>
      </c>
      <c r="H280" s="8">
        <f t="shared" si="99"/>
        <v>3003</v>
      </c>
      <c r="I280" s="8">
        <f t="shared" si="100"/>
        <v>3122</v>
      </c>
      <c r="J280" s="8">
        <f t="shared" si="101"/>
        <v>3230</v>
      </c>
      <c r="K280" s="8">
        <f t="shared" si="108"/>
        <v>4000</v>
      </c>
      <c r="L280" s="8">
        <f t="shared" si="109"/>
        <v>4000</v>
      </c>
      <c r="M280" s="8">
        <f t="shared" si="110"/>
        <v>4000</v>
      </c>
      <c r="N280" s="8">
        <f t="shared" si="105"/>
        <v>-997</v>
      </c>
      <c r="O280" s="8">
        <f t="shared" si="106"/>
        <v>-878</v>
      </c>
      <c r="P280" s="8">
        <f t="shared" si="107"/>
        <v>-770</v>
      </c>
      <c r="Q280" s="12">
        <v>5</v>
      </c>
      <c r="R280" s="12">
        <v>9</v>
      </c>
      <c r="S280" s="12">
        <v>5</v>
      </c>
      <c r="T280" s="11">
        <f t="shared" si="102"/>
        <v>-959</v>
      </c>
      <c r="U280" s="10">
        <f t="shared" si="92"/>
        <v>3273</v>
      </c>
      <c r="V280" s="10">
        <f t="shared" si="91"/>
        <v>3512</v>
      </c>
      <c r="W280" s="10">
        <f t="shared" si="93"/>
        <v>3570</v>
      </c>
      <c r="X280" s="9"/>
      <c r="Y280" s="8"/>
      <c r="Z280" s="8"/>
      <c r="AA280" s="8"/>
      <c r="AB280" s="8"/>
    </row>
    <row r="281" spans="1:28" ht="13.15" customHeight="1">
      <c r="A281" s="16">
        <f t="shared" si="95"/>
        <v>267</v>
      </c>
      <c r="B281" s="15">
        <f t="shared" si="103"/>
        <v>45548</v>
      </c>
      <c r="C281" s="14">
        <f t="shared" si="104"/>
        <v>844</v>
      </c>
      <c r="D281" s="13">
        <f t="shared" si="94"/>
        <v>1711</v>
      </c>
      <c r="E281" s="12">
        <f t="shared" si="96"/>
        <v>-443</v>
      </c>
      <c r="F281" s="12">
        <f t="shared" si="97"/>
        <v>-559</v>
      </c>
      <c r="G281" s="12">
        <f t="shared" si="98"/>
        <v>-672</v>
      </c>
      <c r="H281" s="8">
        <f t="shared" si="99"/>
        <v>2998</v>
      </c>
      <c r="I281" s="8">
        <f t="shared" si="100"/>
        <v>3114</v>
      </c>
      <c r="J281" s="8">
        <f t="shared" si="101"/>
        <v>3227</v>
      </c>
      <c r="K281" s="8">
        <f t="shared" si="108"/>
        <v>4000</v>
      </c>
      <c r="L281" s="8">
        <f t="shared" si="109"/>
        <v>4000</v>
      </c>
      <c r="M281" s="8">
        <f t="shared" si="110"/>
        <v>4000</v>
      </c>
      <c r="N281" s="8">
        <f t="shared" si="105"/>
        <v>-1002</v>
      </c>
      <c r="O281" s="8">
        <f t="shared" si="106"/>
        <v>-886</v>
      </c>
      <c r="P281" s="8">
        <f t="shared" si="107"/>
        <v>-773</v>
      </c>
      <c r="Q281" s="12">
        <v>5</v>
      </c>
      <c r="R281" s="12">
        <v>8</v>
      </c>
      <c r="S281" s="12">
        <v>3</v>
      </c>
      <c r="T281" s="11">
        <f t="shared" si="102"/>
        <v>-949</v>
      </c>
      <c r="U281" s="10">
        <f t="shared" si="92"/>
        <v>3268</v>
      </c>
      <c r="V281" s="10">
        <f t="shared" si="91"/>
        <v>3504</v>
      </c>
      <c r="W281" s="10">
        <f t="shared" si="93"/>
        <v>3567</v>
      </c>
      <c r="X281" s="9"/>
      <c r="Y281" s="8"/>
      <c r="Z281" s="8"/>
      <c r="AA281" s="8"/>
      <c r="AB281" s="8"/>
    </row>
    <row r="282" spans="1:28" ht="13.15" customHeight="1">
      <c r="A282" s="16">
        <f t="shared" si="95"/>
        <v>268</v>
      </c>
      <c r="B282" s="15">
        <f t="shared" si="103"/>
        <v>45549</v>
      </c>
      <c r="C282" s="14">
        <f t="shared" si="104"/>
        <v>844</v>
      </c>
      <c r="D282" s="13">
        <f t="shared" si="94"/>
        <v>1713</v>
      </c>
      <c r="E282" s="12">
        <f t="shared" si="96"/>
        <v>-436</v>
      </c>
      <c r="F282" s="12">
        <f t="shared" si="97"/>
        <v>-549</v>
      </c>
      <c r="G282" s="12">
        <f t="shared" si="98"/>
        <v>-662</v>
      </c>
      <c r="H282" s="8">
        <f t="shared" si="99"/>
        <v>2993</v>
      </c>
      <c r="I282" s="8">
        <f t="shared" si="100"/>
        <v>3106</v>
      </c>
      <c r="J282" s="8">
        <f t="shared" si="101"/>
        <v>3219</v>
      </c>
      <c r="K282" s="8">
        <f t="shared" si="108"/>
        <v>4000</v>
      </c>
      <c r="L282" s="8">
        <f t="shared" si="109"/>
        <v>4000</v>
      </c>
      <c r="M282" s="8">
        <f t="shared" si="110"/>
        <v>4000</v>
      </c>
      <c r="N282" s="8">
        <f t="shared" si="105"/>
        <v>-1007</v>
      </c>
      <c r="O282" s="8">
        <f t="shared" si="106"/>
        <v>-894</v>
      </c>
      <c r="P282" s="8">
        <f t="shared" si="107"/>
        <v>-781</v>
      </c>
      <c r="Q282" s="12">
        <v>5</v>
      </c>
      <c r="R282" s="12">
        <v>8</v>
      </c>
      <c r="S282" s="12">
        <v>8</v>
      </c>
      <c r="T282" s="11">
        <f t="shared" si="102"/>
        <v>-939</v>
      </c>
      <c r="U282" s="10">
        <f t="shared" si="92"/>
        <v>3263</v>
      </c>
      <c r="V282" s="10">
        <f t="shared" ref="V282:V345" si="111">V281+$X282*1000-R282</f>
        <v>3496</v>
      </c>
      <c r="W282" s="10">
        <f t="shared" si="93"/>
        <v>3559</v>
      </c>
      <c r="X282" s="9"/>
      <c r="Y282" s="8"/>
      <c r="Z282" s="8"/>
      <c r="AA282" s="8"/>
      <c r="AB282" s="8"/>
    </row>
    <row r="283" spans="1:28" ht="13.15" customHeight="1">
      <c r="A283" s="16">
        <f t="shared" si="95"/>
        <v>269</v>
      </c>
      <c r="B283" s="15">
        <f t="shared" si="103"/>
        <v>45550</v>
      </c>
      <c r="C283" s="14">
        <f t="shared" si="104"/>
        <v>844</v>
      </c>
      <c r="D283" s="13">
        <f t="shared" si="94"/>
        <v>1715</v>
      </c>
      <c r="E283" s="12">
        <f t="shared" si="96"/>
        <v>-432</v>
      </c>
      <c r="F283" s="12">
        <f t="shared" si="97"/>
        <v>-541</v>
      </c>
      <c r="G283" s="12">
        <f t="shared" si="98"/>
        <v>-654</v>
      </c>
      <c r="H283" s="8">
        <f t="shared" si="99"/>
        <v>2991</v>
      </c>
      <c r="I283" s="8">
        <f t="shared" si="100"/>
        <v>3100</v>
      </c>
      <c r="J283" s="8">
        <f t="shared" si="101"/>
        <v>3213</v>
      </c>
      <c r="K283" s="8">
        <f t="shared" si="108"/>
        <v>4000</v>
      </c>
      <c r="L283" s="8">
        <f t="shared" si="109"/>
        <v>4000</v>
      </c>
      <c r="M283" s="8">
        <f t="shared" si="110"/>
        <v>4000</v>
      </c>
      <c r="N283" s="8">
        <f t="shared" si="105"/>
        <v>-1009</v>
      </c>
      <c r="O283" s="8">
        <f t="shared" si="106"/>
        <v>-900</v>
      </c>
      <c r="P283" s="8">
        <f t="shared" si="107"/>
        <v>-787</v>
      </c>
      <c r="Q283" s="12">
        <v>2</v>
      </c>
      <c r="R283" s="12">
        <v>6</v>
      </c>
      <c r="S283" s="12">
        <v>6</v>
      </c>
      <c r="T283" s="11">
        <f t="shared" si="102"/>
        <v>-931</v>
      </c>
      <c r="U283" s="10">
        <f t="shared" ref="U283:U346" si="112">U282+$X283*1000-Q283</f>
        <v>3261</v>
      </c>
      <c r="V283" s="10">
        <f t="shared" si="111"/>
        <v>3490</v>
      </c>
      <c r="W283" s="10">
        <f t="shared" ref="W283:W346" si="113">W282+$X283*1000-S283</f>
        <v>3553</v>
      </c>
      <c r="X283" s="9"/>
      <c r="Y283" s="8"/>
      <c r="Z283" s="8"/>
      <c r="AA283" s="8"/>
      <c r="AB283" s="8"/>
    </row>
    <row r="284" spans="1:28" ht="13.15" customHeight="1">
      <c r="A284" s="16">
        <f t="shared" si="95"/>
        <v>270</v>
      </c>
      <c r="B284" s="15">
        <f t="shared" si="103"/>
        <v>45551</v>
      </c>
      <c r="C284" s="14">
        <f t="shared" si="104"/>
        <v>844</v>
      </c>
      <c r="D284" s="13">
        <f t="shared" si="94"/>
        <v>1717</v>
      </c>
      <c r="E284" s="12">
        <f t="shared" si="96"/>
        <v>-428</v>
      </c>
      <c r="F284" s="12">
        <f t="shared" si="97"/>
        <v>-532</v>
      </c>
      <c r="G284" s="12">
        <f t="shared" si="98"/>
        <v>-645</v>
      </c>
      <c r="H284" s="8">
        <f t="shared" si="99"/>
        <v>2989</v>
      </c>
      <c r="I284" s="8">
        <f t="shared" si="100"/>
        <v>3093</v>
      </c>
      <c r="J284" s="8">
        <f t="shared" si="101"/>
        <v>3206</v>
      </c>
      <c r="K284" s="8">
        <f t="shared" si="108"/>
        <v>4000</v>
      </c>
      <c r="L284" s="8">
        <f t="shared" si="109"/>
        <v>4000</v>
      </c>
      <c r="M284" s="8">
        <f t="shared" si="110"/>
        <v>4000</v>
      </c>
      <c r="N284" s="8">
        <f t="shared" si="105"/>
        <v>-1011</v>
      </c>
      <c r="O284" s="8">
        <f t="shared" si="106"/>
        <v>-907</v>
      </c>
      <c r="P284" s="8">
        <f t="shared" si="107"/>
        <v>-794</v>
      </c>
      <c r="Q284" s="12">
        <v>2</v>
      </c>
      <c r="R284" s="12">
        <v>7</v>
      </c>
      <c r="S284" s="12">
        <v>7</v>
      </c>
      <c r="T284" s="11">
        <f t="shared" si="102"/>
        <v>-922</v>
      </c>
      <c r="U284" s="10">
        <f t="shared" si="112"/>
        <v>3259</v>
      </c>
      <c r="V284" s="10">
        <f t="shared" si="111"/>
        <v>3483</v>
      </c>
      <c r="W284" s="10">
        <f t="shared" si="113"/>
        <v>3546</v>
      </c>
      <c r="X284" s="9"/>
      <c r="Y284" s="8"/>
      <c r="Z284" s="8"/>
      <c r="AA284" s="8"/>
      <c r="AB284" s="8"/>
    </row>
    <row r="285" spans="1:28" ht="13.15" customHeight="1">
      <c r="A285" s="16">
        <f t="shared" si="95"/>
        <v>271</v>
      </c>
      <c r="B285" s="15">
        <f t="shared" si="103"/>
        <v>45552</v>
      </c>
      <c r="C285" s="14">
        <f t="shared" si="104"/>
        <v>844</v>
      </c>
      <c r="D285" s="13">
        <f t="shared" si="94"/>
        <v>1719</v>
      </c>
      <c r="E285" s="12">
        <f t="shared" si="96"/>
        <v>-424</v>
      </c>
      <c r="F285" s="12">
        <f t="shared" si="97"/>
        <v>-526</v>
      </c>
      <c r="G285" s="12">
        <f t="shared" si="98"/>
        <v>-639</v>
      </c>
      <c r="H285" s="8">
        <f t="shared" si="99"/>
        <v>2987</v>
      </c>
      <c r="I285" s="8">
        <f t="shared" si="100"/>
        <v>3089</v>
      </c>
      <c r="J285" s="8">
        <f t="shared" si="101"/>
        <v>3202</v>
      </c>
      <c r="K285" s="8">
        <f t="shared" si="108"/>
        <v>4000</v>
      </c>
      <c r="L285" s="8">
        <f t="shared" si="109"/>
        <v>4000</v>
      </c>
      <c r="M285" s="8">
        <f t="shared" si="110"/>
        <v>4000</v>
      </c>
      <c r="N285" s="8">
        <f t="shared" si="105"/>
        <v>-1013</v>
      </c>
      <c r="O285" s="8">
        <f t="shared" si="106"/>
        <v>-911</v>
      </c>
      <c r="P285" s="8">
        <f t="shared" si="107"/>
        <v>-798</v>
      </c>
      <c r="Q285" s="12">
        <v>2</v>
      </c>
      <c r="R285" s="12">
        <v>4</v>
      </c>
      <c r="S285" s="12">
        <v>4</v>
      </c>
      <c r="T285" s="11">
        <f t="shared" si="102"/>
        <v>-916</v>
      </c>
      <c r="U285" s="10">
        <f t="shared" si="112"/>
        <v>3257</v>
      </c>
      <c r="V285" s="10">
        <f t="shared" si="111"/>
        <v>3479</v>
      </c>
      <c r="W285" s="10">
        <f t="shared" si="113"/>
        <v>3542</v>
      </c>
      <c r="X285" s="9"/>
      <c r="Y285" s="8"/>
      <c r="Z285" s="8"/>
      <c r="AA285" s="8"/>
      <c r="AB285" s="8"/>
    </row>
    <row r="286" spans="1:28" ht="13.15" customHeight="1">
      <c r="A286" s="16">
        <f t="shared" si="95"/>
        <v>272</v>
      </c>
      <c r="B286" s="15">
        <f t="shared" si="103"/>
        <v>45553</v>
      </c>
      <c r="C286" s="14">
        <f t="shared" si="104"/>
        <v>844</v>
      </c>
      <c r="D286" s="13">
        <f t="shared" si="94"/>
        <v>1721</v>
      </c>
      <c r="E286" s="12">
        <f t="shared" si="96"/>
        <v>-420</v>
      </c>
      <c r="F286" s="12">
        <f t="shared" si="97"/>
        <v>-519</v>
      </c>
      <c r="G286" s="12">
        <f t="shared" si="98"/>
        <v>-632</v>
      </c>
      <c r="H286" s="8">
        <f t="shared" si="99"/>
        <v>2985</v>
      </c>
      <c r="I286" s="8">
        <f t="shared" si="100"/>
        <v>3084</v>
      </c>
      <c r="J286" s="8">
        <f t="shared" si="101"/>
        <v>3197</v>
      </c>
      <c r="K286" s="8">
        <f t="shared" si="108"/>
        <v>4000</v>
      </c>
      <c r="L286" s="8">
        <f t="shared" si="109"/>
        <v>4000</v>
      </c>
      <c r="M286" s="8">
        <f t="shared" si="110"/>
        <v>4000</v>
      </c>
      <c r="N286" s="8">
        <f t="shared" si="105"/>
        <v>-1015</v>
      </c>
      <c r="O286" s="8">
        <f t="shared" si="106"/>
        <v>-916</v>
      </c>
      <c r="P286" s="8">
        <f t="shared" si="107"/>
        <v>-803</v>
      </c>
      <c r="Q286" s="12">
        <v>2</v>
      </c>
      <c r="R286" s="12">
        <v>5</v>
      </c>
      <c r="S286" s="12">
        <v>5</v>
      </c>
      <c r="T286" s="11">
        <f t="shared" si="102"/>
        <v>-909</v>
      </c>
      <c r="U286" s="10">
        <f t="shared" si="112"/>
        <v>3255</v>
      </c>
      <c r="V286" s="10">
        <f t="shared" si="111"/>
        <v>3474</v>
      </c>
      <c r="W286" s="10">
        <f t="shared" si="113"/>
        <v>3537</v>
      </c>
      <c r="X286" s="9"/>
      <c r="Y286" s="8"/>
      <c r="Z286" s="8"/>
      <c r="AA286" s="8"/>
      <c r="AB286" s="8"/>
    </row>
    <row r="287" spans="1:28" ht="13.15" customHeight="1">
      <c r="A287" s="16">
        <f t="shared" si="95"/>
        <v>273</v>
      </c>
      <c r="B287" s="15">
        <f t="shared" si="103"/>
        <v>45554</v>
      </c>
      <c r="C287" s="14">
        <f t="shared" si="104"/>
        <v>844</v>
      </c>
      <c r="D287" s="13">
        <f t="shared" si="94"/>
        <v>1723</v>
      </c>
      <c r="E287" s="12">
        <f t="shared" si="96"/>
        <v>-416</v>
      </c>
      <c r="F287" s="12">
        <f t="shared" si="97"/>
        <v>-514</v>
      </c>
      <c r="G287" s="12">
        <f t="shared" si="98"/>
        <v>-627</v>
      </c>
      <c r="H287" s="8">
        <f t="shared" si="99"/>
        <v>2983</v>
      </c>
      <c r="I287" s="8">
        <f t="shared" si="100"/>
        <v>3081</v>
      </c>
      <c r="J287" s="8">
        <f t="shared" si="101"/>
        <v>3194</v>
      </c>
      <c r="K287" s="8">
        <f t="shared" si="108"/>
        <v>4000</v>
      </c>
      <c r="L287" s="8">
        <f t="shared" si="109"/>
        <v>4000</v>
      </c>
      <c r="M287" s="8">
        <f t="shared" si="110"/>
        <v>4000</v>
      </c>
      <c r="N287" s="8">
        <f t="shared" si="105"/>
        <v>-1017</v>
      </c>
      <c r="O287" s="8">
        <f t="shared" si="106"/>
        <v>-919</v>
      </c>
      <c r="P287" s="8">
        <f t="shared" si="107"/>
        <v>-806</v>
      </c>
      <c r="Q287" s="12">
        <v>2</v>
      </c>
      <c r="R287" s="12">
        <v>3</v>
      </c>
      <c r="S287" s="12">
        <v>3</v>
      </c>
      <c r="T287" s="11">
        <f t="shared" si="102"/>
        <v>-904</v>
      </c>
      <c r="U287" s="10">
        <f t="shared" si="112"/>
        <v>3253</v>
      </c>
      <c r="V287" s="10">
        <f t="shared" si="111"/>
        <v>3471</v>
      </c>
      <c r="W287" s="10">
        <f t="shared" si="113"/>
        <v>3534</v>
      </c>
      <c r="X287" s="9"/>
      <c r="Y287" s="8"/>
      <c r="Z287" s="8"/>
      <c r="AA287" s="8"/>
      <c r="AB287" s="8"/>
    </row>
    <row r="288" spans="1:28" ht="13.15" customHeight="1">
      <c r="A288" s="16">
        <f t="shared" si="95"/>
        <v>274</v>
      </c>
      <c r="B288" s="15">
        <f t="shared" si="103"/>
        <v>45555</v>
      </c>
      <c r="C288" s="14">
        <f t="shared" si="104"/>
        <v>844</v>
      </c>
      <c r="D288" s="13">
        <f t="shared" si="94"/>
        <v>1725</v>
      </c>
      <c r="E288" s="12">
        <f t="shared" si="96"/>
        <v>-411</v>
      </c>
      <c r="F288" s="12">
        <f t="shared" si="97"/>
        <v>-510</v>
      </c>
      <c r="G288" s="12">
        <f t="shared" si="98"/>
        <v>-623</v>
      </c>
      <c r="H288" s="8">
        <f t="shared" si="99"/>
        <v>2980</v>
      </c>
      <c r="I288" s="8">
        <f t="shared" si="100"/>
        <v>3079</v>
      </c>
      <c r="J288" s="8">
        <f t="shared" si="101"/>
        <v>3192</v>
      </c>
      <c r="K288" s="8">
        <f t="shared" si="108"/>
        <v>4000</v>
      </c>
      <c r="L288" s="8">
        <f t="shared" si="109"/>
        <v>4000</v>
      </c>
      <c r="M288" s="8">
        <f t="shared" si="110"/>
        <v>4000</v>
      </c>
      <c r="N288" s="8">
        <f t="shared" si="105"/>
        <v>-1020</v>
      </c>
      <c r="O288" s="8">
        <f t="shared" si="106"/>
        <v>-921</v>
      </c>
      <c r="P288" s="8">
        <f t="shared" si="107"/>
        <v>-808</v>
      </c>
      <c r="Q288" s="12">
        <v>3</v>
      </c>
      <c r="R288" s="12">
        <v>2</v>
      </c>
      <c r="S288" s="12">
        <v>2</v>
      </c>
      <c r="T288" s="11">
        <f t="shared" si="102"/>
        <v>-900</v>
      </c>
      <c r="U288" s="10">
        <f t="shared" si="112"/>
        <v>3250</v>
      </c>
      <c r="V288" s="10">
        <f t="shared" si="111"/>
        <v>3469</v>
      </c>
      <c r="W288" s="10">
        <f t="shared" si="113"/>
        <v>3532</v>
      </c>
      <c r="X288" s="9"/>
      <c r="Y288" s="8"/>
      <c r="Z288" s="8"/>
      <c r="AA288" s="8"/>
      <c r="AB288" s="8"/>
    </row>
    <row r="289" spans="1:28" ht="13.15" customHeight="1">
      <c r="A289" s="16">
        <f t="shared" si="95"/>
        <v>275</v>
      </c>
      <c r="B289" s="15">
        <f t="shared" si="103"/>
        <v>45556</v>
      </c>
      <c r="C289" s="14">
        <f t="shared" si="104"/>
        <v>844</v>
      </c>
      <c r="D289" s="13">
        <f t="shared" si="94"/>
        <v>1727</v>
      </c>
      <c r="E289" s="12">
        <f t="shared" si="96"/>
        <v>-407</v>
      </c>
      <c r="F289" s="12">
        <f t="shared" si="97"/>
        <v>-506</v>
      </c>
      <c r="G289" s="12">
        <f t="shared" si="98"/>
        <v>-619</v>
      </c>
      <c r="H289" s="8">
        <f t="shared" si="99"/>
        <v>2978</v>
      </c>
      <c r="I289" s="8">
        <f t="shared" si="100"/>
        <v>3077</v>
      </c>
      <c r="J289" s="8">
        <f t="shared" si="101"/>
        <v>3190</v>
      </c>
      <c r="K289" s="8">
        <f t="shared" si="108"/>
        <v>4000</v>
      </c>
      <c r="L289" s="8">
        <f t="shared" si="109"/>
        <v>4000</v>
      </c>
      <c r="M289" s="8">
        <f t="shared" si="110"/>
        <v>4000</v>
      </c>
      <c r="N289" s="8">
        <f t="shared" si="105"/>
        <v>-1022</v>
      </c>
      <c r="O289" s="8">
        <f t="shared" si="106"/>
        <v>-923</v>
      </c>
      <c r="P289" s="8">
        <f t="shared" si="107"/>
        <v>-810</v>
      </c>
      <c r="Q289" s="12">
        <v>2</v>
      </c>
      <c r="R289" s="12">
        <v>2</v>
      </c>
      <c r="S289" s="12">
        <v>2</v>
      </c>
      <c r="T289" s="11">
        <f t="shared" si="102"/>
        <v>-896</v>
      </c>
      <c r="U289" s="10">
        <f t="shared" si="112"/>
        <v>3248</v>
      </c>
      <c r="V289" s="10">
        <f t="shared" si="111"/>
        <v>3467</v>
      </c>
      <c r="W289" s="10">
        <f t="shared" si="113"/>
        <v>3530</v>
      </c>
      <c r="X289" s="9"/>
      <c r="Y289" s="8"/>
      <c r="Z289" s="8"/>
      <c r="AA289" s="8"/>
      <c r="AB289" s="8"/>
    </row>
    <row r="290" spans="1:28" ht="13.15" customHeight="1">
      <c r="A290" s="16">
        <f t="shared" si="95"/>
        <v>276</v>
      </c>
      <c r="B290" s="15">
        <f t="shared" si="103"/>
        <v>45557</v>
      </c>
      <c r="C290" s="14">
        <f t="shared" si="104"/>
        <v>844</v>
      </c>
      <c r="D290" s="13">
        <f t="shared" si="94"/>
        <v>1729</v>
      </c>
      <c r="E290" s="12">
        <f t="shared" si="96"/>
        <v>-402</v>
      </c>
      <c r="F290" s="12">
        <f t="shared" si="97"/>
        <v>-503</v>
      </c>
      <c r="G290" s="12">
        <f t="shared" si="98"/>
        <v>-616</v>
      </c>
      <c r="H290" s="8">
        <f t="shared" si="99"/>
        <v>2975</v>
      </c>
      <c r="I290" s="8">
        <f t="shared" si="100"/>
        <v>3076</v>
      </c>
      <c r="J290" s="8">
        <f t="shared" si="101"/>
        <v>3189</v>
      </c>
      <c r="K290" s="8">
        <f t="shared" si="108"/>
        <v>4000</v>
      </c>
      <c r="L290" s="8">
        <f t="shared" si="109"/>
        <v>4000</v>
      </c>
      <c r="M290" s="8">
        <f t="shared" si="110"/>
        <v>4000</v>
      </c>
      <c r="N290" s="8">
        <f t="shared" si="105"/>
        <v>-1025</v>
      </c>
      <c r="O290" s="8">
        <f t="shared" si="106"/>
        <v>-924</v>
      </c>
      <c r="P290" s="8">
        <f t="shared" si="107"/>
        <v>-811</v>
      </c>
      <c r="Q290" s="12">
        <v>3</v>
      </c>
      <c r="R290" s="12">
        <v>1</v>
      </c>
      <c r="S290" s="12">
        <v>1</v>
      </c>
      <c r="T290" s="11">
        <f t="shared" si="102"/>
        <v>-893</v>
      </c>
      <c r="U290" s="10">
        <f t="shared" si="112"/>
        <v>3245</v>
      </c>
      <c r="V290" s="10">
        <f t="shared" si="111"/>
        <v>3466</v>
      </c>
      <c r="W290" s="10">
        <f t="shared" si="113"/>
        <v>3529</v>
      </c>
      <c r="X290" s="9"/>
      <c r="Y290" s="8"/>
      <c r="Z290" s="8"/>
      <c r="AA290" s="8"/>
      <c r="AB290" s="8"/>
    </row>
    <row r="291" spans="1:28" ht="13.15" customHeight="1">
      <c r="A291" s="16">
        <f t="shared" si="95"/>
        <v>277</v>
      </c>
      <c r="B291" s="15">
        <f t="shared" si="103"/>
        <v>45558</v>
      </c>
      <c r="C291" s="14">
        <f t="shared" si="104"/>
        <v>844</v>
      </c>
      <c r="D291" s="13">
        <f t="shared" si="94"/>
        <v>1731</v>
      </c>
      <c r="E291" s="12">
        <f t="shared" si="96"/>
        <v>-398</v>
      </c>
      <c r="F291" s="12">
        <f t="shared" si="97"/>
        <v>-499</v>
      </c>
      <c r="G291" s="12">
        <f t="shared" si="98"/>
        <v>-612</v>
      </c>
      <c r="H291" s="8">
        <f t="shared" si="99"/>
        <v>2973</v>
      </c>
      <c r="I291" s="8">
        <f t="shared" si="100"/>
        <v>3074</v>
      </c>
      <c r="J291" s="8">
        <f t="shared" si="101"/>
        <v>3187</v>
      </c>
      <c r="K291" s="8">
        <f t="shared" si="108"/>
        <v>4000</v>
      </c>
      <c r="L291" s="8">
        <f t="shared" si="109"/>
        <v>4000</v>
      </c>
      <c r="M291" s="8">
        <f t="shared" si="110"/>
        <v>4000</v>
      </c>
      <c r="N291" s="8">
        <f t="shared" si="105"/>
        <v>-1027</v>
      </c>
      <c r="O291" s="8">
        <f t="shared" si="106"/>
        <v>-926</v>
      </c>
      <c r="P291" s="8">
        <f t="shared" si="107"/>
        <v>-813</v>
      </c>
      <c r="Q291" s="12">
        <v>2</v>
      </c>
      <c r="R291" s="12">
        <v>2</v>
      </c>
      <c r="S291" s="12">
        <v>2</v>
      </c>
      <c r="T291" s="11">
        <f t="shared" si="102"/>
        <v>-889</v>
      </c>
      <c r="U291" s="10">
        <f t="shared" si="112"/>
        <v>3243</v>
      </c>
      <c r="V291" s="10">
        <f t="shared" si="111"/>
        <v>3464</v>
      </c>
      <c r="W291" s="10">
        <f t="shared" si="113"/>
        <v>3527</v>
      </c>
      <c r="X291" s="9"/>
      <c r="Y291" s="8"/>
      <c r="Z291" s="8"/>
      <c r="AA291" s="8"/>
      <c r="AB291" s="8"/>
    </row>
    <row r="292" spans="1:28" ht="13.15" customHeight="1">
      <c r="A292" s="16">
        <f t="shared" si="95"/>
        <v>278</v>
      </c>
      <c r="B292" s="15">
        <f t="shared" si="103"/>
        <v>45559</v>
      </c>
      <c r="C292" s="14">
        <f t="shared" si="104"/>
        <v>844</v>
      </c>
      <c r="D292" s="13">
        <f t="shared" si="94"/>
        <v>1733</v>
      </c>
      <c r="E292" s="12">
        <f t="shared" si="96"/>
        <v>-387</v>
      </c>
      <c r="F292" s="12">
        <f t="shared" si="97"/>
        <v>-492</v>
      </c>
      <c r="G292" s="12">
        <f t="shared" si="98"/>
        <v>-605</v>
      </c>
      <c r="H292" s="8">
        <f t="shared" si="99"/>
        <v>2964</v>
      </c>
      <c r="I292" s="8">
        <f t="shared" si="100"/>
        <v>3069</v>
      </c>
      <c r="J292" s="8">
        <f t="shared" si="101"/>
        <v>3182</v>
      </c>
      <c r="K292" s="8">
        <f t="shared" si="108"/>
        <v>4000</v>
      </c>
      <c r="L292" s="8">
        <f t="shared" si="109"/>
        <v>4000</v>
      </c>
      <c r="M292" s="8">
        <f t="shared" si="110"/>
        <v>4000</v>
      </c>
      <c r="N292" s="8">
        <f t="shared" si="105"/>
        <v>-1036</v>
      </c>
      <c r="O292" s="8">
        <f t="shared" si="106"/>
        <v>-931</v>
      </c>
      <c r="P292" s="8">
        <f t="shared" si="107"/>
        <v>-818</v>
      </c>
      <c r="Q292" s="12">
        <v>9</v>
      </c>
      <c r="R292" s="12">
        <v>5</v>
      </c>
      <c r="S292" s="12">
        <v>5</v>
      </c>
      <c r="T292" s="11">
        <f t="shared" si="102"/>
        <v>-882</v>
      </c>
      <c r="U292" s="10">
        <f t="shared" si="112"/>
        <v>3234</v>
      </c>
      <c r="V292" s="10">
        <f t="shared" si="111"/>
        <v>3459</v>
      </c>
      <c r="W292" s="10">
        <f t="shared" si="113"/>
        <v>3522</v>
      </c>
      <c r="X292" s="9"/>
      <c r="Y292" s="8"/>
      <c r="Z292" s="8"/>
      <c r="AA292" s="8"/>
      <c r="AB292" s="8"/>
    </row>
    <row r="293" spans="1:28" ht="13.15" customHeight="1">
      <c r="A293" s="16">
        <f t="shared" si="95"/>
        <v>279</v>
      </c>
      <c r="B293" s="15">
        <f t="shared" si="103"/>
        <v>45560</v>
      </c>
      <c r="C293" s="14">
        <f t="shared" si="104"/>
        <v>844</v>
      </c>
      <c r="D293" s="13">
        <f t="shared" si="94"/>
        <v>1735</v>
      </c>
      <c r="E293" s="12">
        <f t="shared" si="96"/>
        <v>-377</v>
      </c>
      <c r="F293" s="12">
        <f t="shared" si="97"/>
        <v>-485</v>
      </c>
      <c r="G293" s="12">
        <f t="shared" si="98"/>
        <v>-598</v>
      </c>
      <c r="H293" s="8">
        <f t="shared" si="99"/>
        <v>2956</v>
      </c>
      <c r="I293" s="8">
        <f t="shared" si="100"/>
        <v>3064</v>
      </c>
      <c r="J293" s="8">
        <f t="shared" si="101"/>
        <v>3177</v>
      </c>
      <c r="K293" s="8">
        <f t="shared" si="108"/>
        <v>4000</v>
      </c>
      <c r="L293" s="8">
        <f t="shared" si="109"/>
        <v>4000</v>
      </c>
      <c r="M293" s="8">
        <f t="shared" si="110"/>
        <v>4000</v>
      </c>
      <c r="N293" s="8">
        <f t="shared" si="105"/>
        <v>-1044</v>
      </c>
      <c r="O293" s="8">
        <f t="shared" si="106"/>
        <v>-936</v>
      </c>
      <c r="P293" s="8">
        <f t="shared" si="107"/>
        <v>-823</v>
      </c>
      <c r="Q293" s="12">
        <v>8</v>
      </c>
      <c r="R293" s="12">
        <v>5</v>
      </c>
      <c r="S293" s="12">
        <v>5</v>
      </c>
      <c r="T293" s="11">
        <f t="shared" si="102"/>
        <v>-875</v>
      </c>
      <c r="U293" s="10">
        <f t="shared" si="112"/>
        <v>3226</v>
      </c>
      <c r="V293" s="10">
        <f t="shared" si="111"/>
        <v>3454</v>
      </c>
      <c r="W293" s="10">
        <f t="shared" si="113"/>
        <v>3517</v>
      </c>
      <c r="X293" s="9"/>
      <c r="Y293" s="8"/>
      <c r="Z293" s="8"/>
      <c r="AA293" s="8"/>
      <c r="AB293" s="8"/>
    </row>
    <row r="294" spans="1:28" ht="13.15" customHeight="1">
      <c r="A294" s="16">
        <f t="shared" si="95"/>
        <v>280</v>
      </c>
      <c r="B294" s="15">
        <f t="shared" si="103"/>
        <v>45561</v>
      </c>
      <c r="C294" s="14">
        <f t="shared" si="104"/>
        <v>844</v>
      </c>
      <c r="D294" s="13">
        <f t="shared" si="94"/>
        <v>1737</v>
      </c>
      <c r="E294" s="12">
        <f t="shared" si="96"/>
        <v>-367</v>
      </c>
      <c r="F294" s="12">
        <f t="shared" si="97"/>
        <v>-478</v>
      </c>
      <c r="G294" s="12">
        <f t="shared" si="98"/>
        <v>-591</v>
      </c>
      <c r="H294" s="8">
        <f t="shared" si="99"/>
        <v>2948</v>
      </c>
      <c r="I294" s="8">
        <f t="shared" si="100"/>
        <v>3059</v>
      </c>
      <c r="J294" s="8">
        <f t="shared" si="101"/>
        <v>3172</v>
      </c>
      <c r="K294" s="8">
        <f t="shared" si="108"/>
        <v>4000</v>
      </c>
      <c r="L294" s="8">
        <f t="shared" si="109"/>
        <v>4000</v>
      </c>
      <c r="M294" s="8">
        <f t="shared" si="110"/>
        <v>4000</v>
      </c>
      <c r="N294" s="8">
        <f t="shared" si="105"/>
        <v>-1052</v>
      </c>
      <c r="O294" s="8">
        <f t="shared" si="106"/>
        <v>-941</v>
      </c>
      <c r="P294" s="8">
        <f t="shared" si="107"/>
        <v>-828</v>
      </c>
      <c r="Q294" s="12">
        <v>8</v>
      </c>
      <c r="R294" s="12">
        <v>5</v>
      </c>
      <c r="S294" s="12">
        <v>5</v>
      </c>
      <c r="T294" s="11">
        <f t="shared" si="102"/>
        <v>-868</v>
      </c>
      <c r="U294" s="10">
        <f t="shared" si="112"/>
        <v>3218</v>
      </c>
      <c r="V294" s="10">
        <f t="shared" si="111"/>
        <v>3449</v>
      </c>
      <c r="W294" s="10">
        <f t="shared" si="113"/>
        <v>3512</v>
      </c>
      <c r="X294" s="9"/>
      <c r="Y294" s="8"/>
      <c r="Z294" s="8"/>
      <c r="AA294" s="8"/>
      <c r="AB294" s="8"/>
    </row>
    <row r="295" spans="1:28" ht="13.15" customHeight="1">
      <c r="A295" s="16">
        <f t="shared" si="95"/>
        <v>281</v>
      </c>
      <c r="B295" s="15">
        <f t="shared" si="103"/>
        <v>45562</v>
      </c>
      <c r="C295" s="14">
        <f t="shared" si="104"/>
        <v>844</v>
      </c>
      <c r="D295" s="13">
        <f t="shared" si="94"/>
        <v>1739</v>
      </c>
      <c r="E295" s="12">
        <f t="shared" si="96"/>
        <v>-359</v>
      </c>
      <c r="F295" s="12">
        <f t="shared" si="97"/>
        <v>-467</v>
      </c>
      <c r="G295" s="12">
        <f t="shared" si="98"/>
        <v>-587</v>
      </c>
      <c r="H295" s="8">
        <f t="shared" si="99"/>
        <v>2942</v>
      </c>
      <c r="I295" s="8">
        <f t="shared" si="100"/>
        <v>3050</v>
      </c>
      <c r="J295" s="8">
        <f t="shared" si="101"/>
        <v>3170</v>
      </c>
      <c r="K295" s="8">
        <f t="shared" si="108"/>
        <v>4000</v>
      </c>
      <c r="L295" s="8">
        <f t="shared" si="109"/>
        <v>4000</v>
      </c>
      <c r="M295" s="8">
        <f t="shared" si="110"/>
        <v>4000</v>
      </c>
      <c r="N295" s="8">
        <f t="shared" si="105"/>
        <v>-1058</v>
      </c>
      <c r="O295" s="8">
        <f t="shared" si="106"/>
        <v>-950</v>
      </c>
      <c r="P295" s="8">
        <f t="shared" si="107"/>
        <v>-830</v>
      </c>
      <c r="Q295" s="12">
        <v>6</v>
      </c>
      <c r="R295" s="12">
        <v>9</v>
      </c>
      <c r="S295" s="12">
        <v>2</v>
      </c>
      <c r="T295" s="11">
        <f t="shared" si="102"/>
        <v>-857</v>
      </c>
      <c r="U295" s="10">
        <f t="shared" si="112"/>
        <v>3212</v>
      </c>
      <c r="V295" s="10">
        <f t="shared" si="111"/>
        <v>3440</v>
      </c>
      <c r="W295" s="10">
        <f t="shared" si="113"/>
        <v>3510</v>
      </c>
      <c r="X295" s="9"/>
      <c r="Y295" s="8"/>
      <c r="Z295" s="8"/>
      <c r="AA295" s="8"/>
      <c r="AB295" s="8"/>
    </row>
    <row r="296" spans="1:28" ht="13.15" customHeight="1">
      <c r="A296" s="16">
        <f t="shared" si="95"/>
        <v>282</v>
      </c>
      <c r="B296" s="15">
        <f t="shared" si="103"/>
        <v>45563</v>
      </c>
      <c r="C296" s="14">
        <f t="shared" si="104"/>
        <v>844</v>
      </c>
      <c r="D296" s="13">
        <f t="shared" si="94"/>
        <v>1741</v>
      </c>
      <c r="E296" s="12">
        <f t="shared" si="96"/>
        <v>-350</v>
      </c>
      <c r="F296" s="12">
        <f t="shared" si="97"/>
        <v>-457</v>
      </c>
      <c r="G296" s="12">
        <f t="shared" si="98"/>
        <v>-580</v>
      </c>
      <c r="H296" s="8">
        <f t="shared" si="99"/>
        <v>2935</v>
      </c>
      <c r="I296" s="8">
        <f t="shared" si="100"/>
        <v>3042</v>
      </c>
      <c r="J296" s="8">
        <f t="shared" si="101"/>
        <v>3165</v>
      </c>
      <c r="K296" s="8">
        <f t="shared" si="108"/>
        <v>4000</v>
      </c>
      <c r="L296" s="8">
        <f t="shared" si="109"/>
        <v>4000</v>
      </c>
      <c r="M296" s="8">
        <f t="shared" si="110"/>
        <v>4000</v>
      </c>
      <c r="N296" s="8">
        <f t="shared" si="105"/>
        <v>-1065</v>
      </c>
      <c r="O296" s="8">
        <f t="shared" si="106"/>
        <v>-958</v>
      </c>
      <c r="P296" s="8">
        <f t="shared" si="107"/>
        <v>-835</v>
      </c>
      <c r="Q296" s="12">
        <v>7</v>
      </c>
      <c r="R296" s="12">
        <v>8</v>
      </c>
      <c r="S296" s="12">
        <v>5</v>
      </c>
      <c r="T296" s="11">
        <f t="shared" si="102"/>
        <v>-847</v>
      </c>
      <c r="U296" s="10">
        <f t="shared" si="112"/>
        <v>3205</v>
      </c>
      <c r="V296" s="10">
        <f t="shared" si="111"/>
        <v>3432</v>
      </c>
      <c r="W296" s="10">
        <f t="shared" si="113"/>
        <v>3505</v>
      </c>
      <c r="X296" s="9"/>
      <c r="Y296" s="8"/>
      <c r="Z296" s="8"/>
      <c r="AA296" s="8"/>
      <c r="AB296" s="8"/>
    </row>
    <row r="297" spans="1:28" ht="13.15" customHeight="1">
      <c r="A297" s="16">
        <f t="shared" si="95"/>
        <v>283</v>
      </c>
      <c r="B297" s="15">
        <f t="shared" si="103"/>
        <v>45564</v>
      </c>
      <c r="C297" s="14">
        <f t="shared" si="104"/>
        <v>844</v>
      </c>
      <c r="D297" s="13">
        <f t="shared" si="94"/>
        <v>1743</v>
      </c>
      <c r="E297" s="12">
        <f t="shared" si="96"/>
        <v>-344</v>
      </c>
      <c r="F297" s="12">
        <f t="shared" si="97"/>
        <v>-447</v>
      </c>
      <c r="G297" s="12">
        <f t="shared" si="98"/>
        <v>-573</v>
      </c>
      <c r="H297" s="8">
        <f t="shared" si="99"/>
        <v>2931</v>
      </c>
      <c r="I297" s="8">
        <f t="shared" si="100"/>
        <v>3034</v>
      </c>
      <c r="J297" s="8">
        <f t="shared" si="101"/>
        <v>3160</v>
      </c>
      <c r="K297" s="8">
        <f t="shared" si="108"/>
        <v>4000</v>
      </c>
      <c r="L297" s="8">
        <f t="shared" si="109"/>
        <v>4000</v>
      </c>
      <c r="M297" s="8">
        <f t="shared" si="110"/>
        <v>4000</v>
      </c>
      <c r="N297" s="8">
        <f t="shared" si="105"/>
        <v>-1069</v>
      </c>
      <c r="O297" s="8">
        <f t="shared" si="106"/>
        <v>-966</v>
      </c>
      <c r="P297" s="8">
        <f t="shared" si="107"/>
        <v>-840</v>
      </c>
      <c r="Q297" s="12">
        <v>4</v>
      </c>
      <c r="R297" s="12">
        <v>8</v>
      </c>
      <c r="S297" s="12">
        <v>5</v>
      </c>
      <c r="T297" s="11">
        <f t="shared" si="102"/>
        <v>-837</v>
      </c>
      <c r="U297" s="10">
        <f t="shared" si="112"/>
        <v>3201</v>
      </c>
      <c r="V297" s="10">
        <f t="shared" si="111"/>
        <v>3424</v>
      </c>
      <c r="W297" s="10">
        <f t="shared" si="113"/>
        <v>3500</v>
      </c>
      <c r="X297" s="9"/>
      <c r="Y297" s="8"/>
      <c r="Z297" s="8"/>
      <c r="AA297" s="8"/>
      <c r="AB297" s="8"/>
    </row>
    <row r="298" spans="1:28" ht="13.15" customHeight="1">
      <c r="A298" s="16">
        <f t="shared" si="95"/>
        <v>284</v>
      </c>
      <c r="B298" s="15">
        <f t="shared" si="103"/>
        <v>45565</v>
      </c>
      <c r="C298" s="14">
        <f t="shared" si="104"/>
        <v>844</v>
      </c>
      <c r="D298" s="13">
        <f t="shared" si="94"/>
        <v>1745</v>
      </c>
      <c r="E298" s="12">
        <f t="shared" si="96"/>
        <v>-337</v>
      </c>
      <c r="F298" s="12">
        <f t="shared" si="97"/>
        <v>-439</v>
      </c>
      <c r="G298" s="12">
        <f t="shared" si="98"/>
        <v>-563</v>
      </c>
      <c r="H298" s="8">
        <f t="shared" si="99"/>
        <v>2926</v>
      </c>
      <c r="I298" s="8">
        <f t="shared" si="100"/>
        <v>3028</v>
      </c>
      <c r="J298" s="8">
        <f t="shared" si="101"/>
        <v>3152</v>
      </c>
      <c r="K298" s="8">
        <f t="shared" si="108"/>
        <v>4000</v>
      </c>
      <c r="L298" s="8">
        <f t="shared" si="109"/>
        <v>4000</v>
      </c>
      <c r="M298" s="8">
        <f t="shared" si="110"/>
        <v>4000</v>
      </c>
      <c r="N298" s="8">
        <f t="shared" si="105"/>
        <v>-1074</v>
      </c>
      <c r="O298" s="8">
        <f t="shared" si="106"/>
        <v>-972</v>
      </c>
      <c r="P298" s="8">
        <f t="shared" si="107"/>
        <v>-848</v>
      </c>
      <c r="Q298" s="12">
        <v>5</v>
      </c>
      <c r="R298" s="12">
        <v>6</v>
      </c>
      <c r="S298" s="12">
        <v>8</v>
      </c>
      <c r="T298" s="11">
        <f t="shared" si="102"/>
        <v>-829</v>
      </c>
      <c r="U298" s="10">
        <f t="shared" si="112"/>
        <v>3196</v>
      </c>
      <c r="V298" s="10">
        <f t="shared" si="111"/>
        <v>3418</v>
      </c>
      <c r="W298" s="10">
        <f t="shared" si="113"/>
        <v>3492</v>
      </c>
      <c r="X298" s="9"/>
      <c r="Y298" s="8"/>
      <c r="Z298" s="8"/>
      <c r="AA298" s="8"/>
      <c r="AB298" s="8"/>
    </row>
    <row r="299" spans="1:28" ht="13.15" customHeight="1">
      <c r="A299" s="16">
        <f t="shared" si="95"/>
        <v>285</v>
      </c>
      <c r="B299" s="15">
        <f t="shared" si="103"/>
        <v>45566</v>
      </c>
      <c r="C299" s="14">
        <f t="shared" si="104"/>
        <v>844</v>
      </c>
      <c r="D299" s="13">
        <f t="shared" si="94"/>
        <v>1747</v>
      </c>
      <c r="E299" s="12">
        <f t="shared" si="96"/>
        <v>-332</v>
      </c>
      <c r="F299" s="12">
        <f t="shared" si="97"/>
        <v>-430</v>
      </c>
      <c r="G299" s="12">
        <f t="shared" si="98"/>
        <v>-555</v>
      </c>
      <c r="H299" s="8">
        <f t="shared" si="99"/>
        <v>2923</v>
      </c>
      <c r="I299" s="8">
        <f t="shared" si="100"/>
        <v>3021</v>
      </c>
      <c r="J299" s="8">
        <f t="shared" si="101"/>
        <v>3146</v>
      </c>
      <c r="K299" s="8">
        <f t="shared" si="108"/>
        <v>4000</v>
      </c>
      <c r="L299" s="8">
        <f t="shared" si="109"/>
        <v>4000</v>
      </c>
      <c r="M299" s="8">
        <f t="shared" si="110"/>
        <v>4000</v>
      </c>
      <c r="N299" s="8">
        <f t="shared" si="105"/>
        <v>-1077</v>
      </c>
      <c r="O299" s="8">
        <f t="shared" si="106"/>
        <v>-979</v>
      </c>
      <c r="P299" s="8">
        <f t="shared" si="107"/>
        <v>-854</v>
      </c>
      <c r="Q299" s="12">
        <v>3</v>
      </c>
      <c r="R299" s="12">
        <v>7</v>
      </c>
      <c r="S299" s="12">
        <v>6</v>
      </c>
      <c r="T299" s="11">
        <f t="shared" si="102"/>
        <v>-820</v>
      </c>
      <c r="U299" s="10">
        <f t="shared" si="112"/>
        <v>3193</v>
      </c>
      <c r="V299" s="10">
        <f t="shared" si="111"/>
        <v>3411</v>
      </c>
      <c r="W299" s="10">
        <f t="shared" si="113"/>
        <v>3486</v>
      </c>
      <c r="X299" s="9"/>
      <c r="Y299" s="8"/>
      <c r="Z299" s="8"/>
      <c r="AA299" s="8"/>
      <c r="AB299" s="8"/>
    </row>
    <row r="300" spans="1:28" ht="13.15" customHeight="1">
      <c r="A300" s="16">
        <f t="shared" si="95"/>
        <v>286</v>
      </c>
      <c r="B300" s="15">
        <f t="shared" si="103"/>
        <v>45567</v>
      </c>
      <c r="C300" s="14">
        <f t="shared" si="104"/>
        <v>844</v>
      </c>
      <c r="D300" s="13">
        <f t="shared" si="94"/>
        <v>1749</v>
      </c>
      <c r="E300" s="12">
        <f t="shared" si="96"/>
        <v>-328</v>
      </c>
      <c r="F300" s="12">
        <f t="shared" si="97"/>
        <v>-424</v>
      </c>
      <c r="G300" s="12">
        <f t="shared" si="98"/>
        <v>-546</v>
      </c>
      <c r="H300" s="8">
        <f t="shared" si="99"/>
        <v>2921</v>
      </c>
      <c r="I300" s="8">
        <f t="shared" si="100"/>
        <v>3017</v>
      </c>
      <c r="J300" s="8">
        <f t="shared" si="101"/>
        <v>3139</v>
      </c>
      <c r="K300" s="8">
        <f t="shared" si="108"/>
        <v>4000</v>
      </c>
      <c r="L300" s="8">
        <f t="shared" si="109"/>
        <v>4000</v>
      </c>
      <c r="M300" s="8">
        <f t="shared" si="110"/>
        <v>4000</v>
      </c>
      <c r="N300" s="8">
        <f t="shared" si="105"/>
        <v>-1079</v>
      </c>
      <c r="O300" s="8">
        <f t="shared" si="106"/>
        <v>-983</v>
      </c>
      <c r="P300" s="8">
        <f t="shared" si="107"/>
        <v>-861</v>
      </c>
      <c r="Q300" s="12">
        <v>2</v>
      </c>
      <c r="R300" s="12">
        <v>4</v>
      </c>
      <c r="S300" s="12">
        <v>7</v>
      </c>
      <c r="T300" s="11">
        <f t="shared" si="102"/>
        <v>-814</v>
      </c>
      <c r="U300" s="10">
        <f t="shared" si="112"/>
        <v>3191</v>
      </c>
      <c r="V300" s="10">
        <f t="shared" si="111"/>
        <v>3407</v>
      </c>
      <c r="W300" s="10">
        <f t="shared" si="113"/>
        <v>3479</v>
      </c>
      <c r="X300" s="9"/>
      <c r="Y300" s="8"/>
      <c r="Z300" s="8"/>
      <c r="AA300" s="8"/>
      <c r="AB300" s="8"/>
    </row>
    <row r="301" spans="1:28" ht="13.15" customHeight="1">
      <c r="A301" s="16">
        <f t="shared" si="95"/>
        <v>287</v>
      </c>
      <c r="B301" s="15">
        <f t="shared" si="103"/>
        <v>45568</v>
      </c>
      <c r="C301" s="14">
        <f t="shared" si="104"/>
        <v>844</v>
      </c>
      <c r="D301" s="13">
        <f t="shared" si="94"/>
        <v>1751</v>
      </c>
      <c r="E301" s="12">
        <f t="shared" si="96"/>
        <v>-324</v>
      </c>
      <c r="F301" s="12">
        <f t="shared" si="97"/>
        <v>-417</v>
      </c>
      <c r="G301" s="12">
        <f t="shared" si="98"/>
        <v>-540</v>
      </c>
      <c r="H301" s="8">
        <f t="shared" si="99"/>
        <v>2919</v>
      </c>
      <c r="I301" s="8">
        <f t="shared" si="100"/>
        <v>3012</v>
      </c>
      <c r="J301" s="8">
        <f t="shared" si="101"/>
        <v>3135</v>
      </c>
      <c r="K301" s="8">
        <f t="shared" si="108"/>
        <v>4000</v>
      </c>
      <c r="L301" s="8">
        <f t="shared" si="109"/>
        <v>4000</v>
      </c>
      <c r="M301" s="8">
        <f t="shared" si="110"/>
        <v>4000</v>
      </c>
      <c r="N301" s="8">
        <f t="shared" si="105"/>
        <v>-1081</v>
      </c>
      <c r="O301" s="8">
        <f t="shared" si="106"/>
        <v>-988</v>
      </c>
      <c r="P301" s="8">
        <f t="shared" si="107"/>
        <v>-865</v>
      </c>
      <c r="Q301" s="12">
        <v>2</v>
      </c>
      <c r="R301" s="12">
        <v>5</v>
      </c>
      <c r="S301" s="12">
        <v>4</v>
      </c>
      <c r="T301" s="11">
        <f t="shared" si="102"/>
        <v>-807</v>
      </c>
      <c r="U301" s="10">
        <f t="shared" si="112"/>
        <v>3189</v>
      </c>
      <c r="V301" s="10">
        <f t="shared" si="111"/>
        <v>3402</v>
      </c>
      <c r="W301" s="10">
        <f t="shared" si="113"/>
        <v>3475</v>
      </c>
      <c r="X301" s="9"/>
      <c r="Y301" s="8"/>
      <c r="Z301" s="8"/>
      <c r="AA301" s="8"/>
      <c r="AB301" s="8"/>
    </row>
    <row r="302" spans="1:28" ht="13.15" customHeight="1">
      <c r="A302" s="16">
        <f t="shared" si="95"/>
        <v>288</v>
      </c>
      <c r="B302" s="15">
        <f t="shared" si="103"/>
        <v>45569</v>
      </c>
      <c r="C302" s="14">
        <f t="shared" si="104"/>
        <v>844</v>
      </c>
      <c r="D302" s="13">
        <f t="shared" si="94"/>
        <v>1753</v>
      </c>
      <c r="E302" s="12">
        <f t="shared" si="96"/>
        <v>-321</v>
      </c>
      <c r="F302" s="12">
        <f t="shared" si="97"/>
        <v>-412</v>
      </c>
      <c r="G302" s="12">
        <f t="shared" si="98"/>
        <v>-533</v>
      </c>
      <c r="H302" s="8">
        <f t="shared" si="99"/>
        <v>2918</v>
      </c>
      <c r="I302" s="8">
        <f t="shared" si="100"/>
        <v>3009</v>
      </c>
      <c r="J302" s="8">
        <f t="shared" si="101"/>
        <v>3130</v>
      </c>
      <c r="K302" s="8">
        <f t="shared" si="108"/>
        <v>4000</v>
      </c>
      <c r="L302" s="8">
        <f t="shared" si="109"/>
        <v>4000</v>
      </c>
      <c r="M302" s="8">
        <f t="shared" si="110"/>
        <v>4000</v>
      </c>
      <c r="N302" s="8">
        <f t="shared" si="105"/>
        <v>-1082</v>
      </c>
      <c r="O302" s="8">
        <f t="shared" si="106"/>
        <v>-991</v>
      </c>
      <c r="P302" s="8">
        <f t="shared" si="107"/>
        <v>-870</v>
      </c>
      <c r="Q302" s="12">
        <v>1</v>
      </c>
      <c r="R302" s="12">
        <v>3</v>
      </c>
      <c r="S302" s="12">
        <v>5</v>
      </c>
      <c r="T302" s="11">
        <f t="shared" si="102"/>
        <v>-802</v>
      </c>
      <c r="U302" s="10">
        <f t="shared" si="112"/>
        <v>3188</v>
      </c>
      <c r="V302" s="10">
        <f t="shared" si="111"/>
        <v>3399</v>
      </c>
      <c r="W302" s="10">
        <f t="shared" si="113"/>
        <v>3470</v>
      </c>
      <c r="X302" s="9"/>
      <c r="Y302" s="8"/>
      <c r="Z302" s="8"/>
      <c r="AA302" s="8"/>
      <c r="AB302" s="8"/>
    </row>
    <row r="303" spans="1:28" ht="13.15" customHeight="1">
      <c r="A303" s="16">
        <f t="shared" si="95"/>
        <v>289</v>
      </c>
      <c r="B303" s="15">
        <f t="shared" si="103"/>
        <v>45570</v>
      </c>
      <c r="C303" s="14">
        <f t="shared" si="104"/>
        <v>844</v>
      </c>
      <c r="D303" s="13">
        <f t="shared" si="94"/>
        <v>1755</v>
      </c>
      <c r="E303" s="12">
        <f t="shared" si="96"/>
        <v>-317</v>
      </c>
      <c r="F303" s="12">
        <f t="shared" si="97"/>
        <v>-408</v>
      </c>
      <c r="G303" s="12">
        <f t="shared" si="98"/>
        <v>-528</v>
      </c>
      <c r="H303" s="8">
        <f t="shared" si="99"/>
        <v>2916</v>
      </c>
      <c r="I303" s="8">
        <f t="shared" si="100"/>
        <v>3007</v>
      </c>
      <c r="J303" s="8">
        <f t="shared" si="101"/>
        <v>3127</v>
      </c>
      <c r="K303" s="8">
        <f t="shared" si="108"/>
        <v>4000</v>
      </c>
      <c r="L303" s="8">
        <f t="shared" si="109"/>
        <v>4000</v>
      </c>
      <c r="M303" s="8">
        <f t="shared" si="110"/>
        <v>4000</v>
      </c>
      <c r="N303" s="8">
        <f t="shared" si="105"/>
        <v>-1084</v>
      </c>
      <c r="O303" s="8">
        <f t="shared" si="106"/>
        <v>-993</v>
      </c>
      <c r="P303" s="8">
        <f t="shared" si="107"/>
        <v>-873</v>
      </c>
      <c r="Q303" s="12">
        <v>2</v>
      </c>
      <c r="R303" s="12">
        <v>2</v>
      </c>
      <c r="S303" s="12">
        <v>3</v>
      </c>
      <c r="T303" s="11">
        <f t="shared" si="102"/>
        <v>-798</v>
      </c>
      <c r="U303" s="10">
        <f t="shared" si="112"/>
        <v>3186</v>
      </c>
      <c r="V303" s="10">
        <f t="shared" si="111"/>
        <v>3397</v>
      </c>
      <c r="W303" s="10">
        <f t="shared" si="113"/>
        <v>3467</v>
      </c>
      <c r="X303" s="9"/>
      <c r="Y303" s="8"/>
      <c r="Z303" s="8"/>
      <c r="AA303" s="8"/>
      <c r="AB303" s="8"/>
    </row>
    <row r="304" spans="1:28" ht="13.15" customHeight="1">
      <c r="A304" s="16">
        <f t="shared" si="95"/>
        <v>290</v>
      </c>
      <c r="B304" s="15">
        <f t="shared" si="103"/>
        <v>45571</v>
      </c>
      <c r="C304" s="14">
        <f t="shared" si="104"/>
        <v>844</v>
      </c>
      <c r="D304" s="13">
        <f t="shared" si="94"/>
        <v>1757</v>
      </c>
      <c r="E304" s="12">
        <f t="shared" si="96"/>
        <v>-310</v>
      </c>
      <c r="F304" s="12">
        <f t="shared" si="97"/>
        <v>-404</v>
      </c>
      <c r="G304" s="12">
        <f t="shared" si="98"/>
        <v>-524</v>
      </c>
      <c r="H304" s="8">
        <f t="shared" si="99"/>
        <v>2911</v>
      </c>
      <c r="I304" s="8">
        <f t="shared" si="100"/>
        <v>3005</v>
      </c>
      <c r="J304" s="8">
        <f t="shared" si="101"/>
        <v>3125</v>
      </c>
      <c r="K304" s="8">
        <f t="shared" si="108"/>
        <v>4000</v>
      </c>
      <c r="L304" s="8">
        <f t="shared" si="109"/>
        <v>4000</v>
      </c>
      <c r="M304" s="8">
        <f t="shared" si="110"/>
        <v>4000</v>
      </c>
      <c r="N304" s="8">
        <f t="shared" si="105"/>
        <v>-1089</v>
      </c>
      <c r="O304" s="8">
        <f t="shared" si="106"/>
        <v>-995</v>
      </c>
      <c r="P304" s="8">
        <f t="shared" si="107"/>
        <v>-875</v>
      </c>
      <c r="Q304" s="12">
        <v>5</v>
      </c>
      <c r="R304" s="12">
        <v>2</v>
      </c>
      <c r="S304" s="12">
        <v>2</v>
      </c>
      <c r="T304" s="11">
        <f t="shared" si="102"/>
        <v>-794</v>
      </c>
      <c r="U304" s="10">
        <f t="shared" si="112"/>
        <v>3181</v>
      </c>
      <c r="V304" s="10">
        <f t="shared" si="111"/>
        <v>3395</v>
      </c>
      <c r="W304" s="10">
        <f t="shared" si="113"/>
        <v>3465</v>
      </c>
      <c r="X304" s="9"/>
      <c r="Y304" s="8"/>
      <c r="Z304" s="8"/>
      <c r="AA304" s="8"/>
      <c r="AB304" s="8"/>
    </row>
    <row r="305" spans="1:28" ht="13.15" customHeight="1">
      <c r="A305" s="16">
        <f t="shared" si="95"/>
        <v>291</v>
      </c>
      <c r="B305" s="15">
        <f t="shared" si="103"/>
        <v>45572</v>
      </c>
      <c r="C305" s="14">
        <f t="shared" si="104"/>
        <v>844</v>
      </c>
      <c r="D305" s="13">
        <f t="shared" si="94"/>
        <v>1759</v>
      </c>
      <c r="E305" s="12">
        <f t="shared" si="96"/>
        <v>-303</v>
      </c>
      <c r="F305" s="12">
        <f t="shared" si="97"/>
        <v>-401</v>
      </c>
      <c r="G305" s="12">
        <f t="shared" si="98"/>
        <v>-520</v>
      </c>
      <c r="H305" s="8">
        <f t="shared" si="99"/>
        <v>2906</v>
      </c>
      <c r="I305" s="8">
        <f t="shared" si="100"/>
        <v>3004</v>
      </c>
      <c r="J305" s="8">
        <f t="shared" si="101"/>
        <v>3123</v>
      </c>
      <c r="K305" s="8">
        <f t="shared" si="108"/>
        <v>4000</v>
      </c>
      <c r="L305" s="8">
        <f t="shared" si="109"/>
        <v>4000</v>
      </c>
      <c r="M305" s="8">
        <f t="shared" si="110"/>
        <v>4000</v>
      </c>
      <c r="N305" s="8">
        <f t="shared" si="105"/>
        <v>-1094</v>
      </c>
      <c r="O305" s="8">
        <f t="shared" si="106"/>
        <v>-996</v>
      </c>
      <c r="P305" s="8">
        <f t="shared" si="107"/>
        <v>-877</v>
      </c>
      <c r="Q305" s="12">
        <v>5</v>
      </c>
      <c r="R305" s="12">
        <v>1</v>
      </c>
      <c r="S305" s="12">
        <v>2</v>
      </c>
      <c r="T305" s="11">
        <f t="shared" si="102"/>
        <v>-791</v>
      </c>
      <c r="U305" s="10">
        <f t="shared" si="112"/>
        <v>3176</v>
      </c>
      <c r="V305" s="10">
        <f t="shared" si="111"/>
        <v>3394</v>
      </c>
      <c r="W305" s="10">
        <f t="shared" si="113"/>
        <v>3463</v>
      </c>
      <c r="X305" s="9"/>
      <c r="Y305" s="8"/>
      <c r="Z305" s="8"/>
      <c r="AA305" s="8"/>
      <c r="AB305" s="8"/>
    </row>
    <row r="306" spans="1:28" ht="13.15" customHeight="1">
      <c r="A306" s="16">
        <f t="shared" si="95"/>
        <v>292</v>
      </c>
      <c r="B306" s="15">
        <f t="shared" si="103"/>
        <v>45573</v>
      </c>
      <c r="C306" s="14">
        <f t="shared" si="104"/>
        <v>844</v>
      </c>
      <c r="D306" s="13">
        <f t="shared" si="94"/>
        <v>1761</v>
      </c>
      <c r="E306" s="12">
        <f t="shared" si="96"/>
        <v>-298</v>
      </c>
      <c r="F306" s="12">
        <f t="shared" si="97"/>
        <v>-397</v>
      </c>
      <c r="G306" s="12">
        <f t="shared" si="98"/>
        <v>-517</v>
      </c>
      <c r="H306" s="8">
        <f t="shared" si="99"/>
        <v>2903</v>
      </c>
      <c r="I306" s="8">
        <f t="shared" si="100"/>
        <v>3002</v>
      </c>
      <c r="J306" s="8">
        <f t="shared" si="101"/>
        <v>3122</v>
      </c>
      <c r="K306" s="8">
        <f t="shared" si="108"/>
        <v>4000</v>
      </c>
      <c r="L306" s="8">
        <f t="shared" si="109"/>
        <v>4000</v>
      </c>
      <c r="M306" s="8">
        <f t="shared" si="110"/>
        <v>4000</v>
      </c>
      <c r="N306" s="8">
        <f t="shared" si="105"/>
        <v>-1097</v>
      </c>
      <c r="O306" s="8">
        <f t="shared" si="106"/>
        <v>-998</v>
      </c>
      <c r="P306" s="8">
        <f t="shared" si="107"/>
        <v>-878</v>
      </c>
      <c r="Q306" s="12">
        <v>3</v>
      </c>
      <c r="R306" s="12">
        <v>2</v>
      </c>
      <c r="S306" s="12">
        <v>1</v>
      </c>
      <c r="T306" s="11">
        <f t="shared" si="102"/>
        <v>-787</v>
      </c>
      <c r="U306" s="10">
        <f t="shared" si="112"/>
        <v>3173</v>
      </c>
      <c r="V306" s="10">
        <f t="shared" si="111"/>
        <v>3392</v>
      </c>
      <c r="W306" s="10">
        <f t="shared" si="113"/>
        <v>3462</v>
      </c>
      <c r="X306" s="9"/>
      <c r="Y306" s="8"/>
      <c r="Z306" s="8"/>
      <c r="AA306" s="8"/>
      <c r="AB306" s="8"/>
    </row>
    <row r="307" spans="1:28" ht="13.15" customHeight="1">
      <c r="A307" s="16">
        <f t="shared" si="95"/>
        <v>293</v>
      </c>
      <c r="B307" s="15">
        <f t="shared" si="103"/>
        <v>45574</v>
      </c>
      <c r="C307" s="14">
        <f t="shared" si="104"/>
        <v>844</v>
      </c>
      <c r="D307" s="13">
        <f t="shared" si="94"/>
        <v>1763</v>
      </c>
      <c r="E307" s="12">
        <f t="shared" si="96"/>
        <v>-294</v>
      </c>
      <c r="F307" s="12">
        <f t="shared" si="97"/>
        <v>-390</v>
      </c>
      <c r="G307" s="12">
        <f t="shared" si="98"/>
        <v>-513</v>
      </c>
      <c r="H307" s="8">
        <f t="shared" si="99"/>
        <v>2901</v>
      </c>
      <c r="I307" s="8">
        <f t="shared" si="100"/>
        <v>2997</v>
      </c>
      <c r="J307" s="8">
        <f t="shared" si="101"/>
        <v>3120</v>
      </c>
      <c r="K307" s="8">
        <f t="shared" si="108"/>
        <v>4000</v>
      </c>
      <c r="L307" s="8">
        <f t="shared" si="109"/>
        <v>4000</v>
      </c>
      <c r="M307" s="8">
        <f t="shared" si="110"/>
        <v>4000</v>
      </c>
      <c r="N307" s="8">
        <f t="shared" si="105"/>
        <v>-1099</v>
      </c>
      <c r="O307" s="8">
        <f t="shared" si="106"/>
        <v>-1003</v>
      </c>
      <c r="P307" s="8">
        <f t="shared" si="107"/>
        <v>-880</v>
      </c>
      <c r="Q307" s="12">
        <v>2</v>
      </c>
      <c r="R307" s="12">
        <v>5</v>
      </c>
      <c r="S307" s="12">
        <v>2</v>
      </c>
      <c r="T307" s="11">
        <f t="shared" si="102"/>
        <v>-780</v>
      </c>
      <c r="U307" s="10">
        <f t="shared" si="112"/>
        <v>3171</v>
      </c>
      <c r="V307" s="10">
        <f t="shared" si="111"/>
        <v>3387</v>
      </c>
      <c r="W307" s="10">
        <f t="shared" si="113"/>
        <v>3460</v>
      </c>
      <c r="X307" s="9"/>
      <c r="Y307" s="8"/>
      <c r="Z307" s="8"/>
      <c r="AA307" s="8"/>
      <c r="AB307" s="8"/>
    </row>
    <row r="308" spans="1:28" ht="13.15" customHeight="1">
      <c r="A308" s="16">
        <f t="shared" si="95"/>
        <v>294</v>
      </c>
      <c r="B308" s="15">
        <f t="shared" si="103"/>
        <v>45575</v>
      </c>
      <c r="C308" s="14">
        <f t="shared" si="104"/>
        <v>844</v>
      </c>
      <c r="D308" s="13">
        <f t="shared" si="94"/>
        <v>1765</v>
      </c>
      <c r="E308" s="12">
        <f t="shared" si="96"/>
        <v>-291</v>
      </c>
      <c r="F308" s="12">
        <f t="shared" si="97"/>
        <v>-383</v>
      </c>
      <c r="G308" s="12">
        <f t="shared" si="98"/>
        <v>-506</v>
      </c>
      <c r="H308" s="8">
        <f t="shared" si="99"/>
        <v>2900</v>
      </c>
      <c r="I308" s="8">
        <f t="shared" si="100"/>
        <v>2992</v>
      </c>
      <c r="J308" s="8">
        <f t="shared" si="101"/>
        <v>3115</v>
      </c>
      <c r="K308" s="8">
        <f t="shared" si="108"/>
        <v>4000</v>
      </c>
      <c r="L308" s="8">
        <f t="shared" si="109"/>
        <v>4000</v>
      </c>
      <c r="M308" s="8">
        <f t="shared" si="110"/>
        <v>4000</v>
      </c>
      <c r="N308" s="8">
        <f t="shared" si="105"/>
        <v>-1100</v>
      </c>
      <c r="O308" s="8">
        <f t="shared" si="106"/>
        <v>-1008</v>
      </c>
      <c r="P308" s="8">
        <f t="shared" si="107"/>
        <v>-885</v>
      </c>
      <c r="Q308" s="12">
        <v>1</v>
      </c>
      <c r="R308" s="12">
        <v>5</v>
      </c>
      <c r="S308" s="12">
        <v>5</v>
      </c>
      <c r="T308" s="11">
        <f t="shared" si="102"/>
        <v>-773</v>
      </c>
      <c r="U308" s="10">
        <f t="shared" si="112"/>
        <v>3170</v>
      </c>
      <c r="V308" s="10">
        <f t="shared" si="111"/>
        <v>3382</v>
      </c>
      <c r="W308" s="10">
        <f t="shared" si="113"/>
        <v>3455</v>
      </c>
      <c r="X308" s="9"/>
      <c r="Y308" s="8"/>
      <c r="Z308" s="8"/>
      <c r="AA308" s="8"/>
      <c r="AB308" s="8"/>
    </row>
    <row r="309" spans="1:28" ht="13.15" customHeight="1">
      <c r="A309" s="16">
        <f t="shared" si="95"/>
        <v>295</v>
      </c>
      <c r="B309" s="15">
        <f t="shared" si="103"/>
        <v>45576</v>
      </c>
      <c r="C309" s="14">
        <f t="shared" si="104"/>
        <v>844</v>
      </c>
      <c r="D309" s="13">
        <f t="shared" si="94"/>
        <v>1767</v>
      </c>
      <c r="E309" s="12">
        <f t="shared" si="96"/>
        <v>-286</v>
      </c>
      <c r="F309" s="12">
        <f t="shared" si="97"/>
        <v>-379</v>
      </c>
      <c r="G309" s="12">
        <f t="shared" si="98"/>
        <v>-499</v>
      </c>
      <c r="H309" s="8">
        <f t="shared" si="99"/>
        <v>2897</v>
      </c>
      <c r="I309" s="8">
        <f t="shared" si="100"/>
        <v>2990</v>
      </c>
      <c r="J309" s="8">
        <f t="shared" si="101"/>
        <v>3110</v>
      </c>
      <c r="K309" s="8">
        <f t="shared" si="108"/>
        <v>4000</v>
      </c>
      <c r="L309" s="8">
        <f t="shared" si="109"/>
        <v>4000</v>
      </c>
      <c r="M309" s="8">
        <f t="shared" si="110"/>
        <v>4000</v>
      </c>
      <c r="N309" s="8">
        <f t="shared" si="105"/>
        <v>-1103</v>
      </c>
      <c r="O309" s="8">
        <f t="shared" si="106"/>
        <v>-1010</v>
      </c>
      <c r="P309" s="8">
        <f t="shared" si="107"/>
        <v>-890</v>
      </c>
      <c r="Q309" s="12">
        <v>3</v>
      </c>
      <c r="R309" s="12">
        <v>2</v>
      </c>
      <c r="S309" s="12">
        <v>5</v>
      </c>
      <c r="T309" s="11">
        <f t="shared" si="102"/>
        <v>-769</v>
      </c>
      <c r="U309" s="10">
        <f t="shared" si="112"/>
        <v>3167</v>
      </c>
      <c r="V309" s="10">
        <f t="shared" si="111"/>
        <v>3380</v>
      </c>
      <c r="W309" s="10">
        <f t="shared" si="113"/>
        <v>3450</v>
      </c>
      <c r="X309" s="9"/>
      <c r="Y309" s="8"/>
      <c r="Z309" s="8"/>
      <c r="AA309" s="8"/>
      <c r="AB309" s="8"/>
    </row>
    <row r="310" spans="1:28" ht="13.15" customHeight="1">
      <c r="A310" s="16">
        <f t="shared" si="95"/>
        <v>296</v>
      </c>
      <c r="B310" s="15">
        <f t="shared" si="103"/>
        <v>45577</v>
      </c>
      <c r="C310" s="14">
        <f t="shared" si="104"/>
        <v>844</v>
      </c>
      <c r="D310" s="13">
        <f t="shared" si="94"/>
        <v>1769</v>
      </c>
      <c r="E310" s="12">
        <f t="shared" si="96"/>
        <v>-282</v>
      </c>
      <c r="F310" s="12">
        <f t="shared" si="97"/>
        <v>-375</v>
      </c>
      <c r="G310" s="12">
        <f t="shared" si="98"/>
        <v>-492</v>
      </c>
      <c r="H310" s="8">
        <f t="shared" si="99"/>
        <v>2895</v>
      </c>
      <c r="I310" s="8">
        <f t="shared" si="100"/>
        <v>2988</v>
      </c>
      <c r="J310" s="8">
        <f t="shared" si="101"/>
        <v>3105</v>
      </c>
      <c r="K310" s="8">
        <f t="shared" si="108"/>
        <v>4000</v>
      </c>
      <c r="L310" s="8">
        <f t="shared" si="109"/>
        <v>4000</v>
      </c>
      <c r="M310" s="8">
        <f t="shared" si="110"/>
        <v>4000</v>
      </c>
      <c r="N310" s="8">
        <f t="shared" si="105"/>
        <v>-1105</v>
      </c>
      <c r="O310" s="8">
        <f t="shared" si="106"/>
        <v>-1012</v>
      </c>
      <c r="P310" s="8">
        <f t="shared" si="107"/>
        <v>-895</v>
      </c>
      <c r="Q310" s="12">
        <v>2</v>
      </c>
      <c r="R310" s="12">
        <v>2</v>
      </c>
      <c r="S310" s="12">
        <v>5</v>
      </c>
      <c r="T310" s="11">
        <f t="shared" si="102"/>
        <v>-765</v>
      </c>
      <c r="U310" s="10">
        <f t="shared" si="112"/>
        <v>3165</v>
      </c>
      <c r="V310" s="10">
        <f t="shared" si="111"/>
        <v>3378</v>
      </c>
      <c r="W310" s="10">
        <f t="shared" si="113"/>
        <v>3445</v>
      </c>
      <c r="X310" s="9"/>
      <c r="Y310" s="8"/>
      <c r="Z310" s="8"/>
      <c r="AA310" s="8"/>
      <c r="AB310" s="8"/>
    </row>
    <row r="311" spans="1:28" ht="13.15" customHeight="1">
      <c r="A311" s="16">
        <f t="shared" si="95"/>
        <v>297</v>
      </c>
      <c r="B311" s="15">
        <f t="shared" si="103"/>
        <v>45578</v>
      </c>
      <c r="C311" s="14">
        <f t="shared" si="104"/>
        <v>844</v>
      </c>
      <c r="D311" s="13">
        <f t="shared" si="94"/>
        <v>1771</v>
      </c>
      <c r="E311" s="12">
        <f t="shared" si="96"/>
        <v>-279</v>
      </c>
      <c r="F311" s="12">
        <f t="shared" si="97"/>
        <v>-368</v>
      </c>
      <c r="G311" s="12">
        <f t="shared" si="98"/>
        <v>-488</v>
      </c>
      <c r="H311" s="8">
        <f t="shared" si="99"/>
        <v>2894</v>
      </c>
      <c r="I311" s="8">
        <f t="shared" si="100"/>
        <v>2983</v>
      </c>
      <c r="J311" s="8">
        <f t="shared" si="101"/>
        <v>3103</v>
      </c>
      <c r="K311" s="8">
        <f t="shared" si="108"/>
        <v>4000</v>
      </c>
      <c r="L311" s="8">
        <f t="shared" si="109"/>
        <v>4000</v>
      </c>
      <c r="M311" s="8">
        <f t="shared" si="110"/>
        <v>4000</v>
      </c>
      <c r="N311" s="8">
        <f t="shared" si="105"/>
        <v>-1106</v>
      </c>
      <c r="O311" s="8">
        <f t="shared" si="106"/>
        <v>-1017</v>
      </c>
      <c r="P311" s="8">
        <f t="shared" si="107"/>
        <v>-897</v>
      </c>
      <c r="Q311" s="12">
        <v>1</v>
      </c>
      <c r="R311" s="12">
        <v>5</v>
      </c>
      <c r="S311" s="12">
        <v>2</v>
      </c>
      <c r="T311" s="11">
        <f t="shared" si="102"/>
        <v>-758</v>
      </c>
      <c r="U311" s="10">
        <f t="shared" si="112"/>
        <v>3164</v>
      </c>
      <c r="V311" s="10">
        <f t="shared" si="111"/>
        <v>3373</v>
      </c>
      <c r="W311" s="10">
        <f t="shared" si="113"/>
        <v>3443</v>
      </c>
      <c r="X311" s="9"/>
      <c r="Y311" s="8"/>
      <c r="Z311" s="8"/>
      <c r="AA311" s="8"/>
      <c r="AB311" s="8"/>
    </row>
    <row r="312" spans="1:28" ht="13.15" customHeight="1">
      <c r="A312" s="16">
        <f t="shared" si="95"/>
        <v>298</v>
      </c>
      <c r="B312" s="15">
        <f t="shared" si="103"/>
        <v>45579</v>
      </c>
      <c r="C312" s="14">
        <f t="shared" si="104"/>
        <v>844</v>
      </c>
      <c r="D312" s="13">
        <f t="shared" si="94"/>
        <v>1773</v>
      </c>
      <c r="E312" s="12">
        <f t="shared" si="96"/>
        <v>-275</v>
      </c>
      <c r="F312" s="12">
        <f t="shared" si="97"/>
        <v>-364</v>
      </c>
      <c r="G312" s="12">
        <f t="shared" si="98"/>
        <v>-481</v>
      </c>
      <c r="H312" s="8">
        <f t="shared" si="99"/>
        <v>2892</v>
      </c>
      <c r="I312" s="8">
        <f t="shared" si="100"/>
        <v>2981</v>
      </c>
      <c r="J312" s="8">
        <f t="shared" si="101"/>
        <v>3098</v>
      </c>
      <c r="K312" s="8">
        <f t="shared" si="108"/>
        <v>4000</v>
      </c>
      <c r="L312" s="8">
        <f t="shared" si="109"/>
        <v>4000</v>
      </c>
      <c r="M312" s="8">
        <f t="shared" si="110"/>
        <v>4000</v>
      </c>
      <c r="N312" s="8">
        <f t="shared" si="105"/>
        <v>-1108</v>
      </c>
      <c r="O312" s="8">
        <f t="shared" si="106"/>
        <v>-1019</v>
      </c>
      <c r="P312" s="8">
        <f t="shared" si="107"/>
        <v>-902</v>
      </c>
      <c r="Q312" s="12">
        <v>2</v>
      </c>
      <c r="R312" s="12">
        <v>2</v>
      </c>
      <c r="S312" s="12">
        <v>5</v>
      </c>
      <c r="T312" s="11">
        <f t="shared" si="102"/>
        <v>-754</v>
      </c>
      <c r="U312" s="10">
        <f t="shared" si="112"/>
        <v>3162</v>
      </c>
      <c r="V312" s="10">
        <f t="shared" si="111"/>
        <v>3371</v>
      </c>
      <c r="W312" s="10">
        <f t="shared" si="113"/>
        <v>3438</v>
      </c>
      <c r="X312" s="9"/>
      <c r="Y312" s="8"/>
      <c r="Z312" s="8"/>
      <c r="AA312" s="8"/>
      <c r="AB312" s="8"/>
    </row>
    <row r="313" spans="1:28" ht="13.15" customHeight="1">
      <c r="A313" s="16">
        <f t="shared" si="95"/>
        <v>299</v>
      </c>
      <c r="B313" s="15">
        <f t="shared" si="103"/>
        <v>45580</v>
      </c>
      <c r="C313" s="14">
        <f t="shared" si="104"/>
        <v>844</v>
      </c>
      <c r="D313" s="13">
        <f t="shared" si="94"/>
        <v>1775</v>
      </c>
      <c r="E313" s="12">
        <f t="shared" si="96"/>
        <v>-272</v>
      </c>
      <c r="F313" s="12">
        <f t="shared" si="97"/>
        <v>-357</v>
      </c>
      <c r="G313" s="12">
        <f t="shared" si="98"/>
        <v>-474</v>
      </c>
      <c r="H313" s="8">
        <f t="shared" si="99"/>
        <v>2891</v>
      </c>
      <c r="I313" s="8">
        <f t="shared" si="100"/>
        <v>2976</v>
      </c>
      <c r="J313" s="8">
        <f t="shared" si="101"/>
        <v>3093</v>
      </c>
      <c r="K313" s="8">
        <f t="shared" si="108"/>
        <v>4000</v>
      </c>
      <c r="L313" s="8">
        <f t="shared" si="109"/>
        <v>4000</v>
      </c>
      <c r="M313" s="8">
        <f t="shared" si="110"/>
        <v>4000</v>
      </c>
      <c r="N313" s="8">
        <f t="shared" si="105"/>
        <v>-1109</v>
      </c>
      <c r="O313" s="8">
        <f t="shared" si="106"/>
        <v>-1024</v>
      </c>
      <c r="P313" s="8">
        <f t="shared" si="107"/>
        <v>-907</v>
      </c>
      <c r="Q313" s="12">
        <v>1</v>
      </c>
      <c r="R313" s="12">
        <v>5</v>
      </c>
      <c r="S313" s="12">
        <v>5</v>
      </c>
      <c r="T313" s="11">
        <f t="shared" si="102"/>
        <v>-747</v>
      </c>
      <c r="U313" s="10">
        <f t="shared" si="112"/>
        <v>3161</v>
      </c>
      <c r="V313" s="10">
        <f t="shared" si="111"/>
        <v>3366</v>
      </c>
      <c r="W313" s="10">
        <f t="shared" si="113"/>
        <v>3433</v>
      </c>
      <c r="X313" s="9"/>
      <c r="Y313" s="8"/>
      <c r="Z313" s="8"/>
      <c r="AA313" s="8"/>
      <c r="AB313" s="8"/>
    </row>
    <row r="314" spans="1:28" ht="13.15" customHeight="1">
      <c r="A314" s="16">
        <f t="shared" si="95"/>
        <v>300</v>
      </c>
      <c r="B314" s="15">
        <f t="shared" si="103"/>
        <v>45581</v>
      </c>
      <c r="C314" s="14">
        <f t="shared" si="104"/>
        <v>844</v>
      </c>
      <c r="D314" s="13">
        <f t="shared" si="94"/>
        <v>1777</v>
      </c>
      <c r="E314" s="12">
        <f t="shared" si="96"/>
        <v>-269</v>
      </c>
      <c r="F314" s="12">
        <f t="shared" si="97"/>
        <v>-352</v>
      </c>
      <c r="G314" s="12">
        <f t="shared" si="98"/>
        <v>-470</v>
      </c>
      <c r="H314" s="8">
        <f t="shared" si="99"/>
        <v>2890</v>
      </c>
      <c r="I314" s="8">
        <f t="shared" si="100"/>
        <v>2973</v>
      </c>
      <c r="J314" s="8">
        <f t="shared" si="101"/>
        <v>3091</v>
      </c>
      <c r="K314" s="8">
        <f t="shared" si="108"/>
        <v>4000</v>
      </c>
      <c r="L314" s="8">
        <f t="shared" si="109"/>
        <v>4000</v>
      </c>
      <c r="M314" s="8">
        <f t="shared" si="110"/>
        <v>4000</v>
      </c>
      <c r="N314" s="8">
        <f t="shared" si="105"/>
        <v>-1110</v>
      </c>
      <c r="O314" s="8">
        <f t="shared" si="106"/>
        <v>-1027</v>
      </c>
      <c r="P314" s="8">
        <f t="shared" si="107"/>
        <v>-909</v>
      </c>
      <c r="Q314" s="12">
        <v>1</v>
      </c>
      <c r="R314" s="12">
        <v>3</v>
      </c>
      <c r="S314" s="12">
        <v>2</v>
      </c>
      <c r="T314" s="11">
        <f t="shared" si="102"/>
        <v>-742</v>
      </c>
      <c r="U314" s="10">
        <f t="shared" si="112"/>
        <v>3160</v>
      </c>
      <c r="V314" s="10">
        <f t="shared" si="111"/>
        <v>3363</v>
      </c>
      <c r="W314" s="10">
        <f t="shared" si="113"/>
        <v>3431</v>
      </c>
      <c r="X314" s="9"/>
      <c r="Y314" s="8"/>
      <c r="Z314" s="8"/>
      <c r="AA314" s="8"/>
      <c r="AB314" s="8"/>
    </row>
    <row r="315" spans="1:28" ht="13.15" customHeight="1">
      <c r="A315" s="16">
        <f t="shared" si="95"/>
        <v>301</v>
      </c>
      <c r="B315" s="15">
        <f t="shared" si="103"/>
        <v>45582</v>
      </c>
      <c r="C315" s="14">
        <f t="shared" si="104"/>
        <v>844</v>
      </c>
      <c r="D315" s="13">
        <f t="shared" si="94"/>
        <v>1779</v>
      </c>
      <c r="E315" s="12">
        <f t="shared" si="96"/>
        <v>-265</v>
      </c>
      <c r="F315" s="12">
        <f t="shared" si="97"/>
        <v>-348</v>
      </c>
      <c r="G315" s="12">
        <f t="shared" si="98"/>
        <v>-467</v>
      </c>
      <c r="H315" s="8">
        <f t="shared" si="99"/>
        <v>2888</v>
      </c>
      <c r="I315" s="8">
        <f t="shared" si="100"/>
        <v>2971</v>
      </c>
      <c r="J315" s="8">
        <f t="shared" si="101"/>
        <v>3090</v>
      </c>
      <c r="K315" s="8">
        <f t="shared" si="108"/>
        <v>4000</v>
      </c>
      <c r="L315" s="8">
        <f t="shared" si="109"/>
        <v>4000</v>
      </c>
      <c r="M315" s="8">
        <f t="shared" si="110"/>
        <v>4000</v>
      </c>
      <c r="N315" s="8">
        <f t="shared" si="105"/>
        <v>-1112</v>
      </c>
      <c r="O315" s="8">
        <f t="shared" si="106"/>
        <v>-1029</v>
      </c>
      <c r="P315" s="8">
        <f t="shared" si="107"/>
        <v>-910</v>
      </c>
      <c r="Q315" s="12">
        <v>2</v>
      </c>
      <c r="R315" s="12">
        <v>2</v>
      </c>
      <c r="S315" s="12">
        <v>1</v>
      </c>
      <c r="T315" s="11">
        <f t="shared" si="102"/>
        <v>-738</v>
      </c>
      <c r="U315" s="10">
        <f t="shared" si="112"/>
        <v>3158</v>
      </c>
      <c r="V315" s="10">
        <f t="shared" si="111"/>
        <v>3361</v>
      </c>
      <c r="W315" s="10">
        <f t="shared" si="113"/>
        <v>3430</v>
      </c>
      <c r="X315" s="9"/>
      <c r="Y315" s="8"/>
      <c r="Z315" s="8"/>
      <c r="AA315" s="8"/>
      <c r="AB315" s="8"/>
    </row>
    <row r="316" spans="1:28" ht="13.15" customHeight="1">
      <c r="A316" s="16">
        <f t="shared" si="95"/>
        <v>302</v>
      </c>
      <c r="B316" s="15">
        <f t="shared" si="103"/>
        <v>45583</v>
      </c>
      <c r="C316" s="14">
        <f t="shared" si="104"/>
        <v>844</v>
      </c>
      <c r="D316" s="13">
        <f t="shared" si="94"/>
        <v>1781</v>
      </c>
      <c r="E316" s="12">
        <f t="shared" si="96"/>
        <v>-261</v>
      </c>
      <c r="F316" s="12">
        <f t="shared" si="97"/>
        <v>-341</v>
      </c>
      <c r="G316" s="12">
        <f t="shared" si="98"/>
        <v>-463</v>
      </c>
      <c r="H316" s="8">
        <f t="shared" si="99"/>
        <v>2886</v>
      </c>
      <c r="I316" s="8">
        <f t="shared" si="100"/>
        <v>2966</v>
      </c>
      <c r="J316" s="8">
        <f t="shared" si="101"/>
        <v>3088</v>
      </c>
      <c r="K316" s="8">
        <f t="shared" si="108"/>
        <v>4000</v>
      </c>
      <c r="L316" s="8">
        <f t="shared" si="109"/>
        <v>4000</v>
      </c>
      <c r="M316" s="8">
        <f t="shared" si="110"/>
        <v>4000</v>
      </c>
      <c r="N316" s="8">
        <f t="shared" si="105"/>
        <v>-1114</v>
      </c>
      <c r="O316" s="8">
        <f t="shared" si="106"/>
        <v>-1034</v>
      </c>
      <c r="P316" s="8">
        <f t="shared" si="107"/>
        <v>-912</v>
      </c>
      <c r="Q316" s="12">
        <v>2</v>
      </c>
      <c r="R316" s="12">
        <v>5</v>
      </c>
      <c r="S316" s="12">
        <v>2</v>
      </c>
      <c r="T316" s="11">
        <f t="shared" si="102"/>
        <v>-731</v>
      </c>
      <c r="U316" s="10">
        <f t="shared" si="112"/>
        <v>3156</v>
      </c>
      <c r="V316" s="10">
        <f t="shared" si="111"/>
        <v>3356</v>
      </c>
      <c r="W316" s="10">
        <f t="shared" si="113"/>
        <v>3428</v>
      </c>
      <c r="X316" s="9"/>
      <c r="Y316" s="8"/>
      <c r="Z316" s="8"/>
      <c r="AA316" s="8"/>
      <c r="AB316" s="8"/>
    </row>
    <row r="317" spans="1:28" ht="13.15" customHeight="1">
      <c r="A317" s="16">
        <f t="shared" si="95"/>
        <v>303</v>
      </c>
      <c r="B317" s="15">
        <f t="shared" si="103"/>
        <v>45584</v>
      </c>
      <c r="C317" s="14">
        <f t="shared" si="104"/>
        <v>844</v>
      </c>
      <c r="D317" s="13">
        <f t="shared" si="94"/>
        <v>1783</v>
      </c>
      <c r="E317" s="12">
        <f t="shared" si="96"/>
        <v>-257</v>
      </c>
      <c r="F317" s="12">
        <f t="shared" si="97"/>
        <v>-334</v>
      </c>
      <c r="G317" s="12">
        <f t="shared" si="98"/>
        <v>-459</v>
      </c>
      <c r="H317" s="8">
        <f t="shared" si="99"/>
        <v>2884</v>
      </c>
      <c r="I317" s="8">
        <f t="shared" si="100"/>
        <v>2961</v>
      </c>
      <c r="J317" s="8">
        <f t="shared" si="101"/>
        <v>3086</v>
      </c>
      <c r="K317" s="8">
        <f t="shared" si="108"/>
        <v>4000</v>
      </c>
      <c r="L317" s="8">
        <f t="shared" si="109"/>
        <v>4000</v>
      </c>
      <c r="M317" s="8">
        <f t="shared" si="110"/>
        <v>4000</v>
      </c>
      <c r="N317" s="8">
        <f t="shared" si="105"/>
        <v>-1116</v>
      </c>
      <c r="O317" s="8">
        <f t="shared" si="106"/>
        <v>-1039</v>
      </c>
      <c r="P317" s="8">
        <f t="shared" si="107"/>
        <v>-914</v>
      </c>
      <c r="Q317" s="12">
        <v>2</v>
      </c>
      <c r="R317" s="12">
        <v>5</v>
      </c>
      <c r="S317" s="12">
        <v>2</v>
      </c>
      <c r="T317" s="11">
        <f t="shared" si="102"/>
        <v>-724</v>
      </c>
      <c r="U317" s="10">
        <f t="shared" si="112"/>
        <v>3154</v>
      </c>
      <c r="V317" s="10">
        <f t="shared" si="111"/>
        <v>3351</v>
      </c>
      <c r="W317" s="10">
        <f t="shared" si="113"/>
        <v>3426</v>
      </c>
      <c r="X317" s="9"/>
      <c r="Y317" s="8"/>
      <c r="Z317" s="8"/>
      <c r="AA317" s="8"/>
      <c r="AB317" s="8"/>
    </row>
    <row r="318" spans="1:28" ht="13.15" customHeight="1">
      <c r="A318" s="16">
        <f t="shared" si="95"/>
        <v>304</v>
      </c>
      <c r="B318" s="15">
        <f t="shared" si="103"/>
        <v>45585</v>
      </c>
      <c r="C318" s="14">
        <f t="shared" si="104"/>
        <v>844</v>
      </c>
      <c r="D318" s="13">
        <f t="shared" si="94"/>
        <v>1785</v>
      </c>
      <c r="E318" s="12">
        <f t="shared" si="96"/>
        <v>-253</v>
      </c>
      <c r="F318" s="12">
        <f t="shared" si="97"/>
        <v>-328</v>
      </c>
      <c r="G318" s="12">
        <f t="shared" si="98"/>
        <v>-455</v>
      </c>
      <c r="H318" s="8">
        <f t="shared" si="99"/>
        <v>2882</v>
      </c>
      <c r="I318" s="8">
        <f t="shared" si="100"/>
        <v>2957</v>
      </c>
      <c r="J318" s="8">
        <f t="shared" si="101"/>
        <v>3084</v>
      </c>
      <c r="K318" s="8">
        <f t="shared" si="108"/>
        <v>4000</v>
      </c>
      <c r="L318" s="8">
        <f t="shared" si="109"/>
        <v>4000</v>
      </c>
      <c r="M318" s="8">
        <f t="shared" si="110"/>
        <v>4000</v>
      </c>
      <c r="N318" s="8">
        <f t="shared" si="105"/>
        <v>-1118</v>
      </c>
      <c r="O318" s="8">
        <f t="shared" si="106"/>
        <v>-1043</v>
      </c>
      <c r="P318" s="8">
        <f t="shared" si="107"/>
        <v>-916</v>
      </c>
      <c r="Q318" s="12">
        <v>2</v>
      </c>
      <c r="R318" s="12">
        <v>4</v>
      </c>
      <c r="S318" s="12">
        <v>2</v>
      </c>
      <c r="T318" s="11">
        <f t="shared" si="102"/>
        <v>-718</v>
      </c>
      <c r="U318" s="10">
        <f t="shared" si="112"/>
        <v>3152</v>
      </c>
      <c r="V318" s="10">
        <f t="shared" si="111"/>
        <v>3347</v>
      </c>
      <c r="W318" s="10">
        <f t="shared" si="113"/>
        <v>3424</v>
      </c>
      <c r="X318" s="9"/>
      <c r="Y318" s="8"/>
      <c r="Z318" s="8"/>
      <c r="AA318" s="8"/>
      <c r="AB318" s="8"/>
    </row>
    <row r="319" spans="1:28" ht="13.15" customHeight="1">
      <c r="A319" s="16">
        <f t="shared" si="95"/>
        <v>305</v>
      </c>
      <c r="B319" s="15">
        <f t="shared" si="103"/>
        <v>45586</v>
      </c>
      <c r="C319" s="14">
        <f t="shared" si="104"/>
        <v>844</v>
      </c>
      <c r="D319" s="13">
        <f t="shared" ref="D319:D382" si="114">D318+2</f>
        <v>1787</v>
      </c>
      <c r="E319" s="12">
        <f t="shared" si="96"/>
        <v>-250</v>
      </c>
      <c r="F319" s="12">
        <f t="shared" si="97"/>
        <v>-323</v>
      </c>
      <c r="G319" s="12">
        <f t="shared" si="98"/>
        <v>-452</v>
      </c>
      <c r="H319" s="8">
        <f t="shared" si="99"/>
        <v>2881</v>
      </c>
      <c r="I319" s="8">
        <f t="shared" si="100"/>
        <v>2954</v>
      </c>
      <c r="J319" s="8">
        <f t="shared" si="101"/>
        <v>3083</v>
      </c>
      <c r="K319" s="8">
        <f t="shared" si="108"/>
        <v>4000</v>
      </c>
      <c r="L319" s="8">
        <f t="shared" si="109"/>
        <v>4000</v>
      </c>
      <c r="M319" s="8">
        <f t="shared" si="110"/>
        <v>4000</v>
      </c>
      <c r="N319" s="8">
        <f t="shared" si="105"/>
        <v>-1119</v>
      </c>
      <c r="O319" s="8">
        <f t="shared" si="106"/>
        <v>-1046</v>
      </c>
      <c r="P319" s="8">
        <f t="shared" si="107"/>
        <v>-917</v>
      </c>
      <c r="Q319" s="12">
        <v>1</v>
      </c>
      <c r="R319" s="12">
        <v>3</v>
      </c>
      <c r="S319" s="12">
        <v>1</v>
      </c>
      <c r="T319" s="11">
        <f t="shared" si="102"/>
        <v>-713</v>
      </c>
      <c r="U319" s="10">
        <f t="shared" si="112"/>
        <v>3151</v>
      </c>
      <c r="V319" s="10">
        <f t="shared" si="111"/>
        <v>3344</v>
      </c>
      <c r="W319" s="10">
        <f t="shared" si="113"/>
        <v>3423</v>
      </c>
      <c r="X319" s="9"/>
      <c r="Y319" s="8"/>
      <c r="Z319" s="8"/>
      <c r="AA319" s="8"/>
      <c r="AB319" s="8"/>
    </row>
    <row r="320" spans="1:28" ht="13.15" customHeight="1">
      <c r="A320" s="16">
        <f t="shared" si="95"/>
        <v>306</v>
      </c>
      <c r="B320" s="15">
        <f t="shared" si="103"/>
        <v>45587</v>
      </c>
      <c r="C320" s="14">
        <f t="shared" si="104"/>
        <v>844</v>
      </c>
      <c r="D320" s="13">
        <f t="shared" si="114"/>
        <v>1789</v>
      </c>
      <c r="E320" s="12">
        <f t="shared" si="96"/>
        <v>-246</v>
      </c>
      <c r="F320" s="12">
        <f t="shared" si="97"/>
        <v>-319</v>
      </c>
      <c r="G320" s="12">
        <f t="shared" si="98"/>
        <v>-449</v>
      </c>
      <c r="H320" s="8">
        <f t="shared" si="99"/>
        <v>2879</v>
      </c>
      <c r="I320" s="8">
        <f t="shared" si="100"/>
        <v>2952</v>
      </c>
      <c r="J320" s="8">
        <f t="shared" si="101"/>
        <v>3082</v>
      </c>
      <c r="K320" s="8">
        <f t="shared" si="108"/>
        <v>4000</v>
      </c>
      <c r="L320" s="8">
        <f t="shared" si="109"/>
        <v>4000</v>
      </c>
      <c r="M320" s="8">
        <f t="shared" si="110"/>
        <v>4000</v>
      </c>
      <c r="N320" s="8">
        <f t="shared" si="105"/>
        <v>-1121</v>
      </c>
      <c r="O320" s="8">
        <f t="shared" si="106"/>
        <v>-1048</v>
      </c>
      <c r="P320" s="8">
        <f t="shared" si="107"/>
        <v>-918</v>
      </c>
      <c r="Q320" s="12">
        <v>2</v>
      </c>
      <c r="R320" s="12">
        <v>2</v>
      </c>
      <c r="S320" s="12">
        <v>1</v>
      </c>
      <c r="T320" s="11">
        <f t="shared" si="102"/>
        <v>-709</v>
      </c>
      <c r="U320" s="10">
        <f t="shared" si="112"/>
        <v>3149</v>
      </c>
      <c r="V320" s="10">
        <f t="shared" si="111"/>
        <v>3342</v>
      </c>
      <c r="W320" s="10">
        <f t="shared" si="113"/>
        <v>3422</v>
      </c>
      <c r="X320" s="9"/>
      <c r="Y320" s="8"/>
      <c r="Z320" s="8"/>
      <c r="AA320" s="8"/>
      <c r="AB320" s="8"/>
    </row>
    <row r="321" spans="1:28" ht="13.15" customHeight="1">
      <c r="A321" s="16">
        <f t="shared" si="95"/>
        <v>307</v>
      </c>
      <c r="B321" s="15">
        <f t="shared" si="103"/>
        <v>45588</v>
      </c>
      <c r="C321" s="14">
        <f t="shared" si="104"/>
        <v>844</v>
      </c>
      <c r="D321" s="13">
        <f t="shared" si="114"/>
        <v>1791</v>
      </c>
      <c r="E321" s="12">
        <f t="shared" si="96"/>
        <v>-242</v>
      </c>
      <c r="F321" s="12">
        <f t="shared" si="97"/>
        <v>-312</v>
      </c>
      <c r="G321" s="12">
        <f t="shared" si="98"/>
        <v>-445</v>
      </c>
      <c r="H321" s="8">
        <f t="shared" si="99"/>
        <v>2877</v>
      </c>
      <c r="I321" s="8">
        <f t="shared" si="100"/>
        <v>2947</v>
      </c>
      <c r="J321" s="8">
        <f t="shared" si="101"/>
        <v>3080</v>
      </c>
      <c r="K321" s="8">
        <f t="shared" si="108"/>
        <v>4000</v>
      </c>
      <c r="L321" s="8">
        <f t="shared" si="109"/>
        <v>4000</v>
      </c>
      <c r="M321" s="8">
        <f t="shared" si="110"/>
        <v>4000</v>
      </c>
      <c r="N321" s="8">
        <f t="shared" si="105"/>
        <v>-1123</v>
      </c>
      <c r="O321" s="8">
        <f t="shared" si="106"/>
        <v>-1053</v>
      </c>
      <c r="P321" s="8">
        <f t="shared" si="107"/>
        <v>-920</v>
      </c>
      <c r="Q321" s="12">
        <v>2</v>
      </c>
      <c r="R321" s="12">
        <v>5</v>
      </c>
      <c r="S321" s="12">
        <v>2</v>
      </c>
      <c r="T321" s="11">
        <f t="shared" si="102"/>
        <v>-702</v>
      </c>
      <c r="U321" s="10">
        <f t="shared" si="112"/>
        <v>3147</v>
      </c>
      <c r="V321" s="10">
        <f t="shared" si="111"/>
        <v>3337</v>
      </c>
      <c r="W321" s="10">
        <f t="shared" si="113"/>
        <v>3420</v>
      </c>
      <c r="X321" s="9"/>
      <c r="Y321" s="8"/>
      <c r="Z321" s="8"/>
      <c r="AA321" s="8"/>
      <c r="AB321" s="8"/>
    </row>
    <row r="322" spans="1:28" ht="13.15" customHeight="1">
      <c r="A322" s="16">
        <f t="shared" si="95"/>
        <v>308</v>
      </c>
      <c r="B322" s="15">
        <f t="shared" si="103"/>
        <v>45589</v>
      </c>
      <c r="C322" s="14">
        <f t="shared" si="104"/>
        <v>844</v>
      </c>
      <c r="D322" s="13">
        <f t="shared" si="114"/>
        <v>1793</v>
      </c>
      <c r="E322" s="12">
        <f t="shared" si="96"/>
        <v>-238</v>
      </c>
      <c r="F322" s="12">
        <f t="shared" si="97"/>
        <v>-305</v>
      </c>
      <c r="G322" s="12">
        <f t="shared" si="98"/>
        <v>-441</v>
      </c>
      <c r="H322" s="8">
        <f t="shared" si="99"/>
        <v>2875</v>
      </c>
      <c r="I322" s="8">
        <f t="shared" si="100"/>
        <v>2942</v>
      </c>
      <c r="J322" s="8">
        <f t="shared" si="101"/>
        <v>3078</v>
      </c>
      <c r="K322" s="8">
        <f t="shared" si="108"/>
        <v>4000</v>
      </c>
      <c r="L322" s="8">
        <f t="shared" si="109"/>
        <v>4000</v>
      </c>
      <c r="M322" s="8">
        <f t="shared" si="110"/>
        <v>4000</v>
      </c>
      <c r="N322" s="8">
        <f t="shared" si="105"/>
        <v>-1125</v>
      </c>
      <c r="O322" s="8">
        <f t="shared" si="106"/>
        <v>-1058</v>
      </c>
      <c r="P322" s="8">
        <f t="shared" si="107"/>
        <v>-922</v>
      </c>
      <c r="Q322" s="12">
        <v>2</v>
      </c>
      <c r="R322" s="12">
        <v>5</v>
      </c>
      <c r="S322" s="12">
        <v>2</v>
      </c>
      <c r="T322" s="11">
        <f t="shared" si="102"/>
        <v>-695</v>
      </c>
      <c r="U322" s="10">
        <f t="shared" si="112"/>
        <v>3145</v>
      </c>
      <c r="V322" s="10">
        <f t="shared" si="111"/>
        <v>3332</v>
      </c>
      <c r="W322" s="10">
        <f t="shared" si="113"/>
        <v>3418</v>
      </c>
      <c r="X322" s="9"/>
      <c r="Y322" s="8"/>
      <c r="Z322" s="8"/>
      <c r="AA322" s="8"/>
      <c r="AB322" s="8"/>
    </row>
    <row r="323" spans="1:28" ht="13.15" customHeight="1">
      <c r="A323" s="16">
        <f t="shared" si="95"/>
        <v>309</v>
      </c>
      <c r="B323" s="15">
        <f t="shared" si="103"/>
        <v>45590</v>
      </c>
      <c r="C323" s="14">
        <f t="shared" si="104"/>
        <v>844</v>
      </c>
      <c r="D323" s="13">
        <f t="shared" si="114"/>
        <v>1795</v>
      </c>
      <c r="E323" s="12">
        <f t="shared" si="96"/>
        <v>-234</v>
      </c>
      <c r="F323" s="12">
        <f t="shared" si="97"/>
        <v>-299</v>
      </c>
      <c r="G323" s="12">
        <f t="shared" si="98"/>
        <v>-437</v>
      </c>
      <c r="H323" s="8">
        <f t="shared" si="99"/>
        <v>2873</v>
      </c>
      <c r="I323" s="8">
        <f t="shared" si="100"/>
        <v>2938</v>
      </c>
      <c r="J323" s="8">
        <f t="shared" si="101"/>
        <v>3076</v>
      </c>
      <c r="K323" s="8">
        <f t="shared" si="108"/>
        <v>4000</v>
      </c>
      <c r="L323" s="8">
        <f t="shared" si="109"/>
        <v>4000</v>
      </c>
      <c r="M323" s="8">
        <f t="shared" si="110"/>
        <v>4000</v>
      </c>
      <c r="N323" s="8">
        <f t="shared" si="105"/>
        <v>-1127</v>
      </c>
      <c r="O323" s="8">
        <f t="shared" si="106"/>
        <v>-1062</v>
      </c>
      <c r="P323" s="8">
        <f t="shared" si="107"/>
        <v>-924</v>
      </c>
      <c r="Q323" s="12">
        <v>2</v>
      </c>
      <c r="R323" s="12">
        <v>4</v>
      </c>
      <c r="S323" s="12">
        <v>2</v>
      </c>
      <c r="T323" s="11">
        <f t="shared" si="102"/>
        <v>-689</v>
      </c>
      <c r="U323" s="10">
        <f t="shared" si="112"/>
        <v>3143</v>
      </c>
      <c r="V323" s="10">
        <f t="shared" si="111"/>
        <v>3328</v>
      </c>
      <c r="W323" s="10">
        <f t="shared" si="113"/>
        <v>3416</v>
      </c>
      <c r="X323" s="9"/>
      <c r="Y323" s="8"/>
      <c r="Z323" s="8"/>
      <c r="AA323" s="8"/>
      <c r="AB323" s="8"/>
    </row>
    <row r="324" spans="1:28" ht="13.15" customHeight="1">
      <c r="A324" s="16">
        <f t="shared" si="95"/>
        <v>310</v>
      </c>
      <c r="B324" s="15">
        <f t="shared" si="103"/>
        <v>45591</v>
      </c>
      <c r="C324" s="14">
        <f t="shared" si="104"/>
        <v>844</v>
      </c>
      <c r="D324" s="13">
        <f t="shared" si="114"/>
        <v>1797</v>
      </c>
      <c r="E324" s="12">
        <f t="shared" si="96"/>
        <v>-230</v>
      </c>
      <c r="F324" s="12">
        <f t="shared" si="97"/>
        <v>-294</v>
      </c>
      <c r="G324" s="12">
        <f t="shared" si="98"/>
        <v>-427</v>
      </c>
      <c r="H324" s="8">
        <f t="shared" si="99"/>
        <v>2871</v>
      </c>
      <c r="I324" s="8">
        <f t="shared" si="100"/>
        <v>2935</v>
      </c>
      <c r="J324" s="8">
        <f t="shared" si="101"/>
        <v>3068</v>
      </c>
      <c r="K324" s="8">
        <f t="shared" si="108"/>
        <v>4000</v>
      </c>
      <c r="L324" s="8">
        <f t="shared" si="109"/>
        <v>4000</v>
      </c>
      <c r="M324" s="8">
        <f t="shared" si="110"/>
        <v>4000</v>
      </c>
      <c r="N324" s="8">
        <f t="shared" si="105"/>
        <v>-1129</v>
      </c>
      <c r="O324" s="8">
        <f t="shared" si="106"/>
        <v>-1065</v>
      </c>
      <c r="P324" s="8">
        <f t="shared" si="107"/>
        <v>-932</v>
      </c>
      <c r="Q324" s="12">
        <v>2</v>
      </c>
      <c r="R324" s="12">
        <v>3</v>
      </c>
      <c r="S324" s="12">
        <v>8</v>
      </c>
      <c r="T324" s="11">
        <f t="shared" si="102"/>
        <v>-684</v>
      </c>
      <c r="U324" s="10">
        <f t="shared" si="112"/>
        <v>3141</v>
      </c>
      <c r="V324" s="10">
        <f t="shared" si="111"/>
        <v>3325</v>
      </c>
      <c r="W324" s="10">
        <f t="shared" si="113"/>
        <v>3408</v>
      </c>
      <c r="X324" s="9"/>
      <c r="Y324" s="8"/>
      <c r="Z324" s="8"/>
      <c r="AA324" s="8"/>
      <c r="AB324" s="8"/>
    </row>
    <row r="325" spans="1:28" ht="13.15" customHeight="1">
      <c r="A325" s="16">
        <f t="shared" si="95"/>
        <v>311</v>
      </c>
      <c r="B325" s="15">
        <f t="shared" si="103"/>
        <v>45592</v>
      </c>
      <c r="C325" s="14">
        <f t="shared" si="104"/>
        <v>844</v>
      </c>
      <c r="D325" s="13">
        <f t="shared" si="114"/>
        <v>1799</v>
      </c>
      <c r="E325" s="12">
        <f t="shared" si="96"/>
        <v>-226</v>
      </c>
      <c r="F325" s="12">
        <f t="shared" si="97"/>
        <v>-290</v>
      </c>
      <c r="G325" s="12">
        <f t="shared" si="98"/>
        <v>-419</v>
      </c>
      <c r="H325" s="8">
        <f t="shared" si="99"/>
        <v>2869</v>
      </c>
      <c r="I325" s="8">
        <f t="shared" si="100"/>
        <v>2933</v>
      </c>
      <c r="J325" s="8">
        <f t="shared" si="101"/>
        <v>3062</v>
      </c>
      <c r="K325" s="8">
        <f t="shared" si="108"/>
        <v>4000</v>
      </c>
      <c r="L325" s="8">
        <f t="shared" si="109"/>
        <v>4000</v>
      </c>
      <c r="M325" s="8">
        <f t="shared" si="110"/>
        <v>4000</v>
      </c>
      <c r="N325" s="8">
        <f t="shared" si="105"/>
        <v>-1131</v>
      </c>
      <c r="O325" s="8">
        <f t="shared" si="106"/>
        <v>-1067</v>
      </c>
      <c r="P325" s="8">
        <f t="shared" si="107"/>
        <v>-938</v>
      </c>
      <c r="Q325" s="12">
        <v>2</v>
      </c>
      <c r="R325" s="12">
        <v>2</v>
      </c>
      <c r="S325" s="12">
        <v>6</v>
      </c>
      <c r="T325" s="11">
        <f t="shared" si="102"/>
        <v>-680</v>
      </c>
      <c r="U325" s="10">
        <f t="shared" si="112"/>
        <v>3139</v>
      </c>
      <c r="V325" s="10">
        <f t="shared" si="111"/>
        <v>3323</v>
      </c>
      <c r="W325" s="10">
        <f t="shared" si="113"/>
        <v>3402</v>
      </c>
      <c r="X325" s="9"/>
      <c r="Y325" s="8"/>
      <c r="Z325" s="8"/>
      <c r="AA325" s="8"/>
      <c r="AB325" s="8"/>
    </row>
    <row r="326" spans="1:28" ht="13.15" customHeight="1">
      <c r="A326" s="16">
        <f t="shared" si="95"/>
        <v>312</v>
      </c>
      <c r="B326" s="15">
        <f t="shared" si="103"/>
        <v>45593</v>
      </c>
      <c r="C326" s="14">
        <f t="shared" si="104"/>
        <v>844</v>
      </c>
      <c r="D326" s="13">
        <f t="shared" si="114"/>
        <v>1801</v>
      </c>
      <c r="E326" s="12">
        <f t="shared" si="96"/>
        <v>-221</v>
      </c>
      <c r="F326" s="12">
        <f t="shared" si="97"/>
        <v>-287</v>
      </c>
      <c r="G326" s="12">
        <f t="shared" si="98"/>
        <v>-410</v>
      </c>
      <c r="H326" s="8">
        <f t="shared" si="99"/>
        <v>2866</v>
      </c>
      <c r="I326" s="8">
        <f t="shared" si="100"/>
        <v>2932</v>
      </c>
      <c r="J326" s="8">
        <f t="shared" si="101"/>
        <v>3055</v>
      </c>
      <c r="K326" s="8">
        <f t="shared" si="108"/>
        <v>4000</v>
      </c>
      <c r="L326" s="8">
        <f t="shared" si="109"/>
        <v>4000</v>
      </c>
      <c r="M326" s="8">
        <f t="shared" si="110"/>
        <v>4000</v>
      </c>
      <c r="N326" s="8">
        <f t="shared" si="105"/>
        <v>-1134</v>
      </c>
      <c r="O326" s="8">
        <f t="shared" si="106"/>
        <v>-1068</v>
      </c>
      <c r="P326" s="8">
        <f t="shared" si="107"/>
        <v>-945</v>
      </c>
      <c r="Q326" s="12">
        <v>3</v>
      </c>
      <c r="R326" s="12">
        <v>1</v>
      </c>
      <c r="S326" s="12">
        <v>7</v>
      </c>
      <c r="T326" s="11">
        <f t="shared" si="102"/>
        <v>-677</v>
      </c>
      <c r="U326" s="10">
        <f t="shared" si="112"/>
        <v>3136</v>
      </c>
      <c r="V326" s="10">
        <f t="shared" si="111"/>
        <v>3322</v>
      </c>
      <c r="W326" s="10">
        <f t="shared" si="113"/>
        <v>3395</v>
      </c>
      <c r="X326" s="9"/>
      <c r="Y326" s="8"/>
      <c r="Z326" s="8"/>
      <c r="AA326" s="8"/>
      <c r="AB326" s="8"/>
    </row>
    <row r="327" spans="1:28" ht="13.15" customHeight="1">
      <c r="A327" s="16">
        <f t="shared" si="95"/>
        <v>313</v>
      </c>
      <c r="B327" s="15">
        <f t="shared" si="103"/>
        <v>45594</v>
      </c>
      <c r="C327" s="14">
        <f t="shared" si="104"/>
        <v>844</v>
      </c>
      <c r="D327" s="13">
        <f t="shared" si="114"/>
        <v>1803</v>
      </c>
      <c r="E327" s="12">
        <f t="shared" si="96"/>
        <v>-217</v>
      </c>
      <c r="F327" s="12">
        <f t="shared" si="97"/>
        <v>-283</v>
      </c>
      <c r="G327" s="12">
        <f t="shared" si="98"/>
        <v>-404</v>
      </c>
      <c r="H327" s="8">
        <f t="shared" si="99"/>
        <v>2864</v>
      </c>
      <c r="I327" s="8">
        <f t="shared" si="100"/>
        <v>2930</v>
      </c>
      <c r="J327" s="8">
        <f t="shared" si="101"/>
        <v>3051</v>
      </c>
      <c r="K327" s="8">
        <f t="shared" si="108"/>
        <v>4000</v>
      </c>
      <c r="L327" s="8">
        <f t="shared" si="109"/>
        <v>4000</v>
      </c>
      <c r="M327" s="8">
        <f t="shared" si="110"/>
        <v>4000</v>
      </c>
      <c r="N327" s="8">
        <f t="shared" si="105"/>
        <v>-1136</v>
      </c>
      <c r="O327" s="8">
        <f t="shared" si="106"/>
        <v>-1070</v>
      </c>
      <c r="P327" s="8">
        <f t="shared" si="107"/>
        <v>-949</v>
      </c>
      <c r="Q327" s="12">
        <v>2</v>
      </c>
      <c r="R327" s="12">
        <v>2</v>
      </c>
      <c r="S327" s="12">
        <v>4</v>
      </c>
      <c r="T327" s="11">
        <f t="shared" si="102"/>
        <v>-673</v>
      </c>
      <c r="U327" s="10">
        <f t="shared" si="112"/>
        <v>3134</v>
      </c>
      <c r="V327" s="10">
        <f t="shared" si="111"/>
        <v>3320</v>
      </c>
      <c r="W327" s="10">
        <f t="shared" si="113"/>
        <v>3391</v>
      </c>
      <c r="X327" s="9"/>
      <c r="Y327" s="8"/>
      <c r="Z327" s="8"/>
      <c r="AA327" s="8"/>
      <c r="AB327" s="8"/>
    </row>
    <row r="328" spans="1:28" ht="13.15" customHeight="1">
      <c r="A328" s="16">
        <f t="shared" si="95"/>
        <v>314</v>
      </c>
      <c r="B328" s="15">
        <f t="shared" si="103"/>
        <v>45595</v>
      </c>
      <c r="C328" s="14">
        <f t="shared" si="104"/>
        <v>844</v>
      </c>
      <c r="D328" s="13">
        <f t="shared" si="114"/>
        <v>1805</v>
      </c>
      <c r="E328" s="12">
        <f t="shared" si="96"/>
        <v>-212</v>
      </c>
      <c r="F328" s="12">
        <f t="shared" si="97"/>
        <v>-279</v>
      </c>
      <c r="G328" s="12">
        <f t="shared" si="98"/>
        <v>-397</v>
      </c>
      <c r="H328" s="8">
        <f t="shared" si="99"/>
        <v>2861</v>
      </c>
      <c r="I328" s="8">
        <f t="shared" si="100"/>
        <v>2928</v>
      </c>
      <c r="J328" s="8">
        <f t="shared" si="101"/>
        <v>3046</v>
      </c>
      <c r="K328" s="8">
        <f t="shared" si="108"/>
        <v>4000</v>
      </c>
      <c r="L328" s="8">
        <f t="shared" si="109"/>
        <v>4000</v>
      </c>
      <c r="M328" s="8">
        <f t="shared" si="110"/>
        <v>4000</v>
      </c>
      <c r="N328" s="8">
        <f t="shared" si="105"/>
        <v>-1139</v>
      </c>
      <c r="O328" s="8">
        <f t="shared" si="106"/>
        <v>-1072</v>
      </c>
      <c r="P328" s="8">
        <f t="shared" si="107"/>
        <v>-954</v>
      </c>
      <c r="Q328" s="12">
        <v>3</v>
      </c>
      <c r="R328" s="12">
        <v>2</v>
      </c>
      <c r="S328" s="12">
        <v>5</v>
      </c>
      <c r="T328" s="11">
        <f t="shared" si="102"/>
        <v>-669</v>
      </c>
      <c r="U328" s="10">
        <f t="shared" si="112"/>
        <v>3131</v>
      </c>
      <c r="V328" s="10">
        <f t="shared" si="111"/>
        <v>3318</v>
      </c>
      <c r="W328" s="10">
        <f t="shared" si="113"/>
        <v>3386</v>
      </c>
      <c r="X328" s="9"/>
      <c r="Y328" s="8"/>
      <c r="Z328" s="8"/>
      <c r="AA328" s="8"/>
      <c r="AB328" s="8"/>
    </row>
    <row r="329" spans="1:28" ht="13.15" customHeight="1">
      <c r="A329" s="16">
        <f t="shared" si="95"/>
        <v>315</v>
      </c>
      <c r="B329" s="15">
        <f t="shared" si="103"/>
        <v>45596</v>
      </c>
      <c r="C329" s="14">
        <f t="shared" si="104"/>
        <v>844</v>
      </c>
      <c r="D329" s="13">
        <f t="shared" si="114"/>
        <v>1807</v>
      </c>
      <c r="E329" s="12">
        <f t="shared" si="96"/>
        <v>-208</v>
      </c>
      <c r="F329" s="12">
        <f t="shared" si="97"/>
        <v>-275</v>
      </c>
      <c r="G329" s="12">
        <f t="shared" si="98"/>
        <v>-392</v>
      </c>
      <c r="H329" s="8">
        <f t="shared" si="99"/>
        <v>2859</v>
      </c>
      <c r="I329" s="8">
        <f t="shared" si="100"/>
        <v>2926</v>
      </c>
      <c r="J329" s="8">
        <f t="shared" si="101"/>
        <v>3043</v>
      </c>
      <c r="K329" s="8">
        <f t="shared" si="108"/>
        <v>4000</v>
      </c>
      <c r="L329" s="8">
        <f t="shared" si="109"/>
        <v>4000</v>
      </c>
      <c r="M329" s="8">
        <f t="shared" si="110"/>
        <v>4000</v>
      </c>
      <c r="N329" s="8">
        <f t="shared" si="105"/>
        <v>-1141</v>
      </c>
      <c r="O329" s="8">
        <f t="shared" si="106"/>
        <v>-1074</v>
      </c>
      <c r="P329" s="8">
        <f t="shared" si="107"/>
        <v>-957</v>
      </c>
      <c r="Q329" s="12">
        <v>2</v>
      </c>
      <c r="R329" s="12">
        <v>2</v>
      </c>
      <c r="S329" s="12">
        <v>3</v>
      </c>
      <c r="T329" s="11">
        <f t="shared" si="102"/>
        <v>-665</v>
      </c>
      <c r="U329" s="10">
        <f t="shared" si="112"/>
        <v>3129</v>
      </c>
      <c r="V329" s="10">
        <f t="shared" si="111"/>
        <v>3316</v>
      </c>
      <c r="W329" s="10">
        <f t="shared" si="113"/>
        <v>3383</v>
      </c>
      <c r="X329" s="9"/>
      <c r="Y329" s="8"/>
      <c r="Z329" s="8"/>
      <c r="AA329" s="8"/>
      <c r="AB329" s="8"/>
    </row>
    <row r="330" spans="1:28" ht="13.15" customHeight="1">
      <c r="A330" s="16">
        <f t="shared" si="95"/>
        <v>316</v>
      </c>
      <c r="B330" s="15">
        <f t="shared" si="103"/>
        <v>45597</v>
      </c>
      <c r="C330" s="14">
        <f t="shared" si="104"/>
        <v>844</v>
      </c>
      <c r="D330" s="13">
        <f t="shared" si="114"/>
        <v>1809</v>
      </c>
      <c r="E330" s="12">
        <f t="shared" si="96"/>
        <v>-205</v>
      </c>
      <c r="F330" s="12">
        <f t="shared" si="97"/>
        <v>-271</v>
      </c>
      <c r="G330" s="12">
        <f t="shared" si="98"/>
        <v>-388</v>
      </c>
      <c r="H330" s="8">
        <f t="shared" si="99"/>
        <v>2858</v>
      </c>
      <c r="I330" s="8">
        <f t="shared" si="100"/>
        <v>2924</v>
      </c>
      <c r="J330" s="8">
        <f t="shared" si="101"/>
        <v>3041</v>
      </c>
      <c r="K330" s="8">
        <f t="shared" si="108"/>
        <v>4000</v>
      </c>
      <c r="L330" s="8">
        <f t="shared" si="109"/>
        <v>4000</v>
      </c>
      <c r="M330" s="8">
        <f t="shared" si="110"/>
        <v>4000</v>
      </c>
      <c r="N330" s="8">
        <f t="shared" si="105"/>
        <v>-1142</v>
      </c>
      <c r="O330" s="8">
        <f t="shared" si="106"/>
        <v>-1076</v>
      </c>
      <c r="P330" s="8">
        <f t="shared" si="107"/>
        <v>-959</v>
      </c>
      <c r="Q330" s="12">
        <v>1</v>
      </c>
      <c r="R330" s="12">
        <v>2</v>
      </c>
      <c r="S330" s="12">
        <v>2</v>
      </c>
      <c r="T330" s="11">
        <f t="shared" si="102"/>
        <v>-661</v>
      </c>
      <c r="U330" s="10">
        <f t="shared" si="112"/>
        <v>3128</v>
      </c>
      <c r="V330" s="10">
        <f t="shared" si="111"/>
        <v>3314</v>
      </c>
      <c r="W330" s="10">
        <f t="shared" si="113"/>
        <v>3381</v>
      </c>
      <c r="X330" s="9"/>
      <c r="Y330" s="8"/>
      <c r="Z330" s="8"/>
      <c r="AA330" s="8"/>
      <c r="AB330" s="8"/>
    </row>
    <row r="331" spans="1:28" ht="13.15" customHeight="1">
      <c r="A331" s="16">
        <f t="shared" si="95"/>
        <v>317</v>
      </c>
      <c r="B331" s="15">
        <f t="shared" si="103"/>
        <v>45598</v>
      </c>
      <c r="C331" s="14">
        <f t="shared" si="104"/>
        <v>844</v>
      </c>
      <c r="D331" s="13">
        <f t="shared" si="114"/>
        <v>1811</v>
      </c>
      <c r="E331" s="12">
        <f t="shared" si="96"/>
        <v>-200</v>
      </c>
      <c r="F331" s="12">
        <f t="shared" si="97"/>
        <v>-267</v>
      </c>
      <c r="G331" s="12">
        <f t="shared" si="98"/>
        <v>-384</v>
      </c>
      <c r="H331" s="8">
        <f t="shared" si="99"/>
        <v>2855</v>
      </c>
      <c r="I331" s="8">
        <f t="shared" si="100"/>
        <v>2922</v>
      </c>
      <c r="J331" s="8">
        <f t="shared" si="101"/>
        <v>3039</v>
      </c>
      <c r="K331" s="8">
        <f t="shared" si="108"/>
        <v>4000</v>
      </c>
      <c r="L331" s="8">
        <f t="shared" si="109"/>
        <v>4000</v>
      </c>
      <c r="M331" s="8">
        <f t="shared" si="110"/>
        <v>4000</v>
      </c>
      <c r="N331" s="8">
        <f t="shared" si="105"/>
        <v>-1145</v>
      </c>
      <c r="O331" s="8">
        <f t="shared" si="106"/>
        <v>-1078</v>
      </c>
      <c r="P331" s="8">
        <f t="shared" si="107"/>
        <v>-961</v>
      </c>
      <c r="Q331" s="12">
        <v>3</v>
      </c>
      <c r="R331" s="12">
        <v>2</v>
      </c>
      <c r="S331" s="12">
        <v>2</v>
      </c>
      <c r="T331" s="11">
        <f t="shared" si="102"/>
        <v>-657</v>
      </c>
      <c r="U331" s="10">
        <f t="shared" si="112"/>
        <v>3125</v>
      </c>
      <c r="V331" s="10">
        <f t="shared" si="111"/>
        <v>3312</v>
      </c>
      <c r="W331" s="10">
        <f t="shared" si="113"/>
        <v>3379</v>
      </c>
      <c r="X331" s="9"/>
      <c r="Y331" s="8"/>
      <c r="Z331" s="8"/>
      <c r="AA331" s="8"/>
      <c r="AB331" s="8"/>
    </row>
    <row r="332" spans="1:28" ht="13.15" customHeight="1">
      <c r="A332" s="16">
        <f t="shared" ref="A332:A395" si="115">+A331+1</f>
        <v>318</v>
      </c>
      <c r="B332" s="15">
        <f t="shared" si="103"/>
        <v>45599</v>
      </c>
      <c r="C332" s="14">
        <f t="shared" si="104"/>
        <v>844</v>
      </c>
      <c r="D332" s="13">
        <f t="shared" si="114"/>
        <v>1813</v>
      </c>
      <c r="E332" s="12">
        <f t="shared" si="96"/>
        <v>-196</v>
      </c>
      <c r="F332" s="12">
        <f t="shared" si="97"/>
        <v>-263</v>
      </c>
      <c r="G332" s="12">
        <f t="shared" si="98"/>
        <v>-381</v>
      </c>
      <c r="H332" s="8">
        <f t="shared" si="99"/>
        <v>2853</v>
      </c>
      <c r="I332" s="8">
        <f t="shared" si="100"/>
        <v>2920</v>
      </c>
      <c r="J332" s="8">
        <f t="shared" si="101"/>
        <v>3038</v>
      </c>
      <c r="K332" s="8">
        <f t="shared" si="108"/>
        <v>4000</v>
      </c>
      <c r="L332" s="8">
        <f t="shared" si="109"/>
        <v>4000</v>
      </c>
      <c r="M332" s="8">
        <f t="shared" si="110"/>
        <v>4000</v>
      </c>
      <c r="N332" s="8">
        <f t="shared" si="105"/>
        <v>-1147</v>
      </c>
      <c r="O332" s="8">
        <f t="shared" si="106"/>
        <v>-1080</v>
      </c>
      <c r="P332" s="8">
        <f t="shared" si="107"/>
        <v>-962</v>
      </c>
      <c r="Q332" s="12">
        <v>2</v>
      </c>
      <c r="R332" s="12">
        <v>2</v>
      </c>
      <c r="S332" s="12">
        <v>1</v>
      </c>
      <c r="T332" s="11">
        <f t="shared" si="102"/>
        <v>-653</v>
      </c>
      <c r="U332" s="10">
        <f t="shared" si="112"/>
        <v>3123</v>
      </c>
      <c r="V332" s="10">
        <f t="shared" si="111"/>
        <v>3310</v>
      </c>
      <c r="W332" s="10">
        <f t="shared" si="113"/>
        <v>3378</v>
      </c>
      <c r="X332" s="9"/>
      <c r="Y332" s="8"/>
      <c r="Z332" s="8"/>
      <c r="AA332" s="8"/>
      <c r="AB332" s="8"/>
    </row>
    <row r="333" spans="1:28" ht="13.15" customHeight="1">
      <c r="A333" s="16">
        <f t="shared" si="115"/>
        <v>319</v>
      </c>
      <c r="B333" s="15">
        <f t="shared" si="103"/>
        <v>45600</v>
      </c>
      <c r="C333" s="14">
        <f t="shared" si="104"/>
        <v>844</v>
      </c>
      <c r="D333" s="13">
        <f t="shared" si="114"/>
        <v>1815</v>
      </c>
      <c r="E333" s="12">
        <f t="shared" si="96"/>
        <v>-193</v>
      </c>
      <c r="F333" s="12">
        <f t="shared" si="97"/>
        <v>-256</v>
      </c>
      <c r="G333" s="12">
        <f t="shared" si="98"/>
        <v>-377</v>
      </c>
      <c r="H333" s="8">
        <f t="shared" si="99"/>
        <v>2852</v>
      </c>
      <c r="I333" s="8">
        <f t="shared" si="100"/>
        <v>2915</v>
      </c>
      <c r="J333" s="8">
        <f t="shared" si="101"/>
        <v>3036</v>
      </c>
      <c r="K333" s="8">
        <f t="shared" si="108"/>
        <v>4000</v>
      </c>
      <c r="L333" s="8">
        <f t="shared" si="109"/>
        <v>4000</v>
      </c>
      <c r="M333" s="8">
        <f t="shared" si="110"/>
        <v>4000</v>
      </c>
      <c r="N333" s="8">
        <f t="shared" si="105"/>
        <v>-1148</v>
      </c>
      <c r="O333" s="8">
        <f t="shared" si="106"/>
        <v>-1085</v>
      </c>
      <c r="P333" s="8">
        <f t="shared" si="107"/>
        <v>-964</v>
      </c>
      <c r="Q333" s="12">
        <v>1</v>
      </c>
      <c r="R333" s="12">
        <v>5</v>
      </c>
      <c r="S333" s="12">
        <v>2</v>
      </c>
      <c r="T333" s="11">
        <f t="shared" si="102"/>
        <v>-646</v>
      </c>
      <c r="U333" s="10">
        <f t="shared" si="112"/>
        <v>3122</v>
      </c>
      <c r="V333" s="10">
        <f t="shared" si="111"/>
        <v>3305</v>
      </c>
      <c r="W333" s="10">
        <f t="shared" si="113"/>
        <v>3376</v>
      </c>
      <c r="X333" s="9"/>
      <c r="Y333" s="8"/>
      <c r="Z333" s="8"/>
      <c r="AA333" s="8"/>
      <c r="AB333" s="8"/>
    </row>
    <row r="334" spans="1:28" ht="13.15" customHeight="1">
      <c r="A334" s="16">
        <f t="shared" si="115"/>
        <v>320</v>
      </c>
      <c r="B334" s="15">
        <f t="shared" si="103"/>
        <v>45601</v>
      </c>
      <c r="C334" s="14">
        <f t="shared" si="104"/>
        <v>844</v>
      </c>
      <c r="D334" s="13">
        <f t="shared" si="114"/>
        <v>1817</v>
      </c>
      <c r="E334" s="12">
        <f t="shared" ref="E334:E397" si="116">C334+D334-H334</f>
        <v>-189</v>
      </c>
      <c r="F334" s="12">
        <f t="shared" ref="F334:F397" si="117">C334+D334-I334</f>
        <v>-250</v>
      </c>
      <c r="G334" s="12">
        <f t="shared" ref="G334:G397" si="118">D334+C334-J334</f>
        <v>-370</v>
      </c>
      <c r="H334" s="8">
        <f t="shared" ref="H334:H397" si="119">K334+N334</f>
        <v>2850</v>
      </c>
      <c r="I334" s="8">
        <f t="shared" ref="I334:I397" si="120">L334+O334</f>
        <v>2911</v>
      </c>
      <c r="J334" s="8">
        <f t="shared" ref="J334:J397" si="121">M334+P334</f>
        <v>3031</v>
      </c>
      <c r="K334" s="8">
        <f t="shared" si="108"/>
        <v>4000</v>
      </c>
      <c r="L334" s="8">
        <f t="shared" si="109"/>
        <v>4000</v>
      </c>
      <c r="M334" s="8">
        <f t="shared" si="110"/>
        <v>4000</v>
      </c>
      <c r="N334" s="8">
        <f t="shared" si="105"/>
        <v>-1150</v>
      </c>
      <c r="O334" s="8">
        <f t="shared" si="106"/>
        <v>-1089</v>
      </c>
      <c r="P334" s="8">
        <f t="shared" si="107"/>
        <v>-969</v>
      </c>
      <c r="Q334" s="12">
        <v>2</v>
      </c>
      <c r="R334" s="12">
        <v>4</v>
      </c>
      <c r="S334" s="12">
        <v>5</v>
      </c>
      <c r="T334" s="11">
        <f t="shared" ref="T334:T397" si="122">D334+C334-V334</f>
        <v>-640</v>
      </c>
      <c r="U334" s="10">
        <f t="shared" si="112"/>
        <v>3120</v>
      </c>
      <c r="V334" s="10">
        <f t="shared" si="111"/>
        <v>3301</v>
      </c>
      <c r="W334" s="10">
        <f t="shared" si="113"/>
        <v>3371</v>
      </c>
      <c r="X334" s="9"/>
      <c r="Y334" s="8"/>
      <c r="Z334" s="8"/>
      <c r="AA334" s="8"/>
      <c r="AB334" s="8"/>
    </row>
    <row r="335" spans="1:28" ht="13.15" customHeight="1">
      <c r="A335" s="16">
        <f t="shared" si="115"/>
        <v>321</v>
      </c>
      <c r="B335" s="15">
        <f t="shared" ref="B335:B398" si="123">B334+1</f>
        <v>45602</v>
      </c>
      <c r="C335" s="14">
        <f t="shared" ref="C335:C398" si="124">C334</f>
        <v>844</v>
      </c>
      <c r="D335" s="13">
        <f t="shared" si="114"/>
        <v>1819</v>
      </c>
      <c r="E335" s="12">
        <f t="shared" si="116"/>
        <v>-185</v>
      </c>
      <c r="F335" s="12">
        <f t="shared" si="117"/>
        <v>-245</v>
      </c>
      <c r="G335" s="12">
        <f t="shared" si="118"/>
        <v>-363</v>
      </c>
      <c r="H335" s="8">
        <f t="shared" si="119"/>
        <v>2848</v>
      </c>
      <c r="I335" s="8">
        <f t="shared" si="120"/>
        <v>2908</v>
      </c>
      <c r="J335" s="8">
        <f t="shared" si="121"/>
        <v>3026</v>
      </c>
      <c r="K335" s="8">
        <f t="shared" si="108"/>
        <v>4000</v>
      </c>
      <c r="L335" s="8">
        <f t="shared" si="109"/>
        <v>4000</v>
      </c>
      <c r="M335" s="8">
        <f t="shared" si="110"/>
        <v>4000</v>
      </c>
      <c r="N335" s="8">
        <f t="shared" ref="N335:N398" si="125">N334-Q335</f>
        <v>-1152</v>
      </c>
      <c r="O335" s="8">
        <f t="shared" ref="O335:O398" si="126">O334-R335</f>
        <v>-1092</v>
      </c>
      <c r="P335" s="8">
        <f t="shared" ref="P335:P398" si="127">P334-S335</f>
        <v>-974</v>
      </c>
      <c r="Q335" s="12">
        <v>2</v>
      </c>
      <c r="R335" s="12">
        <v>3</v>
      </c>
      <c r="S335" s="12">
        <v>5</v>
      </c>
      <c r="T335" s="11">
        <f t="shared" si="122"/>
        <v>-635</v>
      </c>
      <c r="U335" s="10">
        <f t="shared" si="112"/>
        <v>3118</v>
      </c>
      <c r="V335" s="10">
        <f t="shared" si="111"/>
        <v>3298</v>
      </c>
      <c r="W335" s="10">
        <f t="shared" si="113"/>
        <v>3366</v>
      </c>
      <c r="X335" s="9"/>
      <c r="Y335" s="8"/>
      <c r="Z335" s="8"/>
      <c r="AA335" s="8"/>
      <c r="AB335" s="8"/>
    </row>
    <row r="336" spans="1:28" ht="13.15" customHeight="1">
      <c r="A336" s="16">
        <f t="shared" si="115"/>
        <v>322</v>
      </c>
      <c r="B336" s="15">
        <f t="shared" si="123"/>
        <v>45603</v>
      </c>
      <c r="C336" s="14">
        <f t="shared" si="124"/>
        <v>844</v>
      </c>
      <c r="D336" s="13">
        <f t="shared" si="114"/>
        <v>1821</v>
      </c>
      <c r="E336" s="12">
        <f t="shared" si="116"/>
        <v>-181</v>
      </c>
      <c r="F336" s="12">
        <f t="shared" si="117"/>
        <v>-241</v>
      </c>
      <c r="G336" s="12">
        <f t="shared" si="118"/>
        <v>-356</v>
      </c>
      <c r="H336" s="8">
        <f t="shared" si="119"/>
        <v>2846</v>
      </c>
      <c r="I336" s="8">
        <f t="shared" si="120"/>
        <v>2906</v>
      </c>
      <c r="J336" s="8">
        <f t="shared" si="121"/>
        <v>3021</v>
      </c>
      <c r="K336" s="8">
        <f t="shared" si="108"/>
        <v>4000</v>
      </c>
      <c r="L336" s="8">
        <f t="shared" si="109"/>
        <v>4000</v>
      </c>
      <c r="M336" s="8">
        <f t="shared" si="110"/>
        <v>4000</v>
      </c>
      <c r="N336" s="8">
        <f t="shared" si="125"/>
        <v>-1154</v>
      </c>
      <c r="O336" s="8">
        <f t="shared" si="126"/>
        <v>-1094</v>
      </c>
      <c r="P336" s="8">
        <f t="shared" si="127"/>
        <v>-979</v>
      </c>
      <c r="Q336" s="12">
        <v>2</v>
      </c>
      <c r="R336" s="12">
        <v>2</v>
      </c>
      <c r="S336" s="12">
        <v>5</v>
      </c>
      <c r="T336" s="11">
        <f t="shared" si="122"/>
        <v>-631</v>
      </c>
      <c r="U336" s="10">
        <f t="shared" si="112"/>
        <v>3116</v>
      </c>
      <c r="V336" s="10">
        <f t="shared" si="111"/>
        <v>3296</v>
      </c>
      <c r="W336" s="10">
        <f t="shared" si="113"/>
        <v>3361</v>
      </c>
      <c r="X336" s="9"/>
      <c r="Y336" s="8"/>
      <c r="Z336" s="8"/>
      <c r="AA336" s="8"/>
      <c r="AB336" s="8"/>
    </row>
    <row r="337" spans="1:28" ht="13.15" customHeight="1">
      <c r="A337" s="16">
        <f t="shared" si="115"/>
        <v>323</v>
      </c>
      <c r="B337" s="15">
        <f t="shared" si="123"/>
        <v>45604</v>
      </c>
      <c r="C337" s="14">
        <f t="shared" si="124"/>
        <v>844</v>
      </c>
      <c r="D337" s="13">
        <f t="shared" si="114"/>
        <v>1823</v>
      </c>
      <c r="E337" s="12">
        <f t="shared" si="116"/>
        <v>-176</v>
      </c>
      <c r="F337" s="12">
        <f t="shared" si="117"/>
        <v>-238</v>
      </c>
      <c r="G337" s="12">
        <f t="shared" si="118"/>
        <v>-352</v>
      </c>
      <c r="H337" s="8">
        <f t="shared" si="119"/>
        <v>2843</v>
      </c>
      <c r="I337" s="8">
        <f t="shared" si="120"/>
        <v>2905</v>
      </c>
      <c r="J337" s="8">
        <f t="shared" si="121"/>
        <v>3019</v>
      </c>
      <c r="K337" s="8">
        <f t="shared" si="108"/>
        <v>4000</v>
      </c>
      <c r="L337" s="8">
        <f t="shared" si="109"/>
        <v>4000</v>
      </c>
      <c r="M337" s="8">
        <f t="shared" si="110"/>
        <v>4000</v>
      </c>
      <c r="N337" s="8">
        <f t="shared" si="125"/>
        <v>-1157</v>
      </c>
      <c r="O337" s="8">
        <f t="shared" si="126"/>
        <v>-1095</v>
      </c>
      <c r="P337" s="8">
        <f t="shared" si="127"/>
        <v>-981</v>
      </c>
      <c r="Q337" s="12">
        <v>3</v>
      </c>
      <c r="R337" s="12">
        <v>1</v>
      </c>
      <c r="S337" s="12">
        <v>2</v>
      </c>
      <c r="T337" s="11">
        <f t="shared" si="122"/>
        <v>-628</v>
      </c>
      <c r="U337" s="10">
        <f t="shared" si="112"/>
        <v>3113</v>
      </c>
      <c r="V337" s="10">
        <f t="shared" si="111"/>
        <v>3295</v>
      </c>
      <c r="W337" s="10">
        <f t="shared" si="113"/>
        <v>3359</v>
      </c>
      <c r="X337" s="9"/>
      <c r="Y337" s="8"/>
      <c r="Z337" s="8"/>
      <c r="AA337" s="8"/>
      <c r="AB337" s="8"/>
    </row>
    <row r="338" spans="1:28" ht="13.15" customHeight="1">
      <c r="A338" s="16">
        <f t="shared" si="115"/>
        <v>324</v>
      </c>
      <c r="B338" s="15">
        <f t="shared" si="123"/>
        <v>45605</v>
      </c>
      <c r="C338" s="14">
        <f t="shared" si="124"/>
        <v>844</v>
      </c>
      <c r="D338" s="13">
        <f t="shared" si="114"/>
        <v>1825</v>
      </c>
      <c r="E338" s="12">
        <f t="shared" si="116"/>
        <v>-172</v>
      </c>
      <c r="F338" s="12">
        <f t="shared" si="117"/>
        <v>-234</v>
      </c>
      <c r="G338" s="12">
        <f t="shared" si="118"/>
        <v>-349</v>
      </c>
      <c r="H338" s="8">
        <f t="shared" si="119"/>
        <v>2841</v>
      </c>
      <c r="I338" s="8">
        <f t="shared" si="120"/>
        <v>2903</v>
      </c>
      <c r="J338" s="8">
        <f t="shared" si="121"/>
        <v>3018</v>
      </c>
      <c r="K338" s="8">
        <f t="shared" si="108"/>
        <v>4000</v>
      </c>
      <c r="L338" s="8">
        <f t="shared" si="109"/>
        <v>4000</v>
      </c>
      <c r="M338" s="8">
        <f t="shared" si="110"/>
        <v>4000</v>
      </c>
      <c r="N338" s="8">
        <f t="shared" si="125"/>
        <v>-1159</v>
      </c>
      <c r="O338" s="8">
        <f t="shared" si="126"/>
        <v>-1097</v>
      </c>
      <c r="P338" s="8">
        <f t="shared" si="127"/>
        <v>-982</v>
      </c>
      <c r="Q338" s="12">
        <v>2</v>
      </c>
      <c r="R338" s="12">
        <v>2</v>
      </c>
      <c r="S338" s="12">
        <v>1</v>
      </c>
      <c r="T338" s="11">
        <f t="shared" si="122"/>
        <v>-624</v>
      </c>
      <c r="U338" s="10">
        <f t="shared" si="112"/>
        <v>3111</v>
      </c>
      <c r="V338" s="10">
        <f t="shared" si="111"/>
        <v>3293</v>
      </c>
      <c r="W338" s="10">
        <f t="shared" si="113"/>
        <v>3358</v>
      </c>
      <c r="X338" s="9"/>
      <c r="Y338" s="8"/>
      <c r="Z338" s="8"/>
      <c r="AA338" s="8"/>
      <c r="AB338" s="8"/>
    </row>
    <row r="339" spans="1:28" ht="13.15" customHeight="1">
      <c r="A339" s="16">
        <f t="shared" si="115"/>
        <v>325</v>
      </c>
      <c r="B339" s="15">
        <f t="shared" si="123"/>
        <v>45606</v>
      </c>
      <c r="C339" s="14">
        <f t="shared" si="124"/>
        <v>844</v>
      </c>
      <c r="D339" s="13">
        <f t="shared" si="114"/>
        <v>1827</v>
      </c>
      <c r="E339" s="12">
        <f t="shared" si="116"/>
        <v>-167</v>
      </c>
      <c r="F339" s="12">
        <f t="shared" si="117"/>
        <v>-230</v>
      </c>
      <c r="G339" s="12">
        <f t="shared" si="118"/>
        <v>-345</v>
      </c>
      <c r="H339" s="8">
        <f t="shared" si="119"/>
        <v>2838</v>
      </c>
      <c r="I339" s="8">
        <f t="shared" si="120"/>
        <v>2901</v>
      </c>
      <c r="J339" s="8">
        <f t="shared" si="121"/>
        <v>3016</v>
      </c>
      <c r="K339" s="8">
        <f t="shared" si="108"/>
        <v>4000</v>
      </c>
      <c r="L339" s="8">
        <f t="shared" si="109"/>
        <v>4000</v>
      </c>
      <c r="M339" s="8">
        <f t="shared" si="110"/>
        <v>4000</v>
      </c>
      <c r="N339" s="8">
        <f t="shared" si="125"/>
        <v>-1162</v>
      </c>
      <c r="O339" s="8">
        <f t="shared" si="126"/>
        <v>-1099</v>
      </c>
      <c r="P339" s="8">
        <f t="shared" si="127"/>
        <v>-984</v>
      </c>
      <c r="Q339" s="12">
        <v>3</v>
      </c>
      <c r="R339" s="12">
        <v>2</v>
      </c>
      <c r="S339" s="12">
        <v>2</v>
      </c>
      <c r="T339" s="11">
        <f t="shared" si="122"/>
        <v>-620</v>
      </c>
      <c r="U339" s="10">
        <f t="shared" si="112"/>
        <v>3108</v>
      </c>
      <c r="V339" s="10">
        <f t="shared" si="111"/>
        <v>3291</v>
      </c>
      <c r="W339" s="10">
        <f t="shared" si="113"/>
        <v>3356</v>
      </c>
      <c r="X339" s="9"/>
      <c r="Y339" s="8"/>
      <c r="Z339" s="8"/>
      <c r="AA339" s="8"/>
      <c r="AB339" s="8"/>
    </row>
    <row r="340" spans="1:28" ht="13.15" customHeight="1">
      <c r="A340" s="16">
        <f t="shared" si="115"/>
        <v>326</v>
      </c>
      <c r="B340" s="15">
        <f t="shared" si="123"/>
        <v>45607</v>
      </c>
      <c r="C340" s="14">
        <f t="shared" si="124"/>
        <v>844</v>
      </c>
      <c r="D340" s="13">
        <f t="shared" si="114"/>
        <v>1829</v>
      </c>
      <c r="E340" s="12">
        <f t="shared" si="116"/>
        <v>-163</v>
      </c>
      <c r="F340" s="12">
        <f t="shared" si="117"/>
        <v>-226</v>
      </c>
      <c r="G340" s="12">
        <f t="shared" si="118"/>
        <v>-335</v>
      </c>
      <c r="H340" s="8">
        <f t="shared" si="119"/>
        <v>2836</v>
      </c>
      <c r="I340" s="8">
        <f t="shared" si="120"/>
        <v>2899</v>
      </c>
      <c r="J340" s="8">
        <f t="shared" si="121"/>
        <v>3008</v>
      </c>
      <c r="K340" s="8">
        <f t="shared" si="108"/>
        <v>4000</v>
      </c>
      <c r="L340" s="8">
        <f t="shared" si="109"/>
        <v>4000</v>
      </c>
      <c r="M340" s="8">
        <f t="shared" si="110"/>
        <v>4000</v>
      </c>
      <c r="N340" s="8">
        <f t="shared" si="125"/>
        <v>-1164</v>
      </c>
      <c r="O340" s="8">
        <f t="shared" si="126"/>
        <v>-1101</v>
      </c>
      <c r="P340" s="8">
        <f t="shared" si="127"/>
        <v>-992</v>
      </c>
      <c r="Q340" s="12">
        <v>2</v>
      </c>
      <c r="R340" s="12">
        <v>2</v>
      </c>
      <c r="S340" s="12">
        <v>8</v>
      </c>
      <c r="T340" s="11">
        <f t="shared" si="122"/>
        <v>-616</v>
      </c>
      <c r="U340" s="10">
        <f t="shared" si="112"/>
        <v>3106</v>
      </c>
      <c r="V340" s="10">
        <f t="shared" si="111"/>
        <v>3289</v>
      </c>
      <c r="W340" s="10">
        <f t="shared" si="113"/>
        <v>3348</v>
      </c>
      <c r="X340" s="9"/>
      <c r="Y340" s="8"/>
      <c r="Z340" s="8"/>
      <c r="AA340" s="8"/>
      <c r="AB340" s="8"/>
    </row>
    <row r="341" spans="1:28" ht="13.15" customHeight="1">
      <c r="A341" s="16">
        <f t="shared" si="115"/>
        <v>327</v>
      </c>
      <c r="B341" s="15">
        <f t="shared" si="123"/>
        <v>45608</v>
      </c>
      <c r="C341" s="14">
        <f t="shared" si="124"/>
        <v>844</v>
      </c>
      <c r="D341" s="13">
        <f t="shared" si="114"/>
        <v>1831</v>
      </c>
      <c r="E341" s="12">
        <f t="shared" si="116"/>
        <v>-160</v>
      </c>
      <c r="F341" s="12">
        <f t="shared" si="117"/>
        <v>-222</v>
      </c>
      <c r="G341" s="12">
        <f t="shared" si="118"/>
        <v>-327</v>
      </c>
      <c r="H341" s="8">
        <f t="shared" si="119"/>
        <v>2835</v>
      </c>
      <c r="I341" s="8">
        <f t="shared" si="120"/>
        <v>2897</v>
      </c>
      <c r="J341" s="8">
        <f t="shared" si="121"/>
        <v>3002</v>
      </c>
      <c r="K341" s="8">
        <f t="shared" ref="K341:K404" si="128">K340</f>
        <v>4000</v>
      </c>
      <c r="L341" s="8">
        <f t="shared" ref="L341:L404" si="129">L340</f>
        <v>4000</v>
      </c>
      <c r="M341" s="8">
        <f t="shared" ref="M341:M404" si="130">M340</f>
        <v>4000</v>
      </c>
      <c r="N341" s="8">
        <f t="shared" si="125"/>
        <v>-1165</v>
      </c>
      <c r="O341" s="8">
        <f t="shared" si="126"/>
        <v>-1103</v>
      </c>
      <c r="P341" s="8">
        <f t="shared" si="127"/>
        <v>-998</v>
      </c>
      <c r="Q341" s="12">
        <v>1</v>
      </c>
      <c r="R341" s="12">
        <v>2</v>
      </c>
      <c r="S341" s="12">
        <v>6</v>
      </c>
      <c r="T341" s="11">
        <f t="shared" si="122"/>
        <v>-612</v>
      </c>
      <c r="U341" s="10">
        <f t="shared" si="112"/>
        <v>3105</v>
      </c>
      <c r="V341" s="10">
        <f t="shared" si="111"/>
        <v>3287</v>
      </c>
      <c r="W341" s="10">
        <f t="shared" si="113"/>
        <v>3342</v>
      </c>
      <c r="X341" s="9"/>
      <c r="Y341" s="8"/>
      <c r="Z341" s="8"/>
      <c r="AA341" s="8"/>
      <c r="AB341" s="8"/>
    </row>
    <row r="342" spans="1:28" ht="13.15" customHeight="1">
      <c r="A342" s="16">
        <f t="shared" si="115"/>
        <v>328</v>
      </c>
      <c r="B342" s="15">
        <f t="shared" si="123"/>
        <v>45609</v>
      </c>
      <c r="C342" s="14">
        <f t="shared" si="124"/>
        <v>844</v>
      </c>
      <c r="D342" s="13">
        <f t="shared" si="114"/>
        <v>1833</v>
      </c>
      <c r="E342" s="12">
        <f t="shared" si="116"/>
        <v>-155</v>
      </c>
      <c r="F342" s="12">
        <f t="shared" si="117"/>
        <v>-218</v>
      </c>
      <c r="G342" s="12">
        <f t="shared" si="118"/>
        <v>-318</v>
      </c>
      <c r="H342" s="8">
        <f t="shared" si="119"/>
        <v>2832</v>
      </c>
      <c r="I342" s="8">
        <f t="shared" si="120"/>
        <v>2895</v>
      </c>
      <c r="J342" s="8">
        <f t="shared" si="121"/>
        <v>2995</v>
      </c>
      <c r="K342" s="8">
        <f t="shared" si="128"/>
        <v>4000</v>
      </c>
      <c r="L342" s="8">
        <f t="shared" si="129"/>
        <v>4000</v>
      </c>
      <c r="M342" s="8">
        <f t="shared" si="130"/>
        <v>4000</v>
      </c>
      <c r="N342" s="8">
        <f t="shared" si="125"/>
        <v>-1168</v>
      </c>
      <c r="O342" s="8">
        <f t="shared" si="126"/>
        <v>-1105</v>
      </c>
      <c r="P342" s="8">
        <f t="shared" si="127"/>
        <v>-1005</v>
      </c>
      <c r="Q342" s="12">
        <v>3</v>
      </c>
      <c r="R342" s="12">
        <v>2</v>
      </c>
      <c r="S342" s="12">
        <v>7</v>
      </c>
      <c r="T342" s="11">
        <f t="shared" si="122"/>
        <v>-608</v>
      </c>
      <c r="U342" s="10">
        <f t="shared" si="112"/>
        <v>3102</v>
      </c>
      <c r="V342" s="10">
        <f t="shared" si="111"/>
        <v>3285</v>
      </c>
      <c r="W342" s="10">
        <f t="shared" si="113"/>
        <v>3335</v>
      </c>
      <c r="X342" s="9"/>
      <c r="Y342" s="8"/>
      <c r="Z342" s="8"/>
      <c r="AA342" s="8"/>
      <c r="AB342" s="8"/>
    </row>
    <row r="343" spans="1:28" ht="13.15" customHeight="1">
      <c r="A343" s="16">
        <f t="shared" si="115"/>
        <v>329</v>
      </c>
      <c r="B343" s="15">
        <f t="shared" si="123"/>
        <v>45610</v>
      </c>
      <c r="C343" s="14">
        <f t="shared" si="124"/>
        <v>844</v>
      </c>
      <c r="D343" s="13">
        <f t="shared" si="114"/>
        <v>1835</v>
      </c>
      <c r="E343" s="12">
        <f t="shared" si="116"/>
        <v>-151</v>
      </c>
      <c r="F343" s="12">
        <f t="shared" si="117"/>
        <v>-214</v>
      </c>
      <c r="G343" s="12">
        <f t="shared" si="118"/>
        <v>-312</v>
      </c>
      <c r="H343" s="8">
        <f t="shared" si="119"/>
        <v>2830</v>
      </c>
      <c r="I343" s="8">
        <f t="shared" si="120"/>
        <v>2893</v>
      </c>
      <c r="J343" s="8">
        <f t="shared" si="121"/>
        <v>2991</v>
      </c>
      <c r="K343" s="8">
        <f t="shared" si="128"/>
        <v>4000</v>
      </c>
      <c r="L343" s="8">
        <f t="shared" si="129"/>
        <v>4000</v>
      </c>
      <c r="M343" s="8">
        <f t="shared" si="130"/>
        <v>4000</v>
      </c>
      <c r="N343" s="8">
        <f t="shared" si="125"/>
        <v>-1170</v>
      </c>
      <c r="O343" s="8">
        <f t="shared" si="126"/>
        <v>-1107</v>
      </c>
      <c r="P343" s="8">
        <f t="shared" si="127"/>
        <v>-1009</v>
      </c>
      <c r="Q343" s="12">
        <v>2</v>
      </c>
      <c r="R343" s="12">
        <v>2</v>
      </c>
      <c r="S343" s="12">
        <v>4</v>
      </c>
      <c r="T343" s="11">
        <f t="shared" si="122"/>
        <v>-604</v>
      </c>
      <c r="U343" s="10">
        <f t="shared" si="112"/>
        <v>3100</v>
      </c>
      <c r="V343" s="10">
        <f t="shared" si="111"/>
        <v>3283</v>
      </c>
      <c r="W343" s="10">
        <f t="shared" si="113"/>
        <v>3331</v>
      </c>
      <c r="X343" s="9"/>
      <c r="Y343" s="8"/>
      <c r="Z343" s="8"/>
      <c r="AA343" s="8"/>
      <c r="AB343" s="8"/>
    </row>
    <row r="344" spans="1:28" ht="13.15" customHeight="1">
      <c r="A344" s="16">
        <f t="shared" si="115"/>
        <v>330</v>
      </c>
      <c r="B344" s="15">
        <f t="shared" si="123"/>
        <v>45611</v>
      </c>
      <c r="C344" s="14">
        <f t="shared" si="124"/>
        <v>844</v>
      </c>
      <c r="D344" s="13">
        <f t="shared" si="114"/>
        <v>1837</v>
      </c>
      <c r="E344" s="12">
        <f t="shared" si="116"/>
        <v>-148</v>
      </c>
      <c r="F344" s="12">
        <f t="shared" si="117"/>
        <v>-207</v>
      </c>
      <c r="G344" s="12">
        <f t="shared" si="118"/>
        <v>-305</v>
      </c>
      <c r="H344" s="8">
        <f t="shared" si="119"/>
        <v>2829</v>
      </c>
      <c r="I344" s="8">
        <f t="shared" si="120"/>
        <v>2888</v>
      </c>
      <c r="J344" s="8">
        <f t="shared" si="121"/>
        <v>2986</v>
      </c>
      <c r="K344" s="8">
        <f t="shared" si="128"/>
        <v>4000</v>
      </c>
      <c r="L344" s="8">
        <f t="shared" si="129"/>
        <v>4000</v>
      </c>
      <c r="M344" s="8">
        <f t="shared" si="130"/>
        <v>4000</v>
      </c>
      <c r="N344" s="8">
        <f t="shared" si="125"/>
        <v>-1171</v>
      </c>
      <c r="O344" s="8">
        <f t="shared" si="126"/>
        <v>-1112</v>
      </c>
      <c r="P344" s="8">
        <f t="shared" si="127"/>
        <v>-1014</v>
      </c>
      <c r="Q344" s="12">
        <v>1</v>
      </c>
      <c r="R344" s="12">
        <v>5</v>
      </c>
      <c r="S344" s="12">
        <v>5</v>
      </c>
      <c r="T344" s="11">
        <f t="shared" si="122"/>
        <v>-597</v>
      </c>
      <c r="U344" s="10">
        <f t="shared" si="112"/>
        <v>3099</v>
      </c>
      <c r="V344" s="10">
        <f t="shared" si="111"/>
        <v>3278</v>
      </c>
      <c r="W344" s="10">
        <f t="shared" si="113"/>
        <v>3326</v>
      </c>
      <c r="X344" s="9"/>
      <c r="Y344" s="8"/>
      <c r="Z344" s="8"/>
      <c r="AA344" s="8"/>
      <c r="AB344" s="8"/>
    </row>
    <row r="345" spans="1:28" ht="13.15" customHeight="1">
      <c r="A345" s="16">
        <f t="shared" si="115"/>
        <v>331</v>
      </c>
      <c r="B345" s="15">
        <f t="shared" si="123"/>
        <v>45612</v>
      </c>
      <c r="C345" s="14">
        <f t="shared" si="124"/>
        <v>844</v>
      </c>
      <c r="D345" s="13">
        <f t="shared" si="114"/>
        <v>1839</v>
      </c>
      <c r="E345" s="12">
        <f t="shared" si="116"/>
        <v>-143</v>
      </c>
      <c r="F345" s="12">
        <f t="shared" si="117"/>
        <v>-203</v>
      </c>
      <c r="G345" s="12">
        <f t="shared" si="118"/>
        <v>-300</v>
      </c>
      <c r="H345" s="8">
        <f t="shared" si="119"/>
        <v>2826</v>
      </c>
      <c r="I345" s="8">
        <f t="shared" si="120"/>
        <v>2886</v>
      </c>
      <c r="J345" s="8">
        <f t="shared" si="121"/>
        <v>2983</v>
      </c>
      <c r="K345" s="8">
        <f t="shared" si="128"/>
        <v>4000</v>
      </c>
      <c r="L345" s="8">
        <f t="shared" si="129"/>
        <v>4000</v>
      </c>
      <c r="M345" s="8">
        <f t="shared" si="130"/>
        <v>4000</v>
      </c>
      <c r="N345" s="8">
        <f t="shared" si="125"/>
        <v>-1174</v>
      </c>
      <c r="O345" s="8">
        <f t="shared" si="126"/>
        <v>-1114</v>
      </c>
      <c r="P345" s="8">
        <f t="shared" si="127"/>
        <v>-1017</v>
      </c>
      <c r="Q345" s="12">
        <v>3</v>
      </c>
      <c r="R345" s="12">
        <v>2</v>
      </c>
      <c r="S345" s="12">
        <v>3</v>
      </c>
      <c r="T345" s="11">
        <f t="shared" si="122"/>
        <v>-593</v>
      </c>
      <c r="U345" s="10">
        <f t="shared" si="112"/>
        <v>3096</v>
      </c>
      <c r="V345" s="10">
        <f t="shared" si="111"/>
        <v>3276</v>
      </c>
      <c r="W345" s="10">
        <f t="shared" si="113"/>
        <v>3323</v>
      </c>
      <c r="X345" s="9"/>
      <c r="Y345" s="8"/>
      <c r="Z345" s="8"/>
      <c r="AA345" s="8"/>
      <c r="AB345" s="8"/>
    </row>
    <row r="346" spans="1:28" ht="13.15" customHeight="1">
      <c r="A346" s="16">
        <f t="shared" si="115"/>
        <v>332</v>
      </c>
      <c r="B346" s="15">
        <f t="shared" si="123"/>
        <v>45613</v>
      </c>
      <c r="C346" s="14">
        <f t="shared" si="124"/>
        <v>844</v>
      </c>
      <c r="D346" s="13">
        <f t="shared" si="114"/>
        <v>1841</v>
      </c>
      <c r="E346" s="12">
        <f t="shared" si="116"/>
        <v>-139</v>
      </c>
      <c r="F346" s="12">
        <f t="shared" si="117"/>
        <v>-199</v>
      </c>
      <c r="G346" s="12">
        <f t="shared" si="118"/>
        <v>-296</v>
      </c>
      <c r="H346" s="8">
        <f t="shared" si="119"/>
        <v>2824</v>
      </c>
      <c r="I346" s="8">
        <f t="shared" si="120"/>
        <v>2884</v>
      </c>
      <c r="J346" s="8">
        <f t="shared" si="121"/>
        <v>2981</v>
      </c>
      <c r="K346" s="8">
        <f t="shared" si="128"/>
        <v>4000</v>
      </c>
      <c r="L346" s="8">
        <f t="shared" si="129"/>
        <v>4000</v>
      </c>
      <c r="M346" s="8">
        <f t="shared" si="130"/>
        <v>4000</v>
      </c>
      <c r="N346" s="8">
        <f t="shared" si="125"/>
        <v>-1176</v>
      </c>
      <c r="O346" s="8">
        <f t="shared" si="126"/>
        <v>-1116</v>
      </c>
      <c r="P346" s="8">
        <f t="shared" si="127"/>
        <v>-1019</v>
      </c>
      <c r="Q346" s="12">
        <v>2</v>
      </c>
      <c r="R346" s="12">
        <v>2</v>
      </c>
      <c r="S346" s="12">
        <v>2</v>
      </c>
      <c r="T346" s="11">
        <f t="shared" si="122"/>
        <v>-589</v>
      </c>
      <c r="U346" s="10">
        <f t="shared" si="112"/>
        <v>3094</v>
      </c>
      <c r="V346" s="10">
        <f t="shared" ref="V346:V409" si="131">V345+$X346*1000-R346</f>
        <v>3274</v>
      </c>
      <c r="W346" s="10">
        <f t="shared" si="113"/>
        <v>3321</v>
      </c>
      <c r="X346" s="9"/>
      <c r="Y346" s="8"/>
      <c r="Z346" s="8"/>
      <c r="AA346" s="8"/>
      <c r="AB346" s="8"/>
    </row>
    <row r="347" spans="1:28" ht="13.15" customHeight="1">
      <c r="A347" s="16">
        <f t="shared" si="115"/>
        <v>333</v>
      </c>
      <c r="B347" s="15">
        <f t="shared" si="123"/>
        <v>45614</v>
      </c>
      <c r="C347" s="14">
        <f t="shared" si="124"/>
        <v>844</v>
      </c>
      <c r="D347" s="13">
        <f t="shared" si="114"/>
        <v>1843</v>
      </c>
      <c r="E347" s="12">
        <f t="shared" si="116"/>
        <v>-136</v>
      </c>
      <c r="F347" s="12">
        <f t="shared" si="117"/>
        <v>-195</v>
      </c>
      <c r="G347" s="12">
        <f t="shared" si="118"/>
        <v>-292</v>
      </c>
      <c r="H347" s="8">
        <f t="shared" si="119"/>
        <v>2823</v>
      </c>
      <c r="I347" s="8">
        <f t="shared" si="120"/>
        <v>2882</v>
      </c>
      <c r="J347" s="8">
        <f t="shared" si="121"/>
        <v>2979</v>
      </c>
      <c r="K347" s="8">
        <f t="shared" si="128"/>
        <v>4000</v>
      </c>
      <c r="L347" s="8">
        <f t="shared" si="129"/>
        <v>4000</v>
      </c>
      <c r="M347" s="8">
        <f t="shared" si="130"/>
        <v>4000</v>
      </c>
      <c r="N347" s="8">
        <f t="shared" si="125"/>
        <v>-1177</v>
      </c>
      <c r="O347" s="8">
        <f t="shared" si="126"/>
        <v>-1118</v>
      </c>
      <c r="P347" s="8">
        <f t="shared" si="127"/>
        <v>-1021</v>
      </c>
      <c r="Q347" s="12">
        <v>1</v>
      </c>
      <c r="R347" s="12">
        <v>2</v>
      </c>
      <c r="S347" s="12">
        <v>2</v>
      </c>
      <c r="T347" s="11">
        <f t="shared" si="122"/>
        <v>-585</v>
      </c>
      <c r="U347" s="10">
        <f t="shared" ref="U347:U410" si="132">U346+$X347*1000-Q347</f>
        <v>3093</v>
      </c>
      <c r="V347" s="10">
        <f t="shared" si="131"/>
        <v>3272</v>
      </c>
      <c r="W347" s="10">
        <f t="shared" ref="W347:W410" si="133">W346+$X347*1000-S347</f>
        <v>3319</v>
      </c>
      <c r="X347" s="9"/>
      <c r="Y347" s="8"/>
      <c r="Z347" s="8"/>
      <c r="AA347" s="8"/>
      <c r="AB347" s="8"/>
    </row>
    <row r="348" spans="1:28" ht="13.15" customHeight="1">
      <c r="A348" s="16">
        <f t="shared" si="115"/>
        <v>334</v>
      </c>
      <c r="B348" s="15">
        <f t="shared" si="123"/>
        <v>45615</v>
      </c>
      <c r="C348" s="14">
        <f t="shared" si="124"/>
        <v>844</v>
      </c>
      <c r="D348" s="13">
        <f t="shared" si="114"/>
        <v>1845</v>
      </c>
      <c r="E348" s="12">
        <f t="shared" si="116"/>
        <v>-133</v>
      </c>
      <c r="F348" s="12">
        <f t="shared" si="117"/>
        <v>-190</v>
      </c>
      <c r="G348" s="12">
        <f t="shared" si="118"/>
        <v>-289</v>
      </c>
      <c r="H348" s="8">
        <f t="shared" si="119"/>
        <v>2822</v>
      </c>
      <c r="I348" s="8">
        <f t="shared" si="120"/>
        <v>2879</v>
      </c>
      <c r="J348" s="8">
        <f t="shared" si="121"/>
        <v>2978</v>
      </c>
      <c r="K348" s="8">
        <f t="shared" si="128"/>
        <v>4000</v>
      </c>
      <c r="L348" s="8">
        <f t="shared" si="129"/>
        <v>4000</v>
      </c>
      <c r="M348" s="8">
        <f t="shared" si="130"/>
        <v>4000</v>
      </c>
      <c r="N348" s="8">
        <f t="shared" si="125"/>
        <v>-1178</v>
      </c>
      <c r="O348" s="8">
        <f t="shared" si="126"/>
        <v>-1121</v>
      </c>
      <c r="P348" s="8">
        <f t="shared" si="127"/>
        <v>-1022</v>
      </c>
      <c r="Q348" s="12">
        <v>1</v>
      </c>
      <c r="R348" s="12">
        <v>3</v>
      </c>
      <c r="S348" s="12">
        <v>1</v>
      </c>
      <c r="T348" s="11">
        <f t="shared" si="122"/>
        <v>-580</v>
      </c>
      <c r="U348" s="10">
        <f t="shared" si="132"/>
        <v>3092</v>
      </c>
      <c r="V348" s="10">
        <f t="shared" si="131"/>
        <v>3269</v>
      </c>
      <c r="W348" s="10">
        <f t="shared" si="133"/>
        <v>3318</v>
      </c>
      <c r="X348" s="9"/>
      <c r="Y348" s="8"/>
      <c r="Z348" s="8"/>
      <c r="AA348" s="8"/>
      <c r="AB348" s="8"/>
    </row>
    <row r="349" spans="1:28" ht="13.15" customHeight="1">
      <c r="A349" s="16">
        <f t="shared" si="115"/>
        <v>335</v>
      </c>
      <c r="B349" s="15">
        <f t="shared" si="123"/>
        <v>45616</v>
      </c>
      <c r="C349" s="14">
        <f t="shared" si="124"/>
        <v>844</v>
      </c>
      <c r="D349" s="13">
        <f t="shared" si="114"/>
        <v>1847</v>
      </c>
      <c r="E349" s="12">
        <f t="shared" si="116"/>
        <v>-129</v>
      </c>
      <c r="F349" s="12">
        <f t="shared" si="117"/>
        <v>-186</v>
      </c>
      <c r="G349" s="12">
        <f t="shared" si="118"/>
        <v>-285</v>
      </c>
      <c r="H349" s="8">
        <f t="shared" si="119"/>
        <v>2820</v>
      </c>
      <c r="I349" s="8">
        <f t="shared" si="120"/>
        <v>2877</v>
      </c>
      <c r="J349" s="8">
        <f t="shared" si="121"/>
        <v>2976</v>
      </c>
      <c r="K349" s="8">
        <f t="shared" si="128"/>
        <v>4000</v>
      </c>
      <c r="L349" s="8">
        <f t="shared" si="129"/>
        <v>4000</v>
      </c>
      <c r="M349" s="8">
        <f t="shared" si="130"/>
        <v>4000</v>
      </c>
      <c r="N349" s="8">
        <f t="shared" si="125"/>
        <v>-1180</v>
      </c>
      <c r="O349" s="8">
        <f t="shared" si="126"/>
        <v>-1123</v>
      </c>
      <c r="P349" s="8">
        <f t="shared" si="127"/>
        <v>-1024</v>
      </c>
      <c r="Q349" s="12">
        <v>2</v>
      </c>
      <c r="R349" s="12">
        <v>2</v>
      </c>
      <c r="S349" s="12">
        <v>2</v>
      </c>
      <c r="T349" s="11">
        <f t="shared" si="122"/>
        <v>-576</v>
      </c>
      <c r="U349" s="10">
        <f t="shared" si="132"/>
        <v>3090</v>
      </c>
      <c r="V349" s="10">
        <f t="shared" si="131"/>
        <v>3267</v>
      </c>
      <c r="W349" s="10">
        <f t="shared" si="133"/>
        <v>3316</v>
      </c>
      <c r="X349" s="9"/>
      <c r="Y349" s="8"/>
      <c r="Z349" s="8"/>
      <c r="AA349" s="8"/>
      <c r="AB349" s="8"/>
    </row>
    <row r="350" spans="1:28" ht="13.15" customHeight="1">
      <c r="A350" s="16">
        <f t="shared" si="115"/>
        <v>336</v>
      </c>
      <c r="B350" s="15">
        <f t="shared" si="123"/>
        <v>45617</v>
      </c>
      <c r="C350" s="14">
        <f t="shared" si="124"/>
        <v>844</v>
      </c>
      <c r="D350" s="13">
        <f t="shared" si="114"/>
        <v>1849</v>
      </c>
      <c r="E350" s="12">
        <f t="shared" si="116"/>
        <v>-125</v>
      </c>
      <c r="F350" s="12">
        <f t="shared" si="117"/>
        <v>-179</v>
      </c>
      <c r="G350" s="12">
        <f t="shared" si="118"/>
        <v>-278</v>
      </c>
      <c r="H350" s="8">
        <f t="shared" si="119"/>
        <v>2818</v>
      </c>
      <c r="I350" s="8">
        <f t="shared" si="120"/>
        <v>2872</v>
      </c>
      <c r="J350" s="8">
        <f t="shared" si="121"/>
        <v>2971</v>
      </c>
      <c r="K350" s="8">
        <f t="shared" si="128"/>
        <v>4000</v>
      </c>
      <c r="L350" s="8">
        <f t="shared" si="129"/>
        <v>4000</v>
      </c>
      <c r="M350" s="8">
        <f t="shared" si="130"/>
        <v>4000</v>
      </c>
      <c r="N350" s="8">
        <f t="shared" si="125"/>
        <v>-1182</v>
      </c>
      <c r="O350" s="8">
        <f t="shared" si="126"/>
        <v>-1128</v>
      </c>
      <c r="P350" s="8">
        <f t="shared" si="127"/>
        <v>-1029</v>
      </c>
      <c r="Q350" s="12">
        <v>2</v>
      </c>
      <c r="R350" s="12">
        <v>5</v>
      </c>
      <c r="S350" s="12">
        <v>5</v>
      </c>
      <c r="T350" s="11">
        <f t="shared" si="122"/>
        <v>-569</v>
      </c>
      <c r="U350" s="10">
        <f t="shared" si="132"/>
        <v>3088</v>
      </c>
      <c r="V350" s="10">
        <f t="shared" si="131"/>
        <v>3262</v>
      </c>
      <c r="W350" s="10">
        <f t="shared" si="133"/>
        <v>3311</v>
      </c>
      <c r="X350" s="9"/>
      <c r="Y350" s="8"/>
      <c r="Z350" s="8"/>
      <c r="AA350" s="8"/>
      <c r="AB350" s="8"/>
    </row>
    <row r="351" spans="1:28" ht="13.15" customHeight="1">
      <c r="A351" s="16">
        <f t="shared" si="115"/>
        <v>337</v>
      </c>
      <c r="B351" s="15">
        <f t="shared" si="123"/>
        <v>45618</v>
      </c>
      <c r="C351" s="14">
        <f t="shared" si="124"/>
        <v>844</v>
      </c>
      <c r="D351" s="13">
        <f t="shared" si="114"/>
        <v>1851</v>
      </c>
      <c r="E351" s="12">
        <f t="shared" si="116"/>
        <v>-121</v>
      </c>
      <c r="F351" s="12">
        <f t="shared" si="117"/>
        <v>-172</v>
      </c>
      <c r="G351" s="12">
        <f t="shared" si="118"/>
        <v>-271</v>
      </c>
      <c r="H351" s="8">
        <f t="shared" si="119"/>
        <v>2816</v>
      </c>
      <c r="I351" s="8">
        <f t="shared" si="120"/>
        <v>2867</v>
      </c>
      <c r="J351" s="8">
        <f t="shared" si="121"/>
        <v>2966</v>
      </c>
      <c r="K351" s="8">
        <f t="shared" si="128"/>
        <v>4000</v>
      </c>
      <c r="L351" s="8">
        <f t="shared" si="129"/>
        <v>4000</v>
      </c>
      <c r="M351" s="8">
        <f t="shared" si="130"/>
        <v>4000</v>
      </c>
      <c r="N351" s="8">
        <f t="shared" si="125"/>
        <v>-1184</v>
      </c>
      <c r="O351" s="8">
        <f t="shared" si="126"/>
        <v>-1133</v>
      </c>
      <c r="P351" s="8">
        <f t="shared" si="127"/>
        <v>-1034</v>
      </c>
      <c r="Q351" s="12">
        <v>2</v>
      </c>
      <c r="R351" s="12">
        <v>5</v>
      </c>
      <c r="S351" s="12">
        <v>5</v>
      </c>
      <c r="T351" s="11">
        <f t="shared" si="122"/>
        <v>-562</v>
      </c>
      <c r="U351" s="10">
        <f t="shared" si="132"/>
        <v>3086</v>
      </c>
      <c r="V351" s="10">
        <f t="shared" si="131"/>
        <v>3257</v>
      </c>
      <c r="W351" s="10">
        <f t="shared" si="133"/>
        <v>3306</v>
      </c>
      <c r="X351" s="9"/>
      <c r="Y351" s="8"/>
      <c r="Z351" s="8"/>
      <c r="AA351" s="8"/>
      <c r="AB351" s="8"/>
    </row>
    <row r="352" spans="1:28" ht="13.15" customHeight="1">
      <c r="A352" s="16">
        <f t="shared" si="115"/>
        <v>338</v>
      </c>
      <c r="B352" s="15">
        <f t="shared" si="123"/>
        <v>45619</v>
      </c>
      <c r="C352" s="14">
        <f t="shared" si="124"/>
        <v>844</v>
      </c>
      <c r="D352" s="13">
        <f t="shared" si="114"/>
        <v>1853</v>
      </c>
      <c r="E352" s="12">
        <f t="shared" si="116"/>
        <v>-117</v>
      </c>
      <c r="F352" s="12">
        <f t="shared" si="117"/>
        <v>-166</v>
      </c>
      <c r="G352" s="12">
        <f t="shared" si="118"/>
        <v>-264</v>
      </c>
      <c r="H352" s="8">
        <f t="shared" si="119"/>
        <v>2814</v>
      </c>
      <c r="I352" s="8">
        <f t="shared" si="120"/>
        <v>2863</v>
      </c>
      <c r="J352" s="8">
        <f t="shared" si="121"/>
        <v>2961</v>
      </c>
      <c r="K352" s="8">
        <f t="shared" si="128"/>
        <v>4000</v>
      </c>
      <c r="L352" s="8">
        <f t="shared" si="129"/>
        <v>4000</v>
      </c>
      <c r="M352" s="8">
        <f t="shared" si="130"/>
        <v>4000</v>
      </c>
      <c r="N352" s="8">
        <f t="shared" si="125"/>
        <v>-1186</v>
      </c>
      <c r="O352" s="8">
        <f t="shared" si="126"/>
        <v>-1137</v>
      </c>
      <c r="P352" s="8">
        <f t="shared" si="127"/>
        <v>-1039</v>
      </c>
      <c r="Q352" s="12">
        <v>2</v>
      </c>
      <c r="R352" s="12">
        <v>4</v>
      </c>
      <c r="S352" s="12">
        <v>5</v>
      </c>
      <c r="T352" s="11">
        <f t="shared" si="122"/>
        <v>-556</v>
      </c>
      <c r="U352" s="10">
        <f t="shared" si="132"/>
        <v>3084</v>
      </c>
      <c r="V352" s="10">
        <f t="shared" si="131"/>
        <v>3253</v>
      </c>
      <c r="W352" s="10">
        <f t="shared" si="133"/>
        <v>3301</v>
      </c>
      <c r="X352" s="9"/>
      <c r="Y352" s="8"/>
      <c r="Z352" s="8"/>
      <c r="AA352" s="8"/>
      <c r="AB352" s="8"/>
    </row>
    <row r="353" spans="1:28" ht="13.15" customHeight="1">
      <c r="A353" s="16">
        <f t="shared" si="115"/>
        <v>339</v>
      </c>
      <c r="B353" s="15">
        <f t="shared" si="123"/>
        <v>45620</v>
      </c>
      <c r="C353" s="14">
        <f t="shared" si="124"/>
        <v>844</v>
      </c>
      <c r="D353" s="13">
        <f t="shared" si="114"/>
        <v>1855</v>
      </c>
      <c r="E353" s="12">
        <f t="shared" si="116"/>
        <v>-113</v>
      </c>
      <c r="F353" s="12">
        <f t="shared" si="117"/>
        <v>-161</v>
      </c>
      <c r="G353" s="12">
        <f t="shared" si="118"/>
        <v>-260</v>
      </c>
      <c r="H353" s="8">
        <f t="shared" si="119"/>
        <v>2812</v>
      </c>
      <c r="I353" s="8">
        <f t="shared" si="120"/>
        <v>2860</v>
      </c>
      <c r="J353" s="8">
        <f t="shared" si="121"/>
        <v>2959</v>
      </c>
      <c r="K353" s="8">
        <f t="shared" si="128"/>
        <v>4000</v>
      </c>
      <c r="L353" s="8">
        <f t="shared" si="129"/>
        <v>4000</v>
      </c>
      <c r="M353" s="8">
        <f t="shared" si="130"/>
        <v>4000</v>
      </c>
      <c r="N353" s="8">
        <f t="shared" si="125"/>
        <v>-1188</v>
      </c>
      <c r="O353" s="8">
        <f t="shared" si="126"/>
        <v>-1140</v>
      </c>
      <c r="P353" s="8">
        <f t="shared" si="127"/>
        <v>-1041</v>
      </c>
      <c r="Q353" s="12">
        <v>2</v>
      </c>
      <c r="R353" s="12">
        <v>3</v>
      </c>
      <c r="S353" s="12">
        <v>2</v>
      </c>
      <c r="T353" s="11">
        <f t="shared" si="122"/>
        <v>-551</v>
      </c>
      <c r="U353" s="10">
        <f t="shared" si="132"/>
        <v>3082</v>
      </c>
      <c r="V353" s="10">
        <f t="shared" si="131"/>
        <v>3250</v>
      </c>
      <c r="W353" s="10">
        <f t="shared" si="133"/>
        <v>3299</v>
      </c>
      <c r="X353" s="9"/>
      <c r="Y353" s="8"/>
      <c r="Z353" s="8"/>
      <c r="AA353" s="8"/>
      <c r="AB353" s="8"/>
    </row>
    <row r="354" spans="1:28" ht="13.15" customHeight="1">
      <c r="A354" s="16">
        <f t="shared" si="115"/>
        <v>340</v>
      </c>
      <c r="B354" s="15">
        <f t="shared" si="123"/>
        <v>45621</v>
      </c>
      <c r="C354" s="14">
        <f t="shared" si="124"/>
        <v>844</v>
      </c>
      <c r="D354" s="13">
        <f t="shared" si="114"/>
        <v>1857</v>
      </c>
      <c r="E354" s="12">
        <f t="shared" si="116"/>
        <v>-109</v>
      </c>
      <c r="F354" s="12">
        <f t="shared" si="117"/>
        <v>-157</v>
      </c>
      <c r="G354" s="12">
        <f t="shared" si="118"/>
        <v>-256</v>
      </c>
      <c r="H354" s="8">
        <f t="shared" si="119"/>
        <v>2810</v>
      </c>
      <c r="I354" s="8">
        <f t="shared" si="120"/>
        <v>2858</v>
      </c>
      <c r="J354" s="8">
        <f t="shared" si="121"/>
        <v>2957</v>
      </c>
      <c r="K354" s="8">
        <f t="shared" si="128"/>
        <v>4000</v>
      </c>
      <c r="L354" s="8">
        <f t="shared" si="129"/>
        <v>4000</v>
      </c>
      <c r="M354" s="8">
        <f t="shared" si="130"/>
        <v>4000</v>
      </c>
      <c r="N354" s="8">
        <f t="shared" si="125"/>
        <v>-1190</v>
      </c>
      <c r="O354" s="8">
        <f t="shared" si="126"/>
        <v>-1142</v>
      </c>
      <c r="P354" s="8">
        <f t="shared" si="127"/>
        <v>-1043</v>
      </c>
      <c r="Q354" s="12">
        <v>2</v>
      </c>
      <c r="R354" s="12">
        <v>2</v>
      </c>
      <c r="S354" s="12">
        <v>2</v>
      </c>
      <c r="T354" s="11">
        <f t="shared" si="122"/>
        <v>-547</v>
      </c>
      <c r="U354" s="10">
        <f t="shared" si="132"/>
        <v>3080</v>
      </c>
      <c r="V354" s="10">
        <f t="shared" si="131"/>
        <v>3248</v>
      </c>
      <c r="W354" s="10">
        <f t="shared" si="133"/>
        <v>3297</v>
      </c>
      <c r="X354" s="9"/>
      <c r="Y354" s="8"/>
      <c r="Z354" s="8"/>
      <c r="AA354" s="8"/>
      <c r="AB354" s="8"/>
    </row>
    <row r="355" spans="1:28" ht="13.15" customHeight="1">
      <c r="A355" s="16">
        <f t="shared" si="115"/>
        <v>341</v>
      </c>
      <c r="B355" s="15">
        <f t="shared" si="123"/>
        <v>45622</v>
      </c>
      <c r="C355" s="14">
        <f t="shared" si="124"/>
        <v>844</v>
      </c>
      <c r="D355" s="13">
        <f t="shared" si="114"/>
        <v>1859</v>
      </c>
      <c r="E355" s="12">
        <f t="shared" si="116"/>
        <v>-104</v>
      </c>
      <c r="F355" s="12">
        <f t="shared" si="117"/>
        <v>-154</v>
      </c>
      <c r="G355" s="12">
        <f t="shared" si="118"/>
        <v>-246</v>
      </c>
      <c r="H355" s="8">
        <f t="shared" si="119"/>
        <v>2807</v>
      </c>
      <c r="I355" s="8">
        <f t="shared" si="120"/>
        <v>2857</v>
      </c>
      <c r="J355" s="8">
        <f t="shared" si="121"/>
        <v>2949</v>
      </c>
      <c r="K355" s="8">
        <f t="shared" si="128"/>
        <v>4000</v>
      </c>
      <c r="L355" s="8">
        <f t="shared" si="129"/>
        <v>4000</v>
      </c>
      <c r="M355" s="8">
        <f t="shared" si="130"/>
        <v>4000</v>
      </c>
      <c r="N355" s="8">
        <f t="shared" si="125"/>
        <v>-1193</v>
      </c>
      <c r="O355" s="8">
        <f t="shared" si="126"/>
        <v>-1143</v>
      </c>
      <c r="P355" s="8">
        <f t="shared" si="127"/>
        <v>-1051</v>
      </c>
      <c r="Q355" s="12">
        <v>3</v>
      </c>
      <c r="R355" s="12">
        <v>1</v>
      </c>
      <c r="S355" s="12">
        <v>8</v>
      </c>
      <c r="T355" s="11">
        <f t="shared" si="122"/>
        <v>-544</v>
      </c>
      <c r="U355" s="10">
        <f t="shared" si="132"/>
        <v>3077</v>
      </c>
      <c r="V355" s="10">
        <f t="shared" si="131"/>
        <v>3247</v>
      </c>
      <c r="W355" s="10">
        <f t="shared" si="133"/>
        <v>3289</v>
      </c>
      <c r="X355" s="9"/>
      <c r="Y355" s="8"/>
      <c r="Z355" s="8"/>
      <c r="AA355" s="8"/>
      <c r="AB355" s="8"/>
    </row>
    <row r="356" spans="1:28" ht="13.15" customHeight="1">
      <c r="A356" s="16">
        <f t="shared" si="115"/>
        <v>342</v>
      </c>
      <c r="B356" s="15">
        <f t="shared" si="123"/>
        <v>45623</v>
      </c>
      <c r="C356" s="14">
        <f t="shared" si="124"/>
        <v>844</v>
      </c>
      <c r="D356" s="13">
        <f t="shared" si="114"/>
        <v>1861</v>
      </c>
      <c r="E356" s="12">
        <f t="shared" si="116"/>
        <v>-100</v>
      </c>
      <c r="F356" s="12">
        <f t="shared" si="117"/>
        <v>-150</v>
      </c>
      <c r="G356" s="12">
        <f t="shared" si="118"/>
        <v>-238</v>
      </c>
      <c r="H356" s="8">
        <f t="shared" si="119"/>
        <v>2805</v>
      </c>
      <c r="I356" s="8">
        <f t="shared" si="120"/>
        <v>2855</v>
      </c>
      <c r="J356" s="8">
        <f t="shared" si="121"/>
        <v>2943</v>
      </c>
      <c r="K356" s="8">
        <f t="shared" si="128"/>
        <v>4000</v>
      </c>
      <c r="L356" s="8">
        <f t="shared" si="129"/>
        <v>4000</v>
      </c>
      <c r="M356" s="8">
        <f t="shared" si="130"/>
        <v>4000</v>
      </c>
      <c r="N356" s="8">
        <f t="shared" si="125"/>
        <v>-1195</v>
      </c>
      <c r="O356" s="8">
        <f t="shared" si="126"/>
        <v>-1145</v>
      </c>
      <c r="P356" s="8">
        <f t="shared" si="127"/>
        <v>-1057</v>
      </c>
      <c r="Q356" s="12">
        <v>2</v>
      </c>
      <c r="R356" s="12">
        <v>2</v>
      </c>
      <c r="S356" s="12">
        <v>6</v>
      </c>
      <c r="T356" s="11">
        <f t="shared" si="122"/>
        <v>-540</v>
      </c>
      <c r="U356" s="10">
        <f t="shared" si="132"/>
        <v>3075</v>
      </c>
      <c r="V356" s="10">
        <f t="shared" si="131"/>
        <v>3245</v>
      </c>
      <c r="W356" s="10">
        <f t="shared" si="133"/>
        <v>3283</v>
      </c>
      <c r="X356" s="9"/>
      <c r="Y356" s="8"/>
      <c r="Z356" s="8"/>
      <c r="AA356" s="8"/>
      <c r="AB356" s="8"/>
    </row>
    <row r="357" spans="1:28" ht="13.15" customHeight="1">
      <c r="A357" s="16">
        <f t="shared" si="115"/>
        <v>343</v>
      </c>
      <c r="B357" s="15">
        <f t="shared" si="123"/>
        <v>45624</v>
      </c>
      <c r="C357" s="14">
        <f t="shared" si="124"/>
        <v>844</v>
      </c>
      <c r="D357" s="13">
        <f t="shared" si="114"/>
        <v>1863</v>
      </c>
      <c r="E357" s="12">
        <f t="shared" si="116"/>
        <v>-95</v>
      </c>
      <c r="F357" s="12">
        <f t="shared" si="117"/>
        <v>-146</v>
      </c>
      <c r="G357" s="12">
        <f t="shared" si="118"/>
        <v>-229</v>
      </c>
      <c r="H357" s="8">
        <f t="shared" si="119"/>
        <v>2802</v>
      </c>
      <c r="I357" s="8">
        <f t="shared" si="120"/>
        <v>2853</v>
      </c>
      <c r="J357" s="8">
        <f t="shared" si="121"/>
        <v>2936</v>
      </c>
      <c r="K357" s="8">
        <f t="shared" si="128"/>
        <v>4000</v>
      </c>
      <c r="L357" s="8">
        <f t="shared" si="129"/>
        <v>4000</v>
      </c>
      <c r="M357" s="8">
        <f t="shared" si="130"/>
        <v>4000</v>
      </c>
      <c r="N357" s="8">
        <f t="shared" si="125"/>
        <v>-1198</v>
      </c>
      <c r="O357" s="8">
        <f t="shared" si="126"/>
        <v>-1147</v>
      </c>
      <c r="P357" s="8">
        <f t="shared" si="127"/>
        <v>-1064</v>
      </c>
      <c r="Q357" s="12">
        <v>3</v>
      </c>
      <c r="R357" s="12">
        <v>2</v>
      </c>
      <c r="S357" s="12">
        <v>7</v>
      </c>
      <c r="T357" s="11">
        <f t="shared" si="122"/>
        <v>-536</v>
      </c>
      <c r="U357" s="10">
        <f t="shared" si="132"/>
        <v>3072</v>
      </c>
      <c r="V357" s="10">
        <f t="shared" si="131"/>
        <v>3243</v>
      </c>
      <c r="W357" s="10">
        <f t="shared" si="133"/>
        <v>3276</v>
      </c>
      <c r="X357" s="9"/>
      <c r="Y357" s="8"/>
      <c r="Z357" s="8"/>
      <c r="AA357" s="8"/>
      <c r="AB357" s="8"/>
    </row>
    <row r="358" spans="1:28" ht="13.15" customHeight="1">
      <c r="A358" s="16">
        <f t="shared" si="115"/>
        <v>344</v>
      </c>
      <c r="B358" s="15">
        <f t="shared" si="123"/>
        <v>45625</v>
      </c>
      <c r="C358" s="14">
        <f t="shared" si="124"/>
        <v>844</v>
      </c>
      <c r="D358" s="13">
        <f t="shared" si="114"/>
        <v>1865</v>
      </c>
      <c r="E358" s="12">
        <f t="shared" si="116"/>
        <v>-91</v>
      </c>
      <c r="F358" s="12">
        <f t="shared" si="117"/>
        <v>-142</v>
      </c>
      <c r="G358" s="12">
        <f t="shared" si="118"/>
        <v>-223</v>
      </c>
      <c r="H358" s="8">
        <f t="shared" si="119"/>
        <v>2800</v>
      </c>
      <c r="I358" s="8">
        <f t="shared" si="120"/>
        <v>2851</v>
      </c>
      <c r="J358" s="8">
        <f t="shared" si="121"/>
        <v>2932</v>
      </c>
      <c r="K358" s="8">
        <f t="shared" si="128"/>
        <v>4000</v>
      </c>
      <c r="L358" s="8">
        <f t="shared" si="129"/>
        <v>4000</v>
      </c>
      <c r="M358" s="8">
        <f t="shared" si="130"/>
        <v>4000</v>
      </c>
      <c r="N358" s="8">
        <f t="shared" si="125"/>
        <v>-1200</v>
      </c>
      <c r="O358" s="8">
        <f t="shared" si="126"/>
        <v>-1149</v>
      </c>
      <c r="P358" s="8">
        <f t="shared" si="127"/>
        <v>-1068</v>
      </c>
      <c r="Q358" s="12">
        <v>2</v>
      </c>
      <c r="R358" s="12">
        <v>2</v>
      </c>
      <c r="S358" s="12">
        <v>4</v>
      </c>
      <c r="T358" s="11">
        <f t="shared" si="122"/>
        <v>-532</v>
      </c>
      <c r="U358" s="10">
        <f t="shared" si="132"/>
        <v>3070</v>
      </c>
      <c r="V358" s="10">
        <f t="shared" si="131"/>
        <v>3241</v>
      </c>
      <c r="W358" s="10">
        <f t="shared" si="133"/>
        <v>3272</v>
      </c>
      <c r="X358" s="9"/>
      <c r="Y358" s="8"/>
      <c r="Z358" s="8"/>
      <c r="AA358" s="8"/>
      <c r="AB358" s="8"/>
    </row>
    <row r="359" spans="1:28" ht="13.15" customHeight="1">
      <c r="A359" s="16">
        <f t="shared" si="115"/>
        <v>345</v>
      </c>
      <c r="B359" s="15">
        <f t="shared" si="123"/>
        <v>45626</v>
      </c>
      <c r="C359" s="14">
        <f t="shared" si="124"/>
        <v>844</v>
      </c>
      <c r="D359" s="13">
        <f t="shared" si="114"/>
        <v>1867</v>
      </c>
      <c r="E359" s="12">
        <f t="shared" si="116"/>
        <v>-88</v>
      </c>
      <c r="F359" s="12">
        <f t="shared" si="117"/>
        <v>-138</v>
      </c>
      <c r="G359" s="12">
        <f t="shared" si="118"/>
        <v>-216</v>
      </c>
      <c r="H359" s="8">
        <f t="shared" si="119"/>
        <v>2799</v>
      </c>
      <c r="I359" s="8">
        <f t="shared" si="120"/>
        <v>2849</v>
      </c>
      <c r="J359" s="8">
        <f t="shared" si="121"/>
        <v>2927</v>
      </c>
      <c r="K359" s="8">
        <f t="shared" si="128"/>
        <v>4000</v>
      </c>
      <c r="L359" s="8">
        <f t="shared" si="129"/>
        <v>4000</v>
      </c>
      <c r="M359" s="8">
        <f t="shared" si="130"/>
        <v>4000</v>
      </c>
      <c r="N359" s="8">
        <f t="shared" si="125"/>
        <v>-1201</v>
      </c>
      <c r="O359" s="8">
        <f t="shared" si="126"/>
        <v>-1151</v>
      </c>
      <c r="P359" s="8">
        <f t="shared" si="127"/>
        <v>-1073</v>
      </c>
      <c r="Q359" s="12">
        <v>1</v>
      </c>
      <c r="R359" s="12">
        <v>2</v>
      </c>
      <c r="S359" s="12">
        <v>5</v>
      </c>
      <c r="T359" s="11">
        <f t="shared" si="122"/>
        <v>-528</v>
      </c>
      <c r="U359" s="10">
        <f t="shared" si="132"/>
        <v>3069</v>
      </c>
      <c r="V359" s="10">
        <f t="shared" si="131"/>
        <v>3239</v>
      </c>
      <c r="W359" s="10">
        <f t="shared" si="133"/>
        <v>3267</v>
      </c>
      <c r="X359" s="9"/>
      <c r="Y359" s="8"/>
      <c r="Z359" s="8"/>
      <c r="AA359" s="8"/>
      <c r="AB359" s="8"/>
    </row>
    <row r="360" spans="1:28" ht="13.15" customHeight="1">
      <c r="A360" s="16">
        <f t="shared" si="115"/>
        <v>346</v>
      </c>
      <c r="B360" s="15">
        <f t="shared" si="123"/>
        <v>45627</v>
      </c>
      <c r="C360" s="14">
        <f t="shared" si="124"/>
        <v>844</v>
      </c>
      <c r="D360" s="13">
        <f t="shared" si="114"/>
        <v>1869</v>
      </c>
      <c r="E360" s="12">
        <f t="shared" si="116"/>
        <v>-83</v>
      </c>
      <c r="F360" s="12">
        <f t="shared" si="117"/>
        <v>-134</v>
      </c>
      <c r="G360" s="12">
        <f t="shared" si="118"/>
        <v>-211</v>
      </c>
      <c r="H360" s="8">
        <f t="shared" si="119"/>
        <v>2796</v>
      </c>
      <c r="I360" s="8">
        <f t="shared" si="120"/>
        <v>2847</v>
      </c>
      <c r="J360" s="8">
        <f t="shared" si="121"/>
        <v>2924</v>
      </c>
      <c r="K360" s="8">
        <f t="shared" si="128"/>
        <v>4000</v>
      </c>
      <c r="L360" s="8">
        <f t="shared" si="129"/>
        <v>4000</v>
      </c>
      <c r="M360" s="8">
        <f t="shared" si="130"/>
        <v>4000</v>
      </c>
      <c r="N360" s="8">
        <f t="shared" si="125"/>
        <v>-1204</v>
      </c>
      <c r="O360" s="8">
        <f t="shared" si="126"/>
        <v>-1153</v>
      </c>
      <c r="P360" s="8">
        <f t="shared" si="127"/>
        <v>-1076</v>
      </c>
      <c r="Q360" s="12">
        <v>3</v>
      </c>
      <c r="R360" s="12">
        <v>2</v>
      </c>
      <c r="S360" s="12">
        <v>3</v>
      </c>
      <c r="T360" s="11">
        <f t="shared" si="122"/>
        <v>-524</v>
      </c>
      <c r="U360" s="10">
        <f t="shared" si="132"/>
        <v>3066</v>
      </c>
      <c r="V360" s="10">
        <f t="shared" si="131"/>
        <v>3237</v>
      </c>
      <c r="W360" s="10">
        <f t="shared" si="133"/>
        <v>3264</v>
      </c>
      <c r="X360" s="9"/>
      <c r="Y360" s="8"/>
      <c r="Z360" s="8"/>
      <c r="AA360" s="8"/>
      <c r="AB360" s="8"/>
    </row>
    <row r="361" spans="1:28" ht="13.15" customHeight="1">
      <c r="A361" s="16">
        <f t="shared" si="115"/>
        <v>347</v>
      </c>
      <c r="B361" s="15">
        <f t="shared" si="123"/>
        <v>45628</v>
      </c>
      <c r="C361" s="14">
        <f t="shared" si="124"/>
        <v>844</v>
      </c>
      <c r="D361" s="13">
        <f t="shared" si="114"/>
        <v>1871</v>
      </c>
      <c r="E361" s="12">
        <f t="shared" si="116"/>
        <v>-79</v>
      </c>
      <c r="F361" s="12">
        <f t="shared" si="117"/>
        <v>-130</v>
      </c>
      <c r="G361" s="12">
        <f t="shared" si="118"/>
        <v>-207</v>
      </c>
      <c r="H361" s="8">
        <f t="shared" si="119"/>
        <v>2794</v>
      </c>
      <c r="I361" s="8">
        <f t="shared" si="120"/>
        <v>2845</v>
      </c>
      <c r="J361" s="8">
        <f t="shared" si="121"/>
        <v>2922</v>
      </c>
      <c r="K361" s="8">
        <f t="shared" si="128"/>
        <v>4000</v>
      </c>
      <c r="L361" s="8">
        <f t="shared" si="129"/>
        <v>4000</v>
      </c>
      <c r="M361" s="8">
        <f t="shared" si="130"/>
        <v>4000</v>
      </c>
      <c r="N361" s="8">
        <f t="shared" si="125"/>
        <v>-1206</v>
      </c>
      <c r="O361" s="8">
        <f t="shared" si="126"/>
        <v>-1155</v>
      </c>
      <c r="P361" s="8">
        <f t="shared" si="127"/>
        <v>-1078</v>
      </c>
      <c r="Q361" s="12">
        <v>2</v>
      </c>
      <c r="R361" s="12">
        <v>2</v>
      </c>
      <c r="S361" s="12">
        <v>2</v>
      </c>
      <c r="T361" s="11">
        <f t="shared" si="122"/>
        <v>-520</v>
      </c>
      <c r="U361" s="10">
        <f t="shared" si="132"/>
        <v>3064</v>
      </c>
      <c r="V361" s="10">
        <f t="shared" si="131"/>
        <v>3235</v>
      </c>
      <c r="W361" s="10">
        <f t="shared" si="133"/>
        <v>3262</v>
      </c>
      <c r="X361" s="9"/>
      <c r="Y361" s="8"/>
      <c r="Z361" s="8"/>
      <c r="AA361" s="8"/>
      <c r="AB361" s="8"/>
    </row>
    <row r="362" spans="1:28" ht="13.15" customHeight="1">
      <c r="A362" s="16">
        <f t="shared" si="115"/>
        <v>348</v>
      </c>
      <c r="B362" s="15">
        <f t="shared" si="123"/>
        <v>45629</v>
      </c>
      <c r="C362" s="14">
        <f t="shared" si="124"/>
        <v>844</v>
      </c>
      <c r="D362" s="13">
        <f t="shared" si="114"/>
        <v>1873</v>
      </c>
      <c r="E362" s="12">
        <f t="shared" si="116"/>
        <v>-76</v>
      </c>
      <c r="F362" s="12">
        <f t="shared" si="117"/>
        <v>-123</v>
      </c>
      <c r="G362" s="12">
        <f t="shared" si="118"/>
        <v>-203</v>
      </c>
      <c r="H362" s="8">
        <f t="shared" si="119"/>
        <v>2793</v>
      </c>
      <c r="I362" s="8">
        <f t="shared" si="120"/>
        <v>2840</v>
      </c>
      <c r="J362" s="8">
        <f t="shared" si="121"/>
        <v>2920</v>
      </c>
      <c r="K362" s="8">
        <f t="shared" si="128"/>
        <v>4000</v>
      </c>
      <c r="L362" s="8">
        <f t="shared" si="129"/>
        <v>4000</v>
      </c>
      <c r="M362" s="8">
        <f t="shared" si="130"/>
        <v>4000</v>
      </c>
      <c r="N362" s="8">
        <f t="shared" si="125"/>
        <v>-1207</v>
      </c>
      <c r="O362" s="8">
        <f t="shared" si="126"/>
        <v>-1160</v>
      </c>
      <c r="P362" s="8">
        <f t="shared" si="127"/>
        <v>-1080</v>
      </c>
      <c r="Q362" s="12">
        <v>1</v>
      </c>
      <c r="R362" s="12">
        <v>5</v>
      </c>
      <c r="S362" s="12">
        <v>2</v>
      </c>
      <c r="T362" s="11">
        <f t="shared" si="122"/>
        <v>-513</v>
      </c>
      <c r="U362" s="10">
        <f t="shared" si="132"/>
        <v>3063</v>
      </c>
      <c r="V362" s="10">
        <f t="shared" si="131"/>
        <v>3230</v>
      </c>
      <c r="W362" s="10">
        <f t="shared" si="133"/>
        <v>3260</v>
      </c>
      <c r="X362" s="9"/>
      <c r="Y362" s="8"/>
      <c r="Z362" s="8"/>
      <c r="AA362" s="8"/>
      <c r="AB362" s="8"/>
    </row>
    <row r="363" spans="1:28" ht="13.15" customHeight="1">
      <c r="A363" s="16">
        <f t="shared" si="115"/>
        <v>349</v>
      </c>
      <c r="B363" s="15">
        <f t="shared" si="123"/>
        <v>45630</v>
      </c>
      <c r="C363" s="14">
        <f t="shared" si="124"/>
        <v>844</v>
      </c>
      <c r="D363" s="13">
        <f t="shared" si="114"/>
        <v>1875</v>
      </c>
      <c r="E363" s="12">
        <f t="shared" si="116"/>
        <v>-72</v>
      </c>
      <c r="F363" s="12">
        <f t="shared" si="117"/>
        <v>-116</v>
      </c>
      <c r="G363" s="12">
        <f t="shared" si="118"/>
        <v>-200</v>
      </c>
      <c r="H363" s="8">
        <f t="shared" si="119"/>
        <v>2791</v>
      </c>
      <c r="I363" s="8">
        <f t="shared" si="120"/>
        <v>2835</v>
      </c>
      <c r="J363" s="8">
        <f t="shared" si="121"/>
        <v>2919</v>
      </c>
      <c r="K363" s="8">
        <f t="shared" si="128"/>
        <v>4000</v>
      </c>
      <c r="L363" s="8">
        <f t="shared" si="129"/>
        <v>4000</v>
      </c>
      <c r="M363" s="8">
        <f t="shared" si="130"/>
        <v>4000</v>
      </c>
      <c r="N363" s="8">
        <f t="shared" si="125"/>
        <v>-1209</v>
      </c>
      <c r="O363" s="8">
        <f t="shared" si="126"/>
        <v>-1165</v>
      </c>
      <c r="P363" s="8">
        <f t="shared" si="127"/>
        <v>-1081</v>
      </c>
      <c r="Q363" s="12">
        <v>2</v>
      </c>
      <c r="R363" s="12">
        <v>5</v>
      </c>
      <c r="S363" s="12">
        <v>1</v>
      </c>
      <c r="T363" s="11">
        <f t="shared" si="122"/>
        <v>-506</v>
      </c>
      <c r="U363" s="10">
        <f t="shared" si="132"/>
        <v>3061</v>
      </c>
      <c r="V363" s="10">
        <f t="shared" si="131"/>
        <v>3225</v>
      </c>
      <c r="W363" s="10">
        <f t="shared" si="133"/>
        <v>3259</v>
      </c>
      <c r="X363" s="9"/>
      <c r="Y363" s="8"/>
      <c r="Z363" s="8"/>
      <c r="AA363" s="8"/>
      <c r="AB363" s="8"/>
    </row>
    <row r="364" spans="1:28" ht="13.15" customHeight="1">
      <c r="A364" s="16">
        <f t="shared" si="115"/>
        <v>350</v>
      </c>
      <c r="B364" s="15">
        <f t="shared" si="123"/>
        <v>45631</v>
      </c>
      <c r="C364" s="14">
        <f t="shared" si="124"/>
        <v>844</v>
      </c>
      <c r="D364" s="13">
        <f t="shared" si="114"/>
        <v>1877</v>
      </c>
      <c r="E364" s="12">
        <f t="shared" si="116"/>
        <v>-68</v>
      </c>
      <c r="F364" s="12">
        <f t="shared" si="117"/>
        <v>-109</v>
      </c>
      <c r="G364" s="12">
        <f t="shared" si="118"/>
        <v>-196</v>
      </c>
      <c r="H364" s="8">
        <f t="shared" si="119"/>
        <v>2789</v>
      </c>
      <c r="I364" s="8">
        <f t="shared" si="120"/>
        <v>2830</v>
      </c>
      <c r="J364" s="8">
        <f t="shared" si="121"/>
        <v>2917</v>
      </c>
      <c r="K364" s="8">
        <f t="shared" si="128"/>
        <v>4000</v>
      </c>
      <c r="L364" s="8">
        <f t="shared" si="129"/>
        <v>4000</v>
      </c>
      <c r="M364" s="8">
        <f t="shared" si="130"/>
        <v>4000</v>
      </c>
      <c r="N364" s="8">
        <f t="shared" si="125"/>
        <v>-1211</v>
      </c>
      <c r="O364" s="8">
        <f t="shared" si="126"/>
        <v>-1170</v>
      </c>
      <c r="P364" s="8">
        <f t="shared" si="127"/>
        <v>-1083</v>
      </c>
      <c r="Q364" s="12">
        <v>2</v>
      </c>
      <c r="R364" s="12">
        <v>5</v>
      </c>
      <c r="S364" s="12">
        <v>2</v>
      </c>
      <c r="T364" s="11">
        <f t="shared" si="122"/>
        <v>-499</v>
      </c>
      <c r="U364" s="10">
        <f t="shared" si="132"/>
        <v>3059</v>
      </c>
      <c r="V364" s="10">
        <f t="shared" si="131"/>
        <v>3220</v>
      </c>
      <c r="W364" s="10">
        <f t="shared" si="133"/>
        <v>3257</v>
      </c>
      <c r="X364" s="9"/>
      <c r="Y364" s="8"/>
      <c r="Z364" s="8"/>
      <c r="AA364" s="8"/>
      <c r="AB364" s="8"/>
    </row>
    <row r="365" spans="1:28" ht="13.15" customHeight="1">
      <c r="A365" s="16">
        <f t="shared" si="115"/>
        <v>351</v>
      </c>
      <c r="B365" s="15">
        <f t="shared" si="123"/>
        <v>45632</v>
      </c>
      <c r="C365" s="14">
        <f t="shared" si="124"/>
        <v>844</v>
      </c>
      <c r="D365" s="13">
        <f t="shared" si="114"/>
        <v>1879</v>
      </c>
      <c r="E365" s="12">
        <f t="shared" si="116"/>
        <v>-64</v>
      </c>
      <c r="F365" s="12">
        <f t="shared" si="117"/>
        <v>-103</v>
      </c>
      <c r="G365" s="12">
        <f t="shared" si="118"/>
        <v>-189</v>
      </c>
      <c r="H365" s="8">
        <f t="shared" si="119"/>
        <v>2787</v>
      </c>
      <c r="I365" s="8">
        <f t="shared" si="120"/>
        <v>2826</v>
      </c>
      <c r="J365" s="8">
        <f t="shared" si="121"/>
        <v>2912</v>
      </c>
      <c r="K365" s="8">
        <f t="shared" si="128"/>
        <v>4000</v>
      </c>
      <c r="L365" s="8">
        <f t="shared" si="129"/>
        <v>4000</v>
      </c>
      <c r="M365" s="8">
        <f t="shared" si="130"/>
        <v>4000</v>
      </c>
      <c r="N365" s="8">
        <f t="shared" si="125"/>
        <v>-1213</v>
      </c>
      <c r="O365" s="8">
        <f t="shared" si="126"/>
        <v>-1174</v>
      </c>
      <c r="P365" s="8">
        <f t="shared" si="127"/>
        <v>-1088</v>
      </c>
      <c r="Q365" s="12">
        <v>2</v>
      </c>
      <c r="R365" s="12">
        <v>4</v>
      </c>
      <c r="S365" s="12">
        <v>5</v>
      </c>
      <c r="T365" s="11">
        <f t="shared" si="122"/>
        <v>-493</v>
      </c>
      <c r="U365" s="10">
        <f t="shared" si="132"/>
        <v>3057</v>
      </c>
      <c r="V365" s="10">
        <f t="shared" si="131"/>
        <v>3216</v>
      </c>
      <c r="W365" s="10">
        <f t="shared" si="133"/>
        <v>3252</v>
      </c>
      <c r="X365" s="9"/>
      <c r="Y365" s="8"/>
      <c r="Z365" s="8"/>
      <c r="AA365" s="8"/>
      <c r="AB365" s="8"/>
    </row>
    <row r="366" spans="1:28" ht="13.15" customHeight="1">
      <c r="A366" s="16">
        <f t="shared" si="115"/>
        <v>352</v>
      </c>
      <c r="B366" s="15">
        <f t="shared" si="123"/>
        <v>45633</v>
      </c>
      <c r="C366" s="14">
        <f t="shared" si="124"/>
        <v>844</v>
      </c>
      <c r="D366" s="13">
        <f t="shared" si="114"/>
        <v>1881</v>
      </c>
      <c r="E366" s="12">
        <f t="shared" si="116"/>
        <v>-60</v>
      </c>
      <c r="F366" s="12">
        <f t="shared" si="117"/>
        <v>-98</v>
      </c>
      <c r="G366" s="12">
        <f t="shared" si="118"/>
        <v>-182</v>
      </c>
      <c r="H366" s="8">
        <f t="shared" si="119"/>
        <v>2785</v>
      </c>
      <c r="I366" s="8">
        <f t="shared" si="120"/>
        <v>2823</v>
      </c>
      <c r="J366" s="8">
        <f t="shared" si="121"/>
        <v>2907</v>
      </c>
      <c r="K366" s="8">
        <f t="shared" si="128"/>
        <v>4000</v>
      </c>
      <c r="L366" s="8">
        <f t="shared" si="129"/>
        <v>4000</v>
      </c>
      <c r="M366" s="8">
        <f t="shared" si="130"/>
        <v>4000</v>
      </c>
      <c r="N366" s="8">
        <f t="shared" si="125"/>
        <v>-1215</v>
      </c>
      <c r="O366" s="8">
        <f t="shared" si="126"/>
        <v>-1177</v>
      </c>
      <c r="P366" s="8">
        <f t="shared" si="127"/>
        <v>-1093</v>
      </c>
      <c r="Q366" s="12">
        <v>2</v>
      </c>
      <c r="R366" s="12">
        <v>3</v>
      </c>
      <c r="S366" s="12">
        <v>5</v>
      </c>
      <c r="T366" s="11">
        <f t="shared" si="122"/>
        <v>-488</v>
      </c>
      <c r="U366" s="10">
        <f t="shared" si="132"/>
        <v>3055</v>
      </c>
      <c r="V366" s="10">
        <f t="shared" si="131"/>
        <v>3213</v>
      </c>
      <c r="W366" s="10">
        <f t="shared" si="133"/>
        <v>3247</v>
      </c>
      <c r="X366" s="9"/>
      <c r="Y366" s="8"/>
      <c r="Z366" s="8"/>
      <c r="AA366" s="8"/>
      <c r="AB366" s="8"/>
    </row>
    <row r="367" spans="1:28" ht="13.15" customHeight="1">
      <c r="A367" s="16">
        <f t="shared" si="115"/>
        <v>353</v>
      </c>
      <c r="B367" s="15">
        <f t="shared" si="123"/>
        <v>45634</v>
      </c>
      <c r="C367" s="14">
        <f t="shared" si="124"/>
        <v>844</v>
      </c>
      <c r="D367" s="13">
        <f t="shared" si="114"/>
        <v>1883</v>
      </c>
      <c r="E367" s="12">
        <f t="shared" si="116"/>
        <v>-56</v>
      </c>
      <c r="F367" s="12">
        <f t="shared" si="117"/>
        <v>-94</v>
      </c>
      <c r="G367" s="12">
        <f t="shared" si="118"/>
        <v>-175</v>
      </c>
      <c r="H367" s="8">
        <f t="shared" si="119"/>
        <v>2783</v>
      </c>
      <c r="I367" s="8">
        <f t="shared" si="120"/>
        <v>2821</v>
      </c>
      <c r="J367" s="8">
        <f t="shared" si="121"/>
        <v>2902</v>
      </c>
      <c r="K367" s="8">
        <f t="shared" si="128"/>
        <v>4000</v>
      </c>
      <c r="L367" s="8">
        <f t="shared" si="129"/>
        <v>4000</v>
      </c>
      <c r="M367" s="8">
        <f t="shared" si="130"/>
        <v>4000</v>
      </c>
      <c r="N367" s="8">
        <f t="shared" si="125"/>
        <v>-1217</v>
      </c>
      <c r="O367" s="8">
        <f t="shared" si="126"/>
        <v>-1179</v>
      </c>
      <c r="P367" s="8">
        <f t="shared" si="127"/>
        <v>-1098</v>
      </c>
      <c r="Q367" s="12">
        <v>2</v>
      </c>
      <c r="R367" s="12">
        <v>2</v>
      </c>
      <c r="S367" s="12">
        <v>5</v>
      </c>
      <c r="T367" s="11">
        <f t="shared" si="122"/>
        <v>-484</v>
      </c>
      <c r="U367" s="10">
        <f t="shared" si="132"/>
        <v>3053</v>
      </c>
      <c r="V367" s="10">
        <f t="shared" si="131"/>
        <v>3211</v>
      </c>
      <c r="W367" s="10">
        <f t="shared" si="133"/>
        <v>3242</v>
      </c>
      <c r="X367" s="9"/>
      <c r="Y367" s="8"/>
      <c r="Z367" s="8"/>
      <c r="AA367" s="8"/>
      <c r="AB367" s="8"/>
    </row>
    <row r="368" spans="1:28" ht="13.15" customHeight="1">
      <c r="A368" s="16">
        <f t="shared" si="115"/>
        <v>354</v>
      </c>
      <c r="B368" s="15">
        <f t="shared" si="123"/>
        <v>45635</v>
      </c>
      <c r="C368" s="14">
        <f t="shared" si="124"/>
        <v>844</v>
      </c>
      <c r="D368" s="13">
        <f t="shared" si="114"/>
        <v>1885</v>
      </c>
      <c r="E368" s="12">
        <f t="shared" si="116"/>
        <v>-51</v>
      </c>
      <c r="F368" s="12">
        <f t="shared" si="117"/>
        <v>-91</v>
      </c>
      <c r="G368" s="12">
        <f t="shared" si="118"/>
        <v>-171</v>
      </c>
      <c r="H368" s="8">
        <f t="shared" si="119"/>
        <v>2780</v>
      </c>
      <c r="I368" s="8">
        <f t="shared" si="120"/>
        <v>2820</v>
      </c>
      <c r="J368" s="8">
        <f t="shared" si="121"/>
        <v>2900</v>
      </c>
      <c r="K368" s="8">
        <f t="shared" si="128"/>
        <v>4000</v>
      </c>
      <c r="L368" s="8">
        <f t="shared" si="129"/>
        <v>4000</v>
      </c>
      <c r="M368" s="8">
        <f t="shared" si="130"/>
        <v>4000</v>
      </c>
      <c r="N368" s="8">
        <f t="shared" si="125"/>
        <v>-1220</v>
      </c>
      <c r="O368" s="8">
        <f t="shared" si="126"/>
        <v>-1180</v>
      </c>
      <c r="P368" s="8">
        <f t="shared" si="127"/>
        <v>-1100</v>
      </c>
      <c r="Q368" s="12">
        <v>3</v>
      </c>
      <c r="R368" s="12">
        <v>1</v>
      </c>
      <c r="S368" s="12">
        <v>2</v>
      </c>
      <c r="T368" s="11">
        <f t="shared" si="122"/>
        <v>-481</v>
      </c>
      <c r="U368" s="10">
        <f t="shared" si="132"/>
        <v>3050</v>
      </c>
      <c r="V368" s="10">
        <f t="shared" si="131"/>
        <v>3210</v>
      </c>
      <c r="W368" s="10">
        <f t="shared" si="133"/>
        <v>3240</v>
      </c>
      <c r="X368" s="9"/>
      <c r="Y368" s="8"/>
      <c r="Z368" s="8"/>
      <c r="AA368" s="8"/>
      <c r="AB368" s="8"/>
    </row>
    <row r="369" spans="1:28" ht="13.15" customHeight="1">
      <c r="A369" s="16">
        <f t="shared" si="115"/>
        <v>355</v>
      </c>
      <c r="B369" s="15">
        <f t="shared" si="123"/>
        <v>45636</v>
      </c>
      <c r="C369" s="14">
        <f t="shared" si="124"/>
        <v>844</v>
      </c>
      <c r="D369" s="13">
        <f t="shared" si="114"/>
        <v>1887</v>
      </c>
      <c r="E369" s="12">
        <f t="shared" si="116"/>
        <v>-47</v>
      </c>
      <c r="F369" s="12">
        <f t="shared" si="117"/>
        <v>-87</v>
      </c>
      <c r="G369" s="12">
        <f t="shared" si="118"/>
        <v>-168</v>
      </c>
      <c r="H369" s="8">
        <f t="shared" si="119"/>
        <v>2778</v>
      </c>
      <c r="I369" s="8">
        <f t="shared" si="120"/>
        <v>2818</v>
      </c>
      <c r="J369" s="8">
        <f t="shared" si="121"/>
        <v>2899</v>
      </c>
      <c r="K369" s="8">
        <f t="shared" si="128"/>
        <v>4000</v>
      </c>
      <c r="L369" s="8">
        <f t="shared" si="129"/>
        <v>4000</v>
      </c>
      <c r="M369" s="8">
        <f t="shared" si="130"/>
        <v>4000</v>
      </c>
      <c r="N369" s="8">
        <f t="shared" si="125"/>
        <v>-1222</v>
      </c>
      <c r="O369" s="8">
        <f t="shared" si="126"/>
        <v>-1182</v>
      </c>
      <c r="P369" s="8">
        <f t="shared" si="127"/>
        <v>-1101</v>
      </c>
      <c r="Q369" s="12">
        <v>2</v>
      </c>
      <c r="R369" s="12">
        <v>2</v>
      </c>
      <c r="S369" s="12">
        <v>1</v>
      </c>
      <c r="T369" s="11">
        <f t="shared" si="122"/>
        <v>-477</v>
      </c>
      <c r="U369" s="10">
        <f t="shared" si="132"/>
        <v>3048</v>
      </c>
      <c r="V369" s="10">
        <f t="shared" si="131"/>
        <v>3208</v>
      </c>
      <c r="W369" s="10">
        <f t="shared" si="133"/>
        <v>3239</v>
      </c>
      <c r="X369" s="9"/>
      <c r="Y369" s="8"/>
      <c r="Z369" s="8"/>
      <c r="AA369" s="8"/>
      <c r="AB369" s="8"/>
    </row>
    <row r="370" spans="1:28" ht="13.15" customHeight="1">
      <c r="A370" s="16">
        <f t="shared" si="115"/>
        <v>356</v>
      </c>
      <c r="B370" s="15">
        <f t="shared" si="123"/>
        <v>45637</v>
      </c>
      <c r="C370" s="14">
        <f t="shared" si="124"/>
        <v>844</v>
      </c>
      <c r="D370" s="13">
        <f t="shared" si="114"/>
        <v>1889</v>
      </c>
      <c r="E370" s="12">
        <f t="shared" si="116"/>
        <v>-42</v>
      </c>
      <c r="F370" s="12">
        <f t="shared" si="117"/>
        <v>-83</v>
      </c>
      <c r="G370" s="12">
        <f t="shared" si="118"/>
        <v>-164</v>
      </c>
      <c r="H370" s="8">
        <f t="shared" si="119"/>
        <v>2775</v>
      </c>
      <c r="I370" s="8">
        <f t="shared" si="120"/>
        <v>2816</v>
      </c>
      <c r="J370" s="8">
        <f t="shared" si="121"/>
        <v>2897</v>
      </c>
      <c r="K370" s="8">
        <f t="shared" si="128"/>
        <v>4000</v>
      </c>
      <c r="L370" s="8">
        <f t="shared" si="129"/>
        <v>4000</v>
      </c>
      <c r="M370" s="8">
        <f t="shared" si="130"/>
        <v>4000</v>
      </c>
      <c r="N370" s="8">
        <f t="shared" si="125"/>
        <v>-1225</v>
      </c>
      <c r="O370" s="8">
        <f t="shared" si="126"/>
        <v>-1184</v>
      </c>
      <c r="P370" s="8">
        <f t="shared" si="127"/>
        <v>-1103</v>
      </c>
      <c r="Q370" s="12">
        <v>3</v>
      </c>
      <c r="R370" s="12">
        <v>2</v>
      </c>
      <c r="S370" s="12">
        <v>2</v>
      </c>
      <c r="T370" s="11">
        <f t="shared" si="122"/>
        <v>-473</v>
      </c>
      <c r="U370" s="10">
        <f t="shared" si="132"/>
        <v>3045</v>
      </c>
      <c r="V370" s="10">
        <f t="shared" si="131"/>
        <v>3206</v>
      </c>
      <c r="W370" s="10">
        <f t="shared" si="133"/>
        <v>3237</v>
      </c>
      <c r="X370" s="9"/>
      <c r="Y370" s="8"/>
      <c r="Z370" s="8"/>
      <c r="AA370" s="8"/>
      <c r="AB370" s="8"/>
    </row>
    <row r="371" spans="1:28" ht="13.15" customHeight="1">
      <c r="A371" s="16">
        <f t="shared" si="115"/>
        <v>357</v>
      </c>
      <c r="B371" s="15">
        <f t="shared" si="123"/>
        <v>45638</v>
      </c>
      <c r="C371" s="14">
        <f t="shared" si="124"/>
        <v>844</v>
      </c>
      <c r="D371" s="13">
        <f t="shared" si="114"/>
        <v>1891</v>
      </c>
      <c r="E371" s="12">
        <f t="shared" si="116"/>
        <v>-36</v>
      </c>
      <c r="F371" s="12">
        <f t="shared" si="117"/>
        <v>-79</v>
      </c>
      <c r="G371" s="12">
        <f t="shared" si="118"/>
        <v>-154</v>
      </c>
      <c r="H371" s="8">
        <f t="shared" si="119"/>
        <v>2771</v>
      </c>
      <c r="I371" s="8">
        <f t="shared" si="120"/>
        <v>2814</v>
      </c>
      <c r="J371" s="8">
        <f t="shared" si="121"/>
        <v>2889</v>
      </c>
      <c r="K371" s="8">
        <f t="shared" si="128"/>
        <v>4000</v>
      </c>
      <c r="L371" s="8">
        <f t="shared" si="129"/>
        <v>4000</v>
      </c>
      <c r="M371" s="8">
        <f t="shared" si="130"/>
        <v>4000</v>
      </c>
      <c r="N371" s="8">
        <f t="shared" si="125"/>
        <v>-1229</v>
      </c>
      <c r="O371" s="8">
        <f t="shared" si="126"/>
        <v>-1186</v>
      </c>
      <c r="P371" s="8">
        <f t="shared" si="127"/>
        <v>-1111</v>
      </c>
      <c r="Q371" s="12">
        <v>4</v>
      </c>
      <c r="R371" s="12">
        <v>2</v>
      </c>
      <c r="S371" s="12">
        <v>8</v>
      </c>
      <c r="T371" s="11">
        <f t="shared" si="122"/>
        <v>-469</v>
      </c>
      <c r="U371" s="10">
        <f t="shared" si="132"/>
        <v>3041</v>
      </c>
      <c r="V371" s="10">
        <f t="shared" si="131"/>
        <v>3204</v>
      </c>
      <c r="W371" s="10">
        <f t="shared" si="133"/>
        <v>3229</v>
      </c>
      <c r="X371" s="9"/>
      <c r="Y371" s="8"/>
      <c r="Z371" s="8"/>
      <c r="AA371" s="8"/>
      <c r="AB371" s="8"/>
    </row>
    <row r="372" spans="1:28" ht="13.15" customHeight="1">
      <c r="A372" s="16">
        <f t="shared" si="115"/>
        <v>358</v>
      </c>
      <c r="B372" s="15">
        <f t="shared" si="123"/>
        <v>45639</v>
      </c>
      <c r="C372" s="14">
        <f t="shared" si="124"/>
        <v>844</v>
      </c>
      <c r="D372" s="13">
        <f t="shared" si="114"/>
        <v>1893</v>
      </c>
      <c r="E372" s="12">
        <f t="shared" si="116"/>
        <v>-33</v>
      </c>
      <c r="F372" s="12">
        <f t="shared" si="117"/>
        <v>-75</v>
      </c>
      <c r="G372" s="12">
        <f t="shared" si="118"/>
        <v>-146</v>
      </c>
      <c r="H372" s="8">
        <f t="shared" si="119"/>
        <v>2770</v>
      </c>
      <c r="I372" s="8">
        <f t="shared" si="120"/>
        <v>2812</v>
      </c>
      <c r="J372" s="8">
        <f t="shared" si="121"/>
        <v>2883</v>
      </c>
      <c r="K372" s="8">
        <f t="shared" si="128"/>
        <v>4000</v>
      </c>
      <c r="L372" s="8">
        <f t="shared" si="129"/>
        <v>4000</v>
      </c>
      <c r="M372" s="8">
        <f t="shared" si="130"/>
        <v>4000</v>
      </c>
      <c r="N372" s="8">
        <f t="shared" si="125"/>
        <v>-1230</v>
      </c>
      <c r="O372" s="8">
        <f t="shared" si="126"/>
        <v>-1188</v>
      </c>
      <c r="P372" s="8">
        <f t="shared" si="127"/>
        <v>-1117</v>
      </c>
      <c r="Q372" s="12">
        <v>1</v>
      </c>
      <c r="R372" s="12">
        <v>2</v>
      </c>
      <c r="S372" s="12">
        <v>6</v>
      </c>
      <c r="T372" s="11">
        <f t="shared" si="122"/>
        <v>-465</v>
      </c>
      <c r="U372" s="10">
        <f t="shared" si="132"/>
        <v>3040</v>
      </c>
      <c r="V372" s="10">
        <f t="shared" si="131"/>
        <v>3202</v>
      </c>
      <c r="W372" s="10">
        <f t="shared" si="133"/>
        <v>3223</v>
      </c>
      <c r="X372" s="9"/>
      <c r="Y372" s="8"/>
      <c r="Z372" s="8"/>
      <c r="AA372" s="8"/>
      <c r="AB372" s="8"/>
    </row>
    <row r="373" spans="1:28" ht="13.15" customHeight="1">
      <c r="A373" s="16">
        <f t="shared" si="115"/>
        <v>359</v>
      </c>
      <c r="B373" s="15">
        <f t="shared" si="123"/>
        <v>45640</v>
      </c>
      <c r="C373" s="14">
        <f t="shared" si="124"/>
        <v>844</v>
      </c>
      <c r="D373" s="13">
        <f t="shared" si="114"/>
        <v>1895</v>
      </c>
      <c r="E373" s="12">
        <f t="shared" si="116"/>
        <v>-28</v>
      </c>
      <c r="F373" s="12">
        <f t="shared" si="117"/>
        <v>-71</v>
      </c>
      <c r="G373" s="12">
        <f t="shared" si="118"/>
        <v>-137</v>
      </c>
      <c r="H373" s="8">
        <f t="shared" si="119"/>
        <v>2767</v>
      </c>
      <c r="I373" s="8">
        <f t="shared" si="120"/>
        <v>2810</v>
      </c>
      <c r="J373" s="8">
        <f t="shared" si="121"/>
        <v>2876</v>
      </c>
      <c r="K373" s="8">
        <f t="shared" si="128"/>
        <v>4000</v>
      </c>
      <c r="L373" s="8">
        <f t="shared" si="129"/>
        <v>4000</v>
      </c>
      <c r="M373" s="8">
        <f t="shared" si="130"/>
        <v>4000</v>
      </c>
      <c r="N373" s="8">
        <f t="shared" si="125"/>
        <v>-1233</v>
      </c>
      <c r="O373" s="8">
        <f t="shared" si="126"/>
        <v>-1190</v>
      </c>
      <c r="P373" s="8">
        <f t="shared" si="127"/>
        <v>-1124</v>
      </c>
      <c r="Q373" s="12">
        <v>3</v>
      </c>
      <c r="R373" s="12">
        <v>2</v>
      </c>
      <c r="S373" s="12">
        <v>7</v>
      </c>
      <c r="T373" s="11">
        <f t="shared" si="122"/>
        <v>-461</v>
      </c>
      <c r="U373" s="10">
        <f t="shared" si="132"/>
        <v>3037</v>
      </c>
      <c r="V373" s="10">
        <f t="shared" si="131"/>
        <v>3200</v>
      </c>
      <c r="W373" s="10">
        <f t="shared" si="133"/>
        <v>3216</v>
      </c>
      <c r="X373" s="9"/>
      <c r="Y373" s="8"/>
      <c r="Z373" s="8"/>
      <c r="AA373" s="8"/>
      <c r="AB373" s="8"/>
    </row>
    <row r="374" spans="1:28" ht="13.15" customHeight="1">
      <c r="A374" s="16">
        <f t="shared" si="115"/>
        <v>360</v>
      </c>
      <c r="B374" s="15">
        <f t="shared" si="123"/>
        <v>45641</v>
      </c>
      <c r="C374" s="14">
        <f t="shared" si="124"/>
        <v>844</v>
      </c>
      <c r="D374" s="13">
        <f t="shared" si="114"/>
        <v>1897</v>
      </c>
      <c r="E374" s="12">
        <f t="shared" si="116"/>
        <v>-23</v>
      </c>
      <c r="F374" s="12">
        <f t="shared" si="117"/>
        <v>-67</v>
      </c>
      <c r="G374" s="12">
        <f t="shared" si="118"/>
        <v>-131</v>
      </c>
      <c r="H374" s="8">
        <f t="shared" si="119"/>
        <v>2764</v>
      </c>
      <c r="I374" s="8">
        <f t="shared" si="120"/>
        <v>2808</v>
      </c>
      <c r="J374" s="8">
        <f t="shared" si="121"/>
        <v>2872</v>
      </c>
      <c r="K374" s="8">
        <f t="shared" si="128"/>
        <v>4000</v>
      </c>
      <c r="L374" s="8">
        <f t="shared" si="129"/>
        <v>4000</v>
      </c>
      <c r="M374" s="8">
        <f t="shared" si="130"/>
        <v>4000</v>
      </c>
      <c r="N374" s="8">
        <f t="shared" si="125"/>
        <v>-1236</v>
      </c>
      <c r="O374" s="8">
        <f t="shared" si="126"/>
        <v>-1192</v>
      </c>
      <c r="P374" s="8">
        <f t="shared" si="127"/>
        <v>-1128</v>
      </c>
      <c r="Q374" s="12">
        <v>3</v>
      </c>
      <c r="R374" s="12">
        <v>2</v>
      </c>
      <c r="S374" s="12">
        <v>4</v>
      </c>
      <c r="T374" s="11">
        <f t="shared" si="122"/>
        <v>-457</v>
      </c>
      <c r="U374" s="10">
        <f t="shared" si="132"/>
        <v>3034</v>
      </c>
      <c r="V374" s="10">
        <f t="shared" si="131"/>
        <v>3198</v>
      </c>
      <c r="W374" s="10">
        <f t="shared" si="133"/>
        <v>3212</v>
      </c>
      <c r="X374" s="9"/>
      <c r="Y374" s="8"/>
      <c r="Z374" s="8"/>
      <c r="AA374" s="8"/>
      <c r="AB374" s="8"/>
    </row>
    <row r="375" spans="1:28" ht="13.15" customHeight="1">
      <c r="A375" s="16">
        <f t="shared" si="115"/>
        <v>361</v>
      </c>
      <c r="B375" s="15">
        <f t="shared" si="123"/>
        <v>45642</v>
      </c>
      <c r="C375" s="14">
        <f t="shared" si="124"/>
        <v>844</v>
      </c>
      <c r="D375" s="13">
        <f t="shared" si="114"/>
        <v>1899</v>
      </c>
      <c r="E375" s="12">
        <f t="shared" si="116"/>
        <v>-20</v>
      </c>
      <c r="F375" s="12">
        <f t="shared" si="117"/>
        <v>-60</v>
      </c>
      <c r="G375" s="12">
        <f t="shared" si="118"/>
        <v>-124</v>
      </c>
      <c r="H375" s="8">
        <f t="shared" si="119"/>
        <v>2763</v>
      </c>
      <c r="I375" s="8">
        <f t="shared" si="120"/>
        <v>2803</v>
      </c>
      <c r="J375" s="8">
        <f t="shared" si="121"/>
        <v>2867</v>
      </c>
      <c r="K375" s="8">
        <f t="shared" si="128"/>
        <v>4000</v>
      </c>
      <c r="L375" s="8">
        <f t="shared" si="129"/>
        <v>4000</v>
      </c>
      <c r="M375" s="8">
        <f t="shared" si="130"/>
        <v>4000</v>
      </c>
      <c r="N375" s="8">
        <f t="shared" si="125"/>
        <v>-1237</v>
      </c>
      <c r="O375" s="8">
        <f t="shared" si="126"/>
        <v>-1197</v>
      </c>
      <c r="P375" s="8">
        <f t="shared" si="127"/>
        <v>-1133</v>
      </c>
      <c r="Q375" s="12">
        <v>1</v>
      </c>
      <c r="R375" s="12">
        <v>5</v>
      </c>
      <c r="S375" s="12">
        <v>5</v>
      </c>
      <c r="T375" s="11">
        <f t="shared" si="122"/>
        <v>-450</v>
      </c>
      <c r="U375" s="10">
        <f t="shared" si="132"/>
        <v>3033</v>
      </c>
      <c r="V375" s="10">
        <f t="shared" si="131"/>
        <v>3193</v>
      </c>
      <c r="W375" s="10">
        <f t="shared" si="133"/>
        <v>3207</v>
      </c>
      <c r="X375" s="9"/>
      <c r="Y375" s="8"/>
      <c r="Z375" s="8"/>
      <c r="AA375" s="8"/>
      <c r="AB375" s="8"/>
    </row>
    <row r="376" spans="1:28" ht="13.15" customHeight="1">
      <c r="A376" s="16">
        <f t="shared" si="115"/>
        <v>362</v>
      </c>
      <c r="B376" s="15">
        <f t="shared" si="123"/>
        <v>45643</v>
      </c>
      <c r="C376" s="14">
        <f t="shared" si="124"/>
        <v>844</v>
      </c>
      <c r="D376" s="13">
        <f t="shared" si="114"/>
        <v>1901</v>
      </c>
      <c r="E376" s="12">
        <f t="shared" si="116"/>
        <v>-18</v>
      </c>
      <c r="F376" s="12">
        <f t="shared" si="117"/>
        <v>-58</v>
      </c>
      <c r="G376" s="12">
        <f t="shared" si="118"/>
        <v>-119</v>
      </c>
      <c r="H376" s="8">
        <f t="shared" si="119"/>
        <v>2763</v>
      </c>
      <c r="I376" s="8">
        <f t="shared" si="120"/>
        <v>2803</v>
      </c>
      <c r="J376" s="8">
        <f t="shared" si="121"/>
        <v>2864</v>
      </c>
      <c r="K376" s="8">
        <f t="shared" si="128"/>
        <v>4000</v>
      </c>
      <c r="L376" s="8">
        <f t="shared" si="129"/>
        <v>4000</v>
      </c>
      <c r="M376" s="8">
        <f t="shared" si="130"/>
        <v>4000</v>
      </c>
      <c r="N376" s="8">
        <f t="shared" si="125"/>
        <v>-1237</v>
      </c>
      <c r="O376" s="8">
        <f t="shared" si="126"/>
        <v>-1197</v>
      </c>
      <c r="P376" s="8">
        <f t="shared" si="127"/>
        <v>-1136</v>
      </c>
      <c r="Q376" s="12">
        <v>0</v>
      </c>
      <c r="R376" s="12">
        <v>0</v>
      </c>
      <c r="S376" s="12">
        <v>3</v>
      </c>
      <c r="T376" s="11">
        <f t="shared" si="122"/>
        <v>-448</v>
      </c>
      <c r="U376" s="10">
        <f t="shared" si="132"/>
        <v>3033</v>
      </c>
      <c r="V376" s="10">
        <f t="shared" si="131"/>
        <v>3193</v>
      </c>
      <c r="W376" s="10">
        <f t="shared" si="133"/>
        <v>3204</v>
      </c>
      <c r="X376" s="9"/>
      <c r="Y376" s="8"/>
      <c r="Z376" s="8"/>
      <c r="AA376" s="8"/>
      <c r="AB376" s="8"/>
    </row>
    <row r="377" spans="1:28" ht="13.15" customHeight="1">
      <c r="A377" s="16">
        <f t="shared" si="115"/>
        <v>363</v>
      </c>
      <c r="B377" s="15">
        <f t="shared" si="123"/>
        <v>45644</v>
      </c>
      <c r="C377" s="14">
        <f t="shared" si="124"/>
        <v>844</v>
      </c>
      <c r="D377" s="13">
        <f t="shared" si="114"/>
        <v>1903</v>
      </c>
      <c r="E377" s="12">
        <f t="shared" si="116"/>
        <v>-14</v>
      </c>
      <c r="F377" s="12">
        <f t="shared" si="117"/>
        <v>-56</v>
      </c>
      <c r="G377" s="12">
        <f t="shared" si="118"/>
        <v>-115</v>
      </c>
      <c r="H377" s="8">
        <f t="shared" si="119"/>
        <v>2761</v>
      </c>
      <c r="I377" s="8">
        <f t="shared" si="120"/>
        <v>2803</v>
      </c>
      <c r="J377" s="8">
        <f t="shared" si="121"/>
        <v>2862</v>
      </c>
      <c r="K377" s="8">
        <f t="shared" si="128"/>
        <v>4000</v>
      </c>
      <c r="L377" s="8">
        <f t="shared" si="129"/>
        <v>4000</v>
      </c>
      <c r="M377" s="8">
        <f t="shared" si="130"/>
        <v>4000</v>
      </c>
      <c r="N377" s="8">
        <f t="shared" si="125"/>
        <v>-1239</v>
      </c>
      <c r="O377" s="8">
        <f t="shared" si="126"/>
        <v>-1197</v>
      </c>
      <c r="P377" s="8">
        <f t="shared" si="127"/>
        <v>-1138</v>
      </c>
      <c r="Q377" s="12">
        <v>2</v>
      </c>
      <c r="R377" s="12">
        <v>0</v>
      </c>
      <c r="S377" s="12">
        <v>2</v>
      </c>
      <c r="T377" s="11">
        <f t="shared" si="122"/>
        <v>-446</v>
      </c>
      <c r="U377" s="10">
        <f t="shared" si="132"/>
        <v>3031</v>
      </c>
      <c r="V377" s="10">
        <f t="shared" si="131"/>
        <v>3193</v>
      </c>
      <c r="W377" s="10">
        <f t="shared" si="133"/>
        <v>3202</v>
      </c>
      <c r="X377" s="9"/>
      <c r="Y377" s="8"/>
      <c r="Z377" s="8"/>
      <c r="AA377" s="8"/>
      <c r="AB377" s="8"/>
    </row>
    <row r="378" spans="1:28" ht="13.15" customHeight="1">
      <c r="A378" s="16">
        <f t="shared" si="115"/>
        <v>364</v>
      </c>
      <c r="B378" s="15">
        <f t="shared" si="123"/>
        <v>45645</v>
      </c>
      <c r="C378" s="14">
        <f t="shared" si="124"/>
        <v>844</v>
      </c>
      <c r="D378" s="13">
        <f t="shared" si="114"/>
        <v>1905</v>
      </c>
      <c r="E378" s="12">
        <f t="shared" si="116"/>
        <v>-9</v>
      </c>
      <c r="F378" s="12">
        <f t="shared" si="117"/>
        <v>-53</v>
      </c>
      <c r="G378" s="12">
        <f t="shared" si="118"/>
        <v>-111</v>
      </c>
      <c r="H378" s="8">
        <f t="shared" si="119"/>
        <v>2758</v>
      </c>
      <c r="I378" s="8">
        <f t="shared" si="120"/>
        <v>2802</v>
      </c>
      <c r="J378" s="8">
        <f t="shared" si="121"/>
        <v>2860</v>
      </c>
      <c r="K378" s="8">
        <f t="shared" si="128"/>
        <v>4000</v>
      </c>
      <c r="L378" s="8">
        <f t="shared" si="129"/>
        <v>4000</v>
      </c>
      <c r="M378" s="8">
        <f t="shared" si="130"/>
        <v>4000</v>
      </c>
      <c r="N378" s="8">
        <f t="shared" si="125"/>
        <v>-1242</v>
      </c>
      <c r="O378" s="8">
        <f t="shared" si="126"/>
        <v>-1198</v>
      </c>
      <c r="P378" s="8">
        <f t="shared" si="127"/>
        <v>-1140</v>
      </c>
      <c r="Q378" s="12">
        <v>3</v>
      </c>
      <c r="R378" s="12">
        <v>1</v>
      </c>
      <c r="S378" s="12">
        <v>2</v>
      </c>
      <c r="T378" s="11">
        <f t="shared" si="122"/>
        <v>-443</v>
      </c>
      <c r="U378" s="10">
        <f t="shared" si="132"/>
        <v>3028</v>
      </c>
      <c r="V378" s="10">
        <f t="shared" si="131"/>
        <v>3192</v>
      </c>
      <c r="W378" s="10">
        <f t="shared" si="133"/>
        <v>3200</v>
      </c>
      <c r="X378" s="9"/>
      <c r="Y378" s="8"/>
      <c r="Z378" s="8"/>
      <c r="AA378" s="8"/>
      <c r="AB378" s="8"/>
    </row>
    <row r="379" spans="1:28" ht="13.15" customHeight="1">
      <c r="A379" s="16">
        <f t="shared" si="115"/>
        <v>365</v>
      </c>
      <c r="B379" s="15">
        <f t="shared" si="123"/>
        <v>45646</v>
      </c>
      <c r="C379" s="14">
        <f t="shared" si="124"/>
        <v>844</v>
      </c>
      <c r="D379" s="13">
        <f t="shared" si="114"/>
        <v>1907</v>
      </c>
      <c r="E379" s="12">
        <f t="shared" si="116"/>
        <v>-5</v>
      </c>
      <c r="F379" s="12">
        <f t="shared" si="117"/>
        <v>-49</v>
      </c>
      <c r="G379" s="12">
        <f t="shared" si="118"/>
        <v>-108</v>
      </c>
      <c r="H379" s="8">
        <f t="shared" si="119"/>
        <v>2756</v>
      </c>
      <c r="I379" s="8">
        <f t="shared" si="120"/>
        <v>2800</v>
      </c>
      <c r="J379" s="8">
        <f t="shared" si="121"/>
        <v>2859</v>
      </c>
      <c r="K379" s="8">
        <f t="shared" si="128"/>
        <v>4000</v>
      </c>
      <c r="L379" s="8">
        <f t="shared" si="129"/>
        <v>4000</v>
      </c>
      <c r="M379" s="8">
        <f t="shared" si="130"/>
        <v>4000</v>
      </c>
      <c r="N379" s="8">
        <f t="shared" si="125"/>
        <v>-1244</v>
      </c>
      <c r="O379" s="8">
        <f t="shared" si="126"/>
        <v>-1200</v>
      </c>
      <c r="P379" s="8">
        <f t="shared" si="127"/>
        <v>-1141</v>
      </c>
      <c r="Q379" s="12">
        <v>2</v>
      </c>
      <c r="R379" s="12">
        <v>2</v>
      </c>
      <c r="S379" s="12">
        <v>1</v>
      </c>
      <c r="T379" s="11">
        <f t="shared" si="122"/>
        <v>-439</v>
      </c>
      <c r="U379" s="10">
        <f t="shared" si="132"/>
        <v>3026</v>
      </c>
      <c r="V379" s="10">
        <f t="shared" si="131"/>
        <v>3190</v>
      </c>
      <c r="W379" s="10">
        <f t="shared" si="133"/>
        <v>3199</v>
      </c>
      <c r="X379" s="9"/>
      <c r="Y379" s="8"/>
      <c r="Z379" s="8"/>
      <c r="AA379" s="8"/>
      <c r="AB379" s="8"/>
    </row>
    <row r="380" spans="1:28" ht="13.15" customHeight="1">
      <c r="A380" s="16">
        <f t="shared" si="115"/>
        <v>366</v>
      </c>
      <c r="B380" s="15">
        <f t="shared" si="123"/>
        <v>45647</v>
      </c>
      <c r="C380" s="14">
        <f t="shared" si="124"/>
        <v>844</v>
      </c>
      <c r="D380" s="13">
        <f t="shared" si="114"/>
        <v>1909</v>
      </c>
      <c r="E380" s="12">
        <f t="shared" si="116"/>
        <v>1</v>
      </c>
      <c r="F380" s="12">
        <f t="shared" si="117"/>
        <v>-45</v>
      </c>
      <c r="G380" s="12">
        <f t="shared" si="118"/>
        <v>-105</v>
      </c>
      <c r="H380" s="8">
        <f t="shared" si="119"/>
        <v>2752</v>
      </c>
      <c r="I380" s="8">
        <f t="shared" si="120"/>
        <v>2798</v>
      </c>
      <c r="J380" s="8">
        <f t="shared" si="121"/>
        <v>2858</v>
      </c>
      <c r="K380" s="8">
        <f t="shared" si="128"/>
        <v>4000</v>
      </c>
      <c r="L380" s="8">
        <f t="shared" si="129"/>
        <v>4000</v>
      </c>
      <c r="M380" s="8">
        <f t="shared" si="130"/>
        <v>4000</v>
      </c>
      <c r="N380" s="8">
        <f t="shared" si="125"/>
        <v>-1248</v>
      </c>
      <c r="O380" s="8">
        <f t="shared" si="126"/>
        <v>-1202</v>
      </c>
      <c r="P380" s="8">
        <f t="shared" si="127"/>
        <v>-1142</v>
      </c>
      <c r="Q380" s="12">
        <v>4</v>
      </c>
      <c r="R380" s="12">
        <v>2</v>
      </c>
      <c r="S380" s="12">
        <v>1</v>
      </c>
      <c r="T380" s="11">
        <f t="shared" si="122"/>
        <v>-435</v>
      </c>
      <c r="U380" s="10">
        <f t="shared" si="132"/>
        <v>3022</v>
      </c>
      <c r="V380" s="10">
        <f t="shared" si="131"/>
        <v>3188</v>
      </c>
      <c r="W380" s="10">
        <f t="shared" si="133"/>
        <v>3198</v>
      </c>
      <c r="X380" s="9"/>
      <c r="Y380" s="8"/>
      <c r="Z380" s="8"/>
      <c r="AA380" s="8"/>
      <c r="AB380" s="8"/>
    </row>
    <row r="381" spans="1:28" ht="13.15" customHeight="1">
      <c r="A381" s="16">
        <f t="shared" si="115"/>
        <v>367</v>
      </c>
      <c r="B381" s="15">
        <f t="shared" si="123"/>
        <v>45648</v>
      </c>
      <c r="C381" s="14">
        <f t="shared" si="124"/>
        <v>844</v>
      </c>
      <c r="D381" s="13">
        <f t="shared" si="114"/>
        <v>1911</v>
      </c>
      <c r="E381" s="12">
        <f t="shared" si="116"/>
        <v>5</v>
      </c>
      <c r="F381" s="12">
        <f t="shared" si="117"/>
        <v>-41</v>
      </c>
      <c r="G381" s="12">
        <f t="shared" si="118"/>
        <v>-101</v>
      </c>
      <c r="H381" s="8">
        <f t="shared" si="119"/>
        <v>2750</v>
      </c>
      <c r="I381" s="8">
        <f t="shared" si="120"/>
        <v>2796</v>
      </c>
      <c r="J381" s="8">
        <f t="shared" si="121"/>
        <v>2856</v>
      </c>
      <c r="K381" s="8">
        <f t="shared" si="128"/>
        <v>4000</v>
      </c>
      <c r="L381" s="8">
        <f t="shared" si="129"/>
        <v>4000</v>
      </c>
      <c r="M381" s="8">
        <f t="shared" si="130"/>
        <v>4000</v>
      </c>
      <c r="N381" s="8">
        <f t="shared" si="125"/>
        <v>-1250</v>
      </c>
      <c r="O381" s="8">
        <f t="shared" si="126"/>
        <v>-1204</v>
      </c>
      <c r="P381" s="8">
        <f t="shared" si="127"/>
        <v>-1144</v>
      </c>
      <c r="Q381" s="12">
        <v>2</v>
      </c>
      <c r="R381" s="12">
        <v>2</v>
      </c>
      <c r="S381" s="12">
        <v>2</v>
      </c>
      <c r="T381" s="11">
        <f t="shared" si="122"/>
        <v>-431</v>
      </c>
      <c r="U381" s="10">
        <f t="shared" si="132"/>
        <v>3020</v>
      </c>
      <c r="V381" s="10">
        <f t="shared" si="131"/>
        <v>3186</v>
      </c>
      <c r="W381" s="10">
        <f t="shared" si="133"/>
        <v>3196</v>
      </c>
      <c r="X381" s="9"/>
      <c r="Y381" s="8"/>
      <c r="Z381" s="8"/>
      <c r="AA381" s="8"/>
      <c r="AB381" s="8"/>
    </row>
    <row r="382" spans="1:28" ht="13.15" customHeight="1">
      <c r="A382" s="16">
        <f t="shared" si="115"/>
        <v>368</v>
      </c>
      <c r="B382" s="15">
        <f t="shared" si="123"/>
        <v>45649</v>
      </c>
      <c r="C382" s="14">
        <f t="shared" si="124"/>
        <v>844</v>
      </c>
      <c r="D382" s="13">
        <f t="shared" si="114"/>
        <v>1913</v>
      </c>
      <c r="E382" s="12">
        <f t="shared" si="116"/>
        <v>8</v>
      </c>
      <c r="F382" s="12">
        <f t="shared" si="117"/>
        <v>-37</v>
      </c>
      <c r="G382" s="12">
        <f t="shared" si="118"/>
        <v>-97</v>
      </c>
      <c r="H382" s="8">
        <f t="shared" si="119"/>
        <v>2749</v>
      </c>
      <c r="I382" s="8">
        <f t="shared" si="120"/>
        <v>2794</v>
      </c>
      <c r="J382" s="8">
        <f t="shared" si="121"/>
        <v>2854</v>
      </c>
      <c r="K382" s="8">
        <f t="shared" si="128"/>
        <v>4000</v>
      </c>
      <c r="L382" s="8">
        <f t="shared" si="129"/>
        <v>4000</v>
      </c>
      <c r="M382" s="8">
        <f t="shared" si="130"/>
        <v>4000</v>
      </c>
      <c r="N382" s="8">
        <f t="shared" si="125"/>
        <v>-1251</v>
      </c>
      <c r="O382" s="8">
        <f t="shared" si="126"/>
        <v>-1206</v>
      </c>
      <c r="P382" s="8">
        <f t="shared" si="127"/>
        <v>-1146</v>
      </c>
      <c r="Q382" s="12">
        <v>1</v>
      </c>
      <c r="R382" s="12">
        <v>2</v>
      </c>
      <c r="S382" s="12">
        <v>2</v>
      </c>
      <c r="T382" s="11">
        <f t="shared" si="122"/>
        <v>-427</v>
      </c>
      <c r="U382" s="10">
        <f t="shared" si="132"/>
        <v>3019</v>
      </c>
      <c r="V382" s="10">
        <f t="shared" si="131"/>
        <v>3184</v>
      </c>
      <c r="W382" s="10">
        <f t="shared" si="133"/>
        <v>3194</v>
      </c>
      <c r="X382" s="9"/>
      <c r="Y382" s="8"/>
      <c r="Z382" s="8"/>
      <c r="AA382" s="8"/>
      <c r="AB382" s="8"/>
    </row>
    <row r="383" spans="1:28" ht="13.15" customHeight="1">
      <c r="A383" s="16">
        <f t="shared" si="115"/>
        <v>369</v>
      </c>
      <c r="B383" s="15">
        <f t="shared" si="123"/>
        <v>45650</v>
      </c>
      <c r="C383" s="14">
        <f t="shared" si="124"/>
        <v>844</v>
      </c>
      <c r="D383" s="13">
        <f t="shared" ref="D383:D446" si="134">D382+2</f>
        <v>1915</v>
      </c>
      <c r="E383" s="12">
        <f t="shared" si="116"/>
        <v>12</v>
      </c>
      <c r="F383" s="12">
        <f t="shared" si="117"/>
        <v>-33</v>
      </c>
      <c r="G383" s="12">
        <f t="shared" si="118"/>
        <v>-95</v>
      </c>
      <c r="H383" s="8">
        <f t="shared" si="119"/>
        <v>2747</v>
      </c>
      <c r="I383" s="8">
        <f t="shared" si="120"/>
        <v>2792</v>
      </c>
      <c r="J383" s="8">
        <f t="shared" si="121"/>
        <v>2854</v>
      </c>
      <c r="K383" s="8">
        <f t="shared" si="128"/>
        <v>4000</v>
      </c>
      <c r="L383" s="8">
        <f t="shared" si="129"/>
        <v>4000</v>
      </c>
      <c r="M383" s="8">
        <f t="shared" si="130"/>
        <v>4000</v>
      </c>
      <c r="N383" s="8">
        <f t="shared" si="125"/>
        <v>-1253</v>
      </c>
      <c r="O383" s="8">
        <f t="shared" si="126"/>
        <v>-1208</v>
      </c>
      <c r="P383" s="8">
        <f t="shared" si="127"/>
        <v>-1146</v>
      </c>
      <c r="Q383" s="12">
        <v>2</v>
      </c>
      <c r="R383" s="12">
        <v>2</v>
      </c>
      <c r="S383" s="12">
        <v>0</v>
      </c>
      <c r="T383" s="11">
        <f t="shared" si="122"/>
        <v>-423</v>
      </c>
      <c r="U383" s="10">
        <f t="shared" si="132"/>
        <v>3017</v>
      </c>
      <c r="V383" s="10">
        <f t="shared" si="131"/>
        <v>3182</v>
      </c>
      <c r="W383" s="10">
        <f t="shared" si="133"/>
        <v>3194</v>
      </c>
      <c r="X383" s="9"/>
      <c r="Y383" s="8"/>
      <c r="Z383" s="8"/>
      <c r="AA383" s="8"/>
      <c r="AB383" s="8"/>
    </row>
    <row r="384" spans="1:28" ht="13.15" customHeight="1">
      <c r="A384" s="16">
        <f t="shared" si="115"/>
        <v>370</v>
      </c>
      <c r="B384" s="15">
        <f t="shared" si="123"/>
        <v>45651</v>
      </c>
      <c r="C384" s="14">
        <f t="shared" si="124"/>
        <v>844</v>
      </c>
      <c r="D384" s="13">
        <f t="shared" si="134"/>
        <v>1917</v>
      </c>
      <c r="E384" s="12">
        <f t="shared" si="116"/>
        <v>16</v>
      </c>
      <c r="F384" s="12">
        <f t="shared" si="117"/>
        <v>-29</v>
      </c>
      <c r="G384" s="12">
        <f t="shared" si="118"/>
        <v>-93</v>
      </c>
      <c r="H384" s="8">
        <f t="shared" si="119"/>
        <v>2745</v>
      </c>
      <c r="I384" s="8">
        <f t="shared" si="120"/>
        <v>2790</v>
      </c>
      <c r="J384" s="8">
        <f t="shared" si="121"/>
        <v>2854</v>
      </c>
      <c r="K384" s="8">
        <f t="shared" si="128"/>
        <v>4000</v>
      </c>
      <c r="L384" s="8">
        <f t="shared" si="129"/>
        <v>4000</v>
      </c>
      <c r="M384" s="8">
        <f t="shared" si="130"/>
        <v>4000</v>
      </c>
      <c r="N384" s="8">
        <f t="shared" si="125"/>
        <v>-1255</v>
      </c>
      <c r="O384" s="8">
        <f t="shared" si="126"/>
        <v>-1210</v>
      </c>
      <c r="P384" s="8">
        <f t="shared" si="127"/>
        <v>-1146</v>
      </c>
      <c r="Q384" s="12">
        <v>2</v>
      </c>
      <c r="R384" s="12">
        <v>2</v>
      </c>
      <c r="S384" s="12">
        <v>0</v>
      </c>
      <c r="T384" s="11">
        <f t="shared" si="122"/>
        <v>-419</v>
      </c>
      <c r="U384" s="10">
        <f t="shared" si="132"/>
        <v>3015</v>
      </c>
      <c r="V384" s="10">
        <f t="shared" si="131"/>
        <v>3180</v>
      </c>
      <c r="W384" s="10">
        <f t="shared" si="133"/>
        <v>3194</v>
      </c>
      <c r="X384" s="9"/>
      <c r="Y384" s="8"/>
      <c r="Z384" s="8"/>
      <c r="AA384" s="8"/>
      <c r="AB384" s="8"/>
    </row>
    <row r="385" spans="1:28" ht="13.15" customHeight="1">
      <c r="A385" s="16">
        <f t="shared" si="115"/>
        <v>371</v>
      </c>
      <c r="B385" s="15">
        <f t="shared" si="123"/>
        <v>45652</v>
      </c>
      <c r="C385" s="14">
        <f t="shared" si="124"/>
        <v>844</v>
      </c>
      <c r="D385" s="13">
        <f t="shared" si="134"/>
        <v>1919</v>
      </c>
      <c r="E385" s="12">
        <f t="shared" si="116"/>
        <v>19</v>
      </c>
      <c r="F385" s="12">
        <f t="shared" si="117"/>
        <v>-22</v>
      </c>
      <c r="G385" s="12">
        <f t="shared" si="118"/>
        <v>-89</v>
      </c>
      <c r="H385" s="8">
        <f t="shared" si="119"/>
        <v>2744</v>
      </c>
      <c r="I385" s="8">
        <f t="shared" si="120"/>
        <v>2785</v>
      </c>
      <c r="J385" s="8">
        <f t="shared" si="121"/>
        <v>2852</v>
      </c>
      <c r="K385" s="8">
        <f t="shared" si="128"/>
        <v>4000</v>
      </c>
      <c r="L385" s="8">
        <f t="shared" si="129"/>
        <v>4000</v>
      </c>
      <c r="M385" s="8">
        <f t="shared" si="130"/>
        <v>4000</v>
      </c>
      <c r="N385" s="8">
        <f t="shared" si="125"/>
        <v>-1256</v>
      </c>
      <c r="O385" s="8">
        <f t="shared" si="126"/>
        <v>-1215</v>
      </c>
      <c r="P385" s="8">
        <f t="shared" si="127"/>
        <v>-1148</v>
      </c>
      <c r="Q385" s="12">
        <v>1</v>
      </c>
      <c r="R385" s="12">
        <v>5</v>
      </c>
      <c r="S385" s="12">
        <v>2</v>
      </c>
      <c r="T385" s="11">
        <f t="shared" si="122"/>
        <v>-412</v>
      </c>
      <c r="U385" s="10">
        <f t="shared" si="132"/>
        <v>3014</v>
      </c>
      <c r="V385" s="10">
        <f t="shared" si="131"/>
        <v>3175</v>
      </c>
      <c r="W385" s="10">
        <f t="shared" si="133"/>
        <v>3192</v>
      </c>
      <c r="X385" s="9"/>
      <c r="Y385" s="8"/>
      <c r="Z385" s="8"/>
      <c r="AA385" s="8"/>
      <c r="AB385" s="8"/>
    </row>
    <row r="386" spans="1:28" ht="13.15" customHeight="1">
      <c r="A386" s="16">
        <f t="shared" si="115"/>
        <v>372</v>
      </c>
      <c r="B386" s="15">
        <f t="shared" si="123"/>
        <v>45653</v>
      </c>
      <c r="C386" s="14">
        <f t="shared" si="124"/>
        <v>844</v>
      </c>
      <c r="D386" s="13">
        <f t="shared" si="134"/>
        <v>1921</v>
      </c>
      <c r="E386" s="12">
        <f t="shared" si="116"/>
        <v>24</v>
      </c>
      <c r="F386" s="12">
        <f t="shared" si="117"/>
        <v>-15</v>
      </c>
      <c r="G386" s="12">
        <f t="shared" si="118"/>
        <v>-85</v>
      </c>
      <c r="H386" s="8">
        <f t="shared" si="119"/>
        <v>2741</v>
      </c>
      <c r="I386" s="8">
        <f t="shared" si="120"/>
        <v>2780</v>
      </c>
      <c r="J386" s="8">
        <f t="shared" si="121"/>
        <v>2850</v>
      </c>
      <c r="K386" s="8">
        <f t="shared" si="128"/>
        <v>4000</v>
      </c>
      <c r="L386" s="8">
        <f t="shared" si="129"/>
        <v>4000</v>
      </c>
      <c r="M386" s="8">
        <f t="shared" si="130"/>
        <v>4000</v>
      </c>
      <c r="N386" s="8">
        <f t="shared" si="125"/>
        <v>-1259</v>
      </c>
      <c r="O386" s="8">
        <f t="shared" si="126"/>
        <v>-1220</v>
      </c>
      <c r="P386" s="8">
        <f t="shared" si="127"/>
        <v>-1150</v>
      </c>
      <c r="Q386" s="12">
        <v>3</v>
      </c>
      <c r="R386" s="12">
        <v>5</v>
      </c>
      <c r="S386" s="12">
        <v>2</v>
      </c>
      <c r="T386" s="11">
        <f t="shared" si="122"/>
        <v>-405</v>
      </c>
      <c r="U386" s="10">
        <f t="shared" si="132"/>
        <v>3011</v>
      </c>
      <c r="V386" s="10">
        <f t="shared" si="131"/>
        <v>3170</v>
      </c>
      <c r="W386" s="10">
        <f t="shared" si="133"/>
        <v>3190</v>
      </c>
      <c r="X386" s="9"/>
      <c r="Y386" s="8"/>
      <c r="Z386" s="8"/>
      <c r="AA386" s="8"/>
      <c r="AB386" s="8"/>
    </row>
    <row r="387" spans="1:28" ht="13.15" customHeight="1">
      <c r="A387" s="16">
        <f t="shared" si="115"/>
        <v>373</v>
      </c>
      <c r="B387" s="15">
        <f t="shared" si="123"/>
        <v>45654</v>
      </c>
      <c r="C387" s="14">
        <f t="shared" si="124"/>
        <v>844</v>
      </c>
      <c r="D387" s="13">
        <f t="shared" si="134"/>
        <v>1923</v>
      </c>
      <c r="E387" s="12">
        <f t="shared" si="116"/>
        <v>28</v>
      </c>
      <c r="F387" s="12">
        <f t="shared" si="117"/>
        <v>-8</v>
      </c>
      <c r="G387" s="12">
        <f t="shared" si="118"/>
        <v>-81</v>
      </c>
      <c r="H387" s="8">
        <f t="shared" si="119"/>
        <v>2739</v>
      </c>
      <c r="I387" s="8">
        <f t="shared" si="120"/>
        <v>2775</v>
      </c>
      <c r="J387" s="8">
        <f t="shared" si="121"/>
        <v>2848</v>
      </c>
      <c r="K387" s="8">
        <f t="shared" si="128"/>
        <v>4000</v>
      </c>
      <c r="L387" s="8">
        <f t="shared" si="129"/>
        <v>4000</v>
      </c>
      <c r="M387" s="8">
        <f t="shared" si="130"/>
        <v>4000</v>
      </c>
      <c r="N387" s="8">
        <f t="shared" si="125"/>
        <v>-1261</v>
      </c>
      <c r="O387" s="8">
        <f t="shared" si="126"/>
        <v>-1225</v>
      </c>
      <c r="P387" s="8">
        <f t="shared" si="127"/>
        <v>-1152</v>
      </c>
      <c r="Q387" s="12">
        <v>2</v>
      </c>
      <c r="R387" s="12">
        <v>5</v>
      </c>
      <c r="S387" s="12">
        <v>2</v>
      </c>
      <c r="T387" s="11">
        <f t="shared" si="122"/>
        <v>-398</v>
      </c>
      <c r="U387" s="10">
        <f t="shared" si="132"/>
        <v>3009</v>
      </c>
      <c r="V387" s="10">
        <f t="shared" si="131"/>
        <v>3165</v>
      </c>
      <c r="W387" s="10">
        <f t="shared" si="133"/>
        <v>3188</v>
      </c>
      <c r="X387" s="9"/>
      <c r="Y387" s="8"/>
      <c r="Z387" s="8"/>
      <c r="AA387" s="8"/>
      <c r="AB387" s="8"/>
    </row>
    <row r="388" spans="1:28" ht="13.15" customHeight="1">
      <c r="A388" s="16">
        <f t="shared" si="115"/>
        <v>374</v>
      </c>
      <c r="B388" s="15">
        <f t="shared" si="123"/>
        <v>45655</v>
      </c>
      <c r="C388" s="14">
        <f t="shared" si="124"/>
        <v>844</v>
      </c>
      <c r="D388" s="13">
        <f t="shared" si="134"/>
        <v>1925</v>
      </c>
      <c r="E388" s="12">
        <f t="shared" si="116"/>
        <v>30</v>
      </c>
      <c r="F388" s="12">
        <f t="shared" si="117"/>
        <v>-6</v>
      </c>
      <c r="G388" s="12">
        <f t="shared" si="118"/>
        <v>-79</v>
      </c>
      <c r="H388" s="8">
        <f t="shared" si="119"/>
        <v>2739</v>
      </c>
      <c r="I388" s="8">
        <f t="shared" si="120"/>
        <v>2775</v>
      </c>
      <c r="J388" s="8">
        <f t="shared" si="121"/>
        <v>2848</v>
      </c>
      <c r="K388" s="8">
        <f t="shared" si="128"/>
        <v>4000</v>
      </c>
      <c r="L388" s="8">
        <f t="shared" si="129"/>
        <v>4000</v>
      </c>
      <c r="M388" s="8">
        <f t="shared" si="130"/>
        <v>4000</v>
      </c>
      <c r="N388" s="8">
        <f t="shared" si="125"/>
        <v>-1261</v>
      </c>
      <c r="O388" s="8">
        <f t="shared" si="126"/>
        <v>-1225</v>
      </c>
      <c r="P388" s="8">
        <f t="shared" si="127"/>
        <v>-1152</v>
      </c>
      <c r="Q388" s="12">
        <v>0</v>
      </c>
      <c r="R388" s="12">
        <v>0</v>
      </c>
      <c r="S388" s="12">
        <v>0</v>
      </c>
      <c r="T388" s="11">
        <f t="shared" si="122"/>
        <v>-396</v>
      </c>
      <c r="U388" s="10">
        <f t="shared" si="132"/>
        <v>3009</v>
      </c>
      <c r="V388" s="10">
        <f t="shared" si="131"/>
        <v>3165</v>
      </c>
      <c r="W388" s="10">
        <f t="shared" si="133"/>
        <v>3188</v>
      </c>
      <c r="X388" s="9"/>
      <c r="Y388" s="8"/>
      <c r="Z388" s="8"/>
      <c r="AA388" s="8"/>
      <c r="AB388" s="8"/>
    </row>
    <row r="389" spans="1:28" ht="13.15" customHeight="1">
      <c r="A389" s="16">
        <f t="shared" si="115"/>
        <v>375</v>
      </c>
      <c r="B389" s="15">
        <f t="shared" si="123"/>
        <v>45656</v>
      </c>
      <c r="C389" s="14">
        <f t="shared" si="124"/>
        <v>844</v>
      </c>
      <c r="D389" s="13">
        <f t="shared" si="134"/>
        <v>1927</v>
      </c>
      <c r="E389" s="12">
        <f t="shared" si="116"/>
        <v>35</v>
      </c>
      <c r="F389" s="12">
        <f t="shared" si="117"/>
        <v>-3</v>
      </c>
      <c r="G389" s="12">
        <f t="shared" si="118"/>
        <v>-69</v>
      </c>
      <c r="H389" s="8">
        <f t="shared" si="119"/>
        <v>2736</v>
      </c>
      <c r="I389" s="8">
        <f t="shared" si="120"/>
        <v>2774</v>
      </c>
      <c r="J389" s="8">
        <f t="shared" si="121"/>
        <v>2840</v>
      </c>
      <c r="K389" s="8">
        <f t="shared" si="128"/>
        <v>4000</v>
      </c>
      <c r="L389" s="8">
        <f t="shared" si="129"/>
        <v>4000</v>
      </c>
      <c r="M389" s="8">
        <f t="shared" si="130"/>
        <v>4000</v>
      </c>
      <c r="N389" s="8">
        <f t="shared" si="125"/>
        <v>-1264</v>
      </c>
      <c r="O389" s="8">
        <f t="shared" si="126"/>
        <v>-1226</v>
      </c>
      <c r="P389" s="8">
        <f t="shared" si="127"/>
        <v>-1160</v>
      </c>
      <c r="Q389" s="12">
        <v>3</v>
      </c>
      <c r="R389" s="12">
        <v>1</v>
      </c>
      <c r="S389" s="12">
        <v>8</v>
      </c>
      <c r="T389" s="11">
        <f t="shared" si="122"/>
        <v>-393</v>
      </c>
      <c r="U389" s="10">
        <f t="shared" si="132"/>
        <v>3006</v>
      </c>
      <c r="V389" s="10">
        <f t="shared" si="131"/>
        <v>3164</v>
      </c>
      <c r="W389" s="10">
        <f t="shared" si="133"/>
        <v>3180</v>
      </c>
      <c r="X389" s="9"/>
      <c r="Y389" s="8"/>
      <c r="Z389" s="8"/>
      <c r="AA389" s="8"/>
      <c r="AB389" s="8"/>
    </row>
    <row r="390" spans="1:28" ht="13.15" customHeight="1">
      <c r="A390" s="16">
        <f t="shared" si="115"/>
        <v>376</v>
      </c>
      <c r="B390" s="15">
        <f t="shared" si="123"/>
        <v>45657</v>
      </c>
      <c r="C390" s="14">
        <f t="shared" si="124"/>
        <v>844</v>
      </c>
      <c r="D390" s="13">
        <f t="shared" si="134"/>
        <v>1929</v>
      </c>
      <c r="E390" s="12">
        <f t="shared" si="116"/>
        <v>39</v>
      </c>
      <c r="F390" s="12">
        <f t="shared" si="117"/>
        <v>1</v>
      </c>
      <c r="G390" s="12">
        <f t="shared" si="118"/>
        <v>-61</v>
      </c>
      <c r="H390" s="8">
        <f t="shared" si="119"/>
        <v>2734</v>
      </c>
      <c r="I390" s="8">
        <f t="shared" si="120"/>
        <v>2772</v>
      </c>
      <c r="J390" s="8">
        <f t="shared" si="121"/>
        <v>2834</v>
      </c>
      <c r="K390" s="8">
        <f t="shared" si="128"/>
        <v>4000</v>
      </c>
      <c r="L390" s="8">
        <f t="shared" si="129"/>
        <v>4000</v>
      </c>
      <c r="M390" s="8">
        <f t="shared" si="130"/>
        <v>4000</v>
      </c>
      <c r="N390" s="8">
        <f t="shared" si="125"/>
        <v>-1266</v>
      </c>
      <c r="O390" s="8">
        <f t="shared" si="126"/>
        <v>-1228</v>
      </c>
      <c r="P390" s="8">
        <f t="shared" si="127"/>
        <v>-1166</v>
      </c>
      <c r="Q390" s="12">
        <v>2</v>
      </c>
      <c r="R390" s="12">
        <v>2</v>
      </c>
      <c r="S390" s="12">
        <v>6</v>
      </c>
      <c r="T390" s="11">
        <f t="shared" si="122"/>
        <v>-389</v>
      </c>
      <c r="U390" s="10">
        <f t="shared" si="132"/>
        <v>3004</v>
      </c>
      <c r="V390" s="10">
        <f t="shared" si="131"/>
        <v>3162</v>
      </c>
      <c r="W390" s="10">
        <f t="shared" si="133"/>
        <v>3174</v>
      </c>
      <c r="X390" s="9"/>
      <c r="Y390" s="8"/>
      <c r="Z390" s="8"/>
      <c r="AA390" s="8"/>
      <c r="AB390" s="8"/>
    </row>
    <row r="391" spans="1:28" ht="13.15" customHeight="1">
      <c r="A391" s="16">
        <f t="shared" si="115"/>
        <v>377</v>
      </c>
      <c r="B391" s="15">
        <f t="shared" si="123"/>
        <v>45658</v>
      </c>
      <c r="C391" s="14">
        <f t="shared" si="124"/>
        <v>844</v>
      </c>
      <c r="D391" s="13">
        <f t="shared" si="134"/>
        <v>1931</v>
      </c>
      <c r="E391" s="12">
        <f t="shared" si="116"/>
        <v>44</v>
      </c>
      <c r="F391" s="12">
        <f t="shared" si="117"/>
        <v>5</v>
      </c>
      <c r="G391" s="12">
        <f t="shared" si="118"/>
        <v>-58</v>
      </c>
      <c r="H391" s="8">
        <f t="shared" si="119"/>
        <v>2731</v>
      </c>
      <c r="I391" s="8">
        <f t="shared" si="120"/>
        <v>2770</v>
      </c>
      <c r="J391" s="8">
        <f t="shared" si="121"/>
        <v>2833</v>
      </c>
      <c r="K391" s="8">
        <f t="shared" si="128"/>
        <v>4000</v>
      </c>
      <c r="L391" s="8">
        <f t="shared" si="129"/>
        <v>4000</v>
      </c>
      <c r="M391" s="8">
        <f t="shared" si="130"/>
        <v>4000</v>
      </c>
      <c r="N391" s="8">
        <f t="shared" si="125"/>
        <v>-1269</v>
      </c>
      <c r="O391" s="8">
        <f t="shared" si="126"/>
        <v>-1230</v>
      </c>
      <c r="P391" s="8">
        <f t="shared" si="127"/>
        <v>-1167</v>
      </c>
      <c r="Q391" s="12">
        <v>3</v>
      </c>
      <c r="R391" s="12">
        <v>2</v>
      </c>
      <c r="S391" s="12">
        <v>1</v>
      </c>
      <c r="T391" s="11">
        <f t="shared" si="122"/>
        <v>-385</v>
      </c>
      <c r="U391" s="10">
        <f t="shared" si="132"/>
        <v>3001</v>
      </c>
      <c r="V391" s="10">
        <f t="shared" si="131"/>
        <v>3160</v>
      </c>
      <c r="W391" s="10">
        <f t="shared" si="133"/>
        <v>3173</v>
      </c>
      <c r="X391" s="9"/>
      <c r="Y391" s="8"/>
      <c r="Z391" s="8"/>
      <c r="AA391" s="8"/>
      <c r="AB391" s="8"/>
    </row>
    <row r="392" spans="1:28" ht="13.15" customHeight="1">
      <c r="A392" s="16">
        <f t="shared" si="115"/>
        <v>378</v>
      </c>
      <c r="B392" s="15">
        <f t="shared" si="123"/>
        <v>45659</v>
      </c>
      <c r="C392" s="14">
        <f t="shared" si="124"/>
        <v>844</v>
      </c>
      <c r="D392" s="13">
        <f t="shared" si="134"/>
        <v>1933</v>
      </c>
      <c r="E392" s="12">
        <f t="shared" si="116"/>
        <v>48</v>
      </c>
      <c r="F392" s="12">
        <f t="shared" si="117"/>
        <v>9</v>
      </c>
      <c r="G392" s="12">
        <f t="shared" si="118"/>
        <v>-54</v>
      </c>
      <c r="H392" s="8">
        <f t="shared" si="119"/>
        <v>2729</v>
      </c>
      <c r="I392" s="8">
        <f t="shared" si="120"/>
        <v>2768</v>
      </c>
      <c r="J392" s="8">
        <f t="shared" si="121"/>
        <v>2831</v>
      </c>
      <c r="K392" s="8">
        <f t="shared" si="128"/>
        <v>4000</v>
      </c>
      <c r="L392" s="8">
        <f t="shared" si="129"/>
        <v>4000</v>
      </c>
      <c r="M392" s="8">
        <f t="shared" si="130"/>
        <v>4000</v>
      </c>
      <c r="N392" s="8">
        <f t="shared" si="125"/>
        <v>-1271</v>
      </c>
      <c r="O392" s="8">
        <f t="shared" si="126"/>
        <v>-1232</v>
      </c>
      <c r="P392" s="8">
        <f t="shared" si="127"/>
        <v>-1169</v>
      </c>
      <c r="Q392" s="12">
        <v>2</v>
      </c>
      <c r="R392" s="12">
        <v>2</v>
      </c>
      <c r="S392" s="12">
        <v>2</v>
      </c>
      <c r="T392" s="11">
        <f t="shared" si="122"/>
        <v>-381</v>
      </c>
      <c r="U392" s="10">
        <f t="shared" si="132"/>
        <v>2999</v>
      </c>
      <c r="V392" s="10">
        <f t="shared" si="131"/>
        <v>3158</v>
      </c>
      <c r="W392" s="10">
        <f t="shared" si="133"/>
        <v>3171</v>
      </c>
      <c r="X392" s="9"/>
      <c r="Y392" s="8"/>
      <c r="Z392" s="8"/>
      <c r="AA392" s="8"/>
      <c r="AB392" s="8"/>
    </row>
    <row r="393" spans="1:28" ht="13.15" customHeight="1">
      <c r="A393" s="16">
        <f t="shared" si="115"/>
        <v>379</v>
      </c>
      <c r="B393" s="15">
        <f t="shared" si="123"/>
        <v>45660</v>
      </c>
      <c r="C393" s="14">
        <f t="shared" si="124"/>
        <v>844</v>
      </c>
      <c r="D393" s="13">
        <f t="shared" si="134"/>
        <v>1935</v>
      </c>
      <c r="E393" s="12">
        <f t="shared" si="116"/>
        <v>51</v>
      </c>
      <c r="F393" s="12">
        <f t="shared" si="117"/>
        <v>13</v>
      </c>
      <c r="G393" s="12">
        <f t="shared" si="118"/>
        <v>-50</v>
      </c>
      <c r="H393" s="8">
        <f t="shared" si="119"/>
        <v>2728</v>
      </c>
      <c r="I393" s="8">
        <f t="shared" si="120"/>
        <v>2766</v>
      </c>
      <c r="J393" s="8">
        <f t="shared" si="121"/>
        <v>2829</v>
      </c>
      <c r="K393" s="8">
        <f t="shared" si="128"/>
        <v>4000</v>
      </c>
      <c r="L393" s="8">
        <f t="shared" si="129"/>
        <v>4000</v>
      </c>
      <c r="M393" s="8">
        <f t="shared" si="130"/>
        <v>4000</v>
      </c>
      <c r="N393" s="8">
        <f t="shared" si="125"/>
        <v>-1272</v>
      </c>
      <c r="O393" s="8">
        <f t="shared" si="126"/>
        <v>-1234</v>
      </c>
      <c r="P393" s="8">
        <f t="shared" si="127"/>
        <v>-1171</v>
      </c>
      <c r="Q393" s="12">
        <v>1</v>
      </c>
      <c r="R393" s="12">
        <v>2</v>
      </c>
      <c r="S393" s="12">
        <v>2</v>
      </c>
      <c r="T393" s="11">
        <f t="shared" si="122"/>
        <v>-377</v>
      </c>
      <c r="U393" s="10">
        <f t="shared" si="132"/>
        <v>2998</v>
      </c>
      <c r="V393" s="10">
        <f t="shared" si="131"/>
        <v>3156</v>
      </c>
      <c r="W393" s="10">
        <f t="shared" si="133"/>
        <v>3169</v>
      </c>
      <c r="X393" s="9"/>
      <c r="Y393" s="8"/>
      <c r="Z393" s="8"/>
      <c r="AA393" s="8"/>
      <c r="AB393" s="8"/>
    </row>
    <row r="394" spans="1:28" ht="13.15" customHeight="1">
      <c r="A394" s="16">
        <f t="shared" si="115"/>
        <v>380</v>
      </c>
      <c r="B394" s="15">
        <f t="shared" si="123"/>
        <v>45661</v>
      </c>
      <c r="C394" s="14">
        <f t="shared" si="124"/>
        <v>844</v>
      </c>
      <c r="D394" s="13">
        <f t="shared" si="134"/>
        <v>1937</v>
      </c>
      <c r="E394" s="12">
        <f t="shared" si="116"/>
        <v>56</v>
      </c>
      <c r="F394" s="12">
        <f t="shared" si="117"/>
        <v>17</v>
      </c>
      <c r="G394" s="12">
        <f t="shared" si="118"/>
        <v>-48</v>
      </c>
      <c r="H394" s="8">
        <f t="shared" si="119"/>
        <v>2725</v>
      </c>
      <c r="I394" s="8">
        <f t="shared" si="120"/>
        <v>2764</v>
      </c>
      <c r="J394" s="8">
        <f t="shared" si="121"/>
        <v>2829</v>
      </c>
      <c r="K394" s="8">
        <f t="shared" si="128"/>
        <v>4000</v>
      </c>
      <c r="L394" s="8">
        <f t="shared" si="129"/>
        <v>4000</v>
      </c>
      <c r="M394" s="8">
        <f t="shared" si="130"/>
        <v>4000</v>
      </c>
      <c r="N394" s="8">
        <f t="shared" si="125"/>
        <v>-1275</v>
      </c>
      <c r="O394" s="8">
        <f t="shared" si="126"/>
        <v>-1236</v>
      </c>
      <c r="P394" s="8">
        <f t="shared" si="127"/>
        <v>-1171</v>
      </c>
      <c r="Q394" s="12">
        <v>3</v>
      </c>
      <c r="R394" s="12">
        <v>2</v>
      </c>
      <c r="S394" s="12">
        <v>0</v>
      </c>
      <c r="T394" s="11">
        <f t="shared" si="122"/>
        <v>-373</v>
      </c>
      <c r="U394" s="10">
        <f t="shared" si="132"/>
        <v>2995</v>
      </c>
      <c r="V394" s="10">
        <f t="shared" si="131"/>
        <v>3154</v>
      </c>
      <c r="W394" s="10">
        <f t="shared" si="133"/>
        <v>3169</v>
      </c>
      <c r="X394" s="9"/>
      <c r="Y394" s="8"/>
      <c r="Z394" s="8"/>
      <c r="AA394" s="8"/>
      <c r="AB394" s="8"/>
    </row>
    <row r="395" spans="1:28" ht="13.15" customHeight="1">
      <c r="A395" s="16">
        <f t="shared" si="115"/>
        <v>381</v>
      </c>
      <c r="B395" s="15">
        <f t="shared" si="123"/>
        <v>45662</v>
      </c>
      <c r="C395" s="14">
        <f t="shared" si="124"/>
        <v>844</v>
      </c>
      <c r="D395" s="13">
        <f t="shared" si="134"/>
        <v>1939</v>
      </c>
      <c r="E395" s="12">
        <f t="shared" si="116"/>
        <v>60</v>
      </c>
      <c r="F395" s="12">
        <f t="shared" si="117"/>
        <v>21</v>
      </c>
      <c r="G395" s="12">
        <f t="shared" si="118"/>
        <v>-46</v>
      </c>
      <c r="H395" s="8">
        <f t="shared" si="119"/>
        <v>2723</v>
      </c>
      <c r="I395" s="8">
        <f t="shared" si="120"/>
        <v>2762</v>
      </c>
      <c r="J395" s="8">
        <f t="shared" si="121"/>
        <v>2829</v>
      </c>
      <c r="K395" s="8">
        <f t="shared" si="128"/>
        <v>4000</v>
      </c>
      <c r="L395" s="8">
        <f t="shared" si="129"/>
        <v>4000</v>
      </c>
      <c r="M395" s="8">
        <f t="shared" si="130"/>
        <v>4000</v>
      </c>
      <c r="N395" s="8">
        <f t="shared" si="125"/>
        <v>-1277</v>
      </c>
      <c r="O395" s="8">
        <f t="shared" si="126"/>
        <v>-1238</v>
      </c>
      <c r="P395" s="8">
        <f t="shared" si="127"/>
        <v>-1171</v>
      </c>
      <c r="Q395" s="12">
        <v>2</v>
      </c>
      <c r="R395" s="12">
        <v>2</v>
      </c>
      <c r="S395" s="12">
        <v>0</v>
      </c>
      <c r="T395" s="11">
        <f t="shared" si="122"/>
        <v>-369</v>
      </c>
      <c r="U395" s="10">
        <f t="shared" si="132"/>
        <v>2993</v>
      </c>
      <c r="V395" s="10">
        <f t="shared" si="131"/>
        <v>3152</v>
      </c>
      <c r="W395" s="10">
        <f t="shared" si="133"/>
        <v>3169</v>
      </c>
      <c r="X395" s="9"/>
      <c r="Y395" s="8"/>
      <c r="Z395" s="8"/>
      <c r="AA395" s="8"/>
      <c r="AB395" s="8"/>
    </row>
    <row r="396" spans="1:28" ht="13.15" customHeight="1">
      <c r="A396" s="16">
        <f t="shared" ref="A396:A459" si="135">+A395+1</f>
        <v>382</v>
      </c>
      <c r="B396" s="15">
        <f t="shared" si="123"/>
        <v>45663</v>
      </c>
      <c r="C396" s="14">
        <f t="shared" si="124"/>
        <v>844</v>
      </c>
      <c r="D396" s="13">
        <f t="shared" si="134"/>
        <v>1941</v>
      </c>
      <c r="E396" s="12">
        <f t="shared" si="116"/>
        <v>63</v>
      </c>
      <c r="F396" s="12">
        <f t="shared" si="117"/>
        <v>28</v>
      </c>
      <c r="G396" s="12">
        <f t="shared" si="118"/>
        <v>-42</v>
      </c>
      <c r="H396" s="8">
        <f t="shared" si="119"/>
        <v>2722</v>
      </c>
      <c r="I396" s="8">
        <f t="shared" si="120"/>
        <v>2757</v>
      </c>
      <c r="J396" s="8">
        <f t="shared" si="121"/>
        <v>2827</v>
      </c>
      <c r="K396" s="8">
        <f t="shared" si="128"/>
        <v>4000</v>
      </c>
      <c r="L396" s="8">
        <f t="shared" si="129"/>
        <v>4000</v>
      </c>
      <c r="M396" s="8">
        <f t="shared" si="130"/>
        <v>4000</v>
      </c>
      <c r="N396" s="8">
        <f t="shared" si="125"/>
        <v>-1278</v>
      </c>
      <c r="O396" s="8">
        <f t="shared" si="126"/>
        <v>-1243</v>
      </c>
      <c r="P396" s="8">
        <f t="shared" si="127"/>
        <v>-1173</v>
      </c>
      <c r="Q396" s="12">
        <v>1</v>
      </c>
      <c r="R396" s="12">
        <v>5</v>
      </c>
      <c r="S396" s="12">
        <v>2</v>
      </c>
      <c r="T396" s="11">
        <f t="shared" si="122"/>
        <v>-362</v>
      </c>
      <c r="U396" s="10">
        <f t="shared" si="132"/>
        <v>2992</v>
      </c>
      <c r="V396" s="10">
        <f t="shared" si="131"/>
        <v>3147</v>
      </c>
      <c r="W396" s="10">
        <f t="shared" si="133"/>
        <v>3167</v>
      </c>
      <c r="X396" s="9"/>
      <c r="Y396" s="8"/>
      <c r="Z396" s="8"/>
      <c r="AA396" s="8"/>
      <c r="AB396" s="8"/>
    </row>
    <row r="397" spans="1:28" ht="13.15" customHeight="1">
      <c r="A397" s="16">
        <f t="shared" si="135"/>
        <v>383</v>
      </c>
      <c r="B397" s="15">
        <f t="shared" si="123"/>
        <v>45664</v>
      </c>
      <c r="C397" s="14">
        <f t="shared" si="124"/>
        <v>844</v>
      </c>
      <c r="D397" s="13">
        <f t="shared" si="134"/>
        <v>1943</v>
      </c>
      <c r="E397" s="12">
        <f t="shared" si="116"/>
        <v>67</v>
      </c>
      <c r="F397" s="12">
        <f t="shared" si="117"/>
        <v>35</v>
      </c>
      <c r="G397" s="12">
        <f t="shared" si="118"/>
        <v>-39</v>
      </c>
      <c r="H397" s="8">
        <f t="shared" si="119"/>
        <v>2720</v>
      </c>
      <c r="I397" s="8">
        <f t="shared" si="120"/>
        <v>2752</v>
      </c>
      <c r="J397" s="8">
        <f t="shared" si="121"/>
        <v>2826</v>
      </c>
      <c r="K397" s="8">
        <f t="shared" si="128"/>
        <v>4000</v>
      </c>
      <c r="L397" s="8">
        <f t="shared" si="129"/>
        <v>4000</v>
      </c>
      <c r="M397" s="8">
        <f t="shared" si="130"/>
        <v>4000</v>
      </c>
      <c r="N397" s="8">
        <f t="shared" si="125"/>
        <v>-1280</v>
      </c>
      <c r="O397" s="8">
        <f t="shared" si="126"/>
        <v>-1248</v>
      </c>
      <c r="P397" s="8">
        <f t="shared" si="127"/>
        <v>-1174</v>
      </c>
      <c r="Q397" s="12">
        <v>2</v>
      </c>
      <c r="R397" s="12">
        <v>5</v>
      </c>
      <c r="S397" s="12">
        <v>1</v>
      </c>
      <c r="T397" s="11">
        <f t="shared" si="122"/>
        <v>-355</v>
      </c>
      <c r="U397" s="10">
        <f t="shared" si="132"/>
        <v>2990</v>
      </c>
      <c r="V397" s="10">
        <f t="shared" si="131"/>
        <v>3142</v>
      </c>
      <c r="W397" s="10">
        <f t="shared" si="133"/>
        <v>3166</v>
      </c>
      <c r="X397" s="9"/>
      <c r="Y397" s="8"/>
      <c r="Z397" s="8"/>
      <c r="AA397" s="8"/>
      <c r="AB397" s="8"/>
    </row>
    <row r="398" spans="1:28" ht="13.15" customHeight="1">
      <c r="A398" s="16">
        <f t="shared" si="135"/>
        <v>384</v>
      </c>
      <c r="B398" s="15">
        <f t="shared" si="123"/>
        <v>45665</v>
      </c>
      <c r="C398" s="14">
        <f t="shared" si="124"/>
        <v>844</v>
      </c>
      <c r="D398" s="13">
        <f t="shared" si="134"/>
        <v>1945</v>
      </c>
      <c r="E398" s="12">
        <f t="shared" ref="E398:E461" si="136">C398+D398-H398</f>
        <v>71</v>
      </c>
      <c r="F398" s="12">
        <f t="shared" ref="F398:F461" si="137">C398+D398-I398</f>
        <v>42</v>
      </c>
      <c r="G398" s="12">
        <f t="shared" ref="G398:G461" si="138">D398+C398-J398</f>
        <v>-35</v>
      </c>
      <c r="H398" s="8">
        <f t="shared" ref="H398:H461" si="139">K398+N398</f>
        <v>2718</v>
      </c>
      <c r="I398" s="8">
        <f t="shared" ref="I398:I461" si="140">L398+O398</f>
        <v>2747</v>
      </c>
      <c r="J398" s="8">
        <f t="shared" ref="J398:J461" si="141">M398+P398</f>
        <v>2824</v>
      </c>
      <c r="K398" s="8">
        <f t="shared" si="128"/>
        <v>4000</v>
      </c>
      <c r="L398" s="8">
        <f t="shared" si="129"/>
        <v>4000</v>
      </c>
      <c r="M398" s="8">
        <f t="shared" si="130"/>
        <v>4000</v>
      </c>
      <c r="N398" s="8">
        <f t="shared" si="125"/>
        <v>-1282</v>
      </c>
      <c r="O398" s="8">
        <f t="shared" si="126"/>
        <v>-1253</v>
      </c>
      <c r="P398" s="8">
        <f t="shared" si="127"/>
        <v>-1176</v>
      </c>
      <c r="Q398" s="12">
        <v>2</v>
      </c>
      <c r="R398" s="12">
        <v>5</v>
      </c>
      <c r="S398" s="12">
        <v>2</v>
      </c>
      <c r="T398" s="11">
        <f t="shared" ref="T398:T461" si="142">D398+C398-V398</f>
        <v>-348</v>
      </c>
      <c r="U398" s="10">
        <f t="shared" si="132"/>
        <v>2988</v>
      </c>
      <c r="V398" s="10">
        <f t="shared" si="131"/>
        <v>3137</v>
      </c>
      <c r="W398" s="10">
        <f t="shared" si="133"/>
        <v>3164</v>
      </c>
      <c r="X398" s="9"/>
      <c r="Y398" s="8"/>
      <c r="Z398" s="8"/>
      <c r="AA398" s="8"/>
      <c r="AB398" s="8"/>
    </row>
    <row r="399" spans="1:28" ht="13.15" customHeight="1">
      <c r="A399" s="16">
        <f t="shared" si="135"/>
        <v>385</v>
      </c>
      <c r="B399" s="15">
        <f t="shared" ref="B399:B462" si="143">B398+1</f>
        <v>45666</v>
      </c>
      <c r="C399" s="14">
        <f t="shared" ref="C399:C462" si="144">C398</f>
        <v>844</v>
      </c>
      <c r="D399" s="13">
        <f t="shared" si="134"/>
        <v>1947</v>
      </c>
      <c r="E399" s="12">
        <f t="shared" si="136"/>
        <v>73</v>
      </c>
      <c r="F399" s="12">
        <f t="shared" si="137"/>
        <v>44</v>
      </c>
      <c r="G399" s="12">
        <f t="shared" si="138"/>
        <v>-28</v>
      </c>
      <c r="H399" s="8">
        <f t="shared" si="139"/>
        <v>2718</v>
      </c>
      <c r="I399" s="8">
        <f t="shared" si="140"/>
        <v>2747</v>
      </c>
      <c r="J399" s="8">
        <f t="shared" si="141"/>
        <v>2819</v>
      </c>
      <c r="K399" s="8">
        <f t="shared" si="128"/>
        <v>4000</v>
      </c>
      <c r="L399" s="8">
        <f t="shared" si="129"/>
        <v>4000</v>
      </c>
      <c r="M399" s="8">
        <f t="shared" si="130"/>
        <v>4000</v>
      </c>
      <c r="N399" s="8">
        <f t="shared" ref="N399:N462" si="145">N398-Q399</f>
        <v>-1282</v>
      </c>
      <c r="O399" s="8">
        <f t="shared" ref="O399:O462" si="146">O398-R399</f>
        <v>-1253</v>
      </c>
      <c r="P399" s="8">
        <f t="shared" ref="P399:P462" si="147">P398-S399</f>
        <v>-1181</v>
      </c>
      <c r="Q399" s="12">
        <v>0</v>
      </c>
      <c r="R399" s="12">
        <v>0</v>
      </c>
      <c r="S399" s="12">
        <v>5</v>
      </c>
      <c r="T399" s="11">
        <f t="shared" si="142"/>
        <v>-346</v>
      </c>
      <c r="U399" s="10">
        <f t="shared" si="132"/>
        <v>2988</v>
      </c>
      <c r="V399" s="10">
        <f t="shared" si="131"/>
        <v>3137</v>
      </c>
      <c r="W399" s="10">
        <f t="shared" si="133"/>
        <v>3159</v>
      </c>
      <c r="X399" s="9"/>
      <c r="Y399" s="8"/>
      <c r="Z399" s="8"/>
      <c r="AA399" s="8"/>
      <c r="AB399" s="8"/>
    </row>
    <row r="400" spans="1:28" ht="13.15" customHeight="1">
      <c r="A400" s="16">
        <f t="shared" si="135"/>
        <v>386</v>
      </c>
      <c r="B400" s="15">
        <f t="shared" si="143"/>
        <v>45667</v>
      </c>
      <c r="C400" s="14">
        <f t="shared" si="144"/>
        <v>844</v>
      </c>
      <c r="D400" s="13">
        <f t="shared" si="134"/>
        <v>1949</v>
      </c>
      <c r="E400" s="12">
        <f t="shared" si="136"/>
        <v>75</v>
      </c>
      <c r="F400" s="12">
        <f t="shared" si="137"/>
        <v>46</v>
      </c>
      <c r="G400" s="12">
        <f t="shared" si="138"/>
        <v>-21</v>
      </c>
      <c r="H400" s="8">
        <f t="shared" si="139"/>
        <v>2718</v>
      </c>
      <c r="I400" s="8">
        <f t="shared" si="140"/>
        <v>2747</v>
      </c>
      <c r="J400" s="8">
        <f t="shared" si="141"/>
        <v>2814</v>
      </c>
      <c r="K400" s="8">
        <f t="shared" si="128"/>
        <v>4000</v>
      </c>
      <c r="L400" s="8">
        <f t="shared" si="129"/>
        <v>4000</v>
      </c>
      <c r="M400" s="8">
        <f t="shared" si="130"/>
        <v>4000</v>
      </c>
      <c r="N400" s="8">
        <f t="shared" si="145"/>
        <v>-1282</v>
      </c>
      <c r="O400" s="8">
        <f t="shared" si="146"/>
        <v>-1253</v>
      </c>
      <c r="P400" s="8">
        <f t="shared" si="147"/>
        <v>-1186</v>
      </c>
      <c r="Q400" s="12">
        <v>0</v>
      </c>
      <c r="R400" s="12">
        <v>0</v>
      </c>
      <c r="S400" s="12">
        <v>5</v>
      </c>
      <c r="T400" s="11">
        <f t="shared" si="142"/>
        <v>-344</v>
      </c>
      <c r="U400" s="10">
        <f t="shared" si="132"/>
        <v>2988</v>
      </c>
      <c r="V400" s="10">
        <f t="shared" si="131"/>
        <v>3137</v>
      </c>
      <c r="W400" s="10">
        <f t="shared" si="133"/>
        <v>3154</v>
      </c>
      <c r="X400" s="9"/>
      <c r="Y400" s="8"/>
      <c r="Z400" s="8"/>
      <c r="AA400" s="8"/>
      <c r="AB400" s="8"/>
    </row>
    <row r="401" spans="1:28" ht="13.15" customHeight="1">
      <c r="A401" s="16">
        <f t="shared" si="135"/>
        <v>387</v>
      </c>
      <c r="B401" s="15">
        <f t="shared" si="143"/>
        <v>45668</v>
      </c>
      <c r="C401" s="14">
        <f t="shared" si="144"/>
        <v>844</v>
      </c>
      <c r="D401" s="13">
        <f t="shared" si="134"/>
        <v>1951</v>
      </c>
      <c r="E401" s="12">
        <f t="shared" si="136"/>
        <v>77</v>
      </c>
      <c r="F401" s="12">
        <f t="shared" si="137"/>
        <v>48</v>
      </c>
      <c r="G401" s="12">
        <f t="shared" si="138"/>
        <v>-18</v>
      </c>
      <c r="H401" s="8">
        <f t="shared" si="139"/>
        <v>2718</v>
      </c>
      <c r="I401" s="8">
        <f t="shared" si="140"/>
        <v>2747</v>
      </c>
      <c r="J401" s="8">
        <f t="shared" si="141"/>
        <v>2813</v>
      </c>
      <c r="K401" s="8">
        <f t="shared" si="128"/>
        <v>4000</v>
      </c>
      <c r="L401" s="8">
        <f t="shared" si="129"/>
        <v>4000</v>
      </c>
      <c r="M401" s="8">
        <f t="shared" si="130"/>
        <v>4000</v>
      </c>
      <c r="N401" s="8">
        <f t="shared" si="145"/>
        <v>-1282</v>
      </c>
      <c r="O401" s="8">
        <f t="shared" si="146"/>
        <v>-1253</v>
      </c>
      <c r="P401" s="8">
        <f t="shared" si="147"/>
        <v>-1187</v>
      </c>
      <c r="Q401" s="12">
        <v>0</v>
      </c>
      <c r="R401" s="12">
        <v>0</v>
      </c>
      <c r="S401" s="12">
        <v>1</v>
      </c>
      <c r="T401" s="11">
        <f t="shared" si="142"/>
        <v>-342</v>
      </c>
      <c r="U401" s="10">
        <f t="shared" si="132"/>
        <v>2988</v>
      </c>
      <c r="V401" s="10">
        <f t="shared" si="131"/>
        <v>3137</v>
      </c>
      <c r="W401" s="10">
        <f t="shared" si="133"/>
        <v>3153</v>
      </c>
      <c r="X401" s="9"/>
      <c r="Y401" s="8"/>
      <c r="Z401" s="8"/>
      <c r="AA401" s="8"/>
      <c r="AB401" s="8"/>
    </row>
    <row r="402" spans="1:28" ht="13.15" customHeight="1">
      <c r="A402" s="16">
        <f t="shared" si="135"/>
        <v>388</v>
      </c>
      <c r="B402" s="15">
        <f t="shared" si="143"/>
        <v>45669</v>
      </c>
      <c r="C402" s="14">
        <f t="shared" si="144"/>
        <v>844</v>
      </c>
      <c r="D402" s="13">
        <f t="shared" si="134"/>
        <v>1953</v>
      </c>
      <c r="E402" s="12">
        <f t="shared" si="136"/>
        <v>79</v>
      </c>
      <c r="F402" s="12">
        <f t="shared" si="137"/>
        <v>50</v>
      </c>
      <c r="G402" s="12">
        <f t="shared" si="138"/>
        <v>-14</v>
      </c>
      <c r="H402" s="8">
        <f t="shared" si="139"/>
        <v>2718</v>
      </c>
      <c r="I402" s="8">
        <f t="shared" si="140"/>
        <v>2747</v>
      </c>
      <c r="J402" s="8">
        <f t="shared" si="141"/>
        <v>2811</v>
      </c>
      <c r="K402" s="8">
        <f t="shared" si="128"/>
        <v>4000</v>
      </c>
      <c r="L402" s="8">
        <f t="shared" si="129"/>
        <v>4000</v>
      </c>
      <c r="M402" s="8">
        <f t="shared" si="130"/>
        <v>4000</v>
      </c>
      <c r="N402" s="8">
        <f t="shared" si="145"/>
        <v>-1282</v>
      </c>
      <c r="O402" s="8">
        <f t="shared" si="146"/>
        <v>-1253</v>
      </c>
      <c r="P402" s="8">
        <f t="shared" si="147"/>
        <v>-1189</v>
      </c>
      <c r="Q402" s="12">
        <v>0</v>
      </c>
      <c r="R402" s="12">
        <v>0</v>
      </c>
      <c r="S402" s="12">
        <v>2</v>
      </c>
      <c r="T402" s="11">
        <f t="shared" si="142"/>
        <v>-340</v>
      </c>
      <c r="U402" s="10">
        <f t="shared" si="132"/>
        <v>2988</v>
      </c>
      <c r="V402" s="10">
        <f t="shared" si="131"/>
        <v>3137</v>
      </c>
      <c r="W402" s="10">
        <f t="shared" si="133"/>
        <v>3151</v>
      </c>
      <c r="X402" s="9"/>
      <c r="Y402" s="8"/>
      <c r="Z402" s="8"/>
      <c r="AA402" s="8"/>
      <c r="AB402" s="8"/>
    </row>
    <row r="403" spans="1:28" ht="13.15" customHeight="1">
      <c r="A403" s="16">
        <f t="shared" si="135"/>
        <v>389</v>
      </c>
      <c r="B403" s="15">
        <f t="shared" si="143"/>
        <v>45670</v>
      </c>
      <c r="C403" s="14">
        <f t="shared" si="144"/>
        <v>844</v>
      </c>
      <c r="D403" s="13">
        <f t="shared" si="134"/>
        <v>1955</v>
      </c>
      <c r="E403" s="12">
        <f t="shared" si="136"/>
        <v>81</v>
      </c>
      <c r="F403" s="12">
        <f t="shared" si="137"/>
        <v>52</v>
      </c>
      <c r="G403" s="12">
        <f t="shared" si="138"/>
        <v>-10</v>
      </c>
      <c r="H403" s="8">
        <f t="shared" si="139"/>
        <v>2718</v>
      </c>
      <c r="I403" s="8">
        <f t="shared" si="140"/>
        <v>2747</v>
      </c>
      <c r="J403" s="8">
        <f t="shared" si="141"/>
        <v>2809</v>
      </c>
      <c r="K403" s="8">
        <f t="shared" si="128"/>
        <v>4000</v>
      </c>
      <c r="L403" s="8">
        <f t="shared" si="129"/>
        <v>4000</v>
      </c>
      <c r="M403" s="8">
        <f t="shared" si="130"/>
        <v>4000</v>
      </c>
      <c r="N403" s="8">
        <f t="shared" si="145"/>
        <v>-1282</v>
      </c>
      <c r="O403" s="8">
        <f t="shared" si="146"/>
        <v>-1253</v>
      </c>
      <c r="P403" s="8">
        <f t="shared" si="147"/>
        <v>-1191</v>
      </c>
      <c r="Q403" s="12">
        <v>0</v>
      </c>
      <c r="R403" s="12">
        <v>0</v>
      </c>
      <c r="S403" s="12">
        <v>2</v>
      </c>
      <c r="T403" s="11">
        <f t="shared" si="142"/>
        <v>-338</v>
      </c>
      <c r="U403" s="10">
        <f t="shared" si="132"/>
        <v>2988</v>
      </c>
      <c r="V403" s="10">
        <f t="shared" si="131"/>
        <v>3137</v>
      </c>
      <c r="W403" s="10">
        <f t="shared" si="133"/>
        <v>3149</v>
      </c>
      <c r="X403" s="9"/>
      <c r="Y403" s="8"/>
      <c r="Z403" s="8"/>
      <c r="AA403" s="8"/>
      <c r="AB403" s="8"/>
    </row>
    <row r="404" spans="1:28" ht="13.15" customHeight="1">
      <c r="A404" s="16">
        <f t="shared" si="135"/>
        <v>390</v>
      </c>
      <c r="B404" s="15">
        <f t="shared" si="143"/>
        <v>45671</v>
      </c>
      <c r="C404" s="14">
        <f t="shared" si="144"/>
        <v>844</v>
      </c>
      <c r="D404" s="13">
        <f t="shared" si="134"/>
        <v>1957</v>
      </c>
      <c r="E404" s="12">
        <f t="shared" si="136"/>
        <v>83</v>
      </c>
      <c r="F404" s="12">
        <f t="shared" si="137"/>
        <v>54</v>
      </c>
      <c r="G404" s="12">
        <f t="shared" si="138"/>
        <v>-8</v>
      </c>
      <c r="H404" s="8">
        <f t="shared" si="139"/>
        <v>2718</v>
      </c>
      <c r="I404" s="8">
        <f t="shared" si="140"/>
        <v>2747</v>
      </c>
      <c r="J404" s="8">
        <f t="shared" si="141"/>
        <v>2809</v>
      </c>
      <c r="K404" s="8">
        <f t="shared" si="128"/>
        <v>4000</v>
      </c>
      <c r="L404" s="8">
        <f t="shared" si="129"/>
        <v>4000</v>
      </c>
      <c r="M404" s="8">
        <f t="shared" si="130"/>
        <v>4000</v>
      </c>
      <c r="N404" s="8">
        <f t="shared" si="145"/>
        <v>-1282</v>
      </c>
      <c r="O404" s="8">
        <f t="shared" si="146"/>
        <v>-1253</v>
      </c>
      <c r="P404" s="8">
        <f t="shared" si="147"/>
        <v>-1191</v>
      </c>
      <c r="Q404" s="12">
        <v>0</v>
      </c>
      <c r="R404" s="12">
        <v>0</v>
      </c>
      <c r="S404" s="12">
        <v>0</v>
      </c>
      <c r="T404" s="11">
        <f t="shared" si="142"/>
        <v>-336</v>
      </c>
      <c r="U404" s="10">
        <f t="shared" si="132"/>
        <v>2988</v>
      </c>
      <c r="V404" s="10">
        <f t="shared" si="131"/>
        <v>3137</v>
      </c>
      <c r="W404" s="10">
        <f t="shared" si="133"/>
        <v>3149</v>
      </c>
      <c r="X404" s="9"/>
      <c r="Y404" s="8"/>
      <c r="Z404" s="8"/>
      <c r="AA404" s="8"/>
      <c r="AB404" s="8"/>
    </row>
    <row r="405" spans="1:28" ht="13.15" customHeight="1">
      <c r="A405" s="16">
        <f t="shared" si="135"/>
        <v>391</v>
      </c>
      <c r="B405" s="15">
        <f t="shared" si="143"/>
        <v>45672</v>
      </c>
      <c r="C405" s="14">
        <f t="shared" si="144"/>
        <v>844</v>
      </c>
      <c r="D405" s="13">
        <f t="shared" si="134"/>
        <v>1959</v>
      </c>
      <c r="E405" s="12">
        <f t="shared" si="136"/>
        <v>85</v>
      </c>
      <c r="F405" s="12">
        <f t="shared" si="137"/>
        <v>56</v>
      </c>
      <c r="G405" s="12">
        <f t="shared" si="138"/>
        <v>-6</v>
      </c>
      <c r="H405" s="8">
        <f t="shared" si="139"/>
        <v>2718</v>
      </c>
      <c r="I405" s="8">
        <f t="shared" si="140"/>
        <v>2747</v>
      </c>
      <c r="J405" s="8">
        <f t="shared" si="141"/>
        <v>2809</v>
      </c>
      <c r="K405" s="8">
        <f t="shared" ref="K405:K468" si="148">K404</f>
        <v>4000</v>
      </c>
      <c r="L405" s="8">
        <f t="shared" ref="L405:L468" si="149">L404</f>
        <v>4000</v>
      </c>
      <c r="M405" s="8">
        <f t="shared" ref="M405:M468" si="150">M404</f>
        <v>4000</v>
      </c>
      <c r="N405" s="8">
        <f t="shared" si="145"/>
        <v>-1282</v>
      </c>
      <c r="O405" s="8">
        <f t="shared" si="146"/>
        <v>-1253</v>
      </c>
      <c r="P405" s="8">
        <f t="shared" si="147"/>
        <v>-1191</v>
      </c>
      <c r="Q405" s="12">
        <v>0</v>
      </c>
      <c r="R405" s="12">
        <v>0</v>
      </c>
      <c r="S405" s="12">
        <v>0</v>
      </c>
      <c r="T405" s="11">
        <f t="shared" si="142"/>
        <v>-334</v>
      </c>
      <c r="U405" s="10">
        <f t="shared" si="132"/>
        <v>2988</v>
      </c>
      <c r="V405" s="10">
        <f t="shared" si="131"/>
        <v>3137</v>
      </c>
      <c r="W405" s="10">
        <f t="shared" si="133"/>
        <v>3149</v>
      </c>
      <c r="X405" s="9"/>
      <c r="Y405" s="8"/>
      <c r="Z405" s="8"/>
      <c r="AA405" s="8"/>
      <c r="AB405" s="8"/>
    </row>
    <row r="406" spans="1:28" ht="13.15" customHeight="1">
      <c r="A406" s="16">
        <f t="shared" si="135"/>
        <v>392</v>
      </c>
      <c r="B406" s="15">
        <f t="shared" si="143"/>
        <v>45673</v>
      </c>
      <c r="C406" s="14">
        <f t="shared" si="144"/>
        <v>844</v>
      </c>
      <c r="D406" s="13">
        <f t="shared" si="134"/>
        <v>1961</v>
      </c>
      <c r="E406" s="12">
        <f t="shared" si="136"/>
        <v>87</v>
      </c>
      <c r="F406" s="12">
        <f t="shared" si="137"/>
        <v>58</v>
      </c>
      <c r="G406" s="12">
        <f t="shared" si="138"/>
        <v>3</v>
      </c>
      <c r="H406" s="8">
        <f t="shared" si="139"/>
        <v>2718</v>
      </c>
      <c r="I406" s="8">
        <f t="shared" si="140"/>
        <v>2747</v>
      </c>
      <c r="J406" s="8">
        <f t="shared" si="141"/>
        <v>2802</v>
      </c>
      <c r="K406" s="8">
        <f t="shared" si="148"/>
        <v>4000</v>
      </c>
      <c r="L406" s="8">
        <f t="shared" si="149"/>
        <v>4000</v>
      </c>
      <c r="M406" s="8">
        <f t="shared" si="150"/>
        <v>4000</v>
      </c>
      <c r="N406" s="8">
        <f t="shared" si="145"/>
        <v>-1282</v>
      </c>
      <c r="O406" s="8">
        <f t="shared" si="146"/>
        <v>-1253</v>
      </c>
      <c r="P406" s="8">
        <f t="shared" si="147"/>
        <v>-1198</v>
      </c>
      <c r="Q406" s="12">
        <v>0</v>
      </c>
      <c r="R406" s="12">
        <v>0</v>
      </c>
      <c r="S406" s="12">
        <v>7</v>
      </c>
      <c r="T406" s="11">
        <f t="shared" si="142"/>
        <v>-332</v>
      </c>
      <c r="U406" s="10">
        <f t="shared" si="132"/>
        <v>2988</v>
      </c>
      <c r="V406" s="10">
        <f t="shared" si="131"/>
        <v>3137</v>
      </c>
      <c r="W406" s="10">
        <f t="shared" si="133"/>
        <v>3142</v>
      </c>
      <c r="X406" s="9"/>
      <c r="Y406" s="8"/>
      <c r="Z406" s="8"/>
      <c r="AA406" s="8"/>
      <c r="AB406" s="8"/>
    </row>
    <row r="407" spans="1:28" ht="13.15" customHeight="1">
      <c r="A407" s="16">
        <f t="shared" si="135"/>
        <v>393</v>
      </c>
      <c r="B407" s="15">
        <f t="shared" si="143"/>
        <v>45674</v>
      </c>
      <c r="C407" s="14">
        <f t="shared" si="144"/>
        <v>844</v>
      </c>
      <c r="D407" s="13">
        <f t="shared" si="134"/>
        <v>1963</v>
      </c>
      <c r="E407" s="12">
        <f t="shared" si="136"/>
        <v>89</v>
      </c>
      <c r="F407" s="12">
        <f t="shared" si="137"/>
        <v>60</v>
      </c>
      <c r="G407" s="12">
        <f t="shared" si="138"/>
        <v>9</v>
      </c>
      <c r="H407" s="8">
        <f t="shared" si="139"/>
        <v>2718</v>
      </c>
      <c r="I407" s="8">
        <f t="shared" si="140"/>
        <v>2747</v>
      </c>
      <c r="J407" s="8">
        <f t="shared" si="141"/>
        <v>2798</v>
      </c>
      <c r="K407" s="8">
        <f t="shared" si="148"/>
        <v>4000</v>
      </c>
      <c r="L407" s="8">
        <f t="shared" si="149"/>
        <v>4000</v>
      </c>
      <c r="M407" s="8">
        <f t="shared" si="150"/>
        <v>4000</v>
      </c>
      <c r="N407" s="8">
        <f t="shared" si="145"/>
        <v>-1282</v>
      </c>
      <c r="O407" s="8">
        <f t="shared" si="146"/>
        <v>-1253</v>
      </c>
      <c r="P407" s="8">
        <f t="shared" si="147"/>
        <v>-1202</v>
      </c>
      <c r="Q407" s="12">
        <v>0</v>
      </c>
      <c r="R407" s="12">
        <v>0</v>
      </c>
      <c r="S407" s="12">
        <v>4</v>
      </c>
      <c r="T407" s="11">
        <f t="shared" si="142"/>
        <v>-330</v>
      </c>
      <c r="U407" s="10">
        <f t="shared" si="132"/>
        <v>2988</v>
      </c>
      <c r="V407" s="10">
        <f t="shared" si="131"/>
        <v>3137</v>
      </c>
      <c r="W407" s="10">
        <f t="shared" si="133"/>
        <v>3138</v>
      </c>
      <c r="X407" s="9"/>
      <c r="Y407" s="8"/>
      <c r="Z407" s="8"/>
      <c r="AA407" s="8"/>
      <c r="AB407" s="8"/>
    </row>
    <row r="408" spans="1:28" ht="13.15" customHeight="1">
      <c r="A408" s="16">
        <f t="shared" si="135"/>
        <v>394</v>
      </c>
      <c r="B408" s="15">
        <f t="shared" si="143"/>
        <v>45675</v>
      </c>
      <c r="C408" s="14">
        <f t="shared" si="144"/>
        <v>844</v>
      </c>
      <c r="D408" s="13">
        <f t="shared" si="134"/>
        <v>1965</v>
      </c>
      <c r="E408" s="12">
        <f t="shared" si="136"/>
        <v>91</v>
      </c>
      <c r="F408" s="12">
        <f t="shared" si="137"/>
        <v>62</v>
      </c>
      <c r="G408" s="12">
        <f t="shared" si="138"/>
        <v>16</v>
      </c>
      <c r="H408" s="8">
        <f t="shared" si="139"/>
        <v>2718</v>
      </c>
      <c r="I408" s="8">
        <f t="shared" si="140"/>
        <v>2747</v>
      </c>
      <c r="J408" s="8">
        <f t="shared" si="141"/>
        <v>2793</v>
      </c>
      <c r="K408" s="8">
        <f t="shared" si="148"/>
        <v>4000</v>
      </c>
      <c r="L408" s="8">
        <f t="shared" si="149"/>
        <v>4000</v>
      </c>
      <c r="M408" s="8">
        <f t="shared" si="150"/>
        <v>4000</v>
      </c>
      <c r="N408" s="8">
        <f t="shared" si="145"/>
        <v>-1282</v>
      </c>
      <c r="O408" s="8">
        <f t="shared" si="146"/>
        <v>-1253</v>
      </c>
      <c r="P408" s="8">
        <f t="shared" si="147"/>
        <v>-1207</v>
      </c>
      <c r="Q408" s="12">
        <v>0</v>
      </c>
      <c r="R408" s="12">
        <v>0</v>
      </c>
      <c r="S408" s="12">
        <v>5</v>
      </c>
      <c r="T408" s="11">
        <f t="shared" si="142"/>
        <v>-328</v>
      </c>
      <c r="U408" s="10">
        <f t="shared" si="132"/>
        <v>2988</v>
      </c>
      <c r="V408" s="10">
        <f t="shared" si="131"/>
        <v>3137</v>
      </c>
      <c r="W408" s="10">
        <f t="shared" si="133"/>
        <v>3133</v>
      </c>
      <c r="X408" s="9"/>
      <c r="Y408" s="8"/>
      <c r="Z408" s="8"/>
      <c r="AA408" s="8"/>
      <c r="AB408" s="8"/>
    </row>
    <row r="409" spans="1:28" ht="13.15" customHeight="1">
      <c r="A409" s="16">
        <f t="shared" si="135"/>
        <v>395</v>
      </c>
      <c r="B409" s="15">
        <f t="shared" si="143"/>
        <v>45676</v>
      </c>
      <c r="C409" s="14">
        <f t="shared" si="144"/>
        <v>844</v>
      </c>
      <c r="D409" s="13">
        <f t="shared" si="134"/>
        <v>1967</v>
      </c>
      <c r="E409" s="12">
        <f t="shared" si="136"/>
        <v>96</v>
      </c>
      <c r="F409" s="12">
        <f t="shared" si="137"/>
        <v>65</v>
      </c>
      <c r="G409" s="12">
        <f t="shared" si="138"/>
        <v>19</v>
      </c>
      <c r="H409" s="8">
        <f t="shared" si="139"/>
        <v>2715</v>
      </c>
      <c r="I409" s="8">
        <f t="shared" si="140"/>
        <v>2746</v>
      </c>
      <c r="J409" s="8">
        <f t="shared" si="141"/>
        <v>2792</v>
      </c>
      <c r="K409" s="8">
        <f t="shared" si="148"/>
        <v>4000</v>
      </c>
      <c r="L409" s="8">
        <f t="shared" si="149"/>
        <v>4000</v>
      </c>
      <c r="M409" s="8">
        <f t="shared" si="150"/>
        <v>4000</v>
      </c>
      <c r="N409" s="8">
        <f t="shared" si="145"/>
        <v>-1285</v>
      </c>
      <c r="O409" s="8">
        <f t="shared" si="146"/>
        <v>-1254</v>
      </c>
      <c r="P409" s="8">
        <f t="shared" si="147"/>
        <v>-1208</v>
      </c>
      <c r="Q409" s="12">
        <v>3</v>
      </c>
      <c r="R409" s="12">
        <v>1</v>
      </c>
      <c r="S409" s="12">
        <v>1</v>
      </c>
      <c r="T409" s="11">
        <f t="shared" si="142"/>
        <v>-325</v>
      </c>
      <c r="U409" s="10">
        <f t="shared" si="132"/>
        <v>2985</v>
      </c>
      <c r="V409" s="10">
        <f t="shared" si="131"/>
        <v>3136</v>
      </c>
      <c r="W409" s="10">
        <f t="shared" si="133"/>
        <v>3132</v>
      </c>
      <c r="X409" s="9"/>
      <c r="Y409" s="8"/>
      <c r="Z409" s="8"/>
      <c r="AA409" s="8"/>
      <c r="AB409" s="8"/>
    </row>
    <row r="410" spans="1:28" ht="13.15" customHeight="1">
      <c r="A410" s="16">
        <f t="shared" si="135"/>
        <v>396</v>
      </c>
      <c r="B410" s="15">
        <f t="shared" si="143"/>
        <v>45677</v>
      </c>
      <c r="C410" s="14">
        <f t="shared" si="144"/>
        <v>844</v>
      </c>
      <c r="D410" s="13">
        <f t="shared" si="134"/>
        <v>1969</v>
      </c>
      <c r="E410" s="12">
        <f t="shared" si="136"/>
        <v>100</v>
      </c>
      <c r="F410" s="12">
        <f t="shared" si="137"/>
        <v>69</v>
      </c>
      <c r="G410" s="12">
        <f t="shared" si="138"/>
        <v>23</v>
      </c>
      <c r="H410" s="8">
        <f t="shared" si="139"/>
        <v>2713</v>
      </c>
      <c r="I410" s="8">
        <f t="shared" si="140"/>
        <v>2744</v>
      </c>
      <c r="J410" s="8">
        <f t="shared" si="141"/>
        <v>2790</v>
      </c>
      <c r="K410" s="8">
        <f t="shared" si="148"/>
        <v>4000</v>
      </c>
      <c r="L410" s="8">
        <f t="shared" si="149"/>
        <v>4000</v>
      </c>
      <c r="M410" s="8">
        <f t="shared" si="150"/>
        <v>4000</v>
      </c>
      <c r="N410" s="8">
        <f t="shared" si="145"/>
        <v>-1287</v>
      </c>
      <c r="O410" s="8">
        <f t="shared" si="146"/>
        <v>-1256</v>
      </c>
      <c r="P410" s="8">
        <f t="shared" si="147"/>
        <v>-1210</v>
      </c>
      <c r="Q410" s="12">
        <v>2</v>
      </c>
      <c r="R410" s="12">
        <v>2</v>
      </c>
      <c r="S410" s="12">
        <v>2</v>
      </c>
      <c r="T410" s="11">
        <f t="shared" si="142"/>
        <v>-321</v>
      </c>
      <c r="U410" s="10">
        <f t="shared" si="132"/>
        <v>2983</v>
      </c>
      <c r="V410" s="10">
        <f t="shared" ref="V410:V473" si="151">V409+$X410*1000-R410</f>
        <v>3134</v>
      </c>
      <c r="W410" s="10">
        <f t="shared" si="133"/>
        <v>3130</v>
      </c>
      <c r="X410" s="9"/>
      <c r="Y410" s="8"/>
      <c r="Z410" s="8"/>
      <c r="AA410" s="8"/>
      <c r="AB410" s="8"/>
    </row>
    <row r="411" spans="1:28" ht="13.15" customHeight="1">
      <c r="A411" s="16">
        <f t="shared" si="135"/>
        <v>397</v>
      </c>
      <c r="B411" s="15">
        <f t="shared" si="143"/>
        <v>45678</v>
      </c>
      <c r="C411" s="14">
        <f t="shared" si="144"/>
        <v>844</v>
      </c>
      <c r="D411" s="13">
        <f t="shared" si="134"/>
        <v>1971</v>
      </c>
      <c r="E411" s="12">
        <f t="shared" si="136"/>
        <v>105</v>
      </c>
      <c r="F411" s="12">
        <f t="shared" si="137"/>
        <v>73</v>
      </c>
      <c r="G411" s="12">
        <f t="shared" si="138"/>
        <v>27</v>
      </c>
      <c r="H411" s="8">
        <f t="shared" si="139"/>
        <v>2710</v>
      </c>
      <c r="I411" s="8">
        <f t="shared" si="140"/>
        <v>2742</v>
      </c>
      <c r="J411" s="8">
        <f t="shared" si="141"/>
        <v>2788</v>
      </c>
      <c r="K411" s="8">
        <f t="shared" si="148"/>
        <v>4000</v>
      </c>
      <c r="L411" s="8">
        <f t="shared" si="149"/>
        <v>4000</v>
      </c>
      <c r="M411" s="8">
        <f t="shared" si="150"/>
        <v>4000</v>
      </c>
      <c r="N411" s="8">
        <f t="shared" si="145"/>
        <v>-1290</v>
      </c>
      <c r="O411" s="8">
        <f t="shared" si="146"/>
        <v>-1258</v>
      </c>
      <c r="P411" s="8">
        <f t="shared" si="147"/>
        <v>-1212</v>
      </c>
      <c r="Q411" s="12">
        <v>3</v>
      </c>
      <c r="R411" s="12">
        <v>2</v>
      </c>
      <c r="S411" s="12">
        <v>2</v>
      </c>
      <c r="T411" s="11">
        <f t="shared" si="142"/>
        <v>-317</v>
      </c>
      <c r="U411" s="10">
        <f t="shared" ref="U411:U479" si="152">U410+$X411*1000-Q411</f>
        <v>2980</v>
      </c>
      <c r="V411" s="10">
        <f t="shared" si="151"/>
        <v>3132</v>
      </c>
      <c r="W411" s="10">
        <f t="shared" ref="W411:W479" si="153">W410+$X411*1000-S411</f>
        <v>3128</v>
      </c>
      <c r="X411" s="9"/>
      <c r="Y411" s="8"/>
      <c r="Z411" s="8"/>
      <c r="AA411" s="8"/>
      <c r="AB411" s="8"/>
    </row>
    <row r="412" spans="1:28" ht="13.15" customHeight="1">
      <c r="A412" s="16">
        <f t="shared" si="135"/>
        <v>398</v>
      </c>
      <c r="B412" s="15">
        <f t="shared" si="143"/>
        <v>45679</v>
      </c>
      <c r="C412" s="14">
        <f t="shared" si="144"/>
        <v>844</v>
      </c>
      <c r="D412" s="13">
        <f t="shared" si="134"/>
        <v>1973</v>
      </c>
      <c r="E412" s="12">
        <f t="shared" si="136"/>
        <v>109</v>
      </c>
      <c r="F412" s="12">
        <f t="shared" si="137"/>
        <v>77</v>
      </c>
      <c r="G412" s="12">
        <f t="shared" si="138"/>
        <v>29</v>
      </c>
      <c r="H412" s="8">
        <f t="shared" si="139"/>
        <v>2708</v>
      </c>
      <c r="I412" s="8">
        <f t="shared" si="140"/>
        <v>2740</v>
      </c>
      <c r="J412" s="8">
        <f t="shared" si="141"/>
        <v>2788</v>
      </c>
      <c r="K412" s="8">
        <f t="shared" si="148"/>
        <v>4000</v>
      </c>
      <c r="L412" s="8">
        <f t="shared" si="149"/>
        <v>4000</v>
      </c>
      <c r="M412" s="8">
        <f t="shared" si="150"/>
        <v>4000</v>
      </c>
      <c r="N412" s="8">
        <f t="shared" si="145"/>
        <v>-1292</v>
      </c>
      <c r="O412" s="8">
        <f t="shared" si="146"/>
        <v>-1260</v>
      </c>
      <c r="P412" s="8">
        <f t="shared" si="147"/>
        <v>-1212</v>
      </c>
      <c r="Q412" s="12">
        <v>2</v>
      </c>
      <c r="R412" s="12">
        <v>2</v>
      </c>
      <c r="S412" s="12">
        <v>0</v>
      </c>
      <c r="T412" s="11">
        <f t="shared" si="142"/>
        <v>-313</v>
      </c>
      <c r="U412" s="10">
        <f t="shared" si="152"/>
        <v>2978</v>
      </c>
      <c r="V412" s="10">
        <f t="shared" si="151"/>
        <v>3130</v>
      </c>
      <c r="W412" s="10">
        <f t="shared" si="153"/>
        <v>3128</v>
      </c>
      <c r="X412" s="9"/>
      <c r="Y412" s="8"/>
      <c r="Z412" s="8"/>
      <c r="AA412" s="8"/>
      <c r="AB412" s="8"/>
    </row>
    <row r="413" spans="1:28" ht="13.15" customHeight="1">
      <c r="A413" s="16">
        <f t="shared" si="135"/>
        <v>399</v>
      </c>
      <c r="B413" s="15">
        <f t="shared" si="143"/>
        <v>45680</v>
      </c>
      <c r="C413" s="14">
        <f t="shared" si="144"/>
        <v>844</v>
      </c>
      <c r="D413" s="13">
        <f t="shared" si="134"/>
        <v>1975</v>
      </c>
      <c r="E413" s="12">
        <f t="shared" si="136"/>
        <v>112</v>
      </c>
      <c r="F413" s="12">
        <f t="shared" si="137"/>
        <v>81</v>
      </c>
      <c r="G413" s="12">
        <f t="shared" si="138"/>
        <v>31</v>
      </c>
      <c r="H413" s="8">
        <f t="shared" si="139"/>
        <v>2707</v>
      </c>
      <c r="I413" s="8">
        <f t="shared" si="140"/>
        <v>2738</v>
      </c>
      <c r="J413" s="8">
        <f t="shared" si="141"/>
        <v>2788</v>
      </c>
      <c r="K413" s="8">
        <f t="shared" si="148"/>
        <v>4000</v>
      </c>
      <c r="L413" s="8">
        <f t="shared" si="149"/>
        <v>4000</v>
      </c>
      <c r="M413" s="8">
        <f t="shared" si="150"/>
        <v>4000</v>
      </c>
      <c r="N413" s="8">
        <f t="shared" si="145"/>
        <v>-1293</v>
      </c>
      <c r="O413" s="8">
        <f t="shared" si="146"/>
        <v>-1262</v>
      </c>
      <c r="P413" s="8">
        <f t="shared" si="147"/>
        <v>-1212</v>
      </c>
      <c r="Q413" s="12">
        <v>1</v>
      </c>
      <c r="R413" s="12">
        <v>2</v>
      </c>
      <c r="S413" s="12">
        <v>0</v>
      </c>
      <c r="T413" s="11">
        <f t="shared" si="142"/>
        <v>-309</v>
      </c>
      <c r="U413" s="10">
        <f t="shared" si="152"/>
        <v>2977</v>
      </c>
      <c r="V413" s="10">
        <f t="shared" si="151"/>
        <v>3128</v>
      </c>
      <c r="W413" s="10">
        <f t="shared" si="153"/>
        <v>3128</v>
      </c>
      <c r="X413" s="9"/>
      <c r="Y413" s="8"/>
      <c r="Z413" s="8"/>
      <c r="AA413" s="8"/>
      <c r="AB413" s="8"/>
    </row>
    <row r="414" spans="1:28" ht="13.15" customHeight="1">
      <c r="A414" s="16">
        <f t="shared" si="135"/>
        <v>400</v>
      </c>
      <c r="B414" s="15">
        <f t="shared" si="143"/>
        <v>45681</v>
      </c>
      <c r="C414" s="14">
        <f t="shared" si="144"/>
        <v>844</v>
      </c>
      <c r="D414" s="13">
        <f t="shared" si="134"/>
        <v>1977</v>
      </c>
      <c r="E414" s="12">
        <f t="shared" si="136"/>
        <v>117</v>
      </c>
      <c r="F414" s="12">
        <f t="shared" si="137"/>
        <v>85</v>
      </c>
      <c r="G414" s="12">
        <f t="shared" si="138"/>
        <v>38</v>
      </c>
      <c r="H414" s="8">
        <f t="shared" si="139"/>
        <v>2704</v>
      </c>
      <c r="I414" s="8">
        <f t="shared" si="140"/>
        <v>2736</v>
      </c>
      <c r="J414" s="8">
        <f t="shared" si="141"/>
        <v>2783</v>
      </c>
      <c r="K414" s="8">
        <f t="shared" si="148"/>
        <v>4000</v>
      </c>
      <c r="L414" s="8">
        <f t="shared" si="149"/>
        <v>4000</v>
      </c>
      <c r="M414" s="8">
        <f t="shared" si="150"/>
        <v>4000</v>
      </c>
      <c r="N414" s="8">
        <f t="shared" si="145"/>
        <v>-1296</v>
      </c>
      <c r="O414" s="8">
        <f t="shared" si="146"/>
        <v>-1264</v>
      </c>
      <c r="P414" s="8">
        <f t="shared" si="147"/>
        <v>-1217</v>
      </c>
      <c r="Q414" s="12">
        <v>3</v>
      </c>
      <c r="R414" s="12">
        <v>2</v>
      </c>
      <c r="S414" s="12">
        <v>5</v>
      </c>
      <c r="T414" s="11">
        <f t="shared" si="142"/>
        <v>-305</v>
      </c>
      <c r="U414" s="10">
        <f t="shared" si="152"/>
        <v>2974</v>
      </c>
      <c r="V414" s="10">
        <f t="shared" si="151"/>
        <v>3126</v>
      </c>
      <c r="W414" s="10">
        <f t="shared" si="153"/>
        <v>3123</v>
      </c>
      <c r="X414" s="9"/>
      <c r="Y414" s="8"/>
      <c r="Z414" s="8"/>
      <c r="AA414" s="8"/>
      <c r="AB414" s="8"/>
    </row>
    <row r="415" spans="1:28" ht="13.15" customHeight="1">
      <c r="A415" s="16">
        <f t="shared" si="135"/>
        <v>401</v>
      </c>
      <c r="B415" s="15">
        <f t="shared" si="143"/>
        <v>45682</v>
      </c>
      <c r="C415" s="14">
        <f t="shared" si="144"/>
        <v>844</v>
      </c>
      <c r="D415" s="13">
        <f t="shared" si="134"/>
        <v>1979</v>
      </c>
      <c r="E415" s="12">
        <f t="shared" si="136"/>
        <v>121</v>
      </c>
      <c r="F415" s="12">
        <f t="shared" si="137"/>
        <v>89</v>
      </c>
      <c r="G415" s="12">
        <f t="shared" si="138"/>
        <v>45</v>
      </c>
      <c r="H415" s="8">
        <f t="shared" si="139"/>
        <v>2702</v>
      </c>
      <c r="I415" s="8">
        <f t="shared" si="140"/>
        <v>2734</v>
      </c>
      <c r="J415" s="8">
        <f t="shared" si="141"/>
        <v>2778</v>
      </c>
      <c r="K415" s="8">
        <f t="shared" si="148"/>
        <v>4000</v>
      </c>
      <c r="L415" s="8">
        <f t="shared" si="149"/>
        <v>4000</v>
      </c>
      <c r="M415" s="8">
        <f t="shared" si="150"/>
        <v>4000</v>
      </c>
      <c r="N415" s="8">
        <f t="shared" si="145"/>
        <v>-1298</v>
      </c>
      <c r="O415" s="8">
        <f t="shared" si="146"/>
        <v>-1266</v>
      </c>
      <c r="P415" s="8">
        <f t="shared" si="147"/>
        <v>-1222</v>
      </c>
      <c r="Q415" s="12">
        <v>2</v>
      </c>
      <c r="R415" s="12">
        <v>2</v>
      </c>
      <c r="S415" s="12">
        <v>5</v>
      </c>
      <c r="T415" s="11">
        <f t="shared" si="142"/>
        <v>-301</v>
      </c>
      <c r="U415" s="10">
        <f t="shared" si="152"/>
        <v>2972</v>
      </c>
      <c r="V415" s="10">
        <f t="shared" si="151"/>
        <v>3124</v>
      </c>
      <c r="W415" s="10">
        <f t="shared" si="153"/>
        <v>3118</v>
      </c>
      <c r="X415" s="9"/>
      <c r="Y415" s="8"/>
      <c r="Z415" s="8"/>
      <c r="AA415" s="8"/>
      <c r="AB415" s="8"/>
    </row>
    <row r="416" spans="1:28" ht="13.15" customHeight="1">
      <c r="A416" s="16">
        <f t="shared" si="135"/>
        <v>402</v>
      </c>
      <c r="B416" s="15">
        <f t="shared" si="143"/>
        <v>45683</v>
      </c>
      <c r="C416" s="14">
        <f t="shared" si="144"/>
        <v>844</v>
      </c>
      <c r="D416" s="13">
        <f t="shared" si="134"/>
        <v>1981</v>
      </c>
      <c r="E416" s="12">
        <f t="shared" si="136"/>
        <v>124</v>
      </c>
      <c r="F416" s="12">
        <f t="shared" si="137"/>
        <v>96</v>
      </c>
      <c r="G416" s="12">
        <f t="shared" si="138"/>
        <v>52</v>
      </c>
      <c r="H416" s="8">
        <f t="shared" si="139"/>
        <v>2701</v>
      </c>
      <c r="I416" s="8">
        <f t="shared" si="140"/>
        <v>2729</v>
      </c>
      <c r="J416" s="8">
        <f t="shared" si="141"/>
        <v>2773</v>
      </c>
      <c r="K416" s="8">
        <f t="shared" si="148"/>
        <v>4000</v>
      </c>
      <c r="L416" s="8">
        <f t="shared" si="149"/>
        <v>4000</v>
      </c>
      <c r="M416" s="8">
        <f t="shared" si="150"/>
        <v>4000</v>
      </c>
      <c r="N416" s="8">
        <f t="shared" si="145"/>
        <v>-1299</v>
      </c>
      <c r="O416" s="8">
        <f t="shared" si="146"/>
        <v>-1271</v>
      </c>
      <c r="P416" s="8">
        <f t="shared" si="147"/>
        <v>-1227</v>
      </c>
      <c r="Q416" s="12">
        <v>1</v>
      </c>
      <c r="R416" s="12">
        <v>5</v>
      </c>
      <c r="S416" s="12">
        <v>5</v>
      </c>
      <c r="T416" s="11">
        <f t="shared" si="142"/>
        <v>-294</v>
      </c>
      <c r="U416" s="10">
        <f t="shared" si="152"/>
        <v>2971</v>
      </c>
      <c r="V416" s="10">
        <f t="shared" si="151"/>
        <v>3119</v>
      </c>
      <c r="W416" s="10">
        <f t="shared" si="153"/>
        <v>3113</v>
      </c>
      <c r="X416" s="9"/>
      <c r="Y416" s="8"/>
      <c r="Z416" s="8"/>
      <c r="AA416" s="8"/>
      <c r="AB416" s="8"/>
    </row>
    <row r="417" spans="1:28" ht="13.15" customHeight="1">
      <c r="A417" s="16">
        <f t="shared" si="135"/>
        <v>403</v>
      </c>
      <c r="B417" s="15">
        <f t="shared" si="143"/>
        <v>45684</v>
      </c>
      <c r="C417" s="14">
        <f t="shared" si="144"/>
        <v>844</v>
      </c>
      <c r="D417" s="13">
        <f t="shared" si="134"/>
        <v>1983</v>
      </c>
      <c r="E417" s="12">
        <f t="shared" si="136"/>
        <v>128</v>
      </c>
      <c r="F417" s="12">
        <f t="shared" si="137"/>
        <v>103</v>
      </c>
      <c r="G417" s="12">
        <f t="shared" si="138"/>
        <v>56</v>
      </c>
      <c r="H417" s="8">
        <f t="shared" si="139"/>
        <v>2699</v>
      </c>
      <c r="I417" s="8">
        <f t="shared" si="140"/>
        <v>2724</v>
      </c>
      <c r="J417" s="8">
        <f t="shared" si="141"/>
        <v>2771</v>
      </c>
      <c r="K417" s="8">
        <f t="shared" si="148"/>
        <v>4000</v>
      </c>
      <c r="L417" s="8">
        <f t="shared" si="149"/>
        <v>4000</v>
      </c>
      <c r="M417" s="8">
        <f t="shared" si="150"/>
        <v>4000</v>
      </c>
      <c r="N417" s="8">
        <f t="shared" si="145"/>
        <v>-1301</v>
      </c>
      <c r="O417" s="8">
        <f t="shared" si="146"/>
        <v>-1276</v>
      </c>
      <c r="P417" s="8">
        <f t="shared" si="147"/>
        <v>-1229</v>
      </c>
      <c r="Q417" s="12">
        <v>2</v>
      </c>
      <c r="R417" s="12">
        <v>5</v>
      </c>
      <c r="S417" s="12">
        <v>2</v>
      </c>
      <c r="T417" s="11">
        <f t="shared" si="142"/>
        <v>-287</v>
      </c>
      <c r="U417" s="10">
        <f t="shared" si="152"/>
        <v>2969</v>
      </c>
      <c r="V417" s="10">
        <f t="shared" si="151"/>
        <v>3114</v>
      </c>
      <c r="W417" s="10">
        <f t="shared" si="153"/>
        <v>3111</v>
      </c>
      <c r="X417" s="9"/>
      <c r="Y417" s="8"/>
      <c r="Z417" s="8"/>
      <c r="AA417" s="8"/>
      <c r="AB417" s="8"/>
    </row>
    <row r="418" spans="1:28" ht="13.15" customHeight="1">
      <c r="A418" s="16">
        <f t="shared" si="135"/>
        <v>404</v>
      </c>
      <c r="B418" s="15">
        <f t="shared" si="143"/>
        <v>45685</v>
      </c>
      <c r="C418" s="14">
        <f t="shared" si="144"/>
        <v>844</v>
      </c>
      <c r="D418" s="13">
        <f t="shared" si="134"/>
        <v>1985</v>
      </c>
      <c r="E418" s="12">
        <f t="shared" si="136"/>
        <v>132</v>
      </c>
      <c r="F418" s="12">
        <f t="shared" si="137"/>
        <v>110</v>
      </c>
      <c r="G418" s="12">
        <f t="shared" si="138"/>
        <v>60</v>
      </c>
      <c r="H418" s="8">
        <f t="shared" si="139"/>
        <v>2697</v>
      </c>
      <c r="I418" s="8">
        <f t="shared" si="140"/>
        <v>2719</v>
      </c>
      <c r="J418" s="8">
        <f t="shared" si="141"/>
        <v>2769</v>
      </c>
      <c r="K418" s="8">
        <f t="shared" si="148"/>
        <v>4000</v>
      </c>
      <c r="L418" s="8">
        <f t="shared" si="149"/>
        <v>4000</v>
      </c>
      <c r="M418" s="8">
        <f t="shared" si="150"/>
        <v>4000</v>
      </c>
      <c r="N418" s="8">
        <f t="shared" si="145"/>
        <v>-1303</v>
      </c>
      <c r="O418" s="8">
        <f t="shared" si="146"/>
        <v>-1281</v>
      </c>
      <c r="P418" s="8">
        <f t="shared" si="147"/>
        <v>-1231</v>
      </c>
      <c r="Q418" s="12">
        <v>2</v>
      </c>
      <c r="R418" s="12">
        <v>5</v>
      </c>
      <c r="S418" s="12">
        <v>2</v>
      </c>
      <c r="T418" s="11">
        <f t="shared" si="142"/>
        <v>-280</v>
      </c>
      <c r="U418" s="10">
        <f t="shared" si="152"/>
        <v>2967</v>
      </c>
      <c r="V418" s="10">
        <f t="shared" si="151"/>
        <v>3109</v>
      </c>
      <c r="W418" s="10">
        <f t="shared" si="153"/>
        <v>3109</v>
      </c>
      <c r="X418" s="9"/>
      <c r="Y418" s="8"/>
      <c r="Z418" s="8"/>
      <c r="AA418" s="8"/>
      <c r="AB418" s="8"/>
    </row>
    <row r="419" spans="1:28" ht="13.15" customHeight="1">
      <c r="A419" s="16">
        <f t="shared" si="135"/>
        <v>405</v>
      </c>
      <c r="B419" s="15">
        <f t="shared" si="143"/>
        <v>45686</v>
      </c>
      <c r="C419" s="14">
        <f t="shared" si="144"/>
        <v>844</v>
      </c>
      <c r="D419" s="13">
        <f t="shared" si="134"/>
        <v>1987</v>
      </c>
      <c r="E419" s="12">
        <f t="shared" si="136"/>
        <v>134</v>
      </c>
      <c r="F419" s="12">
        <f t="shared" si="137"/>
        <v>112</v>
      </c>
      <c r="G419" s="12">
        <f t="shared" si="138"/>
        <v>62</v>
      </c>
      <c r="H419" s="8">
        <f t="shared" si="139"/>
        <v>2697</v>
      </c>
      <c r="I419" s="8">
        <f t="shared" si="140"/>
        <v>2719</v>
      </c>
      <c r="J419" s="8">
        <f t="shared" si="141"/>
        <v>2769</v>
      </c>
      <c r="K419" s="8">
        <f t="shared" si="148"/>
        <v>4000</v>
      </c>
      <c r="L419" s="8">
        <f t="shared" si="149"/>
        <v>4000</v>
      </c>
      <c r="M419" s="8">
        <f t="shared" si="150"/>
        <v>4000</v>
      </c>
      <c r="N419" s="8">
        <f t="shared" si="145"/>
        <v>-1303</v>
      </c>
      <c r="O419" s="8">
        <f t="shared" si="146"/>
        <v>-1281</v>
      </c>
      <c r="P419" s="8">
        <f t="shared" si="147"/>
        <v>-1231</v>
      </c>
      <c r="Q419" s="12">
        <v>0</v>
      </c>
      <c r="R419" s="12">
        <v>0</v>
      </c>
      <c r="S419" s="12">
        <v>0</v>
      </c>
      <c r="T419" s="11">
        <f t="shared" si="142"/>
        <v>-278</v>
      </c>
      <c r="U419" s="10">
        <f t="shared" si="152"/>
        <v>2967</v>
      </c>
      <c r="V419" s="10">
        <f t="shared" si="151"/>
        <v>3109</v>
      </c>
      <c r="W419" s="10">
        <f t="shared" si="153"/>
        <v>3109</v>
      </c>
      <c r="X419" s="9"/>
      <c r="Y419" s="8"/>
      <c r="Z419" s="8"/>
      <c r="AA419" s="8"/>
      <c r="AB419" s="8"/>
    </row>
    <row r="420" spans="1:28" ht="13.15" customHeight="1">
      <c r="A420" s="16">
        <f t="shared" si="135"/>
        <v>406</v>
      </c>
      <c r="B420" s="15">
        <f t="shared" si="143"/>
        <v>45687</v>
      </c>
      <c r="C420" s="14">
        <f t="shared" si="144"/>
        <v>844</v>
      </c>
      <c r="D420" s="13">
        <f t="shared" si="134"/>
        <v>1989</v>
      </c>
      <c r="E420" s="12">
        <f t="shared" si="136"/>
        <v>136</v>
      </c>
      <c r="F420" s="12">
        <f t="shared" si="137"/>
        <v>114</v>
      </c>
      <c r="G420" s="12">
        <f t="shared" si="138"/>
        <v>64</v>
      </c>
      <c r="H420" s="8">
        <f t="shared" si="139"/>
        <v>2697</v>
      </c>
      <c r="I420" s="8">
        <f t="shared" si="140"/>
        <v>2719</v>
      </c>
      <c r="J420" s="8">
        <f t="shared" si="141"/>
        <v>2769</v>
      </c>
      <c r="K420" s="8">
        <f t="shared" si="148"/>
        <v>4000</v>
      </c>
      <c r="L420" s="8">
        <f t="shared" si="149"/>
        <v>4000</v>
      </c>
      <c r="M420" s="8">
        <f t="shared" si="150"/>
        <v>4000</v>
      </c>
      <c r="N420" s="8">
        <f t="shared" si="145"/>
        <v>-1303</v>
      </c>
      <c r="O420" s="8">
        <f t="shared" si="146"/>
        <v>-1281</v>
      </c>
      <c r="P420" s="8">
        <f t="shared" si="147"/>
        <v>-1231</v>
      </c>
      <c r="Q420" s="12">
        <v>0</v>
      </c>
      <c r="R420" s="12">
        <v>0</v>
      </c>
      <c r="S420" s="12">
        <v>0</v>
      </c>
      <c r="T420" s="11">
        <f t="shared" si="142"/>
        <v>-276</v>
      </c>
      <c r="U420" s="10">
        <f t="shared" si="152"/>
        <v>2967</v>
      </c>
      <c r="V420" s="10">
        <f t="shared" si="151"/>
        <v>3109</v>
      </c>
      <c r="W420" s="10">
        <f t="shared" si="153"/>
        <v>3109</v>
      </c>
      <c r="X420" s="9"/>
      <c r="Y420" s="8"/>
      <c r="Z420" s="8"/>
      <c r="AA420" s="8"/>
      <c r="AB420" s="8"/>
    </row>
    <row r="421" spans="1:28" ht="13.15" customHeight="1">
      <c r="A421" s="16">
        <f t="shared" si="135"/>
        <v>407</v>
      </c>
      <c r="B421" s="15">
        <f t="shared" si="143"/>
        <v>45688</v>
      </c>
      <c r="C421" s="14">
        <f t="shared" si="144"/>
        <v>844</v>
      </c>
      <c r="D421" s="13">
        <f t="shared" si="134"/>
        <v>1991</v>
      </c>
      <c r="E421" s="12">
        <f t="shared" si="136"/>
        <v>141</v>
      </c>
      <c r="F421" s="12">
        <f t="shared" si="137"/>
        <v>117</v>
      </c>
      <c r="G421" s="12">
        <f t="shared" si="138"/>
        <v>67</v>
      </c>
      <c r="H421" s="8">
        <f t="shared" si="139"/>
        <v>2694</v>
      </c>
      <c r="I421" s="8">
        <f t="shared" si="140"/>
        <v>2718</v>
      </c>
      <c r="J421" s="8">
        <f t="shared" si="141"/>
        <v>2768</v>
      </c>
      <c r="K421" s="8">
        <f t="shared" si="148"/>
        <v>4000</v>
      </c>
      <c r="L421" s="8">
        <f t="shared" si="149"/>
        <v>4000</v>
      </c>
      <c r="M421" s="8">
        <f t="shared" si="150"/>
        <v>4000</v>
      </c>
      <c r="N421" s="8">
        <f t="shared" si="145"/>
        <v>-1306</v>
      </c>
      <c r="O421" s="8">
        <f t="shared" si="146"/>
        <v>-1282</v>
      </c>
      <c r="P421" s="8">
        <f t="shared" si="147"/>
        <v>-1232</v>
      </c>
      <c r="Q421" s="12">
        <v>3</v>
      </c>
      <c r="R421" s="12">
        <v>1</v>
      </c>
      <c r="S421" s="12">
        <v>1</v>
      </c>
      <c r="T421" s="11">
        <f t="shared" si="142"/>
        <v>-273</v>
      </c>
      <c r="U421" s="10">
        <f t="shared" si="152"/>
        <v>2964</v>
      </c>
      <c r="V421" s="10">
        <f t="shared" si="151"/>
        <v>3108</v>
      </c>
      <c r="W421" s="10">
        <f t="shared" si="153"/>
        <v>3108</v>
      </c>
      <c r="X421" s="9"/>
      <c r="Y421" s="8"/>
      <c r="Z421" s="8"/>
      <c r="AA421" s="8"/>
      <c r="AB421" s="8"/>
    </row>
    <row r="422" spans="1:28" ht="13.15" customHeight="1">
      <c r="A422" s="16">
        <f t="shared" si="135"/>
        <v>408</v>
      </c>
      <c r="B422" s="15">
        <f t="shared" si="143"/>
        <v>45689</v>
      </c>
      <c r="C422" s="14">
        <f t="shared" si="144"/>
        <v>844</v>
      </c>
      <c r="D422" s="13">
        <f t="shared" si="134"/>
        <v>1993</v>
      </c>
      <c r="E422" s="12">
        <f t="shared" si="136"/>
        <v>145</v>
      </c>
      <c r="F422" s="12">
        <f t="shared" si="137"/>
        <v>121</v>
      </c>
      <c r="G422" s="12">
        <f t="shared" si="138"/>
        <v>70</v>
      </c>
      <c r="H422" s="8">
        <f t="shared" si="139"/>
        <v>2692</v>
      </c>
      <c r="I422" s="8">
        <f t="shared" si="140"/>
        <v>2716</v>
      </c>
      <c r="J422" s="8">
        <f t="shared" si="141"/>
        <v>2767</v>
      </c>
      <c r="K422" s="8">
        <f t="shared" si="148"/>
        <v>4000</v>
      </c>
      <c r="L422" s="8">
        <f t="shared" si="149"/>
        <v>4000</v>
      </c>
      <c r="M422" s="8">
        <f t="shared" si="150"/>
        <v>4000</v>
      </c>
      <c r="N422" s="8">
        <f t="shared" si="145"/>
        <v>-1308</v>
      </c>
      <c r="O422" s="8">
        <f t="shared" si="146"/>
        <v>-1284</v>
      </c>
      <c r="P422" s="8">
        <f t="shared" si="147"/>
        <v>-1233</v>
      </c>
      <c r="Q422" s="12">
        <v>2</v>
      </c>
      <c r="R422" s="12">
        <v>2</v>
      </c>
      <c r="S422" s="12">
        <v>1</v>
      </c>
      <c r="T422" s="11">
        <f t="shared" si="142"/>
        <v>-269</v>
      </c>
      <c r="U422" s="10">
        <f t="shared" si="152"/>
        <v>2962</v>
      </c>
      <c r="V422" s="10">
        <f t="shared" si="151"/>
        <v>3106</v>
      </c>
      <c r="W422" s="10">
        <f t="shared" si="153"/>
        <v>3107</v>
      </c>
      <c r="X422" s="9"/>
      <c r="Y422" s="8"/>
      <c r="Z422" s="8"/>
      <c r="AA422" s="8"/>
      <c r="AB422" s="8"/>
    </row>
    <row r="423" spans="1:28" ht="13.15" customHeight="1">
      <c r="A423" s="16">
        <f t="shared" si="135"/>
        <v>409</v>
      </c>
      <c r="B423" s="15">
        <f t="shared" si="143"/>
        <v>45690</v>
      </c>
      <c r="C423" s="14">
        <f t="shared" si="144"/>
        <v>844</v>
      </c>
      <c r="D423" s="13">
        <f t="shared" si="134"/>
        <v>1995</v>
      </c>
      <c r="E423" s="12">
        <f t="shared" si="136"/>
        <v>150</v>
      </c>
      <c r="F423" s="12">
        <f t="shared" si="137"/>
        <v>125</v>
      </c>
      <c r="G423" s="12">
        <f t="shared" si="138"/>
        <v>74</v>
      </c>
      <c r="H423" s="8">
        <f t="shared" si="139"/>
        <v>2689</v>
      </c>
      <c r="I423" s="8">
        <f t="shared" si="140"/>
        <v>2714</v>
      </c>
      <c r="J423" s="8">
        <f t="shared" si="141"/>
        <v>2765</v>
      </c>
      <c r="K423" s="8">
        <f t="shared" si="148"/>
        <v>4000</v>
      </c>
      <c r="L423" s="8">
        <f t="shared" si="149"/>
        <v>4000</v>
      </c>
      <c r="M423" s="8">
        <f t="shared" si="150"/>
        <v>4000</v>
      </c>
      <c r="N423" s="8">
        <f t="shared" si="145"/>
        <v>-1311</v>
      </c>
      <c r="O423" s="8">
        <f t="shared" si="146"/>
        <v>-1286</v>
      </c>
      <c r="P423" s="8">
        <f t="shared" si="147"/>
        <v>-1235</v>
      </c>
      <c r="Q423" s="12">
        <v>3</v>
      </c>
      <c r="R423" s="12">
        <v>2</v>
      </c>
      <c r="S423" s="12">
        <v>2</v>
      </c>
      <c r="T423" s="11">
        <f t="shared" si="142"/>
        <v>-515</v>
      </c>
      <c r="U423" s="10">
        <f t="shared" si="152"/>
        <v>3209</v>
      </c>
      <c r="V423" s="10">
        <f t="shared" si="151"/>
        <v>3354</v>
      </c>
      <c r="W423" s="10">
        <f t="shared" si="153"/>
        <v>3355</v>
      </c>
      <c r="X423" s="9">
        <v>0.25</v>
      </c>
      <c r="Y423" s="8"/>
      <c r="Z423" s="8"/>
      <c r="AA423" s="8"/>
      <c r="AB423" s="8" t="s">
        <v>77</v>
      </c>
    </row>
    <row r="424" spans="1:28" ht="13.15" customHeight="1">
      <c r="A424" s="16">
        <f t="shared" si="135"/>
        <v>410</v>
      </c>
      <c r="B424" s="15">
        <f t="shared" si="143"/>
        <v>45691</v>
      </c>
      <c r="C424" s="14">
        <f t="shared" si="144"/>
        <v>844</v>
      </c>
      <c r="D424" s="13">
        <f t="shared" si="134"/>
        <v>1997</v>
      </c>
      <c r="E424" s="12">
        <f t="shared" si="136"/>
        <v>154</v>
      </c>
      <c r="F424" s="12">
        <f t="shared" si="137"/>
        <v>129</v>
      </c>
      <c r="G424" s="12">
        <f t="shared" si="138"/>
        <v>78</v>
      </c>
      <c r="H424" s="8">
        <f t="shared" si="139"/>
        <v>2687</v>
      </c>
      <c r="I424" s="8">
        <f t="shared" si="140"/>
        <v>2712</v>
      </c>
      <c r="J424" s="8">
        <f t="shared" si="141"/>
        <v>2763</v>
      </c>
      <c r="K424" s="8">
        <f t="shared" si="148"/>
        <v>4000</v>
      </c>
      <c r="L424" s="8">
        <f t="shared" si="149"/>
        <v>4000</v>
      </c>
      <c r="M424" s="8">
        <f t="shared" si="150"/>
        <v>4000</v>
      </c>
      <c r="N424" s="8">
        <f t="shared" si="145"/>
        <v>-1313</v>
      </c>
      <c r="O424" s="8">
        <f t="shared" si="146"/>
        <v>-1288</v>
      </c>
      <c r="P424" s="8">
        <f t="shared" si="147"/>
        <v>-1237</v>
      </c>
      <c r="Q424" s="12">
        <v>2</v>
      </c>
      <c r="R424" s="12">
        <v>2</v>
      </c>
      <c r="S424" s="12">
        <v>2</v>
      </c>
      <c r="T424" s="11">
        <f t="shared" si="142"/>
        <v>-511</v>
      </c>
      <c r="U424" s="10">
        <f t="shared" si="152"/>
        <v>3207</v>
      </c>
      <c r="V424" s="10">
        <f t="shared" si="151"/>
        <v>3352</v>
      </c>
      <c r="W424" s="10">
        <f t="shared" si="153"/>
        <v>3353</v>
      </c>
      <c r="X424" s="9"/>
      <c r="Y424" s="8"/>
      <c r="Z424" s="8"/>
      <c r="AA424" s="8"/>
      <c r="AB424" s="8"/>
    </row>
    <row r="425" spans="1:28" ht="13.15" customHeight="1">
      <c r="A425" s="16">
        <f t="shared" si="135"/>
        <v>411</v>
      </c>
      <c r="B425" s="15">
        <f t="shared" si="143"/>
        <v>45692</v>
      </c>
      <c r="C425" s="14">
        <f t="shared" si="144"/>
        <v>844</v>
      </c>
      <c r="D425" s="13">
        <f t="shared" si="134"/>
        <v>1999</v>
      </c>
      <c r="E425" s="12">
        <f t="shared" si="136"/>
        <v>157</v>
      </c>
      <c r="F425" s="12">
        <f t="shared" si="137"/>
        <v>133</v>
      </c>
      <c r="G425" s="12">
        <f t="shared" si="138"/>
        <v>81</v>
      </c>
      <c r="H425" s="8">
        <f t="shared" si="139"/>
        <v>2686</v>
      </c>
      <c r="I425" s="8">
        <f t="shared" si="140"/>
        <v>2710</v>
      </c>
      <c r="J425" s="8">
        <f t="shared" si="141"/>
        <v>2762</v>
      </c>
      <c r="K425" s="8">
        <f t="shared" si="148"/>
        <v>4000</v>
      </c>
      <c r="L425" s="8">
        <f t="shared" si="149"/>
        <v>4000</v>
      </c>
      <c r="M425" s="8">
        <f t="shared" si="150"/>
        <v>4000</v>
      </c>
      <c r="N425" s="8">
        <f t="shared" si="145"/>
        <v>-1314</v>
      </c>
      <c r="O425" s="8">
        <f t="shared" si="146"/>
        <v>-1290</v>
      </c>
      <c r="P425" s="8">
        <f t="shared" si="147"/>
        <v>-1238</v>
      </c>
      <c r="Q425" s="12">
        <v>1</v>
      </c>
      <c r="R425" s="12">
        <v>2</v>
      </c>
      <c r="S425" s="12">
        <v>1</v>
      </c>
      <c r="T425" s="11">
        <f t="shared" si="142"/>
        <v>-507</v>
      </c>
      <c r="U425" s="10">
        <f t="shared" si="152"/>
        <v>3206</v>
      </c>
      <c r="V425" s="10">
        <f t="shared" si="151"/>
        <v>3350</v>
      </c>
      <c r="W425" s="10">
        <f t="shared" si="153"/>
        <v>3352</v>
      </c>
      <c r="X425" s="9"/>
      <c r="Y425" s="8"/>
      <c r="Z425" s="8"/>
      <c r="AA425" s="8"/>
      <c r="AB425" s="8"/>
    </row>
    <row r="426" spans="1:28" ht="13.15" customHeight="1">
      <c r="A426" s="16">
        <f t="shared" si="135"/>
        <v>412</v>
      </c>
      <c r="B426" s="15">
        <f t="shared" si="143"/>
        <v>45693</v>
      </c>
      <c r="C426" s="14">
        <f t="shared" si="144"/>
        <v>844</v>
      </c>
      <c r="D426" s="13">
        <f t="shared" si="134"/>
        <v>2001</v>
      </c>
      <c r="E426" s="12">
        <f t="shared" si="136"/>
        <v>162</v>
      </c>
      <c r="F426" s="12">
        <f t="shared" si="137"/>
        <v>137</v>
      </c>
      <c r="G426" s="12">
        <f t="shared" si="138"/>
        <v>85</v>
      </c>
      <c r="H426" s="8">
        <f t="shared" si="139"/>
        <v>2683</v>
      </c>
      <c r="I426" s="8">
        <f t="shared" si="140"/>
        <v>2708</v>
      </c>
      <c r="J426" s="8">
        <f t="shared" si="141"/>
        <v>2760</v>
      </c>
      <c r="K426" s="8">
        <f t="shared" si="148"/>
        <v>4000</v>
      </c>
      <c r="L426" s="8">
        <f t="shared" si="149"/>
        <v>4000</v>
      </c>
      <c r="M426" s="8">
        <f t="shared" si="150"/>
        <v>4000</v>
      </c>
      <c r="N426" s="8">
        <f t="shared" si="145"/>
        <v>-1317</v>
      </c>
      <c r="O426" s="8">
        <f t="shared" si="146"/>
        <v>-1292</v>
      </c>
      <c r="P426" s="8">
        <f t="shared" si="147"/>
        <v>-1240</v>
      </c>
      <c r="Q426" s="12">
        <v>3</v>
      </c>
      <c r="R426" s="12">
        <v>2</v>
      </c>
      <c r="S426" s="12">
        <v>2</v>
      </c>
      <c r="T426" s="11">
        <f t="shared" si="142"/>
        <v>-503</v>
      </c>
      <c r="U426" s="10">
        <f t="shared" si="152"/>
        <v>3203</v>
      </c>
      <c r="V426" s="10">
        <f t="shared" si="151"/>
        <v>3348</v>
      </c>
      <c r="W426" s="10">
        <f t="shared" si="153"/>
        <v>3350</v>
      </c>
      <c r="X426" s="9"/>
      <c r="Y426" s="8"/>
      <c r="Z426" s="8"/>
      <c r="AA426" s="8"/>
      <c r="AB426" s="8"/>
    </row>
    <row r="427" spans="1:28" ht="13.15" customHeight="1">
      <c r="A427" s="16">
        <f t="shared" si="135"/>
        <v>413</v>
      </c>
      <c r="B427" s="15">
        <f t="shared" si="143"/>
        <v>45694</v>
      </c>
      <c r="C427" s="14">
        <f t="shared" si="144"/>
        <v>844</v>
      </c>
      <c r="D427" s="13">
        <f t="shared" si="134"/>
        <v>2003</v>
      </c>
      <c r="E427" s="12">
        <f t="shared" si="136"/>
        <v>166</v>
      </c>
      <c r="F427" s="12">
        <f t="shared" si="137"/>
        <v>141</v>
      </c>
      <c r="G427" s="12">
        <f t="shared" si="138"/>
        <v>88</v>
      </c>
      <c r="H427" s="8">
        <f t="shared" si="139"/>
        <v>2681</v>
      </c>
      <c r="I427" s="8">
        <f t="shared" si="140"/>
        <v>2706</v>
      </c>
      <c r="J427" s="8">
        <f t="shared" si="141"/>
        <v>2759</v>
      </c>
      <c r="K427" s="8">
        <f t="shared" si="148"/>
        <v>4000</v>
      </c>
      <c r="L427" s="8">
        <f t="shared" si="149"/>
        <v>4000</v>
      </c>
      <c r="M427" s="8">
        <f t="shared" si="150"/>
        <v>4000</v>
      </c>
      <c r="N427" s="8">
        <f t="shared" si="145"/>
        <v>-1319</v>
      </c>
      <c r="O427" s="8">
        <f t="shared" si="146"/>
        <v>-1294</v>
      </c>
      <c r="P427" s="8">
        <f t="shared" si="147"/>
        <v>-1241</v>
      </c>
      <c r="Q427" s="12">
        <v>2</v>
      </c>
      <c r="R427" s="12">
        <v>2</v>
      </c>
      <c r="S427" s="12">
        <v>1</v>
      </c>
      <c r="T427" s="11">
        <f t="shared" si="142"/>
        <v>-499</v>
      </c>
      <c r="U427" s="10">
        <f t="shared" si="152"/>
        <v>3201</v>
      </c>
      <c r="V427" s="10">
        <f t="shared" si="151"/>
        <v>3346</v>
      </c>
      <c r="W427" s="10">
        <f t="shared" si="153"/>
        <v>3349</v>
      </c>
      <c r="X427" s="9"/>
      <c r="Y427" s="8"/>
      <c r="Z427" s="8"/>
      <c r="AA427" s="8"/>
      <c r="AB427" s="8"/>
    </row>
    <row r="428" spans="1:28" ht="13.15" customHeight="1">
      <c r="A428" s="16">
        <f t="shared" si="135"/>
        <v>414</v>
      </c>
      <c r="B428" s="15">
        <f t="shared" si="143"/>
        <v>45695</v>
      </c>
      <c r="C428" s="14">
        <f t="shared" si="144"/>
        <v>844</v>
      </c>
      <c r="D428" s="13">
        <f t="shared" si="134"/>
        <v>2005</v>
      </c>
      <c r="E428" s="12">
        <f t="shared" si="136"/>
        <v>169</v>
      </c>
      <c r="F428" s="12">
        <f t="shared" si="137"/>
        <v>148</v>
      </c>
      <c r="G428" s="12">
        <f t="shared" si="138"/>
        <v>92</v>
      </c>
      <c r="H428" s="8">
        <f t="shared" si="139"/>
        <v>2680</v>
      </c>
      <c r="I428" s="8">
        <f t="shared" si="140"/>
        <v>2701</v>
      </c>
      <c r="J428" s="8">
        <f t="shared" si="141"/>
        <v>2757</v>
      </c>
      <c r="K428" s="8">
        <f t="shared" si="148"/>
        <v>4000</v>
      </c>
      <c r="L428" s="8">
        <f t="shared" si="149"/>
        <v>4000</v>
      </c>
      <c r="M428" s="8">
        <f t="shared" si="150"/>
        <v>4000</v>
      </c>
      <c r="N428" s="8">
        <f t="shared" si="145"/>
        <v>-1320</v>
      </c>
      <c r="O428" s="8">
        <f t="shared" si="146"/>
        <v>-1299</v>
      </c>
      <c r="P428" s="8">
        <f t="shared" si="147"/>
        <v>-1243</v>
      </c>
      <c r="Q428" s="12">
        <v>1</v>
      </c>
      <c r="R428" s="12">
        <v>5</v>
      </c>
      <c r="S428" s="12">
        <v>2</v>
      </c>
      <c r="T428" s="11">
        <f t="shared" si="142"/>
        <v>-782</v>
      </c>
      <c r="U428" s="10">
        <f t="shared" si="152"/>
        <v>3490</v>
      </c>
      <c r="V428" s="10">
        <f t="shared" si="151"/>
        <v>3631</v>
      </c>
      <c r="W428" s="10">
        <f t="shared" si="153"/>
        <v>3637</v>
      </c>
      <c r="X428" s="9">
        <v>0.28999999999999998</v>
      </c>
      <c r="Y428" s="8"/>
      <c r="Z428" s="8"/>
      <c r="AA428" s="8"/>
      <c r="AB428" s="8" t="s">
        <v>78</v>
      </c>
    </row>
    <row r="429" spans="1:28" ht="13.15" customHeight="1">
      <c r="A429" s="16">
        <f t="shared" si="135"/>
        <v>415</v>
      </c>
      <c r="B429" s="15">
        <f t="shared" si="143"/>
        <v>45696</v>
      </c>
      <c r="C429" s="14">
        <f t="shared" si="144"/>
        <v>844</v>
      </c>
      <c r="D429" s="13">
        <f t="shared" si="134"/>
        <v>2007</v>
      </c>
      <c r="E429" s="12">
        <f t="shared" si="136"/>
        <v>173</v>
      </c>
      <c r="F429" s="12">
        <f t="shared" si="137"/>
        <v>155</v>
      </c>
      <c r="G429" s="12">
        <f t="shared" si="138"/>
        <v>96</v>
      </c>
      <c r="H429" s="8">
        <f t="shared" si="139"/>
        <v>2678</v>
      </c>
      <c r="I429" s="8">
        <f t="shared" si="140"/>
        <v>2696</v>
      </c>
      <c r="J429" s="8">
        <f t="shared" si="141"/>
        <v>2755</v>
      </c>
      <c r="K429" s="8">
        <f t="shared" si="148"/>
        <v>4000</v>
      </c>
      <c r="L429" s="8">
        <f t="shared" si="149"/>
        <v>4000</v>
      </c>
      <c r="M429" s="8">
        <f t="shared" si="150"/>
        <v>4000</v>
      </c>
      <c r="N429" s="8">
        <f t="shared" si="145"/>
        <v>-1322</v>
      </c>
      <c r="O429" s="8">
        <f t="shared" si="146"/>
        <v>-1304</v>
      </c>
      <c r="P429" s="8">
        <f t="shared" si="147"/>
        <v>-1245</v>
      </c>
      <c r="Q429" s="12">
        <v>2</v>
      </c>
      <c r="R429" s="12">
        <v>5</v>
      </c>
      <c r="S429" s="12">
        <v>2</v>
      </c>
      <c r="T429" s="11">
        <f t="shared" si="142"/>
        <v>-775</v>
      </c>
      <c r="U429" s="10">
        <f t="shared" si="152"/>
        <v>3488</v>
      </c>
      <c r="V429" s="10">
        <f t="shared" si="151"/>
        <v>3626</v>
      </c>
      <c r="W429" s="10">
        <f t="shared" si="153"/>
        <v>3635</v>
      </c>
      <c r="X429" s="9"/>
      <c r="Y429" s="8"/>
      <c r="Z429" s="8"/>
      <c r="AA429" s="8"/>
      <c r="AB429" s="8"/>
    </row>
    <row r="430" spans="1:28" ht="13.15" customHeight="1">
      <c r="A430" s="16">
        <f t="shared" si="135"/>
        <v>416</v>
      </c>
      <c r="B430" s="15">
        <f t="shared" si="143"/>
        <v>45697</v>
      </c>
      <c r="C430" s="14">
        <f t="shared" si="144"/>
        <v>844</v>
      </c>
      <c r="D430" s="13">
        <f t="shared" si="134"/>
        <v>2009</v>
      </c>
      <c r="E430" s="12">
        <f t="shared" si="136"/>
        <v>177</v>
      </c>
      <c r="F430" s="12">
        <f t="shared" si="137"/>
        <v>162</v>
      </c>
      <c r="G430" s="12">
        <f t="shared" si="138"/>
        <v>100</v>
      </c>
      <c r="H430" s="8">
        <f t="shared" si="139"/>
        <v>2676</v>
      </c>
      <c r="I430" s="8">
        <f t="shared" si="140"/>
        <v>2691</v>
      </c>
      <c r="J430" s="8">
        <f t="shared" si="141"/>
        <v>2753</v>
      </c>
      <c r="K430" s="8">
        <f t="shared" si="148"/>
        <v>4000</v>
      </c>
      <c r="L430" s="8">
        <f t="shared" si="149"/>
        <v>4000</v>
      </c>
      <c r="M430" s="8">
        <f t="shared" si="150"/>
        <v>4000</v>
      </c>
      <c r="N430" s="8">
        <f t="shared" si="145"/>
        <v>-1324</v>
      </c>
      <c r="O430" s="8">
        <f t="shared" si="146"/>
        <v>-1309</v>
      </c>
      <c r="P430" s="8">
        <f t="shared" si="147"/>
        <v>-1247</v>
      </c>
      <c r="Q430" s="12">
        <v>2</v>
      </c>
      <c r="R430" s="12">
        <v>5</v>
      </c>
      <c r="S430" s="12">
        <v>2</v>
      </c>
      <c r="T430" s="11">
        <f t="shared" si="142"/>
        <v>-768</v>
      </c>
      <c r="U430" s="10">
        <f t="shared" si="152"/>
        <v>3486</v>
      </c>
      <c r="V430" s="10">
        <f t="shared" si="151"/>
        <v>3621</v>
      </c>
      <c r="W430" s="10">
        <f t="shared" si="153"/>
        <v>3633</v>
      </c>
      <c r="X430" s="9"/>
      <c r="Y430" s="8"/>
      <c r="Z430" s="8"/>
      <c r="AA430" s="8"/>
      <c r="AB430" s="8"/>
    </row>
    <row r="431" spans="1:28" ht="13.15" customHeight="1">
      <c r="A431" s="16">
        <f t="shared" si="135"/>
        <v>417</v>
      </c>
      <c r="B431" s="15">
        <f t="shared" si="143"/>
        <v>45698</v>
      </c>
      <c r="C431" s="14">
        <f t="shared" si="144"/>
        <v>844</v>
      </c>
      <c r="D431" s="13">
        <f t="shared" si="134"/>
        <v>2011</v>
      </c>
      <c r="E431" s="12">
        <f t="shared" si="136"/>
        <v>179</v>
      </c>
      <c r="F431" s="12">
        <f t="shared" si="137"/>
        <v>164</v>
      </c>
      <c r="G431" s="12">
        <f t="shared" si="138"/>
        <v>102</v>
      </c>
      <c r="H431" s="8">
        <f t="shared" si="139"/>
        <v>2676</v>
      </c>
      <c r="I431" s="8">
        <f t="shared" si="140"/>
        <v>2691</v>
      </c>
      <c r="J431" s="8">
        <f t="shared" si="141"/>
        <v>2753</v>
      </c>
      <c r="K431" s="8">
        <f t="shared" si="148"/>
        <v>4000</v>
      </c>
      <c r="L431" s="8">
        <f t="shared" si="149"/>
        <v>4000</v>
      </c>
      <c r="M431" s="8">
        <f t="shared" si="150"/>
        <v>4000</v>
      </c>
      <c r="N431" s="8">
        <f t="shared" si="145"/>
        <v>-1324</v>
      </c>
      <c r="O431" s="8">
        <f t="shared" si="146"/>
        <v>-1309</v>
      </c>
      <c r="P431" s="8">
        <f t="shared" si="147"/>
        <v>-1247</v>
      </c>
      <c r="Q431" s="12">
        <v>0</v>
      </c>
      <c r="R431" s="12">
        <v>0</v>
      </c>
      <c r="S431" s="12">
        <v>0</v>
      </c>
      <c r="T431" s="11">
        <f t="shared" si="142"/>
        <v>-766</v>
      </c>
      <c r="U431" s="10">
        <f t="shared" si="152"/>
        <v>3486</v>
      </c>
      <c r="V431" s="10">
        <f t="shared" si="151"/>
        <v>3621</v>
      </c>
      <c r="W431" s="10">
        <f t="shared" si="153"/>
        <v>3633</v>
      </c>
      <c r="X431" s="9"/>
      <c r="Y431" s="8"/>
      <c r="Z431" s="8"/>
      <c r="AA431" s="8"/>
      <c r="AB431" s="8"/>
    </row>
    <row r="432" spans="1:28" ht="13.15" customHeight="1">
      <c r="A432" s="16">
        <f t="shared" si="135"/>
        <v>418</v>
      </c>
      <c r="B432" s="15">
        <f t="shared" si="143"/>
        <v>45699</v>
      </c>
      <c r="C432" s="14">
        <f t="shared" si="144"/>
        <v>844</v>
      </c>
      <c r="D432" s="13">
        <f t="shared" si="134"/>
        <v>2013</v>
      </c>
      <c r="E432" s="12">
        <f t="shared" si="136"/>
        <v>181</v>
      </c>
      <c r="F432" s="12">
        <f t="shared" si="137"/>
        <v>166</v>
      </c>
      <c r="G432" s="12">
        <f t="shared" si="138"/>
        <v>104</v>
      </c>
      <c r="H432" s="8">
        <f t="shared" si="139"/>
        <v>2676</v>
      </c>
      <c r="I432" s="8">
        <f t="shared" si="140"/>
        <v>2691</v>
      </c>
      <c r="J432" s="8">
        <f t="shared" si="141"/>
        <v>2753</v>
      </c>
      <c r="K432" s="8">
        <f t="shared" si="148"/>
        <v>4000</v>
      </c>
      <c r="L432" s="8">
        <f t="shared" si="149"/>
        <v>4000</v>
      </c>
      <c r="M432" s="8">
        <f t="shared" si="150"/>
        <v>4000</v>
      </c>
      <c r="N432" s="8">
        <f t="shared" si="145"/>
        <v>-1324</v>
      </c>
      <c r="O432" s="8">
        <f t="shared" si="146"/>
        <v>-1309</v>
      </c>
      <c r="P432" s="8">
        <f t="shared" si="147"/>
        <v>-1247</v>
      </c>
      <c r="Q432" s="12">
        <v>0</v>
      </c>
      <c r="R432" s="12">
        <v>0</v>
      </c>
      <c r="S432" s="12">
        <v>0</v>
      </c>
      <c r="T432" s="11">
        <f t="shared" si="142"/>
        <v>-764</v>
      </c>
      <c r="U432" s="10">
        <f t="shared" si="152"/>
        <v>3486</v>
      </c>
      <c r="V432" s="10">
        <f t="shared" si="151"/>
        <v>3621</v>
      </c>
      <c r="W432" s="10">
        <f t="shared" si="153"/>
        <v>3633</v>
      </c>
      <c r="X432" s="9"/>
      <c r="Y432" s="8"/>
      <c r="Z432" s="8"/>
      <c r="AA432" s="8"/>
      <c r="AB432" s="8"/>
    </row>
    <row r="433" spans="1:28" ht="13.15" customHeight="1">
      <c r="A433" s="16">
        <f t="shared" si="135"/>
        <v>419</v>
      </c>
      <c r="B433" s="15">
        <f t="shared" si="143"/>
        <v>45700</v>
      </c>
      <c r="C433" s="14">
        <f t="shared" si="144"/>
        <v>844</v>
      </c>
      <c r="D433" s="13">
        <f t="shared" si="134"/>
        <v>2015</v>
      </c>
      <c r="E433" s="12">
        <f t="shared" si="136"/>
        <v>183</v>
      </c>
      <c r="F433" s="12">
        <f t="shared" si="137"/>
        <v>168</v>
      </c>
      <c r="G433" s="12">
        <f t="shared" si="138"/>
        <v>106</v>
      </c>
      <c r="H433" s="8">
        <f t="shared" si="139"/>
        <v>2676</v>
      </c>
      <c r="I433" s="8">
        <f t="shared" si="140"/>
        <v>2691</v>
      </c>
      <c r="J433" s="8">
        <f t="shared" si="141"/>
        <v>2753</v>
      </c>
      <c r="K433" s="8">
        <f t="shared" si="148"/>
        <v>4000</v>
      </c>
      <c r="L433" s="8">
        <f t="shared" si="149"/>
        <v>4000</v>
      </c>
      <c r="M433" s="8">
        <f t="shared" si="150"/>
        <v>4000</v>
      </c>
      <c r="N433" s="8">
        <f t="shared" si="145"/>
        <v>-1324</v>
      </c>
      <c r="O433" s="8">
        <f t="shared" si="146"/>
        <v>-1309</v>
      </c>
      <c r="P433" s="8">
        <f t="shared" si="147"/>
        <v>-1247</v>
      </c>
      <c r="Q433" s="12">
        <v>0</v>
      </c>
      <c r="R433" s="12">
        <v>0</v>
      </c>
      <c r="S433" s="12">
        <v>0</v>
      </c>
      <c r="T433" s="11">
        <f t="shared" si="142"/>
        <v>-1062</v>
      </c>
      <c r="U433" s="10">
        <f t="shared" si="152"/>
        <v>3786</v>
      </c>
      <c r="V433" s="10">
        <f t="shared" si="151"/>
        <v>3921</v>
      </c>
      <c r="W433" s="10">
        <f t="shared" si="153"/>
        <v>3933</v>
      </c>
      <c r="X433" s="9">
        <v>0.3</v>
      </c>
      <c r="Y433" s="8"/>
      <c r="Z433" s="8"/>
      <c r="AA433" s="8"/>
      <c r="AB433" s="8" t="s">
        <v>79</v>
      </c>
    </row>
    <row r="434" spans="1:28" ht="13.15" customHeight="1">
      <c r="A434" s="16">
        <f t="shared" si="135"/>
        <v>420</v>
      </c>
      <c r="B434" s="15">
        <f t="shared" si="143"/>
        <v>45701</v>
      </c>
      <c r="C434" s="14">
        <f t="shared" si="144"/>
        <v>844</v>
      </c>
      <c r="D434" s="13">
        <f t="shared" si="134"/>
        <v>2017</v>
      </c>
      <c r="E434" s="12">
        <f t="shared" si="136"/>
        <v>185</v>
      </c>
      <c r="F434" s="12">
        <f t="shared" si="137"/>
        <v>170</v>
      </c>
      <c r="G434" s="12">
        <f t="shared" si="138"/>
        <v>108</v>
      </c>
      <c r="H434" s="8">
        <f t="shared" si="139"/>
        <v>2676</v>
      </c>
      <c r="I434" s="8">
        <f t="shared" si="140"/>
        <v>2691</v>
      </c>
      <c r="J434" s="8">
        <f t="shared" si="141"/>
        <v>2753</v>
      </c>
      <c r="K434" s="8">
        <f t="shared" si="148"/>
        <v>4000</v>
      </c>
      <c r="L434" s="8">
        <f t="shared" si="149"/>
        <v>4000</v>
      </c>
      <c r="M434" s="8">
        <f t="shared" si="150"/>
        <v>4000</v>
      </c>
      <c r="N434" s="8">
        <f t="shared" si="145"/>
        <v>-1324</v>
      </c>
      <c r="O434" s="8">
        <f t="shared" si="146"/>
        <v>-1309</v>
      </c>
      <c r="P434" s="8">
        <f t="shared" si="147"/>
        <v>-1247</v>
      </c>
      <c r="Q434" s="12">
        <v>0</v>
      </c>
      <c r="R434" s="12">
        <v>0</v>
      </c>
      <c r="S434" s="12">
        <v>0</v>
      </c>
      <c r="T434" s="11">
        <f t="shared" si="142"/>
        <v>-1060</v>
      </c>
      <c r="U434" s="10">
        <f t="shared" si="152"/>
        <v>3786</v>
      </c>
      <c r="V434" s="10">
        <f t="shared" si="151"/>
        <v>3921</v>
      </c>
      <c r="W434" s="10">
        <f t="shared" si="153"/>
        <v>3933</v>
      </c>
      <c r="X434" s="9"/>
      <c r="Y434" s="8"/>
      <c r="Z434" s="8"/>
      <c r="AA434" s="8"/>
      <c r="AB434" s="8"/>
    </row>
    <row r="435" spans="1:28" ht="13.15" customHeight="1">
      <c r="A435" s="16">
        <f t="shared" si="135"/>
        <v>421</v>
      </c>
      <c r="B435" s="15">
        <f t="shared" si="143"/>
        <v>45702</v>
      </c>
      <c r="C435" s="14">
        <f t="shared" si="144"/>
        <v>844</v>
      </c>
      <c r="D435" s="13">
        <f t="shared" si="134"/>
        <v>2019</v>
      </c>
      <c r="E435" s="12">
        <f t="shared" si="136"/>
        <v>187</v>
      </c>
      <c r="F435" s="12">
        <f t="shared" si="137"/>
        <v>172</v>
      </c>
      <c r="G435" s="12">
        <f t="shared" si="138"/>
        <v>110</v>
      </c>
      <c r="H435" s="8">
        <f t="shared" si="139"/>
        <v>2676</v>
      </c>
      <c r="I435" s="8">
        <f t="shared" si="140"/>
        <v>2691</v>
      </c>
      <c r="J435" s="8">
        <f t="shared" si="141"/>
        <v>2753</v>
      </c>
      <c r="K435" s="8">
        <f t="shared" si="148"/>
        <v>4000</v>
      </c>
      <c r="L435" s="8">
        <f t="shared" si="149"/>
        <v>4000</v>
      </c>
      <c r="M435" s="8">
        <f t="shared" si="150"/>
        <v>4000</v>
      </c>
      <c r="N435" s="8">
        <f t="shared" si="145"/>
        <v>-1324</v>
      </c>
      <c r="O435" s="8">
        <f t="shared" si="146"/>
        <v>-1309</v>
      </c>
      <c r="P435" s="8">
        <f t="shared" si="147"/>
        <v>-1247</v>
      </c>
      <c r="Q435" s="12">
        <v>0</v>
      </c>
      <c r="R435" s="12">
        <v>0</v>
      </c>
      <c r="S435" s="12">
        <v>0</v>
      </c>
      <c r="T435" s="11">
        <f t="shared" si="142"/>
        <v>-1058</v>
      </c>
      <c r="U435" s="10">
        <f t="shared" si="152"/>
        <v>3786</v>
      </c>
      <c r="V435" s="10">
        <f t="shared" si="151"/>
        <v>3921</v>
      </c>
      <c r="W435" s="10">
        <f t="shared" si="153"/>
        <v>3933</v>
      </c>
      <c r="X435" s="9"/>
      <c r="Y435" s="8"/>
      <c r="Z435" s="8"/>
      <c r="AA435" s="8"/>
      <c r="AB435" s="8"/>
    </row>
    <row r="436" spans="1:28" ht="13.15" customHeight="1">
      <c r="A436" s="16">
        <f t="shared" si="135"/>
        <v>422</v>
      </c>
      <c r="B436" s="15">
        <f t="shared" si="143"/>
        <v>45703</v>
      </c>
      <c r="C436" s="14">
        <f t="shared" si="144"/>
        <v>844</v>
      </c>
      <c r="D436" s="13">
        <f t="shared" si="134"/>
        <v>2021</v>
      </c>
      <c r="E436" s="12">
        <f t="shared" si="136"/>
        <v>192</v>
      </c>
      <c r="F436" s="12">
        <f t="shared" si="137"/>
        <v>175</v>
      </c>
      <c r="G436" s="12">
        <f t="shared" si="138"/>
        <v>113</v>
      </c>
      <c r="H436" s="8">
        <f t="shared" si="139"/>
        <v>2673</v>
      </c>
      <c r="I436" s="8">
        <f t="shared" si="140"/>
        <v>2690</v>
      </c>
      <c r="J436" s="8">
        <f t="shared" si="141"/>
        <v>2752</v>
      </c>
      <c r="K436" s="8">
        <f t="shared" si="148"/>
        <v>4000</v>
      </c>
      <c r="L436" s="8">
        <f t="shared" si="149"/>
        <v>4000</v>
      </c>
      <c r="M436" s="8">
        <f t="shared" si="150"/>
        <v>4000</v>
      </c>
      <c r="N436" s="8">
        <f t="shared" si="145"/>
        <v>-1327</v>
      </c>
      <c r="O436" s="8">
        <f t="shared" si="146"/>
        <v>-1310</v>
      </c>
      <c r="P436" s="8">
        <f t="shared" si="147"/>
        <v>-1248</v>
      </c>
      <c r="Q436" s="12">
        <v>3</v>
      </c>
      <c r="R436" s="12">
        <v>1</v>
      </c>
      <c r="S436" s="12">
        <v>1</v>
      </c>
      <c r="T436" s="11">
        <f t="shared" si="142"/>
        <v>-1055</v>
      </c>
      <c r="U436" s="10">
        <f t="shared" si="152"/>
        <v>3783</v>
      </c>
      <c r="V436" s="10">
        <f t="shared" si="151"/>
        <v>3920</v>
      </c>
      <c r="W436" s="10">
        <f t="shared" si="153"/>
        <v>3932</v>
      </c>
      <c r="X436" s="9"/>
      <c r="Y436" s="8"/>
      <c r="Z436" s="8"/>
      <c r="AA436" s="8"/>
      <c r="AB436" s="8"/>
    </row>
    <row r="437" spans="1:28" ht="13.15" customHeight="1">
      <c r="A437" s="16">
        <f t="shared" si="135"/>
        <v>423</v>
      </c>
      <c r="B437" s="15">
        <f t="shared" si="143"/>
        <v>45704</v>
      </c>
      <c r="C437" s="14">
        <f t="shared" si="144"/>
        <v>844</v>
      </c>
      <c r="D437" s="13">
        <f t="shared" si="134"/>
        <v>2023</v>
      </c>
      <c r="E437" s="12">
        <f t="shared" si="136"/>
        <v>196</v>
      </c>
      <c r="F437" s="12">
        <f t="shared" si="137"/>
        <v>179</v>
      </c>
      <c r="G437" s="12">
        <f t="shared" si="138"/>
        <v>116</v>
      </c>
      <c r="H437" s="8">
        <f t="shared" si="139"/>
        <v>2671</v>
      </c>
      <c r="I437" s="8">
        <f t="shared" si="140"/>
        <v>2688</v>
      </c>
      <c r="J437" s="8">
        <f t="shared" si="141"/>
        <v>2751</v>
      </c>
      <c r="K437" s="8">
        <f t="shared" si="148"/>
        <v>4000</v>
      </c>
      <c r="L437" s="8">
        <f t="shared" si="149"/>
        <v>4000</v>
      </c>
      <c r="M437" s="8">
        <f t="shared" si="150"/>
        <v>4000</v>
      </c>
      <c r="N437" s="8">
        <f t="shared" si="145"/>
        <v>-1329</v>
      </c>
      <c r="O437" s="8">
        <f t="shared" si="146"/>
        <v>-1312</v>
      </c>
      <c r="P437" s="8">
        <f t="shared" si="147"/>
        <v>-1249</v>
      </c>
      <c r="Q437" s="12">
        <v>2</v>
      </c>
      <c r="R437" s="12">
        <v>2</v>
      </c>
      <c r="S437" s="12">
        <v>1</v>
      </c>
      <c r="T437" s="11">
        <f t="shared" si="142"/>
        <v>-1051</v>
      </c>
      <c r="U437" s="10">
        <f t="shared" si="152"/>
        <v>3781</v>
      </c>
      <c r="V437" s="10">
        <f t="shared" si="151"/>
        <v>3918</v>
      </c>
      <c r="W437" s="10">
        <f t="shared" si="153"/>
        <v>3931</v>
      </c>
      <c r="X437" s="9"/>
      <c r="Y437" s="8"/>
      <c r="Z437" s="8"/>
      <c r="AA437" s="8"/>
      <c r="AB437" s="8"/>
    </row>
    <row r="438" spans="1:28" ht="13.15" customHeight="1">
      <c r="A438" s="16">
        <f t="shared" si="135"/>
        <v>424</v>
      </c>
      <c r="B438" s="15">
        <f t="shared" si="143"/>
        <v>45705</v>
      </c>
      <c r="C438" s="14">
        <f t="shared" si="144"/>
        <v>844</v>
      </c>
      <c r="D438" s="13">
        <f t="shared" si="134"/>
        <v>2025</v>
      </c>
      <c r="E438" s="12">
        <f t="shared" si="136"/>
        <v>201</v>
      </c>
      <c r="F438" s="12">
        <f t="shared" si="137"/>
        <v>183</v>
      </c>
      <c r="G438" s="12">
        <f t="shared" si="138"/>
        <v>120</v>
      </c>
      <c r="H438" s="8">
        <f t="shared" si="139"/>
        <v>2668</v>
      </c>
      <c r="I438" s="8">
        <f t="shared" si="140"/>
        <v>2686</v>
      </c>
      <c r="J438" s="8">
        <f t="shared" si="141"/>
        <v>2749</v>
      </c>
      <c r="K438" s="8">
        <f t="shared" si="148"/>
        <v>4000</v>
      </c>
      <c r="L438" s="8">
        <f t="shared" si="149"/>
        <v>4000</v>
      </c>
      <c r="M438" s="8">
        <f t="shared" si="150"/>
        <v>4000</v>
      </c>
      <c r="N438" s="8">
        <f t="shared" si="145"/>
        <v>-1332</v>
      </c>
      <c r="O438" s="8">
        <f t="shared" si="146"/>
        <v>-1314</v>
      </c>
      <c r="P438" s="8">
        <f t="shared" si="147"/>
        <v>-1251</v>
      </c>
      <c r="Q438" s="12">
        <v>3</v>
      </c>
      <c r="R438" s="12">
        <v>2</v>
      </c>
      <c r="S438" s="12">
        <v>2</v>
      </c>
      <c r="T438" s="11">
        <f t="shared" si="142"/>
        <v>-1347</v>
      </c>
      <c r="U438" s="10">
        <f t="shared" si="152"/>
        <v>4078</v>
      </c>
      <c r="V438" s="10">
        <f t="shared" si="151"/>
        <v>4216</v>
      </c>
      <c r="W438" s="10">
        <f t="shared" si="153"/>
        <v>4229</v>
      </c>
      <c r="X438" s="9">
        <v>0.3</v>
      </c>
      <c r="Y438" s="8"/>
      <c r="Z438" s="8"/>
      <c r="AA438" s="8"/>
      <c r="AB438" s="8" t="s">
        <v>80</v>
      </c>
    </row>
    <row r="439" spans="1:28" ht="13.15" customHeight="1">
      <c r="A439" s="16">
        <f t="shared" si="135"/>
        <v>425</v>
      </c>
      <c r="B439" s="15">
        <f t="shared" si="143"/>
        <v>45706</v>
      </c>
      <c r="C439" s="14">
        <f t="shared" si="144"/>
        <v>844</v>
      </c>
      <c r="D439" s="13">
        <f t="shared" si="134"/>
        <v>2027</v>
      </c>
      <c r="E439" s="12">
        <f t="shared" si="136"/>
        <v>205</v>
      </c>
      <c r="F439" s="12">
        <f t="shared" si="137"/>
        <v>187</v>
      </c>
      <c r="G439" s="12">
        <f t="shared" si="138"/>
        <v>124</v>
      </c>
      <c r="H439" s="8">
        <f t="shared" si="139"/>
        <v>2666</v>
      </c>
      <c r="I439" s="8">
        <f t="shared" si="140"/>
        <v>2684</v>
      </c>
      <c r="J439" s="8">
        <f t="shared" si="141"/>
        <v>2747</v>
      </c>
      <c r="K439" s="8">
        <f t="shared" si="148"/>
        <v>4000</v>
      </c>
      <c r="L439" s="8">
        <f t="shared" si="149"/>
        <v>4000</v>
      </c>
      <c r="M439" s="8">
        <f t="shared" si="150"/>
        <v>4000</v>
      </c>
      <c r="N439" s="8">
        <f t="shared" si="145"/>
        <v>-1334</v>
      </c>
      <c r="O439" s="8">
        <f t="shared" si="146"/>
        <v>-1316</v>
      </c>
      <c r="P439" s="8">
        <f t="shared" si="147"/>
        <v>-1253</v>
      </c>
      <c r="Q439" s="12">
        <v>2</v>
      </c>
      <c r="R439" s="12">
        <v>2</v>
      </c>
      <c r="S439" s="12">
        <v>2</v>
      </c>
      <c r="T439" s="11">
        <f t="shared" si="142"/>
        <v>-1343</v>
      </c>
      <c r="U439" s="10">
        <f t="shared" si="152"/>
        <v>4076</v>
      </c>
      <c r="V439" s="10">
        <f t="shared" si="151"/>
        <v>4214</v>
      </c>
      <c r="W439" s="10">
        <f t="shared" si="153"/>
        <v>4227</v>
      </c>
      <c r="X439" s="9"/>
      <c r="Y439" s="8"/>
      <c r="Z439" s="8"/>
      <c r="AA439" s="8"/>
      <c r="AB439" s="8"/>
    </row>
    <row r="440" spans="1:28" ht="13.15" customHeight="1">
      <c r="A440" s="16">
        <f t="shared" si="135"/>
        <v>426</v>
      </c>
      <c r="B440" s="15">
        <f t="shared" si="143"/>
        <v>45707</v>
      </c>
      <c r="C440" s="14">
        <f t="shared" si="144"/>
        <v>844</v>
      </c>
      <c r="D440" s="13">
        <f t="shared" si="134"/>
        <v>2029</v>
      </c>
      <c r="E440" s="12">
        <f t="shared" si="136"/>
        <v>208</v>
      </c>
      <c r="F440" s="12">
        <f t="shared" si="137"/>
        <v>191</v>
      </c>
      <c r="G440" s="12">
        <f t="shared" si="138"/>
        <v>127</v>
      </c>
      <c r="H440" s="8">
        <f t="shared" si="139"/>
        <v>2665</v>
      </c>
      <c r="I440" s="8">
        <f t="shared" si="140"/>
        <v>2682</v>
      </c>
      <c r="J440" s="8">
        <f t="shared" si="141"/>
        <v>2746</v>
      </c>
      <c r="K440" s="8">
        <f t="shared" si="148"/>
        <v>4000</v>
      </c>
      <c r="L440" s="8">
        <f t="shared" si="149"/>
        <v>4000</v>
      </c>
      <c r="M440" s="8">
        <f t="shared" si="150"/>
        <v>4000</v>
      </c>
      <c r="N440" s="8">
        <f t="shared" si="145"/>
        <v>-1335</v>
      </c>
      <c r="O440" s="8">
        <f t="shared" si="146"/>
        <v>-1318</v>
      </c>
      <c r="P440" s="8">
        <f t="shared" si="147"/>
        <v>-1254</v>
      </c>
      <c r="Q440" s="12">
        <v>1</v>
      </c>
      <c r="R440" s="12">
        <v>2</v>
      </c>
      <c r="S440" s="12">
        <v>1</v>
      </c>
      <c r="T440" s="11">
        <f t="shared" si="142"/>
        <v>-1339</v>
      </c>
      <c r="U440" s="10">
        <f t="shared" si="152"/>
        <v>4075</v>
      </c>
      <c r="V440" s="10">
        <f t="shared" si="151"/>
        <v>4212</v>
      </c>
      <c r="W440" s="10">
        <f t="shared" si="153"/>
        <v>4226</v>
      </c>
      <c r="X440" s="9"/>
      <c r="Y440" s="8"/>
      <c r="Z440" s="8"/>
      <c r="AA440" s="8"/>
      <c r="AB440" s="8"/>
    </row>
    <row r="441" spans="1:28" ht="13.15" customHeight="1">
      <c r="A441" s="16">
        <f t="shared" si="135"/>
        <v>427</v>
      </c>
      <c r="B441" s="15">
        <f t="shared" si="143"/>
        <v>45708</v>
      </c>
      <c r="C441" s="14">
        <f t="shared" si="144"/>
        <v>844</v>
      </c>
      <c r="D441" s="13">
        <f t="shared" si="134"/>
        <v>2031</v>
      </c>
      <c r="E441" s="12">
        <f t="shared" si="136"/>
        <v>213</v>
      </c>
      <c r="F441" s="12">
        <f t="shared" si="137"/>
        <v>195</v>
      </c>
      <c r="G441" s="12">
        <f t="shared" si="138"/>
        <v>131</v>
      </c>
      <c r="H441" s="8">
        <f t="shared" si="139"/>
        <v>2662</v>
      </c>
      <c r="I441" s="8">
        <f t="shared" si="140"/>
        <v>2680</v>
      </c>
      <c r="J441" s="8">
        <f t="shared" si="141"/>
        <v>2744</v>
      </c>
      <c r="K441" s="8">
        <f t="shared" si="148"/>
        <v>4000</v>
      </c>
      <c r="L441" s="8">
        <f t="shared" si="149"/>
        <v>4000</v>
      </c>
      <c r="M441" s="8">
        <f t="shared" si="150"/>
        <v>4000</v>
      </c>
      <c r="N441" s="8">
        <f t="shared" si="145"/>
        <v>-1338</v>
      </c>
      <c r="O441" s="8">
        <f t="shared" si="146"/>
        <v>-1320</v>
      </c>
      <c r="P441" s="8">
        <f t="shared" si="147"/>
        <v>-1256</v>
      </c>
      <c r="Q441" s="12">
        <v>3</v>
      </c>
      <c r="R441" s="12">
        <v>2</v>
      </c>
      <c r="S441" s="12">
        <v>2</v>
      </c>
      <c r="T441" s="11">
        <f t="shared" si="142"/>
        <v>-1335</v>
      </c>
      <c r="U441" s="10">
        <f t="shared" si="152"/>
        <v>4072</v>
      </c>
      <c r="V441" s="10">
        <f t="shared" si="151"/>
        <v>4210</v>
      </c>
      <c r="W441" s="10">
        <f t="shared" si="153"/>
        <v>4224</v>
      </c>
      <c r="X441" s="9"/>
      <c r="Y441" s="8"/>
      <c r="Z441" s="8"/>
      <c r="AA441" s="8"/>
      <c r="AB441" s="8"/>
    </row>
    <row r="442" spans="1:28" ht="13.15" customHeight="1">
      <c r="A442" s="16">
        <f t="shared" si="135"/>
        <v>428</v>
      </c>
      <c r="B442" s="15">
        <f t="shared" si="143"/>
        <v>45709</v>
      </c>
      <c r="C442" s="14">
        <f t="shared" si="144"/>
        <v>844</v>
      </c>
      <c r="D442" s="13">
        <f t="shared" si="134"/>
        <v>2033</v>
      </c>
      <c r="E442" s="12">
        <f t="shared" si="136"/>
        <v>217</v>
      </c>
      <c r="F442" s="12">
        <f t="shared" si="137"/>
        <v>199</v>
      </c>
      <c r="G442" s="12">
        <f t="shared" si="138"/>
        <v>134</v>
      </c>
      <c r="H442" s="8">
        <f t="shared" si="139"/>
        <v>2660</v>
      </c>
      <c r="I442" s="8">
        <f t="shared" si="140"/>
        <v>2678</v>
      </c>
      <c r="J442" s="8">
        <f t="shared" si="141"/>
        <v>2743</v>
      </c>
      <c r="K442" s="8">
        <f t="shared" si="148"/>
        <v>4000</v>
      </c>
      <c r="L442" s="8">
        <f t="shared" si="149"/>
        <v>4000</v>
      </c>
      <c r="M442" s="8">
        <f t="shared" si="150"/>
        <v>4000</v>
      </c>
      <c r="N442" s="8">
        <f t="shared" si="145"/>
        <v>-1340</v>
      </c>
      <c r="O442" s="8">
        <f t="shared" si="146"/>
        <v>-1322</v>
      </c>
      <c r="P442" s="8">
        <f t="shared" si="147"/>
        <v>-1257</v>
      </c>
      <c r="Q442" s="12">
        <v>2</v>
      </c>
      <c r="R442" s="12">
        <v>2</v>
      </c>
      <c r="S442" s="12">
        <v>1</v>
      </c>
      <c r="T442" s="11">
        <f t="shared" si="142"/>
        <v>-1331</v>
      </c>
      <c r="U442" s="10">
        <f t="shared" si="152"/>
        <v>4070</v>
      </c>
      <c r="V442" s="10">
        <f t="shared" si="151"/>
        <v>4208</v>
      </c>
      <c r="W442" s="10">
        <f t="shared" si="153"/>
        <v>4223</v>
      </c>
      <c r="X442" s="9"/>
      <c r="Y442" s="8"/>
      <c r="Z442" s="8"/>
      <c r="AA442" s="8"/>
      <c r="AB442" s="8"/>
    </row>
    <row r="443" spans="1:28" ht="13.15" customHeight="1">
      <c r="A443" s="16">
        <f t="shared" si="135"/>
        <v>429</v>
      </c>
      <c r="B443" s="15">
        <f t="shared" si="143"/>
        <v>45710</v>
      </c>
      <c r="C443" s="14">
        <f t="shared" si="144"/>
        <v>844</v>
      </c>
      <c r="D443" s="13">
        <f t="shared" si="134"/>
        <v>2035</v>
      </c>
      <c r="E443" s="12">
        <f t="shared" si="136"/>
        <v>220</v>
      </c>
      <c r="F443" s="12">
        <f t="shared" si="137"/>
        <v>206</v>
      </c>
      <c r="G443" s="12">
        <f t="shared" si="138"/>
        <v>138</v>
      </c>
      <c r="H443" s="8">
        <f t="shared" si="139"/>
        <v>2659</v>
      </c>
      <c r="I443" s="8">
        <f t="shared" si="140"/>
        <v>2673</v>
      </c>
      <c r="J443" s="8">
        <f t="shared" si="141"/>
        <v>2741</v>
      </c>
      <c r="K443" s="8">
        <f t="shared" si="148"/>
        <v>4000</v>
      </c>
      <c r="L443" s="8">
        <f t="shared" si="149"/>
        <v>4000</v>
      </c>
      <c r="M443" s="8">
        <f t="shared" si="150"/>
        <v>4000</v>
      </c>
      <c r="N443" s="8">
        <f t="shared" si="145"/>
        <v>-1341</v>
      </c>
      <c r="O443" s="8">
        <f t="shared" si="146"/>
        <v>-1327</v>
      </c>
      <c r="P443" s="8">
        <f t="shared" si="147"/>
        <v>-1259</v>
      </c>
      <c r="Q443" s="12">
        <v>1</v>
      </c>
      <c r="R443" s="12">
        <v>5</v>
      </c>
      <c r="S443" s="12">
        <v>2</v>
      </c>
      <c r="T443" s="11">
        <f t="shared" si="142"/>
        <v>-1624</v>
      </c>
      <c r="U443" s="10">
        <f t="shared" si="152"/>
        <v>4369</v>
      </c>
      <c r="V443" s="10">
        <f t="shared" si="151"/>
        <v>4503</v>
      </c>
      <c r="W443" s="10">
        <f t="shared" si="153"/>
        <v>4521</v>
      </c>
      <c r="X443" s="9">
        <v>0.3</v>
      </c>
      <c r="Y443" s="8"/>
      <c r="Z443" s="8"/>
      <c r="AA443" s="8"/>
      <c r="AB443" s="8" t="s">
        <v>81</v>
      </c>
    </row>
    <row r="444" spans="1:28" ht="13.15" customHeight="1">
      <c r="A444" s="16">
        <f t="shared" si="135"/>
        <v>430</v>
      </c>
      <c r="B444" s="15">
        <f t="shared" si="143"/>
        <v>45711</v>
      </c>
      <c r="C444" s="14">
        <f t="shared" si="144"/>
        <v>844</v>
      </c>
      <c r="D444" s="13">
        <f t="shared" si="134"/>
        <v>2037</v>
      </c>
      <c r="E444" s="12">
        <f t="shared" si="136"/>
        <v>224</v>
      </c>
      <c r="F444" s="12">
        <f t="shared" si="137"/>
        <v>218</v>
      </c>
      <c r="G444" s="12">
        <f t="shared" si="138"/>
        <v>142</v>
      </c>
      <c r="H444" s="8">
        <f t="shared" si="139"/>
        <v>2657</v>
      </c>
      <c r="I444" s="8">
        <f t="shared" si="140"/>
        <v>2663</v>
      </c>
      <c r="J444" s="8">
        <f t="shared" si="141"/>
        <v>2739</v>
      </c>
      <c r="K444" s="8">
        <f t="shared" si="148"/>
        <v>4000</v>
      </c>
      <c r="L444" s="8">
        <f t="shared" si="149"/>
        <v>4000</v>
      </c>
      <c r="M444" s="8">
        <f t="shared" si="150"/>
        <v>4000</v>
      </c>
      <c r="N444" s="8">
        <f t="shared" si="145"/>
        <v>-1343</v>
      </c>
      <c r="O444" s="8">
        <f t="shared" si="146"/>
        <v>-1337</v>
      </c>
      <c r="P444" s="8">
        <f t="shared" si="147"/>
        <v>-1261</v>
      </c>
      <c r="Q444" s="12">
        <v>2</v>
      </c>
      <c r="R444" s="12">
        <v>10</v>
      </c>
      <c r="S444" s="12">
        <v>2</v>
      </c>
      <c r="T444" s="11">
        <f t="shared" si="142"/>
        <v>-1612</v>
      </c>
      <c r="U444" s="10">
        <f t="shared" si="152"/>
        <v>4367</v>
      </c>
      <c r="V444" s="10">
        <f t="shared" si="151"/>
        <v>4493</v>
      </c>
      <c r="W444" s="10">
        <f t="shared" si="153"/>
        <v>4519</v>
      </c>
      <c r="X444" s="9"/>
      <c r="Y444" s="8"/>
      <c r="Z444" s="8"/>
      <c r="AA444" s="8"/>
      <c r="AB444" s="8"/>
    </row>
    <row r="445" spans="1:28" ht="13.15" customHeight="1">
      <c r="A445" s="16">
        <f t="shared" si="135"/>
        <v>431</v>
      </c>
      <c r="B445" s="15">
        <f t="shared" si="143"/>
        <v>45712</v>
      </c>
      <c r="C445" s="14">
        <f t="shared" si="144"/>
        <v>844</v>
      </c>
      <c r="D445" s="13">
        <f t="shared" si="134"/>
        <v>2039</v>
      </c>
      <c r="E445" s="12">
        <f t="shared" si="136"/>
        <v>228</v>
      </c>
      <c r="F445" s="12">
        <f t="shared" si="137"/>
        <v>230</v>
      </c>
      <c r="G445" s="12">
        <f t="shared" si="138"/>
        <v>146</v>
      </c>
      <c r="H445" s="8">
        <f t="shared" si="139"/>
        <v>2655</v>
      </c>
      <c r="I445" s="8">
        <f t="shared" si="140"/>
        <v>2653</v>
      </c>
      <c r="J445" s="8">
        <f t="shared" si="141"/>
        <v>2737</v>
      </c>
      <c r="K445" s="8">
        <f t="shared" si="148"/>
        <v>4000</v>
      </c>
      <c r="L445" s="8">
        <f t="shared" si="149"/>
        <v>4000</v>
      </c>
      <c r="M445" s="8">
        <f t="shared" si="150"/>
        <v>4000</v>
      </c>
      <c r="N445" s="8">
        <f t="shared" si="145"/>
        <v>-1345</v>
      </c>
      <c r="O445" s="8">
        <f t="shared" si="146"/>
        <v>-1347</v>
      </c>
      <c r="P445" s="8">
        <f t="shared" si="147"/>
        <v>-1263</v>
      </c>
      <c r="Q445" s="12">
        <v>2</v>
      </c>
      <c r="R445" s="12">
        <v>10</v>
      </c>
      <c r="S445" s="12">
        <v>2</v>
      </c>
      <c r="T445" s="11">
        <f t="shared" si="142"/>
        <v>-1600</v>
      </c>
      <c r="U445" s="10">
        <f t="shared" si="152"/>
        <v>4365</v>
      </c>
      <c r="V445" s="10">
        <f t="shared" si="151"/>
        <v>4483</v>
      </c>
      <c r="W445" s="10">
        <f t="shared" si="153"/>
        <v>4517</v>
      </c>
      <c r="X445" s="9"/>
      <c r="Y445" s="8"/>
      <c r="Z445" s="8"/>
      <c r="AA445" s="8"/>
      <c r="AB445" s="8"/>
    </row>
    <row r="446" spans="1:28" ht="13.15" customHeight="1">
      <c r="A446" s="16">
        <f t="shared" si="135"/>
        <v>432</v>
      </c>
      <c r="B446" s="15">
        <f t="shared" si="143"/>
        <v>45713</v>
      </c>
      <c r="C446" s="14">
        <f t="shared" si="144"/>
        <v>844</v>
      </c>
      <c r="D446" s="13">
        <f t="shared" si="134"/>
        <v>2041</v>
      </c>
      <c r="E446" s="12">
        <f t="shared" si="136"/>
        <v>230</v>
      </c>
      <c r="F446" s="12">
        <f t="shared" si="137"/>
        <v>242</v>
      </c>
      <c r="G446" s="12">
        <f t="shared" si="138"/>
        <v>148</v>
      </c>
      <c r="H446" s="8">
        <f t="shared" si="139"/>
        <v>2655</v>
      </c>
      <c r="I446" s="8">
        <f t="shared" si="140"/>
        <v>2643</v>
      </c>
      <c r="J446" s="8">
        <f t="shared" si="141"/>
        <v>2737</v>
      </c>
      <c r="K446" s="8">
        <f t="shared" si="148"/>
        <v>4000</v>
      </c>
      <c r="L446" s="8">
        <f t="shared" si="149"/>
        <v>4000</v>
      </c>
      <c r="M446" s="8">
        <f t="shared" si="150"/>
        <v>4000</v>
      </c>
      <c r="N446" s="8">
        <f t="shared" si="145"/>
        <v>-1345</v>
      </c>
      <c r="O446" s="8">
        <f t="shared" si="146"/>
        <v>-1357</v>
      </c>
      <c r="P446" s="8">
        <f t="shared" si="147"/>
        <v>-1263</v>
      </c>
      <c r="Q446" s="12">
        <v>0</v>
      </c>
      <c r="R446" s="12">
        <v>10</v>
      </c>
      <c r="S446" s="12">
        <v>0</v>
      </c>
      <c r="T446" s="11">
        <f t="shared" si="142"/>
        <v>-1588</v>
      </c>
      <c r="U446" s="10">
        <f t="shared" si="152"/>
        <v>4365</v>
      </c>
      <c r="V446" s="10">
        <f t="shared" si="151"/>
        <v>4473</v>
      </c>
      <c r="W446" s="10">
        <f t="shared" si="153"/>
        <v>4517</v>
      </c>
      <c r="X446" s="9"/>
      <c r="Y446" s="8"/>
      <c r="Z446" s="8"/>
      <c r="AA446" s="8"/>
      <c r="AB446" s="8"/>
    </row>
    <row r="447" spans="1:28" ht="13.15" customHeight="1">
      <c r="A447" s="16">
        <f t="shared" si="135"/>
        <v>433</v>
      </c>
      <c r="B447" s="15">
        <f t="shared" si="143"/>
        <v>45714</v>
      </c>
      <c r="C447" s="14">
        <f t="shared" si="144"/>
        <v>844</v>
      </c>
      <c r="D447" s="13">
        <f t="shared" ref="D447:D479" si="154">D446+2</f>
        <v>2043</v>
      </c>
      <c r="E447" s="12">
        <f t="shared" si="136"/>
        <v>232</v>
      </c>
      <c r="F447" s="12">
        <f t="shared" si="137"/>
        <v>254</v>
      </c>
      <c r="G447" s="12">
        <f t="shared" si="138"/>
        <v>150</v>
      </c>
      <c r="H447" s="8">
        <f t="shared" si="139"/>
        <v>2655</v>
      </c>
      <c r="I447" s="8">
        <f t="shared" si="140"/>
        <v>2633</v>
      </c>
      <c r="J447" s="8">
        <f t="shared" si="141"/>
        <v>2737</v>
      </c>
      <c r="K447" s="8">
        <f t="shared" si="148"/>
        <v>4000</v>
      </c>
      <c r="L447" s="8">
        <f t="shared" si="149"/>
        <v>4000</v>
      </c>
      <c r="M447" s="8">
        <f t="shared" si="150"/>
        <v>4000</v>
      </c>
      <c r="N447" s="8">
        <f t="shared" si="145"/>
        <v>-1345</v>
      </c>
      <c r="O447" s="8">
        <f t="shared" si="146"/>
        <v>-1367</v>
      </c>
      <c r="P447" s="8">
        <f t="shared" si="147"/>
        <v>-1263</v>
      </c>
      <c r="Q447" s="12">
        <v>0</v>
      </c>
      <c r="R447" s="12">
        <v>10</v>
      </c>
      <c r="S447" s="12">
        <v>0</v>
      </c>
      <c r="T447" s="11">
        <f t="shared" si="142"/>
        <v>-1576</v>
      </c>
      <c r="U447" s="10">
        <f t="shared" si="152"/>
        <v>4365</v>
      </c>
      <c r="V447" s="10">
        <f t="shared" si="151"/>
        <v>4463</v>
      </c>
      <c r="W447" s="10">
        <f t="shared" si="153"/>
        <v>4517</v>
      </c>
      <c r="X447" s="9"/>
      <c r="Y447" s="8"/>
      <c r="Z447" s="8"/>
      <c r="AA447" s="8"/>
      <c r="AB447" s="8"/>
    </row>
    <row r="448" spans="1:28" ht="13.15" customHeight="1">
      <c r="A448" s="16">
        <f t="shared" si="135"/>
        <v>434</v>
      </c>
      <c r="B448" s="15">
        <f t="shared" si="143"/>
        <v>45715</v>
      </c>
      <c r="C448" s="14">
        <f t="shared" si="144"/>
        <v>844</v>
      </c>
      <c r="D448" s="13">
        <f t="shared" si="154"/>
        <v>2045</v>
      </c>
      <c r="E448" s="12">
        <f t="shared" si="136"/>
        <v>234</v>
      </c>
      <c r="F448" s="12">
        <f t="shared" si="137"/>
        <v>266</v>
      </c>
      <c r="G448" s="12">
        <f t="shared" si="138"/>
        <v>153</v>
      </c>
      <c r="H448" s="8">
        <f t="shared" si="139"/>
        <v>2655</v>
      </c>
      <c r="I448" s="8">
        <f t="shared" si="140"/>
        <v>2623</v>
      </c>
      <c r="J448" s="8">
        <f t="shared" si="141"/>
        <v>2736</v>
      </c>
      <c r="K448" s="8">
        <f t="shared" si="148"/>
        <v>4000</v>
      </c>
      <c r="L448" s="8">
        <f t="shared" si="149"/>
        <v>4000</v>
      </c>
      <c r="M448" s="8">
        <f t="shared" si="150"/>
        <v>4000</v>
      </c>
      <c r="N448" s="8">
        <f t="shared" si="145"/>
        <v>-1345</v>
      </c>
      <c r="O448" s="8">
        <f t="shared" si="146"/>
        <v>-1377</v>
      </c>
      <c r="P448" s="8">
        <f t="shared" si="147"/>
        <v>-1264</v>
      </c>
      <c r="Q448" s="12">
        <v>0</v>
      </c>
      <c r="R448" s="12">
        <v>10</v>
      </c>
      <c r="S448" s="12">
        <v>1</v>
      </c>
      <c r="T448" s="11">
        <f t="shared" si="142"/>
        <v>-1864</v>
      </c>
      <c r="U448" s="10">
        <f t="shared" si="152"/>
        <v>4665</v>
      </c>
      <c r="V448" s="10">
        <f t="shared" si="151"/>
        <v>4753</v>
      </c>
      <c r="W448" s="10">
        <f t="shared" si="153"/>
        <v>4816</v>
      </c>
      <c r="X448" s="9">
        <v>0.3</v>
      </c>
      <c r="Y448" s="8"/>
      <c r="Z448" s="8"/>
      <c r="AA448" s="8"/>
      <c r="AB448" s="8" t="s">
        <v>82</v>
      </c>
    </row>
    <row r="449" spans="1:28" ht="13.15" customHeight="1">
      <c r="A449" s="16">
        <f t="shared" si="135"/>
        <v>435</v>
      </c>
      <c r="B449" s="15">
        <f t="shared" si="143"/>
        <v>45716</v>
      </c>
      <c r="C449" s="14">
        <f t="shared" si="144"/>
        <v>844</v>
      </c>
      <c r="D449" s="13">
        <f t="shared" si="154"/>
        <v>2047</v>
      </c>
      <c r="E449" s="12">
        <f t="shared" si="136"/>
        <v>236</v>
      </c>
      <c r="F449" s="12">
        <f t="shared" si="137"/>
        <v>278</v>
      </c>
      <c r="G449" s="12">
        <f t="shared" si="138"/>
        <v>157</v>
      </c>
      <c r="H449" s="8">
        <f t="shared" si="139"/>
        <v>2655</v>
      </c>
      <c r="I449" s="8">
        <f t="shared" si="140"/>
        <v>2613</v>
      </c>
      <c r="J449" s="8">
        <f t="shared" si="141"/>
        <v>2734</v>
      </c>
      <c r="K449" s="8">
        <f t="shared" si="148"/>
        <v>4000</v>
      </c>
      <c r="L449" s="8">
        <f t="shared" si="149"/>
        <v>4000</v>
      </c>
      <c r="M449" s="8">
        <f t="shared" si="150"/>
        <v>4000</v>
      </c>
      <c r="N449" s="8">
        <f t="shared" si="145"/>
        <v>-1345</v>
      </c>
      <c r="O449" s="8">
        <f t="shared" si="146"/>
        <v>-1387</v>
      </c>
      <c r="P449" s="8">
        <f t="shared" si="147"/>
        <v>-1266</v>
      </c>
      <c r="Q449" s="12">
        <v>0</v>
      </c>
      <c r="R449" s="12">
        <v>10</v>
      </c>
      <c r="S449" s="12">
        <v>2</v>
      </c>
      <c r="T449" s="11">
        <f t="shared" si="142"/>
        <v>-1852</v>
      </c>
      <c r="U449" s="10">
        <f t="shared" si="152"/>
        <v>4665</v>
      </c>
      <c r="V449" s="10">
        <f t="shared" si="151"/>
        <v>4743</v>
      </c>
      <c r="W449" s="10">
        <f t="shared" si="153"/>
        <v>4814</v>
      </c>
      <c r="X449" s="9"/>
      <c r="Y449" s="8"/>
      <c r="Z449" s="8"/>
      <c r="AA449" s="8"/>
      <c r="AB449" s="8"/>
    </row>
    <row r="450" spans="1:28" ht="13.15" customHeight="1">
      <c r="A450" s="16">
        <f t="shared" si="135"/>
        <v>436</v>
      </c>
      <c r="B450" s="15">
        <f t="shared" si="143"/>
        <v>45717</v>
      </c>
      <c r="C450" s="14">
        <f t="shared" si="144"/>
        <v>844</v>
      </c>
      <c r="D450" s="13">
        <f t="shared" si="154"/>
        <v>2049</v>
      </c>
      <c r="E450" s="12">
        <f t="shared" si="136"/>
        <v>238</v>
      </c>
      <c r="F450" s="12">
        <f t="shared" si="137"/>
        <v>290</v>
      </c>
      <c r="G450" s="12">
        <f t="shared" si="138"/>
        <v>161</v>
      </c>
      <c r="H450" s="8">
        <f t="shared" si="139"/>
        <v>2655</v>
      </c>
      <c r="I450" s="8">
        <f t="shared" si="140"/>
        <v>2603</v>
      </c>
      <c r="J450" s="8">
        <f t="shared" si="141"/>
        <v>2732</v>
      </c>
      <c r="K450" s="8">
        <f t="shared" si="148"/>
        <v>4000</v>
      </c>
      <c r="L450" s="8">
        <f t="shared" si="149"/>
        <v>4000</v>
      </c>
      <c r="M450" s="8">
        <f t="shared" si="150"/>
        <v>4000</v>
      </c>
      <c r="N450" s="8">
        <f t="shared" si="145"/>
        <v>-1345</v>
      </c>
      <c r="O450" s="8">
        <f t="shared" si="146"/>
        <v>-1397</v>
      </c>
      <c r="P450" s="8">
        <f t="shared" si="147"/>
        <v>-1268</v>
      </c>
      <c r="Q450" s="12">
        <v>0</v>
      </c>
      <c r="R450" s="12">
        <v>10</v>
      </c>
      <c r="S450" s="12">
        <v>2</v>
      </c>
      <c r="T450" s="11">
        <f t="shared" si="142"/>
        <v>-1840</v>
      </c>
      <c r="U450" s="10">
        <f t="shared" si="152"/>
        <v>4665</v>
      </c>
      <c r="V450" s="10">
        <f t="shared" si="151"/>
        <v>4733</v>
      </c>
      <c r="W450" s="10">
        <f t="shared" si="153"/>
        <v>4812</v>
      </c>
      <c r="X450" s="9"/>
      <c r="Y450" s="8"/>
      <c r="Z450" s="8"/>
      <c r="AA450" s="8"/>
      <c r="AB450" s="8"/>
    </row>
    <row r="451" spans="1:28" ht="13.15" customHeight="1">
      <c r="A451" s="16">
        <f t="shared" si="135"/>
        <v>437</v>
      </c>
      <c r="B451" s="15">
        <f t="shared" si="143"/>
        <v>45718</v>
      </c>
      <c r="C451" s="14">
        <f t="shared" si="144"/>
        <v>844</v>
      </c>
      <c r="D451" s="13">
        <f t="shared" si="154"/>
        <v>2051</v>
      </c>
      <c r="E451" s="12">
        <f t="shared" si="136"/>
        <v>240</v>
      </c>
      <c r="F451" s="12">
        <f t="shared" si="137"/>
        <v>302</v>
      </c>
      <c r="G451" s="12">
        <f t="shared" si="138"/>
        <v>163</v>
      </c>
      <c r="H451" s="8">
        <f t="shared" si="139"/>
        <v>2655</v>
      </c>
      <c r="I451" s="8">
        <f t="shared" si="140"/>
        <v>2593</v>
      </c>
      <c r="J451" s="8">
        <f t="shared" si="141"/>
        <v>2732</v>
      </c>
      <c r="K451" s="8">
        <f t="shared" si="148"/>
        <v>4000</v>
      </c>
      <c r="L451" s="8">
        <f t="shared" si="149"/>
        <v>4000</v>
      </c>
      <c r="M451" s="8">
        <f t="shared" si="150"/>
        <v>4000</v>
      </c>
      <c r="N451" s="8">
        <f t="shared" si="145"/>
        <v>-1345</v>
      </c>
      <c r="O451" s="8">
        <f t="shared" si="146"/>
        <v>-1407</v>
      </c>
      <c r="P451" s="8">
        <f t="shared" si="147"/>
        <v>-1268</v>
      </c>
      <c r="Q451" s="12">
        <v>0</v>
      </c>
      <c r="R451" s="12">
        <v>10</v>
      </c>
      <c r="S451" s="12">
        <v>0</v>
      </c>
      <c r="T451" s="11">
        <f t="shared" si="142"/>
        <v>-1828</v>
      </c>
      <c r="U451" s="10">
        <f t="shared" si="152"/>
        <v>4665</v>
      </c>
      <c r="V451" s="10">
        <f t="shared" si="151"/>
        <v>4723</v>
      </c>
      <c r="W451" s="10">
        <f t="shared" si="153"/>
        <v>4812</v>
      </c>
      <c r="X451" s="9"/>
      <c r="Y451" s="8"/>
      <c r="Z451" s="8"/>
      <c r="AA451" s="8"/>
      <c r="AB451" s="8"/>
    </row>
    <row r="452" spans="1:28" ht="13.15" customHeight="1">
      <c r="A452" s="16">
        <f t="shared" si="135"/>
        <v>438</v>
      </c>
      <c r="B452" s="15">
        <f t="shared" si="143"/>
        <v>45719</v>
      </c>
      <c r="C452" s="14">
        <f t="shared" si="144"/>
        <v>844</v>
      </c>
      <c r="D452" s="13">
        <f t="shared" si="154"/>
        <v>2053</v>
      </c>
      <c r="E452" s="12">
        <f t="shared" si="136"/>
        <v>242</v>
      </c>
      <c r="F452" s="12">
        <f t="shared" si="137"/>
        <v>314</v>
      </c>
      <c r="G452" s="12">
        <f t="shared" si="138"/>
        <v>165</v>
      </c>
      <c r="H452" s="8">
        <f t="shared" si="139"/>
        <v>2655</v>
      </c>
      <c r="I452" s="8">
        <f t="shared" si="140"/>
        <v>2583</v>
      </c>
      <c r="J452" s="8">
        <f t="shared" si="141"/>
        <v>2732</v>
      </c>
      <c r="K452" s="8">
        <f t="shared" si="148"/>
        <v>4000</v>
      </c>
      <c r="L452" s="8">
        <f t="shared" si="149"/>
        <v>4000</v>
      </c>
      <c r="M452" s="8">
        <f t="shared" si="150"/>
        <v>4000</v>
      </c>
      <c r="N452" s="8">
        <f t="shared" si="145"/>
        <v>-1345</v>
      </c>
      <c r="O452" s="8">
        <f t="shared" si="146"/>
        <v>-1417</v>
      </c>
      <c r="P452" s="8">
        <f t="shared" si="147"/>
        <v>-1268</v>
      </c>
      <c r="Q452" s="12">
        <v>0</v>
      </c>
      <c r="R452" s="12">
        <v>10</v>
      </c>
      <c r="S452" s="12">
        <v>0</v>
      </c>
      <c r="T452" s="11">
        <f t="shared" si="142"/>
        <v>-1816</v>
      </c>
      <c r="U452" s="10">
        <f t="shared" si="152"/>
        <v>4665</v>
      </c>
      <c r="V452" s="10">
        <f t="shared" si="151"/>
        <v>4713</v>
      </c>
      <c r="W452" s="10">
        <f t="shared" si="153"/>
        <v>4812</v>
      </c>
      <c r="X452" s="9"/>
      <c r="Y452" s="8"/>
      <c r="Z452" s="8"/>
      <c r="AA452" s="8"/>
      <c r="AB452" s="8"/>
    </row>
    <row r="453" spans="1:28" ht="13.15" customHeight="1">
      <c r="A453" s="16">
        <f t="shared" si="135"/>
        <v>439</v>
      </c>
      <c r="B453" s="15">
        <f t="shared" si="143"/>
        <v>45720</v>
      </c>
      <c r="C453" s="14">
        <f t="shared" si="144"/>
        <v>844</v>
      </c>
      <c r="D453" s="13">
        <f t="shared" si="154"/>
        <v>2055</v>
      </c>
      <c r="E453" s="12">
        <f t="shared" si="136"/>
        <v>244</v>
      </c>
      <c r="F453" s="12">
        <f t="shared" si="137"/>
        <v>326</v>
      </c>
      <c r="G453" s="12">
        <f t="shared" si="138"/>
        <v>169</v>
      </c>
      <c r="H453" s="8">
        <f t="shared" si="139"/>
        <v>2655</v>
      </c>
      <c r="I453" s="8">
        <f t="shared" si="140"/>
        <v>2573</v>
      </c>
      <c r="J453" s="8">
        <f t="shared" si="141"/>
        <v>2730</v>
      </c>
      <c r="K453" s="8">
        <f t="shared" si="148"/>
        <v>4000</v>
      </c>
      <c r="L453" s="8">
        <f t="shared" si="149"/>
        <v>4000</v>
      </c>
      <c r="M453" s="8">
        <f t="shared" si="150"/>
        <v>4000</v>
      </c>
      <c r="N453" s="8">
        <f t="shared" si="145"/>
        <v>-1345</v>
      </c>
      <c r="O453" s="8">
        <f t="shared" si="146"/>
        <v>-1427</v>
      </c>
      <c r="P453" s="8">
        <f t="shared" si="147"/>
        <v>-1270</v>
      </c>
      <c r="Q453" s="12">
        <v>0</v>
      </c>
      <c r="R453" s="12">
        <v>10</v>
      </c>
      <c r="S453" s="12">
        <v>2</v>
      </c>
      <c r="T453" s="11">
        <f t="shared" si="142"/>
        <v>-2104</v>
      </c>
      <c r="U453" s="10">
        <f t="shared" si="152"/>
        <v>4965</v>
      </c>
      <c r="V453" s="10">
        <f t="shared" si="151"/>
        <v>5003</v>
      </c>
      <c r="W453" s="10">
        <f t="shared" si="153"/>
        <v>5110</v>
      </c>
      <c r="X453" s="9">
        <v>0.3</v>
      </c>
      <c r="Y453" s="8"/>
      <c r="Z453" s="8"/>
      <c r="AA453" s="8"/>
      <c r="AB453" s="8" t="s">
        <v>83</v>
      </c>
    </row>
    <row r="454" spans="1:28" ht="13.15" customHeight="1">
      <c r="A454" s="16">
        <f t="shared" si="135"/>
        <v>440</v>
      </c>
      <c r="B454" s="15">
        <f t="shared" si="143"/>
        <v>45721</v>
      </c>
      <c r="C454" s="14">
        <f t="shared" si="144"/>
        <v>844</v>
      </c>
      <c r="D454" s="13">
        <f t="shared" si="154"/>
        <v>2057</v>
      </c>
      <c r="E454" s="12">
        <f t="shared" si="136"/>
        <v>249</v>
      </c>
      <c r="F454" s="12">
        <f t="shared" si="137"/>
        <v>338</v>
      </c>
      <c r="G454" s="12">
        <f t="shared" si="138"/>
        <v>171</v>
      </c>
      <c r="H454" s="8">
        <f t="shared" si="139"/>
        <v>2652</v>
      </c>
      <c r="I454" s="8">
        <f t="shared" si="140"/>
        <v>2563</v>
      </c>
      <c r="J454" s="8">
        <f t="shared" si="141"/>
        <v>2730</v>
      </c>
      <c r="K454" s="8">
        <f t="shared" si="148"/>
        <v>4000</v>
      </c>
      <c r="L454" s="8">
        <f t="shared" si="149"/>
        <v>4000</v>
      </c>
      <c r="M454" s="8">
        <f t="shared" si="150"/>
        <v>4000</v>
      </c>
      <c r="N454" s="8">
        <f t="shared" si="145"/>
        <v>-1348</v>
      </c>
      <c r="O454" s="8">
        <f t="shared" si="146"/>
        <v>-1437</v>
      </c>
      <c r="P454" s="8">
        <f t="shared" si="147"/>
        <v>-1270</v>
      </c>
      <c r="Q454" s="12">
        <v>3</v>
      </c>
      <c r="R454" s="12">
        <v>10</v>
      </c>
      <c r="S454" s="12">
        <v>0</v>
      </c>
      <c r="T454" s="11">
        <f t="shared" si="142"/>
        <v>-2092</v>
      </c>
      <c r="U454" s="10">
        <f t="shared" si="152"/>
        <v>4962</v>
      </c>
      <c r="V454" s="10">
        <f t="shared" si="151"/>
        <v>4993</v>
      </c>
      <c r="W454" s="10">
        <f t="shared" si="153"/>
        <v>5110</v>
      </c>
      <c r="X454" s="9"/>
      <c r="Y454" s="8"/>
      <c r="Z454" s="8"/>
      <c r="AA454" s="8"/>
      <c r="AB454" s="8"/>
    </row>
    <row r="455" spans="1:28" ht="13.15" customHeight="1">
      <c r="A455" s="16">
        <f t="shared" si="135"/>
        <v>441</v>
      </c>
      <c r="B455" s="15">
        <f t="shared" si="143"/>
        <v>45722</v>
      </c>
      <c r="C455" s="14">
        <f t="shared" si="144"/>
        <v>844</v>
      </c>
      <c r="D455" s="13">
        <f t="shared" si="154"/>
        <v>2059</v>
      </c>
      <c r="E455" s="12">
        <f t="shared" si="136"/>
        <v>253</v>
      </c>
      <c r="F455" s="12">
        <f t="shared" si="137"/>
        <v>350</v>
      </c>
      <c r="G455" s="12">
        <f t="shared" si="138"/>
        <v>173</v>
      </c>
      <c r="H455" s="8">
        <f t="shared" si="139"/>
        <v>2650</v>
      </c>
      <c r="I455" s="8">
        <f t="shared" si="140"/>
        <v>2553</v>
      </c>
      <c r="J455" s="8">
        <f t="shared" si="141"/>
        <v>2730</v>
      </c>
      <c r="K455" s="8">
        <f t="shared" si="148"/>
        <v>4000</v>
      </c>
      <c r="L455" s="8">
        <f t="shared" si="149"/>
        <v>4000</v>
      </c>
      <c r="M455" s="8">
        <f t="shared" si="150"/>
        <v>4000</v>
      </c>
      <c r="N455" s="8">
        <f t="shared" si="145"/>
        <v>-1350</v>
      </c>
      <c r="O455" s="8">
        <f t="shared" si="146"/>
        <v>-1447</v>
      </c>
      <c r="P455" s="8">
        <f t="shared" si="147"/>
        <v>-1270</v>
      </c>
      <c r="Q455" s="12">
        <v>2</v>
      </c>
      <c r="R455" s="12">
        <v>10</v>
      </c>
      <c r="S455" s="12">
        <v>0</v>
      </c>
      <c r="T455" s="11">
        <f t="shared" si="142"/>
        <v>-2080</v>
      </c>
      <c r="U455" s="10">
        <f t="shared" si="152"/>
        <v>4960</v>
      </c>
      <c r="V455" s="10">
        <f t="shared" si="151"/>
        <v>4983</v>
      </c>
      <c r="W455" s="10">
        <f t="shared" si="153"/>
        <v>5110</v>
      </c>
      <c r="X455" s="9"/>
      <c r="Y455" s="8"/>
      <c r="Z455" s="8"/>
      <c r="AA455" s="8"/>
      <c r="AB455" s="8"/>
    </row>
    <row r="456" spans="1:28" ht="13.15" customHeight="1">
      <c r="A456" s="16">
        <f t="shared" si="135"/>
        <v>442</v>
      </c>
      <c r="B456" s="15">
        <f t="shared" si="143"/>
        <v>45723</v>
      </c>
      <c r="C456" s="14">
        <f t="shared" si="144"/>
        <v>844</v>
      </c>
      <c r="D456" s="13">
        <f t="shared" si="154"/>
        <v>2061</v>
      </c>
      <c r="E456" s="12">
        <f t="shared" si="136"/>
        <v>258</v>
      </c>
      <c r="F456" s="12">
        <f t="shared" si="137"/>
        <v>362</v>
      </c>
      <c r="G456" s="12">
        <f t="shared" si="138"/>
        <v>176</v>
      </c>
      <c r="H456" s="8">
        <f t="shared" si="139"/>
        <v>2647</v>
      </c>
      <c r="I456" s="8">
        <f t="shared" si="140"/>
        <v>2543</v>
      </c>
      <c r="J456" s="8">
        <f t="shared" si="141"/>
        <v>2729</v>
      </c>
      <c r="K456" s="8">
        <f t="shared" si="148"/>
        <v>4000</v>
      </c>
      <c r="L456" s="8">
        <f t="shared" si="149"/>
        <v>4000</v>
      </c>
      <c r="M456" s="8">
        <f t="shared" si="150"/>
        <v>4000</v>
      </c>
      <c r="N456" s="8">
        <f t="shared" si="145"/>
        <v>-1353</v>
      </c>
      <c r="O456" s="8">
        <f t="shared" si="146"/>
        <v>-1457</v>
      </c>
      <c r="P456" s="8">
        <f t="shared" si="147"/>
        <v>-1271</v>
      </c>
      <c r="Q456" s="12">
        <v>3</v>
      </c>
      <c r="R456" s="12">
        <v>10</v>
      </c>
      <c r="S456" s="12">
        <v>1</v>
      </c>
      <c r="T456" s="11">
        <f t="shared" si="142"/>
        <v>-2068</v>
      </c>
      <c r="U456" s="10">
        <f t="shared" si="152"/>
        <v>4957</v>
      </c>
      <c r="V456" s="10">
        <f t="shared" si="151"/>
        <v>4973</v>
      </c>
      <c r="W456" s="10">
        <f t="shared" si="153"/>
        <v>5109</v>
      </c>
      <c r="X456" s="9"/>
      <c r="Y456" s="8"/>
      <c r="Z456" s="8"/>
      <c r="AA456" s="8"/>
      <c r="AB456" s="8"/>
    </row>
    <row r="457" spans="1:28" ht="13.15" customHeight="1">
      <c r="A457" s="16">
        <f t="shared" si="135"/>
        <v>443</v>
      </c>
      <c r="B457" s="15">
        <f t="shared" si="143"/>
        <v>45724</v>
      </c>
      <c r="C457" s="14">
        <f t="shared" si="144"/>
        <v>844</v>
      </c>
      <c r="D457" s="13">
        <f t="shared" si="154"/>
        <v>2063</v>
      </c>
      <c r="E457" s="12">
        <f t="shared" si="136"/>
        <v>262</v>
      </c>
      <c r="F457" s="12">
        <f t="shared" si="137"/>
        <v>374</v>
      </c>
      <c r="G457" s="12">
        <f t="shared" si="138"/>
        <v>180</v>
      </c>
      <c r="H457" s="8">
        <f t="shared" si="139"/>
        <v>2645</v>
      </c>
      <c r="I457" s="8">
        <f t="shared" si="140"/>
        <v>2533</v>
      </c>
      <c r="J457" s="8">
        <f t="shared" si="141"/>
        <v>2727</v>
      </c>
      <c r="K457" s="8">
        <f t="shared" si="148"/>
        <v>4000</v>
      </c>
      <c r="L457" s="8">
        <f t="shared" si="149"/>
        <v>4000</v>
      </c>
      <c r="M457" s="8">
        <f t="shared" si="150"/>
        <v>4000</v>
      </c>
      <c r="N457" s="8">
        <f t="shared" si="145"/>
        <v>-1355</v>
      </c>
      <c r="O457" s="8">
        <f t="shared" si="146"/>
        <v>-1467</v>
      </c>
      <c r="P457" s="8">
        <f t="shared" si="147"/>
        <v>-1273</v>
      </c>
      <c r="Q457" s="12">
        <v>2</v>
      </c>
      <c r="R457" s="12">
        <v>10</v>
      </c>
      <c r="S457" s="12">
        <v>2</v>
      </c>
      <c r="T457" s="11">
        <f t="shared" si="142"/>
        <v>-2056</v>
      </c>
      <c r="U457" s="10">
        <f t="shared" si="152"/>
        <v>4955</v>
      </c>
      <c r="V457" s="10">
        <f t="shared" si="151"/>
        <v>4963</v>
      </c>
      <c r="W457" s="10">
        <f t="shared" si="153"/>
        <v>5107</v>
      </c>
      <c r="X457" s="9"/>
      <c r="Y457" s="8"/>
      <c r="Z457" s="8"/>
      <c r="AA457" s="8"/>
      <c r="AB457" s="8"/>
    </row>
    <row r="458" spans="1:28" ht="13.15" customHeight="1">
      <c r="A458" s="16">
        <f t="shared" si="135"/>
        <v>444</v>
      </c>
      <c r="B458" s="15">
        <f t="shared" si="143"/>
        <v>45725</v>
      </c>
      <c r="C458" s="14">
        <f t="shared" si="144"/>
        <v>844</v>
      </c>
      <c r="D458" s="13">
        <f t="shared" si="154"/>
        <v>2065</v>
      </c>
      <c r="E458" s="12">
        <f t="shared" si="136"/>
        <v>265</v>
      </c>
      <c r="F458" s="12">
        <f t="shared" si="137"/>
        <v>386</v>
      </c>
      <c r="G458" s="12">
        <f t="shared" si="138"/>
        <v>187</v>
      </c>
      <c r="H458" s="8">
        <f t="shared" si="139"/>
        <v>2644</v>
      </c>
      <c r="I458" s="8">
        <f t="shared" si="140"/>
        <v>2523</v>
      </c>
      <c r="J458" s="8">
        <f t="shared" si="141"/>
        <v>2722</v>
      </c>
      <c r="K458" s="8">
        <f t="shared" si="148"/>
        <v>4000</v>
      </c>
      <c r="L458" s="8">
        <f t="shared" si="149"/>
        <v>4000</v>
      </c>
      <c r="M458" s="8">
        <f t="shared" si="150"/>
        <v>4000</v>
      </c>
      <c r="N458" s="8">
        <f t="shared" si="145"/>
        <v>-1356</v>
      </c>
      <c r="O458" s="8">
        <f t="shared" si="146"/>
        <v>-1477</v>
      </c>
      <c r="P458" s="8">
        <f t="shared" si="147"/>
        <v>-1278</v>
      </c>
      <c r="Q458" s="12">
        <v>1</v>
      </c>
      <c r="R458" s="12">
        <v>10</v>
      </c>
      <c r="S458" s="12">
        <v>5</v>
      </c>
      <c r="T458" s="11">
        <f t="shared" si="142"/>
        <v>-2344</v>
      </c>
      <c r="U458" s="10">
        <f t="shared" si="152"/>
        <v>5254</v>
      </c>
      <c r="V458" s="10">
        <f t="shared" si="151"/>
        <v>5253</v>
      </c>
      <c r="W458" s="10">
        <f t="shared" si="153"/>
        <v>5402</v>
      </c>
      <c r="X458" s="9">
        <v>0.3</v>
      </c>
      <c r="Y458" s="8"/>
      <c r="Z458" s="8"/>
      <c r="AA458" s="8"/>
      <c r="AB458" s="8" t="s">
        <v>84</v>
      </c>
    </row>
    <row r="459" spans="1:28" ht="13.15" customHeight="1">
      <c r="A459" s="16">
        <f t="shared" si="135"/>
        <v>445</v>
      </c>
      <c r="B459" s="15">
        <f t="shared" si="143"/>
        <v>45726</v>
      </c>
      <c r="C459" s="14">
        <f t="shared" si="144"/>
        <v>844</v>
      </c>
      <c r="D459" s="13">
        <f t="shared" si="154"/>
        <v>2067</v>
      </c>
      <c r="E459" s="12">
        <f t="shared" si="136"/>
        <v>270</v>
      </c>
      <c r="F459" s="12">
        <f t="shared" si="137"/>
        <v>398</v>
      </c>
      <c r="G459" s="12">
        <f t="shared" si="138"/>
        <v>196</v>
      </c>
      <c r="H459" s="8">
        <f t="shared" si="139"/>
        <v>2641</v>
      </c>
      <c r="I459" s="8">
        <f t="shared" si="140"/>
        <v>2513</v>
      </c>
      <c r="J459" s="8">
        <f t="shared" si="141"/>
        <v>2715</v>
      </c>
      <c r="K459" s="8">
        <f t="shared" si="148"/>
        <v>4000</v>
      </c>
      <c r="L459" s="8">
        <f t="shared" si="149"/>
        <v>4000</v>
      </c>
      <c r="M459" s="8">
        <f t="shared" si="150"/>
        <v>4000</v>
      </c>
      <c r="N459" s="8">
        <f t="shared" si="145"/>
        <v>-1359</v>
      </c>
      <c r="O459" s="8">
        <f t="shared" si="146"/>
        <v>-1487</v>
      </c>
      <c r="P459" s="8">
        <f t="shared" si="147"/>
        <v>-1285</v>
      </c>
      <c r="Q459" s="12">
        <v>3</v>
      </c>
      <c r="R459" s="12">
        <v>10</v>
      </c>
      <c r="S459" s="12">
        <v>7</v>
      </c>
      <c r="T459" s="11">
        <f t="shared" si="142"/>
        <v>-2332</v>
      </c>
      <c r="U459" s="10">
        <f t="shared" si="152"/>
        <v>5251</v>
      </c>
      <c r="V459" s="10">
        <f t="shared" si="151"/>
        <v>5243</v>
      </c>
      <c r="W459" s="10">
        <f t="shared" si="153"/>
        <v>5395</v>
      </c>
      <c r="X459" s="9"/>
      <c r="Y459" s="8"/>
      <c r="Z459" s="8"/>
      <c r="AA459" s="8"/>
      <c r="AB459" s="8"/>
    </row>
    <row r="460" spans="1:28" ht="13.15" customHeight="1">
      <c r="A460" s="16">
        <f t="shared" ref="A460:A492" si="155">+A459+1</f>
        <v>446</v>
      </c>
      <c r="B460" s="15">
        <f t="shared" si="143"/>
        <v>45727</v>
      </c>
      <c r="C460" s="14">
        <f t="shared" si="144"/>
        <v>844</v>
      </c>
      <c r="D460" s="13">
        <f t="shared" si="154"/>
        <v>2069</v>
      </c>
      <c r="E460" s="12">
        <f t="shared" si="136"/>
        <v>274</v>
      </c>
      <c r="F460" s="12">
        <f t="shared" si="137"/>
        <v>410</v>
      </c>
      <c r="G460" s="12">
        <f t="shared" si="138"/>
        <v>199</v>
      </c>
      <c r="H460" s="8">
        <f t="shared" si="139"/>
        <v>2639</v>
      </c>
      <c r="I460" s="8">
        <f t="shared" si="140"/>
        <v>2503</v>
      </c>
      <c r="J460" s="8">
        <f t="shared" si="141"/>
        <v>2714</v>
      </c>
      <c r="K460" s="8">
        <f t="shared" si="148"/>
        <v>4000</v>
      </c>
      <c r="L460" s="8">
        <f t="shared" si="149"/>
        <v>4000</v>
      </c>
      <c r="M460" s="8">
        <f t="shared" si="150"/>
        <v>4000</v>
      </c>
      <c r="N460" s="8">
        <f t="shared" si="145"/>
        <v>-1361</v>
      </c>
      <c r="O460" s="8">
        <f t="shared" si="146"/>
        <v>-1497</v>
      </c>
      <c r="P460" s="8">
        <f t="shared" si="147"/>
        <v>-1286</v>
      </c>
      <c r="Q460" s="12">
        <v>2</v>
      </c>
      <c r="R460" s="12">
        <v>10</v>
      </c>
      <c r="S460" s="12">
        <v>1</v>
      </c>
      <c r="T460" s="11">
        <f t="shared" si="142"/>
        <v>-2320</v>
      </c>
      <c r="U460" s="10">
        <f t="shared" si="152"/>
        <v>5249</v>
      </c>
      <c r="V460" s="10">
        <f t="shared" si="151"/>
        <v>5233</v>
      </c>
      <c r="W460" s="10">
        <f t="shared" si="153"/>
        <v>5394</v>
      </c>
      <c r="X460" s="9"/>
      <c r="Y460" s="8"/>
      <c r="Z460" s="8"/>
      <c r="AA460" s="8"/>
      <c r="AB460" s="8"/>
    </row>
    <row r="461" spans="1:28" ht="13.15" customHeight="1">
      <c r="A461" s="16">
        <f t="shared" si="155"/>
        <v>447</v>
      </c>
      <c r="B461" s="15">
        <f t="shared" si="143"/>
        <v>45728</v>
      </c>
      <c r="C461" s="14">
        <f t="shared" si="144"/>
        <v>844</v>
      </c>
      <c r="D461" s="13">
        <f t="shared" si="154"/>
        <v>2071</v>
      </c>
      <c r="E461" s="12">
        <f t="shared" si="136"/>
        <v>277</v>
      </c>
      <c r="F461" s="12">
        <f t="shared" si="137"/>
        <v>422</v>
      </c>
      <c r="G461" s="12">
        <f t="shared" si="138"/>
        <v>203</v>
      </c>
      <c r="H461" s="8">
        <f t="shared" si="139"/>
        <v>2638</v>
      </c>
      <c r="I461" s="8">
        <f t="shared" si="140"/>
        <v>2493</v>
      </c>
      <c r="J461" s="8">
        <f t="shared" si="141"/>
        <v>2712</v>
      </c>
      <c r="K461" s="8">
        <f t="shared" si="148"/>
        <v>4000</v>
      </c>
      <c r="L461" s="8">
        <f t="shared" si="149"/>
        <v>4000</v>
      </c>
      <c r="M461" s="8">
        <f t="shared" si="150"/>
        <v>4000</v>
      </c>
      <c r="N461" s="8">
        <f t="shared" si="145"/>
        <v>-1362</v>
      </c>
      <c r="O461" s="8">
        <f t="shared" si="146"/>
        <v>-1507</v>
      </c>
      <c r="P461" s="8">
        <f t="shared" si="147"/>
        <v>-1288</v>
      </c>
      <c r="Q461" s="12">
        <v>1</v>
      </c>
      <c r="R461" s="12">
        <v>10</v>
      </c>
      <c r="S461" s="12">
        <v>2</v>
      </c>
      <c r="T461" s="11">
        <f t="shared" si="142"/>
        <v>-2308</v>
      </c>
      <c r="U461" s="10">
        <f t="shared" si="152"/>
        <v>5248</v>
      </c>
      <c r="V461" s="10">
        <f t="shared" si="151"/>
        <v>5223</v>
      </c>
      <c r="W461" s="10">
        <f t="shared" si="153"/>
        <v>5392</v>
      </c>
      <c r="X461" s="9"/>
      <c r="Y461" s="8"/>
      <c r="Z461" s="8"/>
      <c r="AA461" s="8"/>
      <c r="AB461" s="8"/>
    </row>
    <row r="462" spans="1:28" ht="13.15" customHeight="1">
      <c r="A462" s="16">
        <f t="shared" si="155"/>
        <v>448</v>
      </c>
      <c r="B462" s="15">
        <f t="shared" si="143"/>
        <v>45729</v>
      </c>
      <c r="C462" s="14">
        <f t="shared" si="144"/>
        <v>844</v>
      </c>
      <c r="D462" s="13">
        <f t="shared" si="154"/>
        <v>2073</v>
      </c>
      <c r="E462" s="12">
        <f t="shared" ref="E462:E479" si="156">C462+D462-H462</f>
        <v>281</v>
      </c>
      <c r="F462" s="12">
        <f t="shared" ref="F462:F479" si="157">C462+D462-I462</f>
        <v>434</v>
      </c>
      <c r="G462" s="12">
        <f t="shared" ref="G462:G479" si="158">D462+C462-J462</f>
        <v>207</v>
      </c>
      <c r="H462" s="8">
        <f t="shared" ref="H462:H479" si="159">K462+N462</f>
        <v>2636</v>
      </c>
      <c r="I462" s="8">
        <f t="shared" ref="I462:I479" si="160">L462+O462</f>
        <v>2483</v>
      </c>
      <c r="J462" s="8">
        <f t="shared" ref="J462:J479" si="161">M462+P462</f>
        <v>2710</v>
      </c>
      <c r="K462" s="8">
        <f t="shared" si="148"/>
        <v>4000</v>
      </c>
      <c r="L462" s="8">
        <f t="shared" si="149"/>
        <v>4000</v>
      </c>
      <c r="M462" s="8">
        <f t="shared" si="150"/>
        <v>4000</v>
      </c>
      <c r="N462" s="8">
        <f t="shared" si="145"/>
        <v>-1364</v>
      </c>
      <c r="O462" s="8">
        <f t="shared" si="146"/>
        <v>-1517</v>
      </c>
      <c r="P462" s="8">
        <f t="shared" si="147"/>
        <v>-1290</v>
      </c>
      <c r="Q462" s="12">
        <v>2</v>
      </c>
      <c r="R462" s="12">
        <v>10</v>
      </c>
      <c r="S462" s="12">
        <v>2</v>
      </c>
      <c r="T462" s="11">
        <f t="shared" ref="T462:T490" si="162">D462+C462-V462</f>
        <v>-2296</v>
      </c>
      <c r="U462" s="10">
        <f t="shared" si="152"/>
        <v>5246</v>
      </c>
      <c r="V462" s="10">
        <f t="shared" si="151"/>
        <v>5213</v>
      </c>
      <c r="W462" s="10">
        <f t="shared" si="153"/>
        <v>5390</v>
      </c>
      <c r="X462" s="9"/>
      <c r="Y462" s="8"/>
      <c r="Z462" s="8"/>
      <c r="AA462" s="8"/>
      <c r="AB462" s="8"/>
    </row>
    <row r="463" spans="1:28" ht="13.15" customHeight="1">
      <c r="A463" s="16">
        <f t="shared" si="155"/>
        <v>449</v>
      </c>
      <c r="B463" s="15">
        <f t="shared" ref="B463:B470" si="163">B462+1</f>
        <v>45730</v>
      </c>
      <c r="C463" s="14">
        <f t="shared" ref="C463:C479" si="164">C462</f>
        <v>844</v>
      </c>
      <c r="D463" s="13">
        <f t="shared" si="154"/>
        <v>2075</v>
      </c>
      <c r="E463" s="12">
        <f t="shared" si="156"/>
        <v>285</v>
      </c>
      <c r="F463" s="12">
        <f t="shared" si="157"/>
        <v>446</v>
      </c>
      <c r="G463" s="12">
        <f t="shared" si="158"/>
        <v>211</v>
      </c>
      <c r="H463" s="8">
        <f t="shared" si="159"/>
        <v>2634</v>
      </c>
      <c r="I463" s="8">
        <f t="shared" si="160"/>
        <v>2473</v>
      </c>
      <c r="J463" s="8">
        <f t="shared" si="161"/>
        <v>2708</v>
      </c>
      <c r="K463" s="8">
        <f t="shared" si="148"/>
        <v>4000</v>
      </c>
      <c r="L463" s="8">
        <f t="shared" si="149"/>
        <v>4000</v>
      </c>
      <c r="M463" s="8">
        <f t="shared" si="150"/>
        <v>4000</v>
      </c>
      <c r="N463" s="8">
        <f t="shared" ref="N463:N482" si="165">N462-Q463</f>
        <v>-1366</v>
      </c>
      <c r="O463" s="8">
        <f t="shared" ref="O463:O482" si="166">O462-R463</f>
        <v>-1527</v>
      </c>
      <c r="P463" s="8">
        <f t="shared" ref="P463:P482" si="167">P462-S463</f>
        <v>-1292</v>
      </c>
      <c r="Q463" s="12">
        <v>2</v>
      </c>
      <c r="R463" s="12">
        <v>10</v>
      </c>
      <c r="S463" s="12">
        <v>2</v>
      </c>
      <c r="T463" s="11">
        <f t="shared" si="162"/>
        <v>-2284</v>
      </c>
      <c r="U463" s="10">
        <f t="shared" si="152"/>
        <v>5244</v>
      </c>
      <c r="V463" s="10">
        <f t="shared" si="151"/>
        <v>5203</v>
      </c>
      <c r="W463" s="10">
        <f t="shared" si="153"/>
        <v>5388</v>
      </c>
      <c r="X463" s="9"/>
      <c r="Y463" s="8"/>
      <c r="Z463" s="8"/>
      <c r="AA463" s="8"/>
      <c r="AB463" s="8"/>
    </row>
    <row r="464" spans="1:28" ht="13.15" customHeight="1">
      <c r="A464" s="16">
        <f t="shared" si="155"/>
        <v>450</v>
      </c>
      <c r="B464" s="15">
        <f t="shared" si="163"/>
        <v>45731</v>
      </c>
      <c r="C464" s="14">
        <f t="shared" si="164"/>
        <v>844</v>
      </c>
      <c r="D464" s="13">
        <f t="shared" si="154"/>
        <v>2077</v>
      </c>
      <c r="E464" s="12">
        <f t="shared" si="156"/>
        <v>288</v>
      </c>
      <c r="F464" s="12">
        <f t="shared" si="157"/>
        <v>458</v>
      </c>
      <c r="G464" s="12">
        <f t="shared" si="158"/>
        <v>213</v>
      </c>
      <c r="H464" s="8">
        <f t="shared" si="159"/>
        <v>2633</v>
      </c>
      <c r="I464" s="8">
        <f t="shared" si="160"/>
        <v>2463</v>
      </c>
      <c r="J464" s="8">
        <f t="shared" si="161"/>
        <v>2708</v>
      </c>
      <c r="K464" s="8">
        <f t="shared" si="148"/>
        <v>4000</v>
      </c>
      <c r="L464" s="8">
        <f t="shared" si="149"/>
        <v>4000</v>
      </c>
      <c r="M464" s="8">
        <f t="shared" si="150"/>
        <v>4000</v>
      </c>
      <c r="N464" s="8">
        <f t="shared" si="165"/>
        <v>-1367</v>
      </c>
      <c r="O464" s="8">
        <f t="shared" si="166"/>
        <v>-1537</v>
      </c>
      <c r="P464" s="8">
        <f t="shared" si="167"/>
        <v>-1292</v>
      </c>
      <c r="Q464" s="12">
        <v>1</v>
      </c>
      <c r="R464" s="12">
        <v>10</v>
      </c>
      <c r="S464" s="12">
        <v>0</v>
      </c>
      <c r="T464" s="11">
        <f t="shared" si="162"/>
        <v>-2272</v>
      </c>
      <c r="U464" s="10">
        <f t="shared" si="152"/>
        <v>5243</v>
      </c>
      <c r="V464" s="10">
        <f t="shared" si="151"/>
        <v>5193</v>
      </c>
      <c r="W464" s="10">
        <f t="shared" si="153"/>
        <v>5388</v>
      </c>
      <c r="X464" s="9"/>
      <c r="Y464" s="8"/>
      <c r="Z464" s="8"/>
      <c r="AA464" s="8"/>
      <c r="AB464" s="8"/>
    </row>
    <row r="465" spans="1:28" ht="13.15" customHeight="1">
      <c r="A465" s="16">
        <f t="shared" si="155"/>
        <v>451</v>
      </c>
      <c r="B465" s="15">
        <f t="shared" si="163"/>
        <v>45732</v>
      </c>
      <c r="C465" s="14">
        <f t="shared" si="164"/>
        <v>844</v>
      </c>
      <c r="D465" s="13">
        <f t="shared" si="154"/>
        <v>2079</v>
      </c>
      <c r="E465" s="12">
        <f t="shared" si="156"/>
        <v>290</v>
      </c>
      <c r="F465" s="12">
        <f t="shared" si="157"/>
        <v>470</v>
      </c>
      <c r="G465" s="12">
        <f t="shared" si="158"/>
        <v>225</v>
      </c>
      <c r="H465" s="8">
        <f t="shared" si="159"/>
        <v>2633</v>
      </c>
      <c r="I465" s="8">
        <f t="shared" si="160"/>
        <v>2453</v>
      </c>
      <c r="J465" s="8">
        <f t="shared" si="161"/>
        <v>2698</v>
      </c>
      <c r="K465" s="8">
        <f t="shared" si="148"/>
        <v>4000</v>
      </c>
      <c r="L465" s="8">
        <f t="shared" si="149"/>
        <v>4000</v>
      </c>
      <c r="M465" s="8">
        <f t="shared" si="150"/>
        <v>4000</v>
      </c>
      <c r="N465" s="8">
        <f t="shared" si="165"/>
        <v>-1367</v>
      </c>
      <c r="O465" s="8">
        <f t="shared" si="166"/>
        <v>-1547</v>
      </c>
      <c r="P465" s="8">
        <f t="shared" si="167"/>
        <v>-1302</v>
      </c>
      <c r="Q465" s="12">
        <v>0</v>
      </c>
      <c r="R465" s="12">
        <v>10</v>
      </c>
      <c r="S465" s="12">
        <v>10</v>
      </c>
      <c r="T465" s="11">
        <f t="shared" si="162"/>
        <v>-2260</v>
      </c>
      <c r="U465" s="10">
        <f t="shared" si="152"/>
        <v>5243</v>
      </c>
      <c r="V465" s="10">
        <f t="shared" si="151"/>
        <v>5183</v>
      </c>
      <c r="W465" s="10">
        <f t="shared" si="153"/>
        <v>5378</v>
      </c>
      <c r="X465" s="9"/>
      <c r="Y465" s="8"/>
      <c r="Z465" s="8"/>
      <c r="AA465" s="8"/>
      <c r="AB465" s="8"/>
    </row>
    <row r="466" spans="1:28" ht="13.15" customHeight="1">
      <c r="A466" s="16">
        <f t="shared" si="155"/>
        <v>452</v>
      </c>
      <c r="B466" s="15">
        <f t="shared" si="163"/>
        <v>45733</v>
      </c>
      <c r="C466" s="14">
        <f t="shared" si="164"/>
        <v>844</v>
      </c>
      <c r="D466" s="13">
        <f t="shared" si="154"/>
        <v>2081</v>
      </c>
      <c r="E466" s="12">
        <f t="shared" si="156"/>
        <v>294</v>
      </c>
      <c r="F466" s="12">
        <f t="shared" si="157"/>
        <v>482</v>
      </c>
      <c r="G466" s="12">
        <f t="shared" si="158"/>
        <v>229</v>
      </c>
      <c r="H466" s="8">
        <f t="shared" si="159"/>
        <v>2631</v>
      </c>
      <c r="I466" s="8">
        <f t="shared" si="160"/>
        <v>2443</v>
      </c>
      <c r="J466" s="8">
        <f t="shared" si="161"/>
        <v>2696</v>
      </c>
      <c r="K466" s="8">
        <f t="shared" si="148"/>
        <v>4000</v>
      </c>
      <c r="L466" s="8">
        <f t="shared" si="149"/>
        <v>4000</v>
      </c>
      <c r="M466" s="8">
        <f t="shared" si="150"/>
        <v>4000</v>
      </c>
      <c r="N466" s="8">
        <f t="shared" si="165"/>
        <v>-1369</v>
      </c>
      <c r="O466" s="8">
        <f t="shared" si="166"/>
        <v>-1557</v>
      </c>
      <c r="P466" s="8">
        <f t="shared" si="167"/>
        <v>-1304</v>
      </c>
      <c r="Q466" s="12">
        <v>2</v>
      </c>
      <c r="R466" s="12">
        <v>10</v>
      </c>
      <c r="S466" s="12">
        <v>2</v>
      </c>
      <c r="T466" s="11">
        <f t="shared" si="162"/>
        <v>-2248</v>
      </c>
      <c r="U466" s="10">
        <f t="shared" si="152"/>
        <v>5241</v>
      </c>
      <c r="V466" s="10">
        <f t="shared" si="151"/>
        <v>5173</v>
      </c>
      <c r="W466" s="10">
        <f t="shared" si="153"/>
        <v>5376</v>
      </c>
      <c r="X466" s="9"/>
      <c r="Y466" s="8"/>
      <c r="Z466" s="8"/>
      <c r="AA466" s="8"/>
      <c r="AB466" s="8"/>
    </row>
    <row r="467" spans="1:28" ht="13.15" customHeight="1">
      <c r="A467" s="16">
        <f t="shared" si="155"/>
        <v>453</v>
      </c>
      <c r="B467" s="15">
        <f t="shared" si="163"/>
        <v>45734</v>
      </c>
      <c r="C467" s="14">
        <f t="shared" si="164"/>
        <v>844</v>
      </c>
      <c r="D467" s="13">
        <f t="shared" si="154"/>
        <v>2083</v>
      </c>
      <c r="E467" s="12">
        <f t="shared" si="156"/>
        <v>299</v>
      </c>
      <c r="F467" s="12">
        <f t="shared" si="157"/>
        <v>494</v>
      </c>
      <c r="G467" s="12">
        <f t="shared" si="158"/>
        <v>231</v>
      </c>
      <c r="H467" s="8">
        <f t="shared" si="159"/>
        <v>2628</v>
      </c>
      <c r="I467" s="8">
        <f t="shared" si="160"/>
        <v>2433</v>
      </c>
      <c r="J467" s="8">
        <f t="shared" si="161"/>
        <v>2696</v>
      </c>
      <c r="K467" s="8">
        <f t="shared" si="148"/>
        <v>4000</v>
      </c>
      <c r="L467" s="8">
        <f t="shared" si="149"/>
        <v>4000</v>
      </c>
      <c r="M467" s="8">
        <f t="shared" si="150"/>
        <v>4000</v>
      </c>
      <c r="N467" s="8">
        <f t="shared" si="165"/>
        <v>-1372</v>
      </c>
      <c r="O467" s="8">
        <f t="shared" si="166"/>
        <v>-1567</v>
      </c>
      <c r="P467" s="8">
        <f t="shared" si="167"/>
        <v>-1304</v>
      </c>
      <c r="Q467" s="12">
        <v>3</v>
      </c>
      <c r="R467" s="12">
        <v>10</v>
      </c>
      <c r="S467" s="12">
        <v>0</v>
      </c>
      <c r="T467" s="11">
        <f t="shared" si="162"/>
        <v>-2236</v>
      </c>
      <c r="U467" s="10">
        <f t="shared" si="152"/>
        <v>5238</v>
      </c>
      <c r="V467" s="10">
        <f t="shared" si="151"/>
        <v>5163</v>
      </c>
      <c r="W467" s="10">
        <f t="shared" si="153"/>
        <v>5376</v>
      </c>
      <c r="X467" s="9"/>
      <c r="Y467" s="8"/>
      <c r="Z467" s="8"/>
      <c r="AA467" s="8"/>
      <c r="AB467" s="8"/>
    </row>
    <row r="468" spans="1:28" ht="13.15" customHeight="1">
      <c r="A468" s="16">
        <f t="shared" si="155"/>
        <v>454</v>
      </c>
      <c r="B468" s="15">
        <f t="shared" si="163"/>
        <v>45735</v>
      </c>
      <c r="C468" s="14">
        <f t="shared" si="164"/>
        <v>844</v>
      </c>
      <c r="D468" s="13">
        <f t="shared" si="154"/>
        <v>2085</v>
      </c>
      <c r="E468" s="12">
        <f t="shared" si="156"/>
        <v>416</v>
      </c>
      <c r="F468" s="12">
        <f t="shared" si="157"/>
        <v>506</v>
      </c>
      <c r="G468" s="12">
        <f t="shared" si="158"/>
        <v>234</v>
      </c>
      <c r="H468" s="8">
        <f t="shared" si="159"/>
        <v>2513</v>
      </c>
      <c r="I468" s="8">
        <f t="shared" si="160"/>
        <v>2423</v>
      </c>
      <c r="J468" s="8">
        <f t="shared" si="161"/>
        <v>2695</v>
      </c>
      <c r="K468" s="8">
        <f t="shared" si="148"/>
        <v>4000</v>
      </c>
      <c r="L468" s="8">
        <f t="shared" si="149"/>
        <v>4000</v>
      </c>
      <c r="M468" s="8">
        <f t="shared" si="150"/>
        <v>4000</v>
      </c>
      <c r="N468" s="8">
        <f t="shared" si="165"/>
        <v>-1487</v>
      </c>
      <c r="O468" s="8">
        <f t="shared" si="166"/>
        <v>-1577</v>
      </c>
      <c r="P468" s="8">
        <f t="shared" si="167"/>
        <v>-1305</v>
      </c>
      <c r="Q468" s="12">
        <v>115</v>
      </c>
      <c r="R468" s="12">
        <v>10</v>
      </c>
      <c r="S468" s="12">
        <v>1</v>
      </c>
      <c r="T468" s="11">
        <f t="shared" si="162"/>
        <v>-2224</v>
      </c>
      <c r="U468" s="10">
        <f t="shared" si="152"/>
        <v>5123</v>
      </c>
      <c r="V468" s="10">
        <f t="shared" si="151"/>
        <v>5153</v>
      </c>
      <c r="W468" s="10">
        <f t="shared" si="153"/>
        <v>5375</v>
      </c>
      <c r="X468" s="9"/>
      <c r="Y468" s="8"/>
      <c r="Z468" s="8"/>
      <c r="AA468" s="8"/>
      <c r="AB468" s="8"/>
    </row>
    <row r="469" spans="1:28" ht="13.15" customHeight="1">
      <c r="A469" s="16">
        <f t="shared" si="155"/>
        <v>455</v>
      </c>
      <c r="B469" s="15">
        <f t="shared" si="163"/>
        <v>45736</v>
      </c>
      <c r="C469" s="14">
        <f t="shared" si="164"/>
        <v>844</v>
      </c>
      <c r="D469" s="13">
        <f t="shared" si="154"/>
        <v>2087</v>
      </c>
      <c r="E469" s="12">
        <f t="shared" si="156"/>
        <v>420</v>
      </c>
      <c r="F469" s="12">
        <f t="shared" si="157"/>
        <v>517</v>
      </c>
      <c r="G469" s="12">
        <f t="shared" si="158"/>
        <v>238</v>
      </c>
      <c r="H469" s="8">
        <f t="shared" si="159"/>
        <v>2511</v>
      </c>
      <c r="I469" s="8">
        <f t="shared" si="160"/>
        <v>2414</v>
      </c>
      <c r="J469" s="8">
        <f t="shared" si="161"/>
        <v>2693</v>
      </c>
      <c r="K469" s="8">
        <f t="shared" ref="K469:K479" si="168">K468</f>
        <v>4000</v>
      </c>
      <c r="L469" s="8">
        <f t="shared" ref="L469:L479" si="169">L468</f>
        <v>4000</v>
      </c>
      <c r="M469" s="8">
        <f t="shared" ref="M469:M479" si="170">M468</f>
        <v>4000</v>
      </c>
      <c r="N469" s="8">
        <f t="shared" si="165"/>
        <v>-1489</v>
      </c>
      <c r="O469" s="8">
        <f t="shared" si="166"/>
        <v>-1586</v>
      </c>
      <c r="P469" s="8">
        <f t="shared" si="167"/>
        <v>-1307</v>
      </c>
      <c r="Q469" s="256">
        <v>2</v>
      </c>
      <c r="R469" s="256">
        <v>9</v>
      </c>
      <c r="S469" s="256">
        <v>2</v>
      </c>
      <c r="T469" s="11">
        <f t="shared" si="162"/>
        <v>-2213</v>
      </c>
      <c r="U469" s="10">
        <f t="shared" si="152"/>
        <v>5121</v>
      </c>
      <c r="V469" s="10">
        <f t="shared" si="151"/>
        <v>5144</v>
      </c>
      <c r="W469" s="10">
        <f t="shared" si="153"/>
        <v>5373</v>
      </c>
      <c r="X469" s="9"/>
      <c r="Y469" s="8"/>
      <c r="Z469" s="8"/>
      <c r="AA469" s="8"/>
      <c r="AB469" s="8"/>
    </row>
    <row r="470" spans="1:28" s="19" customFormat="1" ht="13.15" customHeight="1">
      <c r="A470" s="28">
        <f t="shared" si="155"/>
        <v>456</v>
      </c>
      <c r="B470" s="27">
        <f t="shared" si="163"/>
        <v>45737</v>
      </c>
      <c r="C470" s="26">
        <f t="shared" si="164"/>
        <v>844</v>
      </c>
      <c r="D470" s="25">
        <f t="shared" si="154"/>
        <v>2089</v>
      </c>
      <c r="E470" s="24">
        <f t="shared" si="156"/>
        <v>423</v>
      </c>
      <c r="F470" s="24">
        <f t="shared" si="157"/>
        <v>529</v>
      </c>
      <c r="G470" s="24">
        <f t="shared" si="158"/>
        <v>242</v>
      </c>
      <c r="H470" s="21">
        <f t="shared" si="159"/>
        <v>2510</v>
      </c>
      <c r="I470" s="21">
        <f t="shared" si="160"/>
        <v>2404</v>
      </c>
      <c r="J470" s="21">
        <f t="shared" si="161"/>
        <v>2691</v>
      </c>
      <c r="K470" s="21">
        <f t="shared" si="168"/>
        <v>4000</v>
      </c>
      <c r="L470" s="21">
        <f t="shared" si="169"/>
        <v>4000</v>
      </c>
      <c r="M470" s="21">
        <f t="shared" si="170"/>
        <v>4000</v>
      </c>
      <c r="N470" s="21">
        <f t="shared" si="165"/>
        <v>-1490</v>
      </c>
      <c r="O470" s="21">
        <f t="shared" si="166"/>
        <v>-1596</v>
      </c>
      <c r="P470" s="21">
        <f t="shared" si="167"/>
        <v>-1309</v>
      </c>
      <c r="Q470" s="257">
        <v>1</v>
      </c>
      <c r="R470" s="257">
        <v>10</v>
      </c>
      <c r="S470" s="257">
        <v>2</v>
      </c>
      <c r="T470" s="23">
        <f t="shared" si="162"/>
        <v>-2501</v>
      </c>
      <c r="U470" s="22">
        <f t="shared" si="152"/>
        <v>5420</v>
      </c>
      <c r="V470" s="22">
        <f t="shared" si="151"/>
        <v>5434</v>
      </c>
      <c r="W470" s="22">
        <f t="shared" si="153"/>
        <v>5671</v>
      </c>
      <c r="X470" s="9">
        <v>0.3</v>
      </c>
      <c r="Y470" s="21"/>
      <c r="Z470" s="21"/>
      <c r="AA470" s="21"/>
      <c r="AB470" s="20" t="s">
        <v>0</v>
      </c>
    </row>
    <row r="471" spans="1:28" ht="13.15" customHeight="1">
      <c r="A471" s="16">
        <f t="shared" si="155"/>
        <v>457</v>
      </c>
      <c r="B471" s="17">
        <f>B470+3</f>
        <v>45740</v>
      </c>
      <c r="C471" s="14">
        <f t="shared" si="164"/>
        <v>844</v>
      </c>
      <c r="D471" s="13">
        <f t="shared" si="154"/>
        <v>2091</v>
      </c>
      <c r="E471" s="12">
        <f t="shared" si="156"/>
        <v>445</v>
      </c>
      <c r="F471" s="12">
        <f t="shared" si="157"/>
        <v>561</v>
      </c>
      <c r="G471" s="12">
        <f t="shared" si="158"/>
        <v>269</v>
      </c>
      <c r="H471" s="8">
        <f t="shared" si="159"/>
        <v>2490</v>
      </c>
      <c r="I471" s="8">
        <f t="shared" si="160"/>
        <v>2374</v>
      </c>
      <c r="J471" s="8">
        <f t="shared" si="161"/>
        <v>2666</v>
      </c>
      <c r="K471" s="8">
        <f t="shared" si="168"/>
        <v>4000</v>
      </c>
      <c r="L471" s="8">
        <f t="shared" si="169"/>
        <v>4000</v>
      </c>
      <c r="M471" s="8">
        <f t="shared" si="170"/>
        <v>4000</v>
      </c>
      <c r="N471" s="8">
        <f t="shared" si="165"/>
        <v>-1510</v>
      </c>
      <c r="O471" s="8">
        <f t="shared" si="166"/>
        <v>-1626</v>
      </c>
      <c r="P471" s="8">
        <f t="shared" si="167"/>
        <v>-1334</v>
      </c>
      <c r="Q471" s="255">
        <v>20</v>
      </c>
      <c r="R471" s="18">
        <v>30</v>
      </c>
      <c r="S471" s="255">
        <v>25</v>
      </c>
      <c r="T471" s="11">
        <f t="shared" si="162"/>
        <v>-2469</v>
      </c>
      <c r="U471" s="10">
        <f t="shared" si="152"/>
        <v>5400</v>
      </c>
      <c r="V471" s="10">
        <f t="shared" si="151"/>
        <v>5404</v>
      </c>
      <c r="W471" s="10">
        <f t="shared" si="153"/>
        <v>5646</v>
      </c>
      <c r="X471" s="9"/>
      <c r="Y471" s="8"/>
      <c r="Z471" s="8"/>
      <c r="AA471" s="8"/>
      <c r="AB471" s="182" t="s">
        <v>76</v>
      </c>
    </row>
    <row r="472" spans="1:28" ht="13.15" customHeight="1">
      <c r="A472" s="16">
        <f t="shared" si="155"/>
        <v>458</v>
      </c>
      <c r="B472" s="17">
        <f>B471+4</f>
        <v>45744</v>
      </c>
      <c r="C472" s="14">
        <f t="shared" si="164"/>
        <v>844</v>
      </c>
      <c r="D472" s="13">
        <f t="shared" si="154"/>
        <v>2093</v>
      </c>
      <c r="E472" s="12">
        <f t="shared" si="156"/>
        <v>474</v>
      </c>
      <c r="F472" s="12">
        <f t="shared" si="157"/>
        <v>603</v>
      </c>
      <c r="G472" s="12">
        <f t="shared" si="158"/>
        <v>306</v>
      </c>
      <c r="H472" s="8">
        <f t="shared" si="159"/>
        <v>2463</v>
      </c>
      <c r="I472" s="8">
        <f t="shared" si="160"/>
        <v>2334</v>
      </c>
      <c r="J472" s="8">
        <f t="shared" si="161"/>
        <v>2631</v>
      </c>
      <c r="K472" s="8">
        <f t="shared" si="168"/>
        <v>4000</v>
      </c>
      <c r="L472" s="8">
        <f t="shared" si="169"/>
        <v>4000</v>
      </c>
      <c r="M472" s="8">
        <f t="shared" si="170"/>
        <v>4000</v>
      </c>
      <c r="N472" s="8">
        <f t="shared" si="165"/>
        <v>-1537</v>
      </c>
      <c r="O472" s="8">
        <f t="shared" si="166"/>
        <v>-1666</v>
      </c>
      <c r="P472" s="8">
        <f t="shared" si="167"/>
        <v>-1369</v>
      </c>
      <c r="Q472" s="255">
        <v>27</v>
      </c>
      <c r="R472" s="18">
        <v>40</v>
      </c>
      <c r="S472" s="255">
        <v>35</v>
      </c>
      <c r="T472" s="11">
        <f t="shared" si="162"/>
        <v>-2427</v>
      </c>
      <c r="U472" s="10">
        <f t="shared" si="152"/>
        <v>5373</v>
      </c>
      <c r="V472" s="10">
        <f t="shared" si="151"/>
        <v>5364</v>
      </c>
      <c r="W472" s="10">
        <f t="shared" si="153"/>
        <v>5611</v>
      </c>
      <c r="X472" s="9"/>
      <c r="Y472" s="8"/>
      <c r="Z472" s="8"/>
      <c r="AA472" s="8"/>
      <c r="AB472" s="258"/>
    </row>
    <row r="473" spans="1:28" ht="13.15" customHeight="1">
      <c r="A473" s="16">
        <f t="shared" si="155"/>
        <v>459</v>
      </c>
      <c r="B473" s="17">
        <f>B472+3</f>
        <v>45747</v>
      </c>
      <c r="C473" s="14">
        <f t="shared" si="164"/>
        <v>844</v>
      </c>
      <c r="D473" s="13">
        <f t="shared" si="154"/>
        <v>2095</v>
      </c>
      <c r="E473" s="12">
        <f t="shared" si="156"/>
        <v>492</v>
      </c>
      <c r="F473" s="12">
        <f t="shared" si="157"/>
        <v>633</v>
      </c>
      <c r="G473" s="12">
        <f t="shared" si="158"/>
        <v>330</v>
      </c>
      <c r="H473" s="8">
        <f t="shared" si="159"/>
        <v>2447</v>
      </c>
      <c r="I473" s="8">
        <f t="shared" si="160"/>
        <v>2306</v>
      </c>
      <c r="J473" s="8">
        <f t="shared" si="161"/>
        <v>2609</v>
      </c>
      <c r="K473" s="8">
        <f t="shared" si="168"/>
        <v>4000</v>
      </c>
      <c r="L473" s="8">
        <f t="shared" si="169"/>
        <v>4000</v>
      </c>
      <c r="M473" s="8">
        <f t="shared" si="170"/>
        <v>4000</v>
      </c>
      <c r="N473" s="8">
        <f t="shared" si="165"/>
        <v>-1553</v>
      </c>
      <c r="O473" s="8">
        <f t="shared" si="166"/>
        <v>-1694</v>
      </c>
      <c r="P473" s="8">
        <f t="shared" si="167"/>
        <v>-1391</v>
      </c>
      <c r="Q473" s="255">
        <v>16</v>
      </c>
      <c r="R473" s="18">
        <v>28</v>
      </c>
      <c r="S473" s="255">
        <v>22</v>
      </c>
      <c r="T473" s="11">
        <f t="shared" si="162"/>
        <v>-2397</v>
      </c>
      <c r="U473" s="10">
        <f t="shared" si="152"/>
        <v>5357</v>
      </c>
      <c r="V473" s="10">
        <f t="shared" si="151"/>
        <v>5336</v>
      </c>
      <c r="W473" s="10">
        <f t="shared" si="153"/>
        <v>5589</v>
      </c>
      <c r="X473" s="9"/>
      <c r="Y473" s="8"/>
      <c r="Z473" s="8"/>
      <c r="AA473" s="8"/>
      <c r="AB473" s="258"/>
    </row>
    <row r="474" spans="1:28" ht="13.15" customHeight="1">
      <c r="A474" s="16">
        <f t="shared" si="155"/>
        <v>460</v>
      </c>
      <c r="B474" s="17">
        <f>B473+4</f>
        <v>45751</v>
      </c>
      <c r="C474" s="14">
        <f t="shared" si="164"/>
        <v>844</v>
      </c>
      <c r="D474" s="13">
        <f t="shared" si="154"/>
        <v>2097</v>
      </c>
      <c r="E474" s="12">
        <f t="shared" si="156"/>
        <v>519</v>
      </c>
      <c r="F474" s="12">
        <f t="shared" si="157"/>
        <v>674</v>
      </c>
      <c r="G474" s="12">
        <f t="shared" si="158"/>
        <v>362</v>
      </c>
      <c r="H474" s="8">
        <f t="shared" si="159"/>
        <v>2422</v>
      </c>
      <c r="I474" s="8">
        <f t="shared" si="160"/>
        <v>2267</v>
      </c>
      <c r="J474" s="8">
        <f t="shared" si="161"/>
        <v>2579</v>
      </c>
      <c r="K474" s="8">
        <f t="shared" si="168"/>
        <v>4000</v>
      </c>
      <c r="L474" s="8">
        <f t="shared" si="169"/>
        <v>4000</v>
      </c>
      <c r="M474" s="8">
        <f t="shared" si="170"/>
        <v>4000</v>
      </c>
      <c r="N474" s="8">
        <f t="shared" si="165"/>
        <v>-1578</v>
      </c>
      <c r="O474" s="8">
        <f t="shared" si="166"/>
        <v>-1733</v>
      </c>
      <c r="P474" s="8">
        <f t="shared" si="167"/>
        <v>-1421</v>
      </c>
      <c r="Q474" s="255">
        <v>25</v>
      </c>
      <c r="R474" s="18">
        <v>39</v>
      </c>
      <c r="S474" s="255">
        <v>30</v>
      </c>
      <c r="T474" s="11">
        <f t="shared" si="162"/>
        <v>-2356</v>
      </c>
      <c r="U474" s="10">
        <f t="shared" si="152"/>
        <v>5332</v>
      </c>
      <c r="V474" s="10">
        <f t="shared" ref="V474:V479" si="171">V473+$X474*1000-R474</f>
        <v>5297</v>
      </c>
      <c r="W474" s="10">
        <f t="shared" si="153"/>
        <v>5559</v>
      </c>
      <c r="X474" s="9"/>
      <c r="Y474" s="8"/>
      <c r="Z474" s="8"/>
      <c r="AA474" s="8"/>
      <c r="AB474" s="258"/>
    </row>
    <row r="475" spans="1:28" ht="13.15" customHeight="1">
      <c r="A475" s="16">
        <f t="shared" si="155"/>
        <v>461</v>
      </c>
      <c r="B475" s="17">
        <f>B474+3</f>
        <v>45754</v>
      </c>
      <c r="C475" s="14">
        <f t="shared" si="164"/>
        <v>844</v>
      </c>
      <c r="D475" s="13">
        <f t="shared" si="154"/>
        <v>2099</v>
      </c>
      <c r="E475" s="12">
        <f t="shared" si="156"/>
        <v>536</v>
      </c>
      <c r="F475" s="12">
        <f t="shared" si="157"/>
        <v>705</v>
      </c>
      <c r="G475" s="12">
        <f t="shared" si="158"/>
        <v>384</v>
      </c>
      <c r="H475" s="8">
        <f t="shared" si="159"/>
        <v>2407</v>
      </c>
      <c r="I475" s="8">
        <f t="shared" si="160"/>
        <v>2238</v>
      </c>
      <c r="J475" s="8">
        <f t="shared" si="161"/>
        <v>2559</v>
      </c>
      <c r="K475" s="8">
        <f t="shared" si="168"/>
        <v>4000</v>
      </c>
      <c r="L475" s="8">
        <f t="shared" si="169"/>
        <v>4000</v>
      </c>
      <c r="M475" s="8">
        <f t="shared" si="170"/>
        <v>4000</v>
      </c>
      <c r="N475" s="8">
        <f t="shared" si="165"/>
        <v>-1593</v>
      </c>
      <c r="O475" s="8">
        <f t="shared" si="166"/>
        <v>-1762</v>
      </c>
      <c r="P475" s="8">
        <f t="shared" si="167"/>
        <v>-1441</v>
      </c>
      <c r="Q475" s="255">
        <v>15</v>
      </c>
      <c r="R475" s="18">
        <v>29</v>
      </c>
      <c r="S475" s="255">
        <v>20</v>
      </c>
      <c r="T475" s="11">
        <f t="shared" si="162"/>
        <v>-2325</v>
      </c>
      <c r="U475" s="10">
        <f t="shared" si="152"/>
        <v>5317</v>
      </c>
      <c r="V475" s="10">
        <f t="shared" si="171"/>
        <v>5268</v>
      </c>
      <c r="W475" s="10">
        <f t="shared" si="153"/>
        <v>5539</v>
      </c>
      <c r="X475" s="9"/>
      <c r="Y475" s="8"/>
      <c r="Z475" s="8"/>
      <c r="AA475" s="8"/>
      <c r="AB475" s="258"/>
    </row>
    <row r="476" spans="1:28" ht="13.15" customHeight="1">
      <c r="A476" s="16">
        <f t="shared" si="155"/>
        <v>462</v>
      </c>
      <c r="B476" s="17">
        <f>B475+4</f>
        <v>45758</v>
      </c>
      <c r="C476" s="14">
        <f t="shared" si="164"/>
        <v>844</v>
      </c>
      <c r="D476" s="13">
        <f t="shared" si="154"/>
        <v>2101</v>
      </c>
      <c r="E476" s="12">
        <f t="shared" si="156"/>
        <v>562</v>
      </c>
      <c r="F476" s="12">
        <f t="shared" si="157"/>
        <v>743</v>
      </c>
      <c r="G476" s="12">
        <f t="shared" si="158"/>
        <v>414</v>
      </c>
      <c r="H476" s="8">
        <f t="shared" si="159"/>
        <v>2383</v>
      </c>
      <c r="I476" s="8">
        <f t="shared" si="160"/>
        <v>2202</v>
      </c>
      <c r="J476" s="8">
        <f t="shared" si="161"/>
        <v>2531</v>
      </c>
      <c r="K476" s="8">
        <f t="shared" si="168"/>
        <v>4000</v>
      </c>
      <c r="L476" s="8">
        <f t="shared" si="169"/>
        <v>4000</v>
      </c>
      <c r="M476" s="8">
        <f t="shared" si="170"/>
        <v>4000</v>
      </c>
      <c r="N476" s="8">
        <f t="shared" si="165"/>
        <v>-1617</v>
      </c>
      <c r="O476" s="8">
        <f t="shared" si="166"/>
        <v>-1798</v>
      </c>
      <c r="P476" s="8">
        <f t="shared" si="167"/>
        <v>-1469</v>
      </c>
      <c r="Q476" s="255">
        <v>24</v>
      </c>
      <c r="R476" s="18">
        <v>36</v>
      </c>
      <c r="S476" s="255">
        <v>28</v>
      </c>
      <c r="T476" s="11">
        <f t="shared" si="162"/>
        <v>-2287</v>
      </c>
      <c r="U476" s="10">
        <f t="shared" si="152"/>
        <v>5293</v>
      </c>
      <c r="V476" s="10">
        <f t="shared" si="171"/>
        <v>5232</v>
      </c>
      <c r="W476" s="10">
        <f t="shared" si="153"/>
        <v>5511</v>
      </c>
      <c r="X476" s="9"/>
      <c r="Y476" s="8"/>
      <c r="Z476" s="8"/>
      <c r="AA476" s="8"/>
      <c r="AB476" s="258"/>
    </row>
    <row r="477" spans="1:28" ht="13.15" customHeight="1">
      <c r="A477" s="16">
        <f t="shared" si="155"/>
        <v>463</v>
      </c>
      <c r="B477" s="17">
        <f>B476+3</f>
        <v>45761</v>
      </c>
      <c r="C477" s="14">
        <f t="shared" si="164"/>
        <v>844</v>
      </c>
      <c r="D477" s="13">
        <f t="shared" si="154"/>
        <v>2103</v>
      </c>
      <c r="E477" s="12">
        <f t="shared" si="156"/>
        <v>577</v>
      </c>
      <c r="F477" s="12">
        <f t="shared" si="157"/>
        <v>773</v>
      </c>
      <c r="G477" s="12">
        <f t="shared" si="158"/>
        <v>432</v>
      </c>
      <c r="H477" s="8">
        <f t="shared" si="159"/>
        <v>2370</v>
      </c>
      <c r="I477" s="8">
        <f t="shared" si="160"/>
        <v>2174</v>
      </c>
      <c r="J477" s="8">
        <f t="shared" si="161"/>
        <v>2515</v>
      </c>
      <c r="K477" s="8">
        <f t="shared" si="168"/>
        <v>4000</v>
      </c>
      <c r="L477" s="8">
        <f t="shared" si="169"/>
        <v>4000</v>
      </c>
      <c r="M477" s="8">
        <f t="shared" si="170"/>
        <v>4000</v>
      </c>
      <c r="N477" s="8">
        <f t="shared" si="165"/>
        <v>-1630</v>
      </c>
      <c r="O477" s="8">
        <f t="shared" si="166"/>
        <v>-1826</v>
      </c>
      <c r="P477" s="8">
        <f t="shared" si="167"/>
        <v>-1485</v>
      </c>
      <c r="Q477" s="255">
        <v>13</v>
      </c>
      <c r="R477" s="18">
        <v>28</v>
      </c>
      <c r="S477" s="255">
        <v>16</v>
      </c>
      <c r="T477" s="11">
        <f t="shared" si="162"/>
        <v>-2257</v>
      </c>
      <c r="U477" s="10">
        <f t="shared" si="152"/>
        <v>5280</v>
      </c>
      <c r="V477" s="10">
        <f t="shared" si="171"/>
        <v>5204</v>
      </c>
      <c r="W477" s="10">
        <f t="shared" si="153"/>
        <v>5495</v>
      </c>
      <c r="X477" s="9"/>
      <c r="Y477" s="8"/>
      <c r="Z477" s="8"/>
      <c r="AA477" s="8"/>
      <c r="AB477" s="258"/>
    </row>
    <row r="478" spans="1:28" ht="13.15" customHeight="1">
      <c r="A478" s="16">
        <f t="shared" si="155"/>
        <v>464</v>
      </c>
      <c r="B478" s="17">
        <f>B477+4</f>
        <v>45765</v>
      </c>
      <c r="C478" s="14">
        <f t="shared" si="164"/>
        <v>844</v>
      </c>
      <c r="D478" s="13">
        <f t="shared" si="154"/>
        <v>2105</v>
      </c>
      <c r="E478" s="12">
        <f t="shared" si="156"/>
        <v>601</v>
      </c>
      <c r="F478" s="12">
        <f t="shared" si="157"/>
        <v>810</v>
      </c>
      <c r="G478" s="12">
        <f t="shared" si="158"/>
        <v>459</v>
      </c>
      <c r="H478" s="8">
        <f t="shared" si="159"/>
        <v>2348</v>
      </c>
      <c r="I478" s="8">
        <f t="shared" si="160"/>
        <v>2139</v>
      </c>
      <c r="J478" s="8">
        <f t="shared" si="161"/>
        <v>2490</v>
      </c>
      <c r="K478" s="8">
        <f t="shared" si="168"/>
        <v>4000</v>
      </c>
      <c r="L478" s="8">
        <f t="shared" si="169"/>
        <v>4000</v>
      </c>
      <c r="M478" s="8">
        <f t="shared" si="170"/>
        <v>4000</v>
      </c>
      <c r="N478" s="8">
        <f t="shared" si="165"/>
        <v>-1652</v>
      </c>
      <c r="O478" s="8">
        <f t="shared" si="166"/>
        <v>-1861</v>
      </c>
      <c r="P478" s="8">
        <f t="shared" si="167"/>
        <v>-1510</v>
      </c>
      <c r="Q478" s="255">
        <v>22</v>
      </c>
      <c r="R478" s="18">
        <v>35</v>
      </c>
      <c r="S478" s="255">
        <v>25</v>
      </c>
      <c r="T478" s="11">
        <f t="shared" si="162"/>
        <v>-2220</v>
      </c>
      <c r="U478" s="10">
        <f t="shared" si="152"/>
        <v>5258</v>
      </c>
      <c r="V478" s="10">
        <f t="shared" si="171"/>
        <v>5169</v>
      </c>
      <c r="W478" s="10">
        <f t="shared" si="153"/>
        <v>5470</v>
      </c>
      <c r="X478" s="9"/>
      <c r="Y478" s="8"/>
      <c r="Z478" s="8"/>
      <c r="AA478" s="8"/>
      <c r="AB478" s="258"/>
    </row>
    <row r="479" spans="1:28" ht="13.15" customHeight="1">
      <c r="A479" s="16">
        <f t="shared" si="155"/>
        <v>465</v>
      </c>
      <c r="B479" s="17">
        <f>B478+7</f>
        <v>45772</v>
      </c>
      <c r="C479" s="14">
        <f t="shared" si="164"/>
        <v>844</v>
      </c>
      <c r="D479" s="13">
        <f t="shared" si="154"/>
        <v>2107</v>
      </c>
      <c r="E479" s="12">
        <f t="shared" si="156"/>
        <v>630</v>
      </c>
      <c r="F479" s="12">
        <f t="shared" si="157"/>
        <v>852</v>
      </c>
      <c r="G479" s="12">
        <f t="shared" si="158"/>
        <v>496</v>
      </c>
      <c r="H479" s="8">
        <f t="shared" si="159"/>
        <v>2321</v>
      </c>
      <c r="I479" s="8">
        <f t="shared" si="160"/>
        <v>2099</v>
      </c>
      <c r="J479" s="8">
        <f t="shared" si="161"/>
        <v>2455</v>
      </c>
      <c r="K479" s="8">
        <f t="shared" si="168"/>
        <v>4000</v>
      </c>
      <c r="L479" s="8">
        <f t="shared" si="169"/>
        <v>4000</v>
      </c>
      <c r="M479" s="8">
        <f t="shared" si="170"/>
        <v>4000</v>
      </c>
      <c r="N479" s="8">
        <f t="shared" si="165"/>
        <v>-1679</v>
      </c>
      <c r="O479" s="8">
        <f t="shared" si="166"/>
        <v>-1901</v>
      </c>
      <c r="P479" s="8">
        <f t="shared" si="167"/>
        <v>-1545</v>
      </c>
      <c r="Q479" s="255">
        <v>27</v>
      </c>
      <c r="R479" s="18">
        <v>40</v>
      </c>
      <c r="S479" s="255">
        <v>35</v>
      </c>
      <c r="T479" s="11">
        <f t="shared" si="162"/>
        <v>-2178</v>
      </c>
      <c r="U479" s="10">
        <f t="shared" si="152"/>
        <v>5231</v>
      </c>
      <c r="V479" s="10">
        <f t="shared" si="171"/>
        <v>5129</v>
      </c>
      <c r="W479" s="10">
        <f t="shared" si="153"/>
        <v>5435</v>
      </c>
      <c r="X479" s="9"/>
      <c r="Y479" s="8"/>
      <c r="Z479" s="8"/>
      <c r="AA479" s="8"/>
      <c r="AB479" s="258"/>
    </row>
    <row r="480" spans="1:28" ht="13.15" customHeight="1">
      <c r="A480" s="16">
        <f t="shared" si="155"/>
        <v>466</v>
      </c>
      <c r="B480" s="17">
        <f>B479+7</f>
        <v>45779</v>
      </c>
      <c r="C480" s="14">
        <f t="shared" ref="C480:C492" si="172">C479</f>
        <v>844</v>
      </c>
      <c r="D480" s="13">
        <f t="shared" ref="D480:D492" si="173">D479+2</f>
        <v>2109</v>
      </c>
      <c r="E480" s="12">
        <f t="shared" ref="E480:E490" si="174">C480+D480-H480</f>
        <v>652</v>
      </c>
      <c r="F480" s="12">
        <f t="shared" ref="F480:F490" si="175">C480+D480-I480</f>
        <v>892</v>
      </c>
      <c r="G480" s="12">
        <f t="shared" ref="G480:G490" si="176">D480+C480-J480</f>
        <v>533</v>
      </c>
      <c r="H480" s="8">
        <f t="shared" ref="H480:H490" si="177">K480+N480</f>
        <v>2301</v>
      </c>
      <c r="I480" s="8">
        <f t="shared" ref="I480:I490" si="178">L480+O480</f>
        <v>2061</v>
      </c>
      <c r="J480" s="8">
        <f t="shared" ref="J480:J490" si="179">M480+P480</f>
        <v>2420</v>
      </c>
      <c r="K480" s="8">
        <f t="shared" ref="K480:K492" si="180">K479</f>
        <v>4000</v>
      </c>
      <c r="L480" s="8">
        <f t="shared" ref="L480:L492" si="181">L479</f>
        <v>4000</v>
      </c>
      <c r="M480" s="8">
        <f t="shared" ref="M480:M492" si="182">M479</f>
        <v>4000</v>
      </c>
      <c r="N480" s="8">
        <f t="shared" si="165"/>
        <v>-1699</v>
      </c>
      <c r="O480" s="8">
        <f t="shared" si="166"/>
        <v>-1939</v>
      </c>
      <c r="P480" s="8">
        <f t="shared" si="167"/>
        <v>-1580</v>
      </c>
      <c r="Q480" s="255">
        <v>20</v>
      </c>
      <c r="R480" s="18">
        <v>38</v>
      </c>
      <c r="S480" s="255">
        <v>35</v>
      </c>
      <c r="T480" s="11">
        <f t="shared" si="162"/>
        <v>-2138</v>
      </c>
      <c r="U480" s="10">
        <f t="shared" ref="U480:U490" si="183">U479+$X480*1000-Q480</f>
        <v>5211</v>
      </c>
      <c r="V480" s="10">
        <f t="shared" ref="V480:V490" si="184">V479+$X480*1000-R480</f>
        <v>5091</v>
      </c>
      <c r="W480" s="10">
        <f t="shared" ref="W480:W490" si="185">W479+$X480*1000-S480</f>
        <v>5400</v>
      </c>
      <c r="X480" s="9"/>
      <c r="Y480" s="8"/>
      <c r="Z480" s="8"/>
      <c r="AA480" s="8"/>
      <c r="AB480" s="258"/>
    </row>
    <row r="481" spans="1:28" ht="13.15" customHeight="1">
      <c r="A481" s="16">
        <f t="shared" si="155"/>
        <v>467</v>
      </c>
      <c r="B481" s="17">
        <f>B480+7</f>
        <v>45786</v>
      </c>
      <c r="C481" s="14">
        <f t="shared" si="172"/>
        <v>844</v>
      </c>
      <c r="D481" s="13">
        <f t="shared" si="173"/>
        <v>2111</v>
      </c>
      <c r="E481" s="12">
        <f t="shared" si="174"/>
        <v>672</v>
      </c>
      <c r="F481" s="12">
        <f t="shared" si="175"/>
        <v>930</v>
      </c>
      <c r="G481" s="12">
        <f t="shared" si="176"/>
        <v>565</v>
      </c>
      <c r="H481" s="8">
        <f t="shared" si="177"/>
        <v>2283</v>
      </c>
      <c r="I481" s="8">
        <f t="shared" si="178"/>
        <v>2025</v>
      </c>
      <c r="J481" s="8">
        <f t="shared" si="179"/>
        <v>2390</v>
      </c>
      <c r="K481" s="8">
        <f t="shared" si="180"/>
        <v>4000</v>
      </c>
      <c r="L481" s="8">
        <f t="shared" si="181"/>
        <v>4000</v>
      </c>
      <c r="M481" s="8">
        <f t="shared" si="182"/>
        <v>4000</v>
      </c>
      <c r="N481" s="8">
        <f t="shared" si="165"/>
        <v>-1717</v>
      </c>
      <c r="O481" s="8">
        <f t="shared" si="166"/>
        <v>-1975</v>
      </c>
      <c r="P481" s="8">
        <f t="shared" si="167"/>
        <v>-1610</v>
      </c>
      <c r="Q481" s="255">
        <v>18</v>
      </c>
      <c r="R481" s="18">
        <v>36</v>
      </c>
      <c r="S481" s="255">
        <v>30</v>
      </c>
      <c r="T481" s="11">
        <f t="shared" si="162"/>
        <v>-2100</v>
      </c>
      <c r="U481" s="10">
        <f t="shared" si="183"/>
        <v>5193</v>
      </c>
      <c r="V481" s="10">
        <f t="shared" si="184"/>
        <v>5055</v>
      </c>
      <c r="W481" s="10">
        <f t="shared" si="185"/>
        <v>5370</v>
      </c>
      <c r="X481" s="9"/>
      <c r="Y481" s="8"/>
      <c r="Z481" s="8"/>
      <c r="AA481" s="8"/>
      <c r="AB481" s="258"/>
    </row>
    <row r="482" spans="1:28" ht="13.15" customHeight="1">
      <c r="A482" s="16">
        <f t="shared" si="155"/>
        <v>468</v>
      </c>
      <c r="B482" s="17">
        <f>B481+7</f>
        <v>45793</v>
      </c>
      <c r="C482" s="14">
        <f t="shared" si="172"/>
        <v>844</v>
      </c>
      <c r="D482" s="13">
        <f t="shared" si="173"/>
        <v>2113</v>
      </c>
      <c r="E482" s="12">
        <f t="shared" si="174"/>
        <v>688</v>
      </c>
      <c r="F482" s="12">
        <f t="shared" si="175"/>
        <v>965</v>
      </c>
      <c r="G482" s="12">
        <f t="shared" si="176"/>
        <v>589</v>
      </c>
      <c r="H482" s="8">
        <f t="shared" si="177"/>
        <v>2269</v>
      </c>
      <c r="I482" s="8">
        <f t="shared" si="178"/>
        <v>1992</v>
      </c>
      <c r="J482" s="8">
        <f t="shared" si="179"/>
        <v>2368</v>
      </c>
      <c r="K482" s="8">
        <f t="shared" si="180"/>
        <v>4000</v>
      </c>
      <c r="L482" s="8">
        <f t="shared" si="181"/>
        <v>4000</v>
      </c>
      <c r="M482" s="8">
        <f t="shared" si="182"/>
        <v>4000</v>
      </c>
      <c r="N482" s="8">
        <f t="shared" si="165"/>
        <v>-1731</v>
      </c>
      <c r="O482" s="8">
        <f t="shared" si="166"/>
        <v>-2008</v>
      </c>
      <c r="P482" s="8">
        <f t="shared" si="167"/>
        <v>-1632</v>
      </c>
      <c r="Q482" s="255">
        <v>14</v>
      </c>
      <c r="R482" s="18">
        <v>33</v>
      </c>
      <c r="S482" s="255">
        <v>22</v>
      </c>
      <c r="T482" s="11">
        <f t="shared" si="162"/>
        <v>-2065</v>
      </c>
      <c r="U482" s="10">
        <f t="shared" si="183"/>
        <v>5179</v>
      </c>
      <c r="V482" s="10">
        <f t="shared" si="184"/>
        <v>5022</v>
      </c>
      <c r="W482" s="10">
        <f t="shared" si="185"/>
        <v>5348</v>
      </c>
      <c r="X482" s="9"/>
      <c r="Y482" s="8"/>
      <c r="Z482" s="8"/>
      <c r="AA482" s="8"/>
      <c r="AB482" s="258"/>
    </row>
    <row r="483" spans="1:28" ht="13.15" customHeight="1">
      <c r="A483" s="16">
        <f t="shared" si="155"/>
        <v>469</v>
      </c>
      <c r="B483" s="17">
        <f t="shared" ref="B483:B485" si="186">B482+7</f>
        <v>45800</v>
      </c>
      <c r="C483" s="14">
        <f t="shared" si="172"/>
        <v>844</v>
      </c>
      <c r="D483" s="13">
        <f t="shared" si="173"/>
        <v>2115</v>
      </c>
      <c r="E483" s="12">
        <f t="shared" si="174"/>
        <v>702</v>
      </c>
      <c r="F483" s="12">
        <f t="shared" si="175"/>
        <v>1001</v>
      </c>
      <c r="G483" s="12">
        <f t="shared" si="176"/>
        <v>609</v>
      </c>
      <c r="H483" s="8">
        <f t="shared" si="177"/>
        <v>2257</v>
      </c>
      <c r="I483" s="8">
        <f t="shared" si="178"/>
        <v>1958</v>
      </c>
      <c r="J483" s="8">
        <f t="shared" si="179"/>
        <v>2350</v>
      </c>
      <c r="K483" s="8">
        <f t="shared" si="180"/>
        <v>4000</v>
      </c>
      <c r="L483" s="8">
        <f t="shared" si="181"/>
        <v>4000</v>
      </c>
      <c r="M483" s="8">
        <f t="shared" si="182"/>
        <v>4000</v>
      </c>
      <c r="N483" s="8">
        <f t="shared" ref="N483:N490" si="187">N482-Q483</f>
        <v>-1743</v>
      </c>
      <c r="O483" s="8">
        <f t="shared" ref="O483:O490" si="188">O482-R483</f>
        <v>-2042</v>
      </c>
      <c r="P483" s="8">
        <f t="shared" ref="P483:P490" si="189">P482-S483</f>
        <v>-1650</v>
      </c>
      <c r="Q483" s="255">
        <v>12</v>
      </c>
      <c r="R483" s="18">
        <v>34</v>
      </c>
      <c r="S483" s="255">
        <v>18</v>
      </c>
      <c r="T483" s="11">
        <f t="shared" si="162"/>
        <v>-2029</v>
      </c>
      <c r="U483" s="10">
        <f t="shared" si="183"/>
        <v>5167</v>
      </c>
      <c r="V483" s="10">
        <f t="shared" si="184"/>
        <v>4988</v>
      </c>
      <c r="W483" s="10">
        <f t="shared" si="185"/>
        <v>5330</v>
      </c>
      <c r="X483" s="9"/>
      <c r="Y483" s="8"/>
      <c r="Z483" s="8"/>
      <c r="AA483" s="8"/>
      <c r="AB483" s="258"/>
    </row>
    <row r="484" spans="1:28" ht="13.15" customHeight="1">
      <c r="A484" s="16">
        <f t="shared" si="155"/>
        <v>470</v>
      </c>
      <c r="B484" s="17">
        <f t="shared" si="186"/>
        <v>45807</v>
      </c>
      <c r="C484" s="14">
        <f t="shared" si="172"/>
        <v>844</v>
      </c>
      <c r="D484" s="13">
        <f t="shared" si="173"/>
        <v>2117</v>
      </c>
      <c r="E484" s="12">
        <f t="shared" si="174"/>
        <v>716</v>
      </c>
      <c r="F484" s="12">
        <f t="shared" si="175"/>
        <v>1033</v>
      </c>
      <c r="G484" s="12">
        <f t="shared" si="176"/>
        <v>625</v>
      </c>
      <c r="H484" s="8">
        <f t="shared" si="177"/>
        <v>2245</v>
      </c>
      <c r="I484" s="8">
        <f t="shared" si="178"/>
        <v>1928</v>
      </c>
      <c r="J484" s="8">
        <f t="shared" si="179"/>
        <v>2336</v>
      </c>
      <c r="K484" s="8">
        <f t="shared" si="180"/>
        <v>4000</v>
      </c>
      <c r="L484" s="8">
        <f t="shared" si="181"/>
        <v>4000</v>
      </c>
      <c r="M484" s="8">
        <f t="shared" si="182"/>
        <v>4000</v>
      </c>
      <c r="N484" s="8">
        <f t="shared" si="187"/>
        <v>-1755</v>
      </c>
      <c r="O484" s="8">
        <f t="shared" si="188"/>
        <v>-2072</v>
      </c>
      <c r="P484" s="8">
        <f t="shared" si="189"/>
        <v>-1664</v>
      </c>
      <c r="Q484" s="255">
        <v>12</v>
      </c>
      <c r="R484" s="18">
        <v>30</v>
      </c>
      <c r="S484" s="255">
        <v>14</v>
      </c>
      <c r="T484" s="11">
        <f t="shared" si="162"/>
        <v>-1997</v>
      </c>
      <c r="U484" s="10">
        <f t="shared" si="183"/>
        <v>5155</v>
      </c>
      <c r="V484" s="10">
        <f t="shared" si="184"/>
        <v>4958</v>
      </c>
      <c r="W484" s="10">
        <f t="shared" si="185"/>
        <v>5316</v>
      </c>
      <c r="X484" s="9"/>
      <c r="Y484" s="8"/>
      <c r="Z484" s="8"/>
      <c r="AA484" s="8"/>
      <c r="AB484" s="258"/>
    </row>
    <row r="485" spans="1:28" ht="13.15" customHeight="1">
      <c r="A485" s="16">
        <f t="shared" si="155"/>
        <v>471</v>
      </c>
      <c r="B485" s="17">
        <f t="shared" si="186"/>
        <v>45814</v>
      </c>
      <c r="C485" s="14">
        <f t="shared" si="172"/>
        <v>844</v>
      </c>
      <c r="D485" s="13">
        <f t="shared" si="173"/>
        <v>2119</v>
      </c>
      <c r="E485" s="12">
        <f t="shared" si="174"/>
        <v>730</v>
      </c>
      <c r="F485" s="12">
        <f t="shared" si="175"/>
        <v>1063</v>
      </c>
      <c r="G485" s="12">
        <f t="shared" si="176"/>
        <v>639</v>
      </c>
      <c r="H485" s="8">
        <f t="shared" si="177"/>
        <v>2233</v>
      </c>
      <c r="I485" s="8">
        <f t="shared" si="178"/>
        <v>1900</v>
      </c>
      <c r="J485" s="8">
        <f t="shared" si="179"/>
        <v>2324</v>
      </c>
      <c r="K485" s="8">
        <f t="shared" si="180"/>
        <v>4000</v>
      </c>
      <c r="L485" s="8">
        <f t="shared" si="181"/>
        <v>4000</v>
      </c>
      <c r="M485" s="8">
        <f t="shared" si="182"/>
        <v>4000</v>
      </c>
      <c r="N485" s="8">
        <f t="shared" si="187"/>
        <v>-1767</v>
      </c>
      <c r="O485" s="8">
        <f t="shared" si="188"/>
        <v>-2100</v>
      </c>
      <c r="P485" s="8">
        <f t="shared" si="189"/>
        <v>-1676</v>
      </c>
      <c r="Q485" s="255">
        <v>12</v>
      </c>
      <c r="R485" s="18">
        <v>28</v>
      </c>
      <c r="S485" s="255">
        <v>12</v>
      </c>
      <c r="T485" s="11">
        <f t="shared" si="162"/>
        <v>-1967</v>
      </c>
      <c r="U485" s="10">
        <f t="shared" si="183"/>
        <v>5143</v>
      </c>
      <c r="V485" s="10">
        <f t="shared" si="184"/>
        <v>4930</v>
      </c>
      <c r="W485" s="10">
        <f t="shared" si="185"/>
        <v>5304</v>
      </c>
      <c r="X485" s="9"/>
      <c r="Y485" s="8"/>
      <c r="Z485" s="8"/>
      <c r="AA485" s="8"/>
      <c r="AB485" s="258"/>
    </row>
    <row r="486" spans="1:28" ht="13.15" customHeight="1">
      <c r="A486" s="16">
        <f t="shared" si="155"/>
        <v>472</v>
      </c>
      <c r="B486" s="17">
        <f>B485+7</f>
        <v>45821</v>
      </c>
      <c r="C486" s="14">
        <f t="shared" si="172"/>
        <v>844</v>
      </c>
      <c r="D486" s="13">
        <f t="shared" si="173"/>
        <v>2121</v>
      </c>
      <c r="E486" s="12">
        <f t="shared" si="174"/>
        <v>746</v>
      </c>
      <c r="F486" s="12">
        <f t="shared" si="175"/>
        <v>1092</v>
      </c>
      <c r="G486" s="12">
        <f t="shared" si="176"/>
        <v>653</v>
      </c>
      <c r="H486" s="8">
        <f t="shared" si="177"/>
        <v>2219</v>
      </c>
      <c r="I486" s="8">
        <f t="shared" si="178"/>
        <v>1873</v>
      </c>
      <c r="J486" s="8">
        <f t="shared" si="179"/>
        <v>2312</v>
      </c>
      <c r="K486" s="8">
        <f t="shared" si="180"/>
        <v>4000</v>
      </c>
      <c r="L486" s="8">
        <f t="shared" si="181"/>
        <v>4000</v>
      </c>
      <c r="M486" s="8">
        <f t="shared" si="182"/>
        <v>4000</v>
      </c>
      <c r="N486" s="8">
        <f t="shared" si="187"/>
        <v>-1781</v>
      </c>
      <c r="O486" s="8">
        <f t="shared" si="188"/>
        <v>-2127</v>
      </c>
      <c r="P486" s="8">
        <f t="shared" si="189"/>
        <v>-1688</v>
      </c>
      <c r="Q486" s="255">
        <v>14</v>
      </c>
      <c r="R486" s="18">
        <v>27</v>
      </c>
      <c r="S486" s="255">
        <v>12</v>
      </c>
      <c r="T486" s="11">
        <f t="shared" si="162"/>
        <v>-1938</v>
      </c>
      <c r="U486" s="10">
        <f t="shared" si="183"/>
        <v>5129</v>
      </c>
      <c r="V486" s="10">
        <f t="shared" si="184"/>
        <v>4903</v>
      </c>
      <c r="W486" s="10">
        <f t="shared" si="185"/>
        <v>5292</v>
      </c>
      <c r="X486" s="9"/>
      <c r="Y486" s="8"/>
      <c r="Z486" s="8"/>
      <c r="AA486" s="8"/>
      <c r="AB486" s="258"/>
    </row>
    <row r="487" spans="1:28" ht="13.15" customHeight="1">
      <c r="A487" s="16">
        <f t="shared" si="155"/>
        <v>473</v>
      </c>
      <c r="B487" s="17">
        <f>B486+7</f>
        <v>45828</v>
      </c>
      <c r="C487" s="14">
        <f t="shared" si="172"/>
        <v>844</v>
      </c>
      <c r="D487" s="13">
        <f t="shared" si="173"/>
        <v>2123</v>
      </c>
      <c r="E487" s="12">
        <f t="shared" si="174"/>
        <v>760</v>
      </c>
      <c r="F487" s="12">
        <f t="shared" si="175"/>
        <v>1118</v>
      </c>
      <c r="G487" s="12">
        <f t="shared" si="176"/>
        <v>666</v>
      </c>
      <c r="H487" s="8">
        <f t="shared" si="177"/>
        <v>2207</v>
      </c>
      <c r="I487" s="8">
        <f t="shared" si="178"/>
        <v>1849</v>
      </c>
      <c r="J487" s="8">
        <f t="shared" si="179"/>
        <v>2301</v>
      </c>
      <c r="K487" s="8">
        <f t="shared" si="180"/>
        <v>4000</v>
      </c>
      <c r="L487" s="8">
        <f t="shared" si="181"/>
        <v>4000</v>
      </c>
      <c r="M487" s="8">
        <f t="shared" si="182"/>
        <v>4000</v>
      </c>
      <c r="N487" s="8">
        <f t="shared" si="187"/>
        <v>-1793</v>
      </c>
      <c r="O487" s="8">
        <f t="shared" si="188"/>
        <v>-2151</v>
      </c>
      <c r="P487" s="8">
        <f t="shared" si="189"/>
        <v>-1699</v>
      </c>
      <c r="Q487" s="255">
        <v>12</v>
      </c>
      <c r="R487" s="18">
        <v>24</v>
      </c>
      <c r="S487" s="255">
        <v>11</v>
      </c>
      <c r="T487" s="11">
        <f t="shared" si="162"/>
        <v>-1912</v>
      </c>
      <c r="U487" s="10">
        <f t="shared" si="183"/>
        <v>5117</v>
      </c>
      <c r="V487" s="10">
        <f t="shared" si="184"/>
        <v>4879</v>
      </c>
      <c r="W487" s="10">
        <f t="shared" si="185"/>
        <v>5281</v>
      </c>
      <c r="X487" s="9"/>
      <c r="Y487" s="8"/>
      <c r="Z487" s="8"/>
      <c r="AA487" s="8"/>
      <c r="AB487" s="258"/>
    </row>
    <row r="488" spans="1:28" ht="13.15" customHeight="1">
      <c r="A488" s="16">
        <f t="shared" si="155"/>
        <v>474</v>
      </c>
      <c r="B488" s="17">
        <f t="shared" ref="B488:B489" si="190">B487+7</f>
        <v>45835</v>
      </c>
      <c r="C488" s="14">
        <f t="shared" si="172"/>
        <v>844</v>
      </c>
      <c r="D488" s="13">
        <f t="shared" si="173"/>
        <v>2125</v>
      </c>
      <c r="E488" s="12">
        <f t="shared" si="174"/>
        <v>774</v>
      </c>
      <c r="F488" s="12">
        <f t="shared" si="175"/>
        <v>1145</v>
      </c>
      <c r="G488" s="12">
        <f t="shared" si="176"/>
        <v>680</v>
      </c>
      <c r="H488" s="8">
        <f t="shared" si="177"/>
        <v>2195</v>
      </c>
      <c r="I488" s="8">
        <f t="shared" si="178"/>
        <v>1824</v>
      </c>
      <c r="J488" s="8">
        <f t="shared" si="179"/>
        <v>2289</v>
      </c>
      <c r="K488" s="8">
        <f t="shared" si="180"/>
        <v>4000</v>
      </c>
      <c r="L488" s="8">
        <f t="shared" si="181"/>
        <v>4000</v>
      </c>
      <c r="M488" s="8">
        <f t="shared" si="182"/>
        <v>4000</v>
      </c>
      <c r="N488" s="8">
        <f t="shared" si="187"/>
        <v>-1805</v>
      </c>
      <c r="O488" s="8">
        <f t="shared" si="188"/>
        <v>-2176</v>
      </c>
      <c r="P488" s="8">
        <f t="shared" si="189"/>
        <v>-1711</v>
      </c>
      <c r="Q488" s="255">
        <v>12</v>
      </c>
      <c r="R488" s="18">
        <v>25</v>
      </c>
      <c r="S488" s="18">
        <v>12</v>
      </c>
      <c r="T488" s="11">
        <f t="shared" si="162"/>
        <v>-1885</v>
      </c>
      <c r="U488" s="10">
        <f t="shared" si="183"/>
        <v>5105</v>
      </c>
      <c r="V488" s="10">
        <f t="shared" si="184"/>
        <v>4854</v>
      </c>
      <c r="W488" s="10">
        <f t="shared" si="185"/>
        <v>5269</v>
      </c>
      <c r="X488" s="9"/>
      <c r="Y488" s="8"/>
      <c r="Z488" s="8"/>
      <c r="AA488" s="8"/>
      <c r="AB488" s="258"/>
    </row>
    <row r="489" spans="1:28" ht="13.15" customHeight="1">
      <c r="A489" s="16">
        <f t="shared" si="155"/>
        <v>475</v>
      </c>
      <c r="B489" s="17">
        <f t="shared" si="190"/>
        <v>45842</v>
      </c>
      <c r="C489" s="14">
        <f t="shared" si="172"/>
        <v>844</v>
      </c>
      <c r="D489" s="13">
        <f t="shared" si="173"/>
        <v>2127</v>
      </c>
      <c r="E489" s="12">
        <f t="shared" si="174"/>
        <v>787</v>
      </c>
      <c r="F489" s="12">
        <f t="shared" si="175"/>
        <v>1171</v>
      </c>
      <c r="G489" s="12">
        <f t="shared" si="176"/>
        <v>693</v>
      </c>
      <c r="H489" s="8">
        <f t="shared" si="177"/>
        <v>2184</v>
      </c>
      <c r="I489" s="8">
        <f t="shared" si="178"/>
        <v>1800</v>
      </c>
      <c r="J489" s="8">
        <f t="shared" si="179"/>
        <v>2278</v>
      </c>
      <c r="K489" s="8">
        <f t="shared" si="180"/>
        <v>4000</v>
      </c>
      <c r="L489" s="8">
        <f t="shared" si="181"/>
        <v>4000</v>
      </c>
      <c r="M489" s="8">
        <f t="shared" si="182"/>
        <v>4000</v>
      </c>
      <c r="N489" s="8">
        <f t="shared" si="187"/>
        <v>-1816</v>
      </c>
      <c r="O489" s="8">
        <f t="shared" si="188"/>
        <v>-2200</v>
      </c>
      <c r="P489" s="8">
        <f t="shared" si="189"/>
        <v>-1722</v>
      </c>
      <c r="Q489" s="255">
        <v>11</v>
      </c>
      <c r="R489" s="18">
        <v>24</v>
      </c>
      <c r="S489" s="18">
        <v>11</v>
      </c>
      <c r="T489" s="11">
        <f t="shared" si="162"/>
        <v>-1859</v>
      </c>
      <c r="U489" s="10">
        <f t="shared" si="183"/>
        <v>5094</v>
      </c>
      <c r="V489" s="10">
        <f t="shared" si="184"/>
        <v>4830</v>
      </c>
      <c r="W489" s="10">
        <f t="shared" si="185"/>
        <v>5258</v>
      </c>
      <c r="X489" s="9"/>
      <c r="Y489" s="8"/>
      <c r="Z489" s="8"/>
      <c r="AA489" s="8"/>
      <c r="AB489" s="258"/>
    </row>
    <row r="490" spans="1:28" ht="13.15" customHeight="1">
      <c r="A490" s="16">
        <f t="shared" si="155"/>
        <v>476</v>
      </c>
      <c r="B490" s="17">
        <f>B489+7</f>
        <v>45849</v>
      </c>
      <c r="C490" s="14">
        <f t="shared" si="172"/>
        <v>844</v>
      </c>
      <c r="D490" s="13">
        <f t="shared" si="173"/>
        <v>2129</v>
      </c>
      <c r="E490" s="12">
        <f t="shared" si="174"/>
        <v>799</v>
      </c>
      <c r="F490" s="12">
        <f t="shared" si="175"/>
        <v>1199</v>
      </c>
      <c r="G490" s="12">
        <f t="shared" si="176"/>
        <v>706</v>
      </c>
      <c r="H490" s="8">
        <f t="shared" si="177"/>
        <v>2174</v>
      </c>
      <c r="I490" s="8">
        <f t="shared" si="178"/>
        <v>1774</v>
      </c>
      <c r="J490" s="8">
        <f t="shared" si="179"/>
        <v>2267</v>
      </c>
      <c r="K490" s="8">
        <f t="shared" si="180"/>
        <v>4000</v>
      </c>
      <c r="L490" s="8">
        <f t="shared" si="181"/>
        <v>4000</v>
      </c>
      <c r="M490" s="8">
        <f t="shared" si="182"/>
        <v>4000</v>
      </c>
      <c r="N490" s="8">
        <f t="shared" si="187"/>
        <v>-1826</v>
      </c>
      <c r="O490" s="8">
        <f t="shared" si="188"/>
        <v>-2226</v>
      </c>
      <c r="P490" s="8">
        <f t="shared" si="189"/>
        <v>-1733</v>
      </c>
      <c r="Q490" s="255">
        <v>10</v>
      </c>
      <c r="R490" s="18">
        <v>26</v>
      </c>
      <c r="S490" s="18">
        <v>11</v>
      </c>
      <c r="T490" s="11">
        <f t="shared" si="162"/>
        <v>-1831</v>
      </c>
      <c r="U490" s="10">
        <f t="shared" si="183"/>
        <v>5084</v>
      </c>
      <c r="V490" s="10">
        <f t="shared" si="184"/>
        <v>4804</v>
      </c>
      <c r="W490" s="10">
        <f t="shared" si="185"/>
        <v>5247</v>
      </c>
      <c r="X490" s="9"/>
      <c r="Y490" s="8"/>
      <c r="Z490" s="8"/>
      <c r="AA490" s="8"/>
      <c r="AB490" s="258"/>
    </row>
    <row r="491" spans="1:28" ht="13.15" customHeight="1">
      <c r="A491" s="16">
        <f t="shared" si="155"/>
        <v>477</v>
      </c>
      <c r="B491" s="17">
        <f>B490+7</f>
        <v>45856</v>
      </c>
      <c r="C491" s="14">
        <f t="shared" si="172"/>
        <v>844</v>
      </c>
      <c r="D491" s="13">
        <f t="shared" si="173"/>
        <v>2131</v>
      </c>
      <c r="E491" s="12">
        <f t="shared" ref="E491" si="191">C491+D491-H491</f>
        <v>811</v>
      </c>
      <c r="F491" s="12">
        <f t="shared" ref="F491" si="192">C491+D491-I491</f>
        <v>1225</v>
      </c>
      <c r="G491" s="12">
        <f t="shared" ref="G491" si="193">D491+C491-J491</f>
        <v>718</v>
      </c>
      <c r="H491" s="8">
        <f t="shared" ref="H491" si="194">K491+N491</f>
        <v>2164</v>
      </c>
      <c r="I491" s="8">
        <f t="shared" ref="I491" si="195">L491+O491</f>
        <v>1750</v>
      </c>
      <c r="J491" s="8">
        <f t="shared" ref="J491" si="196">M491+P491</f>
        <v>2257</v>
      </c>
      <c r="K491" s="8">
        <f t="shared" si="180"/>
        <v>4000</v>
      </c>
      <c r="L491" s="8">
        <f t="shared" si="181"/>
        <v>4000</v>
      </c>
      <c r="M491" s="8">
        <f t="shared" si="182"/>
        <v>4000</v>
      </c>
      <c r="N491" s="8">
        <f t="shared" ref="N491" si="197">N490-Q491</f>
        <v>-1836</v>
      </c>
      <c r="O491" s="8">
        <f t="shared" ref="O491" si="198">O490-R491</f>
        <v>-2250</v>
      </c>
      <c r="P491" s="8">
        <f t="shared" ref="P491" si="199">P490-S491</f>
        <v>-1743</v>
      </c>
      <c r="Q491" s="18">
        <v>10</v>
      </c>
      <c r="R491" s="18">
        <v>24</v>
      </c>
      <c r="S491" s="18">
        <v>10</v>
      </c>
      <c r="T491" s="11">
        <f t="shared" ref="T491" si="200">D491+C491-V491</f>
        <v>-1805</v>
      </c>
      <c r="U491" s="10">
        <f t="shared" ref="U491" si="201">U490+$X491*1000-Q491</f>
        <v>5074</v>
      </c>
      <c r="V491" s="10">
        <f t="shared" ref="V491" si="202">V490+$X491*1000-R491</f>
        <v>4780</v>
      </c>
      <c r="W491" s="10">
        <f t="shared" ref="W491" si="203">W490+$X491*1000-S491</f>
        <v>5237</v>
      </c>
      <c r="X491" s="9"/>
      <c r="Y491" s="8"/>
      <c r="Z491" s="8"/>
      <c r="AA491" s="8"/>
      <c r="AB491" s="258"/>
    </row>
    <row r="492" spans="1:28" ht="13.15" customHeight="1">
      <c r="A492" s="16">
        <f t="shared" si="155"/>
        <v>478</v>
      </c>
      <c r="B492" s="17">
        <f>B491+7</f>
        <v>45863</v>
      </c>
      <c r="C492" s="14">
        <f t="shared" si="172"/>
        <v>844</v>
      </c>
      <c r="D492" s="13">
        <f t="shared" si="173"/>
        <v>2133</v>
      </c>
      <c r="E492" s="12">
        <f t="shared" ref="E492" si="204">C492+D492-H492</f>
        <v>822</v>
      </c>
      <c r="F492" s="12">
        <f t="shared" ref="F492" si="205">C492+D492-I492</f>
        <v>1250</v>
      </c>
      <c r="G492" s="12">
        <f t="shared" ref="G492" si="206">D492+C492-J492</f>
        <v>729</v>
      </c>
      <c r="H492" s="8">
        <f t="shared" ref="H492" si="207">K492+N492</f>
        <v>2155</v>
      </c>
      <c r="I492" s="8">
        <f t="shared" ref="I492" si="208">L492+O492</f>
        <v>1727</v>
      </c>
      <c r="J492" s="8">
        <f t="shared" ref="J492" si="209">M492+P492</f>
        <v>2248</v>
      </c>
      <c r="K492" s="8">
        <f t="shared" si="180"/>
        <v>4000</v>
      </c>
      <c r="L492" s="8">
        <f t="shared" si="181"/>
        <v>4000</v>
      </c>
      <c r="M492" s="8">
        <f t="shared" si="182"/>
        <v>4000</v>
      </c>
      <c r="N492" s="8">
        <f t="shared" ref="N492" si="210">N491-Q492</f>
        <v>-1845</v>
      </c>
      <c r="O492" s="8">
        <f t="shared" ref="O492" si="211">O491-R492</f>
        <v>-2273</v>
      </c>
      <c r="P492" s="8">
        <f t="shared" ref="P492" si="212">P491-S492</f>
        <v>-1752</v>
      </c>
      <c r="Q492" s="18">
        <v>9</v>
      </c>
      <c r="R492" s="18">
        <v>23</v>
      </c>
      <c r="S492" s="18">
        <v>9</v>
      </c>
      <c r="T492" s="11">
        <f t="shared" ref="T492" si="213">D492+C492-V492</f>
        <v>-1780</v>
      </c>
      <c r="U492" s="10">
        <f t="shared" ref="U492" si="214">U491+$X492*1000-Q492</f>
        <v>5065</v>
      </c>
      <c r="V492" s="10">
        <f t="shared" ref="V492" si="215">V491+$X492*1000-R492</f>
        <v>4757</v>
      </c>
      <c r="W492" s="10">
        <f t="shared" ref="W492" si="216">W491+$X492*1000-S492</f>
        <v>5228</v>
      </c>
      <c r="X492" s="9"/>
      <c r="Y492" s="8"/>
      <c r="Z492" s="8"/>
      <c r="AA492" s="8"/>
      <c r="AB492" s="259"/>
    </row>
    <row r="493" spans="1:28" ht="13.15" customHeight="1">
      <c r="A493" s="3"/>
      <c r="B493" s="7"/>
      <c r="D493" s="6"/>
      <c r="E493" s="2"/>
      <c r="F493" s="2"/>
      <c r="G493" s="2"/>
      <c r="T493" s="5"/>
      <c r="U493" s="4"/>
      <c r="V493" s="4"/>
      <c r="W493" s="4"/>
    </row>
    <row r="494" spans="1:28" ht="13.15" customHeight="1">
      <c r="A494" s="3"/>
      <c r="B494" s="7"/>
      <c r="D494" s="6"/>
      <c r="E494" s="2"/>
      <c r="F494" s="2"/>
      <c r="G494" s="2"/>
      <c r="N494" s="1">
        <v>-1845</v>
      </c>
      <c r="O494" s="1">
        <v>-2273</v>
      </c>
      <c r="P494" s="1">
        <v>-1752</v>
      </c>
      <c r="Q494" s="2">
        <f>N494-N492</f>
        <v>0</v>
      </c>
      <c r="R494" s="2">
        <f t="shared" ref="R494:T494" si="217">O494-O492</f>
        <v>0</v>
      </c>
      <c r="S494" s="2">
        <f t="shared" si="217"/>
        <v>0</v>
      </c>
      <c r="T494" s="2"/>
      <c r="U494" s="4"/>
      <c r="V494" s="4"/>
      <c r="W494" s="4"/>
    </row>
    <row r="495" spans="1:28" ht="13.15" customHeight="1">
      <c r="A495" s="3"/>
      <c r="B495" s="7"/>
      <c r="D495" s="6"/>
      <c r="E495" s="2"/>
      <c r="F495" s="2"/>
      <c r="G495" s="2"/>
      <c r="T495" s="5"/>
      <c r="U495" s="4"/>
      <c r="V495" s="4"/>
      <c r="W495" s="4"/>
    </row>
    <row r="496" spans="1:28" ht="13.15" customHeight="1">
      <c r="A496" s="3"/>
      <c r="B496" s="7"/>
      <c r="D496" s="6"/>
      <c r="E496" s="2"/>
      <c r="F496" s="2"/>
      <c r="G496" s="2"/>
      <c r="T496" s="5"/>
      <c r="U496" s="4"/>
      <c r="V496" s="4"/>
      <c r="W496" s="4"/>
    </row>
    <row r="497" spans="1:23" ht="13.15" customHeight="1">
      <c r="A497" s="3"/>
      <c r="B497" s="7"/>
      <c r="D497" s="6"/>
      <c r="E497" s="2"/>
      <c r="F497" s="2"/>
      <c r="G497" s="2"/>
      <c r="T497" s="5"/>
      <c r="U497" s="4"/>
      <c r="V497" s="4"/>
      <c r="W497" s="4"/>
    </row>
    <row r="498" spans="1:23" ht="13.15" customHeight="1">
      <c r="A498" s="3"/>
      <c r="B498" s="7"/>
      <c r="D498" s="6"/>
      <c r="E498" s="2"/>
      <c r="F498" s="2"/>
      <c r="G498" s="2"/>
      <c r="T498" s="5"/>
      <c r="U498" s="4"/>
      <c r="V498" s="4"/>
      <c r="W498" s="4"/>
    </row>
    <row r="499" spans="1:23" ht="13.15" customHeight="1">
      <c r="A499" s="3"/>
      <c r="B499" s="7"/>
      <c r="D499" s="6"/>
      <c r="E499" s="2"/>
      <c r="F499" s="2"/>
      <c r="G499" s="2"/>
      <c r="T499" s="5"/>
      <c r="U499" s="4"/>
      <c r="V499" s="4"/>
      <c r="W499" s="4"/>
    </row>
    <row r="500" spans="1:23" ht="13.15" customHeight="1">
      <c r="A500" s="3"/>
      <c r="B500" s="7"/>
      <c r="D500" s="6"/>
      <c r="E500" s="2"/>
      <c r="F500" s="2"/>
      <c r="G500" s="2"/>
      <c r="T500" s="5"/>
      <c r="U500" s="4"/>
      <c r="V500" s="4"/>
      <c r="W500" s="4"/>
    </row>
    <row r="501" spans="1:23" ht="13.15" customHeight="1">
      <c r="A501" s="3"/>
      <c r="B501" s="7"/>
      <c r="D501" s="6"/>
      <c r="E501" s="2"/>
      <c r="F501" s="2"/>
      <c r="G501" s="2"/>
      <c r="T501" s="5"/>
      <c r="U501" s="4"/>
      <c r="V501" s="4"/>
      <c r="W501" s="4"/>
    </row>
    <row r="502" spans="1:23" ht="13.15" customHeight="1">
      <c r="A502" s="3"/>
      <c r="B502" s="7"/>
      <c r="D502" s="6"/>
      <c r="E502" s="2"/>
      <c r="F502" s="2"/>
      <c r="G502" s="2"/>
      <c r="T502" s="5"/>
      <c r="U502" s="4"/>
      <c r="V502" s="4"/>
      <c r="W502" s="4"/>
    </row>
    <row r="503" spans="1:23" ht="13.15" customHeight="1">
      <c r="A503" s="3"/>
      <c r="B503" s="7"/>
      <c r="D503" s="6"/>
      <c r="E503" s="2"/>
      <c r="F503" s="2"/>
      <c r="G503" s="2"/>
      <c r="T503" s="5"/>
      <c r="U503" s="4"/>
      <c r="V503" s="4"/>
      <c r="W503" s="4"/>
    </row>
    <row r="504" spans="1:23" ht="13.15" customHeight="1">
      <c r="A504" s="3"/>
      <c r="B504" s="7"/>
      <c r="D504" s="6"/>
      <c r="E504" s="2"/>
      <c r="F504" s="2"/>
      <c r="G504" s="2"/>
      <c r="T504" s="5"/>
      <c r="U504" s="4"/>
      <c r="V504" s="4"/>
      <c r="W504" s="4"/>
    </row>
    <row r="505" spans="1:23" ht="13.15" customHeight="1">
      <c r="A505" s="3"/>
      <c r="B505" s="7"/>
      <c r="D505" s="6"/>
      <c r="E505" s="2"/>
      <c r="F505" s="2"/>
      <c r="G505" s="2"/>
      <c r="T505" s="5"/>
      <c r="U505" s="4"/>
      <c r="V505" s="4"/>
      <c r="W505" s="4"/>
    </row>
    <row r="506" spans="1:23" ht="13.15" customHeight="1">
      <c r="A506" s="3"/>
      <c r="B506" s="7"/>
      <c r="D506" s="6"/>
      <c r="E506" s="2"/>
      <c r="F506" s="2"/>
      <c r="G506" s="2"/>
      <c r="T506" s="5"/>
      <c r="U506" s="4"/>
      <c r="V506" s="4"/>
      <c r="W506" s="4"/>
    </row>
    <row r="507" spans="1:23" ht="13.15" customHeight="1">
      <c r="A507" s="3"/>
      <c r="B507" s="7"/>
      <c r="D507" s="6"/>
      <c r="E507" s="2"/>
      <c r="F507" s="2"/>
      <c r="G507" s="2"/>
      <c r="T507" s="5"/>
      <c r="U507" s="4"/>
      <c r="V507" s="4"/>
      <c r="W507" s="4"/>
    </row>
    <row r="508" spans="1:23" ht="13.15" customHeight="1">
      <c r="A508" s="3"/>
      <c r="B508" s="7"/>
      <c r="D508" s="6"/>
      <c r="E508" s="2"/>
      <c r="F508" s="2"/>
      <c r="G508" s="2"/>
      <c r="T508" s="5"/>
      <c r="U508" s="4"/>
      <c r="V508" s="4"/>
      <c r="W508" s="4"/>
    </row>
    <row r="509" spans="1:23" ht="13.15" customHeight="1">
      <c r="A509" s="3"/>
      <c r="B509" s="7"/>
      <c r="D509" s="6"/>
      <c r="E509" s="2"/>
      <c r="F509" s="2"/>
      <c r="G509" s="2"/>
      <c r="T509" s="5"/>
      <c r="U509" s="4"/>
      <c r="V509" s="4"/>
      <c r="W509" s="4"/>
    </row>
    <row r="510" spans="1:23" ht="13.15" customHeight="1">
      <c r="A510" s="3"/>
      <c r="B510" s="7"/>
      <c r="D510" s="6"/>
      <c r="E510" s="2"/>
      <c r="F510" s="2"/>
      <c r="G510" s="2"/>
      <c r="T510" s="5"/>
      <c r="U510" s="4"/>
      <c r="V510" s="4"/>
      <c r="W510" s="4"/>
    </row>
    <row r="511" spans="1:23" ht="13.15" customHeight="1">
      <c r="A511" s="3"/>
      <c r="B511" s="7"/>
      <c r="D511" s="6"/>
      <c r="E511" s="2"/>
      <c r="F511" s="2"/>
      <c r="G511" s="2"/>
      <c r="T511" s="5"/>
      <c r="U511" s="4"/>
      <c r="V511" s="4"/>
      <c r="W511" s="4"/>
    </row>
    <row r="512" spans="1:23" ht="13.15" customHeight="1">
      <c r="A512" s="3"/>
      <c r="B512" s="7"/>
      <c r="D512" s="6"/>
      <c r="E512" s="2"/>
      <c r="F512" s="2"/>
      <c r="G512" s="2"/>
      <c r="T512" s="5"/>
      <c r="U512" s="4"/>
      <c r="V512" s="4"/>
      <c r="W512" s="4"/>
    </row>
    <row r="513" spans="1:23" ht="13.15" customHeight="1">
      <c r="A513" s="3"/>
      <c r="B513" s="7"/>
      <c r="D513" s="6"/>
      <c r="E513" s="2"/>
      <c r="F513" s="2"/>
      <c r="G513" s="2"/>
      <c r="T513" s="5"/>
      <c r="U513" s="4"/>
      <c r="V513" s="4"/>
      <c r="W513" s="4"/>
    </row>
    <row r="514" spans="1:23" ht="13.15" customHeight="1">
      <c r="A514" s="3"/>
      <c r="B514" s="7"/>
      <c r="D514" s="6"/>
      <c r="E514" s="2"/>
      <c r="F514" s="2"/>
      <c r="G514" s="2"/>
      <c r="T514" s="5"/>
      <c r="U514" s="4"/>
      <c r="V514" s="4"/>
      <c r="W514" s="4"/>
    </row>
    <row r="515" spans="1:23" ht="13.15" customHeight="1">
      <c r="A515" s="3"/>
      <c r="B515" s="7"/>
      <c r="D515" s="6"/>
      <c r="E515" s="2"/>
      <c r="F515" s="2"/>
      <c r="G515" s="2"/>
      <c r="T515" s="5"/>
      <c r="U515" s="4"/>
      <c r="V515" s="4"/>
      <c r="W515" s="4"/>
    </row>
    <row r="516" spans="1:23" ht="13.15" customHeight="1">
      <c r="A516" s="3"/>
      <c r="B516" s="7"/>
      <c r="D516" s="6"/>
      <c r="E516" s="2"/>
      <c r="F516" s="2"/>
      <c r="G516" s="2"/>
      <c r="T516" s="5"/>
      <c r="U516" s="4"/>
      <c r="V516" s="4"/>
      <c r="W516" s="4"/>
    </row>
    <row r="517" spans="1:23" ht="13.15" customHeight="1">
      <c r="A517" s="3"/>
      <c r="B517" s="7"/>
      <c r="D517" s="6"/>
      <c r="E517" s="2"/>
      <c r="F517" s="2"/>
      <c r="G517" s="2"/>
      <c r="T517" s="5"/>
      <c r="U517" s="4"/>
      <c r="V517" s="4"/>
      <c r="W517" s="4"/>
    </row>
    <row r="518" spans="1:23" ht="13.15" customHeight="1">
      <c r="A518" s="3"/>
      <c r="B518" s="7"/>
      <c r="D518" s="6"/>
      <c r="E518" s="2"/>
      <c r="F518" s="2"/>
      <c r="G518" s="2"/>
      <c r="T518" s="5"/>
      <c r="U518" s="4"/>
      <c r="V518" s="4"/>
      <c r="W518" s="4"/>
    </row>
    <row r="519" spans="1:23" ht="13.15" customHeight="1">
      <c r="A519" s="3"/>
      <c r="B519" s="7"/>
      <c r="D519" s="6"/>
      <c r="E519" s="2"/>
      <c r="F519" s="2"/>
      <c r="G519" s="2"/>
      <c r="T519" s="5"/>
      <c r="U519" s="4"/>
      <c r="V519" s="4"/>
      <c r="W519" s="4"/>
    </row>
    <row r="520" spans="1:23" ht="13.15" customHeight="1">
      <c r="A520" s="3"/>
      <c r="B520" s="7"/>
      <c r="D520" s="6"/>
      <c r="E520" s="2"/>
      <c r="F520" s="2"/>
      <c r="G520" s="2"/>
      <c r="T520" s="5"/>
      <c r="U520" s="4"/>
      <c r="V520" s="4"/>
      <c r="W520" s="4"/>
    </row>
    <row r="521" spans="1:23" ht="13.15" customHeight="1">
      <c r="A521" s="3"/>
      <c r="B521" s="7"/>
      <c r="D521" s="6"/>
      <c r="E521" s="2"/>
      <c r="F521" s="2"/>
      <c r="G521" s="2"/>
      <c r="T521" s="5"/>
      <c r="U521" s="4"/>
      <c r="V521" s="4"/>
      <c r="W521" s="4"/>
    </row>
    <row r="522" spans="1:23" ht="13.15" customHeight="1">
      <c r="A522" s="3"/>
      <c r="B522" s="7"/>
      <c r="D522" s="6"/>
      <c r="E522" s="2"/>
      <c r="F522" s="2"/>
      <c r="G522" s="2"/>
      <c r="T522" s="5"/>
      <c r="U522" s="4"/>
      <c r="V522" s="4"/>
      <c r="W522" s="4"/>
    </row>
    <row r="523" spans="1:23" ht="13.15" customHeight="1">
      <c r="A523" s="3"/>
      <c r="B523" s="7"/>
      <c r="D523" s="6"/>
      <c r="E523" s="2"/>
      <c r="F523" s="2"/>
      <c r="G523" s="2"/>
      <c r="T523" s="5"/>
      <c r="U523" s="4"/>
      <c r="V523" s="4"/>
      <c r="W523" s="4"/>
    </row>
    <row r="524" spans="1:23" ht="13.15" customHeight="1">
      <c r="A524" s="3"/>
      <c r="B524" s="7"/>
      <c r="D524" s="6"/>
      <c r="E524" s="2"/>
      <c r="F524" s="2"/>
      <c r="G524" s="2"/>
      <c r="T524" s="5"/>
      <c r="U524" s="4"/>
      <c r="V524" s="4"/>
      <c r="W524" s="4"/>
    </row>
    <row r="525" spans="1:23" ht="13.15" customHeight="1">
      <c r="A525" s="3"/>
      <c r="B525" s="7"/>
      <c r="D525" s="6"/>
      <c r="E525" s="2"/>
      <c r="F525" s="2"/>
      <c r="G525" s="2"/>
      <c r="T525" s="5"/>
      <c r="U525" s="4"/>
      <c r="V525" s="4"/>
      <c r="W525" s="4"/>
    </row>
    <row r="526" spans="1:23" ht="13.15" customHeight="1">
      <c r="A526" s="3"/>
      <c r="B526" s="7"/>
      <c r="D526" s="6"/>
      <c r="E526" s="2"/>
      <c r="F526" s="2"/>
      <c r="G526" s="2"/>
      <c r="T526" s="5"/>
      <c r="U526" s="4"/>
      <c r="V526" s="4"/>
      <c r="W526" s="4"/>
    </row>
    <row r="527" spans="1:23" ht="13.15" customHeight="1">
      <c r="A527" s="3"/>
      <c r="B527" s="7"/>
      <c r="D527" s="6"/>
      <c r="E527" s="2"/>
      <c r="F527" s="2"/>
      <c r="G527" s="2"/>
      <c r="T527" s="5"/>
      <c r="U527" s="4"/>
      <c r="V527" s="4"/>
      <c r="W527" s="4"/>
    </row>
    <row r="528" spans="1:23" ht="13.15" customHeight="1">
      <c r="A528" s="3"/>
      <c r="B528" s="7"/>
      <c r="D528" s="6"/>
      <c r="E528" s="2"/>
      <c r="F528" s="2"/>
      <c r="G528" s="2"/>
      <c r="T528" s="5"/>
      <c r="U528" s="4"/>
      <c r="V528" s="4"/>
      <c r="W528" s="4"/>
    </row>
    <row r="529" spans="1:23" ht="13.15" customHeight="1">
      <c r="A529" s="3"/>
      <c r="B529" s="7"/>
      <c r="D529" s="6"/>
      <c r="E529" s="2"/>
      <c r="F529" s="2"/>
      <c r="G529" s="2"/>
      <c r="T529" s="5"/>
      <c r="U529" s="4"/>
      <c r="V529" s="4"/>
      <c r="W529" s="4"/>
    </row>
    <row r="530" spans="1:23" ht="13.15" customHeight="1">
      <c r="A530" s="3"/>
      <c r="B530" s="7"/>
      <c r="D530" s="6"/>
      <c r="E530" s="2"/>
      <c r="F530" s="2"/>
      <c r="G530" s="2"/>
      <c r="T530" s="5"/>
      <c r="U530" s="4"/>
      <c r="V530" s="4"/>
      <c r="W530" s="4"/>
    </row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  <row r="610" spans="1:23" ht="13.15" customHeight="1">
      <c r="A610" s="3"/>
      <c r="B610" s="7"/>
      <c r="D610" s="6"/>
      <c r="E610" s="2"/>
      <c r="F610" s="2"/>
      <c r="G610" s="2"/>
      <c r="T610" s="5"/>
      <c r="U610" s="4"/>
      <c r="V610" s="4"/>
      <c r="W610" s="4"/>
    </row>
    <row r="611" spans="1:23" ht="13.15" customHeight="1">
      <c r="A611" s="3"/>
      <c r="B611" s="7"/>
      <c r="D611" s="6"/>
      <c r="E611" s="2"/>
      <c r="F611" s="2"/>
      <c r="G611" s="2"/>
      <c r="T611" s="5"/>
      <c r="U611" s="4"/>
      <c r="V611" s="4"/>
      <c r="W611" s="4"/>
    </row>
    <row r="612" spans="1:23" ht="13.15" customHeight="1">
      <c r="A612" s="3"/>
      <c r="B612" s="7"/>
      <c r="D612" s="6"/>
      <c r="E612" s="2"/>
      <c r="F612" s="2"/>
      <c r="G612" s="2"/>
      <c r="T612" s="5"/>
      <c r="U612" s="4"/>
      <c r="V612" s="4"/>
      <c r="W612" s="4"/>
    </row>
    <row r="613" spans="1:23" ht="13.15" customHeight="1">
      <c r="A613" s="3"/>
      <c r="B613" s="7"/>
      <c r="D613" s="6"/>
      <c r="E613" s="2"/>
      <c r="F613" s="2"/>
      <c r="G613" s="2"/>
      <c r="T613" s="5"/>
      <c r="U613" s="4"/>
      <c r="V613" s="4"/>
      <c r="W613" s="4"/>
    </row>
    <row r="614" spans="1:23" ht="13.15" customHeight="1">
      <c r="A614" s="3"/>
      <c r="B614" s="7"/>
      <c r="D614" s="6"/>
      <c r="E614" s="2"/>
      <c r="F614" s="2"/>
      <c r="G614" s="2"/>
      <c r="T614" s="5"/>
      <c r="U614" s="4"/>
      <c r="V614" s="4"/>
      <c r="W614" s="4"/>
    </row>
    <row r="615" spans="1:23" ht="13.15" customHeight="1">
      <c r="A615" s="3"/>
      <c r="B615" s="7"/>
      <c r="D615" s="6"/>
      <c r="E615" s="2"/>
      <c r="F615" s="2"/>
      <c r="G615" s="2"/>
      <c r="T615" s="5"/>
      <c r="U615" s="4"/>
      <c r="V615" s="4"/>
      <c r="W615" s="4"/>
    </row>
    <row r="616" spans="1:23" ht="13.15" customHeight="1">
      <c r="A616" s="3"/>
      <c r="B616" s="7"/>
      <c r="D616" s="6"/>
      <c r="E616" s="2"/>
      <c r="F616" s="2"/>
      <c r="G616" s="2"/>
      <c r="T616" s="5"/>
      <c r="U616" s="4"/>
      <c r="V616" s="4"/>
      <c r="W616" s="4"/>
    </row>
    <row r="617" spans="1:23" ht="13.15" customHeight="1">
      <c r="A617" s="3"/>
      <c r="B617" s="7"/>
      <c r="D617" s="6"/>
      <c r="E617" s="2"/>
      <c r="F617" s="2"/>
      <c r="G617" s="2"/>
      <c r="T617" s="5"/>
      <c r="U617" s="4"/>
      <c r="V617" s="4"/>
      <c r="W617" s="4"/>
    </row>
    <row r="618" spans="1:23" ht="13.15" customHeight="1">
      <c r="A618" s="3"/>
      <c r="B618" s="7"/>
      <c r="D618" s="6"/>
      <c r="E618" s="2"/>
      <c r="F618" s="2"/>
      <c r="G618" s="2"/>
      <c r="T618" s="5"/>
      <c r="U618" s="4"/>
      <c r="V618" s="4"/>
      <c r="W618" s="4"/>
    </row>
    <row r="619" spans="1:23" ht="13.15" customHeight="1">
      <c r="A619" s="3"/>
      <c r="B619" s="7"/>
      <c r="D619" s="6"/>
      <c r="E619" s="2"/>
      <c r="F619" s="2"/>
      <c r="G619" s="2"/>
      <c r="T619" s="5"/>
      <c r="U619" s="4"/>
      <c r="V619" s="4"/>
      <c r="W619" s="4"/>
    </row>
    <row r="620" spans="1:23" ht="13.15" customHeight="1">
      <c r="A620" s="3"/>
      <c r="B620" s="7"/>
      <c r="D620" s="6"/>
      <c r="E620" s="2"/>
      <c r="F620" s="2"/>
      <c r="G620" s="2"/>
      <c r="T620" s="5"/>
      <c r="U620" s="4"/>
      <c r="V620" s="4"/>
      <c r="W620" s="4"/>
    </row>
    <row r="621" spans="1:23" ht="13.15" customHeight="1">
      <c r="A621" s="3"/>
      <c r="B621" s="7"/>
      <c r="D621" s="6"/>
      <c r="E621" s="2"/>
      <c r="F621" s="2"/>
      <c r="G621" s="2"/>
      <c r="T621" s="5"/>
      <c r="U621" s="4"/>
      <c r="V621" s="4"/>
      <c r="W621" s="4"/>
    </row>
    <row r="622" spans="1:23" ht="13.15" customHeight="1">
      <c r="A622" s="3"/>
      <c r="B622" s="7"/>
      <c r="D622" s="6"/>
      <c r="E622" s="2"/>
      <c r="F622" s="2"/>
      <c r="G622" s="2"/>
      <c r="T622" s="5"/>
      <c r="U622" s="4"/>
      <c r="V622" s="4"/>
      <c r="W622" s="4"/>
    </row>
    <row r="623" spans="1:23" ht="13.15" customHeight="1">
      <c r="A623" s="3"/>
      <c r="B623" s="7"/>
      <c r="D623" s="6"/>
      <c r="E623" s="2"/>
      <c r="F623" s="2"/>
      <c r="G623" s="2"/>
      <c r="T623" s="5"/>
      <c r="U623" s="4"/>
      <c r="V623" s="4"/>
      <c r="W623" s="4"/>
    </row>
    <row r="624" spans="1:23" ht="13.15" customHeight="1">
      <c r="A624" s="3"/>
      <c r="B624" s="7"/>
      <c r="D624" s="6"/>
      <c r="E624" s="2"/>
      <c r="F624" s="2"/>
      <c r="G624" s="2"/>
      <c r="T624" s="5"/>
      <c r="U624" s="4"/>
      <c r="V624" s="4"/>
      <c r="W624" s="4"/>
    </row>
    <row r="625" spans="1:23" ht="13.15" customHeight="1">
      <c r="A625" s="3"/>
      <c r="B625" s="7"/>
      <c r="D625" s="6"/>
      <c r="E625" s="2"/>
      <c r="F625" s="2"/>
      <c r="G625" s="2"/>
      <c r="T625" s="5"/>
      <c r="U625" s="4"/>
      <c r="V625" s="4"/>
      <c r="W625" s="4"/>
    </row>
    <row r="626" spans="1:23" ht="13.15" customHeight="1">
      <c r="A626" s="3"/>
      <c r="B626" s="7"/>
      <c r="D626" s="6"/>
      <c r="E626" s="2"/>
      <c r="F626" s="2"/>
      <c r="G626" s="2"/>
      <c r="T626" s="5"/>
      <c r="U626" s="4"/>
      <c r="V626" s="4"/>
      <c r="W626" s="4"/>
    </row>
    <row r="627" spans="1:23" ht="13.15" customHeight="1">
      <c r="A627" s="3"/>
      <c r="B627" s="7"/>
      <c r="D627" s="6"/>
      <c r="E627" s="2"/>
      <c r="F627" s="2"/>
      <c r="G627" s="2"/>
      <c r="T627" s="5"/>
      <c r="U627" s="4"/>
      <c r="V627" s="4"/>
      <c r="W627" s="4"/>
    </row>
    <row r="628" spans="1:23" ht="13.15" customHeight="1">
      <c r="A628" s="3"/>
      <c r="B628" s="7"/>
      <c r="D628" s="6"/>
      <c r="E628" s="2"/>
      <c r="F628" s="2"/>
      <c r="G628" s="2"/>
      <c r="T628" s="5"/>
      <c r="U628" s="4"/>
      <c r="V628" s="4"/>
      <c r="W628" s="4"/>
    </row>
    <row r="629" spans="1:23" ht="13.15" customHeight="1">
      <c r="A629" s="3"/>
      <c r="B629" s="7"/>
      <c r="D629" s="6"/>
      <c r="E629" s="2"/>
      <c r="F629" s="2"/>
      <c r="G629" s="2"/>
      <c r="T629" s="5"/>
      <c r="U629" s="4"/>
      <c r="V629" s="4"/>
      <c r="W629" s="4"/>
    </row>
    <row r="630" spans="1:23" ht="13.15" customHeight="1">
      <c r="A630" s="3"/>
      <c r="B630" s="7"/>
      <c r="D630" s="6"/>
      <c r="E630" s="2"/>
      <c r="F630" s="2"/>
      <c r="G630" s="2"/>
      <c r="T630" s="5"/>
      <c r="U630" s="4"/>
      <c r="V630" s="4"/>
      <c r="W630" s="4"/>
    </row>
    <row r="631" spans="1:23" ht="13.15" customHeight="1">
      <c r="A631" s="3"/>
      <c r="B631" s="7"/>
      <c r="D631" s="6"/>
      <c r="E631" s="2"/>
      <c r="F631" s="2"/>
      <c r="G631" s="2"/>
      <c r="T631" s="5"/>
      <c r="U631" s="4"/>
      <c r="V631" s="4"/>
      <c r="W631" s="4"/>
    </row>
    <row r="632" spans="1:23" ht="13.15" customHeight="1">
      <c r="A632" s="3"/>
      <c r="B632" s="7"/>
      <c r="D632" s="6"/>
      <c r="E632" s="2"/>
      <c r="F632" s="2"/>
      <c r="G632" s="2"/>
      <c r="T632" s="5"/>
      <c r="U632" s="4"/>
      <c r="V632" s="4"/>
      <c r="W632" s="4"/>
    </row>
    <row r="633" spans="1:23" ht="13.15" customHeight="1">
      <c r="A633" s="3"/>
      <c r="B633" s="7"/>
      <c r="D633" s="6"/>
      <c r="E633" s="2"/>
      <c r="F633" s="2"/>
      <c r="G633" s="2"/>
      <c r="T633" s="5"/>
      <c r="U633" s="4"/>
      <c r="V633" s="4"/>
      <c r="W633" s="4"/>
    </row>
    <row r="634" spans="1:23" ht="13.15" customHeight="1">
      <c r="A634" s="3"/>
      <c r="B634" s="7"/>
      <c r="D634" s="6"/>
      <c r="E634" s="2"/>
      <c r="F634" s="2"/>
      <c r="G634" s="2"/>
      <c r="T634" s="5"/>
      <c r="U634" s="4"/>
      <c r="V634" s="4"/>
      <c r="W634" s="4"/>
    </row>
    <row r="635" spans="1:23" ht="13.15" customHeight="1">
      <c r="A635" s="3"/>
      <c r="B635" s="7"/>
      <c r="D635" s="6"/>
      <c r="E635" s="2"/>
      <c r="F635" s="2"/>
      <c r="G635" s="2"/>
      <c r="T635" s="5"/>
      <c r="U635" s="4"/>
      <c r="V635" s="4"/>
      <c r="W635" s="4"/>
    </row>
    <row r="636" spans="1:23" ht="13.15" customHeight="1">
      <c r="A636" s="3"/>
      <c r="B636" s="7"/>
      <c r="D636" s="6"/>
      <c r="E636" s="2"/>
      <c r="F636" s="2"/>
      <c r="G636" s="2"/>
      <c r="T636" s="5"/>
      <c r="U636" s="4"/>
      <c r="V636" s="4"/>
      <c r="W636" s="4"/>
    </row>
    <row r="637" spans="1:23" ht="13.15" customHeight="1">
      <c r="A637" s="3"/>
      <c r="B637" s="7"/>
      <c r="D637" s="6"/>
      <c r="E637" s="2"/>
      <c r="F637" s="2"/>
      <c r="G637" s="2"/>
      <c r="T637" s="5"/>
      <c r="U637" s="4"/>
      <c r="V637" s="4"/>
      <c r="W637" s="4"/>
    </row>
    <row r="638" spans="1:23" ht="13.15" customHeight="1">
      <c r="A638" s="3"/>
      <c r="B638" s="7"/>
      <c r="D638" s="6"/>
      <c r="E638" s="2"/>
      <c r="F638" s="2"/>
      <c r="G638" s="2"/>
      <c r="T638" s="5"/>
      <c r="U638" s="4"/>
      <c r="V638" s="4"/>
      <c r="W638" s="4"/>
    </row>
    <row r="639" spans="1:23" ht="13.15" customHeight="1">
      <c r="A639" s="3"/>
      <c r="B639" s="7"/>
      <c r="D639" s="6"/>
      <c r="E639" s="2"/>
      <c r="F639" s="2"/>
      <c r="G639" s="2"/>
      <c r="T639" s="5"/>
      <c r="U639" s="4"/>
      <c r="V639" s="4"/>
      <c r="W639" s="4"/>
    </row>
    <row r="640" spans="1:23" ht="13.15" customHeight="1">
      <c r="A640" s="3"/>
      <c r="B640" s="7"/>
      <c r="D640" s="6"/>
      <c r="E640" s="2"/>
      <c r="F640" s="2"/>
      <c r="G640" s="2"/>
      <c r="T640" s="5"/>
      <c r="U640" s="4"/>
      <c r="V640" s="4"/>
      <c r="W640" s="4"/>
    </row>
    <row r="641" spans="1:23" ht="13.15" customHeight="1">
      <c r="A641" s="3"/>
      <c r="B641" s="7"/>
      <c r="D641" s="6"/>
      <c r="E641" s="2"/>
      <c r="F641" s="2"/>
      <c r="G641" s="2"/>
      <c r="T641" s="5"/>
      <c r="U641" s="4"/>
      <c r="V641" s="4"/>
      <c r="W641" s="4"/>
    </row>
    <row r="642" spans="1:23" ht="13.15" customHeight="1">
      <c r="A642" s="3"/>
      <c r="B642" s="7"/>
      <c r="D642" s="6"/>
      <c r="E642" s="2"/>
      <c r="F642" s="2"/>
      <c r="G642" s="2"/>
      <c r="T642" s="5"/>
      <c r="U642" s="4"/>
      <c r="V642" s="4"/>
      <c r="W642" s="4"/>
    </row>
    <row r="643" spans="1:23" customFormat="1" ht="13.15" customHeight="1"/>
    <row r="644" spans="1:23" customFormat="1" ht="13.15" customHeight="1"/>
    <row r="645" spans="1:23" customFormat="1" ht="13.15" customHeight="1"/>
    <row r="646" spans="1:23" customFormat="1" ht="13.15" customHeight="1"/>
    <row r="647" spans="1:23" customFormat="1" ht="13.15" customHeight="1"/>
    <row r="648" spans="1:23" customFormat="1" ht="13.15" customHeight="1"/>
    <row r="649" spans="1:23" customFormat="1" ht="13.15" customHeight="1"/>
    <row r="650" spans="1:23" customFormat="1" ht="13.15" customHeight="1"/>
    <row r="651" spans="1:23" customFormat="1" ht="13.15" customHeight="1"/>
    <row r="652" spans="1:23" customFormat="1" ht="13.15" customHeight="1"/>
    <row r="653" spans="1:23" customFormat="1" ht="13.15" customHeight="1"/>
    <row r="654" spans="1:23" customFormat="1" ht="13.15" customHeight="1"/>
    <row r="655" spans="1:23" customFormat="1" ht="13.15" customHeight="1"/>
    <row r="656" spans="1:23" customFormat="1" ht="13.15" customHeight="1"/>
    <row r="657" customFormat="1" ht="13.15" customHeight="1"/>
    <row r="658" customFormat="1" ht="13.15" customHeight="1"/>
    <row r="659" customFormat="1" ht="13.15" customHeight="1"/>
    <row r="660" customFormat="1" ht="13.15" customHeight="1"/>
    <row r="661" customFormat="1" ht="13.15" customHeight="1"/>
    <row r="662" customFormat="1" ht="13.15" customHeight="1"/>
    <row r="663" customFormat="1" ht="13.15" customHeight="1"/>
    <row r="664" customFormat="1" ht="13.15" customHeight="1"/>
    <row r="665" customFormat="1" ht="13.15" customHeight="1"/>
    <row r="666" customFormat="1" ht="13.15" customHeight="1"/>
    <row r="667" customFormat="1" ht="13.15" customHeight="1"/>
    <row r="668" customFormat="1" ht="13.15" customHeight="1"/>
    <row r="669" customFormat="1" ht="13.15" customHeight="1"/>
    <row r="670" customFormat="1" ht="13.15" customHeight="1"/>
    <row r="671" customFormat="1" ht="13.15" customHeight="1"/>
    <row r="672" customFormat="1" ht="13.15" customHeight="1"/>
    <row r="673" customFormat="1" ht="13.15" customHeight="1"/>
    <row r="674" customFormat="1" ht="13.15" customHeight="1"/>
    <row r="675" customFormat="1" ht="13.15" customHeight="1"/>
    <row r="676" customFormat="1" ht="13.15" customHeight="1"/>
    <row r="677" customFormat="1" ht="13.15" customHeight="1"/>
    <row r="678" customFormat="1" ht="13.15" customHeight="1"/>
    <row r="679" customFormat="1" ht="13.15" customHeight="1"/>
    <row r="680" customFormat="1" ht="13.15" customHeight="1"/>
    <row r="681" customFormat="1" ht="13.15" customHeight="1"/>
    <row r="682" customFormat="1" ht="13.15" customHeight="1"/>
    <row r="683" customFormat="1" ht="13.15" customHeight="1"/>
    <row r="684" customFormat="1" ht="13.15" customHeight="1"/>
  </sheetData>
  <mergeCells count="28">
    <mergeCell ref="AB471:AB492"/>
    <mergeCell ref="A6:H6"/>
    <mergeCell ref="A7:AB7"/>
    <mergeCell ref="M10:N10"/>
    <mergeCell ref="X12:X13"/>
    <mergeCell ref="Z12:Z13"/>
    <mergeCell ref="AA12:AA13"/>
    <mergeCell ref="Q12:S12"/>
    <mergeCell ref="U12:W12"/>
    <mergeCell ref="I6:R6"/>
    <mergeCell ref="S6:AB6"/>
    <mergeCell ref="Y12:Y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0102-AEE2-480E-BAEC-A7495EA3DC76}">
  <sheetPr>
    <tabColor rgb="FFFFFF00"/>
    <pageSetUpPr fitToPage="1"/>
  </sheetPr>
  <dimension ref="A1:AF497"/>
  <sheetViews>
    <sheetView topLeftCell="B1" zoomScale="80" zoomScaleNormal="80" zoomScaleSheetLayoutView="80" workbookViewId="0">
      <pane ySplit="12" topLeftCell="A483" activePane="bottomLeft" state="frozen"/>
      <selection activeCell="T482" sqref="T482"/>
      <selection pane="bottomLeft" activeCell="B481" sqref="B481:AB497"/>
    </sheetView>
  </sheetViews>
  <sheetFormatPr defaultColWidth="9.140625" defaultRowHeight="15.75"/>
  <cols>
    <col min="1" max="1" width="6.42578125" style="63" hidden="1" customWidth="1"/>
    <col min="2" max="2" width="11.85546875" style="75" customWidth="1"/>
    <col min="3" max="3" width="9.28515625" style="74" customWidth="1"/>
    <col min="4" max="4" width="7.42578125" style="74" customWidth="1"/>
    <col min="5" max="5" width="9.42578125" style="73" customWidth="1"/>
    <col min="6" max="6" width="8.28515625" style="73" customWidth="1"/>
    <col min="7" max="8" width="8.140625" style="72" customWidth="1"/>
    <col min="9" max="9" width="9.140625" style="72" customWidth="1"/>
    <col min="10" max="10" width="11.140625" style="71" bestFit="1" customWidth="1"/>
    <col min="11" max="12" width="8.140625" style="70" customWidth="1"/>
    <col min="13" max="13" width="8.140625" style="69" customWidth="1"/>
    <col min="14" max="14" width="8.140625" style="70" customWidth="1"/>
    <col min="15" max="15" width="8.85546875" style="70" customWidth="1"/>
    <col min="16" max="17" width="8.140625" style="69" customWidth="1"/>
    <col min="18" max="18" width="8.140625" style="70" customWidth="1"/>
    <col min="19" max="20" width="8.140625" style="69" customWidth="1"/>
    <col min="21" max="21" width="9.42578125" style="69" customWidth="1"/>
    <col min="22" max="22" width="8.140625" style="67" customWidth="1"/>
    <col min="23" max="23" width="8.140625" style="68" customWidth="1"/>
    <col min="24" max="24" width="6.5703125" style="67" customWidth="1"/>
    <col min="25" max="25" width="5.7109375" style="66" hidden="1" customWidth="1"/>
    <col min="26" max="26" width="10.140625" style="64" bestFit="1" customWidth="1"/>
    <col min="27" max="27" width="9.140625" style="65"/>
    <col min="28" max="28" width="9.140625" style="65" customWidth="1"/>
    <col min="29" max="30" width="9.140625" style="65"/>
    <col min="31" max="31" width="9.140625" style="64"/>
    <col min="32" max="16384" width="9.140625" style="63"/>
  </cols>
  <sheetData>
    <row r="1" spans="1:31" ht="24" customHeight="1" thickTop="1">
      <c r="A1" s="145">
        <v>13</v>
      </c>
      <c r="B1" s="219" t="s">
        <v>45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1"/>
    </row>
    <row r="2" spans="1:31" s="127" customFormat="1" ht="24" customHeight="1">
      <c r="A2" s="134"/>
      <c r="B2" s="222" t="s">
        <v>44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4"/>
      <c r="AC2" s="65"/>
      <c r="AD2" s="65"/>
      <c r="AE2" s="65"/>
    </row>
    <row r="3" spans="1:31" s="127" customFormat="1" ht="24" customHeight="1">
      <c r="A3" s="134"/>
      <c r="B3" s="2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4"/>
      <c r="AC3" s="65"/>
      <c r="AD3" s="65"/>
      <c r="AE3" s="65"/>
    </row>
    <row r="4" spans="1:31" s="127" customFormat="1" ht="24" customHeight="1">
      <c r="A4" s="134"/>
      <c r="B4" s="188" t="s">
        <v>43</v>
      </c>
      <c r="C4" s="189"/>
      <c r="D4" s="189"/>
      <c r="E4" s="189"/>
      <c r="F4" s="189"/>
      <c r="G4" s="189"/>
      <c r="H4" s="189"/>
      <c r="I4" s="190"/>
      <c r="J4" s="225" t="s">
        <v>42</v>
      </c>
      <c r="K4" s="226"/>
      <c r="L4" s="226"/>
      <c r="M4" s="226"/>
      <c r="N4" s="226"/>
      <c r="O4" s="226"/>
      <c r="P4" s="226"/>
      <c r="Q4" s="226"/>
      <c r="R4" s="226"/>
      <c r="S4" s="227"/>
      <c r="T4" s="225" t="s">
        <v>41</v>
      </c>
      <c r="U4" s="226"/>
      <c r="V4" s="226"/>
      <c r="W4" s="226"/>
      <c r="X4" s="226"/>
      <c r="Y4" s="226"/>
      <c r="Z4" s="226"/>
      <c r="AA4" s="226"/>
      <c r="AB4" s="227"/>
      <c r="AC4" s="65"/>
      <c r="AD4" s="65"/>
      <c r="AE4" s="65"/>
    </row>
    <row r="5" spans="1:31" s="127" customFormat="1" ht="37.5" customHeight="1">
      <c r="A5" s="134"/>
      <c r="B5" s="194" t="s">
        <v>40</v>
      </c>
      <c r="C5" s="195"/>
      <c r="D5" s="195"/>
      <c r="E5" s="195"/>
      <c r="F5" s="195"/>
      <c r="G5" s="195"/>
      <c r="H5" s="195"/>
      <c r="I5" s="196"/>
      <c r="J5" s="22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9"/>
      <c r="L5" s="229"/>
      <c r="M5" s="229"/>
      <c r="N5" s="229"/>
      <c r="O5" s="229"/>
      <c r="P5" s="229"/>
      <c r="Q5" s="229"/>
      <c r="R5" s="229"/>
      <c r="S5" s="230"/>
      <c r="T5" s="231" t="s">
        <v>39</v>
      </c>
      <c r="U5" s="232"/>
      <c r="V5" s="232"/>
      <c r="W5" s="232"/>
      <c r="X5" s="232"/>
      <c r="Y5" s="232"/>
      <c r="Z5" s="232"/>
      <c r="AA5" s="232"/>
      <c r="AB5" s="233"/>
      <c r="AC5" s="65"/>
      <c r="AD5" s="65"/>
      <c r="AE5" s="65"/>
    </row>
    <row r="6" spans="1:31" s="127" customFormat="1" ht="24" customHeight="1">
      <c r="A6" s="134"/>
      <c r="B6" s="234" t="s">
        <v>38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6"/>
      <c r="AC6" s="65"/>
      <c r="AD6" s="65"/>
      <c r="AE6" s="65"/>
    </row>
    <row r="7" spans="1:31" s="127" customFormat="1" ht="15">
      <c r="A7" s="134"/>
      <c r="B7" s="62" t="s">
        <v>37</v>
      </c>
      <c r="C7" s="60">
        <f>'116+240'!C8</f>
        <v>0</v>
      </c>
      <c r="D7" s="60"/>
      <c r="E7" s="60"/>
      <c r="F7" s="60"/>
      <c r="G7" s="60"/>
      <c r="H7" s="60"/>
      <c r="I7" s="60"/>
      <c r="J7" s="60"/>
      <c r="K7" s="61"/>
      <c r="L7" s="61" t="s">
        <v>36</v>
      </c>
      <c r="M7" s="61"/>
      <c r="N7" s="61">
        <f>'116+240'!M8</f>
        <v>0</v>
      </c>
      <c r="O7" s="61"/>
      <c r="P7" s="60"/>
      <c r="Q7" s="60"/>
      <c r="R7" s="60"/>
      <c r="S7" s="60"/>
      <c r="T7" s="60"/>
      <c r="U7" s="60"/>
      <c r="V7" s="59"/>
      <c r="W7" s="59"/>
      <c r="X7" s="59"/>
      <c r="Y7" s="59"/>
      <c r="Z7" s="59"/>
      <c r="AA7" s="144"/>
      <c r="AB7" s="143"/>
      <c r="AC7" s="65"/>
      <c r="AD7" s="65"/>
      <c r="AE7" s="65"/>
    </row>
    <row r="8" spans="1:31" s="127" customFormat="1" ht="15">
      <c r="A8" s="134"/>
      <c r="B8" s="56" t="s">
        <v>35</v>
      </c>
      <c r="C8" s="54" t="str">
        <f>'116+240'!C9</f>
        <v>Nắng</v>
      </c>
      <c r="D8" s="54"/>
      <c r="E8" s="54"/>
      <c r="F8" s="54"/>
      <c r="G8" s="54"/>
      <c r="H8" s="54"/>
      <c r="I8" s="54"/>
      <c r="J8" s="54"/>
      <c r="K8" s="55"/>
      <c r="L8" s="55" t="s">
        <v>33</v>
      </c>
      <c r="M8" s="55"/>
      <c r="N8" s="55">
        <f>'116+240'!M9</f>
        <v>844</v>
      </c>
      <c r="O8" s="55"/>
      <c r="P8" s="54"/>
      <c r="Q8" s="54"/>
      <c r="R8" s="54"/>
      <c r="S8" s="54"/>
      <c r="T8" s="54"/>
      <c r="U8" s="54"/>
      <c r="V8" s="53"/>
      <c r="W8" s="53"/>
      <c r="X8" s="53"/>
      <c r="Y8" s="53"/>
      <c r="Z8" s="53"/>
      <c r="AA8" s="142"/>
      <c r="AB8" s="141"/>
      <c r="AC8" s="65"/>
      <c r="AD8" s="65"/>
      <c r="AE8" s="65"/>
    </row>
    <row r="9" spans="1:31" s="127" customFormat="1" ht="15">
      <c r="A9" s="134"/>
      <c r="B9" s="140" t="s">
        <v>32</v>
      </c>
      <c r="C9" s="138" t="str">
        <f>'116+240'!C10</f>
        <v>Km116+240</v>
      </c>
      <c r="D9" s="138"/>
      <c r="E9" s="138"/>
      <c r="F9" s="138"/>
      <c r="G9" s="138"/>
      <c r="H9" s="138"/>
      <c r="I9" s="138"/>
      <c r="J9" s="138"/>
      <c r="K9" s="139"/>
      <c r="L9" s="139" t="s">
        <v>30</v>
      </c>
      <c r="M9" s="139"/>
      <c r="N9" s="237">
        <f>'116+240'!M10</f>
        <v>45281</v>
      </c>
      <c r="O9" s="237"/>
      <c r="P9" s="138"/>
      <c r="Q9" s="138"/>
      <c r="R9" s="138"/>
      <c r="S9" s="138"/>
      <c r="T9" s="138"/>
      <c r="U9" s="138"/>
      <c r="V9" s="137"/>
      <c r="W9" s="137"/>
      <c r="X9" s="137"/>
      <c r="Y9" s="137"/>
      <c r="Z9" s="137"/>
      <c r="AA9" s="136"/>
      <c r="AB9" s="135"/>
      <c r="AC9" s="65"/>
      <c r="AD9" s="65"/>
      <c r="AE9" s="65"/>
    </row>
    <row r="10" spans="1:31" s="127" customFormat="1" ht="12.75">
      <c r="A10" s="134"/>
      <c r="B10" s="133"/>
      <c r="C10" s="132"/>
      <c r="D10" s="132"/>
      <c r="E10" s="131"/>
      <c r="F10" s="131"/>
      <c r="G10" s="131"/>
      <c r="H10" s="131"/>
      <c r="I10" s="131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29"/>
      <c r="W10" s="129"/>
      <c r="X10" s="129"/>
      <c r="Y10" s="108"/>
      <c r="Z10" s="65"/>
      <c r="AA10" s="128"/>
      <c r="AB10" s="128"/>
      <c r="AC10" s="65"/>
      <c r="AD10" s="65"/>
      <c r="AE10" s="65"/>
    </row>
    <row r="11" spans="1:31" s="124" customFormat="1" ht="16.5" customHeight="1">
      <c r="A11" s="126"/>
      <c r="B11" s="216" t="s">
        <v>64</v>
      </c>
      <c r="C11" s="217" t="s">
        <v>63</v>
      </c>
      <c r="D11" s="217" t="s">
        <v>62</v>
      </c>
      <c r="E11" s="218" t="s">
        <v>61</v>
      </c>
      <c r="F11" s="218" t="s">
        <v>60</v>
      </c>
      <c r="G11" s="238" t="s">
        <v>59</v>
      </c>
      <c r="H11" s="238"/>
      <c r="I11" s="238"/>
      <c r="J11" s="238"/>
      <c r="K11" s="238"/>
      <c r="L11" s="238"/>
      <c r="M11" s="239" t="s">
        <v>58</v>
      </c>
      <c r="N11" s="239"/>
      <c r="O11" s="239"/>
      <c r="P11" s="239"/>
      <c r="Q11" s="239"/>
      <c r="R11" s="239"/>
      <c r="S11" s="213" t="s">
        <v>11</v>
      </c>
      <c r="T11" s="213"/>
      <c r="U11" s="213"/>
      <c r="V11" s="213"/>
      <c r="W11" s="213"/>
      <c r="X11" s="213"/>
      <c r="Y11" s="214"/>
      <c r="Z11" s="215" t="s">
        <v>18</v>
      </c>
      <c r="AA11" s="215" t="s">
        <v>57</v>
      </c>
      <c r="AB11" s="215" t="s">
        <v>56</v>
      </c>
      <c r="AC11" s="65"/>
      <c r="AD11" s="65"/>
      <c r="AE11" s="125"/>
    </row>
    <row r="12" spans="1:31" s="97" customFormat="1" ht="73.150000000000006" customHeight="1">
      <c r="A12" s="99"/>
      <c r="B12" s="216"/>
      <c r="C12" s="217"/>
      <c r="D12" s="217"/>
      <c r="E12" s="218"/>
      <c r="F12" s="218"/>
      <c r="G12" s="122" t="s">
        <v>55</v>
      </c>
      <c r="H12" s="122" t="s">
        <v>54</v>
      </c>
      <c r="I12" s="122" t="s">
        <v>53</v>
      </c>
      <c r="J12" s="122" t="s">
        <v>52</v>
      </c>
      <c r="K12" s="123" t="s">
        <v>51</v>
      </c>
      <c r="L12" s="123" t="s">
        <v>50</v>
      </c>
      <c r="M12" s="122" t="s">
        <v>55</v>
      </c>
      <c r="N12" s="122" t="s">
        <v>54</v>
      </c>
      <c r="O12" s="122" t="s">
        <v>53</v>
      </c>
      <c r="P12" s="122" t="s">
        <v>52</v>
      </c>
      <c r="Q12" s="123" t="s">
        <v>51</v>
      </c>
      <c r="R12" s="123" t="s">
        <v>50</v>
      </c>
      <c r="S12" s="122" t="s">
        <v>55</v>
      </c>
      <c r="T12" s="122" t="s">
        <v>54</v>
      </c>
      <c r="U12" s="122" t="s">
        <v>53</v>
      </c>
      <c r="V12" s="121" t="s">
        <v>52</v>
      </c>
      <c r="W12" s="120" t="s">
        <v>51</v>
      </c>
      <c r="X12" s="120" t="s">
        <v>50</v>
      </c>
      <c r="Y12" s="214"/>
      <c r="Z12" s="215"/>
      <c r="AA12" s="215"/>
      <c r="AB12" s="215"/>
      <c r="AC12" s="65"/>
      <c r="AD12" s="65"/>
      <c r="AE12" s="65"/>
    </row>
    <row r="13" spans="1:31" s="97" customFormat="1" ht="15" customHeight="1">
      <c r="A13" s="99"/>
      <c r="B13" s="90">
        <f>'116+240'!B14</f>
        <v>45281</v>
      </c>
      <c r="C13" s="119">
        <v>0</v>
      </c>
      <c r="D13" s="118">
        <f>VLOOKUP(B13,'116+240'!B14:AB115,2,FALSE)</f>
        <v>844</v>
      </c>
      <c r="E13" s="85">
        <f>VLOOKUP(B13,'116+240'!B14:AB115,3,FALSE)</f>
        <v>1625</v>
      </c>
      <c r="F13" s="85">
        <f t="shared" ref="F13:F76" si="0">D13+E13</f>
        <v>2469</v>
      </c>
      <c r="G13" s="117">
        <f>VLOOKUP(B13,'116+240'!$B$14:$AB$115,20,FALSE)</f>
        <v>39.999999999999993</v>
      </c>
      <c r="H13" s="117">
        <f>VLOOKUP(B13,'116+240'!$B$14:$AB$115,4,FALSE)</f>
        <v>429</v>
      </c>
      <c r="I13" s="115">
        <f t="shared" ref="I13:I76" si="1">F13-H13</f>
        <v>2040</v>
      </c>
      <c r="J13" s="115">
        <f>VLOOKUP(B13,'116+240'!$B$14:$AB$115,13,FALSE)</f>
        <v>39.999999999999993</v>
      </c>
      <c r="K13" s="89">
        <f>'116+240'!Q14</f>
        <v>0</v>
      </c>
      <c r="L13" s="116">
        <v>0</v>
      </c>
      <c r="M13" s="82">
        <f>VLOOKUP(B13,'116+240'!$B$14:$AB$115,21,FALSE)</f>
        <v>-80</v>
      </c>
      <c r="N13" s="85">
        <f>VLOOKUP(B13,'116+240'!$B$14:$AB$115,5,FALSE)</f>
        <v>549</v>
      </c>
      <c r="O13" s="115">
        <f t="shared" ref="O13:O76" si="2">F13-N13</f>
        <v>1920</v>
      </c>
      <c r="P13" s="115">
        <f>VLOOKUP(B13,'116+240'!$B$14:$AB$115,14,FALSE)</f>
        <v>-80</v>
      </c>
      <c r="Q13" s="89">
        <v>0</v>
      </c>
      <c r="R13" s="116">
        <v>0</v>
      </c>
      <c r="S13" s="82">
        <f>VLOOKUP(B13,'116+240'!$B$14:$AB$115,22,FALSE)</f>
        <v>-30</v>
      </c>
      <c r="T13" s="85">
        <f>VLOOKUP(B13,'116+240'!$B$13:$AB$115,6,FALSE)</f>
        <v>499</v>
      </c>
      <c r="U13" s="115">
        <f t="shared" ref="U13:U76" si="3">F13-T13</f>
        <v>1970</v>
      </c>
      <c r="V13" s="114">
        <f>VLOOKUP(B13,'116+240'!$B$14:$AB$115,15,FALSE)</f>
        <v>-30</v>
      </c>
      <c r="W13" s="113">
        <v>0</v>
      </c>
      <c r="X13" s="112">
        <v>0</v>
      </c>
      <c r="Y13" s="111">
        <v>0</v>
      </c>
      <c r="Z13" s="77">
        <f>IF(Y13&gt;0,Y13,0)</f>
        <v>0</v>
      </c>
      <c r="AA13" s="76">
        <f>Z13</f>
        <v>0</v>
      </c>
      <c r="AB13" s="76">
        <v>0</v>
      </c>
      <c r="AC13" s="65"/>
      <c r="AD13" s="65"/>
      <c r="AE13" s="65"/>
    </row>
    <row r="14" spans="1:31" s="97" customFormat="1" ht="15" customHeight="1">
      <c r="A14" s="99"/>
      <c r="B14" s="90">
        <f>'116+240'!B15</f>
        <v>45282</v>
      </c>
      <c r="C14" s="87">
        <f t="shared" ref="C14:C77" si="4">B14-B13</f>
        <v>1</v>
      </c>
      <c r="D14" s="86">
        <f t="shared" ref="D14:D77" si="5">D13</f>
        <v>844</v>
      </c>
      <c r="E14" s="85">
        <f>VLOOKUP(B14,'116+240'!B15:AB116,3,FALSE)</f>
        <v>1623</v>
      </c>
      <c r="F14" s="81">
        <f t="shared" si="0"/>
        <v>2467</v>
      </c>
      <c r="G14" s="84">
        <f>VLOOKUP(B14,'116+240'!$B$15:$AB$115,20,FALSE)</f>
        <v>39.999999999999993</v>
      </c>
      <c r="H14" s="84">
        <f>VLOOKUP(B14,'116+240'!$B$15:$AB$115,4,FALSE)</f>
        <v>427</v>
      </c>
      <c r="I14" s="80">
        <f t="shared" si="1"/>
        <v>2040</v>
      </c>
      <c r="J14" s="80">
        <f>VLOOKUP(B14,'116+240'!$B$15:$AB$115,13,FALSE)</f>
        <v>39.999999999999993</v>
      </c>
      <c r="K14" s="89">
        <f>'116+240'!Q15</f>
        <v>0</v>
      </c>
      <c r="L14" s="83">
        <f t="shared" ref="L14:L77" si="6">+K14+L13</f>
        <v>0</v>
      </c>
      <c r="M14" s="82">
        <f>VLOOKUP(B14,'116+240'!$B$14:$AB$115,21,FALSE)</f>
        <v>-80</v>
      </c>
      <c r="N14" s="81">
        <f>VLOOKUP(B14,'116+240'!$B$15:$AB$115,5,FALSE)</f>
        <v>547</v>
      </c>
      <c r="O14" s="80">
        <f t="shared" si="2"/>
        <v>1920</v>
      </c>
      <c r="P14" s="80">
        <f>VLOOKUP(B14,'116+240'!$B$15:$AB$115,14,FALSE)</f>
        <v>-80</v>
      </c>
      <c r="Q14" s="89">
        <f>'116+240'!R15</f>
        <v>0</v>
      </c>
      <c r="R14" s="83">
        <f t="shared" ref="R14:R77" si="7">+Q14+R13</f>
        <v>0</v>
      </c>
      <c r="S14" s="82">
        <f>VLOOKUP(B14,'116+240'!$B$14:$AB$115,22,FALSE)</f>
        <v>-30</v>
      </c>
      <c r="T14" s="81">
        <f>VLOOKUP(B14,'116+240'!$B$15:$AB$115,6,FALSE)</f>
        <v>497</v>
      </c>
      <c r="U14" s="80">
        <f t="shared" si="3"/>
        <v>1970</v>
      </c>
      <c r="V14" s="79">
        <f>VLOOKUP(B14,'116+240'!$B$15:$AB$115,15,FALSE)</f>
        <v>-30</v>
      </c>
      <c r="W14" s="89">
        <f>'116+240'!S15</f>
        <v>0</v>
      </c>
      <c r="X14" s="83">
        <f t="shared" ref="X14:X77" si="8">+W14+X13</f>
        <v>0</v>
      </c>
      <c r="Y14" s="78">
        <f t="shared" ref="Y14:Y77" si="9">S14-S13</f>
        <v>0</v>
      </c>
      <c r="Z14" s="77">
        <f t="shared" ref="Z14:Z77" si="10">IF(Y14&gt;0,Y14,0)/1000</f>
        <v>0</v>
      </c>
      <c r="AA14" s="76">
        <f t="shared" ref="AA14:AA77" si="11">AA13+Z14</f>
        <v>0</v>
      </c>
      <c r="AB14" s="76">
        <f t="shared" ref="AB14:AB77" si="12">(M14-$M$13-R14)/1000</f>
        <v>0</v>
      </c>
      <c r="AC14" s="65"/>
      <c r="AD14" s="65"/>
      <c r="AE14" s="65"/>
    </row>
    <row r="15" spans="1:31" s="97" customFormat="1" ht="15" customHeight="1">
      <c r="A15" s="99">
        <v>1</v>
      </c>
      <c r="B15" s="90">
        <f>'116+240'!B16</f>
        <v>45283</v>
      </c>
      <c r="C15" s="87">
        <f t="shared" si="4"/>
        <v>1</v>
      </c>
      <c r="D15" s="86">
        <f t="shared" si="5"/>
        <v>844</v>
      </c>
      <c r="E15" s="85">
        <f>VLOOKUP(B15,'116+240'!B16:AB117,3,FALSE)</f>
        <v>1621</v>
      </c>
      <c r="F15" s="81">
        <f t="shared" si="0"/>
        <v>2465</v>
      </c>
      <c r="G15" s="84">
        <f>VLOOKUP(B15,'116+240'!$B$15:$AB$115,20,FALSE)</f>
        <v>39.999999999999993</v>
      </c>
      <c r="H15" s="84">
        <f>VLOOKUP(B15,'116+240'!$B$15:$AB$115,4,FALSE)</f>
        <v>425</v>
      </c>
      <c r="I15" s="80">
        <f t="shared" si="1"/>
        <v>2040</v>
      </c>
      <c r="J15" s="80">
        <f>VLOOKUP(B15,'116+240'!$B$15:$AB$115,13,FALSE)</f>
        <v>39.999999999999993</v>
      </c>
      <c r="K15" s="89">
        <f>'116+240'!Q16</f>
        <v>0</v>
      </c>
      <c r="L15" s="83">
        <f t="shared" si="6"/>
        <v>0</v>
      </c>
      <c r="M15" s="82">
        <f>VLOOKUP(B15,'116+240'!$B$14:$AB$115,21,FALSE)</f>
        <v>-80</v>
      </c>
      <c r="N15" s="81">
        <f>VLOOKUP(B15,'116+240'!$B$15:$AB$115,5,FALSE)</f>
        <v>545</v>
      </c>
      <c r="O15" s="80">
        <f t="shared" si="2"/>
        <v>1920</v>
      </c>
      <c r="P15" s="80">
        <f>VLOOKUP(B15,'116+240'!$B$15:$AB$115,14,FALSE)</f>
        <v>-80</v>
      </c>
      <c r="Q15" s="89">
        <f>'116+240'!R16</f>
        <v>0</v>
      </c>
      <c r="R15" s="83">
        <f t="shared" si="7"/>
        <v>0</v>
      </c>
      <c r="S15" s="82">
        <f>VLOOKUP(B15,'116+240'!$B$14:$AB$115,22,FALSE)</f>
        <v>-30</v>
      </c>
      <c r="T15" s="81">
        <f>VLOOKUP(B15,'116+240'!$B$15:$AB$115,6,FALSE)</f>
        <v>495</v>
      </c>
      <c r="U15" s="80">
        <f t="shared" si="3"/>
        <v>1970</v>
      </c>
      <c r="V15" s="79">
        <f>VLOOKUP(B15,'116+240'!$B$15:$AB$115,15,FALSE)</f>
        <v>-30</v>
      </c>
      <c r="W15" s="89">
        <f>'116+240'!S16</f>
        <v>0</v>
      </c>
      <c r="X15" s="83">
        <f t="shared" si="8"/>
        <v>0</v>
      </c>
      <c r="Y15" s="78">
        <f t="shared" si="9"/>
        <v>0</v>
      </c>
      <c r="Z15" s="77">
        <f t="shared" si="10"/>
        <v>0</v>
      </c>
      <c r="AA15" s="76">
        <f t="shared" si="11"/>
        <v>0</v>
      </c>
      <c r="AB15" s="76">
        <f t="shared" si="12"/>
        <v>0</v>
      </c>
      <c r="AC15" s="65"/>
      <c r="AD15" s="65"/>
      <c r="AE15" s="65"/>
    </row>
    <row r="16" spans="1:31" s="97" customFormat="1" ht="15" customHeight="1">
      <c r="A16" s="99">
        <f t="shared" ref="A16:A21" si="13">A15+1</f>
        <v>2</v>
      </c>
      <c r="B16" s="90">
        <f>'116+240'!B17</f>
        <v>45284</v>
      </c>
      <c r="C16" s="87">
        <f t="shared" si="4"/>
        <v>1</v>
      </c>
      <c r="D16" s="86">
        <f t="shared" si="5"/>
        <v>844</v>
      </c>
      <c r="E16" s="85">
        <f>VLOOKUP(B16,'116+240'!B17:AB118,3,FALSE)</f>
        <v>1619</v>
      </c>
      <c r="F16" s="81">
        <f t="shared" si="0"/>
        <v>2463</v>
      </c>
      <c r="G16" s="84">
        <f>VLOOKUP(B16,'116+240'!$B$15:$AB$115,20,FALSE)</f>
        <v>39.999999999999993</v>
      </c>
      <c r="H16" s="84">
        <f>VLOOKUP(B16,'116+240'!$B$15:$AB$115,4,FALSE)</f>
        <v>423</v>
      </c>
      <c r="I16" s="80">
        <f t="shared" si="1"/>
        <v>2040</v>
      </c>
      <c r="J16" s="80">
        <f>VLOOKUP(B16,'116+240'!$B$15:$AB$115,13,FALSE)</f>
        <v>39.999999999999993</v>
      </c>
      <c r="K16" s="89">
        <f>'116+240'!Q17</f>
        <v>0</v>
      </c>
      <c r="L16" s="83">
        <f t="shared" si="6"/>
        <v>0</v>
      </c>
      <c r="M16" s="82">
        <f>VLOOKUP(B16,'116+240'!$B$14:$AB$115,21,FALSE)</f>
        <v>-80</v>
      </c>
      <c r="N16" s="81">
        <f>VLOOKUP(B16,'116+240'!$B$15:$AB$115,5,FALSE)</f>
        <v>543</v>
      </c>
      <c r="O16" s="80">
        <f t="shared" si="2"/>
        <v>1920</v>
      </c>
      <c r="P16" s="80">
        <f>VLOOKUP(B16,'116+240'!$B$15:$AB$115,14,FALSE)</f>
        <v>-80</v>
      </c>
      <c r="Q16" s="89">
        <f>'116+240'!R17</f>
        <v>0</v>
      </c>
      <c r="R16" s="83">
        <f t="shared" si="7"/>
        <v>0</v>
      </c>
      <c r="S16" s="82">
        <f>VLOOKUP(B16,'116+240'!$B$14:$AB$115,22,FALSE)</f>
        <v>-30</v>
      </c>
      <c r="T16" s="81">
        <f>VLOOKUP(B16,'116+240'!$B$15:$AB$115,6,FALSE)</f>
        <v>493</v>
      </c>
      <c r="U16" s="80">
        <f t="shared" si="3"/>
        <v>1970</v>
      </c>
      <c r="V16" s="79">
        <f>VLOOKUP(B16,'116+240'!$B$15:$AB$115,15,FALSE)</f>
        <v>-30</v>
      </c>
      <c r="W16" s="89">
        <f>'116+240'!S17</f>
        <v>0</v>
      </c>
      <c r="X16" s="83">
        <f t="shared" si="8"/>
        <v>0</v>
      </c>
      <c r="Y16" s="78">
        <f t="shared" si="9"/>
        <v>0</v>
      </c>
      <c r="Z16" s="77">
        <f t="shared" si="10"/>
        <v>0</v>
      </c>
      <c r="AA16" s="76">
        <f t="shared" si="11"/>
        <v>0</v>
      </c>
      <c r="AB16" s="76">
        <f t="shared" si="12"/>
        <v>0</v>
      </c>
      <c r="AC16" s="65"/>
      <c r="AD16" s="65"/>
      <c r="AE16" s="98"/>
    </row>
    <row r="17" spans="1:31" s="97" customFormat="1" ht="15" customHeight="1">
      <c r="A17" s="99">
        <f t="shared" si="13"/>
        <v>3</v>
      </c>
      <c r="B17" s="90">
        <f>'116+240'!B18</f>
        <v>45285</v>
      </c>
      <c r="C17" s="87">
        <f t="shared" si="4"/>
        <v>1</v>
      </c>
      <c r="D17" s="86">
        <f t="shared" si="5"/>
        <v>844</v>
      </c>
      <c r="E17" s="85">
        <f>VLOOKUP(B17,'116+240'!B18:AB119,3,FALSE)</f>
        <v>1617</v>
      </c>
      <c r="F17" s="81">
        <f t="shared" si="0"/>
        <v>2461</v>
      </c>
      <c r="G17" s="84">
        <f>VLOOKUP(B17,'116+240'!$B$15:$AB$115,20,FALSE)</f>
        <v>39.999999999999993</v>
      </c>
      <c r="H17" s="84">
        <f>VLOOKUP(B17,'116+240'!$B$15:$AB$115,4,FALSE)</f>
        <v>421</v>
      </c>
      <c r="I17" s="80">
        <f t="shared" si="1"/>
        <v>2040</v>
      </c>
      <c r="J17" s="80">
        <f>VLOOKUP(B17,'116+240'!$B$15:$AB$115,13,FALSE)</f>
        <v>39.999999999999993</v>
      </c>
      <c r="K17" s="89">
        <f>'116+240'!Q18</f>
        <v>0</v>
      </c>
      <c r="L17" s="83">
        <f t="shared" si="6"/>
        <v>0</v>
      </c>
      <c r="M17" s="82">
        <f>VLOOKUP(B17,'116+240'!$B$14:$AB$115,21,FALSE)</f>
        <v>-80</v>
      </c>
      <c r="N17" s="81">
        <f>VLOOKUP(B17,'116+240'!$B$15:$AB$115,5,FALSE)</f>
        <v>541</v>
      </c>
      <c r="O17" s="80">
        <f t="shared" si="2"/>
        <v>1920</v>
      </c>
      <c r="P17" s="80">
        <f>VLOOKUP(B17,'116+240'!$B$15:$AB$115,14,FALSE)</f>
        <v>-80</v>
      </c>
      <c r="Q17" s="89">
        <f>'116+240'!R18</f>
        <v>0</v>
      </c>
      <c r="R17" s="83">
        <f t="shared" si="7"/>
        <v>0</v>
      </c>
      <c r="S17" s="82">
        <f>VLOOKUP(B17,'116+240'!$B$14:$AB$115,22,FALSE)</f>
        <v>-30</v>
      </c>
      <c r="T17" s="81">
        <f>VLOOKUP(B17,'116+240'!$B$15:$AB$115,6,FALSE)</f>
        <v>491</v>
      </c>
      <c r="U17" s="80">
        <f t="shared" si="3"/>
        <v>1970</v>
      </c>
      <c r="V17" s="79">
        <f>VLOOKUP(B17,'116+240'!$B$15:$AB$115,15,FALSE)</f>
        <v>-30</v>
      </c>
      <c r="W17" s="89">
        <f>'116+240'!S18</f>
        <v>0</v>
      </c>
      <c r="X17" s="83">
        <f t="shared" si="8"/>
        <v>0</v>
      </c>
      <c r="Y17" s="78">
        <f t="shared" si="9"/>
        <v>0</v>
      </c>
      <c r="Z17" s="77">
        <f t="shared" si="10"/>
        <v>0</v>
      </c>
      <c r="AA17" s="76">
        <f t="shared" si="11"/>
        <v>0</v>
      </c>
      <c r="AB17" s="76">
        <f t="shared" si="12"/>
        <v>0</v>
      </c>
      <c r="AC17" s="65"/>
      <c r="AD17" s="65"/>
      <c r="AE17" s="98"/>
    </row>
    <row r="18" spans="1:31" s="97" customFormat="1" ht="15" customHeight="1">
      <c r="A18" s="99">
        <f t="shared" si="13"/>
        <v>4</v>
      </c>
      <c r="B18" s="90">
        <f>'116+240'!B19</f>
        <v>45286</v>
      </c>
      <c r="C18" s="87">
        <f t="shared" si="4"/>
        <v>1</v>
      </c>
      <c r="D18" s="86">
        <f t="shared" si="5"/>
        <v>844</v>
      </c>
      <c r="E18" s="85">
        <f>VLOOKUP(B18,'116+240'!B19:AB120,3,FALSE)</f>
        <v>1615</v>
      </c>
      <c r="F18" s="81">
        <f t="shared" si="0"/>
        <v>2459</v>
      </c>
      <c r="G18" s="84">
        <f>VLOOKUP(B18,'116+240'!$B$15:$AB$115,20,FALSE)</f>
        <v>39.999999999999993</v>
      </c>
      <c r="H18" s="84">
        <f>VLOOKUP(B18,'116+240'!$B$15:$AB$115,4,FALSE)</f>
        <v>419</v>
      </c>
      <c r="I18" s="80">
        <f t="shared" si="1"/>
        <v>2040</v>
      </c>
      <c r="J18" s="80">
        <f>VLOOKUP(B18,'116+240'!$B$15:$AB$115,13,FALSE)</f>
        <v>39.999999999999993</v>
      </c>
      <c r="K18" s="89">
        <f>'116+240'!Q19</f>
        <v>0</v>
      </c>
      <c r="L18" s="83">
        <f t="shared" si="6"/>
        <v>0</v>
      </c>
      <c r="M18" s="82">
        <f>VLOOKUP(B18,'116+240'!$B$14:$AB$115,21,FALSE)</f>
        <v>-80</v>
      </c>
      <c r="N18" s="81">
        <f>VLOOKUP(B18,'116+240'!$B$15:$AB$115,5,FALSE)</f>
        <v>539</v>
      </c>
      <c r="O18" s="80">
        <f t="shared" si="2"/>
        <v>1920</v>
      </c>
      <c r="P18" s="80">
        <f>VLOOKUP(B18,'116+240'!$B$15:$AB$115,14,FALSE)</f>
        <v>-80</v>
      </c>
      <c r="Q18" s="89">
        <f>'116+240'!R19</f>
        <v>0</v>
      </c>
      <c r="R18" s="83">
        <f t="shared" si="7"/>
        <v>0</v>
      </c>
      <c r="S18" s="82">
        <f>VLOOKUP(B18,'116+240'!$B$14:$AB$115,22,FALSE)</f>
        <v>-30</v>
      </c>
      <c r="T18" s="81">
        <f>VLOOKUP(B18,'116+240'!$B$15:$AB$115,6,FALSE)</f>
        <v>489</v>
      </c>
      <c r="U18" s="80">
        <f t="shared" si="3"/>
        <v>1970</v>
      </c>
      <c r="V18" s="79">
        <f>VLOOKUP(B18,'116+240'!$B$15:$AB$115,15,FALSE)</f>
        <v>-30</v>
      </c>
      <c r="W18" s="89">
        <f>'116+240'!S19</f>
        <v>0</v>
      </c>
      <c r="X18" s="83">
        <f t="shared" si="8"/>
        <v>0</v>
      </c>
      <c r="Y18" s="78">
        <f t="shared" si="9"/>
        <v>0</v>
      </c>
      <c r="Z18" s="77">
        <f t="shared" si="10"/>
        <v>0</v>
      </c>
      <c r="AA18" s="76">
        <f t="shared" si="11"/>
        <v>0</v>
      </c>
      <c r="AB18" s="76">
        <f t="shared" si="12"/>
        <v>0</v>
      </c>
      <c r="AC18" s="65"/>
      <c r="AD18" s="65"/>
      <c r="AE18" s="98"/>
    </row>
    <row r="19" spans="1:31" s="97" customFormat="1" ht="15" customHeight="1">
      <c r="A19" s="99">
        <f t="shared" si="13"/>
        <v>5</v>
      </c>
      <c r="B19" s="90">
        <f>'116+240'!B20</f>
        <v>45287</v>
      </c>
      <c r="C19" s="87">
        <f t="shared" si="4"/>
        <v>1</v>
      </c>
      <c r="D19" s="86">
        <f t="shared" si="5"/>
        <v>844</v>
      </c>
      <c r="E19" s="85">
        <f>VLOOKUP(B19,'116+240'!B20:AB121,3,FALSE)</f>
        <v>1613</v>
      </c>
      <c r="F19" s="81">
        <f t="shared" si="0"/>
        <v>2457</v>
      </c>
      <c r="G19" s="84">
        <f>VLOOKUP(B19,'116+240'!$B$15:$AB$115,20,FALSE)</f>
        <v>39.999999999999993</v>
      </c>
      <c r="H19" s="84">
        <f>VLOOKUP(B19,'116+240'!$B$15:$AB$115,4,FALSE)</f>
        <v>417</v>
      </c>
      <c r="I19" s="80">
        <f t="shared" si="1"/>
        <v>2040</v>
      </c>
      <c r="J19" s="80">
        <f>VLOOKUP(B19,'116+240'!$B$15:$AB$115,13,FALSE)</f>
        <v>39.999999999999993</v>
      </c>
      <c r="K19" s="89">
        <f>'116+240'!Q20</f>
        <v>0</v>
      </c>
      <c r="L19" s="83">
        <f t="shared" si="6"/>
        <v>0</v>
      </c>
      <c r="M19" s="82">
        <f>VLOOKUP(B19,'116+240'!$B$14:$AB$115,21,FALSE)</f>
        <v>-80</v>
      </c>
      <c r="N19" s="81">
        <f>VLOOKUP(B19,'116+240'!$B$15:$AB$115,5,FALSE)</f>
        <v>537</v>
      </c>
      <c r="O19" s="80">
        <f t="shared" si="2"/>
        <v>1920</v>
      </c>
      <c r="P19" s="80">
        <f>VLOOKUP(B19,'116+240'!$B$15:$AB$115,14,FALSE)</f>
        <v>-80</v>
      </c>
      <c r="Q19" s="89">
        <f>'116+240'!R20</f>
        <v>0</v>
      </c>
      <c r="R19" s="83">
        <f t="shared" si="7"/>
        <v>0</v>
      </c>
      <c r="S19" s="82">
        <f>VLOOKUP(B19,'116+240'!$B$14:$AB$115,22,FALSE)</f>
        <v>-30</v>
      </c>
      <c r="T19" s="81">
        <f>VLOOKUP(B19,'116+240'!$B$15:$AB$115,6,FALSE)</f>
        <v>487</v>
      </c>
      <c r="U19" s="80">
        <f t="shared" si="3"/>
        <v>1970</v>
      </c>
      <c r="V19" s="79">
        <f>VLOOKUP(B19,'116+240'!$B$15:$AB$115,15,FALSE)</f>
        <v>-30</v>
      </c>
      <c r="W19" s="89">
        <f>'116+240'!S20</f>
        <v>0</v>
      </c>
      <c r="X19" s="83">
        <f t="shared" si="8"/>
        <v>0</v>
      </c>
      <c r="Y19" s="78">
        <f t="shared" si="9"/>
        <v>0</v>
      </c>
      <c r="Z19" s="77">
        <f t="shared" si="10"/>
        <v>0</v>
      </c>
      <c r="AA19" s="76">
        <f t="shared" si="11"/>
        <v>0</v>
      </c>
      <c r="AB19" s="76">
        <f t="shared" si="12"/>
        <v>0</v>
      </c>
      <c r="AC19" s="65"/>
      <c r="AD19" s="65"/>
      <c r="AE19" s="98"/>
    </row>
    <row r="20" spans="1:31" s="97" customFormat="1" ht="15" customHeight="1">
      <c r="A20" s="99">
        <f t="shared" si="13"/>
        <v>6</v>
      </c>
      <c r="B20" s="90">
        <f>'116+240'!B21</f>
        <v>45288</v>
      </c>
      <c r="C20" s="87">
        <f t="shared" si="4"/>
        <v>1</v>
      </c>
      <c r="D20" s="86">
        <f t="shared" si="5"/>
        <v>844</v>
      </c>
      <c r="E20" s="85">
        <f>VLOOKUP(B20,'116+240'!B21:AB122,3,FALSE)</f>
        <v>1611</v>
      </c>
      <c r="F20" s="81">
        <f t="shared" si="0"/>
        <v>2455</v>
      </c>
      <c r="G20" s="84">
        <f>VLOOKUP(B20,'116+240'!$B$15:$AB$115,20,FALSE)</f>
        <v>39.999999999999993</v>
      </c>
      <c r="H20" s="84">
        <f>VLOOKUP(B20,'116+240'!$B$15:$AB$115,4,FALSE)</f>
        <v>415</v>
      </c>
      <c r="I20" s="80">
        <f t="shared" si="1"/>
        <v>2040</v>
      </c>
      <c r="J20" s="80">
        <f>VLOOKUP(B20,'116+240'!$B$15:$AB$115,13,FALSE)</f>
        <v>39.999999999999993</v>
      </c>
      <c r="K20" s="89">
        <f>'116+240'!Q21</f>
        <v>0</v>
      </c>
      <c r="L20" s="83">
        <f t="shared" si="6"/>
        <v>0</v>
      </c>
      <c r="M20" s="82">
        <f>VLOOKUP(B20,'116+240'!$B$14:$AB$115,21,FALSE)</f>
        <v>-80</v>
      </c>
      <c r="N20" s="81">
        <f>VLOOKUP(B20,'116+240'!$B$15:$AB$115,5,FALSE)</f>
        <v>535</v>
      </c>
      <c r="O20" s="80">
        <f t="shared" si="2"/>
        <v>1920</v>
      </c>
      <c r="P20" s="80">
        <f>VLOOKUP(B20,'116+240'!$B$15:$AB$115,14,FALSE)</f>
        <v>-80</v>
      </c>
      <c r="Q20" s="89">
        <f>'116+240'!R21</f>
        <v>0</v>
      </c>
      <c r="R20" s="83">
        <f t="shared" si="7"/>
        <v>0</v>
      </c>
      <c r="S20" s="82">
        <f>VLOOKUP(B20,'116+240'!$B$14:$AB$115,22,FALSE)</f>
        <v>-30</v>
      </c>
      <c r="T20" s="81">
        <f>VLOOKUP(B20,'116+240'!$B$15:$AB$115,6,FALSE)</f>
        <v>485</v>
      </c>
      <c r="U20" s="80">
        <f t="shared" si="3"/>
        <v>1970</v>
      </c>
      <c r="V20" s="79">
        <f>VLOOKUP(B20,'116+240'!$B$15:$AB$115,15,FALSE)</f>
        <v>-30</v>
      </c>
      <c r="W20" s="89">
        <f>'116+240'!S21</f>
        <v>0</v>
      </c>
      <c r="X20" s="83">
        <f t="shared" si="8"/>
        <v>0</v>
      </c>
      <c r="Y20" s="78">
        <f t="shared" si="9"/>
        <v>0</v>
      </c>
      <c r="Z20" s="77">
        <f t="shared" si="10"/>
        <v>0</v>
      </c>
      <c r="AA20" s="76">
        <f t="shared" si="11"/>
        <v>0</v>
      </c>
      <c r="AB20" s="76">
        <f t="shared" si="12"/>
        <v>0</v>
      </c>
      <c r="AC20" s="65"/>
      <c r="AD20" s="65"/>
      <c r="AE20" s="98"/>
    </row>
    <row r="21" spans="1:31" s="106" customFormat="1" ht="15" customHeight="1">
      <c r="A21" s="99">
        <f t="shared" si="13"/>
        <v>7</v>
      </c>
      <c r="B21" s="90">
        <f>'116+240'!B22</f>
        <v>45289</v>
      </c>
      <c r="C21" s="87">
        <f t="shared" si="4"/>
        <v>1</v>
      </c>
      <c r="D21" s="86">
        <f t="shared" si="5"/>
        <v>844</v>
      </c>
      <c r="E21" s="85">
        <f>VLOOKUP(B21,'116+240'!B22:AB123,3,FALSE)</f>
        <v>1609</v>
      </c>
      <c r="F21" s="81">
        <f t="shared" si="0"/>
        <v>2453</v>
      </c>
      <c r="G21" s="84">
        <f>VLOOKUP(B21,'116+240'!$B$15:$AB$115,20,FALSE)</f>
        <v>39.999999999999993</v>
      </c>
      <c r="H21" s="84">
        <f>VLOOKUP(B21,'116+240'!$B$15:$AB$115,4,FALSE)</f>
        <v>413</v>
      </c>
      <c r="I21" s="80">
        <f t="shared" si="1"/>
        <v>2040</v>
      </c>
      <c r="J21" s="80">
        <f>VLOOKUP(B21,'116+240'!$B$15:$AB$115,13,FALSE)</f>
        <v>39.999999999999993</v>
      </c>
      <c r="K21" s="89">
        <f>'116+240'!Q22</f>
        <v>0</v>
      </c>
      <c r="L21" s="83">
        <f t="shared" si="6"/>
        <v>0</v>
      </c>
      <c r="M21" s="82">
        <f>VLOOKUP(B21,'116+240'!$B$14:$AB$115,21,FALSE)</f>
        <v>-80</v>
      </c>
      <c r="N21" s="81">
        <f>VLOOKUP(B21,'116+240'!$B$15:$AB$115,5,FALSE)</f>
        <v>533</v>
      </c>
      <c r="O21" s="80">
        <f t="shared" si="2"/>
        <v>1920</v>
      </c>
      <c r="P21" s="80">
        <f>VLOOKUP(B21,'116+240'!$B$15:$AB$115,14,FALSE)</f>
        <v>-80</v>
      </c>
      <c r="Q21" s="89">
        <f>'116+240'!R22</f>
        <v>0</v>
      </c>
      <c r="R21" s="83">
        <f t="shared" si="7"/>
        <v>0</v>
      </c>
      <c r="S21" s="82">
        <f>VLOOKUP(B21,'116+240'!$B$14:$AB$115,22,FALSE)</f>
        <v>-30</v>
      </c>
      <c r="T21" s="81">
        <f>VLOOKUP(B21,'116+240'!$B$15:$AB$115,6,FALSE)</f>
        <v>483</v>
      </c>
      <c r="U21" s="80">
        <f t="shared" si="3"/>
        <v>1970</v>
      </c>
      <c r="V21" s="79">
        <f>VLOOKUP(B21,'116+240'!$B$15:$AB$115,15,FALSE)</f>
        <v>-30</v>
      </c>
      <c r="W21" s="89">
        <f>'116+240'!S22</f>
        <v>0</v>
      </c>
      <c r="X21" s="83">
        <f t="shared" si="8"/>
        <v>0</v>
      </c>
      <c r="Y21" s="78">
        <f t="shared" si="9"/>
        <v>0</v>
      </c>
      <c r="Z21" s="77">
        <f t="shared" si="10"/>
        <v>0</v>
      </c>
      <c r="AA21" s="76">
        <f t="shared" si="11"/>
        <v>0</v>
      </c>
      <c r="AB21" s="76">
        <f t="shared" si="12"/>
        <v>0</v>
      </c>
      <c r="AC21" s="108"/>
      <c r="AD21" s="108"/>
      <c r="AE21" s="107"/>
    </row>
    <row r="22" spans="1:31" s="106" customFormat="1" ht="15" customHeight="1">
      <c r="A22" s="99"/>
      <c r="B22" s="90">
        <f>'116+240'!B23</f>
        <v>45290</v>
      </c>
      <c r="C22" s="87">
        <f t="shared" si="4"/>
        <v>1</v>
      </c>
      <c r="D22" s="86">
        <f t="shared" si="5"/>
        <v>844</v>
      </c>
      <c r="E22" s="85">
        <f>VLOOKUP(B22,'116+240'!B23:AB124,3,FALSE)</f>
        <v>1607</v>
      </c>
      <c r="F22" s="81">
        <f t="shared" si="0"/>
        <v>2451</v>
      </c>
      <c r="G22" s="84">
        <f>VLOOKUP(B22,'116+240'!$B$15:$AB$115,20,FALSE)</f>
        <v>39.999999999999993</v>
      </c>
      <c r="H22" s="84">
        <f>VLOOKUP(B22,'116+240'!$B$15:$AB$115,4,FALSE)</f>
        <v>411</v>
      </c>
      <c r="I22" s="80">
        <f t="shared" si="1"/>
        <v>2040</v>
      </c>
      <c r="J22" s="80">
        <f>VLOOKUP(B22,'116+240'!$B$15:$AB$115,13,FALSE)</f>
        <v>39.999999999999993</v>
      </c>
      <c r="K22" s="89">
        <f>'116+240'!Q23</f>
        <v>0</v>
      </c>
      <c r="L22" s="83">
        <f t="shared" si="6"/>
        <v>0</v>
      </c>
      <c r="M22" s="82">
        <f>VLOOKUP(B22,'116+240'!$B$14:$AB$115,21,FALSE)</f>
        <v>-80</v>
      </c>
      <c r="N22" s="81">
        <f>VLOOKUP(B22,'116+240'!$B$15:$AB$115,5,FALSE)</f>
        <v>531</v>
      </c>
      <c r="O22" s="80">
        <f t="shared" si="2"/>
        <v>1920</v>
      </c>
      <c r="P22" s="80">
        <f>VLOOKUP(B22,'116+240'!$B$15:$AB$115,14,FALSE)</f>
        <v>-80</v>
      </c>
      <c r="Q22" s="89">
        <f>'116+240'!R23</f>
        <v>0</v>
      </c>
      <c r="R22" s="83">
        <f t="shared" si="7"/>
        <v>0</v>
      </c>
      <c r="S22" s="82">
        <f>VLOOKUP(B22,'116+240'!$B$14:$AB$115,22,FALSE)</f>
        <v>-30</v>
      </c>
      <c r="T22" s="81">
        <f>VLOOKUP(B22,'116+240'!$B$15:$AB$115,6,FALSE)</f>
        <v>481</v>
      </c>
      <c r="U22" s="80">
        <f t="shared" si="3"/>
        <v>1970</v>
      </c>
      <c r="V22" s="79">
        <f>VLOOKUP(B22,'116+240'!$B$15:$AB$115,15,FALSE)</f>
        <v>-30</v>
      </c>
      <c r="W22" s="89">
        <f>'116+240'!S23</f>
        <v>0</v>
      </c>
      <c r="X22" s="83">
        <f t="shared" si="8"/>
        <v>0</v>
      </c>
      <c r="Y22" s="78">
        <f t="shared" si="9"/>
        <v>0</v>
      </c>
      <c r="Z22" s="77">
        <f t="shared" si="10"/>
        <v>0</v>
      </c>
      <c r="AA22" s="76">
        <f t="shared" si="11"/>
        <v>0</v>
      </c>
      <c r="AB22" s="76">
        <f t="shared" si="12"/>
        <v>0</v>
      </c>
      <c r="AC22" s="108"/>
      <c r="AD22" s="108"/>
      <c r="AE22" s="107"/>
    </row>
    <row r="23" spans="1:31" s="106" customFormat="1" ht="15" customHeight="1">
      <c r="A23" s="99"/>
      <c r="B23" s="90">
        <f>'116+240'!B24</f>
        <v>45291</v>
      </c>
      <c r="C23" s="87">
        <f t="shared" si="4"/>
        <v>1</v>
      </c>
      <c r="D23" s="86">
        <f t="shared" si="5"/>
        <v>844</v>
      </c>
      <c r="E23" s="85">
        <f>VLOOKUP(B23,'116+240'!B24:AB125,3,FALSE)</f>
        <v>1605</v>
      </c>
      <c r="F23" s="81">
        <f t="shared" si="0"/>
        <v>2449</v>
      </c>
      <c r="G23" s="84">
        <f>VLOOKUP(B23,'116+240'!$B$15:$AB$115,20,FALSE)</f>
        <v>39.999999999999993</v>
      </c>
      <c r="H23" s="84">
        <f>VLOOKUP(B23,'116+240'!$B$15:$AB$115,4,FALSE)</f>
        <v>409</v>
      </c>
      <c r="I23" s="80">
        <f t="shared" si="1"/>
        <v>2040</v>
      </c>
      <c r="J23" s="80">
        <f>VLOOKUP(B23,'116+240'!$B$15:$AB$115,13,FALSE)</f>
        <v>39.999999999999993</v>
      </c>
      <c r="K23" s="89">
        <f>'116+240'!Q24</f>
        <v>0</v>
      </c>
      <c r="L23" s="83">
        <f t="shared" si="6"/>
        <v>0</v>
      </c>
      <c r="M23" s="82">
        <f>VLOOKUP(B23,'116+240'!$B$14:$AB$115,21,FALSE)</f>
        <v>-80</v>
      </c>
      <c r="N23" s="81">
        <f>VLOOKUP(B23,'116+240'!$B$15:$AB$115,5,FALSE)</f>
        <v>529</v>
      </c>
      <c r="O23" s="80">
        <f t="shared" si="2"/>
        <v>1920</v>
      </c>
      <c r="P23" s="80">
        <f>VLOOKUP(B23,'116+240'!$B$15:$AB$115,14,FALSE)</f>
        <v>-80</v>
      </c>
      <c r="Q23" s="89">
        <f>'116+240'!R24</f>
        <v>0</v>
      </c>
      <c r="R23" s="83">
        <f t="shared" si="7"/>
        <v>0</v>
      </c>
      <c r="S23" s="82">
        <f>VLOOKUP(B23,'116+240'!$B$14:$AB$115,22,FALSE)</f>
        <v>-30</v>
      </c>
      <c r="T23" s="81">
        <f>VLOOKUP(B23,'116+240'!$B$15:$AB$115,6,FALSE)</f>
        <v>479</v>
      </c>
      <c r="U23" s="80">
        <f t="shared" si="3"/>
        <v>1970</v>
      </c>
      <c r="V23" s="79">
        <f>VLOOKUP(B23,'116+240'!$B$15:$AB$115,15,FALSE)</f>
        <v>-30</v>
      </c>
      <c r="W23" s="89">
        <f>'116+240'!S24</f>
        <v>0</v>
      </c>
      <c r="X23" s="83">
        <f t="shared" si="8"/>
        <v>0</v>
      </c>
      <c r="Y23" s="78">
        <f t="shared" si="9"/>
        <v>0</v>
      </c>
      <c r="Z23" s="77">
        <f t="shared" si="10"/>
        <v>0</v>
      </c>
      <c r="AA23" s="76">
        <f t="shared" si="11"/>
        <v>0</v>
      </c>
      <c r="AB23" s="76">
        <f t="shared" si="12"/>
        <v>0</v>
      </c>
      <c r="AC23" s="108"/>
      <c r="AD23" s="108"/>
      <c r="AE23" s="107"/>
    </row>
    <row r="24" spans="1:31" s="106" customFormat="1" ht="15" customHeight="1">
      <c r="A24" s="99"/>
      <c r="B24" s="90">
        <f>'116+240'!B25</f>
        <v>45292</v>
      </c>
      <c r="C24" s="87">
        <f t="shared" si="4"/>
        <v>1</v>
      </c>
      <c r="D24" s="86">
        <f t="shared" si="5"/>
        <v>844</v>
      </c>
      <c r="E24" s="85">
        <f>VLOOKUP(B24,'116+240'!B25:AB126,3,FALSE)</f>
        <v>1603</v>
      </c>
      <c r="F24" s="81">
        <f t="shared" si="0"/>
        <v>2447</v>
      </c>
      <c r="G24" s="84">
        <f>VLOOKUP(B24,'116+240'!$B$15:$AB$115,20,FALSE)</f>
        <v>39.999999999999993</v>
      </c>
      <c r="H24" s="84">
        <f>VLOOKUP(B24,'116+240'!$B$15:$AB$115,4,FALSE)</f>
        <v>407</v>
      </c>
      <c r="I24" s="80">
        <f t="shared" si="1"/>
        <v>2040</v>
      </c>
      <c r="J24" s="80">
        <f>VLOOKUP(B24,'116+240'!$B$15:$AB$115,13,FALSE)</f>
        <v>39.999999999999993</v>
      </c>
      <c r="K24" s="89">
        <f>'116+240'!Q25</f>
        <v>0</v>
      </c>
      <c r="L24" s="83">
        <f t="shared" si="6"/>
        <v>0</v>
      </c>
      <c r="M24" s="82">
        <f>VLOOKUP(B24,'116+240'!$B$14:$AB$115,21,FALSE)</f>
        <v>-80</v>
      </c>
      <c r="N24" s="81">
        <f>VLOOKUP(B24,'116+240'!$B$15:$AB$115,5,FALSE)</f>
        <v>527</v>
      </c>
      <c r="O24" s="80">
        <f t="shared" si="2"/>
        <v>1920</v>
      </c>
      <c r="P24" s="80">
        <f>VLOOKUP(B24,'116+240'!$B$15:$AB$115,14,FALSE)</f>
        <v>-80</v>
      </c>
      <c r="Q24" s="89">
        <f>'116+240'!R25</f>
        <v>0</v>
      </c>
      <c r="R24" s="83">
        <f t="shared" si="7"/>
        <v>0</v>
      </c>
      <c r="S24" s="82">
        <f>VLOOKUP(B24,'116+240'!$B$14:$AB$115,22,FALSE)</f>
        <v>-30</v>
      </c>
      <c r="T24" s="81">
        <f>VLOOKUP(B24,'116+240'!$B$15:$AB$115,6,FALSE)</f>
        <v>477</v>
      </c>
      <c r="U24" s="80">
        <f t="shared" si="3"/>
        <v>1970</v>
      </c>
      <c r="V24" s="79">
        <f>VLOOKUP(B24,'116+240'!$B$15:$AB$115,15,FALSE)</f>
        <v>-30</v>
      </c>
      <c r="W24" s="89">
        <f>'116+240'!S25</f>
        <v>0</v>
      </c>
      <c r="X24" s="83">
        <f t="shared" si="8"/>
        <v>0</v>
      </c>
      <c r="Y24" s="78">
        <f t="shared" si="9"/>
        <v>0</v>
      </c>
      <c r="Z24" s="77">
        <f t="shared" si="10"/>
        <v>0</v>
      </c>
      <c r="AA24" s="76">
        <f t="shared" si="11"/>
        <v>0</v>
      </c>
      <c r="AB24" s="76">
        <f t="shared" si="12"/>
        <v>0</v>
      </c>
      <c r="AC24" s="108"/>
      <c r="AD24" s="108"/>
      <c r="AE24" s="107"/>
    </row>
    <row r="25" spans="1:31" s="106" customFormat="1" ht="15" customHeight="1">
      <c r="A25" s="99"/>
      <c r="B25" s="90">
        <f>'116+240'!B26</f>
        <v>45293</v>
      </c>
      <c r="C25" s="87">
        <f t="shared" si="4"/>
        <v>1</v>
      </c>
      <c r="D25" s="86">
        <f t="shared" si="5"/>
        <v>844</v>
      </c>
      <c r="E25" s="85">
        <f>VLOOKUP(B25,'116+240'!B26:AB127,3,FALSE)</f>
        <v>1601</v>
      </c>
      <c r="F25" s="81">
        <f t="shared" si="0"/>
        <v>2445</v>
      </c>
      <c r="G25" s="84">
        <f>VLOOKUP(B25,'116+240'!$B$15:$AB$115,20,FALSE)</f>
        <v>94</v>
      </c>
      <c r="H25" s="84">
        <f>VLOOKUP(B25,'116+240'!$B$15:$AB$115,4,FALSE)</f>
        <v>411</v>
      </c>
      <c r="I25" s="80">
        <f t="shared" si="1"/>
        <v>2034</v>
      </c>
      <c r="J25" s="80">
        <f>VLOOKUP(B25,'116+240'!$B$15:$AB$115,13,FALSE)</f>
        <v>33.999999999999993</v>
      </c>
      <c r="K25" s="89">
        <f>'116+240'!Q26</f>
        <v>6</v>
      </c>
      <c r="L25" s="83">
        <f t="shared" si="6"/>
        <v>6</v>
      </c>
      <c r="M25" s="82">
        <f>VLOOKUP(B25,'116+240'!$B$14:$AB$115,21,FALSE)</f>
        <v>92</v>
      </c>
      <c r="N25" s="81">
        <f>VLOOKUP(B25,'116+240'!$B$15:$AB$115,5,FALSE)</f>
        <v>533</v>
      </c>
      <c r="O25" s="80">
        <f t="shared" si="2"/>
        <v>1912</v>
      </c>
      <c r="P25" s="80">
        <f>VLOOKUP(B25,'116+240'!$B$15:$AB$115,14,FALSE)</f>
        <v>-88</v>
      </c>
      <c r="Q25" s="89">
        <f>'116+240'!R26</f>
        <v>8</v>
      </c>
      <c r="R25" s="83">
        <f t="shared" si="7"/>
        <v>8</v>
      </c>
      <c r="S25" s="82">
        <f>VLOOKUP(B25,'116+240'!$B$14:$AB$115,22,FALSE)</f>
        <v>95</v>
      </c>
      <c r="T25" s="81">
        <f>VLOOKUP(B25,'116+240'!$B$15:$AB$115,6,FALSE)</f>
        <v>480</v>
      </c>
      <c r="U25" s="80">
        <f t="shared" si="3"/>
        <v>1965</v>
      </c>
      <c r="V25" s="79">
        <f>VLOOKUP(B25,'116+240'!$B$15:$AB$115,15,FALSE)</f>
        <v>-35</v>
      </c>
      <c r="W25" s="89">
        <f>'116+240'!S26</f>
        <v>5</v>
      </c>
      <c r="X25" s="83">
        <f t="shared" si="8"/>
        <v>5</v>
      </c>
      <c r="Y25" s="78">
        <f t="shared" si="9"/>
        <v>125</v>
      </c>
      <c r="Z25" s="77">
        <f t="shared" si="10"/>
        <v>0.125</v>
      </c>
      <c r="AA25" s="76">
        <f t="shared" si="11"/>
        <v>0.125</v>
      </c>
      <c r="AB25" s="76">
        <f t="shared" si="12"/>
        <v>0.16400000000000001</v>
      </c>
      <c r="AC25" s="108"/>
      <c r="AD25" s="108"/>
      <c r="AE25" s="107"/>
    </row>
    <row r="26" spans="1:31" s="106" customFormat="1" ht="15" customHeight="1">
      <c r="A26" s="99"/>
      <c r="B26" s="90">
        <f>'116+240'!B27</f>
        <v>45294</v>
      </c>
      <c r="C26" s="87">
        <f t="shared" si="4"/>
        <v>1</v>
      </c>
      <c r="D26" s="86">
        <f t="shared" si="5"/>
        <v>844</v>
      </c>
      <c r="E26" s="85">
        <f>VLOOKUP(B26,'116+240'!B27:AB128,3,FALSE)</f>
        <v>1599</v>
      </c>
      <c r="F26" s="81">
        <f t="shared" si="0"/>
        <v>2443</v>
      </c>
      <c r="G26" s="84">
        <f>VLOOKUP(B26,'116+240'!$B$15:$AB$115,20,FALSE)</f>
        <v>92</v>
      </c>
      <c r="H26" s="84">
        <f>VLOOKUP(B26,'116+240'!$B$15:$AB$115,4,FALSE)</f>
        <v>411</v>
      </c>
      <c r="I26" s="80">
        <f t="shared" si="1"/>
        <v>2032</v>
      </c>
      <c r="J26" s="80">
        <f>VLOOKUP(B26,'116+240'!$B$15:$AB$115,13,FALSE)</f>
        <v>31.999999999999993</v>
      </c>
      <c r="K26" s="89">
        <f>'116+240'!Q27</f>
        <v>2</v>
      </c>
      <c r="L26" s="83">
        <f t="shared" si="6"/>
        <v>8</v>
      </c>
      <c r="M26" s="82">
        <f>VLOOKUP(B26,'116+240'!$B$14:$AB$115,21,FALSE)</f>
        <v>90</v>
      </c>
      <c r="N26" s="81">
        <f>VLOOKUP(B26,'116+240'!$B$15:$AB$115,5,FALSE)</f>
        <v>533</v>
      </c>
      <c r="O26" s="80">
        <f t="shared" si="2"/>
        <v>1910</v>
      </c>
      <c r="P26" s="80">
        <f>VLOOKUP(B26,'116+240'!$B$15:$AB$115,14,FALSE)</f>
        <v>-90</v>
      </c>
      <c r="Q26" s="89">
        <f>'116+240'!R27</f>
        <v>2</v>
      </c>
      <c r="R26" s="83">
        <f t="shared" si="7"/>
        <v>10</v>
      </c>
      <c r="S26" s="82">
        <f>VLOOKUP(B26,'116+240'!$B$14:$AB$115,22,FALSE)</f>
        <v>94</v>
      </c>
      <c r="T26" s="81">
        <f>VLOOKUP(B26,'116+240'!$B$15:$AB$115,6,FALSE)</f>
        <v>479</v>
      </c>
      <c r="U26" s="80">
        <f t="shared" si="3"/>
        <v>1964</v>
      </c>
      <c r="V26" s="79">
        <f>VLOOKUP(B26,'116+240'!$B$15:$AB$115,15,FALSE)</f>
        <v>-36</v>
      </c>
      <c r="W26" s="89">
        <f>'116+240'!S27</f>
        <v>1</v>
      </c>
      <c r="X26" s="83">
        <f t="shared" si="8"/>
        <v>6</v>
      </c>
      <c r="Y26" s="78">
        <f t="shared" si="9"/>
        <v>-1</v>
      </c>
      <c r="Z26" s="77">
        <f t="shared" si="10"/>
        <v>0</v>
      </c>
      <c r="AA26" s="76">
        <f t="shared" si="11"/>
        <v>0.125</v>
      </c>
      <c r="AB26" s="76">
        <f t="shared" si="12"/>
        <v>0.16</v>
      </c>
      <c r="AC26" s="108"/>
      <c r="AD26" s="108"/>
      <c r="AE26" s="107"/>
    </row>
    <row r="27" spans="1:31" s="106" customFormat="1" ht="15" customHeight="1">
      <c r="A27" s="99"/>
      <c r="B27" s="90">
        <f>'116+240'!B28</f>
        <v>45295</v>
      </c>
      <c r="C27" s="87">
        <f t="shared" si="4"/>
        <v>1</v>
      </c>
      <c r="D27" s="86">
        <f t="shared" si="5"/>
        <v>844</v>
      </c>
      <c r="E27" s="85">
        <f>VLOOKUP(B27,'116+240'!B28:AB129,3,FALSE)</f>
        <v>1597</v>
      </c>
      <c r="F27" s="81">
        <f t="shared" si="0"/>
        <v>2441</v>
      </c>
      <c r="G27" s="84">
        <f>VLOOKUP(B27,'116+240'!$B$15:$AB$115,20,FALSE)</f>
        <v>90</v>
      </c>
      <c r="H27" s="84">
        <f>VLOOKUP(B27,'116+240'!$B$15:$AB$115,4,FALSE)</f>
        <v>411</v>
      </c>
      <c r="I27" s="80">
        <f t="shared" si="1"/>
        <v>2030</v>
      </c>
      <c r="J27" s="80">
        <f>VLOOKUP(B27,'116+240'!$B$15:$AB$115,13,FALSE)</f>
        <v>29.999999999999993</v>
      </c>
      <c r="K27" s="89">
        <f>'116+240'!Q28</f>
        <v>2</v>
      </c>
      <c r="L27" s="83">
        <f t="shared" si="6"/>
        <v>10</v>
      </c>
      <c r="M27" s="82">
        <f>VLOOKUP(B27,'116+240'!$B$14:$AB$115,21,FALSE)</f>
        <v>88</v>
      </c>
      <c r="N27" s="81">
        <f>VLOOKUP(B27,'116+240'!$B$15:$AB$115,5,FALSE)</f>
        <v>533</v>
      </c>
      <c r="O27" s="80">
        <f t="shared" si="2"/>
        <v>1908</v>
      </c>
      <c r="P27" s="80">
        <f>VLOOKUP(B27,'116+240'!$B$15:$AB$115,14,FALSE)</f>
        <v>-92</v>
      </c>
      <c r="Q27" s="89">
        <f>'116+240'!R28</f>
        <v>2</v>
      </c>
      <c r="R27" s="83">
        <f t="shared" si="7"/>
        <v>12</v>
      </c>
      <c r="S27" s="82">
        <f>VLOOKUP(B27,'116+240'!$B$14:$AB$115,22,FALSE)</f>
        <v>93</v>
      </c>
      <c r="T27" s="81">
        <f>VLOOKUP(B27,'116+240'!$B$15:$AB$115,6,FALSE)</f>
        <v>478</v>
      </c>
      <c r="U27" s="80">
        <f t="shared" si="3"/>
        <v>1963</v>
      </c>
      <c r="V27" s="79">
        <f>VLOOKUP(B27,'116+240'!$B$15:$AB$115,15,FALSE)</f>
        <v>-37</v>
      </c>
      <c r="W27" s="89">
        <f>'116+240'!S28</f>
        <v>1</v>
      </c>
      <c r="X27" s="83">
        <f t="shared" si="8"/>
        <v>7</v>
      </c>
      <c r="Y27" s="78">
        <f t="shared" si="9"/>
        <v>-1</v>
      </c>
      <c r="Z27" s="77">
        <f t="shared" si="10"/>
        <v>0</v>
      </c>
      <c r="AA27" s="76">
        <f t="shared" si="11"/>
        <v>0.125</v>
      </c>
      <c r="AB27" s="76">
        <f t="shared" si="12"/>
        <v>0.156</v>
      </c>
      <c r="AC27" s="108"/>
      <c r="AD27" s="108"/>
      <c r="AE27" s="107"/>
    </row>
    <row r="28" spans="1:31" s="106" customFormat="1" ht="15" customHeight="1">
      <c r="A28" s="99"/>
      <c r="B28" s="90">
        <f>'116+240'!B29</f>
        <v>45296</v>
      </c>
      <c r="C28" s="87">
        <f t="shared" si="4"/>
        <v>1</v>
      </c>
      <c r="D28" s="86">
        <f t="shared" si="5"/>
        <v>844</v>
      </c>
      <c r="E28" s="85">
        <f>VLOOKUP(B28,'116+240'!B29:AB130,3,FALSE)</f>
        <v>1595</v>
      </c>
      <c r="F28" s="81">
        <f t="shared" si="0"/>
        <v>2439</v>
      </c>
      <c r="G28" s="84">
        <f>VLOOKUP(B28,'116+240'!$B$15:$AB$115,20,FALSE)</f>
        <v>388</v>
      </c>
      <c r="H28" s="84">
        <f>VLOOKUP(B28,'116+240'!$B$15:$AB$115,4,FALSE)</f>
        <v>411</v>
      </c>
      <c r="I28" s="80">
        <f t="shared" si="1"/>
        <v>2028</v>
      </c>
      <c r="J28" s="80">
        <f>VLOOKUP(B28,'116+240'!$B$15:$AB$115,13,FALSE)</f>
        <v>27.999999999999993</v>
      </c>
      <c r="K28" s="89">
        <f>'116+240'!Q29</f>
        <v>2</v>
      </c>
      <c r="L28" s="83">
        <f t="shared" si="6"/>
        <v>12</v>
      </c>
      <c r="M28" s="82">
        <f>VLOOKUP(B28,'116+240'!$B$14:$AB$115,21,FALSE)</f>
        <v>386</v>
      </c>
      <c r="N28" s="81">
        <f>VLOOKUP(B28,'116+240'!$B$15:$AB$115,5,FALSE)</f>
        <v>533</v>
      </c>
      <c r="O28" s="80">
        <f t="shared" si="2"/>
        <v>1906</v>
      </c>
      <c r="P28" s="80">
        <f>VLOOKUP(B28,'116+240'!$B$15:$AB$115,14,FALSE)</f>
        <v>-94</v>
      </c>
      <c r="Q28" s="89">
        <f>'116+240'!R29</f>
        <v>2</v>
      </c>
      <c r="R28" s="83">
        <f t="shared" si="7"/>
        <v>14</v>
      </c>
      <c r="S28" s="82">
        <f>VLOOKUP(B28,'116+240'!$B$14:$AB$115,22,FALSE)</f>
        <v>391</v>
      </c>
      <c r="T28" s="81">
        <f>VLOOKUP(B28,'116+240'!$B$15:$AB$115,6,FALSE)</f>
        <v>478</v>
      </c>
      <c r="U28" s="80">
        <f t="shared" si="3"/>
        <v>1961</v>
      </c>
      <c r="V28" s="79">
        <f>VLOOKUP(B28,'116+240'!$B$15:$AB$115,15,FALSE)</f>
        <v>-39</v>
      </c>
      <c r="W28" s="89">
        <f>'116+240'!S29</f>
        <v>2</v>
      </c>
      <c r="X28" s="83">
        <f t="shared" si="8"/>
        <v>9</v>
      </c>
      <c r="Y28" s="78">
        <f t="shared" si="9"/>
        <v>298</v>
      </c>
      <c r="Z28" s="77">
        <f t="shared" si="10"/>
        <v>0.29799999999999999</v>
      </c>
      <c r="AA28" s="76">
        <f t="shared" si="11"/>
        <v>0.42299999999999999</v>
      </c>
      <c r="AB28" s="76">
        <f t="shared" si="12"/>
        <v>0.45200000000000001</v>
      </c>
      <c r="AC28" s="108"/>
      <c r="AD28" s="108"/>
      <c r="AE28" s="107"/>
    </row>
    <row r="29" spans="1:31" s="106" customFormat="1" ht="15" customHeight="1">
      <c r="A29" s="99"/>
      <c r="B29" s="90">
        <f>'116+240'!B30</f>
        <v>45297</v>
      </c>
      <c r="C29" s="87">
        <f t="shared" si="4"/>
        <v>1</v>
      </c>
      <c r="D29" s="86">
        <f t="shared" si="5"/>
        <v>844</v>
      </c>
      <c r="E29" s="85">
        <f>VLOOKUP(B29,'116+240'!B30:AB131,3,FALSE)</f>
        <v>1593</v>
      </c>
      <c r="F29" s="81">
        <f t="shared" si="0"/>
        <v>2437</v>
      </c>
      <c r="G29" s="84">
        <f>VLOOKUP(B29,'116+240'!$B$15:$AB$115,20,FALSE)</f>
        <v>383</v>
      </c>
      <c r="H29" s="84">
        <f>VLOOKUP(B29,'116+240'!$B$15:$AB$115,4,FALSE)</f>
        <v>414</v>
      </c>
      <c r="I29" s="80">
        <f t="shared" si="1"/>
        <v>2023</v>
      </c>
      <c r="J29" s="80">
        <f>VLOOKUP(B29,'116+240'!$B$15:$AB$115,13,FALSE)</f>
        <v>22.999999999999993</v>
      </c>
      <c r="K29" s="89">
        <f>'116+240'!Q30</f>
        <v>5</v>
      </c>
      <c r="L29" s="83">
        <f t="shared" si="6"/>
        <v>17</v>
      </c>
      <c r="M29" s="82">
        <f>VLOOKUP(B29,'116+240'!$B$14:$AB$115,21,FALSE)</f>
        <v>378</v>
      </c>
      <c r="N29" s="81">
        <f>VLOOKUP(B29,'116+240'!$B$15:$AB$115,5,FALSE)</f>
        <v>539</v>
      </c>
      <c r="O29" s="80">
        <f t="shared" si="2"/>
        <v>1898</v>
      </c>
      <c r="P29" s="80">
        <f>VLOOKUP(B29,'116+240'!$B$15:$AB$115,14,FALSE)</f>
        <v>-102</v>
      </c>
      <c r="Q29" s="89">
        <f>'116+240'!R30</f>
        <v>8</v>
      </c>
      <c r="R29" s="83">
        <f t="shared" si="7"/>
        <v>22</v>
      </c>
      <c r="S29" s="82">
        <f>VLOOKUP(B29,'116+240'!$B$14:$AB$115,22,FALSE)</f>
        <v>386</v>
      </c>
      <c r="T29" s="81">
        <f>VLOOKUP(B29,'116+240'!$B$15:$AB$115,6,FALSE)</f>
        <v>481</v>
      </c>
      <c r="U29" s="80">
        <f t="shared" si="3"/>
        <v>1956</v>
      </c>
      <c r="V29" s="79">
        <f>VLOOKUP(B29,'116+240'!$B$15:$AB$115,15,FALSE)</f>
        <v>-44</v>
      </c>
      <c r="W29" s="89">
        <f>'116+240'!S30</f>
        <v>5</v>
      </c>
      <c r="X29" s="83">
        <f t="shared" si="8"/>
        <v>14</v>
      </c>
      <c r="Y29" s="78">
        <f t="shared" si="9"/>
        <v>-5</v>
      </c>
      <c r="Z29" s="77">
        <f t="shared" si="10"/>
        <v>0</v>
      </c>
      <c r="AA29" s="76">
        <f t="shared" si="11"/>
        <v>0.42299999999999999</v>
      </c>
      <c r="AB29" s="76">
        <f t="shared" si="12"/>
        <v>0.436</v>
      </c>
      <c r="AC29" s="108"/>
      <c r="AD29" s="108"/>
      <c r="AE29" s="107"/>
    </row>
    <row r="30" spans="1:31" s="106" customFormat="1" ht="15" customHeight="1">
      <c r="A30" s="99"/>
      <c r="B30" s="90">
        <f>'116+240'!B31</f>
        <v>45298</v>
      </c>
      <c r="C30" s="87">
        <f t="shared" si="4"/>
        <v>1</v>
      </c>
      <c r="D30" s="86">
        <f t="shared" si="5"/>
        <v>844</v>
      </c>
      <c r="E30" s="85">
        <f>VLOOKUP(B30,'116+240'!B31:AB132,3,FALSE)</f>
        <v>1591</v>
      </c>
      <c r="F30" s="81">
        <f t="shared" si="0"/>
        <v>2435</v>
      </c>
      <c r="G30" s="84">
        <f>VLOOKUP(B30,'116+240'!$B$15:$AB$115,20,FALSE)</f>
        <v>381</v>
      </c>
      <c r="H30" s="84">
        <f>VLOOKUP(B30,'116+240'!$B$15:$AB$115,4,FALSE)</f>
        <v>414</v>
      </c>
      <c r="I30" s="80">
        <f t="shared" si="1"/>
        <v>2021</v>
      </c>
      <c r="J30" s="80">
        <f>VLOOKUP(B30,'116+240'!$B$15:$AB$115,13,FALSE)</f>
        <v>20.999999999999993</v>
      </c>
      <c r="K30" s="89">
        <f>'116+240'!Q31</f>
        <v>2</v>
      </c>
      <c r="L30" s="83">
        <f t="shared" si="6"/>
        <v>19</v>
      </c>
      <c r="M30" s="82">
        <f>VLOOKUP(B30,'116+240'!$B$14:$AB$115,21,FALSE)</f>
        <v>376</v>
      </c>
      <c r="N30" s="81">
        <f>VLOOKUP(B30,'116+240'!$B$15:$AB$115,5,FALSE)</f>
        <v>539</v>
      </c>
      <c r="O30" s="80">
        <f t="shared" si="2"/>
        <v>1896</v>
      </c>
      <c r="P30" s="80">
        <f>VLOOKUP(B30,'116+240'!$B$15:$AB$115,14,FALSE)</f>
        <v>-104</v>
      </c>
      <c r="Q30" s="89">
        <f>'116+240'!R31</f>
        <v>2</v>
      </c>
      <c r="R30" s="83">
        <f t="shared" si="7"/>
        <v>24</v>
      </c>
      <c r="S30" s="82">
        <f>VLOOKUP(B30,'116+240'!$B$14:$AB$115,22,FALSE)</f>
        <v>385</v>
      </c>
      <c r="T30" s="81">
        <f>VLOOKUP(B30,'116+240'!$B$15:$AB$115,6,FALSE)</f>
        <v>480</v>
      </c>
      <c r="U30" s="80">
        <f t="shared" si="3"/>
        <v>1955</v>
      </c>
      <c r="V30" s="79">
        <f>VLOOKUP(B30,'116+240'!$B$15:$AB$115,15,FALSE)</f>
        <v>-45</v>
      </c>
      <c r="W30" s="89">
        <f>'116+240'!S31</f>
        <v>1</v>
      </c>
      <c r="X30" s="83">
        <f t="shared" si="8"/>
        <v>15</v>
      </c>
      <c r="Y30" s="78">
        <f t="shared" si="9"/>
        <v>-1</v>
      </c>
      <c r="Z30" s="77">
        <f t="shared" si="10"/>
        <v>0</v>
      </c>
      <c r="AA30" s="76">
        <f t="shared" si="11"/>
        <v>0.42299999999999999</v>
      </c>
      <c r="AB30" s="76">
        <f t="shared" si="12"/>
        <v>0.432</v>
      </c>
      <c r="AC30" s="108"/>
      <c r="AD30" s="108"/>
      <c r="AE30" s="107"/>
    </row>
    <row r="31" spans="1:31" s="100" customFormat="1" ht="15" customHeight="1">
      <c r="A31" s="99"/>
      <c r="B31" s="90">
        <f>'116+240'!B32</f>
        <v>45299</v>
      </c>
      <c r="C31" s="87">
        <f t="shared" si="4"/>
        <v>1</v>
      </c>
      <c r="D31" s="86">
        <f t="shared" si="5"/>
        <v>844</v>
      </c>
      <c r="E31" s="85">
        <f>VLOOKUP(B31,'116+240'!B32:AB133,3,FALSE)</f>
        <v>1589</v>
      </c>
      <c r="F31" s="81">
        <f t="shared" si="0"/>
        <v>2433</v>
      </c>
      <c r="G31" s="84">
        <f>VLOOKUP(B31,'116+240'!$B$15:$AB$115,20,FALSE)</f>
        <v>379</v>
      </c>
      <c r="H31" s="84">
        <f>VLOOKUP(B31,'116+240'!$B$15:$AB$115,4,FALSE)</f>
        <v>414</v>
      </c>
      <c r="I31" s="80">
        <f t="shared" si="1"/>
        <v>2019</v>
      </c>
      <c r="J31" s="80">
        <f>VLOOKUP(B31,'116+240'!$B$15:$AB$115,13,FALSE)</f>
        <v>18.999999999999993</v>
      </c>
      <c r="K31" s="89">
        <f>'116+240'!Q32</f>
        <v>2</v>
      </c>
      <c r="L31" s="83">
        <f t="shared" si="6"/>
        <v>21</v>
      </c>
      <c r="M31" s="82">
        <f>VLOOKUP(B31,'116+240'!$B$14:$AB$115,21,FALSE)</f>
        <v>374</v>
      </c>
      <c r="N31" s="81">
        <f>VLOOKUP(B31,'116+240'!$B$15:$AB$115,5,FALSE)</f>
        <v>539</v>
      </c>
      <c r="O31" s="80">
        <f t="shared" si="2"/>
        <v>1894</v>
      </c>
      <c r="P31" s="80">
        <f>VLOOKUP(B31,'116+240'!$B$15:$AB$115,14,FALSE)</f>
        <v>-106</v>
      </c>
      <c r="Q31" s="89">
        <f>'116+240'!R32</f>
        <v>2</v>
      </c>
      <c r="R31" s="83">
        <f t="shared" si="7"/>
        <v>26</v>
      </c>
      <c r="S31" s="82">
        <f>VLOOKUP(B31,'116+240'!$B$14:$AB$115,22,FALSE)</f>
        <v>383</v>
      </c>
      <c r="T31" s="81">
        <f>VLOOKUP(B31,'116+240'!$B$15:$AB$115,6,FALSE)</f>
        <v>480</v>
      </c>
      <c r="U31" s="80">
        <f t="shared" si="3"/>
        <v>1953</v>
      </c>
      <c r="V31" s="79">
        <f>VLOOKUP(B31,'116+240'!$B$15:$AB$115,15,FALSE)</f>
        <v>-47</v>
      </c>
      <c r="W31" s="89">
        <f>'116+240'!S32</f>
        <v>2</v>
      </c>
      <c r="X31" s="83">
        <f t="shared" si="8"/>
        <v>17</v>
      </c>
      <c r="Y31" s="78">
        <f t="shared" si="9"/>
        <v>-2</v>
      </c>
      <c r="Z31" s="77">
        <f t="shared" si="10"/>
        <v>0</v>
      </c>
      <c r="AA31" s="76">
        <f t="shared" si="11"/>
        <v>0.42299999999999999</v>
      </c>
      <c r="AB31" s="76">
        <f t="shared" si="12"/>
        <v>0.42799999999999999</v>
      </c>
      <c r="AC31" s="102"/>
      <c r="AD31" s="102"/>
      <c r="AE31" s="101"/>
    </row>
    <row r="32" spans="1:31" s="106" customFormat="1" ht="15" customHeight="1">
      <c r="A32" s="99"/>
      <c r="B32" s="90">
        <f>'116+240'!B33</f>
        <v>45300</v>
      </c>
      <c r="C32" s="87">
        <f t="shared" si="4"/>
        <v>1</v>
      </c>
      <c r="D32" s="86">
        <f t="shared" si="5"/>
        <v>844</v>
      </c>
      <c r="E32" s="85">
        <f>VLOOKUP(B32,'116+240'!B33:AB134,3,FALSE)</f>
        <v>1587</v>
      </c>
      <c r="F32" s="81">
        <f t="shared" si="0"/>
        <v>2431</v>
      </c>
      <c r="G32" s="84">
        <f>VLOOKUP(B32,'116+240'!$B$15:$AB$115,20,FALSE)</f>
        <v>677</v>
      </c>
      <c r="H32" s="84">
        <f>VLOOKUP(B32,'116+240'!$B$15:$AB$115,4,FALSE)</f>
        <v>414</v>
      </c>
      <c r="I32" s="80">
        <f t="shared" si="1"/>
        <v>2017</v>
      </c>
      <c r="J32" s="80">
        <f>VLOOKUP(B32,'116+240'!$B$15:$AB$115,13,FALSE)</f>
        <v>16.999999999999993</v>
      </c>
      <c r="K32" s="89">
        <f>'116+240'!Q33</f>
        <v>2</v>
      </c>
      <c r="L32" s="83">
        <f t="shared" si="6"/>
        <v>23</v>
      </c>
      <c r="M32" s="82">
        <f>VLOOKUP(B32,'116+240'!$B$14:$AB$115,21,FALSE)</f>
        <v>672</v>
      </c>
      <c r="N32" s="81">
        <f>VLOOKUP(B32,'116+240'!$B$15:$AB$115,5,FALSE)</f>
        <v>539</v>
      </c>
      <c r="O32" s="80">
        <f t="shared" si="2"/>
        <v>1892</v>
      </c>
      <c r="P32" s="80">
        <f>VLOOKUP(B32,'116+240'!$B$15:$AB$115,14,FALSE)</f>
        <v>-108</v>
      </c>
      <c r="Q32" s="89">
        <f>'116+240'!R33</f>
        <v>2</v>
      </c>
      <c r="R32" s="83">
        <f t="shared" si="7"/>
        <v>28</v>
      </c>
      <c r="S32" s="82">
        <f>VLOOKUP(B32,'116+240'!$B$14:$AB$115,22,FALSE)</f>
        <v>682</v>
      </c>
      <c r="T32" s="81">
        <f>VLOOKUP(B32,'116+240'!$B$15:$AB$115,6,FALSE)</f>
        <v>479</v>
      </c>
      <c r="U32" s="80">
        <f t="shared" si="3"/>
        <v>1952</v>
      </c>
      <c r="V32" s="79">
        <f>VLOOKUP(B32,'116+240'!$B$15:$AB$115,15,FALSE)</f>
        <v>-48</v>
      </c>
      <c r="W32" s="89">
        <f>'116+240'!S33</f>
        <v>1</v>
      </c>
      <c r="X32" s="83">
        <f t="shared" si="8"/>
        <v>18</v>
      </c>
      <c r="Y32" s="78">
        <f t="shared" si="9"/>
        <v>299</v>
      </c>
      <c r="Z32" s="77">
        <f t="shared" si="10"/>
        <v>0.29899999999999999</v>
      </c>
      <c r="AA32" s="76">
        <f t="shared" si="11"/>
        <v>0.72199999999999998</v>
      </c>
      <c r="AB32" s="76">
        <f t="shared" si="12"/>
        <v>0.72399999999999998</v>
      </c>
      <c r="AC32" s="108"/>
      <c r="AD32" s="108"/>
      <c r="AE32" s="107"/>
    </row>
    <row r="33" spans="1:31" s="106" customFormat="1" ht="15" customHeight="1">
      <c r="A33" s="99"/>
      <c r="B33" s="90">
        <f>'116+240'!B34</f>
        <v>45301</v>
      </c>
      <c r="C33" s="87">
        <f t="shared" si="4"/>
        <v>1</v>
      </c>
      <c r="D33" s="86">
        <f t="shared" si="5"/>
        <v>844</v>
      </c>
      <c r="E33" s="85">
        <f>VLOOKUP(B33,'116+240'!B34:AB135,3,FALSE)</f>
        <v>1585</v>
      </c>
      <c r="F33" s="81">
        <f t="shared" si="0"/>
        <v>2429</v>
      </c>
      <c r="G33" s="84">
        <f>VLOOKUP(B33,'116+240'!$B$15:$AB$115,20,FALSE)</f>
        <v>672</v>
      </c>
      <c r="H33" s="84">
        <f>VLOOKUP(B33,'116+240'!$B$15:$AB$115,4,FALSE)</f>
        <v>417</v>
      </c>
      <c r="I33" s="80">
        <f t="shared" si="1"/>
        <v>2012</v>
      </c>
      <c r="J33" s="80">
        <f>VLOOKUP(B33,'116+240'!$B$15:$AB$115,13,FALSE)</f>
        <v>11.999999999999993</v>
      </c>
      <c r="K33" s="89">
        <f>'116+240'!Q34</f>
        <v>5</v>
      </c>
      <c r="L33" s="83">
        <f t="shared" si="6"/>
        <v>28</v>
      </c>
      <c r="M33" s="82">
        <f>VLOOKUP(B33,'116+240'!$B$14:$AB$115,21,FALSE)</f>
        <v>664</v>
      </c>
      <c r="N33" s="81">
        <f>VLOOKUP(B33,'116+240'!$B$15:$AB$115,5,FALSE)</f>
        <v>545</v>
      </c>
      <c r="O33" s="80">
        <f t="shared" si="2"/>
        <v>1884</v>
      </c>
      <c r="P33" s="80">
        <f>VLOOKUP(B33,'116+240'!$B$15:$AB$115,14,FALSE)</f>
        <v>-116</v>
      </c>
      <c r="Q33" s="89">
        <f>'116+240'!R34</f>
        <v>8</v>
      </c>
      <c r="R33" s="83">
        <f t="shared" si="7"/>
        <v>36</v>
      </c>
      <c r="S33" s="82">
        <f>VLOOKUP(B33,'116+240'!$B$14:$AB$115,22,FALSE)</f>
        <v>676</v>
      </c>
      <c r="T33" s="81">
        <f>VLOOKUP(B33,'116+240'!$B$15:$AB$115,6,FALSE)</f>
        <v>483</v>
      </c>
      <c r="U33" s="80">
        <f t="shared" si="3"/>
        <v>1946</v>
      </c>
      <c r="V33" s="79">
        <f>VLOOKUP(B33,'116+240'!$B$15:$AB$115,15,FALSE)</f>
        <v>-54</v>
      </c>
      <c r="W33" s="89">
        <f>'116+240'!S34</f>
        <v>6</v>
      </c>
      <c r="X33" s="83">
        <f t="shared" si="8"/>
        <v>24</v>
      </c>
      <c r="Y33" s="78">
        <f t="shared" si="9"/>
        <v>-6</v>
      </c>
      <c r="Z33" s="77">
        <f t="shared" si="10"/>
        <v>0</v>
      </c>
      <c r="AA33" s="76">
        <f t="shared" si="11"/>
        <v>0.72199999999999998</v>
      </c>
      <c r="AB33" s="76">
        <f t="shared" si="12"/>
        <v>0.70799999999999996</v>
      </c>
      <c r="AC33" s="108"/>
      <c r="AD33" s="108"/>
      <c r="AE33" s="107"/>
    </row>
    <row r="34" spans="1:31" s="106" customFormat="1" ht="15" customHeight="1">
      <c r="A34" s="99"/>
      <c r="B34" s="90">
        <f>'116+240'!B35</f>
        <v>45302</v>
      </c>
      <c r="C34" s="87">
        <f t="shared" si="4"/>
        <v>1</v>
      </c>
      <c r="D34" s="86">
        <f t="shared" si="5"/>
        <v>844</v>
      </c>
      <c r="E34" s="85">
        <f>VLOOKUP(B34,'116+240'!B35:AB136,3,FALSE)</f>
        <v>1583</v>
      </c>
      <c r="F34" s="81">
        <f t="shared" si="0"/>
        <v>2427</v>
      </c>
      <c r="G34" s="84">
        <f>VLOOKUP(B34,'116+240'!$B$15:$AB$115,20,FALSE)</f>
        <v>666</v>
      </c>
      <c r="H34" s="84">
        <f>VLOOKUP(B34,'116+240'!$B$15:$AB$115,4,FALSE)</f>
        <v>421</v>
      </c>
      <c r="I34" s="80">
        <f t="shared" si="1"/>
        <v>2006</v>
      </c>
      <c r="J34" s="80">
        <f>VLOOKUP(B34,'116+240'!$B$15:$AB$115,13,FALSE)</f>
        <v>5.9999999999999929</v>
      </c>
      <c r="K34" s="89">
        <f>'116+240'!Q35</f>
        <v>6</v>
      </c>
      <c r="L34" s="83">
        <f t="shared" si="6"/>
        <v>34</v>
      </c>
      <c r="M34" s="82">
        <f>VLOOKUP(B34,'116+240'!$B$14:$AB$115,21,FALSE)</f>
        <v>656</v>
      </c>
      <c r="N34" s="81">
        <f>VLOOKUP(B34,'116+240'!$B$15:$AB$115,5,FALSE)</f>
        <v>551</v>
      </c>
      <c r="O34" s="80">
        <f t="shared" si="2"/>
        <v>1876</v>
      </c>
      <c r="P34" s="80">
        <f>VLOOKUP(B34,'116+240'!$B$15:$AB$115,14,FALSE)</f>
        <v>-124</v>
      </c>
      <c r="Q34" s="89">
        <f>'116+240'!R35</f>
        <v>8</v>
      </c>
      <c r="R34" s="83">
        <f t="shared" si="7"/>
        <v>44</v>
      </c>
      <c r="S34" s="82">
        <f>VLOOKUP(B34,'116+240'!$B$14:$AB$115,22,FALSE)</f>
        <v>671</v>
      </c>
      <c r="T34" s="81">
        <f>VLOOKUP(B34,'116+240'!$B$15:$AB$115,6,FALSE)</f>
        <v>486</v>
      </c>
      <c r="U34" s="80">
        <f t="shared" si="3"/>
        <v>1941</v>
      </c>
      <c r="V34" s="79">
        <f>VLOOKUP(B34,'116+240'!$B$15:$AB$115,15,FALSE)</f>
        <v>-59</v>
      </c>
      <c r="W34" s="89">
        <f>'116+240'!S35</f>
        <v>5</v>
      </c>
      <c r="X34" s="83">
        <f t="shared" si="8"/>
        <v>29</v>
      </c>
      <c r="Y34" s="78">
        <f t="shared" si="9"/>
        <v>-5</v>
      </c>
      <c r="Z34" s="77">
        <f t="shared" si="10"/>
        <v>0</v>
      </c>
      <c r="AA34" s="76">
        <f t="shared" si="11"/>
        <v>0.72199999999999998</v>
      </c>
      <c r="AB34" s="76">
        <f t="shared" si="12"/>
        <v>0.69199999999999995</v>
      </c>
      <c r="AC34" s="108"/>
      <c r="AD34" s="108"/>
      <c r="AE34" s="107"/>
    </row>
    <row r="35" spans="1:31" s="106" customFormat="1" ht="15" customHeight="1">
      <c r="A35" s="99"/>
      <c r="B35" s="90">
        <f>'116+240'!B36</f>
        <v>45303</v>
      </c>
      <c r="C35" s="87">
        <f t="shared" si="4"/>
        <v>1</v>
      </c>
      <c r="D35" s="86">
        <f t="shared" si="5"/>
        <v>844</v>
      </c>
      <c r="E35" s="85">
        <f>VLOOKUP(B35,'116+240'!B36:AB137,3,FALSE)</f>
        <v>1581</v>
      </c>
      <c r="F35" s="81">
        <f t="shared" si="0"/>
        <v>2425</v>
      </c>
      <c r="G35" s="84">
        <f>VLOOKUP(B35,'116+240'!$B$15:$AB$115,20,FALSE)</f>
        <v>664</v>
      </c>
      <c r="H35" s="84">
        <f>VLOOKUP(B35,'116+240'!$B$15:$AB$115,4,FALSE)</f>
        <v>421</v>
      </c>
      <c r="I35" s="80">
        <f t="shared" si="1"/>
        <v>2004</v>
      </c>
      <c r="J35" s="80">
        <f>VLOOKUP(B35,'116+240'!$B$15:$AB$115,13,FALSE)</f>
        <v>3.9999999999999929</v>
      </c>
      <c r="K35" s="89">
        <f>'116+240'!Q36</f>
        <v>2</v>
      </c>
      <c r="L35" s="83">
        <f t="shared" si="6"/>
        <v>36</v>
      </c>
      <c r="M35" s="82">
        <f>VLOOKUP(B35,'116+240'!$B$14:$AB$115,21,FALSE)</f>
        <v>654</v>
      </c>
      <c r="N35" s="81">
        <f>VLOOKUP(B35,'116+240'!$B$15:$AB$115,5,FALSE)</f>
        <v>551</v>
      </c>
      <c r="O35" s="80">
        <f t="shared" si="2"/>
        <v>1874</v>
      </c>
      <c r="P35" s="80">
        <f>VLOOKUP(B35,'116+240'!$B$15:$AB$115,14,FALSE)</f>
        <v>-126</v>
      </c>
      <c r="Q35" s="89">
        <f>'116+240'!R36</f>
        <v>2</v>
      </c>
      <c r="R35" s="83">
        <f t="shared" si="7"/>
        <v>46</v>
      </c>
      <c r="S35" s="82">
        <f>VLOOKUP(B35,'116+240'!$B$14:$AB$115,22,FALSE)</f>
        <v>670</v>
      </c>
      <c r="T35" s="81">
        <f>VLOOKUP(B35,'116+240'!$B$15:$AB$115,6,FALSE)</f>
        <v>485</v>
      </c>
      <c r="U35" s="80">
        <f t="shared" si="3"/>
        <v>1940</v>
      </c>
      <c r="V35" s="79">
        <f>VLOOKUP(B35,'116+240'!$B$15:$AB$115,15,FALSE)</f>
        <v>-60</v>
      </c>
      <c r="W35" s="89">
        <f>'116+240'!S36</f>
        <v>1</v>
      </c>
      <c r="X35" s="83">
        <f t="shared" si="8"/>
        <v>30</v>
      </c>
      <c r="Y35" s="78">
        <f t="shared" si="9"/>
        <v>-1</v>
      </c>
      <c r="Z35" s="77">
        <f t="shared" si="10"/>
        <v>0</v>
      </c>
      <c r="AA35" s="76">
        <f t="shared" si="11"/>
        <v>0.72199999999999998</v>
      </c>
      <c r="AB35" s="76">
        <f t="shared" si="12"/>
        <v>0.68799999999999994</v>
      </c>
      <c r="AC35" s="108"/>
      <c r="AD35" s="108"/>
      <c r="AE35" s="107"/>
    </row>
    <row r="36" spans="1:31" s="106" customFormat="1" ht="15" customHeight="1">
      <c r="A36" s="99"/>
      <c r="B36" s="90">
        <f>'116+240'!B37</f>
        <v>45304</v>
      </c>
      <c r="C36" s="87">
        <f t="shared" si="4"/>
        <v>1</v>
      </c>
      <c r="D36" s="86">
        <f t="shared" si="5"/>
        <v>844</v>
      </c>
      <c r="E36" s="85">
        <f>VLOOKUP(B36,'116+240'!B37:AB138,3,FALSE)</f>
        <v>1579</v>
      </c>
      <c r="F36" s="81">
        <f t="shared" si="0"/>
        <v>2423</v>
      </c>
      <c r="G36" s="84">
        <f>VLOOKUP(B36,'116+240'!$B$15:$AB$115,20,FALSE)</f>
        <v>662</v>
      </c>
      <c r="H36" s="84">
        <f>VLOOKUP(B36,'116+240'!$B$15:$AB$115,4,FALSE)</f>
        <v>421</v>
      </c>
      <c r="I36" s="80">
        <f t="shared" si="1"/>
        <v>2002</v>
      </c>
      <c r="J36" s="80">
        <f>VLOOKUP(B36,'116+240'!$B$15:$AB$115,13,FALSE)</f>
        <v>1.9999999999999929</v>
      </c>
      <c r="K36" s="89">
        <f>'116+240'!Q37</f>
        <v>2</v>
      </c>
      <c r="L36" s="83">
        <f t="shared" si="6"/>
        <v>38</v>
      </c>
      <c r="M36" s="82">
        <f>VLOOKUP(B36,'116+240'!$B$14:$AB$115,21,FALSE)</f>
        <v>652</v>
      </c>
      <c r="N36" s="81">
        <f>VLOOKUP(B36,'116+240'!$B$15:$AB$115,5,FALSE)</f>
        <v>551</v>
      </c>
      <c r="O36" s="80">
        <f t="shared" si="2"/>
        <v>1872</v>
      </c>
      <c r="P36" s="80">
        <f>VLOOKUP(B36,'116+240'!$B$15:$AB$115,14,FALSE)</f>
        <v>-128</v>
      </c>
      <c r="Q36" s="89">
        <f>'116+240'!R37</f>
        <v>2</v>
      </c>
      <c r="R36" s="83">
        <f t="shared" si="7"/>
        <v>48</v>
      </c>
      <c r="S36" s="82">
        <f>VLOOKUP(B36,'116+240'!$B$14:$AB$115,22,FALSE)</f>
        <v>669</v>
      </c>
      <c r="T36" s="81">
        <f>VLOOKUP(B36,'116+240'!$B$15:$AB$115,6,FALSE)</f>
        <v>484</v>
      </c>
      <c r="U36" s="80">
        <f t="shared" si="3"/>
        <v>1939</v>
      </c>
      <c r="V36" s="79">
        <f>VLOOKUP(B36,'116+240'!$B$15:$AB$115,15,FALSE)</f>
        <v>-61</v>
      </c>
      <c r="W36" s="89">
        <f>'116+240'!S37</f>
        <v>1</v>
      </c>
      <c r="X36" s="83">
        <f t="shared" si="8"/>
        <v>31</v>
      </c>
      <c r="Y36" s="78">
        <f t="shared" si="9"/>
        <v>-1</v>
      </c>
      <c r="Z36" s="77">
        <f t="shared" si="10"/>
        <v>0</v>
      </c>
      <c r="AA36" s="76">
        <f t="shared" si="11"/>
        <v>0.72199999999999998</v>
      </c>
      <c r="AB36" s="76">
        <f t="shared" si="12"/>
        <v>0.68400000000000005</v>
      </c>
      <c r="AC36" s="108"/>
      <c r="AD36" s="108"/>
      <c r="AE36" s="107"/>
    </row>
    <row r="37" spans="1:31" s="106" customFormat="1" ht="15" customHeight="1">
      <c r="A37" s="99"/>
      <c r="B37" s="90">
        <f>'116+240'!B38</f>
        <v>45305</v>
      </c>
      <c r="C37" s="87">
        <f t="shared" si="4"/>
        <v>1</v>
      </c>
      <c r="D37" s="86">
        <f t="shared" si="5"/>
        <v>844</v>
      </c>
      <c r="E37" s="85">
        <f>VLOOKUP(B37,'116+240'!B38:AB139,3,FALSE)</f>
        <v>1577</v>
      </c>
      <c r="F37" s="81">
        <f t="shared" si="0"/>
        <v>2421</v>
      </c>
      <c r="G37" s="84">
        <f>VLOOKUP(B37,'116+240'!$B$15:$AB$115,20,FALSE)</f>
        <v>960</v>
      </c>
      <c r="H37" s="84">
        <f>VLOOKUP(B37,'116+240'!$B$15:$AB$115,4,FALSE)</f>
        <v>421</v>
      </c>
      <c r="I37" s="80">
        <f t="shared" si="1"/>
        <v>2000</v>
      </c>
      <c r="J37" s="80">
        <f>VLOOKUP(B37,'116+240'!$B$15:$AB$115,13,FALSE)</f>
        <v>-7.1054273576010019E-15</v>
      </c>
      <c r="K37" s="89">
        <f>'116+240'!Q38</f>
        <v>2</v>
      </c>
      <c r="L37" s="83">
        <f t="shared" si="6"/>
        <v>40</v>
      </c>
      <c r="M37" s="82">
        <f>VLOOKUP(B37,'116+240'!$B$14:$AB$115,21,FALSE)</f>
        <v>950</v>
      </c>
      <c r="N37" s="81">
        <f>VLOOKUP(B37,'116+240'!$B$15:$AB$115,5,FALSE)</f>
        <v>551</v>
      </c>
      <c r="O37" s="80">
        <f t="shared" si="2"/>
        <v>1870</v>
      </c>
      <c r="P37" s="80">
        <f>VLOOKUP(B37,'116+240'!$B$15:$AB$115,14,FALSE)</f>
        <v>-130</v>
      </c>
      <c r="Q37" s="89">
        <f>'116+240'!R38</f>
        <v>2</v>
      </c>
      <c r="R37" s="83">
        <f t="shared" si="7"/>
        <v>50</v>
      </c>
      <c r="S37" s="82">
        <f>VLOOKUP(B37,'116+240'!$B$14:$AB$115,22,FALSE)</f>
        <v>967</v>
      </c>
      <c r="T37" s="81">
        <f>VLOOKUP(B37,'116+240'!$B$15:$AB$115,6,FALSE)</f>
        <v>484</v>
      </c>
      <c r="U37" s="80">
        <f t="shared" si="3"/>
        <v>1937</v>
      </c>
      <c r="V37" s="79">
        <f>VLOOKUP(B37,'116+240'!$B$15:$AB$115,15,FALSE)</f>
        <v>-63</v>
      </c>
      <c r="W37" s="89">
        <f>'116+240'!S38</f>
        <v>2</v>
      </c>
      <c r="X37" s="83">
        <f t="shared" si="8"/>
        <v>33</v>
      </c>
      <c r="Y37" s="78">
        <f t="shared" si="9"/>
        <v>298</v>
      </c>
      <c r="Z37" s="77">
        <f t="shared" si="10"/>
        <v>0.29799999999999999</v>
      </c>
      <c r="AA37" s="76">
        <f t="shared" si="11"/>
        <v>1.02</v>
      </c>
      <c r="AB37" s="76">
        <f t="shared" si="12"/>
        <v>0.98</v>
      </c>
      <c r="AC37" s="108"/>
      <c r="AD37" s="108"/>
      <c r="AE37" s="107"/>
    </row>
    <row r="38" spans="1:31" s="97" customFormat="1" ht="15" customHeight="1">
      <c r="A38" s="99"/>
      <c r="B38" s="90">
        <f>'116+240'!B39</f>
        <v>45306</v>
      </c>
      <c r="C38" s="87">
        <f t="shared" si="4"/>
        <v>1</v>
      </c>
      <c r="D38" s="86">
        <f t="shared" si="5"/>
        <v>844</v>
      </c>
      <c r="E38" s="85">
        <f>VLOOKUP(B38,'116+240'!B39:AB140,3,FALSE)</f>
        <v>1575</v>
      </c>
      <c r="F38" s="81">
        <f t="shared" si="0"/>
        <v>2419</v>
      </c>
      <c r="G38" s="84">
        <f>VLOOKUP(B38,'116+240'!$B$15:$AB$115,20,FALSE)</f>
        <v>955</v>
      </c>
      <c r="H38" s="84">
        <f>VLOOKUP(B38,'116+240'!$B$15:$AB$115,4,FALSE)</f>
        <v>424</v>
      </c>
      <c r="I38" s="80">
        <f t="shared" si="1"/>
        <v>1995</v>
      </c>
      <c r="J38" s="80">
        <f>VLOOKUP(B38,'116+240'!$B$15:$AB$115,13,FALSE)</f>
        <v>-5.0000000000000071</v>
      </c>
      <c r="K38" s="89">
        <f>'116+240'!Q39</f>
        <v>5</v>
      </c>
      <c r="L38" s="83">
        <f t="shared" si="6"/>
        <v>45</v>
      </c>
      <c r="M38" s="82">
        <f>VLOOKUP(B38,'116+240'!$B$14:$AB$115,21,FALSE)</f>
        <v>942</v>
      </c>
      <c r="N38" s="81">
        <f>VLOOKUP(B38,'116+240'!$B$15:$AB$115,5,FALSE)</f>
        <v>557</v>
      </c>
      <c r="O38" s="80">
        <f t="shared" si="2"/>
        <v>1862</v>
      </c>
      <c r="P38" s="80">
        <f>VLOOKUP(B38,'116+240'!$B$15:$AB$115,14,FALSE)</f>
        <v>-138</v>
      </c>
      <c r="Q38" s="89">
        <f>'116+240'!R39</f>
        <v>8</v>
      </c>
      <c r="R38" s="83">
        <f t="shared" si="7"/>
        <v>58</v>
      </c>
      <c r="S38" s="82">
        <f>VLOOKUP(B38,'116+240'!$B$14:$AB$115,22,FALSE)</f>
        <v>962</v>
      </c>
      <c r="T38" s="81">
        <f>VLOOKUP(B38,'116+240'!$B$15:$AB$115,6,FALSE)</f>
        <v>487</v>
      </c>
      <c r="U38" s="80">
        <f t="shared" si="3"/>
        <v>1932</v>
      </c>
      <c r="V38" s="79">
        <f>VLOOKUP(B38,'116+240'!$B$15:$AB$115,15,FALSE)</f>
        <v>-68</v>
      </c>
      <c r="W38" s="89">
        <f>'116+240'!S39</f>
        <v>5</v>
      </c>
      <c r="X38" s="83">
        <f t="shared" si="8"/>
        <v>38</v>
      </c>
      <c r="Y38" s="78">
        <f t="shared" si="9"/>
        <v>-5</v>
      </c>
      <c r="Z38" s="77">
        <f t="shared" si="10"/>
        <v>0</v>
      </c>
      <c r="AA38" s="76">
        <f t="shared" si="11"/>
        <v>1.02</v>
      </c>
      <c r="AB38" s="76">
        <f t="shared" si="12"/>
        <v>0.96399999999999997</v>
      </c>
      <c r="AC38" s="65"/>
      <c r="AD38" s="65"/>
      <c r="AE38" s="98"/>
    </row>
    <row r="39" spans="1:31" s="97" customFormat="1" ht="15" customHeight="1">
      <c r="A39" s="99"/>
      <c r="B39" s="90">
        <f>'116+240'!B40</f>
        <v>45307</v>
      </c>
      <c r="C39" s="87">
        <f t="shared" si="4"/>
        <v>1</v>
      </c>
      <c r="D39" s="86">
        <f t="shared" si="5"/>
        <v>844</v>
      </c>
      <c r="E39" s="85">
        <f>VLOOKUP(B39,'116+240'!B40:AB141,3,FALSE)</f>
        <v>1573</v>
      </c>
      <c r="F39" s="81">
        <f t="shared" si="0"/>
        <v>2417</v>
      </c>
      <c r="G39" s="84">
        <f>VLOOKUP(B39,'116+240'!$B$15:$AB$115,20,FALSE)</f>
        <v>953</v>
      </c>
      <c r="H39" s="84">
        <f>VLOOKUP(B39,'116+240'!$B$15:$AB$115,4,FALSE)</f>
        <v>424</v>
      </c>
      <c r="I39" s="80">
        <f t="shared" si="1"/>
        <v>1993</v>
      </c>
      <c r="J39" s="80">
        <f>VLOOKUP(B39,'116+240'!$B$15:$AB$115,13,FALSE)</f>
        <v>-7.0000000000000071</v>
      </c>
      <c r="K39" s="89">
        <f>'116+240'!Q40</f>
        <v>2</v>
      </c>
      <c r="L39" s="83">
        <f t="shared" si="6"/>
        <v>47</v>
      </c>
      <c r="M39" s="82">
        <f>VLOOKUP(B39,'116+240'!$B$14:$AB$115,21,FALSE)</f>
        <v>940</v>
      </c>
      <c r="N39" s="81">
        <f>VLOOKUP(B39,'116+240'!$B$15:$AB$115,5,FALSE)</f>
        <v>557</v>
      </c>
      <c r="O39" s="80">
        <f t="shared" si="2"/>
        <v>1860</v>
      </c>
      <c r="P39" s="80">
        <f>VLOOKUP(B39,'116+240'!$B$15:$AB$115,14,FALSE)</f>
        <v>-140</v>
      </c>
      <c r="Q39" s="89">
        <f>'116+240'!R40</f>
        <v>2</v>
      </c>
      <c r="R39" s="83">
        <f t="shared" si="7"/>
        <v>60</v>
      </c>
      <c r="S39" s="82">
        <f>VLOOKUP(B39,'116+240'!$B$14:$AB$115,22,FALSE)</f>
        <v>961</v>
      </c>
      <c r="T39" s="81">
        <f>VLOOKUP(B39,'116+240'!$B$15:$AB$115,6,FALSE)</f>
        <v>486</v>
      </c>
      <c r="U39" s="80">
        <f t="shared" si="3"/>
        <v>1931</v>
      </c>
      <c r="V39" s="79">
        <f>VLOOKUP(B39,'116+240'!$B$15:$AB$115,15,FALSE)</f>
        <v>-69</v>
      </c>
      <c r="W39" s="89">
        <f>'116+240'!S40</f>
        <v>1</v>
      </c>
      <c r="X39" s="83">
        <f t="shared" si="8"/>
        <v>39</v>
      </c>
      <c r="Y39" s="78">
        <f t="shared" si="9"/>
        <v>-1</v>
      </c>
      <c r="Z39" s="77">
        <f t="shared" si="10"/>
        <v>0</v>
      </c>
      <c r="AA39" s="76">
        <f t="shared" si="11"/>
        <v>1.02</v>
      </c>
      <c r="AB39" s="76">
        <f t="shared" si="12"/>
        <v>0.96</v>
      </c>
      <c r="AC39" s="65"/>
      <c r="AD39" s="65"/>
      <c r="AE39" s="98"/>
    </row>
    <row r="40" spans="1:31" s="97" customFormat="1" ht="15" customHeight="1">
      <c r="A40" s="99"/>
      <c r="B40" s="90">
        <f>'116+240'!B41</f>
        <v>45308</v>
      </c>
      <c r="C40" s="87">
        <f t="shared" si="4"/>
        <v>1</v>
      </c>
      <c r="D40" s="86">
        <f t="shared" si="5"/>
        <v>844</v>
      </c>
      <c r="E40" s="85">
        <f>VLOOKUP(B40,'116+240'!B41:AB142,3,FALSE)</f>
        <v>1571</v>
      </c>
      <c r="F40" s="81">
        <f t="shared" si="0"/>
        <v>2415</v>
      </c>
      <c r="G40" s="84">
        <f>VLOOKUP(B40,'116+240'!$B$15:$AB$115,20,FALSE)</f>
        <v>951</v>
      </c>
      <c r="H40" s="84">
        <f>VLOOKUP(B40,'116+240'!$B$15:$AB$115,4,FALSE)</f>
        <v>424</v>
      </c>
      <c r="I40" s="80">
        <f t="shared" si="1"/>
        <v>1991</v>
      </c>
      <c r="J40" s="80">
        <f>VLOOKUP(B40,'116+240'!$B$15:$AB$115,13,FALSE)</f>
        <v>-9.0000000000000071</v>
      </c>
      <c r="K40" s="89">
        <f>'116+240'!Q41</f>
        <v>2</v>
      </c>
      <c r="L40" s="83">
        <f t="shared" si="6"/>
        <v>49</v>
      </c>
      <c r="M40" s="82">
        <f>VLOOKUP(B40,'116+240'!$B$14:$AB$115,21,FALSE)</f>
        <v>938</v>
      </c>
      <c r="N40" s="81">
        <f>VLOOKUP(B40,'116+240'!$B$15:$AB$115,5,FALSE)</f>
        <v>557</v>
      </c>
      <c r="O40" s="80">
        <f t="shared" si="2"/>
        <v>1858</v>
      </c>
      <c r="P40" s="80">
        <f>VLOOKUP(B40,'116+240'!$B$15:$AB$115,14,FALSE)</f>
        <v>-142</v>
      </c>
      <c r="Q40" s="89">
        <f>'116+240'!R41</f>
        <v>2</v>
      </c>
      <c r="R40" s="83">
        <f t="shared" si="7"/>
        <v>62</v>
      </c>
      <c r="S40" s="82">
        <f>VLOOKUP(B40,'116+240'!$B$14:$AB$115,22,FALSE)</f>
        <v>959</v>
      </c>
      <c r="T40" s="81">
        <f>VLOOKUP(B40,'116+240'!$B$15:$AB$115,6,FALSE)</f>
        <v>486</v>
      </c>
      <c r="U40" s="80">
        <f t="shared" si="3"/>
        <v>1929</v>
      </c>
      <c r="V40" s="79">
        <f>VLOOKUP(B40,'116+240'!$B$15:$AB$115,15,FALSE)</f>
        <v>-71</v>
      </c>
      <c r="W40" s="89">
        <f>'116+240'!S41</f>
        <v>2</v>
      </c>
      <c r="X40" s="83">
        <f t="shared" si="8"/>
        <v>41</v>
      </c>
      <c r="Y40" s="78">
        <f t="shared" si="9"/>
        <v>-2</v>
      </c>
      <c r="Z40" s="77">
        <f t="shared" si="10"/>
        <v>0</v>
      </c>
      <c r="AA40" s="76">
        <f t="shared" si="11"/>
        <v>1.02</v>
      </c>
      <c r="AB40" s="76">
        <f t="shared" si="12"/>
        <v>0.95599999999999996</v>
      </c>
      <c r="AC40" s="65"/>
      <c r="AD40" s="65"/>
      <c r="AE40" s="98"/>
    </row>
    <row r="41" spans="1:31" s="97" customFormat="1" ht="15" customHeight="1">
      <c r="A41" s="99"/>
      <c r="B41" s="90">
        <f>'116+240'!B42</f>
        <v>45309</v>
      </c>
      <c r="C41" s="87">
        <f t="shared" si="4"/>
        <v>1</v>
      </c>
      <c r="D41" s="86">
        <f t="shared" si="5"/>
        <v>844</v>
      </c>
      <c r="E41" s="85">
        <f>VLOOKUP(B41,'116+240'!B42:AB143,3,FALSE)</f>
        <v>1569</v>
      </c>
      <c r="F41" s="81">
        <f t="shared" si="0"/>
        <v>2413</v>
      </c>
      <c r="G41" s="84">
        <f>VLOOKUP(B41,'116+240'!$B$15:$AB$115,20,FALSE)</f>
        <v>1249</v>
      </c>
      <c r="H41" s="84">
        <f>VLOOKUP(B41,'116+240'!$B$15:$AB$115,4,FALSE)</f>
        <v>424</v>
      </c>
      <c r="I41" s="80">
        <f t="shared" si="1"/>
        <v>1989</v>
      </c>
      <c r="J41" s="80">
        <f>VLOOKUP(B41,'116+240'!$B$15:$AB$115,13,FALSE)</f>
        <v>-11.000000000000007</v>
      </c>
      <c r="K41" s="89">
        <f>'116+240'!Q42</f>
        <v>2</v>
      </c>
      <c r="L41" s="83">
        <f t="shared" si="6"/>
        <v>51</v>
      </c>
      <c r="M41" s="82">
        <f>VLOOKUP(B41,'116+240'!$B$14:$AB$115,21,FALSE)</f>
        <v>1236</v>
      </c>
      <c r="N41" s="81">
        <f>VLOOKUP(B41,'116+240'!$B$15:$AB$115,5,FALSE)</f>
        <v>557</v>
      </c>
      <c r="O41" s="80">
        <f t="shared" si="2"/>
        <v>1856</v>
      </c>
      <c r="P41" s="80">
        <f>VLOOKUP(B41,'116+240'!$B$15:$AB$115,14,FALSE)</f>
        <v>-144</v>
      </c>
      <c r="Q41" s="89">
        <f>'116+240'!R42</f>
        <v>2</v>
      </c>
      <c r="R41" s="83">
        <f t="shared" si="7"/>
        <v>64</v>
      </c>
      <c r="S41" s="82">
        <f>VLOOKUP(B41,'116+240'!$B$14:$AB$115,22,FALSE)</f>
        <v>1258</v>
      </c>
      <c r="T41" s="81">
        <f>VLOOKUP(B41,'116+240'!$B$15:$AB$115,6,FALSE)</f>
        <v>485</v>
      </c>
      <c r="U41" s="80">
        <f t="shared" si="3"/>
        <v>1928</v>
      </c>
      <c r="V41" s="79">
        <f>VLOOKUP(B41,'116+240'!$B$15:$AB$115,15,FALSE)</f>
        <v>-72</v>
      </c>
      <c r="W41" s="89">
        <f>'116+240'!S42</f>
        <v>1</v>
      </c>
      <c r="X41" s="83">
        <f t="shared" si="8"/>
        <v>42</v>
      </c>
      <c r="Y41" s="78">
        <f t="shared" si="9"/>
        <v>299</v>
      </c>
      <c r="Z41" s="77">
        <f t="shared" si="10"/>
        <v>0.29899999999999999</v>
      </c>
      <c r="AA41" s="76">
        <f t="shared" si="11"/>
        <v>1.319</v>
      </c>
      <c r="AB41" s="76">
        <f t="shared" si="12"/>
        <v>1.252</v>
      </c>
      <c r="AC41" s="65"/>
      <c r="AD41" s="65"/>
      <c r="AE41" s="98"/>
    </row>
    <row r="42" spans="1:31" s="97" customFormat="1" ht="15" customHeight="1">
      <c r="A42" s="99"/>
      <c r="B42" s="90">
        <f>'116+240'!B43</f>
        <v>45310</v>
      </c>
      <c r="C42" s="87">
        <f t="shared" si="4"/>
        <v>1</v>
      </c>
      <c r="D42" s="86">
        <f t="shared" si="5"/>
        <v>844</v>
      </c>
      <c r="E42" s="85">
        <f>VLOOKUP(B42,'116+240'!B43:AB144,3,FALSE)</f>
        <v>1567</v>
      </c>
      <c r="F42" s="81">
        <f t="shared" si="0"/>
        <v>2411</v>
      </c>
      <c r="G42" s="84">
        <f>VLOOKUP(B42,'116+240'!$B$15:$AB$115,20,FALSE)</f>
        <v>1244</v>
      </c>
      <c r="H42" s="84">
        <f>VLOOKUP(B42,'116+240'!$B$15:$AB$115,4,FALSE)</f>
        <v>427</v>
      </c>
      <c r="I42" s="80">
        <f t="shared" si="1"/>
        <v>1984</v>
      </c>
      <c r="J42" s="80">
        <f>VLOOKUP(B42,'116+240'!$B$15:$AB$115,13,FALSE)</f>
        <v>-16.000000000000007</v>
      </c>
      <c r="K42" s="89">
        <f>'116+240'!Q43</f>
        <v>5</v>
      </c>
      <c r="L42" s="83">
        <f t="shared" si="6"/>
        <v>56</v>
      </c>
      <c r="M42" s="82">
        <f>VLOOKUP(B42,'116+240'!$B$14:$AB$115,21,FALSE)</f>
        <v>1228</v>
      </c>
      <c r="N42" s="81">
        <f>VLOOKUP(B42,'116+240'!$B$15:$AB$115,5,FALSE)</f>
        <v>563</v>
      </c>
      <c r="O42" s="80">
        <f t="shared" si="2"/>
        <v>1848</v>
      </c>
      <c r="P42" s="80">
        <f>VLOOKUP(B42,'116+240'!$B$15:$AB$115,14,FALSE)</f>
        <v>-152</v>
      </c>
      <c r="Q42" s="89">
        <f>'116+240'!R43</f>
        <v>8</v>
      </c>
      <c r="R42" s="83">
        <f t="shared" si="7"/>
        <v>72</v>
      </c>
      <c r="S42" s="82">
        <f>VLOOKUP(B42,'116+240'!$B$14:$AB$115,22,FALSE)</f>
        <v>1252</v>
      </c>
      <c r="T42" s="81">
        <f>VLOOKUP(B42,'116+240'!$B$15:$AB$115,6,FALSE)</f>
        <v>489</v>
      </c>
      <c r="U42" s="80">
        <f t="shared" si="3"/>
        <v>1922</v>
      </c>
      <c r="V42" s="79">
        <f>VLOOKUP(B42,'116+240'!$B$15:$AB$115,15,FALSE)</f>
        <v>-78</v>
      </c>
      <c r="W42" s="89">
        <f>'116+240'!S43</f>
        <v>6</v>
      </c>
      <c r="X42" s="83">
        <f t="shared" si="8"/>
        <v>48</v>
      </c>
      <c r="Y42" s="78">
        <f t="shared" si="9"/>
        <v>-6</v>
      </c>
      <c r="Z42" s="77">
        <f t="shared" si="10"/>
        <v>0</v>
      </c>
      <c r="AA42" s="76">
        <f t="shared" si="11"/>
        <v>1.319</v>
      </c>
      <c r="AB42" s="76">
        <f t="shared" si="12"/>
        <v>1.236</v>
      </c>
      <c r="AC42" s="65"/>
      <c r="AD42" s="65"/>
      <c r="AE42" s="98"/>
    </row>
    <row r="43" spans="1:31" s="97" customFormat="1" ht="15" customHeight="1">
      <c r="A43" s="99"/>
      <c r="B43" s="90">
        <f>'116+240'!B44</f>
        <v>45311</v>
      </c>
      <c r="C43" s="87">
        <f t="shared" si="4"/>
        <v>1</v>
      </c>
      <c r="D43" s="86">
        <f t="shared" si="5"/>
        <v>844</v>
      </c>
      <c r="E43" s="85">
        <f>VLOOKUP(B43,'116+240'!B44:AB145,3,FALSE)</f>
        <v>1565</v>
      </c>
      <c r="F43" s="81">
        <f t="shared" si="0"/>
        <v>2409</v>
      </c>
      <c r="G43" s="84">
        <f>VLOOKUP(B43,'116+240'!$B$15:$AB$115,20,FALSE)</f>
        <v>1244</v>
      </c>
      <c r="H43" s="84">
        <f>VLOOKUP(B43,'116+240'!$B$15:$AB$115,4,FALSE)</f>
        <v>425</v>
      </c>
      <c r="I43" s="80">
        <f t="shared" si="1"/>
        <v>1984</v>
      </c>
      <c r="J43" s="80">
        <f>VLOOKUP(B43,'116+240'!$B$15:$AB$115,13,FALSE)</f>
        <v>-16.000000000000007</v>
      </c>
      <c r="K43" s="89">
        <f>'116+240'!Q44</f>
        <v>0</v>
      </c>
      <c r="L43" s="83">
        <f t="shared" si="6"/>
        <v>56</v>
      </c>
      <c r="M43" s="82">
        <f>VLOOKUP(B43,'116+240'!$B$14:$AB$115,21,FALSE)</f>
        <v>1227</v>
      </c>
      <c r="N43" s="81">
        <f>VLOOKUP(B43,'116+240'!$B$15:$AB$115,5,FALSE)</f>
        <v>562</v>
      </c>
      <c r="O43" s="80">
        <f t="shared" si="2"/>
        <v>1847</v>
      </c>
      <c r="P43" s="80">
        <f>VLOOKUP(B43,'116+240'!$B$15:$AB$115,14,FALSE)</f>
        <v>-153</v>
      </c>
      <c r="Q43" s="89">
        <f>'116+240'!R44</f>
        <v>1</v>
      </c>
      <c r="R43" s="83">
        <f t="shared" si="7"/>
        <v>73</v>
      </c>
      <c r="S43" s="82">
        <f>VLOOKUP(B43,'116+240'!$B$14:$AB$115,22,FALSE)</f>
        <v>1252</v>
      </c>
      <c r="T43" s="81">
        <f>VLOOKUP(B43,'116+240'!$B$15:$AB$115,6,FALSE)</f>
        <v>487</v>
      </c>
      <c r="U43" s="80">
        <f t="shared" si="3"/>
        <v>1922</v>
      </c>
      <c r="V43" s="79">
        <f>VLOOKUP(B43,'116+240'!$B$15:$AB$115,15,FALSE)</f>
        <v>-78</v>
      </c>
      <c r="W43" s="89">
        <f>'116+240'!S44</f>
        <v>0</v>
      </c>
      <c r="X43" s="83">
        <f t="shared" si="8"/>
        <v>48</v>
      </c>
      <c r="Y43" s="78">
        <f t="shared" si="9"/>
        <v>0</v>
      </c>
      <c r="Z43" s="77">
        <f t="shared" si="10"/>
        <v>0</v>
      </c>
      <c r="AA43" s="76">
        <f t="shared" si="11"/>
        <v>1.319</v>
      </c>
      <c r="AB43" s="76">
        <f t="shared" si="12"/>
        <v>1.234</v>
      </c>
      <c r="AC43" s="65"/>
      <c r="AD43" s="65"/>
      <c r="AE43" s="98"/>
    </row>
    <row r="44" spans="1:31" s="97" customFormat="1" ht="15" customHeight="1">
      <c r="A44" s="99"/>
      <c r="B44" s="90">
        <f>'116+240'!B45</f>
        <v>45312</v>
      </c>
      <c r="C44" s="87">
        <f t="shared" si="4"/>
        <v>1</v>
      </c>
      <c r="D44" s="86">
        <f t="shared" si="5"/>
        <v>844</v>
      </c>
      <c r="E44" s="85">
        <f>VLOOKUP(B44,'116+240'!B45:AB146,3,FALSE)</f>
        <v>1563</v>
      </c>
      <c r="F44" s="81">
        <f t="shared" si="0"/>
        <v>2407</v>
      </c>
      <c r="G44" s="84">
        <f>VLOOKUP(B44,'116+240'!$B$15:$AB$115,20,FALSE)</f>
        <v>1238</v>
      </c>
      <c r="H44" s="84">
        <f>VLOOKUP(B44,'116+240'!$B$15:$AB$115,4,FALSE)</f>
        <v>429</v>
      </c>
      <c r="I44" s="80">
        <f t="shared" si="1"/>
        <v>1978</v>
      </c>
      <c r="J44" s="80">
        <f>VLOOKUP(B44,'116+240'!$B$15:$AB$115,13,FALSE)</f>
        <v>-22.000000000000007</v>
      </c>
      <c r="K44" s="89">
        <f>'116+240'!Q45</f>
        <v>6</v>
      </c>
      <c r="L44" s="83">
        <f t="shared" si="6"/>
        <v>62</v>
      </c>
      <c r="M44" s="82">
        <f>VLOOKUP(B44,'116+240'!$B$14:$AB$115,21,FALSE)</f>
        <v>1219</v>
      </c>
      <c r="N44" s="81">
        <f>VLOOKUP(B44,'116+240'!$B$15:$AB$115,5,FALSE)</f>
        <v>568</v>
      </c>
      <c r="O44" s="80">
        <f t="shared" si="2"/>
        <v>1839</v>
      </c>
      <c r="P44" s="80">
        <f>VLOOKUP(B44,'116+240'!$B$15:$AB$115,14,FALSE)</f>
        <v>-161</v>
      </c>
      <c r="Q44" s="89">
        <f>'116+240'!R45</f>
        <v>8</v>
      </c>
      <c r="R44" s="83">
        <f t="shared" si="7"/>
        <v>81</v>
      </c>
      <c r="S44" s="82">
        <f>VLOOKUP(B44,'116+240'!$B$14:$AB$115,22,FALSE)</f>
        <v>1247</v>
      </c>
      <c r="T44" s="81">
        <f>VLOOKUP(B44,'116+240'!$B$15:$AB$115,6,FALSE)</f>
        <v>490</v>
      </c>
      <c r="U44" s="80">
        <f t="shared" si="3"/>
        <v>1917</v>
      </c>
      <c r="V44" s="79">
        <f>VLOOKUP(B44,'116+240'!$B$15:$AB$115,15,FALSE)</f>
        <v>-83</v>
      </c>
      <c r="W44" s="89">
        <f>'116+240'!S45</f>
        <v>5</v>
      </c>
      <c r="X44" s="83">
        <f t="shared" si="8"/>
        <v>53</v>
      </c>
      <c r="Y44" s="78">
        <f t="shared" si="9"/>
        <v>-5</v>
      </c>
      <c r="Z44" s="77">
        <f t="shared" si="10"/>
        <v>0</v>
      </c>
      <c r="AA44" s="76">
        <f t="shared" si="11"/>
        <v>1.319</v>
      </c>
      <c r="AB44" s="76">
        <f t="shared" si="12"/>
        <v>1.218</v>
      </c>
      <c r="AC44" s="65"/>
      <c r="AD44" s="65"/>
      <c r="AE44" s="98"/>
    </row>
    <row r="45" spans="1:31" s="100" customFormat="1" ht="15" customHeight="1">
      <c r="A45" s="99"/>
      <c r="B45" s="90">
        <f>'116+240'!B46</f>
        <v>45313</v>
      </c>
      <c r="C45" s="87">
        <f t="shared" si="4"/>
        <v>1</v>
      </c>
      <c r="D45" s="86">
        <f t="shared" si="5"/>
        <v>844</v>
      </c>
      <c r="E45" s="85">
        <f>VLOOKUP(B45,'116+240'!B46:AB147,3,FALSE)</f>
        <v>1561</v>
      </c>
      <c r="F45" s="81">
        <f t="shared" si="0"/>
        <v>2405</v>
      </c>
      <c r="G45" s="84">
        <f>VLOOKUP(B45,'116+240'!$B$15:$AB$115,20,FALSE)</f>
        <v>1536</v>
      </c>
      <c r="H45" s="84">
        <f>VLOOKUP(B45,'116+240'!$B$15:$AB$115,4,FALSE)</f>
        <v>429</v>
      </c>
      <c r="I45" s="80">
        <f t="shared" si="1"/>
        <v>1976</v>
      </c>
      <c r="J45" s="80">
        <f>VLOOKUP(B45,'116+240'!$B$15:$AB$115,13,FALSE)</f>
        <v>-24.000000000000007</v>
      </c>
      <c r="K45" s="89">
        <f>'116+240'!Q46</f>
        <v>2</v>
      </c>
      <c r="L45" s="83">
        <f t="shared" si="6"/>
        <v>64</v>
      </c>
      <c r="M45" s="82">
        <f>VLOOKUP(B45,'116+240'!$B$14:$AB$115,21,FALSE)</f>
        <v>1517</v>
      </c>
      <c r="N45" s="81">
        <f>VLOOKUP(B45,'116+240'!$B$15:$AB$115,5,FALSE)</f>
        <v>568</v>
      </c>
      <c r="O45" s="80">
        <f t="shared" si="2"/>
        <v>1837</v>
      </c>
      <c r="P45" s="80">
        <f>VLOOKUP(B45,'116+240'!$B$15:$AB$115,14,FALSE)</f>
        <v>-163</v>
      </c>
      <c r="Q45" s="89">
        <f>'116+240'!R46</f>
        <v>2</v>
      </c>
      <c r="R45" s="83">
        <f t="shared" si="7"/>
        <v>83</v>
      </c>
      <c r="S45" s="82">
        <f>VLOOKUP(B45,'116+240'!$B$14:$AB$115,22,FALSE)</f>
        <v>1546</v>
      </c>
      <c r="T45" s="81">
        <f>VLOOKUP(B45,'116+240'!$B$15:$AB$115,6,FALSE)</f>
        <v>489</v>
      </c>
      <c r="U45" s="80">
        <f t="shared" si="3"/>
        <v>1916</v>
      </c>
      <c r="V45" s="79">
        <f>VLOOKUP(B45,'116+240'!$B$15:$AB$115,15,FALSE)</f>
        <v>-84</v>
      </c>
      <c r="W45" s="89">
        <f>'116+240'!S46</f>
        <v>1</v>
      </c>
      <c r="X45" s="83">
        <f t="shared" si="8"/>
        <v>54</v>
      </c>
      <c r="Y45" s="78">
        <f t="shared" si="9"/>
        <v>299</v>
      </c>
      <c r="Z45" s="77">
        <f t="shared" si="10"/>
        <v>0.29899999999999999</v>
      </c>
      <c r="AA45" s="76">
        <f t="shared" si="11"/>
        <v>1.6179999999999999</v>
      </c>
      <c r="AB45" s="76">
        <f t="shared" si="12"/>
        <v>1.514</v>
      </c>
      <c r="AC45" s="102"/>
      <c r="AD45" s="102"/>
      <c r="AE45" s="101"/>
    </row>
    <row r="46" spans="1:31" s="100" customFormat="1" ht="15" customHeight="1">
      <c r="A46" s="99"/>
      <c r="B46" s="90">
        <f>'116+240'!B47</f>
        <v>45314</v>
      </c>
      <c r="C46" s="87">
        <f t="shared" si="4"/>
        <v>1</v>
      </c>
      <c r="D46" s="86">
        <f t="shared" si="5"/>
        <v>844</v>
      </c>
      <c r="E46" s="85">
        <f>VLOOKUP(B46,'116+240'!B47:AB148,3,FALSE)</f>
        <v>1559</v>
      </c>
      <c r="F46" s="81">
        <f t="shared" si="0"/>
        <v>2403</v>
      </c>
      <c r="G46" s="84">
        <f>VLOOKUP(B46,'116+240'!$B$15:$AB$115,20,FALSE)</f>
        <v>1534</v>
      </c>
      <c r="H46" s="84">
        <f>VLOOKUP(B46,'116+240'!$B$15:$AB$115,4,FALSE)</f>
        <v>429</v>
      </c>
      <c r="I46" s="80">
        <f t="shared" si="1"/>
        <v>1974</v>
      </c>
      <c r="J46" s="80">
        <f>VLOOKUP(B46,'116+240'!$B$15:$AB$115,13,FALSE)</f>
        <v>-26.000000000000007</v>
      </c>
      <c r="K46" s="89">
        <f>'116+240'!Q47</f>
        <v>2</v>
      </c>
      <c r="L46" s="83">
        <f t="shared" si="6"/>
        <v>66</v>
      </c>
      <c r="M46" s="82">
        <f>VLOOKUP(B46,'116+240'!$B$14:$AB$115,21,FALSE)</f>
        <v>1515</v>
      </c>
      <c r="N46" s="81">
        <f>VLOOKUP(B46,'116+240'!$B$15:$AB$115,5,FALSE)</f>
        <v>568</v>
      </c>
      <c r="O46" s="80">
        <f t="shared" si="2"/>
        <v>1835</v>
      </c>
      <c r="P46" s="80">
        <f>VLOOKUP(B46,'116+240'!$B$15:$AB$115,14,FALSE)</f>
        <v>-165</v>
      </c>
      <c r="Q46" s="89">
        <f>'116+240'!R47</f>
        <v>2</v>
      </c>
      <c r="R46" s="83">
        <f t="shared" si="7"/>
        <v>85</v>
      </c>
      <c r="S46" s="82">
        <f>VLOOKUP(B46,'116+240'!$B$14:$AB$115,22,FALSE)</f>
        <v>1545</v>
      </c>
      <c r="T46" s="81">
        <f>VLOOKUP(B46,'116+240'!$B$15:$AB$115,6,FALSE)</f>
        <v>488</v>
      </c>
      <c r="U46" s="80">
        <f t="shared" si="3"/>
        <v>1915</v>
      </c>
      <c r="V46" s="79">
        <f>VLOOKUP(B46,'116+240'!$B$15:$AB$115,15,FALSE)</f>
        <v>-85</v>
      </c>
      <c r="W46" s="89">
        <f>'116+240'!S47</f>
        <v>1</v>
      </c>
      <c r="X46" s="83">
        <f t="shared" si="8"/>
        <v>55</v>
      </c>
      <c r="Y46" s="78">
        <f t="shared" si="9"/>
        <v>-1</v>
      </c>
      <c r="Z46" s="77">
        <f t="shared" si="10"/>
        <v>0</v>
      </c>
      <c r="AA46" s="76">
        <f t="shared" si="11"/>
        <v>1.6179999999999999</v>
      </c>
      <c r="AB46" s="76">
        <f t="shared" si="12"/>
        <v>1.51</v>
      </c>
      <c r="AC46" s="102"/>
      <c r="AD46" s="102"/>
      <c r="AE46" s="101"/>
    </row>
    <row r="47" spans="1:31" s="97" customFormat="1" ht="15" customHeight="1">
      <c r="A47" s="99"/>
      <c r="B47" s="90">
        <f>'116+240'!B48</f>
        <v>45315</v>
      </c>
      <c r="C47" s="87">
        <f t="shared" si="4"/>
        <v>1</v>
      </c>
      <c r="D47" s="86">
        <f t="shared" si="5"/>
        <v>844</v>
      </c>
      <c r="E47" s="85">
        <f>VLOOKUP(B47,'116+240'!B48:AB149,3,FALSE)</f>
        <v>1557</v>
      </c>
      <c r="F47" s="81">
        <f t="shared" si="0"/>
        <v>2401</v>
      </c>
      <c r="G47" s="84">
        <f>VLOOKUP(B47,'116+240'!$B$15:$AB$115,20,FALSE)</f>
        <v>1532</v>
      </c>
      <c r="H47" s="84">
        <f>VLOOKUP(B47,'116+240'!$B$15:$AB$115,4,FALSE)</f>
        <v>429</v>
      </c>
      <c r="I47" s="80">
        <f t="shared" si="1"/>
        <v>1972</v>
      </c>
      <c r="J47" s="80">
        <f>VLOOKUP(B47,'116+240'!$B$15:$AB$115,13,FALSE)</f>
        <v>-28.000000000000007</v>
      </c>
      <c r="K47" s="89">
        <f>'116+240'!Q48</f>
        <v>2</v>
      </c>
      <c r="L47" s="83">
        <f t="shared" si="6"/>
        <v>68</v>
      </c>
      <c r="M47" s="82">
        <f>VLOOKUP(B47,'116+240'!$B$14:$AB$115,21,FALSE)</f>
        <v>1513</v>
      </c>
      <c r="N47" s="81">
        <f>VLOOKUP(B47,'116+240'!$B$15:$AB$115,5,FALSE)</f>
        <v>568</v>
      </c>
      <c r="O47" s="80">
        <f t="shared" si="2"/>
        <v>1833</v>
      </c>
      <c r="P47" s="80">
        <f>VLOOKUP(B47,'116+240'!$B$15:$AB$115,14,FALSE)</f>
        <v>-167</v>
      </c>
      <c r="Q47" s="89">
        <f>'116+240'!R48</f>
        <v>2</v>
      </c>
      <c r="R47" s="83">
        <f t="shared" si="7"/>
        <v>87</v>
      </c>
      <c r="S47" s="82">
        <f>VLOOKUP(B47,'116+240'!$B$14:$AB$115,22,FALSE)</f>
        <v>1543</v>
      </c>
      <c r="T47" s="81">
        <f>VLOOKUP(B47,'116+240'!$B$15:$AB$115,6,FALSE)</f>
        <v>488</v>
      </c>
      <c r="U47" s="80">
        <f t="shared" si="3"/>
        <v>1913</v>
      </c>
      <c r="V47" s="79">
        <f>VLOOKUP(B47,'116+240'!$B$15:$AB$115,15,FALSE)</f>
        <v>-87</v>
      </c>
      <c r="W47" s="89">
        <f>'116+240'!S48</f>
        <v>2</v>
      </c>
      <c r="X47" s="83">
        <f t="shared" si="8"/>
        <v>57</v>
      </c>
      <c r="Y47" s="78">
        <f t="shared" si="9"/>
        <v>-2</v>
      </c>
      <c r="Z47" s="77">
        <f t="shared" si="10"/>
        <v>0</v>
      </c>
      <c r="AA47" s="76">
        <f t="shared" si="11"/>
        <v>1.6179999999999999</v>
      </c>
      <c r="AB47" s="76">
        <f t="shared" si="12"/>
        <v>1.506</v>
      </c>
      <c r="AC47" s="65"/>
      <c r="AD47" s="65"/>
      <c r="AE47" s="98"/>
    </row>
    <row r="48" spans="1:31" s="97" customFormat="1" ht="15" customHeight="1">
      <c r="A48" s="99"/>
      <c r="B48" s="90">
        <f>'116+240'!B49</f>
        <v>45316</v>
      </c>
      <c r="C48" s="87">
        <f t="shared" si="4"/>
        <v>1</v>
      </c>
      <c r="D48" s="86">
        <f t="shared" si="5"/>
        <v>844</v>
      </c>
      <c r="E48" s="85">
        <f>VLOOKUP(B48,'116+240'!B49:AB150,3,FALSE)</f>
        <v>1555</v>
      </c>
      <c r="F48" s="81">
        <f t="shared" si="0"/>
        <v>2399</v>
      </c>
      <c r="G48" s="84">
        <f>VLOOKUP(B48,'116+240'!$B$15:$AB$115,20,FALSE)</f>
        <v>1527</v>
      </c>
      <c r="H48" s="84">
        <f>VLOOKUP(B48,'116+240'!$B$15:$AB$115,4,FALSE)</f>
        <v>432</v>
      </c>
      <c r="I48" s="80">
        <f t="shared" si="1"/>
        <v>1967</v>
      </c>
      <c r="J48" s="80">
        <f>VLOOKUP(B48,'116+240'!$B$15:$AB$115,13,FALSE)</f>
        <v>-33.000000000000007</v>
      </c>
      <c r="K48" s="89">
        <f>'116+240'!Q49</f>
        <v>5</v>
      </c>
      <c r="L48" s="83">
        <f t="shared" si="6"/>
        <v>73</v>
      </c>
      <c r="M48" s="82">
        <f>VLOOKUP(B48,'116+240'!$B$14:$AB$115,21,FALSE)</f>
        <v>1505</v>
      </c>
      <c r="N48" s="81">
        <f>VLOOKUP(B48,'116+240'!$B$15:$AB$115,5,FALSE)</f>
        <v>574</v>
      </c>
      <c r="O48" s="80">
        <f t="shared" si="2"/>
        <v>1825</v>
      </c>
      <c r="P48" s="80">
        <f>VLOOKUP(B48,'116+240'!$B$15:$AB$115,14,FALSE)</f>
        <v>-175</v>
      </c>
      <c r="Q48" s="89">
        <f>'116+240'!R49</f>
        <v>8</v>
      </c>
      <c r="R48" s="83">
        <f t="shared" si="7"/>
        <v>95</v>
      </c>
      <c r="S48" s="82">
        <f>VLOOKUP(B48,'116+240'!$B$14:$AB$115,22,FALSE)</f>
        <v>1538</v>
      </c>
      <c r="T48" s="81">
        <f>VLOOKUP(B48,'116+240'!$B$15:$AB$115,6,FALSE)</f>
        <v>491</v>
      </c>
      <c r="U48" s="80">
        <f t="shared" si="3"/>
        <v>1908</v>
      </c>
      <c r="V48" s="79">
        <f>VLOOKUP(B48,'116+240'!$B$15:$AB$115,15,FALSE)</f>
        <v>-92</v>
      </c>
      <c r="W48" s="89">
        <f>'116+240'!S49</f>
        <v>5</v>
      </c>
      <c r="X48" s="83">
        <f t="shared" si="8"/>
        <v>62</v>
      </c>
      <c r="Y48" s="78">
        <f t="shared" si="9"/>
        <v>-5</v>
      </c>
      <c r="Z48" s="77">
        <f t="shared" si="10"/>
        <v>0</v>
      </c>
      <c r="AA48" s="76">
        <f t="shared" si="11"/>
        <v>1.6179999999999999</v>
      </c>
      <c r="AB48" s="76">
        <f t="shared" si="12"/>
        <v>1.49</v>
      </c>
      <c r="AC48" s="65"/>
      <c r="AD48" s="65"/>
      <c r="AE48" s="98"/>
    </row>
    <row r="49" spans="1:31" s="97" customFormat="1" ht="15" customHeight="1">
      <c r="A49" s="99"/>
      <c r="B49" s="90">
        <f>'116+240'!B50</f>
        <v>45317</v>
      </c>
      <c r="C49" s="87">
        <f t="shared" si="4"/>
        <v>1</v>
      </c>
      <c r="D49" s="86">
        <f t="shared" si="5"/>
        <v>844</v>
      </c>
      <c r="E49" s="85">
        <f>VLOOKUP(B49,'116+240'!B50:AB151,3,FALSE)</f>
        <v>1553</v>
      </c>
      <c r="F49" s="81">
        <f t="shared" si="0"/>
        <v>2397</v>
      </c>
      <c r="G49" s="84">
        <f>VLOOKUP(B49,'116+240'!$B$15:$AB$115,20,FALSE)</f>
        <v>1525</v>
      </c>
      <c r="H49" s="84">
        <f>VLOOKUP(B49,'116+240'!$B$15:$AB$115,4,FALSE)</f>
        <v>432</v>
      </c>
      <c r="I49" s="80">
        <f t="shared" si="1"/>
        <v>1965</v>
      </c>
      <c r="J49" s="80">
        <f>VLOOKUP(B49,'116+240'!$B$15:$AB$115,13,FALSE)</f>
        <v>-35.000000000000007</v>
      </c>
      <c r="K49" s="89">
        <f>'116+240'!Q50</f>
        <v>2</v>
      </c>
      <c r="L49" s="83">
        <f t="shared" si="6"/>
        <v>75</v>
      </c>
      <c r="M49" s="82">
        <f>VLOOKUP(B49,'116+240'!$B$14:$AB$115,21,FALSE)</f>
        <v>1503</v>
      </c>
      <c r="N49" s="81">
        <f>VLOOKUP(B49,'116+240'!$B$15:$AB$115,5,FALSE)</f>
        <v>574</v>
      </c>
      <c r="O49" s="80">
        <f t="shared" si="2"/>
        <v>1823</v>
      </c>
      <c r="P49" s="80">
        <f>VLOOKUP(B49,'116+240'!$B$15:$AB$115,14,FALSE)</f>
        <v>-177</v>
      </c>
      <c r="Q49" s="89">
        <f>'116+240'!R50</f>
        <v>2</v>
      </c>
      <c r="R49" s="83">
        <f t="shared" si="7"/>
        <v>97</v>
      </c>
      <c r="S49" s="82">
        <f>VLOOKUP(B49,'116+240'!$B$14:$AB$115,22,FALSE)</f>
        <v>1537</v>
      </c>
      <c r="T49" s="81">
        <f>VLOOKUP(B49,'116+240'!$B$15:$AB$115,6,FALSE)</f>
        <v>490</v>
      </c>
      <c r="U49" s="80">
        <f t="shared" si="3"/>
        <v>1907</v>
      </c>
      <c r="V49" s="79">
        <f>VLOOKUP(B49,'116+240'!$B$15:$AB$115,15,FALSE)</f>
        <v>-93</v>
      </c>
      <c r="W49" s="89">
        <f>'116+240'!S50</f>
        <v>1</v>
      </c>
      <c r="X49" s="83">
        <f t="shared" si="8"/>
        <v>63</v>
      </c>
      <c r="Y49" s="78">
        <f t="shared" si="9"/>
        <v>-1</v>
      </c>
      <c r="Z49" s="77">
        <f t="shared" si="10"/>
        <v>0</v>
      </c>
      <c r="AA49" s="76">
        <f t="shared" si="11"/>
        <v>1.6179999999999999</v>
      </c>
      <c r="AB49" s="76">
        <f t="shared" si="12"/>
        <v>1.486</v>
      </c>
      <c r="AC49" s="65"/>
      <c r="AD49" s="65"/>
      <c r="AE49" s="98"/>
    </row>
    <row r="50" spans="1:31" s="97" customFormat="1" ht="15" customHeight="1">
      <c r="A50" s="99"/>
      <c r="B50" s="90">
        <f>'116+240'!B51</f>
        <v>45318</v>
      </c>
      <c r="C50" s="87">
        <f t="shared" si="4"/>
        <v>1</v>
      </c>
      <c r="D50" s="86">
        <f t="shared" si="5"/>
        <v>844</v>
      </c>
      <c r="E50" s="85">
        <f>VLOOKUP(B50,'116+240'!B51:AB152,3,FALSE)</f>
        <v>1551</v>
      </c>
      <c r="F50" s="81">
        <f t="shared" si="0"/>
        <v>2395</v>
      </c>
      <c r="G50" s="84">
        <f>VLOOKUP(B50,'116+240'!$B$15:$AB$115,20,FALSE)</f>
        <v>1523</v>
      </c>
      <c r="H50" s="84">
        <f>VLOOKUP(B50,'116+240'!$B$15:$AB$115,4,FALSE)</f>
        <v>432</v>
      </c>
      <c r="I50" s="80">
        <f t="shared" si="1"/>
        <v>1963</v>
      </c>
      <c r="J50" s="80">
        <f>VLOOKUP(B50,'116+240'!$B$15:$AB$115,13,FALSE)</f>
        <v>-37.000000000000007</v>
      </c>
      <c r="K50" s="89">
        <f>'116+240'!Q51</f>
        <v>2</v>
      </c>
      <c r="L50" s="83">
        <f t="shared" si="6"/>
        <v>77</v>
      </c>
      <c r="M50" s="82">
        <f>VLOOKUP(B50,'116+240'!$B$14:$AB$115,21,FALSE)</f>
        <v>1501</v>
      </c>
      <c r="N50" s="81">
        <f>VLOOKUP(B50,'116+240'!$B$15:$AB$115,5,FALSE)</f>
        <v>574</v>
      </c>
      <c r="O50" s="80">
        <f t="shared" si="2"/>
        <v>1821</v>
      </c>
      <c r="P50" s="80">
        <f>VLOOKUP(B50,'116+240'!$B$15:$AB$115,14,FALSE)</f>
        <v>-179</v>
      </c>
      <c r="Q50" s="89">
        <f>'116+240'!R51</f>
        <v>2</v>
      </c>
      <c r="R50" s="83">
        <f t="shared" si="7"/>
        <v>99</v>
      </c>
      <c r="S50" s="82">
        <f>VLOOKUP(B50,'116+240'!$B$14:$AB$115,22,FALSE)</f>
        <v>1535</v>
      </c>
      <c r="T50" s="81">
        <f>VLOOKUP(B50,'116+240'!$B$15:$AB$115,6,FALSE)</f>
        <v>490</v>
      </c>
      <c r="U50" s="80">
        <f t="shared" si="3"/>
        <v>1905</v>
      </c>
      <c r="V50" s="79">
        <f>VLOOKUP(B50,'116+240'!$B$15:$AB$115,15,FALSE)</f>
        <v>-95</v>
      </c>
      <c r="W50" s="89">
        <f>'116+240'!S51</f>
        <v>2</v>
      </c>
      <c r="X50" s="83">
        <f t="shared" si="8"/>
        <v>65</v>
      </c>
      <c r="Y50" s="78">
        <f t="shared" si="9"/>
        <v>-2</v>
      </c>
      <c r="Z50" s="77">
        <f t="shared" si="10"/>
        <v>0</v>
      </c>
      <c r="AA50" s="76">
        <f t="shared" si="11"/>
        <v>1.6179999999999999</v>
      </c>
      <c r="AB50" s="76">
        <f t="shared" si="12"/>
        <v>1.482</v>
      </c>
      <c r="AC50" s="65"/>
      <c r="AD50" s="65"/>
      <c r="AE50" s="98"/>
    </row>
    <row r="51" spans="1:31" s="97" customFormat="1" ht="15" customHeight="1">
      <c r="A51" s="99"/>
      <c r="B51" s="90">
        <f>'116+240'!B52</f>
        <v>45319</v>
      </c>
      <c r="C51" s="87">
        <f t="shared" si="4"/>
        <v>1</v>
      </c>
      <c r="D51" s="86">
        <f t="shared" si="5"/>
        <v>844</v>
      </c>
      <c r="E51" s="85">
        <f>VLOOKUP(B51,'116+240'!B52:AB153,3,FALSE)</f>
        <v>1549</v>
      </c>
      <c r="F51" s="81">
        <f t="shared" si="0"/>
        <v>2393</v>
      </c>
      <c r="G51" s="84">
        <f>VLOOKUP(B51,'116+240'!$B$15:$AB$115,20,FALSE)</f>
        <v>1521</v>
      </c>
      <c r="H51" s="84">
        <f>VLOOKUP(B51,'116+240'!$B$15:$AB$115,4,FALSE)</f>
        <v>432</v>
      </c>
      <c r="I51" s="80">
        <f t="shared" si="1"/>
        <v>1961</v>
      </c>
      <c r="J51" s="80">
        <f>VLOOKUP(B51,'116+240'!$B$15:$AB$115,13,FALSE)</f>
        <v>-39.000000000000007</v>
      </c>
      <c r="K51" s="89">
        <f>'116+240'!Q52</f>
        <v>2</v>
      </c>
      <c r="L51" s="83">
        <f t="shared" si="6"/>
        <v>79</v>
      </c>
      <c r="M51" s="82">
        <f>VLOOKUP(B51,'116+240'!$B$14:$AB$115,21,FALSE)</f>
        <v>1499</v>
      </c>
      <c r="N51" s="81">
        <f>VLOOKUP(B51,'116+240'!$B$15:$AB$115,5,FALSE)</f>
        <v>574</v>
      </c>
      <c r="O51" s="80">
        <f t="shared" si="2"/>
        <v>1819</v>
      </c>
      <c r="P51" s="80">
        <f>VLOOKUP(B51,'116+240'!$B$15:$AB$115,14,FALSE)</f>
        <v>-181</v>
      </c>
      <c r="Q51" s="89">
        <f>'116+240'!R52</f>
        <v>2</v>
      </c>
      <c r="R51" s="83">
        <f t="shared" si="7"/>
        <v>101</v>
      </c>
      <c r="S51" s="82">
        <f>VLOOKUP(B51,'116+240'!$B$14:$AB$115,22,FALSE)</f>
        <v>1534</v>
      </c>
      <c r="T51" s="81">
        <f>VLOOKUP(B51,'116+240'!$B$15:$AB$115,6,FALSE)</f>
        <v>489</v>
      </c>
      <c r="U51" s="80">
        <f t="shared" si="3"/>
        <v>1904</v>
      </c>
      <c r="V51" s="79">
        <f>VLOOKUP(B51,'116+240'!$B$15:$AB$115,15,FALSE)</f>
        <v>-96</v>
      </c>
      <c r="W51" s="89">
        <f>'116+240'!S52</f>
        <v>1</v>
      </c>
      <c r="X51" s="83">
        <f t="shared" si="8"/>
        <v>66</v>
      </c>
      <c r="Y51" s="78">
        <f t="shared" si="9"/>
        <v>-1</v>
      </c>
      <c r="Z51" s="77">
        <f t="shared" si="10"/>
        <v>0</v>
      </c>
      <c r="AA51" s="76">
        <f t="shared" si="11"/>
        <v>1.6179999999999999</v>
      </c>
      <c r="AB51" s="76">
        <f t="shared" si="12"/>
        <v>1.478</v>
      </c>
      <c r="AC51" s="65"/>
      <c r="AD51" s="65"/>
      <c r="AE51" s="98"/>
    </row>
    <row r="52" spans="1:31" s="97" customFormat="1" ht="15" customHeight="1">
      <c r="A52" s="99"/>
      <c r="B52" s="90">
        <f>'116+240'!B53</f>
        <v>45320</v>
      </c>
      <c r="C52" s="87">
        <f t="shared" si="4"/>
        <v>1</v>
      </c>
      <c r="D52" s="86">
        <f t="shared" si="5"/>
        <v>844</v>
      </c>
      <c r="E52" s="85">
        <f>VLOOKUP(B52,'116+240'!B53:AB154,3,FALSE)</f>
        <v>1547</v>
      </c>
      <c r="F52" s="81">
        <f t="shared" si="0"/>
        <v>2391</v>
      </c>
      <c r="G52" s="84">
        <f>VLOOKUP(B52,'116+240'!$B$15:$AB$115,20,FALSE)</f>
        <v>1516</v>
      </c>
      <c r="H52" s="84">
        <f>VLOOKUP(B52,'116+240'!$B$15:$AB$115,4,FALSE)</f>
        <v>435</v>
      </c>
      <c r="I52" s="80">
        <f t="shared" si="1"/>
        <v>1956</v>
      </c>
      <c r="J52" s="80">
        <f>VLOOKUP(B52,'116+240'!$B$15:$AB$115,13,FALSE)</f>
        <v>-44.000000000000007</v>
      </c>
      <c r="K52" s="89">
        <f>'116+240'!Q53</f>
        <v>5</v>
      </c>
      <c r="L52" s="83">
        <f t="shared" si="6"/>
        <v>84</v>
      </c>
      <c r="M52" s="82">
        <f>VLOOKUP(B52,'116+240'!$B$14:$AB$115,21,FALSE)</f>
        <v>1491</v>
      </c>
      <c r="N52" s="81">
        <f>VLOOKUP(B52,'116+240'!$B$15:$AB$115,5,FALSE)</f>
        <v>580</v>
      </c>
      <c r="O52" s="80">
        <f t="shared" si="2"/>
        <v>1811</v>
      </c>
      <c r="P52" s="80">
        <f>VLOOKUP(B52,'116+240'!$B$15:$AB$115,14,FALSE)</f>
        <v>-189</v>
      </c>
      <c r="Q52" s="89">
        <f>'116+240'!R53</f>
        <v>8</v>
      </c>
      <c r="R52" s="83">
        <f t="shared" si="7"/>
        <v>109</v>
      </c>
      <c r="S52" s="82">
        <f>VLOOKUP(B52,'116+240'!$B$14:$AB$115,22,FALSE)</f>
        <v>1528</v>
      </c>
      <c r="T52" s="81">
        <f>VLOOKUP(B52,'116+240'!$B$15:$AB$115,6,FALSE)</f>
        <v>493</v>
      </c>
      <c r="U52" s="80">
        <f t="shared" si="3"/>
        <v>1898</v>
      </c>
      <c r="V52" s="79">
        <f>VLOOKUP(B52,'116+240'!$B$15:$AB$115,15,FALSE)</f>
        <v>-102</v>
      </c>
      <c r="W52" s="89">
        <f>'116+240'!S53</f>
        <v>6</v>
      </c>
      <c r="X52" s="83">
        <f t="shared" si="8"/>
        <v>72</v>
      </c>
      <c r="Y52" s="78">
        <f t="shared" si="9"/>
        <v>-6</v>
      </c>
      <c r="Z52" s="77">
        <f t="shared" si="10"/>
        <v>0</v>
      </c>
      <c r="AA52" s="76">
        <f t="shared" si="11"/>
        <v>1.6179999999999999</v>
      </c>
      <c r="AB52" s="76">
        <f t="shared" si="12"/>
        <v>1.462</v>
      </c>
      <c r="AC52" s="65"/>
      <c r="AD52" s="65"/>
      <c r="AE52" s="98"/>
    </row>
    <row r="53" spans="1:31" s="97" customFormat="1" ht="15" customHeight="1">
      <c r="A53" s="99"/>
      <c r="B53" s="90">
        <f>'116+240'!B54</f>
        <v>45321</v>
      </c>
      <c r="C53" s="87">
        <f t="shared" si="4"/>
        <v>1</v>
      </c>
      <c r="D53" s="86">
        <f t="shared" si="5"/>
        <v>844</v>
      </c>
      <c r="E53" s="85">
        <f>VLOOKUP(B53,'116+240'!B54:AB155,3,FALSE)</f>
        <v>1545</v>
      </c>
      <c r="F53" s="81">
        <f t="shared" si="0"/>
        <v>2389</v>
      </c>
      <c r="G53" s="84">
        <f>VLOOKUP(B53,'116+240'!$B$15:$AB$115,20,FALSE)</f>
        <v>1516</v>
      </c>
      <c r="H53" s="84">
        <f>VLOOKUP(B53,'116+240'!$B$15:$AB$115,4,FALSE)</f>
        <v>433</v>
      </c>
      <c r="I53" s="80">
        <f t="shared" si="1"/>
        <v>1956</v>
      </c>
      <c r="J53" s="80">
        <f>VLOOKUP(B53,'116+240'!$B$15:$AB$115,13,FALSE)</f>
        <v>-44.000000000000007</v>
      </c>
      <c r="K53" s="89">
        <f>'116+240'!Q54</f>
        <v>0</v>
      </c>
      <c r="L53" s="83">
        <f t="shared" si="6"/>
        <v>84</v>
      </c>
      <c r="M53" s="82">
        <f>VLOOKUP(B53,'116+240'!$B$14:$AB$115,21,FALSE)</f>
        <v>1490</v>
      </c>
      <c r="N53" s="81">
        <f>VLOOKUP(B53,'116+240'!$B$15:$AB$115,5,FALSE)</f>
        <v>579</v>
      </c>
      <c r="O53" s="80">
        <f t="shared" si="2"/>
        <v>1810</v>
      </c>
      <c r="P53" s="80">
        <f>VLOOKUP(B53,'116+240'!$B$15:$AB$115,14,FALSE)</f>
        <v>-190</v>
      </c>
      <c r="Q53" s="89">
        <f>'116+240'!R54</f>
        <v>1</v>
      </c>
      <c r="R53" s="83">
        <f t="shared" si="7"/>
        <v>110</v>
      </c>
      <c r="S53" s="82">
        <f>VLOOKUP(B53,'116+240'!$B$14:$AB$115,22,FALSE)</f>
        <v>1528</v>
      </c>
      <c r="T53" s="81">
        <f>VLOOKUP(B53,'116+240'!$B$15:$AB$115,6,FALSE)</f>
        <v>491</v>
      </c>
      <c r="U53" s="80">
        <f t="shared" si="3"/>
        <v>1898</v>
      </c>
      <c r="V53" s="79">
        <f>VLOOKUP(B53,'116+240'!$B$15:$AB$115,15,FALSE)</f>
        <v>-102</v>
      </c>
      <c r="W53" s="89">
        <f>'116+240'!S54</f>
        <v>0</v>
      </c>
      <c r="X53" s="83">
        <f t="shared" si="8"/>
        <v>72</v>
      </c>
      <c r="Y53" s="78">
        <f t="shared" si="9"/>
        <v>0</v>
      </c>
      <c r="Z53" s="77">
        <f t="shared" si="10"/>
        <v>0</v>
      </c>
      <c r="AA53" s="76">
        <f t="shared" si="11"/>
        <v>1.6179999999999999</v>
      </c>
      <c r="AB53" s="76">
        <f t="shared" si="12"/>
        <v>1.46</v>
      </c>
      <c r="AC53" s="65"/>
      <c r="AD53" s="65"/>
      <c r="AE53" s="98"/>
    </row>
    <row r="54" spans="1:31" s="109" customFormat="1" ht="15" customHeight="1">
      <c r="A54" s="99"/>
      <c r="B54" s="90">
        <f>'116+240'!B55</f>
        <v>45322</v>
      </c>
      <c r="C54" s="87">
        <f t="shared" si="4"/>
        <v>1</v>
      </c>
      <c r="D54" s="86">
        <f t="shared" si="5"/>
        <v>844</v>
      </c>
      <c r="E54" s="85">
        <f>VLOOKUP(B54,'116+240'!B55:AB156,3,FALSE)</f>
        <v>1543</v>
      </c>
      <c r="F54" s="81">
        <f t="shared" si="0"/>
        <v>2387</v>
      </c>
      <c r="G54" s="84">
        <f>VLOOKUP(B54,'116+240'!$B$15:$AB$115,20,FALSE)</f>
        <v>1515</v>
      </c>
      <c r="H54" s="84">
        <f>VLOOKUP(B54,'116+240'!$B$15:$AB$115,4,FALSE)</f>
        <v>432</v>
      </c>
      <c r="I54" s="80">
        <f t="shared" si="1"/>
        <v>1955</v>
      </c>
      <c r="J54" s="80">
        <f>VLOOKUP(B54,'116+240'!$B$15:$AB$115,13,FALSE)</f>
        <v>-45.000000000000007</v>
      </c>
      <c r="K54" s="89">
        <f>'116+240'!Q55</f>
        <v>1</v>
      </c>
      <c r="L54" s="83">
        <f t="shared" si="6"/>
        <v>85</v>
      </c>
      <c r="M54" s="82">
        <f>VLOOKUP(B54,'116+240'!$B$14:$AB$115,21,FALSE)</f>
        <v>1490</v>
      </c>
      <c r="N54" s="81">
        <f>VLOOKUP(B54,'116+240'!$B$15:$AB$115,5,FALSE)</f>
        <v>577</v>
      </c>
      <c r="O54" s="80">
        <f t="shared" si="2"/>
        <v>1810</v>
      </c>
      <c r="P54" s="80">
        <f>VLOOKUP(B54,'116+240'!$B$15:$AB$115,14,FALSE)</f>
        <v>-190</v>
      </c>
      <c r="Q54" s="89">
        <f>'116+240'!R55</f>
        <v>0</v>
      </c>
      <c r="R54" s="83">
        <f t="shared" si="7"/>
        <v>110</v>
      </c>
      <c r="S54" s="82">
        <f>VLOOKUP(B54,'116+240'!$B$14:$AB$115,22,FALSE)</f>
        <v>1527</v>
      </c>
      <c r="T54" s="81">
        <f>VLOOKUP(B54,'116+240'!$B$15:$AB$115,6,FALSE)</f>
        <v>490</v>
      </c>
      <c r="U54" s="80">
        <f t="shared" si="3"/>
        <v>1897</v>
      </c>
      <c r="V54" s="79">
        <f>VLOOKUP(B54,'116+240'!$B$15:$AB$115,15,FALSE)</f>
        <v>-103</v>
      </c>
      <c r="W54" s="89">
        <f>'116+240'!S55</f>
        <v>1</v>
      </c>
      <c r="X54" s="83">
        <f t="shared" si="8"/>
        <v>73</v>
      </c>
      <c r="Y54" s="78">
        <f t="shared" si="9"/>
        <v>-1</v>
      </c>
      <c r="Z54" s="77">
        <f t="shared" si="10"/>
        <v>0</v>
      </c>
      <c r="AA54" s="76">
        <f t="shared" si="11"/>
        <v>1.6179999999999999</v>
      </c>
      <c r="AB54" s="76">
        <f t="shared" si="12"/>
        <v>1.46</v>
      </c>
      <c r="AC54" s="94"/>
      <c r="AD54" s="94"/>
      <c r="AE54" s="110"/>
    </row>
    <row r="55" spans="1:31" s="97" customFormat="1" ht="15" customHeight="1">
      <c r="A55" s="99"/>
      <c r="B55" s="90">
        <f>'116+240'!B56</f>
        <v>45323</v>
      </c>
      <c r="C55" s="87">
        <f t="shared" si="4"/>
        <v>1</v>
      </c>
      <c r="D55" s="86">
        <f t="shared" si="5"/>
        <v>844</v>
      </c>
      <c r="E55" s="85">
        <f>VLOOKUP(B55,'116+240'!B56:AB157,3,FALSE)</f>
        <v>1541</v>
      </c>
      <c r="F55" s="81">
        <f t="shared" si="0"/>
        <v>2385</v>
      </c>
      <c r="G55" s="84">
        <f>VLOOKUP(B55,'116+240'!$B$15:$AB$115,20,FALSE)</f>
        <v>1515</v>
      </c>
      <c r="H55" s="84">
        <f>VLOOKUP(B55,'116+240'!$B$15:$AB$115,4,FALSE)</f>
        <v>430</v>
      </c>
      <c r="I55" s="80">
        <f t="shared" si="1"/>
        <v>1955</v>
      </c>
      <c r="J55" s="80">
        <f>VLOOKUP(B55,'116+240'!$B$15:$AB$115,13,FALSE)</f>
        <v>-45.000000000000007</v>
      </c>
      <c r="K55" s="89">
        <f>'116+240'!Q56</f>
        <v>0</v>
      </c>
      <c r="L55" s="83">
        <f t="shared" si="6"/>
        <v>85</v>
      </c>
      <c r="M55" s="82">
        <f>VLOOKUP(B55,'116+240'!$B$14:$AB$115,21,FALSE)</f>
        <v>1489</v>
      </c>
      <c r="N55" s="81">
        <f>VLOOKUP(B55,'116+240'!$B$15:$AB$115,5,FALSE)</f>
        <v>576</v>
      </c>
      <c r="O55" s="80">
        <f t="shared" si="2"/>
        <v>1809</v>
      </c>
      <c r="P55" s="80">
        <f>VLOOKUP(B55,'116+240'!$B$15:$AB$115,14,FALSE)</f>
        <v>-191</v>
      </c>
      <c r="Q55" s="89">
        <f>'116+240'!R56</f>
        <v>1</v>
      </c>
      <c r="R55" s="83">
        <f t="shared" si="7"/>
        <v>111</v>
      </c>
      <c r="S55" s="82">
        <f>VLOOKUP(B55,'116+240'!$B$14:$AB$115,22,FALSE)</f>
        <v>1527</v>
      </c>
      <c r="T55" s="81">
        <f>VLOOKUP(B55,'116+240'!$B$15:$AB$115,6,FALSE)</f>
        <v>488</v>
      </c>
      <c r="U55" s="80">
        <f t="shared" si="3"/>
        <v>1897</v>
      </c>
      <c r="V55" s="79">
        <f>VLOOKUP(B55,'116+240'!$B$15:$AB$115,15,FALSE)</f>
        <v>-103</v>
      </c>
      <c r="W55" s="89">
        <f>'116+240'!S56</f>
        <v>0</v>
      </c>
      <c r="X55" s="83">
        <f t="shared" si="8"/>
        <v>73</v>
      </c>
      <c r="Y55" s="78">
        <f t="shared" si="9"/>
        <v>0</v>
      </c>
      <c r="Z55" s="77">
        <f t="shared" si="10"/>
        <v>0</v>
      </c>
      <c r="AA55" s="76">
        <f t="shared" si="11"/>
        <v>1.6179999999999999</v>
      </c>
      <c r="AB55" s="76">
        <f t="shared" si="12"/>
        <v>1.458</v>
      </c>
      <c r="AC55" s="65"/>
      <c r="AD55" s="65"/>
      <c r="AE55" s="98"/>
    </row>
    <row r="56" spans="1:31" s="97" customFormat="1" ht="15" customHeight="1">
      <c r="A56" s="99"/>
      <c r="B56" s="90">
        <f>'116+240'!B57</f>
        <v>45324</v>
      </c>
      <c r="C56" s="87">
        <f t="shared" si="4"/>
        <v>1</v>
      </c>
      <c r="D56" s="86">
        <f t="shared" si="5"/>
        <v>844</v>
      </c>
      <c r="E56" s="85">
        <f>VLOOKUP(B56,'116+240'!B57:AB158,3,FALSE)</f>
        <v>1539</v>
      </c>
      <c r="F56" s="81">
        <f t="shared" si="0"/>
        <v>2383</v>
      </c>
      <c r="G56" s="84">
        <f>VLOOKUP(B56,'116+240'!$B$15:$AB$115,20,FALSE)</f>
        <v>1515</v>
      </c>
      <c r="H56" s="84">
        <f>VLOOKUP(B56,'116+240'!$B$15:$AB$115,4,FALSE)</f>
        <v>428</v>
      </c>
      <c r="I56" s="80">
        <f t="shared" si="1"/>
        <v>1955</v>
      </c>
      <c r="J56" s="80">
        <f>VLOOKUP(B56,'116+240'!$B$15:$AB$115,13,FALSE)</f>
        <v>-45.000000000000007</v>
      </c>
      <c r="K56" s="89">
        <f>'116+240'!Q57</f>
        <v>0</v>
      </c>
      <c r="L56" s="83">
        <f t="shared" si="6"/>
        <v>85</v>
      </c>
      <c r="M56" s="82">
        <f>VLOOKUP(B56,'116+240'!$B$14:$AB$115,21,FALSE)</f>
        <v>1489</v>
      </c>
      <c r="N56" s="81">
        <f>VLOOKUP(B56,'116+240'!$B$15:$AB$115,5,FALSE)</f>
        <v>574</v>
      </c>
      <c r="O56" s="80">
        <f t="shared" si="2"/>
        <v>1809</v>
      </c>
      <c r="P56" s="80">
        <f>VLOOKUP(B56,'116+240'!$B$15:$AB$115,14,FALSE)</f>
        <v>-191</v>
      </c>
      <c r="Q56" s="89">
        <f>'116+240'!R57</f>
        <v>0</v>
      </c>
      <c r="R56" s="83">
        <f t="shared" si="7"/>
        <v>111</v>
      </c>
      <c r="S56" s="82">
        <f>VLOOKUP(B56,'116+240'!$B$14:$AB$115,22,FALSE)</f>
        <v>1527</v>
      </c>
      <c r="T56" s="81">
        <f>VLOOKUP(B56,'116+240'!$B$15:$AB$115,6,FALSE)</f>
        <v>486</v>
      </c>
      <c r="U56" s="80">
        <f t="shared" si="3"/>
        <v>1897</v>
      </c>
      <c r="V56" s="79">
        <f>VLOOKUP(B56,'116+240'!$B$15:$AB$115,15,FALSE)</f>
        <v>-103</v>
      </c>
      <c r="W56" s="89">
        <f>'116+240'!S57</f>
        <v>0</v>
      </c>
      <c r="X56" s="83">
        <f t="shared" si="8"/>
        <v>73</v>
      </c>
      <c r="Y56" s="78">
        <f t="shared" si="9"/>
        <v>0</v>
      </c>
      <c r="Z56" s="77">
        <f t="shared" si="10"/>
        <v>0</v>
      </c>
      <c r="AA56" s="76">
        <f t="shared" si="11"/>
        <v>1.6179999999999999</v>
      </c>
      <c r="AB56" s="76">
        <f t="shared" si="12"/>
        <v>1.458</v>
      </c>
      <c r="AC56" s="65"/>
      <c r="AD56" s="65"/>
      <c r="AE56" s="98"/>
    </row>
    <row r="57" spans="1:31" s="97" customFormat="1" ht="15" customHeight="1">
      <c r="A57" s="99"/>
      <c r="B57" s="90">
        <f>'116+240'!B58</f>
        <v>45325</v>
      </c>
      <c r="C57" s="87">
        <f t="shared" si="4"/>
        <v>1</v>
      </c>
      <c r="D57" s="86">
        <f t="shared" si="5"/>
        <v>844</v>
      </c>
      <c r="E57" s="85">
        <f>VLOOKUP(B57,'116+240'!B58:AB159,3,FALSE)</f>
        <v>1537</v>
      </c>
      <c r="F57" s="81">
        <f t="shared" si="0"/>
        <v>2381</v>
      </c>
      <c r="G57" s="84">
        <f>VLOOKUP(B57,'116+240'!$B$15:$AB$115,20,FALSE)</f>
        <v>1512</v>
      </c>
      <c r="H57" s="84">
        <f>VLOOKUP(B57,'116+240'!$B$15:$AB$115,4,FALSE)</f>
        <v>429</v>
      </c>
      <c r="I57" s="80">
        <f t="shared" si="1"/>
        <v>1952</v>
      </c>
      <c r="J57" s="80">
        <f>VLOOKUP(B57,'116+240'!$B$15:$AB$115,13,FALSE)</f>
        <v>-48.000000000000007</v>
      </c>
      <c r="K57" s="89">
        <f>'116+240'!Q58</f>
        <v>3</v>
      </c>
      <c r="L57" s="83">
        <f t="shared" si="6"/>
        <v>88</v>
      </c>
      <c r="M57" s="82">
        <f>VLOOKUP(B57,'116+240'!$B$14:$AB$115,21,FALSE)</f>
        <v>1488</v>
      </c>
      <c r="N57" s="81">
        <f>VLOOKUP(B57,'116+240'!$B$15:$AB$115,5,FALSE)</f>
        <v>573</v>
      </c>
      <c r="O57" s="80">
        <f t="shared" si="2"/>
        <v>1808</v>
      </c>
      <c r="P57" s="80">
        <f>VLOOKUP(B57,'116+240'!$B$15:$AB$115,14,FALSE)</f>
        <v>-192</v>
      </c>
      <c r="Q57" s="89">
        <f>'116+240'!R58</f>
        <v>1</v>
      </c>
      <c r="R57" s="83">
        <f t="shared" si="7"/>
        <v>112</v>
      </c>
      <c r="S57" s="82">
        <f>VLOOKUP(B57,'116+240'!$B$14:$AB$115,22,FALSE)</f>
        <v>1527</v>
      </c>
      <c r="T57" s="81">
        <f>VLOOKUP(B57,'116+240'!$B$15:$AB$115,6,FALSE)</f>
        <v>484</v>
      </c>
      <c r="U57" s="80">
        <f t="shared" si="3"/>
        <v>1897</v>
      </c>
      <c r="V57" s="79">
        <f>VLOOKUP(B57,'116+240'!$B$15:$AB$115,15,FALSE)</f>
        <v>-103</v>
      </c>
      <c r="W57" s="89">
        <f>'116+240'!S58</f>
        <v>0</v>
      </c>
      <c r="X57" s="83">
        <f t="shared" si="8"/>
        <v>73</v>
      </c>
      <c r="Y57" s="78">
        <f t="shared" si="9"/>
        <v>0</v>
      </c>
      <c r="Z57" s="77">
        <f t="shared" si="10"/>
        <v>0</v>
      </c>
      <c r="AA57" s="76">
        <f t="shared" si="11"/>
        <v>1.6179999999999999</v>
      </c>
      <c r="AB57" s="76">
        <f t="shared" si="12"/>
        <v>1.456</v>
      </c>
      <c r="AC57" s="65"/>
      <c r="AD57" s="65"/>
      <c r="AE57" s="98"/>
    </row>
    <row r="58" spans="1:31" s="97" customFormat="1" ht="15" customHeight="1">
      <c r="A58" s="99"/>
      <c r="B58" s="90">
        <f>'116+240'!B59</f>
        <v>45326</v>
      </c>
      <c r="C58" s="87">
        <f t="shared" si="4"/>
        <v>1</v>
      </c>
      <c r="D58" s="86">
        <f t="shared" si="5"/>
        <v>844</v>
      </c>
      <c r="E58" s="85">
        <f>VLOOKUP(B58,'116+240'!B59:AB160,3,FALSE)</f>
        <v>1535</v>
      </c>
      <c r="F58" s="81">
        <f t="shared" si="0"/>
        <v>2379</v>
      </c>
      <c r="G58" s="84">
        <f>VLOOKUP(B58,'116+240'!$B$15:$AB$115,20,FALSE)</f>
        <v>1509</v>
      </c>
      <c r="H58" s="84">
        <f>VLOOKUP(B58,'116+240'!$B$15:$AB$115,4,FALSE)</f>
        <v>430</v>
      </c>
      <c r="I58" s="80">
        <f t="shared" si="1"/>
        <v>1949</v>
      </c>
      <c r="J58" s="80">
        <f>VLOOKUP(B58,'116+240'!$B$15:$AB$115,13,FALSE)</f>
        <v>-51.000000000000007</v>
      </c>
      <c r="K58" s="89">
        <f>'116+240'!Q59</f>
        <v>3</v>
      </c>
      <c r="L58" s="83">
        <f t="shared" si="6"/>
        <v>91</v>
      </c>
      <c r="M58" s="82">
        <f>VLOOKUP(B58,'116+240'!$B$14:$AB$115,21,FALSE)</f>
        <v>1488</v>
      </c>
      <c r="N58" s="81">
        <f>VLOOKUP(B58,'116+240'!$B$15:$AB$115,5,FALSE)</f>
        <v>571</v>
      </c>
      <c r="O58" s="80">
        <f t="shared" si="2"/>
        <v>1808</v>
      </c>
      <c r="P58" s="80">
        <f>VLOOKUP(B58,'116+240'!$B$15:$AB$115,14,FALSE)</f>
        <v>-192</v>
      </c>
      <c r="Q58" s="89">
        <f>'116+240'!R59</f>
        <v>0</v>
      </c>
      <c r="R58" s="83">
        <f t="shared" si="7"/>
        <v>112</v>
      </c>
      <c r="S58" s="82">
        <f>VLOOKUP(B58,'116+240'!$B$14:$AB$115,22,FALSE)</f>
        <v>1526</v>
      </c>
      <c r="T58" s="81">
        <f>VLOOKUP(B58,'116+240'!$B$15:$AB$115,6,FALSE)</f>
        <v>483</v>
      </c>
      <c r="U58" s="80">
        <f t="shared" si="3"/>
        <v>1896</v>
      </c>
      <c r="V58" s="79">
        <f>VLOOKUP(B58,'116+240'!$B$15:$AB$115,15,FALSE)</f>
        <v>-104</v>
      </c>
      <c r="W58" s="89">
        <f>'116+240'!S59</f>
        <v>1</v>
      </c>
      <c r="X58" s="83">
        <f t="shared" si="8"/>
        <v>74</v>
      </c>
      <c r="Y58" s="78">
        <f t="shared" si="9"/>
        <v>-1</v>
      </c>
      <c r="Z58" s="77">
        <f t="shared" si="10"/>
        <v>0</v>
      </c>
      <c r="AA58" s="76">
        <f t="shared" si="11"/>
        <v>1.6179999999999999</v>
      </c>
      <c r="AB58" s="76">
        <f t="shared" si="12"/>
        <v>1.456</v>
      </c>
      <c r="AC58" s="65"/>
      <c r="AD58" s="65"/>
      <c r="AE58" s="98"/>
    </row>
    <row r="59" spans="1:31" s="97" customFormat="1" ht="15" customHeight="1">
      <c r="A59" s="99"/>
      <c r="B59" s="90">
        <f>'116+240'!B60</f>
        <v>45327</v>
      </c>
      <c r="C59" s="87">
        <f t="shared" si="4"/>
        <v>1</v>
      </c>
      <c r="D59" s="86">
        <f t="shared" si="5"/>
        <v>844</v>
      </c>
      <c r="E59" s="85">
        <f>VLOOKUP(B59,'116+240'!B60:AB161,3,FALSE)</f>
        <v>1533</v>
      </c>
      <c r="F59" s="81">
        <f t="shared" si="0"/>
        <v>2377</v>
      </c>
      <c r="G59" s="84">
        <f>VLOOKUP(B59,'116+240'!$B$15:$AB$115,20,FALSE)</f>
        <v>1505</v>
      </c>
      <c r="H59" s="84">
        <f>VLOOKUP(B59,'116+240'!$B$15:$AB$115,4,FALSE)</f>
        <v>432</v>
      </c>
      <c r="I59" s="80">
        <f t="shared" si="1"/>
        <v>1945</v>
      </c>
      <c r="J59" s="80">
        <f>VLOOKUP(B59,'116+240'!$B$15:$AB$115,13,FALSE)</f>
        <v>-55.000000000000007</v>
      </c>
      <c r="K59" s="89">
        <f>'116+240'!Q60</f>
        <v>4</v>
      </c>
      <c r="L59" s="83">
        <f t="shared" si="6"/>
        <v>95</v>
      </c>
      <c r="M59" s="82">
        <f>VLOOKUP(B59,'116+240'!$B$14:$AB$115,21,FALSE)</f>
        <v>1488</v>
      </c>
      <c r="N59" s="81">
        <f>VLOOKUP(B59,'116+240'!$B$15:$AB$115,5,FALSE)</f>
        <v>569</v>
      </c>
      <c r="O59" s="80">
        <f t="shared" si="2"/>
        <v>1808</v>
      </c>
      <c r="P59" s="80">
        <f>VLOOKUP(B59,'116+240'!$B$15:$AB$115,14,FALSE)</f>
        <v>-192</v>
      </c>
      <c r="Q59" s="89">
        <f>'116+240'!R60</f>
        <v>0</v>
      </c>
      <c r="R59" s="83">
        <f t="shared" si="7"/>
        <v>112</v>
      </c>
      <c r="S59" s="82">
        <f>VLOOKUP(B59,'116+240'!$B$14:$AB$115,22,FALSE)</f>
        <v>1526</v>
      </c>
      <c r="T59" s="81">
        <f>VLOOKUP(B59,'116+240'!$B$15:$AB$115,6,FALSE)</f>
        <v>481</v>
      </c>
      <c r="U59" s="80">
        <f t="shared" si="3"/>
        <v>1896</v>
      </c>
      <c r="V59" s="79">
        <f>VLOOKUP(B59,'116+240'!$B$15:$AB$115,15,FALSE)</f>
        <v>-104</v>
      </c>
      <c r="W59" s="89">
        <f>'116+240'!S60</f>
        <v>0</v>
      </c>
      <c r="X59" s="83">
        <f t="shared" si="8"/>
        <v>74</v>
      </c>
      <c r="Y59" s="78">
        <f t="shared" si="9"/>
        <v>0</v>
      </c>
      <c r="Z59" s="77">
        <f t="shared" si="10"/>
        <v>0</v>
      </c>
      <c r="AA59" s="76">
        <f t="shared" si="11"/>
        <v>1.6179999999999999</v>
      </c>
      <c r="AB59" s="76">
        <f t="shared" si="12"/>
        <v>1.456</v>
      </c>
      <c r="AC59" s="65"/>
      <c r="AD59" s="65"/>
      <c r="AE59" s="98"/>
    </row>
    <row r="60" spans="1:31" s="97" customFormat="1" ht="15" customHeight="1">
      <c r="A60" s="99"/>
      <c r="B60" s="90">
        <f>'116+240'!B61</f>
        <v>45328</v>
      </c>
      <c r="C60" s="87">
        <f t="shared" si="4"/>
        <v>1</v>
      </c>
      <c r="D60" s="86">
        <f t="shared" si="5"/>
        <v>844</v>
      </c>
      <c r="E60" s="85">
        <f>VLOOKUP(B60,'116+240'!B61:AB162,3,FALSE)</f>
        <v>1531</v>
      </c>
      <c r="F60" s="81">
        <f t="shared" si="0"/>
        <v>2375</v>
      </c>
      <c r="G60" s="84">
        <f>VLOOKUP(B60,'116+240'!$B$15:$AB$115,20,FALSE)</f>
        <v>1502</v>
      </c>
      <c r="H60" s="84">
        <f>VLOOKUP(B60,'116+240'!$B$15:$AB$115,4,FALSE)</f>
        <v>433</v>
      </c>
      <c r="I60" s="80">
        <f t="shared" si="1"/>
        <v>1942</v>
      </c>
      <c r="J60" s="80">
        <f>VLOOKUP(B60,'116+240'!$B$15:$AB$115,13,FALSE)</f>
        <v>-58.000000000000007</v>
      </c>
      <c r="K60" s="89">
        <f>'116+240'!Q61</f>
        <v>3</v>
      </c>
      <c r="L60" s="83">
        <f t="shared" si="6"/>
        <v>98</v>
      </c>
      <c r="M60" s="82">
        <f>VLOOKUP(B60,'116+240'!$B$14:$AB$115,21,FALSE)</f>
        <v>1488</v>
      </c>
      <c r="N60" s="81">
        <f>VLOOKUP(B60,'116+240'!$B$15:$AB$115,5,FALSE)</f>
        <v>567</v>
      </c>
      <c r="O60" s="80">
        <f t="shared" si="2"/>
        <v>1808</v>
      </c>
      <c r="P60" s="80">
        <f>VLOOKUP(B60,'116+240'!$B$15:$AB$115,14,FALSE)</f>
        <v>-192</v>
      </c>
      <c r="Q60" s="89">
        <f>'116+240'!R61</f>
        <v>0</v>
      </c>
      <c r="R60" s="83">
        <f t="shared" si="7"/>
        <v>112</v>
      </c>
      <c r="S60" s="82">
        <f>VLOOKUP(B60,'116+240'!$B$14:$AB$115,22,FALSE)</f>
        <v>1526</v>
      </c>
      <c r="T60" s="81">
        <f>VLOOKUP(B60,'116+240'!$B$15:$AB$115,6,FALSE)</f>
        <v>479</v>
      </c>
      <c r="U60" s="80">
        <f t="shared" si="3"/>
        <v>1896</v>
      </c>
      <c r="V60" s="79">
        <f>VLOOKUP(B60,'116+240'!$B$15:$AB$115,15,FALSE)</f>
        <v>-104</v>
      </c>
      <c r="W60" s="89">
        <f>'116+240'!S61</f>
        <v>0</v>
      </c>
      <c r="X60" s="83">
        <f t="shared" si="8"/>
        <v>74</v>
      </c>
      <c r="Y60" s="78">
        <f t="shared" si="9"/>
        <v>0</v>
      </c>
      <c r="Z60" s="77">
        <f t="shared" si="10"/>
        <v>0</v>
      </c>
      <c r="AA60" s="76">
        <f t="shared" si="11"/>
        <v>1.6179999999999999</v>
      </c>
      <c r="AB60" s="76">
        <f t="shared" si="12"/>
        <v>1.456</v>
      </c>
      <c r="AC60" s="65"/>
      <c r="AD60" s="65"/>
      <c r="AE60" s="98"/>
    </row>
    <row r="61" spans="1:31" s="97" customFormat="1" ht="15" customHeight="1">
      <c r="A61" s="99"/>
      <c r="B61" s="90">
        <f>'116+240'!B62</f>
        <v>45329</v>
      </c>
      <c r="C61" s="87">
        <f t="shared" si="4"/>
        <v>1</v>
      </c>
      <c r="D61" s="86">
        <f t="shared" si="5"/>
        <v>844</v>
      </c>
      <c r="E61" s="85">
        <f>VLOOKUP(B61,'116+240'!B62:AB163,3,FALSE)</f>
        <v>1529</v>
      </c>
      <c r="F61" s="81">
        <f t="shared" si="0"/>
        <v>2373</v>
      </c>
      <c r="G61" s="84">
        <f>VLOOKUP(B61,'116+240'!$B$15:$AB$115,20,FALSE)</f>
        <v>1493</v>
      </c>
      <c r="H61" s="84">
        <f>VLOOKUP(B61,'116+240'!$B$15:$AB$115,4,FALSE)</f>
        <v>440</v>
      </c>
      <c r="I61" s="80">
        <f t="shared" si="1"/>
        <v>1933</v>
      </c>
      <c r="J61" s="80">
        <f>VLOOKUP(B61,'116+240'!$B$15:$AB$115,13,FALSE)</f>
        <v>-67</v>
      </c>
      <c r="K61" s="89">
        <f>'116+240'!Q62</f>
        <v>9</v>
      </c>
      <c r="L61" s="83">
        <f t="shared" si="6"/>
        <v>107</v>
      </c>
      <c r="M61" s="82">
        <f>VLOOKUP(B61,'116+240'!$B$14:$AB$115,21,FALSE)</f>
        <v>1488</v>
      </c>
      <c r="N61" s="81">
        <f>VLOOKUP(B61,'116+240'!$B$15:$AB$115,5,FALSE)</f>
        <v>565</v>
      </c>
      <c r="O61" s="80">
        <f t="shared" si="2"/>
        <v>1808</v>
      </c>
      <c r="P61" s="80">
        <f>VLOOKUP(B61,'116+240'!$B$15:$AB$115,14,FALSE)</f>
        <v>-192</v>
      </c>
      <c r="Q61" s="89">
        <f>'116+240'!R62</f>
        <v>0</v>
      </c>
      <c r="R61" s="83">
        <f t="shared" si="7"/>
        <v>112</v>
      </c>
      <c r="S61" s="82">
        <f>VLOOKUP(B61,'116+240'!$B$14:$AB$115,22,FALSE)</f>
        <v>1526</v>
      </c>
      <c r="T61" s="81">
        <f>VLOOKUP(B61,'116+240'!$B$15:$AB$115,6,FALSE)</f>
        <v>477</v>
      </c>
      <c r="U61" s="80">
        <f t="shared" si="3"/>
        <v>1896</v>
      </c>
      <c r="V61" s="79">
        <f>VLOOKUP(B61,'116+240'!$B$15:$AB$115,15,FALSE)</f>
        <v>-104</v>
      </c>
      <c r="W61" s="89">
        <f>'116+240'!S62</f>
        <v>0</v>
      </c>
      <c r="X61" s="83">
        <f t="shared" si="8"/>
        <v>74</v>
      </c>
      <c r="Y61" s="78">
        <f t="shared" si="9"/>
        <v>0</v>
      </c>
      <c r="Z61" s="77">
        <f t="shared" si="10"/>
        <v>0</v>
      </c>
      <c r="AA61" s="76">
        <f t="shared" si="11"/>
        <v>1.6179999999999999</v>
      </c>
      <c r="AB61" s="76">
        <f t="shared" si="12"/>
        <v>1.456</v>
      </c>
      <c r="AC61" s="65"/>
      <c r="AD61" s="65"/>
      <c r="AE61" s="98"/>
    </row>
    <row r="62" spans="1:31" s="97" customFormat="1" ht="15" customHeight="1">
      <c r="A62" s="99"/>
      <c r="B62" s="90">
        <f>'116+240'!B63</f>
        <v>45330</v>
      </c>
      <c r="C62" s="87">
        <f t="shared" si="4"/>
        <v>1</v>
      </c>
      <c r="D62" s="86">
        <f t="shared" si="5"/>
        <v>844</v>
      </c>
      <c r="E62" s="85">
        <f>VLOOKUP(B62,'116+240'!B63:AB164,3,FALSE)</f>
        <v>1527</v>
      </c>
      <c r="F62" s="81">
        <f t="shared" si="0"/>
        <v>2371</v>
      </c>
      <c r="G62" s="84">
        <f>VLOOKUP(B62,'116+240'!$B$15:$AB$115,20,FALSE)</f>
        <v>1491</v>
      </c>
      <c r="H62" s="84">
        <f>VLOOKUP(B62,'116+240'!$B$15:$AB$115,4,FALSE)</f>
        <v>440</v>
      </c>
      <c r="I62" s="80">
        <f t="shared" si="1"/>
        <v>1931</v>
      </c>
      <c r="J62" s="80">
        <f>VLOOKUP(B62,'116+240'!$B$15:$AB$115,13,FALSE)</f>
        <v>-69</v>
      </c>
      <c r="K62" s="89">
        <f>'116+240'!Q63</f>
        <v>2</v>
      </c>
      <c r="L62" s="83">
        <f t="shared" si="6"/>
        <v>109</v>
      </c>
      <c r="M62" s="82">
        <f>VLOOKUP(B62,'116+240'!$B$14:$AB$115,21,FALSE)</f>
        <v>1488</v>
      </c>
      <c r="N62" s="81">
        <f>VLOOKUP(B62,'116+240'!$B$15:$AB$115,5,FALSE)</f>
        <v>563</v>
      </c>
      <c r="O62" s="80">
        <f t="shared" si="2"/>
        <v>1808</v>
      </c>
      <c r="P62" s="80">
        <f>VLOOKUP(B62,'116+240'!$B$15:$AB$115,14,FALSE)</f>
        <v>-192</v>
      </c>
      <c r="Q62" s="89">
        <f>'116+240'!R63</f>
        <v>0</v>
      </c>
      <c r="R62" s="83">
        <f t="shared" si="7"/>
        <v>112</v>
      </c>
      <c r="S62" s="82">
        <f>VLOOKUP(B62,'116+240'!$B$14:$AB$115,22,FALSE)</f>
        <v>1526</v>
      </c>
      <c r="T62" s="81">
        <f>VLOOKUP(B62,'116+240'!$B$15:$AB$115,6,FALSE)</f>
        <v>475</v>
      </c>
      <c r="U62" s="80">
        <f t="shared" si="3"/>
        <v>1896</v>
      </c>
      <c r="V62" s="79">
        <f>VLOOKUP(B62,'116+240'!$B$15:$AB$115,15,FALSE)</f>
        <v>-104</v>
      </c>
      <c r="W62" s="89">
        <f>'116+240'!S63</f>
        <v>0</v>
      </c>
      <c r="X62" s="83">
        <f t="shared" si="8"/>
        <v>74</v>
      </c>
      <c r="Y62" s="78">
        <f t="shared" si="9"/>
        <v>0</v>
      </c>
      <c r="Z62" s="77">
        <f t="shared" si="10"/>
        <v>0</v>
      </c>
      <c r="AA62" s="76">
        <f t="shared" si="11"/>
        <v>1.6179999999999999</v>
      </c>
      <c r="AB62" s="76">
        <f t="shared" si="12"/>
        <v>1.456</v>
      </c>
      <c r="AC62" s="65"/>
      <c r="AD62" s="65"/>
      <c r="AE62" s="98"/>
    </row>
    <row r="63" spans="1:31" s="97" customFormat="1" ht="15" customHeight="1">
      <c r="A63" s="99"/>
      <c r="B63" s="90">
        <f>'116+240'!B64</f>
        <v>45331</v>
      </c>
      <c r="C63" s="87">
        <f t="shared" si="4"/>
        <v>1</v>
      </c>
      <c r="D63" s="86">
        <f t="shared" si="5"/>
        <v>844</v>
      </c>
      <c r="E63" s="85">
        <f>VLOOKUP(B63,'116+240'!B64:AB165,3,FALSE)</f>
        <v>1525</v>
      </c>
      <c r="F63" s="81">
        <f t="shared" si="0"/>
        <v>2369</v>
      </c>
      <c r="G63" s="84">
        <f>VLOOKUP(B63,'116+240'!$B$15:$AB$115,20,FALSE)</f>
        <v>1487</v>
      </c>
      <c r="H63" s="84">
        <f>VLOOKUP(B63,'116+240'!$B$15:$AB$115,4,FALSE)</f>
        <v>442</v>
      </c>
      <c r="I63" s="80">
        <f t="shared" si="1"/>
        <v>1927</v>
      </c>
      <c r="J63" s="80">
        <f>VLOOKUP(B63,'116+240'!$B$15:$AB$115,13,FALSE)</f>
        <v>-73</v>
      </c>
      <c r="K63" s="89">
        <f>'116+240'!Q64</f>
        <v>4</v>
      </c>
      <c r="L63" s="83">
        <f t="shared" si="6"/>
        <v>113</v>
      </c>
      <c r="M63" s="82">
        <f>VLOOKUP(B63,'116+240'!$B$14:$AB$115,21,FALSE)</f>
        <v>1486</v>
      </c>
      <c r="N63" s="81">
        <f>VLOOKUP(B63,'116+240'!$B$15:$AB$115,5,FALSE)</f>
        <v>563</v>
      </c>
      <c r="O63" s="80">
        <f t="shared" si="2"/>
        <v>1806</v>
      </c>
      <c r="P63" s="80">
        <f>VLOOKUP(B63,'116+240'!$B$15:$AB$115,14,FALSE)</f>
        <v>-194</v>
      </c>
      <c r="Q63" s="89">
        <f>'116+240'!R64</f>
        <v>2</v>
      </c>
      <c r="R63" s="83">
        <f t="shared" si="7"/>
        <v>114</v>
      </c>
      <c r="S63" s="82">
        <f>VLOOKUP(B63,'116+240'!$B$14:$AB$115,22,FALSE)</f>
        <v>1524</v>
      </c>
      <c r="T63" s="81">
        <f>VLOOKUP(B63,'116+240'!$B$15:$AB$115,6,FALSE)</f>
        <v>475</v>
      </c>
      <c r="U63" s="80">
        <f t="shared" si="3"/>
        <v>1894</v>
      </c>
      <c r="V63" s="79">
        <f>VLOOKUP(B63,'116+240'!$B$15:$AB$115,15,FALSE)</f>
        <v>-106</v>
      </c>
      <c r="W63" s="89">
        <f>'116+240'!S64</f>
        <v>2</v>
      </c>
      <c r="X63" s="83">
        <f t="shared" si="8"/>
        <v>76</v>
      </c>
      <c r="Y63" s="78">
        <f t="shared" si="9"/>
        <v>-2</v>
      </c>
      <c r="Z63" s="77">
        <f t="shared" si="10"/>
        <v>0</v>
      </c>
      <c r="AA63" s="76">
        <f t="shared" si="11"/>
        <v>1.6179999999999999</v>
      </c>
      <c r="AB63" s="76">
        <f t="shared" si="12"/>
        <v>1.452</v>
      </c>
      <c r="AC63" s="65"/>
      <c r="AD63" s="65"/>
      <c r="AE63" s="98"/>
    </row>
    <row r="64" spans="1:31" s="97" customFormat="1" ht="15" customHeight="1">
      <c r="A64" s="99"/>
      <c r="B64" s="90">
        <f>'116+240'!B65</f>
        <v>45332</v>
      </c>
      <c r="C64" s="87">
        <f t="shared" si="4"/>
        <v>1</v>
      </c>
      <c r="D64" s="86">
        <f t="shared" si="5"/>
        <v>844</v>
      </c>
      <c r="E64" s="85">
        <f>VLOOKUP(B64,'116+240'!B65:AB166,3,FALSE)</f>
        <v>1523</v>
      </c>
      <c r="F64" s="81">
        <f t="shared" si="0"/>
        <v>2367</v>
      </c>
      <c r="G64" s="84">
        <f>VLOOKUP(B64,'116+240'!$B$15:$AB$115,20,FALSE)</f>
        <v>1481</v>
      </c>
      <c r="H64" s="84">
        <f>VLOOKUP(B64,'116+240'!$B$15:$AB$115,4,FALSE)</f>
        <v>446</v>
      </c>
      <c r="I64" s="80">
        <f t="shared" si="1"/>
        <v>1921</v>
      </c>
      <c r="J64" s="80">
        <f>VLOOKUP(B64,'116+240'!$B$15:$AB$115,13,FALSE)</f>
        <v>-79</v>
      </c>
      <c r="K64" s="89">
        <f>'116+240'!Q65</f>
        <v>6</v>
      </c>
      <c r="L64" s="83">
        <f t="shared" si="6"/>
        <v>119</v>
      </c>
      <c r="M64" s="82">
        <f>VLOOKUP(B64,'116+240'!$B$14:$AB$115,21,FALSE)</f>
        <v>1486</v>
      </c>
      <c r="N64" s="81">
        <f>VLOOKUP(B64,'116+240'!$B$15:$AB$115,5,FALSE)</f>
        <v>561</v>
      </c>
      <c r="O64" s="80">
        <f t="shared" si="2"/>
        <v>1806</v>
      </c>
      <c r="P64" s="80">
        <f>VLOOKUP(B64,'116+240'!$B$15:$AB$115,14,FALSE)</f>
        <v>-194</v>
      </c>
      <c r="Q64" s="89">
        <f>'116+240'!R65</f>
        <v>0</v>
      </c>
      <c r="R64" s="83">
        <f t="shared" si="7"/>
        <v>114</v>
      </c>
      <c r="S64" s="82">
        <f>VLOOKUP(B64,'116+240'!$B$14:$AB$115,22,FALSE)</f>
        <v>1524</v>
      </c>
      <c r="T64" s="81">
        <f>VLOOKUP(B64,'116+240'!$B$15:$AB$115,6,FALSE)</f>
        <v>473</v>
      </c>
      <c r="U64" s="80">
        <f t="shared" si="3"/>
        <v>1894</v>
      </c>
      <c r="V64" s="79">
        <f>VLOOKUP(B64,'116+240'!$B$15:$AB$115,15,FALSE)</f>
        <v>-106</v>
      </c>
      <c r="W64" s="89">
        <f>'116+240'!S65</f>
        <v>0</v>
      </c>
      <c r="X64" s="83">
        <f t="shared" si="8"/>
        <v>76</v>
      </c>
      <c r="Y64" s="78">
        <f t="shared" si="9"/>
        <v>0</v>
      </c>
      <c r="Z64" s="77">
        <f t="shared" si="10"/>
        <v>0</v>
      </c>
      <c r="AA64" s="76">
        <f t="shared" si="11"/>
        <v>1.6179999999999999</v>
      </c>
      <c r="AB64" s="76">
        <f t="shared" si="12"/>
        <v>1.452</v>
      </c>
      <c r="AC64" s="65"/>
      <c r="AD64" s="65"/>
      <c r="AE64" s="98"/>
    </row>
    <row r="65" spans="1:32" s="97" customFormat="1" ht="15" customHeight="1">
      <c r="A65" s="99"/>
      <c r="B65" s="90">
        <f>'116+240'!B66</f>
        <v>45333</v>
      </c>
      <c r="C65" s="87">
        <f t="shared" si="4"/>
        <v>1</v>
      </c>
      <c r="D65" s="86">
        <f t="shared" si="5"/>
        <v>844</v>
      </c>
      <c r="E65" s="85">
        <f>VLOOKUP(B65,'116+240'!B66:AB167,3,FALSE)</f>
        <v>1521</v>
      </c>
      <c r="F65" s="81">
        <f t="shared" si="0"/>
        <v>2365</v>
      </c>
      <c r="G65" s="84">
        <f>VLOOKUP(B65,'116+240'!$B$15:$AB$115,20,FALSE)</f>
        <v>1472</v>
      </c>
      <c r="H65" s="84">
        <f>VLOOKUP(B65,'116+240'!$B$15:$AB$115,4,FALSE)</f>
        <v>453</v>
      </c>
      <c r="I65" s="80">
        <f t="shared" si="1"/>
        <v>1912</v>
      </c>
      <c r="J65" s="80">
        <f>VLOOKUP(B65,'116+240'!$B$15:$AB$115,13,FALSE)</f>
        <v>-88</v>
      </c>
      <c r="K65" s="89">
        <f>'116+240'!Q66</f>
        <v>9</v>
      </c>
      <c r="L65" s="83">
        <f t="shared" si="6"/>
        <v>128</v>
      </c>
      <c r="M65" s="82">
        <f>VLOOKUP(B65,'116+240'!$B$14:$AB$115,21,FALSE)</f>
        <v>1486</v>
      </c>
      <c r="N65" s="81">
        <f>VLOOKUP(B65,'116+240'!$B$15:$AB$115,5,FALSE)</f>
        <v>559</v>
      </c>
      <c r="O65" s="80">
        <f t="shared" si="2"/>
        <v>1806</v>
      </c>
      <c r="P65" s="80">
        <f>VLOOKUP(B65,'116+240'!$B$15:$AB$115,14,FALSE)</f>
        <v>-194</v>
      </c>
      <c r="Q65" s="89">
        <f>'116+240'!R66</f>
        <v>0</v>
      </c>
      <c r="R65" s="83">
        <f t="shared" si="7"/>
        <v>114</v>
      </c>
      <c r="S65" s="82">
        <f>VLOOKUP(B65,'116+240'!$B$14:$AB$115,22,FALSE)</f>
        <v>1524</v>
      </c>
      <c r="T65" s="81">
        <f>VLOOKUP(B65,'116+240'!$B$15:$AB$115,6,FALSE)</f>
        <v>471</v>
      </c>
      <c r="U65" s="80">
        <f t="shared" si="3"/>
        <v>1894</v>
      </c>
      <c r="V65" s="79">
        <f>VLOOKUP(B65,'116+240'!$B$15:$AB$115,15,FALSE)</f>
        <v>-106</v>
      </c>
      <c r="W65" s="89">
        <f>'116+240'!S66</f>
        <v>0</v>
      </c>
      <c r="X65" s="83">
        <f t="shared" si="8"/>
        <v>76</v>
      </c>
      <c r="Y65" s="78">
        <f t="shared" si="9"/>
        <v>0</v>
      </c>
      <c r="Z65" s="77">
        <f t="shared" si="10"/>
        <v>0</v>
      </c>
      <c r="AA65" s="76">
        <f t="shared" si="11"/>
        <v>1.6179999999999999</v>
      </c>
      <c r="AB65" s="76">
        <f t="shared" si="12"/>
        <v>1.452</v>
      </c>
      <c r="AC65" s="65"/>
      <c r="AD65" s="65"/>
      <c r="AE65" s="98"/>
    </row>
    <row r="66" spans="1:32" s="106" customFormat="1" ht="15" customHeight="1">
      <c r="A66" s="99"/>
      <c r="B66" s="90">
        <f>'116+240'!B67</f>
        <v>45334</v>
      </c>
      <c r="C66" s="87">
        <f t="shared" si="4"/>
        <v>1</v>
      </c>
      <c r="D66" s="86">
        <f t="shared" si="5"/>
        <v>844</v>
      </c>
      <c r="E66" s="85">
        <f>VLOOKUP(B66,'116+240'!B67:AB168,3,FALSE)</f>
        <v>1519</v>
      </c>
      <c r="F66" s="81">
        <f t="shared" si="0"/>
        <v>2363</v>
      </c>
      <c r="G66" s="84">
        <f>VLOOKUP(B66,'116+240'!$B$15:$AB$115,20,FALSE)</f>
        <v>1469</v>
      </c>
      <c r="H66" s="84">
        <f>VLOOKUP(B66,'116+240'!$B$15:$AB$115,4,FALSE)</f>
        <v>454</v>
      </c>
      <c r="I66" s="80">
        <f t="shared" si="1"/>
        <v>1909</v>
      </c>
      <c r="J66" s="80">
        <f>VLOOKUP(B66,'116+240'!$B$15:$AB$115,13,FALSE)</f>
        <v>-91</v>
      </c>
      <c r="K66" s="89">
        <f>'116+240'!Q67</f>
        <v>3</v>
      </c>
      <c r="L66" s="83">
        <f t="shared" si="6"/>
        <v>131</v>
      </c>
      <c r="M66" s="82">
        <f>VLOOKUP(B66,'116+240'!$B$14:$AB$115,21,FALSE)</f>
        <v>1484</v>
      </c>
      <c r="N66" s="81">
        <f>VLOOKUP(B66,'116+240'!$B$15:$AB$115,5,FALSE)</f>
        <v>559</v>
      </c>
      <c r="O66" s="80">
        <f t="shared" si="2"/>
        <v>1804</v>
      </c>
      <c r="P66" s="80">
        <f>VLOOKUP(B66,'116+240'!$B$15:$AB$115,14,FALSE)</f>
        <v>-196</v>
      </c>
      <c r="Q66" s="89">
        <f>'116+240'!R67</f>
        <v>2</v>
      </c>
      <c r="R66" s="83">
        <f t="shared" si="7"/>
        <v>116</v>
      </c>
      <c r="S66" s="82">
        <f>VLOOKUP(B66,'116+240'!$B$14:$AB$115,22,FALSE)</f>
        <v>1523</v>
      </c>
      <c r="T66" s="81">
        <f>VLOOKUP(B66,'116+240'!$B$15:$AB$115,6,FALSE)</f>
        <v>470</v>
      </c>
      <c r="U66" s="80">
        <f t="shared" si="3"/>
        <v>1893</v>
      </c>
      <c r="V66" s="79">
        <f>VLOOKUP(B66,'116+240'!$B$15:$AB$115,15,FALSE)</f>
        <v>-107</v>
      </c>
      <c r="W66" s="89">
        <f>'116+240'!S67</f>
        <v>1</v>
      </c>
      <c r="X66" s="83">
        <f t="shared" si="8"/>
        <v>77</v>
      </c>
      <c r="Y66" s="78">
        <f t="shared" si="9"/>
        <v>-1</v>
      </c>
      <c r="Z66" s="77">
        <f t="shared" si="10"/>
        <v>0</v>
      </c>
      <c r="AA66" s="76">
        <f t="shared" si="11"/>
        <v>1.6179999999999999</v>
      </c>
      <c r="AB66" s="76">
        <f t="shared" si="12"/>
        <v>1.448</v>
      </c>
      <c r="AC66" s="108"/>
      <c r="AD66" s="108"/>
      <c r="AE66" s="107"/>
    </row>
    <row r="67" spans="1:32" s="100" customFormat="1" ht="15" customHeight="1">
      <c r="A67" s="99"/>
      <c r="B67" s="90">
        <f>'116+240'!B68</f>
        <v>45335</v>
      </c>
      <c r="C67" s="87">
        <f t="shared" si="4"/>
        <v>1</v>
      </c>
      <c r="D67" s="86">
        <f t="shared" si="5"/>
        <v>844</v>
      </c>
      <c r="E67" s="85">
        <f>VLOOKUP(B67,'116+240'!B68:AB169,3,FALSE)</f>
        <v>1517</v>
      </c>
      <c r="F67" s="81">
        <f t="shared" si="0"/>
        <v>2361</v>
      </c>
      <c r="G67" s="84">
        <f>VLOOKUP(B67,'116+240'!$B$15:$AB$115,20,FALSE)</f>
        <v>1465</v>
      </c>
      <c r="H67" s="84">
        <f>VLOOKUP(B67,'116+240'!$B$15:$AB$115,4,FALSE)</f>
        <v>456</v>
      </c>
      <c r="I67" s="80">
        <f t="shared" si="1"/>
        <v>1905</v>
      </c>
      <c r="J67" s="80">
        <f>VLOOKUP(B67,'116+240'!$B$15:$AB$115,13,FALSE)</f>
        <v>-95</v>
      </c>
      <c r="K67" s="89">
        <f>'116+240'!Q68</f>
        <v>4</v>
      </c>
      <c r="L67" s="83">
        <f t="shared" si="6"/>
        <v>135</v>
      </c>
      <c r="M67" s="82">
        <f>VLOOKUP(B67,'116+240'!$B$14:$AB$115,21,FALSE)</f>
        <v>1484</v>
      </c>
      <c r="N67" s="81">
        <f>VLOOKUP(B67,'116+240'!$B$15:$AB$115,5,FALSE)</f>
        <v>557</v>
      </c>
      <c r="O67" s="80">
        <f t="shared" si="2"/>
        <v>1804</v>
      </c>
      <c r="P67" s="80">
        <f>VLOOKUP(B67,'116+240'!$B$15:$AB$115,14,FALSE)</f>
        <v>-196</v>
      </c>
      <c r="Q67" s="89">
        <f>'116+240'!R68</f>
        <v>0</v>
      </c>
      <c r="R67" s="83">
        <f t="shared" si="7"/>
        <v>116</v>
      </c>
      <c r="S67" s="82">
        <f>VLOOKUP(B67,'116+240'!$B$14:$AB$115,22,FALSE)</f>
        <v>1523</v>
      </c>
      <c r="T67" s="81">
        <f>VLOOKUP(B67,'116+240'!$B$15:$AB$115,6,FALSE)</f>
        <v>468</v>
      </c>
      <c r="U67" s="80">
        <f t="shared" si="3"/>
        <v>1893</v>
      </c>
      <c r="V67" s="79">
        <f>VLOOKUP(B67,'116+240'!$B$15:$AB$115,15,FALSE)</f>
        <v>-107</v>
      </c>
      <c r="W67" s="89">
        <f>'116+240'!S68</f>
        <v>0</v>
      </c>
      <c r="X67" s="83">
        <f t="shared" si="8"/>
        <v>77</v>
      </c>
      <c r="Y67" s="78">
        <f t="shared" si="9"/>
        <v>0</v>
      </c>
      <c r="Z67" s="77">
        <f t="shared" si="10"/>
        <v>0</v>
      </c>
      <c r="AA67" s="76">
        <f t="shared" si="11"/>
        <v>1.6179999999999999</v>
      </c>
      <c r="AB67" s="76">
        <f t="shared" si="12"/>
        <v>1.448</v>
      </c>
      <c r="AC67" s="102"/>
      <c r="AD67" s="102"/>
      <c r="AE67" s="101"/>
    </row>
    <row r="68" spans="1:32" s="103" customFormat="1" ht="15" customHeight="1">
      <c r="A68" s="99"/>
      <c r="B68" s="90">
        <f>'116+240'!B69</f>
        <v>45336</v>
      </c>
      <c r="C68" s="87">
        <f t="shared" si="4"/>
        <v>1</v>
      </c>
      <c r="D68" s="86">
        <f t="shared" si="5"/>
        <v>844</v>
      </c>
      <c r="E68" s="85">
        <f>VLOOKUP(B68,'116+240'!B69:AB170,3,FALSE)</f>
        <v>1515</v>
      </c>
      <c r="F68" s="81">
        <f t="shared" si="0"/>
        <v>2359</v>
      </c>
      <c r="G68" s="84">
        <f>VLOOKUP(B68,'116+240'!$B$15:$AB$115,20,FALSE)</f>
        <v>1462</v>
      </c>
      <c r="H68" s="84">
        <f>VLOOKUP(B68,'116+240'!$B$15:$AB$115,4,FALSE)</f>
        <v>457</v>
      </c>
      <c r="I68" s="80">
        <f t="shared" si="1"/>
        <v>1902</v>
      </c>
      <c r="J68" s="80">
        <f>VLOOKUP(B68,'116+240'!$B$15:$AB$115,13,FALSE)</f>
        <v>-98</v>
      </c>
      <c r="K68" s="89">
        <f>'116+240'!Q69</f>
        <v>3</v>
      </c>
      <c r="L68" s="83">
        <f t="shared" si="6"/>
        <v>138</v>
      </c>
      <c r="M68" s="82">
        <f>VLOOKUP(B68,'116+240'!$B$14:$AB$115,21,FALSE)</f>
        <v>1484</v>
      </c>
      <c r="N68" s="81">
        <f>VLOOKUP(B68,'116+240'!$B$15:$AB$115,5,FALSE)</f>
        <v>555</v>
      </c>
      <c r="O68" s="80">
        <f t="shared" si="2"/>
        <v>1804</v>
      </c>
      <c r="P68" s="80">
        <f>VLOOKUP(B68,'116+240'!$B$15:$AB$115,14,FALSE)</f>
        <v>-196</v>
      </c>
      <c r="Q68" s="89">
        <f>'116+240'!R69</f>
        <v>0</v>
      </c>
      <c r="R68" s="83">
        <f t="shared" si="7"/>
        <v>116</v>
      </c>
      <c r="S68" s="82">
        <f>VLOOKUP(B68,'116+240'!$B$14:$AB$115,22,FALSE)</f>
        <v>1523</v>
      </c>
      <c r="T68" s="81">
        <f>VLOOKUP(B68,'116+240'!$B$15:$AB$115,6,FALSE)</f>
        <v>466</v>
      </c>
      <c r="U68" s="80">
        <f t="shared" si="3"/>
        <v>1893</v>
      </c>
      <c r="V68" s="79">
        <f>VLOOKUP(B68,'116+240'!$B$15:$AB$115,15,FALSE)</f>
        <v>-107</v>
      </c>
      <c r="W68" s="89">
        <f>'116+240'!S69</f>
        <v>0</v>
      </c>
      <c r="X68" s="83">
        <f t="shared" si="8"/>
        <v>77</v>
      </c>
      <c r="Y68" s="78">
        <f t="shared" si="9"/>
        <v>0</v>
      </c>
      <c r="Z68" s="77">
        <f t="shared" si="10"/>
        <v>0</v>
      </c>
      <c r="AA68" s="76">
        <f t="shared" si="11"/>
        <v>1.6179999999999999</v>
      </c>
      <c r="AB68" s="76">
        <f t="shared" si="12"/>
        <v>1.448</v>
      </c>
      <c r="AC68" s="105"/>
      <c r="AD68" s="105"/>
      <c r="AE68" s="104"/>
    </row>
    <row r="69" spans="1:32" s="97" customFormat="1" ht="15" customHeight="1">
      <c r="A69" s="99"/>
      <c r="B69" s="90">
        <f>'116+240'!B70</f>
        <v>45337</v>
      </c>
      <c r="C69" s="87">
        <f t="shared" si="4"/>
        <v>1</v>
      </c>
      <c r="D69" s="86">
        <f t="shared" si="5"/>
        <v>844</v>
      </c>
      <c r="E69" s="85">
        <f>VLOOKUP(B69,'116+240'!B70:AB171,3,FALSE)</f>
        <v>1513</v>
      </c>
      <c r="F69" s="81">
        <f t="shared" si="0"/>
        <v>2357</v>
      </c>
      <c r="G69" s="84">
        <f>VLOOKUP(B69,'116+240'!$B$15:$AB$115,20,FALSE)</f>
        <v>1453</v>
      </c>
      <c r="H69" s="84">
        <f>VLOOKUP(B69,'116+240'!$B$15:$AB$115,4,FALSE)</f>
        <v>464</v>
      </c>
      <c r="I69" s="80">
        <f t="shared" si="1"/>
        <v>1893</v>
      </c>
      <c r="J69" s="80">
        <f>VLOOKUP(B69,'116+240'!$B$15:$AB$115,13,FALSE)</f>
        <v>-107</v>
      </c>
      <c r="K69" s="89">
        <f>'116+240'!Q70</f>
        <v>9</v>
      </c>
      <c r="L69" s="83">
        <f t="shared" si="6"/>
        <v>147</v>
      </c>
      <c r="M69" s="82">
        <f>VLOOKUP(B69,'116+240'!$B$14:$AB$115,21,FALSE)</f>
        <v>1484</v>
      </c>
      <c r="N69" s="81">
        <f>VLOOKUP(B69,'116+240'!$B$15:$AB$115,5,FALSE)</f>
        <v>553</v>
      </c>
      <c r="O69" s="80">
        <f t="shared" si="2"/>
        <v>1804</v>
      </c>
      <c r="P69" s="80">
        <f>VLOOKUP(B69,'116+240'!$B$15:$AB$115,14,FALSE)</f>
        <v>-196</v>
      </c>
      <c r="Q69" s="89">
        <f>'116+240'!R70</f>
        <v>0</v>
      </c>
      <c r="R69" s="83">
        <f t="shared" si="7"/>
        <v>116</v>
      </c>
      <c r="S69" s="82">
        <f>VLOOKUP(B69,'116+240'!$B$14:$AB$115,22,FALSE)</f>
        <v>1523</v>
      </c>
      <c r="T69" s="81">
        <f>VLOOKUP(B69,'116+240'!$B$15:$AB$115,6,FALSE)</f>
        <v>464</v>
      </c>
      <c r="U69" s="80">
        <f t="shared" si="3"/>
        <v>1893</v>
      </c>
      <c r="V69" s="79">
        <f>VLOOKUP(B69,'116+240'!$B$15:$AB$115,15,FALSE)</f>
        <v>-107</v>
      </c>
      <c r="W69" s="89">
        <f>'116+240'!S70</f>
        <v>0</v>
      </c>
      <c r="X69" s="83">
        <f t="shared" si="8"/>
        <v>77</v>
      </c>
      <c r="Y69" s="78">
        <f t="shared" si="9"/>
        <v>0</v>
      </c>
      <c r="Z69" s="77">
        <f t="shared" si="10"/>
        <v>0</v>
      </c>
      <c r="AA69" s="76">
        <f t="shared" si="11"/>
        <v>1.6179999999999999</v>
      </c>
      <c r="AB69" s="76">
        <f t="shared" si="12"/>
        <v>1.448</v>
      </c>
      <c r="AC69" s="65"/>
      <c r="AD69" s="65"/>
      <c r="AE69" s="98"/>
    </row>
    <row r="70" spans="1:32" s="97" customFormat="1" ht="15" customHeight="1">
      <c r="A70" s="99"/>
      <c r="B70" s="90">
        <f>'116+240'!B71</f>
        <v>45338</v>
      </c>
      <c r="C70" s="87">
        <f t="shared" si="4"/>
        <v>1</v>
      </c>
      <c r="D70" s="86">
        <f t="shared" si="5"/>
        <v>844</v>
      </c>
      <c r="E70" s="85">
        <f>VLOOKUP(B70,'116+240'!B71:AB172,3,FALSE)</f>
        <v>1511</v>
      </c>
      <c r="F70" s="81">
        <f t="shared" si="0"/>
        <v>2355</v>
      </c>
      <c r="G70" s="84">
        <f>VLOOKUP(B70,'116+240'!$B$15:$AB$115,20,FALSE)</f>
        <v>1451</v>
      </c>
      <c r="H70" s="84">
        <f>VLOOKUP(B70,'116+240'!$B$15:$AB$115,4,FALSE)</f>
        <v>464</v>
      </c>
      <c r="I70" s="80">
        <f t="shared" si="1"/>
        <v>1891</v>
      </c>
      <c r="J70" s="80">
        <f>VLOOKUP(B70,'116+240'!$B$15:$AB$115,13,FALSE)</f>
        <v>-109</v>
      </c>
      <c r="K70" s="89">
        <f>'116+240'!Q71</f>
        <v>2</v>
      </c>
      <c r="L70" s="83">
        <f t="shared" si="6"/>
        <v>149</v>
      </c>
      <c r="M70" s="82">
        <f>VLOOKUP(B70,'116+240'!$B$14:$AB$115,21,FALSE)</f>
        <v>1482</v>
      </c>
      <c r="N70" s="81">
        <f>VLOOKUP(B70,'116+240'!$B$15:$AB$115,5,FALSE)</f>
        <v>553</v>
      </c>
      <c r="O70" s="80">
        <f t="shared" si="2"/>
        <v>1802</v>
      </c>
      <c r="P70" s="80">
        <f>VLOOKUP(B70,'116+240'!$B$15:$AB$115,14,FALSE)</f>
        <v>-198</v>
      </c>
      <c r="Q70" s="89">
        <f>'116+240'!R71</f>
        <v>2</v>
      </c>
      <c r="R70" s="83">
        <f t="shared" si="7"/>
        <v>118</v>
      </c>
      <c r="S70" s="82">
        <f>VLOOKUP(B70,'116+240'!$B$14:$AB$115,22,FALSE)</f>
        <v>1520</v>
      </c>
      <c r="T70" s="81">
        <f>VLOOKUP(B70,'116+240'!$B$15:$AB$115,6,FALSE)</f>
        <v>465</v>
      </c>
      <c r="U70" s="80">
        <f t="shared" si="3"/>
        <v>1890</v>
      </c>
      <c r="V70" s="79">
        <f>VLOOKUP(B70,'116+240'!$B$15:$AB$115,15,FALSE)</f>
        <v>-110</v>
      </c>
      <c r="W70" s="89">
        <f>'116+240'!S71</f>
        <v>3</v>
      </c>
      <c r="X70" s="83">
        <f t="shared" si="8"/>
        <v>80</v>
      </c>
      <c r="Y70" s="78">
        <f t="shared" si="9"/>
        <v>-3</v>
      </c>
      <c r="Z70" s="77">
        <f t="shared" si="10"/>
        <v>0</v>
      </c>
      <c r="AA70" s="76">
        <f t="shared" si="11"/>
        <v>1.6179999999999999</v>
      </c>
      <c r="AB70" s="76">
        <f t="shared" si="12"/>
        <v>1.444</v>
      </c>
      <c r="AC70" s="65"/>
      <c r="AD70" s="65"/>
      <c r="AE70" s="98"/>
    </row>
    <row r="71" spans="1:32" s="97" customFormat="1" ht="15" customHeight="1">
      <c r="A71" s="99"/>
      <c r="B71" s="90">
        <f>'116+240'!B72</f>
        <v>45339</v>
      </c>
      <c r="C71" s="87">
        <f t="shared" si="4"/>
        <v>1</v>
      </c>
      <c r="D71" s="86">
        <f t="shared" si="5"/>
        <v>844</v>
      </c>
      <c r="E71" s="85">
        <f>VLOOKUP(B71,'116+240'!B72:AB173,3,FALSE)</f>
        <v>1509</v>
      </c>
      <c r="F71" s="81">
        <f t="shared" si="0"/>
        <v>2353</v>
      </c>
      <c r="G71" s="84">
        <f>VLOOKUP(B71,'116+240'!$B$15:$AB$115,20,FALSE)</f>
        <v>1447</v>
      </c>
      <c r="H71" s="84">
        <f>VLOOKUP(B71,'116+240'!$B$15:$AB$115,4,FALSE)</f>
        <v>466</v>
      </c>
      <c r="I71" s="80">
        <f t="shared" si="1"/>
        <v>1887</v>
      </c>
      <c r="J71" s="80">
        <f>VLOOKUP(B71,'116+240'!$B$15:$AB$115,13,FALSE)</f>
        <v>-113</v>
      </c>
      <c r="K71" s="89">
        <f>'116+240'!Q72</f>
        <v>4</v>
      </c>
      <c r="L71" s="83">
        <f t="shared" si="6"/>
        <v>153</v>
      </c>
      <c r="M71" s="82">
        <f>VLOOKUP(B71,'116+240'!$B$14:$AB$115,21,FALSE)</f>
        <v>1482</v>
      </c>
      <c r="N71" s="81">
        <f>VLOOKUP(B71,'116+240'!$B$15:$AB$115,5,FALSE)</f>
        <v>551</v>
      </c>
      <c r="O71" s="80">
        <f t="shared" si="2"/>
        <v>1802</v>
      </c>
      <c r="P71" s="80">
        <f>VLOOKUP(B71,'116+240'!$B$15:$AB$115,14,FALSE)</f>
        <v>-198</v>
      </c>
      <c r="Q71" s="89">
        <f>'116+240'!R72</f>
        <v>0</v>
      </c>
      <c r="R71" s="83">
        <f t="shared" si="7"/>
        <v>118</v>
      </c>
      <c r="S71" s="82">
        <f>VLOOKUP(B71,'116+240'!$B$14:$AB$115,22,FALSE)</f>
        <v>1520</v>
      </c>
      <c r="T71" s="81">
        <f>VLOOKUP(B71,'116+240'!$B$15:$AB$115,6,FALSE)</f>
        <v>463</v>
      </c>
      <c r="U71" s="80">
        <f t="shared" si="3"/>
        <v>1890</v>
      </c>
      <c r="V71" s="79">
        <f>VLOOKUP(B71,'116+240'!$B$15:$AB$115,15,FALSE)</f>
        <v>-110</v>
      </c>
      <c r="W71" s="89">
        <f>'116+240'!S72</f>
        <v>0</v>
      </c>
      <c r="X71" s="83">
        <f t="shared" si="8"/>
        <v>80</v>
      </c>
      <c r="Y71" s="78">
        <f t="shared" si="9"/>
        <v>0</v>
      </c>
      <c r="Z71" s="77">
        <f t="shared" si="10"/>
        <v>0</v>
      </c>
      <c r="AA71" s="76">
        <f t="shared" si="11"/>
        <v>1.6179999999999999</v>
      </c>
      <c r="AB71" s="76">
        <f t="shared" si="12"/>
        <v>1.444</v>
      </c>
      <c r="AC71" s="65"/>
      <c r="AD71" s="65"/>
      <c r="AE71" s="98"/>
    </row>
    <row r="72" spans="1:32" s="97" customFormat="1" ht="15" customHeight="1">
      <c r="A72" s="99"/>
      <c r="B72" s="90">
        <f>'116+240'!B73</f>
        <v>45340</v>
      </c>
      <c r="C72" s="87">
        <f t="shared" si="4"/>
        <v>1</v>
      </c>
      <c r="D72" s="86">
        <f t="shared" si="5"/>
        <v>844</v>
      </c>
      <c r="E72" s="85">
        <f>VLOOKUP(B72,'116+240'!B73:AB174,3,FALSE)</f>
        <v>1507</v>
      </c>
      <c r="F72" s="81">
        <f t="shared" si="0"/>
        <v>2351</v>
      </c>
      <c r="G72" s="84">
        <f>VLOOKUP(B72,'116+240'!$B$15:$AB$115,20,FALSE)</f>
        <v>1444</v>
      </c>
      <c r="H72" s="84">
        <f>VLOOKUP(B72,'116+240'!$B$15:$AB$115,4,FALSE)</f>
        <v>467</v>
      </c>
      <c r="I72" s="80">
        <f t="shared" si="1"/>
        <v>1884</v>
      </c>
      <c r="J72" s="80">
        <f>VLOOKUP(B72,'116+240'!$B$15:$AB$115,13,FALSE)</f>
        <v>-116</v>
      </c>
      <c r="K72" s="89">
        <f>'116+240'!Q73</f>
        <v>3</v>
      </c>
      <c r="L72" s="83">
        <f t="shared" si="6"/>
        <v>156</v>
      </c>
      <c r="M72" s="82">
        <f>VLOOKUP(B72,'116+240'!$B$14:$AB$115,21,FALSE)</f>
        <v>1482</v>
      </c>
      <c r="N72" s="81">
        <f>VLOOKUP(B72,'116+240'!$B$15:$AB$115,5,FALSE)</f>
        <v>549</v>
      </c>
      <c r="O72" s="80">
        <f t="shared" si="2"/>
        <v>1802</v>
      </c>
      <c r="P72" s="80">
        <f>VLOOKUP(B72,'116+240'!$B$15:$AB$115,14,FALSE)</f>
        <v>-198</v>
      </c>
      <c r="Q72" s="89">
        <f>'116+240'!R73</f>
        <v>0</v>
      </c>
      <c r="R72" s="83">
        <f t="shared" si="7"/>
        <v>118</v>
      </c>
      <c r="S72" s="82">
        <f>VLOOKUP(B72,'116+240'!$B$14:$AB$115,22,FALSE)</f>
        <v>1520</v>
      </c>
      <c r="T72" s="81">
        <f>VLOOKUP(B72,'116+240'!$B$15:$AB$115,6,FALSE)</f>
        <v>461</v>
      </c>
      <c r="U72" s="80">
        <f t="shared" si="3"/>
        <v>1890</v>
      </c>
      <c r="V72" s="79">
        <f>VLOOKUP(B72,'116+240'!$B$15:$AB$115,15,FALSE)</f>
        <v>-110</v>
      </c>
      <c r="W72" s="89">
        <f>'116+240'!S73</f>
        <v>0</v>
      </c>
      <c r="X72" s="83">
        <f t="shared" si="8"/>
        <v>80</v>
      </c>
      <c r="Y72" s="78">
        <f t="shared" si="9"/>
        <v>0</v>
      </c>
      <c r="Z72" s="77">
        <f t="shared" si="10"/>
        <v>0</v>
      </c>
      <c r="AA72" s="76">
        <f t="shared" si="11"/>
        <v>1.6179999999999999</v>
      </c>
      <c r="AB72" s="76">
        <f t="shared" si="12"/>
        <v>1.444</v>
      </c>
      <c r="AC72" s="65"/>
      <c r="AD72" s="65"/>
      <c r="AE72" s="98"/>
    </row>
    <row r="73" spans="1:32" s="97" customFormat="1" ht="15" customHeight="1">
      <c r="A73" s="99"/>
      <c r="B73" s="90">
        <f>'116+240'!B74</f>
        <v>45341</v>
      </c>
      <c r="C73" s="87">
        <f t="shared" si="4"/>
        <v>1</v>
      </c>
      <c r="D73" s="86">
        <f t="shared" si="5"/>
        <v>844</v>
      </c>
      <c r="E73" s="85">
        <f>VLOOKUP(B73,'116+240'!B74:AB175,3,FALSE)</f>
        <v>1505</v>
      </c>
      <c r="F73" s="81">
        <f t="shared" si="0"/>
        <v>2349</v>
      </c>
      <c r="G73" s="84">
        <f>VLOOKUP(B73,'116+240'!$B$15:$AB$115,20,FALSE)</f>
        <v>1441</v>
      </c>
      <c r="H73" s="84">
        <f>VLOOKUP(B73,'116+240'!$B$15:$AB$115,4,FALSE)</f>
        <v>468</v>
      </c>
      <c r="I73" s="80">
        <f t="shared" si="1"/>
        <v>1881</v>
      </c>
      <c r="J73" s="80">
        <f>VLOOKUP(B73,'116+240'!$B$15:$AB$115,13,FALSE)</f>
        <v>-119</v>
      </c>
      <c r="K73" s="89">
        <f>'116+240'!Q74</f>
        <v>3</v>
      </c>
      <c r="L73" s="83">
        <f t="shared" si="6"/>
        <v>159</v>
      </c>
      <c r="M73" s="82">
        <f>VLOOKUP(B73,'116+240'!$B$14:$AB$115,21,FALSE)</f>
        <v>1482</v>
      </c>
      <c r="N73" s="81">
        <f>VLOOKUP(B73,'116+240'!$B$15:$AB$115,5,FALSE)</f>
        <v>547</v>
      </c>
      <c r="O73" s="80">
        <f t="shared" si="2"/>
        <v>1802</v>
      </c>
      <c r="P73" s="80">
        <f>VLOOKUP(B73,'116+240'!$B$15:$AB$115,14,FALSE)</f>
        <v>-198</v>
      </c>
      <c r="Q73" s="89">
        <f>'116+240'!R74</f>
        <v>0</v>
      </c>
      <c r="R73" s="83">
        <f t="shared" si="7"/>
        <v>118</v>
      </c>
      <c r="S73" s="82">
        <f>VLOOKUP(B73,'116+240'!$B$14:$AB$115,22,FALSE)</f>
        <v>1520</v>
      </c>
      <c r="T73" s="81">
        <f>VLOOKUP(B73,'116+240'!$B$15:$AB$115,6,FALSE)</f>
        <v>459</v>
      </c>
      <c r="U73" s="80">
        <f t="shared" si="3"/>
        <v>1890</v>
      </c>
      <c r="V73" s="79">
        <f>VLOOKUP(B73,'116+240'!$B$15:$AB$115,15,FALSE)</f>
        <v>-110</v>
      </c>
      <c r="W73" s="89">
        <f>'116+240'!S74</f>
        <v>0</v>
      </c>
      <c r="X73" s="83">
        <f t="shared" si="8"/>
        <v>80</v>
      </c>
      <c r="Y73" s="78">
        <f t="shared" si="9"/>
        <v>0</v>
      </c>
      <c r="Z73" s="77">
        <f t="shared" si="10"/>
        <v>0</v>
      </c>
      <c r="AA73" s="76">
        <f t="shared" si="11"/>
        <v>1.6179999999999999</v>
      </c>
      <c r="AB73" s="76">
        <f t="shared" si="12"/>
        <v>1.444</v>
      </c>
      <c r="AC73" s="65"/>
      <c r="AD73" s="65"/>
      <c r="AE73" s="98"/>
    </row>
    <row r="74" spans="1:32" s="100" customFormat="1" ht="15" customHeight="1">
      <c r="A74" s="99"/>
      <c r="B74" s="90">
        <f>'116+240'!B75</f>
        <v>45342</v>
      </c>
      <c r="C74" s="87">
        <f t="shared" si="4"/>
        <v>1</v>
      </c>
      <c r="D74" s="86">
        <f t="shared" si="5"/>
        <v>844</v>
      </c>
      <c r="E74" s="85">
        <f>VLOOKUP(B74,'116+240'!B75:AB176,3,FALSE)</f>
        <v>1503</v>
      </c>
      <c r="F74" s="81">
        <f t="shared" si="0"/>
        <v>2347</v>
      </c>
      <c r="G74" s="84">
        <f>VLOOKUP(B74,'116+240'!$B$15:$AB$115,20,FALSE)</f>
        <v>1432</v>
      </c>
      <c r="H74" s="84">
        <f>VLOOKUP(B74,'116+240'!$B$15:$AB$115,4,FALSE)</f>
        <v>475</v>
      </c>
      <c r="I74" s="80">
        <f t="shared" si="1"/>
        <v>1872</v>
      </c>
      <c r="J74" s="80">
        <f>VLOOKUP(B74,'116+240'!$B$15:$AB$115,13,FALSE)</f>
        <v>-128</v>
      </c>
      <c r="K74" s="89">
        <f>'116+240'!Q75</f>
        <v>9</v>
      </c>
      <c r="L74" s="83">
        <f t="shared" si="6"/>
        <v>168</v>
      </c>
      <c r="M74" s="82">
        <f>VLOOKUP(B74,'116+240'!$B$14:$AB$115,21,FALSE)</f>
        <v>1480</v>
      </c>
      <c r="N74" s="81">
        <f>VLOOKUP(B74,'116+240'!$B$15:$AB$115,5,FALSE)</f>
        <v>547</v>
      </c>
      <c r="O74" s="80">
        <f t="shared" si="2"/>
        <v>1800</v>
      </c>
      <c r="P74" s="80">
        <f>VLOOKUP(B74,'116+240'!$B$15:$AB$115,14,FALSE)</f>
        <v>-200</v>
      </c>
      <c r="Q74" s="89">
        <f>'116+240'!R75</f>
        <v>2</v>
      </c>
      <c r="R74" s="83">
        <f t="shared" si="7"/>
        <v>120</v>
      </c>
      <c r="S74" s="82">
        <f>VLOOKUP(B74,'116+240'!$B$14:$AB$115,22,FALSE)</f>
        <v>1520</v>
      </c>
      <c r="T74" s="81">
        <f>VLOOKUP(B74,'116+240'!$B$15:$AB$115,6,FALSE)</f>
        <v>457</v>
      </c>
      <c r="U74" s="80">
        <f t="shared" si="3"/>
        <v>1890</v>
      </c>
      <c r="V74" s="79">
        <f>VLOOKUP(B74,'116+240'!$B$15:$AB$115,15,FALSE)</f>
        <v>-110</v>
      </c>
      <c r="W74" s="89">
        <f>'116+240'!S75</f>
        <v>0</v>
      </c>
      <c r="X74" s="83">
        <f t="shared" si="8"/>
        <v>80</v>
      </c>
      <c r="Y74" s="78">
        <f t="shared" si="9"/>
        <v>0</v>
      </c>
      <c r="Z74" s="77">
        <f t="shared" si="10"/>
        <v>0</v>
      </c>
      <c r="AA74" s="76">
        <f t="shared" si="11"/>
        <v>1.6179999999999999</v>
      </c>
      <c r="AB74" s="76">
        <f t="shared" si="12"/>
        <v>1.44</v>
      </c>
      <c r="AC74" s="102"/>
      <c r="AD74" s="102"/>
      <c r="AE74" s="101"/>
    </row>
    <row r="75" spans="1:32" s="97" customFormat="1" ht="15" customHeight="1">
      <c r="A75" s="99"/>
      <c r="B75" s="90">
        <f>'116+240'!B76</f>
        <v>45343</v>
      </c>
      <c r="C75" s="87">
        <f t="shared" si="4"/>
        <v>1</v>
      </c>
      <c r="D75" s="86">
        <f t="shared" si="5"/>
        <v>844</v>
      </c>
      <c r="E75" s="85">
        <f>VLOOKUP(B75,'116+240'!B76:AB177,3,FALSE)</f>
        <v>1501</v>
      </c>
      <c r="F75" s="81">
        <f t="shared" si="0"/>
        <v>2345</v>
      </c>
      <c r="G75" s="84">
        <f>VLOOKUP(B75,'116+240'!$B$15:$AB$115,20,FALSE)</f>
        <v>1430</v>
      </c>
      <c r="H75" s="84">
        <f>VLOOKUP(B75,'116+240'!$B$15:$AB$115,4,FALSE)</f>
        <v>475</v>
      </c>
      <c r="I75" s="80">
        <f t="shared" si="1"/>
        <v>1870</v>
      </c>
      <c r="J75" s="80">
        <f>VLOOKUP(B75,'116+240'!$B$15:$AB$115,13,FALSE)</f>
        <v>-130</v>
      </c>
      <c r="K75" s="89">
        <f>'116+240'!Q76</f>
        <v>2</v>
      </c>
      <c r="L75" s="83">
        <f t="shared" si="6"/>
        <v>170</v>
      </c>
      <c r="M75" s="82">
        <f>VLOOKUP(B75,'116+240'!$B$14:$AB$115,21,FALSE)</f>
        <v>1480</v>
      </c>
      <c r="N75" s="81">
        <f>VLOOKUP(B75,'116+240'!$B$15:$AB$115,5,FALSE)</f>
        <v>545</v>
      </c>
      <c r="O75" s="80">
        <f t="shared" si="2"/>
        <v>1800</v>
      </c>
      <c r="P75" s="80">
        <f>VLOOKUP(B75,'116+240'!$B$15:$AB$115,14,FALSE)</f>
        <v>-200</v>
      </c>
      <c r="Q75" s="89">
        <f>'116+240'!R76</f>
        <v>0</v>
      </c>
      <c r="R75" s="83">
        <f t="shared" si="7"/>
        <v>120</v>
      </c>
      <c r="S75" s="82">
        <f>VLOOKUP(B75,'116+240'!$B$14:$AB$115,22,FALSE)</f>
        <v>1517</v>
      </c>
      <c r="T75" s="81">
        <f>VLOOKUP(B75,'116+240'!$B$15:$AB$115,6,FALSE)</f>
        <v>458</v>
      </c>
      <c r="U75" s="80">
        <f t="shared" si="3"/>
        <v>1887</v>
      </c>
      <c r="V75" s="79">
        <f>VLOOKUP(B75,'116+240'!$B$15:$AB$115,15,FALSE)</f>
        <v>-113</v>
      </c>
      <c r="W75" s="89">
        <f>'116+240'!S76</f>
        <v>3</v>
      </c>
      <c r="X75" s="83">
        <f t="shared" si="8"/>
        <v>83</v>
      </c>
      <c r="Y75" s="78">
        <f t="shared" si="9"/>
        <v>-3</v>
      </c>
      <c r="Z75" s="77">
        <f t="shared" si="10"/>
        <v>0</v>
      </c>
      <c r="AA75" s="76">
        <f t="shared" si="11"/>
        <v>1.6179999999999999</v>
      </c>
      <c r="AB75" s="76">
        <f t="shared" si="12"/>
        <v>1.44</v>
      </c>
      <c r="AC75" s="65"/>
      <c r="AD75" s="65"/>
      <c r="AE75" s="98"/>
    </row>
    <row r="76" spans="1:32" s="91" customFormat="1" ht="15" customHeight="1">
      <c r="A76" s="96"/>
      <c r="B76" s="90">
        <f>'116+240'!B77</f>
        <v>45344</v>
      </c>
      <c r="C76" s="87">
        <f t="shared" si="4"/>
        <v>1</v>
      </c>
      <c r="D76" s="86">
        <f t="shared" si="5"/>
        <v>844</v>
      </c>
      <c r="E76" s="85">
        <f>VLOOKUP(B76,'116+240'!B77:AB178,3,FALSE)</f>
        <v>1499</v>
      </c>
      <c r="F76" s="81">
        <f t="shared" si="0"/>
        <v>2343</v>
      </c>
      <c r="G76" s="84">
        <f>VLOOKUP(B76,'116+240'!$B$15:$AB$115,20,FALSE)</f>
        <v>1428</v>
      </c>
      <c r="H76" s="84">
        <f>VLOOKUP(B76,'116+240'!$B$15:$AB$115,4,FALSE)</f>
        <v>475</v>
      </c>
      <c r="I76" s="80">
        <f t="shared" si="1"/>
        <v>1868</v>
      </c>
      <c r="J76" s="80">
        <f>VLOOKUP(B76,'116+240'!$B$15:$AB$115,13,FALSE)</f>
        <v>-132</v>
      </c>
      <c r="K76" s="89">
        <f>'116+240'!Q77</f>
        <v>2</v>
      </c>
      <c r="L76" s="83">
        <f t="shared" si="6"/>
        <v>172</v>
      </c>
      <c r="M76" s="82">
        <f>VLOOKUP(B76,'116+240'!$B$14:$AB$115,21,FALSE)</f>
        <v>1478</v>
      </c>
      <c r="N76" s="81">
        <f>VLOOKUP(B76,'116+240'!$B$15:$AB$115,5,FALSE)</f>
        <v>545</v>
      </c>
      <c r="O76" s="80">
        <f t="shared" si="2"/>
        <v>1798</v>
      </c>
      <c r="P76" s="80">
        <f>VLOOKUP(B76,'116+240'!$B$15:$AB$115,14,FALSE)</f>
        <v>-202</v>
      </c>
      <c r="Q76" s="89">
        <f>'116+240'!R77</f>
        <v>2</v>
      </c>
      <c r="R76" s="83">
        <f t="shared" si="7"/>
        <v>122</v>
      </c>
      <c r="S76" s="82">
        <f>VLOOKUP(B76,'116+240'!$B$14:$AB$115,22,FALSE)</f>
        <v>1517</v>
      </c>
      <c r="T76" s="81">
        <f>VLOOKUP(B76,'116+240'!$B$15:$AB$115,6,FALSE)</f>
        <v>456</v>
      </c>
      <c r="U76" s="80">
        <f t="shared" si="3"/>
        <v>1887</v>
      </c>
      <c r="V76" s="79">
        <f>VLOOKUP(B76,'116+240'!$B$15:$AB$115,15,FALSE)</f>
        <v>-113</v>
      </c>
      <c r="W76" s="89">
        <f>'116+240'!S77</f>
        <v>0</v>
      </c>
      <c r="X76" s="83">
        <f t="shared" si="8"/>
        <v>83</v>
      </c>
      <c r="Y76" s="78">
        <f t="shared" si="9"/>
        <v>0</v>
      </c>
      <c r="Z76" s="77">
        <f t="shared" si="10"/>
        <v>0</v>
      </c>
      <c r="AA76" s="76">
        <f t="shared" si="11"/>
        <v>1.6179999999999999</v>
      </c>
      <c r="AB76" s="76">
        <f t="shared" si="12"/>
        <v>1.4359999999999999</v>
      </c>
      <c r="AC76" s="65"/>
      <c r="AD76" s="65"/>
      <c r="AE76" s="65"/>
      <c r="AF76" s="65"/>
    </row>
    <row r="77" spans="1:32" s="91" customFormat="1" ht="15" customHeight="1">
      <c r="A77" s="96">
        <v>42307</v>
      </c>
      <c r="B77" s="90">
        <f>'116+240'!B78</f>
        <v>45345</v>
      </c>
      <c r="C77" s="87">
        <f t="shared" si="4"/>
        <v>1</v>
      </c>
      <c r="D77" s="86">
        <f t="shared" si="5"/>
        <v>844</v>
      </c>
      <c r="E77" s="85">
        <f>VLOOKUP(B77,'116+240'!B78:AB179,3,FALSE)</f>
        <v>1497</v>
      </c>
      <c r="F77" s="81">
        <f t="shared" ref="F77:F140" si="14">D77+E77</f>
        <v>2341</v>
      </c>
      <c r="G77" s="84">
        <f>VLOOKUP(B77,'116+240'!$B$15:$AB$115,20,FALSE)</f>
        <v>1426</v>
      </c>
      <c r="H77" s="84">
        <f>VLOOKUP(B77,'116+240'!$B$15:$AB$115,4,FALSE)</f>
        <v>475</v>
      </c>
      <c r="I77" s="80">
        <f t="shared" ref="I77:I140" si="15">F77-H77</f>
        <v>1866</v>
      </c>
      <c r="J77" s="80">
        <f>VLOOKUP(B77,'116+240'!$B$15:$AB$115,13,FALSE)</f>
        <v>-134</v>
      </c>
      <c r="K77" s="89">
        <f>'116+240'!Q78</f>
        <v>2</v>
      </c>
      <c r="L77" s="83">
        <f t="shared" si="6"/>
        <v>174</v>
      </c>
      <c r="M77" s="82">
        <f>VLOOKUP(B77,'116+240'!$B$14:$AB$115,21,FALSE)</f>
        <v>1477</v>
      </c>
      <c r="N77" s="81">
        <f>VLOOKUP(B77,'116+240'!$B$15:$AB$115,5,FALSE)</f>
        <v>544</v>
      </c>
      <c r="O77" s="80">
        <f t="shared" ref="O77:O140" si="16">F77-N77</f>
        <v>1797</v>
      </c>
      <c r="P77" s="80">
        <f>VLOOKUP(B77,'116+240'!$B$15:$AB$115,14,FALSE)</f>
        <v>-203</v>
      </c>
      <c r="Q77" s="89">
        <f>'116+240'!R78</f>
        <v>1</v>
      </c>
      <c r="R77" s="83">
        <f t="shared" si="7"/>
        <v>123</v>
      </c>
      <c r="S77" s="82">
        <f>VLOOKUP(B77,'116+240'!$B$14:$AB$115,22,FALSE)</f>
        <v>1517</v>
      </c>
      <c r="T77" s="81">
        <f>VLOOKUP(B77,'116+240'!$B$15:$AB$115,6,FALSE)</f>
        <v>454</v>
      </c>
      <c r="U77" s="80">
        <f t="shared" ref="U77:U140" si="17">F77-T77</f>
        <v>1887</v>
      </c>
      <c r="V77" s="79">
        <f>VLOOKUP(B77,'116+240'!$B$15:$AB$115,15,FALSE)</f>
        <v>-113</v>
      </c>
      <c r="W77" s="89">
        <f>'116+240'!S78</f>
        <v>0</v>
      </c>
      <c r="X77" s="83">
        <f t="shared" si="8"/>
        <v>83</v>
      </c>
      <c r="Y77" s="78">
        <f t="shared" si="9"/>
        <v>0</v>
      </c>
      <c r="Z77" s="77">
        <f t="shared" si="10"/>
        <v>0</v>
      </c>
      <c r="AA77" s="76">
        <f t="shared" si="11"/>
        <v>1.6179999999999999</v>
      </c>
      <c r="AB77" s="76">
        <f t="shared" si="12"/>
        <v>1.4339999999999999</v>
      </c>
      <c r="AC77" s="65"/>
      <c r="AD77" s="65"/>
      <c r="AE77" s="65"/>
      <c r="AF77" s="65"/>
    </row>
    <row r="78" spans="1:32" s="91" customFormat="1" ht="15" customHeight="1">
      <c r="A78" s="96" t="s">
        <v>49</v>
      </c>
      <c r="B78" s="90">
        <f>'116+240'!B79</f>
        <v>45346</v>
      </c>
      <c r="C78" s="87">
        <f t="shared" ref="C78:C141" si="18">B78-B77</f>
        <v>1</v>
      </c>
      <c r="D78" s="86">
        <f t="shared" ref="D78:D141" si="19">D77</f>
        <v>844</v>
      </c>
      <c r="E78" s="85">
        <f>VLOOKUP(B78,'116+240'!B79:AB180,3,FALSE)</f>
        <v>1495</v>
      </c>
      <c r="F78" s="81">
        <f t="shared" si="14"/>
        <v>2339</v>
      </c>
      <c r="G78" s="84">
        <f>VLOOKUP(B78,'116+240'!$B$15:$AB$115,20,FALSE)</f>
        <v>1423</v>
      </c>
      <c r="H78" s="84">
        <f>VLOOKUP(B78,'116+240'!$B$15:$AB$115,4,FALSE)</f>
        <v>476</v>
      </c>
      <c r="I78" s="80">
        <f t="shared" si="15"/>
        <v>1863</v>
      </c>
      <c r="J78" s="80">
        <f>VLOOKUP(B78,'116+240'!$B$15:$AB$115,13,FALSE)</f>
        <v>-137</v>
      </c>
      <c r="K78" s="89">
        <f>'116+240'!Q79</f>
        <v>3</v>
      </c>
      <c r="L78" s="83">
        <f t="shared" ref="L78:L141" si="20">+K78+L77</f>
        <v>177</v>
      </c>
      <c r="M78" s="82">
        <f>VLOOKUP(B78,'116+240'!$B$14:$AB$115,21,FALSE)</f>
        <v>1477</v>
      </c>
      <c r="N78" s="81">
        <f>VLOOKUP(B78,'116+240'!$B$15:$AB$115,5,FALSE)</f>
        <v>542</v>
      </c>
      <c r="O78" s="80">
        <f t="shared" si="16"/>
        <v>1797</v>
      </c>
      <c r="P78" s="80">
        <f>VLOOKUP(B78,'116+240'!$B$15:$AB$115,14,FALSE)</f>
        <v>-203</v>
      </c>
      <c r="Q78" s="89">
        <f>'116+240'!R79</f>
        <v>0</v>
      </c>
      <c r="R78" s="83">
        <f t="shared" ref="R78:R141" si="21">+Q78+R77</f>
        <v>123</v>
      </c>
      <c r="S78" s="82">
        <f>VLOOKUP(B78,'116+240'!$B$14:$AB$115,22,FALSE)</f>
        <v>1517</v>
      </c>
      <c r="T78" s="81">
        <f>VLOOKUP(B78,'116+240'!$B$15:$AB$115,6,FALSE)</f>
        <v>452</v>
      </c>
      <c r="U78" s="80">
        <f t="shared" si="17"/>
        <v>1887</v>
      </c>
      <c r="V78" s="79">
        <f>VLOOKUP(B78,'116+240'!$B$15:$AB$115,15,FALSE)</f>
        <v>-113</v>
      </c>
      <c r="W78" s="89">
        <f>'116+240'!S79</f>
        <v>0</v>
      </c>
      <c r="X78" s="83">
        <f t="shared" ref="X78:X141" si="22">+W78+X77</f>
        <v>83</v>
      </c>
      <c r="Y78" s="78">
        <f t="shared" ref="Y78:Y141" si="23">S78-S77</f>
        <v>0</v>
      </c>
      <c r="Z78" s="77">
        <f t="shared" ref="Z78:Z141" si="24">IF(Y78&gt;0,Y78,0)/1000</f>
        <v>0</v>
      </c>
      <c r="AA78" s="76">
        <f t="shared" ref="AA78:AA141" si="25">AA77+Z78</f>
        <v>1.6179999999999999</v>
      </c>
      <c r="AB78" s="76">
        <f t="shared" ref="AB78:AB141" si="26">(M78-$M$13-R78)/1000</f>
        <v>1.4339999999999999</v>
      </c>
      <c r="AC78" s="65"/>
      <c r="AD78" s="65"/>
      <c r="AE78" s="65"/>
      <c r="AF78" s="65"/>
    </row>
    <row r="79" spans="1:32" s="91" customFormat="1" ht="15" customHeight="1">
      <c r="A79" s="96">
        <v>42313</v>
      </c>
      <c r="B79" s="90">
        <f>'116+240'!B80</f>
        <v>45347</v>
      </c>
      <c r="C79" s="87">
        <f t="shared" si="18"/>
        <v>1</v>
      </c>
      <c r="D79" s="86">
        <f t="shared" si="19"/>
        <v>844</v>
      </c>
      <c r="E79" s="85">
        <f>VLOOKUP(B79,'116+240'!B80:AB181,3,FALSE)</f>
        <v>1493</v>
      </c>
      <c r="F79" s="81">
        <f t="shared" si="14"/>
        <v>2337</v>
      </c>
      <c r="G79" s="84">
        <f>VLOOKUP(B79,'116+240'!$B$15:$AB$115,20,FALSE)</f>
        <v>1419</v>
      </c>
      <c r="H79" s="84">
        <f>VLOOKUP(B79,'116+240'!$B$15:$AB$115,4,FALSE)</f>
        <v>478</v>
      </c>
      <c r="I79" s="80">
        <f t="shared" si="15"/>
        <v>1859</v>
      </c>
      <c r="J79" s="80">
        <f>VLOOKUP(B79,'116+240'!$B$15:$AB$115,13,FALSE)</f>
        <v>-141</v>
      </c>
      <c r="K79" s="89">
        <f>'116+240'!Q80</f>
        <v>4</v>
      </c>
      <c r="L79" s="83">
        <f t="shared" si="20"/>
        <v>181</v>
      </c>
      <c r="M79" s="82">
        <f>VLOOKUP(B79,'116+240'!$B$14:$AB$115,21,FALSE)</f>
        <v>1477</v>
      </c>
      <c r="N79" s="81">
        <f>VLOOKUP(B79,'116+240'!$B$15:$AB$115,5,FALSE)</f>
        <v>540</v>
      </c>
      <c r="O79" s="80">
        <f t="shared" si="16"/>
        <v>1797</v>
      </c>
      <c r="P79" s="80">
        <f>VLOOKUP(B79,'116+240'!$B$15:$AB$115,14,FALSE)</f>
        <v>-203</v>
      </c>
      <c r="Q79" s="89">
        <f>'116+240'!R80</f>
        <v>0</v>
      </c>
      <c r="R79" s="83">
        <f t="shared" si="21"/>
        <v>123</v>
      </c>
      <c r="S79" s="82">
        <f>VLOOKUP(B79,'116+240'!$B$14:$AB$115,22,FALSE)</f>
        <v>1517</v>
      </c>
      <c r="T79" s="81">
        <f>VLOOKUP(B79,'116+240'!$B$15:$AB$115,6,FALSE)</f>
        <v>450</v>
      </c>
      <c r="U79" s="80">
        <f t="shared" si="17"/>
        <v>1887</v>
      </c>
      <c r="V79" s="79">
        <f>VLOOKUP(B79,'116+240'!$B$15:$AB$115,15,FALSE)</f>
        <v>-113</v>
      </c>
      <c r="W79" s="89">
        <f>'116+240'!S80</f>
        <v>0</v>
      </c>
      <c r="X79" s="83">
        <f t="shared" si="22"/>
        <v>83</v>
      </c>
      <c r="Y79" s="78">
        <f t="shared" si="23"/>
        <v>0</v>
      </c>
      <c r="Z79" s="77">
        <f t="shared" si="24"/>
        <v>0</v>
      </c>
      <c r="AA79" s="76">
        <f t="shared" si="25"/>
        <v>1.6179999999999999</v>
      </c>
      <c r="AB79" s="76">
        <f t="shared" si="26"/>
        <v>1.4339999999999999</v>
      </c>
      <c r="AC79" s="65"/>
      <c r="AD79" s="65"/>
      <c r="AE79" s="65"/>
      <c r="AF79" s="65"/>
    </row>
    <row r="80" spans="1:32" s="91" customFormat="1" ht="15" customHeight="1">
      <c r="A80" s="96">
        <v>42319</v>
      </c>
      <c r="B80" s="90">
        <f>'116+240'!B81</f>
        <v>45348</v>
      </c>
      <c r="C80" s="87">
        <f t="shared" si="18"/>
        <v>1</v>
      </c>
      <c r="D80" s="86">
        <f t="shared" si="19"/>
        <v>844</v>
      </c>
      <c r="E80" s="85">
        <f>VLOOKUP(B80,'116+240'!B81:AB182,3,FALSE)</f>
        <v>1491</v>
      </c>
      <c r="F80" s="81">
        <f t="shared" si="14"/>
        <v>2335</v>
      </c>
      <c r="G80" s="84">
        <f>VLOOKUP(B80,'116+240'!$B$15:$AB$115,20,FALSE)</f>
        <v>1416</v>
      </c>
      <c r="H80" s="84">
        <f>VLOOKUP(B80,'116+240'!$B$15:$AB$115,4,FALSE)</f>
        <v>479</v>
      </c>
      <c r="I80" s="80">
        <f t="shared" si="15"/>
        <v>1856</v>
      </c>
      <c r="J80" s="80">
        <f>VLOOKUP(B80,'116+240'!$B$15:$AB$115,13,FALSE)</f>
        <v>-144</v>
      </c>
      <c r="K80" s="89">
        <f>'116+240'!Q81</f>
        <v>3</v>
      </c>
      <c r="L80" s="83">
        <f t="shared" si="20"/>
        <v>184</v>
      </c>
      <c r="M80" s="82">
        <f>VLOOKUP(B80,'116+240'!$B$14:$AB$115,21,FALSE)</f>
        <v>1474</v>
      </c>
      <c r="N80" s="81">
        <f>VLOOKUP(B80,'116+240'!$B$15:$AB$115,5,FALSE)</f>
        <v>541</v>
      </c>
      <c r="O80" s="80">
        <f t="shared" si="16"/>
        <v>1794</v>
      </c>
      <c r="P80" s="80">
        <f>VLOOKUP(B80,'116+240'!$B$15:$AB$115,14,FALSE)</f>
        <v>-206</v>
      </c>
      <c r="Q80" s="89">
        <f>'116+240'!R81</f>
        <v>3</v>
      </c>
      <c r="R80" s="83">
        <f t="shared" si="21"/>
        <v>126</v>
      </c>
      <c r="S80" s="82">
        <f>VLOOKUP(B80,'116+240'!$B$14:$AB$115,22,FALSE)</f>
        <v>1517</v>
      </c>
      <c r="T80" s="81">
        <f>VLOOKUP(B80,'116+240'!$B$15:$AB$115,6,FALSE)</f>
        <v>448</v>
      </c>
      <c r="U80" s="80">
        <f t="shared" si="17"/>
        <v>1887</v>
      </c>
      <c r="V80" s="79">
        <f>VLOOKUP(B80,'116+240'!$B$15:$AB$115,15,FALSE)</f>
        <v>-113</v>
      </c>
      <c r="W80" s="89">
        <f>'116+240'!S81</f>
        <v>0</v>
      </c>
      <c r="X80" s="83">
        <f t="shared" si="22"/>
        <v>83</v>
      </c>
      <c r="Y80" s="78">
        <f t="shared" si="23"/>
        <v>0</v>
      </c>
      <c r="Z80" s="77">
        <f t="shared" si="24"/>
        <v>0</v>
      </c>
      <c r="AA80" s="76">
        <f t="shared" si="25"/>
        <v>1.6179999999999999</v>
      </c>
      <c r="AB80" s="76">
        <f t="shared" si="26"/>
        <v>1.4279999999999999</v>
      </c>
      <c r="AC80" s="65"/>
      <c r="AD80" s="65"/>
      <c r="AE80" s="65"/>
      <c r="AF80" s="65"/>
    </row>
    <row r="81" spans="1:32" s="91" customFormat="1" ht="15" customHeight="1">
      <c r="A81" s="96">
        <v>42322</v>
      </c>
      <c r="B81" s="90">
        <f>'116+240'!B82</f>
        <v>45349</v>
      </c>
      <c r="C81" s="87">
        <f t="shared" si="18"/>
        <v>1</v>
      </c>
      <c r="D81" s="86">
        <f t="shared" si="19"/>
        <v>844</v>
      </c>
      <c r="E81" s="85">
        <f>VLOOKUP(B81,'116+240'!B82:AB183,3,FALSE)</f>
        <v>1489</v>
      </c>
      <c r="F81" s="81">
        <f t="shared" si="14"/>
        <v>2333</v>
      </c>
      <c r="G81" s="84">
        <f>VLOOKUP(B81,'116+240'!$B$15:$AB$115,20,FALSE)</f>
        <v>1407</v>
      </c>
      <c r="H81" s="84">
        <f>VLOOKUP(B81,'116+240'!$B$15:$AB$115,4,FALSE)</f>
        <v>486</v>
      </c>
      <c r="I81" s="80">
        <f t="shared" si="15"/>
        <v>1847</v>
      </c>
      <c r="J81" s="80">
        <f>VLOOKUP(B81,'116+240'!$B$15:$AB$115,13,FALSE)</f>
        <v>-153</v>
      </c>
      <c r="K81" s="89">
        <f>'116+240'!Q82</f>
        <v>9</v>
      </c>
      <c r="L81" s="83">
        <f t="shared" si="20"/>
        <v>193</v>
      </c>
      <c r="M81" s="82">
        <f>VLOOKUP(B81,'116+240'!$B$14:$AB$115,21,FALSE)</f>
        <v>1473</v>
      </c>
      <c r="N81" s="81">
        <f>VLOOKUP(B81,'116+240'!$B$15:$AB$115,5,FALSE)</f>
        <v>540</v>
      </c>
      <c r="O81" s="80">
        <f t="shared" si="16"/>
        <v>1793</v>
      </c>
      <c r="P81" s="80">
        <f>VLOOKUP(B81,'116+240'!$B$15:$AB$115,14,FALSE)</f>
        <v>-207</v>
      </c>
      <c r="Q81" s="89">
        <f>'116+240'!R82</f>
        <v>1</v>
      </c>
      <c r="R81" s="83">
        <f t="shared" si="21"/>
        <v>127</v>
      </c>
      <c r="S81" s="82">
        <f>VLOOKUP(B81,'116+240'!$B$14:$AB$115,22,FALSE)</f>
        <v>1517</v>
      </c>
      <c r="T81" s="81">
        <f>VLOOKUP(B81,'116+240'!$B$15:$AB$115,6,FALSE)</f>
        <v>446</v>
      </c>
      <c r="U81" s="80">
        <f t="shared" si="17"/>
        <v>1887</v>
      </c>
      <c r="V81" s="79">
        <f>VLOOKUP(B81,'116+240'!$B$15:$AB$115,15,FALSE)</f>
        <v>-113</v>
      </c>
      <c r="W81" s="89">
        <f>'116+240'!S82</f>
        <v>0</v>
      </c>
      <c r="X81" s="83">
        <f t="shared" si="22"/>
        <v>83</v>
      </c>
      <c r="Y81" s="78">
        <f t="shared" si="23"/>
        <v>0</v>
      </c>
      <c r="Z81" s="77">
        <f t="shared" si="24"/>
        <v>0</v>
      </c>
      <c r="AA81" s="76">
        <f t="shared" si="25"/>
        <v>1.6179999999999999</v>
      </c>
      <c r="AB81" s="76">
        <f t="shared" si="26"/>
        <v>1.4259999999999999</v>
      </c>
      <c r="AC81" s="65"/>
      <c r="AD81" s="65"/>
      <c r="AE81" s="65"/>
      <c r="AF81" s="65"/>
    </row>
    <row r="82" spans="1:32" s="91" customFormat="1" ht="15" customHeight="1">
      <c r="A82" s="96" t="s">
        <v>48</v>
      </c>
      <c r="B82" s="90">
        <f>'116+240'!B83</f>
        <v>45350</v>
      </c>
      <c r="C82" s="87">
        <f t="shared" si="18"/>
        <v>1</v>
      </c>
      <c r="D82" s="86">
        <f t="shared" si="19"/>
        <v>844</v>
      </c>
      <c r="E82" s="85">
        <f>VLOOKUP(B82,'116+240'!B83:AB184,3,FALSE)</f>
        <v>1487</v>
      </c>
      <c r="F82" s="81">
        <f t="shared" si="14"/>
        <v>2331</v>
      </c>
      <c r="G82" s="84">
        <f>VLOOKUP(B82,'116+240'!$B$15:$AB$115,20,FALSE)</f>
        <v>1405</v>
      </c>
      <c r="H82" s="84">
        <f>VLOOKUP(B82,'116+240'!$B$15:$AB$115,4,FALSE)</f>
        <v>486</v>
      </c>
      <c r="I82" s="80">
        <f t="shared" si="15"/>
        <v>1845</v>
      </c>
      <c r="J82" s="80">
        <f>VLOOKUP(B82,'116+240'!$B$15:$AB$115,13,FALSE)</f>
        <v>-155</v>
      </c>
      <c r="K82" s="89">
        <f>'116+240'!Q83</f>
        <v>2</v>
      </c>
      <c r="L82" s="83">
        <f t="shared" si="20"/>
        <v>195</v>
      </c>
      <c r="M82" s="82">
        <f>VLOOKUP(B82,'116+240'!$B$14:$AB$115,21,FALSE)</f>
        <v>1473</v>
      </c>
      <c r="N82" s="81">
        <f>VLOOKUP(B82,'116+240'!$B$15:$AB$115,5,FALSE)</f>
        <v>538</v>
      </c>
      <c r="O82" s="80">
        <f t="shared" si="16"/>
        <v>1793</v>
      </c>
      <c r="P82" s="80">
        <f>VLOOKUP(B82,'116+240'!$B$15:$AB$115,14,FALSE)</f>
        <v>-207</v>
      </c>
      <c r="Q82" s="89">
        <f>'116+240'!R83</f>
        <v>0</v>
      </c>
      <c r="R82" s="83">
        <f t="shared" si="21"/>
        <v>127</v>
      </c>
      <c r="S82" s="82">
        <f>VLOOKUP(B82,'116+240'!$B$14:$AB$115,22,FALSE)</f>
        <v>1516</v>
      </c>
      <c r="T82" s="81">
        <f>VLOOKUP(B82,'116+240'!$B$15:$AB$115,6,FALSE)</f>
        <v>445</v>
      </c>
      <c r="U82" s="80">
        <f t="shared" si="17"/>
        <v>1886</v>
      </c>
      <c r="V82" s="79">
        <f>VLOOKUP(B82,'116+240'!$B$15:$AB$115,15,FALSE)</f>
        <v>-114</v>
      </c>
      <c r="W82" s="89">
        <f>'116+240'!S83</f>
        <v>1</v>
      </c>
      <c r="X82" s="83">
        <f t="shared" si="22"/>
        <v>84</v>
      </c>
      <c r="Y82" s="78">
        <f t="shared" si="23"/>
        <v>-1</v>
      </c>
      <c r="Z82" s="77">
        <f t="shared" si="24"/>
        <v>0</v>
      </c>
      <c r="AA82" s="76">
        <f t="shared" si="25"/>
        <v>1.6179999999999999</v>
      </c>
      <c r="AB82" s="76">
        <f t="shared" si="26"/>
        <v>1.4259999999999999</v>
      </c>
      <c r="AC82" s="65"/>
      <c r="AD82" s="65"/>
      <c r="AE82" s="65"/>
      <c r="AF82" s="65"/>
    </row>
    <row r="83" spans="1:32" s="91" customFormat="1" ht="15" customHeight="1">
      <c r="A83" s="96">
        <v>42328</v>
      </c>
      <c r="B83" s="90">
        <f>'116+240'!B84</f>
        <v>45351</v>
      </c>
      <c r="C83" s="87">
        <f t="shared" si="18"/>
        <v>1</v>
      </c>
      <c r="D83" s="86">
        <f t="shared" si="19"/>
        <v>844</v>
      </c>
      <c r="E83" s="85">
        <f>VLOOKUP(B83,'116+240'!B84:AB185,3,FALSE)</f>
        <v>1485</v>
      </c>
      <c r="F83" s="81">
        <f t="shared" si="14"/>
        <v>2329</v>
      </c>
      <c r="G83" s="84">
        <f>VLOOKUP(B83,'116+240'!$B$15:$AB$115,20,FALSE)</f>
        <v>1401</v>
      </c>
      <c r="H83" s="84">
        <f>VLOOKUP(B83,'116+240'!$B$15:$AB$115,4,FALSE)</f>
        <v>488</v>
      </c>
      <c r="I83" s="80">
        <f t="shared" si="15"/>
        <v>1841</v>
      </c>
      <c r="J83" s="80">
        <f>VLOOKUP(B83,'116+240'!$B$15:$AB$115,13,FALSE)</f>
        <v>-159</v>
      </c>
      <c r="K83" s="89">
        <f>'116+240'!Q84</f>
        <v>4</v>
      </c>
      <c r="L83" s="83">
        <f t="shared" si="20"/>
        <v>199</v>
      </c>
      <c r="M83" s="82">
        <f>VLOOKUP(B83,'116+240'!$B$14:$AB$115,21,FALSE)</f>
        <v>1473</v>
      </c>
      <c r="N83" s="81">
        <f>VLOOKUP(B83,'116+240'!$B$15:$AB$115,5,FALSE)</f>
        <v>536</v>
      </c>
      <c r="O83" s="80">
        <f t="shared" si="16"/>
        <v>1793</v>
      </c>
      <c r="P83" s="80">
        <f>VLOOKUP(B83,'116+240'!$B$15:$AB$115,14,FALSE)</f>
        <v>-207</v>
      </c>
      <c r="Q83" s="89">
        <f>'116+240'!R84</f>
        <v>0</v>
      </c>
      <c r="R83" s="83">
        <f t="shared" si="21"/>
        <v>127</v>
      </c>
      <c r="S83" s="82">
        <f>VLOOKUP(B83,'116+240'!$B$14:$AB$115,22,FALSE)</f>
        <v>1516</v>
      </c>
      <c r="T83" s="81">
        <f>VLOOKUP(B83,'116+240'!$B$15:$AB$115,6,FALSE)</f>
        <v>443</v>
      </c>
      <c r="U83" s="80">
        <f t="shared" si="17"/>
        <v>1886</v>
      </c>
      <c r="V83" s="79">
        <f>VLOOKUP(B83,'116+240'!$B$15:$AB$115,15,FALSE)</f>
        <v>-114</v>
      </c>
      <c r="W83" s="89">
        <f>'116+240'!S84</f>
        <v>0</v>
      </c>
      <c r="X83" s="83">
        <f t="shared" si="22"/>
        <v>84</v>
      </c>
      <c r="Y83" s="78">
        <f t="shared" si="23"/>
        <v>0</v>
      </c>
      <c r="Z83" s="77">
        <f t="shared" si="24"/>
        <v>0</v>
      </c>
      <c r="AA83" s="76">
        <f t="shared" si="25"/>
        <v>1.6179999999999999</v>
      </c>
      <c r="AB83" s="76">
        <f t="shared" si="26"/>
        <v>1.4259999999999999</v>
      </c>
      <c r="AC83" s="65"/>
      <c r="AD83" s="65"/>
      <c r="AE83" s="65"/>
      <c r="AF83" s="65"/>
    </row>
    <row r="84" spans="1:32" s="91" customFormat="1" ht="15" customHeight="1">
      <c r="A84" s="96">
        <v>42331</v>
      </c>
      <c r="B84" s="90">
        <f>'116+240'!B85</f>
        <v>45352</v>
      </c>
      <c r="C84" s="87">
        <f t="shared" si="18"/>
        <v>1</v>
      </c>
      <c r="D84" s="86">
        <f t="shared" si="19"/>
        <v>844</v>
      </c>
      <c r="E84" s="85">
        <f>VLOOKUP(B84,'116+240'!B85:AB186,3,FALSE)</f>
        <v>1483</v>
      </c>
      <c r="F84" s="81">
        <f t="shared" si="14"/>
        <v>2327</v>
      </c>
      <c r="G84" s="84">
        <f>VLOOKUP(B84,'116+240'!$B$15:$AB$115,20,FALSE)</f>
        <v>1395</v>
      </c>
      <c r="H84" s="84">
        <f>VLOOKUP(B84,'116+240'!$B$15:$AB$115,4,FALSE)</f>
        <v>492</v>
      </c>
      <c r="I84" s="80">
        <f t="shared" si="15"/>
        <v>1835</v>
      </c>
      <c r="J84" s="80">
        <f>VLOOKUP(B84,'116+240'!$B$15:$AB$115,13,FALSE)</f>
        <v>-165</v>
      </c>
      <c r="K84" s="89">
        <f>'116+240'!Q85</f>
        <v>6</v>
      </c>
      <c r="L84" s="83">
        <f t="shared" si="20"/>
        <v>205</v>
      </c>
      <c r="M84" s="82">
        <f>VLOOKUP(B84,'116+240'!$B$14:$AB$115,21,FALSE)</f>
        <v>1473</v>
      </c>
      <c r="N84" s="81">
        <f>VLOOKUP(B84,'116+240'!$B$15:$AB$115,5,FALSE)</f>
        <v>534</v>
      </c>
      <c r="O84" s="80">
        <f t="shared" si="16"/>
        <v>1793</v>
      </c>
      <c r="P84" s="80">
        <f>VLOOKUP(B84,'116+240'!$B$15:$AB$115,14,FALSE)</f>
        <v>-207</v>
      </c>
      <c r="Q84" s="89">
        <f>'116+240'!R85</f>
        <v>0</v>
      </c>
      <c r="R84" s="83">
        <f t="shared" si="21"/>
        <v>127</v>
      </c>
      <c r="S84" s="82">
        <f>VLOOKUP(B84,'116+240'!$B$14:$AB$115,22,FALSE)</f>
        <v>1516</v>
      </c>
      <c r="T84" s="81">
        <f>VLOOKUP(B84,'116+240'!$B$15:$AB$115,6,FALSE)</f>
        <v>441</v>
      </c>
      <c r="U84" s="80">
        <f t="shared" si="17"/>
        <v>1886</v>
      </c>
      <c r="V84" s="79">
        <f>VLOOKUP(B84,'116+240'!$B$15:$AB$115,15,FALSE)</f>
        <v>-114</v>
      </c>
      <c r="W84" s="89">
        <f>'116+240'!S85</f>
        <v>0</v>
      </c>
      <c r="X84" s="83">
        <f t="shared" si="22"/>
        <v>84</v>
      </c>
      <c r="Y84" s="78">
        <f t="shared" si="23"/>
        <v>0</v>
      </c>
      <c r="Z84" s="77">
        <f t="shared" si="24"/>
        <v>0</v>
      </c>
      <c r="AA84" s="76">
        <f t="shared" si="25"/>
        <v>1.6179999999999999</v>
      </c>
      <c r="AB84" s="76">
        <f t="shared" si="26"/>
        <v>1.4259999999999999</v>
      </c>
      <c r="AC84" s="65"/>
      <c r="AD84" s="65"/>
      <c r="AE84" s="65"/>
      <c r="AF84" s="65"/>
    </row>
    <row r="85" spans="1:32" s="91" customFormat="1" ht="15" customHeight="1">
      <c r="A85" s="96" t="s">
        <v>47</v>
      </c>
      <c r="B85" s="90">
        <f>'116+240'!B86</f>
        <v>45353</v>
      </c>
      <c r="C85" s="87">
        <f t="shared" si="18"/>
        <v>1</v>
      </c>
      <c r="D85" s="86">
        <f t="shared" si="19"/>
        <v>844</v>
      </c>
      <c r="E85" s="85">
        <f>VLOOKUP(B85,'116+240'!B86:AB187,3,FALSE)</f>
        <v>1481</v>
      </c>
      <c r="F85" s="81">
        <f t="shared" si="14"/>
        <v>2325</v>
      </c>
      <c r="G85" s="84">
        <f>VLOOKUP(B85,'116+240'!$B$15:$AB$115,20,FALSE)</f>
        <v>1386</v>
      </c>
      <c r="H85" s="84">
        <f>VLOOKUP(B85,'116+240'!$B$15:$AB$115,4,FALSE)</f>
        <v>499</v>
      </c>
      <c r="I85" s="80">
        <f t="shared" si="15"/>
        <v>1826</v>
      </c>
      <c r="J85" s="80">
        <f>VLOOKUP(B85,'116+240'!$B$15:$AB$115,13,FALSE)</f>
        <v>-174</v>
      </c>
      <c r="K85" s="89">
        <f>'116+240'!Q86</f>
        <v>9</v>
      </c>
      <c r="L85" s="83">
        <f t="shared" si="20"/>
        <v>214</v>
      </c>
      <c r="M85" s="82">
        <f>VLOOKUP(B85,'116+240'!$B$14:$AB$115,21,FALSE)</f>
        <v>1470</v>
      </c>
      <c r="N85" s="81">
        <f>VLOOKUP(B85,'116+240'!$B$15:$AB$115,5,FALSE)</f>
        <v>535</v>
      </c>
      <c r="O85" s="80">
        <f t="shared" si="16"/>
        <v>1790</v>
      </c>
      <c r="P85" s="80">
        <f>VLOOKUP(B85,'116+240'!$B$15:$AB$115,14,FALSE)</f>
        <v>-210</v>
      </c>
      <c r="Q85" s="89">
        <f>'116+240'!R86</f>
        <v>3</v>
      </c>
      <c r="R85" s="83">
        <f t="shared" si="21"/>
        <v>130</v>
      </c>
      <c r="S85" s="82">
        <f>VLOOKUP(B85,'116+240'!$B$14:$AB$115,22,FALSE)</f>
        <v>1516</v>
      </c>
      <c r="T85" s="81">
        <f>VLOOKUP(B85,'116+240'!$B$15:$AB$115,6,FALSE)</f>
        <v>439</v>
      </c>
      <c r="U85" s="80">
        <f t="shared" si="17"/>
        <v>1886</v>
      </c>
      <c r="V85" s="79">
        <f>VLOOKUP(B85,'116+240'!$B$15:$AB$115,15,FALSE)</f>
        <v>-114</v>
      </c>
      <c r="W85" s="89">
        <f>'116+240'!S86</f>
        <v>0</v>
      </c>
      <c r="X85" s="83">
        <f t="shared" si="22"/>
        <v>84</v>
      </c>
      <c r="Y85" s="78">
        <f t="shared" si="23"/>
        <v>0</v>
      </c>
      <c r="Z85" s="77">
        <f t="shared" si="24"/>
        <v>0</v>
      </c>
      <c r="AA85" s="76">
        <f t="shared" si="25"/>
        <v>1.6179999999999999</v>
      </c>
      <c r="AB85" s="76">
        <f t="shared" si="26"/>
        <v>1.42</v>
      </c>
      <c r="AC85" s="65"/>
      <c r="AD85" s="65"/>
      <c r="AE85" s="65"/>
      <c r="AF85" s="65"/>
    </row>
    <row r="86" spans="1:32" s="91" customFormat="1" ht="15" customHeight="1">
      <c r="A86" s="96">
        <v>42337</v>
      </c>
      <c r="B86" s="90">
        <f>'116+240'!B87</f>
        <v>45354</v>
      </c>
      <c r="C86" s="87">
        <f t="shared" si="18"/>
        <v>1</v>
      </c>
      <c r="D86" s="86">
        <f t="shared" si="19"/>
        <v>844</v>
      </c>
      <c r="E86" s="85">
        <f>VLOOKUP(B86,'116+240'!B87:AB188,3,FALSE)</f>
        <v>1479</v>
      </c>
      <c r="F86" s="81">
        <f t="shared" si="14"/>
        <v>2323</v>
      </c>
      <c r="G86" s="84">
        <f>VLOOKUP(B86,'116+240'!$B$15:$AB$115,20,FALSE)</f>
        <v>1383</v>
      </c>
      <c r="H86" s="84">
        <f>VLOOKUP(B86,'116+240'!$B$15:$AB$115,4,FALSE)</f>
        <v>500</v>
      </c>
      <c r="I86" s="80">
        <f t="shared" si="15"/>
        <v>1823</v>
      </c>
      <c r="J86" s="80">
        <f>VLOOKUP(B86,'116+240'!$B$15:$AB$115,13,FALSE)</f>
        <v>-177</v>
      </c>
      <c r="K86" s="89">
        <f>'116+240'!Q87</f>
        <v>3</v>
      </c>
      <c r="L86" s="83">
        <f t="shared" si="20"/>
        <v>217</v>
      </c>
      <c r="M86" s="82">
        <f>VLOOKUP(B86,'116+240'!$B$14:$AB$115,21,FALSE)</f>
        <v>1470</v>
      </c>
      <c r="N86" s="81">
        <f>VLOOKUP(B86,'116+240'!$B$15:$AB$115,5,FALSE)</f>
        <v>533</v>
      </c>
      <c r="O86" s="80">
        <f t="shared" si="16"/>
        <v>1790</v>
      </c>
      <c r="P86" s="80">
        <f>VLOOKUP(B86,'116+240'!$B$15:$AB$115,14,FALSE)</f>
        <v>-210</v>
      </c>
      <c r="Q86" s="89">
        <f>'116+240'!R87</f>
        <v>0</v>
      </c>
      <c r="R86" s="83">
        <f t="shared" si="21"/>
        <v>130</v>
      </c>
      <c r="S86" s="82">
        <f>VLOOKUP(B86,'116+240'!$B$14:$AB$115,22,FALSE)</f>
        <v>1516</v>
      </c>
      <c r="T86" s="81">
        <f>VLOOKUP(B86,'116+240'!$B$15:$AB$115,6,FALSE)</f>
        <v>437</v>
      </c>
      <c r="U86" s="80">
        <f t="shared" si="17"/>
        <v>1886</v>
      </c>
      <c r="V86" s="79">
        <f>VLOOKUP(B86,'116+240'!$B$15:$AB$115,15,FALSE)</f>
        <v>-114</v>
      </c>
      <c r="W86" s="89">
        <f>'116+240'!S87</f>
        <v>0</v>
      </c>
      <c r="X86" s="83">
        <f t="shared" si="22"/>
        <v>84</v>
      </c>
      <c r="Y86" s="78">
        <f t="shared" si="23"/>
        <v>0</v>
      </c>
      <c r="Z86" s="77">
        <f t="shared" si="24"/>
        <v>0</v>
      </c>
      <c r="AA86" s="76">
        <f t="shared" si="25"/>
        <v>1.6179999999999999</v>
      </c>
      <c r="AB86" s="76">
        <f t="shared" si="26"/>
        <v>1.42</v>
      </c>
      <c r="AC86" s="65"/>
      <c r="AD86" s="65"/>
      <c r="AE86" s="65"/>
      <c r="AF86" s="65"/>
    </row>
    <row r="87" spans="1:32" s="91" customFormat="1" ht="15" customHeight="1">
      <c r="A87" s="96">
        <v>42340</v>
      </c>
      <c r="B87" s="90">
        <f>'116+240'!B88</f>
        <v>45355</v>
      </c>
      <c r="C87" s="87">
        <f t="shared" si="18"/>
        <v>1</v>
      </c>
      <c r="D87" s="86">
        <f t="shared" si="19"/>
        <v>844</v>
      </c>
      <c r="E87" s="85">
        <f>VLOOKUP(B87,'116+240'!B88:AB189,3,FALSE)</f>
        <v>1477</v>
      </c>
      <c r="F87" s="81">
        <f t="shared" si="14"/>
        <v>2321</v>
      </c>
      <c r="G87" s="84">
        <f>VLOOKUP(B87,'116+240'!$B$15:$AB$115,20,FALSE)</f>
        <v>1679</v>
      </c>
      <c r="H87" s="84">
        <f>VLOOKUP(B87,'116+240'!$B$15:$AB$115,4,FALSE)</f>
        <v>502</v>
      </c>
      <c r="I87" s="80">
        <f t="shared" si="15"/>
        <v>1819</v>
      </c>
      <c r="J87" s="80">
        <f>VLOOKUP(B87,'116+240'!$B$15:$AB$115,13,FALSE)</f>
        <v>-181</v>
      </c>
      <c r="K87" s="89">
        <f>'116+240'!Q88</f>
        <v>4</v>
      </c>
      <c r="L87" s="83">
        <f t="shared" si="20"/>
        <v>221</v>
      </c>
      <c r="M87" s="82">
        <f>VLOOKUP(B87,'116+240'!$B$14:$AB$115,21,FALSE)</f>
        <v>1770</v>
      </c>
      <c r="N87" s="81">
        <f>VLOOKUP(B87,'116+240'!$B$15:$AB$115,5,FALSE)</f>
        <v>531</v>
      </c>
      <c r="O87" s="80">
        <f t="shared" si="16"/>
        <v>1790</v>
      </c>
      <c r="P87" s="80">
        <f>VLOOKUP(B87,'116+240'!$B$15:$AB$115,14,FALSE)</f>
        <v>-210</v>
      </c>
      <c r="Q87" s="89">
        <f>'116+240'!R88</f>
        <v>0</v>
      </c>
      <c r="R87" s="83">
        <f t="shared" si="21"/>
        <v>130</v>
      </c>
      <c r="S87" s="82">
        <f>VLOOKUP(B87,'116+240'!$B$14:$AB$115,22,FALSE)</f>
        <v>1816</v>
      </c>
      <c r="T87" s="81">
        <f>VLOOKUP(B87,'116+240'!$B$15:$AB$115,6,FALSE)</f>
        <v>435</v>
      </c>
      <c r="U87" s="80">
        <f t="shared" si="17"/>
        <v>1886</v>
      </c>
      <c r="V87" s="79">
        <f>VLOOKUP(B87,'116+240'!$B$15:$AB$115,15,FALSE)</f>
        <v>-114</v>
      </c>
      <c r="W87" s="89">
        <f>'116+240'!S88</f>
        <v>0</v>
      </c>
      <c r="X87" s="83">
        <f t="shared" si="22"/>
        <v>84</v>
      </c>
      <c r="Y87" s="78">
        <f t="shared" si="23"/>
        <v>300</v>
      </c>
      <c r="Z87" s="77">
        <f t="shared" si="24"/>
        <v>0.3</v>
      </c>
      <c r="AA87" s="76">
        <f t="shared" si="25"/>
        <v>1.9179999999999999</v>
      </c>
      <c r="AB87" s="76">
        <f t="shared" si="26"/>
        <v>1.72</v>
      </c>
      <c r="AC87" s="65"/>
      <c r="AD87" s="65"/>
      <c r="AE87" s="65"/>
      <c r="AF87" s="65"/>
    </row>
    <row r="88" spans="1:32" s="91" customFormat="1" ht="15" customHeight="1">
      <c r="A88" s="96">
        <v>42343</v>
      </c>
      <c r="B88" s="90">
        <f>'116+240'!B89</f>
        <v>45356</v>
      </c>
      <c r="C88" s="87">
        <f t="shared" si="18"/>
        <v>1</v>
      </c>
      <c r="D88" s="86">
        <f t="shared" si="19"/>
        <v>844</v>
      </c>
      <c r="E88" s="85">
        <f>VLOOKUP(B88,'116+240'!B89:AB190,3,FALSE)</f>
        <v>1475</v>
      </c>
      <c r="F88" s="81">
        <f t="shared" si="14"/>
        <v>2319</v>
      </c>
      <c r="G88" s="84">
        <f>VLOOKUP(B88,'116+240'!$B$15:$AB$115,20,FALSE)</f>
        <v>1676</v>
      </c>
      <c r="H88" s="84">
        <f>VLOOKUP(B88,'116+240'!$B$15:$AB$115,4,FALSE)</f>
        <v>503</v>
      </c>
      <c r="I88" s="80">
        <f t="shared" si="15"/>
        <v>1816</v>
      </c>
      <c r="J88" s="80">
        <f>VLOOKUP(B88,'116+240'!$B$15:$AB$115,13,FALSE)</f>
        <v>-184</v>
      </c>
      <c r="K88" s="89">
        <f>'116+240'!Q89</f>
        <v>3</v>
      </c>
      <c r="L88" s="83">
        <f t="shared" si="20"/>
        <v>224</v>
      </c>
      <c r="M88" s="82">
        <f>VLOOKUP(B88,'116+240'!$B$14:$AB$115,21,FALSE)</f>
        <v>1769</v>
      </c>
      <c r="N88" s="81">
        <f>VLOOKUP(B88,'116+240'!$B$15:$AB$115,5,FALSE)</f>
        <v>530</v>
      </c>
      <c r="O88" s="80">
        <f t="shared" si="16"/>
        <v>1789</v>
      </c>
      <c r="P88" s="80">
        <f>VLOOKUP(B88,'116+240'!$B$15:$AB$115,14,FALSE)</f>
        <v>-211</v>
      </c>
      <c r="Q88" s="89">
        <f>'116+240'!R89</f>
        <v>1</v>
      </c>
      <c r="R88" s="83">
        <f t="shared" si="21"/>
        <v>131</v>
      </c>
      <c r="S88" s="82">
        <f>VLOOKUP(B88,'116+240'!$B$14:$AB$115,22,FALSE)</f>
        <v>1816</v>
      </c>
      <c r="T88" s="81">
        <f>VLOOKUP(B88,'116+240'!$B$15:$AB$115,6,FALSE)</f>
        <v>433</v>
      </c>
      <c r="U88" s="80">
        <f t="shared" si="17"/>
        <v>1886</v>
      </c>
      <c r="V88" s="79">
        <f>VLOOKUP(B88,'116+240'!$B$15:$AB$115,15,FALSE)</f>
        <v>-114</v>
      </c>
      <c r="W88" s="89">
        <f>'116+240'!S89</f>
        <v>0</v>
      </c>
      <c r="X88" s="83">
        <f t="shared" si="22"/>
        <v>84</v>
      </c>
      <c r="Y88" s="78">
        <f t="shared" si="23"/>
        <v>0</v>
      </c>
      <c r="Z88" s="77">
        <f t="shared" si="24"/>
        <v>0</v>
      </c>
      <c r="AA88" s="76">
        <f t="shared" si="25"/>
        <v>1.9179999999999999</v>
      </c>
      <c r="AB88" s="76">
        <f t="shared" si="26"/>
        <v>1.718</v>
      </c>
      <c r="AC88" s="65"/>
      <c r="AD88" s="65"/>
      <c r="AE88" s="65"/>
      <c r="AF88" s="65"/>
    </row>
    <row r="89" spans="1:32" s="91" customFormat="1" ht="15" customHeight="1">
      <c r="A89" s="96" t="s">
        <v>46</v>
      </c>
      <c r="B89" s="90">
        <f>'116+240'!B90</f>
        <v>45357</v>
      </c>
      <c r="C89" s="87">
        <f t="shared" si="18"/>
        <v>1</v>
      </c>
      <c r="D89" s="86">
        <f t="shared" si="19"/>
        <v>844</v>
      </c>
      <c r="E89" s="85">
        <f>VLOOKUP(B89,'116+240'!B90:AB191,3,FALSE)</f>
        <v>1473</v>
      </c>
      <c r="F89" s="81">
        <f t="shared" si="14"/>
        <v>2317</v>
      </c>
      <c r="G89" s="84">
        <f>VLOOKUP(B89,'116+240'!$B$15:$AB$115,20,FALSE)</f>
        <v>1667</v>
      </c>
      <c r="H89" s="84">
        <f>VLOOKUP(B89,'116+240'!$B$15:$AB$115,4,FALSE)</f>
        <v>510</v>
      </c>
      <c r="I89" s="80">
        <f t="shared" si="15"/>
        <v>1807</v>
      </c>
      <c r="J89" s="80">
        <f>VLOOKUP(B89,'116+240'!$B$15:$AB$115,13,FALSE)</f>
        <v>-193</v>
      </c>
      <c r="K89" s="89">
        <f>'116+240'!Q90</f>
        <v>9</v>
      </c>
      <c r="L89" s="83">
        <f t="shared" si="20"/>
        <v>233</v>
      </c>
      <c r="M89" s="82">
        <f>VLOOKUP(B89,'116+240'!$B$14:$AB$115,21,FALSE)</f>
        <v>1767</v>
      </c>
      <c r="N89" s="81">
        <f>VLOOKUP(B89,'116+240'!$B$15:$AB$115,5,FALSE)</f>
        <v>530</v>
      </c>
      <c r="O89" s="80">
        <f t="shared" si="16"/>
        <v>1787</v>
      </c>
      <c r="P89" s="80">
        <f>VLOOKUP(B89,'116+240'!$B$15:$AB$115,14,FALSE)</f>
        <v>-213</v>
      </c>
      <c r="Q89" s="89">
        <f>'116+240'!R90</f>
        <v>2</v>
      </c>
      <c r="R89" s="83">
        <f t="shared" si="21"/>
        <v>133</v>
      </c>
      <c r="S89" s="82">
        <f>VLOOKUP(B89,'116+240'!$B$14:$AB$115,22,FALSE)</f>
        <v>1816</v>
      </c>
      <c r="T89" s="81">
        <f>VLOOKUP(B89,'116+240'!$B$15:$AB$115,6,FALSE)</f>
        <v>431</v>
      </c>
      <c r="U89" s="80">
        <f t="shared" si="17"/>
        <v>1886</v>
      </c>
      <c r="V89" s="79">
        <f>VLOOKUP(B89,'116+240'!$B$15:$AB$115,15,FALSE)</f>
        <v>-114</v>
      </c>
      <c r="W89" s="89">
        <f>'116+240'!S90</f>
        <v>0</v>
      </c>
      <c r="X89" s="83">
        <f t="shared" si="22"/>
        <v>84</v>
      </c>
      <c r="Y89" s="78">
        <f t="shared" si="23"/>
        <v>0</v>
      </c>
      <c r="Z89" s="77">
        <f t="shared" si="24"/>
        <v>0</v>
      </c>
      <c r="AA89" s="76">
        <f t="shared" si="25"/>
        <v>1.9179999999999999</v>
      </c>
      <c r="AB89" s="76">
        <f t="shared" si="26"/>
        <v>1.714</v>
      </c>
      <c r="AC89" s="65"/>
      <c r="AD89" s="65"/>
      <c r="AE89" s="65"/>
      <c r="AF89" s="65"/>
    </row>
    <row r="90" spans="1:32" s="91" customFormat="1" ht="15" customHeight="1">
      <c r="A90" s="96">
        <v>42349</v>
      </c>
      <c r="B90" s="90">
        <f>'116+240'!B91</f>
        <v>45358</v>
      </c>
      <c r="C90" s="87">
        <f t="shared" si="18"/>
        <v>1</v>
      </c>
      <c r="D90" s="86">
        <f t="shared" si="19"/>
        <v>844</v>
      </c>
      <c r="E90" s="85">
        <f>VLOOKUP(B90,'116+240'!B91:AB192,3,FALSE)</f>
        <v>1471</v>
      </c>
      <c r="F90" s="81">
        <f t="shared" si="14"/>
        <v>2315</v>
      </c>
      <c r="G90" s="84">
        <f>VLOOKUP(B90,'116+240'!$B$15:$AB$115,20,FALSE)</f>
        <v>1665</v>
      </c>
      <c r="H90" s="84">
        <f>VLOOKUP(B90,'116+240'!$B$15:$AB$115,4,FALSE)</f>
        <v>-490</v>
      </c>
      <c r="I90" s="80">
        <f t="shared" si="15"/>
        <v>2805</v>
      </c>
      <c r="J90" s="80">
        <f>VLOOKUP(B90,'116+240'!$B$15:$AB$115,13,FALSE)</f>
        <v>-195</v>
      </c>
      <c r="K90" s="89">
        <f>'116+240'!Q91</f>
        <v>2</v>
      </c>
      <c r="L90" s="83">
        <f t="shared" si="20"/>
        <v>235</v>
      </c>
      <c r="M90" s="82">
        <f>VLOOKUP(B90,'116+240'!$B$14:$AB$115,21,FALSE)</f>
        <v>1767</v>
      </c>
      <c r="N90" s="81">
        <f>VLOOKUP(B90,'116+240'!$B$15:$AB$115,5,FALSE)</f>
        <v>-472</v>
      </c>
      <c r="O90" s="80">
        <f t="shared" si="16"/>
        <v>2787</v>
      </c>
      <c r="P90" s="80">
        <f>VLOOKUP(B90,'116+240'!$B$15:$AB$115,14,FALSE)</f>
        <v>-213</v>
      </c>
      <c r="Q90" s="89">
        <f>'116+240'!R91</f>
        <v>0</v>
      </c>
      <c r="R90" s="83">
        <f t="shared" si="21"/>
        <v>133</v>
      </c>
      <c r="S90" s="82">
        <f>VLOOKUP(B90,'116+240'!$B$14:$AB$115,22,FALSE)</f>
        <v>1816</v>
      </c>
      <c r="T90" s="81">
        <f>VLOOKUP(B90,'116+240'!$B$15:$AB$115,6,FALSE)</f>
        <v>-571</v>
      </c>
      <c r="U90" s="80">
        <f t="shared" si="17"/>
        <v>2886</v>
      </c>
      <c r="V90" s="79">
        <f>VLOOKUP(B90,'116+240'!$B$15:$AB$115,15,FALSE)</f>
        <v>-114</v>
      </c>
      <c r="W90" s="89">
        <f>'116+240'!S91</f>
        <v>0</v>
      </c>
      <c r="X90" s="83">
        <f t="shared" si="22"/>
        <v>84</v>
      </c>
      <c r="Y90" s="78">
        <f t="shared" si="23"/>
        <v>0</v>
      </c>
      <c r="Z90" s="77">
        <f t="shared" si="24"/>
        <v>0</v>
      </c>
      <c r="AA90" s="76">
        <f t="shared" si="25"/>
        <v>1.9179999999999999</v>
      </c>
      <c r="AB90" s="76">
        <f t="shared" si="26"/>
        <v>1.714</v>
      </c>
      <c r="AC90" s="65"/>
      <c r="AD90" s="65"/>
      <c r="AE90" s="65"/>
      <c r="AF90" s="65"/>
    </row>
    <row r="91" spans="1:32" s="91" customFormat="1" ht="15" customHeight="1">
      <c r="A91" s="96">
        <v>42352</v>
      </c>
      <c r="B91" s="90">
        <f>'116+240'!B92</f>
        <v>45359</v>
      </c>
      <c r="C91" s="87">
        <f t="shared" si="18"/>
        <v>1</v>
      </c>
      <c r="D91" s="86">
        <f t="shared" si="19"/>
        <v>844</v>
      </c>
      <c r="E91" s="85">
        <f>VLOOKUP(B91,'116+240'!B92:AB193,3,FALSE)</f>
        <v>1469</v>
      </c>
      <c r="F91" s="81">
        <f t="shared" si="14"/>
        <v>2313</v>
      </c>
      <c r="G91" s="84">
        <f>VLOOKUP(B91,'116+240'!$B$15:$AB$115,20,FALSE)</f>
        <v>1661</v>
      </c>
      <c r="H91" s="84">
        <f>VLOOKUP(B91,'116+240'!$B$15:$AB$115,4,FALSE)</f>
        <v>-488</v>
      </c>
      <c r="I91" s="80">
        <f t="shared" si="15"/>
        <v>2801</v>
      </c>
      <c r="J91" s="80">
        <f>VLOOKUP(B91,'116+240'!$B$15:$AB$115,13,FALSE)</f>
        <v>-199</v>
      </c>
      <c r="K91" s="89">
        <f>'116+240'!Q92</f>
        <v>4</v>
      </c>
      <c r="L91" s="83">
        <f t="shared" si="20"/>
        <v>239</v>
      </c>
      <c r="M91" s="82">
        <f>VLOOKUP(B91,'116+240'!$B$14:$AB$115,21,FALSE)</f>
        <v>1767</v>
      </c>
      <c r="N91" s="81">
        <f>VLOOKUP(B91,'116+240'!$B$15:$AB$115,5,FALSE)</f>
        <v>-474</v>
      </c>
      <c r="O91" s="80">
        <f t="shared" si="16"/>
        <v>2787</v>
      </c>
      <c r="P91" s="80">
        <f>VLOOKUP(B91,'116+240'!$B$15:$AB$115,14,FALSE)</f>
        <v>-213</v>
      </c>
      <c r="Q91" s="89">
        <f>'116+240'!R92</f>
        <v>0</v>
      </c>
      <c r="R91" s="83">
        <f t="shared" si="21"/>
        <v>133</v>
      </c>
      <c r="S91" s="82">
        <f>VLOOKUP(B91,'116+240'!$B$14:$AB$115,22,FALSE)</f>
        <v>1816</v>
      </c>
      <c r="T91" s="81">
        <f>VLOOKUP(B91,'116+240'!$B$15:$AB$115,6,FALSE)</f>
        <v>-573</v>
      </c>
      <c r="U91" s="80">
        <f t="shared" si="17"/>
        <v>2886</v>
      </c>
      <c r="V91" s="79">
        <f>VLOOKUP(B91,'116+240'!$B$15:$AB$115,15,FALSE)</f>
        <v>-114</v>
      </c>
      <c r="W91" s="89">
        <f>'116+240'!S92</f>
        <v>0</v>
      </c>
      <c r="X91" s="83">
        <f t="shared" si="22"/>
        <v>84</v>
      </c>
      <c r="Y91" s="78">
        <f t="shared" si="23"/>
        <v>0</v>
      </c>
      <c r="Z91" s="77">
        <f t="shared" si="24"/>
        <v>0</v>
      </c>
      <c r="AA91" s="76">
        <f t="shared" si="25"/>
        <v>1.9179999999999999</v>
      </c>
      <c r="AB91" s="76">
        <f t="shared" si="26"/>
        <v>1.714</v>
      </c>
      <c r="AC91" s="65"/>
      <c r="AD91" s="65"/>
      <c r="AE91" s="65"/>
      <c r="AF91" s="65"/>
    </row>
    <row r="92" spans="1:32" s="91" customFormat="1" ht="15" customHeight="1">
      <c r="A92" s="96">
        <v>42353</v>
      </c>
      <c r="B92" s="90">
        <f>'116+240'!B93</f>
        <v>45360</v>
      </c>
      <c r="C92" s="87">
        <f t="shared" si="18"/>
        <v>1</v>
      </c>
      <c r="D92" s="86">
        <f t="shared" si="19"/>
        <v>844</v>
      </c>
      <c r="E92" s="85">
        <f>VLOOKUP(B92,'116+240'!B93:AB194,3,FALSE)</f>
        <v>1467</v>
      </c>
      <c r="F92" s="81">
        <f t="shared" si="14"/>
        <v>2311</v>
      </c>
      <c r="G92" s="84">
        <f>VLOOKUP(B92,'116+240'!$B$15:$AB$115,20,FALSE)</f>
        <v>1658</v>
      </c>
      <c r="H92" s="84">
        <f>VLOOKUP(B92,'116+240'!$B$15:$AB$115,4,FALSE)</f>
        <v>-487</v>
      </c>
      <c r="I92" s="80">
        <f t="shared" si="15"/>
        <v>2798</v>
      </c>
      <c r="J92" s="80">
        <f>VLOOKUP(B92,'116+240'!$B$15:$AB$115,13,FALSE)</f>
        <v>-202</v>
      </c>
      <c r="K92" s="89">
        <f>'116+240'!Q93</f>
        <v>3</v>
      </c>
      <c r="L92" s="83">
        <f t="shared" si="20"/>
        <v>242</v>
      </c>
      <c r="M92" s="82">
        <f>VLOOKUP(B92,'116+240'!$B$14:$AB$115,21,FALSE)</f>
        <v>1764</v>
      </c>
      <c r="N92" s="81">
        <f>VLOOKUP(B92,'116+240'!$B$15:$AB$115,5,FALSE)</f>
        <v>-473</v>
      </c>
      <c r="O92" s="80">
        <f t="shared" si="16"/>
        <v>2784</v>
      </c>
      <c r="P92" s="80">
        <f>VLOOKUP(B92,'116+240'!$B$15:$AB$115,14,FALSE)</f>
        <v>-216</v>
      </c>
      <c r="Q92" s="89">
        <f>'116+240'!R93</f>
        <v>3</v>
      </c>
      <c r="R92" s="83">
        <f t="shared" si="21"/>
        <v>136</v>
      </c>
      <c r="S92" s="82">
        <f>VLOOKUP(B92,'116+240'!$B$14:$AB$115,22,FALSE)</f>
        <v>1816</v>
      </c>
      <c r="T92" s="81">
        <f>VLOOKUP(B92,'116+240'!$B$15:$AB$115,6,FALSE)</f>
        <v>-575</v>
      </c>
      <c r="U92" s="80">
        <f t="shared" si="17"/>
        <v>2886</v>
      </c>
      <c r="V92" s="79">
        <f>VLOOKUP(B92,'116+240'!$B$15:$AB$115,15,FALSE)</f>
        <v>-114</v>
      </c>
      <c r="W92" s="89">
        <f>'116+240'!S93</f>
        <v>0</v>
      </c>
      <c r="X92" s="83">
        <f t="shared" si="22"/>
        <v>84</v>
      </c>
      <c r="Y92" s="78">
        <f t="shared" si="23"/>
        <v>0</v>
      </c>
      <c r="Z92" s="77">
        <f t="shared" si="24"/>
        <v>0</v>
      </c>
      <c r="AA92" s="76">
        <f t="shared" si="25"/>
        <v>1.9179999999999999</v>
      </c>
      <c r="AB92" s="76">
        <f t="shared" si="26"/>
        <v>1.708</v>
      </c>
      <c r="AC92" s="65"/>
      <c r="AD92" s="65"/>
      <c r="AE92" s="65"/>
      <c r="AF92" s="65"/>
    </row>
    <row r="93" spans="1:32" s="91" customFormat="1" ht="15" customHeight="1" thickBot="1">
      <c r="A93" s="95">
        <v>42353</v>
      </c>
      <c r="B93" s="90">
        <f>'116+240'!B94</f>
        <v>45361</v>
      </c>
      <c r="C93" s="87">
        <f t="shared" si="18"/>
        <v>1</v>
      </c>
      <c r="D93" s="86">
        <f t="shared" si="19"/>
        <v>844</v>
      </c>
      <c r="E93" s="85">
        <f>VLOOKUP(B93,'116+240'!B94:AB195,3,FALSE)</f>
        <v>1465</v>
      </c>
      <c r="F93" s="81">
        <f t="shared" si="14"/>
        <v>2309</v>
      </c>
      <c r="G93" s="84">
        <f>VLOOKUP(B93,'116+240'!$B$15:$AB$115,20,FALSE)</f>
        <v>1655</v>
      </c>
      <c r="H93" s="84">
        <f>VLOOKUP(B93,'116+240'!$B$15:$AB$115,4,FALSE)</f>
        <v>-486</v>
      </c>
      <c r="I93" s="80">
        <f t="shared" si="15"/>
        <v>2795</v>
      </c>
      <c r="J93" s="80">
        <f>VLOOKUP(B93,'116+240'!$B$15:$AB$115,13,FALSE)</f>
        <v>-205</v>
      </c>
      <c r="K93" s="89">
        <f>'116+240'!Q94</f>
        <v>3</v>
      </c>
      <c r="L93" s="83">
        <f t="shared" si="20"/>
        <v>245</v>
      </c>
      <c r="M93" s="82">
        <f>VLOOKUP(B93,'116+240'!$B$14:$AB$115,21,FALSE)</f>
        <v>1764</v>
      </c>
      <c r="N93" s="81">
        <f>VLOOKUP(B93,'116+240'!$B$15:$AB$115,5,FALSE)</f>
        <v>-475</v>
      </c>
      <c r="O93" s="80">
        <f t="shared" si="16"/>
        <v>2784</v>
      </c>
      <c r="P93" s="80">
        <f>VLOOKUP(B93,'116+240'!$B$15:$AB$115,14,FALSE)</f>
        <v>-216</v>
      </c>
      <c r="Q93" s="89">
        <f>'116+240'!R94</f>
        <v>0</v>
      </c>
      <c r="R93" s="83">
        <f t="shared" si="21"/>
        <v>136</v>
      </c>
      <c r="S93" s="82">
        <f>VLOOKUP(B93,'116+240'!$B$14:$AB$115,22,FALSE)</f>
        <v>1816</v>
      </c>
      <c r="T93" s="81">
        <f>VLOOKUP(B93,'116+240'!$B$15:$AB$115,6,FALSE)</f>
        <v>-577</v>
      </c>
      <c r="U93" s="80">
        <f t="shared" si="17"/>
        <v>2886</v>
      </c>
      <c r="V93" s="79">
        <f>VLOOKUP(B93,'116+240'!$B$15:$AB$115,15,FALSE)</f>
        <v>-114</v>
      </c>
      <c r="W93" s="89">
        <f>'116+240'!S94</f>
        <v>0</v>
      </c>
      <c r="X93" s="83">
        <f t="shared" si="22"/>
        <v>84</v>
      </c>
      <c r="Y93" s="78">
        <f t="shared" si="23"/>
        <v>0</v>
      </c>
      <c r="Z93" s="77">
        <f t="shared" si="24"/>
        <v>0</v>
      </c>
      <c r="AA93" s="76">
        <f t="shared" si="25"/>
        <v>1.9179999999999999</v>
      </c>
      <c r="AB93" s="76">
        <f t="shared" si="26"/>
        <v>1.708</v>
      </c>
      <c r="AC93" s="65"/>
      <c r="AD93" s="65"/>
      <c r="AE93" s="65"/>
      <c r="AF93" s="65"/>
    </row>
    <row r="94" spans="1:32" s="91" customFormat="1" ht="15" customHeight="1" thickTop="1">
      <c r="A94" s="92"/>
      <c r="B94" s="90">
        <f>'116+240'!B95</f>
        <v>45362</v>
      </c>
      <c r="C94" s="87">
        <f t="shared" si="18"/>
        <v>1</v>
      </c>
      <c r="D94" s="86">
        <f t="shared" si="19"/>
        <v>844</v>
      </c>
      <c r="E94" s="85">
        <f>VLOOKUP(B94,'116+240'!B95:AB196,3,FALSE)</f>
        <v>1463</v>
      </c>
      <c r="F94" s="81">
        <f t="shared" si="14"/>
        <v>2307</v>
      </c>
      <c r="G94" s="84">
        <f>VLOOKUP(B94,'116+240'!$B$15:$AB$115,20,FALSE)</f>
        <v>1646</v>
      </c>
      <c r="H94" s="84">
        <f>VLOOKUP(B94,'116+240'!$B$15:$AB$115,4,FALSE)</f>
        <v>-479</v>
      </c>
      <c r="I94" s="80">
        <f t="shared" si="15"/>
        <v>2786</v>
      </c>
      <c r="J94" s="80">
        <f>VLOOKUP(B94,'116+240'!$B$15:$AB$115,13,FALSE)</f>
        <v>-214</v>
      </c>
      <c r="K94" s="89">
        <f>'116+240'!Q95</f>
        <v>9</v>
      </c>
      <c r="L94" s="83">
        <f t="shared" si="20"/>
        <v>254</v>
      </c>
      <c r="M94" s="82">
        <f>VLOOKUP(B94,'116+240'!$B$14:$AB$115,21,FALSE)</f>
        <v>1764</v>
      </c>
      <c r="N94" s="81">
        <f>VLOOKUP(B94,'116+240'!$B$15:$AB$115,5,FALSE)</f>
        <v>-477</v>
      </c>
      <c r="O94" s="80">
        <f t="shared" si="16"/>
        <v>2784</v>
      </c>
      <c r="P94" s="80">
        <f>VLOOKUP(B94,'116+240'!$B$15:$AB$115,14,FALSE)</f>
        <v>-216</v>
      </c>
      <c r="Q94" s="89">
        <f>'116+240'!R95</f>
        <v>0</v>
      </c>
      <c r="R94" s="83">
        <f t="shared" si="21"/>
        <v>136</v>
      </c>
      <c r="S94" s="82">
        <f>VLOOKUP(B94,'116+240'!$B$14:$AB$115,22,FALSE)</f>
        <v>1816</v>
      </c>
      <c r="T94" s="81">
        <f>VLOOKUP(B94,'116+240'!$B$15:$AB$115,6,FALSE)</f>
        <v>-579</v>
      </c>
      <c r="U94" s="80">
        <f t="shared" si="17"/>
        <v>2886</v>
      </c>
      <c r="V94" s="79">
        <f>VLOOKUP(B94,'116+240'!$B$15:$AB$115,15,FALSE)</f>
        <v>-114</v>
      </c>
      <c r="W94" s="89">
        <f>'116+240'!S95</f>
        <v>0</v>
      </c>
      <c r="X94" s="83">
        <f t="shared" si="22"/>
        <v>84</v>
      </c>
      <c r="Y94" s="78">
        <f t="shared" si="23"/>
        <v>0</v>
      </c>
      <c r="Z94" s="77">
        <f t="shared" si="24"/>
        <v>0</v>
      </c>
      <c r="AA94" s="76">
        <f t="shared" si="25"/>
        <v>1.9179999999999999</v>
      </c>
      <c r="AB94" s="76">
        <f t="shared" si="26"/>
        <v>1.708</v>
      </c>
      <c r="AC94" s="65"/>
      <c r="AD94" s="65"/>
      <c r="AE94" s="65"/>
      <c r="AF94" s="65"/>
    </row>
    <row r="95" spans="1:32" s="91" customFormat="1" ht="15" customHeight="1">
      <c r="A95" s="92"/>
      <c r="B95" s="90">
        <f>'116+240'!B96</f>
        <v>45363</v>
      </c>
      <c r="C95" s="87">
        <f t="shared" si="18"/>
        <v>1</v>
      </c>
      <c r="D95" s="86">
        <f t="shared" si="19"/>
        <v>844</v>
      </c>
      <c r="E95" s="85">
        <f>VLOOKUP(B95,'116+240'!B96:AB197,3,FALSE)</f>
        <v>1461</v>
      </c>
      <c r="F95" s="81">
        <f t="shared" si="14"/>
        <v>2305</v>
      </c>
      <c r="G95" s="84">
        <f>VLOOKUP(B95,'116+240'!$B$15:$AB$115,20,FALSE)</f>
        <v>1644</v>
      </c>
      <c r="H95" s="84">
        <f>VLOOKUP(B95,'116+240'!$B$15:$AB$115,4,FALSE)</f>
        <v>-479</v>
      </c>
      <c r="I95" s="80">
        <f t="shared" si="15"/>
        <v>2784</v>
      </c>
      <c r="J95" s="80">
        <f>VLOOKUP(B95,'116+240'!$B$15:$AB$115,13,FALSE)</f>
        <v>-216</v>
      </c>
      <c r="K95" s="89">
        <f>'116+240'!Q96</f>
        <v>2</v>
      </c>
      <c r="L95" s="83">
        <f t="shared" si="20"/>
        <v>256</v>
      </c>
      <c r="M95" s="82">
        <f>VLOOKUP(B95,'116+240'!$B$14:$AB$115,21,FALSE)</f>
        <v>1764</v>
      </c>
      <c r="N95" s="81">
        <f>VLOOKUP(B95,'116+240'!$B$15:$AB$115,5,FALSE)</f>
        <v>-479</v>
      </c>
      <c r="O95" s="80">
        <f t="shared" si="16"/>
        <v>2784</v>
      </c>
      <c r="P95" s="80">
        <f>VLOOKUP(B95,'116+240'!$B$15:$AB$115,14,FALSE)</f>
        <v>-216</v>
      </c>
      <c r="Q95" s="89">
        <f>'116+240'!R96</f>
        <v>0</v>
      </c>
      <c r="R95" s="83">
        <f t="shared" si="21"/>
        <v>136</v>
      </c>
      <c r="S95" s="82">
        <f>VLOOKUP(B95,'116+240'!$B$14:$AB$115,22,FALSE)</f>
        <v>1816</v>
      </c>
      <c r="T95" s="81">
        <f>VLOOKUP(B95,'116+240'!$B$15:$AB$115,6,FALSE)</f>
        <v>-581</v>
      </c>
      <c r="U95" s="80">
        <f t="shared" si="17"/>
        <v>2886</v>
      </c>
      <c r="V95" s="79">
        <f>VLOOKUP(B95,'116+240'!$B$15:$AB$115,15,FALSE)</f>
        <v>-114</v>
      </c>
      <c r="W95" s="89">
        <f>'116+240'!S96</f>
        <v>0</v>
      </c>
      <c r="X95" s="83">
        <f t="shared" si="22"/>
        <v>84</v>
      </c>
      <c r="Y95" s="78">
        <f t="shared" si="23"/>
        <v>0</v>
      </c>
      <c r="Z95" s="77">
        <f t="shared" si="24"/>
        <v>0</v>
      </c>
      <c r="AA95" s="76">
        <f t="shared" si="25"/>
        <v>1.9179999999999999</v>
      </c>
      <c r="AB95" s="76">
        <f t="shared" si="26"/>
        <v>1.708</v>
      </c>
      <c r="AC95" s="65"/>
      <c r="AD95" s="65"/>
      <c r="AE95" s="65"/>
      <c r="AF95" s="65"/>
    </row>
    <row r="96" spans="1:32" s="91" customFormat="1" ht="15" customHeight="1">
      <c r="A96" s="92"/>
      <c r="B96" s="90">
        <f>'116+240'!B97</f>
        <v>45364</v>
      </c>
      <c r="C96" s="87">
        <f t="shared" si="18"/>
        <v>1</v>
      </c>
      <c r="D96" s="86">
        <f t="shared" si="19"/>
        <v>844</v>
      </c>
      <c r="E96" s="85">
        <f>VLOOKUP(B96,'116+240'!B97:AB198,3,FALSE)</f>
        <v>1459</v>
      </c>
      <c r="F96" s="81">
        <f t="shared" si="14"/>
        <v>2303</v>
      </c>
      <c r="G96" s="84">
        <f>VLOOKUP(B96,'116+240'!$B$15:$AB$115,20,FALSE)</f>
        <v>1942</v>
      </c>
      <c r="H96" s="84">
        <f>VLOOKUP(B96,'116+240'!$B$15:$AB$115,4,FALSE)</f>
        <v>-479</v>
      </c>
      <c r="I96" s="80">
        <f t="shared" si="15"/>
        <v>2782</v>
      </c>
      <c r="J96" s="80">
        <f>VLOOKUP(B96,'116+240'!$B$15:$AB$115,13,FALSE)</f>
        <v>-218</v>
      </c>
      <c r="K96" s="89">
        <f>'116+240'!Q97</f>
        <v>2</v>
      </c>
      <c r="L96" s="83">
        <f t="shared" si="20"/>
        <v>258</v>
      </c>
      <c r="M96" s="82">
        <f>VLOOKUP(B96,'116+240'!$B$14:$AB$115,21,FALSE)</f>
        <v>2056</v>
      </c>
      <c r="N96" s="81">
        <f>VLOOKUP(B96,'116+240'!$B$15:$AB$115,5,FALSE)</f>
        <v>-473</v>
      </c>
      <c r="O96" s="80">
        <f t="shared" si="16"/>
        <v>2776</v>
      </c>
      <c r="P96" s="80">
        <f>VLOOKUP(B96,'116+240'!$B$15:$AB$115,14,FALSE)</f>
        <v>-224</v>
      </c>
      <c r="Q96" s="89">
        <f>'116+240'!R97</f>
        <v>8</v>
      </c>
      <c r="R96" s="83">
        <f t="shared" si="21"/>
        <v>144</v>
      </c>
      <c r="S96" s="82">
        <f>VLOOKUP(B96,'116+240'!$B$14:$AB$115,22,FALSE)</f>
        <v>2111</v>
      </c>
      <c r="T96" s="81">
        <f>VLOOKUP(B96,'116+240'!$B$15:$AB$115,6,FALSE)</f>
        <v>-578</v>
      </c>
      <c r="U96" s="80">
        <f t="shared" si="17"/>
        <v>2881</v>
      </c>
      <c r="V96" s="79">
        <f>VLOOKUP(B96,'116+240'!$B$15:$AB$115,15,FALSE)</f>
        <v>-119</v>
      </c>
      <c r="W96" s="89">
        <f>'116+240'!S97</f>
        <v>5</v>
      </c>
      <c r="X96" s="83">
        <f t="shared" si="22"/>
        <v>89</v>
      </c>
      <c r="Y96" s="78">
        <f t="shared" si="23"/>
        <v>295</v>
      </c>
      <c r="Z96" s="77">
        <f t="shared" si="24"/>
        <v>0.29499999999999998</v>
      </c>
      <c r="AA96" s="76">
        <f t="shared" si="25"/>
        <v>2.2130000000000001</v>
      </c>
      <c r="AB96" s="76">
        <f t="shared" si="26"/>
        <v>1.992</v>
      </c>
      <c r="AC96" s="65"/>
      <c r="AD96" s="65"/>
      <c r="AE96" s="65"/>
      <c r="AF96" s="65"/>
    </row>
    <row r="97" spans="1:32" s="93" customFormat="1" ht="15" customHeight="1">
      <c r="A97" s="92"/>
      <c r="B97" s="90">
        <f>'116+240'!B98</f>
        <v>45365</v>
      </c>
      <c r="C97" s="87">
        <f t="shared" si="18"/>
        <v>1</v>
      </c>
      <c r="D97" s="86">
        <f t="shared" si="19"/>
        <v>844</v>
      </c>
      <c r="E97" s="85">
        <f>VLOOKUP(B97,'116+240'!B98:AB199,3,FALSE)</f>
        <v>1457</v>
      </c>
      <c r="F97" s="81">
        <f t="shared" si="14"/>
        <v>2301</v>
      </c>
      <c r="G97" s="84">
        <f>VLOOKUP(B97,'116+240'!$B$15:$AB$115,20,FALSE)</f>
        <v>1940</v>
      </c>
      <c r="H97" s="84">
        <f>VLOOKUP(B97,'116+240'!$B$15:$AB$115,4,FALSE)</f>
        <v>-479</v>
      </c>
      <c r="I97" s="80">
        <f t="shared" si="15"/>
        <v>2780</v>
      </c>
      <c r="J97" s="80">
        <f>VLOOKUP(B97,'116+240'!$B$15:$AB$115,13,FALSE)</f>
        <v>-220</v>
      </c>
      <c r="K97" s="89">
        <f>'116+240'!Q98</f>
        <v>2</v>
      </c>
      <c r="L97" s="83">
        <f t="shared" si="20"/>
        <v>260</v>
      </c>
      <c r="M97" s="82">
        <f>VLOOKUP(B97,'116+240'!$B$14:$AB$115,21,FALSE)</f>
        <v>2054</v>
      </c>
      <c r="N97" s="81">
        <f>VLOOKUP(B97,'116+240'!$B$15:$AB$115,5,FALSE)</f>
        <v>-473</v>
      </c>
      <c r="O97" s="80">
        <f t="shared" si="16"/>
        <v>2774</v>
      </c>
      <c r="P97" s="80">
        <f>VLOOKUP(B97,'116+240'!$B$15:$AB$115,14,FALSE)</f>
        <v>-226</v>
      </c>
      <c r="Q97" s="89">
        <f>'116+240'!R98</f>
        <v>2</v>
      </c>
      <c r="R97" s="83">
        <f t="shared" si="21"/>
        <v>146</v>
      </c>
      <c r="S97" s="82">
        <f>VLOOKUP(B97,'116+240'!$B$14:$AB$115,22,FALSE)</f>
        <v>2110</v>
      </c>
      <c r="T97" s="81">
        <f>VLOOKUP(B97,'116+240'!$B$15:$AB$115,6,FALSE)</f>
        <v>-579</v>
      </c>
      <c r="U97" s="80">
        <f t="shared" si="17"/>
        <v>2880</v>
      </c>
      <c r="V97" s="79">
        <f>VLOOKUP(B97,'116+240'!$B$15:$AB$115,15,FALSE)</f>
        <v>-120</v>
      </c>
      <c r="W97" s="89">
        <f>'116+240'!S98</f>
        <v>1</v>
      </c>
      <c r="X97" s="83">
        <f t="shared" si="22"/>
        <v>90</v>
      </c>
      <c r="Y97" s="78">
        <f t="shared" si="23"/>
        <v>-1</v>
      </c>
      <c r="Z97" s="77">
        <f t="shared" si="24"/>
        <v>0</v>
      </c>
      <c r="AA97" s="76">
        <f t="shared" si="25"/>
        <v>2.2130000000000001</v>
      </c>
      <c r="AB97" s="76">
        <f t="shared" si="26"/>
        <v>1.988</v>
      </c>
      <c r="AC97" s="94"/>
      <c r="AD97" s="94"/>
      <c r="AE97" s="94"/>
      <c r="AF97" s="94"/>
    </row>
    <row r="98" spans="1:32" s="91" customFormat="1" ht="15" customHeight="1">
      <c r="A98" s="92"/>
      <c r="B98" s="90">
        <f>'116+240'!B99</f>
        <v>45366</v>
      </c>
      <c r="C98" s="87">
        <f t="shared" si="18"/>
        <v>1</v>
      </c>
      <c r="D98" s="86">
        <f t="shared" si="19"/>
        <v>844</v>
      </c>
      <c r="E98" s="85">
        <f>VLOOKUP(B98,'116+240'!B99:AB200,3,FALSE)</f>
        <v>1455</v>
      </c>
      <c r="F98" s="81">
        <f t="shared" si="14"/>
        <v>2299</v>
      </c>
      <c r="G98" s="84">
        <f>VLOOKUP(B98,'116+240'!$B$15:$AB$115,20,FALSE)</f>
        <v>1937</v>
      </c>
      <c r="H98" s="84">
        <f>VLOOKUP(B98,'116+240'!$B$15:$AB$115,4,FALSE)</f>
        <v>-478</v>
      </c>
      <c r="I98" s="80">
        <f t="shared" si="15"/>
        <v>2777</v>
      </c>
      <c r="J98" s="80">
        <f>VLOOKUP(B98,'116+240'!$B$15:$AB$115,13,FALSE)</f>
        <v>-223</v>
      </c>
      <c r="K98" s="89">
        <f>'116+240'!Q99</f>
        <v>3</v>
      </c>
      <c r="L98" s="83">
        <f t="shared" si="20"/>
        <v>263</v>
      </c>
      <c r="M98" s="82">
        <f>VLOOKUP(B98,'116+240'!$B$14:$AB$115,21,FALSE)</f>
        <v>2052</v>
      </c>
      <c r="N98" s="81">
        <f>VLOOKUP(B98,'116+240'!$B$15:$AB$115,5,FALSE)</f>
        <v>-473</v>
      </c>
      <c r="O98" s="80">
        <f t="shared" si="16"/>
        <v>2772</v>
      </c>
      <c r="P98" s="80">
        <f>VLOOKUP(B98,'116+240'!$B$15:$AB$115,14,FALSE)</f>
        <v>-228</v>
      </c>
      <c r="Q98" s="89">
        <f>'116+240'!R99</f>
        <v>2</v>
      </c>
      <c r="R98" s="83">
        <f t="shared" si="21"/>
        <v>148</v>
      </c>
      <c r="S98" s="82">
        <f>VLOOKUP(B98,'116+240'!$B$14:$AB$115,22,FALSE)</f>
        <v>2109</v>
      </c>
      <c r="T98" s="81">
        <f>VLOOKUP(B98,'116+240'!$B$15:$AB$115,6,FALSE)</f>
        <v>-580</v>
      </c>
      <c r="U98" s="80">
        <f t="shared" si="17"/>
        <v>2879</v>
      </c>
      <c r="V98" s="79">
        <f>VLOOKUP(B98,'116+240'!$B$15:$AB$115,15,FALSE)</f>
        <v>-121</v>
      </c>
      <c r="W98" s="89">
        <f>'116+240'!S99</f>
        <v>1</v>
      </c>
      <c r="X98" s="83">
        <f t="shared" si="22"/>
        <v>91</v>
      </c>
      <c r="Y98" s="78">
        <f t="shared" si="23"/>
        <v>-1</v>
      </c>
      <c r="Z98" s="77">
        <f t="shared" si="24"/>
        <v>0</v>
      </c>
      <c r="AA98" s="76">
        <f t="shared" si="25"/>
        <v>2.2130000000000001</v>
      </c>
      <c r="AB98" s="76">
        <f t="shared" si="26"/>
        <v>1.984</v>
      </c>
      <c r="AC98" s="65"/>
      <c r="AD98" s="65"/>
      <c r="AE98" s="65"/>
      <c r="AF98" s="65"/>
    </row>
    <row r="99" spans="1:32" s="91" customFormat="1" ht="15" customHeight="1">
      <c r="A99" s="92"/>
      <c r="B99" s="90">
        <f>'116+240'!B100</f>
        <v>45367</v>
      </c>
      <c r="C99" s="87">
        <f t="shared" si="18"/>
        <v>1</v>
      </c>
      <c r="D99" s="86">
        <f t="shared" si="19"/>
        <v>844</v>
      </c>
      <c r="E99" s="85">
        <f>VLOOKUP(B99,'116+240'!B100:AB201,3,FALSE)</f>
        <v>1453</v>
      </c>
      <c r="F99" s="81">
        <f t="shared" si="14"/>
        <v>2297</v>
      </c>
      <c r="G99" s="84">
        <f>VLOOKUP(B99,'116+240'!$B$15:$AB$115,20,FALSE)</f>
        <v>1933</v>
      </c>
      <c r="H99" s="84">
        <f>VLOOKUP(B99,'116+240'!$B$15:$AB$115,4,FALSE)</f>
        <v>-476</v>
      </c>
      <c r="I99" s="80">
        <f t="shared" si="15"/>
        <v>2773</v>
      </c>
      <c r="J99" s="80">
        <f>VLOOKUP(B99,'116+240'!$B$15:$AB$115,13,FALSE)</f>
        <v>-227</v>
      </c>
      <c r="K99" s="89">
        <f>'116+240'!Q100</f>
        <v>4</v>
      </c>
      <c r="L99" s="83">
        <f t="shared" si="20"/>
        <v>267</v>
      </c>
      <c r="M99" s="82">
        <f>VLOOKUP(B99,'116+240'!$B$14:$AB$115,21,FALSE)</f>
        <v>2050</v>
      </c>
      <c r="N99" s="81">
        <f>VLOOKUP(B99,'116+240'!$B$15:$AB$115,5,FALSE)</f>
        <v>-473</v>
      </c>
      <c r="O99" s="80">
        <f t="shared" si="16"/>
        <v>2770</v>
      </c>
      <c r="P99" s="80">
        <f>VLOOKUP(B99,'116+240'!$B$15:$AB$115,14,FALSE)</f>
        <v>-230</v>
      </c>
      <c r="Q99" s="89">
        <f>'116+240'!R100</f>
        <v>2</v>
      </c>
      <c r="R99" s="83">
        <f t="shared" si="21"/>
        <v>150</v>
      </c>
      <c r="S99" s="82">
        <f>VLOOKUP(B99,'116+240'!$B$14:$AB$115,22,FALSE)</f>
        <v>2107</v>
      </c>
      <c r="T99" s="81">
        <f>VLOOKUP(B99,'116+240'!$B$15:$AB$115,6,FALSE)</f>
        <v>-580</v>
      </c>
      <c r="U99" s="80">
        <f t="shared" si="17"/>
        <v>2877</v>
      </c>
      <c r="V99" s="79">
        <f>VLOOKUP(B99,'116+240'!$B$15:$AB$115,15,FALSE)</f>
        <v>-123</v>
      </c>
      <c r="W99" s="89">
        <f>'116+240'!S100</f>
        <v>2</v>
      </c>
      <c r="X99" s="83">
        <f t="shared" si="22"/>
        <v>93</v>
      </c>
      <c r="Y99" s="78">
        <f t="shared" si="23"/>
        <v>-2</v>
      </c>
      <c r="Z99" s="77">
        <f t="shared" si="24"/>
        <v>0</v>
      </c>
      <c r="AA99" s="76">
        <f t="shared" si="25"/>
        <v>2.2130000000000001</v>
      </c>
      <c r="AB99" s="76">
        <f t="shared" si="26"/>
        <v>1.98</v>
      </c>
      <c r="AC99" s="65"/>
      <c r="AD99" s="65"/>
      <c r="AE99" s="65"/>
      <c r="AF99" s="65"/>
    </row>
    <row r="100" spans="1:32" s="91" customFormat="1" ht="15" customHeight="1">
      <c r="A100" s="92"/>
      <c r="B100" s="90">
        <f>'116+240'!B101</f>
        <v>45368</v>
      </c>
      <c r="C100" s="87">
        <f t="shared" si="18"/>
        <v>1</v>
      </c>
      <c r="D100" s="86">
        <f t="shared" si="19"/>
        <v>844</v>
      </c>
      <c r="E100" s="85">
        <f>VLOOKUP(B100,'116+240'!B101:AB202,3,FALSE)</f>
        <v>1451</v>
      </c>
      <c r="F100" s="81">
        <f t="shared" si="14"/>
        <v>2295</v>
      </c>
      <c r="G100" s="84">
        <f>VLOOKUP(B100,'116+240'!$B$15:$AB$115,20,FALSE)</f>
        <v>1930</v>
      </c>
      <c r="H100" s="84">
        <f>VLOOKUP(B100,'116+240'!$B$15:$AB$115,4,FALSE)</f>
        <v>-475</v>
      </c>
      <c r="I100" s="80">
        <f t="shared" si="15"/>
        <v>2770</v>
      </c>
      <c r="J100" s="80">
        <f>VLOOKUP(B100,'116+240'!$B$15:$AB$115,13,FALSE)</f>
        <v>-230</v>
      </c>
      <c r="K100" s="89">
        <f>'116+240'!Q101</f>
        <v>3</v>
      </c>
      <c r="L100" s="83">
        <f t="shared" si="20"/>
        <v>270</v>
      </c>
      <c r="M100" s="82">
        <f>VLOOKUP(B100,'116+240'!$B$14:$AB$115,21,FALSE)</f>
        <v>2042</v>
      </c>
      <c r="N100" s="81">
        <f>VLOOKUP(B100,'116+240'!$B$15:$AB$115,5,FALSE)</f>
        <v>-467</v>
      </c>
      <c r="O100" s="80">
        <f t="shared" si="16"/>
        <v>2762</v>
      </c>
      <c r="P100" s="80">
        <f>VLOOKUP(B100,'116+240'!$B$15:$AB$115,14,FALSE)</f>
        <v>-238</v>
      </c>
      <c r="Q100" s="89">
        <f>'116+240'!R101</f>
        <v>8</v>
      </c>
      <c r="R100" s="83">
        <f t="shared" si="21"/>
        <v>158</v>
      </c>
      <c r="S100" s="82">
        <f>VLOOKUP(B100,'116+240'!$B$14:$AB$115,22,FALSE)</f>
        <v>2102</v>
      </c>
      <c r="T100" s="81">
        <f>VLOOKUP(B100,'116+240'!$B$15:$AB$115,6,FALSE)</f>
        <v>-577</v>
      </c>
      <c r="U100" s="80">
        <f t="shared" si="17"/>
        <v>2872</v>
      </c>
      <c r="V100" s="79">
        <f>VLOOKUP(B100,'116+240'!$B$15:$AB$115,15,FALSE)</f>
        <v>-128</v>
      </c>
      <c r="W100" s="89">
        <f>'116+240'!S101</f>
        <v>5</v>
      </c>
      <c r="X100" s="83">
        <f t="shared" si="22"/>
        <v>98</v>
      </c>
      <c r="Y100" s="78">
        <f t="shared" si="23"/>
        <v>-5</v>
      </c>
      <c r="Z100" s="77">
        <f t="shared" si="24"/>
        <v>0</v>
      </c>
      <c r="AA100" s="76">
        <f t="shared" si="25"/>
        <v>2.2130000000000001</v>
      </c>
      <c r="AB100" s="76">
        <f t="shared" si="26"/>
        <v>1.964</v>
      </c>
      <c r="AC100" s="65"/>
      <c r="AD100" s="65"/>
      <c r="AE100" s="65"/>
      <c r="AF100" s="65"/>
    </row>
    <row r="101" spans="1:32" s="91" customFormat="1" ht="15" customHeight="1">
      <c r="A101" s="92"/>
      <c r="B101" s="90">
        <f>'116+240'!B102</f>
        <v>45369</v>
      </c>
      <c r="C101" s="87">
        <f t="shared" si="18"/>
        <v>1</v>
      </c>
      <c r="D101" s="86">
        <f t="shared" si="19"/>
        <v>844</v>
      </c>
      <c r="E101" s="85">
        <f>VLOOKUP(B101,'116+240'!B102:AB203,3,FALSE)</f>
        <v>1449</v>
      </c>
      <c r="F101" s="81">
        <f t="shared" si="14"/>
        <v>2293</v>
      </c>
      <c r="G101" s="84">
        <f>VLOOKUP(B101,'116+240'!$B$15:$AB$115,20,FALSE)</f>
        <v>1921</v>
      </c>
      <c r="H101" s="84">
        <f>VLOOKUP(B101,'116+240'!$B$15:$AB$115,4,FALSE)</f>
        <v>-468</v>
      </c>
      <c r="I101" s="80">
        <f t="shared" si="15"/>
        <v>2761</v>
      </c>
      <c r="J101" s="80">
        <f>VLOOKUP(B101,'116+240'!$B$15:$AB$115,13,FALSE)</f>
        <v>-239</v>
      </c>
      <c r="K101" s="89">
        <f>'116+240'!Q102</f>
        <v>9</v>
      </c>
      <c r="L101" s="83">
        <f t="shared" si="20"/>
        <v>279</v>
      </c>
      <c r="M101" s="82">
        <f>VLOOKUP(B101,'116+240'!$B$14:$AB$115,21,FALSE)</f>
        <v>2040</v>
      </c>
      <c r="N101" s="81">
        <f>VLOOKUP(B101,'116+240'!$B$15:$AB$115,5,FALSE)</f>
        <v>-467</v>
      </c>
      <c r="O101" s="80">
        <f t="shared" si="16"/>
        <v>2760</v>
      </c>
      <c r="P101" s="80">
        <f>VLOOKUP(B101,'116+240'!$B$15:$AB$115,14,FALSE)</f>
        <v>-240</v>
      </c>
      <c r="Q101" s="89">
        <f>'116+240'!R102</f>
        <v>2</v>
      </c>
      <c r="R101" s="83">
        <f t="shared" si="21"/>
        <v>160</v>
      </c>
      <c r="S101" s="82">
        <f>VLOOKUP(B101,'116+240'!$B$14:$AB$115,22,FALSE)</f>
        <v>2101</v>
      </c>
      <c r="T101" s="81">
        <f>VLOOKUP(B101,'116+240'!$B$15:$AB$115,6,FALSE)</f>
        <v>-578</v>
      </c>
      <c r="U101" s="80">
        <f t="shared" si="17"/>
        <v>2871</v>
      </c>
      <c r="V101" s="79">
        <f>VLOOKUP(B101,'116+240'!$B$15:$AB$115,15,FALSE)</f>
        <v>-129</v>
      </c>
      <c r="W101" s="89">
        <f>'116+240'!S102</f>
        <v>1</v>
      </c>
      <c r="X101" s="83">
        <f t="shared" si="22"/>
        <v>99</v>
      </c>
      <c r="Y101" s="78">
        <f t="shared" si="23"/>
        <v>-1</v>
      </c>
      <c r="Z101" s="77">
        <f t="shared" si="24"/>
        <v>0</v>
      </c>
      <c r="AA101" s="76">
        <f t="shared" si="25"/>
        <v>2.2130000000000001</v>
      </c>
      <c r="AB101" s="76">
        <f t="shared" si="26"/>
        <v>1.96</v>
      </c>
      <c r="AC101" s="65"/>
      <c r="AD101" s="65"/>
      <c r="AE101" s="65"/>
      <c r="AF101" s="65"/>
    </row>
    <row r="102" spans="1:32" s="91" customFormat="1" ht="15" customHeight="1">
      <c r="A102" s="92"/>
      <c r="B102" s="90">
        <f>'116+240'!B103</f>
        <v>45370</v>
      </c>
      <c r="C102" s="87">
        <f t="shared" si="18"/>
        <v>1</v>
      </c>
      <c r="D102" s="86">
        <f t="shared" si="19"/>
        <v>844</v>
      </c>
      <c r="E102" s="85">
        <f>VLOOKUP(B102,'116+240'!B103:AB204,3,FALSE)</f>
        <v>1447</v>
      </c>
      <c r="F102" s="81">
        <f t="shared" si="14"/>
        <v>2291</v>
      </c>
      <c r="G102" s="84">
        <f>VLOOKUP(B102,'116+240'!$B$15:$AB$115,20,FALSE)</f>
        <v>1919</v>
      </c>
      <c r="H102" s="84">
        <f>VLOOKUP(B102,'116+240'!$B$15:$AB$115,4,FALSE)</f>
        <v>-468</v>
      </c>
      <c r="I102" s="80">
        <f t="shared" si="15"/>
        <v>2759</v>
      </c>
      <c r="J102" s="80">
        <f>VLOOKUP(B102,'116+240'!$B$15:$AB$115,13,FALSE)</f>
        <v>-241</v>
      </c>
      <c r="K102" s="89">
        <f>'116+240'!Q103</f>
        <v>2</v>
      </c>
      <c r="L102" s="83">
        <f t="shared" si="20"/>
        <v>281</v>
      </c>
      <c r="M102" s="82">
        <f>VLOOKUP(B102,'116+240'!$B$14:$AB$115,21,FALSE)</f>
        <v>2038</v>
      </c>
      <c r="N102" s="81">
        <f>VLOOKUP(B102,'116+240'!$B$15:$AB$115,5,FALSE)</f>
        <v>-467</v>
      </c>
      <c r="O102" s="80">
        <f t="shared" si="16"/>
        <v>2758</v>
      </c>
      <c r="P102" s="80">
        <f>VLOOKUP(B102,'116+240'!$B$15:$AB$115,14,FALSE)</f>
        <v>-242</v>
      </c>
      <c r="Q102" s="89">
        <f>'116+240'!R103</f>
        <v>2</v>
      </c>
      <c r="R102" s="83">
        <f t="shared" si="21"/>
        <v>162</v>
      </c>
      <c r="S102" s="82">
        <f>VLOOKUP(B102,'116+240'!$B$14:$AB$115,22,FALSE)</f>
        <v>2099</v>
      </c>
      <c r="T102" s="81">
        <f>VLOOKUP(B102,'116+240'!$B$15:$AB$115,6,FALSE)</f>
        <v>-578</v>
      </c>
      <c r="U102" s="80">
        <f t="shared" si="17"/>
        <v>2869</v>
      </c>
      <c r="V102" s="79">
        <f>VLOOKUP(B102,'116+240'!$B$15:$AB$115,15,FALSE)</f>
        <v>-131</v>
      </c>
      <c r="W102" s="89">
        <f>'116+240'!S103</f>
        <v>2</v>
      </c>
      <c r="X102" s="83">
        <f t="shared" si="22"/>
        <v>101</v>
      </c>
      <c r="Y102" s="78">
        <f t="shared" si="23"/>
        <v>-2</v>
      </c>
      <c r="Z102" s="77">
        <f t="shared" si="24"/>
        <v>0</v>
      </c>
      <c r="AA102" s="76">
        <f t="shared" si="25"/>
        <v>2.2130000000000001</v>
      </c>
      <c r="AB102" s="76">
        <f t="shared" si="26"/>
        <v>1.956</v>
      </c>
      <c r="AC102" s="65"/>
      <c r="AD102" s="65"/>
      <c r="AE102" s="65"/>
      <c r="AF102" s="65"/>
    </row>
    <row r="103" spans="1:32" s="91" customFormat="1" ht="15" customHeight="1">
      <c r="A103" s="92"/>
      <c r="B103" s="90">
        <f>'116+240'!B104</f>
        <v>45371</v>
      </c>
      <c r="C103" s="87">
        <f t="shared" si="18"/>
        <v>1</v>
      </c>
      <c r="D103" s="86">
        <f t="shared" si="19"/>
        <v>844</v>
      </c>
      <c r="E103" s="85">
        <f>VLOOKUP(B103,'116+240'!B104:AB205,3,FALSE)</f>
        <v>1445</v>
      </c>
      <c r="F103" s="81">
        <f t="shared" si="14"/>
        <v>2289</v>
      </c>
      <c r="G103" s="84">
        <f>VLOOKUP(B103,'116+240'!$B$15:$AB$115,20,FALSE)</f>
        <v>1915</v>
      </c>
      <c r="H103" s="84">
        <f>VLOOKUP(B103,'116+240'!$B$15:$AB$115,4,FALSE)</f>
        <v>-466</v>
      </c>
      <c r="I103" s="80">
        <f t="shared" si="15"/>
        <v>2755</v>
      </c>
      <c r="J103" s="80">
        <f>VLOOKUP(B103,'116+240'!$B$15:$AB$115,13,FALSE)</f>
        <v>-245</v>
      </c>
      <c r="K103" s="89">
        <f>'116+240'!Q104</f>
        <v>4</v>
      </c>
      <c r="L103" s="83">
        <f t="shared" si="20"/>
        <v>285</v>
      </c>
      <c r="M103" s="82">
        <f>VLOOKUP(B103,'116+240'!$B$14:$AB$115,21,FALSE)</f>
        <v>2036</v>
      </c>
      <c r="N103" s="81">
        <f>VLOOKUP(B103,'116+240'!$B$15:$AB$115,5,FALSE)</f>
        <v>-467</v>
      </c>
      <c r="O103" s="80">
        <f t="shared" si="16"/>
        <v>2756</v>
      </c>
      <c r="P103" s="80">
        <f>VLOOKUP(B103,'116+240'!$B$15:$AB$115,14,FALSE)</f>
        <v>-244</v>
      </c>
      <c r="Q103" s="89">
        <f>'116+240'!R104</f>
        <v>2</v>
      </c>
      <c r="R103" s="83">
        <f t="shared" si="21"/>
        <v>164</v>
      </c>
      <c r="S103" s="82">
        <f>VLOOKUP(B103,'116+240'!$B$14:$AB$115,22,FALSE)</f>
        <v>2098</v>
      </c>
      <c r="T103" s="81">
        <f>VLOOKUP(B103,'116+240'!$B$15:$AB$115,6,FALSE)</f>
        <v>-579</v>
      </c>
      <c r="U103" s="80">
        <f t="shared" si="17"/>
        <v>2868</v>
      </c>
      <c r="V103" s="79">
        <f>VLOOKUP(B103,'116+240'!$B$15:$AB$115,15,FALSE)</f>
        <v>-132</v>
      </c>
      <c r="W103" s="89">
        <f>'116+240'!S104</f>
        <v>1</v>
      </c>
      <c r="X103" s="83">
        <f t="shared" si="22"/>
        <v>102</v>
      </c>
      <c r="Y103" s="78">
        <f t="shared" si="23"/>
        <v>-1</v>
      </c>
      <c r="Z103" s="77">
        <f t="shared" si="24"/>
        <v>0</v>
      </c>
      <c r="AA103" s="76">
        <f t="shared" si="25"/>
        <v>2.2130000000000001</v>
      </c>
      <c r="AB103" s="76">
        <f t="shared" si="26"/>
        <v>1.952</v>
      </c>
      <c r="AC103" s="65"/>
      <c r="AD103" s="65"/>
      <c r="AE103" s="65"/>
      <c r="AF103" s="65"/>
    </row>
    <row r="104" spans="1:32" s="91" customFormat="1" ht="15" customHeight="1">
      <c r="A104" s="92"/>
      <c r="B104" s="90">
        <f>'116+240'!B105</f>
        <v>45372</v>
      </c>
      <c r="C104" s="87">
        <f t="shared" si="18"/>
        <v>1</v>
      </c>
      <c r="D104" s="86">
        <f t="shared" si="19"/>
        <v>844</v>
      </c>
      <c r="E104" s="85">
        <f>VLOOKUP(B104,'116+240'!B105:AB206,3,FALSE)</f>
        <v>1443</v>
      </c>
      <c r="F104" s="81">
        <f t="shared" si="14"/>
        <v>2287</v>
      </c>
      <c r="G104" s="84">
        <f>VLOOKUP(B104,'116+240'!$B$15:$AB$115,20,FALSE)</f>
        <v>1909</v>
      </c>
      <c r="H104" s="84">
        <f>VLOOKUP(B104,'116+240'!$B$15:$AB$115,4,FALSE)</f>
        <v>-462</v>
      </c>
      <c r="I104" s="80">
        <f t="shared" si="15"/>
        <v>2749</v>
      </c>
      <c r="J104" s="80">
        <f>VLOOKUP(B104,'116+240'!$B$15:$AB$115,13,FALSE)</f>
        <v>-251</v>
      </c>
      <c r="K104" s="89">
        <f>'116+240'!Q105</f>
        <v>6</v>
      </c>
      <c r="L104" s="83">
        <f t="shared" si="20"/>
        <v>291</v>
      </c>
      <c r="M104" s="82">
        <f>VLOOKUP(B104,'116+240'!$B$14:$AB$115,21,FALSE)</f>
        <v>2028</v>
      </c>
      <c r="N104" s="81">
        <f>VLOOKUP(B104,'116+240'!$B$15:$AB$115,5,FALSE)</f>
        <v>-461</v>
      </c>
      <c r="O104" s="80">
        <f t="shared" si="16"/>
        <v>2748</v>
      </c>
      <c r="P104" s="80">
        <f>VLOOKUP(B104,'116+240'!$B$15:$AB$115,14,FALSE)</f>
        <v>-252</v>
      </c>
      <c r="Q104" s="89">
        <f>'116+240'!R105</f>
        <v>8</v>
      </c>
      <c r="R104" s="83">
        <f t="shared" si="21"/>
        <v>172</v>
      </c>
      <c r="S104" s="82">
        <f>VLOOKUP(B104,'116+240'!$B$14:$AB$115,22,FALSE)</f>
        <v>2092</v>
      </c>
      <c r="T104" s="81">
        <f>VLOOKUP(B104,'116+240'!$B$15:$AB$115,6,FALSE)</f>
        <v>-575</v>
      </c>
      <c r="U104" s="80">
        <f t="shared" si="17"/>
        <v>2862</v>
      </c>
      <c r="V104" s="79">
        <f>VLOOKUP(B104,'116+240'!$B$15:$AB$115,15,FALSE)</f>
        <v>-138</v>
      </c>
      <c r="W104" s="89">
        <f>'116+240'!S105</f>
        <v>6</v>
      </c>
      <c r="X104" s="83">
        <f t="shared" si="22"/>
        <v>108</v>
      </c>
      <c r="Y104" s="78">
        <f t="shared" si="23"/>
        <v>-6</v>
      </c>
      <c r="Z104" s="77">
        <f t="shared" si="24"/>
        <v>0</v>
      </c>
      <c r="AA104" s="76">
        <f t="shared" si="25"/>
        <v>2.2130000000000001</v>
      </c>
      <c r="AB104" s="76">
        <f t="shared" si="26"/>
        <v>1.9359999999999999</v>
      </c>
      <c r="AC104" s="65"/>
      <c r="AD104" s="65"/>
      <c r="AE104" s="65"/>
      <c r="AF104" s="65"/>
    </row>
    <row r="105" spans="1:32" s="91" customFormat="1" ht="15" customHeight="1">
      <c r="A105" s="92"/>
      <c r="B105" s="90">
        <f>'116+240'!B106</f>
        <v>45373</v>
      </c>
      <c r="C105" s="87">
        <f t="shared" si="18"/>
        <v>1</v>
      </c>
      <c r="D105" s="86">
        <f t="shared" si="19"/>
        <v>844</v>
      </c>
      <c r="E105" s="85">
        <f>VLOOKUP(B105,'116+240'!B106:AB207,3,FALSE)</f>
        <v>1441</v>
      </c>
      <c r="F105" s="81">
        <f t="shared" si="14"/>
        <v>2285</v>
      </c>
      <c r="G105" s="84">
        <f>VLOOKUP(B105,'116+240'!$B$15:$AB$115,20,FALSE)</f>
        <v>1900</v>
      </c>
      <c r="H105" s="84">
        <f>VLOOKUP(B105,'116+240'!$B$15:$AB$115,4,FALSE)</f>
        <v>-455</v>
      </c>
      <c r="I105" s="80">
        <f t="shared" si="15"/>
        <v>2740</v>
      </c>
      <c r="J105" s="80">
        <f>VLOOKUP(B105,'116+240'!$B$15:$AB$115,13,FALSE)</f>
        <v>-260</v>
      </c>
      <c r="K105" s="89">
        <f>'116+240'!Q106</f>
        <v>9</v>
      </c>
      <c r="L105" s="83">
        <f t="shared" si="20"/>
        <v>300</v>
      </c>
      <c r="M105" s="82">
        <f>VLOOKUP(B105,'116+240'!$B$14:$AB$115,21,FALSE)</f>
        <v>2027</v>
      </c>
      <c r="N105" s="81">
        <f>VLOOKUP(B105,'116+240'!$B$15:$AB$115,5,FALSE)</f>
        <v>-462</v>
      </c>
      <c r="O105" s="80">
        <f t="shared" si="16"/>
        <v>2747</v>
      </c>
      <c r="P105" s="80">
        <f>VLOOKUP(B105,'116+240'!$B$15:$AB$115,14,FALSE)</f>
        <v>-253</v>
      </c>
      <c r="Q105" s="89">
        <f>'116+240'!R106</f>
        <v>1</v>
      </c>
      <c r="R105" s="83">
        <f t="shared" si="21"/>
        <v>173</v>
      </c>
      <c r="S105" s="82">
        <f>VLOOKUP(B105,'116+240'!$B$14:$AB$115,22,FALSE)</f>
        <v>2092</v>
      </c>
      <c r="T105" s="81">
        <f>VLOOKUP(B105,'116+240'!$B$15:$AB$115,6,FALSE)</f>
        <v>-577</v>
      </c>
      <c r="U105" s="80">
        <f t="shared" si="17"/>
        <v>2862</v>
      </c>
      <c r="V105" s="79">
        <f>VLOOKUP(B105,'116+240'!$B$15:$AB$115,15,FALSE)</f>
        <v>-138</v>
      </c>
      <c r="W105" s="89">
        <f>'116+240'!S106</f>
        <v>0</v>
      </c>
      <c r="X105" s="83">
        <f t="shared" si="22"/>
        <v>108</v>
      </c>
      <c r="Y105" s="78">
        <f t="shared" si="23"/>
        <v>0</v>
      </c>
      <c r="Z105" s="77">
        <f t="shared" si="24"/>
        <v>0</v>
      </c>
      <c r="AA105" s="76">
        <f t="shared" si="25"/>
        <v>2.2130000000000001</v>
      </c>
      <c r="AB105" s="76">
        <f t="shared" si="26"/>
        <v>1.9339999999999999</v>
      </c>
      <c r="AC105" s="65"/>
      <c r="AD105" s="65"/>
      <c r="AE105" s="65"/>
      <c r="AF105" s="65"/>
    </row>
    <row r="106" spans="1:32" s="91" customFormat="1" ht="15" customHeight="1">
      <c r="A106" s="92"/>
      <c r="B106" s="90">
        <f>'116+240'!B107</f>
        <v>45374</v>
      </c>
      <c r="C106" s="87">
        <f t="shared" si="18"/>
        <v>1</v>
      </c>
      <c r="D106" s="86">
        <f t="shared" si="19"/>
        <v>844</v>
      </c>
      <c r="E106" s="85">
        <f>VLOOKUP(B106,'116+240'!B107:AB208,3,FALSE)</f>
        <v>1439</v>
      </c>
      <c r="F106" s="81">
        <f t="shared" si="14"/>
        <v>2283</v>
      </c>
      <c r="G106" s="84">
        <f>VLOOKUP(B106,'116+240'!$B$15:$AB$115,20,FALSE)</f>
        <v>1897</v>
      </c>
      <c r="H106" s="84">
        <f>VLOOKUP(B106,'116+240'!$B$15:$AB$115,4,FALSE)</f>
        <v>-454</v>
      </c>
      <c r="I106" s="80">
        <f t="shared" si="15"/>
        <v>2737</v>
      </c>
      <c r="J106" s="80">
        <f>VLOOKUP(B106,'116+240'!$B$15:$AB$115,13,FALSE)</f>
        <v>-263</v>
      </c>
      <c r="K106" s="89">
        <f>'116+240'!Q107</f>
        <v>3</v>
      </c>
      <c r="L106" s="83">
        <f t="shared" si="20"/>
        <v>303</v>
      </c>
      <c r="M106" s="82">
        <f>VLOOKUP(B106,'116+240'!$B$14:$AB$115,21,FALSE)</f>
        <v>2027</v>
      </c>
      <c r="N106" s="81">
        <f>VLOOKUP(B106,'116+240'!$B$15:$AB$115,5,FALSE)</f>
        <v>-464</v>
      </c>
      <c r="O106" s="80">
        <f t="shared" si="16"/>
        <v>2747</v>
      </c>
      <c r="P106" s="80">
        <f>VLOOKUP(B106,'116+240'!$B$15:$AB$115,14,FALSE)</f>
        <v>-253</v>
      </c>
      <c r="Q106" s="89">
        <f>'116+240'!R107</f>
        <v>0</v>
      </c>
      <c r="R106" s="83">
        <f t="shared" si="21"/>
        <v>173</v>
      </c>
      <c r="S106" s="82">
        <f>VLOOKUP(B106,'116+240'!$B$14:$AB$115,22,FALSE)</f>
        <v>2091</v>
      </c>
      <c r="T106" s="81">
        <f>VLOOKUP(B106,'116+240'!$B$15:$AB$115,6,FALSE)</f>
        <v>-578</v>
      </c>
      <c r="U106" s="80">
        <f t="shared" si="17"/>
        <v>2861</v>
      </c>
      <c r="V106" s="79">
        <f>VLOOKUP(B106,'116+240'!$B$15:$AB$115,15,FALSE)</f>
        <v>-139</v>
      </c>
      <c r="W106" s="89">
        <f>'116+240'!S107</f>
        <v>1</v>
      </c>
      <c r="X106" s="83">
        <f t="shared" si="22"/>
        <v>109</v>
      </c>
      <c r="Y106" s="78">
        <f t="shared" si="23"/>
        <v>-1</v>
      </c>
      <c r="Z106" s="77">
        <f t="shared" si="24"/>
        <v>0</v>
      </c>
      <c r="AA106" s="76">
        <f t="shared" si="25"/>
        <v>2.2130000000000001</v>
      </c>
      <c r="AB106" s="76">
        <f t="shared" si="26"/>
        <v>1.9339999999999999</v>
      </c>
      <c r="AC106" s="65"/>
      <c r="AD106" s="65"/>
      <c r="AE106" s="65"/>
      <c r="AF106" s="65"/>
    </row>
    <row r="107" spans="1:32" s="91" customFormat="1" ht="15" customHeight="1">
      <c r="A107" s="92"/>
      <c r="B107" s="90">
        <f>'116+240'!B108</f>
        <v>45375</v>
      </c>
      <c r="C107" s="87">
        <f t="shared" si="18"/>
        <v>1</v>
      </c>
      <c r="D107" s="86">
        <f t="shared" si="19"/>
        <v>844</v>
      </c>
      <c r="E107" s="85">
        <f>VLOOKUP(B107,'116+240'!B108:AB209,3,FALSE)</f>
        <v>1437</v>
      </c>
      <c r="F107" s="81">
        <f t="shared" si="14"/>
        <v>2281</v>
      </c>
      <c r="G107" s="84">
        <f>VLOOKUP(B107,'116+240'!$B$15:$AB$115,20,FALSE)</f>
        <v>1893</v>
      </c>
      <c r="H107" s="84">
        <f>VLOOKUP(B107,'116+240'!$B$15:$AB$115,4,FALSE)</f>
        <v>-452</v>
      </c>
      <c r="I107" s="80">
        <f t="shared" si="15"/>
        <v>2733</v>
      </c>
      <c r="J107" s="80">
        <f>VLOOKUP(B107,'116+240'!$B$15:$AB$115,13,FALSE)</f>
        <v>-267</v>
      </c>
      <c r="K107" s="89">
        <f>'116+240'!Q108</f>
        <v>4</v>
      </c>
      <c r="L107" s="83">
        <f t="shared" si="20"/>
        <v>307</v>
      </c>
      <c r="M107" s="82">
        <f>VLOOKUP(B107,'116+240'!$B$14:$AB$115,21,FALSE)</f>
        <v>2026</v>
      </c>
      <c r="N107" s="81">
        <f>VLOOKUP(B107,'116+240'!$B$15:$AB$115,5,FALSE)</f>
        <v>-465</v>
      </c>
      <c r="O107" s="80">
        <f t="shared" si="16"/>
        <v>2746</v>
      </c>
      <c r="P107" s="80">
        <f>VLOOKUP(B107,'116+240'!$B$15:$AB$115,14,FALSE)</f>
        <v>-254</v>
      </c>
      <c r="Q107" s="89">
        <f>'116+240'!R108</f>
        <v>1</v>
      </c>
      <c r="R107" s="83">
        <f t="shared" si="21"/>
        <v>174</v>
      </c>
      <c r="S107" s="82">
        <f>VLOOKUP(B107,'116+240'!$B$14:$AB$115,22,FALSE)</f>
        <v>2091</v>
      </c>
      <c r="T107" s="81">
        <f>VLOOKUP(B107,'116+240'!$B$15:$AB$115,6,FALSE)</f>
        <v>-580</v>
      </c>
      <c r="U107" s="80">
        <f t="shared" si="17"/>
        <v>2861</v>
      </c>
      <c r="V107" s="79">
        <f>VLOOKUP(B107,'116+240'!$B$15:$AB$115,15,FALSE)</f>
        <v>-139</v>
      </c>
      <c r="W107" s="89">
        <f>'116+240'!S108</f>
        <v>0</v>
      </c>
      <c r="X107" s="83">
        <f t="shared" si="22"/>
        <v>109</v>
      </c>
      <c r="Y107" s="78">
        <f t="shared" si="23"/>
        <v>0</v>
      </c>
      <c r="Z107" s="77">
        <f t="shared" si="24"/>
        <v>0</v>
      </c>
      <c r="AA107" s="76">
        <f t="shared" si="25"/>
        <v>2.2130000000000001</v>
      </c>
      <c r="AB107" s="76">
        <f t="shared" si="26"/>
        <v>1.9319999999999999</v>
      </c>
      <c r="AC107" s="65"/>
      <c r="AD107" s="65"/>
      <c r="AE107" s="65"/>
      <c r="AF107" s="65"/>
    </row>
    <row r="108" spans="1:32" s="91" customFormat="1" ht="15" customHeight="1">
      <c r="A108" s="92"/>
      <c r="B108" s="90">
        <f>'116+240'!B109</f>
        <v>45376</v>
      </c>
      <c r="C108" s="87">
        <f t="shared" si="18"/>
        <v>1</v>
      </c>
      <c r="D108" s="86">
        <f t="shared" si="19"/>
        <v>844</v>
      </c>
      <c r="E108" s="85">
        <f>VLOOKUP(B108,'116+240'!B109:AB210,3,FALSE)</f>
        <v>1435</v>
      </c>
      <c r="F108" s="81">
        <f t="shared" si="14"/>
        <v>2279</v>
      </c>
      <c r="G108" s="84">
        <f>VLOOKUP(B108,'116+240'!$B$15:$AB$115,20,FALSE)</f>
        <v>1890</v>
      </c>
      <c r="H108" s="84">
        <f>VLOOKUP(B108,'116+240'!$B$15:$AB$115,4,FALSE)</f>
        <v>-451</v>
      </c>
      <c r="I108" s="80">
        <f t="shared" si="15"/>
        <v>2730</v>
      </c>
      <c r="J108" s="80">
        <f>VLOOKUP(B108,'116+240'!$B$15:$AB$115,13,FALSE)</f>
        <v>-270</v>
      </c>
      <c r="K108" s="89">
        <f>'116+240'!Q109</f>
        <v>3</v>
      </c>
      <c r="L108" s="83">
        <f t="shared" si="20"/>
        <v>310</v>
      </c>
      <c r="M108" s="82">
        <f>VLOOKUP(B108,'116+240'!$B$14:$AB$115,21,FALSE)</f>
        <v>2026</v>
      </c>
      <c r="N108" s="81">
        <f>VLOOKUP(B108,'116+240'!$B$15:$AB$115,5,FALSE)</f>
        <v>-467</v>
      </c>
      <c r="O108" s="80">
        <f t="shared" si="16"/>
        <v>2746</v>
      </c>
      <c r="P108" s="80">
        <f>VLOOKUP(B108,'116+240'!$B$15:$AB$115,14,FALSE)</f>
        <v>-254</v>
      </c>
      <c r="Q108" s="89">
        <f>'116+240'!R109</f>
        <v>0</v>
      </c>
      <c r="R108" s="83">
        <f t="shared" si="21"/>
        <v>174</v>
      </c>
      <c r="S108" s="82">
        <f>VLOOKUP(B108,'116+240'!$B$14:$AB$115,22,FALSE)</f>
        <v>2091</v>
      </c>
      <c r="T108" s="81">
        <f>VLOOKUP(B108,'116+240'!$B$15:$AB$115,6,FALSE)</f>
        <v>-582</v>
      </c>
      <c r="U108" s="80">
        <f t="shared" si="17"/>
        <v>2861</v>
      </c>
      <c r="V108" s="79">
        <f>VLOOKUP(B108,'116+240'!$B$15:$AB$115,15,FALSE)</f>
        <v>-139</v>
      </c>
      <c r="W108" s="89">
        <f>'116+240'!S109</f>
        <v>0</v>
      </c>
      <c r="X108" s="83">
        <f t="shared" si="22"/>
        <v>109</v>
      </c>
      <c r="Y108" s="78">
        <f t="shared" si="23"/>
        <v>0</v>
      </c>
      <c r="Z108" s="77">
        <f t="shared" si="24"/>
        <v>0</v>
      </c>
      <c r="AA108" s="76">
        <f t="shared" si="25"/>
        <v>2.2130000000000001</v>
      </c>
      <c r="AB108" s="76">
        <f t="shared" si="26"/>
        <v>1.9319999999999999</v>
      </c>
      <c r="AC108" s="65"/>
      <c r="AD108" s="65"/>
      <c r="AE108" s="65"/>
      <c r="AF108" s="65"/>
    </row>
    <row r="109" spans="1:32" s="91" customFormat="1" ht="15" customHeight="1">
      <c r="A109" s="92"/>
      <c r="B109" s="90">
        <f>'116+240'!B110</f>
        <v>45377</v>
      </c>
      <c r="C109" s="87">
        <f t="shared" si="18"/>
        <v>1</v>
      </c>
      <c r="D109" s="86">
        <f t="shared" si="19"/>
        <v>844</v>
      </c>
      <c r="E109" s="85">
        <f>VLOOKUP(B109,'116+240'!B110:AB211,3,FALSE)</f>
        <v>1433</v>
      </c>
      <c r="F109" s="81">
        <f t="shared" si="14"/>
        <v>2277</v>
      </c>
      <c r="G109" s="84">
        <f>VLOOKUP(B109,'116+240'!$B$15:$AB$115,20,FALSE)</f>
        <v>1881</v>
      </c>
      <c r="H109" s="84">
        <f>VLOOKUP(B109,'116+240'!$B$15:$AB$115,4,FALSE)</f>
        <v>-444</v>
      </c>
      <c r="I109" s="80">
        <f t="shared" si="15"/>
        <v>2721</v>
      </c>
      <c r="J109" s="80">
        <f>VLOOKUP(B109,'116+240'!$B$15:$AB$115,13,FALSE)</f>
        <v>-279</v>
      </c>
      <c r="K109" s="89">
        <f>'116+240'!Q110</f>
        <v>9</v>
      </c>
      <c r="L109" s="83">
        <f t="shared" si="20"/>
        <v>319</v>
      </c>
      <c r="M109" s="82">
        <f>VLOOKUP(B109,'116+240'!$B$14:$AB$115,21,FALSE)</f>
        <v>2026</v>
      </c>
      <c r="N109" s="81">
        <f>VLOOKUP(B109,'116+240'!$B$15:$AB$115,5,FALSE)</f>
        <v>-469</v>
      </c>
      <c r="O109" s="80">
        <f t="shared" si="16"/>
        <v>2746</v>
      </c>
      <c r="P109" s="80">
        <f>VLOOKUP(B109,'116+240'!$B$15:$AB$115,14,FALSE)</f>
        <v>-254</v>
      </c>
      <c r="Q109" s="89">
        <f>'116+240'!R110</f>
        <v>0</v>
      </c>
      <c r="R109" s="83">
        <f t="shared" si="21"/>
        <v>174</v>
      </c>
      <c r="S109" s="82">
        <f>VLOOKUP(B109,'116+240'!$B$14:$AB$115,22,FALSE)</f>
        <v>2091</v>
      </c>
      <c r="T109" s="81">
        <f>VLOOKUP(B109,'116+240'!$B$15:$AB$115,6,FALSE)</f>
        <v>-584</v>
      </c>
      <c r="U109" s="80">
        <f t="shared" si="17"/>
        <v>2861</v>
      </c>
      <c r="V109" s="79">
        <f>VLOOKUP(B109,'116+240'!$B$15:$AB$115,15,FALSE)</f>
        <v>-139</v>
      </c>
      <c r="W109" s="89">
        <f>'116+240'!S110</f>
        <v>0</v>
      </c>
      <c r="X109" s="83">
        <f t="shared" si="22"/>
        <v>109</v>
      </c>
      <c r="Y109" s="78">
        <f t="shared" si="23"/>
        <v>0</v>
      </c>
      <c r="Z109" s="77">
        <f t="shared" si="24"/>
        <v>0</v>
      </c>
      <c r="AA109" s="76">
        <f t="shared" si="25"/>
        <v>2.2130000000000001</v>
      </c>
      <c r="AB109" s="76">
        <f t="shared" si="26"/>
        <v>1.9319999999999999</v>
      </c>
      <c r="AC109" s="65"/>
      <c r="AD109" s="65"/>
      <c r="AE109" s="65"/>
      <c r="AF109" s="65"/>
    </row>
    <row r="110" spans="1:32" s="91" customFormat="1" ht="15" customHeight="1">
      <c r="A110" s="92"/>
      <c r="B110" s="90">
        <f>'116+240'!B111</f>
        <v>45378</v>
      </c>
      <c r="C110" s="87">
        <f t="shared" si="18"/>
        <v>1</v>
      </c>
      <c r="D110" s="86">
        <f t="shared" si="19"/>
        <v>844</v>
      </c>
      <c r="E110" s="85">
        <f>VLOOKUP(B110,'116+240'!B111:AB212,3,FALSE)</f>
        <v>1431</v>
      </c>
      <c r="F110" s="81">
        <f t="shared" si="14"/>
        <v>2275</v>
      </c>
      <c r="G110" s="84">
        <f>VLOOKUP(B110,'116+240'!$B$15:$AB$115,20,FALSE)</f>
        <v>1879</v>
      </c>
      <c r="H110" s="84">
        <f>VLOOKUP(B110,'116+240'!$B$15:$AB$115,4,FALSE)</f>
        <v>-444</v>
      </c>
      <c r="I110" s="80">
        <f t="shared" si="15"/>
        <v>2719</v>
      </c>
      <c r="J110" s="80">
        <f>VLOOKUP(B110,'116+240'!$B$15:$AB$115,13,FALSE)</f>
        <v>-281</v>
      </c>
      <c r="K110" s="89">
        <f>'116+240'!Q111</f>
        <v>2</v>
      </c>
      <c r="L110" s="83">
        <f t="shared" si="20"/>
        <v>321</v>
      </c>
      <c r="M110" s="82">
        <f>VLOOKUP(B110,'116+240'!$B$14:$AB$115,21,FALSE)</f>
        <v>2026</v>
      </c>
      <c r="N110" s="81">
        <f>VLOOKUP(B110,'116+240'!$B$15:$AB$115,5,FALSE)</f>
        <v>-471</v>
      </c>
      <c r="O110" s="80">
        <f t="shared" si="16"/>
        <v>2746</v>
      </c>
      <c r="P110" s="80">
        <f>VLOOKUP(B110,'116+240'!$B$15:$AB$115,14,FALSE)</f>
        <v>-254</v>
      </c>
      <c r="Q110" s="89">
        <f>'116+240'!R111</f>
        <v>0</v>
      </c>
      <c r="R110" s="83">
        <f t="shared" si="21"/>
        <v>174</v>
      </c>
      <c r="S110" s="82">
        <f>VLOOKUP(B110,'116+240'!$B$14:$AB$115,22,FALSE)</f>
        <v>2091</v>
      </c>
      <c r="T110" s="81">
        <f>VLOOKUP(B110,'116+240'!$B$15:$AB$115,6,FALSE)</f>
        <v>-586</v>
      </c>
      <c r="U110" s="80">
        <f t="shared" si="17"/>
        <v>2861</v>
      </c>
      <c r="V110" s="79">
        <f>VLOOKUP(B110,'116+240'!$B$15:$AB$115,15,FALSE)</f>
        <v>-139</v>
      </c>
      <c r="W110" s="89">
        <f>'116+240'!S111</f>
        <v>0</v>
      </c>
      <c r="X110" s="83">
        <f t="shared" si="22"/>
        <v>109</v>
      </c>
      <c r="Y110" s="78">
        <f t="shared" si="23"/>
        <v>0</v>
      </c>
      <c r="Z110" s="77">
        <f t="shared" si="24"/>
        <v>0</v>
      </c>
      <c r="AA110" s="76">
        <f t="shared" si="25"/>
        <v>2.2130000000000001</v>
      </c>
      <c r="AB110" s="76">
        <f t="shared" si="26"/>
        <v>1.9319999999999999</v>
      </c>
      <c r="AC110" s="65"/>
      <c r="AD110" s="65"/>
      <c r="AE110" s="65"/>
      <c r="AF110" s="65"/>
    </row>
    <row r="111" spans="1:32" s="91" customFormat="1" ht="15" customHeight="1">
      <c r="A111" s="92"/>
      <c r="B111" s="90">
        <f>'116+240'!B112</f>
        <v>45379</v>
      </c>
      <c r="C111" s="87">
        <f t="shared" si="18"/>
        <v>1</v>
      </c>
      <c r="D111" s="86">
        <f t="shared" si="19"/>
        <v>844</v>
      </c>
      <c r="E111" s="85">
        <f>VLOOKUP(B111,'116+240'!B112:AB213,3,FALSE)</f>
        <v>1429</v>
      </c>
      <c r="F111" s="81">
        <f t="shared" si="14"/>
        <v>2273</v>
      </c>
      <c r="G111" s="84">
        <f>VLOOKUP(B111,'116+240'!$B$15:$AB$115,20,FALSE)</f>
        <v>1875</v>
      </c>
      <c r="H111" s="84">
        <f>VLOOKUP(B111,'116+240'!$B$15:$AB$115,4,FALSE)</f>
        <v>-442</v>
      </c>
      <c r="I111" s="80">
        <f t="shared" si="15"/>
        <v>2715</v>
      </c>
      <c r="J111" s="80">
        <f>VLOOKUP(B111,'116+240'!$B$15:$AB$115,13,FALSE)</f>
        <v>-285</v>
      </c>
      <c r="K111" s="89">
        <f>'116+240'!Q112</f>
        <v>4</v>
      </c>
      <c r="L111" s="83">
        <f t="shared" si="20"/>
        <v>325</v>
      </c>
      <c r="M111" s="82">
        <f>VLOOKUP(B111,'116+240'!$B$14:$AB$115,21,FALSE)</f>
        <v>2026</v>
      </c>
      <c r="N111" s="81">
        <f>VLOOKUP(B111,'116+240'!$B$15:$AB$115,5,FALSE)</f>
        <v>-473</v>
      </c>
      <c r="O111" s="80">
        <f t="shared" si="16"/>
        <v>2746</v>
      </c>
      <c r="P111" s="80">
        <f>VLOOKUP(B111,'116+240'!$B$15:$AB$115,14,FALSE)</f>
        <v>-254</v>
      </c>
      <c r="Q111" s="89">
        <f>'116+240'!R112</f>
        <v>0</v>
      </c>
      <c r="R111" s="83">
        <f t="shared" si="21"/>
        <v>174</v>
      </c>
      <c r="S111" s="82">
        <f>VLOOKUP(B111,'116+240'!$B$14:$AB$115,22,FALSE)</f>
        <v>2091</v>
      </c>
      <c r="T111" s="81">
        <f>VLOOKUP(B111,'116+240'!$B$15:$AB$115,6,FALSE)</f>
        <v>-588</v>
      </c>
      <c r="U111" s="80">
        <f t="shared" si="17"/>
        <v>2861</v>
      </c>
      <c r="V111" s="79">
        <f>VLOOKUP(B111,'116+240'!$B$15:$AB$115,15,FALSE)</f>
        <v>-139</v>
      </c>
      <c r="W111" s="89">
        <f>'116+240'!S112</f>
        <v>0</v>
      </c>
      <c r="X111" s="83">
        <f t="shared" si="22"/>
        <v>109</v>
      </c>
      <c r="Y111" s="78">
        <f t="shared" si="23"/>
        <v>0</v>
      </c>
      <c r="Z111" s="77">
        <f t="shared" si="24"/>
        <v>0</v>
      </c>
      <c r="AA111" s="76">
        <f t="shared" si="25"/>
        <v>2.2130000000000001</v>
      </c>
      <c r="AB111" s="76">
        <f t="shared" si="26"/>
        <v>1.9319999999999999</v>
      </c>
      <c r="AC111" s="65"/>
      <c r="AD111" s="65"/>
      <c r="AE111" s="65"/>
      <c r="AF111" s="65"/>
    </row>
    <row r="112" spans="1:32" s="91" customFormat="1" ht="15" customHeight="1">
      <c r="A112" s="92"/>
      <c r="B112" s="90">
        <f>'116+240'!B113</f>
        <v>45380</v>
      </c>
      <c r="C112" s="87">
        <f t="shared" si="18"/>
        <v>1</v>
      </c>
      <c r="D112" s="86">
        <f t="shared" si="19"/>
        <v>844</v>
      </c>
      <c r="E112" s="85">
        <f>VLOOKUP(B112,'116+240'!B113:AB214,3,FALSE)</f>
        <v>1427</v>
      </c>
      <c r="F112" s="81">
        <f t="shared" si="14"/>
        <v>2271</v>
      </c>
      <c r="G112" s="84">
        <f>VLOOKUP(B112,'116+240'!$B$15:$AB$115,20,FALSE)</f>
        <v>1872</v>
      </c>
      <c r="H112" s="84">
        <f>VLOOKUP(B112,'116+240'!$B$15:$AB$115,4,FALSE)</f>
        <v>-441</v>
      </c>
      <c r="I112" s="80">
        <f t="shared" si="15"/>
        <v>2712</v>
      </c>
      <c r="J112" s="80">
        <f>VLOOKUP(B112,'116+240'!$B$15:$AB$115,13,FALSE)</f>
        <v>-288</v>
      </c>
      <c r="K112" s="89">
        <f>'116+240'!Q113</f>
        <v>3</v>
      </c>
      <c r="L112" s="83">
        <f t="shared" si="20"/>
        <v>328</v>
      </c>
      <c r="M112" s="82">
        <f>VLOOKUP(B112,'116+240'!$B$14:$AB$115,21,FALSE)</f>
        <v>2026</v>
      </c>
      <c r="N112" s="81">
        <f>VLOOKUP(B112,'116+240'!$B$15:$AB$115,5,FALSE)</f>
        <v>-475</v>
      </c>
      <c r="O112" s="80">
        <f t="shared" si="16"/>
        <v>2746</v>
      </c>
      <c r="P112" s="80">
        <f>VLOOKUP(B112,'116+240'!$B$15:$AB$115,14,FALSE)</f>
        <v>-254</v>
      </c>
      <c r="Q112" s="89">
        <f>'116+240'!R113</f>
        <v>0</v>
      </c>
      <c r="R112" s="83">
        <f t="shared" si="21"/>
        <v>174</v>
      </c>
      <c r="S112" s="82">
        <f>VLOOKUP(B112,'116+240'!$B$14:$AB$115,22,FALSE)</f>
        <v>2091</v>
      </c>
      <c r="T112" s="81">
        <f>VLOOKUP(B112,'116+240'!$B$15:$AB$115,6,FALSE)</f>
        <v>-590</v>
      </c>
      <c r="U112" s="80">
        <f t="shared" si="17"/>
        <v>2861</v>
      </c>
      <c r="V112" s="79">
        <f>VLOOKUP(B112,'116+240'!$B$15:$AB$115,15,FALSE)</f>
        <v>-139</v>
      </c>
      <c r="W112" s="89">
        <f>'116+240'!S113</f>
        <v>0</v>
      </c>
      <c r="X112" s="83">
        <f t="shared" si="22"/>
        <v>109</v>
      </c>
      <c r="Y112" s="78">
        <f t="shared" si="23"/>
        <v>0</v>
      </c>
      <c r="Z112" s="77">
        <f t="shared" si="24"/>
        <v>0</v>
      </c>
      <c r="AA112" s="76">
        <f t="shared" si="25"/>
        <v>2.2130000000000001</v>
      </c>
      <c r="AB112" s="76">
        <f t="shared" si="26"/>
        <v>1.9319999999999999</v>
      </c>
      <c r="AC112" s="65"/>
      <c r="AD112" s="65"/>
      <c r="AE112" s="65"/>
      <c r="AF112" s="65"/>
    </row>
    <row r="113" spans="1:32" s="91" customFormat="1" ht="15" customHeight="1">
      <c r="A113" s="92"/>
      <c r="B113" s="90">
        <f>'116+240'!B114</f>
        <v>45381</v>
      </c>
      <c r="C113" s="87">
        <f t="shared" si="18"/>
        <v>1</v>
      </c>
      <c r="D113" s="86">
        <f t="shared" si="19"/>
        <v>844</v>
      </c>
      <c r="E113" s="85">
        <f>VLOOKUP(B113,'116+240'!B114:AB215,3,FALSE)</f>
        <v>1425</v>
      </c>
      <c r="F113" s="81">
        <f t="shared" si="14"/>
        <v>2269</v>
      </c>
      <c r="G113" s="84">
        <f>VLOOKUP(B113,'116+240'!$B$15:$AB$115,20,FALSE)</f>
        <v>1869</v>
      </c>
      <c r="H113" s="84">
        <f>VLOOKUP(B113,'116+240'!$B$15:$AB$115,4,FALSE)</f>
        <v>-440</v>
      </c>
      <c r="I113" s="80">
        <f t="shared" si="15"/>
        <v>2709</v>
      </c>
      <c r="J113" s="80">
        <f>VLOOKUP(B113,'116+240'!$B$15:$AB$115,13,FALSE)</f>
        <v>-291</v>
      </c>
      <c r="K113" s="89">
        <f>'116+240'!Q114</f>
        <v>3</v>
      </c>
      <c r="L113" s="83">
        <f t="shared" si="20"/>
        <v>331</v>
      </c>
      <c r="M113" s="82">
        <f>VLOOKUP(B113,'116+240'!$B$14:$AB$115,21,FALSE)</f>
        <v>2026</v>
      </c>
      <c r="N113" s="81">
        <f>VLOOKUP(B113,'116+240'!$B$15:$AB$115,5,FALSE)</f>
        <v>-477</v>
      </c>
      <c r="O113" s="80">
        <f t="shared" si="16"/>
        <v>2746</v>
      </c>
      <c r="P113" s="80">
        <f>VLOOKUP(B113,'116+240'!$B$15:$AB$115,14,FALSE)</f>
        <v>-254</v>
      </c>
      <c r="Q113" s="89">
        <f>'116+240'!R114</f>
        <v>0</v>
      </c>
      <c r="R113" s="83">
        <f t="shared" si="21"/>
        <v>174</v>
      </c>
      <c r="S113" s="82">
        <f>VLOOKUP(B113,'116+240'!$B$14:$AB$115,22,FALSE)</f>
        <v>2091</v>
      </c>
      <c r="T113" s="81">
        <f>VLOOKUP(B113,'116+240'!$B$15:$AB$115,6,FALSE)</f>
        <v>-592</v>
      </c>
      <c r="U113" s="80">
        <f t="shared" si="17"/>
        <v>2861</v>
      </c>
      <c r="V113" s="79">
        <f>VLOOKUP(B113,'116+240'!$B$15:$AB$115,15,FALSE)</f>
        <v>-139</v>
      </c>
      <c r="W113" s="89">
        <f>'116+240'!S114</f>
        <v>0</v>
      </c>
      <c r="X113" s="83">
        <f t="shared" si="22"/>
        <v>109</v>
      </c>
      <c r="Y113" s="78">
        <f t="shared" si="23"/>
        <v>0</v>
      </c>
      <c r="Z113" s="77">
        <f t="shared" si="24"/>
        <v>0</v>
      </c>
      <c r="AA113" s="76">
        <f t="shared" si="25"/>
        <v>2.2130000000000001</v>
      </c>
      <c r="AB113" s="76">
        <f t="shared" si="26"/>
        <v>1.9319999999999999</v>
      </c>
      <c r="AC113" s="65"/>
      <c r="AD113" s="65"/>
      <c r="AE113" s="65"/>
      <c r="AF113" s="65"/>
    </row>
    <row r="114" spans="1:32" s="91" customFormat="1" ht="15" customHeight="1">
      <c r="A114" s="92"/>
      <c r="B114" s="90">
        <f>'116+240'!B115</f>
        <v>45382</v>
      </c>
      <c r="C114" s="87">
        <f t="shared" si="18"/>
        <v>1</v>
      </c>
      <c r="D114" s="86">
        <f t="shared" si="19"/>
        <v>844</v>
      </c>
      <c r="E114" s="85">
        <f>VLOOKUP(B114,'116+240'!B115:AB216,3,FALSE)</f>
        <v>1423</v>
      </c>
      <c r="F114" s="81">
        <f t="shared" si="14"/>
        <v>2267</v>
      </c>
      <c r="G114" s="84">
        <f>VLOOKUP(B114,'116+240'!$B$15:$AB$115,20,FALSE)</f>
        <v>1860</v>
      </c>
      <c r="H114" s="84">
        <f>VLOOKUP(B114,'116+240'!$B$15:$AB$115,4,FALSE)</f>
        <v>-433</v>
      </c>
      <c r="I114" s="80">
        <f t="shared" si="15"/>
        <v>2700</v>
      </c>
      <c r="J114" s="80">
        <f>VLOOKUP(B114,'116+240'!$B$15:$AB$115,13,FALSE)</f>
        <v>-300</v>
      </c>
      <c r="K114" s="89">
        <f>'116+240'!Q115</f>
        <v>9</v>
      </c>
      <c r="L114" s="83">
        <f t="shared" si="20"/>
        <v>340</v>
      </c>
      <c r="M114" s="82">
        <f>VLOOKUP(B114,'116+240'!$B$14:$AB$115,21,FALSE)</f>
        <v>2026</v>
      </c>
      <c r="N114" s="81">
        <f>VLOOKUP(B114,'116+240'!$B$15:$AB$115,5,FALSE)</f>
        <v>-479</v>
      </c>
      <c r="O114" s="80">
        <f t="shared" si="16"/>
        <v>2746</v>
      </c>
      <c r="P114" s="80">
        <f>VLOOKUP(B114,'116+240'!$B$15:$AB$115,14,FALSE)</f>
        <v>-254</v>
      </c>
      <c r="Q114" s="89">
        <f>'116+240'!R115</f>
        <v>0</v>
      </c>
      <c r="R114" s="83">
        <f t="shared" si="21"/>
        <v>174</v>
      </c>
      <c r="S114" s="82">
        <f>VLOOKUP(B114,'116+240'!$B$14:$AB$115,22,FALSE)</f>
        <v>2091</v>
      </c>
      <c r="T114" s="81">
        <f>VLOOKUP(B114,'116+240'!$B$15:$AB$115,6,FALSE)</f>
        <v>-594</v>
      </c>
      <c r="U114" s="80">
        <f t="shared" si="17"/>
        <v>2861</v>
      </c>
      <c r="V114" s="79">
        <f>VLOOKUP(B114,'116+240'!$B$15:$AB$115,15,FALSE)</f>
        <v>-139</v>
      </c>
      <c r="W114" s="89">
        <f>'116+240'!S115</f>
        <v>0</v>
      </c>
      <c r="X114" s="83">
        <f t="shared" si="22"/>
        <v>109</v>
      </c>
      <c r="Y114" s="78">
        <f t="shared" si="23"/>
        <v>0</v>
      </c>
      <c r="Z114" s="77">
        <f t="shared" si="24"/>
        <v>0</v>
      </c>
      <c r="AA114" s="76">
        <f t="shared" si="25"/>
        <v>2.2130000000000001</v>
      </c>
      <c r="AB114" s="76">
        <f t="shared" si="26"/>
        <v>1.9319999999999999</v>
      </c>
      <c r="AC114" s="65"/>
      <c r="AD114" s="65"/>
      <c r="AE114" s="65"/>
      <c r="AF114" s="65"/>
    </row>
    <row r="115" spans="1:32">
      <c r="B115" s="90">
        <f>'116+240'!B116</f>
        <v>45383</v>
      </c>
      <c r="C115" s="87">
        <f t="shared" si="18"/>
        <v>1</v>
      </c>
      <c r="D115" s="86">
        <f t="shared" si="19"/>
        <v>844</v>
      </c>
      <c r="E115" s="85">
        <f>VLOOKUP(B115,'116+240'!B116:AB217,3,FALSE)</f>
        <v>1421</v>
      </c>
      <c r="F115" s="81">
        <f t="shared" si="14"/>
        <v>2265</v>
      </c>
      <c r="G115" s="84">
        <f>VLOOKUP(B115,'116+240'!$B$15:$AB$682,20,FALSE)</f>
        <v>1858</v>
      </c>
      <c r="H115" s="84">
        <f>VLOOKUP(B115,'116+240'!$B$15:$AB$682,4,FALSE)</f>
        <v>-433</v>
      </c>
      <c r="I115" s="80">
        <f t="shared" si="15"/>
        <v>2698</v>
      </c>
      <c r="J115" s="80">
        <f>VLOOKUP(B115,'116+240'!$B$15:$AB$682,13,FALSE)</f>
        <v>-302</v>
      </c>
      <c r="K115" s="89">
        <f>'116+240'!Q116</f>
        <v>2</v>
      </c>
      <c r="L115" s="83">
        <f t="shared" si="20"/>
        <v>342</v>
      </c>
      <c r="M115" s="82">
        <f>VLOOKUP(B115,'116+240'!$B$14:$AB$682,21,FALSE)</f>
        <v>2026</v>
      </c>
      <c r="N115" s="81">
        <f>VLOOKUP(B115,'116+240'!$B$15:$AB$682,5,FALSE)</f>
        <v>-481</v>
      </c>
      <c r="O115" s="80">
        <f t="shared" si="16"/>
        <v>2746</v>
      </c>
      <c r="P115" s="80">
        <f>VLOOKUP(B115,'116+240'!$B$15:$AB$682,14,FALSE)</f>
        <v>-254</v>
      </c>
      <c r="Q115" s="89">
        <f>'116+240'!R116</f>
        <v>0</v>
      </c>
      <c r="R115" s="83">
        <f t="shared" si="21"/>
        <v>174</v>
      </c>
      <c r="S115" s="82">
        <f>VLOOKUP(B115,'116+240'!$B$14:$AB$682,22,FALSE)</f>
        <v>2091</v>
      </c>
      <c r="T115" s="81">
        <f>VLOOKUP(B115,'116+240'!$B$15:$AB$682,6,FALSE)</f>
        <v>-596</v>
      </c>
      <c r="U115" s="80">
        <f t="shared" si="17"/>
        <v>2861</v>
      </c>
      <c r="V115" s="79">
        <f>VLOOKUP(B115,'116+240'!$B$15:$AB$682,15,FALSE)</f>
        <v>-139</v>
      </c>
      <c r="W115" s="89">
        <f>'116+240'!S116</f>
        <v>0</v>
      </c>
      <c r="X115" s="83">
        <f t="shared" si="22"/>
        <v>109</v>
      </c>
      <c r="Y115" s="78">
        <f t="shared" si="23"/>
        <v>0</v>
      </c>
      <c r="Z115" s="77">
        <f t="shared" si="24"/>
        <v>0</v>
      </c>
      <c r="AA115" s="76">
        <f t="shared" si="25"/>
        <v>2.2130000000000001</v>
      </c>
      <c r="AB115" s="76">
        <f t="shared" si="26"/>
        <v>1.9319999999999999</v>
      </c>
      <c r="AD115" s="64"/>
      <c r="AE115" s="63"/>
    </row>
    <row r="116" spans="1:32">
      <c r="B116" s="90">
        <f>'116+240'!B117</f>
        <v>45384</v>
      </c>
      <c r="C116" s="87">
        <f t="shared" si="18"/>
        <v>1</v>
      </c>
      <c r="D116" s="86">
        <f t="shared" si="19"/>
        <v>844</v>
      </c>
      <c r="E116" s="85">
        <f>VLOOKUP(B116,'116+240'!B117:AB218,3,FALSE)</f>
        <v>1419</v>
      </c>
      <c r="F116" s="81">
        <f t="shared" si="14"/>
        <v>2263</v>
      </c>
      <c r="G116" s="84">
        <f>VLOOKUP(B116,'116+240'!$B$15:$AB$682,20,FALSE)</f>
        <v>1856</v>
      </c>
      <c r="H116" s="84">
        <f>VLOOKUP(B116,'116+240'!$B$15:$AB$682,4,FALSE)</f>
        <v>-433</v>
      </c>
      <c r="I116" s="80">
        <f t="shared" si="15"/>
        <v>2696</v>
      </c>
      <c r="J116" s="80">
        <f>VLOOKUP(B116,'116+240'!$B$15:$AB$682,13,FALSE)</f>
        <v>-304</v>
      </c>
      <c r="K116" s="89">
        <f>'116+240'!Q117</f>
        <v>2</v>
      </c>
      <c r="L116" s="83">
        <f t="shared" si="20"/>
        <v>344</v>
      </c>
      <c r="M116" s="82">
        <f>VLOOKUP(B116,'116+240'!$B$14:$AB$682,21,FALSE)</f>
        <v>2026</v>
      </c>
      <c r="N116" s="81">
        <f>VLOOKUP(B116,'116+240'!$B$15:$AB$682,5,FALSE)</f>
        <v>-483</v>
      </c>
      <c r="O116" s="80">
        <f t="shared" si="16"/>
        <v>2746</v>
      </c>
      <c r="P116" s="80">
        <f>VLOOKUP(B116,'116+240'!$B$15:$AB$682,14,FALSE)</f>
        <v>-254</v>
      </c>
      <c r="Q116" s="89">
        <f>'116+240'!R117</f>
        <v>0</v>
      </c>
      <c r="R116" s="83">
        <f t="shared" si="21"/>
        <v>174</v>
      </c>
      <c r="S116" s="82">
        <f>VLOOKUP(B116,'116+240'!$B$14:$AB$682,22,FALSE)</f>
        <v>2091</v>
      </c>
      <c r="T116" s="81">
        <f>VLOOKUP(B116,'116+240'!$B$15:$AB$682,6,FALSE)</f>
        <v>-598</v>
      </c>
      <c r="U116" s="80">
        <f t="shared" si="17"/>
        <v>2861</v>
      </c>
      <c r="V116" s="79">
        <f>VLOOKUP(B116,'116+240'!$B$15:$AB$682,15,FALSE)</f>
        <v>-139</v>
      </c>
      <c r="W116" s="89">
        <f>'116+240'!S117</f>
        <v>0</v>
      </c>
      <c r="X116" s="83">
        <f t="shared" si="22"/>
        <v>109</v>
      </c>
      <c r="Y116" s="78">
        <f t="shared" si="23"/>
        <v>0</v>
      </c>
      <c r="Z116" s="77">
        <f t="shared" si="24"/>
        <v>0</v>
      </c>
      <c r="AA116" s="76">
        <f t="shared" si="25"/>
        <v>2.2130000000000001</v>
      </c>
      <c r="AB116" s="76">
        <f t="shared" si="26"/>
        <v>1.9319999999999999</v>
      </c>
      <c r="AD116" s="64"/>
      <c r="AE116" s="63"/>
    </row>
    <row r="117" spans="1:32">
      <c r="B117" s="90">
        <f>'116+240'!B118</f>
        <v>45385</v>
      </c>
      <c r="C117" s="87">
        <f t="shared" si="18"/>
        <v>1</v>
      </c>
      <c r="D117" s="86">
        <f t="shared" si="19"/>
        <v>844</v>
      </c>
      <c r="E117" s="85">
        <f>VLOOKUP(B117,'116+240'!B118:AB219,3,FALSE)</f>
        <v>1417</v>
      </c>
      <c r="F117" s="81">
        <f t="shared" si="14"/>
        <v>2261</v>
      </c>
      <c r="G117" s="84">
        <f>VLOOKUP(B117,'116+240'!$B$15:$AB$682,20,FALSE)</f>
        <v>1854</v>
      </c>
      <c r="H117" s="84">
        <f>VLOOKUP(B117,'116+240'!$B$15:$AB$682,4,FALSE)</f>
        <v>-433</v>
      </c>
      <c r="I117" s="80">
        <f t="shared" si="15"/>
        <v>2694</v>
      </c>
      <c r="J117" s="80">
        <f>VLOOKUP(B117,'116+240'!$B$15:$AB$682,13,FALSE)</f>
        <v>-306</v>
      </c>
      <c r="K117" s="89">
        <f>'116+240'!Q118</f>
        <v>2</v>
      </c>
      <c r="L117" s="83">
        <f t="shared" si="20"/>
        <v>346</v>
      </c>
      <c r="M117" s="82">
        <f>VLOOKUP(B117,'116+240'!$B$14:$AB$682,21,FALSE)</f>
        <v>2026</v>
      </c>
      <c r="N117" s="81">
        <f>VLOOKUP(B117,'116+240'!$B$15:$AB$682,5,FALSE)</f>
        <v>-485</v>
      </c>
      <c r="O117" s="80">
        <f t="shared" si="16"/>
        <v>2746</v>
      </c>
      <c r="P117" s="80">
        <f>VLOOKUP(B117,'116+240'!$B$15:$AB$682,14,FALSE)</f>
        <v>-254</v>
      </c>
      <c r="Q117" s="89">
        <f>'116+240'!R118</f>
        <v>0</v>
      </c>
      <c r="R117" s="83">
        <f t="shared" si="21"/>
        <v>174</v>
      </c>
      <c r="S117" s="82">
        <f>VLOOKUP(B117,'116+240'!$B$14:$AB$682,22,FALSE)</f>
        <v>2091</v>
      </c>
      <c r="T117" s="81">
        <f>VLOOKUP(B117,'116+240'!$B$15:$AB$682,6,FALSE)</f>
        <v>-600</v>
      </c>
      <c r="U117" s="80">
        <f t="shared" si="17"/>
        <v>2861</v>
      </c>
      <c r="V117" s="79">
        <f>VLOOKUP(B117,'116+240'!$B$15:$AB$682,15,FALSE)</f>
        <v>-139</v>
      </c>
      <c r="W117" s="89">
        <f>'116+240'!S118</f>
        <v>0</v>
      </c>
      <c r="X117" s="83">
        <f t="shared" si="22"/>
        <v>109</v>
      </c>
      <c r="Y117" s="78">
        <f t="shared" si="23"/>
        <v>0</v>
      </c>
      <c r="Z117" s="77">
        <f t="shared" si="24"/>
        <v>0</v>
      </c>
      <c r="AA117" s="76">
        <f t="shared" si="25"/>
        <v>2.2130000000000001</v>
      </c>
      <c r="AB117" s="76">
        <f t="shared" si="26"/>
        <v>1.9319999999999999</v>
      </c>
      <c r="AD117" s="64"/>
      <c r="AE117" s="63"/>
    </row>
    <row r="118" spans="1:32">
      <c r="B118" s="90">
        <f>'116+240'!B119</f>
        <v>45386</v>
      </c>
      <c r="C118" s="87">
        <f t="shared" si="18"/>
        <v>1</v>
      </c>
      <c r="D118" s="86">
        <f t="shared" si="19"/>
        <v>844</v>
      </c>
      <c r="E118" s="85">
        <f>VLOOKUP(B118,'116+240'!B119:AB220,3,FALSE)</f>
        <v>1415</v>
      </c>
      <c r="F118" s="81">
        <f t="shared" si="14"/>
        <v>2259</v>
      </c>
      <c r="G118" s="84">
        <f>VLOOKUP(B118,'116+240'!$B$15:$AB$682,20,FALSE)</f>
        <v>1852</v>
      </c>
      <c r="H118" s="84">
        <f>VLOOKUP(B118,'116+240'!$B$15:$AB$682,4,FALSE)</f>
        <v>-433</v>
      </c>
      <c r="I118" s="80">
        <f t="shared" si="15"/>
        <v>2692</v>
      </c>
      <c r="J118" s="80">
        <f>VLOOKUP(B118,'116+240'!$B$15:$AB$682,13,FALSE)</f>
        <v>-308</v>
      </c>
      <c r="K118" s="89">
        <f>'116+240'!Q119</f>
        <v>2</v>
      </c>
      <c r="L118" s="83">
        <f t="shared" si="20"/>
        <v>348</v>
      </c>
      <c r="M118" s="82">
        <f>VLOOKUP(B118,'116+240'!$B$14:$AB$682,21,FALSE)</f>
        <v>2026</v>
      </c>
      <c r="N118" s="81">
        <f>VLOOKUP(B118,'116+240'!$B$15:$AB$682,5,FALSE)</f>
        <v>-487</v>
      </c>
      <c r="O118" s="80">
        <f t="shared" si="16"/>
        <v>2746</v>
      </c>
      <c r="P118" s="80">
        <f>VLOOKUP(B118,'116+240'!$B$15:$AB$682,14,FALSE)</f>
        <v>-254</v>
      </c>
      <c r="Q118" s="89">
        <f>'116+240'!R119</f>
        <v>0</v>
      </c>
      <c r="R118" s="83">
        <f t="shared" si="21"/>
        <v>174</v>
      </c>
      <c r="S118" s="82">
        <f>VLOOKUP(B118,'116+240'!$B$14:$AB$682,22,FALSE)</f>
        <v>2091</v>
      </c>
      <c r="T118" s="81">
        <f>VLOOKUP(B118,'116+240'!$B$15:$AB$682,6,FALSE)</f>
        <v>-602</v>
      </c>
      <c r="U118" s="80">
        <f t="shared" si="17"/>
        <v>2861</v>
      </c>
      <c r="V118" s="79">
        <f>VLOOKUP(B118,'116+240'!$B$15:$AB$682,15,FALSE)</f>
        <v>-139</v>
      </c>
      <c r="W118" s="89">
        <f>'116+240'!S119</f>
        <v>0</v>
      </c>
      <c r="X118" s="83">
        <f t="shared" si="22"/>
        <v>109</v>
      </c>
      <c r="Y118" s="78">
        <f t="shared" si="23"/>
        <v>0</v>
      </c>
      <c r="Z118" s="77">
        <f t="shared" si="24"/>
        <v>0</v>
      </c>
      <c r="AA118" s="76">
        <f t="shared" si="25"/>
        <v>2.2130000000000001</v>
      </c>
      <c r="AB118" s="76">
        <f t="shared" si="26"/>
        <v>1.9319999999999999</v>
      </c>
      <c r="AD118" s="64"/>
      <c r="AE118" s="63"/>
    </row>
    <row r="119" spans="1:32">
      <c r="B119" s="90">
        <f>'116+240'!B120</f>
        <v>45387</v>
      </c>
      <c r="C119" s="87">
        <f t="shared" si="18"/>
        <v>1</v>
      </c>
      <c r="D119" s="86">
        <f t="shared" si="19"/>
        <v>844</v>
      </c>
      <c r="E119" s="85">
        <f>VLOOKUP(B119,'116+240'!B120:AB221,3,FALSE)</f>
        <v>1413</v>
      </c>
      <c r="F119" s="81">
        <f t="shared" si="14"/>
        <v>2257</v>
      </c>
      <c r="G119" s="84">
        <f>VLOOKUP(B119,'116+240'!$B$15:$AB$682,20,FALSE)</f>
        <v>1851</v>
      </c>
      <c r="H119" s="84">
        <f>VLOOKUP(B119,'116+240'!$B$15:$AB$682,4,FALSE)</f>
        <v>-434</v>
      </c>
      <c r="I119" s="80">
        <f t="shared" si="15"/>
        <v>2691</v>
      </c>
      <c r="J119" s="80">
        <f>VLOOKUP(B119,'116+240'!$B$15:$AB$682,13,FALSE)</f>
        <v>-309</v>
      </c>
      <c r="K119" s="89">
        <f>'116+240'!Q120</f>
        <v>1</v>
      </c>
      <c r="L119" s="83">
        <f t="shared" si="20"/>
        <v>349</v>
      </c>
      <c r="M119" s="82">
        <f>VLOOKUP(B119,'116+240'!$B$14:$AB$682,21,FALSE)</f>
        <v>2026</v>
      </c>
      <c r="N119" s="81">
        <f>VLOOKUP(B119,'116+240'!$B$15:$AB$682,5,FALSE)</f>
        <v>-489</v>
      </c>
      <c r="O119" s="80">
        <f t="shared" si="16"/>
        <v>2746</v>
      </c>
      <c r="P119" s="80">
        <f>VLOOKUP(B119,'116+240'!$B$15:$AB$682,14,FALSE)</f>
        <v>-254</v>
      </c>
      <c r="Q119" s="89">
        <f>'116+240'!R120</f>
        <v>0</v>
      </c>
      <c r="R119" s="83">
        <f t="shared" si="21"/>
        <v>174</v>
      </c>
      <c r="S119" s="82">
        <f>VLOOKUP(B119,'116+240'!$B$14:$AB$682,22,FALSE)</f>
        <v>2091</v>
      </c>
      <c r="T119" s="81">
        <f>VLOOKUP(B119,'116+240'!$B$15:$AB$682,6,FALSE)</f>
        <v>-604</v>
      </c>
      <c r="U119" s="80">
        <f t="shared" si="17"/>
        <v>2861</v>
      </c>
      <c r="V119" s="79">
        <f>VLOOKUP(B119,'116+240'!$B$15:$AB$682,15,FALSE)</f>
        <v>-139</v>
      </c>
      <c r="W119" s="89">
        <f>'116+240'!S120</f>
        <v>0</v>
      </c>
      <c r="X119" s="83">
        <f t="shared" si="22"/>
        <v>109</v>
      </c>
      <c r="Y119" s="78">
        <f t="shared" si="23"/>
        <v>0</v>
      </c>
      <c r="Z119" s="77">
        <f t="shared" si="24"/>
        <v>0</v>
      </c>
      <c r="AA119" s="76">
        <f t="shared" si="25"/>
        <v>2.2130000000000001</v>
      </c>
      <c r="AB119" s="76">
        <f t="shared" si="26"/>
        <v>1.9319999999999999</v>
      </c>
      <c r="AD119" s="64"/>
      <c r="AE119" s="63"/>
    </row>
    <row r="120" spans="1:32">
      <c r="B120" s="90">
        <f>'116+240'!B121</f>
        <v>45388</v>
      </c>
      <c r="C120" s="87">
        <f t="shared" si="18"/>
        <v>1</v>
      </c>
      <c r="D120" s="86">
        <f t="shared" si="19"/>
        <v>844</v>
      </c>
      <c r="E120" s="85">
        <f>VLOOKUP(B120,'116+240'!B121:AB222,3,FALSE)</f>
        <v>1411</v>
      </c>
      <c r="F120" s="81">
        <f t="shared" si="14"/>
        <v>2255</v>
      </c>
      <c r="G120" s="84">
        <f>VLOOKUP(B120,'116+240'!$B$15:$AB$682,20,FALSE)</f>
        <v>1851</v>
      </c>
      <c r="H120" s="84">
        <f>VLOOKUP(B120,'116+240'!$B$15:$AB$682,4,FALSE)</f>
        <v>-436</v>
      </c>
      <c r="I120" s="80">
        <f t="shared" si="15"/>
        <v>2691</v>
      </c>
      <c r="J120" s="80">
        <f>VLOOKUP(B120,'116+240'!$B$15:$AB$682,13,FALSE)</f>
        <v>-309</v>
      </c>
      <c r="K120" s="89">
        <f>'116+240'!Q121</f>
        <v>0</v>
      </c>
      <c r="L120" s="83">
        <f t="shared" si="20"/>
        <v>349</v>
      </c>
      <c r="M120" s="82">
        <f>VLOOKUP(B120,'116+240'!$B$14:$AB$682,21,FALSE)</f>
        <v>2026</v>
      </c>
      <c r="N120" s="81">
        <f>VLOOKUP(B120,'116+240'!$B$15:$AB$682,5,FALSE)</f>
        <v>-491</v>
      </c>
      <c r="O120" s="80">
        <f t="shared" si="16"/>
        <v>2746</v>
      </c>
      <c r="P120" s="80">
        <f>VLOOKUP(B120,'116+240'!$B$15:$AB$682,14,FALSE)</f>
        <v>-254</v>
      </c>
      <c r="Q120" s="89">
        <f>'116+240'!R121</f>
        <v>0</v>
      </c>
      <c r="R120" s="83">
        <f t="shared" si="21"/>
        <v>174</v>
      </c>
      <c r="S120" s="82">
        <f>VLOOKUP(B120,'116+240'!$B$14:$AB$682,22,FALSE)</f>
        <v>2091</v>
      </c>
      <c r="T120" s="81">
        <f>VLOOKUP(B120,'116+240'!$B$15:$AB$682,6,FALSE)</f>
        <v>-606</v>
      </c>
      <c r="U120" s="80">
        <f t="shared" si="17"/>
        <v>2861</v>
      </c>
      <c r="V120" s="79">
        <f>VLOOKUP(B120,'116+240'!$B$15:$AB$682,15,FALSE)</f>
        <v>-139</v>
      </c>
      <c r="W120" s="89">
        <f>'116+240'!S121</f>
        <v>0</v>
      </c>
      <c r="X120" s="83">
        <f t="shared" si="22"/>
        <v>109</v>
      </c>
      <c r="Y120" s="78">
        <f t="shared" si="23"/>
        <v>0</v>
      </c>
      <c r="Z120" s="77">
        <f t="shared" si="24"/>
        <v>0</v>
      </c>
      <c r="AA120" s="76">
        <f t="shared" si="25"/>
        <v>2.2130000000000001</v>
      </c>
      <c r="AB120" s="76">
        <f t="shared" si="26"/>
        <v>1.9319999999999999</v>
      </c>
      <c r="AD120" s="64"/>
      <c r="AE120" s="63"/>
    </row>
    <row r="121" spans="1:32">
      <c r="B121" s="90">
        <f>'116+240'!B122</f>
        <v>45389</v>
      </c>
      <c r="C121" s="87">
        <f t="shared" si="18"/>
        <v>1</v>
      </c>
      <c r="D121" s="86">
        <f t="shared" si="19"/>
        <v>844</v>
      </c>
      <c r="E121" s="85">
        <f>VLOOKUP(B121,'116+240'!B122:AB223,3,FALSE)</f>
        <v>1409</v>
      </c>
      <c r="F121" s="81">
        <f t="shared" si="14"/>
        <v>2253</v>
      </c>
      <c r="G121" s="84">
        <f>VLOOKUP(B121,'116+240'!$B$15:$AB$682,20,FALSE)</f>
        <v>1850</v>
      </c>
      <c r="H121" s="84">
        <f>VLOOKUP(B121,'116+240'!$B$15:$AB$682,4,FALSE)</f>
        <v>-437</v>
      </c>
      <c r="I121" s="80">
        <f t="shared" si="15"/>
        <v>2690</v>
      </c>
      <c r="J121" s="80">
        <f>VLOOKUP(B121,'116+240'!$B$15:$AB$682,13,FALSE)</f>
        <v>-310</v>
      </c>
      <c r="K121" s="89">
        <f>'116+240'!Q122</f>
        <v>1</v>
      </c>
      <c r="L121" s="83">
        <f t="shared" si="20"/>
        <v>350</v>
      </c>
      <c r="M121" s="82">
        <f>VLOOKUP(B121,'116+240'!$B$14:$AB$682,21,FALSE)</f>
        <v>2026</v>
      </c>
      <c r="N121" s="81">
        <f>VLOOKUP(B121,'116+240'!$B$15:$AB$682,5,FALSE)</f>
        <v>-493</v>
      </c>
      <c r="O121" s="80">
        <f t="shared" si="16"/>
        <v>2746</v>
      </c>
      <c r="P121" s="80">
        <f>VLOOKUP(B121,'116+240'!$B$15:$AB$682,14,FALSE)</f>
        <v>-254</v>
      </c>
      <c r="Q121" s="89">
        <f>'116+240'!R122</f>
        <v>0</v>
      </c>
      <c r="R121" s="83">
        <f t="shared" si="21"/>
        <v>174</v>
      </c>
      <c r="S121" s="82">
        <f>VLOOKUP(B121,'116+240'!$B$14:$AB$682,22,FALSE)</f>
        <v>2091</v>
      </c>
      <c r="T121" s="81">
        <f>VLOOKUP(B121,'116+240'!$B$15:$AB$682,6,FALSE)</f>
        <v>-608</v>
      </c>
      <c r="U121" s="80">
        <f t="shared" si="17"/>
        <v>2861</v>
      </c>
      <c r="V121" s="79">
        <f>VLOOKUP(B121,'116+240'!$B$15:$AB$682,15,FALSE)</f>
        <v>-139</v>
      </c>
      <c r="W121" s="89">
        <f>'116+240'!S122</f>
        <v>0</v>
      </c>
      <c r="X121" s="83">
        <f t="shared" si="22"/>
        <v>109</v>
      </c>
      <c r="Y121" s="78">
        <f t="shared" si="23"/>
        <v>0</v>
      </c>
      <c r="Z121" s="77">
        <f t="shared" si="24"/>
        <v>0</v>
      </c>
      <c r="AA121" s="76">
        <f t="shared" si="25"/>
        <v>2.2130000000000001</v>
      </c>
      <c r="AB121" s="76">
        <f t="shared" si="26"/>
        <v>1.9319999999999999</v>
      </c>
      <c r="AD121" s="64"/>
      <c r="AE121" s="63"/>
    </row>
    <row r="122" spans="1:32">
      <c r="B122" s="90">
        <f>'116+240'!B123</f>
        <v>45390</v>
      </c>
      <c r="C122" s="87">
        <f t="shared" si="18"/>
        <v>1</v>
      </c>
      <c r="D122" s="86">
        <f t="shared" si="19"/>
        <v>844</v>
      </c>
      <c r="E122" s="85">
        <f>VLOOKUP(B122,'116+240'!B123:AB224,3,FALSE)</f>
        <v>1407</v>
      </c>
      <c r="F122" s="81">
        <f t="shared" si="14"/>
        <v>2251</v>
      </c>
      <c r="G122" s="84">
        <f>VLOOKUP(B122,'116+240'!$B$15:$AB$682,20,FALSE)</f>
        <v>1850</v>
      </c>
      <c r="H122" s="84">
        <f>VLOOKUP(B122,'116+240'!$B$15:$AB$682,4,FALSE)</f>
        <v>-439</v>
      </c>
      <c r="I122" s="80">
        <f t="shared" si="15"/>
        <v>2690</v>
      </c>
      <c r="J122" s="80">
        <f>VLOOKUP(B122,'116+240'!$B$15:$AB$682,13,FALSE)</f>
        <v>-310</v>
      </c>
      <c r="K122" s="89">
        <f>'116+240'!Q123</f>
        <v>0</v>
      </c>
      <c r="L122" s="83">
        <f t="shared" si="20"/>
        <v>350</v>
      </c>
      <c r="M122" s="82">
        <f>VLOOKUP(B122,'116+240'!$B$14:$AB$682,21,FALSE)</f>
        <v>2026</v>
      </c>
      <c r="N122" s="81">
        <f>VLOOKUP(B122,'116+240'!$B$15:$AB$682,5,FALSE)</f>
        <v>-495</v>
      </c>
      <c r="O122" s="80">
        <f t="shared" si="16"/>
        <v>2746</v>
      </c>
      <c r="P122" s="80">
        <f>VLOOKUP(B122,'116+240'!$B$15:$AB$682,14,FALSE)</f>
        <v>-254</v>
      </c>
      <c r="Q122" s="89">
        <f>'116+240'!R123</f>
        <v>0</v>
      </c>
      <c r="R122" s="83">
        <f t="shared" si="21"/>
        <v>174</v>
      </c>
      <c r="S122" s="82">
        <f>VLOOKUP(B122,'116+240'!$B$14:$AB$682,22,FALSE)</f>
        <v>2091</v>
      </c>
      <c r="T122" s="81">
        <f>VLOOKUP(B122,'116+240'!$B$15:$AB$682,6,FALSE)</f>
        <v>-610</v>
      </c>
      <c r="U122" s="80">
        <f t="shared" si="17"/>
        <v>2861</v>
      </c>
      <c r="V122" s="79">
        <f>VLOOKUP(B122,'116+240'!$B$15:$AB$682,15,FALSE)</f>
        <v>-139</v>
      </c>
      <c r="W122" s="89">
        <f>'116+240'!S123</f>
        <v>0</v>
      </c>
      <c r="X122" s="83">
        <f t="shared" si="22"/>
        <v>109</v>
      </c>
      <c r="Y122" s="78">
        <f t="shared" si="23"/>
        <v>0</v>
      </c>
      <c r="Z122" s="77">
        <f t="shared" si="24"/>
        <v>0</v>
      </c>
      <c r="AA122" s="76">
        <f t="shared" si="25"/>
        <v>2.2130000000000001</v>
      </c>
      <c r="AB122" s="76">
        <f t="shared" si="26"/>
        <v>1.9319999999999999</v>
      </c>
      <c r="AD122" s="64"/>
      <c r="AE122" s="63"/>
    </row>
    <row r="123" spans="1:32">
      <c r="B123" s="90">
        <f>'116+240'!B124</f>
        <v>45391</v>
      </c>
      <c r="C123" s="87">
        <f t="shared" si="18"/>
        <v>1</v>
      </c>
      <c r="D123" s="86">
        <f t="shared" si="19"/>
        <v>844</v>
      </c>
      <c r="E123" s="85">
        <f>VLOOKUP(B123,'116+240'!B124:AB225,3,FALSE)</f>
        <v>1405</v>
      </c>
      <c r="F123" s="81">
        <f t="shared" si="14"/>
        <v>2249</v>
      </c>
      <c r="G123" s="84">
        <f>VLOOKUP(B123,'116+240'!$B$15:$AB$682,20,FALSE)</f>
        <v>1848</v>
      </c>
      <c r="H123" s="84">
        <f>VLOOKUP(B123,'116+240'!$B$15:$AB$682,4,FALSE)</f>
        <v>-439</v>
      </c>
      <c r="I123" s="80">
        <f t="shared" si="15"/>
        <v>2688</v>
      </c>
      <c r="J123" s="80">
        <f>VLOOKUP(B123,'116+240'!$B$15:$AB$682,13,FALSE)</f>
        <v>-312</v>
      </c>
      <c r="K123" s="89">
        <f>'116+240'!Q124</f>
        <v>2</v>
      </c>
      <c r="L123" s="83">
        <f t="shared" si="20"/>
        <v>352</v>
      </c>
      <c r="M123" s="82">
        <f>VLOOKUP(B123,'116+240'!$B$14:$AB$682,21,FALSE)</f>
        <v>2026</v>
      </c>
      <c r="N123" s="81">
        <f>VLOOKUP(B123,'116+240'!$B$15:$AB$682,5,FALSE)</f>
        <v>-497</v>
      </c>
      <c r="O123" s="80">
        <f t="shared" si="16"/>
        <v>2746</v>
      </c>
      <c r="P123" s="80">
        <f>VLOOKUP(B123,'116+240'!$B$15:$AB$682,14,FALSE)</f>
        <v>-254</v>
      </c>
      <c r="Q123" s="89">
        <f>'116+240'!R124</f>
        <v>0</v>
      </c>
      <c r="R123" s="83">
        <f t="shared" si="21"/>
        <v>174</v>
      </c>
      <c r="S123" s="82">
        <f>VLOOKUP(B123,'116+240'!$B$14:$AB$682,22,FALSE)</f>
        <v>2091</v>
      </c>
      <c r="T123" s="81">
        <f>VLOOKUP(B123,'116+240'!$B$15:$AB$682,6,FALSE)</f>
        <v>-612</v>
      </c>
      <c r="U123" s="80">
        <f t="shared" si="17"/>
        <v>2861</v>
      </c>
      <c r="V123" s="79">
        <f>VLOOKUP(B123,'116+240'!$B$15:$AB$682,15,FALSE)</f>
        <v>-139</v>
      </c>
      <c r="W123" s="89">
        <f>'116+240'!S124</f>
        <v>0</v>
      </c>
      <c r="X123" s="83">
        <f t="shared" si="22"/>
        <v>109</v>
      </c>
      <c r="Y123" s="78">
        <f t="shared" si="23"/>
        <v>0</v>
      </c>
      <c r="Z123" s="77">
        <f t="shared" si="24"/>
        <v>0</v>
      </c>
      <c r="AA123" s="76">
        <f t="shared" si="25"/>
        <v>2.2130000000000001</v>
      </c>
      <c r="AB123" s="76">
        <f t="shared" si="26"/>
        <v>1.9319999999999999</v>
      </c>
      <c r="AD123" s="64"/>
      <c r="AE123" s="63"/>
    </row>
    <row r="124" spans="1:32">
      <c r="B124" s="90">
        <f>'116+240'!B125</f>
        <v>45392</v>
      </c>
      <c r="C124" s="87">
        <f t="shared" si="18"/>
        <v>1</v>
      </c>
      <c r="D124" s="86">
        <f t="shared" si="19"/>
        <v>844</v>
      </c>
      <c r="E124" s="85">
        <f>VLOOKUP(B124,'116+240'!B125:AB226,3,FALSE)</f>
        <v>1403</v>
      </c>
      <c r="F124" s="81">
        <f t="shared" si="14"/>
        <v>2247</v>
      </c>
      <c r="G124" s="84">
        <f>VLOOKUP(B124,'116+240'!$B$15:$AB$682,20,FALSE)</f>
        <v>1846</v>
      </c>
      <c r="H124" s="84">
        <f>VLOOKUP(B124,'116+240'!$B$15:$AB$682,4,FALSE)</f>
        <v>-439</v>
      </c>
      <c r="I124" s="80">
        <f t="shared" si="15"/>
        <v>2686</v>
      </c>
      <c r="J124" s="80">
        <f>VLOOKUP(B124,'116+240'!$B$15:$AB$682,13,FALSE)</f>
        <v>-314</v>
      </c>
      <c r="K124" s="89">
        <f>'116+240'!Q125</f>
        <v>2</v>
      </c>
      <c r="L124" s="83">
        <f t="shared" si="20"/>
        <v>354</v>
      </c>
      <c r="M124" s="82">
        <f>VLOOKUP(B124,'116+240'!$B$14:$AB$682,21,FALSE)</f>
        <v>2026</v>
      </c>
      <c r="N124" s="81">
        <f>VLOOKUP(B124,'116+240'!$B$15:$AB$682,5,FALSE)</f>
        <v>-499</v>
      </c>
      <c r="O124" s="80">
        <f t="shared" si="16"/>
        <v>2746</v>
      </c>
      <c r="P124" s="80">
        <f>VLOOKUP(B124,'116+240'!$B$15:$AB$682,14,FALSE)</f>
        <v>-254</v>
      </c>
      <c r="Q124" s="89">
        <f>'116+240'!R125</f>
        <v>0</v>
      </c>
      <c r="R124" s="83">
        <f t="shared" si="21"/>
        <v>174</v>
      </c>
      <c r="S124" s="82">
        <f>VLOOKUP(B124,'116+240'!$B$14:$AB$682,22,FALSE)</f>
        <v>2091</v>
      </c>
      <c r="T124" s="81">
        <f>VLOOKUP(B124,'116+240'!$B$15:$AB$682,6,FALSE)</f>
        <v>-614</v>
      </c>
      <c r="U124" s="80">
        <f t="shared" si="17"/>
        <v>2861</v>
      </c>
      <c r="V124" s="79">
        <f>VLOOKUP(B124,'116+240'!$B$15:$AB$682,15,FALSE)</f>
        <v>-139</v>
      </c>
      <c r="W124" s="89">
        <f>'116+240'!S125</f>
        <v>0</v>
      </c>
      <c r="X124" s="83">
        <f t="shared" si="22"/>
        <v>109</v>
      </c>
      <c r="Y124" s="78">
        <f t="shared" si="23"/>
        <v>0</v>
      </c>
      <c r="Z124" s="77">
        <f t="shared" si="24"/>
        <v>0</v>
      </c>
      <c r="AA124" s="76">
        <f t="shared" si="25"/>
        <v>2.2130000000000001</v>
      </c>
      <c r="AB124" s="76">
        <f t="shared" si="26"/>
        <v>1.9319999999999999</v>
      </c>
      <c r="AD124" s="64"/>
      <c r="AE124" s="63"/>
    </row>
    <row r="125" spans="1:32">
      <c r="B125" s="90">
        <f>'116+240'!B126</f>
        <v>45393</v>
      </c>
      <c r="C125" s="87">
        <f t="shared" si="18"/>
        <v>1</v>
      </c>
      <c r="D125" s="86">
        <f t="shared" si="19"/>
        <v>844</v>
      </c>
      <c r="E125" s="85">
        <f>VLOOKUP(B125,'116+240'!B126:AB227,3,FALSE)</f>
        <v>1401</v>
      </c>
      <c r="F125" s="81">
        <f t="shared" si="14"/>
        <v>2245</v>
      </c>
      <c r="G125" s="84">
        <f>VLOOKUP(B125,'116+240'!$B$15:$AB$682,20,FALSE)</f>
        <v>1844</v>
      </c>
      <c r="H125" s="84">
        <f>VLOOKUP(B125,'116+240'!$B$15:$AB$682,4,FALSE)</f>
        <v>-439</v>
      </c>
      <c r="I125" s="80">
        <f t="shared" si="15"/>
        <v>2684</v>
      </c>
      <c r="J125" s="80">
        <f>VLOOKUP(B125,'116+240'!$B$15:$AB$682,13,FALSE)</f>
        <v>-316</v>
      </c>
      <c r="K125" s="89">
        <f>'116+240'!Q126</f>
        <v>2</v>
      </c>
      <c r="L125" s="83">
        <f t="shared" si="20"/>
        <v>356</v>
      </c>
      <c r="M125" s="82">
        <f>VLOOKUP(B125,'116+240'!$B$14:$AB$682,21,FALSE)</f>
        <v>2026</v>
      </c>
      <c r="N125" s="81">
        <f>VLOOKUP(B125,'116+240'!$B$15:$AB$682,5,FALSE)</f>
        <v>-501</v>
      </c>
      <c r="O125" s="80">
        <f t="shared" si="16"/>
        <v>2746</v>
      </c>
      <c r="P125" s="80">
        <f>VLOOKUP(B125,'116+240'!$B$15:$AB$682,14,FALSE)</f>
        <v>-254</v>
      </c>
      <c r="Q125" s="89">
        <f>'116+240'!R126</f>
        <v>0</v>
      </c>
      <c r="R125" s="83">
        <f t="shared" si="21"/>
        <v>174</v>
      </c>
      <c r="S125" s="82">
        <f>VLOOKUP(B125,'116+240'!$B$14:$AB$682,22,FALSE)</f>
        <v>2091</v>
      </c>
      <c r="T125" s="81">
        <f>VLOOKUP(B125,'116+240'!$B$15:$AB$682,6,FALSE)</f>
        <v>-616</v>
      </c>
      <c r="U125" s="80">
        <f t="shared" si="17"/>
        <v>2861</v>
      </c>
      <c r="V125" s="79">
        <f>VLOOKUP(B125,'116+240'!$B$15:$AB$682,15,FALSE)</f>
        <v>-139</v>
      </c>
      <c r="W125" s="89">
        <f>'116+240'!S126</f>
        <v>0</v>
      </c>
      <c r="X125" s="83">
        <f t="shared" si="22"/>
        <v>109</v>
      </c>
      <c r="Y125" s="78">
        <f t="shared" si="23"/>
        <v>0</v>
      </c>
      <c r="Z125" s="77">
        <f t="shared" si="24"/>
        <v>0</v>
      </c>
      <c r="AA125" s="76">
        <f t="shared" si="25"/>
        <v>2.2130000000000001</v>
      </c>
      <c r="AB125" s="76">
        <f t="shared" si="26"/>
        <v>1.9319999999999999</v>
      </c>
      <c r="AD125" s="64"/>
      <c r="AE125" s="63"/>
    </row>
    <row r="126" spans="1:32">
      <c r="B126" s="90">
        <f>'116+240'!B127</f>
        <v>45394</v>
      </c>
      <c r="C126" s="87">
        <f t="shared" si="18"/>
        <v>1</v>
      </c>
      <c r="D126" s="86">
        <f t="shared" si="19"/>
        <v>844</v>
      </c>
      <c r="E126" s="85">
        <f>VLOOKUP(B126,'116+240'!B127:AB228,3,FALSE)</f>
        <v>1403</v>
      </c>
      <c r="F126" s="81">
        <f t="shared" si="14"/>
        <v>2247</v>
      </c>
      <c r="G126" s="84">
        <f>VLOOKUP(B126,'116+240'!$B$15:$AB$682,20,FALSE)</f>
        <v>1842</v>
      </c>
      <c r="H126" s="84">
        <f>VLOOKUP(B126,'116+240'!$B$15:$AB$682,4,FALSE)</f>
        <v>-435</v>
      </c>
      <c r="I126" s="80">
        <f t="shared" si="15"/>
        <v>2682</v>
      </c>
      <c r="J126" s="80">
        <f>VLOOKUP(B126,'116+240'!$B$15:$AB$682,13,FALSE)</f>
        <v>-318</v>
      </c>
      <c r="K126" s="89">
        <f>'116+240'!Q127</f>
        <v>2</v>
      </c>
      <c r="L126" s="83">
        <f t="shared" si="20"/>
        <v>358</v>
      </c>
      <c r="M126" s="82">
        <f>VLOOKUP(B126,'116+240'!$B$14:$AB$682,21,FALSE)</f>
        <v>2026</v>
      </c>
      <c r="N126" s="81">
        <f>VLOOKUP(B126,'116+240'!$B$15:$AB$682,5,FALSE)</f>
        <v>-499</v>
      </c>
      <c r="O126" s="80">
        <f t="shared" si="16"/>
        <v>2746</v>
      </c>
      <c r="P126" s="80">
        <f>VLOOKUP(B126,'116+240'!$B$15:$AB$682,14,FALSE)</f>
        <v>-254</v>
      </c>
      <c r="Q126" s="89">
        <f>'116+240'!R127</f>
        <v>0</v>
      </c>
      <c r="R126" s="83">
        <f t="shared" si="21"/>
        <v>174</v>
      </c>
      <c r="S126" s="82">
        <f>VLOOKUP(B126,'116+240'!$B$14:$AB$682,22,FALSE)</f>
        <v>2091</v>
      </c>
      <c r="T126" s="81">
        <f>VLOOKUP(B126,'116+240'!$B$15:$AB$682,6,FALSE)</f>
        <v>-614</v>
      </c>
      <c r="U126" s="80">
        <f t="shared" si="17"/>
        <v>2861</v>
      </c>
      <c r="V126" s="79">
        <f>VLOOKUP(B126,'116+240'!$B$15:$AB$682,15,FALSE)</f>
        <v>-139</v>
      </c>
      <c r="W126" s="89">
        <f>'116+240'!S127</f>
        <v>0</v>
      </c>
      <c r="X126" s="83">
        <f t="shared" si="22"/>
        <v>109</v>
      </c>
      <c r="Y126" s="78">
        <f t="shared" si="23"/>
        <v>0</v>
      </c>
      <c r="Z126" s="77">
        <f t="shared" si="24"/>
        <v>0</v>
      </c>
      <c r="AA126" s="76">
        <f t="shared" si="25"/>
        <v>2.2130000000000001</v>
      </c>
      <c r="AB126" s="76">
        <f t="shared" si="26"/>
        <v>1.9319999999999999</v>
      </c>
      <c r="AD126" s="64"/>
      <c r="AE126" s="63"/>
    </row>
    <row r="127" spans="1:32">
      <c r="B127" s="90">
        <f>'116+240'!B128</f>
        <v>45395</v>
      </c>
      <c r="C127" s="87">
        <f t="shared" si="18"/>
        <v>1</v>
      </c>
      <c r="D127" s="86">
        <f t="shared" si="19"/>
        <v>844</v>
      </c>
      <c r="E127" s="85">
        <f>VLOOKUP(B127,'116+240'!B128:AB229,3,FALSE)</f>
        <v>1405</v>
      </c>
      <c r="F127" s="81">
        <f t="shared" si="14"/>
        <v>2249</v>
      </c>
      <c r="G127" s="84">
        <f>VLOOKUP(B127,'116+240'!$B$15:$AB$682,20,FALSE)</f>
        <v>1841</v>
      </c>
      <c r="H127" s="84">
        <f>VLOOKUP(B127,'116+240'!$B$15:$AB$682,4,FALSE)</f>
        <v>-432</v>
      </c>
      <c r="I127" s="80">
        <f t="shared" si="15"/>
        <v>2681</v>
      </c>
      <c r="J127" s="80">
        <f>VLOOKUP(B127,'116+240'!$B$15:$AB$682,13,FALSE)</f>
        <v>-319</v>
      </c>
      <c r="K127" s="89">
        <f>'116+240'!Q128</f>
        <v>1</v>
      </c>
      <c r="L127" s="83">
        <f t="shared" si="20"/>
        <v>359</v>
      </c>
      <c r="M127" s="82">
        <f>VLOOKUP(B127,'116+240'!$B$14:$AB$682,21,FALSE)</f>
        <v>2026</v>
      </c>
      <c r="N127" s="81">
        <f>VLOOKUP(B127,'116+240'!$B$15:$AB$682,5,FALSE)</f>
        <v>-497</v>
      </c>
      <c r="O127" s="80">
        <f t="shared" si="16"/>
        <v>2746</v>
      </c>
      <c r="P127" s="80">
        <f>VLOOKUP(B127,'116+240'!$B$15:$AB$682,14,FALSE)</f>
        <v>-254</v>
      </c>
      <c r="Q127" s="89">
        <f>'116+240'!R128</f>
        <v>0</v>
      </c>
      <c r="R127" s="83">
        <f t="shared" si="21"/>
        <v>174</v>
      </c>
      <c r="S127" s="82">
        <f>VLOOKUP(B127,'116+240'!$B$14:$AB$682,22,FALSE)</f>
        <v>2091</v>
      </c>
      <c r="T127" s="81">
        <f>VLOOKUP(B127,'116+240'!$B$15:$AB$682,6,FALSE)</f>
        <v>-612</v>
      </c>
      <c r="U127" s="80">
        <f t="shared" si="17"/>
        <v>2861</v>
      </c>
      <c r="V127" s="79">
        <f>VLOOKUP(B127,'116+240'!$B$15:$AB$682,15,FALSE)</f>
        <v>-139</v>
      </c>
      <c r="W127" s="89">
        <f>'116+240'!S128</f>
        <v>0</v>
      </c>
      <c r="X127" s="83">
        <f t="shared" si="22"/>
        <v>109</v>
      </c>
      <c r="Y127" s="78">
        <f t="shared" si="23"/>
        <v>0</v>
      </c>
      <c r="Z127" s="77">
        <f t="shared" si="24"/>
        <v>0</v>
      </c>
      <c r="AA127" s="76">
        <f t="shared" si="25"/>
        <v>2.2130000000000001</v>
      </c>
      <c r="AB127" s="76">
        <f t="shared" si="26"/>
        <v>1.9319999999999999</v>
      </c>
      <c r="AD127" s="64"/>
      <c r="AE127" s="63"/>
    </row>
    <row r="128" spans="1:32">
      <c r="B128" s="90">
        <f>'116+240'!B129</f>
        <v>45396</v>
      </c>
      <c r="C128" s="87">
        <f t="shared" si="18"/>
        <v>1</v>
      </c>
      <c r="D128" s="86">
        <f t="shared" si="19"/>
        <v>844</v>
      </c>
      <c r="E128" s="85">
        <f>VLOOKUP(B128,'116+240'!B129:AB230,3,FALSE)</f>
        <v>1407</v>
      </c>
      <c r="F128" s="81">
        <f t="shared" si="14"/>
        <v>2251</v>
      </c>
      <c r="G128" s="84">
        <f>VLOOKUP(B128,'116+240'!$B$15:$AB$682,20,FALSE)</f>
        <v>1839</v>
      </c>
      <c r="H128" s="84">
        <f>VLOOKUP(B128,'116+240'!$B$15:$AB$682,4,FALSE)</f>
        <v>-428</v>
      </c>
      <c r="I128" s="80">
        <f t="shared" si="15"/>
        <v>2679</v>
      </c>
      <c r="J128" s="80">
        <f>VLOOKUP(B128,'116+240'!$B$15:$AB$682,13,FALSE)</f>
        <v>-321</v>
      </c>
      <c r="K128" s="89">
        <f>'116+240'!Q129</f>
        <v>2</v>
      </c>
      <c r="L128" s="83">
        <f t="shared" si="20"/>
        <v>361</v>
      </c>
      <c r="M128" s="82">
        <f>VLOOKUP(B128,'116+240'!$B$14:$AB$682,21,FALSE)</f>
        <v>2026</v>
      </c>
      <c r="N128" s="81">
        <f>VLOOKUP(B128,'116+240'!$B$15:$AB$682,5,FALSE)</f>
        <v>-495</v>
      </c>
      <c r="O128" s="80">
        <f t="shared" si="16"/>
        <v>2746</v>
      </c>
      <c r="P128" s="80">
        <f>VLOOKUP(B128,'116+240'!$B$15:$AB$682,14,FALSE)</f>
        <v>-254</v>
      </c>
      <c r="Q128" s="89">
        <f>'116+240'!R129</f>
        <v>0</v>
      </c>
      <c r="R128" s="83">
        <f t="shared" si="21"/>
        <v>174</v>
      </c>
      <c r="S128" s="82">
        <f>VLOOKUP(B128,'116+240'!$B$14:$AB$682,22,FALSE)</f>
        <v>2091</v>
      </c>
      <c r="T128" s="81">
        <f>VLOOKUP(B128,'116+240'!$B$15:$AB$682,6,FALSE)</f>
        <v>-610</v>
      </c>
      <c r="U128" s="80">
        <f t="shared" si="17"/>
        <v>2861</v>
      </c>
      <c r="V128" s="79">
        <f>VLOOKUP(B128,'116+240'!$B$15:$AB$682,15,FALSE)</f>
        <v>-139</v>
      </c>
      <c r="W128" s="89">
        <f>'116+240'!S129</f>
        <v>0</v>
      </c>
      <c r="X128" s="83">
        <f t="shared" si="22"/>
        <v>109</v>
      </c>
      <c r="Y128" s="78">
        <f t="shared" si="23"/>
        <v>0</v>
      </c>
      <c r="Z128" s="77">
        <f t="shared" si="24"/>
        <v>0</v>
      </c>
      <c r="AA128" s="76">
        <f t="shared" si="25"/>
        <v>2.2130000000000001</v>
      </c>
      <c r="AB128" s="76">
        <f t="shared" si="26"/>
        <v>1.9319999999999999</v>
      </c>
      <c r="AD128" s="64"/>
      <c r="AE128" s="63"/>
    </row>
    <row r="129" spans="2:31">
      <c r="B129" s="90">
        <f>'116+240'!B130</f>
        <v>45397</v>
      </c>
      <c r="C129" s="87">
        <f t="shared" si="18"/>
        <v>1</v>
      </c>
      <c r="D129" s="86">
        <f t="shared" si="19"/>
        <v>844</v>
      </c>
      <c r="E129" s="85">
        <f>VLOOKUP(B129,'116+240'!B130:AB231,3,FALSE)</f>
        <v>1409</v>
      </c>
      <c r="F129" s="81">
        <f t="shared" si="14"/>
        <v>2253</v>
      </c>
      <c r="G129" s="84">
        <f>VLOOKUP(B129,'116+240'!$B$15:$AB$682,20,FALSE)</f>
        <v>1837</v>
      </c>
      <c r="H129" s="84">
        <f>VLOOKUP(B129,'116+240'!$B$15:$AB$682,4,FALSE)</f>
        <v>-424</v>
      </c>
      <c r="I129" s="80">
        <f t="shared" si="15"/>
        <v>2677</v>
      </c>
      <c r="J129" s="80">
        <f>VLOOKUP(B129,'116+240'!$B$15:$AB$682,13,FALSE)</f>
        <v>-323</v>
      </c>
      <c r="K129" s="89">
        <f>'116+240'!Q130</f>
        <v>2</v>
      </c>
      <c r="L129" s="83">
        <f t="shared" si="20"/>
        <v>363</v>
      </c>
      <c r="M129" s="82">
        <f>VLOOKUP(B129,'116+240'!$B$14:$AB$682,21,FALSE)</f>
        <v>2026</v>
      </c>
      <c r="N129" s="81">
        <f>VLOOKUP(B129,'116+240'!$B$15:$AB$682,5,FALSE)</f>
        <v>-493</v>
      </c>
      <c r="O129" s="80">
        <f t="shared" si="16"/>
        <v>2746</v>
      </c>
      <c r="P129" s="80">
        <f>VLOOKUP(B129,'116+240'!$B$15:$AB$682,14,FALSE)</f>
        <v>-254</v>
      </c>
      <c r="Q129" s="89">
        <f>'116+240'!R130</f>
        <v>0</v>
      </c>
      <c r="R129" s="83">
        <f t="shared" si="21"/>
        <v>174</v>
      </c>
      <c r="S129" s="82">
        <f>VLOOKUP(B129,'116+240'!$B$14:$AB$682,22,FALSE)</f>
        <v>2091</v>
      </c>
      <c r="T129" s="81">
        <f>VLOOKUP(B129,'116+240'!$B$15:$AB$682,6,FALSE)</f>
        <v>-608</v>
      </c>
      <c r="U129" s="80">
        <f t="shared" si="17"/>
        <v>2861</v>
      </c>
      <c r="V129" s="79">
        <f>VLOOKUP(B129,'116+240'!$B$15:$AB$682,15,FALSE)</f>
        <v>-139</v>
      </c>
      <c r="W129" s="89">
        <f>'116+240'!S130</f>
        <v>0</v>
      </c>
      <c r="X129" s="83">
        <f t="shared" si="22"/>
        <v>109</v>
      </c>
      <c r="Y129" s="78">
        <f t="shared" si="23"/>
        <v>0</v>
      </c>
      <c r="Z129" s="77">
        <f t="shared" si="24"/>
        <v>0</v>
      </c>
      <c r="AA129" s="76">
        <f t="shared" si="25"/>
        <v>2.2130000000000001</v>
      </c>
      <c r="AB129" s="76">
        <f t="shared" si="26"/>
        <v>1.9319999999999999</v>
      </c>
      <c r="AD129" s="64"/>
      <c r="AE129" s="63"/>
    </row>
    <row r="130" spans="2:31">
      <c r="B130" s="90">
        <f>'116+240'!B131</f>
        <v>45398</v>
      </c>
      <c r="C130" s="87">
        <f t="shared" si="18"/>
        <v>1</v>
      </c>
      <c r="D130" s="86">
        <f t="shared" si="19"/>
        <v>844</v>
      </c>
      <c r="E130" s="85">
        <f>VLOOKUP(B130,'116+240'!B131:AB232,3,FALSE)</f>
        <v>1411</v>
      </c>
      <c r="F130" s="81">
        <f t="shared" si="14"/>
        <v>2255</v>
      </c>
      <c r="G130" s="84">
        <f>VLOOKUP(B130,'116+240'!$B$15:$AB$682,20,FALSE)</f>
        <v>1835</v>
      </c>
      <c r="H130" s="84">
        <f>VLOOKUP(B130,'116+240'!$B$15:$AB$682,4,FALSE)</f>
        <v>-420</v>
      </c>
      <c r="I130" s="80">
        <f t="shared" si="15"/>
        <v>2675</v>
      </c>
      <c r="J130" s="80">
        <f>VLOOKUP(B130,'116+240'!$B$15:$AB$682,13,FALSE)</f>
        <v>-325</v>
      </c>
      <c r="K130" s="89">
        <f>'116+240'!Q131</f>
        <v>2</v>
      </c>
      <c r="L130" s="83">
        <f t="shared" si="20"/>
        <v>365</v>
      </c>
      <c r="M130" s="82">
        <f>VLOOKUP(B130,'116+240'!$B$14:$AB$682,21,FALSE)</f>
        <v>2026</v>
      </c>
      <c r="N130" s="81">
        <f>VLOOKUP(B130,'116+240'!$B$15:$AB$682,5,FALSE)</f>
        <v>-491</v>
      </c>
      <c r="O130" s="80">
        <f t="shared" si="16"/>
        <v>2746</v>
      </c>
      <c r="P130" s="80">
        <f>VLOOKUP(B130,'116+240'!$B$15:$AB$682,14,FALSE)</f>
        <v>-254</v>
      </c>
      <c r="Q130" s="89">
        <f>'116+240'!R131</f>
        <v>0</v>
      </c>
      <c r="R130" s="83">
        <f t="shared" si="21"/>
        <v>174</v>
      </c>
      <c r="S130" s="82">
        <f>VLOOKUP(B130,'116+240'!$B$14:$AB$682,22,FALSE)</f>
        <v>2091</v>
      </c>
      <c r="T130" s="81">
        <f>VLOOKUP(B130,'116+240'!$B$15:$AB$682,6,FALSE)</f>
        <v>-606</v>
      </c>
      <c r="U130" s="80">
        <f t="shared" si="17"/>
        <v>2861</v>
      </c>
      <c r="V130" s="79">
        <f>VLOOKUP(B130,'116+240'!$B$15:$AB$682,15,FALSE)</f>
        <v>-139</v>
      </c>
      <c r="W130" s="89">
        <f>'116+240'!S131</f>
        <v>0</v>
      </c>
      <c r="X130" s="83">
        <f t="shared" si="22"/>
        <v>109</v>
      </c>
      <c r="Y130" s="78">
        <f t="shared" si="23"/>
        <v>0</v>
      </c>
      <c r="Z130" s="77">
        <f t="shared" si="24"/>
        <v>0</v>
      </c>
      <c r="AA130" s="76">
        <f t="shared" si="25"/>
        <v>2.2130000000000001</v>
      </c>
      <c r="AB130" s="76">
        <f t="shared" si="26"/>
        <v>1.9319999999999999</v>
      </c>
      <c r="AD130" s="64"/>
      <c r="AE130" s="63"/>
    </row>
    <row r="131" spans="2:31">
      <c r="B131" s="90">
        <f>'116+240'!B132</f>
        <v>45399</v>
      </c>
      <c r="C131" s="87">
        <f t="shared" si="18"/>
        <v>1</v>
      </c>
      <c r="D131" s="86">
        <f t="shared" si="19"/>
        <v>844</v>
      </c>
      <c r="E131" s="85">
        <f>VLOOKUP(B131,'116+240'!B132:AB233,3,FALSE)</f>
        <v>1413</v>
      </c>
      <c r="F131" s="81">
        <f t="shared" si="14"/>
        <v>2257</v>
      </c>
      <c r="G131" s="84">
        <f>VLOOKUP(B131,'116+240'!$B$15:$AB$682,20,FALSE)</f>
        <v>1833</v>
      </c>
      <c r="H131" s="84">
        <f>VLOOKUP(B131,'116+240'!$B$15:$AB$682,4,FALSE)</f>
        <v>-416</v>
      </c>
      <c r="I131" s="80">
        <f t="shared" si="15"/>
        <v>2673</v>
      </c>
      <c r="J131" s="80">
        <f>VLOOKUP(B131,'116+240'!$B$15:$AB$682,13,FALSE)</f>
        <v>-327</v>
      </c>
      <c r="K131" s="89">
        <f>'116+240'!Q132</f>
        <v>2</v>
      </c>
      <c r="L131" s="83">
        <f t="shared" si="20"/>
        <v>367</v>
      </c>
      <c r="M131" s="82">
        <f>VLOOKUP(B131,'116+240'!$B$14:$AB$682,21,FALSE)</f>
        <v>2026</v>
      </c>
      <c r="N131" s="81">
        <f>VLOOKUP(B131,'116+240'!$B$15:$AB$682,5,FALSE)</f>
        <v>-489</v>
      </c>
      <c r="O131" s="80">
        <f t="shared" si="16"/>
        <v>2746</v>
      </c>
      <c r="P131" s="80">
        <f>VLOOKUP(B131,'116+240'!$B$15:$AB$682,14,FALSE)</f>
        <v>-254</v>
      </c>
      <c r="Q131" s="89">
        <f>'116+240'!R132</f>
        <v>0</v>
      </c>
      <c r="R131" s="83">
        <f t="shared" si="21"/>
        <v>174</v>
      </c>
      <c r="S131" s="82">
        <f>VLOOKUP(B131,'116+240'!$B$14:$AB$682,22,FALSE)</f>
        <v>2091</v>
      </c>
      <c r="T131" s="81">
        <f>VLOOKUP(B131,'116+240'!$B$15:$AB$682,6,FALSE)</f>
        <v>-604</v>
      </c>
      <c r="U131" s="80">
        <f t="shared" si="17"/>
        <v>2861</v>
      </c>
      <c r="V131" s="79">
        <f>VLOOKUP(B131,'116+240'!$B$15:$AB$682,15,FALSE)</f>
        <v>-139</v>
      </c>
      <c r="W131" s="89">
        <f>'116+240'!S132</f>
        <v>0</v>
      </c>
      <c r="X131" s="83">
        <f t="shared" si="22"/>
        <v>109</v>
      </c>
      <c r="Y131" s="78">
        <f t="shared" si="23"/>
        <v>0</v>
      </c>
      <c r="Z131" s="77">
        <f t="shared" si="24"/>
        <v>0</v>
      </c>
      <c r="AA131" s="76">
        <f t="shared" si="25"/>
        <v>2.2130000000000001</v>
      </c>
      <c r="AB131" s="76">
        <f t="shared" si="26"/>
        <v>1.9319999999999999</v>
      </c>
    </row>
    <row r="132" spans="2:31">
      <c r="B132" s="90">
        <f>'116+240'!B133</f>
        <v>45400</v>
      </c>
      <c r="C132" s="87">
        <f t="shared" si="18"/>
        <v>1</v>
      </c>
      <c r="D132" s="86">
        <f t="shared" si="19"/>
        <v>844</v>
      </c>
      <c r="E132" s="85">
        <f>VLOOKUP(B132,'116+240'!B133:AB234,3,FALSE)</f>
        <v>1415</v>
      </c>
      <c r="F132" s="81">
        <f t="shared" si="14"/>
        <v>2259</v>
      </c>
      <c r="G132" s="84">
        <f>VLOOKUP(B132,'116+240'!$B$15:$AB$682,20,FALSE)</f>
        <v>1833</v>
      </c>
      <c r="H132" s="84">
        <f>VLOOKUP(B132,'116+240'!$B$15:$AB$682,4,FALSE)</f>
        <v>-414</v>
      </c>
      <c r="I132" s="80">
        <f t="shared" si="15"/>
        <v>2673</v>
      </c>
      <c r="J132" s="80">
        <f>VLOOKUP(B132,'116+240'!$B$15:$AB$682,13,FALSE)</f>
        <v>-327</v>
      </c>
      <c r="K132" s="89">
        <f>'116+240'!Q133</f>
        <v>0</v>
      </c>
      <c r="L132" s="83">
        <f t="shared" si="20"/>
        <v>367</v>
      </c>
      <c r="M132" s="82">
        <f>VLOOKUP(B132,'116+240'!$B$14:$AB$682,21,FALSE)</f>
        <v>2026</v>
      </c>
      <c r="N132" s="81">
        <f>VLOOKUP(B132,'116+240'!$B$15:$AB$682,5,FALSE)</f>
        <v>-487</v>
      </c>
      <c r="O132" s="80">
        <f t="shared" si="16"/>
        <v>2746</v>
      </c>
      <c r="P132" s="80">
        <f>VLOOKUP(B132,'116+240'!$B$15:$AB$682,14,FALSE)</f>
        <v>-254</v>
      </c>
      <c r="Q132" s="89">
        <f>'116+240'!R133</f>
        <v>0</v>
      </c>
      <c r="R132" s="83">
        <f t="shared" si="21"/>
        <v>174</v>
      </c>
      <c r="S132" s="82">
        <f>VLOOKUP(B132,'116+240'!$B$14:$AB$682,22,FALSE)</f>
        <v>2091</v>
      </c>
      <c r="T132" s="81">
        <f>VLOOKUP(B132,'116+240'!$B$15:$AB$682,6,FALSE)</f>
        <v>-602</v>
      </c>
      <c r="U132" s="80">
        <f t="shared" si="17"/>
        <v>2861</v>
      </c>
      <c r="V132" s="79">
        <f>VLOOKUP(B132,'116+240'!$B$15:$AB$682,15,FALSE)</f>
        <v>-139</v>
      </c>
      <c r="W132" s="89">
        <f>'116+240'!S133</f>
        <v>0</v>
      </c>
      <c r="X132" s="83">
        <f t="shared" si="22"/>
        <v>109</v>
      </c>
      <c r="Y132" s="78">
        <f t="shared" si="23"/>
        <v>0</v>
      </c>
      <c r="Z132" s="77">
        <f t="shared" si="24"/>
        <v>0</v>
      </c>
      <c r="AA132" s="76">
        <f t="shared" si="25"/>
        <v>2.2130000000000001</v>
      </c>
      <c r="AB132" s="76">
        <f t="shared" si="26"/>
        <v>1.9319999999999999</v>
      </c>
    </row>
    <row r="133" spans="2:31">
      <c r="B133" s="90">
        <f>'116+240'!B134</f>
        <v>45401</v>
      </c>
      <c r="C133" s="87">
        <f t="shared" si="18"/>
        <v>1</v>
      </c>
      <c r="D133" s="86">
        <f t="shared" si="19"/>
        <v>844</v>
      </c>
      <c r="E133" s="85">
        <f>VLOOKUP(B133,'116+240'!B134:AB235,3,FALSE)</f>
        <v>1417</v>
      </c>
      <c r="F133" s="81">
        <f t="shared" si="14"/>
        <v>2261</v>
      </c>
      <c r="G133" s="84">
        <f>VLOOKUP(B133,'116+240'!$B$15:$AB$682,20,FALSE)</f>
        <v>1833</v>
      </c>
      <c r="H133" s="84">
        <f>VLOOKUP(B133,'116+240'!$B$15:$AB$682,4,FALSE)</f>
        <v>-412</v>
      </c>
      <c r="I133" s="80">
        <f t="shared" si="15"/>
        <v>2673</v>
      </c>
      <c r="J133" s="80">
        <f>VLOOKUP(B133,'116+240'!$B$15:$AB$682,13,FALSE)</f>
        <v>-327</v>
      </c>
      <c r="K133" s="89">
        <f>'116+240'!Q134</f>
        <v>0</v>
      </c>
      <c r="L133" s="83">
        <f t="shared" si="20"/>
        <v>367</v>
      </c>
      <c r="M133" s="82">
        <f>VLOOKUP(B133,'116+240'!$B$14:$AB$682,21,FALSE)</f>
        <v>2026</v>
      </c>
      <c r="N133" s="81">
        <f>VLOOKUP(B133,'116+240'!$B$15:$AB$682,5,FALSE)</f>
        <v>-485</v>
      </c>
      <c r="O133" s="80">
        <f t="shared" si="16"/>
        <v>2746</v>
      </c>
      <c r="P133" s="80">
        <f>VLOOKUP(B133,'116+240'!$B$15:$AB$682,14,FALSE)</f>
        <v>-254</v>
      </c>
      <c r="Q133" s="89">
        <f>'116+240'!R134</f>
        <v>0</v>
      </c>
      <c r="R133" s="83">
        <f t="shared" si="21"/>
        <v>174</v>
      </c>
      <c r="S133" s="82">
        <f>VLOOKUP(B133,'116+240'!$B$14:$AB$682,22,FALSE)</f>
        <v>2091</v>
      </c>
      <c r="T133" s="81">
        <f>VLOOKUP(B133,'116+240'!$B$15:$AB$682,6,FALSE)</f>
        <v>-600</v>
      </c>
      <c r="U133" s="80">
        <f t="shared" si="17"/>
        <v>2861</v>
      </c>
      <c r="V133" s="79">
        <f>VLOOKUP(B133,'116+240'!$B$15:$AB$682,15,FALSE)</f>
        <v>-139</v>
      </c>
      <c r="W133" s="89">
        <f>'116+240'!S134</f>
        <v>0</v>
      </c>
      <c r="X133" s="83">
        <f t="shared" si="22"/>
        <v>109</v>
      </c>
      <c r="Y133" s="78">
        <f t="shared" si="23"/>
        <v>0</v>
      </c>
      <c r="Z133" s="77">
        <f t="shared" si="24"/>
        <v>0</v>
      </c>
      <c r="AA133" s="76">
        <f t="shared" si="25"/>
        <v>2.2130000000000001</v>
      </c>
      <c r="AB133" s="76">
        <f t="shared" si="26"/>
        <v>1.9319999999999999</v>
      </c>
    </row>
    <row r="134" spans="2:31">
      <c r="B134" s="90">
        <f>'116+240'!B135</f>
        <v>45402</v>
      </c>
      <c r="C134" s="87">
        <f t="shared" si="18"/>
        <v>1</v>
      </c>
      <c r="D134" s="86">
        <f t="shared" si="19"/>
        <v>844</v>
      </c>
      <c r="E134" s="85">
        <f>VLOOKUP(B134,'116+240'!B135:AB236,3,FALSE)</f>
        <v>1419</v>
      </c>
      <c r="F134" s="81">
        <f t="shared" si="14"/>
        <v>2263</v>
      </c>
      <c r="G134" s="84">
        <f>VLOOKUP(B134,'116+240'!$B$15:$AB$682,20,FALSE)</f>
        <v>1833</v>
      </c>
      <c r="H134" s="84">
        <f>VLOOKUP(B134,'116+240'!$B$15:$AB$682,4,FALSE)</f>
        <v>-410</v>
      </c>
      <c r="I134" s="80">
        <f t="shared" si="15"/>
        <v>2673</v>
      </c>
      <c r="J134" s="80">
        <f>VLOOKUP(B134,'116+240'!$B$15:$AB$682,13,FALSE)</f>
        <v>-327</v>
      </c>
      <c r="K134" s="89">
        <f>'116+240'!Q135</f>
        <v>0</v>
      </c>
      <c r="L134" s="83">
        <f t="shared" si="20"/>
        <v>367</v>
      </c>
      <c r="M134" s="82">
        <f>VLOOKUP(B134,'116+240'!$B$14:$AB$682,21,FALSE)</f>
        <v>2026</v>
      </c>
      <c r="N134" s="81">
        <f>VLOOKUP(B134,'116+240'!$B$15:$AB$682,5,FALSE)</f>
        <v>-483</v>
      </c>
      <c r="O134" s="80">
        <f t="shared" si="16"/>
        <v>2746</v>
      </c>
      <c r="P134" s="80">
        <f>VLOOKUP(B134,'116+240'!$B$15:$AB$682,14,FALSE)</f>
        <v>-254</v>
      </c>
      <c r="Q134" s="89">
        <f>'116+240'!R135</f>
        <v>0</v>
      </c>
      <c r="R134" s="83">
        <f t="shared" si="21"/>
        <v>174</v>
      </c>
      <c r="S134" s="82">
        <f>VLOOKUP(B134,'116+240'!$B$14:$AB$682,22,FALSE)</f>
        <v>2091</v>
      </c>
      <c r="T134" s="81">
        <f>VLOOKUP(B134,'116+240'!$B$15:$AB$682,6,FALSE)</f>
        <v>-598</v>
      </c>
      <c r="U134" s="80">
        <f t="shared" si="17"/>
        <v>2861</v>
      </c>
      <c r="V134" s="79">
        <f>VLOOKUP(B134,'116+240'!$B$15:$AB$682,15,FALSE)</f>
        <v>-139</v>
      </c>
      <c r="W134" s="89">
        <f>'116+240'!S135</f>
        <v>0</v>
      </c>
      <c r="X134" s="83">
        <f t="shared" si="22"/>
        <v>109</v>
      </c>
      <c r="Y134" s="78">
        <f t="shared" si="23"/>
        <v>0</v>
      </c>
      <c r="Z134" s="77">
        <f t="shared" si="24"/>
        <v>0</v>
      </c>
      <c r="AA134" s="76">
        <f t="shared" si="25"/>
        <v>2.2130000000000001</v>
      </c>
      <c r="AB134" s="76">
        <f t="shared" si="26"/>
        <v>1.9319999999999999</v>
      </c>
    </row>
    <row r="135" spans="2:31">
      <c r="B135" s="90">
        <f>'116+240'!B136</f>
        <v>45403</v>
      </c>
      <c r="C135" s="87">
        <f t="shared" si="18"/>
        <v>1</v>
      </c>
      <c r="D135" s="86">
        <f t="shared" si="19"/>
        <v>844</v>
      </c>
      <c r="E135" s="85">
        <f>VLOOKUP(B135,'116+240'!B136:AB237,3,FALSE)</f>
        <v>1421</v>
      </c>
      <c r="F135" s="81">
        <f t="shared" si="14"/>
        <v>2265</v>
      </c>
      <c r="G135" s="84">
        <f>VLOOKUP(B135,'116+240'!$B$15:$AB$682,20,FALSE)</f>
        <v>1831</v>
      </c>
      <c r="H135" s="84">
        <f>VLOOKUP(B135,'116+240'!$B$15:$AB$682,4,FALSE)</f>
        <v>-406</v>
      </c>
      <c r="I135" s="80">
        <f t="shared" si="15"/>
        <v>2671</v>
      </c>
      <c r="J135" s="80">
        <f>VLOOKUP(B135,'116+240'!$B$15:$AB$682,13,FALSE)</f>
        <v>-329</v>
      </c>
      <c r="K135" s="89">
        <f>'116+240'!Q136</f>
        <v>2</v>
      </c>
      <c r="L135" s="83">
        <f t="shared" si="20"/>
        <v>369</v>
      </c>
      <c r="M135" s="82">
        <f>VLOOKUP(B135,'116+240'!$B$14:$AB$682,21,FALSE)</f>
        <v>2026</v>
      </c>
      <c r="N135" s="81">
        <f>VLOOKUP(B135,'116+240'!$B$15:$AB$682,5,FALSE)</f>
        <v>-481</v>
      </c>
      <c r="O135" s="80">
        <f t="shared" si="16"/>
        <v>2746</v>
      </c>
      <c r="P135" s="80">
        <f>VLOOKUP(B135,'116+240'!$B$15:$AB$682,14,FALSE)</f>
        <v>-254</v>
      </c>
      <c r="Q135" s="89">
        <f>'116+240'!R136</f>
        <v>0</v>
      </c>
      <c r="R135" s="83">
        <f t="shared" si="21"/>
        <v>174</v>
      </c>
      <c r="S135" s="82">
        <f>VLOOKUP(B135,'116+240'!$B$14:$AB$682,22,FALSE)</f>
        <v>2091</v>
      </c>
      <c r="T135" s="81">
        <f>VLOOKUP(B135,'116+240'!$B$15:$AB$682,6,FALSE)</f>
        <v>-596</v>
      </c>
      <c r="U135" s="80">
        <f t="shared" si="17"/>
        <v>2861</v>
      </c>
      <c r="V135" s="79">
        <f>VLOOKUP(B135,'116+240'!$B$15:$AB$682,15,FALSE)</f>
        <v>-139</v>
      </c>
      <c r="W135" s="89">
        <f>'116+240'!S136</f>
        <v>0</v>
      </c>
      <c r="X135" s="83">
        <f t="shared" si="22"/>
        <v>109</v>
      </c>
      <c r="Y135" s="78">
        <f t="shared" si="23"/>
        <v>0</v>
      </c>
      <c r="Z135" s="77">
        <f t="shared" si="24"/>
        <v>0</v>
      </c>
      <c r="AA135" s="76">
        <f t="shared" si="25"/>
        <v>2.2130000000000001</v>
      </c>
      <c r="AB135" s="76">
        <f t="shared" si="26"/>
        <v>1.9319999999999999</v>
      </c>
    </row>
    <row r="136" spans="2:31">
      <c r="B136" s="90">
        <f>'116+240'!B137</f>
        <v>45404</v>
      </c>
      <c r="C136" s="87">
        <f t="shared" si="18"/>
        <v>1</v>
      </c>
      <c r="D136" s="86">
        <f t="shared" si="19"/>
        <v>844</v>
      </c>
      <c r="E136" s="85">
        <f>VLOOKUP(B136,'116+240'!B137:AB238,3,FALSE)</f>
        <v>1423</v>
      </c>
      <c r="F136" s="81">
        <f t="shared" si="14"/>
        <v>2267</v>
      </c>
      <c r="G136" s="84">
        <f>VLOOKUP(B136,'116+240'!$B$15:$AB$682,20,FALSE)</f>
        <v>1829</v>
      </c>
      <c r="H136" s="84">
        <f>VLOOKUP(B136,'116+240'!$B$15:$AB$682,4,FALSE)</f>
        <v>-402</v>
      </c>
      <c r="I136" s="80">
        <f t="shared" si="15"/>
        <v>2669</v>
      </c>
      <c r="J136" s="80">
        <f>VLOOKUP(B136,'116+240'!$B$15:$AB$682,13,FALSE)</f>
        <v>-331</v>
      </c>
      <c r="K136" s="89">
        <f>'116+240'!Q137</f>
        <v>2</v>
      </c>
      <c r="L136" s="83">
        <f t="shared" si="20"/>
        <v>371</v>
      </c>
      <c r="M136" s="82">
        <f>VLOOKUP(B136,'116+240'!$B$14:$AB$682,21,FALSE)</f>
        <v>2026</v>
      </c>
      <c r="N136" s="81">
        <f>VLOOKUP(B136,'116+240'!$B$15:$AB$682,5,FALSE)</f>
        <v>-479</v>
      </c>
      <c r="O136" s="80">
        <f t="shared" si="16"/>
        <v>2746</v>
      </c>
      <c r="P136" s="80">
        <f>VLOOKUP(B136,'116+240'!$B$15:$AB$682,14,FALSE)</f>
        <v>-254</v>
      </c>
      <c r="Q136" s="89">
        <f>'116+240'!R137</f>
        <v>0</v>
      </c>
      <c r="R136" s="83">
        <f t="shared" si="21"/>
        <v>174</v>
      </c>
      <c r="S136" s="82">
        <f>VLOOKUP(B136,'116+240'!$B$14:$AB$682,22,FALSE)</f>
        <v>2091</v>
      </c>
      <c r="T136" s="81">
        <f>VLOOKUP(B136,'116+240'!$B$15:$AB$682,6,FALSE)</f>
        <v>-594</v>
      </c>
      <c r="U136" s="80">
        <f t="shared" si="17"/>
        <v>2861</v>
      </c>
      <c r="V136" s="79">
        <f>VLOOKUP(B136,'116+240'!$B$15:$AB$682,15,FALSE)</f>
        <v>-139</v>
      </c>
      <c r="W136" s="89">
        <f>'116+240'!S137</f>
        <v>0</v>
      </c>
      <c r="X136" s="83">
        <f t="shared" si="22"/>
        <v>109</v>
      </c>
      <c r="Y136" s="78">
        <f t="shared" si="23"/>
        <v>0</v>
      </c>
      <c r="Z136" s="77">
        <f t="shared" si="24"/>
        <v>0</v>
      </c>
      <c r="AA136" s="76">
        <f t="shared" si="25"/>
        <v>2.2130000000000001</v>
      </c>
      <c r="AB136" s="76">
        <f t="shared" si="26"/>
        <v>1.9319999999999999</v>
      </c>
    </row>
    <row r="137" spans="2:31">
      <c r="B137" s="90">
        <f>'116+240'!B138</f>
        <v>45405</v>
      </c>
      <c r="C137" s="87">
        <f t="shared" si="18"/>
        <v>1</v>
      </c>
      <c r="D137" s="86">
        <f t="shared" si="19"/>
        <v>844</v>
      </c>
      <c r="E137" s="85">
        <f>VLOOKUP(B137,'116+240'!B138:AB239,3,FALSE)</f>
        <v>1425</v>
      </c>
      <c r="F137" s="81">
        <f t="shared" si="14"/>
        <v>2269</v>
      </c>
      <c r="G137" s="84">
        <f>VLOOKUP(B137,'116+240'!$B$15:$AB$682,20,FALSE)</f>
        <v>1827</v>
      </c>
      <c r="H137" s="84">
        <f>VLOOKUP(B137,'116+240'!$B$15:$AB$682,4,FALSE)</f>
        <v>-398</v>
      </c>
      <c r="I137" s="80">
        <f t="shared" si="15"/>
        <v>2667</v>
      </c>
      <c r="J137" s="80">
        <f>VLOOKUP(B137,'116+240'!$B$15:$AB$682,13,FALSE)</f>
        <v>-333</v>
      </c>
      <c r="K137" s="89">
        <f>'116+240'!Q138</f>
        <v>2</v>
      </c>
      <c r="L137" s="83">
        <f t="shared" si="20"/>
        <v>373</v>
      </c>
      <c r="M137" s="82">
        <f>VLOOKUP(B137,'116+240'!$B$14:$AB$682,21,FALSE)</f>
        <v>2026</v>
      </c>
      <c r="N137" s="81">
        <f>VLOOKUP(B137,'116+240'!$B$15:$AB$682,5,FALSE)</f>
        <v>-477</v>
      </c>
      <c r="O137" s="80">
        <f t="shared" si="16"/>
        <v>2746</v>
      </c>
      <c r="P137" s="80">
        <f>VLOOKUP(B137,'116+240'!$B$15:$AB$682,14,FALSE)</f>
        <v>-254</v>
      </c>
      <c r="Q137" s="89">
        <f>'116+240'!R138</f>
        <v>0</v>
      </c>
      <c r="R137" s="83">
        <f t="shared" si="21"/>
        <v>174</v>
      </c>
      <c r="S137" s="82">
        <f>VLOOKUP(B137,'116+240'!$B$14:$AB$682,22,FALSE)</f>
        <v>2091</v>
      </c>
      <c r="T137" s="81">
        <f>VLOOKUP(B137,'116+240'!$B$15:$AB$682,6,FALSE)</f>
        <v>-592</v>
      </c>
      <c r="U137" s="80">
        <f t="shared" si="17"/>
        <v>2861</v>
      </c>
      <c r="V137" s="79">
        <f>VLOOKUP(B137,'116+240'!$B$15:$AB$682,15,FALSE)</f>
        <v>-139</v>
      </c>
      <c r="W137" s="89">
        <f>'116+240'!S138</f>
        <v>0</v>
      </c>
      <c r="X137" s="83">
        <f t="shared" si="22"/>
        <v>109</v>
      </c>
      <c r="Y137" s="78">
        <f t="shared" si="23"/>
        <v>0</v>
      </c>
      <c r="Z137" s="77">
        <f t="shared" si="24"/>
        <v>0</v>
      </c>
      <c r="AA137" s="76">
        <f t="shared" si="25"/>
        <v>2.2130000000000001</v>
      </c>
      <c r="AB137" s="76">
        <f t="shared" si="26"/>
        <v>1.9319999999999999</v>
      </c>
    </row>
    <row r="138" spans="2:31">
      <c r="B138" s="90">
        <f>'116+240'!B139</f>
        <v>45406</v>
      </c>
      <c r="C138" s="87">
        <f t="shared" si="18"/>
        <v>1</v>
      </c>
      <c r="D138" s="86">
        <f t="shared" si="19"/>
        <v>844</v>
      </c>
      <c r="E138" s="85">
        <f>VLOOKUP(B138,'116+240'!B139:AB240,3,FALSE)</f>
        <v>1427</v>
      </c>
      <c r="F138" s="81">
        <f t="shared" si="14"/>
        <v>2271</v>
      </c>
      <c r="G138" s="84">
        <f>VLOOKUP(B138,'116+240'!$B$15:$AB$682,20,FALSE)</f>
        <v>1825</v>
      </c>
      <c r="H138" s="84">
        <f>VLOOKUP(B138,'116+240'!$B$15:$AB$682,4,FALSE)</f>
        <v>-394</v>
      </c>
      <c r="I138" s="80">
        <f t="shared" si="15"/>
        <v>2665</v>
      </c>
      <c r="J138" s="80">
        <f>VLOOKUP(B138,'116+240'!$B$15:$AB$682,13,FALSE)</f>
        <v>-335</v>
      </c>
      <c r="K138" s="89">
        <f>'116+240'!Q139</f>
        <v>2</v>
      </c>
      <c r="L138" s="83">
        <f t="shared" si="20"/>
        <v>375</v>
      </c>
      <c r="M138" s="82">
        <f>VLOOKUP(B138,'116+240'!$B$14:$AB$682,21,FALSE)</f>
        <v>2026</v>
      </c>
      <c r="N138" s="81">
        <f>VLOOKUP(B138,'116+240'!$B$15:$AB$682,5,FALSE)</f>
        <v>-475</v>
      </c>
      <c r="O138" s="80">
        <f t="shared" si="16"/>
        <v>2746</v>
      </c>
      <c r="P138" s="80">
        <f>VLOOKUP(B138,'116+240'!$B$15:$AB$682,14,FALSE)</f>
        <v>-254</v>
      </c>
      <c r="Q138" s="89">
        <f>'116+240'!R139</f>
        <v>0</v>
      </c>
      <c r="R138" s="83">
        <f t="shared" si="21"/>
        <v>174</v>
      </c>
      <c r="S138" s="82">
        <f>VLOOKUP(B138,'116+240'!$B$14:$AB$682,22,FALSE)</f>
        <v>2091</v>
      </c>
      <c r="T138" s="81">
        <f>VLOOKUP(B138,'116+240'!$B$15:$AB$682,6,FALSE)</f>
        <v>-590</v>
      </c>
      <c r="U138" s="80">
        <f t="shared" si="17"/>
        <v>2861</v>
      </c>
      <c r="V138" s="79">
        <f>VLOOKUP(B138,'116+240'!$B$15:$AB$682,15,FALSE)</f>
        <v>-139</v>
      </c>
      <c r="W138" s="89">
        <f>'116+240'!S139</f>
        <v>0</v>
      </c>
      <c r="X138" s="83">
        <f t="shared" si="22"/>
        <v>109</v>
      </c>
      <c r="Y138" s="78">
        <f t="shared" si="23"/>
        <v>0</v>
      </c>
      <c r="Z138" s="77">
        <f t="shared" si="24"/>
        <v>0</v>
      </c>
      <c r="AA138" s="76">
        <f t="shared" si="25"/>
        <v>2.2130000000000001</v>
      </c>
      <c r="AB138" s="76">
        <f t="shared" si="26"/>
        <v>1.9319999999999999</v>
      </c>
    </row>
    <row r="139" spans="2:31">
      <c r="B139" s="90">
        <f>'116+240'!B140</f>
        <v>45407</v>
      </c>
      <c r="C139" s="87">
        <f t="shared" si="18"/>
        <v>1</v>
      </c>
      <c r="D139" s="86">
        <f t="shared" si="19"/>
        <v>844</v>
      </c>
      <c r="E139" s="85">
        <f>VLOOKUP(B139,'116+240'!B140:AB241,3,FALSE)</f>
        <v>1429</v>
      </c>
      <c r="F139" s="81">
        <f t="shared" si="14"/>
        <v>2273</v>
      </c>
      <c r="G139" s="84">
        <f>VLOOKUP(B139,'116+240'!$B$15:$AB$682,20,FALSE)</f>
        <v>1824</v>
      </c>
      <c r="H139" s="84">
        <f>VLOOKUP(B139,'116+240'!$B$15:$AB$682,4,FALSE)</f>
        <v>-391</v>
      </c>
      <c r="I139" s="80">
        <f t="shared" si="15"/>
        <v>2664</v>
      </c>
      <c r="J139" s="80">
        <f>VLOOKUP(B139,'116+240'!$B$15:$AB$682,13,FALSE)</f>
        <v>-336</v>
      </c>
      <c r="K139" s="89">
        <f>'116+240'!Q140</f>
        <v>1</v>
      </c>
      <c r="L139" s="83">
        <f t="shared" si="20"/>
        <v>376</v>
      </c>
      <c r="M139" s="82">
        <f>VLOOKUP(B139,'116+240'!$B$14:$AB$682,21,FALSE)</f>
        <v>2026</v>
      </c>
      <c r="N139" s="81">
        <f>VLOOKUP(B139,'116+240'!$B$15:$AB$682,5,FALSE)</f>
        <v>-473</v>
      </c>
      <c r="O139" s="80">
        <f t="shared" si="16"/>
        <v>2746</v>
      </c>
      <c r="P139" s="80">
        <f>VLOOKUP(B139,'116+240'!$B$15:$AB$682,14,FALSE)</f>
        <v>-254</v>
      </c>
      <c r="Q139" s="89">
        <f>'116+240'!R140</f>
        <v>0</v>
      </c>
      <c r="R139" s="83">
        <f t="shared" si="21"/>
        <v>174</v>
      </c>
      <c r="S139" s="82">
        <f>VLOOKUP(B139,'116+240'!$B$14:$AB$682,22,FALSE)</f>
        <v>2091</v>
      </c>
      <c r="T139" s="81">
        <f>VLOOKUP(B139,'116+240'!$B$15:$AB$682,6,FALSE)</f>
        <v>-588</v>
      </c>
      <c r="U139" s="80">
        <f t="shared" si="17"/>
        <v>2861</v>
      </c>
      <c r="V139" s="79">
        <f>VLOOKUP(B139,'116+240'!$B$15:$AB$682,15,FALSE)</f>
        <v>-139</v>
      </c>
      <c r="W139" s="89">
        <f>'116+240'!S140</f>
        <v>0</v>
      </c>
      <c r="X139" s="83">
        <f t="shared" si="22"/>
        <v>109</v>
      </c>
      <c r="Y139" s="78">
        <f t="shared" si="23"/>
        <v>0</v>
      </c>
      <c r="Z139" s="77">
        <f t="shared" si="24"/>
        <v>0</v>
      </c>
      <c r="AA139" s="76">
        <f t="shared" si="25"/>
        <v>2.2130000000000001</v>
      </c>
      <c r="AB139" s="76">
        <f t="shared" si="26"/>
        <v>1.9319999999999999</v>
      </c>
    </row>
    <row r="140" spans="2:31">
      <c r="B140" s="90">
        <f>'116+240'!B141</f>
        <v>45408</v>
      </c>
      <c r="C140" s="87">
        <f t="shared" si="18"/>
        <v>1</v>
      </c>
      <c r="D140" s="86">
        <f t="shared" si="19"/>
        <v>844</v>
      </c>
      <c r="E140" s="85">
        <f>VLOOKUP(B140,'116+240'!B141:AB242,3,FALSE)</f>
        <v>1431</v>
      </c>
      <c r="F140" s="81">
        <f t="shared" si="14"/>
        <v>2275</v>
      </c>
      <c r="G140" s="84">
        <f>VLOOKUP(B140,'116+240'!$B$15:$AB$682,20,FALSE)</f>
        <v>1822</v>
      </c>
      <c r="H140" s="84">
        <f>VLOOKUP(B140,'116+240'!$B$15:$AB$682,4,FALSE)</f>
        <v>-387</v>
      </c>
      <c r="I140" s="80">
        <f t="shared" si="15"/>
        <v>2662</v>
      </c>
      <c r="J140" s="80">
        <f>VLOOKUP(B140,'116+240'!$B$15:$AB$682,13,FALSE)</f>
        <v>-338</v>
      </c>
      <c r="K140" s="89">
        <f>'116+240'!Q141</f>
        <v>2</v>
      </c>
      <c r="L140" s="83">
        <f t="shared" si="20"/>
        <v>378</v>
      </c>
      <c r="M140" s="82">
        <f>VLOOKUP(B140,'116+240'!$B$14:$AB$682,21,FALSE)</f>
        <v>2026</v>
      </c>
      <c r="N140" s="81">
        <f>VLOOKUP(B140,'116+240'!$B$15:$AB$682,5,FALSE)</f>
        <v>-471</v>
      </c>
      <c r="O140" s="80">
        <f t="shared" si="16"/>
        <v>2746</v>
      </c>
      <c r="P140" s="80">
        <f>VLOOKUP(B140,'116+240'!$B$15:$AB$682,14,FALSE)</f>
        <v>-254</v>
      </c>
      <c r="Q140" s="89">
        <f>'116+240'!R141</f>
        <v>0</v>
      </c>
      <c r="R140" s="83">
        <f t="shared" si="21"/>
        <v>174</v>
      </c>
      <c r="S140" s="82">
        <f>VLOOKUP(B140,'116+240'!$B$14:$AB$682,22,FALSE)</f>
        <v>2091</v>
      </c>
      <c r="T140" s="81">
        <f>VLOOKUP(B140,'116+240'!$B$15:$AB$682,6,FALSE)</f>
        <v>-586</v>
      </c>
      <c r="U140" s="80">
        <f t="shared" si="17"/>
        <v>2861</v>
      </c>
      <c r="V140" s="79">
        <f>VLOOKUP(B140,'116+240'!$B$15:$AB$682,15,FALSE)</f>
        <v>-139</v>
      </c>
      <c r="W140" s="89">
        <f>'116+240'!S141</f>
        <v>0</v>
      </c>
      <c r="X140" s="83">
        <f t="shared" si="22"/>
        <v>109</v>
      </c>
      <c r="Y140" s="78">
        <f t="shared" si="23"/>
        <v>0</v>
      </c>
      <c r="Z140" s="77">
        <f t="shared" si="24"/>
        <v>0</v>
      </c>
      <c r="AA140" s="76">
        <f t="shared" si="25"/>
        <v>2.2130000000000001</v>
      </c>
      <c r="AB140" s="76">
        <f t="shared" si="26"/>
        <v>1.9319999999999999</v>
      </c>
    </row>
    <row r="141" spans="2:31">
      <c r="B141" s="90">
        <f>'116+240'!B142</f>
        <v>45409</v>
      </c>
      <c r="C141" s="87">
        <f t="shared" si="18"/>
        <v>1</v>
      </c>
      <c r="D141" s="86">
        <f t="shared" si="19"/>
        <v>844</v>
      </c>
      <c r="E141" s="85">
        <f>VLOOKUP(B141,'116+240'!B142:AB243,3,FALSE)</f>
        <v>1433</v>
      </c>
      <c r="F141" s="81">
        <f t="shared" ref="F141:F204" si="27">D141+E141</f>
        <v>2277</v>
      </c>
      <c r="G141" s="84">
        <f>VLOOKUP(B141,'116+240'!$B$15:$AB$682,20,FALSE)</f>
        <v>1820</v>
      </c>
      <c r="H141" s="84">
        <f>VLOOKUP(B141,'116+240'!$B$15:$AB$682,4,FALSE)</f>
        <v>-383</v>
      </c>
      <c r="I141" s="80">
        <f t="shared" ref="I141:I204" si="28">F141-H141</f>
        <v>2660</v>
      </c>
      <c r="J141" s="80">
        <f>VLOOKUP(B141,'116+240'!$B$15:$AB$682,13,FALSE)</f>
        <v>-340</v>
      </c>
      <c r="K141" s="89">
        <f>'116+240'!Q142</f>
        <v>2</v>
      </c>
      <c r="L141" s="83">
        <f t="shared" si="20"/>
        <v>380</v>
      </c>
      <c r="M141" s="82">
        <f>VLOOKUP(B141,'116+240'!$B$14:$AB$682,21,FALSE)</f>
        <v>2026</v>
      </c>
      <c r="N141" s="81">
        <f>VLOOKUP(B141,'116+240'!$B$15:$AB$682,5,FALSE)</f>
        <v>-469</v>
      </c>
      <c r="O141" s="80">
        <f t="shared" ref="O141:O204" si="29">F141-N141</f>
        <v>2746</v>
      </c>
      <c r="P141" s="80">
        <f>VLOOKUP(B141,'116+240'!$B$15:$AB$682,14,FALSE)</f>
        <v>-254</v>
      </c>
      <c r="Q141" s="89">
        <f>'116+240'!R142</f>
        <v>0</v>
      </c>
      <c r="R141" s="83">
        <f t="shared" si="21"/>
        <v>174</v>
      </c>
      <c r="S141" s="82">
        <f>VLOOKUP(B141,'116+240'!$B$14:$AB$682,22,FALSE)</f>
        <v>2091</v>
      </c>
      <c r="T141" s="81">
        <f>VLOOKUP(B141,'116+240'!$B$15:$AB$682,6,FALSE)</f>
        <v>-584</v>
      </c>
      <c r="U141" s="80">
        <f t="shared" ref="U141:U204" si="30">F141-T141</f>
        <v>2861</v>
      </c>
      <c r="V141" s="79">
        <f>VLOOKUP(B141,'116+240'!$B$15:$AB$682,15,FALSE)</f>
        <v>-139</v>
      </c>
      <c r="W141" s="89">
        <f>'116+240'!S142</f>
        <v>0</v>
      </c>
      <c r="X141" s="83">
        <f t="shared" si="22"/>
        <v>109</v>
      </c>
      <c r="Y141" s="78">
        <f t="shared" si="23"/>
        <v>0</v>
      </c>
      <c r="Z141" s="77">
        <f t="shared" si="24"/>
        <v>0</v>
      </c>
      <c r="AA141" s="76">
        <f t="shared" si="25"/>
        <v>2.2130000000000001</v>
      </c>
      <c r="AB141" s="76">
        <f t="shared" si="26"/>
        <v>1.9319999999999999</v>
      </c>
    </row>
    <row r="142" spans="2:31">
      <c r="B142" s="90">
        <f>'116+240'!B143</f>
        <v>45410</v>
      </c>
      <c r="C142" s="87">
        <f t="shared" ref="C142:C205" si="31">B142-B141</f>
        <v>1</v>
      </c>
      <c r="D142" s="86">
        <f t="shared" ref="D142:D205" si="32">D141</f>
        <v>844</v>
      </c>
      <c r="E142" s="85">
        <f>VLOOKUP(B142,'116+240'!B143:AB244,3,FALSE)</f>
        <v>1435</v>
      </c>
      <c r="F142" s="81">
        <f t="shared" si="27"/>
        <v>2279</v>
      </c>
      <c r="G142" s="84">
        <f>VLOOKUP(B142,'116+240'!$B$15:$AB$682,20,FALSE)</f>
        <v>1818</v>
      </c>
      <c r="H142" s="84">
        <f>VLOOKUP(B142,'116+240'!$B$15:$AB$682,4,FALSE)</f>
        <v>-379</v>
      </c>
      <c r="I142" s="80">
        <f t="shared" si="28"/>
        <v>2658</v>
      </c>
      <c r="J142" s="80">
        <f>VLOOKUP(B142,'116+240'!$B$15:$AB$682,13,FALSE)</f>
        <v>-342</v>
      </c>
      <c r="K142" s="89">
        <f>'116+240'!Q143</f>
        <v>2</v>
      </c>
      <c r="L142" s="83">
        <f t="shared" ref="L142:L205" si="33">+K142+L141</f>
        <v>382</v>
      </c>
      <c r="M142" s="82">
        <f>VLOOKUP(B142,'116+240'!$B$14:$AB$682,21,FALSE)</f>
        <v>2026</v>
      </c>
      <c r="N142" s="81">
        <f>VLOOKUP(B142,'116+240'!$B$15:$AB$682,5,FALSE)</f>
        <v>-467</v>
      </c>
      <c r="O142" s="80">
        <f t="shared" si="29"/>
        <v>2746</v>
      </c>
      <c r="P142" s="80">
        <f>VLOOKUP(B142,'116+240'!$B$15:$AB$682,14,FALSE)</f>
        <v>-254</v>
      </c>
      <c r="Q142" s="89">
        <f>'116+240'!R143</f>
        <v>0</v>
      </c>
      <c r="R142" s="83">
        <f t="shared" ref="R142:R205" si="34">+Q142+R141</f>
        <v>174</v>
      </c>
      <c r="S142" s="82">
        <f>VLOOKUP(B142,'116+240'!$B$14:$AB$682,22,FALSE)</f>
        <v>2091</v>
      </c>
      <c r="T142" s="81">
        <f>VLOOKUP(B142,'116+240'!$B$15:$AB$682,6,FALSE)</f>
        <v>-582</v>
      </c>
      <c r="U142" s="80">
        <f t="shared" si="30"/>
        <v>2861</v>
      </c>
      <c r="V142" s="79">
        <f>VLOOKUP(B142,'116+240'!$B$15:$AB$682,15,FALSE)</f>
        <v>-139</v>
      </c>
      <c r="W142" s="89">
        <f>'116+240'!S143</f>
        <v>0</v>
      </c>
      <c r="X142" s="83">
        <f t="shared" ref="X142:X205" si="35">+W142+X141</f>
        <v>109</v>
      </c>
      <c r="Y142" s="78">
        <f t="shared" ref="Y142:Y205" si="36">S142-S141</f>
        <v>0</v>
      </c>
      <c r="Z142" s="77">
        <f t="shared" ref="Z142:Z205" si="37">IF(Y142&gt;0,Y142,0)/1000</f>
        <v>0</v>
      </c>
      <c r="AA142" s="76">
        <f t="shared" ref="AA142:AA205" si="38">AA141+Z142</f>
        <v>2.2130000000000001</v>
      </c>
      <c r="AB142" s="76">
        <f t="shared" ref="AB142:AB205" si="39">(M142-$M$13-R142)/1000</f>
        <v>1.9319999999999999</v>
      </c>
    </row>
    <row r="143" spans="2:31">
      <c r="B143" s="90">
        <f>'116+240'!B144</f>
        <v>45411</v>
      </c>
      <c r="C143" s="87">
        <f t="shared" si="31"/>
        <v>1</v>
      </c>
      <c r="D143" s="86">
        <f t="shared" si="32"/>
        <v>844</v>
      </c>
      <c r="E143" s="85">
        <f>VLOOKUP(B143,'116+240'!B144:AB244,3,FALSE)</f>
        <v>1437</v>
      </c>
      <c r="F143" s="81">
        <f t="shared" si="27"/>
        <v>2281</v>
      </c>
      <c r="G143" s="84">
        <f>VLOOKUP(B143,'116+240'!$B$15:$AB$682,20,FALSE)</f>
        <v>1816</v>
      </c>
      <c r="H143" s="84">
        <f>VLOOKUP(B143,'116+240'!$B$15:$AB$682,4,FALSE)</f>
        <v>-375</v>
      </c>
      <c r="I143" s="80">
        <f t="shared" si="28"/>
        <v>2656</v>
      </c>
      <c r="J143" s="80">
        <f>VLOOKUP(B143,'116+240'!$B$15:$AB$682,13,FALSE)</f>
        <v>-344</v>
      </c>
      <c r="K143" s="89">
        <f>'116+240'!Q144</f>
        <v>2</v>
      </c>
      <c r="L143" s="83">
        <f t="shared" si="33"/>
        <v>384</v>
      </c>
      <c r="M143" s="82">
        <f>VLOOKUP(B143,'116+240'!$B$14:$AB$682,21,FALSE)</f>
        <v>2026</v>
      </c>
      <c r="N143" s="81">
        <f>VLOOKUP(B143,'116+240'!$B$15:$AB$682,5,FALSE)</f>
        <v>-465</v>
      </c>
      <c r="O143" s="80">
        <f t="shared" si="29"/>
        <v>2746</v>
      </c>
      <c r="P143" s="80">
        <f>VLOOKUP(B143,'116+240'!$B$15:$AB$682,14,FALSE)</f>
        <v>-254</v>
      </c>
      <c r="Q143" s="89">
        <f>'116+240'!R144</f>
        <v>0</v>
      </c>
      <c r="R143" s="83">
        <f t="shared" si="34"/>
        <v>174</v>
      </c>
      <c r="S143" s="82">
        <f>VLOOKUP(B143,'116+240'!$B$14:$AB$682,22,FALSE)</f>
        <v>2091</v>
      </c>
      <c r="T143" s="81">
        <f>VLOOKUP(B143,'116+240'!$B$15:$AB$682,6,FALSE)</f>
        <v>-580</v>
      </c>
      <c r="U143" s="80">
        <f t="shared" si="30"/>
        <v>2861</v>
      </c>
      <c r="V143" s="79">
        <f>VLOOKUP(B143,'116+240'!$B$15:$AB$682,15,FALSE)</f>
        <v>-139</v>
      </c>
      <c r="W143" s="89">
        <f>'116+240'!S144</f>
        <v>0</v>
      </c>
      <c r="X143" s="83">
        <f t="shared" si="35"/>
        <v>109</v>
      </c>
      <c r="Y143" s="78">
        <f t="shared" si="36"/>
        <v>0</v>
      </c>
      <c r="Z143" s="77">
        <f t="shared" si="37"/>
        <v>0</v>
      </c>
      <c r="AA143" s="76">
        <f t="shared" si="38"/>
        <v>2.2130000000000001</v>
      </c>
      <c r="AB143" s="76">
        <f t="shared" si="39"/>
        <v>1.9319999999999999</v>
      </c>
    </row>
    <row r="144" spans="2:31">
      <c r="B144" s="90">
        <f>'116+240'!B145</f>
        <v>45412</v>
      </c>
      <c r="C144" s="87">
        <f t="shared" si="31"/>
        <v>1</v>
      </c>
      <c r="D144" s="86">
        <f t="shared" si="32"/>
        <v>844</v>
      </c>
      <c r="E144" s="85">
        <f>VLOOKUP(B144,'116+240'!B145:AB244,3,FALSE)</f>
        <v>1439</v>
      </c>
      <c r="F144" s="81">
        <f t="shared" si="27"/>
        <v>2283</v>
      </c>
      <c r="G144" s="84">
        <f>VLOOKUP(B144,'116+240'!$B$15:$AB$682,20,FALSE)</f>
        <v>1816</v>
      </c>
      <c r="H144" s="84">
        <f>VLOOKUP(B144,'116+240'!$B$15:$AB$682,4,FALSE)</f>
        <v>-373</v>
      </c>
      <c r="I144" s="80">
        <f t="shared" si="28"/>
        <v>2656</v>
      </c>
      <c r="J144" s="80">
        <f>VLOOKUP(B144,'116+240'!$B$15:$AB$682,13,FALSE)</f>
        <v>-344</v>
      </c>
      <c r="K144" s="89">
        <f>'116+240'!Q145</f>
        <v>0</v>
      </c>
      <c r="L144" s="83">
        <f t="shared" si="33"/>
        <v>384</v>
      </c>
      <c r="M144" s="82">
        <f>VLOOKUP(B144,'116+240'!$B$14:$AB$682,21,FALSE)</f>
        <v>2026</v>
      </c>
      <c r="N144" s="81">
        <f>VLOOKUP(B144,'116+240'!$B$15:$AB$682,5,FALSE)</f>
        <v>-463</v>
      </c>
      <c r="O144" s="80">
        <f t="shared" si="29"/>
        <v>2746</v>
      </c>
      <c r="P144" s="80">
        <f>VLOOKUP(B144,'116+240'!$B$15:$AB$682,14,FALSE)</f>
        <v>-254</v>
      </c>
      <c r="Q144" s="89">
        <f>'116+240'!R145</f>
        <v>0</v>
      </c>
      <c r="R144" s="83">
        <f t="shared" si="34"/>
        <v>174</v>
      </c>
      <c r="S144" s="82">
        <f>VLOOKUP(B144,'116+240'!$B$14:$AB$682,22,FALSE)</f>
        <v>2091</v>
      </c>
      <c r="T144" s="81">
        <f>VLOOKUP(B144,'116+240'!$B$15:$AB$682,6,FALSE)</f>
        <v>-578</v>
      </c>
      <c r="U144" s="80">
        <f t="shared" si="30"/>
        <v>2861</v>
      </c>
      <c r="V144" s="79">
        <f>VLOOKUP(B144,'116+240'!$B$15:$AB$682,15,FALSE)</f>
        <v>-139</v>
      </c>
      <c r="W144" s="89">
        <f>'116+240'!S145</f>
        <v>0</v>
      </c>
      <c r="X144" s="83">
        <f t="shared" si="35"/>
        <v>109</v>
      </c>
      <c r="Y144" s="78">
        <f t="shared" si="36"/>
        <v>0</v>
      </c>
      <c r="Z144" s="77">
        <f t="shared" si="37"/>
        <v>0</v>
      </c>
      <c r="AA144" s="76">
        <f t="shared" si="38"/>
        <v>2.2130000000000001</v>
      </c>
      <c r="AB144" s="76">
        <f t="shared" si="39"/>
        <v>1.9319999999999999</v>
      </c>
    </row>
    <row r="145" spans="2:28">
      <c r="B145" s="90">
        <f>'116+240'!B146</f>
        <v>45413</v>
      </c>
      <c r="C145" s="87">
        <f t="shared" si="31"/>
        <v>1</v>
      </c>
      <c r="D145" s="86">
        <f t="shared" si="32"/>
        <v>844</v>
      </c>
      <c r="E145" s="85">
        <f>VLOOKUP(B145,'116+240'!B146:AB244,3,FALSE)</f>
        <v>1441</v>
      </c>
      <c r="F145" s="81">
        <f t="shared" si="27"/>
        <v>2285</v>
      </c>
      <c r="G145" s="84">
        <f>VLOOKUP(B145,'116+240'!$B$15:$AB$682,20,FALSE)</f>
        <v>1816</v>
      </c>
      <c r="H145" s="84">
        <f>VLOOKUP(B145,'116+240'!$B$15:$AB$682,4,FALSE)</f>
        <v>-371</v>
      </c>
      <c r="I145" s="80">
        <f t="shared" si="28"/>
        <v>2656</v>
      </c>
      <c r="J145" s="80">
        <f>VLOOKUP(B145,'116+240'!$B$15:$AB$682,13,FALSE)</f>
        <v>-344</v>
      </c>
      <c r="K145" s="89">
        <f>'116+240'!Q146</f>
        <v>0</v>
      </c>
      <c r="L145" s="83">
        <f t="shared" si="33"/>
        <v>384</v>
      </c>
      <c r="M145" s="82">
        <f>VLOOKUP(B145,'116+240'!$B$14:$AB$682,21,FALSE)</f>
        <v>2026</v>
      </c>
      <c r="N145" s="81">
        <f>VLOOKUP(B145,'116+240'!$B$15:$AB$682,5,FALSE)</f>
        <v>-461</v>
      </c>
      <c r="O145" s="80">
        <f t="shared" si="29"/>
        <v>2746</v>
      </c>
      <c r="P145" s="80">
        <f>VLOOKUP(B145,'116+240'!$B$15:$AB$682,14,FALSE)</f>
        <v>-254</v>
      </c>
      <c r="Q145" s="89">
        <f>'116+240'!R146</f>
        <v>0</v>
      </c>
      <c r="R145" s="83">
        <f t="shared" si="34"/>
        <v>174</v>
      </c>
      <c r="S145" s="82">
        <f>VLOOKUP(B145,'116+240'!$B$14:$AB$682,22,FALSE)</f>
        <v>2091</v>
      </c>
      <c r="T145" s="81">
        <f>VLOOKUP(B145,'116+240'!$B$15:$AB$682,6,FALSE)</f>
        <v>-576</v>
      </c>
      <c r="U145" s="80">
        <f t="shared" si="30"/>
        <v>2861</v>
      </c>
      <c r="V145" s="79">
        <f>VLOOKUP(B145,'116+240'!$B$15:$AB$682,15,FALSE)</f>
        <v>-139</v>
      </c>
      <c r="W145" s="89">
        <f>'116+240'!S146</f>
        <v>0</v>
      </c>
      <c r="X145" s="83">
        <f t="shared" si="35"/>
        <v>109</v>
      </c>
      <c r="Y145" s="78">
        <f t="shared" si="36"/>
        <v>0</v>
      </c>
      <c r="Z145" s="77">
        <f t="shared" si="37"/>
        <v>0</v>
      </c>
      <c r="AA145" s="76">
        <f t="shared" si="38"/>
        <v>2.2130000000000001</v>
      </c>
      <c r="AB145" s="76">
        <f t="shared" si="39"/>
        <v>1.9319999999999999</v>
      </c>
    </row>
    <row r="146" spans="2:28">
      <c r="B146" s="90">
        <f>'116+240'!B147</f>
        <v>45414</v>
      </c>
      <c r="C146" s="87">
        <f t="shared" si="31"/>
        <v>1</v>
      </c>
      <c r="D146" s="86">
        <f t="shared" si="32"/>
        <v>844</v>
      </c>
      <c r="E146" s="85">
        <f>VLOOKUP(B146,'116+240'!B147:AB244,3,FALSE)</f>
        <v>1443</v>
      </c>
      <c r="F146" s="81">
        <f t="shared" si="27"/>
        <v>2287</v>
      </c>
      <c r="G146" s="84">
        <f>VLOOKUP(B146,'116+240'!$B$15:$AB$682,20,FALSE)</f>
        <v>1816</v>
      </c>
      <c r="H146" s="84">
        <f>VLOOKUP(B146,'116+240'!$B$15:$AB$682,4,FALSE)</f>
        <v>-369</v>
      </c>
      <c r="I146" s="80">
        <f t="shared" si="28"/>
        <v>2656</v>
      </c>
      <c r="J146" s="80">
        <f>VLOOKUP(B146,'116+240'!$B$15:$AB$682,13,FALSE)</f>
        <v>-344</v>
      </c>
      <c r="K146" s="89">
        <f>'116+240'!Q147</f>
        <v>0</v>
      </c>
      <c r="L146" s="83">
        <f t="shared" si="33"/>
        <v>384</v>
      </c>
      <c r="M146" s="82">
        <f>VLOOKUP(B146,'116+240'!$B$14:$AB$682,21,FALSE)</f>
        <v>2026</v>
      </c>
      <c r="N146" s="81">
        <f>VLOOKUP(B146,'116+240'!$B$15:$AB$682,5,FALSE)</f>
        <v>-459</v>
      </c>
      <c r="O146" s="80">
        <f t="shared" si="29"/>
        <v>2746</v>
      </c>
      <c r="P146" s="80">
        <f>VLOOKUP(B146,'116+240'!$B$15:$AB$682,14,FALSE)</f>
        <v>-254</v>
      </c>
      <c r="Q146" s="89">
        <f>'116+240'!R147</f>
        <v>0</v>
      </c>
      <c r="R146" s="83">
        <f t="shared" si="34"/>
        <v>174</v>
      </c>
      <c r="S146" s="82">
        <f>VLOOKUP(B146,'116+240'!$B$14:$AB$682,22,FALSE)</f>
        <v>2091</v>
      </c>
      <c r="T146" s="81">
        <f>VLOOKUP(B146,'116+240'!$B$15:$AB$682,6,FALSE)</f>
        <v>-574</v>
      </c>
      <c r="U146" s="80">
        <f t="shared" si="30"/>
        <v>2861</v>
      </c>
      <c r="V146" s="79">
        <f>VLOOKUP(B146,'116+240'!$B$15:$AB$682,15,FALSE)</f>
        <v>-139</v>
      </c>
      <c r="W146" s="89">
        <f>'116+240'!S147</f>
        <v>0</v>
      </c>
      <c r="X146" s="83">
        <f t="shared" si="35"/>
        <v>109</v>
      </c>
      <c r="Y146" s="78">
        <f t="shared" si="36"/>
        <v>0</v>
      </c>
      <c r="Z146" s="77">
        <f t="shared" si="37"/>
        <v>0</v>
      </c>
      <c r="AA146" s="76">
        <f t="shared" si="38"/>
        <v>2.2130000000000001</v>
      </c>
      <c r="AB146" s="76">
        <f t="shared" si="39"/>
        <v>1.9319999999999999</v>
      </c>
    </row>
    <row r="147" spans="2:28">
      <c r="B147" s="90">
        <f>'116+240'!B148</f>
        <v>45415</v>
      </c>
      <c r="C147" s="87">
        <f t="shared" si="31"/>
        <v>1</v>
      </c>
      <c r="D147" s="86">
        <f t="shared" si="32"/>
        <v>844</v>
      </c>
      <c r="E147" s="85">
        <f>VLOOKUP(B147,'116+240'!B148:AB244,3,FALSE)</f>
        <v>1445</v>
      </c>
      <c r="F147" s="81">
        <f t="shared" si="27"/>
        <v>2289</v>
      </c>
      <c r="G147" s="84">
        <f>VLOOKUP(B147,'116+240'!$B$15:$AB$682,20,FALSE)</f>
        <v>1816</v>
      </c>
      <c r="H147" s="84">
        <f>VLOOKUP(B147,'116+240'!$B$15:$AB$682,4,FALSE)</f>
        <v>-1367</v>
      </c>
      <c r="I147" s="80">
        <f t="shared" si="28"/>
        <v>3656</v>
      </c>
      <c r="J147" s="80">
        <f>VLOOKUP(B147,'116+240'!$B$15:$AB$682,13,FALSE)</f>
        <v>-344</v>
      </c>
      <c r="K147" s="89">
        <f>'116+240'!Q148</f>
        <v>0</v>
      </c>
      <c r="L147" s="83">
        <f t="shared" si="33"/>
        <v>384</v>
      </c>
      <c r="M147" s="82">
        <f>VLOOKUP(B147,'116+240'!$B$14:$AB$682,21,FALSE)</f>
        <v>2026</v>
      </c>
      <c r="N147" s="81">
        <f>VLOOKUP(B147,'116+240'!$B$15:$AB$682,5,FALSE)</f>
        <v>-1457</v>
      </c>
      <c r="O147" s="80">
        <f t="shared" si="29"/>
        <v>3746</v>
      </c>
      <c r="P147" s="80">
        <f>VLOOKUP(B147,'116+240'!$B$15:$AB$682,14,FALSE)</f>
        <v>-254</v>
      </c>
      <c r="Q147" s="89">
        <f>'116+240'!R148</f>
        <v>0</v>
      </c>
      <c r="R147" s="83">
        <f t="shared" si="34"/>
        <v>174</v>
      </c>
      <c r="S147" s="82">
        <f>VLOOKUP(B147,'116+240'!$B$14:$AB$682,22,FALSE)</f>
        <v>2091</v>
      </c>
      <c r="T147" s="81">
        <f>VLOOKUP(B147,'116+240'!$B$15:$AB$682,6,FALSE)</f>
        <v>-1572</v>
      </c>
      <c r="U147" s="80">
        <f t="shared" si="30"/>
        <v>3861</v>
      </c>
      <c r="V147" s="79">
        <f>VLOOKUP(B147,'116+240'!$B$15:$AB$682,15,FALSE)</f>
        <v>-139</v>
      </c>
      <c r="W147" s="89">
        <f>'116+240'!S148</f>
        <v>0</v>
      </c>
      <c r="X147" s="83">
        <f t="shared" si="35"/>
        <v>109</v>
      </c>
      <c r="Y147" s="78">
        <f t="shared" si="36"/>
        <v>0</v>
      </c>
      <c r="Z147" s="77">
        <f t="shared" si="37"/>
        <v>0</v>
      </c>
      <c r="AA147" s="76">
        <f t="shared" si="38"/>
        <v>2.2130000000000001</v>
      </c>
      <c r="AB147" s="76">
        <f t="shared" si="39"/>
        <v>1.9319999999999999</v>
      </c>
    </row>
    <row r="148" spans="2:28">
      <c r="B148" s="90">
        <f>'116+240'!B149</f>
        <v>45416</v>
      </c>
      <c r="C148" s="87">
        <f t="shared" si="31"/>
        <v>1</v>
      </c>
      <c r="D148" s="86">
        <f t="shared" si="32"/>
        <v>844</v>
      </c>
      <c r="E148" s="85">
        <f>VLOOKUP(B148,'116+240'!B149:AB244,3,FALSE)</f>
        <v>1447</v>
      </c>
      <c r="F148" s="81">
        <f t="shared" si="27"/>
        <v>2291</v>
      </c>
      <c r="G148" s="84">
        <f>VLOOKUP(B148,'116+240'!$B$15:$AB$682,20,FALSE)</f>
        <v>1814</v>
      </c>
      <c r="H148" s="84">
        <f>VLOOKUP(B148,'116+240'!$B$15:$AB$682,4,FALSE)</f>
        <v>-1363</v>
      </c>
      <c r="I148" s="80">
        <f t="shared" si="28"/>
        <v>3654</v>
      </c>
      <c r="J148" s="80">
        <f>VLOOKUP(B148,'116+240'!$B$15:$AB$682,13,FALSE)</f>
        <v>-346</v>
      </c>
      <c r="K148" s="89">
        <f>'116+240'!Q149</f>
        <v>2</v>
      </c>
      <c r="L148" s="83">
        <f t="shared" si="33"/>
        <v>386</v>
      </c>
      <c r="M148" s="82">
        <f>VLOOKUP(B148,'116+240'!$B$14:$AB$682,21,FALSE)</f>
        <v>2026</v>
      </c>
      <c r="N148" s="81">
        <f>VLOOKUP(B148,'116+240'!$B$15:$AB$682,5,FALSE)</f>
        <v>-1455</v>
      </c>
      <c r="O148" s="80">
        <f t="shared" si="29"/>
        <v>3746</v>
      </c>
      <c r="P148" s="80">
        <f>VLOOKUP(B148,'116+240'!$B$15:$AB$682,14,FALSE)</f>
        <v>-254</v>
      </c>
      <c r="Q148" s="89">
        <f>'116+240'!R149</f>
        <v>0</v>
      </c>
      <c r="R148" s="83">
        <f t="shared" si="34"/>
        <v>174</v>
      </c>
      <c r="S148" s="82">
        <f>VLOOKUP(B148,'116+240'!$B$14:$AB$682,22,FALSE)</f>
        <v>2091</v>
      </c>
      <c r="T148" s="81">
        <f>VLOOKUP(B148,'116+240'!$B$15:$AB$682,6,FALSE)</f>
        <v>-1570</v>
      </c>
      <c r="U148" s="80">
        <f t="shared" si="30"/>
        <v>3861</v>
      </c>
      <c r="V148" s="79">
        <f>VLOOKUP(B148,'116+240'!$B$15:$AB$682,15,FALSE)</f>
        <v>-139</v>
      </c>
      <c r="W148" s="89">
        <f>'116+240'!S149</f>
        <v>0</v>
      </c>
      <c r="X148" s="83">
        <f t="shared" si="35"/>
        <v>109</v>
      </c>
      <c r="Y148" s="78">
        <f t="shared" si="36"/>
        <v>0</v>
      </c>
      <c r="Z148" s="77">
        <f t="shared" si="37"/>
        <v>0</v>
      </c>
      <c r="AA148" s="76">
        <f t="shared" si="38"/>
        <v>2.2130000000000001</v>
      </c>
      <c r="AB148" s="76">
        <f t="shared" si="39"/>
        <v>1.9319999999999999</v>
      </c>
    </row>
    <row r="149" spans="2:28">
      <c r="B149" s="90">
        <f>'116+240'!B150</f>
        <v>45417</v>
      </c>
      <c r="C149" s="87">
        <f t="shared" si="31"/>
        <v>1</v>
      </c>
      <c r="D149" s="86">
        <f t="shared" si="32"/>
        <v>844</v>
      </c>
      <c r="E149" s="85">
        <f>VLOOKUP(B149,'116+240'!B150:AB244,3,FALSE)</f>
        <v>1449</v>
      </c>
      <c r="F149" s="81">
        <f t="shared" si="27"/>
        <v>2293</v>
      </c>
      <c r="G149" s="84">
        <f>VLOOKUP(B149,'116+240'!$B$15:$AB$682,20,FALSE)</f>
        <v>1812</v>
      </c>
      <c r="H149" s="84">
        <f>VLOOKUP(B149,'116+240'!$B$15:$AB$682,4,FALSE)</f>
        <v>-1359</v>
      </c>
      <c r="I149" s="80">
        <f t="shared" si="28"/>
        <v>3652</v>
      </c>
      <c r="J149" s="80">
        <f>VLOOKUP(B149,'116+240'!$B$15:$AB$682,13,FALSE)</f>
        <v>-348</v>
      </c>
      <c r="K149" s="89">
        <f>'116+240'!Q150</f>
        <v>2</v>
      </c>
      <c r="L149" s="83">
        <f t="shared" si="33"/>
        <v>388</v>
      </c>
      <c r="M149" s="82">
        <f>VLOOKUP(B149,'116+240'!$B$14:$AB$682,21,FALSE)</f>
        <v>2026</v>
      </c>
      <c r="N149" s="81">
        <f>VLOOKUP(B149,'116+240'!$B$15:$AB$682,5,FALSE)</f>
        <v>-1453</v>
      </c>
      <c r="O149" s="80">
        <f t="shared" si="29"/>
        <v>3746</v>
      </c>
      <c r="P149" s="80">
        <f>VLOOKUP(B149,'116+240'!$B$15:$AB$682,14,FALSE)</f>
        <v>-254</v>
      </c>
      <c r="Q149" s="89">
        <f>'116+240'!R150</f>
        <v>0</v>
      </c>
      <c r="R149" s="83">
        <f t="shared" si="34"/>
        <v>174</v>
      </c>
      <c r="S149" s="82">
        <f>VLOOKUP(B149,'116+240'!$B$14:$AB$682,22,FALSE)</f>
        <v>2091</v>
      </c>
      <c r="T149" s="81">
        <f>VLOOKUP(B149,'116+240'!$B$15:$AB$682,6,FALSE)</f>
        <v>-1568</v>
      </c>
      <c r="U149" s="80">
        <f t="shared" si="30"/>
        <v>3861</v>
      </c>
      <c r="V149" s="79">
        <f>VLOOKUP(B149,'116+240'!$B$15:$AB$682,15,FALSE)</f>
        <v>-139</v>
      </c>
      <c r="W149" s="89">
        <f>'116+240'!S150</f>
        <v>0</v>
      </c>
      <c r="X149" s="83">
        <f t="shared" si="35"/>
        <v>109</v>
      </c>
      <c r="Y149" s="78">
        <f t="shared" si="36"/>
        <v>0</v>
      </c>
      <c r="Z149" s="77">
        <f t="shared" si="37"/>
        <v>0</v>
      </c>
      <c r="AA149" s="76">
        <f t="shared" si="38"/>
        <v>2.2130000000000001</v>
      </c>
      <c r="AB149" s="76">
        <f t="shared" si="39"/>
        <v>1.9319999999999999</v>
      </c>
    </row>
    <row r="150" spans="2:28">
      <c r="B150" s="90">
        <f>'116+240'!B151</f>
        <v>45418</v>
      </c>
      <c r="C150" s="87">
        <f t="shared" si="31"/>
        <v>1</v>
      </c>
      <c r="D150" s="86">
        <f t="shared" si="32"/>
        <v>844</v>
      </c>
      <c r="E150" s="85">
        <f>VLOOKUP(B150,'116+240'!B151:AB244,3,FALSE)</f>
        <v>1451</v>
      </c>
      <c r="F150" s="81">
        <f t="shared" si="27"/>
        <v>2295</v>
      </c>
      <c r="G150" s="84">
        <f>VLOOKUP(B150,'116+240'!$B$15:$AB$682,20,FALSE)</f>
        <v>1810</v>
      </c>
      <c r="H150" s="84">
        <f>VLOOKUP(B150,'116+240'!$B$15:$AB$682,4,FALSE)</f>
        <v>-1355</v>
      </c>
      <c r="I150" s="80">
        <f t="shared" si="28"/>
        <v>3650</v>
      </c>
      <c r="J150" s="80">
        <f>VLOOKUP(B150,'116+240'!$B$15:$AB$682,13,FALSE)</f>
        <v>-350</v>
      </c>
      <c r="K150" s="89">
        <f>'116+240'!Q151</f>
        <v>2</v>
      </c>
      <c r="L150" s="83">
        <f t="shared" si="33"/>
        <v>390</v>
      </c>
      <c r="M150" s="82">
        <f>VLOOKUP(B150,'116+240'!$B$14:$AB$682,21,FALSE)</f>
        <v>2026</v>
      </c>
      <c r="N150" s="81">
        <f>VLOOKUP(B150,'116+240'!$B$15:$AB$682,5,FALSE)</f>
        <v>-1451</v>
      </c>
      <c r="O150" s="80">
        <f t="shared" si="29"/>
        <v>3746</v>
      </c>
      <c r="P150" s="80">
        <f>VLOOKUP(B150,'116+240'!$B$15:$AB$682,14,FALSE)</f>
        <v>-254</v>
      </c>
      <c r="Q150" s="89">
        <f>'116+240'!R151</f>
        <v>0</v>
      </c>
      <c r="R150" s="83">
        <f t="shared" si="34"/>
        <v>174</v>
      </c>
      <c r="S150" s="82">
        <f>VLOOKUP(B150,'116+240'!$B$14:$AB$682,22,FALSE)</f>
        <v>2091</v>
      </c>
      <c r="T150" s="81">
        <f>VLOOKUP(B150,'116+240'!$B$15:$AB$682,6,FALSE)</f>
        <v>-1566</v>
      </c>
      <c r="U150" s="80">
        <f t="shared" si="30"/>
        <v>3861</v>
      </c>
      <c r="V150" s="79">
        <f>VLOOKUP(B150,'116+240'!$B$15:$AB$682,15,FALSE)</f>
        <v>-139</v>
      </c>
      <c r="W150" s="89">
        <f>'116+240'!S151</f>
        <v>0</v>
      </c>
      <c r="X150" s="83">
        <f t="shared" si="35"/>
        <v>109</v>
      </c>
      <c r="Y150" s="78">
        <f t="shared" si="36"/>
        <v>0</v>
      </c>
      <c r="Z150" s="77">
        <f t="shared" si="37"/>
        <v>0</v>
      </c>
      <c r="AA150" s="76">
        <f t="shared" si="38"/>
        <v>2.2130000000000001</v>
      </c>
      <c r="AB150" s="76">
        <f t="shared" si="39"/>
        <v>1.9319999999999999</v>
      </c>
    </row>
    <row r="151" spans="2:28">
      <c r="B151" s="90">
        <f>'116+240'!B152</f>
        <v>45419</v>
      </c>
      <c r="C151" s="87">
        <f t="shared" si="31"/>
        <v>1</v>
      </c>
      <c r="D151" s="86">
        <f t="shared" si="32"/>
        <v>844</v>
      </c>
      <c r="E151" s="85">
        <f>VLOOKUP(B151,'116+240'!B152:AB244,3,FALSE)</f>
        <v>1453</v>
      </c>
      <c r="F151" s="81">
        <f t="shared" si="27"/>
        <v>2297</v>
      </c>
      <c r="G151" s="84">
        <f>VLOOKUP(B151,'116+240'!$B$15:$AB$682,20,FALSE)</f>
        <v>1808</v>
      </c>
      <c r="H151" s="84">
        <f>VLOOKUP(B151,'116+240'!$B$15:$AB$682,4,FALSE)</f>
        <v>-1351</v>
      </c>
      <c r="I151" s="80">
        <f t="shared" si="28"/>
        <v>3648</v>
      </c>
      <c r="J151" s="80">
        <f>VLOOKUP(B151,'116+240'!$B$15:$AB$682,13,FALSE)</f>
        <v>-352</v>
      </c>
      <c r="K151" s="89">
        <f>'116+240'!Q152</f>
        <v>2</v>
      </c>
      <c r="L151" s="83">
        <f t="shared" si="33"/>
        <v>392</v>
      </c>
      <c r="M151" s="82">
        <f>VLOOKUP(B151,'116+240'!$B$14:$AB$682,21,FALSE)</f>
        <v>2026</v>
      </c>
      <c r="N151" s="81">
        <f>VLOOKUP(B151,'116+240'!$B$15:$AB$682,5,FALSE)</f>
        <v>-1449</v>
      </c>
      <c r="O151" s="80">
        <f t="shared" si="29"/>
        <v>3746</v>
      </c>
      <c r="P151" s="80">
        <f>VLOOKUP(B151,'116+240'!$B$15:$AB$682,14,FALSE)</f>
        <v>-254</v>
      </c>
      <c r="Q151" s="89">
        <f>'116+240'!R152</f>
        <v>0</v>
      </c>
      <c r="R151" s="83">
        <f t="shared" si="34"/>
        <v>174</v>
      </c>
      <c r="S151" s="82">
        <f>VLOOKUP(B151,'116+240'!$B$14:$AB$682,22,FALSE)</f>
        <v>2091</v>
      </c>
      <c r="T151" s="81">
        <f>VLOOKUP(B151,'116+240'!$B$15:$AB$682,6,FALSE)</f>
        <v>-1564</v>
      </c>
      <c r="U151" s="80">
        <f t="shared" si="30"/>
        <v>3861</v>
      </c>
      <c r="V151" s="79">
        <f>VLOOKUP(B151,'116+240'!$B$15:$AB$682,15,FALSE)</f>
        <v>-139</v>
      </c>
      <c r="W151" s="89">
        <f>'116+240'!S152</f>
        <v>0</v>
      </c>
      <c r="X151" s="83">
        <f t="shared" si="35"/>
        <v>109</v>
      </c>
      <c r="Y151" s="78">
        <f t="shared" si="36"/>
        <v>0</v>
      </c>
      <c r="Z151" s="77">
        <f t="shared" si="37"/>
        <v>0</v>
      </c>
      <c r="AA151" s="76">
        <f t="shared" si="38"/>
        <v>2.2130000000000001</v>
      </c>
      <c r="AB151" s="76">
        <f t="shared" si="39"/>
        <v>1.9319999999999999</v>
      </c>
    </row>
    <row r="152" spans="2:28">
      <c r="B152" s="90">
        <f>'116+240'!B153</f>
        <v>45420</v>
      </c>
      <c r="C152" s="87">
        <f t="shared" si="31"/>
        <v>1</v>
      </c>
      <c r="D152" s="86">
        <f t="shared" si="32"/>
        <v>844</v>
      </c>
      <c r="E152" s="85">
        <f>VLOOKUP(B152,'116+240'!B153:AB244,3,FALSE)</f>
        <v>1455</v>
      </c>
      <c r="F152" s="81">
        <f t="shared" si="27"/>
        <v>2299</v>
      </c>
      <c r="G152" s="84">
        <f>VLOOKUP(B152,'116+240'!$B$15:$AB$682,20,FALSE)</f>
        <v>1807</v>
      </c>
      <c r="H152" s="84">
        <f>VLOOKUP(B152,'116+240'!$B$15:$AB$682,4,FALSE)</f>
        <v>-1348</v>
      </c>
      <c r="I152" s="80">
        <f t="shared" si="28"/>
        <v>3647</v>
      </c>
      <c r="J152" s="80">
        <f>VLOOKUP(B152,'116+240'!$B$15:$AB$682,13,FALSE)</f>
        <v>-353</v>
      </c>
      <c r="K152" s="89">
        <f>'116+240'!Q153</f>
        <v>1</v>
      </c>
      <c r="L152" s="83">
        <f t="shared" si="33"/>
        <v>393</v>
      </c>
      <c r="M152" s="82">
        <f>VLOOKUP(B152,'116+240'!$B$14:$AB$682,21,FALSE)</f>
        <v>2026</v>
      </c>
      <c r="N152" s="81">
        <f>VLOOKUP(B152,'116+240'!$B$15:$AB$682,5,FALSE)</f>
        <v>-1447</v>
      </c>
      <c r="O152" s="80">
        <f t="shared" si="29"/>
        <v>3746</v>
      </c>
      <c r="P152" s="80">
        <f>VLOOKUP(B152,'116+240'!$B$15:$AB$682,14,FALSE)</f>
        <v>-254</v>
      </c>
      <c r="Q152" s="89">
        <f>'116+240'!R153</f>
        <v>0</v>
      </c>
      <c r="R152" s="83">
        <f t="shared" si="34"/>
        <v>174</v>
      </c>
      <c r="S152" s="82">
        <f>VLOOKUP(B152,'116+240'!$B$14:$AB$682,22,FALSE)</f>
        <v>2091</v>
      </c>
      <c r="T152" s="81">
        <f>VLOOKUP(B152,'116+240'!$B$15:$AB$682,6,FALSE)</f>
        <v>-1562</v>
      </c>
      <c r="U152" s="80">
        <f t="shared" si="30"/>
        <v>3861</v>
      </c>
      <c r="V152" s="79">
        <f>VLOOKUP(B152,'116+240'!$B$15:$AB$682,15,FALSE)</f>
        <v>-139</v>
      </c>
      <c r="W152" s="89">
        <f>'116+240'!S153</f>
        <v>0</v>
      </c>
      <c r="X152" s="83">
        <f t="shared" si="35"/>
        <v>109</v>
      </c>
      <c r="Y152" s="78">
        <f t="shared" si="36"/>
        <v>0</v>
      </c>
      <c r="Z152" s="77">
        <f t="shared" si="37"/>
        <v>0</v>
      </c>
      <c r="AA152" s="76">
        <f t="shared" si="38"/>
        <v>2.2130000000000001</v>
      </c>
      <c r="AB152" s="76">
        <f t="shared" si="39"/>
        <v>1.9319999999999999</v>
      </c>
    </row>
    <row r="153" spans="2:28">
      <c r="B153" s="90">
        <f>'116+240'!B154</f>
        <v>45421</v>
      </c>
      <c r="C153" s="87">
        <f t="shared" si="31"/>
        <v>1</v>
      </c>
      <c r="D153" s="86">
        <f t="shared" si="32"/>
        <v>844</v>
      </c>
      <c r="E153" s="85">
        <f>VLOOKUP(B153,'116+240'!B154:AB244,3,FALSE)</f>
        <v>1457</v>
      </c>
      <c r="F153" s="81">
        <f t="shared" si="27"/>
        <v>2301</v>
      </c>
      <c r="G153" s="84">
        <f>VLOOKUP(B153,'116+240'!$B$15:$AB$682,20,FALSE)</f>
        <v>1805</v>
      </c>
      <c r="H153" s="84">
        <f>VLOOKUP(B153,'116+240'!$B$15:$AB$682,4,FALSE)</f>
        <v>-1344</v>
      </c>
      <c r="I153" s="80">
        <f t="shared" si="28"/>
        <v>3645</v>
      </c>
      <c r="J153" s="80">
        <f>VLOOKUP(B153,'116+240'!$B$15:$AB$682,13,FALSE)</f>
        <v>-355</v>
      </c>
      <c r="K153" s="89">
        <f>'116+240'!Q154</f>
        <v>2</v>
      </c>
      <c r="L153" s="83">
        <f t="shared" si="33"/>
        <v>395</v>
      </c>
      <c r="M153" s="82">
        <f>VLOOKUP(B153,'116+240'!$B$14:$AB$682,21,FALSE)</f>
        <v>2026</v>
      </c>
      <c r="N153" s="81">
        <f>VLOOKUP(B153,'116+240'!$B$15:$AB$682,5,FALSE)</f>
        <v>-1445</v>
      </c>
      <c r="O153" s="80">
        <f t="shared" si="29"/>
        <v>3746</v>
      </c>
      <c r="P153" s="80">
        <f>VLOOKUP(B153,'116+240'!$B$15:$AB$682,14,FALSE)</f>
        <v>-254</v>
      </c>
      <c r="Q153" s="89">
        <f>'116+240'!R154</f>
        <v>0</v>
      </c>
      <c r="R153" s="83">
        <f t="shared" si="34"/>
        <v>174</v>
      </c>
      <c r="S153" s="82">
        <f>VLOOKUP(B153,'116+240'!$B$14:$AB$682,22,FALSE)</f>
        <v>2091</v>
      </c>
      <c r="T153" s="81">
        <f>VLOOKUP(B153,'116+240'!$B$15:$AB$682,6,FALSE)</f>
        <v>-1560</v>
      </c>
      <c r="U153" s="80">
        <f t="shared" si="30"/>
        <v>3861</v>
      </c>
      <c r="V153" s="79">
        <f>VLOOKUP(B153,'116+240'!$B$15:$AB$682,15,FALSE)</f>
        <v>-139</v>
      </c>
      <c r="W153" s="89">
        <f>'116+240'!S154</f>
        <v>0</v>
      </c>
      <c r="X153" s="83">
        <f t="shared" si="35"/>
        <v>109</v>
      </c>
      <c r="Y153" s="78">
        <f t="shared" si="36"/>
        <v>0</v>
      </c>
      <c r="Z153" s="77">
        <f t="shared" si="37"/>
        <v>0</v>
      </c>
      <c r="AA153" s="76">
        <f t="shared" si="38"/>
        <v>2.2130000000000001</v>
      </c>
      <c r="AB153" s="76">
        <f t="shared" si="39"/>
        <v>1.9319999999999999</v>
      </c>
    </row>
    <row r="154" spans="2:28">
      <c r="B154" s="90">
        <f>'116+240'!B155</f>
        <v>45422</v>
      </c>
      <c r="C154" s="87">
        <f t="shared" si="31"/>
        <v>1</v>
      </c>
      <c r="D154" s="86">
        <f t="shared" si="32"/>
        <v>844</v>
      </c>
      <c r="E154" s="85">
        <f>VLOOKUP(B154,'116+240'!B155:AB244,3,FALSE)</f>
        <v>1459</v>
      </c>
      <c r="F154" s="81">
        <f t="shared" si="27"/>
        <v>2303</v>
      </c>
      <c r="G154" s="84">
        <f>VLOOKUP(B154,'116+240'!$B$15:$AB$682,20,FALSE)</f>
        <v>1803</v>
      </c>
      <c r="H154" s="84">
        <f>VLOOKUP(B154,'116+240'!$B$15:$AB$682,4,FALSE)</f>
        <v>-1340</v>
      </c>
      <c r="I154" s="80">
        <f t="shared" si="28"/>
        <v>3643</v>
      </c>
      <c r="J154" s="80">
        <f>VLOOKUP(B154,'116+240'!$B$15:$AB$682,13,FALSE)</f>
        <v>-357</v>
      </c>
      <c r="K154" s="89">
        <f>'116+240'!Q155</f>
        <v>2</v>
      </c>
      <c r="L154" s="83">
        <f t="shared" si="33"/>
        <v>397</v>
      </c>
      <c r="M154" s="82">
        <f>VLOOKUP(B154,'116+240'!$B$14:$AB$682,21,FALSE)</f>
        <v>2026</v>
      </c>
      <c r="N154" s="81">
        <f>VLOOKUP(B154,'116+240'!$B$15:$AB$682,5,FALSE)</f>
        <v>-1443</v>
      </c>
      <c r="O154" s="80">
        <f t="shared" si="29"/>
        <v>3746</v>
      </c>
      <c r="P154" s="80">
        <f>VLOOKUP(B154,'116+240'!$B$15:$AB$682,14,FALSE)</f>
        <v>-254</v>
      </c>
      <c r="Q154" s="89">
        <f>'116+240'!R155</f>
        <v>0</v>
      </c>
      <c r="R154" s="83">
        <f t="shared" si="34"/>
        <v>174</v>
      </c>
      <c r="S154" s="82">
        <f>VLOOKUP(B154,'116+240'!$B$14:$AB$682,22,FALSE)</f>
        <v>2091</v>
      </c>
      <c r="T154" s="81">
        <f>VLOOKUP(B154,'116+240'!$B$15:$AB$682,6,FALSE)</f>
        <v>-1558</v>
      </c>
      <c r="U154" s="80">
        <f t="shared" si="30"/>
        <v>3861</v>
      </c>
      <c r="V154" s="79">
        <f>VLOOKUP(B154,'116+240'!$B$15:$AB$682,15,FALSE)</f>
        <v>-139</v>
      </c>
      <c r="W154" s="89">
        <f>'116+240'!S155</f>
        <v>0</v>
      </c>
      <c r="X154" s="83">
        <f t="shared" si="35"/>
        <v>109</v>
      </c>
      <c r="Y154" s="78">
        <f t="shared" si="36"/>
        <v>0</v>
      </c>
      <c r="Z154" s="77">
        <f t="shared" si="37"/>
        <v>0</v>
      </c>
      <c r="AA154" s="76">
        <f t="shared" si="38"/>
        <v>2.2130000000000001</v>
      </c>
      <c r="AB154" s="76">
        <f t="shared" si="39"/>
        <v>1.9319999999999999</v>
      </c>
    </row>
    <row r="155" spans="2:28">
      <c r="B155" s="90">
        <f>'116+240'!B156</f>
        <v>45423</v>
      </c>
      <c r="C155" s="87">
        <f t="shared" si="31"/>
        <v>1</v>
      </c>
      <c r="D155" s="86">
        <f t="shared" si="32"/>
        <v>844</v>
      </c>
      <c r="E155" s="85">
        <f>VLOOKUP(B155,'116+240'!B156:AB244,3,FALSE)</f>
        <v>1461</v>
      </c>
      <c r="F155" s="81">
        <f t="shared" si="27"/>
        <v>2305</v>
      </c>
      <c r="G155" s="84">
        <f>VLOOKUP(B155,'116+240'!$B$15:$AB$682,20,FALSE)</f>
        <v>1801</v>
      </c>
      <c r="H155" s="84">
        <f>VLOOKUP(B155,'116+240'!$B$15:$AB$682,4,FALSE)</f>
        <v>-1336</v>
      </c>
      <c r="I155" s="80">
        <f t="shared" si="28"/>
        <v>3641</v>
      </c>
      <c r="J155" s="80">
        <f>VLOOKUP(B155,'116+240'!$B$15:$AB$682,13,FALSE)</f>
        <v>-359</v>
      </c>
      <c r="K155" s="89">
        <f>'116+240'!Q156</f>
        <v>2</v>
      </c>
      <c r="L155" s="83">
        <f t="shared" si="33"/>
        <v>399</v>
      </c>
      <c r="M155" s="82">
        <f>VLOOKUP(B155,'116+240'!$B$14:$AB$682,21,FALSE)</f>
        <v>2026</v>
      </c>
      <c r="N155" s="81">
        <f>VLOOKUP(B155,'116+240'!$B$15:$AB$682,5,FALSE)</f>
        <v>-1441</v>
      </c>
      <c r="O155" s="80">
        <f t="shared" si="29"/>
        <v>3746</v>
      </c>
      <c r="P155" s="80">
        <f>VLOOKUP(B155,'116+240'!$B$15:$AB$682,14,FALSE)</f>
        <v>-254</v>
      </c>
      <c r="Q155" s="89">
        <f>'116+240'!R156</f>
        <v>0</v>
      </c>
      <c r="R155" s="83">
        <f t="shared" si="34"/>
        <v>174</v>
      </c>
      <c r="S155" s="82">
        <f>VLOOKUP(B155,'116+240'!$B$14:$AB$682,22,FALSE)</f>
        <v>2091</v>
      </c>
      <c r="T155" s="81">
        <f>VLOOKUP(B155,'116+240'!$B$15:$AB$682,6,FALSE)</f>
        <v>-1556</v>
      </c>
      <c r="U155" s="80">
        <f t="shared" si="30"/>
        <v>3861</v>
      </c>
      <c r="V155" s="79">
        <f>VLOOKUP(B155,'116+240'!$B$15:$AB$682,15,FALSE)</f>
        <v>-139</v>
      </c>
      <c r="W155" s="89">
        <f>'116+240'!S156</f>
        <v>0</v>
      </c>
      <c r="X155" s="83">
        <f t="shared" si="35"/>
        <v>109</v>
      </c>
      <c r="Y155" s="78">
        <f t="shared" si="36"/>
        <v>0</v>
      </c>
      <c r="Z155" s="77">
        <f t="shared" si="37"/>
        <v>0</v>
      </c>
      <c r="AA155" s="76">
        <f t="shared" si="38"/>
        <v>2.2130000000000001</v>
      </c>
      <c r="AB155" s="76">
        <f t="shared" si="39"/>
        <v>1.9319999999999999</v>
      </c>
    </row>
    <row r="156" spans="2:28">
      <c r="B156" s="90">
        <f>'116+240'!B157</f>
        <v>45424</v>
      </c>
      <c r="C156" s="87">
        <f t="shared" si="31"/>
        <v>1</v>
      </c>
      <c r="D156" s="86">
        <f t="shared" si="32"/>
        <v>844</v>
      </c>
      <c r="E156" s="85">
        <f>VLOOKUP(B156,'116+240'!B157:AB244,3,FALSE)</f>
        <v>1463</v>
      </c>
      <c r="F156" s="81">
        <f t="shared" si="27"/>
        <v>2307</v>
      </c>
      <c r="G156" s="84">
        <f>VLOOKUP(B156,'116+240'!$B$15:$AB$682,20,FALSE)</f>
        <v>1799</v>
      </c>
      <c r="H156" s="84">
        <f>VLOOKUP(B156,'116+240'!$B$15:$AB$682,4,FALSE)</f>
        <v>-1332</v>
      </c>
      <c r="I156" s="80">
        <f t="shared" si="28"/>
        <v>3639</v>
      </c>
      <c r="J156" s="80">
        <f>VLOOKUP(B156,'116+240'!$B$15:$AB$682,13,FALSE)</f>
        <v>-361</v>
      </c>
      <c r="K156" s="89">
        <f>'116+240'!Q157</f>
        <v>2</v>
      </c>
      <c r="L156" s="83">
        <f t="shared" si="33"/>
        <v>401</v>
      </c>
      <c r="M156" s="82">
        <f>VLOOKUP(B156,'116+240'!$B$14:$AB$682,21,FALSE)</f>
        <v>2026</v>
      </c>
      <c r="N156" s="81">
        <f>VLOOKUP(B156,'116+240'!$B$15:$AB$682,5,FALSE)</f>
        <v>-1439</v>
      </c>
      <c r="O156" s="80">
        <f t="shared" si="29"/>
        <v>3746</v>
      </c>
      <c r="P156" s="80">
        <f>VLOOKUP(B156,'116+240'!$B$15:$AB$682,14,FALSE)</f>
        <v>-254</v>
      </c>
      <c r="Q156" s="89">
        <f>'116+240'!R157</f>
        <v>0</v>
      </c>
      <c r="R156" s="83">
        <f t="shared" si="34"/>
        <v>174</v>
      </c>
      <c r="S156" s="82">
        <f>VLOOKUP(B156,'116+240'!$B$14:$AB$682,22,FALSE)</f>
        <v>2091</v>
      </c>
      <c r="T156" s="81">
        <f>VLOOKUP(B156,'116+240'!$B$15:$AB$682,6,FALSE)</f>
        <v>-1554</v>
      </c>
      <c r="U156" s="80">
        <f t="shared" si="30"/>
        <v>3861</v>
      </c>
      <c r="V156" s="79">
        <f>VLOOKUP(B156,'116+240'!$B$15:$AB$682,15,FALSE)</f>
        <v>-139</v>
      </c>
      <c r="W156" s="89">
        <f>'116+240'!S157</f>
        <v>0</v>
      </c>
      <c r="X156" s="83">
        <f t="shared" si="35"/>
        <v>109</v>
      </c>
      <c r="Y156" s="78">
        <f t="shared" si="36"/>
        <v>0</v>
      </c>
      <c r="Z156" s="77">
        <f t="shared" si="37"/>
        <v>0</v>
      </c>
      <c r="AA156" s="76">
        <f t="shared" si="38"/>
        <v>2.2130000000000001</v>
      </c>
      <c r="AB156" s="76">
        <f t="shared" si="39"/>
        <v>1.9319999999999999</v>
      </c>
    </row>
    <row r="157" spans="2:28">
      <c r="B157" s="90">
        <f>'116+240'!B158</f>
        <v>45425</v>
      </c>
      <c r="C157" s="87">
        <f t="shared" si="31"/>
        <v>1</v>
      </c>
      <c r="D157" s="86">
        <f t="shared" si="32"/>
        <v>844</v>
      </c>
      <c r="E157" s="85">
        <f>VLOOKUP(B157,'116+240'!B158:AB244,3,FALSE)</f>
        <v>1465</v>
      </c>
      <c r="F157" s="81">
        <f t="shared" si="27"/>
        <v>2309</v>
      </c>
      <c r="G157" s="84">
        <f>VLOOKUP(B157,'116+240'!$B$15:$AB$682,20,FALSE)</f>
        <v>1797</v>
      </c>
      <c r="H157" s="84">
        <f>VLOOKUP(B157,'116+240'!$B$15:$AB$682,4,FALSE)</f>
        <v>-1328</v>
      </c>
      <c r="I157" s="80">
        <f t="shared" si="28"/>
        <v>3637</v>
      </c>
      <c r="J157" s="80">
        <f>VLOOKUP(B157,'116+240'!$B$15:$AB$682,13,FALSE)</f>
        <v>-363</v>
      </c>
      <c r="K157" s="89">
        <f>'116+240'!Q158</f>
        <v>2</v>
      </c>
      <c r="L157" s="83">
        <f t="shared" si="33"/>
        <v>403</v>
      </c>
      <c r="M157" s="82">
        <f>VLOOKUP(B157,'116+240'!$B$14:$AB$682,21,FALSE)</f>
        <v>2026</v>
      </c>
      <c r="N157" s="81">
        <f>VLOOKUP(B157,'116+240'!$B$15:$AB$682,5,FALSE)</f>
        <v>-1437</v>
      </c>
      <c r="O157" s="80">
        <f t="shared" si="29"/>
        <v>3746</v>
      </c>
      <c r="P157" s="80">
        <f>VLOOKUP(B157,'116+240'!$B$15:$AB$682,14,FALSE)</f>
        <v>-254</v>
      </c>
      <c r="Q157" s="89">
        <f>'116+240'!R158</f>
        <v>0</v>
      </c>
      <c r="R157" s="83">
        <f t="shared" si="34"/>
        <v>174</v>
      </c>
      <c r="S157" s="82">
        <f>VLOOKUP(B157,'116+240'!$B$14:$AB$682,22,FALSE)</f>
        <v>2091</v>
      </c>
      <c r="T157" s="81">
        <f>VLOOKUP(B157,'116+240'!$B$15:$AB$682,6,FALSE)</f>
        <v>-1552</v>
      </c>
      <c r="U157" s="80">
        <f t="shared" si="30"/>
        <v>3861</v>
      </c>
      <c r="V157" s="79">
        <f>VLOOKUP(B157,'116+240'!$B$15:$AB$682,15,FALSE)</f>
        <v>-139</v>
      </c>
      <c r="W157" s="89">
        <f>'116+240'!S158</f>
        <v>0</v>
      </c>
      <c r="X157" s="83">
        <f t="shared" si="35"/>
        <v>109</v>
      </c>
      <c r="Y157" s="78">
        <f t="shared" si="36"/>
        <v>0</v>
      </c>
      <c r="Z157" s="77">
        <f t="shared" si="37"/>
        <v>0</v>
      </c>
      <c r="AA157" s="76">
        <f t="shared" si="38"/>
        <v>2.2130000000000001</v>
      </c>
      <c r="AB157" s="76">
        <f t="shared" si="39"/>
        <v>1.9319999999999999</v>
      </c>
    </row>
    <row r="158" spans="2:28">
      <c r="B158" s="90">
        <f>'116+240'!B159</f>
        <v>45426</v>
      </c>
      <c r="C158" s="87">
        <f t="shared" si="31"/>
        <v>1</v>
      </c>
      <c r="D158" s="86">
        <f t="shared" si="32"/>
        <v>844</v>
      </c>
      <c r="E158" s="85">
        <f>VLOOKUP(B158,'116+240'!B159:AB244,3,FALSE)</f>
        <v>1467</v>
      </c>
      <c r="F158" s="81">
        <f t="shared" si="27"/>
        <v>2311</v>
      </c>
      <c r="G158" s="84">
        <f>VLOOKUP(B158,'116+240'!$B$15:$AB$682,20,FALSE)</f>
        <v>1796</v>
      </c>
      <c r="H158" s="84">
        <f>VLOOKUP(B158,'116+240'!$B$15:$AB$682,4,FALSE)</f>
        <v>-1325</v>
      </c>
      <c r="I158" s="80">
        <f t="shared" si="28"/>
        <v>3636</v>
      </c>
      <c r="J158" s="80">
        <f>VLOOKUP(B158,'116+240'!$B$15:$AB$682,13,FALSE)</f>
        <v>-364</v>
      </c>
      <c r="K158" s="89">
        <f>'116+240'!Q159</f>
        <v>1</v>
      </c>
      <c r="L158" s="83">
        <f t="shared" si="33"/>
        <v>404</v>
      </c>
      <c r="M158" s="82">
        <f>VLOOKUP(B158,'116+240'!$B$14:$AB$682,21,FALSE)</f>
        <v>2026</v>
      </c>
      <c r="N158" s="81">
        <f>VLOOKUP(B158,'116+240'!$B$15:$AB$682,5,FALSE)</f>
        <v>-1435</v>
      </c>
      <c r="O158" s="80">
        <f t="shared" si="29"/>
        <v>3746</v>
      </c>
      <c r="P158" s="80">
        <f>VLOOKUP(B158,'116+240'!$B$15:$AB$682,14,FALSE)</f>
        <v>-254</v>
      </c>
      <c r="Q158" s="89">
        <f>'116+240'!R159</f>
        <v>0</v>
      </c>
      <c r="R158" s="83">
        <f t="shared" si="34"/>
        <v>174</v>
      </c>
      <c r="S158" s="82">
        <f>VLOOKUP(B158,'116+240'!$B$14:$AB$682,22,FALSE)</f>
        <v>2091</v>
      </c>
      <c r="T158" s="81">
        <f>VLOOKUP(B158,'116+240'!$B$15:$AB$682,6,FALSE)</f>
        <v>-1550</v>
      </c>
      <c r="U158" s="80">
        <f t="shared" si="30"/>
        <v>3861</v>
      </c>
      <c r="V158" s="79">
        <f>VLOOKUP(B158,'116+240'!$B$15:$AB$682,15,FALSE)</f>
        <v>-139</v>
      </c>
      <c r="W158" s="89">
        <f>'116+240'!S159</f>
        <v>0</v>
      </c>
      <c r="X158" s="83">
        <f t="shared" si="35"/>
        <v>109</v>
      </c>
      <c r="Y158" s="78">
        <f t="shared" si="36"/>
        <v>0</v>
      </c>
      <c r="Z158" s="77">
        <f t="shared" si="37"/>
        <v>0</v>
      </c>
      <c r="AA158" s="76">
        <f t="shared" si="38"/>
        <v>2.2130000000000001</v>
      </c>
      <c r="AB158" s="76">
        <f t="shared" si="39"/>
        <v>1.9319999999999999</v>
      </c>
    </row>
    <row r="159" spans="2:28">
      <c r="B159" s="90">
        <f>'116+240'!B160</f>
        <v>45427</v>
      </c>
      <c r="C159" s="87">
        <f t="shared" si="31"/>
        <v>1</v>
      </c>
      <c r="D159" s="86">
        <f t="shared" si="32"/>
        <v>844</v>
      </c>
      <c r="E159" s="85">
        <f>VLOOKUP(B159,'116+240'!B160:AB244,3,FALSE)</f>
        <v>1469</v>
      </c>
      <c r="F159" s="81">
        <f t="shared" si="27"/>
        <v>2313</v>
      </c>
      <c r="G159" s="84">
        <f>VLOOKUP(B159,'116+240'!$B$15:$AB$682,20,FALSE)</f>
        <v>1794</v>
      </c>
      <c r="H159" s="84">
        <f>VLOOKUP(B159,'116+240'!$B$15:$AB$682,4,FALSE)</f>
        <v>-1321</v>
      </c>
      <c r="I159" s="80">
        <f t="shared" si="28"/>
        <v>3634</v>
      </c>
      <c r="J159" s="80">
        <f>VLOOKUP(B159,'116+240'!$B$15:$AB$682,13,FALSE)</f>
        <v>-366</v>
      </c>
      <c r="K159" s="89">
        <f>'116+240'!Q160</f>
        <v>2</v>
      </c>
      <c r="L159" s="83">
        <f t="shared" si="33"/>
        <v>406</v>
      </c>
      <c r="M159" s="82">
        <f>VLOOKUP(B159,'116+240'!$B$14:$AB$682,21,FALSE)</f>
        <v>2026</v>
      </c>
      <c r="N159" s="81">
        <f>VLOOKUP(B159,'116+240'!$B$15:$AB$682,5,FALSE)</f>
        <v>-1433</v>
      </c>
      <c r="O159" s="80">
        <f t="shared" si="29"/>
        <v>3746</v>
      </c>
      <c r="P159" s="80">
        <f>VLOOKUP(B159,'116+240'!$B$15:$AB$682,14,FALSE)</f>
        <v>-254</v>
      </c>
      <c r="Q159" s="89">
        <f>'116+240'!R160</f>
        <v>0</v>
      </c>
      <c r="R159" s="83">
        <f t="shared" si="34"/>
        <v>174</v>
      </c>
      <c r="S159" s="82">
        <f>VLOOKUP(B159,'116+240'!$B$14:$AB$682,22,FALSE)</f>
        <v>2091</v>
      </c>
      <c r="T159" s="81">
        <f>VLOOKUP(B159,'116+240'!$B$15:$AB$682,6,FALSE)</f>
        <v>-1548</v>
      </c>
      <c r="U159" s="80">
        <f t="shared" si="30"/>
        <v>3861</v>
      </c>
      <c r="V159" s="79">
        <f>VLOOKUP(B159,'116+240'!$B$15:$AB$682,15,FALSE)</f>
        <v>-139</v>
      </c>
      <c r="W159" s="89">
        <f>'116+240'!S160</f>
        <v>0</v>
      </c>
      <c r="X159" s="83">
        <f t="shared" si="35"/>
        <v>109</v>
      </c>
      <c r="Y159" s="78">
        <f t="shared" si="36"/>
        <v>0</v>
      </c>
      <c r="Z159" s="77">
        <f t="shared" si="37"/>
        <v>0</v>
      </c>
      <c r="AA159" s="76">
        <f t="shared" si="38"/>
        <v>2.2130000000000001</v>
      </c>
      <c r="AB159" s="76">
        <f t="shared" si="39"/>
        <v>1.9319999999999999</v>
      </c>
    </row>
    <row r="160" spans="2:28">
      <c r="B160" s="90">
        <f>'116+240'!B161</f>
        <v>45428</v>
      </c>
      <c r="C160" s="87">
        <f t="shared" si="31"/>
        <v>1</v>
      </c>
      <c r="D160" s="86">
        <f t="shared" si="32"/>
        <v>844</v>
      </c>
      <c r="E160" s="85">
        <f>VLOOKUP(B160,'116+240'!B161:AB244,3,FALSE)</f>
        <v>1471</v>
      </c>
      <c r="F160" s="81">
        <f t="shared" si="27"/>
        <v>2315</v>
      </c>
      <c r="G160" s="84">
        <f>VLOOKUP(B160,'116+240'!$B$15:$AB$682,20,FALSE)</f>
        <v>1792</v>
      </c>
      <c r="H160" s="84">
        <f>VLOOKUP(B160,'116+240'!$B$15:$AB$682,4,FALSE)</f>
        <v>-1317</v>
      </c>
      <c r="I160" s="80">
        <f t="shared" si="28"/>
        <v>3632</v>
      </c>
      <c r="J160" s="80">
        <f>VLOOKUP(B160,'116+240'!$B$15:$AB$682,13,FALSE)</f>
        <v>-368</v>
      </c>
      <c r="K160" s="89">
        <f>'116+240'!Q161</f>
        <v>2</v>
      </c>
      <c r="L160" s="83">
        <f t="shared" si="33"/>
        <v>408</v>
      </c>
      <c r="M160" s="82">
        <f>VLOOKUP(B160,'116+240'!$B$14:$AB$682,21,FALSE)</f>
        <v>2026</v>
      </c>
      <c r="N160" s="81">
        <f>VLOOKUP(B160,'116+240'!$B$15:$AB$682,5,FALSE)</f>
        <v>-1431</v>
      </c>
      <c r="O160" s="80">
        <f t="shared" si="29"/>
        <v>3746</v>
      </c>
      <c r="P160" s="80">
        <f>VLOOKUP(B160,'116+240'!$B$15:$AB$682,14,FALSE)</f>
        <v>-254</v>
      </c>
      <c r="Q160" s="89">
        <f>'116+240'!R161</f>
        <v>0</v>
      </c>
      <c r="R160" s="83">
        <f t="shared" si="34"/>
        <v>174</v>
      </c>
      <c r="S160" s="82">
        <f>VLOOKUP(B160,'116+240'!$B$14:$AB$682,22,FALSE)</f>
        <v>2091</v>
      </c>
      <c r="T160" s="81">
        <f>VLOOKUP(B160,'116+240'!$B$15:$AB$682,6,FALSE)</f>
        <v>-1546</v>
      </c>
      <c r="U160" s="80">
        <f t="shared" si="30"/>
        <v>3861</v>
      </c>
      <c r="V160" s="79">
        <f>VLOOKUP(B160,'116+240'!$B$15:$AB$682,15,FALSE)</f>
        <v>-139</v>
      </c>
      <c r="W160" s="89">
        <f>'116+240'!S161</f>
        <v>0</v>
      </c>
      <c r="X160" s="83">
        <f t="shared" si="35"/>
        <v>109</v>
      </c>
      <c r="Y160" s="78">
        <f t="shared" si="36"/>
        <v>0</v>
      </c>
      <c r="Z160" s="77">
        <f t="shared" si="37"/>
        <v>0</v>
      </c>
      <c r="AA160" s="76">
        <f t="shared" si="38"/>
        <v>2.2130000000000001</v>
      </c>
      <c r="AB160" s="76">
        <f t="shared" si="39"/>
        <v>1.9319999999999999</v>
      </c>
    </row>
    <row r="161" spans="2:28">
      <c r="B161" s="90">
        <f>'116+240'!B162</f>
        <v>45429</v>
      </c>
      <c r="C161" s="87">
        <f t="shared" si="31"/>
        <v>1</v>
      </c>
      <c r="D161" s="86">
        <f t="shared" si="32"/>
        <v>844</v>
      </c>
      <c r="E161" s="85">
        <f>VLOOKUP(B161,'116+240'!B162:AB244,3,FALSE)</f>
        <v>1473</v>
      </c>
      <c r="F161" s="81">
        <f t="shared" si="27"/>
        <v>2317</v>
      </c>
      <c r="G161" s="84">
        <f>VLOOKUP(B161,'116+240'!$B$15:$AB$682,20,FALSE)</f>
        <v>1790</v>
      </c>
      <c r="H161" s="84">
        <f>VLOOKUP(B161,'116+240'!$B$15:$AB$682,4,FALSE)</f>
        <v>-1313</v>
      </c>
      <c r="I161" s="80">
        <f t="shared" si="28"/>
        <v>3630</v>
      </c>
      <c r="J161" s="80">
        <f>VLOOKUP(B161,'116+240'!$B$15:$AB$682,13,FALSE)</f>
        <v>-370</v>
      </c>
      <c r="K161" s="89">
        <f>'116+240'!Q162</f>
        <v>2</v>
      </c>
      <c r="L161" s="83">
        <f t="shared" si="33"/>
        <v>410</v>
      </c>
      <c r="M161" s="82">
        <f>VLOOKUP(B161,'116+240'!$B$14:$AB$682,21,FALSE)</f>
        <v>2026</v>
      </c>
      <c r="N161" s="81">
        <f>VLOOKUP(B161,'116+240'!$B$15:$AB$682,5,FALSE)</f>
        <v>-1429</v>
      </c>
      <c r="O161" s="80">
        <f t="shared" si="29"/>
        <v>3746</v>
      </c>
      <c r="P161" s="80">
        <f>VLOOKUP(B161,'116+240'!$B$15:$AB$682,14,FALSE)</f>
        <v>-254</v>
      </c>
      <c r="Q161" s="89">
        <f>'116+240'!R162</f>
        <v>0</v>
      </c>
      <c r="R161" s="83">
        <f t="shared" si="34"/>
        <v>174</v>
      </c>
      <c r="S161" s="82">
        <f>VLOOKUP(B161,'116+240'!$B$14:$AB$682,22,FALSE)</f>
        <v>2091</v>
      </c>
      <c r="T161" s="81">
        <f>VLOOKUP(B161,'116+240'!$B$15:$AB$682,6,FALSE)</f>
        <v>-1544</v>
      </c>
      <c r="U161" s="80">
        <f t="shared" si="30"/>
        <v>3861</v>
      </c>
      <c r="V161" s="79">
        <f>VLOOKUP(B161,'116+240'!$B$15:$AB$682,15,FALSE)</f>
        <v>-139</v>
      </c>
      <c r="W161" s="89">
        <f>'116+240'!S162</f>
        <v>0</v>
      </c>
      <c r="X161" s="83">
        <f t="shared" si="35"/>
        <v>109</v>
      </c>
      <c r="Y161" s="78">
        <f t="shared" si="36"/>
        <v>0</v>
      </c>
      <c r="Z161" s="77">
        <f t="shared" si="37"/>
        <v>0</v>
      </c>
      <c r="AA161" s="76">
        <f t="shared" si="38"/>
        <v>2.2130000000000001</v>
      </c>
      <c r="AB161" s="76">
        <f t="shared" si="39"/>
        <v>1.9319999999999999</v>
      </c>
    </row>
    <row r="162" spans="2:28">
      <c r="B162" s="90">
        <f>'116+240'!B163</f>
        <v>45430</v>
      </c>
      <c r="C162" s="87">
        <f t="shared" si="31"/>
        <v>1</v>
      </c>
      <c r="D162" s="86">
        <f t="shared" si="32"/>
        <v>844</v>
      </c>
      <c r="E162" s="85">
        <f>VLOOKUP(B162,'116+240'!B163:AB244,3,FALSE)</f>
        <v>1475</v>
      </c>
      <c r="F162" s="81">
        <f t="shared" si="27"/>
        <v>2319</v>
      </c>
      <c r="G162" s="84">
        <f>VLOOKUP(B162,'116+240'!$B$15:$AB$682,20,FALSE)</f>
        <v>1788</v>
      </c>
      <c r="H162" s="84">
        <f>VLOOKUP(B162,'116+240'!$B$15:$AB$682,4,FALSE)</f>
        <v>-1309</v>
      </c>
      <c r="I162" s="80">
        <f t="shared" si="28"/>
        <v>3628</v>
      </c>
      <c r="J162" s="80">
        <f>VLOOKUP(B162,'116+240'!$B$15:$AB$682,13,FALSE)</f>
        <v>-372</v>
      </c>
      <c r="K162" s="89">
        <f>'116+240'!Q163</f>
        <v>2</v>
      </c>
      <c r="L162" s="83">
        <f t="shared" si="33"/>
        <v>412</v>
      </c>
      <c r="M162" s="82">
        <f>VLOOKUP(B162,'116+240'!$B$14:$AB$682,21,FALSE)</f>
        <v>2026</v>
      </c>
      <c r="N162" s="81">
        <f>VLOOKUP(B162,'116+240'!$B$15:$AB$682,5,FALSE)</f>
        <v>-1427</v>
      </c>
      <c r="O162" s="80">
        <f t="shared" si="29"/>
        <v>3746</v>
      </c>
      <c r="P162" s="80">
        <f>VLOOKUP(B162,'116+240'!$B$15:$AB$682,14,FALSE)</f>
        <v>-254</v>
      </c>
      <c r="Q162" s="89">
        <f>'116+240'!R163</f>
        <v>0</v>
      </c>
      <c r="R162" s="83">
        <f t="shared" si="34"/>
        <v>174</v>
      </c>
      <c r="S162" s="82">
        <f>VLOOKUP(B162,'116+240'!$B$14:$AB$682,22,FALSE)</f>
        <v>2091</v>
      </c>
      <c r="T162" s="81">
        <f>VLOOKUP(B162,'116+240'!$B$15:$AB$682,6,FALSE)</f>
        <v>-1542</v>
      </c>
      <c r="U162" s="80">
        <f t="shared" si="30"/>
        <v>3861</v>
      </c>
      <c r="V162" s="79">
        <f>VLOOKUP(B162,'116+240'!$B$15:$AB$682,15,FALSE)</f>
        <v>-139</v>
      </c>
      <c r="W162" s="89">
        <f>'116+240'!S163</f>
        <v>0</v>
      </c>
      <c r="X162" s="83">
        <f t="shared" si="35"/>
        <v>109</v>
      </c>
      <c r="Y162" s="78">
        <f t="shared" si="36"/>
        <v>0</v>
      </c>
      <c r="Z162" s="77">
        <f t="shared" si="37"/>
        <v>0</v>
      </c>
      <c r="AA162" s="76">
        <f t="shared" si="38"/>
        <v>2.2130000000000001</v>
      </c>
      <c r="AB162" s="76">
        <f t="shared" si="39"/>
        <v>1.9319999999999999</v>
      </c>
    </row>
    <row r="163" spans="2:28">
      <c r="B163" s="90">
        <f>'116+240'!B164</f>
        <v>45431</v>
      </c>
      <c r="C163" s="87">
        <f t="shared" si="31"/>
        <v>1</v>
      </c>
      <c r="D163" s="86">
        <f t="shared" si="32"/>
        <v>844</v>
      </c>
      <c r="E163" s="85">
        <f>VLOOKUP(B163,'116+240'!B164:AB244,3,FALSE)</f>
        <v>1477</v>
      </c>
      <c r="F163" s="81">
        <f t="shared" si="27"/>
        <v>2321</v>
      </c>
      <c r="G163" s="84">
        <f>VLOOKUP(B163,'116+240'!$B$15:$AB$682,20,FALSE)</f>
        <v>1788</v>
      </c>
      <c r="H163" s="84">
        <f>VLOOKUP(B163,'116+240'!$B$15:$AB$682,4,FALSE)</f>
        <v>-1307</v>
      </c>
      <c r="I163" s="80">
        <f t="shared" si="28"/>
        <v>3628</v>
      </c>
      <c r="J163" s="80">
        <f>VLOOKUP(B163,'116+240'!$B$15:$AB$682,13,FALSE)</f>
        <v>-372</v>
      </c>
      <c r="K163" s="89">
        <f>'116+240'!Q164</f>
        <v>0</v>
      </c>
      <c r="L163" s="83">
        <f t="shared" si="33"/>
        <v>412</v>
      </c>
      <c r="M163" s="82">
        <f>VLOOKUP(B163,'116+240'!$B$14:$AB$682,21,FALSE)</f>
        <v>2026</v>
      </c>
      <c r="N163" s="81">
        <f>VLOOKUP(B163,'116+240'!$B$15:$AB$682,5,FALSE)</f>
        <v>-1425</v>
      </c>
      <c r="O163" s="80">
        <f t="shared" si="29"/>
        <v>3746</v>
      </c>
      <c r="P163" s="80">
        <f>VLOOKUP(B163,'116+240'!$B$15:$AB$682,14,FALSE)</f>
        <v>-254</v>
      </c>
      <c r="Q163" s="89">
        <f>'116+240'!R164</f>
        <v>0</v>
      </c>
      <c r="R163" s="83">
        <f t="shared" si="34"/>
        <v>174</v>
      </c>
      <c r="S163" s="82">
        <f>VLOOKUP(B163,'116+240'!$B$14:$AB$682,22,FALSE)</f>
        <v>2091</v>
      </c>
      <c r="T163" s="81">
        <f>VLOOKUP(B163,'116+240'!$B$15:$AB$682,6,FALSE)</f>
        <v>-1540</v>
      </c>
      <c r="U163" s="80">
        <f t="shared" si="30"/>
        <v>3861</v>
      </c>
      <c r="V163" s="79">
        <f>VLOOKUP(B163,'116+240'!$B$15:$AB$682,15,FALSE)</f>
        <v>-139</v>
      </c>
      <c r="W163" s="89">
        <f>'116+240'!S164</f>
        <v>0</v>
      </c>
      <c r="X163" s="83">
        <f t="shared" si="35"/>
        <v>109</v>
      </c>
      <c r="Y163" s="78">
        <f t="shared" si="36"/>
        <v>0</v>
      </c>
      <c r="Z163" s="77">
        <f t="shared" si="37"/>
        <v>0</v>
      </c>
      <c r="AA163" s="76">
        <f t="shared" si="38"/>
        <v>2.2130000000000001</v>
      </c>
      <c r="AB163" s="76">
        <f t="shared" si="39"/>
        <v>1.9319999999999999</v>
      </c>
    </row>
    <row r="164" spans="2:28">
      <c r="B164" s="90">
        <f>'116+240'!B165</f>
        <v>45432</v>
      </c>
      <c r="C164" s="87">
        <f t="shared" si="31"/>
        <v>1</v>
      </c>
      <c r="D164" s="86">
        <f t="shared" si="32"/>
        <v>844</v>
      </c>
      <c r="E164" s="85">
        <f>VLOOKUP(B164,'116+240'!B165:AB244,3,FALSE)</f>
        <v>1479</v>
      </c>
      <c r="F164" s="81">
        <f t="shared" si="27"/>
        <v>2323</v>
      </c>
      <c r="G164" s="84">
        <f>VLOOKUP(B164,'116+240'!$B$15:$AB$682,20,FALSE)</f>
        <v>1788</v>
      </c>
      <c r="H164" s="84">
        <f>VLOOKUP(B164,'116+240'!$B$15:$AB$682,4,FALSE)</f>
        <v>-1305</v>
      </c>
      <c r="I164" s="80">
        <f t="shared" si="28"/>
        <v>3628</v>
      </c>
      <c r="J164" s="80">
        <f>VLOOKUP(B164,'116+240'!$B$15:$AB$682,13,FALSE)</f>
        <v>-372</v>
      </c>
      <c r="K164" s="89">
        <f>'116+240'!Q165</f>
        <v>0</v>
      </c>
      <c r="L164" s="83">
        <f t="shared" si="33"/>
        <v>412</v>
      </c>
      <c r="M164" s="82">
        <f>VLOOKUP(B164,'116+240'!$B$14:$AB$682,21,FALSE)</f>
        <v>2026</v>
      </c>
      <c r="N164" s="81">
        <f>VLOOKUP(B164,'116+240'!$B$15:$AB$682,5,FALSE)</f>
        <v>-1423</v>
      </c>
      <c r="O164" s="80">
        <f t="shared" si="29"/>
        <v>3746</v>
      </c>
      <c r="P164" s="80">
        <f>VLOOKUP(B164,'116+240'!$B$15:$AB$682,14,FALSE)</f>
        <v>-254</v>
      </c>
      <c r="Q164" s="89">
        <f>'116+240'!R165</f>
        <v>0</v>
      </c>
      <c r="R164" s="83">
        <f t="shared" si="34"/>
        <v>174</v>
      </c>
      <c r="S164" s="82">
        <f>VLOOKUP(B164,'116+240'!$B$14:$AB$682,22,FALSE)</f>
        <v>2091</v>
      </c>
      <c r="T164" s="81">
        <f>VLOOKUP(B164,'116+240'!$B$15:$AB$682,6,FALSE)</f>
        <v>-1538</v>
      </c>
      <c r="U164" s="80">
        <f t="shared" si="30"/>
        <v>3861</v>
      </c>
      <c r="V164" s="79">
        <f>VLOOKUP(B164,'116+240'!$B$15:$AB$682,15,FALSE)</f>
        <v>-139</v>
      </c>
      <c r="W164" s="89">
        <f>'116+240'!S165</f>
        <v>0</v>
      </c>
      <c r="X164" s="83">
        <f t="shared" si="35"/>
        <v>109</v>
      </c>
      <c r="Y164" s="78">
        <f t="shared" si="36"/>
        <v>0</v>
      </c>
      <c r="Z164" s="77">
        <f t="shared" si="37"/>
        <v>0</v>
      </c>
      <c r="AA164" s="76">
        <f t="shared" si="38"/>
        <v>2.2130000000000001</v>
      </c>
      <c r="AB164" s="76">
        <f t="shared" si="39"/>
        <v>1.9319999999999999</v>
      </c>
    </row>
    <row r="165" spans="2:28">
      <c r="B165" s="90">
        <f>'116+240'!B166</f>
        <v>45433</v>
      </c>
      <c r="C165" s="87">
        <f t="shared" si="31"/>
        <v>1</v>
      </c>
      <c r="D165" s="86">
        <f t="shared" si="32"/>
        <v>844</v>
      </c>
      <c r="E165" s="85">
        <f>VLOOKUP(B165,'116+240'!B166:AB244,3,FALSE)</f>
        <v>1481</v>
      </c>
      <c r="F165" s="81">
        <f t="shared" si="27"/>
        <v>2325</v>
      </c>
      <c r="G165" s="84">
        <f>VLOOKUP(B165,'116+240'!$B$15:$AB$682,20,FALSE)</f>
        <v>1788</v>
      </c>
      <c r="H165" s="84">
        <f>VLOOKUP(B165,'116+240'!$B$15:$AB$682,4,FALSE)</f>
        <v>-1303</v>
      </c>
      <c r="I165" s="80">
        <f t="shared" si="28"/>
        <v>3628</v>
      </c>
      <c r="J165" s="80">
        <f>VLOOKUP(B165,'116+240'!$B$15:$AB$682,13,FALSE)</f>
        <v>-372</v>
      </c>
      <c r="K165" s="89">
        <f>'116+240'!Q166</f>
        <v>0</v>
      </c>
      <c r="L165" s="83">
        <f t="shared" si="33"/>
        <v>412</v>
      </c>
      <c r="M165" s="82">
        <f>VLOOKUP(B165,'116+240'!$B$14:$AB$682,21,FALSE)</f>
        <v>2026</v>
      </c>
      <c r="N165" s="81">
        <f>VLOOKUP(B165,'116+240'!$B$15:$AB$682,5,FALSE)</f>
        <v>-1421</v>
      </c>
      <c r="O165" s="80">
        <f t="shared" si="29"/>
        <v>3746</v>
      </c>
      <c r="P165" s="80">
        <f>VLOOKUP(B165,'116+240'!$B$15:$AB$682,14,FALSE)</f>
        <v>-254</v>
      </c>
      <c r="Q165" s="89">
        <f>'116+240'!R166</f>
        <v>0</v>
      </c>
      <c r="R165" s="83">
        <f t="shared" si="34"/>
        <v>174</v>
      </c>
      <c r="S165" s="82">
        <f>VLOOKUP(B165,'116+240'!$B$14:$AB$682,22,FALSE)</f>
        <v>2091</v>
      </c>
      <c r="T165" s="81">
        <f>VLOOKUP(B165,'116+240'!$B$15:$AB$682,6,FALSE)</f>
        <v>-1536</v>
      </c>
      <c r="U165" s="80">
        <f t="shared" si="30"/>
        <v>3861</v>
      </c>
      <c r="V165" s="79">
        <f>VLOOKUP(B165,'116+240'!$B$15:$AB$682,15,FALSE)</f>
        <v>-139</v>
      </c>
      <c r="W165" s="89">
        <f>'116+240'!S166</f>
        <v>0</v>
      </c>
      <c r="X165" s="83">
        <f t="shared" si="35"/>
        <v>109</v>
      </c>
      <c r="Y165" s="78">
        <f t="shared" si="36"/>
        <v>0</v>
      </c>
      <c r="Z165" s="77">
        <f t="shared" si="37"/>
        <v>0</v>
      </c>
      <c r="AA165" s="76">
        <f t="shared" si="38"/>
        <v>2.2130000000000001</v>
      </c>
      <c r="AB165" s="76">
        <f t="shared" si="39"/>
        <v>1.9319999999999999</v>
      </c>
    </row>
    <row r="166" spans="2:28">
      <c r="B166" s="90">
        <f>'116+240'!B167</f>
        <v>45434</v>
      </c>
      <c r="C166" s="87">
        <f t="shared" si="31"/>
        <v>1</v>
      </c>
      <c r="D166" s="86">
        <f t="shared" si="32"/>
        <v>844</v>
      </c>
      <c r="E166" s="85">
        <f>VLOOKUP(B166,'116+240'!B167:AB244,3,FALSE)</f>
        <v>1483</v>
      </c>
      <c r="F166" s="81">
        <f t="shared" si="27"/>
        <v>2327</v>
      </c>
      <c r="G166" s="84">
        <f>VLOOKUP(B166,'116+240'!$B$15:$AB$682,20,FALSE)</f>
        <v>1788</v>
      </c>
      <c r="H166" s="84">
        <f>VLOOKUP(B166,'116+240'!$B$15:$AB$682,4,FALSE)</f>
        <v>-1301</v>
      </c>
      <c r="I166" s="80">
        <f t="shared" si="28"/>
        <v>3628</v>
      </c>
      <c r="J166" s="80">
        <f>VLOOKUP(B166,'116+240'!$B$15:$AB$682,13,FALSE)</f>
        <v>-372</v>
      </c>
      <c r="K166" s="89">
        <f>'116+240'!Q167</f>
        <v>0</v>
      </c>
      <c r="L166" s="83">
        <f t="shared" si="33"/>
        <v>412</v>
      </c>
      <c r="M166" s="82">
        <f>VLOOKUP(B166,'116+240'!$B$14:$AB$682,21,FALSE)</f>
        <v>2026</v>
      </c>
      <c r="N166" s="81">
        <f>VLOOKUP(B166,'116+240'!$B$15:$AB$682,5,FALSE)</f>
        <v>-1419</v>
      </c>
      <c r="O166" s="80">
        <f t="shared" si="29"/>
        <v>3746</v>
      </c>
      <c r="P166" s="80">
        <f>VLOOKUP(B166,'116+240'!$B$15:$AB$682,14,FALSE)</f>
        <v>-254</v>
      </c>
      <c r="Q166" s="89">
        <f>'116+240'!R167</f>
        <v>0</v>
      </c>
      <c r="R166" s="83">
        <f t="shared" si="34"/>
        <v>174</v>
      </c>
      <c r="S166" s="82">
        <f>VLOOKUP(B166,'116+240'!$B$14:$AB$682,22,FALSE)</f>
        <v>2091</v>
      </c>
      <c r="T166" s="81">
        <f>VLOOKUP(B166,'116+240'!$B$15:$AB$682,6,FALSE)</f>
        <v>-1534</v>
      </c>
      <c r="U166" s="80">
        <f t="shared" si="30"/>
        <v>3861</v>
      </c>
      <c r="V166" s="79">
        <f>VLOOKUP(B166,'116+240'!$B$15:$AB$682,15,FALSE)</f>
        <v>-139</v>
      </c>
      <c r="W166" s="89">
        <f>'116+240'!S167</f>
        <v>0</v>
      </c>
      <c r="X166" s="83">
        <f t="shared" si="35"/>
        <v>109</v>
      </c>
      <c r="Y166" s="78">
        <f t="shared" si="36"/>
        <v>0</v>
      </c>
      <c r="Z166" s="77">
        <f t="shared" si="37"/>
        <v>0</v>
      </c>
      <c r="AA166" s="76">
        <f t="shared" si="38"/>
        <v>2.2130000000000001</v>
      </c>
      <c r="AB166" s="76">
        <f t="shared" si="39"/>
        <v>1.9319999999999999</v>
      </c>
    </row>
    <row r="167" spans="2:28">
      <c r="B167" s="90">
        <f>'116+240'!B168</f>
        <v>45435</v>
      </c>
      <c r="C167" s="87">
        <f t="shared" si="31"/>
        <v>1</v>
      </c>
      <c r="D167" s="86">
        <f t="shared" si="32"/>
        <v>844</v>
      </c>
      <c r="E167" s="85">
        <f>VLOOKUP(B167,'116+240'!B168:AB244,3,FALSE)</f>
        <v>1485</v>
      </c>
      <c r="F167" s="81">
        <f t="shared" si="27"/>
        <v>2329</v>
      </c>
      <c r="G167" s="84">
        <f>VLOOKUP(B167,'116+240'!$B$15:$AB$682,20,FALSE)</f>
        <v>1788</v>
      </c>
      <c r="H167" s="84">
        <f>VLOOKUP(B167,'116+240'!$B$15:$AB$682,4,FALSE)</f>
        <v>-1299</v>
      </c>
      <c r="I167" s="80">
        <f t="shared" si="28"/>
        <v>3628</v>
      </c>
      <c r="J167" s="80">
        <f>VLOOKUP(B167,'116+240'!$B$15:$AB$682,13,FALSE)</f>
        <v>-372</v>
      </c>
      <c r="K167" s="89">
        <f>'116+240'!Q168</f>
        <v>0</v>
      </c>
      <c r="L167" s="83">
        <f t="shared" si="33"/>
        <v>412</v>
      </c>
      <c r="M167" s="82">
        <f>VLOOKUP(B167,'116+240'!$B$14:$AB$682,21,FALSE)</f>
        <v>2026</v>
      </c>
      <c r="N167" s="81">
        <f>VLOOKUP(B167,'116+240'!$B$15:$AB$682,5,FALSE)</f>
        <v>-1417</v>
      </c>
      <c r="O167" s="80">
        <f t="shared" si="29"/>
        <v>3746</v>
      </c>
      <c r="P167" s="80">
        <f>VLOOKUP(B167,'116+240'!$B$15:$AB$682,14,FALSE)</f>
        <v>-254</v>
      </c>
      <c r="Q167" s="89">
        <f>'116+240'!R168</f>
        <v>0</v>
      </c>
      <c r="R167" s="83">
        <f t="shared" si="34"/>
        <v>174</v>
      </c>
      <c r="S167" s="82">
        <f>VLOOKUP(B167,'116+240'!$B$14:$AB$682,22,FALSE)</f>
        <v>2091</v>
      </c>
      <c r="T167" s="81">
        <f>VLOOKUP(B167,'116+240'!$B$15:$AB$682,6,FALSE)</f>
        <v>-1532</v>
      </c>
      <c r="U167" s="80">
        <f t="shared" si="30"/>
        <v>3861</v>
      </c>
      <c r="V167" s="79">
        <f>VLOOKUP(B167,'116+240'!$B$15:$AB$682,15,FALSE)</f>
        <v>-139</v>
      </c>
      <c r="W167" s="89">
        <f>'116+240'!S168</f>
        <v>0</v>
      </c>
      <c r="X167" s="83">
        <f t="shared" si="35"/>
        <v>109</v>
      </c>
      <c r="Y167" s="78">
        <f t="shared" si="36"/>
        <v>0</v>
      </c>
      <c r="Z167" s="77">
        <f t="shared" si="37"/>
        <v>0</v>
      </c>
      <c r="AA167" s="76">
        <f t="shared" si="38"/>
        <v>2.2130000000000001</v>
      </c>
      <c r="AB167" s="76">
        <f t="shared" si="39"/>
        <v>1.9319999999999999</v>
      </c>
    </row>
    <row r="168" spans="2:28">
      <c r="B168" s="90">
        <f>'116+240'!B169</f>
        <v>45436</v>
      </c>
      <c r="C168" s="87">
        <f t="shared" si="31"/>
        <v>1</v>
      </c>
      <c r="D168" s="86">
        <f t="shared" si="32"/>
        <v>844</v>
      </c>
      <c r="E168" s="85">
        <f>VLOOKUP(B168,'116+240'!B169:AB244,3,FALSE)</f>
        <v>1487</v>
      </c>
      <c r="F168" s="81">
        <f t="shared" si="27"/>
        <v>2331</v>
      </c>
      <c r="G168" s="84">
        <f>VLOOKUP(B168,'116+240'!$B$15:$AB$682,20,FALSE)</f>
        <v>1788</v>
      </c>
      <c r="H168" s="84">
        <f>VLOOKUP(B168,'116+240'!$B$15:$AB$682,4,FALSE)</f>
        <v>-1297</v>
      </c>
      <c r="I168" s="80">
        <f t="shared" si="28"/>
        <v>3628</v>
      </c>
      <c r="J168" s="80">
        <f>VLOOKUP(B168,'116+240'!$B$15:$AB$682,13,FALSE)</f>
        <v>-372</v>
      </c>
      <c r="K168" s="89">
        <f>'116+240'!Q169</f>
        <v>0</v>
      </c>
      <c r="L168" s="83">
        <f t="shared" si="33"/>
        <v>412</v>
      </c>
      <c r="M168" s="82">
        <f>VLOOKUP(B168,'116+240'!$B$14:$AB$682,21,FALSE)</f>
        <v>2026</v>
      </c>
      <c r="N168" s="81">
        <f>VLOOKUP(B168,'116+240'!$B$15:$AB$682,5,FALSE)</f>
        <v>-1415</v>
      </c>
      <c r="O168" s="80">
        <f t="shared" si="29"/>
        <v>3746</v>
      </c>
      <c r="P168" s="80">
        <f>VLOOKUP(B168,'116+240'!$B$15:$AB$682,14,FALSE)</f>
        <v>-254</v>
      </c>
      <c r="Q168" s="89">
        <f>'116+240'!R169</f>
        <v>0</v>
      </c>
      <c r="R168" s="83">
        <f t="shared" si="34"/>
        <v>174</v>
      </c>
      <c r="S168" s="82">
        <f>VLOOKUP(B168,'116+240'!$B$14:$AB$682,22,FALSE)</f>
        <v>2091</v>
      </c>
      <c r="T168" s="81">
        <f>VLOOKUP(B168,'116+240'!$B$15:$AB$682,6,FALSE)</f>
        <v>-1530</v>
      </c>
      <c r="U168" s="80">
        <f t="shared" si="30"/>
        <v>3861</v>
      </c>
      <c r="V168" s="79">
        <f>VLOOKUP(B168,'116+240'!$B$15:$AB$682,15,FALSE)</f>
        <v>-139</v>
      </c>
      <c r="W168" s="89">
        <f>'116+240'!S169</f>
        <v>0</v>
      </c>
      <c r="X168" s="83">
        <f t="shared" si="35"/>
        <v>109</v>
      </c>
      <c r="Y168" s="78">
        <f t="shared" si="36"/>
        <v>0</v>
      </c>
      <c r="Z168" s="77">
        <f t="shared" si="37"/>
        <v>0</v>
      </c>
      <c r="AA168" s="76">
        <f t="shared" si="38"/>
        <v>2.2130000000000001</v>
      </c>
      <c r="AB168" s="76">
        <f t="shared" si="39"/>
        <v>1.9319999999999999</v>
      </c>
    </row>
    <row r="169" spans="2:28">
      <c r="B169" s="90">
        <f>'116+240'!B170</f>
        <v>45437</v>
      </c>
      <c r="C169" s="87">
        <f t="shared" si="31"/>
        <v>1</v>
      </c>
      <c r="D169" s="86">
        <f t="shared" si="32"/>
        <v>844</v>
      </c>
      <c r="E169" s="85">
        <f>VLOOKUP(B169,'116+240'!B170:AB244,3,FALSE)</f>
        <v>1489</v>
      </c>
      <c r="F169" s="81">
        <f t="shared" si="27"/>
        <v>2333</v>
      </c>
      <c r="G169" s="84">
        <f>VLOOKUP(B169,'116+240'!$B$15:$AB$682,20,FALSE)</f>
        <v>1788</v>
      </c>
      <c r="H169" s="84">
        <f>VLOOKUP(B169,'116+240'!$B$15:$AB$682,4,FALSE)</f>
        <v>-1295</v>
      </c>
      <c r="I169" s="80">
        <f t="shared" si="28"/>
        <v>3628</v>
      </c>
      <c r="J169" s="80">
        <f>VLOOKUP(B169,'116+240'!$B$15:$AB$682,13,FALSE)</f>
        <v>-372</v>
      </c>
      <c r="K169" s="89">
        <f>'116+240'!Q170</f>
        <v>0</v>
      </c>
      <c r="L169" s="83">
        <f t="shared" si="33"/>
        <v>412</v>
      </c>
      <c r="M169" s="82">
        <f>VLOOKUP(B169,'116+240'!$B$14:$AB$682,21,FALSE)</f>
        <v>2026</v>
      </c>
      <c r="N169" s="81">
        <f>VLOOKUP(B169,'116+240'!$B$15:$AB$682,5,FALSE)</f>
        <v>-1413</v>
      </c>
      <c r="O169" s="80">
        <f t="shared" si="29"/>
        <v>3746</v>
      </c>
      <c r="P169" s="80">
        <f>VLOOKUP(B169,'116+240'!$B$15:$AB$682,14,FALSE)</f>
        <v>-254</v>
      </c>
      <c r="Q169" s="89">
        <f>'116+240'!R170</f>
        <v>0</v>
      </c>
      <c r="R169" s="83">
        <f t="shared" si="34"/>
        <v>174</v>
      </c>
      <c r="S169" s="82">
        <f>VLOOKUP(B169,'116+240'!$B$14:$AB$682,22,FALSE)</f>
        <v>2091</v>
      </c>
      <c r="T169" s="81">
        <f>VLOOKUP(B169,'116+240'!$B$15:$AB$682,6,FALSE)</f>
        <v>-1528</v>
      </c>
      <c r="U169" s="80">
        <f t="shared" si="30"/>
        <v>3861</v>
      </c>
      <c r="V169" s="79">
        <f>VLOOKUP(B169,'116+240'!$B$15:$AB$682,15,FALSE)</f>
        <v>-139</v>
      </c>
      <c r="W169" s="89">
        <f>'116+240'!S170</f>
        <v>0</v>
      </c>
      <c r="X169" s="83">
        <f t="shared" si="35"/>
        <v>109</v>
      </c>
      <c r="Y169" s="78">
        <f t="shared" si="36"/>
        <v>0</v>
      </c>
      <c r="Z169" s="77">
        <f t="shared" si="37"/>
        <v>0</v>
      </c>
      <c r="AA169" s="76">
        <f t="shared" si="38"/>
        <v>2.2130000000000001</v>
      </c>
      <c r="AB169" s="76">
        <f t="shared" si="39"/>
        <v>1.9319999999999999</v>
      </c>
    </row>
    <row r="170" spans="2:28">
      <c r="B170" s="90">
        <f>'116+240'!B171</f>
        <v>45438</v>
      </c>
      <c r="C170" s="87">
        <f t="shared" si="31"/>
        <v>1</v>
      </c>
      <c r="D170" s="86">
        <f t="shared" si="32"/>
        <v>844</v>
      </c>
      <c r="E170" s="85">
        <f>VLOOKUP(B170,'116+240'!B171:AB244,3,FALSE)</f>
        <v>1491</v>
      </c>
      <c r="F170" s="81">
        <f t="shared" si="27"/>
        <v>2335</v>
      </c>
      <c r="G170" s="84">
        <f>VLOOKUP(B170,'116+240'!$B$15:$AB$682,20,FALSE)</f>
        <v>1786</v>
      </c>
      <c r="H170" s="84">
        <f>VLOOKUP(B170,'116+240'!$B$15:$AB$682,4,FALSE)</f>
        <v>-1291</v>
      </c>
      <c r="I170" s="80">
        <f t="shared" si="28"/>
        <v>3626</v>
      </c>
      <c r="J170" s="80">
        <f>VLOOKUP(B170,'116+240'!$B$15:$AB$682,13,FALSE)</f>
        <v>-374</v>
      </c>
      <c r="K170" s="89">
        <f>'116+240'!Q171</f>
        <v>2</v>
      </c>
      <c r="L170" s="83">
        <f t="shared" si="33"/>
        <v>414</v>
      </c>
      <c r="M170" s="82">
        <f>VLOOKUP(B170,'116+240'!$B$14:$AB$682,21,FALSE)</f>
        <v>2026</v>
      </c>
      <c r="N170" s="81">
        <f>VLOOKUP(B170,'116+240'!$B$15:$AB$682,5,FALSE)</f>
        <v>-1411</v>
      </c>
      <c r="O170" s="80">
        <f t="shared" si="29"/>
        <v>3746</v>
      </c>
      <c r="P170" s="80">
        <f>VLOOKUP(B170,'116+240'!$B$15:$AB$682,14,FALSE)</f>
        <v>-254</v>
      </c>
      <c r="Q170" s="89">
        <f>'116+240'!R171</f>
        <v>0</v>
      </c>
      <c r="R170" s="83">
        <f t="shared" si="34"/>
        <v>174</v>
      </c>
      <c r="S170" s="82">
        <f>VLOOKUP(B170,'116+240'!$B$14:$AB$682,22,FALSE)</f>
        <v>2091</v>
      </c>
      <c r="T170" s="81">
        <f>VLOOKUP(B170,'116+240'!$B$15:$AB$682,6,FALSE)</f>
        <v>-1526</v>
      </c>
      <c r="U170" s="80">
        <f t="shared" si="30"/>
        <v>3861</v>
      </c>
      <c r="V170" s="79">
        <f>VLOOKUP(B170,'116+240'!$B$15:$AB$682,15,FALSE)</f>
        <v>-139</v>
      </c>
      <c r="W170" s="89">
        <f>'116+240'!S171</f>
        <v>0</v>
      </c>
      <c r="X170" s="83">
        <f t="shared" si="35"/>
        <v>109</v>
      </c>
      <c r="Y170" s="78">
        <f t="shared" si="36"/>
        <v>0</v>
      </c>
      <c r="Z170" s="77">
        <f t="shared" si="37"/>
        <v>0</v>
      </c>
      <c r="AA170" s="76">
        <f t="shared" si="38"/>
        <v>2.2130000000000001</v>
      </c>
      <c r="AB170" s="76">
        <f t="shared" si="39"/>
        <v>1.9319999999999999</v>
      </c>
    </row>
    <row r="171" spans="2:28">
      <c r="B171" s="90">
        <f>'116+240'!B172</f>
        <v>45439</v>
      </c>
      <c r="C171" s="87">
        <f t="shared" si="31"/>
        <v>1</v>
      </c>
      <c r="D171" s="86">
        <f t="shared" si="32"/>
        <v>844</v>
      </c>
      <c r="E171" s="85">
        <f>VLOOKUP(B171,'116+240'!B172:AB244,3,FALSE)</f>
        <v>1493</v>
      </c>
      <c r="F171" s="81">
        <f t="shared" si="27"/>
        <v>2337</v>
      </c>
      <c r="G171" s="84">
        <f>VLOOKUP(B171,'116+240'!$B$15:$AB$682,20,FALSE)</f>
        <v>1784</v>
      </c>
      <c r="H171" s="84">
        <f>VLOOKUP(B171,'116+240'!$B$15:$AB$682,4,FALSE)</f>
        <v>-1287</v>
      </c>
      <c r="I171" s="80">
        <f t="shared" si="28"/>
        <v>3624</v>
      </c>
      <c r="J171" s="80">
        <f>VLOOKUP(B171,'116+240'!$B$15:$AB$682,13,FALSE)</f>
        <v>-376</v>
      </c>
      <c r="K171" s="89">
        <f>'116+240'!Q172</f>
        <v>2</v>
      </c>
      <c r="L171" s="83">
        <f t="shared" si="33"/>
        <v>416</v>
      </c>
      <c r="M171" s="82">
        <f>VLOOKUP(B171,'116+240'!$B$14:$AB$682,21,FALSE)</f>
        <v>2026</v>
      </c>
      <c r="N171" s="81">
        <f>VLOOKUP(B171,'116+240'!$B$15:$AB$682,5,FALSE)</f>
        <v>-1409</v>
      </c>
      <c r="O171" s="80">
        <f t="shared" si="29"/>
        <v>3746</v>
      </c>
      <c r="P171" s="80">
        <f>VLOOKUP(B171,'116+240'!$B$15:$AB$682,14,FALSE)</f>
        <v>-254</v>
      </c>
      <c r="Q171" s="89">
        <f>'116+240'!R172</f>
        <v>0</v>
      </c>
      <c r="R171" s="83">
        <f t="shared" si="34"/>
        <v>174</v>
      </c>
      <c r="S171" s="82">
        <f>VLOOKUP(B171,'116+240'!$B$14:$AB$682,22,FALSE)</f>
        <v>2091</v>
      </c>
      <c r="T171" s="81">
        <f>VLOOKUP(B171,'116+240'!$B$15:$AB$682,6,FALSE)</f>
        <v>-1524</v>
      </c>
      <c r="U171" s="80">
        <f t="shared" si="30"/>
        <v>3861</v>
      </c>
      <c r="V171" s="79">
        <f>VLOOKUP(B171,'116+240'!$B$15:$AB$682,15,FALSE)</f>
        <v>-139</v>
      </c>
      <c r="W171" s="89">
        <f>'116+240'!S172</f>
        <v>0</v>
      </c>
      <c r="X171" s="83">
        <f t="shared" si="35"/>
        <v>109</v>
      </c>
      <c r="Y171" s="78">
        <f t="shared" si="36"/>
        <v>0</v>
      </c>
      <c r="Z171" s="77">
        <f t="shared" si="37"/>
        <v>0</v>
      </c>
      <c r="AA171" s="76">
        <f t="shared" si="38"/>
        <v>2.2130000000000001</v>
      </c>
      <c r="AB171" s="76">
        <f t="shared" si="39"/>
        <v>1.9319999999999999</v>
      </c>
    </row>
    <row r="172" spans="2:28">
      <c r="B172" s="90">
        <f>'116+240'!B173</f>
        <v>45440</v>
      </c>
      <c r="C172" s="87">
        <f t="shared" si="31"/>
        <v>1</v>
      </c>
      <c r="D172" s="86">
        <f t="shared" si="32"/>
        <v>844</v>
      </c>
      <c r="E172" s="85">
        <f>VLOOKUP(B172,'116+240'!B173:AB244,3,FALSE)</f>
        <v>1495</v>
      </c>
      <c r="F172" s="81">
        <f t="shared" si="27"/>
        <v>2339</v>
      </c>
      <c r="G172" s="84">
        <f>VLOOKUP(B172,'116+240'!$B$15:$AB$682,20,FALSE)</f>
        <v>1782</v>
      </c>
      <c r="H172" s="84">
        <f>VLOOKUP(B172,'116+240'!$B$15:$AB$682,4,FALSE)</f>
        <v>-1283</v>
      </c>
      <c r="I172" s="80">
        <f t="shared" si="28"/>
        <v>3622</v>
      </c>
      <c r="J172" s="80">
        <f>VLOOKUP(B172,'116+240'!$B$15:$AB$682,13,FALSE)</f>
        <v>-378</v>
      </c>
      <c r="K172" s="89">
        <f>'116+240'!Q173</f>
        <v>2</v>
      </c>
      <c r="L172" s="83">
        <f t="shared" si="33"/>
        <v>418</v>
      </c>
      <c r="M172" s="82">
        <f>VLOOKUP(B172,'116+240'!$B$14:$AB$682,21,FALSE)</f>
        <v>2026</v>
      </c>
      <c r="N172" s="81">
        <f>VLOOKUP(B172,'116+240'!$B$15:$AB$682,5,FALSE)</f>
        <v>-1407</v>
      </c>
      <c r="O172" s="80">
        <f t="shared" si="29"/>
        <v>3746</v>
      </c>
      <c r="P172" s="80">
        <f>VLOOKUP(B172,'116+240'!$B$15:$AB$682,14,FALSE)</f>
        <v>-254</v>
      </c>
      <c r="Q172" s="89">
        <f>'116+240'!R173</f>
        <v>0</v>
      </c>
      <c r="R172" s="83">
        <f t="shared" si="34"/>
        <v>174</v>
      </c>
      <c r="S172" s="82">
        <f>VLOOKUP(B172,'116+240'!$B$14:$AB$682,22,FALSE)</f>
        <v>2091</v>
      </c>
      <c r="T172" s="81">
        <f>VLOOKUP(B172,'116+240'!$B$15:$AB$682,6,FALSE)</f>
        <v>-1522</v>
      </c>
      <c r="U172" s="80">
        <f t="shared" si="30"/>
        <v>3861</v>
      </c>
      <c r="V172" s="79">
        <f>VLOOKUP(B172,'116+240'!$B$15:$AB$682,15,FALSE)</f>
        <v>-139</v>
      </c>
      <c r="W172" s="89">
        <f>'116+240'!S173</f>
        <v>0</v>
      </c>
      <c r="X172" s="83">
        <f t="shared" si="35"/>
        <v>109</v>
      </c>
      <c r="Y172" s="78">
        <f t="shared" si="36"/>
        <v>0</v>
      </c>
      <c r="Z172" s="77">
        <f t="shared" si="37"/>
        <v>0</v>
      </c>
      <c r="AA172" s="76">
        <f t="shared" si="38"/>
        <v>2.2130000000000001</v>
      </c>
      <c r="AB172" s="76">
        <f t="shared" si="39"/>
        <v>1.9319999999999999</v>
      </c>
    </row>
    <row r="173" spans="2:28">
      <c r="B173" s="90">
        <f>'116+240'!B174</f>
        <v>45441</v>
      </c>
      <c r="C173" s="87">
        <f t="shared" si="31"/>
        <v>1</v>
      </c>
      <c r="D173" s="86">
        <f t="shared" si="32"/>
        <v>844</v>
      </c>
      <c r="E173" s="85">
        <f>VLOOKUP(B173,'116+240'!B174:AB244,3,FALSE)</f>
        <v>1497</v>
      </c>
      <c r="F173" s="81">
        <f t="shared" si="27"/>
        <v>2341</v>
      </c>
      <c r="G173" s="84">
        <f>VLOOKUP(B173,'116+240'!$B$15:$AB$682,20,FALSE)</f>
        <v>1780</v>
      </c>
      <c r="H173" s="84">
        <f>VLOOKUP(B173,'116+240'!$B$15:$AB$682,4,FALSE)</f>
        <v>-1279</v>
      </c>
      <c r="I173" s="80">
        <f t="shared" si="28"/>
        <v>3620</v>
      </c>
      <c r="J173" s="80">
        <f>VLOOKUP(B173,'116+240'!$B$15:$AB$682,13,FALSE)</f>
        <v>-380</v>
      </c>
      <c r="K173" s="89">
        <f>'116+240'!Q174</f>
        <v>2</v>
      </c>
      <c r="L173" s="83">
        <f t="shared" si="33"/>
        <v>420</v>
      </c>
      <c r="M173" s="82">
        <f>VLOOKUP(B173,'116+240'!$B$14:$AB$682,21,FALSE)</f>
        <v>2026</v>
      </c>
      <c r="N173" s="81">
        <f>VLOOKUP(B173,'116+240'!$B$15:$AB$682,5,FALSE)</f>
        <v>-1405</v>
      </c>
      <c r="O173" s="80">
        <f t="shared" si="29"/>
        <v>3746</v>
      </c>
      <c r="P173" s="80">
        <f>VLOOKUP(B173,'116+240'!$B$15:$AB$682,14,FALSE)</f>
        <v>-254</v>
      </c>
      <c r="Q173" s="89">
        <f>'116+240'!R174</f>
        <v>0</v>
      </c>
      <c r="R173" s="83">
        <f t="shared" si="34"/>
        <v>174</v>
      </c>
      <c r="S173" s="82">
        <f>VLOOKUP(B173,'116+240'!$B$14:$AB$682,22,FALSE)</f>
        <v>2091</v>
      </c>
      <c r="T173" s="81">
        <f>VLOOKUP(B173,'116+240'!$B$15:$AB$682,6,FALSE)</f>
        <v>-1520</v>
      </c>
      <c r="U173" s="80">
        <f t="shared" si="30"/>
        <v>3861</v>
      </c>
      <c r="V173" s="79">
        <f>VLOOKUP(B173,'116+240'!$B$15:$AB$682,15,FALSE)</f>
        <v>-139</v>
      </c>
      <c r="W173" s="89">
        <f>'116+240'!S174</f>
        <v>0</v>
      </c>
      <c r="X173" s="83">
        <f t="shared" si="35"/>
        <v>109</v>
      </c>
      <c r="Y173" s="78">
        <f t="shared" si="36"/>
        <v>0</v>
      </c>
      <c r="Z173" s="77">
        <f t="shared" si="37"/>
        <v>0</v>
      </c>
      <c r="AA173" s="76">
        <f t="shared" si="38"/>
        <v>2.2130000000000001</v>
      </c>
      <c r="AB173" s="76">
        <f t="shared" si="39"/>
        <v>1.9319999999999999</v>
      </c>
    </row>
    <row r="174" spans="2:28">
      <c r="B174" s="90">
        <f>'116+240'!B175</f>
        <v>45442</v>
      </c>
      <c r="C174" s="87">
        <f t="shared" si="31"/>
        <v>1</v>
      </c>
      <c r="D174" s="86">
        <f t="shared" si="32"/>
        <v>844</v>
      </c>
      <c r="E174" s="85">
        <f>VLOOKUP(B174,'116+240'!B175:AB244,3,FALSE)</f>
        <v>1499</v>
      </c>
      <c r="F174" s="81">
        <f t="shared" si="27"/>
        <v>2343</v>
      </c>
      <c r="G174" s="84">
        <f>VLOOKUP(B174,'116+240'!$B$15:$AB$682,20,FALSE)</f>
        <v>1779</v>
      </c>
      <c r="H174" s="84">
        <f>VLOOKUP(B174,'116+240'!$B$15:$AB$682,4,FALSE)</f>
        <v>-1276</v>
      </c>
      <c r="I174" s="80">
        <f t="shared" si="28"/>
        <v>3619</v>
      </c>
      <c r="J174" s="80">
        <f>VLOOKUP(B174,'116+240'!$B$15:$AB$682,13,FALSE)</f>
        <v>-381</v>
      </c>
      <c r="K174" s="89">
        <f>'116+240'!Q175</f>
        <v>1</v>
      </c>
      <c r="L174" s="83">
        <f t="shared" si="33"/>
        <v>421</v>
      </c>
      <c r="M174" s="82">
        <f>VLOOKUP(B174,'116+240'!$B$14:$AB$682,21,FALSE)</f>
        <v>2026</v>
      </c>
      <c r="N174" s="81">
        <f>VLOOKUP(B174,'116+240'!$B$15:$AB$682,5,FALSE)</f>
        <v>-1403</v>
      </c>
      <c r="O174" s="80">
        <f t="shared" si="29"/>
        <v>3746</v>
      </c>
      <c r="P174" s="80">
        <f>VLOOKUP(B174,'116+240'!$B$15:$AB$682,14,FALSE)</f>
        <v>-254</v>
      </c>
      <c r="Q174" s="89">
        <f>'116+240'!R175</f>
        <v>0</v>
      </c>
      <c r="R174" s="83">
        <f t="shared" si="34"/>
        <v>174</v>
      </c>
      <c r="S174" s="82">
        <f>VLOOKUP(B174,'116+240'!$B$14:$AB$682,22,FALSE)</f>
        <v>2091</v>
      </c>
      <c r="T174" s="81">
        <f>VLOOKUP(B174,'116+240'!$B$15:$AB$682,6,FALSE)</f>
        <v>-1518</v>
      </c>
      <c r="U174" s="80">
        <f t="shared" si="30"/>
        <v>3861</v>
      </c>
      <c r="V174" s="79">
        <f>VLOOKUP(B174,'116+240'!$B$15:$AB$682,15,FALSE)</f>
        <v>-139</v>
      </c>
      <c r="W174" s="89">
        <f>'116+240'!S175</f>
        <v>0</v>
      </c>
      <c r="X174" s="83">
        <f t="shared" si="35"/>
        <v>109</v>
      </c>
      <c r="Y174" s="78">
        <f t="shared" si="36"/>
        <v>0</v>
      </c>
      <c r="Z174" s="77">
        <f t="shared" si="37"/>
        <v>0</v>
      </c>
      <c r="AA174" s="76">
        <f t="shared" si="38"/>
        <v>2.2130000000000001</v>
      </c>
      <c r="AB174" s="76">
        <f t="shared" si="39"/>
        <v>1.9319999999999999</v>
      </c>
    </row>
    <row r="175" spans="2:28">
      <c r="B175" s="90">
        <f>'116+240'!B176</f>
        <v>45443</v>
      </c>
      <c r="C175" s="87">
        <f t="shared" si="31"/>
        <v>1</v>
      </c>
      <c r="D175" s="86">
        <f t="shared" si="32"/>
        <v>844</v>
      </c>
      <c r="E175" s="85">
        <f>VLOOKUP(B175,'116+240'!B176:AB244,3,FALSE)</f>
        <v>1501</v>
      </c>
      <c r="F175" s="81">
        <f t="shared" si="27"/>
        <v>2345</v>
      </c>
      <c r="G175" s="84">
        <f>VLOOKUP(B175,'116+240'!$B$15:$AB$682,20,FALSE)</f>
        <v>1777</v>
      </c>
      <c r="H175" s="84">
        <f>VLOOKUP(B175,'116+240'!$B$15:$AB$682,4,FALSE)</f>
        <v>-1272</v>
      </c>
      <c r="I175" s="80">
        <f t="shared" si="28"/>
        <v>3617</v>
      </c>
      <c r="J175" s="80">
        <f>VLOOKUP(B175,'116+240'!$B$15:$AB$682,13,FALSE)</f>
        <v>-383</v>
      </c>
      <c r="K175" s="89">
        <f>'116+240'!Q176</f>
        <v>2</v>
      </c>
      <c r="L175" s="83">
        <f t="shared" si="33"/>
        <v>423</v>
      </c>
      <c r="M175" s="82">
        <f>VLOOKUP(B175,'116+240'!$B$14:$AB$682,21,FALSE)</f>
        <v>2026</v>
      </c>
      <c r="N175" s="81">
        <f>VLOOKUP(B175,'116+240'!$B$15:$AB$682,5,FALSE)</f>
        <v>-1401</v>
      </c>
      <c r="O175" s="80">
        <f t="shared" si="29"/>
        <v>3746</v>
      </c>
      <c r="P175" s="80">
        <f>VLOOKUP(B175,'116+240'!$B$15:$AB$682,14,FALSE)</f>
        <v>-254</v>
      </c>
      <c r="Q175" s="89">
        <f>'116+240'!R176</f>
        <v>0</v>
      </c>
      <c r="R175" s="83">
        <f t="shared" si="34"/>
        <v>174</v>
      </c>
      <c r="S175" s="82">
        <f>VLOOKUP(B175,'116+240'!$B$14:$AB$682,22,FALSE)</f>
        <v>2091</v>
      </c>
      <c r="T175" s="81">
        <f>VLOOKUP(B175,'116+240'!$B$15:$AB$682,6,FALSE)</f>
        <v>-1516</v>
      </c>
      <c r="U175" s="80">
        <f t="shared" si="30"/>
        <v>3861</v>
      </c>
      <c r="V175" s="79">
        <f>VLOOKUP(B175,'116+240'!$B$15:$AB$682,15,FALSE)</f>
        <v>-139</v>
      </c>
      <c r="W175" s="89">
        <f>'116+240'!S176</f>
        <v>0</v>
      </c>
      <c r="X175" s="83">
        <f t="shared" si="35"/>
        <v>109</v>
      </c>
      <c r="Y175" s="78">
        <f t="shared" si="36"/>
        <v>0</v>
      </c>
      <c r="Z175" s="77">
        <f t="shared" si="37"/>
        <v>0</v>
      </c>
      <c r="AA175" s="76">
        <f t="shared" si="38"/>
        <v>2.2130000000000001</v>
      </c>
      <c r="AB175" s="76">
        <f t="shared" si="39"/>
        <v>1.9319999999999999</v>
      </c>
    </row>
    <row r="176" spans="2:28">
      <c r="B176" s="90">
        <f>'116+240'!B177</f>
        <v>45444</v>
      </c>
      <c r="C176" s="87">
        <f t="shared" si="31"/>
        <v>1</v>
      </c>
      <c r="D176" s="86">
        <f t="shared" si="32"/>
        <v>844</v>
      </c>
      <c r="E176" s="85">
        <f>VLOOKUP(B176,'116+240'!B177:AB244,3,FALSE)</f>
        <v>1503</v>
      </c>
      <c r="F176" s="81">
        <f t="shared" si="27"/>
        <v>2347</v>
      </c>
      <c r="G176" s="84">
        <f>VLOOKUP(B176,'116+240'!$B$15:$AB$682,20,FALSE)</f>
        <v>1775</v>
      </c>
      <c r="H176" s="84">
        <f>VLOOKUP(B176,'116+240'!$B$15:$AB$682,4,FALSE)</f>
        <v>-1268</v>
      </c>
      <c r="I176" s="80">
        <f t="shared" si="28"/>
        <v>3615</v>
      </c>
      <c r="J176" s="80">
        <f>VLOOKUP(B176,'116+240'!$B$15:$AB$682,13,FALSE)</f>
        <v>-385</v>
      </c>
      <c r="K176" s="89">
        <f>'116+240'!Q177</f>
        <v>2</v>
      </c>
      <c r="L176" s="83">
        <f t="shared" si="33"/>
        <v>425</v>
      </c>
      <c r="M176" s="82">
        <f>VLOOKUP(B176,'116+240'!$B$14:$AB$682,21,FALSE)</f>
        <v>2026</v>
      </c>
      <c r="N176" s="81">
        <f>VLOOKUP(B176,'116+240'!$B$15:$AB$682,5,FALSE)</f>
        <v>-1399</v>
      </c>
      <c r="O176" s="80">
        <f t="shared" si="29"/>
        <v>3746</v>
      </c>
      <c r="P176" s="80">
        <f>VLOOKUP(B176,'116+240'!$B$15:$AB$682,14,FALSE)</f>
        <v>-254</v>
      </c>
      <c r="Q176" s="89">
        <f>'116+240'!R177</f>
        <v>0</v>
      </c>
      <c r="R176" s="83">
        <f t="shared" si="34"/>
        <v>174</v>
      </c>
      <c r="S176" s="82">
        <f>VLOOKUP(B176,'116+240'!$B$14:$AB$682,22,FALSE)</f>
        <v>2091</v>
      </c>
      <c r="T176" s="81">
        <f>VLOOKUP(B176,'116+240'!$B$15:$AB$682,6,FALSE)</f>
        <v>-1514</v>
      </c>
      <c r="U176" s="80">
        <f t="shared" si="30"/>
        <v>3861</v>
      </c>
      <c r="V176" s="79">
        <f>VLOOKUP(B176,'116+240'!$B$15:$AB$682,15,FALSE)</f>
        <v>-139</v>
      </c>
      <c r="W176" s="89">
        <f>'116+240'!S177</f>
        <v>0</v>
      </c>
      <c r="X176" s="83">
        <f t="shared" si="35"/>
        <v>109</v>
      </c>
      <c r="Y176" s="78">
        <f t="shared" si="36"/>
        <v>0</v>
      </c>
      <c r="Z176" s="77">
        <f t="shared" si="37"/>
        <v>0</v>
      </c>
      <c r="AA176" s="76">
        <f t="shared" si="38"/>
        <v>2.2130000000000001</v>
      </c>
      <c r="AB176" s="76">
        <f t="shared" si="39"/>
        <v>1.9319999999999999</v>
      </c>
    </row>
    <row r="177" spans="2:28">
      <c r="B177" s="90">
        <f>'116+240'!B178</f>
        <v>45445</v>
      </c>
      <c r="C177" s="87">
        <f t="shared" si="31"/>
        <v>1</v>
      </c>
      <c r="D177" s="86">
        <f t="shared" si="32"/>
        <v>844</v>
      </c>
      <c r="E177" s="85">
        <f>VLOOKUP(B177,'116+240'!B178:AB244,3,FALSE)</f>
        <v>1505</v>
      </c>
      <c r="F177" s="81">
        <f t="shared" si="27"/>
        <v>2349</v>
      </c>
      <c r="G177" s="84">
        <f>VLOOKUP(B177,'116+240'!$B$15:$AB$682,20,FALSE)</f>
        <v>1773</v>
      </c>
      <c r="H177" s="84">
        <f>VLOOKUP(B177,'116+240'!$B$15:$AB$682,4,FALSE)</f>
        <v>-1264</v>
      </c>
      <c r="I177" s="80">
        <f t="shared" si="28"/>
        <v>3613</v>
      </c>
      <c r="J177" s="80">
        <f>VLOOKUP(B177,'116+240'!$B$15:$AB$682,13,FALSE)</f>
        <v>-387</v>
      </c>
      <c r="K177" s="89">
        <f>'116+240'!Q178</f>
        <v>2</v>
      </c>
      <c r="L177" s="83">
        <f t="shared" si="33"/>
        <v>427</v>
      </c>
      <c r="M177" s="82">
        <f>VLOOKUP(B177,'116+240'!$B$14:$AB$682,21,FALSE)</f>
        <v>2026</v>
      </c>
      <c r="N177" s="81">
        <f>VLOOKUP(B177,'116+240'!$B$15:$AB$682,5,FALSE)</f>
        <v>-1397</v>
      </c>
      <c r="O177" s="80">
        <f t="shared" si="29"/>
        <v>3746</v>
      </c>
      <c r="P177" s="80">
        <f>VLOOKUP(B177,'116+240'!$B$15:$AB$682,14,FALSE)</f>
        <v>-254</v>
      </c>
      <c r="Q177" s="89">
        <f>'116+240'!R178</f>
        <v>0</v>
      </c>
      <c r="R177" s="83">
        <f t="shared" si="34"/>
        <v>174</v>
      </c>
      <c r="S177" s="82">
        <f>VLOOKUP(B177,'116+240'!$B$14:$AB$682,22,FALSE)</f>
        <v>2091</v>
      </c>
      <c r="T177" s="81">
        <f>VLOOKUP(B177,'116+240'!$B$15:$AB$682,6,FALSE)</f>
        <v>-1512</v>
      </c>
      <c r="U177" s="80">
        <f t="shared" si="30"/>
        <v>3861</v>
      </c>
      <c r="V177" s="79">
        <f>VLOOKUP(B177,'116+240'!$B$15:$AB$682,15,FALSE)</f>
        <v>-139</v>
      </c>
      <c r="W177" s="89">
        <f>'116+240'!S178</f>
        <v>0</v>
      </c>
      <c r="X177" s="83">
        <f t="shared" si="35"/>
        <v>109</v>
      </c>
      <c r="Y177" s="78">
        <f t="shared" si="36"/>
        <v>0</v>
      </c>
      <c r="Z177" s="77">
        <f t="shared" si="37"/>
        <v>0</v>
      </c>
      <c r="AA177" s="76">
        <f t="shared" si="38"/>
        <v>2.2130000000000001</v>
      </c>
      <c r="AB177" s="76">
        <f t="shared" si="39"/>
        <v>1.9319999999999999</v>
      </c>
    </row>
    <row r="178" spans="2:28">
      <c r="B178" s="90">
        <f>'116+240'!B179</f>
        <v>45446</v>
      </c>
      <c r="C178" s="87">
        <f t="shared" si="31"/>
        <v>1</v>
      </c>
      <c r="D178" s="86">
        <f t="shared" si="32"/>
        <v>844</v>
      </c>
      <c r="E178" s="85">
        <f>VLOOKUP(B178,'116+240'!B179:AB244,3,FALSE)</f>
        <v>1507</v>
      </c>
      <c r="F178" s="81">
        <f t="shared" si="27"/>
        <v>2351</v>
      </c>
      <c r="G178" s="84">
        <f>VLOOKUP(B178,'116+240'!$B$15:$AB$682,20,FALSE)</f>
        <v>1771</v>
      </c>
      <c r="H178" s="84">
        <f>VLOOKUP(B178,'116+240'!$B$15:$AB$682,4,FALSE)</f>
        <v>-1260</v>
      </c>
      <c r="I178" s="80">
        <f t="shared" si="28"/>
        <v>3611</v>
      </c>
      <c r="J178" s="80">
        <f>VLOOKUP(B178,'116+240'!$B$15:$AB$682,13,FALSE)</f>
        <v>-389</v>
      </c>
      <c r="K178" s="89">
        <f>'116+240'!Q179</f>
        <v>2</v>
      </c>
      <c r="L178" s="83">
        <f t="shared" si="33"/>
        <v>429</v>
      </c>
      <c r="M178" s="82">
        <f>VLOOKUP(B178,'116+240'!$B$14:$AB$682,21,FALSE)</f>
        <v>2026</v>
      </c>
      <c r="N178" s="81">
        <f>VLOOKUP(B178,'116+240'!$B$15:$AB$682,5,FALSE)</f>
        <v>-1395</v>
      </c>
      <c r="O178" s="80">
        <f t="shared" si="29"/>
        <v>3746</v>
      </c>
      <c r="P178" s="80">
        <f>VLOOKUP(B178,'116+240'!$B$15:$AB$682,14,FALSE)</f>
        <v>-254</v>
      </c>
      <c r="Q178" s="89">
        <f>'116+240'!R179</f>
        <v>0</v>
      </c>
      <c r="R178" s="83">
        <f t="shared" si="34"/>
        <v>174</v>
      </c>
      <c r="S178" s="82">
        <f>VLOOKUP(B178,'116+240'!$B$14:$AB$682,22,FALSE)</f>
        <v>2091</v>
      </c>
      <c r="T178" s="81">
        <f>VLOOKUP(B178,'116+240'!$B$15:$AB$682,6,FALSE)</f>
        <v>-1510</v>
      </c>
      <c r="U178" s="80">
        <f t="shared" si="30"/>
        <v>3861</v>
      </c>
      <c r="V178" s="79">
        <f>VLOOKUP(B178,'116+240'!$B$15:$AB$682,15,FALSE)</f>
        <v>-139</v>
      </c>
      <c r="W178" s="89">
        <f>'116+240'!S179</f>
        <v>0</v>
      </c>
      <c r="X178" s="83">
        <f t="shared" si="35"/>
        <v>109</v>
      </c>
      <c r="Y178" s="78">
        <f t="shared" si="36"/>
        <v>0</v>
      </c>
      <c r="Z178" s="77">
        <f t="shared" si="37"/>
        <v>0</v>
      </c>
      <c r="AA178" s="76">
        <f t="shared" si="38"/>
        <v>2.2130000000000001</v>
      </c>
      <c r="AB178" s="76">
        <f t="shared" si="39"/>
        <v>1.9319999999999999</v>
      </c>
    </row>
    <row r="179" spans="2:28">
      <c r="B179" s="90">
        <f>'116+240'!B180</f>
        <v>45447</v>
      </c>
      <c r="C179" s="87">
        <f t="shared" si="31"/>
        <v>1</v>
      </c>
      <c r="D179" s="86">
        <f t="shared" si="32"/>
        <v>844</v>
      </c>
      <c r="E179" s="85">
        <f>VLOOKUP(B179,'116+240'!B180:AB244,3,FALSE)</f>
        <v>1509</v>
      </c>
      <c r="F179" s="81">
        <f t="shared" si="27"/>
        <v>2353</v>
      </c>
      <c r="G179" s="84">
        <f>VLOOKUP(B179,'116+240'!$B$15:$AB$682,20,FALSE)</f>
        <v>1771</v>
      </c>
      <c r="H179" s="84">
        <f>VLOOKUP(B179,'116+240'!$B$15:$AB$682,4,FALSE)</f>
        <v>-1258</v>
      </c>
      <c r="I179" s="80">
        <f t="shared" si="28"/>
        <v>3611</v>
      </c>
      <c r="J179" s="80">
        <f>VLOOKUP(B179,'116+240'!$B$15:$AB$682,13,FALSE)</f>
        <v>-389</v>
      </c>
      <c r="K179" s="89">
        <f>'116+240'!Q180</f>
        <v>0</v>
      </c>
      <c r="L179" s="83">
        <f t="shared" si="33"/>
        <v>429</v>
      </c>
      <c r="M179" s="82">
        <f>VLOOKUP(B179,'116+240'!$B$14:$AB$682,21,FALSE)</f>
        <v>2026</v>
      </c>
      <c r="N179" s="81">
        <f>VLOOKUP(B179,'116+240'!$B$15:$AB$682,5,FALSE)</f>
        <v>-1393</v>
      </c>
      <c r="O179" s="80">
        <f t="shared" si="29"/>
        <v>3746</v>
      </c>
      <c r="P179" s="80">
        <f>VLOOKUP(B179,'116+240'!$B$15:$AB$682,14,FALSE)</f>
        <v>-254</v>
      </c>
      <c r="Q179" s="89">
        <f>'116+240'!R180</f>
        <v>0</v>
      </c>
      <c r="R179" s="83">
        <f t="shared" si="34"/>
        <v>174</v>
      </c>
      <c r="S179" s="82">
        <f>VLOOKUP(B179,'116+240'!$B$14:$AB$682,22,FALSE)</f>
        <v>2091</v>
      </c>
      <c r="T179" s="81">
        <f>VLOOKUP(B179,'116+240'!$B$15:$AB$682,6,FALSE)</f>
        <v>-1508</v>
      </c>
      <c r="U179" s="80">
        <f t="shared" si="30"/>
        <v>3861</v>
      </c>
      <c r="V179" s="79">
        <f>VLOOKUP(B179,'116+240'!$B$15:$AB$682,15,FALSE)</f>
        <v>-139</v>
      </c>
      <c r="W179" s="89">
        <f>'116+240'!S180</f>
        <v>0</v>
      </c>
      <c r="X179" s="83">
        <f t="shared" si="35"/>
        <v>109</v>
      </c>
      <c r="Y179" s="78">
        <f t="shared" si="36"/>
        <v>0</v>
      </c>
      <c r="Z179" s="77">
        <f t="shared" si="37"/>
        <v>0</v>
      </c>
      <c r="AA179" s="76">
        <f t="shared" si="38"/>
        <v>2.2130000000000001</v>
      </c>
      <c r="AB179" s="76">
        <f t="shared" si="39"/>
        <v>1.9319999999999999</v>
      </c>
    </row>
    <row r="180" spans="2:28">
      <c r="B180" s="90">
        <f>'116+240'!B181</f>
        <v>45448</v>
      </c>
      <c r="C180" s="87">
        <f t="shared" si="31"/>
        <v>1</v>
      </c>
      <c r="D180" s="86">
        <f t="shared" si="32"/>
        <v>844</v>
      </c>
      <c r="E180" s="85">
        <f>VLOOKUP(B180,'116+240'!B181:AB244,3,FALSE)</f>
        <v>1511</v>
      </c>
      <c r="F180" s="81">
        <f t="shared" si="27"/>
        <v>2355</v>
      </c>
      <c r="G180" s="84">
        <f>VLOOKUP(B180,'116+240'!$B$15:$AB$682,20,FALSE)</f>
        <v>1771</v>
      </c>
      <c r="H180" s="84">
        <f>VLOOKUP(B180,'116+240'!$B$15:$AB$682,4,FALSE)</f>
        <v>-1256</v>
      </c>
      <c r="I180" s="80">
        <f t="shared" si="28"/>
        <v>3611</v>
      </c>
      <c r="J180" s="80">
        <f>VLOOKUP(B180,'116+240'!$B$15:$AB$682,13,FALSE)</f>
        <v>-389</v>
      </c>
      <c r="K180" s="89">
        <f>'116+240'!Q181</f>
        <v>0</v>
      </c>
      <c r="L180" s="83">
        <f t="shared" si="33"/>
        <v>429</v>
      </c>
      <c r="M180" s="82">
        <f>VLOOKUP(B180,'116+240'!$B$14:$AB$682,21,FALSE)</f>
        <v>2026</v>
      </c>
      <c r="N180" s="81">
        <f>VLOOKUP(B180,'116+240'!$B$15:$AB$682,5,FALSE)</f>
        <v>-1391</v>
      </c>
      <c r="O180" s="80">
        <f t="shared" si="29"/>
        <v>3746</v>
      </c>
      <c r="P180" s="80">
        <f>VLOOKUP(B180,'116+240'!$B$15:$AB$682,14,FALSE)</f>
        <v>-254</v>
      </c>
      <c r="Q180" s="89">
        <f>'116+240'!R181</f>
        <v>0</v>
      </c>
      <c r="R180" s="83">
        <f t="shared" si="34"/>
        <v>174</v>
      </c>
      <c r="S180" s="82">
        <f>VLOOKUP(B180,'116+240'!$B$14:$AB$682,22,FALSE)</f>
        <v>2091</v>
      </c>
      <c r="T180" s="81">
        <f>VLOOKUP(B180,'116+240'!$B$15:$AB$682,6,FALSE)</f>
        <v>-1506</v>
      </c>
      <c r="U180" s="80">
        <f t="shared" si="30"/>
        <v>3861</v>
      </c>
      <c r="V180" s="79">
        <f>VLOOKUP(B180,'116+240'!$B$15:$AB$682,15,FALSE)</f>
        <v>-139</v>
      </c>
      <c r="W180" s="89">
        <f>'116+240'!S181</f>
        <v>0</v>
      </c>
      <c r="X180" s="83">
        <f t="shared" si="35"/>
        <v>109</v>
      </c>
      <c r="Y180" s="78">
        <f t="shared" si="36"/>
        <v>0</v>
      </c>
      <c r="Z180" s="77">
        <f t="shared" si="37"/>
        <v>0</v>
      </c>
      <c r="AA180" s="76">
        <f t="shared" si="38"/>
        <v>2.2130000000000001</v>
      </c>
      <c r="AB180" s="76">
        <f t="shared" si="39"/>
        <v>1.9319999999999999</v>
      </c>
    </row>
    <row r="181" spans="2:28">
      <c r="B181" s="90">
        <f>'116+240'!B182</f>
        <v>45449</v>
      </c>
      <c r="C181" s="87">
        <f t="shared" si="31"/>
        <v>1</v>
      </c>
      <c r="D181" s="86">
        <f t="shared" si="32"/>
        <v>844</v>
      </c>
      <c r="E181" s="85">
        <f>VLOOKUP(B181,'116+240'!B182:AB244,3,FALSE)</f>
        <v>1513</v>
      </c>
      <c r="F181" s="81">
        <f t="shared" si="27"/>
        <v>2357</v>
      </c>
      <c r="G181" s="84">
        <f>VLOOKUP(B181,'116+240'!$B$15:$AB$682,20,FALSE)</f>
        <v>1771</v>
      </c>
      <c r="H181" s="84">
        <f>VLOOKUP(B181,'116+240'!$B$15:$AB$682,4,FALSE)</f>
        <v>-1254</v>
      </c>
      <c r="I181" s="80">
        <f t="shared" si="28"/>
        <v>3611</v>
      </c>
      <c r="J181" s="80">
        <f>VLOOKUP(B181,'116+240'!$B$15:$AB$682,13,FALSE)</f>
        <v>-389</v>
      </c>
      <c r="K181" s="89">
        <f>'116+240'!Q182</f>
        <v>0</v>
      </c>
      <c r="L181" s="83">
        <f t="shared" si="33"/>
        <v>429</v>
      </c>
      <c r="M181" s="82">
        <f>VLOOKUP(B181,'116+240'!$B$14:$AB$682,21,FALSE)</f>
        <v>2026</v>
      </c>
      <c r="N181" s="81">
        <f>VLOOKUP(B181,'116+240'!$B$15:$AB$682,5,FALSE)</f>
        <v>-1389</v>
      </c>
      <c r="O181" s="80">
        <f t="shared" si="29"/>
        <v>3746</v>
      </c>
      <c r="P181" s="80">
        <f>VLOOKUP(B181,'116+240'!$B$15:$AB$682,14,FALSE)</f>
        <v>-254</v>
      </c>
      <c r="Q181" s="89">
        <f>'116+240'!R182</f>
        <v>0</v>
      </c>
      <c r="R181" s="83">
        <f t="shared" si="34"/>
        <v>174</v>
      </c>
      <c r="S181" s="82">
        <f>VLOOKUP(B181,'116+240'!$B$14:$AB$682,22,FALSE)</f>
        <v>2091</v>
      </c>
      <c r="T181" s="81">
        <f>VLOOKUP(B181,'116+240'!$B$15:$AB$682,6,FALSE)</f>
        <v>-1504</v>
      </c>
      <c r="U181" s="80">
        <f t="shared" si="30"/>
        <v>3861</v>
      </c>
      <c r="V181" s="79">
        <f>VLOOKUP(B181,'116+240'!$B$15:$AB$682,15,FALSE)</f>
        <v>-139</v>
      </c>
      <c r="W181" s="89">
        <f>'116+240'!S182</f>
        <v>0</v>
      </c>
      <c r="X181" s="83">
        <f t="shared" si="35"/>
        <v>109</v>
      </c>
      <c r="Y181" s="78">
        <f t="shared" si="36"/>
        <v>0</v>
      </c>
      <c r="Z181" s="77">
        <f t="shared" si="37"/>
        <v>0</v>
      </c>
      <c r="AA181" s="76">
        <f t="shared" si="38"/>
        <v>2.2130000000000001</v>
      </c>
      <c r="AB181" s="76">
        <f t="shared" si="39"/>
        <v>1.9319999999999999</v>
      </c>
    </row>
    <row r="182" spans="2:28">
      <c r="B182" s="90">
        <f>'116+240'!B183</f>
        <v>45450</v>
      </c>
      <c r="C182" s="87">
        <f t="shared" si="31"/>
        <v>1</v>
      </c>
      <c r="D182" s="86">
        <f t="shared" si="32"/>
        <v>844</v>
      </c>
      <c r="E182" s="85">
        <f>VLOOKUP(B182,'116+240'!B183:AB244,3,FALSE)</f>
        <v>1515</v>
      </c>
      <c r="F182" s="81">
        <f t="shared" si="27"/>
        <v>2359</v>
      </c>
      <c r="G182" s="84">
        <f>VLOOKUP(B182,'116+240'!$B$15:$AB$682,20,FALSE)</f>
        <v>1771</v>
      </c>
      <c r="H182" s="84">
        <f>VLOOKUP(B182,'116+240'!$B$15:$AB$682,4,FALSE)</f>
        <v>-1252</v>
      </c>
      <c r="I182" s="80">
        <f t="shared" si="28"/>
        <v>3611</v>
      </c>
      <c r="J182" s="80">
        <f>VLOOKUP(B182,'116+240'!$B$15:$AB$682,13,FALSE)</f>
        <v>-389</v>
      </c>
      <c r="K182" s="89">
        <f>'116+240'!Q183</f>
        <v>0</v>
      </c>
      <c r="L182" s="83">
        <f t="shared" si="33"/>
        <v>429</v>
      </c>
      <c r="M182" s="82">
        <f>VLOOKUP(B182,'116+240'!$B$14:$AB$682,21,FALSE)</f>
        <v>2026</v>
      </c>
      <c r="N182" s="81">
        <f>VLOOKUP(B182,'116+240'!$B$15:$AB$682,5,FALSE)</f>
        <v>-1387</v>
      </c>
      <c r="O182" s="80">
        <f t="shared" si="29"/>
        <v>3746</v>
      </c>
      <c r="P182" s="80">
        <f>VLOOKUP(B182,'116+240'!$B$15:$AB$682,14,FALSE)</f>
        <v>-254</v>
      </c>
      <c r="Q182" s="89">
        <f>'116+240'!R183</f>
        <v>0</v>
      </c>
      <c r="R182" s="83">
        <f t="shared" si="34"/>
        <v>174</v>
      </c>
      <c r="S182" s="82">
        <f>VLOOKUP(B182,'116+240'!$B$14:$AB$682,22,FALSE)</f>
        <v>2091</v>
      </c>
      <c r="T182" s="81">
        <f>VLOOKUP(B182,'116+240'!$B$15:$AB$682,6,FALSE)</f>
        <v>-1502</v>
      </c>
      <c r="U182" s="80">
        <f t="shared" si="30"/>
        <v>3861</v>
      </c>
      <c r="V182" s="79">
        <f>VLOOKUP(B182,'116+240'!$B$15:$AB$682,15,FALSE)</f>
        <v>-139</v>
      </c>
      <c r="W182" s="89">
        <f>'116+240'!S183</f>
        <v>0</v>
      </c>
      <c r="X182" s="83">
        <f t="shared" si="35"/>
        <v>109</v>
      </c>
      <c r="Y182" s="78">
        <f t="shared" si="36"/>
        <v>0</v>
      </c>
      <c r="Z182" s="77">
        <f t="shared" si="37"/>
        <v>0</v>
      </c>
      <c r="AA182" s="76">
        <f t="shared" si="38"/>
        <v>2.2130000000000001</v>
      </c>
      <c r="AB182" s="76">
        <f t="shared" si="39"/>
        <v>1.9319999999999999</v>
      </c>
    </row>
    <row r="183" spans="2:28">
      <c r="B183" s="90">
        <f>'116+240'!B184</f>
        <v>45451</v>
      </c>
      <c r="C183" s="87">
        <f t="shared" si="31"/>
        <v>1</v>
      </c>
      <c r="D183" s="86">
        <f t="shared" si="32"/>
        <v>844</v>
      </c>
      <c r="E183" s="85">
        <f>VLOOKUP(B183,'116+240'!B184:AB244,3,FALSE)</f>
        <v>1517</v>
      </c>
      <c r="F183" s="81">
        <f t="shared" si="27"/>
        <v>2361</v>
      </c>
      <c r="G183" s="84">
        <f>VLOOKUP(B183,'116+240'!$B$15:$AB$682,20,FALSE)</f>
        <v>1771</v>
      </c>
      <c r="H183" s="84">
        <f>VLOOKUP(B183,'116+240'!$B$15:$AB$682,4,FALSE)</f>
        <v>-1250</v>
      </c>
      <c r="I183" s="80">
        <f t="shared" si="28"/>
        <v>3611</v>
      </c>
      <c r="J183" s="80">
        <f>VLOOKUP(B183,'116+240'!$B$15:$AB$682,13,FALSE)</f>
        <v>-389</v>
      </c>
      <c r="K183" s="89">
        <f>'116+240'!Q184</f>
        <v>0</v>
      </c>
      <c r="L183" s="83">
        <f t="shared" si="33"/>
        <v>429</v>
      </c>
      <c r="M183" s="82">
        <f>VLOOKUP(B183,'116+240'!$B$14:$AB$682,21,FALSE)</f>
        <v>2026</v>
      </c>
      <c r="N183" s="81">
        <f>VLOOKUP(B183,'116+240'!$B$15:$AB$682,5,FALSE)</f>
        <v>-1385</v>
      </c>
      <c r="O183" s="80">
        <f t="shared" si="29"/>
        <v>3746</v>
      </c>
      <c r="P183" s="80">
        <f>VLOOKUP(B183,'116+240'!$B$15:$AB$682,14,FALSE)</f>
        <v>-254</v>
      </c>
      <c r="Q183" s="89">
        <f>'116+240'!R184</f>
        <v>0</v>
      </c>
      <c r="R183" s="83">
        <f t="shared" si="34"/>
        <v>174</v>
      </c>
      <c r="S183" s="82">
        <f>VLOOKUP(B183,'116+240'!$B$14:$AB$682,22,FALSE)</f>
        <v>2091</v>
      </c>
      <c r="T183" s="81">
        <f>VLOOKUP(B183,'116+240'!$B$15:$AB$682,6,FALSE)</f>
        <v>-1500</v>
      </c>
      <c r="U183" s="80">
        <f t="shared" si="30"/>
        <v>3861</v>
      </c>
      <c r="V183" s="79">
        <f>VLOOKUP(B183,'116+240'!$B$15:$AB$682,15,FALSE)</f>
        <v>-139</v>
      </c>
      <c r="W183" s="89">
        <f>'116+240'!S184</f>
        <v>0</v>
      </c>
      <c r="X183" s="83">
        <f t="shared" si="35"/>
        <v>109</v>
      </c>
      <c r="Y183" s="78">
        <f t="shared" si="36"/>
        <v>0</v>
      </c>
      <c r="Z183" s="77">
        <f t="shared" si="37"/>
        <v>0</v>
      </c>
      <c r="AA183" s="76">
        <f t="shared" si="38"/>
        <v>2.2130000000000001</v>
      </c>
      <c r="AB183" s="76">
        <f t="shared" si="39"/>
        <v>1.9319999999999999</v>
      </c>
    </row>
    <row r="184" spans="2:28">
      <c r="B184" s="90">
        <f>'116+240'!B185</f>
        <v>45452</v>
      </c>
      <c r="C184" s="87">
        <f t="shared" si="31"/>
        <v>1</v>
      </c>
      <c r="D184" s="86">
        <f t="shared" si="32"/>
        <v>844</v>
      </c>
      <c r="E184" s="85">
        <f>VLOOKUP(B184,'116+240'!B185:AB244,3,FALSE)</f>
        <v>1519</v>
      </c>
      <c r="F184" s="81">
        <f t="shared" si="27"/>
        <v>2363</v>
      </c>
      <c r="G184" s="84">
        <f>VLOOKUP(B184,'116+240'!$B$15:$AB$682,20,FALSE)</f>
        <v>1771</v>
      </c>
      <c r="H184" s="84">
        <f>VLOOKUP(B184,'116+240'!$B$15:$AB$682,4,FALSE)</f>
        <v>-1248</v>
      </c>
      <c r="I184" s="80">
        <f t="shared" si="28"/>
        <v>3611</v>
      </c>
      <c r="J184" s="80">
        <f>VLOOKUP(B184,'116+240'!$B$15:$AB$682,13,FALSE)</f>
        <v>-389</v>
      </c>
      <c r="K184" s="89">
        <f>'116+240'!Q185</f>
        <v>0</v>
      </c>
      <c r="L184" s="83">
        <f t="shared" si="33"/>
        <v>429</v>
      </c>
      <c r="M184" s="82">
        <f>VLOOKUP(B184,'116+240'!$B$14:$AB$682,21,FALSE)</f>
        <v>2026</v>
      </c>
      <c r="N184" s="81">
        <f>VLOOKUP(B184,'116+240'!$B$15:$AB$682,5,FALSE)</f>
        <v>-1383</v>
      </c>
      <c r="O184" s="80">
        <f t="shared" si="29"/>
        <v>3746</v>
      </c>
      <c r="P184" s="80">
        <f>VLOOKUP(B184,'116+240'!$B$15:$AB$682,14,FALSE)</f>
        <v>-254</v>
      </c>
      <c r="Q184" s="89">
        <f>'116+240'!R185</f>
        <v>0</v>
      </c>
      <c r="R184" s="83">
        <f t="shared" si="34"/>
        <v>174</v>
      </c>
      <c r="S184" s="82">
        <f>VLOOKUP(B184,'116+240'!$B$14:$AB$682,22,FALSE)</f>
        <v>2091</v>
      </c>
      <c r="T184" s="81">
        <f>VLOOKUP(B184,'116+240'!$B$15:$AB$682,6,FALSE)</f>
        <v>-1498</v>
      </c>
      <c r="U184" s="80">
        <f t="shared" si="30"/>
        <v>3861</v>
      </c>
      <c r="V184" s="79">
        <f>VLOOKUP(B184,'116+240'!$B$15:$AB$682,15,FALSE)</f>
        <v>-139</v>
      </c>
      <c r="W184" s="89">
        <f>'116+240'!S185</f>
        <v>0</v>
      </c>
      <c r="X184" s="83">
        <f t="shared" si="35"/>
        <v>109</v>
      </c>
      <c r="Y184" s="78">
        <f t="shared" si="36"/>
        <v>0</v>
      </c>
      <c r="Z184" s="77">
        <f t="shared" si="37"/>
        <v>0</v>
      </c>
      <c r="AA184" s="76">
        <f t="shared" si="38"/>
        <v>2.2130000000000001</v>
      </c>
      <c r="AB184" s="76">
        <f t="shared" si="39"/>
        <v>1.9319999999999999</v>
      </c>
    </row>
    <row r="185" spans="2:28">
      <c r="B185" s="90">
        <f>'116+240'!B186</f>
        <v>45453</v>
      </c>
      <c r="C185" s="87">
        <f t="shared" si="31"/>
        <v>1</v>
      </c>
      <c r="D185" s="86">
        <f t="shared" si="32"/>
        <v>844</v>
      </c>
      <c r="E185" s="85">
        <f>VLOOKUP(B185,'116+240'!B186:AB244,3,FALSE)</f>
        <v>1521</v>
      </c>
      <c r="F185" s="81">
        <f t="shared" si="27"/>
        <v>2365</v>
      </c>
      <c r="G185" s="84">
        <f>VLOOKUP(B185,'116+240'!$B$15:$AB$682,20,FALSE)</f>
        <v>1771</v>
      </c>
      <c r="H185" s="84">
        <f>VLOOKUP(B185,'116+240'!$B$15:$AB$682,4,FALSE)</f>
        <v>-1246</v>
      </c>
      <c r="I185" s="80">
        <f t="shared" si="28"/>
        <v>3611</v>
      </c>
      <c r="J185" s="80">
        <f>VLOOKUP(B185,'116+240'!$B$15:$AB$682,13,FALSE)</f>
        <v>-389</v>
      </c>
      <c r="K185" s="89">
        <f>'116+240'!Q186</f>
        <v>0</v>
      </c>
      <c r="L185" s="83">
        <f t="shared" si="33"/>
        <v>429</v>
      </c>
      <c r="M185" s="82">
        <f>VLOOKUP(B185,'116+240'!$B$14:$AB$682,21,FALSE)</f>
        <v>2026</v>
      </c>
      <c r="N185" s="81">
        <f>VLOOKUP(B185,'116+240'!$B$15:$AB$682,5,FALSE)</f>
        <v>-1381</v>
      </c>
      <c r="O185" s="80">
        <f t="shared" si="29"/>
        <v>3746</v>
      </c>
      <c r="P185" s="80">
        <f>VLOOKUP(B185,'116+240'!$B$15:$AB$682,14,FALSE)</f>
        <v>-254</v>
      </c>
      <c r="Q185" s="89">
        <f>'116+240'!R186</f>
        <v>0</v>
      </c>
      <c r="R185" s="83">
        <f t="shared" si="34"/>
        <v>174</v>
      </c>
      <c r="S185" s="82">
        <f>VLOOKUP(B185,'116+240'!$B$14:$AB$682,22,FALSE)</f>
        <v>2091</v>
      </c>
      <c r="T185" s="81">
        <f>VLOOKUP(B185,'116+240'!$B$15:$AB$682,6,FALSE)</f>
        <v>-1496</v>
      </c>
      <c r="U185" s="80">
        <f t="shared" si="30"/>
        <v>3861</v>
      </c>
      <c r="V185" s="79">
        <f>VLOOKUP(B185,'116+240'!$B$15:$AB$682,15,FALSE)</f>
        <v>-139</v>
      </c>
      <c r="W185" s="89">
        <f>'116+240'!S186</f>
        <v>0</v>
      </c>
      <c r="X185" s="83">
        <f t="shared" si="35"/>
        <v>109</v>
      </c>
      <c r="Y185" s="78">
        <f t="shared" si="36"/>
        <v>0</v>
      </c>
      <c r="Z185" s="77">
        <f t="shared" si="37"/>
        <v>0</v>
      </c>
      <c r="AA185" s="76">
        <f t="shared" si="38"/>
        <v>2.2130000000000001</v>
      </c>
      <c r="AB185" s="76">
        <f t="shared" si="39"/>
        <v>1.9319999999999999</v>
      </c>
    </row>
    <row r="186" spans="2:28">
      <c r="B186" s="90">
        <f>'116+240'!B187</f>
        <v>45454</v>
      </c>
      <c r="C186" s="87">
        <f t="shared" si="31"/>
        <v>1</v>
      </c>
      <c r="D186" s="86">
        <f t="shared" si="32"/>
        <v>844</v>
      </c>
      <c r="E186" s="85">
        <f>VLOOKUP(B186,'116+240'!B187:AB244,3,FALSE)</f>
        <v>1523</v>
      </c>
      <c r="F186" s="81">
        <f t="shared" si="27"/>
        <v>2367</v>
      </c>
      <c r="G186" s="84">
        <f>VLOOKUP(B186,'116+240'!$B$15:$AB$682,20,FALSE)</f>
        <v>1771</v>
      </c>
      <c r="H186" s="84">
        <f>VLOOKUP(B186,'116+240'!$B$15:$AB$682,4,FALSE)</f>
        <v>-1244</v>
      </c>
      <c r="I186" s="80">
        <f t="shared" si="28"/>
        <v>3611</v>
      </c>
      <c r="J186" s="80">
        <f>VLOOKUP(B186,'116+240'!$B$15:$AB$682,13,FALSE)</f>
        <v>-389</v>
      </c>
      <c r="K186" s="89">
        <f>'116+240'!Q187</f>
        <v>0</v>
      </c>
      <c r="L186" s="83">
        <f t="shared" si="33"/>
        <v>429</v>
      </c>
      <c r="M186" s="82">
        <f>VLOOKUP(B186,'116+240'!$B$14:$AB$682,21,FALSE)</f>
        <v>2026</v>
      </c>
      <c r="N186" s="81">
        <f>VLOOKUP(B186,'116+240'!$B$15:$AB$682,5,FALSE)</f>
        <v>-1379</v>
      </c>
      <c r="O186" s="80">
        <f t="shared" si="29"/>
        <v>3746</v>
      </c>
      <c r="P186" s="80">
        <f>VLOOKUP(B186,'116+240'!$B$15:$AB$682,14,FALSE)</f>
        <v>-254</v>
      </c>
      <c r="Q186" s="89">
        <f>'116+240'!R187</f>
        <v>0</v>
      </c>
      <c r="R186" s="83">
        <f t="shared" si="34"/>
        <v>174</v>
      </c>
      <c r="S186" s="82">
        <f>VLOOKUP(B186,'116+240'!$B$14:$AB$682,22,FALSE)</f>
        <v>2091</v>
      </c>
      <c r="T186" s="81">
        <f>VLOOKUP(B186,'116+240'!$B$15:$AB$682,6,FALSE)</f>
        <v>-1494</v>
      </c>
      <c r="U186" s="80">
        <f t="shared" si="30"/>
        <v>3861</v>
      </c>
      <c r="V186" s="79">
        <f>VLOOKUP(B186,'116+240'!$B$15:$AB$682,15,FALSE)</f>
        <v>-139</v>
      </c>
      <c r="W186" s="89">
        <f>'116+240'!S187</f>
        <v>0</v>
      </c>
      <c r="X186" s="83">
        <f t="shared" si="35"/>
        <v>109</v>
      </c>
      <c r="Y186" s="78">
        <f t="shared" si="36"/>
        <v>0</v>
      </c>
      <c r="Z186" s="77">
        <f t="shared" si="37"/>
        <v>0</v>
      </c>
      <c r="AA186" s="76">
        <f t="shared" si="38"/>
        <v>2.2130000000000001</v>
      </c>
      <c r="AB186" s="76">
        <f t="shared" si="39"/>
        <v>1.9319999999999999</v>
      </c>
    </row>
    <row r="187" spans="2:28">
      <c r="B187" s="90">
        <f>'116+240'!B188</f>
        <v>45455</v>
      </c>
      <c r="C187" s="87">
        <f t="shared" si="31"/>
        <v>1</v>
      </c>
      <c r="D187" s="86">
        <f t="shared" si="32"/>
        <v>844</v>
      </c>
      <c r="E187" s="85">
        <f>VLOOKUP(B187,'116+240'!B188:AB244,3,FALSE)</f>
        <v>1525</v>
      </c>
      <c r="F187" s="81">
        <f t="shared" si="27"/>
        <v>2369</v>
      </c>
      <c r="G187" s="84">
        <f>VLOOKUP(B187,'116+240'!$B$15:$AB$682,20,FALSE)</f>
        <v>1771</v>
      </c>
      <c r="H187" s="84">
        <f>VLOOKUP(B187,'116+240'!$B$15:$AB$682,4,FALSE)</f>
        <v>-1242</v>
      </c>
      <c r="I187" s="80">
        <f t="shared" si="28"/>
        <v>3611</v>
      </c>
      <c r="J187" s="80">
        <f>VLOOKUP(B187,'116+240'!$B$15:$AB$682,13,FALSE)</f>
        <v>-389</v>
      </c>
      <c r="K187" s="89">
        <f>'116+240'!Q188</f>
        <v>0</v>
      </c>
      <c r="L187" s="83">
        <f t="shared" si="33"/>
        <v>429</v>
      </c>
      <c r="M187" s="82">
        <f>VLOOKUP(B187,'116+240'!$B$14:$AB$682,21,FALSE)</f>
        <v>2026</v>
      </c>
      <c r="N187" s="81">
        <f>VLOOKUP(B187,'116+240'!$B$15:$AB$682,5,FALSE)</f>
        <v>-1377</v>
      </c>
      <c r="O187" s="80">
        <f t="shared" si="29"/>
        <v>3746</v>
      </c>
      <c r="P187" s="80">
        <f>VLOOKUP(B187,'116+240'!$B$15:$AB$682,14,FALSE)</f>
        <v>-254</v>
      </c>
      <c r="Q187" s="89">
        <f>'116+240'!R188</f>
        <v>0</v>
      </c>
      <c r="R187" s="83">
        <f t="shared" si="34"/>
        <v>174</v>
      </c>
      <c r="S187" s="82">
        <f>VLOOKUP(B187,'116+240'!$B$14:$AB$682,22,FALSE)</f>
        <v>2091</v>
      </c>
      <c r="T187" s="81">
        <f>VLOOKUP(B187,'116+240'!$B$15:$AB$682,6,FALSE)</f>
        <v>-1492</v>
      </c>
      <c r="U187" s="80">
        <f t="shared" si="30"/>
        <v>3861</v>
      </c>
      <c r="V187" s="79">
        <f>VLOOKUP(B187,'116+240'!$B$15:$AB$682,15,FALSE)</f>
        <v>-139</v>
      </c>
      <c r="W187" s="89">
        <f>'116+240'!S188</f>
        <v>0</v>
      </c>
      <c r="X187" s="83">
        <f t="shared" si="35"/>
        <v>109</v>
      </c>
      <c r="Y187" s="78">
        <f t="shared" si="36"/>
        <v>0</v>
      </c>
      <c r="Z187" s="77">
        <f t="shared" si="37"/>
        <v>0</v>
      </c>
      <c r="AA187" s="76">
        <f t="shared" si="38"/>
        <v>2.2130000000000001</v>
      </c>
      <c r="AB187" s="76">
        <f t="shared" si="39"/>
        <v>1.9319999999999999</v>
      </c>
    </row>
    <row r="188" spans="2:28">
      <c r="B188" s="90">
        <f>'116+240'!B189</f>
        <v>45456</v>
      </c>
      <c r="C188" s="87">
        <f t="shared" si="31"/>
        <v>1</v>
      </c>
      <c r="D188" s="86">
        <f t="shared" si="32"/>
        <v>844</v>
      </c>
      <c r="E188" s="85">
        <f>VLOOKUP(B188,'116+240'!B189:AB244,3,FALSE)</f>
        <v>1527</v>
      </c>
      <c r="F188" s="81">
        <f t="shared" si="27"/>
        <v>2371</v>
      </c>
      <c r="G188" s="84">
        <f>VLOOKUP(B188,'116+240'!$B$15:$AB$682,20,FALSE)</f>
        <v>1771</v>
      </c>
      <c r="H188" s="84">
        <f>VLOOKUP(B188,'116+240'!$B$15:$AB$682,4,FALSE)</f>
        <v>-1240</v>
      </c>
      <c r="I188" s="80">
        <f t="shared" si="28"/>
        <v>3611</v>
      </c>
      <c r="J188" s="80">
        <f>VLOOKUP(B188,'116+240'!$B$15:$AB$682,13,FALSE)</f>
        <v>-389</v>
      </c>
      <c r="K188" s="89">
        <f>'116+240'!Q189</f>
        <v>0</v>
      </c>
      <c r="L188" s="83">
        <f t="shared" si="33"/>
        <v>429</v>
      </c>
      <c r="M188" s="82">
        <f>VLOOKUP(B188,'116+240'!$B$14:$AB$682,21,FALSE)</f>
        <v>2026</v>
      </c>
      <c r="N188" s="81">
        <f>VLOOKUP(B188,'116+240'!$B$15:$AB$682,5,FALSE)</f>
        <v>-1375</v>
      </c>
      <c r="O188" s="80">
        <f t="shared" si="29"/>
        <v>3746</v>
      </c>
      <c r="P188" s="80">
        <f>VLOOKUP(B188,'116+240'!$B$15:$AB$682,14,FALSE)</f>
        <v>-254</v>
      </c>
      <c r="Q188" s="89">
        <f>'116+240'!R189</f>
        <v>0</v>
      </c>
      <c r="R188" s="83">
        <f t="shared" si="34"/>
        <v>174</v>
      </c>
      <c r="S188" s="82">
        <f>VLOOKUP(B188,'116+240'!$B$14:$AB$682,22,FALSE)</f>
        <v>2091</v>
      </c>
      <c r="T188" s="81">
        <f>VLOOKUP(B188,'116+240'!$B$15:$AB$682,6,FALSE)</f>
        <v>-1490</v>
      </c>
      <c r="U188" s="80">
        <f t="shared" si="30"/>
        <v>3861</v>
      </c>
      <c r="V188" s="79">
        <f>VLOOKUP(B188,'116+240'!$B$15:$AB$682,15,FALSE)</f>
        <v>-139</v>
      </c>
      <c r="W188" s="89">
        <f>'116+240'!S189</f>
        <v>0</v>
      </c>
      <c r="X188" s="83">
        <f t="shared" si="35"/>
        <v>109</v>
      </c>
      <c r="Y188" s="78">
        <f t="shared" si="36"/>
        <v>0</v>
      </c>
      <c r="Z188" s="77">
        <f t="shared" si="37"/>
        <v>0</v>
      </c>
      <c r="AA188" s="76">
        <f t="shared" si="38"/>
        <v>2.2130000000000001</v>
      </c>
      <c r="AB188" s="76">
        <f t="shared" si="39"/>
        <v>1.9319999999999999</v>
      </c>
    </row>
    <row r="189" spans="2:28">
      <c r="B189" s="90">
        <f>'116+240'!B190</f>
        <v>45457</v>
      </c>
      <c r="C189" s="87">
        <f t="shared" si="31"/>
        <v>1</v>
      </c>
      <c r="D189" s="86">
        <f t="shared" si="32"/>
        <v>844</v>
      </c>
      <c r="E189" s="85">
        <f>VLOOKUP(B189,'116+240'!B190:AB244,3,FALSE)</f>
        <v>1529</v>
      </c>
      <c r="F189" s="81">
        <f t="shared" si="27"/>
        <v>2373</v>
      </c>
      <c r="G189" s="84">
        <f>VLOOKUP(B189,'116+240'!$B$15:$AB$682,20,FALSE)</f>
        <v>1771</v>
      </c>
      <c r="H189" s="84">
        <f>VLOOKUP(B189,'116+240'!$B$15:$AB$682,4,FALSE)</f>
        <v>-1238</v>
      </c>
      <c r="I189" s="80">
        <f t="shared" si="28"/>
        <v>3611</v>
      </c>
      <c r="J189" s="80">
        <f>VLOOKUP(B189,'116+240'!$B$15:$AB$682,13,FALSE)</f>
        <v>-389</v>
      </c>
      <c r="K189" s="89">
        <f>'116+240'!Q190</f>
        <v>0</v>
      </c>
      <c r="L189" s="83">
        <f t="shared" si="33"/>
        <v>429</v>
      </c>
      <c r="M189" s="82">
        <f>VLOOKUP(B189,'116+240'!$B$14:$AB$682,21,FALSE)</f>
        <v>2026</v>
      </c>
      <c r="N189" s="81">
        <f>VLOOKUP(B189,'116+240'!$B$15:$AB$682,5,FALSE)</f>
        <v>-1373</v>
      </c>
      <c r="O189" s="80">
        <f t="shared" si="29"/>
        <v>3746</v>
      </c>
      <c r="P189" s="80">
        <f>VLOOKUP(B189,'116+240'!$B$15:$AB$682,14,FALSE)</f>
        <v>-254</v>
      </c>
      <c r="Q189" s="89">
        <f>'116+240'!R190</f>
        <v>0</v>
      </c>
      <c r="R189" s="83">
        <f t="shared" si="34"/>
        <v>174</v>
      </c>
      <c r="S189" s="82">
        <f>VLOOKUP(B189,'116+240'!$B$14:$AB$682,22,FALSE)</f>
        <v>2091</v>
      </c>
      <c r="T189" s="81">
        <f>VLOOKUP(B189,'116+240'!$B$15:$AB$682,6,FALSE)</f>
        <v>-1488</v>
      </c>
      <c r="U189" s="80">
        <f t="shared" si="30"/>
        <v>3861</v>
      </c>
      <c r="V189" s="79">
        <f>VLOOKUP(B189,'116+240'!$B$15:$AB$682,15,FALSE)</f>
        <v>-139</v>
      </c>
      <c r="W189" s="89">
        <f>'116+240'!S190</f>
        <v>0</v>
      </c>
      <c r="X189" s="83">
        <f t="shared" si="35"/>
        <v>109</v>
      </c>
      <c r="Y189" s="78">
        <f t="shared" si="36"/>
        <v>0</v>
      </c>
      <c r="Z189" s="77">
        <f t="shared" si="37"/>
        <v>0</v>
      </c>
      <c r="AA189" s="76">
        <f t="shared" si="38"/>
        <v>2.2130000000000001</v>
      </c>
      <c r="AB189" s="76">
        <f t="shared" si="39"/>
        <v>1.9319999999999999</v>
      </c>
    </row>
    <row r="190" spans="2:28">
      <c r="B190" s="90">
        <f>'116+240'!B191</f>
        <v>45458</v>
      </c>
      <c r="C190" s="87">
        <f t="shared" si="31"/>
        <v>1</v>
      </c>
      <c r="D190" s="86">
        <f t="shared" si="32"/>
        <v>844</v>
      </c>
      <c r="E190" s="85">
        <f>VLOOKUP(B190,'116+240'!B191:AB244,3,FALSE)</f>
        <v>1531</v>
      </c>
      <c r="F190" s="81">
        <f t="shared" si="27"/>
        <v>2375</v>
      </c>
      <c r="G190" s="84">
        <f>VLOOKUP(B190,'116+240'!$B$15:$AB$682,20,FALSE)</f>
        <v>1771</v>
      </c>
      <c r="H190" s="84">
        <f>VLOOKUP(B190,'116+240'!$B$15:$AB$682,4,FALSE)</f>
        <v>-1236</v>
      </c>
      <c r="I190" s="80">
        <f t="shared" si="28"/>
        <v>3611</v>
      </c>
      <c r="J190" s="80">
        <f>VLOOKUP(B190,'116+240'!$B$15:$AB$682,13,FALSE)</f>
        <v>-389</v>
      </c>
      <c r="K190" s="89">
        <f>'116+240'!Q191</f>
        <v>0</v>
      </c>
      <c r="L190" s="83">
        <f t="shared" si="33"/>
        <v>429</v>
      </c>
      <c r="M190" s="82">
        <f>VLOOKUP(B190,'116+240'!$B$14:$AB$682,21,FALSE)</f>
        <v>2026</v>
      </c>
      <c r="N190" s="81">
        <f>VLOOKUP(B190,'116+240'!$B$15:$AB$682,5,FALSE)</f>
        <v>-1371</v>
      </c>
      <c r="O190" s="80">
        <f t="shared" si="29"/>
        <v>3746</v>
      </c>
      <c r="P190" s="80">
        <f>VLOOKUP(B190,'116+240'!$B$15:$AB$682,14,FALSE)</f>
        <v>-254</v>
      </c>
      <c r="Q190" s="89">
        <f>'116+240'!R191</f>
        <v>0</v>
      </c>
      <c r="R190" s="83">
        <f t="shared" si="34"/>
        <v>174</v>
      </c>
      <c r="S190" s="82">
        <f>VLOOKUP(B190,'116+240'!$B$14:$AB$682,22,FALSE)</f>
        <v>2091</v>
      </c>
      <c r="T190" s="81">
        <f>VLOOKUP(B190,'116+240'!$B$15:$AB$682,6,FALSE)</f>
        <v>-1486</v>
      </c>
      <c r="U190" s="80">
        <f t="shared" si="30"/>
        <v>3861</v>
      </c>
      <c r="V190" s="79">
        <f>VLOOKUP(B190,'116+240'!$B$15:$AB$682,15,FALSE)</f>
        <v>-139</v>
      </c>
      <c r="W190" s="89">
        <f>'116+240'!S191</f>
        <v>0</v>
      </c>
      <c r="X190" s="83">
        <f t="shared" si="35"/>
        <v>109</v>
      </c>
      <c r="Y190" s="78">
        <f t="shared" si="36"/>
        <v>0</v>
      </c>
      <c r="Z190" s="77">
        <f t="shared" si="37"/>
        <v>0</v>
      </c>
      <c r="AA190" s="76">
        <f t="shared" si="38"/>
        <v>2.2130000000000001</v>
      </c>
      <c r="AB190" s="76">
        <f t="shared" si="39"/>
        <v>1.9319999999999999</v>
      </c>
    </row>
    <row r="191" spans="2:28">
      <c r="B191" s="90">
        <f>'116+240'!B192</f>
        <v>45459</v>
      </c>
      <c r="C191" s="87">
        <f t="shared" si="31"/>
        <v>1</v>
      </c>
      <c r="D191" s="86">
        <f t="shared" si="32"/>
        <v>844</v>
      </c>
      <c r="E191" s="85">
        <f>VLOOKUP(B191,'116+240'!B192:AB244,3,FALSE)</f>
        <v>1533</v>
      </c>
      <c r="F191" s="81">
        <f t="shared" si="27"/>
        <v>2377</v>
      </c>
      <c r="G191" s="84">
        <f>VLOOKUP(B191,'116+240'!$B$15:$AB$682,20,FALSE)</f>
        <v>1771</v>
      </c>
      <c r="H191" s="84">
        <f>VLOOKUP(B191,'116+240'!$B$15:$AB$682,4,FALSE)</f>
        <v>-1234</v>
      </c>
      <c r="I191" s="80">
        <f t="shared" si="28"/>
        <v>3611</v>
      </c>
      <c r="J191" s="80">
        <f>VLOOKUP(B191,'116+240'!$B$15:$AB$682,13,FALSE)</f>
        <v>-389</v>
      </c>
      <c r="K191" s="89">
        <f>'116+240'!Q192</f>
        <v>0</v>
      </c>
      <c r="L191" s="83">
        <f t="shared" si="33"/>
        <v>429</v>
      </c>
      <c r="M191" s="82">
        <f>VLOOKUP(B191,'116+240'!$B$14:$AB$682,21,FALSE)</f>
        <v>2026</v>
      </c>
      <c r="N191" s="81">
        <f>VLOOKUP(B191,'116+240'!$B$15:$AB$682,5,FALSE)</f>
        <v>-1369</v>
      </c>
      <c r="O191" s="80">
        <f t="shared" si="29"/>
        <v>3746</v>
      </c>
      <c r="P191" s="80">
        <f>VLOOKUP(B191,'116+240'!$B$15:$AB$682,14,FALSE)</f>
        <v>-254</v>
      </c>
      <c r="Q191" s="89">
        <f>'116+240'!R192</f>
        <v>0</v>
      </c>
      <c r="R191" s="83">
        <f t="shared" si="34"/>
        <v>174</v>
      </c>
      <c r="S191" s="82">
        <f>VLOOKUP(B191,'116+240'!$B$14:$AB$682,22,FALSE)</f>
        <v>2091</v>
      </c>
      <c r="T191" s="81">
        <f>VLOOKUP(B191,'116+240'!$B$15:$AB$682,6,FALSE)</f>
        <v>-1484</v>
      </c>
      <c r="U191" s="80">
        <f t="shared" si="30"/>
        <v>3861</v>
      </c>
      <c r="V191" s="79">
        <f>VLOOKUP(B191,'116+240'!$B$15:$AB$682,15,FALSE)</f>
        <v>-139</v>
      </c>
      <c r="W191" s="89">
        <f>'116+240'!S192</f>
        <v>0</v>
      </c>
      <c r="X191" s="83">
        <f t="shared" si="35"/>
        <v>109</v>
      </c>
      <c r="Y191" s="78">
        <f t="shared" si="36"/>
        <v>0</v>
      </c>
      <c r="Z191" s="77">
        <f t="shared" si="37"/>
        <v>0</v>
      </c>
      <c r="AA191" s="76">
        <f t="shared" si="38"/>
        <v>2.2130000000000001</v>
      </c>
      <c r="AB191" s="76">
        <f t="shared" si="39"/>
        <v>1.9319999999999999</v>
      </c>
    </row>
    <row r="192" spans="2:28">
      <c r="B192" s="90">
        <f>'116+240'!B193</f>
        <v>45460</v>
      </c>
      <c r="C192" s="87">
        <f t="shared" si="31"/>
        <v>1</v>
      </c>
      <c r="D192" s="86">
        <f t="shared" si="32"/>
        <v>844</v>
      </c>
      <c r="E192" s="85">
        <f>VLOOKUP(B192,'116+240'!B193:AB244,3,FALSE)</f>
        <v>1535</v>
      </c>
      <c r="F192" s="81">
        <f t="shared" si="27"/>
        <v>2379</v>
      </c>
      <c r="G192" s="84">
        <f>VLOOKUP(B192,'116+240'!$B$15:$AB$682,20,FALSE)</f>
        <v>1771</v>
      </c>
      <c r="H192" s="84">
        <f>VLOOKUP(B192,'116+240'!$B$15:$AB$682,4,FALSE)</f>
        <v>-1232</v>
      </c>
      <c r="I192" s="80">
        <f t="shared" si="28"/>
        <v>3611</v>
      </c>
      <c r="J192" s="80">
        <f>VLOOKUP(B192,'116+240'!$B$15:$AB$682,13,FALSE)</f>
        <v>-389</v>
      </c>
      <c r="K192" s="89">
        <f>'116+240'!Q193</f>
        <v>0</v>
      </c>
      <c r="L192" s="83">
        <f t="shared" si="33"/>
        <v>429</v>
      </c>
      <c r="M192" s="82">
        <f>VLOOKUP(B192,'116+240'!$B$14:$AB$682,21,FALSE)</f>
        <v>2026</v>
      </c>
      <c r="N192" s="81">
        <f>VLOOKUP(B192,'116+240'!$B$15:$AB$682,5,FALSE)</f>
        <v>-1367</v>
      </c>
      <c r="O192" s="80">
        <f t="shared" si="29"/>
        <v>3746</v>
      </c>
      <c r="P192" s="80">
        <f>VLOOKUP(B192,'116+240'!$B$15:$AB$682,14,FALSE)</f>
        <v>-254</v>
      </c>
      <c r="Q192" s="89">
        <f>'116+240'!R193</f>
        <v>0</v>
      </c>
      <c r="R192" s="83">
        <f t="shared" si="34"/>
        <v>174</v>
      </c>
      <c r="S192" s="82">
        <f>VLOOKUP(B192,'116+240'!$B$14:$AB$682,22,FALSE)</f>
        <v>2091</v>
      </c>
      <c r="T192" s="81">
        <f>VLOOKUP(B192,'116+240'!$B$15:$AB$682,6,FALSE)</f>
        <v>-1482</v>
      </c>
      <c r="U192" s="80">
        <f t="shared" si="30"/>
        <v>3861</v>
      </c>
      <c r="V192" s="79">
        <f>VLOOKUP(B192,'116+240'!$B$15:$AB$682,15,FALSE)</f>
        <v>-139</v>
      </c>
      <c r="W192" s="89">
        <f>'116+240'!S193</f>
        <v>0</v>
      </c>
      <c r="X192" s="83">
        <f t="shared" si="35"/>
        <v>109</v>
      </c>
      <c r="Y192" s="78">
        <f t="shared" si="36"/>
        <v>0</v>
      </c>
      <c r="Z192" s="77">
        <f t="shared" si="37"/>
        <v>0</v>
      </c>
      <c r="AA192" s="76">
        <f t="shared" si="38"/>
        <v>2.2130000000000001</v>
      </c>
      <c r="AB192" s="76">
        <f t="shared" si="39"/>
        <v>1.9319999999999999</v>
      </c>
    </row>
    <row r="193" spans="2:28">
      <c r="B193" s="90">
        <f>'116+240'!B194</f>
        <v>45461</v>
      </c>
      <c r="C193" s="87">
        <f t="shared" si="31"/>
        <v>1</v>
      </c>
      <c r="D193" s="86">
        <f t="shared" si="32"/>
        <v>844</v>
      </c>
      <c r="E193" s="85">
        <f>VLOOKUP(B193,'116+240'!B194:AB244,3,FALSE)</f>
        <v>1537</v>
      </c>
      <c r="F193" s="81">
        <f t="shared" si="27"/>
        <v>2381</v>
      </c>
      <c r="G193" s="84">
        <f>VLOOKUP(B193,'116+240'!$B$15:$AB$682,20,FALSE)</f>
        <v>1771</v>
      </c>
      <c r="H193" s="84">
        <f>VLOOKUP(B193,'116+240'!$B$15:$AB$682,4,FALSE)</f>
        <v>-1230</v>
      </c>
      <c r="I193" s="80">
        <f t="shared" si="28"/>
        <v>3611</v>
      </c>
      <c r="J193" s="80">
        <f>VLOOKUP(B193,'116+240'!$B$15:$AB$682,13,FALSE)</f>
        <v>-389</v>
      </c>
      <c r="K193" s="89">
        <f>'116+240'!Q194</f>
        <v>0</v>
      </c>
      <c r="L193" s="83">
        <f t="shared" si="33"/>
        <v>429</v>
      </c>
      <c r="M193" s="82">
        <f>VLOOKUP(B193,'116+240'!$B$14:$AB$682,21,FALSE)</f>
        <v>2026</v>
      </c>
      <c r="N193" s="81">
        <f>VLOOKUP(B193,'116+240'!$B$15:$AB$682,5,FALSE)</f>
        <v>-1365</v>
      </c>
      <c r="O193" s="80">
        <f t="shared" si="29"/>
        <v>3746</v>
      </c>
      <c r="P193" s="80">
        <f>VLOOKUP(B193,'116+240'!$B$15:$AB$682,14,FALSE)</f>
        <v>-254</v>
      </c>
      <c r="Q193" s="89">
        <f>'116+240'!R194</f>
        <v>0</v>
      </c>
      <c r="R193" s="83">
        <f t="shared" si="34"/>
        <v>174</v>
      </c>
      <c r="S193" s="82">
        <f>VLOOKUP(B193,'116+240'!$B$14:$AB$682,22,FALSE)</f>
        <v>2091</v>
      </c>
      <c r="T193" s="81">
        <f>VLOOKUP(B193,'116+240'!$B$15:$AB$682,6,FALSE)</f>
        <v>-1480</v>
      </c>
      <c r="U193" s="80">
        <f t="shared" si="30"/>
        <v>3861</v>
      </c>
      <c r="V193" s="79">
        <f>VLOOKUP(B193,'116+240'!$B$15:$AB$682,15,FALSE)</f>
        <v>-139</v>
      </c>
      <c r="W193" s="89">
        <f>'116+240'!S194</f>
        <v>0</v>
      </c>
      <c r="X193" s="83">
        <f t="shared" si="35"/>
        <v>109</v>
      </c>
      <c r="Y193" s="78">
        <f t="shared" si="36"/>
        <v>0</v>
      </c>
      <c r="Z193" s="77">
        <f t="shared" si="37"/>
        <v>0</v>
      </c>
      <c r="AA193" s="76">
        <f t="shared" si="38"/>
        <v>2.2130000000000001</v>
      </c>
      <c r="AB193" s="76">
        <f t="shared" si="39"/>
        <v>1.9319999999999999</v>
      </c>
    </row>
    <row r="194" spans="2:28">
      <c r="B194" s="90">
        <f>'116+240'!B195</f>
        <v>45462</v>
      </c>
      <c r="C194" s="87">
        <f t="shared" si="31"/>
        <v>1</v>
      </c>
      <c r="D194" s="86">
        <f t="shared" si="32"/>
        <v>844</v>
      </c>
      <c r="E194" s="85">
        <f>VLOOKUP(B194,'116+240'!B195:AB244,3,FALSE)</f>
        <v>1539</v>
      </c>
      <c r="F194" s="81">
        <f t="shared" si="27"/>
        <v>2383</v>
      </c>
      <c r="G194" s="84">
        <f>VLOOKUP(B194,'116+240'!$B$15:$AB$682,20,FALSE)</f>
        <v>1771</v>
      </c>
      <c r="H194" s="84">
        <f>VLOOKUP(B194,'116+240'!$B$15:$AB$682,4,FALSE)</f>
        <v>-1228</v>
      </c>
      <c r="I194" s="80">
        <f t="shared" si="28"/>
        <v>3611</v>
      </c>
      <c r="J194" s="80">
        <f>VLOOKUP(B194,'116+240'!$B$15:$AB$682,13,FALSE)</f>
        <v>-389</v>
      </c>
      <c r="K194" s="89">
        <f>'116+240'!Q195</f>
        <v>0</v>
      </c>
      <c r="L194" s="83">
        <f t="shared" si="33"/>
        <v>429</v>
      </c>
      <c r="M194" s="82">
        <f>VLOOKUP(B194,'116+240'!$B$14:$AB$682,21,FALSE)</f>
        <v>2026</v>
      </c>
      <c r="N194" s="81">
        <f>VLOOKUP(B194,'116+240'!$B$15:$AB$682,5,FALSE)</f>
        <v>-1363</v>
      </c>
      <c r="O194" s="80">
        <f t="shared" si="29"/>
        <v>3746</v>
      </c>
      <c r="P194" s="80">
        <f>VLOOKUP(B194,'116+240'!$B$15:$AB$682,14,FALSE)</f>
        <v>-254</v>
      </c>
      <c r="Q194" s="89">
        <f>'116+240'!R195</f>
        <v>0</v>
      </c>
      <c r="R194" s="83">
        <f t="shared" si="34"/>
        <v>174</v>
      </c>
      <c r="S194" s="82">
        <f>VLOOKUP(B194,'116+240'!$B$14:$AB$682,22,FALSE)</f>
        <v>2091</v>
      </c>
      <c r="T194" s="81">
        <f>VLOOKUP(B194,'116+240'!$B$15:$AB$682,6,FALSE)</f>
        <v>-1478</v>
      </c>
      <c r="U194" s="80">
        <f t="shared" si="30"/>
        <v>3861</v>
      </c>
      <c r="V194" s="79">
        <f>VLOOKUP(B194,'116+240'!$B$15:$AB$682,15,FALSE)</f>
        <v>-139</v>
      </c>
      <c r="W194" s="89">
        <f>'116+240'!S195</f>
        <v>0</v>
      </c>
      <c r="X194" s="83">
        <f t="shared" si="35"/>
        <v>109</v>
      </c>
      <c r="Y194" s="78">
        <f t="shared" si="36"/>
        <v>0</v>
      </c>
      <c r="Z194" s="77">
        <f t="shared" si="37"/>
        <v>0</v>
      </c>
      <c r="AA194" s="76">
        <f t="shared" si="38"/>
        <v>2.2130000000000001</v>
      </c>
      <c r="AB194" s="76">
        <f t="shared" si="39"/>
        <v>1.9319999999999999</v>
      </c>
    </row>
    <row r="195" spans="2:28">
      <c r="B195" s="90">
        <f>'116+240'!B196</f>
        <v>45463</v>
      </c>
      <c r="C195" s="87">
        <f t="shared" si="31"/>
        <v>1</v>
      </c>
      <c r="D195" s="86">
        <f t="shared" si="32"/>
        <v>844</v>
      </c>
      <c r="E195" s="85">
        <f>VLOOKUP(B195,'116+240'!B196:AB244,3,FALSE)</f>
        <v>1541</v>
      </c>
      <c r="F195" s="81">
        <f t="shared" si="27"/>
        <v>2385</v>
      </c>
      <c r="G195" s="84">
        <f>VLOOKUP(B195,'116+240'!$B$15:$AB$682,20,FALSE)</f>
        <v>1771</v>
      </c>
      <c r="H195" s="84">
        <f>VLOOKUP(B195,'116+240'!$B$15:$AB$682,4,FALSE)</f>
        <v>-1226</v>
      </c>
      <c r="I195" s="80">
        <f t="shared" si="28"/>
        <v>3611</v>
      </c>
      <c r="J195" s="80">
        <f>VLOOKUP(B195,'116+240'!$B$15:$AB$682,13,FALSE)</f>
        <v>-389</v>
      </c>
      <c r="K195" s="89">
        <f>'116+240'!Q196</f>
        <v>0</v>
      </c>
      <c r="L195" s="83">
        <f t="shared" si="33"/>
        <v>429</v>
      </c>
      <c r="M195" s="82">
        <f>VLOOKUP(B195,'116+240'!$B$14:$AB$682,21,FALSE)</f>
        <v>2026</v>
      </c>
      <c r="N195" s="81">
        <f>VLOOKUP(B195,'116+240'!$B$15:$AB$682,5,FALSE)</f>
        <v>-1361</v>
      </c>
      <c r="O195" s="80">
        <f t="shared" si="29"/>
        <v>3746</v>
      </c>
      <c r="P195" s="80">
        <f>VLOOKUP(B195,'116+240'!$B$15:$AB$682,14,FALSE)</f>
        <v>-254</v>
      </c>
      <c r="Q195" s="89">
        <f>'116+240'!R196</f>
        <v>0</v>
      </c>
      <c r="R195" s="83">
        <f t="shared" si="34"/>
        <v>174</v>
      </c>
      <c r="S195" s="82">
        <f>VLOOKUP(B195,'116+240'!$B$14:$AB$682,22,FALSE)</f>
        <v>2091</v>
      </c>
      <c r="T195" s="81">
        <f>VLOOKUP(B195,'116+240'!$B$15:$AB$682,6,FALSE)</f>
        <v>-1476</v>
      </c>
      <c r="U195" s="80">
        <f t="shared" si="30"/>
        <v>3861</v>
      </c>
      <c r="V195" s="79">
        <f>VLOOKUP(B195,'116+240'!$B$15:$AB$682,15,FALSE)</f>
        <v>-139</v>
      </c>
      <c r="W195" s="89">
        <f>'116+240'!S196</f>
        <v>0</v>
      </c>
      <c r="X195" s="83">
        <f t="shared" si="35"/>
        <v>109</v>
      </c>
      <c r="Y195" s="78">
        <f t="shared" si="36"/>
        <v>0</v>
      </c>
      <c r="Z195" s="77">
        <f t="shared" si="37"/>
        <v>0</v>
      </c>
      <c r="AA195" s="76">
        <f t="shared" si="38"/>
        <v>2.2130000000000001</v>
      </c>
      <c r="AB195" s="76">
        <f t="shared" si="39"/>
        <v>1.9319999999999999</v>
      </c>
    </row>
    <row r="196" spans="2:28">
      <c r="B196" s="90">
        <f>'116+240'!B197</f>
        <v>45464</v>
      </c>
      <c r="C196" s="87">
        <f t="shared" si="31"/>
        <v>1</v>
      </c>
      <c r="D196" s="86">
        <f t="shared" si="32"/>
        <v>844</v>
      </c>
      <c r="E196" s="85">
        <f>VLOOKUP(B196,'116+240'!B197:AB244,3,FALSE)</f>
        <v>1543</v>
      </c>
      <c r="F196" s="81">
        <f t="shared" si="27"/>
        <v>2387</v>
      </c>
      <c r="G196" s="84">
        <f>VLOOKUP(B196,'116+240'!$B$15:$AB$682,20,FALSE)</f>
        <v>1771</v>
      </c>
      <c r="H196" s="84">
        <f>VLOOKUP(B196,'116+240'!$B$15:$AB$682,4,FALSE)</f>
        <v>-1224</v>
      </c>
      <c r="I196" s="80">
        <f t="shared" si="28"/>
        <v>3611</v>
      </c>
      <c r="J196" s="80">
        <f>VLOOKUP(B196,'116+240'!$B$15:$AB$682,13,FALSE)</f>
        <v>-389</v>
      </c>
      <c r="K196" s="89">
        <f>'116+240'!Q197</f>
        <v>0</v>
      </c>
      <c r="L196" s="83">
        <f t="shared" si="33"/>
        <v>429</v>
      </c>
      <c r="M196" s="82">
        <f>VLOOKUP(B196,'116+240'!$B$14:$AB$682,21,FALSE)</f>
        <v>2026</v>
      </c>
      <c r="N196" s="81">
        <f>VLOOKUP(B196,'116+240'!$B$15:$AB$682,5,FALSE)</f>
        <v>-1359</v>
      </c>
      <c r="O196" s="80">
        <f t="shared" si="29"/>
        <v>3746</v>
      </c>
      <c r="P196" s="80">
        <f>VLOOKUP(B196,'116+240'!$B$15:$AB$682,14,FALSE)</f>
        <v>-254</v>
      </c>
      <c r="Q196" s="89">
        <f>'116+240'!R197</f>
        <v>0</v>
      </c>
      <c r="R196" s="83">
        <f t="shared" si="34"/>
        <v>174</v>
      </c>
      <c r="S196" s="82">
        <f>VLOOKUP(B196,'116+240'!$B$14:$AB$682,22,FALSE)</f>
        <v>2091</v>
      </c>
      <c r="T196" s="81">
        <f>VLOOKUP(B196,'116+240'!$B$15:$AB$682,6,FALSE)</f>
        <v>-1474</v>
      </c>
      <c r="U196" s="80">
        <f t="shared" si="30"/>
        <v>3861</v>
      </c>
      <c r="V196" s="79">
        <f>VLOOKUP(B196,'116+240'!$B$15:$AB$682,15,FALSE)</f>
        <v>-139</v>
      </c>
      <c r="W196" s="89">
        <f>'116+240'!S197</f>
        <v>0</v>
      </c>
      <c r="X196" s="83">
        <f t="shared" si="35"/>
        <v>109</v>
      </c>
      <c r="Y196" s="78">
        <f t="shared" si="36"/>
        <v>0</v>
      </c>
      <c r="Z196" s="77">
        <f t="shared" si="37"/>
        <v>0</v>
      </c>
      <c r="AA196" s="76">
        <f t="shared" si="38"/>
        <v>2.2130000000000001</v>
      </c>
      <c r="AB196" s="76">
        <f t="shared" si="39"/>
        <v>1.9319999999999999</v>
      </c>
    </row>
    <row r="197" spans="2:28">
      <c r="B197" s="90">
        <f>'116+240'!B198</f>
        <v>45465</v>
      </c>
      <c r="C197" s="87">
        <f t="shared" si="31"/>
        <v>1</v>
      </c>
      <c r="D197" s="86">
        <f t="shared" si="32"/>
        <v>844</v>
      </c>
      <c r="E197" s="85">
        <f>VLOOKUP(B197,'116+240'!B198:AB244,3,FALSE)</f>
        <v>1545</v>
      </c>
      <c r="F197" s="81">
        <f t="shared" si="27"/>
        <v>2389</v>
      </c>
      <c r="G197" s="84">
        <f>VLOOKUP(B197,'116+240'!$B$15:$AB$682,20,FALSE)</f>
        <v>1771</v>
      </c>
      <c r="H197" s="84">
        <f>VLOOKUP(B197,'116+240'!$B$15:$AB$682,4,FALSE)</f>
        <v>-1222</v>
      </c>
      <c r="I197" s="80">
        <f t="shared" si="28"/>
        <v>3611</v>
      </c>
      <c r="J197" s="80">
        <f>VLOOKUP(B197,'116+240'!$B$15:$AB$682,13,FALSE)</f>
        <v>-389</v>
      </c>
      <c r="K197" s="89">
        <f>'116+240'!Q198</f>
        <v>0</v>
      </c>
      <c r="L197" s="83">
        <f t="shared" si="33"/>
        <v>429</v>
      </c>
      <c r="M197" s="82">
        <f>VLOOKUP(B197,'116+240'!$B$14:$AB$682,21,FALSE)</f>
        <v>2026</v>
      </c>
      <c r="N197" s="81">
        <f>VLOOKUP(B197,'116+240'!$B$15:$AB$682,5,FALSE)</f>
        <v>-1357</v>
      </c>
      <c r="O197" s="80">
        <f t="shared" si="29"/>
        <v>3746</v>
      </c>
      <c r="P197" s="80">
        <f>VLOOKUP(B197,'116+240'!$B$15:$AB$682,14,FALSE)</f>
        <v>-254</v>
      </c>
      <c r="Q197" s="89">
        <f>'116+240'!R198</f>
        <v>0</v>
      </c>
      <c r="R197" s="83">
        <f t="shared" si="34"/>
        <v>174</v>
      </c>
      <c r="S197" s="82">
        <f>VLOOKUP(B197,'116+240'!$B$14:$AB$682,22,FALSE)</f>
        <v>2091</v>
      </c>
      <c r="T197" s="81">
        <f>VLOOKUP(B197,'116+240'!$B$15:$AB$682,6,FALSE)</f>
        <v>-1472</v>
      </c>
      <c r="U197" s="80">
        <f t="shared" si="30"/>
        <v>3861</v>
      </c>
      <c r="V197" s="79">
        <f>VLOOKUP(B197,'116+240'!$B$15:$AB$682,15,FALSE)</f>
        <v>-139</v>
      </c>
      <c r="W197" s="89">
        <f>'116+240'!S198</f>
        <v>0</v>
      </c>
      <c r="X197" s="83">
        <f t="shared" si="35"/>
        <v>109</v>
      </c>
      <c r="Y197" s="78">
        <f t="shared" si="36"/>
        <v>0</v>
      </c>
      <c r="Z197" s="77">
        <f t="shared" si="37"/>
        <v>0</v>
      </c>
      <c r="AA197" s="76">
        <f t="shared" si="38"/>
        <v>2.2130000000000001</v>
      </c>
      <c r="AB197" s="76">
        <f t="shared" si="39"/>
        <v>1.9319999999999999</v>
      </c>
    </row>
    <row r="198" spans="2:28">
      <c r="B198" s="90">
        <f>'116+240'!B199</f>
        <v>45466</v>
      </c>
      <c r="C198" s="87">
        <f t="shared" si="31"/>
        <v>1</v>
      </c>
      <c r="D198" s="86">
        <f t="shared" si="32"/>
        <v>844</v>
      </c>
      <c r="E198" s="85">
        <f>VLOOKUP(B198,'116+240'!B199:AB244,3,FALSE)</f>
        <v>1547</v>
      </c>
      <c r="F198" s="81">
        <f t="shared" si="27"/>
        <v>2391</v>
      </c>
      <c r="G198" s="84">
        <f>VLOOKUP(B198,'116+240'!$B$15:$AB$682,20,FALSE)</f>
        <v>1771</v>
      </c>
      <c r="H198" s="84">
        <f>VLOOKUP(B198,'116+240'!$B$15:$AB$682,4,FALSE)</f>
        <v>-1220</v>
      </c>
      <c r="I198" s="80">
        <f t="shared" si="28"/>
        <v>3611</v>
      </c>
      <c r="J198" s="80">
        <f>VLOOKUP(B198,'116+240'!$B$15:$AB$682,13,FALSE)</f>
        <v>-389</v>
      </c>
      <c r="K198" s="89">
        <f>'116+240'!Q199</f>
        <v>0</v>
      </c>
      <c r="L198" s="83">
        <f t="shared" si="33"/>
        <v>429</v>
      </c>
      <c r="M198" s="82">
        <f>VLOOKUP(B198,'116+240'!$B$14:$AB$682,21,FALSE)</f>
        <v>2026</v>
      </c>
      <c r="N198" s="81">
        <f>VLOOKUP(B198,'116+240'!$B$15:$AB$682,5,FALSE)</f>
        <v>-1355</v>
      </c>
      <c r="O198" s="80">
        <f t="shared" si="29"/>
        <v>3746</v>
      </c>
      <c r="P198" s="80">
        <f>VLOOKUP(B198,'116+240'!$B$15:$AB$682,14,FALSE)</f>
        <v>-254</v>
      </c>
      <c r="Q198" s="89">
        <f>'116+240'!R199</f>
        <v>0</v>
      </c>
      <c r="R198" s="83">
        <f t="shared" si="34"/>
        <v>174</v>
      </c>
      <c r="S198" s="82">
        <f>VLOOKUP(B198,'116+240'!$B$14:$AB$682,22,FALSE)</f>
        <v>2091</v>
      </c>
      <c r="T198" s="81">
        <f>VLOOKUP(B198,'116+240'!$B$15:$AB$682,6,FALSE)</f>
        <v>-1470</v>
      </c>
      <c r="U198" s="80">
        <f t="shared" si="30"/>
        <v>3861</v>
      </c>
      <c r="V198" s="79">
        <f>VLOOKUP(B198,'116+240'!$B$15:$AB$682,15,FALSE)</f>
        <v>-139</v>
      </c>
      <c r="W198" s="89">
        <f>'116+240'!S199</f>
        <v>0</v>
      </c>
      <c r="X198" s="83">
        <f t="shared" si="35"/>
        <v>109</v>
      </c>
      <c r="Y198" s="78">
        <f t="shared" si="36"/>
        <v>0</v>
      </c>
      <c r="Z198" s="77">
        <f t="shared" si="37"/>
        <v>0</v>
      </c>
      <c r="AA198" s="76">
        <f t="shared" si="38"/>
        <v>2.2130000000000001</v>
      </c>
      <c r="AB198" s="76">
        <f t="shared" si="39"/>
        <v>1.9319999999999999</v>
      </c>
    </row>
    <row r="199" spans="2:28">
      <c r="B199" s="90">
        <f>'116+240'!B200</f>
        <v>45467</v>
      </c>
      <c r="C199" s="87">
        <f t="shared" si="31"/>
        <v>1</v>
      </c>
      <c r="D199" s="86">
        <f t="shared" si="32"/>
        <v>844</v>
      </c>
      <c r="E199" s="85">
        <f>VLOOKUP(B199,'116+240'!B200:AB244,3,FALSE)</f>
        <v>1549</v>
      </c>
      <c r="F199" s="81">
        <f t="shared" si="27"/>
        <v>2393</v>
      </c>
      <c r="G199" s="84">
        <f>VLOOKUP(B199,'116+240'!$B$15:$AB$682,20,FALSE)</f>
        <v>2061</v>
      </c>
      <c r="H199" s="84">
        <f>VLOOKUP(B199,'116+240'!$B$15:$AB$682,4,FALSE)</f>
        <v>-1208</v>
      </c>
      <c r="I199" s="80">
        <f t="shared" si="28"/>
        <v>3601</v>
      </c>
      <c r="J199" s="80">
        <f>VLOOKUP(B199,'116+240'!$B$15:$AB$682,13,FALSE)</f>
        <v>-399</v>
      </c>
      <c r="K199" s="89">
        <f>'116+240'!Q200</f>
        <v>10</v>
      </c>
      <c r="L199" s="83">
        <f t="shared" si="33"/>
        <v>439</v>
      </c>
      <c r="M199" s="82">
        <f>VLOOKUP(B199,'116+240'!$B$14:$AB$682,21,FALSE)</f>
        <v>2316</v>
      </c>
      <c r="N199" s="81">
        <f>VLOOKUP(B199,'116+240'!$B$15:$AB$682,5,FALSE)</f>
        <v>-1343</v>
      </c>
      <c r="O199" s="80">
        <f t="shared" si="29"/>
        <v>3736</v>
      </c>
      <c r="P199" s="80">
        <f>VLOOKUP(B199,'116+240'!$B$15:$AB$682,14,FALSE)</f>
        <v>-264</v>
      </c>
      <c r="Q199" s="89">
        <f>'116+240'!R200</f>
        <v>10</v>
      </c>
      <c r="R199" s="83">
        <f t="shared" si="34"/>
        <v>184</v>
      </c>
      <c r="S199" s="82">
        <f>VLOOKUP(B199,'116+240'!$B$14:$AB$682,22,FALSE)</f>
        <v>2381</v>
      </c>
      <c r="T199" s="81">
        <f>VLOOKUP(B199,'116+240'!$B$15:$AB$682,6,FALSE)</f>
        <v>-1458</v>
      </c>
      <c r="U199" s="80">
        <f t="shared" si="30"/>
        <v>3851</v>
      </c>
      <c r="V199" s="79">
        <f>VLOOKUP(B199,'116+240'!$B$15:$AB$682,15,FALSE)</f>
        <v>-149</v>
      </c>
      <c r="W199" s="89">
        <f>'116+240'!S200</f>
        <v>10</v>
      </c>
      <c r="X199" s="83">
        <f t="shared" si="35"/>
        <v>119</v>
      </c>
      <c r="Y199" s="78">
        <f t="shared" si="36"/>
        <v>290</v>
      </c>
      <c r="Z199" s="77">
        <f t="shared" si="37"/>
        <v>0.28999999999999998</v>
      </c>
      <c r="AA199" s="76">
        <f t="shared" si="38"/>
        <v>2.5030000000000001</v>
      </c>
      <c r="AB199" s="76">
        <f t="shared" si="39"/>
        <v>2.2120000000000002</v>
      </c>
    </row>
    <row r="200" spans="2:28">
      <c r="B200" s="90">
        <f>'116+240'!B201</f>
        <v>45468</v>
      </c>
      <c r="C200" s="87">
        <f t="shared" si="31"/>
        <v>1</v>
      </c>
      <c r="D200" s="86">
        <f t="shared" si="32"/>
        <v>844</v>
      </c>
      <c r="E200" s="85">
        <f>VLOOKUP(B200,'116+240'!B201:AB244,3,FALSE)</f>
        <v>1551</v>
      </c>
      <c r="F200" s="81">
        <f t="shared" si="27"/>
        <v>2395</v>
      </c>
      <c r="G200" s="84">
        <f>VLOOKUP(B200,'116+240'!$B$15:$AB$682,20,FALSE)</f>
        <v>2051</v>
      </c>
      <c r="H200" s="84">
        <f>VLOOKUP(B200,'116+240'!$B$15:$AB$682,4,FALSE)</f>
        <v>-1196</v>
      </c>
      <c r="I200" s="80">
        <f t="shared" si="28"/>
        <v>3591</v>
      </c>
      <c r="J200" s="80">
        <f>VLOOKUP(B200,'116+240'!$B$15:$AB$682,13,FALSE)</f>
        <v>-409</v>
      </c>
      <c r="K200" s="89">
        <f>'116+240'!Q201</f>
        <v>10</v>
      </c>
      <c r="L200" s="83">
        <f t="shared" si="33"/>
        <v>449</v>
      </c>
      <c r="M200" s="82">
        <f>VLOOKUP(B200,'116+240'!$B$14:$AB$682,21,FALSE)</f>
        <v>2306</v>
      </c>
      <c r="N200" s="81">
        <f>VLOOKUP(B200,'116+240'!$B$15:$AB$682,5,FALSE)</f>
        <v>-1331</v>
      </c>
      <c r="O200" s="80">
        <f t="shared" si="29"/>
        <v>3726</v>
      </c>
      <c r="P200" s="80">
        <f>VLOOKUP(B200,'116+240'!$B$15:$AB$682,14,FALSE)</f>
        <v>-274</v>
      </c>
      <c r="Q200" s="89">
        <f>'116+240'!R201</f>
        <v>10</v>
      </c>
      <c r="R200" s="83">
        <f t="shared" si="34"/>
        <v>194</v>
      </c>
      <c r="S200" s="82">
        <f>VLOOKUP(B200,'116+240'!$B$14:$AB$682,22,FALSE)</f>
        <v>2371</v>
      </c>
      <c r="T200" s="81">
        <f>VLOOKUP(B200,'116+240'!$B$15:$AB$682,6,FALSE)</f>
        <v>-1446</v>
      </c>
      <c r="U200" s="80">
        <f t="shared" si="30"/>
        <v>3841</v>
      </c>
      <c r="V200" s="79">
        <f>VLOOKUP(B200,'116+240'!$B$15:$AB$682,15,FALSE)</f>
        <v>-159</v>
      </c>
      <c r="W200" s="89">
        <f>'116+240'!S201</f>
        <v>10</v>
      </c>
      <c r="X200" s="83">
        <f t="shared" si="35"/>
        <v>129</v>
      </c>
      <c r="Y200" s="78">
        <f t="shared" si="36"/>
        <v>-10</v>
      </c>
      <c r="Z200" s="77">
        <f t="shared" si="37"/>
        <v>0</v>
      </c>
      <c r="AA200" s="76">
        <f t="shared" si="38"/>
        <v>2.5030000000000001</v>
      </c>
      <c r="AB200" s="76">
        <f t="shared" si="39"/>
        <v>2.1920000000000002</v>
      </c>
    </row>
    <row r="201" spans="2:28">
      <c r="B201" s="90">
        <f>'116+240'!B202</f>
        <v>45469</v>
      </c>
      <c r="C201" s="87">
        <f t="shared" si="31"/>
        <v>1</v>
      </c>
      <c r="D201" s="86">
        <f t="shared" si="32"/>
        <v>844</v>
      </c>
      <c r="E201" s="85">
        <f>VLOOKUP(B201,'116+240'!B202:AB244,3,FALSE)</f>
        <v>1553</v>
      </c>
      <c r="F201" s="81">
        <f t="shared" si="27"/>
        <v>2397</v>
      </c>
      <c r="G201" s="84">
        <f>VLOOKUP(B201,'116+240'!$B$15:$AB$682,20,FALSE)</f>
        <v>2043</v>
      </c>
      <c r="H201" s="84">
        <f>VLOOKUP(B201,'116+240'!$B$15:$AB$682,4,FALSE)</f>
        <v>-1186</v>
      </c>
      <c r="I201" s="80">
        <f t="shared" si="28"/>
        <v>3583</v>
      </c>
      <c r="J201" s="80">
        <f>VLOOKUP(B201,'116+240'!$B$15:$AB$682,13,FALSE)</f>
        <v>-417</v>
      </c>
      <c r="K201" s="89">
        <f>'116+240'!Q202</f>
        <v>8</v>
      </c>
      <c r="L201" s="83">
        <f t="shared" si="33"/>
        <v>457</v>
      </c>
      <c r="M201" s="82">
        <f>VLOOKUP(B201,'116+240'!$B$14:$AB$682,21,FALSE)</f>
        <v>2297</v>
      </c>
      <c r="N201" s="81">
        <f>VLOOKUP(B201,'116+240'!$B$15:$AB$682,5,FALSE)</f>
        <v>-1320</v>
      </c>
      <c r="O201" s="80">
        <f t="shared" si="29"/>
        <v>3717</v>
      </c>
      <c r="P201" s="80">
        <f>VLOOKUP(B201,'116+240'!$B$15:$AB$682,14,FALSE)</f>
        <v>-283</v>
      </c>
      <c r="Q201" s="89">
        <f>'116+240'!R202</f>
        <v>9</v>
      </c>
      <c r="R201" s="83">
        <f t="shared" si="34"/>
        <v>203</v>
      </c>
      <c r="S201" s="82">
        <f>VLOOKUP(B201,'116+240'!$B$14:$AB$682,22,FALSE)</f>
        <v>2363</v>
      </c>
      <c r="T201" s="81">
        <f>VLOOKUP(B201,'116+240'!$B$15:$AB$682,6,FALSE)</f>
        <v>-1436</v>
      </c>
      <c r="U201" s="80">
        <f t="shared" si="30"/>
        <v>3833</v>
      </c>
      <c r="V201" s="79">
        <f>VLOOKUP(B201,'116+240'!$B$15:$AB$682,15,FALSE)</f>
        <v>-167</v>
      </c>
      <c r="W201" s="89">
        <f>'116+240'!S202</f>
        <v>8</v>
      </c>
      <c r="X201" s="83">
        <f t="shared" si="35"/>
        <v>137</v>
      </c>
      <c r="Y201" s="78">
        <f t="shared" si="36"/>
        <v>-8</v>
      </c>
      <c r="Z201" s="77">
        <f t="shared" si="37"/>
        <v>0</v>
      </c>
      <c r="AA201" s="76">
        <f t="shared" si="38"/>
        <v>2.5030000000000001</v>
      </c>
      <c r="AB201" s="76">
        <f t="shared" si="39"/>
        <v>2.1739999999999999</v>
      </c>
    </row>
    <row r="202" spans="2:28">
      <c r="B202" s="90">
        <f>'116+240'!B203</f>
        <v>45470</v>
      </c>
      <c r="C202" s="87">
        <f t="shared" si="31"/>
        <v>1</v>
      </c>
      <c r="D202" s="86">
        <f t="shared" si="32"/>
        <v>844</v>
      </c>
      <c r="E202" s="85">
        <f>VLOOKUP(B202,'116+240'!B203:AB244,3,FALSE)</f>
        <v>1555</v>
      </c>
      <c r="F202" s="81">
        <f t="shared" si="27"/>
        <v>2399</v>
      </c>
      <c r="G202" s="84">
        <f>VLOOKUP(B202,'116+240'!$B$15:$AB$682,20,FALSE)</f>
        <v>2034</v>
      </c>
      <c r="H202" s="84">
        <f>VLOOKUP(B202,'116+240'!$B$15:$AB$682,4,FALSE)</f>
        <v>-1175</v>
      </c>
      <c r="I202" s="80">
        <f t="shared" si="28"/>
        <v>3574</v>
      </c>
      <c r="J202" s="80">
        <f>VLOOKUP(B202,'116+240'!$B$15:$AB$682,13,FALSE)</f>
        <v>-426</v>
      </c>
      <c r="K202" s="89">
        <f>'116+240'!Q203</f>
        <v>9</v>
      </c>
      <c r="L202" s="83">
        <f t="shared" si="33"/>
        <v>466</v>
      </c>
      <c r="M202" s="82">
        <f>VLOOKUP(B202,'116+240'!$B$14:$AB$682,21,FALSE)</f>
        <v>2289</v>
      </c>
      <c r="N202" s="81">
        <f>VLOOKUP(B202,'116+240'!$B$15:$AB$682,5,FALSE)</f>
        <v>-1310</v>
      </c>
      <c r="O202" s="80">
        <f t="shared" si="29"/>
        <v>3709</v>
      </c>
      <c r="P202" s="80">
        <f>VLOOKUP(B202,'116+240'!$B$15:$AB$682,14,FALSE)</f>
        <v>-291</v>
      </c>
      <c r="Q202" s="89">
        <f>'116+240'!R203</f>
        <v>8</v>
      </c>
      <c r="R202" s="83">
        <f t="shared" si="34"/>
        <v>211</v>
      </c>
      <c r="S202" s="82">
        <f>VLOOKUP(B202,'116+240'!$B$14:$AB$682,22,FALSE)</f>
        <v>2354</v>
      </c>
      <c r="T202" s="81">
        <f>VLOOKUP(B202,'116+240'!$B$15:$AB$682,6,FALSE)</f>
        <v>-1425</v>
      </c>
      <c r="U202" s="80">
        <f t="shared" si="30"/>
        <v>3824</v>
      </c>
      <c r="V202" s="79">
        <f>VLOOKUP(B202,'116+240'!$B$15:$AB$682,15,FALSE)</f>
        <v>-176</v>
      </c>
      <c r="W202" s="89">
        <f>'116+240'!S203</f>
        <v>9</v>
      </c>
      <c r="X202" s="83">
        <f t="shared" si="35"/>
        <v>146</v>
      </c>
      <c r="Y202" s="78">
        <f t="shared" si="36"/>
        <v>-9</v>
      </c>
      <c r="Z202" s="77">
        <f t="shared" si="37"/>
        <v>0</v>
      </c>
      <c r="AA202" s="76">
        <f t="shared" si="38"/>
        <v>2.5030000000000001</v>
      </c>
      <c r="AB202" s="76">
        <f t="shared" si="39"/>
        <v>2.1579999999999999</v>
      </c>
    </row>
    <row r="203" spans="2:28">
      <c r="B203" s="90">
        <f>'116+240'!B204</f>
        <v>45471</v>
      </c>
      <c r="C203" s="87">
        <f t="shared" si="31"/>
        <v>1</v>
      </c>
      <c r="D203" s="86">
        <f t="shared" si="32"/>
        <v>844</v>
      </c>
      <c r="E203" s="85">
        <f>VLOOKUP(B203,'116+240'!B204:AB244,3,FALSE)</f>
        <v>1557</v>
      </c>
      <c r="F203" s="81">
        <f t="shared" si="27"/>
        <v>2401</v>
      </c>
      <c r="G203" s="84">
        <f>VLOOKUP(B203,'116+240'!$B$15:$AB$682,20,FALSE)</f>
        <v>2025</v>
      </c>
      <c r="H203" s="84">
        <f>VLOOKUP(B203,'116+240'!$B$15:$AB$682,4,FALSE)</f>
        <v>-1164</v>
      </c>
      <c r="I203" s="80">
        <f t="shared" si="28"/>
        <v>3565</v>
      </c>
      <c r="J203" s="80">
        <f>VLOOKUP(B203,'116+240'!$B$15:$AB$682,13,FALSE)</f>
        <v>-435</v>
      </c>
      <c r="K203" s="89">
        <f>'116+240'!Q204</f>
        <v>9</v>
      </c>
      <c r="L203" s="83">
        <f t="shared" si="33"/>
        <v>475</v>
      </c>
      <c r="M203" s="82">
        <f>VLOOKUP(B203,'116+240'!$B$14:$AB$682,21,FALSE)</f>
        <v>2281</v>
      </c>
      <c r="N203" s="81">
        <f>VLOOKUP(B203,'116+240'!$B$15:$AB$682,5,FALSE)</f>
        <v>-1300</v>
      </c>
      <c r="O203" s="80">
        <f t="shared" si="29"/>
        <v>3701</v>
      </c>
      <c r="P203" s="80">
        <f>VLOOKUP(B203,'116+240'!$B$15:$AB$682,14,FALSE)</f>
        <v>-299</v>
      </c>
      <c r="Q203" s="89">
        <f>'116+240'!R204</f>
        <v>8</v>
      </c>
      <c r="R203" s="83">
        <f t="shared" si="34"/>
        <v>219</v>
      </c>
      <c r="S203" s="82">
        <f>VLOOKUP(B203,'116+240'!$B$14:$AB$682,22,FALSE)</f>
        <v>2345</v>
      </c>
      <c r="T203" s="81">
        <f>VLOOKUP(B203,'116+240'!$B$15:$AB$682,6,FALSE)</f>
        <v>-1414</v>
      </c>
      <c r="U203" s="80">
        <f t="shared" si="30"/>
        <v>3815</v>
      </c>
      <c r="V203" s="79">
        <f>VLOOKUP(B203,'116+240'!$B$15:$AB$682,15,FALSE)</f>
        <v>-185</v>
      </c>
      <c r="W203" s="89">
        <f>'116+240'!S204</f>
        <v>9</v>
      </c>
      <c r="X203" s="83">
        <f t="shared" si="35"/>
        <v>155</v>
      </c>
      <c r="Y203" s="78">
        <f t="shared" si="36"/>
        <v>-9</v>
      </c>
      <c r="Z203" s="77">
        <f t="shared" si="37"/>
        <v>0</v>
      </c>
      <c r="AA203" s="76">
        <f t="shared" si="38"/>
        <v>2.5030000000000001</v>
      </c>
      <c r="AB203" s="76">
        <f t="shared" si="39"/>
        <v>2.1419999999999999</v>
      </c>
    </row>
    <row r="204" spans="2:28">
      <c r="B204" s="90">
        <f>'116+240'!B205</f>
        <v>45472</v>
      </c>
      <c r="C204" s="87">
        <f t="shared" si="31"/>
        <v>1</v>
      </c>
      <c r="D204" s="86">
        <f t="shared" si="32"/>
        <v>844</v>
      </c>
      <c r="E204" s="85">
        <f>VLOOKUP(B204,'116+240'!B205:AB244,3,FALSE)</f>
        <v>1559</v>
      </c>
      <c r="F204" s="81">
        <f t="shared" si="27"/>
        <v>2403</v>
      </c>
      <c r="G204" s="84">
        <f>VLOOKUP(B204,'116+240'!$B$15:$AB$682,20,FALSE)</f>
        <v>2325</v>
      </c>
      <c r="H204" s="84">
        <f>VLOOKUP(B204,'116+240'!$B$15:$AB$682,4,FALSE)</f>
        <v>-1152</v>
      </c>
      <c r="I204" s="80">
        <f t="shared" si="28"/>
        <v>3555</v>
      </c>
      <c r="J204" s="80">
        <f>VLOOKUP(B204,'116+240'!$B$15:$AB$682,13,FALSE)</f>
        <v>-445</v>
      </c>
      <c r="K204" s="89">
        <f>'116+240'!Q205</f>
        <v>10</v>
      </c>
      <c r="L204" s="83">
        <f t="shared" si="33"/>
        <v>485</v>
      </c>
      <c r="M204" s="82">
        <f>VLOOKUP(B204,'116+240'!$B$14:$AB$682,21,FALSE)</f>
        <v>2581</v>
      </c>
      <c r="N204" s="81">
        <f>VLOOKUP(B204,'116+240'!$B$15:$AB$682,5,FALSE)</f>
        <v>-1288</v>
      </c>
      <c r="O204" s="80">
        <f t="shared" si="29"/>
        <v>3691</v>
      </c>
      <c r="P204" s="80">
        <f>VLOOKUP(B204,'116+240'!$B$15:$AB$682,14,FALSE)</f>
        <v>-309</v>
      </c>
      <c r="Q204" s="89">
        <f>'116+240'!R205</f>
        <v>10</v>
      </c>
      <c r="R204" s="83">
        <f t="shared" si="34"/>
        <v>229</v>
      </c>
      <c r="S204" s="82">
        <f>VLOOKUP(B204,'116+240'!$B$14:$AB$682,22,FALSE)</f>
        <v>2645</v>
      </c>
      <c r="T204" s="81">
        <f>VLOOKUP(B204,'116+240'!$B$15:$AB$682,6,FALSE)</f>
        <v>-1402</v>
      </c>
      <c r="U204" s="80">
        <f t="shared" si="30"/>
        <v>3805</v>
      </c>
      <c r="V204" s="79">
        <f>VLOOKUP(B204,'116+240'!$B$15:$AB$682,15,FALSE)</f>
        <v>-195</v>
      </c>
      <c r="W204" s="89">
        <f>'116+240'!S205</f>
        <v>10</v>
      </c>
      <c r="X204" s="83">
        <f t="shared" si="35"/>
        <v>165</v>
      </c>
      <c r="Y204" s="78">
        <f t="shared" si="36"/>
        <v>300</v>
      </c>
      <c r="Z204" s="77">
        <f t="shared" si="37"/>
        <v>0.3</v>
      </c>
      <c r="AA204" s="76">
        <f t="shared" si="38"/>
        <v>2.8029999999999999</v>
      </c>
      <c r="AB204" s="76">
        <f t="shared" si="39"/>
        <v>2.4319999999999999</v>
      </c>
    </row>
    <row r="205" spans="2:28">
      <c r="B205" s="90">
        <f>'116+240'!B206</f>
        <v>45473</v>
      </c>
      <c r="C205" s="87">
        <f t="shared" si="31"/>
        <v>1</v>
      </c>
      <c r="D205" s="86">
        <f t="shared" si="32"/>
        <v>844</v>
      </c>
      <c r="E205" s="85">
        <f>VLOOKUP(B205,'116+240'!B206:AB244,3,FALSE)</f>
        <v>1561</v>
      </c>
      <c r="F205" s="81">
        <f t="shared" ref="F205:F268" si="40">D205+E205</f>
        <v>2405</v>
      </c>
      <c r="G205" s="84">
        <f>VLOOKUP(B205,'116+240'!$B$15:$AB$682,20,FALSE)</f>
        <v>2315</v>
      </c>
      <c r="H205" s="84">
        <f>VLOOKUP(B205,'116+240'!$B$15:$AB$682,4,FALSE)</f>
        <v>-1140</v>
      </c>
      <c r="I205" s="80">
        <f t="shared" ref="I205:I268" si="41">F205-H205</f>
        <v>3545</v>
      </c>
      <c r="J205" s="80">
        <f>VLOOKUP(B205,'116+240'!$B$15:$AB$682,13,FALSE)</f>
        <v>-455</v>
      </c>
      <c r="K205" s="89">
        <f>'116+240'!Q206</f>
        <v>10</v>
      </c>
      <c r="L205" s="83">
        <f t="shared" si="33"/>
        <v>495</v>
      </c>
      <c r="M205" s="82">
        <f>VLOOKUP(B205,'116+240'!$B$14:$AB$682,21,FALSE)</f>
        <v>2571</v>
      </c>
      <c r="N205" s="81">
        <f>VLOOKUP(B205,'116+240'!$B$15:$AB$682,5,FALSE)</f>
        <v>-1276</v>
      </c>
      <c r="O205" s="80">
        <f t="shared" ref="O205:O268" si="42">F205-N205</f>
        <v>3681</v>
      </c>
      <c r="P205" s="80">
        <f>VLOOKUP(B205,'116+240'!$B$15:$AB$682,14,FALSE)</f>
        <v>-319</v>
      </c>
      <c r="Q205" s="89">
        <f>'116+240'!R206</f>
        <v>10</v>
      </c>
      <c r="R205" s="83">
        <f t="shared" si="34"/>
        <v>239</v>
      </c>
      <c r="S205" s="82">
        <f>VLOOKUP(B205,'116+240'!$B$14:$AB$682,22,FALSE)</f>
        <v>2635</v>
      </c>
      <c r="T205" s="81">
        <f>VLOOKUP(B205,'116+240'!$B$15:$AB$682,6,FALSE)</f>
        <v>-1390</v>
      </c>
      <c r="U205" s="80">
        <f t="shared" ref="U205:U268" si="43">F205-T205</f>
        <v>3795</v>
      </c>
      <c r="V205" s="79">
        <f>VLOOKUP(B205,'116+240'!$B$15:$AB$682,15,FALSE)</f>
        <v>-205</v>
      </c>
      <c r="W205" s="89">
        <f>'116+240'!S206</f>
        <v>10</v>
      </c>
      <c r="X205" s="83">
        <f t="shared" si="35"/>
        <v>175</v>
      </c>
      <c r="Y205" s="78">
        <f t="shared" si="36"/>
        <v>-10</v>
      </c>
      <c r="Z205" s="77">
        <f t="shared" si="37"/>
        <v>0</v>
      </c>
      <c r="AA205" s="76">
        <f t="shared" si="38"/>
        <v>2.8029999999999999</v>
      </c>
      <c r="AB205" s="76">
        <f t="shared" si="39"/>
        <v>2.4119999999999999</v>
      </c>
    </row>
    <row r="206" spans="2:28">
      <c r="B206" s="90">
        <f>'116+240'!B207</f>
        <v>45474</v>
      </c>
      <c r="C206" s="87">
        <f t="shared" ref="C206:C269" si="44">B206-B205</f>
        <v>1</v>
      </c>
      <c r="D206" s="86">
        <f t="shared" ref="D206:D269" si="45">D205</f>
        <v>844</v>
      </c>
      <c r="E206" s="85">
        <f>VLOOKUP(B206,'116+240'!B207:AB244,3,FALSE)</f>
        <v>1563</v>
      </c>
      <c r="F206" s="81">
        <f t="shared" si="40"/>
        <v>2407</v>
      </c>
      <c r="G206" s="84">
        <f>VLOOKUP(B206,'116+240'!$B$15:$AB$682,20,FALSE)</f>
        <v>2307</v>
      </c>
      <c r="H206" s="84">
        <f>VLOOKUP(B206,'116+240'!$B$15:$AB$682,4,FALSE)</f>
        <v>-1130</v>
      </c>
      <c r="I206" s="80">
        <f t="shared" si="41"/>
        <v>3537</v>
      </c>
      <c r="J206" s="80">
        <f>VLOOKUP(B206,'116+240'!$B$15:$AB$682,13,FALSE)</f>
        <v>-463</v>
      </c>
      <c r="K206" s="89">
        <f>'116+240'!Q207</f>
        <v>8</v>
      </c>
      <c r="L206" s="83">
        <f t="shared" ref="L206:L269" si="46">+K206+L205</f>
        <v>503</v>
      </c>
      <c r="M206" s="82">
        <f>VLOOKUP(B206,'116+240'!$B$14:$AB$682,21,FALSE)</f>
        <v>2564</v>
      </c>
      <c r="N206" s="81">
        <f>VLOOKUP(B206,'116+240'!$B$15:$AB$682,5,FALSE)</f>
        <v>-1267</v>
      </c>
      <c r="O206" s="80">
        <f t="shared" si="42"/>
        <v>3674</v>
      </c>
      <c r="P206" s="80">
        <f>VLOOKUP(B206,'116+240'!$B$15:$AB$682,14,FALSE)</f>
        <v>-326</v>
      </c>
      <c r="Q206" s="89">
        <f>'116+240'!R207</f>
        <v>7</v>
      </c>
      <c r="R206" s="83">
        <f t="shared" ref="R206:R269" si="47">+Q206+R205</f>
        <v>246</v>
      </c>
      <c r="S206" s="82">
        <f>VLOOKUP(B206,'116+240'!$B$14:$AB$682,22,FALSE)</f>
        <v>2627</v>
      </c>
      <c r="T206" s="81">
        <f>VLOOKUP(B206,'116+240'!$B$15:$AB$682,6,FALSE)</f>
        <v>-1380</v>
      </c>
      <c r="U206" s="80">
        <f t="shared" si="43"/>
        <v>3787</v>
      </c>
      <c r="V206" s="79">
        <f>VLOOKUP(B206,'116+240'!$B$15:$AB$682,15,FALSE)</f>
        <v>-213</v>
      </c>
      <c r="W206" s="89">
        <f>'116+240'!S207</f>
        <v>8</v>
      </c>
      <c r="X206" s="83">
        <f t="shared" ref="X206:X269" si="48">+W206+X205</f>
        <v>183</v>
      </c>
      <c r="Y206" s="78">
        <f t="shared" ref="Y206:Y269" si="49">S206-S205</f>
        <v>-8</v>
      </c>
      <c r="Z206" s="77">
        <f t="shared" ref="Z206:Z269" si="50">IF(Y206&gt;0,Y206,0)/1000</f>
        <v>0</v>
      </c>
      <c r="AA206" s="76">
        <f t="shared" ref="AA206:AA269" si="51">AA205+Z206</f>
        <v>2.8029999999999999</v>
      </c>
      <c r="AB206" s="76">
        <f t="shared" ref="AB206:AB269" si="52">(M206-$M$13-R206)/1000</f>
        <v>2.3980000000000001</v>
      </c>
    </row>
    <row r="207" spans="2:28">
      <c r="B207" s="90">
        <f>'116+240'!B208</f>
        <v>45475</v>
      </c>
      <c r="C207" s="87">
        <f t="shared" si="44"/>
        <v>1</v>
      </c>
      <c r="D207" s="86">
        <f t="shared" si="45"/>
        <v>844</v>
      </c>
      <c r="E207" s="85">
        <f>VLOOKUP(B207,'116+240'!B208:AB244,3,FALSE)</f>
        <v>1565</v>
      </c>
      <c r="F207" s="81">
        <f t="shared" si="40"/>
        <v>2409</v>
      </c>
      <c r="G207" s="84">
        <f>VLOOKUP(B207,'116+240'!$B$15:$AB$682,20,FALSE)</f>
        <v>2298</v>
      </c>
      <c r="H207" s="84">
        <f>VLOOKUP(B207,'116+240'!$B$15:$AB$682,4,FALSE)</f>
        <v>-1119</v>
      </c>
      <c r="I207" s="80">
        <f t="shared" si="41"/>
        <v>3528</v>
      </c>
      <c r="J207" s="80">
        <f>VLOOKUP(B207,'116+240'!$B$15:$AB$682,13,FALSE)</f>
        <v>-472</v>
      </c>
      <c r="K207" s="89">
        <f>'116+240'!Q208</f>
        <v>9</v>
      </c>
      <c r="L207" s="83">
        <f t="shared" si="46"/>
        <v>512</v>
      </c>
      <c r="M207" s="82">
        <f>VLOOKUP(B207,'116+240'!$B$14:$AB$682,21,FALSE)</f>
        <v>2556</v>
      </c>
      <c r="N207" s="81">
        <f>VLOOKUP(B207,'116+240'!$B$15:$AB$682,5,FALSE)</f>
        <v>-1257</v>
      </c>
      <c r="O207" s="80">
        <f t="shared" si="42"/>
        <v>3666</v>
      </c>
      <c r="P207" s="80">
        <f>VLOOKUP(B207,'116+240'!$B$15:$AB$682,14,FALSE)</f>
        <v>-334</v>
      </c>
      <c r="Q207" s="89">
        <f>'116+240'!R208</f>
        <v>8</v>
      </c>
      <c r="R207" s="83">
        <f t="shared" si="47"/>
        <v>254</v>
      </c>
      <c r="S207" s="82">
        <f>VLOOKUP(B207,'116+240'!$B$14:$AB$682,22,FALSE)</f>
        <v>2618</v>
      </c>
      <c r="T207" s="81">
        <f>VLOOKUP(B207,'116+240'!$B$15:$AB$682,6,FALSE)</f>
        <v>-1369</v>
      </c>
      <c r="U207" s="80">
        <f t="shared" si="43"/>
        <v>3778</v>
      </c>
      <c r="V207" s="79">
        <f>VLOOKUP(B207,'116+240'!$B$15:$AB$682,15,FALSE)</f>
        <v>-222</v>
      </c>
      <c r="W207" s="89">
        <f>'116+240'!S208</f>
        <v>9</v>
      </c>
      <c r="X207" s="83">
        <f t="shared" si="48"/>
        <v>192</v>
      </c>
      <c r="Y207" s="78">
        <f t="shared" si="49"/>
        <v>-9</v>
      </c>
      <c r="Z207" s="77">
        <f t="shared" si="50"/>
        <v>0</v>
      </c>
      <c r="AA207" s="76">
        <f t="shared" si="51"/>
        <v>2.8029999999999999</v>
      </c>
      <c r="AB207" s="76">
        <f t="shared" si="52"/>
        <v>2.3820000000000001</v>
      </c>
    </row>
    <row r="208" spans="2:28">
      <c r="B208" s="90">
        <f>'116+240'!B209</f>
        <v>45476</v>
      </c>
      <c r="C208" s="87">
        <f t="shared" si="44"/>
        <v>1</v>
      </c>
      <c r="D208" s="86">
        <f t="shared" si="45"/>
        <v>844</v>
      </c>
      <c r="E208" s="85">
        <f>VLOOKUP(B208,'116+240'!B209:AB244,3,FALSE)</f>
        <v>1567</v>
      </c>
      <c r="F208" s="81">
        <f t="shared" si="40"/>
        <v>2411</v>
      </c>
      <c r="G208" s="84">
        <f>VLOOKUP(B208,'116+240'!$B$15:$AB$682,20,FALSE)</f>
        <v>2290</v>
      </c>
      <c r="H208" s="84">
        <f>VLOOKUP(B208,'116+240'!$B$15:$AB$682,4,FALSE)</f>
        <v>-1109</v>
      </c>
      <c r="I208" s="80">
        <f t="shared" si="41"/>
        <v>3520</v>
      </c>
      <c r="J208" s="80">
        <f>VLOOKUP(B208,'116+240'!$B$15:$AB$682,13,FALSE)</f>
        <v>-480</v>
      </c>
      <c r="K208" s="89">
        <f>'116+240'!Q209</f>
        <v>8</v>
      </c>
      <c r="L208" s="83">
        <f t="shared" si="46"/>
        <v>520</v>
      </c>
      <c r="M208" s="82">
        <f>VLOOKUP(B208,'116+240'!$B$14:$AB$682,21,FALSE)</f>
        <v>2549</v>
      </c>
      <c r="N208" s="81">
        <f>VLOOKUP(B208,'116+240'!$B$15:$AB$682,5,FALSE)</f>
        <v>-1248</v>
      </c>
      <c r="O208" s="80">
        <f t="shared" si="42"/>
        <v>3659</v>
      </c>
      <c r="P208" s="80">
        <f>VLOOKUP(B208,'116+240'!$B$15:$AB$682,14,FALSE)</f>
        <v>-341</v>
      </c>
      <c r="Q208" s="89">
        <f>'116+240'!R209</f>
        <v>7</v>
      </c>
      <c r="R208" s="83">
        <f t="shared" si="47"/>
        <v>261</v>
      </c>
      <c r="S208" s="82">
        <f>VLOOKUP(B208,'116+240'!$B$14:$AB$682,22,FALSE)</f>
        <v>2610</v>
      </c>
      <c r="T208" s="81">
        <f>VLOOKUP(B208,'116+240'!$B$15:$AB$682,6,FALSE)</f>
        <v>-1359</v>
      </c>
      <c r="U208" s="80">
        <f t="shared" si="43"/>
        <v>3770</v>
      </c>
      <c r="V208" s="79">
        <f>VLOOKUP(B208,'116+240'!$B$15:$AB$682,15,FALSE)</f>
        <v>-230</v>
      </c>
      <c r="W208" s="89">
        <f>'116+240'!S209</f>
        <v>8</v>
      </c>
      <c r="X208" s="83">
        <f t="shared" si="48"/>
        <v>200</v>
      </c>
      <c r="Y208" s="78">
        <f t="shared" si="49"/>
        <v>-8</v>
      </c>
      <c r="Z208" s="77">
        <f t="shared" si="50"/>
        <v>0</v>
      </c>
      <c r="AA208" s="76">
        <f t="shared" si="51"/>
        <v>2.8029999999999999</v>
      </c>
      <c r="AB208" s="76">
        <f t="shared" si="52"/>
        <v>2.3679999999999999</v>
      </c>
    </row>
    <row r="209" spans="2:28">
      <c r="B209" s="90">
        <f>'116+240'!B210</f>
        <v>45477</v>
      </c>
      <c r="C209" s="87">
        <f t="shared" si="44"/>
        <v>1</v>
      </c>
      <c r="D209" s="86">
        <f t="shared" si="45"/>
        <v>844</v>
      </c>
      <c r="E209" s="85">
        <f>VLOOKUP(B209,'116+240'!B210:AB244,3,FALSE)</f>
        <v>1569</v>
      </c>
      <c r="F209" s="81">
        <f t="shared" si="40"/>
        <v>2413</v>
      </c>
      <c r="G209" s="84">
        <f>VLOOKUP(B209,'116+240'!$B$15:$AB$682,20,FALSE)</f>
        <v>2582</v>
      </c>
      <c r="H209" s="84">
        <f>VLOOKUP(B209,'116+240'!$B$15:$AB$682,4,FALSE)</f>
        <v>-1099</v>
      </c>
      <c r="I209" s="80">
        <f t="shared" si="41"/>
        <v>3512</v>
      </c>
      <c r="J209" s="80">
        <f>VLOOKUP(B209,'116+240'!$B$15:$AB$682,13,FALSE)</f>
        <v>-488</v>
      </c>
      <c r="K209" s="89">
        <f>'116+240'!Q210</f>
        <v>8</v>
      </c>
      <c r="L209" s="83">
        <f t="shared" si="46"/>
        <v>528</v>
      </c>
      <c r="M209" s="82">
        <f>VLOOKUP(B209,'116+240'!$B$14:$AB$682,21,FALSE)</f>
        <v>2842</v>
      </c>
      <c r="N209" s="81">
        <f>VLOOKUP(B209,'116+240'!$B$15:$AB$682,5,FALSE)</f>
        <v>-1239</v>
      </c>
      <c r="O209" s="80">
        <f t="shared" si="42"/>
        <v>3652</v>
      </c>
      <c r="P209" s="80">
        <f>VLOOKUP(B209,'116+240'!$B$15:$AB$682,14,FALSE)</f>
        <v>-348</v>
      </c>
      <c r="Q209" s="89">
        <f>'116+240'!R210</f>
        <v>7</v>
      </c>
      <c r="R209" s="83">
        <f t="shared" si="47"/>
        <v>268</v>
      </c>
      <c r="S209" s="82">
        <f>VLOOKUP(B209,'116+240'!$B$14:$AB$682,22,FALSE)</f>
        <v>2902</v>
      </c>
      <c r="T209" s="81">
        <f>VLOOKUP(B209,'116+240'!$B$15:$AB$682,6,FALSE)</f>
        <v>-1349</v>
      </c>
      <c r="U209" s="80">
        <f t="shared" si="43"/>
        <v>3762</v>
      </c>
      <c r="V209" s="79">
        <f>VLOOKUP(B209,'116+240'!$B$15:$AB$682,15,FALSE)</f>
        <v>-238</v>
      </c>
      <c r="W209" s="89">
        <f>'116+240'!S210</f>
        <v>8</v>
      </c>
      <c r="X209" s="83">
        <f t="shared" si="48"/>
        <v>208</v>
      </c>
      <c r="Y209" s="78">
        <f t="shared" si="49"/>
        <v>292</v>
      </c>
      <c r="Z209" s="77">
        <f t="shared" si="50"/>
        <v>0.29199999999999998</v>
      </c>
      <c r="AA209" s="76">
        <f t="shared" si="51"/>
        <v>3.0949999999999998</v>
      </c>
      <c r="AB209" s="76">
        <f t="shared" si="52"/>
        <v>2.6539999999999999</v>
      </c>
    </row>
    <row r="210" spans="2:28">
      <c r="B210" s="90">
        <f>'116+240'!B211</f>
        <v>45478</v>
      </c>
      <c r="C210" s="87">
        <f t="shared" si="44"/>
        <v>1</v>
      </c>
      <c r="D210" s="86">
        <f t="shared" si="45"/>
        <v>844</v>
      </c>
      <c r="E210" s="85">
        <f>VLOOKUP(B210,'116+240'!B211:AB244,3,FALSE)</f>
        <v>1571</v>
      </c>
      <c r="F210" s="81">
        <f t="shared" si="40"/>
        <v>2415</v>
      </c>
      <c r="G210" s="84">
        <f>VLOOKUP(B210,'116+240'!$B$15:$AB$682,20,FALSE)</f>
        <v>2572</v>
      </c>
      <c r="H210" s="84">
        <f>VLOOKUP(B210,'116+240'!$B$15:$AB$682,4,FALSE)</f>
        <v>-1087</v>
      </c>
      <c r="I210" s="80">
        <f t="shared" si="41"/>
        <v>3502</v>
      </c>
      <c r="J210" s="80">
        <f>VLOOKUP(B210,'116+240'!$B$15:$AB$682,13,FALSE)</f>
        <v>-498</v>
      </c>
      <c r="K210" s="89">
        <f>'116+240'!Q211</f>
        <v>10</v>
      </c>
      <c r="L210" s="83">
        <f t="shared" si="46"/>
        <v>538</v>
      </c>
      <c r="M210" s="82">
        <f>VLOOKUP(B210,'116+240'!$B$14:$AB$682,21,FALSE)</f>
        <v>2832</v>
      </c>
      <c r="N210" s="81">
        <f>VLOOKUP(B210,'116+240'!$B$15:$AB$682,5,FALSE)</f>
        <v>-1227</v>
      </c>
      <c r="O210" s="80">
        <f t="shared" si="42"/>
        <v>3642</v>
      </c>
      <c r="P210" s="80">
        <f>VLOOKUP(B210,'116+240'!$B$15:$AB$682,14,FALSE)</f>
        <v>-358</v>
      </c>
      <c r="Q210" s="89">
        <f>'116+240'!R211</f>
        <v>10</v>
      </c>
      <c r="R210" s="83">
        <f t="shared" si="47"/>
        <v>278</v>
      </c>
      <c r="S210" s="82">
        <f>VLOOKUP(B210,'116+240'!$B$14:$AB$682,22,FALSE)</f>
        <v>2892</v>
      </c>
      <c r="T210" s="81">
        <f>VLOOKUP(B210,'116+240'!$B$15:$AB$682,6,FALSE)</f>
        <v>-1337</v>
      </c>
      <c r="U210" s="80">
        <f t="shared" si="43"/>
        <v>3752</v>
      </c>
      <c r="V210" s="79">
        <f>VLOOKUP(B210,'116+240'!$B$15:$AB$682,15,FALSE)</f>
        <v>-248</v>
      </c>
      <c r="W210" s="89">
        <f>'116+240'!S211</f>
        <v>10</v>
      </c>
      <c r="X210" s="83">
        <f t="shared" si="48"/>
        <v>218</v>
      </c>
      <c r="Y210" s="78">
        <f t="shared" si="49"/>
        <v>-10</v>
      </c>
      <c r="Z210" s="77">
        <f t="shared" si="50"/>
        <v>0</v>
      </c>
      <c r="AA210" s="76">
        <f t="shared" si="51"/>
        <v>3.0949999999999998</v>
      </c>
      <c r="AB210" s="76">
        <f t="shared" si="52"/>
        <v>2.6339999999999999</v>
      </c>
    </row>
    <row r="211" spans="2:28">
      <c r="B211" s="90">
        <f>'116+240'!B212</f>
        <v>45479</v>
      </c>
      <c r="C211" s="87">
        <f t="shared" si="44"/>
        <v>1</v>
      </c>
      <c r="D211" s="86">
        <f t="shared" si="45"/>
        <v>844</v>
      </c>
      <c r="E211" s="85">
        <f>VLOOKUP(B211,'116+240'!B212:AB244,3,FALSE)</f>
        <v>1573</v>
      </c>
      <c r="F211" s="81">
        <f t="shared" si="40"/>
        <v>2417</v>
      </c>
      <c r="G211" s="84">
        <f>VLOOKUP(B211,'116+240'!$B$15:$AB$682,20,FALSE)</f>
        <v>2564</v>
      </c>
      <c r="H211" s="84">
        <f>VLOOKUP(B211,'116+240'!$B$15:$AB$682,4,FALSE)</f>
        <v>-1077</v>
      </c>
      <c r="I211" s="80">
        <f t="shared" si="41"/>
        <v>3494</v>
      </c>
      <c r="J211" s="80">
        <f>VLOOKUP(B211,'116+240'!$B$15:$AB$682,13,FALSE)</f>
        <v>-506</v>
      </c>
      <c r="K211" s="89">
        <f>'116+240'!Q212</f>
        <v>8</v>
      </c>
      <c r="L211" s="83">
        <f t="shared" si="46"/>
        <v>546</v>
      </c>
      <c r="M211" s="82">
        <f>VLOOKUP(B211,'116+240'!$B$14:$AB$682,21,FALSE)</f>
        <v>2825</v>
      </c>
      <c r="N211" s="81">
        <f>VLOOKUP(B211,'116+240'!$B$15:$AB$682,5,FALSE)</f>
        <v>-1218</v>
      </c>
      <c r="O211" s="80">
        <f t="shared" si="42"/>
        <v>3635</v>
      </c>
      <c r="P211" s="80">
        <f>VLOOKUP(B211,'116+240'!$B$15:$AB$682,14,FALSE)</f>
        <v>-365</v>
      </c>
      <c r="Q211" s="89">
        <f>'116+240'!R212</f>
        <v>7</v>
      </c>
      <c r="R211" s="83">
        <f t="shared" si="47"/>
        <v>285</v>
      </c>
      <c r="S211" s="82">
        <f>VLOOKUP(B211,'116+240'!$B$14:$AB$682,22,FALSE)</f>
        <v>2885</v>
      </c>
      <c r="T211" s="81">
        <f>VLOOKUP(B211,'116+240'!$B$15:$AB$682,6,FALSE)</f>
        <v>-1328</v>
      </c>
      <c r="U211" s="80">
        <f t="shared" si="43"/>
        <v>3745</v>
      </c>
      <c r="V211" s="79">
        <f>VLOOKUP(B211,'116+240'!$B$15:$AB$682,15,FALSE)</f>
        <v>-255</v>
      </c>
      <c r="W211" s="89">
        <f>'116+240'!S212</f>
        <v>7</v>
      </c>
      <c r="X211" s="83">
        <f t="shared" si="48"/>
        <v>225</v>
      </c>
      <c r="Y211" s="78">
        <f t="shared" si="49"/>
        <v>-7</v>
      </c>
      <c r="Z211" s="77">
        <f t="shared" si="50"/>
        <v>0</v>
      </c>
      <c r="AA211" s="76">
        <f t="shared" si="51"/>
        <v>3.0949999999999998</v>
      </c>
      <c r="AB211" s="76">
        <f t="shared" si="52"/>
        <v>2.62</v>
      </c>
    </row>
    <row r="212" spans="2:28">
      <c r="B212" s="90">
        <f>'116+240'!B213</f>
        <v>45480</v>
      </c>
      <c r="C212" s="87">
        <f t="shared" si="44"/>
        <v>1</v>
      </c>
      <c r="D212" s="86">
        <f t="shared" si="45"/>
        <v>844</v>
      </c>
      <c r="E212" s="85">
        <f>VLOOKUP(B212,'116+240'!B213:AB244,3,FALSE)</f>
        <v>1575</v>
      </c>
      <c r="F212" s="81">
        <f t="shared" si="40"/>
        <v>2419</v>
      </c>
      <c r="G212" s="84">
        <f>VLOOKUP(B212,'116+240'!$B$15:$AB$682,20,FALSE)</f>
        <v>2562</v>
      </c>
      <c r="H212" s="84">
        <f>VLOOKUP(B212,'116+240'!$B$15:$AB$682,4,FALSE)</f>
        <v>-1073</v>
      </c>
      <c r="I212" s="80">
        <f t="shared" si="41"/>
        <v>3492</v>
      </c>
      <c r="J212" s="80">
        <f>VLOOKUP(B212,'116+240'!$B$15:$AB$682,13,FALSE)</f>
        <v>-508</v>
      </c>
      <c r="K212" s="89">
        <f>'116+240'!Q213</f>
        <v>2</v>
      </c>
      <c r="L212" s="83">
        <f t="shared" si="46"/>
        <v>548</v>
      </c>
      <c r="M212" s="82">
        <f>VLOOKUP(B212,'116+240'!$B$14:$AB$682,21,FALSE)</f>
        <v>2818</v>
      </c>
      <c r="N212" s="81">
        <f>VLOOKUP(B212,'116+240'!$B$15:$AB$682,5,FALSE)</f>
        <v>-1209</v>
      </c>
      <c r="O212" s="80">
        <f t="shared" si="42"/>
        <v>3628</v>
      </c>
      <c r="P212" s="80">
        <f>VLOOKUP(B212,'116+240'!$B$15:$AB$682,14,FALSE)</f>
        <v>-372</v>
      </c>
      <c r="Q212" s="89">
        <f>'116+240'!R213</f>
        <v>7</v>
      </c>
      <c r="R212" s="83">
        <f t="shared" si="47"/>
        <v>292</v>
      </c>
      <c r="S212" s="82">
        <f>VLOOKUP(B212,'116+240'!$B$14:$AB$682,22,FALSE)</f>
        <v>2883</v>
      </c>
      <c r="T212" s="81">
        <f>VLOOKUP(B212,'116+240'!$B$15:$AB$682,6,FALSE)</f>
        <v>-1324</v>
      </c>
      <c r="U212" s="80">
        <f t="shared" si="43"/>
        <v>3743</v>
      </c>
      <c r="V212" s="79">
        <f>VLOOKUP(B212,'116+240'!$B$15:$AB$682,15,FALSE)</f>
        <v>-257</v>
      </c>
      <c r="W212" s="89">
        <f>'116+240'!S213</f>
        <v>2</v>
      </c>
      <c r="X212" s="83">
        <f t="shared" si="48"/>
        <v>227</v>
      </c>
      <c r="Y212" s="78">
        <f t="shared" si="49"/>
        <v>-2</v>
      </c>
      <c r="Z212" s="77">
        <f t="shared" si="50"/>
        <v>0</v>
      </c>
      <c r="AA212" s="76">
        <f t="shared" si="51"/>
        <v>3.0949999999999998</v>
      </c>
      <c r="AB212" s="76">
        <f t="shared" si="52"/>
        <v>2.6059999999999999</v>
      </c>
    </row>
    <row r="213" spans="2:28">
      <c r="B213" s="90">
        <f>'116+240'!B214</f>
        <v>45481</v>
      </c>
      <c r="C213" s="87">
        <f t="shared" si="44"/>
        <v>1</v>
      </c>
      <c r="D213" s="86">
        <f t="shared" si="45"/>
        <v>844</v>
      </c>
      <c r="E213" s="85">
        <f>VLOOKUP(B213,'116+240'!B214:AB244,3,FALSE)</f>
        <v>1577</v>
      </c>
      <c r="F213" s="81">
        <f t="shared" si="40"/>
        <v>2421</v>
      </c>
      <c r="G213" s="84">
        <f>VLOOKUP(B213,'116+240'!$B$15:$AB$682,20,FALSE)</f>
        <v>2560</v>
      </c>
      <c r="H213" s="84">
        <f>VLOOKUP(B213,'116+240'!$B$15:$AB$682,4,FALSE)</f>
        <v>-1069</v>
      </c>
      <c r="I213" s="80">
        <f t="shared" si="41"/>
        <v>3490</v>
      </c>
      <c r="J213" s="80">
        <f>VLOOKUP(B213,'116+240'!$B$15:$AB$682,13,FALSE)</f>
        <v>-510</v>
      </c>
      <c r="K213" s="89">
        <f>'116+240'!Q214</f>
        <v>2</v>
      </c>
      <c r="L213" s="83">
        <f t="shared" si="46"/>
        <v>550</v>
      </c>
      <c r="M213" s="82">
        <f>VLOOKUP(B213,'116+240'!$B$14:$AB$682,21,FALSE)</f>
        <v>2813</v>
      </c>
      <c r="N213" s="81">
        <f>VLOOKUP(B213,'116+240'!$B$15:$AB$682,5,FALSE)</f>
        <v>-1202</v>
      </c>
      <c r="O213" s="80">
        <f t="shared" si="42"/>
        <v>3623</v>
      </c>
      <c r="P213" s="80">
        <f>VLOOKUP(B213,'116+240'!$B$15:$AB$682,14,FALSE)</f>
        <v>-377</v>
      </c>
      <c r="Q213" s="89">
        <f>'116+240'!R214</f>
        <v>5</v>
      </c>
      <c r="R213" s="83">
        <f t="shared" si="47"/>
        <v>297</v>
      </c>
      <c r="S213" s="82">
        <f>VLOOKUP(B213,'116+240'!$B$14:$AB$682,22,FALSE)</f>
        <v>2881</v>
      </c>
      <c r="T213" s="81">
        <f>VLOOKUP(B213,'116+240'!$B$15:$AB$682,6,FALSE)</f>
        <v>-1320</v>
      </c>
      <c r="U213" s="80">
        <f t="shared" si="43"/>
        <v>3741</v>
      </c>
      <c r="V213" s="79">
        <f>VLOOKUP(B213,'116+240'!$B$15:$AB$682,15,FALSE)</f>
        <v>-259</v>
      </c>
      <c r="W213" s="89">
        <f>'116+240'!S214</f>
        <v>2</v>
      </c>
      <c r="X213" s="83">
        <f t="shared" si="48"/>
        <v>229</v>
      </c>
      <c r="Y213" s="78">
        <f t="shared" si="49"/>
        <v>-2</v>
      </c>
      <c r="Z213" s="77">
        <f t="shared" si="50"/>
        <v>0</v>
      </c>
      <c r="AA213" s="76">
        <f t="shared" si="51"/>
        <v>3.0949999999999998</v>
      </c>
      <c r="AB213" s="76">
        <f t="shared" si="52"/>
        <v>2.5960000000000001</v>
      </c>
    </row>
    <row r="214" spans="2:28">
      <c r="B214" s="90">
        <f>'116+240'!B215</f>
        <v>45482</v>
      </c>
      <c r="C214" s="87">
        <f t="shared" si="44"/>
        <v>1</v>
      </c>
      <c r="D214" s="86">
        <f t="shared" si="45"/>
        <v>844</v>
      </c>
      <c r="E214" s="85">
        <f>VLOOKUP(B214,'116+240'!B215:AB244,3,FALSE)</f>
        <v>1579</v>
      </c>
      <c r="F214" s="81">
        <f t="shared" si="40"/>
        <v>2423</v>
      </c>
      <c r="G214" s="84">
        <f>VLOOKUP(B214,'116+240'!$B$15:$AB$682,20,FALSE)</f>
        <v>2850</v>
      </c>
      <c r="H214" s="84">
        <f>VLOOKUP(B214,'116+240'!$B$15:$AB$682,4,FALSE)</f>
        <v>-1057</v>
      </c>
      <c r="I214" s="80">
        <f t="shared" si="41"/>
        <v>3480</v>
      </c>
      <c r="J214" s="80">
        <f>VLOOKUP(B214,'116+240'!$B$15:$AB$682,13,FALSE)</f>
        <v>-520</v>
      </c>
      <c r="K214" s="89">
        <f>'116+240'!Q215</f>
        <v>10</v>
      </c>
      <c r="L214" s="83">
        <f t="shared" si="46"/>
        <v>560</v>
      </c>
      <c r="M214" s="82">
        <f>VLOOKUP(B214,'116+240'!$B$14:$AB$682,21,FALSE)</f>
        <v>3103</v>
      </c>
      <c r="N214" s="81">
        <f>VLOOKUP(B214,'116+240'!$B$15:$AB$682,5,FALSE)</f>
        <v>-1190</v>
      </c>
      <c r="O214" s="80">
        <f t="shared" si="42"/>
        <v>3613</v>
      </c>
      <c r="P214" s="80">
        <f>VLOOKUP(B214,'116+240'!$B$15:$AB$682,14,FALSE)</f>
        <v>-387</v>
      </c>
      <c r="Q214" s="89">
        <f>'116+240'!R215</f>
        <v>10</v>
      </c>
      <c r="R214" s="83">
        <f t="shared" si="47"/>
        <v>307</v>
      </c>
      <c r="S214" s="82">
        <f>VLOOKUP(B214,'116+240'!$B$14:$AB$682,22,FALSE)</f>
        <v>3171</v>
      </c>
      <c r="T214" s="81">
        <f>VLOOKUP(B214,'116+240'!$B$15:$AB$682,6,FALSE)</f>
        <v>-1308</v>
      </c>
      <c r="U214" s="80">
        <f t="shared" si="43"/>
        <v>3731</v>
      </c>
      <c r="V214" s="79">
        <f>VLOOKUP(B214,'116+240'!$B$15:$AB$682,15,FALSE)</f>
        <v>-269</v>
      </c>
      <c r="W214" s="89">
        <f>'116+240'!S215</f>
        <v>10</v>
      </c>
      <c r="X214" s="83">
        <f t="shared" si="48"/>
        <v>239</v>
      </c>
      <c r="Y214" s="78">
        <f t="shared" si="49"/>
        <v>290</v>
      </c>
      <c r="Z214" s="77">
        <f t="shared" si="50"/>
        <v>0.28999999999999998</v>
      </c>
      <c r="AA214" s="76">
        <f t="shared" si="51"/>
        <v>3.3849999999999998</v>
      </c>
      <c r="AB214" s="76">
        <f t="shared" si="52"/>
        <v>2.8759999999999999</v>
      </c>
    </row>
    <row r="215" spans="2:28">
      <c r="B215" s="90">
        <f>'116+240'!B216</f>
        <v>45483</v>
      </c>
      <c r="C215" s="87">
        <f t="shared" si="44"/>
        <v>1</v>
      </c>
      <c r="D215" s="86">
        <f t="shared" si="45"/>
        <v>844</v>
      </c>
      <c r="E215" s="85">
        <f>VLOOKUP(B215,'116+240'!B216:AB244,3,FALSE)</f>
        <v>1581</v>
      </c>
      <c r="F215" s="81">
        <f t="shared" si="40"/>
        <v>2425</v>
      </c>
      <c r="G215" s="84">
        <f>VLOOKUP(B215,'116+240'!$B$15:$AB$682,20,FALSE)</f>
        <v>2848</v>
      </c>
      <c r="H215" s="84">
        <f>VLOOKUP(B215,'116+240'!$B$15:$AB$682,4,FALSE)</f>
        <v>-1053</v>
      </c>
      <c r="I215" s="80">
        <f t="shared" si="41"/>
        <v>3478</v>
      </c>
      <c r="J215" s="80">
        <f>VLOOKUP(B215,'116+240'!$B$15:$AB$682,13,FALSE)</f>
        <v>-522</v>
      </c>
      <c r="K215" s="89">
        <f>'116+240'!Q216</f>
        <v>2</v>
      </c>
      <c r="L215" s="83">
        <f t="shared" si="46"/>
        <v>562</v>
      </c>
      <c r="M215" s="82">
        <f>VLOOKUP(B215,'116+240'!$B$14:$AB$682,21,FALSE)</f>
        <v>3099</v>
      </c>
      <c r="N215" s="81">
        <f>VLOOKUP(B215,'116+240'!$B$15:$AB$682,5,FALSE)</f>
        <v>-1184</v>
      </c>
      <c r="O215" s="80">
        <f t="shared" si="42"/>
        <v>3609</v>
      </c>
      <c r="P215" s="80">
        <f>VLOOKUP(B215,'116+240'!$B$15:$AB$682,14,FALSE)</f>
        <v>-391</v>
      </c>
      <c r="Q215" s="89">
        <f>'116+240'!R216</f>
        <v>4</v>
      </c>
      <c r="R215" s="83">
        <f t="shared" si="47"/>
        <v>311</v>
      </c>
      <c r="S215" s="82">
        <f>VLOOKUP(B215,'116+240'!$B$14:$AB$682,22,FALSE)</f>
        <v>3170</v>
      </c>
      <c r="T215" s="81">
        <f>VLOOKUP(B215,'116+240'!$B$15:$AB$682,6,FALSE)</f>
        <v>-1305</v>
      </c>
      <c r="U215" s="80">
        <f t="shared" si="43"/>
        <v>3730</v>
      </c>
      <c r="V215" s="79">
        <f>VLOOKUP(B215,'116+240'!$B$15:$AB$682,15,FALSE)</f>
        <v>-270</v>
      </c>
      <c r="W215" s="89">
        <f>'116+240'!S216</f>
        <v>1</v>
      </c>
      <c r="X215" s="83">
        <f t="shared" si="48"/>
        <v>240</v>
      </c>
      <c r="Y215" s="78">
        <f t="shared" si="49"/>
        <v>-1</v>
      </c>
      <c r="Z215" s="77">
        <f t="shared" si="50"/>
        <v>0</v>
      </c>
      <c r="AA215" s="76">
        <f t="shared" si="51"/>
        <v>3.3849999999999998</v>
      </c>
      <c r="AB215" s="76">
        <f t="shared" si="52"/>
        <v>2.8679999999999999</v>
      </c>
    </row>
    <row r="216" spans="2:28">
      <c r="B216" s="90">
        <f>'116+240'!B217</f>
        <v>45484</v>
      </c>
      <c r="C216" s="87">
        <f t="shared" si="44"/>
        <v>1</v>
      </c>
      <c r="D216" s="86">
        <f t="shared" si="45"/>
        <v>844</v>
      </c>
      <c r="E216" s="85">
        <f>VLOOKUP(B216,'116+240'!B217:AB244,3,FALSE)</f>
        <v>1583</v>
      </c>
      <c r="F216" s="81">
        <f t="shared" si="40"/>
        <v>2427</v>
      </c>
      <c r="G216" s="84">
        <f>VLOOKUP(B216,'116+240'!$B$15:$AB$682,20,FALSE)</f>
        <v>2846</v>
      </c>
      <c r="H216" s="84">
        <f>VLOOKUP(B216,'116+240'!$B$15:$AB$682,4,FALSE)</f>
        <v>-1049</v>
      </c>
      <c r="I216" s="80">
        <f t="shared" si="41"/>
        <v>3476</v>
      </c>
      <c r="J216" s="80">
        <f>VLOOKUP(B216,'116+240'!$B$15:$AB$682,13,FALSE)</f>
        <v>-524</v>
      </c>
      <c r="K216" s="89">
        <f>'116+240'!Q217</f>
        <v>2</v>
      </c>
      <c r="L216" s="83">
        <f t="shared" si="46"/>
        <v>564</v>
      </c>
      <c r="M216" s="82">
        <f>VLOOKUP(B216,'116+240'!$B$14:$AB$682,21,FALSE)</f>
        <v>3096</v>
      </c>
      <c r="N216" s="81">
        <f>VLOOKUP(B216,'116+240'!$B$15:$AB$682,5,FALSE)</f>
        <v>-1179</v>
      </c>
      <c r="O216" s="80">
        <f t="shared" si="42"/>
        <v>3606</v>
      </c>
      <c r="P216" s="80">
        <f>VLOOKUP(B216,'116+240'!$B$15:$AB$682,14,FALSE)</f>
        <v>-394</v>
      </c>
      <c r="Q216" s="89">
        <f>'116+240'!R217</f>
        <v>3</v>
      </c>
      <c r="R216" s="83">
        <f t="shared" si="47"/>
        <v>314</v>
      </c>
      <c r="S216" s="82">
        <f>VLOOKUP(B216,'116+240'!$B$14:$AB$682,22,FALSE)</f>
        <v>3168</v>
      </c>
      <c r="T216" s="81">
        <f>VLOOKUP(B216,'116+240'!$B$15:$AB$682,6,FALSE)</f>
        <v>-1301</v>
      </c>
      <c r="U216" s="80">
        <f t="shared" si="43"/>
        <v>3728</v>
      </c>
      <c r="V216" s="79">
        <f>VLOOKUP(B216,'116+240'!$B$15:$AB$682,15,FALSE)</f>
        <v>-272</v>
      </c>
      <c r="W216" s="89">
        <f>'116+240'!S217</f>
        <v>2</v>
      </c>
      <c r="X216" s="83">
        <f t="shared" si="48"/>
        <v>242</v>
      </c>
      <c r="Y216" s="78">
        <f t="shared" si="49"/>
        <v>-2</v>
      </c>
      <c r="Z216" s="77">
        <f t="shared" si="50"/>
        <v>0</v>
      </c>
      <c r="AA216" s="76">
        <f t="shared" si="51"/>
        <v>3.3849999999999998</v>
      </c>
      <c r="AB216" s="76">
        <f t="shared" si="52"/>
        <v>2.8620000000000001</v>
      </c>
    </row>
    <row r="217" spans="2:28">
      <c r="B217" s="90">
        <f>'116+240'!B218</f>
        <v>45485</v>
      </c>
      <c r="C217" s="87">
        <f t="shared" si="44"/>
        <v>1</v>
      </c>
      <c r="D217" s="86">
        <f t="shared" si="45"/>
        <v>844</v>
      </c>
      <c r="E217" s="85">
        <f>VLOOKUP(B217,'116+240'!B218:AB244,3,FALSE)</f>
        <v>1585</v>
      </c>
      <c r="F217" s="81">
        <f t="shared" si="40"/>
        <v>2429</v>
      </c>
      <c r="G217" s="84">
        <f>VLOOKUP(B217,'116+240'!$B$15:$AB$682,20,FALSE)</f>
        <v>2843</v>
      </c>
      <c r="H217" s="84">
        <f>VLOOKUP(B217,'116+240'!$B$15:$AB$682,4,FALSE)</f>
        <v>-1044</v>
      </c>
      <c r="I217" s="80">
        <f t="shared" si="41"/>
        <v>3473</v>
      </c>
      <c r="J217" s="80">
        <f>VLOOKUP(B217,'116+240'!$B$15:$AB$682,13,FALSE)</f>
        <v>-527</v>
      </c>
      <c r="K217" s="89">
        <f>'116+240'!Q218</f>
        <v>3</v>
      </c>
      <c r="L217" s="83">
        <f t="shared" si="46"/>
        <v>567</v>
      </c>
      <c r="M217" s="82">
        <f>VLOOKUP(B217,'116+240'!$B$14:$AB$682,21,FALSE)</f>
        <v>3094</v>
      </c>
      <c r="N217" s="81">
        <f>VLOOKUP(B217,'116+240'!$B$15:$AB$682,5,FALSE)</f>
        <v>-1175</v>
      </c>
      <c r="O217" s="80">
        <f t="shared" si="42"/>
        <v>3604</v>
      </c>
      <c r="P217" s="80">
        <f>VLOOKUP(B217,'116+240'!$B$15:$AB$682,14,FALSE)</f>
        <v>-396</v>
      </c>
      <c r="Q217" s="89">
        <f>'116+240'!R218</f>
        <v>2</v>
      </c>
      <c r="R217" s="83">
        <f t="shared" si="47"/>
        <v>316</v>
      </c>
      <c r="S217" s="82">
        <f>VLOOKUP(B217,'116+240'!$B$14:$AB$682,22,FALSE)</f>
        <v>3167</v>
      </c>
      <c r="T217" s="81">
        <f>VLOOKUP(B217,'116+240'!$B$15:$AB$682,6,FALSE)</f>
        <v>-1298</v>
      </c>
      <c r="U217" s="80">
        <f t="shared" si="43"/>
        <v>3727</v>
      </c>
      <c r="V217" s="79">
        <f>VLOOKUP(B217,'116+240'!$B$15:$AB$682,15,FALSE)</f>
        <v>-273</v>
      </c>
      <c r="W217" s="89">
        <f>'116+240'!S218</f>
        <v>1</v>
      </c>
      <c r="X217" s="83">
        <f t="shared" si="48"/>
        <v>243</v>
      </c>
      <c r="Y217" s="78">
        <f t="shared" si="49"/>
        <v>-1</v>
      </c>
      <c r="Z217" s="77">
        <f t="shared" si="50"/>
        <v>0</v>
      </c>
      <c r="AA217" s="76">
        <f t="shared" si="51"/>
        <v>3.3849999999999998</v>
      </c>
      <c r="AB217" s="76">
        <f t="shared" si="52"/>
        <v>2.8580000000000001</v>
      </c>
    </row>
    <row r="218" spans="2:28">
      <c r="B218" s="90">
        <f>'116+240'!B219</f>
        <v>45486</v>
      </c>
      <c r="C218" s="87">
        <f t="shared" si="44"/>
        <v>1</v>
      </c>
      <c r="D218" s="86">
        <f t="shared" si="45"/>
        <v>844</v>
      </c>
      <c r="E218" s="85">
        <f>VLOOKUP(B218,'116+240'!B219:AB244,3,FALSE)</f>
        <v>1587</v>
      </c>
      <c r="F218" s="81">
        <f t="shared" si="40"/>
        <v>2431</v>
      </c>
      <c r="G218" s="84">
        <f>VLOOKUP(B218,'116+240'!$B$15:$AB$682,20,FALSE)</f>
        <v>2841</v>
      </c>
      <c r="H218" s="84">
        <f>VLOOKUP(B218,'116+240'!$B$15:$AB$682,4,FALSE)</f>
        <v>-1040</v>
      </c>
      <c r="I218" s="80">
        <f t="shared" si="41"/>
        <v>3471</v>
      </c>
      <c r="J218" s="80">
        <f>VLOOKUP(B218,'116+240'!$B$15:$AB$682,13,FALSE)</f>
        <v>-529</v>
      </c>
      <c r="K218" s="89">
        <f>'116+240'!Q219</f>
        <v>2</v>
      </c>
      <c r="L218" s="83">
        <f t="shared" si="46"/>
        <v>569</v>
      </c>
      <c r="M218" s="82">
        <f>VLOOKUP(B218,'116+240'!$B$14:$AB$682,21,FALSE)</f>
        <v>3090</v>
      </c>
      <c r="N218" s="81">
        <f>VLOOKUP(B218,'116+240'!$B$15:$AB$682,5,FALSE)</f>
        <v>-1169</v>
      </c>
      <c r="O218" s="80">
        <f t="shared" si="42"/>
        <v>3600</v>
      </c>
      <c r="P218" s="80">
        <f>VLOOKUP(B218,'116+240'!$B$15:$AB$682,14,FALSE)</f>
        <v>-400</v>
      </c>
      <c r="Q218" s="89">
        <f>'116+240'!R219</f>
        <v>4</v>
      </c>
      <c r="R218" s="83">
        <f t="shared" si="47"/>
        <v>320</v>
      </c>
      <c r="S218" s="82">
        <f>VLOOKUP(B218,'116+240'!$B$14:$AB$682,22,FALSE)</f>
        <v>3165</v>
      </c>
      <c r="T218" s="81">
        <f>VLOOKUP(B218,'116+240'!$B$15:$AB$682,6,FALSE)</f>
        <v>-1294</v>
      </c>
      <c r="U218" s="80">
        <f t="shared" si="43"/>
        <v>3725</v>
      </c>
      <c r="V218" s="79">
        <f>VLOOKUP(B218,'116+240'!$B$15:$AB$682,15,FALSE)</f>
        <v>-275</v>
      </c>
      <c r="W218" s="89">
        <f>'116+240'!S219</f>
        <v>2</v>
      </c>
      <c r="X218" s="83">
        <f t="shared" si="48"/>
        <v>245</v>
      </c>
      <c r="Y218" s="78">
        <f t="shared" si="49"/>
        <v>-2</v>
      </c>
      <c r="Z218" s="77">
        <f t="shared" si="50"/>
        <v>0</v>
      </c>
      <c r="AA218" s="76">
        <f t="shared" si="51"/>
        <v>3.3849999999999998</v>
      </c>
      <c r="AB218" s="76">
        <f t="shared" si="52"/>
        <v>2.85</v>
      </c>
    </row>
    <row r="219" spans="2:28">
      <c r="B219" s="90">
        <f>'116+240'!B220</f>
        <v>45487</v>
      </c>
      <c r="C219" s="87">
        <f t="shared" si="44"/>
        <v>1</v>
      </c>
      <c r="D219" s="86">
        <f t="shared" si="45"/>
        <v>844</v>
      </c>
      <c r="E219" s="85">
        <f>VLOOKUP(B219,'116+240'!B220:AB244,3,FALSE)</f>
        <v>1589</v>
      </c>
      <c r="F219" s="81">
        <f t="shared" si="40"/>
        <v>2433</v>
      </c>
      <c r="G219" s="84">
        <f>VLOOKUP(B219,'116+240'!$B$15:$AB$682,20,FALSE)</f>
        <v>2840</v>
      </c>
      <c r="H219" s="84">
        <f>VLOOKUP(B219,'116+240'!$B$15:$AB$682,4,FALSE)</f>
        <v>-1037</v>
      </c>
      <c r="I219" s="80">
        <f t="shared" si="41"/>
        <v>3470</v>
      </c>
      <c r="J219" s="80">
        <f>VLOOKUP(B219,'116+240'!$B$15:$AB$682,13,FALSE)</f>
        <v>-530</v>
      </c>
      <c r="K219" s="89">
        <f>'116+240'!Q220</f>
        <v>1</v>
      </c>
      <c r="L219" s="83">
        <f t="shared" si="46"/>
        <v>570</v>
      </c>
      <c r="M219" s="82">
        <f>VLOOKUP(B219,'116+240'!$B$14:$AB$682,21,FALSE)</f>
        <v>3087</v>
      </c>
      <c r="N219" s="81">
        <f>VLOOKUP(B219,'116+240'!$B$15:$AB$682,5,FALSE)</f>
        <v>-1164</v>
      </c>
      <c r="O219" s="80">
        <f t="shared" si="42"/>
        <v>3597</v>
      </c>
      <c r="P219" s="80">
        <f>VLOOKUP(B219,'116+240'!$B$15:$AB$682,14,FALSE)</f>
        <v>-403</v>
      </c>
      <c r="Q219" s="89">
        <f>'116+240'!R220</f>
        <v>3</v>
      </c>
      <c r="R219" s="83">
        <f t="shared" si="47"/>
        <v>323</v>
      </c>
      <c r="S219" s="82">
        <f>VLOOKUP(B219,'116+240'!$B$14:$AB$682,22,FALSE)</f>
        <v>3164</v>
      </c>
      <c r="T219" s="81">
        <f>VLOOKUP(B219,'116+240'!$B$15:$AB$682,6,FALSE)</f>
        <v>-1291</v>
      </c>
      <c r="U219" s="80">
        <f t="shared" si="43"/>
        <v>3724</v>
      </c>
      <c r="V219" s="79">
        <f>VLOOKUP(B219,'116+240'!$B$15:$AB$682,15,FALSE)</f>
        <v>-276</v>
      </c>
      <c r="W219" s="89">
        <f>'116+240'!S220</f>
        <v>1</v>
      </c>
      <c r="X219" s="83">
        <f t="shared" si="48"/>
        <v>246</v>
      </c>
      <c r="Y219" s="78">
        <f t="shared" si="49"/>
        <v>-1</v>
      </c>
      <c r="Z219" s="77">
        <f t="shared" si="50"/>
        <v>0</v>
      </c>
      <c r="AA219" s="76">
        <f t="shared" si="51"/>
        <v>3.3849999999999998</v>
      </c>
      <c r="AB219" s="76">
        <f t="shared" si="52"/>
        <v>2.8439999999999999</v>
      </c>
    </row>
    <row r="220" spans="2:28">
      <c r="B220" s="90">
        <f>'116+240'!B221</f>
        <v>45488</v>
      </c>
      <c r="C220" s="87">
        <f t="shared" si="44"/>
        <v>1</v>
      </c>
      <c r="D220" s="86">
        <f t="shared" si="45"/>
        <v>844</v>
      </c>
      <c r="E220" s="85">
        <f>VLOOKUP(B220,'116+240'!B221:AB244,3,FALSE)</f>
        <v>1591</v>
      </c>
      <c r="F220" s="81">
        <f t="shared" si="40"/>
        <v>2435</v>
      </c>
      <c r="G220" s="84">
        <f>VLOOKUP(B220,'116+240'!$B$15:$AB$682,20,FALSE)</f>
        <v>2838</v>
      </c>
      <c r="H220" s="84">
        <f>VLOOKUP(B220,'116+240'!$B$15:$AB$682,4,FALSE)</f>
        <v>-1033</v>
      </c>
      <c r="I220" s="80">
        <f t="shared" si="41"/>
        <v>3468</v>
      </c>
      <c r="J220" s="80">
        <f>VLOOKUP(B220,'116+240'!$B$15:$AB$682,13,FALSE)</f>
        <v>-532</v>
      </c>
      <c r="K220" s="89">
        <f>'116+240'!Q221</f>
        <v>2</v>
      </c>
      <c r="L220" s="83">
        <f t="shared" si="46"/>
        <v>572</v>
      </c>
      <c r="M220" s="82">
        <f>VLOOKUP(B220,'116+240'!$B$14:$AB$682,21,FALSE)</f>
        <v>3085</v>
      </c>
      <c r="N220" s="81">
        <f>VLOOKUP(B220,'116+240'!$B$15:$AB$682,5,FALSE)</f>
        <v>-1160</v>
      </c>
      <c r="O220" s="80">
        <f t="shared" si="42"/>
        <v>3595</v>
      </c>
      <c r="P220" s="80">
        <f>VLOOKUP(B220,'116+240'!$B$15:$AB$682,14,FALSE)</f>
        <v>-405</v>
      </c>
      <c r="Q220" s="89">
        <f>'116+240'!R221</f>
        <v>2</v>
      </c>
      <c r="R220" s="83">
        <f t="shared" si="47"/>
        <v>325</v>
      </c>
      <c r="S220" s="82">
        <f>VLOOKUP(B220,'116+240'!$B$14:$AB$682,22,FALSE)</f>
        <v>3163</v>
      </c>
      <c r="T220" s="81">
        <f>VLOOKUP(B220,'116+240'!$B$15:$AB$682,6,FALSE)</f>
        <v>-1288</v>
      </c>
      <c r="U220" s="80">
        <f t="shared" si="43"/>
        <v>3723</v>
      </c>
      <c r="V220" s="79">
        <f>VLOOKUP(B220,'116+240'!$B$15:$AB$682,15,FALSE)</f>
        <v>-277</v>
      </c>
      <c r="W220" s="89">
        <f>'116+240'!S221</f>
        <v>1</v>
      </c>
      <c r="X220" s="83">
        <f t="shared" si="48"/>
        <v>247</v>
      </c>
      <c r="Y220" s="78">
        <f t="shared" si="49"/>
        <v>-1</v>
      </c>
      <c r="Z220" s="77">
        <f t="shared" si="50"/>
        <v>0</v>
      </c>
      <c r="AA220" s="76">
        <f t="shared" si="51"/>
        <v>3.3849999999999998</v>
      </c>
      <c r="AB220" s="76">
        <f t="shared" si="52"/>
        <v>2.84</v>
      </c>
    </row>
    <row r="221" spans="2:28">
      <c r="B221" s="90">
        <f>'116+240'!B222</f>
        <v>45489</v>
      </c>
      <c r="C221" s="87">
        <f t="shared" si="44"/>
        <v>1</v>
      </c>
      <c r="D221" s="86">
        <f t="shared" si="45"/>
        <v>844</v>
      </c>
      <c r="E221" s="85">
        <f>VLOOKUP(B221,'116+240'!B222:AB244,3,FALSE)</f>
        <v>1593</v>
      </c>
      <c r="F221" s="81">
        <f t="shared" si="40"/>
        <v>2437</v>
      </c>
      <c r="G221" s="84">
        <f>VLOOKUP(B221,'116+240'!$B$15:$AB$682,20,FALSE)</f>
        <v>2836</v>
      </c>
      <c r="H221" s="84">
        <f>VLOOKUP(B221,'116+240'!$B$15:$AB$682,4,FALSE)</f>
        <v>-1029</v>
      </c>
      <c r="I221" s="80">
        <f t="shared" si="41"/>
        <v>3466</v>
      </c>
      <c r="J221" s="80">
        <f>VLOOKUP(B221,'116+240'!$B$15:$AB$682,13,FALSE)</f>
        <v>-534</v>
      </c>
      <c r="K221" s="89">
        <f>'116+240'!Q222</f>
        <v>2</v>
      </c>
      <c r="L221" s="83">
        <f t="shared" si="46"/>
        <v>574</v>
      </c>
      <c r="M221" s="82">
        <f>VLOOKUP(B221,'116+240'!$B$14:$AB$682,21,FALSE)</f>
        <v>3080</v>
      </c>
      <c r="N221" s="81">
        <f>VLOOKUP(B221,'116+240'!$B$15:$AB$682,5,FALSE)</f>
        <v>-1153</v>
      </c>
      <c r="O221" s="80">
        <f t="shared" si="42"/>
        <v>3590</v>
      </c>
      <c r="P221" s="80">
        <f>VLOOKUP(B221,'116+240'!$B$15:$AB$682,14,FALSE)</f>
        <v>-410</v>
      </c>
      <c r="Q221" s="89">
        <f>'116+240'!R222</f>
        <v>5</v>
      </c>
      <c r="R221" s="83">
        <f t="shared" si="47"/>
        <v>330</v>
      </c>
      <c r="S221" s="82">
        <f>VLOOKUP(B221,'116+240'!$B$14:$AB$682,22,FALSE)</f>
        <v>3161</v>
      </c>
      <c r="T221" s="81">
        <f>VLOOKUP(B221,'116+240'!$B$15:$AB$682,6,FALSE)</f>
        <v>-1284</v>
      </c>
      <c r="U221" s="80">
        <f t="shared" si="43"/>
        <v>3721</v>
      </c>
      <c r="V221" s="79">
        <f>VLOOKUP(B221,'116+240'!$B$15:$AB$682,15,FALSE)</f>
        <v>-279</v>
      </c>
      <c r="W221" s="89">
        <f>'116+240'!S222</f>
        <v>2</v>
      </c>
      <c r="X221" s="83">
        <f t="shared" si="48"/>
        <v>249</v>
      </c>
      <c r="Y221" s="78">
        <f t="shared" si="49"/>
        <v>-2</v>
      </c>
      <c r="Z221" s="77">
        <f t="shared" si="50"/>
        <v>0</v>
      </c>
      <c r="AA221" s="76">
        <f t="shared" si="51"/>
        <v>3.3849999999999998</v>
      </c>
      <c r="AB221" s="76">
        <f t="shared" si="52"/>
        <v>2.83</v>
      </c>
    </row>
    <row r="222" spans="2:28">
      <c r="B222" s="90">
        <f>'116+240'!B223</f>
        <v>45490</v>
      </c>
      <c r="C222" s="87">
        <f t="shared" si="44"/>
        <v>1</v>
      </c>
      <c r="D222" s="86">
        <f t="shared" si="45"/>
        <v>844</v>
      </c>
      <c r="E222" s="85">
        <f>VLOOKUP(B222,'116+240'!B223:AB244,3,FALSE)</f>
        <v>1595</v>
      </c>
      <c r="F222" s="81">
        <f t="shared" si="40"/>
        <v>2439</v>
      </c>
      <c r="G222" s="84">
        <f>VLOOKUP(B222,'116+240'!$B$15:$AB$682,20,FALSE)</f>
        <v>2834</v>
      </c>
      <c r="H222" s="84">
        <f>VLOOKUP(B222,'116+240'!$B$15:$AB$682,4,FALSE)</f>
        <v>-1025</v>
      </c>
      <c r="I222" s="80">
        <f t="shared" si="41"/>
        <v>3464</v>
      </c>
      <c r="J222" s="80">
        <f>VLOOKUP(B222,'116+240'!$B$15:$AB$682,13,FALSE)</f>
        <v>-536</v>
      </c>
      <c r="K222" s="89">
        <f>'116+240'!Q223</f>
        <v>2</v>
      </c>
      <c r="L222" s="83">
        <f t="shared" si="46"/>
        <v>576</v>
      </c>
      <c r="M222" s="82">
        <f>VLOOKUP(B222,'116+240'!$B$14:$AB$682,21,FALSE)</f>
        <v>3075</v>
      </c>
      <c r="N222" s="81">
        <f>VLOOKUP(B222,'116+240'!$B$15:$AB$682,5,FALSE)</f>
        <v>-1146</v>
      </c>
      <c r="O222" s="80">
        <f t="shared" si="42"/>
        <v>3585</v>
      </c>
      <c r="P222" s="80">
        <f>VLOOKUP(B222,'116+240'!$B$15:$AB$682,14,FALSE)</f>
        <v>-415</v>
      </c>
      <c r="Q222" s="89">
        <f>'116+240'!R223</f>
        <v>5</v>
      </c>
      <c r="R222" s="83">
        <f t="shared" si="47"/>
        <v>335</v>
      </c>
      <c r="S222" s="82">
        <f>VLOOKUP(B222,'116+240'!$B$14:$AB$682,22,FALSE)</f>
        <v>3159</v>
      </c>
      <c r="T222" s="81">
        <f>VLOOKUP(B222,'116+240'!$B$15:$AB$682,6,FALSE)</f>
        <v>-1280</v>
      </c>
      <c r="U222" s="80">
        <f t="shared" si="43"/>
        <v>3719</v>
      </c>
      <c r="V222" s="79">
        <f>VLOOKUP(B222,'116+240'!$B$15:$AB$682,15,FALSE)</f>
        <v>-281</v>
      </c>
      <c r="W222" s="89">
        <f>'116+240'!S223</f>
        <v>2</v>
      </c>
      <c r="X222" s="83">
        <f t="shared" si="48"/>
        <v>251</v>
      </c>
      <c r="Y222" s="78">
        <f t="shared" si="49"/>
        <v>-2</v>
      </c>
      <c r="Z222" s="77">
        <f t="shared" si="50"/>
        <v>0</v>
      </c>
      <c r="AA222" s="76">
        <f t="shared" si="51"/>
        <v>3.3849999999999998</v>
      </c>
      <c r="AB222" s="76">
        <f t="shared" si="52"/>
        <v>2.82</v>
      </c>
    </row>
    <row r="223" spans="2:28">
      <c r="B223" s="90">
        <f>'116+240'!B224</f>
        <v>45491</v>
      </c>
      <c r="C223" s="87">
        <f t="shared" si="44"/>
        <v>1</v>
      </c>
      <c r="D223" s="86">
        <f t="shared" si="45"/>
        <v>844</v>
      </c>
      <c r="E223" s="85">
        <f>VLOOKUP(B223,'116+240'!B224:AB244,3,FALSE)</f>
        <v>1597</v>
      </c>
      <c r="F223" s="81">
        <f t="shared" si="40"/>
        <v>2441</v>
      </c>
      <c r="G223" s="84">
        <f>VLOOKUP(B223,'116+240'!$B$15:$AB$682,20,FALSE)</f>
        <v>2832</v>
      </c>
      <c r="H223" s="84">
        <f>VLOOKUP(B223,'116+240'!$B$15:$AB$682,4,FALSE)</f>
        <v>-1021</v>
      </c>
      <c r="I223" s="80">
        <f t="shared" si="41"/>
        <v>3462</v>
      </c>
      <c r="J223" s="80">
        <f>VLOOKUP(B223,'116+240'!$B$15:$AB$682,13,FALSE)</f>
        <v>-538</v>
      </c>
      <c r="K223" s="89">
        <f>'116+240'!Q224</f>
        <v>2</v>
      </c>
      <c r="L223" s="83">
        <f t="shared" si="46"/>
        <v>578</v>
      </c>
      <c r="M223" s="82">
        <f>VLOOKUP(B223,'116+240'!$B$14:$AB$682,21,FALSE)</f>
        <v>3071</v>
      </c>
      <c r="N223" s="81">
        <f>VLOOKUP(B223,'116+240'!$B$15:$AB$682,5,FALSE)</f>
        <v>-1140</v>
      </c>
      <c r="O223" s="80">
        <f t="shared" si="42"/>
        <v>3581</v>
      </c>
      <c r="P223" s="80">
        <f>VLOOKUP(B223,'116+240'!$B$15:$AB$682,14,FALSE)</f>
        <v>-419</v>
      </c>
      <c r="Q223" s="89">
        <f>'116+240'!R224</f>
        <v>4</v>
      </c>
      <c r="R223" s="83">
        <f t="shared" si="47"/>
        <v>339</v>
      </c>
      <c r="S223" s="82">
        <f>VLOOKUP(B223,'116+240'!$B$14:$AB$682,22,FALSE)</f>
        <v>3157</v>
      </c>
      <c r="T223" s="81">
        <f>VLOOKUP(B223,'116+240'!$B$15:$AB$682,6,FALSE)</f>
        <v>-1276</v>
      </c>
      <c r="U223" s="80">
        <f t="shared" si="43"/>
        <v>3717</v>
      </c>
      <c r="V223" s="79">
        <f>VLOOKUP(B223,'116+240'!$B$15:$AB$682,15,FALSE)</f>
        <v>-283</v>
      </c>
      <c r="W223" s="89">
        <f>'116+240'!S224</f>
        <v>2</v>
      </c>
      <c r="X223" s="83">
        <f t="shared" si="48"/>
        <v>253</v>
      </c>
      <c r="Y223" s="78">
        <f t="shared" si="49"/>
        <v>-2</v>
      </c>
      <c r="Z223" s="77">
        <f t="shared" si="50"/>
        <v>0</v>
      </c>
      <c r="AA223" s="76">
        <f t="shared" si="51"/>
        <v>3.3849999999999998</v>
      </c>
      <c r="AB223" s="76">
        <f t="shared" si="52"/>
        <v>2.8119999999999998</v>
      </c>
    </row>
    <row r="224" spans="2:28">
      <c r="B224" s="90">
        <f>'116+240'!B225</f>
        <v>45492</v>
      </c>
      <c r="C224" s="87">
        <f t="shared" si="44"/>
        <v>1</v>
      </c>
      <c r="D224" s="86">
        <f t="shared" si="45"/>
        <v>844</v>
      </c>
      <c r="E224" s="85">
        <f>VLOOKUP(B224,'116+240'!B225:AB244,3,FALSE)</f>
        <v>1599</v>
      </c>
      <c r="F224" s="81">
        <f t="shared" si="40"/>
        <v>2443</v>
      </c>
      <c r="G224" s="84">
        <f>VLOOKUP(B224,'116+240'!$B$15:$AB$682,20,FALSE)</f>
        <v>2830</v>
      </c>
      <c r="H224" s="84">
        <f>VLOOKUP(B224,'116+240'!$B$15:$AB$682,4,FALSE)</f>
        <v>-1017</v>
      </c>
      <c r="I224" s="80">
        <f t="shared" si="41"/>
        <v>3460</v>
      </c>
      <c r="J224" s="80">
        <f>VLOOKUP(B224,'116+240'!$B$15:$AB$682,13,FALSE)</f>
        <v>-540</v>
      </c>
      <c r="K224" s="89">
        <f>'116+240'!Q225</f>
        <v>2</v>
      </c>
      <c r="L224" s="83">
        <f t="shared" si="46"/>
        <v>580</v>
      </c>
      <c r="M224" s="82">
        <f>VLOOKUP(B224,'116+240'!$B$14:$AB$682,21,FALSE)</f>
        <v>3068</v>
      </c>
      <c r="N224" s="81">
        <f>VLOOKUP(B224,'116+240'!$B$15:$AB$682,5,FALSE)</f>
        <v>-1135</v>
      </c>
      <c r="O224" s="80">
        <f t="shared" si="42"/>
        <v>3578</v>
      </c>
      <c r="P224" s="80">
        <f>VLOOKUP(B224,'116+240'!$B$15:$AB$682,14,FALSE)</f>
        <v>-422</v>
      </c>
      <c r="Q224" s="89">
        <f>'116+240'!R225</f>
        <v>3</v>
      </c>
      <c r="R224" s="83">
        <f t="shared" si="47"/>
        <v>342</v>
      </c>
      <c r="S224" s="82">
        <f>VLOOKUP(B224,'116+240'!$B$14:$AB$682,22,FALSE)</f>
        <v>3156</v>
      </c>
      <c r="T224" s="81">
        <f>VLOOKUP(B224,'116+240'!$B$15:$AB$682,6,FALSE)</f>
        <v>-1273</v>
      </c>
      <c r="U224" s="80">
        <f t="shared" si="43"/>
        <v>3716</v>
      </c>
      <c r="V224" s="79">
        <f>VLOOKUP(B224,'116+240'!$B$15:$AB$682,15,FALSE)</f>
        <v>-284</v>
      </c>
      <c r="W224" s="89">
        <f>'116+240'!S225</f>
        <v>1</v>
      </c>
      <c r="X224" s="83">
        <f t="shared" si="48"/>
        <v>254</v>
      </c>
      <c r="Y224" s="78">
        <f t="shared" si="49"/>
        <v>-1</v>
      </c>
      <c r="Z224" s="77">
        <f t="shared" si="50"/>
        <v>0</v>
      </c>
      <c r="AA224" s="76">
        <f t="shared" si="51"/>
        <v>3.3849999999999998</v>
      </c>
      <c r="AB224" s="76">
        <f t="shared" si="52"/>
        <v>2.806</v>
      </c>
    </row>
    <row r="225" spans="2:28">
      <c r="B225" s="90">
        <f>'116+240'!B226</f>
        <v>45493</v>
      </c>
      <c r="C225" s="87">
        <f t="shared" si="44"/>
        <v>1</v>
      </c>
      <c r="D225" s="86">
        <f t="shared" si="45"/>
        <v>844</v>
      </c>
      <c r="E225" s="85">
        <f>VLOOKUP(B225,'116+240'!B226:AB244,3,FALSE)</f>
        <v>1601</v>
      </c>
      <c r="F225" s="81">
        <f t="shared" si="40"/>
        <v>2445</v>
      </c>
      <c r="G225" s="84">
        <f>VLOOKUP(B225,'116+240'!$B$15:$AB$682,20,FALSE)</f>
        <v>2828</v>
      </c>
      <c r="H225" s="84">
        <f>VLOOKUP(B225,'116+240'!$B$15:$AB$682,4,FALSE)</f>
        <v>-1013</v>
      </c>
      <c r="I225" s="80">
        <f t="shared" si="41"/>
        <v>3458</v>
      </c>
      <c r="J225" s="80">
        <f>VLOOKUP(B225,'116+240'!$B$15:$AB$682,13,FALSE)</f>
        <v>-542</v>
      </c>
      <c r="K225" s="89">
        <f>'116+240'!Q226</f>
        <v>2</v>
      </c>
      <c r="L225" s="83">
        <f t="shared" si="46"/>
        <v>582</v>
      </c>
      <c r="M225" s="82">
        <f>VLOOKUP(B225,'116+240'!$B$14:$AB$682,21,FALSE)</f>
        <v>3066</v>
      </c>
      <c r="N225" s="81">
        <f>VLOOKUP(B225,'116+240'!$B$15:$AB$682,5,FALSE)</f>
        <v>-1131</v>
      </c>
      <c r="O225" s="80">
        <f t="shared" si="42"/>
        <v>3576</v>
      </c>
      <c r="P225" s="80">
        <f>VLOOKUP(B225,'116+240'!$B$15:$AB$682,14,FALSE)</f>
        <v>-424</v>
      </c>
      <c r="Q225" s="89">
        <f>'116+240'!R226</f>
        <v>2</v>
      </c>
      <c r="R225" s="83">
        <f t="shared" si="47"/>
        <v>344</v>
      </c>
      <c r="S225" s="82">
        <f>VLOOKUP(B225,'116+240'!$B$14:$AB$682,22,FALSE)</f>
        <v>3154</v>
      </c>
      <c r="T225" s="81">
        <f>VLOOKUP(B225,'116+240'!$B$15:$AB$682,6,FALSE)</f>
        <v>-1269</v>
      </c>
      <c r="U225" s="80">
        <f t="shared" si="43"/>
        <v>3714</v>
      </c>
      <c r="V225" s="79">
        <f>VLOOKUP(B225,'116+240'!$B$15:$AB$682,15,FALSE)</f>
        <v>-286</v>
      </c>
      <c r="W225" s="89">
        <f>'116+240'!S226</f>
        <v>2</v>
      </c>
      <c r="X225" s="83">
        <f t="shared" si="48"/>
        <v>256</v>
      </c>
      <c r="Y225" s="78">
        <f t="shared" si="49"/>
        <v>-2</v>
      </c>
      <c r="Z225" s="77">
        <f t="shared" si="50"/>
        <v>0</v>
      </c>
      <c r="AA225" s="76">
        <f t="shared" si="51"/>
        <v>3.3849999999999998</v>
      </c>
      <c r="AB225" s="76">
        <f t="shared" si="52"/>
        <v>2.802</v>
      </c>
    </row>
    <row r="226" spans="2:28">
      <c r="B226" s="90">
        <f>'116+240'!B227</f>
        <v>45494</v>
      </c>
      <c r="C226" s="87">
        <f t="shared" si="44"/>
        <v>1</v>
      </c>
      <c r="D226" s="86">
        <f t="shared" si="45"/>
        <v>844</v>
      </c>
      <c r="E226" s="85">
        <f>VLOOKUP(B226,'116+240'!B227:AB244,3,FALSE)</f>
        <v>1603</v>
      </c>
      <c r="F226" s="81">
        <f t="shared" si="40"/>
        <v>2447</v>
      </c>
      <c r="G226" s="84">
        <f>VLOOKUP(B226,'116+240'!$B$15:$AB$682,20,FALSE)</f>
        <v>2825</v>
      </c>
      <c r="H226" s="84">
        <f>VLOOKUP(B226,'116+240'!$B$15:$AB$682,4,FALSE)</f>
        <v>-1008</v>
      </c>
      <c r="I226" s="80">
        <f t="shared" si="41"/>
        <v>3455</v>
      </c>
      <c r="J226" s="80">
        <f>VLOOKUP(B226,'116+240'!$B$15:$AB$682,13,FALSE)</f>
        <v>-545</v>
      </c>
      <c r="K226" s="89">
        <f>'116+240'!Q227</f>
        <v>3</v>
      </c>
      <c r="L226" s="83">
        <f t="shared" si="46"/>
        <v>585</v>
      </c>
      <c r="M226" s="82">
        <f>VLOOKUP(B226,'116+240'!$B$14:$AB$682,21,FALSE)</f>
        <v>3065</v>
      </c>
      <c r="N226" s="81">
        <f>VLOOKUP(B226,'116+240'!$B$15:$AB$682,5,FALSE)</f>
        <v>-1128</v>
      </c>
      <c r="O226" s="80">
        <f t="shared" si="42"/>
        <v>3575</v>
      </c>
      <c r="P226" s="80">
        <f>VLOOKUP(B226,'116+240'!$B$15:$AB$682,14,FALSE)</f>
        <v>-425</v>
      </c>
      <c r="Q226" s="89">
        <f>'116+240'!R227</f>
        <v>1</v>
      </c>
      <c r="R226" s="83">
        <f t="shared" si="47"/>
        <v>345</v>
      </c>
      <c r="S226" s="82">
        <f>VLOOKUP(B226,'116+240'!$B$14:$AB$682,22,FALSE)</f>
        <v>3153</v>
      </c>
      <c r="T226" s="81">
        <f>VLOOKUP(B226,'116+240'!$B$15:$AB$682,6,FALSE)</f>
        <v>-1266</v>
      </c>
      <c r="U226" s="80">
        <f t="shared" si="43"/>
        <v>3713</v>
      </c>
      <c r="V226" s="79">
        <f>VLOOKUP(B226,'116+240'!$B$15:$AB$682,15,FALSE)</f>
        <v>-287</v>
      </c>
      <c r="W226" s="89">
        <f>'116+240'!S227</f>
        <v>1</v>
      </c>
      <c r="X226" s="83">
        <f t="shared" si="48"/>
        <v>257</v>
      </c>
      <c r="Y226" s="78">
        <f t="shared" si="49"/>
        <v>-1</v>
      </c>
      <c r="Z226" s="77">
        <f t="shared" si="50"/>
        <v>0</v>
      </c>
      <c r="AA226" s="76">
        <f t="shared" si="51"/>
        <v>3.3849999999999998</v>
      </c>
      <c r="AB226" s="76">
        <f t="shared" si="52"/>
        <v>2.8</v>
      </c>
    </row>
    <row r="227" spans="2:28">
      <c r="B227" s="90">
        <f>'116+240'!B228</f>
        <v>45495</v>
      </c>
      <c r="C227" s="87">
        <f t="shared" si="44"/>
        <v>1</v>
      </c>
      <c r="D227" s="86">
        <f t="shared" si="45"/>
        <v>844</v>
      </c>
      <c r="E227" s="85">
        <f>VLOOKUP(B227,'116+240'!B228:AB244,3,FALSE)</f>
        <v>1605</v>
      </c>
      <c r="F227" s="81">
        <f t="shared" si="40"/>
        <v>2449</v>
      </c>
      <c r="G227" s="84">
        <f>VLOOKUP(B227,'116+240'!$B$15:$AB$682,20,FALSE)</f>
        <v>2823</v>
      </c>
      <c r="H227" s="84">
        <f>VLOOKUP(B227,'116+240'!$B$15:$AB$682,4,FALSE)</f>
        <v>-1004</v>
      </c>
      <c r="I227" s="80">
        <f t="shared" si="41"/>
        <v>3453</v>
      </c>
      <c r="J227" s="80">
        <f>VLOOKUP(B227,'116+240'!$B$15:$AB$682,13,FALSE)</f>
        <v>-547</v>
      </c>
      <c r="K227" s="89">
        <f>'116+240'!Q228</f>
        <v>2</v>
      </c>
      <c r="L227" s="83">
        <f t="shared" si="46"/>
        <v>587</v>
      </c>
      <c r="M227" s="82">
        <f>VLOOKUP(B227,'116+240'!$B$14:$AB$682,21,FALSE)</f>
        <v>3063</v>
      </c>
      <c r="N227" s="81">
        <f>VLOOKUP(B227,'116+240'!$B$15:$AB$682,5,FALSE)</f>
        <v>-1124</v>
      </c>
      <c r="O227" s="80">
        <f t="shared" si="42"/>
        <v>3573</v>
      </c>
      <c r="P227" s="80">
        <f>VLOOKUP(B227,'116+240'!$B$15:$AB$682,14,FALSE)</f>
        <v>-427</v>
      </c>
      <c r="Q227" s="89">
        <f>'116+240'!R228</f>
        <v>2</v>
      </c>
      <c r="R227" s="83">
        <f t="shared" si="47"/>
        <v>347</v>
      </c>
      <c r="S227" s="82">
        <f>VLOOKUP(B227,'116+240'!$B$14:$AB$682,22,FALSE)</f>
        <v>3152</v>
      </c>
      <c r="T227" s="81">
        <f>VLOOKUP(B227,'116+240'!$B$15:$AB$682,6,FALSE)</f>
        <v>-1263</v>
      </c>
      <c r="U227" s="80">
        <f t="shared" si="43"/>
        <v>3712</v>
      </c>
      <c r="V227" s="79">
        <f>VLOOKUP(B227,'116+240'!$B$15:$AB$682,15,FALSE)</f>
        <v>-288</v>
      </c>
      <c r="W227" s="89">
        <f>'116+240'!S228</f>
        <v>1</v>
      </c>
      <c r="X227" s="83">
        <f t="shared" si="48"/>
        <v>258</v>
      </c>
      <c r="Y227" s="78">
        <f t="shared" si="49"/>
        <v>-1</v>
      </c>
      <c r="Z227" s="77">
        <f t="shared" si="50"/>
        <v>0</v>
      </c>
      <c r="AA227" s="76">
        <f t="shared" si="51"/>
        <v>3.3849999999999998</v>
      </c>
      <c r="AB227" s="76">
        <f t="shared" si="52"/>
        <v>2.7959999999999998</v>
      </c>
    </row>
    <row r="228" spans="2:28">
      <c r="B228" s="90">
        <f>'116+240'!B229</f>
        <v>45496</v>
      </c>
      <c r="C228" s="87">
        <f t="shared" si="44"/>
        <v>1</v>
      </c>
      <c r="D228" s="86">
        <f t="shared" si="45"/>
        <v>844</v>
      </c>
      <c r="E228" s="85">
        <f>VLOOKUP(B228,'116+240'!B229:AB244,3,FALSE)</f>
        <v>1607</v>
      </c>
      <c r="F228" s="81">
        <f t="shared" si="40"/>
        <v>2451</v>
      </c>
      <c r="G228" s="84">
        <f>VLOOKUP(B228,'116+240'!$B$15:$AB$682,20,FALSE)</f>
        <v>3113</v>
      </c>
      <c r="H228" s="84">
        <f>VLOOKUP(B228,'116+240'!$B$15:$AB$682,4,FALSE)</f>
        <v>-992</v>
      </c>
      <c r="I228" s="80">
        <f t="shared" si="41"/>
        <v>3443</v>
      </c>
      <c r="J228" s="80">
        <f>VLOOKUP(B228,'116+240'!$B$15:$AB$682,13,FALSE)</f>
        <v>-557</v>
      </c>
      <c r="K228" s="89">
        <f>'116+240'!Q229</f>
        <v>10</v>
      </c>
      <c r="L228" s="83">
        <f t="shared" si="46"/>
        <v>597</v>
      </c>
      <c r="M228" s="82">
        <f>VLOOKUP(B228,'116+240'!$B$14:$AB$682,21,FALSE)</f>
        <v>3353</v>
      </c>
      <c r="N228" s="81">
        <f>VLOOKUP(B228,'116+240'!$B$15:$AB$682,5,FALSE)</f>
        <v>-1112</v>
      </c>
      <c r="O228" s="80">
        <f t="shared" si="42"/>
        <v>3563</v>
      </c>
      <c r="P228" s="80">
        <f>VLOOKUP(B228,'116+240'!$B$15:$AB$682,14,FALSE)</f>
        <v>-437</v>
      </c>
      <c r="Q228" s="89">
        <f>'116+240'!R229</f>
        <v>10</v>
      </c>
      <c r="R228" s="83">
        <f t="shared" si="47"/>
        <v>357</v>
      </c>
      <c r="S228" s="82">
        <f>VLOOKUP(B228,'116+240'!$B$14:$AB$682,22,FALSE)</f>
        <v>3442</v>
      </c>
      <c r="T228" s="81">
        <f>VLOOKUP(B228,'116+240'!$B$15:$AB$682,6,FALSE)</f>
        <v>-1251</v>
      </c>
      <c r="U228" s="80">
        <f t="shared" si="43"/>
        <v>3702</v>
      </c>
      <c r="V228" s="79">
        <f>VLOOKUP(B228,'116+240'!$B$15:$AB$682,15,FALSE)</f>
        <v>-298</v>
      </c>
      <c r="W228" s="89">
        <f>'116+240'!S229</f>
        <v>10</v>
      </c>
      <c r="X228" s="83">
        <f t="shared" si="48"/>
        <v>268</v>
      </c>
      <c r="Y228" s="78">
        <f t="shared" si="49"/>
        <v>290</v>
      </c>
      <c r="Z228" s="77">
        <f t="shared" si="50"/>
        <v>0.28999999999999998</v>
      </c>
      <c r="AA228" s="76">
        <f t="shared" si="51"/>
        <v>3.6749999999999998</v>
      </c>
      <c r="AB228" s="76">
        <f t="shared" si="52"/>
        <v>3.0760000000000001</v>
      </c>
    </row>
    <row r="229" spans="2:28">
      <c r="B229" s="90">
        <f>'116+240'!B230</f>
        <v>45497</v>
      </c>
      <c r="C229" s="87">
        <f t="shared" si="44"/>
        <v>1</v>
      </c>
      <c r="D229" s="86">
        <f t="shared" si="45"/>
        <v>844</v>
      </c>
      <c r="E229" s="85">
        <f>VLOOKUP(B229,'116+240'!B230:AB244,3,FALSE)</f>
        <v>1609</v>
      </c>
      <c r="F229" s="81">
        <f t="shared" si="40"/>
        <v>2453</v>
      </c>
      <c r="G229" s="84">
        <f>VLOOKUP(B229,'116+240'!$B$15:$AB$682,20,FALSE)</f>
        <v>3103</v>
      </c>
      <c r="H229" s="84">
        <f>VLOOKUP(B229,'116+240'!$B$15:$AB$682,4,FALSE)</f>
        <v>-980</v>
      </c>
      <c r="I229" s="80">
        <f t="shared" si="41"/>
        <v>3433</v>
      </c>
      <c r="J229" s="80">
        <f>VLOOKUP(B229,'116+240'!$B$15:$AB$682,13,FALSE)</f>
        <v>-567</v>
      </c>
      <c r="K229" s="89">
        <f>'116+240'!Q230</f>
        <v>10</v>
      </c>
      <c r="L229" s="83">
        <f t="shared" si="46"/>
        <v>607</v>
      </c>
      <c r="M229" s="82">
        <f>VLOOKUP(B229,'116+240'!$B$14:$AB$682,21,FALSE)</f>
        <v>3343</v>
      </c>
      <c r="N229" s="81">
        <f>VLOOKUP(B229,'116+240'!$B$15:$AB$682,5,FALSE)</f>
        <v>-1100</v>
      </c>
      <c r="O229" s="80">
        <f t="shared" si="42"/>
        <v>3553</v>
      </c>
      <c r="P229" s="80">
        <f>VLOOKUP(B229,'116+240'!$B$15:$AB$682,14,FALSE)</f>
        <v>-447</v>
      </c>
      <c r="Q229" s="89">
        <f>'116+240'!R230</f>
        <v>10</v>
      </c>
      <c r="R229" s="83">
        <f t="shared" si="47"/>
        <v>367</v>
      </c>
      <c r="S229" s="82">
        <f>VLOOKUP(B229,'116+240'!$B$14:$AB$682,22,FALSE)</f>
        <v>3432</v>
      </c>
      <c r="T229" s="81">
        <f>VLOOKUP(B229,'116+240'!$B$15:$AB$682,6,FALSE)</f>
        <v>-1239</v>
      </c>
      <c r="U229" s="80">
        <f t="shared" si="43"/>
        <v>3692</v>
      </c>
      <c r="V229" s="79">
        <f>VLOOKUP(B229,'116+240'!$B$15:$AB$682,15,FALSE)</f>
        <v>-308</v>
      </c>
      <c r="W229" s="89">
        <f>'116+240'!S230</f>
        <v>10</v>
      </c>
      <c r="X229" s="83">
        <f t="shared" si="48"/>
        <v>278</v>
      </c>
      <c r="Y229" s="78">
        <f t="shared" si="49"/>
        <v>-10</v>
      </c>
      <c r="Z229" s="77">
        <f t="shared" si="50"/>
        <v>0</v>
      </c>
      <c r="AA229" s="76">
        <f t="shared" si="51"/>
        <v>3.6749999999999998</v>
      </c>
      <c r="AB229" s="76">
        <f t="shared" si="52"/>
        <v>3.056</v>
      </c>
    </row>
    <row r="230" spans="2:28">
      <c r="B230" s="90">
        <f>'116+240'!B231</f>
        <v>45498</v>
      </c>
      <c r="C230" s="87">
        <f t="shared" si="44"/>
        <v>1</v>
      </c>
      <c r="D230" s="86">
        <f t="shared" si="45"/>
        <v>844</v>
      </c>
      <c r="E230" s="85">
        <f>VLOOKUP(B230,'116+240'!B231:AB244,3,FALSE)</f>
        <v>1611</v>
      </c>
      <c r="F230" s="81">
        <f t="shared" si="40"/>
        <v>2455</v>
      </c>
      <c r="G230" s="84">
        <f>VLOOKUP(B230,'116+240'!$B$15:$AB$682,20,FALSE)</f>
        <v>3093</v>
      </c>
      <c r="H230" s="84">
        <f>VLOOKUP(B230,'116+240'!$B$15:$AB$682,4,FALSE)</f>
        <v>-968</v>
      </c>
      <c r="I230" s="80">
        <f t="shared" si="41"/>
        <v>3423</v>
      </c>
      <c r="J230" s="80">
        <f>VLOOKUP(B230,'116+240'!$B$15:$AB$682,13,FALSE)</f>
        <v>-577</v>
      </c>
      <c r="K230" s="89">
        <f>'116+240'!Q231</f>
        <v>10</v>
      </c>
      <c r="L230" s="83">
        <f t="shared" si="46"/>
        <v>617</v>
      </c>
      <c r="M230" s="82">
        <f>VLOOKUP(B230,'116+240'!$B$14:$AB$682,21,FALSE)</f>
        <v>3333</v>
      </c>
      <c r="N230" s="81">
        <f>VLOOKUP(B230,'116+240'!$B$15:$AB$682,5,FALSE)</f>
        <v>-1088</v>
      </c>
      <c r="O230" s="80">
        <f t="shared" si="42"/>
        <v>3543</v>
      </c>
      <c r="P230" s="80">
        <f>VLOOKUP(B230,'116+240'!$B$15:$AB$682,14,FALSE)</f>
        <v>-457</v>
      </c>
      <c r="Q230" s="89">
        <f>'116+240'!R231</f>
        <v>10</v>
      </c>
      <c r="R230" s="83">
        <f t="shared" si="47"/>
        <v>377</v>
      </c>
      <c r="S230" s="82">
        <f>VLOOKUP(B230,'116+240'!$B$14:$AB$682,22,FALSE)</f>
        <v>3422</v>
      </c>
      <c r="T230" s="81">
        <f>VLOOKUP(B230,'116+240'!$B$15:$AB$682,6,FALSE)</f>
        <v>-1227</v>
      </c>
      <c r="U230" s="80">
        <f t="shared" si="43"/>
        <v>3682</v>
      </c>
      <c r="V230" s="79">
        <f>VLOOKUP(B230,'116+240'!$B$15:$AB$682,15,FALSE)</f>
        <v>-318</v>
      </c>
      <c r="W230" s="89">
        <f>'116+240'!S231</f>
        <v>10</v>
      </c>
      <c r="X230" s="83">
        <f t="shared" si="48"/>
        <v>288</v>
      </c>
      <c r="Y230" s="78">
        <f t="shared" si="49"/>
        <v>-10</v>
      </c>
      <c r="Z230" s="77">
        <f t="shared" si="50"/>
        <v>0</v>
      </c>
      <c r="AA230" s="76">
        <f t="shared" si="51"/>
        <v>3.6749999999999998</v>
      </c>
      <c r="AB230" s="76">
        <f t="shared" si="52"/>
        <v>3.036</v>
      </c>
    </row>
    <row r="231" spans="2:28">
      <c r="B231" s="90">
        <f>'116+240'!B232</f>
        <v>45499</v>
      </c>
      <c r="C231" s="87">
        <f t="shared" si="44"/>
        <v>1</v>
      </c>
      <c r="D231" s="86">
        <f t="shared" si="45"/>
        <v>844</v>
      </c>
      <c r="E231" s="85">
        <f>VLOOKUP(B231,'116+240'!B232:AB244,3,FALSE)</f>
        <v>1613</v>
      </c>
      <c r="F231" s="81">
        <f t="shared" si="40"/>
        <v>2457</v>
      </c>
      <c r="G231" s="84">
        <f>VLOOKUP(B231,'116+240'!$B$15:$AB$682,20,FALSE)</f>
        <v>3083</v>
      </c>
      <c r="H231" s="84">
        <f>VLOOKUP(B231,'116+240'!$B$15:$AB$682,4,FALSE)</f>
        <v>-956</v>
      </c>
      <c r="I231" s="80">
        <f t="shared" si="41"/>
        <v>3413</v>
      </c>
      <c r="J231" s="80">
        <f>VLOOKUP(B231,'116+240'!$B$15:$AB$682,13,FALSE)</f>
        <v>-587</v>
      </c>
      <c r="K231" s="89">
        <f>'116+240'!Q232</f>
        <v>10</v>
      </c>
      <c r="L231" s="83">
        <f t="shared" si="46"/>
        <v>627</v>
      </c>
      <c r="M231" s="82">
        <f>VLOOKUP(B231,'116+240'!$B$14:$AB$682,21,FALSE)</f>
        <v>3323</v>
      </c>
      <c r="N231" s="81">
        <f>VLOOKUP(B231,'116+240'!$B$15:$AB$682,5,FALSE)</f>
        <v>-1076</v>
      </c>
      <c r="O231" s="80">
        <f t="shared" si="42"/>
        <v>3533</v>
      </c>
      <c r="P231" s="80">
        <f>VLOOKUP(B231,'116+240'!$B$15:$AB$682,14,FALSE)</f>
        <v>-467</v>
      </c>
      <c r="Q231" s="89">
        <f>'116+240'!R232</f>
        <v>10</v>
      </c>
      <c r="R231" s="83">
        <f t="shared" si="47"/>
        <v>387</v>
      </c>
      <c r="S231" s="82">
        <f>VLOOKUP(B231,'116+240'!$B$14:$AB$682,22,FALSE)</f>
        <v>3412</v>
      </c>
      <c r="T231" s="81">
        <f>VLOOKUP(B231,'116+240'!$B$15:$AB$682,6,FALSE)</f>
        <v>-1215</v>
      </c>
      <c r="U231" s="80">
        <f t="shared" si="43"/>
        <v>3672</v>
      </c>
      <c r="V231" s="79">
        <f>VLOOKUP(B231,'116+240'!$B$15:$AB$682,15,FALSE)</f>
        <v>-328</v>
      </c>
      <c r="W231" s="89">
        <f>'116+240'!S232</f>
        <v>10</v>
      </c>
      <c r="X231" s="83">
        <f t="shared" si="48"/>
        <v>298</v>
      </c>
      <c r="Y231" s="78">
        <f t="shared" si="49"/>
        <v>-10</v>
      </c>
      <c r="Z231" s="77">
        <f t="shared" si="50"/>
        <v>0</v>
      </c>
      <c r="AA231" s="76">
        <f t="shared" si="51"/>
        <v>3.6749999999999998</v>
      </c>
      <c r="AB231" s="76">
        <f t="shared" si="52"/>
        <v>3.016</v>
      </c>
    </row>
    <row r="232" spans="2:28">
      <c r="B232" s="90">
        <f>'116+240'!B233</f>
        <v>45500</v>
      </c>
      <c r="C232" s="87">
        <f t="shared" si="44"/>
        <v>1</v>
      </c>
      <c r="D232" s="86">
        <f t="shared" si="45"/>
        <v>844</v>
      </c>
      <c r="E232" s="85">
        <f>VLOOKUP(B232,'116+240'!B233:AB244,3,FALSE)</f>
        <v>1615</v>
      </c>
      <c r="F232" s="81">
        <f t="shared" si="40"/>
        <v>2459</v>
      </c>
      <c r="G232" s="84">
        <f>VLOOKUP(B232,'116+240'!$B$15:$AB$682,20,FALSE)</f>
        <v>3073</v>
      </c>
      <c r="H232" s="84">
        <f>VLOOKUP(B232,'116+240'!$B$15:$AB$682,4,FALSE)</f>
        <v>-944</v>
      </c>
      <c r="I232" s="80">
        <f t="shared" si="41"/>
        <v>3403</v>
      </c>
      <c r="J232" s="80">
        <f>VLOOKUP(B232,'116+240'!$B$15:$AB$682,13,FALSE)</f>
        <v>-597</v>
      </c>
      <c r="K232" s="89">
        <f>'116+240'!Q233</f>
        <v>10</v>
      </c>
      <c r="L232" s="83">
        <f t="shared" si="46"/>
        <v>637</v>
      </c>
      <c r="M232" s="82">
        <f>VLOOKUP(B232,'116+240'!$B$14:$AB$682,21,FALSE)</f>
        <v>3313</v>
      </c>
      <c r="N232" s="81">
        <f>VLOOKUP(B232,'116+240'!$B$15:$AB$682,5,FALSE)</f>
        <v>-1064</v>
      </c>
      <c r="O232" s="80">
        <f t="shared" si="42"/>
        <v>3523</v>
      </c>
      <c r="P232" s="80">
        <f>VLOOKUP(B232,'116+240'!$B$15:$AB$682,14,FALSE)</f>
        <v>-477</v>
      </c>
      <c r="Q232" s="89">
        <f>'116+240'!R233</f>
        <v>10</v>
      </c>
      <c r="R232" s="83">
        <f t="shared" si="47"/>
        <v>397</v>
      </c>
      <c r="S232" s="82">
        <f>VLOOKUP(B232,'116+240'!$B$14:$AB$682,22,FALSE)</f>
        <v>3402</v>
      </c>
      <c r="T232" s="81">
        <f>VLOOKUP(B232,'116+240'!$B$15:$AB$682,6,FALSE)</f>
        <v>-1203</v>
      </c>
      <c r="U232" s="80">
        <f t="shared" si="43"/>
        <v>3662</v>
      </c>
      <c r="V232" s="79">
        <f>VLOOKUP(B232,'116+240'!$B$15:$AB$682,15,FALSE)</f>
        <v>-338</v>
      </c>
      <c r="W232" s="89">
        <f>'116+240'!S233</f>
        <v>10</v>
      </c>
      <c r="X232" s="83">
        <f t="shared" si="48"/>
        <v>308</v>
      </c>
      <c r="Y232" s="78">
        <f t="shared" si="49"/>
        <v>-10</v>
      </c>
      <c r="Z232" s="77">
        <f t="shared" si="50"/>
        <v>0</v>
      </c>
      <c r="AA232" s="76">
        <f t="shared" si="51"/>
        <v>3.6749999999999998</v>
      </c>
      <c r="AB232" s="76">
        <f t="shared" si="52"/>
        <v>2.996</v>
      </c>
    </row>
    <row r="233" spans="2:28">
      <c r="B233" s="90">
        <f>'116+240'!B234</f>
        <v>45501</v>
      </c>
      <c r="C233" s="87">
        <f t="shared" si="44"/>
        <v>1</v>
      </c>
      <c r="D233" s="86">
        <f t="shared" si="45"/>
        <v>844</v>
      </c>
      <c r="E233" s="85">
        <f>VLOOKUP(B233,'116+240'!B234:AB244,3,FALSE)</f>
        <v>1617</v>
      </c>
      <c r="F233" s="81">
        <f t="shared" si="40"/>
        <v>2461</v>
      </c>
      <c r="G233" s="84">
        <f>VLOOKUP(B233,'116+240'!$B$15:$AB$682,20,FALSE)</f>
        <v>3363</v>
      </c>
      <c r="H233" s="84">
        <f>VLOOKUP(B233,'116+240'!$B$15:$AB$682,4,FALSE)</f>
        <v>-932</v>
      </c>
      <c r="I233" s="80">
        <f t="shared" si="41"/>
        <v>3393</v>
      </c>
      <c r="J233" s="80">
        <f>VLOOKUP(B233,'116+240'!$B$15:$AB$682,13,FALSE)</f>
        <v>-607</v>
      </c>
      <c r="K233" s="89">
        <f>'116+240'!Q234</f>
        <v>10</v>
      </c>
      <c r="L233" s="83">
        <f t="shared" si="46"/>
        <v>647</v>
      </c>
      <c r="M233" s="82">
        <f>VLOOKUP(B233,'116+240'!$B$14:$AB$682,21,FALSE)</f>
        <v>3603</v>
      </c>
      <c r="N233" s="81">
        <f>VLOOKUP(B233,'116+240'!$B$15:$AB$682,5,FALSE)</f>
        <v>-1052</v>
      </c>
      <c r="O233" s="80">
        <f t="shared" si="42"/>
        <v>3513</v>
      </c>
      <c r="P233" s="80">
        <f>VLOOKUP(B233,'116+240'!$B$15:$AB$682,14,FALSE)</f>
        <v>-487</v>
      </c>
      <c r="Q233" s="89">
        <f>'116+240'!R234</f>
        <v>10</v>
      </c>
      <c r="R233" s="83">
        <f t="shared" si="47"/>
        <v>407</v>
      </c>
      <c r="S233" s="82">
        <f>VLOOKUP(B233,'116+240'!$B$14:$AB$682,22,FALSE)</f>
        <v>3692</v>
      </c>
      <c r="T233" s="81">
        <f>VLOOKUP(B233,'116+240'!$B$15:$AB$682,6,FALSE)</f>
        <v>-1191</v>
      </c>
      <c r="U233" s="80">
        <f t="shared" si="43"/>
        <v>3652</v>
      </c>
      <c r="V233" s="79">
        <f>VLOOKUP(B233,'116+240'!$B$15:$AB$682,15,FALSE)</f>
        <v>-348</v>
      </c>
      <c r="W233" s="89">
        <f>'116+240'!S234</f>
        <v>10</v>
      </c>
      <c r="X233" s="83">
        <f t="shared" si="48"/>
        <v>318</v>
      </c>
      <c r="Y233" s="78">
        <f t="shared" si="49"/>
        <v>290</v>
      </c>
      <c r="Z233" s="77">
        <f t="shared" si="50"/>
        <v>0.28999999999999998</v>
      </c>
      <c r="AA233" s="76">
        <f t="shared" si="51"/>
        <v>3.9649999999999999</v>
      </c>
      <c r="AB233" s="76">
        <f t="shared" si="52"/>
        <v>3.2759999999999998</v>
      </c>
    </row>
    <row r="234" spans="2:28">
      <c r="B234" s="90">
        <f>'116+240'!B235</f>
        <v>45502</v>
      </c>
      <c r="C234" s="87">
        <f t="shared" si="44"/>
        <v>1</v>
      </c>
      <c r="D234" s="86">
        <f t="shared" si="45"/>
        <v>844</v>
      </c>
      <c r="E234" s="85">
        <f>VLOOKUP(B234,'116+240'!B235:AB244,3,FALSE)</f>
        <v>1619</v>
      </c>
      <c r="F234" s="81">
        <f t="shared" si="40"/>
        <v>2463</v>
      </c>
      <c r="G234" s="84">
        <f>VLOOKUP(B234,'116+240'!$B$15:$AB$682,20,FALSE)</f>
        <v>3353</v>
      </c>
      <c r="H234" s="84">
        <f>VLOOKUP(B234,'116+240'!$B$15:$AB$682,4,FALSE)</f>
        <v>-920</v>
      </c>
      <c r="I234" s="80">
        <f t="shared" si="41"/>
        <v>3383</v>
      </c>
      <c r="J234" s="80">
        <f>VLOOKUP(B234,'116+240'!$B$15:$AB$682,13,FALSE)</f>
        <v>-617</v>
      </c>
      <c r="K234" s="89">
        <f>'116+240'!Q235</f>
        <v>10</v>
      </c>
      <c r="L234" s="83">
        <f t="shared" si="46"/>
        <v>657</v>
      </c>
      <c r="M234" s="82">
        <f>VLOOKUP(B234,'116+240'!$B$14:$AB$682,21,FALSE)</f>
        <v>3593</v>
      </c>
      <c r="N234" s="81">
        <f>VLOOKUP(B234,'116+240'!$B$15:$AB$682,5,FALSE)</f>
        <v>-1040</v>
      </c>
      <c r="O234" s="80">
        <f t="shared" si="42"/>
        <v>3503</v>
      </c>
      <c r="P234" s="80">
        <f>VLOOKUP(B234,'116+240'!$B$15:$AB$682,14,FALSE)</f>
        <v>-497</v>
      </c>
      <c r="Q234" s="89">
        <f>'116+240'!R235</f>
        <v>10</v>
      </c>
      <c r="R234" s="83">
        <f t="shared" si="47"/>
        <v>417</v>
      </c>
      <c r="S234" s="82">
        <f>VLOOKUP(B234,'116+240'!$B$14:$AB$682,22,FALSE)</f>
        <v>3682</v>
      </c>
      <c r="T234" s="81">
        <f>VLOOKUP(B234,'116+240'!$B$15:$AB$682,6,FALSE)</f>
        <v>-1179</v>
      </c>
      <c r="U234" s="80">
        <f t="shared" si="43"/>
        <v>3642</v>
      </c>
      <c r="V234" s="79">
        <f>VLOOKUP(B234,'116+240'!$B$15:$AB$682,15,FALSE)</f>
        <v>-358</v>
      </c>
      <c r="W234" s="89">
        <f>'116+240'!S235</f>
        <v>10</v>
      </c>
      <c r="X234" s="83">
        <f t="shared" si="48"/>
        <v>328</v>
      </c>
      <c r="Y234" s="78">
        <f t="shared" si="49"/>
        <v>-10</v>
      </c>
      <c r="Z234" s="77">
        <f t="shared" si="50"/>
        <v>0</v>
      </c>
      <c r="AA234" s="76">
        <f t="shared" si="51"/>
        <v>3.9649999999999999</v>
      </c>
      <c r="AB234" s="76">
        <f t="shared" si="52"/>
        <v>3.2559999999999998</v>
      </c>
    </row>
    <row r="235" spans="2:28">
      <c r="B235" s="90">
        <f>'116+240'!B236</f>
        <v>45503</v>
      </c>
      <c r="C235" s="87">
        <f t="shared" si="44"/>
        <v>1</v>
      </c>
      <c r="D235" s="86">
        <f t="shared" si="45"/>
        <v>844</v>
      </c>
      <c r="E235" s="85">
        <f>VLOOKUP(B235,'116+240'!B236:AB244,3,FALSE)</f>
        <v>1621</v>
      </c>
      <c r="F235" s="81">
        <f t="shared" si="40"/>
        <v>2465</v>
      </c>
      <c r="G235" s="84">
        <f>VLOOKUP(B235,'116+240'!$B$15:$AB$682,20,FALSE)</f>
        <v>3343</v>
      </c>
      <c r="H235" s="84">
        <f>VLOOKUP(B235,'116+240'!$B$15:$AB$682,4,FALSE)</f>
        <v>-908</v>
      </c>
      <c r="I235" s="80">
        <f t="shared" si="41"/>
        <v>3373</v>
      </c>
      <c r="J235" s="80">
        <f>VLOOKUP(B235,'116+240'!$B$15:$AB$682,13,FALSE)</f>
        <v>-627</v>
      </c>
      <c r="K235" s="89">
        <f>'116+240'!Q236</f>
        <v>10</v>
      </c>
      <c r="L235" s="83">
        <f t="shared" si="46"/>
        <v>667</v>
      </c>
      <c r="M235" s="82">
        <f>VLOOKUP(B235,'116+240'!$B$14:$AB$682,21,FALSE)</f>
        <v>3583</v>
      </c>
      <c r="N235" s="81">
        <f>VLOOKUP(B235,'116+240'!$B$15:$AB$682,5,FALSE)</f>
        <v>-1028</v>
      </c>
      <c r="O235" s="80">
        <f t="shared" si="42"/>
        <v>3493</v>
      </c>
      <c r="P235" s="80">
        <f>VLOOKUP(B235,'116+240'!$B$15:$AB$682,14,FALSE)</f>
        <v>-507</v>
      </c>
      <c r="Q235" s="89">
        <f>'116+240'!R236</f>
        <v>10</v>
      </c>
      <c r="R235" s="83">
        <f t="shared" si="47"/>
        <v>427</v>
      </c>
      <c r="S235" s="82">
        <f>VLOOKUP(B235,'116+240'!$B$14:$AB$682,22,FALSE)</f>
        <v>3672</v>
      </c>
      <c r="T235" s="81">
        <f>VLOOKUP(B235,'116+240'!$B$15:$AB$682,6,FALSE)</f>
        <v>-1167</v>
      </c>
      <c r="U235" s="80">
        <f t="shared" si="43"/>
        <v>3632</v>
      </c>
      <c r="V235" s="79">
        <f>VLOOKUP(B235,'116+240'!$B$15:$AB$682,15,FALSE)</f>
        <v>-368</v>
      </c>
      <c r="W235" s="89">
        <f>'116+240'!S236</f>
        <v>10</v>
      </c>
      <c r="X235" s="83">
        <f t="shared" si="48"/>
        <v>338</v>
      </c>
      <c r="Y235" s="78">
        <f t="shared" si="49"/>
        <v>-10</v>
      </c>
      <c r="Z235" s="77">
        <f t="shared" si="50"/>
        <v>0</v>
      </c>
      <c r="AA235" s="76">
        <f t="shared" si="51"/>
        <v>3.9649999999999999</v>
      </c>
      <c r="AB235" s="76">
        <f t="shared" si="52"/>
        <v>3.2360000000000002</v>
      </c>
    </row>
    <row r="236" spans="2:28">
      <c r="B236" s="90">
        <f>'116+240'!B237</f>
        <v>45504</v>
      </c>
      <c r="C236" s="87">
        <f t="shared" si="44"/>
        <v>1</v>
      </c>
      <c r="D236" s="86">
        <f t="shared" si="45"/>
        <v>844</v>
      </c>
      <c r="E236" s="85">
        <f>VLOOKUP(B236,'116+240'!B237:AB244,3,FALSE)</f>
        <v>1623</v>
      </c>
      <c r="F236" s="81">
        <f t="shared" si="40"/>
        <v>2467</v>
      </c>
      <c r="G236" s="84">
        <f>VLOOKUP(B236,'116+240'!$B$15:$AB$682,20,FALSE)</f>
        <v>3333</v>
      </c>
      <c r="H236" s="84">
        <f>VLOOKUP(B236,'116+240'!$B$15:$AB$682,4,FALSE)</f>
        <v>-896</v>
      </c>
      <c r="I236" s="80">
        <f t="shared" si="41"/>
        <v>3363</v>
      </c>
      <c r="J236" s="80">
        <f>VLOOKUP(B236,'116+240'!$B$15:$AB$682,13,FALSE)</f>
        <v>-637</v>
      </c>
      <c r="K236" s="89">
        <f>'116+240'!Q237</f>
        <v>10</v>
      </c>
      <c r="L236" s="83">
        <f t="shared" si="46"/>
        <v>677</v>
      </c>
      <c r="M236" s="82">
        <f>VLOOKUP(B236,'116+240'!$B$14:$AB$682,21,FALSE)</f>
        <v>3573</v>
      </c>
      <c r="N236" s="81">
        <f>VLOOKUP(B236,'116+240'!$B$15:$AB$682,5,FALSE)</f>
        <v>-1016</v>
      </c>
      <c r="O236" s="80">
        <f t="shared" si="42"/>
        <v>3483</v>
      </c>
      <c r="P236" s="80">
        <f>VLOOKUP(B236,'116+240'!$B$15:$AB$682,14,FALSE)</f>
        <v>-517</v>
      </c>
      <c r="Q236" s="89">
        <f>'116+240'!R237</f>
        <v>10</v>
      </c>
      <c r="R236" s="83">
        <f t="shared" si="47"/>
        <v>437</v>
      </c>
      <c r="S236" s="82">
        <f>VLOOKUP(B236,'116+240'!$B$14:$AB$682,22,FALSE)</f>
        <v>3662</v>
      </c>
      <c r="T236" s="81">
        <f>VLOOKUP(B236,'116+240'!$B$15:$AB$682,6,FALSE)</f>
        <v>-1155</v>
      </c>
      <c r="U236" s="80">
        <f t="shared" si="43"/>
        <v>3622</v>
      </c>
      <c r="V236" s="79">
        <f>VLOOKUP(B236,'116+240'!$B$15:$AB$682,15,FALSE)</f>
        <v>-378</v>
      </c>
      <c r="W236" s="89">
        <f>'116+240'!S237</f>
        <v>10</v>
      </c>
      <c r="X236" s="83">
        <f t="shared" si="48"/>
        <v>348</v>
      </c>
      <c r="Y236" s="78">
        <f t="shared" si="49"/>
        <v>-10</v>
      </c>
      <c r="Z236" s="77">
        <f t="shared" si="50"/>
        <v>0</v>
      </c>
      <c r="AA236" s="76">
        <f t="shared" si="51"/>
        <v>3.9649999999999999</v>
      </c>
      <c r="AB236" s="76">
        <f t="shared" si="52"/>
        <v>3.2160000000000002</v>
      </c>
    </row>
    <row r="237" spans="2:28">
      <c r="B237" s="90">
        <f>'116+240'!B238</f>
        <v>45505</v>
      </c>
      <c r="C237" s="87">
        <f t="shared" si="44"/>
        <v>1</v>
      </c>
      <c r="D237" s="86">
        <f t="shared" si="45"/>
        <v>844</v>
      </c>
      <c r="E237" s="85">
        <f>VLOOKUP(B237,'116+240'!B238:AB244,3,FALSE)</f>
        <v>1625</v>
      </c>
      <c r="F237" s="81">
        <f t="shared" si="40"/>
        <v>2469</v>
      </c>
      <c r="G237" s="84">
        <f>VLOOKUP(B237,'116+240'!$B$15:$AB$682,20,FALSE)</f>
        <v>3323</v>
      </c>
      <c r="H237" s="84">
        <f>VLOOKUP(B237,'116+240'!$B$15:$AB$682,4,FALSE)</f>
        <v>-884</v>
      </c>
      <c r="I237" s="80">
        <f t="shared" si="41"/>
        <v>3353</v>
      </c>
      <c r="J237" s="80">
        <f>VLOOKUP(B237,'116+240'!$B$15:$AB$682,13,FALSE)</f>
        <v>-647</v>
      </c>
      <c r="K237" s="89">
        <f>'116+240'!Q238</f>
        <v>10</v>
      </c>
      <c r="L237" s="83">
        <f t="shared" si="46"/>
        <v>687</v>
      </c>
      <c r="M237" s="82">
        <f>VLOOKUP(B237,'116+240'!$B$14:$AB$682,21,FALSE)</f>
        <v>3563</v>
      </c>
      <c r="N237" s="81">
        <f>VLOOKUP(B237,'116+240'!$B$15:$AB$682,5,FALSE)</f>
        <v>-1004</v>
      </c>
      <c r="O237" s="80">
        <f t="shared" si="42"/>
        <v>3473</v>
      </c>
      <c r="P237" s="80">
        <f>VLOOKUP(B237,'116+240'!$B$15:$AB$682,14,FALSE)</f>
        <v>-527</v>
      </c>
      <c r="Q237" s="89">
        <f>'116+240'!R238</f>
        <v>10</v>
      </c>
      <c r="R237" s="83">
        <f t="shared" si="47"/>
        <v>447</v>
      </c>
      <c r="S237" s="82">
        <f>VLOOKUP(B237,'116+240'!$B$14:$AB$682,22,FALSE)</f>
        <v>3652</v>
      </c>
      <c r="T237" s="81">
        <f>VLOOKUP(B237,'116+240'!$B$15:$AB$682,6,FALSE)</f>
        <v>-1143</v>
      </c>
      <c r="U237" s="80">
        <f t="shared" si="43"/>
        <v>3612</v>
      </c>
      <c r="V237" s="79">
        <f>VLOOKUP(B237,'116+240'!$B$15:$AB$682,15,FALSE)</f>
        <v>-388</v>
      </c>
      <c r="W237" s="89">
        <f>'116+240'!S238</f>
        <v>10</v>
      </c>
      <c r="X237" s="83">
        <f t="shared" si="48"/>
        <v>358</v>
      </c>
      <c r="Y237" s="78">
        <f t="shared" si="49"/>
        <v>-10</v>
      </c>
      <c r="Z237" s="77">
        <f t="shared" si="50"/>
        <v>0</v>
      </c>
      <c r="AA237" s="76">
        <f t="shared" si="51"/>
        <v>3.9649999999999999</v>
      </c>
      <c r="AB237" s="76">
        <f t="shared" si="52"/>
        <v>3.1960000000000002</v>
      </c>
    </row>
    <row r="238" spans="2:28">
      <c r="B238" s="90">
        <f>'116+240'!B239</f>
        <v>45506</v>
      </c>
      <c r="C238" s="87">
        <f t="shared" si="44"/>
        <v>1</v>
      </c>
      <c r="D238" s="86">
        <f t="shared" si="45"/>
        <v>844</v>
      </c>
      <c r="E238" s="85">
        <f>VLOOKUP(B238,'116+240'!B239:AB244,3,FALSE)</f>
        <v>1627</v>
      </c>
      <c r="F238" s="81">
        <f t="shared" si="40"/>
        <v>2471</v>
      </c>
      <c r="G238" s="84">
        <f>VLOOKUP(B238,'116+240'!$B$15:$AB$682,20,FALSE)</f>
        <v>3613</v>
      </c>
      <c r="H238" s="84">
        <f>VLOOKUP(B238,'116+240'!$B$15:$AB$682,4,FALSE)</f>
        <v>-872</v>
      </c>
      <c r="I238" s="80">
        <f t="shared" si="41"/>
        <v>3343</v>
      </c>
      <c r="J238" s="80">
        <f>VLOOKUP(B238,'116+240'!$B$15:$AB$682,13,FALSE)</f>
        <v>-657</v>
      </c>
      <c r="K238" s="89">
        <f>'116+240'!Q239</f>
        <v>10</v>
      </c>
      <c r="L238" s="83">
        <f t="shared" si="46"/>
        <v>697</v>
      </c>
      <c r="M238" s="82">
        <f>VLOOKUP(B238,'116+240'!$B$14:$AB$682,21,FALSE)</f>
        <v>3853</v>
      </c>
      <c r="N238" s="81">
        <f>VLOOKUP(B238,'116+240'!$B$15:$AB$682,5,FALSE)</f>
        <v>-992</v>
      </c>
      <c r="O238" s="80">
        <f t="shared" si="42"/>
        <v>3463</v>
      </c>
      <c r="P238" s="80">
        <f>VLOOKUP(B238,'116+240'!$B$15:$AB$682,14,FALSE)</f>
        <v>-537</v>
      </c>
      <c r="Q238" s="89">
        <f>'116+240'!R239</f>
        <v>10</v>
      </c>
      <c r="R238" s="83">
        <f t="shared" si="47"/>
        <v>457</v>
      </c>
      <c r="S238" s="82">
        <f>VLOOKUP(B238,'116+240'!$B$14:$AB$682,22,FALSE)</f>
        <v>3942</v>
      </c>
      <c r="T238" s="81">
        <f>VLOOKUP(B238,'116+240'!$B$15:$AB$682,6,FALSE)</f>
        <v>-1131</v>
      </c>
      <c r="U238" s="80">
        <f t="shared" si="43"/>
        <v>3602</v>
      </c>
      <c r="V238" s="79">
        <f>VLOOKUP(B238,'116+240'!$B$15:$AB$682,15,FALSE)</f>
        <v>-398</v>
      </c>
      <c r="W238" s="89">
        <f>'116+240'!S239</f>
        <v>10</v>
      </c>
      <c r="X238" s="83">
        <f t="shared" si="48"/>
        <v>368</v>
      </c>
      <c r="Y238" s="78">
        <f t="shared" si="49"/>
        <v>290</v>
      </c>
      <c r="Z238" s="77">
        <f t="shared" si="50"/>
        <v>0.28999999999999998</v>
      </c>
      <c r="AA238" s="76">
        <f t="shared" si="51"/>
        <v>4.2549999999999999</v>
      </c>
      <c r="AB238" s="76">
        <f t="shared" si="52"/>
        <v>3.476</v>
      </c>
    </row>
    <row r="239" spans="2:28">
      <c r="B239" s="90">
        <f>'116+240'!B240</f>
        <v>45507</v>
      </c>
      <c r="C239" s="87">
        <f t="shared" si="44"/>
        <v>1</v>
      </c>
      <c r="D239" s="86">
        <f t="shared" si="45"/>
        <v>844</v>
      </c>
      <c r="E239" s="85">
        <f>VLOOKUP(B239,'116+240'!B240:AB244,3,FALSE)</f>
        <v>1629</v>
      </c>
      <c r="F239" s="81">
        <f t="shared" si="40"/>
        <v>2473</v>
      </c>
      <c r="G239" s="84">
        <f>VLOOKUP(B239,'116+240'!$B$15:$AB$682,20,FALSE)</f>
        <v>3603</v>
      </c>
      <c r="H239" s="84">
        <f>VLOOKUP(B239,'116+240'!$B$15:$AB$682,4,FALSE)</f>
        <v>-860</v>
      </c>
      <c r="I239" s="80">
        <f t="shared" si="41"/>
        <v>3333</v>
      </c>
      <c r="J239" s="80">
        <f>VLOOKUP(B239,'116+240'!$B$15:$AB$682,13,FALSE)</f>
        <v>-667</v>
      </c>
      <c r="K239" s="89">
        <f>'116+240'!Q240</f>
        <v>10</v>
      </c>
      <c r="L239" s="83">
        <f t="shared" si="46"/>
        <v>707</v>
      </c>
      <c r="M239" s="82">
        <f>VLOOKUP(B239,'116+240'!$B$14:$AB$682,21,FALSE)</f>
        <v>3843</v>
      </c>
      <c r="N239" s="81">
        <f>VLOOKUP(B239,'116+240'!$B$15:$AB$682,5,FALSE)</f>
        <v>-980</v>
      </c>
      <c r="O239" s="80">
        <f t="shared" si="42"/>
        <v>3453</v>
      </c>
      <c r="P239" s="80">
        <f>VLOOKUP(B239,'116+240'!$B$15:$AB$682,14,FALSE)</f>
        <v>-547</v>
      </c>
      <c r="Q239" s="89">
        <f>'116+240'!R240</f>
        <v>10</v>
      </c>
      <c r="R239" s="83">
        <f t="shared" si="47"/>
        <v>467</v>
      </c>
      <c r="S239" s="82">
        <f>VLOOKUP(B239,'116+240'!$B$14:$AB$682,22,FALSE)</f>
        <v>3932</v>
      </c>
      <c r="T239" s="81">
        <f>VLOOKUP(B239,'116+240'!$B$15:$AB$682,6,FALSE)</f>
        <v>-1119</v>
      </c>
      <c r="U239" s="80">
        <f t="shared" si="43"/>
        <v>3592</v>
      </c>
      <c r="V239" s="79">
        <f>VLOOKUP(B239,'116+240'!$B$15:$AB$682,15,FALSE)</f>
        <v>-408</v>
      </c>
      <c r="W239" s="89">
        <f>'116+240'!S240</f>
        <v>10</v>
      </c>
      <c r="X239" s="83">
        <f t="shared" si="48"/>
        <v>378</v>
      </c>
      <c r="Y239" s="78">
        <f t="shared" si="49"/>
        <v>-10</v>
      </c>
      <c r="Z239" s="77">
        <f t="shared" si="50"/>
        <v>0</v>
      </c>
      <c r="AA239" s="76">
        <f t="shared" si="51"/>
        <v>4.2549999999999999</v>
      </c>
      <c r="AB239" s="76">
        <f t="shared" si="52"/>
        <v>3.456</v>
      </c>
    </row>
    <row r="240" spans="2:28">
      <c r="B240" s="90">
        <f>'116+240'!B241</f>
        <v>45508</v>
      </c>
      <c r="C240" s="87">
        <f t="shared" si="44"/>
        <v>1</v>
      </c>
      <c r="D240" s="86">
        <f t="shared" si="45"/>
        <v>844</v>
      </c>
      <c r="E240" s="85">
        <f>VLOOKUP(B240,'116+240'!B241:AB244,3,FALSE)</f>
        <v>1631</v>
      </c>
      <c r="F240" s="81">
        <f t="shared" si="40"/>
        <v>2475</v>
      </c>
      <c r="G240" s="84">
        <f>VLOOKUP(B240,'116+240'!$B$15:$AB$682,20,FALSE)</f>
        <v>3593</v>
      </c>
      <c r="H240" s="84">
        <f>VLOOKUP(B240,'116+240'!$B$15:$AB$682,4,FALSE)</f>
        <v>-848</v>
      </c>
      <c r="I240" s="80">
        <f t="shared" si="41"/>
        <v>3323</v>
      </c>
      <c r="J240" s="80">
        <f>VLOOKUP(B240,'116+240'!$B$15:$AB$682,13,FALSE)</f>
        <v>-677</v>
      </c>
      <c r="K240" s="89">
        <f>'116+240'!Q241</f>
        <v>10</v>
      </c>
      <c r="L240" s="83">
        <f t="shared" si="46"/>
        <v>717</v>
      </c>
      <c r="M240" s="82">
        <f>VLOOKUP(B240,'116+240'!$B$14:$AB$682,21,FALSE)</f>
        <v>3833</v>
      </c>
      <c r="N240" s="81">
        <f>VLOOKUP(B240,'116+240'!$B$15:$AB$682,5,FALSE)</f>
        <v>-968</v>
      </c>
      <c r="O240" s="80">
        <f t="shared" si="42"/>
        <v>3443</v>
      </c>
      <c r="P240" s="80">
        <f>VLOOKUP(B240,'116+240'!$B$15:$AB$682,14,FALSE)</f>
        <v>-557</v>
      </c>
      <c r="Q240" s="89">
        <f>'116+240'!R241</f>
        <v>10</v>
      </c>
      <c r="R240" s="83">
        <f t="shared" si="47"/>
        <v>477</v>
      </c>
      <c r="S240" s="82">
        <f>VLOOKUP(B240,'116+240'!$B$14:$AB$682,22,FALSE)</f>
        <v>3922</v>
      </c>
      <c r="T240" s="81">
        <f>VLOOKUP(B240,'116+240'!$B$15:$AB$682,6,FALSE)</f>
        <v>-1107</v>
      </c>
      <c r="U240" s="80">
        <f t="shared" si="43"/>
        <v>3582</v>
      </c>
      <c r="V240" s="79">
        <f>VLOOKUP(B240,'116+240'!$B$15:$AB$682,15,FALSE)</f>
        <v>-418</v>
      </c>
      <c r="W240" s="89">
        <f>'116+240'!S241</f>
        <v>10</v>
      </c>
      <c r="X240" s="83">
        <f t="shared" si="48"/>
        <v>388</v>
      </c>
      <c r="Y240" s="78">
        <f t="shared" si="49"/>
        <v>-10</v>
      </c>
      <c r="Z240" s="77">
        <f t="shared" si="50"/>
        <v>0</v>
      </c>
      <c r="AA240" s="76">
        <f t="shared" si="51"/>
        <v>4.2549999999999999</v>
      </c>
      <c r="AB240" s="76">
        <f t="shared" si="52"/>
        <v>3.4359999999999999</v>
      </c>
    </row>
    <row r="241" spans="2:28">
      <c r="B241" s="90">
        <f>'116+240'!B242</f>
        <v>45509</v>
      </c>
      <c r="C241" s="87">
        <f t="shared" si="44"/>
        <v>1</v>
      </c>
      <c r="D241" s="86">
        <f t="shared" si="45"/>
        <v>844</v>
      </c>
      <c r="E241" s="85">
        <f>VLOOKUP(B241,'116+240'!B242:AB244,3,FALSE)</f>
        <v>1633</v>
      </c>
      <c r="F241" s="81">
        <f t="shared" si="40"/>
        <v>2477</v>
      </c>
      <c r="G241" s="84">
        <f>VLOOKUP(B241,'116+240'!$B$15:$AB$682,20,FALSE)</f>
        <v>3583</v>
      </c>
      <c r="H241" s="84">
        <f>VLOOKUP(B241,'116+240'!$B$15:$AB$682,4,FALSE)</f>
        <v>-836</v>
      </c>
      <c r="I241" s="80">
        <f t="shared" si="41"/>
        <v>3313</v>
      </c>
      <c r="J241" s="80">
        <f>VLOOKUP(B241,'116+240'!$B$15:$AB$682,13,FALSE)</f>
        <v>-687</v>
      </c>
      <c r="K241" s="89">
        <f>'116+240'!Q242</f>
        <v>10</v>
      </c>
      <c r="L241" s="83">
        <f t="shared" si="46"/>
        <v>727</v>
      </c>
      <c r="M241" s="82">
        <f>VLOOKUP(B241,'116+240'!$B$14:$AB$682,21,FALSE)</f>
        <v>3823</v>
      </c>
      <c r="N241" s="81">
        <f>VLOOKUP(B241,'116+240'!$B$15:$AB$682,5,FALSE)</f>
        <v>-956</v>
      </c>
      <c r="O241" s="80">
        <f t="shared" si="42"/>
        <v>3433</v>
      </c>
      <c r="P241" s="80">
        <f>VLOOKUP(B241,'116+240'!$B$15:$AB$682,14,FALSE)</f>
        <v>-567</v>
      </c>
      <c r="Q241" s="89">
        <f>'116+240'!R242</f>
        <v>10</v>
      </c>
      <c r="R241" s="83">
        <f t="shared" si="47"/>
        <v>487</v>
      </c>
      <c r="S241" s="82">
        <f>VLOOKUP(B241,'116+240'!$B$14:$AB$682,22,FALSE)</f>
        <v>3912</v>
      </c>
      <c r="T241" s="81">
        <f>VLOOKUP(B241,'116+240'!$B$15:$AB$682,6,FALSE)</f>
        <v>-1095</v>
      </c>
      <c r="U241" s="80">
        <f t="shared" si="43"/>
        <v>3572</v>
      </c>
      <c r="V241" s="79">
        <f>VLOOKUP(B241,'116+240'!$B$15:$AB$682,15,FALSE)</f>
        <v>-428</v>
      </c>
      <c r="W241" s="89">
        <f>'116+240'!S242</f>
        <v>10</v>
      </c>
      <c r="X241" s="83">
        <f t="shared" si="48"/>
        <v>398</v>
      </c>
      <c r="Y241" s="78">
        <f t="shared" si="49"/>
        <v>-10</v>
      </c>
      <c r="Z241" s="77">
        <f t="shared" si="50"/>
        <v>0</v>
      </c>
      <c r="AA241" s="76">
        <f t="shared" si="51"/>
        <v>4.2549999999999999</v>
      </c>
      <c r="AB241" s="76">
        <f t="shared" si="52"/>
        <v>3.4159999999999999</v>
      </c>
    </row>
    <row r="242" spans="2:28">
      <c r="B242" s="90">
        <f>'116+240'!B243</f>
        <v>45510</v>
      </c>
      <c r="C242" s="87">
        <f t="shared" si="44"/>
        <v>1</v>
      </c>
      <c r="D242" s="86">
        <f t="shared" si="45"/>
        <v>844</v>
      </c>
      <c r="E242" s="85">
        <f>VLOOKUP(B242,'116+240'!B243:AB244,3,FALSE)</f>
        <v>1635</v>
      </c>
      <c r="F242" s="81">
        <f t="shared" si="40"/>
        <v>2479</v>
      </c>
      <c r="G242" s="84">
        <f>VLOOKUP(B242,'116+240'!$B$15:$AB$682,20,FALSE)</f>
        <v>3573</v>
      </c>
      <c r="H242" s="84">
        <f>VLOOKUP(B242,'116+240'!$B$15:$AB$682,4,FALSE)</f>
        <v>-824</v>
      </c>
      <c r="I242" s="80">
        <f t="shared" si="41"/>
        <v>3303</v>
      </c>
      <c r="J242" s="80">
        <f>VLOOKUP(B242,'116+240'!$B$15:$AB$682,13,FALSE)</f>
        <v>-697</v>
      </c>
      <c r="K242" s="89">
        <f>'116+240'!Q243</f>
        <v>10</v>
      </c>
      <c r="L242" s="83">
        <f t="shared" si="46"/>
        <v>737</v>
      </c>
      <c r="M242" s="82">
        <f>VLOOKUP(B242,'116+240'!$B$14:$AB$682,21,FALSE)</f>
        <v>3813</v>
      </c>
      <c r="N242" s="81">
        <f>VLOOKUP(B242,'116+240'!$B$15:$AB$682,5,FALSE)</f>
        <v>-944</v>
      </c>
      <c r="O242" s="80">
        <f t="shared" si="42"/>
        <v>3423</v>
      </c>
      <c r="P242" s="80">
        <f>VLOOKUP(B242,'116+240'!$B$15:$AB$682,14,FALSE)</f>
        <v>-577</v>
      </c>
      <c r="Q242" s="89">
        <f>'116+240'!R243</f>
        <v>10</v>
      </c>
      <c r="R242" s="83">
        <f t="shared" si="47"/>
        <v>497</v>
      </c>
      <c r="S242" s="82">
        <f>VLOOKUP(B242,'116+240'!$B$14:$AB$682,22,FALSE)</f>
        <v>3902</v>
      </c>
      <c r="T242" s="81">
        <f>VLOOKUP(B242,'116+240'!$B$15:$AB$682,6,FALSE)</f>
        <v>-1083</v>
      </c>
      <c r="U242" s="80">
        <f t="shared" si="43"/>
        <v>3562</v>
      </c>
      <c r="V242" s="79">
        <f>VLOOKUP(B242,'116+240'!$B$15:$AB$682,15,FALSE)</f>
        <v>-438</v>
      </c>
      <c r="W242" s="89">
        <f>'116+240'!S243</f>
        <v>10</v>
      </c>
      <c r="X242" s="83">
        <f t="shared" si="48"/>
        <v>408</v>
      </c>
      <c r="Y242" s="78">
        <f t="shared" si="49"/>
        <v>-10</v>
      </c>
      <c r="Z242" s="77">
        <f t="shared" si="50"/>
        <v>0</v>
      </c>
      <c r="AA242" s="76">
        <f t="shared" si="51"/>
        <v>4.2549999999999999</v>
      </c>
      <c r="AB242" s="76">
        <f t="shared" si="52"/>
        <v>3.3959999999999999</v>
      </c>
    </row>
    <row r="243" spans="2:28">
      <c r="B243" s="90">
        <f>'116+240'!B244</f>
        <v>45511</v>
      </c>
      <c r="C243" s="87">
        <f t="shared" si="44"/>
        <v>1</v>
      </c>
      <c r="D243" s="86">
        <f t="shared" si="45"/>
        <v>844</v>
      </c>
      <c r="E243" s="85">
        <f>VLOOKUP(B243,'116+240'!B244:AB244,3,FALSE)</f>
        <v>1637</v>
      </c>
      <c r="F243" s="81">
        <f t="shared" si="40"/>
        <v>2481</v>
      </c>
      <c r="G243" s="84">
        <f>VLOOKUP(B243,'116+240'!$B$15:$AB$682,20,FALSE)</f>
        <v>3563</v>
      </c>
      <c r="H243" s="84">
        <f>VLOOKUP(B243,'116+240'!$B$15:$AB$682,4,FALSE)</f>
        <v>-812</v>
      </c>
      <c r="I243" s="80">
        <f t="shared" si="41"/>
        <v>3293</v>
      </c>
      <c r="J243" s="80">
        <f>VLOOKUP(B243,'116+240'!$B$15:$AB$682,13,FALSE)</f>
        <v>-707</v>
      </c>
      <c r="K243" s="89">
        <f>'116+240'!Q244</f>
        <v>10</v>
      </c>
      <c r="L243" s="83">
        <f t="shared" si="46"/>
        <v>747</v>
      </c>
      <c r="M243" s="82">
        <f>VLOOKUP(B243,'116+240'!$B$14:$AB$682,21,FALSE)</f>
        <v>3803</v>
      </c>
      <c r="N243" s="81">
        <f>VLOOKUP(B243,'116+240'!$B$15:$AB$682,5,FALSE)</f>
        <v>-932</v>
      </c>
      <c r="O243" s="80">
        <f t="shared" si="42"/>
        <v>3413</v>
      </c>
      <c r="P243" s="80">
        <f>VLOOKUP(B243,'116+240'!$B$15:$AB$682,14,FALSE)</f>
        <v>-587</v>
      </c>
      <c r="Q243" s="89">
        <f>'116+240'!R244</f>
        <v>10</v>
      </c>
      <c r="R243" s="83">
        <f t="shared" si="47"/>
        <v>507</v>
      </c>
      <c r="S243" s="82">
        <f>VLOOKUP(B243,'116+240'!$B$14:$AB$682,22,FALSE)</f>
        <v>3892</v>
      </c>
      <c r="T243" s="81">
        <f>VLOOKUP(B243,'116+240'!$B$15:$AB$682,6,FALSE)</f>
        <v>-1071</v>
      </c>
      <c r="U243" s="80">
        <f t="shared" si="43"/>
        <v>3552</v>
      </c>
      <c r="V243" s="79">
        <f>VLOOKUP(B243,'116+240'!$B$15:$AB$682,15,FALSE)</f>
        <v>-448</v>
      </c>
      <c r="W243" s="89">
        <f>'116+240'!S244</f>
        <v>10</v>
      </c>
      <c r="X243" s="83">
        <f t="shared" si="48"/>
        <v>418</v>
      </c>
      <c r="Y243" s="78">
        <f t="shared" si="49"/>
        <v>-10</v>
      </c>
      <c r="Z243" s="77">
        <f t="shared" si="50"/>
        <v>0</v>
      </c>
      <c r="AA243" s="76">
        <f t="shared" si="51"/>
        <v>4.2549999999999999</v>
      </c>
      <c r="AB243" s="76">
        <f t="shared" si="52"/>
        <v>3.3759999999999999</v>
      </c>
    </row>
    <row r="244" spans="2:28">
      <c r="B244" s="90">
        <f>'116+240'!B245</f>
        <v>45512</v>
      </c>
      <c r="C244" s="87">
        <f t="shared" si="44"/>
        <v>1</v>
      </c>
      <c r="D244" s="86">
        <f t="shared" si="45"/>
        <v>844</v>
      </c>
      <c r="E244" s="85">
        <f>VLOOKUP(B244,'116+240'!B245:AB245,3,FALSE)</f>
        <v>1639</v>
      </c>
      <c r="F244" s="81">
        <f t="shared" si="40"/>
        <v>2483</v>
      </c>
      <c r="G244" s="84">
        <f>VLOOKUP(B244,'116+240'!$B$15:$AB$682,20,FALSE)</f>
        <v>3553</v>
      </c>
      <c r="H244" s="84">
        <f>VLOOKUP(B244,'116+240'!$B$15:$AB$682,4,FALSE)</f>
        <v>-800</v>
      </c>
      <c r="I244" s="80">
        <f t="shared" si="41"/>
        <v>3283</v>
      </c>
      <c r="J244" s="80">
        <f>VLOOKUP(B244,'116+240'!$B$15:$AB$682,13,FALSE)</f>
        <v>-717</v>
      </c>
      <c r="K244" s="89">
        <f>'116+240'!Q245</f>
        <v>10</v>
      </c>
      <c r="L244" s="83">
        <f t="shared" si="46"/>
        <v>757</v>
      </c>
      <c r="M244" s="82">
        <f>VLOOKUP(B244,'116+240'!$B$14:$AB$682,21,FALSE)</f>
        <v>3793</v>
      </c>
      <c r="N244" s="81">
        <f>VLOOKUP(B244,'116+240'!$B$15:$AB$682,5,FALSE)</f>
        <v>-920</v>
      </c>
      <c r="O244" s="80">
        <f t="shared" si="42"/>
        <v>3403</v>
      </c>
      <c r="P244" s="80">
        <f>VLOOKUP(B244,'116+240'!$B$15:$AB$682,14,FALSE)</f>
        <v>-597</v>
      </c>
      <c r="Q244" s="89">
        <f>'116+240'!R245</f>
        <v>10</v>
      </c>
      <c r="R244" s="83">
        <f t="shared" si="47"/>
        <v>517</v>
      </c>
      <c r="S244" s="82">
        <f>VLOOKUP(B244,'116+240'!$B$14:$AB$682,22,FALSE)</f>
        <v>3882</v>
      </c>
      <c r="T244" s="81">
        <f>VLOOKUP(B244,'116+240'!$B$15:$AB$682,6,FALSE)</f>
        <v>-1059</v>
      </c>
      <c r="U244" s="80">
        <f t="shared" si="43"/>
        <v>3542</v>
      </c>
      <c r="V244" s="79">
        <f>VLOOKUP(B244,'116+240'!$B$15:$AB$682,15,FALSE)</f>
        <v>-458</v>
      </c>
      <c r="W244" s="89">
        <f>'116+240'!S245</f>
        <v>10</v>
      </c>
      <c r="X244" s="83">
        <f t="shared" si="48"/>
        <v>428</v>
      </c>
      <c r="Y244" s="78">
        <f t="shared" si="49"/>
        <v>-10</v>
      </c>
      <c r="Z244" s="77">
        <f t="shared" si="50"/>
        <v>0</v>
      </c>
      <c r="AA244" s="76">
        <f t="shared" si="51"/>
        <v>4.2549999999999999</v>
      </c>
      <c r="AB244" s="76">
        <f t="shared" si="52"/>
        <v>3.3559999999999999</v>
      </c>
    </row>
    <row r="245" spans="2:28">
      <c r="B245" s="90">
        <f>'116+240'!B246</f>
        <v>45513</v>
      </c>
      <c r="C245" s="87">
        <f t="shared" si="44"/>
        <v>1</v>
      </c>
      <c r="D245" s="86">
        <f t="shared" si="45"/>
        <v>844</v>
      </c>
      <c r="E245" s="85">
        <f>VLOOKUP(B245,'116+240'!B246:AB246,3,FALSE)</f>
        <v>1641</v>
      </c>
      <c r="F245" s="81">
        <f t="shared" si="40"/>
        <v>2485</v>
      </c>
      <c r="G245" s="84">
        <f>VLOOKUP(B245,'116+240'!$B$15:$AB$682,20,FALSE)</f>
        <v>3543</v>
      </c>
      <c r="H245" s="84">
        <f>VLOOKUP(B245,'116+240'!$B$15:$AB$682,4,FALSE)</f>
        <v>-788</v>
      </c>
      <c r="I245" s="80">
        <f t="shared" si="41"/>
        <v>3273</v>
      </c>
      <c r="J245" s="80">
        <f>VLOOKUP(B245,'116+240'!$B$15:$AB$682,13,FALSE)</f>
        <v>-727</v>
      </c>
      <c r="K245" s="89">
        <f>'116+240'!Q246</f>
        <v>10</v>
      </c>
      <c r="L245" s="83">
        <f t="shared" si="46"/>
        <v>767</v>
      </c>
      <c r="M245" s="82">
        <f>VLOOKUP(B245,'116+240'!$B$14:$AB$682,21,FALSE)</f>
        <v>3783</v>
      </c>
      <c r="N245" s="81">
        <f>VLOOKUP(B245,'116+240'!$B$15:$AB$682,5,FALSE)</f>
        <v>-908</v>
      </c>
      <c r="O245" s="80">
        <f t="shared" si="42"/>
        <v>3393</v>
      </c>
      <c r="P245" s="80">
        <f>VLOOKUP(B245,'116+240'!$B$15:$AB$682,14,FALSE)</f>
        <v>-607</v>
      </c>
      <c r="Q245" s="89">
        <f>'116+240'!R246</f>
        <v>10</v>
      </c>
      <c r="R245" s="83">
        <f t="shared" si="47"/>
        <v>527</v>
      </c>
      <c r="S245" s="82">
        <f>VLOOKUP(B245,'116+240'!$B$14:$AB$682,22,FALSE)</f>
        <v>3872</v>
      </c>
      <c r="T245" s="81">
        <f>VLOOKUP(B245,'116+240'!$B$15:$AB$682,6,FALSE)</f>
        <v>-1047</v>
      </c>
      <c r="U245" s="80">
        <f t="shared" si="43"/>
        <v>3532</v>
      </c>
      <c r="V245" s="79">
        <f>VLOOKUP(B245,'116+240'!$B$15:$AB$682,15,FALSE)</f>
        <v>-468</v>
      </c>
      <c r="W245" s="89">
        <f>'116+240'!S246</f>
        <v>10</v>
      </c>
      <c r="X245" s="83">
        <f t="shared" si="48"/>
        <v>438</v>
      </c>
      <c r="Y245" s="78">
        <f t="shared" si="49"/>
        <v>-10</v>
      </c>
      <c r="Z245" s="77">
        <f t="shared" si="50"/>
        <v>0</v>
      </c>
      <c r="AA245" s="76">
        <f t="shared" si="51"/>
        <v>4.2549999999999999</v>
      </c>
      <c r="AB245" s="76">
        <f t="shared" si="52"/>
        <v>3.3359999999999999</v>
      </c>
    </row>
    <row r="246" spans="2:28">
      <c r="B246" s="90">
        <f>'116+240'!B247</f>
        <v>45514</v>
      </c>
      <c r="C246" s="87">
        <f t="shared" si="44"/>
        <v>1</v>
      </c>
      <c r="D246" s="86">
        <f t="shared" si="45"/>
        <v>844</v>
      </c>
      <c r="E246" s="85">
        <f>VLOOKUP(B246,'116+240'!B247:AB247,3,FALSE)</f>
        <v>1643</v>
      </c>
      <c r="F246" s="81">
        <f t="shared" si="40"/>
        <v>2487</v>
      </c>
      <c r="G246" s="84">
        <f>VLOOKUP(B246,'116+240'!$B$15:$AB$682,20,FALSE)</f>
        <v>3533</v>
      </c>
      <c r="H246" s="84">
        <f>VLOOKUP(B246,'116+240'!$B$15:$AB$682,4,FALSE)</f>
        <v>-776</v>
      </c>
      <c r="I246" s="80">
        <f t="shared" si="41"/>
        <v>3263</v>
      </c>
      <c r="J246" s="80">
        <f>VLOOKUP(B246,'116+240'!$B$15:$AB$682,13,FALSE)</f>
        <v>-737</v>
      </c>
      <c r="K246" s="89">
        <f>'116+240'!Q247</f>
        <v>10</v>
      </c>
      <c r="L246" s="83">
        <f t="shared" si="46"/>
        <v>777</v>
      </c>
      <c r="M246" s="82">
        <f>VLOOKUP(B246,'116+240'!$B$14:$AB$682,21,FALSE)</f>
        <v>3773</v>
      </c>
      <c r="N246" s="81">
        <f>VLOOKUP(B246,'116+240'!$B$15:$AB$682,5,FALSE)</f>
        <v>-896</v>
      </c>
      <c r="O246" s="80">
        <f t="shared" si="42"/>
        <v>3383</v>
      </c>
      <c r="P246" s="80">
        <f>VLOOKUP(B246,'116+240'!$B$15:$AB$682,14,FALSE)</f>
        <v>-617</v>
      </c>
      <c r="Q246" s="89">
        <f>'116+240'!R247</f>
        <v>10</v>
      </c>
      <c r="R246" s="83">
        <f t="shared" si="47"/>
        <v>537</v>
      </c>
      <c r="S246" s="82">
        <f>VLOOKUP(B246,'116+240'!$B$14:$AB$682,22,FALSE)</f>
        <v>3862</v>
      </c>
      <c r="T246" s="81">
        <f>VLOOKUP(B246,'116+240'!$B$15:$AB$682,6,FALSE)</f>
        <v>-1035</v>
      </c>
      <c r="U246" s="80">
        <f t="shared" si="43"/>
        <v>3522</v>
      </c>
      <c r="V246" s="79">
        <f>VLOOKUP(B246,'116+240'!$B$15:$AB$682,15,FALSE)</f>
        <v>-478</v>
      </c>
      <c r="W246" s="89">
        <f>'116+240'!S247</f>
        <v>10</v>
      </c>
      <c r="X246" s="83">
        <f t="shared" si="48"/>
        <v>448</v>
      </c>
      <c r="Y246" s="78">
        <f t="shared" si="49"/>
        <v>-10</v>
      </c>
      <c r="Z246" s="77">
        <f t="shared" si="50"/>
        <v>0</v>
      </c>
      <c r="AA246" s="76">
        <f t="shared" si="51"/>
        <v>4.2549999999999999</v>
      </c>
      <c r="AB246" s="76">
        <f t="shared" si="52"/>
        <v>3.3159999999999998</v>
      </c>
    </row>
    <row r="247" spans="2:28">
      <c r="B247" s="90">
        <f>'116+240'!B248</f>
        <v>45515</v>
      </c>
      <c r="C247" s="87">
        <f t="shared" si="44"/>
        <v>1</v>
      </c>
      <c r="D247" s="86">
        <f t="shared" si="45"/>
        <v>844</v>
      </c>
      <c r="E247" s="85">
        <f>VLOOKUP(B247,'116+240'!B248:AB248,3,FALSE)</f>
        <v>1645</v>
      </c>
      <c r="F247" s="81">
        <f t="shared" si="40"/>
        <v>2489</v>
      </c>
      <c r="G247" s="84">
        <f>VLOOKUP(B247,'116+240'!$B$15:$AB$682,20,FALSE)</f>
        <v>3523</v>
      </c>
      <c r="H247" s="84">
        <f>VLOOKUP(B247,'116+240'!$B$15:$AB$682,4,FALSE)</f>
        <v>-764</v>
      </c>
      <c r="I247" s="80">
        <f t="shared" si="41"/>
        <v>3253</v>
      </c>
      <c r="J247" s="80">
        <f>VLOOKUP(B247,'116+240'!$B$15:$AB$682,13,FALSE)</f>
        <v>-747</v>
      </c>
      <c r="K247" s="89">
        <f>'116+240'!Q248</f>
        <v>10</v>
      </c>
      <c r="L247" s="83">
        <f t="shared" si="46"/>
        <v>787</v>
      </c>
      <c r="M247" s="82">
        <f>VLOOKUP(B247,'116+240'!$B$14:$AB$682,21,FALSE)</f>
        <v>3763</v>
      </c>
      <c r="N247" s="81">
        <f>VLOOKUP(B247,'116+240'!$B$15:$AB$682,5,FALSE)</f>
        <v>-884</v>
      </c>
      <c r="O247" s="80">
        <f t="shared" si="42"/>
        <v>3373</v>
      </c>
      <c r="P247" s="80">
        <f>VLOOKUP(B247,'116+240'!$B$15:$AB$682,14,FALSE)</f>
        <v>-627</v>
      </c>
      <c r="Q247" s="89">
        <f>'116+240'!R248</f>
        <v>10</v>
      </c>
      <c r="R247" s="83">
        <f t="shared" si="47"/>
        <v>547</v>
      </c>
      <c r="S247" s="82">
        <f>VLOOKUP(B247,'116+240'!$B$14:$AB$682,22,FALSE)</f>
        <v>3852</v>
      </c>
      <c r="T247" s="81">
        <f>VLOOKUP(B247,'116+240'!$B$15:$AB$682,6,FALSE)</f>
        <v>-1023</v>
      </c>
      <c r="U247" s="80">
        <f t="shared" si="43"/>
        <v>3512</v>
      </c>
      <c r="V247" s="79">
        <f>VLOOKUP(B247,'116+240'!$B$15:$AB$682,15,FALSE)</f>
        <v>-488</v>
      </c>
      <c r="W247" s="89">
        <f>'116+240'!S248</f>
        <v>10</v>
      </c>
      <c r="X247" s="83">
        <f t="shared" si="48"/>
        <v>458</v>
      </c>
      <c r="Y247" s="78">
        <f t="shared" si="49"/>
        <v>-10</v>
      </c>
      <c r="Z247" s="77">
        <f t="shared" si="50"/>
        <v>0</v>
      </c>
      <c r="AA247" s="76">
        <f t="shared" si="51"/>
        <v>4.2549999999999999</v>
      </c>
      <c r="AB247" s="76">
        <f t="shared" si="52"/>
        <v>3.2959999999999998</v>
      </c>
    </row>
    <row r="248" spans="2:28">
      <c r="B248" s="90">
        <f>'116+240'!B249</f>
        <v>45516</v>
      </c>
      <c r="C248" s="87">
        <f t="shared" si="44"/>
        <v>1</v>
      </c>
      <c r="D248" s="86">
        <f t="shared" si="45"/>
        <v>844</v>
      </c>
      <c r="E248" s="85">
        <f>VLOOKUP(B248,'116+240'!B249:AB249,3,FALSE)</f>
        <v>1647</v>
      </c>
      <c r="F248" s="81">
        <f t="shared" si="40"/>
        <v>2491</v>
      </c>
      <c r="G248" s="84">
        <f>VLOOKUP(B248,'116+240'!$B$15:$AB$682,20,FALSE)</f>
        <v>3513</v>
      </c>
      <c r="H248" s="84">
        <f>VLOOKUP(B248,'116+240'!$B$15:$AB$682,4,FALSE)</f>
        <v>-752</v>
      </c>
      <c r="I248" s="80">
        <f t="shared" si="41"/>
        <v>3243</v>
      </c>
      <c r="J248" s="80">
        <f>VLOOKUP(B248,'116+240'!$B$15:$AB$682,13,FALSE)</f>
        <v>-757</v>
      </c>
      <c r="K248" s="89">
        <f>'116+240'!Q249</f>
        <v>10</v>
      </c>
      <c r="L248" s="83">
        <f t="shared" si="46"/>
        <v>797</v>
      </c>
      <c r="M248" s="82">
        <f>VLOOKUP(B248,'116+240'!$B$14:$AB$682,21,FALSE)</f>
        <v>3753</v>
      </c>
      <c r="N248" s="81">
        <f>VLOOKUP(B248,'116+240'!$B$15:$AB$682,5,FALSE)</f>
        <v>-872</v>
      </c>
      <c r="O248" s="80">
        <f t="shared" si="42"/>
        <v>3363</v>
      </c>
      <c r="P248" s="80">
        <f>VLOOKUP(B248,'116+240'!$B$15:$AB$682,14,FALSE)</f>
        <v>-637</v>
      </c>
      <c r="Q248" s="89">
        <f>'116+240'!R249</f>
        <v>10</v>
      </c>
      <c r="R248" s="83">
        <f t="shared" si="47"/>
        <v>557</v>
      </c>
      <c r="S248" s="82">
        <f>VLOOKUP(B248,'116+240'!$B$14:$AB$682,22,FALSE)</f>
        <v>3842</v>
      </c>
      <c r="T248" s="81">
        <f>VLOOKUP(B248,'116+240'!$B$15:$AB$682,6,FALSE)</f>
        <v>-1011</v>
      </c>
      <c r="U248" s="80">
        <f t="shared" si="43"/>
        <v>3502</v>
      </c>
      <c r="V248" s="79">
        <f>VLOOKUP(B248,'116+240'!$B$15:$AB$682,15,FALSE)</f>
        <v>-498</v>
      </c>
      <c r="W248" s="89">
        <f>'116+240'!S249</f>
        <v>10</v>
      </c>
      <c r="X248" s="83">
        <f t="shared" si="48"/>
        <v>468</v>
      </c>
      <c r="Y248" s="78">
        <f t="shared" si="49"/>
        <v>-10</v>
      </c>
      <c r="Z248" s="77">
        <f t="shared" si="50"/>
        <v>0</v>
      </c>
      <c r="AA248" s="76">
        <f t="shared" si="51"/>
        <v>4.2549999999999999</v>
      </c>
      <c r="AB248" s="76">
        <f t="shared" si="52"/>
        <v>3.2759999999999998</v>
      </c>
    </row>
    <row r="249" spans="2:28">
      <c r="B249" s="90">
        <f>'116+240'!B250</f>
        <v>45517</v>
      </c>
      <c r="C249" s="87">
        <f t="shared" si="44"/>
        <v>1</v>
      </c>
      <c r="D249" s="86">
        <f t="shared" si="45"/>
        <v>844</v>
      </c>
      <c r="E249" s="85">
        <f>VLOOKUP(B249,'116+240'!B250:AB250,3,FALSE)</f>
        <v>1649</v>
      </c>
      <c r="F249" s="81">
        <f t="shared" si="40"/>
        <v>2493</v>
      </c>
      <c r="G249" s="84">
        <f>VLOOKUP(B249,'116+240'!$B$15:$AB$682,20,FALSE)</f>
        <v>3503</v>
      </c>
      <c r="H249" s="84">
        <f>VLOOKUP(B249,'116+240'!$B$15:$AB$682,4,FALSE)</f>
        <v>-740</v>
      </c>
      <c r="I249" s="80">
        <f t="shared" si="41"/>
        <v>3233</v>
      </c>
      <c r="J249" s="80">
        <f>VLOOKUP(B249,'116+240'!$B$15:$AB$682,13,FALSE)</f>
        <v>-767</v>
      </c>
      <c r="K249" s="89">
        <f>'116+240'!Q250</f>
        <v>10</v>
      </c>
      <c r="L249" s="83">
        <f t="shared" si="46"/>
        <v>807</v>
      </c>
      <c r="M249" s="82">
        <f>VLOOKUP(B249,'116+240'!$B$14:$AB$682,21,FALSE)</f>
        <v>3743</v>
      </c>
      <c r="N249" s="81">
        <f>VLOOKUP(B249,'116+240'!$B$15:$AB$682,5,FALSE)</f>
        <v>-860</v>
      </c>
      <c r="O249" s="80">
        <f t="shared" si="42"/>
        <v>3353</v>
      </c>
      <c r="P249" s="80">
        <f>VLOOKUP(B249,'116+240'!$B$15:$AB$682,14,FALSE)</f>
        <v>-647</v>
      </c>
      <c r="Q249" s="89">
        <f>'116+240'!R250</f>
        <v>10</v>
      </c>
      <c r="R249" s="83">
        <f t="shared" si="47"/>
        <v>567</v>
      </c>
      <c r="S249" s="82">
        <f>VLOOKUP(B249,'116+240'!$B$14:$AB$682,22,FALSE)</f>
        <v>3832</v>
      </c>
      <c r="T249" s="81">
        <f>VLOOKUP(B249,'116+240'!$B$15:$AB$682,6,FALSE)</f>
        <v>-999</v>
      </c>
      <c r="U249" s="80">
        <f t="shared" si="43"/>
        <v>3492</v>
      </c>
      <c r="V249" s="79">
        <f>VLOOKUP(B249,'116+240'!$B$15:$AB$682,15,FALSE)</f>
        <v>-508</v>
      </c>
      <c r="W249" s="89">
        <f>'116+240'!S250</f>
        <v>10</v>
      </c>
      <c r="X249" s="83">
        <f t="shared" si="48"/>
        <v>478</v>
      </c>
      <c r="Y249" s="78">
        <f t="shared" si="49"/>
        <v>-10</v>
      </c>
      <c r="Z249" s="77">
        <f t="shared" si="50"/>
        <v>0</v>
      </c>
      <c r="AA249" s="76">
        <f t="shared" si="51"/>
        <v>4.2549999999999999</v>
      </c>
      <c r="AB249" s="76">
        <f t="shared" si="52"/>
        <v>3.2559999999999998</v>
      </c>
    </row>
    <row r="250" spans="2:28">
      <c r="B250" s="90">
        <f>'116+240'!B251</f>
        <v>45518</v>
      </c>
      <c r="C250" s="87">
        <f t="shared" si="44"/>
        <v>1</v>
      </c>
      <c r="D250" s="86">
        <f t="shared" si="45"/>
        <v>844</v>
      </c>
      <c r="E250" s="85">
        <f>VLOOKUP(B250,'116+240'!B251:AB251,3,FALSE)</f>
        <v>1651</v>
      </c>
      <c r="F250" s="81">
        <f t="shared" si="40"/>
        <v>2495</v>
      </c>
      <c r="G250" s="84">
        <f>VLOOKUP(B250,'116+240'!$B$15:$AB$682,20,FALSE)</f>
        <v>3493</v>
      </c>
      <c r="H250" s="84">
        <f>VLOOKUP(B250,'116+240'!$B$15:$AB$682,4,FALSE)</f>
        <v>-728</v>
      </c>
      <c r="I250" s="80">
        <f t="shared" si="41"/>
        <v>3223</v>
      </c>
      <c r="J250" s="80">
        <f>VLOOKUP(B250,'116+240'!$B$15:$AB$682,13,FALSE)</f>
        <v>-777</v>
      </c>
      <c r="K250" s="89">
        <f>'116+240'!Q251</f>
        <v>10</v>
      </c>
      <c r="L250" s="83">
        <f t="shared" si="46"/>
        <v>817</v>
      </c>
      <c r="M250" s="82">
        <f>VLOOKUP(B250,'116+240'!$B$14:$AB$682,21,FALSE)</f>
        <v>3733</v>
      </c>
      <c r="N250" s="81">
        <f>VLOOKUP(B250,'116+240'!$B$15:$AB$682,5,FALSE)</f>
        <v>-848</v>
      </c>
      <c r="O250" s="80">
        <f t="shared" si="42"/>
        <v>3343</v>
      </c>
      <c r="P250" s="80">
        <f>VLOOKUP(B250,'116+240'!$B$15:$AB$682,14,FALSE)</f>
        <v>-657</v>
      </c>
      <c r="Q250" s="89">
        <f>'116+240'!R251</f>
        <v>10</v>
      </c>
      <c r="R250" s="83">
        <f t="shared" si="47"/>
        <v>577</v>
      </c>
      <c r="S250" s="82">
        <f>VLOOKUP(B250,'116+240'!$B$14:$AB$682,22,FALSE)</f>
        <v>3822</v>
      </c>
      <c r="T250" s="81">
        <f>VLOOKUP(B250,'116+240'!$B$15:$AB$682,6,FALSE)</f>
        <v>-987</v>
      </c>
      <c r="U250" s="80">
        <f t="shared" si="43"/>
        <v>3482</v>
      </c>
      <c r="V250" s="79">
        <f>VLOOKUP(B250,'116+240'!$B$15:$AB$682,15,FALSE)</f>
        <v>-518</v>
      </c>
      <c r="W250" s="89">
        <f>'116+240'!S251</f>
        <v>10</v>
      </c>
      <c r="X250" s="83">
        <f t="shared" si="48"/>
        <v>488</v>
      </c>
      <c r="Y250" s="78">
        <f t="shared" si="49"/>
        <v>-10</v>
      </c>
      <c r="Z250" s="77">
        <f t="shared" si="50"/>
        <v>0</v>
      </c>
      <c r="AA250" s="76">
        <f t="shared" si="51"/>
        <v>4.2549999999999999</v>
      </c>
      <c r="AB250" s="76">
        <f t="shared" si="52"/>
        <v>3.2360000000000002</v>
      </c>
    </row>
    <row r="251" spans="2:28">
      <c r="B251" s="90">
        <f>'116+240'!B252</f>
        <v>45519</v>
      </c>
      <c r="C251" s="87">
        <f t="shared" si="44"/>
        <v>1</v>
      </c>
      <c r="D251" s="86">
        <f t="shared" si="45"/>
        <v>844</v>
      </c>
      <c r="E251" s="85">
        <f>VLOOKUP(B251,'116+240'!B252:AB252,3,FALSE)</f>
        <v>1653</v>
      </c>
      <c r="F251" s="81">
        <f t="shared" si="40"/>
        <v>2497</v>
      </c>
      <c r="G251" s="84">
        <f>VLOOKUP(B251,'116+240'!$B$15:$AB$682,20,FALSE)</f>
        <v>3483</v>
      </c>
      <c r="H251" s="84">
        <f>VLOOKUP(B251,'116+240'!$B$15:$AB$682,4,FALSE)</f>
        <v>-716</v>
      </c>
      <c r="I251" s="80">
        <f t="shared" si="41"/>
        <v>3213</v>
      </c>
      <c r="J251" s="80">
        <f>VLOOKUP(B251,'116+240'!$B$15:$AB$682,13,FALSE)</f>
        <v>-787</v>
      </c>
      <c r="K251" s="89">
        <f>'116+240'!Q252</f>
        <v>10</v>
      </c>
      <c r="L251" s="83">
        <f t="shared" si="46"/>
        <v>827</v>
      </c>
      <c r="M251" s="82">
        <f>VLOOKUP(B251,'116+240'!$B$14:$AB$682,21,FALSE)</f>
        <v>3723</v>
      </c>
      <c r="N251" s="81">
        <f>VLOOKUP(B251,'116+240'!$B$15:$AB$682,5,FALSE)</f>
        <v>-836</v>
      </c>
      <c r="O251" s="80">
        <f t="shared" si="42"/>
        <v>3333</v>
      </c>
      <c r="P251" s="80">
        <f>VLOOKUP(B251,'116+240'!$B$15:$AB$682,14,FALSE)</f>
        <v>-667</v>
      </c>
      <c r="Q251" s="89">
        <f>'116+240'!R252</f>
        <v>10</v>
      </c>
      <c r="R251" s="83">
        <f t="shared" si="47"/>
        <v>587</v>
      </c>
      <c r="S251" s="82">
        <f>VLOOKUP(B251,'116+240'!$B$14:$AB$682,22,FALSE)</f>
        <v>3812</v>
      </c>
      <c r="T251" s="81">
        <f>VLOOKUP(B251,'116+240'!$B$15:$AB$682,6,FALSE)</f>
        <v>-975</v>
      </c>
      <c r="U251" s="80">
        <f t="shared" si="43"/>
        <v>3472</v>
      </c>
      <c r="V251" s="79">
        <f>VLOOKUP(B251,'116+240'!$B$15:$AB$682,15,FALSE)</f>
        <v>-528</v>
      </c>
      <c r="W251" s="89">
        <f>'116+240'!S252</f>
        <v>10</v>
      </c>
      <c r="X251" s="83">
        <f t="shared" si="48"/>
        <v>498</v>
      </c>
      <c r="Y251" s="78">
        <f t="shared" si="49"/>
        <v>-10</v>
      </c>
      <c r="Z251" s="77">
        <f t="shared" si="50"/>
        <v>0</v>
      </c>
      <c r="AA251" s="76">
        <f t="shared" si="51"/>
        <v>4.2549999999999999</v>
      </c>
      <c r="AB251" s="76">
        <f t="shared" si="52"/>
        <v>3.2160000000000002</v>
      </c>
    </row>
    <row r="252" spans="2:28">
      <c r="B252" s="90">
        <f>'116+240'!B253</f>
        <v>45520</v>
      </c>
      <c r="C252" s="87">
        <f t="shared" si="44"/>
        <v>1</v>
      </c>
      <c r="D252" s="86">
        <f t="shared" si="45"/>
        <v>844</v>
      </c>
      <c r="E252" s="85">
        <f>VLOOKUP(B252,'116+240'!B253:AB253,3,FALSE)</f>
        <v>1655</v>
      </c>
      <c r="F252" s="81">
        <f t="shared" si="40"/>
        <v>2499</v>
      </c>
      <c r="G252" s="84">
        <f>VLOOKUP(B252,'116+240'!$B$15:$AB$682,20,FALSE)</f>
        <v>3473</v>
      </c>
      <c r="H252" s="84">
        <f>VLOOKUP(B252,'116+240'!$B$15:$AB$682,4,FALSE)</f>
        <v>-704</v>
      </c>
      <c r="I252" s="80">
        <f t="shared" si="41"/>
        <v>3203</v>
      </c>
      <c r="J252" s="80">
        <f>VLOOKUP(B252,'116+240'!$B$15:$AB$682,13,FALSE)</f>
        <v>-797</v>
      </c>
      <c r="K252" s="89">
        <f>'116+240'!Q253</f>
        <v>10</v>
      </c>
      <c r="L252" s="83">
        <f t="shared" si="46"/>
        <v>837</v>
      </c>
      <c r="M252" s="82">
        <f>VLOOKUP(B252,'116+240'!$B$14:$AB$682,21,FALSE)</f>
        <v>3713</v>
      </c>
      <c r="N252" s="81">
        <f>VLOOKUP(B252,'116+240'!$B$15:$AB$682,5,FALSE)</f>
        <v>-824</v>
      </c>
      <c r="O252" s="80">
        <f t="shared" si="42"/>
        <v>3323</v>
      </c>
      <c r="P252" s="80">
        <f>VLOOKUP(B252,'116+240'!$B$15:$AB$682,14,FALSE)</f>
        <v>-677</v>
      </c>
      <c r="Q252" s="89">
        <f>'116+240'!R253</f>
        <v>10</v>
      </c>
      <c r="R252" s="83">
        <f t="shared" si="47"/>
        <v>597</v>
      </c>
      <c r="S252" s="82">
        <f>VLOOKUP(B252,'116+240'!$B$14:$AB$682,22,FALSE)</f>
        <v>3802</v>
      </c>
      <c r="T252" s="81">
        <f>VLOOKUP(B252,'116+240'!$B$15:$AB$682,6,FALSE)</f>
        <v>-963</v>
      </c>
      <c r="U252" s="80">
        <f t="shared" si="43"/>
        <v>3462</v>
      </c>
      <c r="V252" s="79">
        <f>VLOOKUP(B252,'116+240'!$B$15:$AB$682,15,FALSE)</f>
        <v>-538</v>
      </c>
      <c r="W252" s="89">
        <f>'116+240'!S253</f>
        <v>10</v>
      </c>
      <c r="X252" s="83">
        <f t="shared" si="48"/>
        <v>508</v>
      </c>
      <c r="Y252" s="78">
        <f t="shared" si="49"/>
        <v>-10</v>
      </c>
      <c r="Z252" s="77">
        <f t="shared" si="50"/>
        <v>0</v>
      </c>
      <c r="AA252" s="76">
        <f t="shared" si="51"/>
        <v>4.2549999999999999</v>
      </c>
      <c r="AB252" s="76">
        <f t="shared" si="52"/>
        <v>3.1960000000000002</v>
      </c>
    </row>
    <row r="253" spans="2:28">
      <c r="B253" s="90">
        <f>'116+240'!B254</f>
        <v>45521</v>
      </c>
      <c r="C253" s="87">
        <f t="shared" si="44"/>
        <v>1</v>
      </c>
      <c r="D253" s="86">
        <f t="shared" si="45"/>
        <v>844</v>
      </c>
      <c r="E253" s="85">
        <f>VLOOKUP(B253,'116+240'!B254:AB254,3,FALSE)</f>
        <v>1657</v>
      </c>
      <c r="F253" s="81">
        <f t="shared" si="40"/>
        <v>2501</v>
      </c>
      <c r="G253" s="84">
        <f>VLOOKUP(B253,'116+240'!$B$15:$AB$682,20,FALSE)</f>
        <v>3463</v>
      </c>
      <c r="H253" s="84">
        <f>VLOOKUP(B253,'116+240'!$B$15:$AB$682,4,FALSE)</f>
        <v>-692</v>
      </c>
      <c r="I253" s="80">
        <f t="shared" si="41"/>
        <v>3193</v>
      </c>
      <c r="J253" s="80">
        <f>VLOOKUP(B253,'116+240'!$B$15:$AB$682,13,FALSE)</f>
        <v>-807</v>
      </c>
      <c r="K253" s="89">
        <f>'116+240'!Q254</f>
        <v>10</v>
      </c>
      <c r="L253" s="83">
        <f t="shared" si="46"/>
        <v>847</v>
      </c>
      <c r="M253" s="82">
        <f>VLOOKUP(B253,'116+240'!$B$14:$AB$682,21,FALSE)</f>
        <v>3703</v>
      </c>
      <c r="N253" s="81">
        <f>VLOOKUP(B253,'116+240'!$B$15:$AB$682,5,FALSE)</f>
        <v>-812</v>
      </c>
      <c r="O253" s="80">
        <f t="shared" si="42"/>
        <v>3313</v>
      </c>
      <c r="P253" s="80">
        <f>VLOOKUP(B253,'116+240'!$B$15:$AB$682,14,FALSE)</f>
        <v>-687</v>
      </c>
      <c r="Q253" s="89">
        <f>'116+240'!R254</f>
        <v>10</v>
      </c>
      <c r="R253" s="83">
        <f t="shared" si="47"/>
        <v>607</v>
      </c>
      <c r="S253" s="82">
        <f>VLOOKUP(B253,'116+240'!$B$14:$AB$682,22,FALSE)</f>
        <v>3792</v>
      </c>
      <c r="T253" s="81">
        <f>VLOOKUP(B253,'116+240'!$B$15:$AB$682,6,FALSE)</f>
        <v>-951</v>
      </c>
      <c r="U253" s="80">
        <f t="shared" si="43"/>
        <v>3452</v>
      </c>
      <c r="V253" s="79">
        <f>VLOOKUP(B253,'116+240'!$B$15:$AB$682,15,FALSE)</f>
        <v>-548</v>
      </c>
      <c r="W253" s="89">
        <f>'116+240'!S254</f>
        <v>10</v>
      </c>
      <c r="X253" s="83">
        <f t="shared" si="48"/>
        <v>518</v>
      </c>
      <c r="Y253" s="78">
        <f t="shared" si="49"/>
        <v>-10</v>
      </c>
      <c r="Z253" s="77">
        <f t="shared" si="50"/>
        <v>0</v>
      </c>
      <c r="AA253" s="76">
        <f t="shared" si="51"/>
        <v>4.2549999999999999</v>
      </c>
      <c r="AB253" s="76">
        <f t="shared" si="52"/>
        <v>3.1760000000000002</v>
      </c>
    </row>
    <row r="254" spans="2:28">
      <c r="B254" s="90">
        <f>'116+240'!B255</f>
        <v>45522</v>
      </c>
      <c r="C254" s="87">
        <f t="shared" si="44"/>
        <v>1</v>
      </c>
      <c r="D254" s="86">
        <f t="shared" si="45"/>
        <v>844</v>
      </c>
      <c r="E254" s="85">
        <f>VLOOKUP(B254,'116+240'!B255:AB255,3,FALSE)</f>
        <v>1659</v>
      </c>
      <c r="F254" s="81">
        <f t="shared" si="40"/>
        <v>2503</v>
      </c>
      <c r="G254" s="84">
        <f>VLOOKUP(B254,'116+240'!$B$15:$AB$682,20,FALSE)</f>
        <v>3453</v>
      </c>
      <c r="H254" s="84">
        <f>VLOOKUP(B254,'116+240'!$B$15:$AB$682,4,FALSE)</f>
        <v>-680</v>
      </c>
      <c r="I254" s="80">
        <f t="shared" si="41"/>
        <v>3183</v>
      </c>
      <c r="J254" s="80">
        <f>VLOOKUP(B254,'116+240'!$B$15:$AB$682,13,FALSE)</f>
        <v>-817</v>
      </c>
      <c r="K254" s="89">
        <f>'116+240'!Q255</f>
        <v>10</v>
      </c>
      <c r="L254" s="83">
        <f t="shared" si="46"/>
        <v>857</v>
      </c>
      <c r="M254" s="82">
        <f>VLOOKUP(B254,'116+240'!$B$14:$AB$682,21,FALSE)</f>
        <v>3693</v>
      </c>
      <c r="N254" s="81">
        <f>VLOOKUP(B254,'116+240'!$B$15:$AB$682,5,FALSE)</f>
        <v>-800</v>
      </c>
      <c r="O254" s="80">
        <f t="shared" si="42"/>
        <v>3303</v>
      </c>
      <c r="P254" s="80">
        <f>VLOOKUP(B254,'116+240'!$B$15:$AB$682,14,FALSE)</f>
        <v>-697</v>
      </c>
      <c r="Q254" s="89">
        <f>'116+240'!R255</f>
        <v>10</v>
      </c>
      <c r="R254" s="83">
        <f t="shared" si="47"/>
        <v>617</v>
      </c>
      <c r="S254" s="82">
        <f>VLOOKUP(B254,'116+240'!$B$14:$AB$682,22,FALSE)</f>
        <v>3782</v>
      </c>
      <c r="T254" s="81">
        <f>VLOOKUP(B254,'116+240'!$B$15:$AB$682,6,FALSE)</f>
        <v>-939</v>
      </c>
      <c r="U254" s="80">
        <f t="shared" si="43"/>
        <v>3442</v>
      </c>
      <c r="V254" s="79">
        <f>VLOOKUP(B254,'116+240'!$B$15:$AB$682,15,FALSE)</f>
        <v>-558</v>
      </c>
      <c r="W254" s="89">
        <f>'116+240'!S255</f>
        <v>10</v>
      </c>
      <c r="X254" s="83">
        <f t="shared" si="48"/>
        <v>528</v>
      </c>
      <c r="Y254" s="78">
        <f t="shared" si="49"/>
        <v>-10</v>
      </c>
      <c r="Z254" s="77">
        <f t="shared" si="50"/>
        <v>0</v>
      </c>
      <c r="AA254" s="76">
        <f t="shared" si="51"/>
        <v>4.2549999999999999</v>
      </c>
      <c r="AB254" s="76">
        <f t="shared" si="52"/>
        <v>3.1560000000000001</v>
      </c>
    </row>
    <row r="255" spans="2:28">
      <c r="B255" s="90">
        <f>'116+240'!B256</f>
        <v>45523</v>
      </c>
      <c r="C255" s="87">
        <f t="shared" si="44"/>
        <v>1</v>
      </c>
      <c r="D255" s="86">
        <f t="shared" si="45"/>
        <v>844</v>
      </c>
      <c r="E255" s="85">
        <f>VLOOKUP(B255,'116+240'!B256:AB256,3,FALSE)</f>
        <v>1661</v>
      </c>
      <c r="F255" s="81">
        <f t="shared" si="40"/>
        <v>2505</v>
      </c>
      <c r="G255" s="84">
        <f>VLOOKUP(B255,'116+240'!$B$15:$AB$682,20,FALSE)</f>
        <v>3443</v>
      </c>
      <c r="H255" s="84">
        <f>VLOOKUP(B255,'116+240'!$B$15:$AB$682,4,FALSE)</f>
        <v>-668</v>
      </c>
      <c r="I255" s="80">
        <f t="shared" si="41"/>
        <v>3173</v>
      </c>
      <c r="J255" s="80">
        <f>VLOOKUP(B255,'116+240'!$B$15:$AB$682,13,FALSE)</f>
        <v>-827</v>
      </c>
      <c r="K255" s="89">
        <f>'116+240'!Q256</f>
        <v>10</v>
      </c>
      <c r="L255" s="83">
        <f t="shared" si="46"/>
        <v>867</v>
      </c>
      <c r="M255" s="82">
        <f>VLOOKUP(B255,'116+240'!$B$14:$AB$682,21,FALSE)</f>
        <v>3683</v>
      </c>
      <c r="N255" s="81">
        <f>VLOOKUP(B255,'116+240'!$B$15:$AB$682,5,FALSE)</f>
        <v>-788</v>
      </c>
      <c r="O255" s="80">
        <f t="shared" si="42"/>
        <v>3293</v>
      </c>
      <c r="P255" s="80">
        <f>VLOOKUP(B255,'116+240'!$B$15:$AB$682,14,FALSE)</f>
        <v>-707</v>
      </c>
      <c r="Q255" s="89">
        <f>'116+240'!R256</f>
        <v>10</v>
      </c>
      <c r="R255" s="83">
        <f t="shared" si="47"/>
        <v>627</v>
      </c>
      <c r="S255" s="82">
        <f>VLOOKUP(B255,'116+240'!$B$14:$AB$682,22,FALSE)</f>
        <v>3772</v>
      </c>
      <c r="T255" s="81">
        <f>VLOOKUP(B255,'116+240'!$B$15:$AB$682,6,FALSE)</f>
        <v>-927</v>
      </c>
      <c r="U255" s="80">
        <f t="shared" si="43"/>
        <v>3432</v>
      </c>
      <c r="V255" s="79">
        <f>VLOOKUP(B255,'116+240'!$B$15:$AB$682,15,FALSE)</f>
        <v>-568</v>
      </c>
      <c r="W255" s="89">
        <f>'116+240'!S256</f>
        <v>10</v>
      </c>
      <c r="X255" s="83">
        <f t="shared" si="48"/>
        <v>538</v>
      </c>
      <c r="Y255" s="78">
        <f t="shared" si="49"/>
        <v>-10</v>
      </c>
      <c r="Z255" s="77">
        <f t="shared" si="50"/>
        <v>0</v>
      </c>
      <c r="AA255" s="76">
        <f t="shared" si="51"/>
        <v>4.2549999999999999</v>
      </c>
      <c r="AB255" s="76">
        <f t="shared" si="52"/>
        <v>3.1360000000000001</v>
      </c>
    </row>
    <row r="256" spans="2:28">
      <c r="B256" s="90">
        <f>'116+240'!B257</f>
        <v>45524</v>
      </c>
      <c r="C256" s="87">
        <f t="shared" si="44"/>
        <v>1</v>
      </c>
      <c r="D256" s="86">
        <f t="shared" si="45"/>
        <v>844</v>
      </c>
      <c r="E256" s="85">
        <f>VLOOKUP(B256,'116+240'!B257:AB257,3,FALSE)</f>
        <v>1663</v>
      </c>
      <c r="F256" s="81">
        <f t="shared" si="40"/>
        <v>2507</v>
      </c>
      <c r="G256" s="84">
        <f>VLOOKUP(B256,'116+240'!$B$15:$AB$682,20,FALSE)</f>
        <v>3433</v>
      </c>
      <c r="H256" s="84">
        <f>VLOOKUP(B256,'116+240'!$B$15:$AB$682,4,FALSE)</f>
        <v>-656</v>
      </c>
      <c r="I256" s="80">
        <f t="shared" si="41"/>
        <v>3163</v>
      </c>
      <c r="J256" s="80">
        <f>VLOOKUP(B256,'116+240'!$B$15:$AB$682,13,FALSE)</f>
        <v>-837</v>
      </c>
      <c r="K256" s="89">
        <f>'116+240'!Q257</f>
        <v>10</v>
      </c>
      <c r="L256" s="83">
        <f t="shared" si="46"/>
        <v>877</v>
      </c>
      <c r="M256" s="82">
        <f>VLOOKUP(B256,'116+240'!$B$14:$AB$682,21,FALSE)</f>
        <v>3673</v>
      </c>
      <c r="N256" s="81">
        <f>VLOOKUP(B256,'116+240'!$B$15:$AB$682,5,FALSE)</f>
        <v>-776</v>
      </c>
      <c r="O256" s="80">
        <f t="shared" si="42"/>
        <v>3283</v>
      </c>
      <c r="P256" s="80">
        <f>VLOOKUP(B256,'116+240'!$B$15:$AB$682,14,FALSE)</f>
        <v>-717</v>
      </c>
      <c r="Q256" s="89">
        <f>'116+240'!R257</f>
        <v>10</v>
      </c>
      <c r="R256" s="83">
        <f t="shared" si="47"/>
        <v>637</v>
      </c>
      <c r="S256" s="82">
        <f>VLOOKUP(B256,'116+240'!$B$14:$AB$682,22,FALSE)</f>
        <v>3762</v>
      </c>
      <c r="T256" s="81">
        <f>VLOOKUP(B256,'116+240'!$B$15:$AB$682,6,FALSE)</f>
        <v>-915</v>
      </c>
      <c r="U256" s="80">
        <f t="shared" si="43"/>
        <v>3422</v>
      </c>
      <c r="V256" s="79">
        <f>VLOOKUP(B256,'116+240'!$B$15:$AB$682,15,FALSE)</f>
        <v>-578</v>
      </c>
      <c r="W256" s="89">
        <f>'116+240'!S257</f>
        <v>10</v>
      </c>
      <c r="X256" s="83">
        <f t="shared" si="48"/>
        <v>548</v>
      </c>
      <c r="Y256" s="78">
        <f t="shared" si="49"/>
        <v>-10</v>
      </c>
      <c r="Z256" s="77">
        <f t="shared" si="50"/>
        <v>0</v>
      </c>
      <c r="AA256" s="76">
        <f t="shared" si="51"/>
        <v>4.2549999999999999</v>
      </c>
      <c r="AB256" s="76">
        <f t="shared" si="52"/>
        <v>3.1160000000000001</v>
      </c>
    </row>
    <row r="257" spans="2:28">
      <c r="B257" s="90">
        <f>'116+240'!B258</f>
        <v>45525</v>
      </c>
      <c r="C257" s="87">
        <f t="shared" si="44"/>
        <v>1</v>
      </c>
      <c r="D257" s="86">
        <f t="shared" si="45"/>
        <v>844</v>
      </c>
      <c r="E257" s="85">
        <f>VLOOKUP(B257,'116+240'!B258:AB258,3,FALSE)</f>
        <v>1665</v>
      </c>
      <c r="F257" s="81">
        <f t="shared" si="40"/>
        <v>2509</v>
      </c>
      <c r="G257" s="84">
        <f>VLOOKUP(B257,'116+240'!$B$15:$AB$682,20,FALSE)</f>
        <v>3423</v>
      </c>
      <c r="H257" s="84">
        <f>VLOOKUP(B257,'116+240'!$B$15:$AB$682,4,FALSE)</f>
        <v>-644</v>
      </c>
      <c r="I257" s="80">
        <f t="shared" si="41"/>
        <v>3153</v>
      </c>
      <c r="J257" s="80">
        <f>VLOOKUP(B257,'116+240'!$B$15:$AB$682,13,FALSE)</f>
        <v>-847</v>
      </c>
      <c r="K257" s="89">
        <f>'116+240'!Q258</f>
        <v>10</v>
      </c>
      <c r="L257" s="83">
        <f t="shared" si="46"/>
        <v>887</v>
      </c>
      <c r="M257" s="82">
        <f>VLOOKUP(B257,'116+240'!$B$14:$AB$682,21,FALSE)</f>
        <v>3663</v>
      </c>
      <c r="N257" s="81">
        <f>VLOOKUP(B257,'116+240'!$B$15:$AB$682,5,FALSE)</f>
        <v>-764</v>
      </c>
      <c r="O257" s="80">
        <f t="shared" si="42"/>
        <v>3273</v>
      </c>
      <c r="P257" s="80">
        <f>VLOOKUP(B257,'116+240'!$B$15:$AB$682,14,FALSE)</f>
        <v>-727</v>
      </c>
      <c r="Q257" s="89">
        <f>'116+240'!R258</f>
        <v>10</v>
      </c>
      <c r="R257" s="83">
        <f t="shared" si="47"/>
        <v>647</v>
      </c>
      <c r="S257" s="82">
        <f>VLOOKUP(B257,'116+240'!$B$14:$AB$682,22,FALSE)</f>
        <v>3752</v>
      </c>
      <c r="T257" s="81">
        <f>VLOOKUP(B257,'116+240'!$B$15:$AB$682,6,FALSE)</f>
        <v>-903</v>
      </c>
      <c r="U257" s="80">
        <f t="shared" si="43"/>
        <v>3412</v>
      </c>
      <c r="V257" s="79">
        <f>VLOOKUP(B257,'116+240'!$B$15:$AB$682,15,FALSE)</f>
        <v>-588</v>
      </c>
      <c r="W257" s="89">
        <f>'116+240'!S258</f>
        <v>10</v>
      </c>
      <c r="X257" s="83">
        <f t="shared" si="48"/>
        <v>558</v>
      </c>
      <c r="Y257" s="78">
        <f t="shared" si="49"/>
        <v>-10</v>
      </c>
      <c r="Z257" s="77">
        <f t="shared" si="50"/>
        <v>0</v>
      </c>
      <c r="AA257" s="76">
        <f t="shared" si="51"/>
        <v>4.2549999999999999</v>
      </c>
      <c r="AB257" s="76">
        <f t="shared" si="52"/>
        <v>3.0960000000000001</v>
      </c>
    </row>
    <row r="258" spans="2:28">
      <c r="B258" s="90">
        <f>'116+240'!B259</f>
        <v>45526</v>
      </c>
      <c r="C258" s="87">
        <f t="shared" si="44"/>
        <v>1</v>
      </c>
      <c r="D258" s="86">
        <f t="shared" si="45"/>
        <v>844</v>
      </c>
      <c r="E258" s="85">
        <f>VLOOKUP(B258,'116+240'!B259:AB259,3,FALSE)</f>
        <v>1667</v>
      </c>
      <c r="F258" s="81">
        <f t="shared" si="40"/>
        <v>2511</v>
      </c>
      <c r="G258" s="84">
        <f>VLOOKUP(B258,'116+240'!$B$15:$AB$682,20,FALSE)</f>
        <v>3413</v>
      </c>
      <c r="H258" s="84">
        <f>VLOOKUP(B258,'116+240'!$B$15:$AB$682,4,FALSE)</f>
        <v>-632</v>
      </c>
      <c r="I258" s="80">
        <f t="shared" si="41"/>
        <v>3143</v>
      </c>
      <c r="J258" s="80">
        <f>VLOOKUP(B258,'116+240'!$B$15:$AB$682,13,FALSE)</f>
        <v>-857</v>
      </c>
      <c r="K258" s="89">
        <f>'116+240'!Q259</f>
        <v>10</v>
      </c>
      <c r="L258" s="83">
        <f t="shared" si="46"/>
        <v>897</v>
      </c>
      <c r="M258" s="82">
        <f>VLOOKUP(B258,'116+240'!$B$14:$AB$682,21,FALSE)</f>
        <v>3653</v>
      </c>
      <c r="N258" s="81">
        <f>VLOOKUP(B258,'116+240'!$B$15:$AB$682,5,FALSE)</f>
        <v>-752</v>
      </c>
      <c r="O258" s="80">
        <f t="shared" si="42"/>
        <v>3263</v>
      </c>
      <c r="P258" s="80">
        <f>VLOOKUP(B258,'116+240'!$B$15:$AB$682,14,FALSE)</f>
        <v>-737</v>
      </c>
      <c r="Q258" s="89">
        <f>'116+240'!R259</f>
        <v>10</v>
      </c>
      <c r="R258" s="83">
        <f t="shared" si="47"/>
        <v>657</v>
      </c>
      <c r="S258" s="82">
        <f>VLOOKUP(B258,'116+240'!$B$14:$AB$682,22,FALSE)</f>
        <v>3742</v>
      </c>
      <c r="T258" s="81">
        <f>VLOOKUP(B258,'116+240'!$B$15:$AB$682,6,FALSE)</f>
        <v>-891</v>
      </c>
      <c r="U258" s="80">
        <f t="shared" si="43"/>
        <v>3402</v>
      </c>
      <c r="V258" s="79">
        <f>VLOOKUP(B258,'116+240'!$B$15:$AB$682,15,FALSE)</f>
        <v>-598</v>
      </c>
      <c r="W258" s="89">
        <f>'116+240'!S259</f>
        <v>10</v>
      </c>
      <c r="X258" s="83">
        <f t="shared" si="48"/>
        <v>568</v>
      </c>
      <c r="Y258" s="78">
        <f t="shared" si="49"/>
        <v>-10</v>
      </c>
      <c r="Z258" s="77">
        <f t="shared" si="50"/>
        <v>0</v>
      </c>
      <c r="AA258" s="76">
        <f t="shared" si="51"/>
        <v>4.2549999999999999</v>
      </c>
      <c r="AB258" s="76">
        <f t="shared" si="52"/>
        <v>3.0760000000000001</v>
      </c>
    </row>
    <row r="259" spans="2:28">
      <c r="B259" s="90">
        <f>'116+240'!B260</f>
        <v>45527</v>
      </c>
      <c r="C259" s="87">
        <f t="shared" si="44"/>
        <v>1</v>
      </c>
      <c r="D259" s="86">
        <f t="shared" si="45"/>
        <v>844</v>
      </c>
      <c r="E259" s="85">
        <f>VLOOKUP(B259,'116+240'!B260:AB260,3,FALSE)</f>
        <v>1669</v>
      </c>
      <c r="F259" s="81">
        <f t="shared" si="40"/>
        <v>2513</v>
      </c>
      <c r="G259" s="84">
        <f>VLOOKUP(B259,'116+240'!$B$15:$AB$682,20,FALSE)</f>
        <v>3403</v>
      </c>
      <c r="H259" s="84">
        <f>VLOOKUP(B259,'116+240'!$B$15:$AB$682,4,FALSE)</f>
        <v>-620</v>
      </c>
      <c r="I259" s="80">
        <f t="shared" si="41"/>
        <v>3133</v>
      </c>
      <c r="J259" s="80">
        <f>VLOOKUP(B259,'116+240'!$B$15:$AB$682,13,FALSE)</f>
        <v>-867</v>
      </c>
      <c r="K259" s="89">
        <f>'116+240'!Q260</f>
        <v>10</v>
      </c>
      <c r="L259" s="83">
        <f t="shared" si="46"/>
        <v>907</v>
      </c>
      <c r="M259" s="82">
        <f>VLOOKUP(B259,'116+240'!$B$14:$AB$682,21,FALSE)</f>
        <v>3643</v>
      </c>
      <c r="N259" s="81">
        <f>VLOOKUP(B259,'116+240'!$B$15:$AB$682,5,FALSE)</f>
        <v>-740</v>
      </c>
      <c r="O259" s="80">
        <f t="shared" si="42"/>
        <v>3253</v>
      </c>
      <c r="P259" s="80">
        <f>VLOOKUP(B259,'116+240'!$B$15:$AB$682,14,FALSE)</f>
        <v>-747</v>
      </c>
      <c r="Q259" s="89">
        <f>'116+240'!R260</f>
        <v>10</v>
      </c>
      <c r="R259" s="83">
        <f t="shared" si="47"/>
        <v>667</v>
      </c>
      <c r="S259" s="82">
        <f>VLOOKUP(B259,'116+240'!$B$14:$AB$682,22,FALSE)</f>
        <v>3732</v>
      </c>
      <c r="T259" s="81">
        <f>VLOOKUP(B259,'116+240'!$B$15:$AB$682,6,FALSE)</f>
        <v>-879</v>
      </c>
      <c r="U259" s="80">
        <f t="shared" si="43"/>
        <v>3392</v>
      </c>
      <c r="V259" s="79">
        <f>VLOOKUP(B259,'116+240'!$B$15:$AB$682,15,FALSE)</f>
        <v>-608</v>
      </c>
      <c r="W259" s="89">
        <f>'116+240'!S260</f>
        <v>10</v>
      </c>
      <c r="X259" s="83">
        <f t="shared" si="48"/>
        <v>578</v>
      </c>
      <c r="Y259" s="78">
        <f t="shared" si="49"/>
        <v>-10</v>
      </c>
      <c r="Z259" s="77">
        <f t="shared" si="50"/>
        <v>0</v>
      </c>
      <c r="AA259" s="76">
        <f t="shared" si="51"/>
        <v>4.2549999999999999</v>
      </c>
      <c r="AB259" s="76">
        <f t="shared" si="52"/>
        <v>3.056</v>
      </c>
    </row>
    <row r="260" spans="2:28">
      <c r="B260" s="90">
        <f>'116+240'!B261</f>
        <v>45528</v>
      </c>
      <c r="C260" s="87">
        <f t="shared" si="44"/>
        <v>1</v>
      </c>
      <c r="D260" s="86">
        <f t="shared" si="45"/>
        <v>844</v>
      </c>
      <c r="E260" s="85">
        <f>VLOOKUP(B260,'116+240'!B261:AB261,3,FALSE)</f>
        <v>1671</v>
      </c>
      <c r="F260" s="81">
        <f t="shared" si="40"/>
        <v>2515</v>
      </c>
      <c r="G260" s="84">
        <f>VLOOKUP(B260,'116+240'!$B$15:$AB$682,20,FALSE)</f>
        <v>3393</v>
      </c>
      <c r="H260" s="84">
        <f>VLOOKUP(B260,'116+240'!$B$15:$AB$682,4,FALSE)</f>
        <v>-608</v>
      </c>
      <c r="I260" s="80">
        <f t="shared" si="41"/>
        <v>3123</v>
      </c>
      <c r="J260" s="80">
        <f>VLOOKUP(B260,'116+240'!$B$15:$AB$682,13,FALSE)</f>
        <v>-877</v>
      </c>
      <c r="K260" s="89">
        <f>'116+240'!Q261</f>
        <v>10</v>
      </c>
      <c r="L260" s="83">
        <f t="shared" si="46"/>
        <v>917</v>
      </c>
      <c r="M260" s="82">
        <f>VLOOKUP(B260,'116+240'!$B$14:$AB$682,21,FALSE)</f>
        <v>3633</v>
      </c>
      <c r="N260" s="81">
        <f>VLOOKUP(B260,'116+240'!$B$15:$AB$682,5,FALSE)</f>
        <v>-728</v>
      </c>
      <c r="O260" s="80">
        <f t="shared" si="42"/>
        <v>3243</v>
      </c>
      <c r="P260" s="80">
        <f>VLOOKUP(B260,'116+240'!$B$15:$AB$682,14,FALSE)</f>
        <v>-757</v>
      </c>
      <c r="Q260" s="89">
        <f>'116+240'!R261</f>
        <v>10</v>
      </c>
      <c r="R260" s="83">
        <f t="shared" si="47"/>
        <v>677</v>
      </c>
      <c r="S260" s="82">
        <f>VLOOKUP(B260,'116+240'!$B$14:$AB$682,22,FALSE)</f>
        <v>3722</v>
      </c>
      <c r="T260" s="81">
        <f>VLOOKUP(B260,'116+240'!$B$15:$AB$682,6,FALSE)</f>
        <v>-867</v>
      </c>
      <c r="U260" s="80">
        <f t="shared" si="43"/>
        <v>3382</v>
      </c>
      <c r="V260" s="79">
        <f>VLOOKUP(B260,'116+240'!$B$15:$AB$682,15,FALSE)</f>
        <v>-618</v>
      </c>
      <c r="W260" s="89">
        <f>'116+240'!S261</f>
        <v>10</v>
      </c>
      <c r="X260" s="83">
        <f t="shared" si="48"/>
        <v>588</v>
      </c>
      <c r="Y260" s="78">
        <f t="shared" si="49"/>
        <v>-10</v>
      </c>
      <c r="Z260" s="77">
        <f t="shared" si="50"/>
        <v>0</v>
      </c>
      <c r="AA260" s="76">
        <f t="shared" si="51"/>
        <v>4.2549999999999999</v>
      </c>
      <c r="AB260" s="76">
        <f t="shared" si="52"/>
        <v>3.036</v>
      </c>
    </row>
    <row r="261" spans="2:28">
      <c r="B261" s="90">
        <f>'116+240'!B262</f>
        <v>45529</v>
      </c>
      <c r="C261" s="87">
        <f t="shared" si="44"/>
        <v>1</v>
      </c>
      <c r="D261" s="86">
        <f t="shared" si="45"/>
        <v>844</v>
      </c>
      <c r="E261" s="85">
        <f>VLOOKUP(B261,'116+240'!B262:AB262,3,FALSE)</f>
        <v>1673</v>
      </c>
      <c r="F261" s="81">
        <f t="shared" si="40"/>
        <v>2517</v>
      </c>
      <c r="G261" s="84">
        <f>VLOOKUP(B261,'116+240'!$B$15:$AB$682,20,FALSE)</f>
        <v>3383</v>
      </c>
      <c r="H261" s="84">
        <f>VLOOKUP(B261,'116+240'!$B$15:$AB$682,4,FALSE)</f>
        <v>-596</v>
      </c>
      <c r="I261" s="80">
        <f t="shared" si="41"/>
        <v>3113</v>
      </c>
      <c r="J261" s="80">
        <f>VLOOKUP(B261,'116+240'!$B$15:$AB$682,13,FALSE)</f>
        <v>-887</v>
      </c>
      <c r="K261" s="89">
        <f>'116+240'!Q262</f>
        <v>10</v>
      </c>
      <c r="L261" s="83">
        <f t="shared" si="46"/>
        <v>927</v>
      </c>
      <c r="M261" s="82">
        <f>VLOOKUP(B261,'116+240'!$B$14:$AB$682,21,FALSE)</f>
        <v>3623</v>
      </c>
      <c r="N261" s="81">
        <f>VLOOKUP(B261,'116+240'!$B$15:$AB$682,5,FALSE)</f>
        <v>-716</v>
      </c>
      <c r="O261" s="80">
        <f t="shared" si="42"/>
        <v>3233</v>
      </c>
      <c r="P261" s="80">
        <f>VLOOKUP(B261,'116+240'!$B$15:$AB$682,14,FALSE)</f>
        <v>-767</v>
      </c>
      <c r="Q261" s="89">
        <f>'116+240'!R262</f>
        <v>10</v>
      </c>
      <c r="R261" s="83">
        <f t="shared" si="47"/>
        <v>687</v>
      </c>
      <c r="S261" s="82">
        <f>VLOOKUP(B261,'116+240'!$B$14:$AB$682,22,FALSE)</f>
        <v>3712</v>
      </c>
      <c r="T261" s="81">
        <f>VLOOKUP(B261,'116+240'!$B$15:$AB$682,6,FALSE)</f>
        <v>-855</v>
      </c>
      <c r="U261" s="80">
        <f t="shared" si="43"/>
        <v>3372</v>
      </c>
      <c r="V261" s="79">
        <f>VLOOKUP(B261,'116+240'!$B$15:$AB$682,15,FALSE)</f>
        <v>-628</v>
      </c>
      <c r="W261" s="89">
        <f>'116+240'!S262</f>
        <v>10</v>
      </c>
      <c r="X261" s="83">
        <f t="shared" si="48"/>
        <v>598</v>
      </c>
      <c r="Y261" s="78">
        <f t="shared" si="49"/>
        <v>-10</v>
      </c>
      <c r="Z261" s="77">
        <f t="shared" si="50"/>
        <v>0</v>
      </c>
      <c r="AA261" s="76">
        <f t="shared" si="51"/>
        <v>4.2549999999999999</v>
      </c>
      <c r="AB261" s="76">
        <f t="shared" si="52"/>
        <v>3.016</v>
      </c>
    </row>
    <row r="262" spans="2:28">
      <c r="B262" s="90">
        <f>'116+240'!B263</f>
        <v>45530</v>
      </c>
      <c r="C262" s="87">
        <f t="shared" si="44"/>
        <v>1</v>
      </c>
      <c r="D262" s="86">
        <f t="shared" si="45"/>
        <v>844</v>
      </c>
      <c r="E262" s="85">
        <f>VLOOKUP(B262,'116+240'!B263:AB263,3,FALSE)</f>
        <v>1675</v>
      </c>
      <c r="F262" s="81">
        <f t="shared" si="40"/>
        <v>2519</v>
      </c>
      <c r="G262" s="84">
        <f>VLOOKUP(B262,'116+240'!$B$15:$AB$682,20,FALSE)</f>
        <v>3373</v>
      </c>
      <c r="H262" s="84">
        <f>VLOOKUP(B262,'116+240'!$B$15:$AB$682,4,FALSE)</f>
        <v>-584</v>
      </c>
      <c r="I262" s="80">
        <f t="shared" si="41"/>
        <v>3103</v>
      </c>
      <c r="J262" s="80">
        <f>VLOOKUP(B262,'116+240'!$B$15:$AB$682,13,FALSE)</f>
        <v>-897</v>
      </c>
      <c r="K262" s="89">
        <f>'116+240'!Q263</f>
        <v>10</v>
      </c>
      <c r="L262" s="83">
        <f t="shared" si="46"/>
        <v>937</v>
      </c>
      <c r="M262" s="82">
        <f>VLOOKUP(B262,'116+240'!$B$14:$AB$682,21,FALSE)</f>
        <v>3613</v>
      </c>
      <c r="N262" s="81">
        <f>VLOOKUP(B262,'116+240'!$B$15:$AB$682,5,FALSE)</f>
        <v>-704</v>
      </c>
      <c r="O262" s="80">
        <f t="shared" si="42"/>
        <v>3223</v>
      </c>
      <c r="P262" s="80">
        <f>VLOOKUP(B262,'116+240'!$B$15:$AB$682,14,FALSE)</f>
        <v>-777</v>
      </c>
      <c r="Q262" s="89">
        <f>'116+240'!R263</f>
        <v>10</v>
      </c>
      <c r="R262" s="83">
        <f t="shared" si="47"/>
        <v>697</v>
      </c>
      <c r="S262" s="82">
        <f>VLOOKUP(B262,'116+240'!$B$14:$AB$682,22,FALSE)</f>
        <v>3702</v>
      </c>
      <c r="T262" s="81">
        <f>VLOOKUP(B262,'116+240'!$B$15:$AB$682,6,FALSE)</f>
        <v>-843</v>
      </c>
      <c r="U262" s="80">
        <f t="shared" si="43"/>
        <v>3362</v>
      </c>
      <c r="V262" s="79">
        <f>VLOOKUP(B262,'116+240'!$B$15:$AB$682,15,FALSE)</f>
        <v>-638</v>
      </c>
      <c r="W262" s="89">
        <f>'116+240'!S263</f>
        <v>10</v>
      </c>
      <c r="X262" s="83">
        <f t="shared" si="48"/>
        <v>608</v>
      </c>
      <c r="Y262" s="78">
        <f t="shared" si="49"/>
        <v>-10</v>
      </c>
      <c r="Z262" s="77">
        <f t="shared" si="50"/>
        <v>0</v>
      </c>
      <c r="AA262" s="76">
        <f t="shared" si="51"/>
        <v>4.2549999999999999</v>
      </c>
      <c r="AB262" s="76">
        <f t="shared" si="52"/>
        <v>2.996</v>
      </c>
    </row>
    <row r="263" spans="2:28">
      <c r="B263" s="90">
        <f>'116+240'!B264</f>
        <v>45531</v>
      </c>
      <c r="C263" s="87">
        <f t="shared" si="44"/>
        <v>1</v>
      </c>
      <c r="D263" s="86">
        <f t="shared" si="45"/>
        <v>844</v>
      </c>
      <c r="E263" s="85">
        <f>VLOOKUP(B263,'116+240'!B264:AB264,3,FALSE)</f>
        <v>1677</v>
      </c>
      <c r="F263" s="81">
        <f t="shared" si="40"/>
        <v>2521</v>
      </c>
      <c r="G263" s="84">
        <f>VLOOKUP(B263,'116+240'!$B$15:$AB$682,20,FALSE)</f>
        <v>3363</v>
      </c>
      <c r="H263" s="84">
        <f>VLOOKUP(B263,'116+240'!$B$15:$AB$682,4,FALSE)</f>
        <v>-572</v>
      </c>
      <c r="I263" s="80">
        <f t="shared" si="41"/>
        <v>3093</v>
      </c>
      <c r="J263" s="80">
        <f>VLOOKUP(B263,'116+240'!$B$15:$AB$682,13,FALSE)</f>
        <v>-907</v>
      </c>
      <c r="K263" s="89">
        <f>'116+240'!Q264</f>
        <v>10</v>
      </c>
      <c r="L263" s="83">
        <f t="shared" si="46"/>
        <v>947</v>
      </c>
      <c r="M263" s="82">
        <f>VLOOKUP(B263,'116+240'!$B$14:$AB$682,21,FALSE)</f>
        <v>3603</v>
      </c>
      <c r="N263" s="81">
        <f>VLOOKUP(B263,'116+240'!$B$15:$AB$682,5,FALSE)</f>
        <v>-692</v>
      </c>
      <c r="O263" s="80">
        <f t="shared" si="42"/>
        <v>3213</v>
      </c>
      <c r="P263" s="80">
        <f>VLOOKUP(B263,'116+240'!$B$15:$AB$682,14,FALSE)</f>
        <v>-787</v>
      </c>
      <c r="Q263" s="89">
        <f>'116+240'!R264</f>
        <v>10</v>
      </c>
      <c r="R263" s="83">
        <f t="shared" si="47"/>
        <v>707</v>
      </c>
      <c r="S263" s="82">
        <f>VLOOKUP(B263,'116+240'!$B$14:$AB$682,22,FALSE)</f>
        <v>3692</v>
      </c>
      <c r="T263" s="81">
        <f>VLOOKUP(B263,'116+240'!$B$15:$AB$682,6,FALSE)</f>
        <v>-831</v>
      </c>
      <c r="U263" s="80">
        <f t="shared" si="43"/>
        <v>3352</v>
      </c>
      <c r="V263" s="79">
        <f>VLOOKUP(B263,'116+240'!$B$15:$AB$682,15,FALSE)</f>
        <v>-648</v>
      </c>
      <c r="W263" s="89">
        <f>'116+240'!S264</f>
        <v>10</v>
      </c>
      <c r="X263" s="83">
        <f t="shared" si="48"/>
        <v>618</v>
      </c>
      <c r="Y263" s="78">
        <f t="shared" si="49"/>
        <v>-10</v>
      </c>
      <c r="Z263" s="77">
        <f t="shared" si="50"/>
        <v>0</v>
      </c>
      <c r="AA263" s="76">
        <f t="shared" si="51"/>
        <v>4.2549999999999999</v>
      </c>
      <c r="AB263" s="76">
        <f t="shared" si="52"/>
        <v>2.976</v>
      </c>
    </row>
    <row r="264" spans="2:28">
      <c r="B264" s="90">
        <f>'116+240'!B265</f>
        <v>45532</v>
      </c>
      <c r="C264" s="87">
        <f t="shared" si="44"/>
        <v>1</v>
      </c>
      <c r="D264" s="86">
        <f t="shared" si="45"/>
        <v>844</v>
      </c>
      <c r="E264" s="85">
        <f>VLOOKUP(B264,'116+240'!B265:AB265,3,FALSE)</f>
        <v>1679</v>
      </c>
      <c r="F264" s="81">
        <f t="shared" si="40"/>
        <v>2523</v>
      </c>
      <c r="G264" s="84">
        <f>VLOOKUP(B264,'116+240'!$B$15:$AB$682,20,FALSE)</f>
        <v>3353</v>
      </c>
      <c r="H264" s="84">
        <f>VLOOKUP(B264,'116+240'!$B$15:$AB$682,4,FALSE)</f>
        <v>-560</v>
      </c>
      <c r="I264" s="80">
        <f t="shared" si="41"/>
        <v>3083</v>
      </c>
      <c r="J264" s="80">
        <f>VLOOKUP(B264,'116+240'!$B$15:$AB$682,13,FALSE)</f>
        <v>-917</v>
      </c>
      <c r="K264" s="89">
        <f>'116+240'!Q265</f>
        <v>10</v>
      </c>
      <c r="L264" s="83">
        <f t="shared" si="46"/>
        <v>957</v>
      </c>
      <c r="M264" s="82">
        <f>VLOOKUP(B264,'116+240'!$B$14:$AB$682,21,FALSE)</f>
        <v>3593</v>
      </c>
      <c r="N264" s="81">
        <f>VLOOKUP(B264,'116+240'!$B$15:$AB$682,5,FALSE)</f>
        <v>-680</v>
      </c>
      <c r="O264" s="80">
        <f t="shared" si="42"/>
        <v>3203</v>
      </c>
      <c r="P264" s="80">
        <f>VLOOKUP(B264,'116+240'!$B$15:$AB$682,14,FALSE)</f>
        <v>-797</v>
      </c>
      <c r="Q264" s="89">
        <f>'116+240'!R265</f>
        <v>10</v>
      </c>
      <c r="R264" s="83">
        <f t="shared" si="47"/>
        <v>717</v>
      </c>
      <c r="S264" s="82">
        <f>VLOOKUP(B264,'116+240'!$B$14:$AB$682,22,FALSE)</f>
        <v>3682</v>
      </c>
      <c r="T264" s="81">
        <f>VLOOKUP(B264,'116+240'!$B$15:$AB$682,6,FALSE)</f>
        <v>-819</v>
      </c>
      <c r="U264" s="80">
        <f t="shared" si="43"/>
        <v>3342</v>
      </c>
      <c r="V264" s="79">
        <f>VLOOKUP(B264,'116+240'!$B$15:$AB$682,15,FALSE)</f>
        <v>-658</v>
      </c>
      <c r="W264" s="89">
        <f>'116+240'!S265</f>
        <v>10</v>
      </c>
      <c r="X264" s="83">
        <f t="shared" si="48"/>
        <v>628</v>
      </c>
      <c r="Y264" s="78">
        <f t="shared" si="49"/>
        <v>-10</v>
      </c>
      <c r="Z264" s="77">
        <f t="shared" si="50"/>
        <v>0</v>
      </c>
      <c r="AA264" s="76">
        <f t="shared" si="51"/>
        <v>4.2549999999999999</v>
      </c>
      <c r="AB264" s="76">
        <f t="shared" si="52"/>
        <v>2.956</v>
      </c>
    </row>
    <row r="265" spans="2:28">
      <c r="B265" s="90">
        <f>'116+240'!B266</f>
        <v>45533</v>
      </c>
      <c r="C265" s="87">
        <f t="shared" si="44"/>
        <v>1</v>
      </c>
      <c r="D265" s="86">
        <f t="shared" si="45"/>
        <v>844</v>
      </c>
      <c r="E265" s="85">
        <f>VLOOKUP(B265,'116+240'!B266:AB266,3,FALSE)</f>
        <v>1681</v>
      </c>
      <c r="F265" s="81">
        <f t="shared" si="40"/>
        <v>2525</v>
      </c>
      <c r="G265" s="84">
        <f>VLOOKUP(B265,'116+240'!$B$15:$AB$682,20,FALSE)</f>
        <v>3343</v>
      </c>
      <c r="H265" s="84">
        <f>VLOOKUP(B265,'116+240'!$B$15:$AB$682,4,FALSE)</f>
        <v>-548</v>
      </c>
      <c r="I265" s="80">
        <f t="shared" si="41"/>
        <v>3073</v>
      </c>
      <c r="J265" s="80">
        <f>VLOOKUP(B265,'116+240'!$B$15:$AB$682,13,FALSE)</f>
        <v>-927</v>
      </c>
      <c r="K265" s="89">
        <f>'116+240'!Q266</f>
        <v>10</v>
      </c>
      <c r="L265" s="83">
        <f t="shared" si="46"/>
        <v>967</v>
      </c>
      <c r="M265" s="82">
        <f>VLOOKUP(B265,'116+240'!$B$14:$AB$682,21,FALSE)</f>
        <v>3583</v>
      </c>
      <c r="N265" s="81">
        <f>VLOOKUP(B265,'116+240'!$B$15:$AB$682,5,FALSE)</f>
        <v>-668</v>
      </c>
      <c r="O265" s="80">
        <f t="shared" si="42"/>
        <v>3193</v>
      </c>
      <c r="P265" s="80">
        <f>VLOOKUP(B265,'116+240'!$B$15:$AB$682,14,FALSE)</f>
        <v>-807</v>
      </c>
      <c r="Q265" s="89">
        <f>'116+240'!R266</f>
        <v>10</v>
      </c>
      <c r="R265" s="83">
        <f t="shared" si="47"/>
        <v>727</v>
      </c>
      <c r="S265" s="82">
        <f>VLOOKUP(B265,'116+240'!$B$14:$AB$682,22,FALSE)</f>
        <v>3672</v>
      </c>
      <c r="T265" s="81">
        <f>VLOOKUP(B265,'116+240'!$B$15:$AB$682,6,FALSE)</f>
        <v>-807</v>
      </c>
      <c r="U265" s="80">
        <f t="shared" si="43"/>
        <v>3332</v>
      </c>
      <c r="V265" s="79">
        <f>VLOOKUP(B265,'116+240'!$B$15:$AB$682,15,FALSE)</f>
        <v>-668</v>
      </c>
      <c r="W265" s="89">
        <f>'116+240'!S266</f>
        <v>10</v>
      </c>
      <c r="X265" s="83">
        <f t="shared" si="48"/>
        <v>638</v>
      </c>
      <c r="Y265" s="78">
        <f t="shared" si="49"/>
        <v>-10</v>
      </c>
      <c r="Z265" s="77">
        <f t="shared" si="50"/>
        <v>0</v>
      </c>
      <c r="AA265" s="76">
        <f t="shared" si="51"/>
        <v>4.2549999999999999</v>
      </c>
      <c r="AB265" s="76">
        <f t="shared" si="52"/>
        <v>2.9359999999999999</v>
      </c>
    </row>
    <row r="266" spans="2:28">
      <c r="B266" s="90">
        <f>'116+240'!B267</f>
        <v>45534</v>
      </c>
      <c r="C266" s="87">
        <f t="shared" si="44"/>
        <v>1</v>
      </c>
      <c r="D266" s="86">
        <f t="shared" si="45"/>
        <v>844</v>
      </c>
      <c r="E266" s="85">
        <f>VLOOKUP(B266,'116+240'!B267:AB267,3,FALSE)</f>
        <v>1683</v>
      </c>
      <c r="F266" s="81">
        <f t="shared" si="40"/>
        <v>2527</v>
      </c>
      <c r="G266" s="84">
        <f>VLOOKUP(B266,'116+240'!$B$15:$AB$682,20,FALSE)</f>
        <v>3335</v>
      </c>
      <c r="H266" s="84">
        <f>VLOOKUP(B266,'116+240'!$B$15:$AB$682,4,FALSE)</f>
        <v>-538</v>
      </c>
      <c r="I266" s="80">
        <f t="shared" si="41"/>
        <v>3065</v>
      </c>
      <c r="J266" s="80">
        <f>VLOOKUP(B266,'116+240'!$B$15:$AB$682,13,FALSE)</f>
        <v>-935</v>
      </c>
      <c r="K266" s="89">
        <f>'116+240'!Q267</f>
        <v>8</v>
      </c>
      <c r="L266" s="83">
        <f t="shared" si="46"/>
        <v>975</v>
      </c>
      <c r="M266" s="82">
        <f>VLOOKUP(B266,'116+240'!$B$14:$AB$682,21,FALSE)</f>
        <v>3574</v>
      </c>
      <c r="N266" s="81">
        <f>VLOOKUP(B266,'116+240'!$B$15:$AB$682,5,FALSE)</f>
        <v>-657</v>
      </c>
      <c r="O266" s="80">
        <f t="shared" si="42"/>
        <v>3184</v>
      </c>
      <c r="P266" s="80">
        <f>VLOOKUP(B266,'116+240'!$B$15:$AB$682,14,FALSE)</f>
        <v>-816</v>
      </c>
      <c r="Q266" s="89">
        <f>'116+240'!R267</f>
        <v>9</v>
      </c>
      <c r="R266" s="83">
        <f t="shared" si="47"/>
        <v>736</v>
      </c>
      <c r="S266" s="82">
        <f>VLOOKUP(B266,'116+240'!$B$14:$AB$682,22,FALSE)</f>
        <v>3662</v>
      </c>
      <c r="T266" s="81">
        <f>VLOOKUP(B266,'116+240'!$B$15:$AB$682,6,FALSE)</f>
        <v>-795</v>
      </c>
      <c r="U266" s="80">
        <f t="shared" si="43"/>
        <v>3322</v>
      </c>
      <c r="V266" s="79">
        <f>VLOOKUP(B266,'116+240'!$B$15:$AB$682,15,FALSE)</f>
        <v>-678</v>
      </c>
      <c r="W266" s="89">
        <f>'116+240'!S267</f>
        <v>10</v>
      </c>
      <c r="X266" s="83">
        <f t="shared" si="48"/>
        <v>648</v>
      </c>
      <c r="Y266" s="78">
        <f t="shared" si="49"/>
        <v>-10</v>
      </c>
      <c r="Z266" s="77">
        <f t="shared" si="50"/>
        <v>0</v>
      </c>
      <c r="AA266" s="76">
        <f t="shared" si="51"/>
        <v>4.2549999999999999</v>
      </c>
      <c r="AB266" s="76">
        <f t="shared" si="52"/>
        <v>2.9180000000000001</v>
      </c>
    </row>
    <row r="267" spans="2:28">
      <c r="B267" s="90">
        <f>'116+240'!B268</f>
        <v>45535</v>
      </c>
      <c r="C267" s="87">
        <f t="shared" si="44"/>
        <v>1</v>
      </c>
      <c r="D267" s="86">
        <f t="shared" si="45"/>
        <v>844</v>
      </c>
      <c r="E267" s="85">
        <f>VLOOKUP(B267,'116+240'!B268:AB268,3,FALSE)</f>
        <v>1685</v>
      </c>
      <c r="F267" s="81">
        <f t="shared" si="40"/>
        <v>2529</v>
      </c>
      <c r="G267" s="84">
        <f>VLOOKUP(B267,'116+240'!$B$15:$AB$682,20,FALSE)</f>
        <v>3326</v>
      </c>
      <c r="H267" s="84">
        <f>VLOOKUP(B267,'116+240'!$B$15:$AB$682,4,FALSE)</f>
        <v>-527</v>
      </c>
      <c r="I267" s="80">
        <f t="shared" si="41"/>
        <v>3056</v>
      </c>
      <c r="J267" s="80">
        <f>VLOOKUP(B267,'116+240'!$B$15:$AB$682,13,FALSE)</f>
        <v>-944</v>
      </c>
      <c r="K267" s="89">
        <f>'116+240'!Q268</f>
        <v>9</v>
      </c>
      <c r="L267" s="83">
        <f t="shared" si="46"/>
        <v>984</v>
      </c>
      <c r="M267" s="82">
        <f>VLOOKUP(B267,'116+240'!$B$14:$AB$682,21,FALSE)</f>
        <v>3566</v>
      </c>
      <c r="N267" s="81">
        <f>VLOOKUP(B267,'116+240'!$B$15:$AB$682,5,FALSE)</f>
        <v>-647</v>
      </c>
      <c r="O267" s="80">
        <f t="shared" si="42"/>
        <v>3176</v>
      </c>
      <c r="P267" s="80">
        <f>VLOOKUP(B267,'116+240'!$B$15:$AB$682,14,FALSE)</f>
        <v>-824</v>
      </c>
      <c r="Q267" s="89">
        <f>'116+240'!R268</f>
        <v>8</v>
      </c>
      <c r="R267" s="83">
        <f t="shared" si="47"/>
        <v>744</v>
      </c>
      <c r="S267" s="82">
        <f>VLOOKUP(B267,'116+240'!$B$14:$AB$682,22,FALSE)</f>
        <v>3652</v>
      </c>
      <c r="T267" s="81">
        <f>VLOOKUP(B267,'116+240'!$B$15:$AB$682,6,FALSE)</f>
        <v>-783</v>
      </c>
      <c r="U267" s="80">
        <f t="shared" si="43"/>
        <v>3312</v>
      </c>
      <c r="V267" s="79">
        <f>VLOOKUP(B267,'116+240'!$B$15:$AB$682,15,FALSE)</f>
        <v>-688</v>
      </c>
      <c r="W267" s="89">
        <f>'116+240'!S268</f>
        <v>10</v>
      </c>
      <c r="X267" s="83">
        <f t="shared" si="48"/>
        <v>658</v>
      </c>
      <c r="Y267" s="78">
        <f t="shared" si="49"/>
        <v>-10</v>
      </c>
      <c r="Z267" s="77">
        <f t="shared" si="50"/>
        <v>0</v>
      </c>
      <c r="AA267" s="76">
        <f t="shared" si="51"/>
        <v>4.2549999999999999</v>
      </c>
      <c r="AB267" s="76">
        <f t="shared" si="52"/>
        <v>2.9020000000000001</v>
      </c>
    </row>
    <row r="268" spans="2:28">
      <c r="B268" s="90">
        <f>'116+240'!B269</f>
        <v>45536</v>
      </c>
      <c r="C268" s="87">
        <f t="shared" si="44"/>
        <v>1</v>
      </c>
      <c r="D268" s="86">
        <f t="shared" si="45"/>
        <v>844</v>
      </c>
      <c r="E268" s="85">
        <f>VLOOKUP(B268,'116+240'!B269:AB269,3,FALSE)</f>
        <v>1687</v>
      </c>
      <c r="F268" s="81">
        <f t="shared" si="40"/>
        <v>2531</v>
      </c>
      <c r="G268" s="84">
        <f>VLOOKUP(B268,'116+240'!$B$15:$AB$682,20,FALSE)</f>
        <v>3318</v>
      </c>
      <c r="H268" s="84">
        <f>VLOOKUP(B268,'116+240'!$B$15:$AB$682,4,FALSE)</f>
        <v>-517</v>
      </c>
      <c r="I268" s="80">
        <f t="shared" si="41"/>
        <v>3048</v>
      </c>
      <c r="J268" s="80">
        <f>VLOOKUP(B268,'116+240'!$B$15:$AB$682,13,FALSE)</f>
        <v>-952</v>
      </c>
      <c r="K268" s="89">
        <f>'116+240'!Q269</f>
        <v>8</v>
      </c>
      <c r="L268" s="83">
        <f t="shared" si="46"/>
        <v>992</v>
      </c>
      <c r="M268" s="82">
        <f>VLOOKUP(B268,'116+240'!$B$14:$AB$682,21,FALSE)</f>
        <v>3558</v>
      </c>
      <c r="N268" s="81">
        <f>VLOOKUP(B268,'116+240'!$B$15:$AB$682,5,FALSE)</f>
        <v>-637</v>
      </c>
      <c r="O268" s="80">
        <f t="shared" si="42"/>
        <v>3168</v>
      </c>
      <c r="P268" s="80">
        <f>VLOOKUP(B268,'116+240'!$B$15:$AB$682,14,FALSE)</f>
        <v>-832</v>
      </c>
      <c r="Q268" s="89">
        <f>'116+240'!R269</f>
        <v>8</v>
      </c>
      <c r="R268" s="83">
        <f t="shared" si="47"/>
        <v>752</v>
      </c>
      <c r="S268" s="82">
        <f>VLOOKUP(B268,'116+240'!$B$14:$AB$682,22,FALSE)</f>
        <v>3642</v>
      </c>
      <c r="T268" s="81">
        <f>VLOOKUP(B268,'116+240'!$B$15:$AB$682,6,FALSE)</f>
        <v>-771</v>
      </c>
      <c r="U268" s="80">
        <f t="shared" si="43"/>
        <v>3302</v>
      </c>
      <c r="V268" s="79">
        <f>VLOOKUP(B268,'116+240'!$B$15:$AB$682,15,FALSE)</f>
        <v>-698</v>
      </c>
      <c r="W268" s="89">
        <f>'116+240'!S269</f>
        <v>10</v>
      </c>
      <c r="X268" s="83">
        <f t="shared" si="48"/>
        <v>668</v>
      </c>
      <c r="Y268" s="78">
        <f t="shared" si="49"/>
        <v>-10</v>
      </c>
      <c r="Z268" s="77">
        <f t="shared" si="50"/>
        <v>0</v>
      </c>
      <c r="AA268" s="76">
        <f t="shared" si="51"/>
        <v>4.2549999999999999</v>
      </c>
      <c r="AB268" s="76">
        <f t="shared" si="52"/>
        <v>2.8860000000000001</v>
      </c>
    </row>
    <row r="269" spans="2:28">
      <c r="B269" s="90">
        <f>'116+240'!B270</f>
        <v>45537</v>
      </c>
      <c r="C269" s="87">
        <f t="shared" si="44"/>
        <v>1</v>
      </c>
      <c r="D269" s="86">
        <f t="shared" si="45"/>
        <v>844</v>
      </c>
      <c r="E269" s="85">
        <f>VLOOKUP(B269,'116+240'!B270:AB270,3,FALSE)</f>
        <v>1689</v>
      </c>
      <c r="F269" s="81">
        <f t="shared" ref="F269:F332" si="53">D269+E269</f>
        <v>2533</v>
      </c>
      <c r="G269" s="84">
        <f>VLOOKUP(B269,'116+240'!$B$15:$AB$682,20,FALSE)</f>
        <v>3310</v>
      </c>
      <c r="H269" s="84">
        <f>VLOOKUP(B269,'116+240'!$B$15:$AB$682,4,FALSE)</f>
        <v>-507</v>
      </c>
      <c r="I269" s="80">
        <f t="shared" ref="I269:I332" si="54">F269-H269</f>
        <v>3040</v>
      </c>
      <c r="J269" s="80">
        <f>VLOOKUP(B269,'116+240'!$B$15:$AB$682,13,FALSE)</f>
        <v>-960</v>
      </c>
      <c r="K269" s="89">
        <f>'116+240'!Q270</f>
        <v>8</v>
      </c>
      <c r="L269" s="83">
        <f t="shared" si="46"/>
        <v>1000</v>
      </c>
      <c r="M269" s="82">
        <f>VLOOKUP(B269,'116+240'!$B$14:$AB$682,21,FALSE)</f>
        <v>3552</v>
      </c>
      <c r="N269" s="81">
        <f>VLOOKUP(B269,'116+240'!$B$15:$AB$682,5,FALSE)</f>
        <v>-629</v>
      </c>
      <c r="O269" s="80">
        <f t="shared" ref="O269:O332" si="55">F269-N269</f>
        <v>3162</v>
      </c>
      <c r="P269" s="80">
        <f>VLOOKUP(B269,'116+240'!$B$15:$AB$682,14,FALSE)</f>
        <v>-838</v>
      </c>
      <c r="Q269" s="89">
        <f>'116+240'!R270</f>
        <v>6</v>
      </c>
      <c r="R269" s="83">
        <f t="shared" si="47"/>
        <v>758</v>
      </c>
      <c r="S269" s="82">
        <f>VLOOKUP(B269,'116+240'!$B$14:$AB$682,22,FALSE)</f>
        <v>3633</v>
      </c>
      <c r="T269" s="81">
        <f>VLOOKUP(B269,'116+240'!$B$15:$AB$682,6,FALSE)</f>
        <v>-760</v>
      </c>
      <c r="U269" s="80">
        <f t="shared" ref="U269:U332" si="56">F269-T269</f>
        <v>3293</v>
      </c>
      <c r="V269" s="79">
        <f>VLOOKUP(B269,'116+240'!$B$15:$AB$682,15,FALSE)</f>
        <v>-707</v>
      </c>
      <c r="W269" s="89">
        <f>'116+240'!S270</f>
        <v>9</v>
      </c>
      <c r="X269" s="83">
        <f t="shared" si="48"/>
        <v>677</v>
      </c>
      <c r="Y269" s="78">
        <f t="shared" si="49"/>
        <v>-9</v>
      </c>
      <c r="Z269" s="77">
        <f t="shared" si="50"/>
        <v>0</v>
      </c>
      <c r="AA269" s="76">
        <f t="shared" si="51"/>
        <v>4.2549999999999999</v>
      </c>
      <c r="AB269" s="76">
        <f t="shared" si="52"/>
        <v>2.8740000000000001</v>
      </c>
    </row>
    <row r="270" spans="2:28">
      <c r="B270" s="90">
        <f>'116+240'!B271</f>
        <v>45538</v>
      </c>
      <c r="C270" s="87">
        <f t="shared" ref="C270:C333" si="57">B270-B269</f>
        <v>1</v>
      </c>
      <c r="D270" s="86">
        <f t="shared" ref="D270:D333" si="58">D269</f>
        <v>844</v>
      </c>
      <c r="E270" s="85">
        <f>VLOOKUP(B270,'116+240'!B271:AB271,3,FALSE)</f>
        <v>1691</v>
      </c>
      <c r="F270" s="81">
        <f t="shared" si="53"/>
        <v>2535</v>
      </c>
      <c r="G270" s="84">
        <f>VLOOKUP(B270,'116+240'!$B$15:$AB$682,20,FALSE)</f>
        <v>3304</v>
      </c>
      <c r="H270" s="84">
        <f>VLOOKUP(B270,'116+240'!$B$15:$AB$682,4,FALSE)</f>
        <v>-499</v>
      </c>
      <c r="I270" s="80">
        <f t="shared" si="54"/>
        <v>3034</v>
      </c>
      <c r="J270" s="80">
        <f>VLOOKUP(B270,'116+240'!$B$15:$AB$682,13,FALSE)</f>
        <v>-966</v>
      </c>
      <c r="K270" s="89">
        <f>'116+240'!Q271</f>
        <v>6</v>
      </c>
      <c r="L270" s="83">
        <f t="shared" ref="L270:L333" si="59">+K270+L269</f>
        <v>1006</v>
      </c>
      <c r="M270" s="82">
        <f>VLOOKUP(B270,'116+240'!$B$14:$AB$682,21,FALSE)</f>
        <v>3545</v>
      </c>
      <c r="N270" s="81">
        <f>VLOOKUP(B270,'116+240'!$B$15:$AB$682,5,FALSE)</f>
        <v>-620</v>
      </c>
      <c r="O270" s="80">
        <f t="shared" si="55"/>
        <v>3155</v>
      </c>
      <c r="P270" s="80">
        <f>VLOOKUP(B270,'116+240'!$B$15:$AB$682,14,FALSE)</f>
        <v>-845</v>
      </c>
      <c r="Q270" s="89">
        <f>'116+240'!R271</f>
        <v>7</v>
      </c>
      <c r="R270" s="83">
        <f t="shared" ref="R270:R333" si="60">+Q270+R269</f>
        <v>765</v>
      </c>
      <c r="S270" s="82">
        <f>VLOOKUP(B270,'116+240'!$B$14:$AB$682,22,FALSE)</f>
        <v>3625</v>
      </c>
      <c r="T270" s="81">
        <f>VLOOKUP(B270,'116+240'!$B$15:$AB$682,6,FALSE)</f>
        <v>-750</v>
      </c>
      <c r="U270" s="80">
        <f t="shared" si="56"/>
        <v>3285</v>
      </c>
      <c r="V270" s="79">
        <f>VLOOKUP(B270,'116+240'!$B$15:$AB$682,15,FALSE)</f>
        <v>-715</v>
      </c>
      <c r="W270" s="89">
        <f>'116+240'!S271</f>
        <v>8</v>
      </c>
      <c r="X270" s="83">
        <f t="shared" ref="X270:X333" si="61">+W270+X269</f>
        <v>685</v>
      </c>
      <c r="Y270" s="78">
        <f t="shared" ref="Y270:Y333" si="62">S270-S269</f>
        <v>-8</v>
      </c>
      <c r="Z270" s="77">
        <f t="shared" ref="Z270:Z333" si="63">IF(Y270&gt;0,Y270,0)/1000</f>
        <v>0</v>
      </c>
      <c r="AA270" s="76">
        <f t="shared" ref="AA270:AA333" si="64">AA269+Z270</f>
        <v>4.2549999999999999</v>
      </c>
      <c r="AB270" s="76">
        <f t="shared" ref="AB270:AB333" si="65">(M270-$M$13-R270)/1000</f>
        <v>2.86</v>
      </c>
    </row>
    <row r="271" spans="2:28">
      <c r="B271" s="90">
        <f>'116+240'!B272</f>
        <v>45539</v>
      </c>
      <c r="C271" s="87">
        <f t="shared" si="57"/>
        <v>1</v>
      </c>
      <c r="D271" s="86">
        <f t="shared" si="58"/>
        <v>844</v>
      </c>
      <c r="E271" s="85">
        <f>VLOOKUP(B271,'116+240'!B272:AB272,3,FALSE)</f>
        <v>1693</v>
      </c>
      <c r="F271" s="81">
        <f t="shared" si="53"/>
        <v>2537</v>
      </c>
      <c r="G271" s="84">
        <f>VLOOKUP(B271,'116+240'!$B$15:$AB$682,20,FALSE)</f>
        <v>3297</v>
      </c>
      <c r="H271" s="84">
        <f>VLOOKUP(B271,'116+240'!$B$15:$AB$682,4,FALSE)</f>
        <v>-490</v>
      </c>
      <c r="I271" s="80">
        <f t="shared" si="54"/>
        <v>3027</v>
      </c>
      <c r="J271" s="80">
        <f>VLOOKUP(B271,'116+240'!$B$15:$AB$682,13,FALSE)</f>
        <v>-973</v>
      </c>
      <c r="K271" s="89">
        <f>'116+240'!Q272</f>
        <v>7</v>
      </c>
      <c r="L271" s="83">
        <f t="shared" si="59"/>
        <v>1013</v>
      </c>
      <c r="M271" s="82">
        <f>VLOOKUP(B271,'116+240'!$B$14:$AB$682,21,FALSE)</f>
        <v>3541</v>
      </c>
      <c r="N271" s="81">
        <f>VLOOKUP(B271,'116+240'!$B$15:$AB$682,5,FALSE)</f>
        <v>-614</v>
      </c>
      <c r="O271" s="80">
        <f t="shared" si="55"/>
        <v>3151</v>
      </c>
      <c r="P271" s="80">
        <f>VLOOKUP(B271,'116+240'!$B$15:$AB$682,14,FALSE)</f>
        <v>-849</v>
      </c>
      <c r="Q271" s="89">
        <f>'116+240'!R272</f>
        <v>4</v>
      </c>
      <c r="R271" s="83">
        <f t="shared" si="60"/>
        <v>769</v>
      </c>
      <c r="S271" s="82">
        <f>VLOOKUP(B271,'116+240'!$B$14:$AB$682,22,FALSE)</f>
        <v>3617</v>
      </c>
      <c r="T271" s="81">
        <f>VLOOKUP(B271,'116+240'!$B$15:$AB$682,6,FALSE)</f>
        <v>-740</v>
      </c>
      <c r="U271" s="80">
        <f t="shared" si="56"/>
        <v>3277</v>
      </c>
      <c r="V271" s="79">
        <f>VLOOKUP(B271,'116+240'!$B$15:$AB$682,15,FALSE)</f>
        <v>-723</v>
      </c>
      <c r="W271" s="89">
        <f>'116+240'!S272</f>
        <v>8</v>
      </c>
      <c r="X271" s="83">
        <f t="shared" si="61"/>
        <v>693</v>
      </c>
      <c r="Y271" s="78">
        <f t="shared" si="62"/>
        <v>-8</v>
      </c>
      <c r="Z271" s="77">
        <f t="shared" si="63"/>
        <v>0</v>
      </c>
      <c r="AA271" s="76">
        <f t="shared" si="64"/>
        <v>4.2549999999999999</v>
      </c>
      <c r="AB271" s="76">
        <f t="shared" si="65"/>
        <v>2.8519999999999999</v>
      </c>
    </row>
    <row r="272" spans="2:28">
      <c r="B272" s="90">
        <f>'116+240'!B273</f>
        <v>45540</v>
      </c>
      <c r="C272" s="87">
        <f t="shared" si="57"/>
        <v>1</v>
      </c>
      <c r="D272" s="86">
        <f t="shared" si="58"/>
        <v>844</v>
      </c>
      <c r="E272" s="85">
        <f>VLOOKUP(B272,'116+240'!B273:AB273,3,FALSE)</f>
        <v>1695</v>
      </c>
      <c r="F272" s="81">
        <f t="shared" si="53"/>
        <v>2539</v>
      </c>
      <c r="G272" s="84">
        <f>VLOOKUP(B272,'116+240'!$B$15:$AB$682,20,FALSE)</f>
        <v>3293</v>
      </c>
      <c r="H272" s="84">
        <f>VLOOKUP(B272,'116+240'!$B$15:$AB$682,4,FALSE)</f>
        <v>-484</v>
      </c>
      <c r="I272" s="80">
        <f t="shared" si="54"/>
        <v>3023</v>
      </c>
      <c r="J272" s="80">
        <f>VLOOKUP(B272,'116+240'!$B$15:$AB$682,13,FALSE)</f>
        <v>-977</v>
      </c>
      <c r="K272" s="89">
        <f>'116+240'!Q273</f>
        <v>4</v>
      </c>
      <c r="L272" s="83">
        <f t="shared" si="59"/>
        <v>1017</v>
      </c>
      <c r="M272" s="82">
        <f>VLOOKUP(B272,'116+240'!$B$14:$AB$682,21,FALSE)</f>
        <v>3536</v>
      </c>
      <c r="N272" s="81">
        <f>VLOOKUP(B272,'116+240'!$B$15:$AB$682,5,FALSE)</f>
        <v>-607</v>
      </c>
      <c r="O272" s="80">
        <f t="shared" si="55"/>
        <v>3146</v>
      </c>
      <c r="P272" s="80">
        <f>VLOOKUP(B272,'116+240'!$B$15:$AB$682,14,FALSE)</f>
        <v>-854</v>
      </c>
      <c r="Q272" s="89">
        <f>'116+240'!R273</f>
        <v>5</v>
      </c>
      <c r="R272" s="83">
        <f t="shared" si="60"/>
        <v>774</v>
      </c>
      <c r="S272" s="82">
        <f>VLOOKUP(B272,'116+240'!$B$14:$AB$682,22,FALSE)</f>
        <v>3611</v>
      </c>
      <c r="T272" s="81">
        <f>VLOOKUP(B272,'116+240'!$B$15:$AB$682,6,FALSE)</f>
        <v>-732</v>
      </c>
      <c r="U272" s="80">
        <f t="shared" si="56"/>
        <v>3271</v>
      </c>
      <c r="V272" s="79">
        <f>VLOOKUP(B272,'116+240'!$B$15:$AB$682,15,FALSE)</f>
        <v>-729</v>
      </c>
      <c r="W272" s="89">
        <f>'116+240'!S273</f>
        <v>6</v>
      </c>
      <c r="X272" s="83">
        <f t="shared" si="61"/>
        <v>699</v>
      </c>
      <c r="Y272" s="78">
        <f t="shared" si="62"/>
        <v>-6</v>
      </c>
      <c r="Z272" s="77">
        <f t="shared" si="63"/>
        <v>0</v>
      </c>
      <c r="AA272" s="76">
        <f t="shared" si="64"/>
        <v>4.2549999999999999</v>
      </c>
      <c r="AB272" s="76">
        <f t="shared" si="65"/>
        <v>2.8420000000000001</v>
      </c>
    </row>
    <row r="273" spans="2:28">
      <c r="B273" s="90">
        <f>'116+240'!B274</f>
        <v>45541</v>
      </c>
      <c r="C273" s="87">
        <f t="shared" si="57"/>
        <v>1</v>
      </c>
      <c r="D273" s="86">
        <f t="shared" si="58"/>
        <v>844</v>
      </c>
      <c r="E273" s="85">
        <f>VLOOKUP(B273,'116+240'!B274:AB274,3,FALSE)</f>
        <v>1697</v>
      </c>
      <c r="F273" s="81">
        <f t="shared" si="53"/>
        <v>2541</v>
      </c>
      <c r="G273" s="84">
        <f>VLOOKUP(B273,'116+240'!$B$15:$AB$682,20,FALSE)</f>
        <v>3288</v>
      </c>
      <c r="H273" s="84">
        <f>VLOOKUP(B273,'116+240'!$B$15:$AB$682,4,FALSE)</f>
        <v>-477</v>
      </c>
      <c r="I273" s="80">
        <f t="shared" si="54"/>
        <v>3018</v>
      </c>
      <c r="J273" s="80">
        <f>VLOOKUP(B273,'116+240'!$B$15:$AB$682,13,FALSE)</f>
        <v>-982</v>
      </c>
      <c r="K273" s="89">
        <f>'116+240'!Q274</f>
        <v>5</v>
      </c>
      <c r="L273" s="83">
        <f t="shared" si="59"/>
        <v>1022</v>
      </c>
      <c r="M273" s="82">
        <f>VLOOKUP(B273,'116+240'!$B$14:$AB$682,21,FALSE)</f>
        <v>3533</v>
      </c>
      <c r="N273" s="81">
        <f>VLOOKUP(B273,'116+240'!$B$15:$AB$682,5,FALSE)</f>
        <v>-602</v>
      </c>
      <c r="O273" s="80">
        <f t="shared" si="55"/>
        <v>3143</v>
      </c>
      <c r="P273" s="80">
        <f>VLOOKUP(B273,'116+240'!$B$15:$AB$682,14,FALSE)</f>
        <v>-857</v>
      </c>
      <c r="Q273" s="89">
        <f>'116+240'!R274</f>
        <v>3</v>
      </c>
      <c r="R273" s="83">
        <f t="shared" si="60"/>
        <v>777</v>
      </c>
      <c r="S273" s="82">
        <f>VLOOKUP(B273,'116+240'!$B$14:$AB$682,22,FALSE)</f>
        <v>3604</v>
      </c>
      <c r="T273" s="81">
        <f>VLOOKUP(B273,'116+240'!$B$15:$AB$682,6,FALSE)</f>
        <v>-723</v>
      </c>
      <c r="U273" s="80">
        <f t="shared" si="56"/>
        <v>3264</v>
      </c>
      <c r="V273" s="79">
        <f>VLOOKUP(B273,'116+240'!$B$15:$AB$682,15,FALSE)</f>
        <v>-736</v>
      </c>
      <c r="W273" s="89">
        <f>'116+240'!S274</f>
        <v>7</v>
      </c>
      <c r="X273" s="83">
        <f t="shared" si="61"/>
        <v>706</v>
      </c>
      <c r="Y273" s="78">
        <f t="shared" si="62"/>
        <v>-7</v>
      </c>
      <c r="Z273" s="77">
        <f t="shared" si="63"/>
        <v>0</v>
      </c>
      <c r="AA273" s="76">
        <f t="shared" si="64"/>
        <v>4.2549999999999999</v>
      </c>
      <c r="AB273" s="76">
        <f t="shared" si="65"/>
        <v>2.8359999999999999</v>
      </c>
    </row>
    <row r="274" spans="2:28">
      <c r="B274" s="90">
        <f>'116+240'!B275</f>
        <v>45542</v>
      </c>
      <c r="C274" s="87">
        <f t="shared" si="57"/>
        <v>1</v>
      </c>
      <c r="D274" s="86">
        <f t="shared" si="58"/>
        <v>844</v>
      </c>
      <c r="E274" s="85">
        <f>VLOOKUP(B274,'116+240'!B275:AB275,3,FALSE)</f>
        <v>1699</v>
      </c>
      <c r="F274" s="81">
        <f t="shared" si="53"/>
        <v>2543</v>
      </c>
      <c r="G274" s="84">
        <f>VLOOKUP(B274,'116+240'!$B$15:$AB$682,20,FALSE)</f>
        <v>3285</v>
      </c>
      <c r="H274" s="84">
        <f>VLOOKUP(B274,'116+240'!$B$15:$AB$682,4,FALSE)</f>
        <v>-472</v>
      </c>
      <c r="I274" s="80">
        <f t="shared" si="54"/>
        <v>3015</v>
      </c>
      <c r="J274" s="80">
        <f>VLOOKUP(B274,'116+240'!$B$15:$AB$682,13,FALSE)</f>
        <v>-985</v>
      </c>
      <c r="K274" s="89">
        <f>'116+240'!Q275</f>
        <v>3</v>
      </c>
      <c r="L274" s="83">
        <f t="shared" si="59"/>
        <v>1025</v>
      </c>
      <c r="M274" s="82">
        <f>VLOOKUP(B274,'116+240'!$B$14:$AB$682,21,FALSE)</f>
        <v>3531</v>
      </c>
      <c r="N274" s="81">
        <f>VLOOKUP(B274,'116+240'!$B$15:$AB$682,5,FALSE)</f>
        <v>-598</v>
      </c>
      <c r="O274" s="80">
        <f t="shared" si="55"/>
        <v>3141</v>
      </c>
      <c r="P274" s="80">
        <f>VLOOKUP(B274,'116+240'!$B$15:$AB$682,14,FALSE)</f>
        <v>-859</v>
      </c>
      <c r="Q274" s="89">
        <f>'116+240'!R275</f>
        <v>2</v>
      </c>
      <c r="R274" s="83">
        <f t="shared" si="60"/>
        <v>779</v>
      </c>
      <c r="S274" s="82">
        <f>VLOOKUP(B274,'116+240'!$B$14:$AB$682,22,FALSE)</f>
        <v>3600</v>
      </c>
      <c r="T274" s="81">
        <f>VLOOKUP(B274,'116+240'!$B$15:$AB$682,6,FALSE)</f>
        <v>-717</v>
      </c>
      <c r="U274" s="80">
        <f t="shared" si="56"/>
        <v>3260</v>
      </c>
      <c r="V274" s="79">
        <f>VLOOKUP(B274,'116+240'!$B$15:$AB$682,15,FALSE)</f>
        <v>-740</v>
      </c>
      <c r="W274" s="89">
        <f>'116+240'!S275</f>
        <v>4</v>
      </c>
      <c r="X274" s="83">
        <f t="shared" si="61"/>
        <v>710</v>
      </c>
      <c r="Y274" s="78">
        <f t="shared" si="62"/>
        <v>-4</v>
      </c>
      <c r="Z274" s="77">
        <f t="shared" si="63"/>
        <v>0</v>
      </c>
      <c r="AA274" s="76">
        <f t="shared" si="64"/>
        <v>4.2549999999999999</v>
      </c>
      <c r="AB274" s="76">
        <f t="shared" si="65"/>
        <v>2.8319999999999999</v>
      </c>
    </row>
    <row r="275" spans="2:28">
      <c r="B275" s="90">
        <f>'116+240'!B276</f>
        <v>45543</v>
      </c>
      <c r="C275" s="87">
        <f t="shared" si="57"/>
        <v>1</v>
      </c>
      <c r="D275" s="86">
        <f t="shared" si="58"/>
        <v>844</v>
      </c>
      <c r="E275" s="85">
        <f>VLOOKUP(B275,'116+240'!B276:AB276,3,FALSE)</f>
        <v>1701</v>
      </c>
      <c r="F275" s="81">
        <f t="shared" si="53"/>
        <v>2545</v>
      </c>
      <c r="G275" s="84">
        <f>VLOOKUP(B275,'116+240'!$B$15:$AB$682,20,FALSE)</f>
        <v>3283</v>
      </c>
      <c r="H275" s="84">
        <f>VLOOKUP(B275,'116+240'!$B$15:$AB$682,4,FALSE)</f>
        <v>-468</v>
      </c>
      <c r="I275" s="80">
        <f t="shared" si="54"/>
        <v>3013</v>
      </c>
      <c r="J275" s="80">
        <f>VLOOKUP(B275,'116+240'!$B$15:$AB$682,13,FALSE)</f>
        <v>-987</v>
      </c>
      <c r="K275" s="89">
        <f>'116+240'!Q276</f>
        <v>2</v>
      </c>
      <c r="L275" s="83">
        <f t="shared" si="59"/>
        <v>1027</v>
      </c>
      <c r="M275" s="82">
        <f>VLOOKUP(B275,'116+240'!$B$14:$AB$682,21,FALSE)</f>
        <v>3529</v>
      </c>
      <c r="N275" s="81">
        <f>VLOOKUP(B275,'116+240'!$B$15:$AB$682,5,FALSE)</f>
        <v>-594</v>
      </c>
      <c r="O275" s="80">
        <f t="shared" si="55"/>
        <v>3139</v>
      </c>
      <c r="P275" s="80">
        <f>VLOOKUP(B275,'116+240'!$B$15:$AB$682,14,FALSE)</f>
        <v>-861</v>
      </c>
      <c r="Q275" s="89">
        <f>'116+240'!R276</f>
        <v>2</v>
      </c>
      <c r="R275" s="83">
        <f t="shared" si="60"/>
        <v>781</v>
      </c>
      <c r="S275" s="82">
        <f>VLOOKUP(B275,'116+240'!$B$14:$AB$682,22,FALSE)</f>
        <v>3592</v>
      </c>
      <c r="T275" s="81">
        <f>VLOOKUP(B275,'116+240'!$B$15:$AB$682,6,FALSE)</f>
        <v>-707</v>
      </c>
      <c r="U275" s="80">
        <f t="shared" si="56"/>
        <v>3252</v>
      </c>
      <c r="V275" s="79">
        <f>VLOOKUP(B275,'116+240'!$B$15:$AB$682,15,FALSE)</f>
        <v>-748</v>
      </c>
      <c r="W275" s="89">
        <f>'116+240'!S276</f>
        <v>8</v>
      </c>
      <c r="X275" s="83">
        <f t="shared" si="61"/>
        <v>718</v>
      </c>
      <c r="Y275" s="78">
        <f t="shared" si="62"/>
        <v>-8</v>
      </c>
      <c r="Z275" s="77">
        <f t="shared" si="63"/>
        <v>0</v>
      </c>
      <c r="AA275" s="76">
        <f t="shared" si="64"/>
        <v>4.2549999999999999</v>
      </c>
      <c r="AB275" s="76">
        <f t="shared" si="65"/>
        <v>2.8279999999999998</v>
      </c>
    </row>
    <row r="276" spans="2:28">
      <c r="B276" s="90">
        <f>'116+240'!B277</f>
        <v>45544</v>
      </c>
      <c r="C276" s="87">
        <f t="shared" si="57"/>
        <v>1</v>
      </c>
      <c r="D276" s="86">
        <f t="shared" si="58"/>
        <v>844</v>
      </c>
      <c r="E276" s="85">
        <f>VLOOKUP(B276,'116+240'!B277:AB277,3,FALSE)</f>
        <v>1703</v>
      </c>
      <c r="F276" s="81">
        <f t="shared" si="53"/>
        <v>2547</v>
      </c>
      <c r="G276" s="84">
        <f>VLOOKUP(B276,'116+240'!$B$15:$AB$682,20,FALSE)</f>
        <v>3281</v>
      </c>
      <c r="H276" s="84">
        <f>VLOOKUP(B276,'116+240'!$B$15:$AB$682,4,FALSE)</f>
        <v>-464</v>
      </c>
      <c r="I276" s="80">
        <f t="shared" si="54"/>
        <v>3011</v>
      </c>
      <c r="J276" s="80">
        <f>VLOOKUP(B276,'116+240'!$B$15:$AB$682,13,FALSE)</f>
        <v>-989</v>
      </c>
      <c r="K276" s="89">
        <f>'116+240'!Q277</f>
        <v>2</v>
      </c>
      <c r="L276" s="83">
        <f t="shared" si="59"/>
        <v>1029</v>
      </c>
      <c r="M276" s="82">
        <f>VLOOKUP(B276,'116+240'!$B$14:$AB$682,21,FALSE)</f>
        <v>3528</v>
      </c>
      <c r="N276" s="81">
        <f>VLOOKUP(B276,'116+240'!$B$15:$AB$682,5,FALSE)</f>
        <v>-591</v>
      </c>
      <c r="O276" s="80">
        <f t="shared" si="55"/>
        <v>3138</v>
      </c>
      <c r="P276" s="80">
        <f>VLOOKUP(B276,'116+240'!$B$15:$AB$682,14,FALSE)</f>
        <v>-862</v>
      </c>
      <c r="Q276" s="89">
        <f>'116+240'!R277</f>
        <v>1</v>
      </c>
      <c r="R276" s="83">
        <f t="shared" si="60"/>
        <v>782</v>
      </c>
      <c r="S276" s="82">
        <f>VLOOKUP(B276,'116+240'!$B$14:$AB$682,22,FALSE)</f>
        <v>3586</v>
      </c>
      <c r="T276" s="81">
        <f>VLOOKUP(B276,'116+240'!$B$15:$AB$682,6,FALSE)</f>
        <v>-699</v>
      </c>
      <c r="U276" s="80">
        <f t="shared" si="56"/>
        <v>3246</v>
      </c>
      <c r="V276" s="79">
        <f>VLOOKUP(B276,'116+240'!$B$15:$AB$682,15,FALSE)</f>
        <v>-754</v>
      </c>
      <c r="W276" s="89">
        <f>'116+240'!S277</f>
        <v>6</v>
      </c>
      <c r="X276" s="83">
        <f t="shared" si="61"/>
        <v>724</v>
      </c>
      <c r="Y276" s="78">
        <f t="shared" si="62"/>
        <v>-6</v>
      </c>
      <c r="Z276" s="77">
        <f t="shared" si="63"/>
        <v>0</v>
      </c>
      <c r="AA276" s="76">
        <f t="shared" si="64"/>
        <v>4.2549999999999999</v>
      </c>
      <c r="AB276" s="76">
        <f t="shared" si="65"/>
        <v>2.8260000000000001</v>
      </c>
    </row>
    <row r="277" spans="2:28">
      <c r="B277" s="90">
        <f>'116+240'!B278</f>
        <v>45545</v>
      </c>
      <c r="C277" s="87">
        <f t="shared" si="57"/>
        <v>1</v>
      </c>
      <c r="D277" s="86">
        <f t="shared" si="58"/>
        <v>844</v>
      </c>
      <c r="E277" s="85">
        <f>VLOOKUP(B277,'116+240'!B278:AB278,3,FALSE)</f>
        <v>1705</v>
      </c>
      <c r="F277" s="81">
        <f t="shared" si="53"/>
        <v>2549</v>
      </c>
      <c r="G277" s="84">
        <f>VLOOKUP(B277,'116+240'!$B$15:$AB$682,20,FALSE)</f>
        <v>3280</v>
      </c>
      <c r="H277" s="84">
        <f>VLOOKUP(B277,'116+240'!$B$15:$AB$682,4,FALSE)</f>
        <v>-461</v>
      </c>
      <c r="I277" s="80">
        <f t="shared" si="54"/>
        <v>3010</v>
      </c>
      <c r="J277" s="80">
        <f>VLOOKUP(B277,'116+240'!$B$15:$AB$682,13,FALSE)</f>
        <v>-990</v>
      </c>
      <c r="K277" s="89">
        <f>'116+240'!Q278</f>
        <v>1</v>
      </c>
      <c r="L277" s="83">
        <f t="shared" si="59"/>
        <v>1030</v>
      </c>
      <c r="M277" s="82">
        <f>VLOOKUP(B277,'116+240'!$B$14:$AB$682,21,FALSE)</f>
        <v>3526</v>
      </c>
      <c r="N277" s="81">
        <f>VLOOKUP(B277,'116+240'!$B$15:$AB$682,5,FALSE)</f>
        <v>-587</v>
      </c>
      <c r="O277" s="80">
        <f t="shared" si="55"/>
        <v>3136</v>
      </c>
      <c r="P277" s="80">
        <f>VLOOKUP(B277,'116+240'!$B$15:$AB$682,14,FALSE)</f>
        <v>-864</v>
      </c>
      <c r="Q277" s="89">
        <f>'116+240'!R278</f>
        <v>2</v>
      </c>
      <c r="R277" s="83">
        <f t="shared" si="60"/>
        <v>784</v>
      </c>
      <c r="S277" s="82">
        <f>VLOOKUP(B277,'116+240'!$B$14:$AB$682,22,FALSE)</f>
        <v>3579</v>
      </c>
      <c r="T277" s="81">
        <f>VLOOKUP(B277,'116+240'!$B$15:$AB$682,6,FALSE)</f>
        <v>-690</v>
      </c>
      <c r="U277" s="80">
        <f t="shared" si="56"/>
        <v>3239</v>
      </c>
      <c r="V277" s="79">
        <f>VLOOKUP(B277,'116+240'!$B$15:$AB$682,15,FALSE)</f>
        <v>-761</v>
      </c>
      <c r="W277" s="89">
        <f>'116+240'!S278</f>
        <v>7</v>
      </c>
      <c r="X277" s="83">
        <f t="shared" si="61"/>
        <v>731</v>
      </c>
      <c r="Y277" s="78">
        <f t="shared" si="62"/>
        <v>-7</v>
      </c>
      <c r="Z277" s="77">
        <f t="shared" si="63"/>
        <v>0</v>
      </c>
      <c r="AA277" s="76">
        <f t="shared" si="64"/>
        <v>4.2549999999999999</v>
      </c>
      <c r="AB277" s="76">
        <f t="shared" si="65"/>
        <v>2.8220000000000001</v>
      </c>
    </row>
    <row r="278" spans="2:28">
      <c r="B278" s="90">
        <f>'116+240'!B279</f>
        <v>45546</v>
      </c>
      <c r="C278" s="87">
        <f t="shared" si="57"/>
        <v>1</v>
      </c>
      <c r="D278" s="86">
        <f t="shared" si="58"/>
        <v>844</v>
      </c>
      <c r="E278" s="85">
        <f>VLOOKUP(B278,'116+240'!B279:AB279,3,FALSE)</f>
        <v>1707</v>
      </c>
      <c r="F278" s="81">
        <f t="shared" si="53"/>
        <v>2551</v>
      </c>
      <c r="G278" s="84">
        <f>VLOOKUP(B278,'116+240'!$B$15:$AB$682,20,FALSE)</f>
        <v>3278</v>
      </c>
      <c r="H278" s="84">
        <f>VLOOKUP(B278,'116+240'!$B$15:$AB$682,4,FALSE)</f>
        <v>-457</v>
      </c>
      <c r="I278" s="80">
        <f t="shared" si="54"/>
        <v>3008</v>
      </c>
      <c r="J278" s="80">
        <f>VLOOKUP(B278,'116+240'!$B$15:$AB$682,13,FALSE)</f>
        <v>-992</v>
      </c>
      <c r="K278" s="89">
        <f>'116+240'!Q279</f>
        <v>2</v>
      </c>
      <c r="L278" s="83">
        <f t="shared" si="59"/>
        <v>1032</v>
      </c>
      <c r="M278" s="82">
        <f>VLOOKUP(B278,'116+240'!$B$14:$AB$682,21,FALSE)</f>
        <v>3521</v>
      </c>
      <c r="N278" s="81">
        <f>VLOOKUP(B278,'116+240'!$B$15:$AB$682,5,FALSE)</f>
        <v>-580</v>
      </c>
      <c r="O278" s="80">
        <f t="shared" si="55"/>
        <v>3131</v>
      </c>
      <c r="P278" s="80">
        <f>VLOOKUP(B278,'116+240'!$B$15:$AB$682,14,FALSE)</f>
        <v>-869</v>
      </c>
      <c r="Q278" s="89">
        <f>'116+240'!R279</f>
        <v>5</v>
      </c>
      <c r="R278" s="83">
        <f t="shared" si="60"/>
        <v>789</v>
      </c>
      <c r="S278" s="82">
        <f>VLOOKUP(B278,'116+240'!$B$14:$AB$682,22,FALSE)</f>
        <v>3575</v>
      </c>
      <c r="T278" s="81">
        <f>VLOOKUP(B278,'116+240'!$B$15:$AB$682,6,FALSE)</f>
        <v>-684</v>
      </c>
      <c r="U278" s="80">
        <f t="shared" si="56"/>
        <v>3235</v>
      </c>
      <c r="V278" s="79">
        <f>VLOOKUP(B278,'116+240'!$B$15:$AB$682,15,FALSE)</f>
        <v>-765</v>
      </c>
      <c r="W278" s="89">
        <f>'116+240'!S279</f>
        <v>4</v>
      </c>
      <c r="X278" s="83">
        <f t="shared" si="61"/>
        <v>735</v>
      </c>
      <c r="Y278" s="78">
        <f t="shared" si="62"/>
        <v>-4</v>
      </c>
      <c r="Z278" s="77">
        <f t="shared" si="63"/>
        <v>0</v>
      </c>
      <c r="AA278" s="76">
        <f t="shared" si="64"/>
        <v>4.2549999999999999</v>
      </c>
      <c r="AB278" s="76">
        <f t="shared" si="65"/>
        <v>2.8119999999999998</v>
      </c>
    </row>
    <row r="279" spans="2:28">
      <c r="B279" s="90">
        <f>'116+240'!B280</f>
        <v>45547</v>
      </c>
      <c r="C279" s="87">
        <f t="shared" si="57"/>
        <v>1</v>
      </c>
      <c r="D279" s="86">
        <f t="shared" si="58"/>
        <v>844</v>
      </c>
      <c r="E279" s="85">
        <f>VLOOKUP(B279,'116+240'!B280:AB280,3,FALSE)</f>
        <v>1709</v>
      </c>
      <c r="F279" s="81">
        <f t="shared" si="53"/>
        <v>2553</v>
      </c>
      <c r="G279" s="84">
        <f>VLOOKUP(B279,'116+240'!$B$15:$AB$682,20,FALSE)</f>
        <v>3273</v>
      </c>
      <c r="H279" s="84">
        <f>VLOOKUP(B279,'116+240'!$B$15:$AB$682,4,FALSE)</f>
        <v>-450</v>
      </c>
      <c r="I279" s="80">
        <f t="shared" si="54"/>
        <v>3003</v>
      </c>
      <c r="J279" s="80">
        <f>VLOOKUP(B279,'116+240'!$B$15:$AB$682,13,FALSE)</f>
        <v>-997</v>
      </c>
      <c r="K279" s="89">
        <f>'116+240'!Q280</f>
        <v>5</v>
      </c>
      <c r="L279" s="83">
        <f t="shared" si="59"/>
        <v>1037</v>
      </c>
      <c r="M279" s="82">
        <f>VLOOKUP(B279,'116+240'!$B$14:$AB$682,21,FALSE)</f>
        <v>3512</v>
      </c>
      <c r="N279" s="81">
        <f>VLOOKUP(B279,'116+240'!$B$15:$AB$682,5,FALSE)</f>
        <v>-569</v>
      </c>
      <c r="O279" s="80">
        <f t="shared" si="55"/>
        <v>3122</v>
      </c>
      <c r="P279" s="80">
        <f>VLOOKUP(B279,'116+240'!$B$15:$AB$682,14,FALSE)</f>
        <v>-878</v>
      </c>
      <c r="Q279" s="89">
        <f>'116+240'!R280</f>
        <v>9</v>
      </c>
      <c r="R279" s="83">
        <f t="shared" si="60"/>
        <v>798</v>
      </c>
      <c r="S279" s="82">
        <f>VLOOKUP(B279,'116+240'!$B$14:$AB$682,22,FALSE)</f>
        <v>3570</v>
      </c>
      <c r="T279" s="81">
        <f>VLOOKUP(B279,'116+240'!$B$15:$AB$682,6,FALSE)</f>
        <v>-677</v>
      </c>
      <c r="U279" s="80">
        <f t="shared" si="56"/>
        <v>3230</v>
      </c>
      <c r="V279" s="79">
        <f>VLOOKUP(B279,'116+240'!$B$15:$AB$682,15,FALSE)</f>
        <v>-770</v>
      </c>
      <c r="W279" s="89">
        <f>'116+240'!S280</f>
        <v>5</v>
      </c>
      <c r="X279" s="83">
        <f t="shared" si="61"/>
        <v>740</v>
      </c>
      <c r="Y279" s="78">
        <f t="shared" si="62"/>
        <v>-5</v>
      </c>
      <c r="Z279" s="77">
        <f t="shared" si="63"/>
        <v>0</v>
      </c>
      <c r="AA279" s="76">
        <f t="shared" si="64"/>
        <v>4.2549999999999999</v>
      </c>
      <c r="AB279" s="76">
        <f t="shared" si="65"/>
        <v>2.794</v>
      </c>
    </row>
    <row r="280" spans="2:28">
      <c r="B280" s="90">
        <f>'116+240'!B281</f>
        <v>45548</v>
      </c>
      <c r="C280" s="87">
        <f t="shared" si="57"/>
        <v>1</v>
      </c>
      <c r="D280" s="86">
        <f t="shared" si="58"/>
        <v>844</v>
      </c>
      <c r="E280" s="85">
        <f>VLOOKUP(B280,'116+240'!B281:AB281,3,FALSE)</f>
        <v>1711</v>
      </c>
      <c r="F280" s="81">
        <f t="shared" si="53"/>
        <v>2555</v>
      </c>
      <c r="G280" s="84">
        <f>VLOOKUP(B280,'116+240'!$B$15:$AB$682,20,FALSE)</f>
        <v>3268</v>
      </c>
      <c r="H280" s="84">
        <f>VLOOKUP(B280,'116+240'!$B$15:$AB$682,4,FALSE)</f>
        <v>-443</v>
      </c>
      <c r="I280" s="80">
        <f t="shared" si="54"/>
        <v>2998</v>
      </c>
      <c r="J280" s="80">
        <f>VLOOKUP(B280,'116+240'!$B$15:$AB$682,13,FALSE)</f>
        <v>-1002</v>
      </c>
      <c r="K280" s="89">
        <f>'116+240'!Q281</f>
        <v>5</v>
      </c>
      <c r="L280" s="83">
        <f t="shared" si="59"/>
        <v>1042</v>
      </c>
      <c r="M280" s="82">
        <f>VLOOKUP(B280,'116+240'!$B$14:$AB$682,21,FALSE)</f>
        <v>3504</v>
      </c>
      <c r="N280" s="81">
        <f>VLOOKUP(B280,'116+240'!$B$15:$AB$682,5,FALSE)</f>
        <v>-559</v>
      </c>
      <c r="O280" s="80">
        <f t="shared" si="55"/>
        <v>3114</v>
      </c>
      <c r="P280" s="80">
        <f>VLOOKUP(B280,'116+240'!$B$15:$AB$682,14,FALSE)</f>
        <v>-886</v>
      </c>
      <c r="Q280" s="89">
        <f>'116+240'!R281</f>
        <v>8</v>
      </c>
      <c r="R280" s="83">
        <f t="shared" si="60"/>
        <v>806</v>
      </c>
      <c r="S280" s="82">
        <f>VLOOKUP(B280,'116+240'!$B$14:$AB$682,22,FALSE)</f>
        <v>3567</v>
      </c>
      <c r="T280" s="81">
        <f>VLOOKUP(B280,'116+240'!$B$15:$AB$682,6,FALSE)</f>
        <v>-672</v>
      </c>
      <c r="U280" s="80">
        <f t="shared" si="56"/>
        <v>3227</v>
      </c>
      <c r="V280" s="79">
        <f>VLOOKUP(B280,'116+240'!$B$15:$AB$682,15,FALSE)</f>
        <v>-773</v>
      </c>
      <c r="W280" s="89">
        <f>'116+240'!S281</f>
        <v>3</v>
      </c>
      <c r="X280" s="83">
        <f t="shared" si="61"/>
        <v>743</v>
      </c>
      <c r="Y280" s="78">
        <f t="shared" si="62"/>
        <v>-3</v>
      </c>
      <c r="Z280" s="77">
        <f t="shared" si="63"/>
        <v>0</v>
      </c>
      <c r="AA280" s="76">
        <f t="shared" si="64"/>
        <v>4.2549999999999999</v>
      </c>
      <c r="AB280" s="76">
        <f t="shared" si="65"/>
        <v>2.778</v>
      </c>
    </row>
    <row r="281" spans="2:28">
      <c r="B281" s="90">
        <f>'116+240'!B282</f>
        <v>45549</v>
      </c>
      <c r="C281" s="87">
        <f t="shared" si="57"/>
        <v>1</v>
      </c>
      <c r="D281" s="86">
        <f t="shared" si="58"/>
        <v>844</v>
      </c>
      <c r="E281" s="85">
        <f>VLOOKUP(B281,'116+240'!B282:AB282,3,FALSE)</f>
        <v>1713</v>
      </c>
      <c r="F281" s="81">
        <f t="shared" si="53"/>
        <v>2557</v>
      </c>
      <c r="G281" s="84">
        <f>VLOOKUP(B281,'116+240'!$B$15:$AB$682,20,FALSE)</f>
        <v>3263</v>
      </c>
      <c r="H281" s="84">
        <f>VLOOKUP(B281,'116+240'!$B$15:$AB$682,4,FALSE)</f>
        <v>-436</v>
      </c>
      <c r="I281" s="80">
        <f t="shared" si="54"/>
        <v>2993</v>
      </c>
      <c r="J281" s="80">
        <f>VLOOKUP(B281,'116+240'!$B$15:$AB$682,13,FALSE)</f>
        <v>-1007</v>
      </c>
      <c r="K281" s="89">
        <f>'116+240'!Q282</f>
        <v>5</v>
      </c>
      <c r="L281" s="83">
        <f t="shared" si="59"/>
        <v>1047</v>
      </c>
      <c r="M281" s="82">
        <f>VLOOKUP(B281,'116+240'!$B$14:$AB$682,21,FALSE)</f>
        <v>3496</v>
      </c>
      <c r="N281" s="81">
        <f>VLOOKUP(B281,'116+240'!$B$15:$AB$682,5,FALSE)</f>
        <v>-549</v>
      </c>
      <c r="O281" s="80">
        <f t="shared" si="55"/>
        <v>3106</v>
      </c>
      <c r="P281" s="80">
        <f>VLOOKUP(B281,'116+240'!$B$15:$AB$682,14,FALSE)</f>
        <v>-894</v>
      </c>
      <c r="Q281" s="89">
        <f>'116+240'!R282</f>
        <v>8</v>
      </c>
      <c r="R281" s="83">
        <f t="shared" si="60"/>
        <v>814</v>
      </c>
      <c r="S281" s="82">
        <f>VLOOKUP(B281,'116+240'!$B$14:$AB$682,22,FALSE)</f>
        <v>3559</v>
      </c>
      <c r="T281" s="81">
        <f>VLOOKUP(B281,'116+240'!$B$15:$AB$682,6,FALSE)</f>
        <v>-662</v>
      </c>
      <c r="U281" s="80">
        <f t="shared" si="56"/>
        <v>3219</v>
      </c>
      <c r="V281" s="79">
        <f>VLOOKUP(B281,'116+240'!$B$15:$AB$682,15,FALSE)</f>
        <v>-781</v>
      </c>
      <c r="W281" s="89">
        <f>'116+240'!S282</f>
        <v>8</v>
      </c>
      <c r="X281" s="83">
        <f t="shared" si="61"/>
        <v>751</v>
      </c>
      <c r="Y281" s="78">
        <f t="shared" si="62"/>
        <v>-8</v>
      </c>
      <c r="Z281" s="77">
        <f t="shared" si="63"/>
        <v>0</v>
      </c>
      <c r="AA281" s="76">
        <f t="shared" si="64"/>
        <v>4.2549999999999999</v>
      </c>
      <c r="AB281" s="76">
        <f t="shared" si="65"/>
        <v>2.762</v>
      </c>
    </row>
    <row r="282" spans="2:28">
      <c r="B282" s="90">
        <f>'116+240'!B283</f>
        <v>45550</v>
      </c>
      <c r="C282" s="87">
        <f t="shared" si="57"/>
        <v>1</v>
      </c>
      <c r="D282" s="86">
        <f t="shared" si="58"/>
        <v>844</v>
      </c>
      <c r="E282" s="85">
        <f>VLOOKUP(B282,'116+240'!B283:AB283,3,FALSE)</f>
        <v>1715</v>
      </c>
      <c r="F282" s="81">
        <f t="shared" si="53"/>
        <v>2559</v>
      </c>
      <c r="G282" s="84">
        <f>VLOOKUP(B282,'116+240'!$B$15:$AB$682,20,FALSE)</f>
        <v>3261</v>
      </c>
      <c r="H282" s="84">
        <f>VLOOKUP(B282,'116+240'!$B$15:$AB$682,4,FALSE)</f>
        <v>-432</v>
      </c>
      <c r="I282" s="80">
        <f t="shared" si="54"/>
        <v>2991</v>
      </c>
      <c r="J282" s="80">
        <f>VLOOKUP(B282,'116+240'!$B$15:$AB$682,13,FALSE)</f>
        <v>-1009</v>
      </c>
      <c r="K282" s="89">
        <f>'116+240'!Q283</f>
        <v>2</v>
      </c>
      <c r="L282" s="83">
        <f t="shared" si="59"/>
        <v>1049</v>
      </c>
      <c r="M282" s="82">
        <f>VLOOKUP(B282,'116+240'!$B$14:$AB$682,21,FALSE)</f>
        <v>3490</v>
      </c>
      <c r="N282" s="81">
        <f>VLOOKUP(B282,'116+240'!$B$15:$AB$682,5,FALSE)</f>
        <v>-541</v>
      </c>
      <c r="O282" s="80">
        <f t="shared" si="55"/>
        <v>3100</v>
      </c>
      <c r="P282" s="80">
        <f>VLOOKUP(B282,'116+240'!$B$15:$AB$682,14,FALSE)</f>
        <v>-900</v>
      </c>
      <c r="Q282" s="89">
        <f>'116+240'!R283</f>
        <v>6</v>
      </c>
      <c r="R282" s="83">
        <f t="shared" si="60"/>
        <v>820</v>
      </c>
      <c r="S282" s="82">
        <f>VLOOKUP(B282,'116+240'!$B$14:$AB$682,22,FALSE)</f>
        <v>3553</v>
      </c>
      <c r="T282" s="81">
        <f>VLOOKUP(B282,'116+240'!$B$15:$AB$682,6,FALSE)</f>
        <v>-654</v>
      </c>
      <c r="U282" s="80">
        <f t="shared" si="56"/>
        <v>3213</v>
      </c>
      <c r="V282" s="79">
        <f>VLOOKUP(B282,'116+240'!$B$15:$AB$682,15,FALSE)</f>
        <v>-787</v>
      </c>
      <c r="W282" s="89">
        <f>'116+240'!S283</f>
        <v>6</v>
      </c>
      <c r="X282" s="83">
        <f t="shared" si="61"/>
        <v>757</v>
      </c>
      <c r="Y282" s="78">
        <f t="shared" si="62"/>
        <v>-6</v>
      </c>
      <c r="Z282" s="77">
        <f t="shared" si="63"/>
        <v>0</v>
      </c>
      <c r="AA282" s="76">
        <f t="shared" si="64"/>
        <v>4.2549999999999999</v>
      </c>
      <c r="AB282" s="76">
        <f t="shared" si="65"/>
        <v>2.75</v>
      </c>
    </row>
    <row r="283" spans="2:28">
      <c r="B283" s="90">
        <f>'116+240'!B284</f>
        <v>45551</v>
      </c>
      <c r="C283" s="87">
        <f t="shared" si="57"/>
        <v>1</v>
      </c>
      <c r="D283" s="86">
        <f t="shared" si="58"/>
        <v>844</v>
      </c>
      <c r="E283" s="85">
        <f>VLOOKUP(B283,'116+240'!B284:AB284,3,FALSE)</f>
        <v>1717</v>
      </c>
      <c r="F283" s="81">
        <f t="shared" si="53"/>
        <v>2561</v>
      </c>
      <c r="G283" s="84">
        <f>VLOOKUP(B283,'116+240'!$B$15:$AB$682,20,FALSE)</f>
        <v>3259</v>
      </c>
      <c r="H283" s="84">
        <f>VLOOKUP(B283,'116+240'!$B$15:$AB$682,4,FALSE)</f>
        <v>-428</v>
      </c>
      <c r="I283" s="80">
        <f t="shared" si="54"/>
        <v>2989</v>
      </c>
      <c r="J283" s="80">
        <f>VLOOKUP(B283,'116+240'!$B$15:$AB$682,13,FALSE)</f>
        <v>-1011</v>
      </c>
      <c r="K283" s="89">
        <f>'116+240'!Q284</f>
        <v>2</v>
      </c>
      <c r="L283" s="83">
        <f t="shared" si="59"/>
        <v>1051</v>
      </c>
      <c r="M283" s="82">
        <f>VLOOKUP(B283,'116+240'!$B$14:$AB$682,21,FALSE)</f>
        <v>3483</v>
      </c>
      <c r="N283" s="81">
        <f>VLOOKUP(B283,'116+240'!$B$15:$AB$682,5,FALSE)</f>
        <v>-532</v>
      </c>
      <c r="O283" s="80">
        <f t="shared" si="55"/>
        <v>3093</v>
      </c>
      <c r="P283" s="80">
        <f>VLOOKUP(B283,'116+240'!$B$15:$AB$682,14,FALSE)</f>
        <v>-907</v>
      </c>
      <c r="Q283" s="89">
        <f>'116+240'!R284</f>
        <v>7</v>
      </c>
      <c r="R283" s="83">
        <f t="shared" si="60"/>
        <v>827</v>
      </c>
      <c r="S283" s="82">
        <f>VLOOKUP(B283,'116+240'!$B$14:$AB$682,22,FALSE)</f>
        <v>3546</v>
      </c>
      <c r="T283" s="81">
        <f>VLOOKUP(B283,'116+240'!$B$15:$AB$682,6,FALSE)</f>
        <v>-645</v>
      </c>
      <c r="U283" s="80">
        <f t="shared" si="56"/>
        <v>3206</v>
      </c>
      <c r="V283" s="79">
        <f>VLOOKUP(B283,'116+240'!$B$15:$AB$682,15,FALSE)</f>
        <v>-794</v>
      </c>
      <c r="W283" s="89">
        <f>'116+240'!S284</f>
        <v>7</v>
      </c>
      <c r="X283" s="83">
        <f t="shared" si="61"/>
        <v>764</v>
      </c>
      <c r="Y283" s="78">
        <f t="shared" si="62"/>
        <v>-7</v>
      </c>
      <c r="Z283" s="77">
        <f t="shared" si="63"/>
        <v>0</v>
      </c>
      <c r="AA283" s="76">
        <f t="shared" si="64"/>
        <v>4.2549999999999999</v>
      </c>
      <c r="AB283" s="76">
        <f t="shared" si="65"/>
        <v>2.7360000000000002</v>
      </c>
    </row>
    <row r="284" spans="2:28">
      <c r="B284" s="90">
        <f>'116+240'!B285</f>
        <v>45552</v>
      </c>
      <c r="C284" s="87">
        <f t="shared" si="57"/>
        <v>1</v>
      </c>
      <c r="D284" s="86">
        <f t="shared" si="58"/>
        <v>844</v>
      </c>
      <c r="E284" s="85">
        <f>VLOOKUP(B284,'116+240'!B285:AB285,3,FALSE)</f>
        <v>1719</v>
      </c>
      <c r="F284" s="81">
        <f t="shared" si="53"/>
        <v>2563</v>
      </c>
      <c r="G284" s="84">
        <f>VLOOKUP(B284,'116+240'!$B$15:$AB$682,20,FALSE)</f>
        <v>3257</v>
      </c>
      <c r="H284" s="84">
        <f>VLOOKUP(B284,'116+240'!$B$15:$AB$682,4,FALSE)</f>
        <v>-424</v>
      </c>
      <c r="I284" s="80">
        <f t="shared" si="54"/>
        <v>2987</v>
      </c>
      <c r="J284" s="80">
        <f>VLOOKUP(B284,'116+240'!$B$15:$AB$682,13,FALSE)</f>
        <v>-1013</v>
      </c>
      <c r="K284" s="89">
        <f>'116+240'!Q285</f>
        <v>2</v>
      </c>
      <c r="L284" s="83">
        <f t="shared" si="59"/>
        <v>1053</v>
      </c>
      <c r="M284" s="82">
        <f>VLOOKUP(B284,'116+240'!$B$14:$AB$682,21,FALSE)</f>
        <v>3479</v>
      </c>
      <c r="N284" s="81">
        <f>VLOOKUP(B284,'116+240'!$B$15:$AB$682,5,FALSE)</f>
        <v>-526</v>
      </c>
      <c r="O284" s="80">
        <f t="shared" si="55"/>
        <v>3089</v>
      </c>
      <c r="P284" s="80">
        <f>VLOOKUP(B284,'116+240'!$B$15:$AB$682,14,FALSE)</f>
        <v>-911</v>
      </c>
      <c r="Q284" s="89">
        <f>'116+240'!R285</f>
        <v>4</v>
      </c>
      <c r="R284" s="83">
        <f t="shared" si="60"/>
        <v>831</v>
      </c>
      <c r="S284" s="82">
        <f>VLOOKUP(B284,'116+240'!$B$14:$AB$682,22,FALSE)</f>
        <v>3542</v>
      </c>
      <c r="T284" s="81">
        <f>VLOOKUP(B284,'116+240'!$B$15:$AB$682,6,FALSE)</f>
        <v>-639</v>
      </c>
      <c r="U284" s="80">
        <f t="shared" si="56"/>
        <v>3202</v>
      </c>
      <c r="V284" s="79">
        <f>VLOOKUP(B284,'116+240'!$B$15:$AB$682,15,FALSE)</f>
        <v>-798</v>
      </c>
      <c r="W284" s="89">
        <f>'116+240'!S285</f>
        <v>4</v>
      </c>
      <c r="X284" s="83">
        <f t="shared" si="61"/>
        <v>768</v>
      </c>
      <c r="Y284" s="78">
        <f t="shared" si="62"/>
        <v>-4</v>
      </c>
      <c r="Z284" s="77">
        <f t="shared" si="63"/>
        <v>0</v>
      </c>
      <c r="AA284" s="76">
        <f t="shared" si="64"/>
        <v>4.2549999999999999</v>
      </c>
      <c r="AB284" s="76">
        <f t="shared" si="65"/>
        <v>2.7280000000000002</v>
      </c>
    </row>
    <row r="285" spans="2:28">
      <c r="B285" s="90">
        <f>'116+240'!B286</f>
        <v>45553</v>
      </c>
      <c r="C285" s="87">
        <f t="shared" si="57"/>
        <v>1</v>
      </c>
      <c r="D285" s="86">
        <f t="shared" si="58"/>
        <v>844</v>
      </c>
      <c r="E285" s="85">
        <f>VLOOKUP(B285,'116+240'!B286:AB286,3,FALSE)</f>
        <v>1721</v>
      </c>
      <c r="F285" s="81">
        <f t="shared" si="53"/>
        <v>2565</v>
      </c>
      <c r="G285" s="84">
        <f>VLOOKUP(B285,'116+240'!$B$15:$AB$682,20,FALSE)</f>
        <v>3255</v>
      </c>
      <c r="H285" s="84">
        <f>VLOOKUP(B285,'116+240'!$B$15:$AB$682,4,FALSE)</f>
        <v>-420</v>
      </c>
      <c r="I285" s="80">
        <f t="shared" si="54"/>
        <v>2985</v>
      </c>
      <c r="J285" s="80">
        <f>VLOOKUP(B285,'116+240'!$B$15:$AB$682,13,FALSE)</f>
        <v>-1015</v>
      </c>
      <c r="K285" s="89">
        <f>'116+240'!Q286</f>
        <v>2</v>
      </c>
      <c r="L285" s="83">
        <f t="shared" si="59"/>
        <v>1055</v>
      </c>
      <c r="M285" s="82">
        <f>VLOOKUP(B285,'116+240'!$B$14:$AB$682,21,FALSE)</f>
        <v>3474</v>
      </c>
      <c r="N285" s="81">
        <f>VLOOKUP(B285,'116+240'!$B$15:$AB$682,5,FALSE)</f>
        <v>-519</v>
      </c>
      <c r="O285" s="80">
        <f t="shared" si="55"/>
        <v>3084</v>
      </c>
      <c r="P285" s="80">
        <f>VLOOKUP(B285,'116+240'!$B$15:$AB$682,14,FALSE)</f>
        <v>-916</v>
      </c>
      <c r="Q285" s="89">
        <f>'116+240'!R286</f>
        <v>5</v>
      </c>
      <c r="R285" s="83">
        <f t="shared" si="60"/>
        <v>836</v>
      </c>
      <c r="S285" s="82">
        <f>VLOOKUP(B285,'116+240'!$B$14:$AB$682,22,FALSE)</f>
        <v>3537</v>
      </c>
      <c r="T285" s="81">
        <f>VLOOKUP(B285,'116+240'!$B$15:$AB$682,6,FALSE)</f>
        <v>-632</v>
      </c>
      <c r="U285" s="80">
        <f t="shared" si="56"/>
        <v>3197</v>
      </c>
      <c r="V285" s="79">
        <f>VLOOKUP(B285,'116+240'!$B$15:$AB$682,15,FALSE)</f>
        <v>-803</v>
      </c>
      <c r="W285" s="89">
        <f>'116+240'!S286</f>
        <v>5</v>
      </c>
      <c r="X285" s="83">
        <f t="shared" si="61"/>
        <v>773</v>
      </c>
      <c r="Y285" s="78">
        <f t="shared" si="62"/>
        <v>-5</v>
      </c>
      <c r="Z285" s="77">
        <f t="shared" si="63"/>
        <v>0</v>
      </c>
      <c r="AA285" s="76">
        <f t="shared" si="64"/>
        <v>4.2549999999999999</v>
      </c>
      <c r="AB285" s="76">
        <f t="shared" si="65"/>
        <v>2.718</v>
      </c>
    </row>
    <row r="286" spans="2:28">
      <c r="B286" s="90">
        <f>'116+240'!B287</f>
        <v>45554</v>
      </c>
      <c r="C286" s="87">
        <f t="shared" si="57"/>
        <v>1</v>
      </c>
      <c r="D286" s="86">
        <f t="shared" si="58"/>
        <v>844</v>
      </c>
      <c r="E286" s="85">
        <f>VLOOKUP(B286,'116+240'!B287:AB287,3,FALSE)</f>
        <v>1723</v>
      </c>
      <c r="F286" s="81">
        <f t="shared" si="53"/>
        <v>2567</v>
      </c>
      <c r="G286" s="84">
        <f>VLOOKUP(B286,'116+240'!$B$15:$AB$682,20,FALSE)</f>
        <v>3253</v>
      </c>
      <c r="H286" s="84">
        <f>VLOOKUP(B286,'116+240'!$B$15:$AB$682,4,FALSE)</f>
        <v>-416</v>
      </c>
      <c r="I286" s="80">
        <f t="shared" si="54"/>
        <v>2983</v>
      </c>
      <c r="J286" s="80">
        <f>VLOOKUP(B286,'116+240'!$B$15:$AB$682,13,FALSE)</f>
        <v>-1017</v>
      </c>
      <c r="K286" s="89">
        <f>'116+240'!Q287</f>
        <v>2</v>
      </c>
      <c r="L286" s="83">
        <f t="shared" si="59"/>
        <v>1057</v>
      </c>
      <c r="M286" s="82">
        <f>VLOOKUP(B286,'116+240'!$B$14:$AB$682,21,FALSE)</f>
        <v>3471</v>
      </c>
      <c r="N286" s="81">
        <f>VLOOKUP(B286,'116+240'!$B$15:$AB$682,5,FALSE)</f>
        <v>-514</v>
      </c>
      <c r="O286" s="80">
        <f t="shared" si="55"/>
        <v>3081</v>
      </c>
      <c r="P286" s="80">
        <f>VLOOKUP(B286,'116+240'!$B$15:$AB$682,14,FALSE)</f>
        <v>-919</v>
      </c>
      <c r="Q286" s="89">
        <f>'116+240'!R287</f>
        <v>3</v>
      </c>
      <c r="R286" s="83">
        <f t="shared" si="60"/>
        <v>839</v>
      </c>
      <c r="S286" s="82">
        <f>VLOOKUP(B286,'116+240'!$B$14:$AB$682,22,FALSE)</f>
        <v>3534</v>
      </c>
      <c r="T286" s="81">
        <f>VLOOKUP(B286,'116+240'!$B$15:$AB$682,6,FALSE)</f>
        <v>-627</v>
      </c>
      <c r="U286" s="80">
        <f t="shared" si="56"/>
        <v>3194</v>
      </c>
      <c r="V286" s="79">
        <f>VLOOKUP(B286,'116+240'!$B$15:$AB$682,15,FALSE)</f>
        <v>-806</v>
      </c>
      <c r="W286" s="89">
        <f>'116+240'!S287</f>
        <v>3</v>
      </c>
      <c r="X286" s="83">
        <f t="shared" si="61"/>
        <v>776</v>
      </c>
      <c r="Y286" s="78">
        <f t="shared" si="62"/>
        <v>-3</v>
      </c>
      <c r="Z286" s="77">
        <f t="shared" si="63"/>
        <v>0</v>
      </c>
      <c r="AA286" s="76">
        <f t="shared" si="64"/>
        <v>4.2549999999999999</v>
      </c>
      <c r="AB286" s="76">
        <f t="shared" si="65"/>
        <v>2.7120000000000002</v>
      </c>
    </row>
    <row r="287" spans="2:28">
      <c r="B287" s="90">
        <f>'116+240'!B288</f>
        <v>45555</v>
      </c>
      <c r="C287" s="87">
        <f t="shared" si="57"/>
        <v>1</v>
      </c>
      <c r="D287" s="86">
        <f t="shared" si="58"/>
        <v>844</v>
      </c>
      <c r="E287" s="85">
        <f>VLOOKUP(B287,'116+240'!B288:AB288,3,FALSE)</f>
        <v>1725</v>
      </c>
      <c r="F287" s="81">
        <f t="shared" si="53"/>
        <v>2569</v>
      </c>
      <c r="G287" s="84">
        <f>VLOOKUP(B287,'116+240'!$B$15:$AB$682,20,FALSE)</f>
        <v>3250</v>
      </c>
      <c r="H287" s="84">
        <f>VLOOKUP(B287,'116+240'!$B$15:$AB$682,4,FALSE)</f>
        <v>-411</v>
      </c>
      <c r="I287" s="80">
        <f t="shared" si="54"/>
        <v>2980</v>
      </c>
      <c r="J287" s="80">
        <f>VLOOKUP(B287,'116+240'!$B$15:$AB$682,13,FALSE)</f>
        <v>-1020</v>
      </c>
      <c r="K287" s="89">
        <f>'116+240'!Q288</f>
        <v>3</v>
      </c>
      <c r="L287" s="83">
        <f t="shared" si="59"/>
        <v>1060</v>
      </c>
      <c r="M287" s="82">
        <f>VLOOKUP(B287,'116+240'!$B$14:$AB$682,21,FALSE)</f>
        <v>3469</v>
      </c>
      <c r="N287" s="81">
        <f>VLOOKUP(B287,'116+240'!$B$15:$AB$682,5,FALSE)</f>
        <v>-510</v>
      </c>
      <c r="O287" s="80">
        <f t="shared" si="55"/>
        <v>3079</v>
      </c>
      <c r="P287" s="80">
        <f>VLOOKUP(B287,'116+240'!$B$15:$AB$682,14,FALSE)</f>
        <v>-921</v>
      </c>
      <c r="Q287" s="89">
        <f>'116+240'!R288</f>
        <v>2</v>
      </c>
      <c r="R287" s="83">
        <f t="shared" si="60"/>
        <v>841</v>
      </c>
      <c r="S287" s="82">
        <f>VLOOKUP(B287,'116+240'!$B$14:$AB$682,22,FALSE)</f>
        <v>3532</v>
      </c>
      <c r="T287" s="81">
        <f>VLOOKUP(B287,'116+240'!$B$15:$AB$682,6,FALSE)</f>
        <v>-623</v>
      </c>
      <c r="U287" s="80">
        <f t="shared" si="56"/>
        <v>3192</v>
      </c>
      <c r="V287" s="79">
        <f>VLOOKUP(B287,'116+240'!$B$15:$AB$682,15,FALSE)</f>
        <v>-808</v>
      </c>
      <c r="W287" s="89">
        <f>'116+240'!S288</f>
        <v>2</v>
      </c>
      <c r="X287" s="83">
        <f t="shared" si="61"/>
        <v>778</v>
      </c>
      <c r="Y287" s="78">
        <f t="shared" si="62"/>
        <v>-2</v>
      </c>
      <c r="Z287" s="77">
        <f t="shared" si="63"/>
        <v>0</v>
      </c>
      <c r="AA287" s="76">
        <f t="shared" si="64"/>
        <v>4.2549999999999999</v>
      </c>
      <c r="AB287" s="76">
        <f t="shared" si="65"/>
        <v>2.7080000000000002</v>
      </c>
    </row>
    <row r="288" spans="2:28">
      <c r="B288" s="90">
        <f>'116+240'!B289</f>
        <v>45556</v>
      </c>
      <c r="C288" s="87">
        <f t="shared" si="57"/>
        <v>1</v>
      </c>
      <c r="D288" s="86">
        <f t="shared" si="58"/>
        <v>844</v>
      </c>
      <c r="E288" s="85">
        <f>VLOOKUP(B288,'116+240'!B289:AB289,3,FALSE)</f>
        <v>1727</v>
      </c>
      <c r="F288" s="81">
        <f t="shared" si="53"/>
        <v>2571</v>
      </c>
      <c r="G288" s="84">
        <f>VLOOKUP(B288,'116+240'!$B$15:$AB$682,20,FALSE)</f>
        <v>3248</v>
      </c>
      <c r="H288" s="84">
        <f>VLOOKUP(B288,'116+240'!$B$15:$AB$682,4,FALSE)</f>
        <v>-407</v>
      </c>
      <c r="I288" s="80">
        <f t="shared" si="54"/>
        <v>2978</v>
      </c>
      <c r="J288" s="80">
        <f>VLOOKUP(B288,'116+240'!$B$15:$AB$682,13,FALSE)</f>
        <v>-1022</v>
      </c>
      <c r="K288" s="89">
        <f>'116+240'!Q289</f>
        <v>2</v>
      </c>
      <c r="L288" s="83">
        <f t="shared" si="59"/>
        <v>1062</v>
      </c>
      <c r="M288" s="82">
        <f>VLOOKUP(B288,'116+240'!$B$14:$AB$682,21,FALSE)</f>
        <v>3467</v>
      </c>
      <c r="N288" s="81">
        <f>VLOOKUP(B288,'116+240'!$B$15:$AB$682,5,FALSE)</f>
        <v>-506</v>
      </c>
      <c r="O288" s="80">
        <f t="shared" si="55"/>
        <v>3077</v>
      </c>
      <c r="P288" s="80">
        <f>VLOOKUP(B288,'116+240'!$B$15:$AB$682,14,FALSE)</f>
        <v>-923</v>
      </c>
      <c r="Q288" s="89">
        <f>'116+240'!R289</f>
        <v>2</v>
      </c>
      <c r="R288" s="83">
        <f t="shared" si="60"/>
        <v>843</v>
      </c>
      <c r="S288" s="82">
        <f>VLOOKUP(B288,'116+240'!$B$14:$AB$682,22,FALSE)</f>
        <v>3530</v>
      </c>
      <c r="T288" s="81">
        <f>VLOOKUP(B288,'116+240'!$B$15:$AB$682,6,FALSE)</f>
        <v>-619</v>
      </c>
      <c r="U288" s="80">
        <f t="shared" si="56"/>
        <v>3190</v>
      </c>
      <c r="V288" s="79">
        <f>VLOOKUP(B288,'116+240'!$B$15:$AB$682,15,FALSE)</f>
        <v>-810</v>
      </c>
      <c r="W288" s="89">
        <f>'116+240'!S289</f>
        <v>2</v>
      </c>
      <c r="X288" s="83">
        <f t="shared" si="61"/>
        <v>780</v>
      </c>
      <c r="Y288" s="78">
        <f t="shared" si="62"/>
        <v>-2</v>
      </c>
      <c r="Z288" s="77">
        <f t="shared" si="63"/>
        <v>0</v>
      </c>
      <c r="AA288" s="76">
        <f t="shared" si="64"/>
        <v>4.2549999999999999</v>
      </c>
      <c r="AB288" s="76">
        <f t="shared" si="65"/>
        <v>2.7040000000000002</v>
      </c>
    </row>
    <row r="289" spans="2:28">
      <c r="B289" s="90">
        <f>'116+240'!B290</f>
        <v>45557</v>
      </c>
      <c r="C289" s="87">
        <f t="shared" si="57"/>
        <v>1</v>
      </c>
      <c r="D289" s="86">
        <f t="shared" si="58"/>
        <v>844</v>
      </c>
      <c r="E289" s="85">
        <f>VLOOKUP(B289,'116+240'!B290:AB290,3,FALSE)</f>
        <v>1729</v>
      </c>
      <c r="F289" s="81">
        <f t="shared" si="53"/>
        <v>2573</v>
      </c>
      <c r="G289" s="84">
        <f>VLOOKUP(B289,'116+240'!$B$15:$AB$682,20,FALSE)</f>
        <v>3245</v>
      </c>
      <c r="H289" s="84">
        <f>VLOOKUP(B289,'116+240'!$B$15:$AB$682,4,FALSE)</f>
        <v>-402</v>
      </c>
      <c r="I289" s="80">
        <f t="shared" si="54"/>
        <v>2975</v>
      </c>
      <c r="J289" s="80">
        <f>VLOOKUP(B289,'116+240'!$B$15:$AB$682,13,FALSE)</f>
        <v>-1025</v>
      </c>
      <c r="K289" s="89">
        <f>'116+240'!Q290</f>
        <v>3</v>
      </c>
      <c r="L289" s="83">
        <f t="shared" si="59"/>
        <v>1065</v>
      </c>
      <c r="M289" s="82">
        <f>VLOOKUP(B289,'116+240'!$B$14:$AB$682,21,FALSE)</f>
        <v>3466</v>
      </c>
      <c r="N289" s="81">
        <f>VLOOKUP(B289,'116+240'!$B$15:$AB$682,5,FALSE)</f>
        <v>-503</v>
      </c>
      <c r="O289" s="80">
        <f t="shared" si="55"/>
        <v>3076</v>
      </c>
      <c r="P289" s="80">
        <f>VLOOKUP(B289,'116+240'!$B$15:$AB$682,14,FALSE)</f>
        <v>-924</v>
      </c>
      <c r="Q289" s="89">
        <f>'116+240'!R290</f>
        <v>1</v>
      </c>
      <c r="R289" s="83">
        <f t="shared" si="60"/>
        <v>844</v>
      </c>
      <c r="S289" s="82">
        <f>VLOOKUP(B289,'116+240'!$B$14:$AB$682,22,FALSE)</f>
        <v>3529</v>
      </c>
      <c r="T289" s="81">
        <f>VLOOKUP(B289,'116+240'!$B$15:$AB$682,6,FALSE)</f>
        <v>-616</v>
      </c>
      <c r="U289" s="80">
        <f t="shared" si="56"/>
        <v>3189</v>
      </c>
      <c r="V289" s="79">
        <f>VLOOKUP(B289,'116+240'!$B$15:$AB$682,15,FALSE)</f>
        <v>-811</v>
      </c>
      <c r="W289" s="89">
        <f>'116+240'!S290</f>
        <v>1</v>
      </c>
      <c r="X289" s="83">
        <f t="shared" si="61"/>
        <v>781</v>
      </c>
      <c r="Y289" s="78">
        <f t="shared" si="62"/>
        <v>-1</v>
      </c>
      <c r="Z289" s="77">
        <f t="shared" si="63"/>
        <v>0</v>
      </c>
      <c r="AA289" s="76">
        <f t="shared" si="64"/>
        <v>4.2549999999999999</v>
      </c>
      <c r="AB289" s="76">
        <f t="shared" si="65"/>
        <v>2.702</v>
      </c>
    </row>
    <row r="290" spans="2:28">
      <c r="B290" s="90">
        <f>'116+240'!B291</f>
        <v>45558</v>
      </c>
      <c r="C290" s="87">
        <f t="shared" si="57"/>
        <v>1</v>
      </c>
      <c r="D290" s="86">
        <f t="shared" si="58"/>
        <v>844</v>
      </c>
      <c r="E290" s="85">
        <f>VLOOKUP(B290,'116+240'!B291:AB291,3,FALSE)</f>
        <v>1731</v>
      </c>
      <c r="F290" s="81">
        <f t="shared" si="53"/>
        <v>2575</v>
      </c>
      <c r="G290" s="84">
        <f>VLOOKUP(B290,'116+240'!$B$15:$AB$682,20,FALSE)</f>
        <v>3243</v>
      </c>
      <c r="H290" s="84">
        <f>VLOOKUP(B290,'116+240'!$B$15:$AB$682,4,FALSE)</f>
        <v>-398</v>
      </c>
      <c r="I290" s="80">
        <f t="shared" si="54"/>
        <v>2973</v>
      </c>
      <c r="J290" s="80">
        <f>VLOOKUP(B290,'116+240'!$B$15:$AB$682,13,FALSE)</f>
        <v>-1027</v>
      </c>
      <c r="K290" s="89">
        <f>'116+240'!Q291</f>
        <v>2</v>
      </c>
      <c r="L290" s="83">
        <f t="shared" si="59"/>
        <v>1067</v>
      </c>
      <c r="M290" s="82">
        <f>VLOOKUP(B290,'116+240'!$B$14:$AB$682,21,FALSE)</f>
        <v>3464</v>
      </c>
      <c r="N290" s="81">
        <f>VLOOKUP(B290,'116+240'!$B$15:$AB$682,5,FALSE)</f>
        <v>-499</v>
      </c>
      <c r="O290" s="80">
        <f t="shared" si="55"/>
        <v>3074</v>
      </c>
      <c r="P290" s="80">
        <f>VLOOKUP(B290,'116+240'!$B$15:$AB$682,14,FALSE)</f>
        <v>-926</v>
      </c>
      <c r="Q290" s="89">
        <f>'116+240'!R291</f>
        <v>2</v>
      </c>
      <c r="R290" s="83">
        <f t="shared" si="60"/>
        <v>846</v>
      </c>
      <c r="S290" s="82">
        <f>VLOOKUP(B290,'116+240'!$B$14:$AB$682,22,FALSE)</f>
        <v>3527</v>
      </c>
      <c r="T290" s="81">
        <f>VLOOKUP(B290,'116+240'!$B$15:$AB$682,6,FALSE)</f>
        <v>-612</v>
      </c>
      <c r="U290" s="80">
        <f t="shared" si="56"/>
        <v>3187</v>
      </c>
      <c r="V290" s="79">
        <f>VLOOKUP(B290,'116+240'!$B$15:$AB$682,15,FALSE)</f>
        <v>-813</v>
      </c>
      <c r="W290" s="89">
        <f>'116+240'!S291</f>
        <v>2</v>
      </c>
      <c r="X290" s="83">
        <f t="shared" si="61"/>
        <v>783</v>
      </c>
      <c r="Y290" s="78">
        <f t="shared" si="62"/>
        <v>-2</v>
      </c>
      <c r="Z290" s="77">
        <f t="shared" si="63"/>
        <v>0</v>
      </c>
      <c r="AA290" s="76">
        <f t="shared" si="64"/>
        <v>4.2549999999999999</v>
      </c>
      <c r="AB290" s="76">
        <f t="shared" si="65"/>
        <v>2.698</v>
      </c>
    </row>
    <row r="291" spans="2:28">
      <c r="B291" s="90">
        <f>'116+240'!B292</f>
        <v>45559</v>
      </c>
      <c r="C291" s="87">
        <f t="shared" si="57"/>
        <v>1</v>
      </c>
      <c r="D291" s="86">
        <f t="shared" si="58"/>
        <v>844</v>
      </c>
      <c r="E291" s="85">
        <f>VLOOKUP(B291,'116+240'!B292:AB292,3,FALSE)</f>
        <v>1733</v>
      </c>
      <c r="F291" s="81">
        <f t="shared" si="53"/>
        <v>2577</v>
      </c>
      <c r="G291" s="84">
        <f>VLOOKUP(B291,'116+240'!$B$15:$AB$682,20,FALSE)</f>
        <v>3234</v>
      </c>
      <c r="H291" s="84">
        <f>VLOOKUP(B291,'116+240'!$B$15:$AB$682,4,FALSE)</f>
        <v>-387</v>
      </c>
      <c r="I291" s="80">
        <f t="shared" si="54"/>
        <v>2964</v>
      </c>
      <c r="J291" s="80">
        <f>VLOOKUP(B291,'116+240'!$B$15:$AB$682,13,FALSE)</f>
        <v>-1036</v>
      </c>
      <c r="K291" s="89">
        <f>'116+240'!Q292</f>
        <v>9</v>
      </c>
      <c r="L291" s="83">
        <f t="shared" si="59"/>
        <v>1076</v>
      </c>
      <c r="M291" s="82">
        <f>VLOOKUP(B291,'116+240'!$B$14:$AB$682,21,FALSE)</f>
        <v>3459</v>
      </c>
      <c r="N291" s="81">
        <f>VLOOKUP(B291,'116+240'!$B$15:$AB$682,5,FALSE)</f>
        <v>-492</v>
      </c>
      <c r="O291" s="80">
        <f t="shared" si="55"/>
        <v>3069</v>
      </c>
      <c r="P291" s="80">
        <f>VLOOKUP(B291,'116+240'!$B$15:$AB$682,14,FALSE)</f>
        <v>-931</v>
      </c>
      <c r="Q291" s="89">
        <f>'116+240'!R292</f>
        <v>5</v>
      </c>
      <c r="R291" s="83">
        <f t="shared" si="60"/>
        <v>851</v>
      </c>
      <c r="S291" s="82">
        <f>VLOOKUP(B291,'116+240'!$B$14:$AB$682,22,FALSE)</f>
        <v>3522</v>
      </c>
      <c r="T291" s="81">
        <f>VLOOKUP(B291,'116+240'!$B$15:$AB$682,6,FALSE)</f>
        <v>-605</v>
      </c>
      <c r="U291" s="80">
        <f t="shared" si="56"/>
        <v>3182</v>
      </c>
      <c r="V291" s="79">
        <f>VLOOKUP(B291,'116+240'!$B$15:$AB$682,15,FALSE)</f>
        <v>-818</v>
      </c>
      <c r="W291" s="89">
        <f>'116+240'!S292</f>
        <v>5</v>
      </c>
      <c r="X291" s="83">
        <f t="shared" si="61"/>
        <v>788</v>
      </c>
      <c r="Y291" s="78">
        <f t="shared" si="62"/>
        <v>-5</v>
      </c>
      <c r="Z291" s="77">
        <f t="shared" si="63"/>
        <v>0</v>
      </c>
      <c r="AA291" s="76">
        <f t="shared" si="64"/>
        <v>4.2549999999999999</v>
      </c>
      <c r="AB291" s="76">
        <f t="shared" si="65"/>
        <v>2.6880000000000002</v>
      </c>
    </row>
    <row r="292" spans="2:28">
      <c r="B292" s="90">
        <f>'116+240'!B293</f>
        <v>45560</v>
      </c>
      <c r="C292" s="87">
        <f t="shared" si="57"/>
        <v>1</v>
      </c>
      <c r="D292" s="86">
        <f t="shared" si="58"/>
        <v>844</v>
      </c>
      <c r="E292" s="85">
        <f>VLOOKUP(B292,'116+240'!B293:AB293,3,FALSE)</f>
        <v>1735</v>
      </c>
      <c r="F292" s="81">
        <f t="shared" si="53"/>
        <v>2579</v>
      </c>
      <c r="G292" s="84">
        <f>VLOOKUP(B292,'116+240'!$B$15:$AB$682,20,FALSE)</f>
        <v>3226</v>
      </c>
      <c r="H292" s="84">
        <f>VLOOKUP(B292,'116+240'!$B$15:$AB$682,4,FALSE)</f>
        <v>-377</v>
      </c>
      <c r="I292" s="80">
        <f t="shared" si="54"/>
        <v>2956</v>
      </c>
      <c r="J292" s="80">
        <f>VLOOKUP(B292,'116+240'!$B$15:$AB$682,13,FALSE)</f>
        <v>-1044</v>
      </c>
      <c r="K292" s="89">
        <f>'116+240'!Q293</f>
        <v>8</v>
      </c>
      <c r="L292" s="83">
        <f t="shared" si="59"/>
        <v>1084</v>
      </c>
      <c r="M292" s="82">
        <f>VLOOKUP(B292,'116+240'!$B$14:$AB$682,21,FALSE)</f>
        <v>3454</v>
      </c>
      <c r="N292" s="81">
        <f>VLOOKUP(B292,'116+240'!$B$15:$AB$682,5,FALSE)</f>
        <v>-485</v>
      </c>
      <c r="O292" s="80">
        <f t="shared" si="55"/>
        <v>3064</v>
      </c>
      <c r="P292" s="80">
        <f>VLOOKUP(B292,'116+240'!$B$15:$AB$682,14,FALSE)</f>
        <v>-936</v>
      </c>
      <c r="Q292" s="89">
        <f>'116+240'!R293</f>
        <v>5</v>
      </c>
      <c r="R292" s="83">
        <f t="shared" si="60"/>
        <v>856</v>
      </c>
      <c r="S292" s="82">
        <f>VLOOKUP(B292,'116+240'!$B$14:$AB$682,22,FALSE)</f>
        <v>3517</v>
      </c>
      <c r="T292" s="81">
        <f>VLOOKUP(B292,'116+240'!$B$15:$AB$682,6,FALSE)</f>
        <v>-598</v>
      </c>
      <c r="U292" s="80">
        <f t="shared" si="56"/>
        <v>3177</v>
      </c>
      <c r="V292" s="79">
        <f>VLOOKUP(B292,'116+240'!$B$15:$AB$682,15,FALSE)</f>
        <v>-823</v>
      </c>
      <c r="W292" s="89">
        <f>'116+240'!S293</f>
        <v>5</v>
      </c>
      <c r="X292" s="83">
        <f t="shared" si="61"/>
        <v>793</v>
      </c>
      <c r="Y292" s="78">
        <f t="shared" si="62"/>
        <v>-5</v>
      </c>
      <c r="Z292" s="77">
        <f t="shared" si="63"/>
        <v>0</v>
      </c>
      <c r="AA292" s="76">
        <f t="shared" si="64"/>
        <v>4.2549999999999999</v>
      </c>
      <c r="AB292" s="76">
        <f t="shared" si="65"/>
        <v>2.6779999999999999</v>
      </c>
    </row>
    <row r="293" spans="2:28">
      <c r="B293" s="90">
        <f>'116+240'!B294</f>
        <v>45561</v>
      </c>
      <c r="C293" s="87">
        <f t="shared" si="57"/>
        <v>1</v>
      </c>
      <c r="D293" s="86">
        <f t="shared" si="58"/>
        <v>844</v>
      </c>
      <c r="E293" s="85">
        <f>VLOOKUP(B293,'116+240'!B294:AB294,3,FALSE)</f>
        <v>1737</v>
      </c>
      <c r="F293" s="81">
        <f t="shared" si="53"/>
        <v>2581</v>
      </c>
      <c r="G293" s="84">
        <f>VLOOKUP(B293,'116+240'!$B$15:$AB$682,20,FALSE)</f>
        <v>3218</v>
      </c>
      <c r="H293" s="84">
        <f>VLOOKUP(B293,'116+240'!$B$15:$AB$682,4,FALSE)</f>
        <v>-367</v>
      </c>
      <c r="I293" s="80">
        <f t="shared" si="54"/>
        <v>2948</v>
      </c>
      <c r="J293" s="80">
        <f>VLOOKUP(B293,'116+240'!$B$15:$AB$682,13,FALSE)</f>
        <v>-1052</v>
      </c>
      <c r="K293" s="89">
        <f>'116+240'!Q294</f>
        <v>8</v>
      </c>
      <c r="L293" s="83">
        <f t="shared" si="59"/>
        <v>1092</v>
      </c>
      <c r="M293" s="82">
        <f>VLOOKUP(B293,'116+240'!$B$14:$AB$682,21,FALSE)</f>
        <v>3449</v>
      </c>
      <c r="N293" s="81">
        <f>VLOOKUP(B293,'116+240'!$B$15:$AB$682,5,FALSE)</f>
        <v>-478</v>
      </c>
      <c r="O293" s="80">
        <f t="shared" si="55"/>
        <v>3059</v>
      </c>
      <c r="P293" s="80">
        <f>VLOOKUP(B293,'116+240'!$B$15:$AB$682,14,FALSE)</f>
        <v>-941</v>
      </c>
      <c r="Q293" s="89">
        <f>'116+240'!R294</f>
        <v>5</v>
      </c>
      <c r="R293" s="83">
        <f t="shared" si="60"/>
        <v>861</v>
      </c>
      <c r="S293" s="82">
        <f>VLOOKUP(B293,'116+240'!$B$14:$AB$682,22,FALSE)</f>
        <v>3512</v>
      </c>
      <c r="T293" s="81">
        <f>VLOOKUP(B293,'116+240'!$B$15:$AB$682,6,FALSE)</f>
        <v>-591</v>
      </c>
      <c r="U293" s="80">
        <f t="shared" si="56"/>
        <v>3172</v>
      </c>
      <c r="V293" s="79">
        <f>VLOOKUP(B293,'116+240'!$B$15:$AB$682,15,FALSE)</f>
        <v>-828</v>
      </c>
      <c r="W293" s="89">
        <f>'116+240'!S294</f>
        <v>5</v>
      </c>
      <c r="X293" s="83">
        <f t="shared" si="61"/>
        <v>798</v>
      </c>
      <c r="Y293" s="78">
        <f t="shared" si="62"/>
        <v>-5</v>
      </c>
      <c r="Z293" s="77">
        <f t="shared" si="63"/>
        <v>0</v>
      </c>
      <c r="AA293" s="76">
        <f t="shared" si="64"/>
        <v>4.2549999999999999</v>
      </c>
      <c r="AB293" s="76">
        <f t="shared" si="65"/>
        <v>2.6680000000000001</v>
      </c>
    </row>
    <row r="294" spans="2:28">
      <c r="B294" s="90">
        <f>'116+240'!B295</f>
        <v>45562</v>
      </c>
      <c r="C294" s="87">
        <f t="shared" si="57"/>
        <v>1</v>
      </c>
      <c r="D294" s="86">
        <f t="shared" si="58"/>
        <v>844</v>
      </c>
      <c r="E294" s="85">
        <f>VLOOKUP(B294,'116+240'!B295:AB295,3,FALSE)</f>
        <v>1739</v>
      </c>
      <c r="F294" s="81">
        <f t="shared" si="53"/>
        <v>2583</v>
      </c>
      <c r="G294" s="84">
        <f>VLOOKUP(B294,'116+240'!$B$15:$AB$682,20,FALSE)</f>
        <v>3212</v>
      </c>
      <c r="H294" s="84">
        <f>VLOOKUP(B294,'116+240'!$B$15:$AB$682,4,FALSE)</f>
        <v>-359</v>
      </c>
      <c r="I294" s="80">
        <f t="shared" si="54"/>
        <v>2942</v>
      </c>
      <c r="J294" s="80">
        <f>VLOOKUP(B294,'116+240'!$B$15:$AB$682,13,FALSE)</f>
        <v>-1058</v>
      </c>
      <c r="K294" s="89">
        <f>'116+240'!Q295</f>
        <v>6</v>
      </c>
      <c r="L294" s="83">
        <f t="shared" si="59"/>
        <v>1098</v>
      </c>
      <c r="M294" s="82">
        <f>VLOOKUP(B294,'116+240'!$B$14:$AB$682,21,FALSE)</f>
        <v>3440</v>
      </c>
      <c r="N294" s="81">
        <f>VLOOKUP(B294,'116+240'!$B$15:$AB$682,5,FALSE)</f>
        <v>-467</v>
      </c>
      <c r="O294" s="80">
        <f t="shared" si="55"/>
        <v>3050</v>
      </c>
      <c r="P294" s="80">
        <f>VLOOKUP(B294,'116+240'!$B$15:$AB$682,14,FALSE)</f>
        <v>-950</v>
      </c>
      <c r="Q294" s="89">
        <f>'116+240'!R295</f>
        <v>9</v>
      </c>
      <c r="R294" s="83">
        <f t="shared" si="60"/>
        <v>870</v>
      </c>
      <c r="S294" s="82">
        <f>VLOOKUP(B294,'116+240'!$B$14:$AB$682,22,FALSE)</f>
        <v>3510</v>
      </c>
      <c r="T294" s="81">
        <f>VLOOKUP(B294,'116+240'!$B$15:$AB$682,6,FALSE)</f>
        <v>-587</v>
      </c>
      <c r="U294" s="80">
        <f t="shared" si="56"/>
        <v>3170</v>
      </c>
      <c r="V294" s="79">
        <f>VLOOKUP(B294,'116+240'!$B$15:$AB$682,15,FALSE)</f>
        <v>-830</v>
      </c>
      <c r="W294" s="89">
        <f>'116+240'!S295</f>
        <v>2</v>
      </c>
      <c r="X294" s="83">
        <f t="shared" si="61"/>
        <v>800</v>
      </c>
      <c r="Y294" s="78">
        <f t="shared" si="62"/>
        <v>-2</v>
      </c>
      <c r="Z294" s="77">
        <f t="shared" si="63"/>
        <v>0</v>
      </c>
      <c r="AA294" s="76">
        <f t="shared" si="64"/>
        <v>4.2549999999999999</v>
      </c>
      <c r="AB294" s="76">
        <f t="shared" si="65"/>
        <v>2.65</v>
      </c>
    </row>
    <row r="295" spans="2:28">
      <c r="B295" s="90">
        <f>'116+240'!B296</f>
        <v>45563</v>
      </c>
      <c r="C295" s="87">
        <f t="shared" si="57"/>
        <v>1</v>
      </c>
      <c r="D295" s="86">
        <f t="shared" si="58"/>
        <v>844</v>
      </c>
      <c r="E295" s="85">
        <f>VLOOKUP(B295,'116+240'!B296:AB296,3,FALSE)</f>
        <v>1741</v>
      </c>
      <c r="F295" s="81">
        <f t="shared" si="53"/>
        <v>2585</v>
      </c>
      <c r="G295" s="84">
        <f>VLOOKUP(B295,'116+240'!$B$15:$AB$682,20,FALSE)</f>
        <v>3205</v>
      </c>
      <c r="H295" s="84">
        <f>VLOOKUP(B295,'116+240'!$B$15:$AB$682,4,FALSE)</f>
        <v>-350</v>
      </c>
      <c r="I295" s="80">
        <f t="shared" si="54"/>
        <v>2935</v>
      </c>
      <c r="J295" s="80">
        <f>VLOOKUP(B295,'116+240'!$B$15:$AB$682,13,FALSE)</f>
        <v>-1065</v>
      </c>
      <c r="K295" s="89">
        <f>'116+240'!Q296</f>
        <v>7</v>
      </c>
      <c r="L295" s="83">
        <f t="shared" si="59"/>
        <v>1105</v>
      </c>
      <c r="M295" s="82">
        <f>VLOOKUP(B295,'116+240'!$B$14:$AB$682,21,FALSE)</f>
        <v>3432</v>
      </c>
      <c r="N295" s="81">
        <f>VLOOKUP(B295,'116+240'!$B$15:$AB$682,5,FALSE)</f>
        <v>-457</v>
      </c>
      <c r="O295" s="80">
        <f t="shared" si="55"/>
        <v>3042</v>
      </c>
      <c r="P295" s="80">
        <f>VLOOKUP(B295,'116+240'!$B$15:$AB$682,14,FALSE)</f>
        <v>-958</v>
      </c>
      <c r="Q295" s="89">
        <f>'116+240'!R296</f>
        <v>8</v>
      </c>
      <c r="R295" s="83">
        <f t="shared" si="60"/>
        <v>878</v>
      </c>
      <c r="S295" s="82">
        <f>VLOOKUP(B295,'116+240'!$B$14:$AB$682,22,FALSE)</f>
        <v>3505</v>
      </c>
      <c r="T295" s="81">
        <f>VLOOKUP(B295,'116+240'!$B$15:$AB$682,6,FALSE)</f>
        <v>-580</v>
      </c>
      <c r="U295" s="80">
        <f t="shared" si="56"/>
        <v>3165</v>
      </c>
      <c r="V295" s="79">
        <f>VLOOKUP(B295,'116+240'!$B$15:$AB$682,15,FALSE)</f>
        <v>-835</v>
      </c>
      <c r="W295" s="89">
        <f>'116+240'!S296</f>
        <v>5</v>
      </c>
      <c r="X295" s="83">
        <f t="shared" si="61"/>
        <v>805</v>
      </c>
      <c r="Y295" s="78">
        <f t="shared" si="62"/>
        <v>-5</v>
      </c>
      <c r="Z295" s="77">
        <f t="shared" si="63"/>
        <v>0</v>
      </c>
      <c r="AA295" s="76">
        <f t="shared" si="64"/>
        <v>4.2549999999999999</v>
      </c>
      <c r="AB295" s="76">
        <f t="shared" si="65"/>
        <v>2.6339999999999999</v>
      </c>
    </row>
    <row r="296" spans="2:28">
      <c r="B296" s="90">
        <f>'116+240'!B297</f>
        <v>45564</v>
      </c>
      <c r="C296" s="87">
        <f t="shared" si="57"/>
        <v>1</v>
      </c>
      <c r="D296" s="86">
        <f t="shared" si="58"/>
        <v>844</v>
      </c>
      <c r="E296" s="85">
        <f>VLOOKUP(B296,'116+240'!B297:AB297,3,FALSE)</f>
        <v>1743</v>
      </c>
      <c r="F296" s="81">
        <f t="shared" si="53"/>
        <v>2587</v>
      </c>
      <c r="G296" s="84">
        <f>VLOOKUP(B296,'116+240'!$B$15:$AB$682,20,FALSE)</f>
        <v>3201</v>
      </c>
      <c r="H296" s="84">
        <f>VLOOKUP(B296,'116+240'!$B$15:$AB$682,4,FALSE)</f>
        <v>-344</v>
      </c>
      <c r="I296" s="80">
        <f t="shared" si="54"/>
        <v>2931</v>
      </c>
      <c r="J296" s="80">
        <f>VLOOKUP(B296,'116+240'!$B$15:$AB$682,13,FALSE)</f>
        <v>-1069</v>
      </c>
      <c r="K296" s="89">
        <f>'116+240'!Q297</f>
        <v>4</v>
      </c>
      <c r="L296" s="83">
        <f t="shared" si="59"/>
        <v>1109</v>
      </c>
      <c r="M296" s="82">
        <f>VLOOKUP(B296,'116+240'!$B$14:$AB$682,21,FALSE)</f>
        <v>3424</v>
      </c>
      <c r="N296" s="81">
        <f>VLOOKUP(B296,'116+240'!$B$15:$AB$682,5,FALSE)</f>
        <v>-447</v>
      </c>
      <c r="O296" s="80">
        <f t="shared" si="55"/>
        <v>3034</v>
      </c>
      <c r="P296" s="80">
        <f>VLOOKUP(B296,'116+240'!$B$15:$AB$682,14,FALSE)</f>
        <v>-966</v>
      </c>
      <c r="Q296" s="89">
        <f>'116+240'!R297</f>
        <v>8</v>
      </c>
      <c r="R296" s="83">
        <f t="shared" si="60"/>
        <v>886</v>
      </c>
      <c r="S296" s="82">
        <f>VLOOKUP(B296,'116+240'!$B$14:$AB$682,22,FALSE)</f>
        <v>3500</v>
      </c>
      <c r="T296" s="81">
        <f>VLOOKUP(B296,'116+240'!$B$15:$AB$682,6,FALSE)</f>
        <v>-573</v>
      </c>
      <c r="U296" s="80">
        <f t="shared" si="56"/>
        <v>3160</v>
      </c>
      <c r="V296" s="79">
        <f>VLOOKUP(B296,'116+240'!$B$15:$AB$682,15,FALSE)</f>
        <v>-840</v>
      </c>
      <c r="W296" s="89">
        <f>'116+240'!S297</f>
        <v>5</v>
      </c>
      <c r="X296" s="83">
        <f t="shared" si="61"/>
        <v>810</v>
      </c>
      <c r="Y296" s="78">
        <f t="shared" si="62"/>
        <v>-5</v>
      </c>
      <c r="Z296" s="77">
        <f t="shared" si="63"/>
        <v>0</v>
      </c>
      <c r="AA296" s="76">
        <f t="shared" si="64"/>
        <v>4.2549999999999999</v>
      </c>
      <c r="AB296" s="76">
        <f t="shared" si="65"/>
        <v>2.6179999999999999</v>
      </c>
    </row>
    <row r="297" spans="2:28">
      <c r="B297" s="90">
        <f>'116+240'!B298</f>
        <v>45565</v>
      </c>
      <c r="C297" s="87">
        <f t="shared" si="57"/>
        <v>1</v>
      </c>
      <c r="D297" s="86">
        <f t="shared" si="58"/>
        <v>844</v>
      </c>
      <c r="E297" s="85">
        <f>VLOOKUP(B297,'116+240'!B298:AB298,3,FALSE)</f>
        <v>1745</v>
      </c>
      <c r="F297" s="81">
        <f t="shared" si="53"/>
        <v>2589</v>
      </c>
      <c r="G297" s="84">
        <f>VLOOKUP(B297,'116+240'!$B$15:$AB$682,20,FALSE)</f>
        <v>3196</v>
      </c>
      <c r="H297" s="84">
        <f>VLOOKUP(B297,'116+240'!$B$15:$AB$682,4,FALSE)</f>
        <v>-337</v>
      </c>
      <c r="I297" s="80">
        <f t="shared" si="54"/>
        <v>2926</v>
      </c>
      <c r="J297" s="80">
        <f>VLOOKUP(B297,'116+240'!$B$15:$AB$682,13,FALSE)</f>
        <v>-1074</v>
      </c>
      <c r="K297" s="89">
        <f>'116+240'!Q298</f>
        <v>5</v>
      </c>
      <c r="L297" s="83">
        <f t="shared" si="59"/>
        <v>1114</v>
      </c>
      <c r="M297" s="82">
        <f>VLOOKUP(B297,'116+240'!$B$14:$AB$682,21,FALSE)</f>
        <v>3418</v>
      </c>
      <c r="N297" s="81">
        <f>VLOOKUP(B297,'116+240'!$B$15:$AB$682,5,FALSE)</f>
        <v>-439</v>
      </c>
      <c r="O297" s="80">
        <f t="shared" si="55"/>
        <v>3028</v>
      </c>
      <c r="P297" s="80">
        <f>VLOOKUP(B297,'116+240'!$B$15:$AB$682,14,FALSE)</f>
        <v>-972</v>
      </c>
      <c r="Q297" s="89">
        <f>'116+240'!R298</f>
        <v>6</v>
      </c>
      <c r="R297" s="83">
        <f t="shared" si="60"/>
        <v>892</v>
      </c>
      <c r="S297" s="82">
        <f>VLOOKUP(B297,'116+240'!$B$14:$AB$682,22,FALSE)</f>
        <v>3492</v>
      </c>
      <c r="T297" s="81">
        <f>VLOOKUP(B297,'116+240'!$B$15:$AB$682,6,FALSE)</f>
        <v>-563</v>
      </c>
      <c r="U297" s="80">
        <f t="shared" si="56"/>
        <v>3152</v>
      </c>
      <c r="V297" s="79">
        <f>VLOOKUP(B297,'116+240'!$B$15:$AB$682,15,FALSE)</f>
        <v>-848</v>
      </c>
      <c r="W297" s="89">
        <f>'116+240'!S298</f>
        <v>8</v>
      </c>
      <c r="X297" s="83">
        <f t="shared" si="61"/>
        <v>818</v>
      </c>
      <c r="Y297" s="78">
        <f t="shared" si="62"/>
        <v>-8</v>
      </c>
      <c r="Z297" s="77">
        <f t="shared" si="63"/>
        <v>0</v>
      </c>
      <c r="AA297" s="76">
        <f t="shared" si="64"/>
        <v>4.2549999999999999</v>
      </c>
      <c r="AB297" s="76">
        <f t="shared" si="65"/>
        <v>2.6059999999999999</v>
      </c>
    </row>
    <row r="298" spans="2:28">
      <c r="B298" s="90">
        <f>'116+240'!B299</f>
        <v>45566</v>
      </c>
      <c r="C298" s="87">
        <f t="shared" si="57"/>
        <v>1</v>
      </c>
      <c r="D298" s="86">
        <f t="shared" si="58"/>
        <v>844</v>
      </c>
      <c r="E298" s="85">
        <f>VLOOKUP(B298,'116+240'!B299:AB299,3,FALSE)</f>
        <v>1747</v>
      </c>
      <c r="F298" s="81">
        <f t="shared" si="53"/>
        <v>2591</v>
      </c>
      <c r="G298" s="84">
        <f>VLOOKUP(B298,'116+240'!$B$15:$AB$682,20,FALSE)</f>
        <v>3193</v>
      </c>
      <c r="H298" s="84">
        <f>VLOOKUP(B298,'116+240'!$B$15:$AB$682,4,FALSE)</f>
        <v>-332</v>
      </c>
      <c r="I298" s="80">
        <f t="shared" si="54"/>
        <v>2923</v>
      </c>
      <c r="J298" s="80">
        <f>VLOOKUP(B298,'116+240'!$B$15:$AB$682,13,FALSE)</f>
        <v>-1077</v>
      </c>
      <c r="K298" s="89">
        <f>'116+240'!Q299</f>
        <v>3</v>
      </c>
      <c r="L298" s="83">
        <f t="shared" si="59"/>
        <v>1117</v>
      </c>
      <c r="M298" s="82">
        <f>VLOOKUP(B298,'116+240'!$B$14:$AB$682,21,FALSE)</f>
        <v>3411</v>
      </c>
      <c r="N298" s="81">
        <f>VLOOKUP(B298,'116+240'!$B$15:$AB$682,5,FALSE)</f>
        <v>-430</v>
      </c>
      <c r="O298" s="80">
        <f t="shared" si="55"/>
        <v>3021</v>
      </c>
      <c r="P298" s="80">
        <f>VLOOKUP(B298,'116+240'!$B$15:$AB$682,14,FALSE)</f>
        <v>-979</v>
      </c>
      <c r="Q298" s="89">
        <f>'116+240'!R299</f>
        <v>7</v>
      </c>
      <c r="R298" s="83">
        <f t="shared" si="60"/>
        <v>899</v>
      </c>
      <c r="S298" s="82">
        <f>VLOOKUP(B298,'116+240'!$B$14:$AB$682,22,FALSE)</f>
        <v>3486</v>
      </c>
      <c r="T298" s="81">
        <f>VLOOKUP(B298,'116+240'!$B$15:$AB$682,6,FALSE)</f>
        <v>-555</v>
      </c>
      <c r="U298" s="80">
        <f t="shared" si="56"/>
        <v>3146</v>
      </c>
      <c r="V298" s="79">
        <f>VLOOKUP(B298,'116+240'!$B$15:$AB$682,15,FALSE)</f>
        <v>-854</v>
      </c>
      <c r="W298" s="89">
        <f>'116+240'!S299</f>
        <v>6</v>
      </c>
      <c r="X298" s="83">
        <f t="shared" si="61"/>
        <v>824</v>
      </c>
      <c r="Y298" s="78">
        <f t="shared" si="62"/>
        <v>-6</v>
      </c>
      <c r="Z298" s="77">
        <f t="shared" si="63"/>
        <v>0</v>
      </c>
      <c r="AA298" s="76">
        <f t="shared" si="64"/>
        <v>4.2549999999999999</v>
      </c>
      <c r="AB298" s="76">
        <f t="shared" si="65"/>
        <v>2.5920000000000001</v>
      </c>
    </row>
    <row r="299" spans="2:28">
      <c r="B299" s="90">
        <f>'116+240'!B300</f>
        <v>45567</v>
      </c>
      <c r="C299" s="87">
        <f t="shared" si="57"/>
        <v>1</v>
      </c>
      <c r="D299" s="86">
        <f t="shared" si="58"/>
        <v>844</v>
      </c>
      <c r="E299" s="85">
        <f>VLOOKUP(B299,'116+240'!B300:AB300,3,FALSE)</f>
        <v>1749</v>
      </c>
      <c r="F299" s="81">
        <f t="shared" si="53"/>
        <v>2593</v>
      </c>
      <c r="G299" s="84">
        <f>VLOOKUP(B299,'116+240'!$B$15:$AB$682,20,FALSE)</f>
        <v>3191</v>
      </c>
      <c r="H299" s="84">
        <f>VLOOKUP(B299,'116+240'!$B$15:$AB$682,4,FALSE)</f>
        <v>-328</v>
      </c>
      <c r="I299" s="80">
        <f t="shared" si="54"/>
        <v>2921</v>
      </c>
      <c r="J299" s="80">
        <f>VLOOKUP(B299,'116+240'!$B$15:$AB$682,13,FALSE)</f>
        <v>-1079</v>
      </c>
      <c r="K299" s="89">
        <f>'116+240'!Q300</f>
        <v>2</v>
      </c>
      <c r="L299" s="83">
        <f t="shared" si="59"/>
        <v>1119</v>
      </c>
      <c r="M299" s="82">
        <f>VLOOKUP(B299,'116+240'!$B$14:$AB$682,21,FALSE)</f>
        <v>3407</v>
      </c>
      <c r="N299" s="81">
        <f>VLOOKUP(B299,'116+240'!$B$15:$AB$682,5,FALSE)</f>
        <v>-424</v>
      </c>
      <c r="O299" s="80">
        <f t="shared" si="55"/>
        <v>3017</v>
      </c>
      <c r="P299" s="80">
        <f>VLOOKUP(B299,'116+240'!$B$15:$AB$682,14,FALSE)</f>
        <v>-983</v>
      </c>
      <c r="Q299" s="89">
        <f>'116+240'!R300</f>
        <v>4</v>
      </c>
      <c r="R299" s="83">
        <f t="shared" si="60"/>
        <v>903</v>
      </c>
      <c r="S299" s="82">
        <f>VLOOKUP(B299,'116+240'!$B$14:$AB$682,22,FALSE)</f>
        <v>3479</v>
      </c>
      <c r="T299" s="81">
        <f>VLOOKUP(B299,'116+240'!$B$15:$AB$682,6,FALSE)</f>
        <v>-546</v>
      </c>
      <c r="U299" s="80">
        <f t="shared" si="56"/>
        <v>3139</v>
      </c>
      <c r="V299" s="79">
        <f>VLOOKUP(B299,'116+240'!$B$15:$AB$682,15,FALSE)</f>
        <v>-861</v>
      </c>
      <c r="W299" s="89">
        <f>'116+240'!S300</f>
        <v>7</v>
      </c>
      <c r="X299" s="83">
        <f t="shared" si="61"/>
        <v>831</v>
      </c>
      <c r="Y299" s="78">
        <f t="shared" si="62"/>
        <v>-7</v>
      </c>
      <c r="Z299" s="77">
        <f t="shared" si="63"/>
        <v>0</v>
      </c>
      <c r="AA299" s="76">
        <f t="shared" si="64"/>
        <v>4.2549999999999999</v>
      </c>
      <c r="AB299" s="76">
        <f t="shared" si="65"/>
        <v>2.5840000000000001</v>
      </c>
    </row>
    <row r="300" spans="2:28">
      <c r="B300" s="90">
        <f>'116+240'!B301</f>
        <v>45568</v>
      </c>
      <c r="C300" s="87">
        <f t="shared" si="57"/>
        <v>1</v>
      </c>
      <c r="D300" s="86">
        <f t="shared" si="58"/>
        <v>844</v>
      </c>
      <c r="E300" s="85">
        <f>VLOOKUP(B300,'116+240'!B301:AB301,3,FALSE)</f>
        <v>1751</v>
      </c>
      <c r="F300" s="81">
        <f t="shared" si="53"/>
        <v>2595</v>
      </c>
      <c r="G300" s="84">
        <f>VLOOKUP(B300,'116+240'!$B$15:$AB$682,20,FALSE)</f>
        <v>3189</v>
      </c>
      <c r="H300" s="84">
        <f>VLOOKUP(B300,'116+240'!$B$15:$AB$682,4,FALSE)</f>
        <v>-324</v>
      </c>
      <c r="I300" s="80">
        <f t="shared" si="54"/>
        <v>2919</v>
      </c>
      <c r="J300" s="80">
        <f>VLOOKUP(B300,'116+240'!$B$15:$AB$682,13,FALSE)</f>
        <v>-1081</v>
      </c>
      <c r="K300" s="89">
        <f>'116+240'!Q301</f>
        <v>2</v>
      </c>
      <c r="L300" s="83">
        <f t="shared" si="59"/>
        <v>1121</v>
      </c>
      <c r="M300" s="82">
        <f>VLOOKUP(B300,'116+240'!$B$14:$AB$682,21,FALSE)</f>
        <v>3402</v>
      </c>
      <c r="N300" s="81">
        <f>VLOOKUP(B300,'116+240'!$B$15:$AB$682,5,FALSE)</f>
        <v>-417</v>
      </c>
      <c r="O300" s="80">
        <f t="shared" si="55"/>
        <v>3012</v>
      </c>
      <c r="P300" s="80">
        <f>VLOOKUP(B300,'116+240'!$B$15:$AB$682,14,FALSE)</f>
        <v>-988</v>
      </c>
      <c r="Q300" s="89">
        <f>'116+240'!R301</f>
        <v>5</v>
      </c>
      <c r="R300" s="83">
        <f t="shared" si="60"/>
        <v>908</v>
      </c>
      <c r="S300" s="82">
        <f>VLOOKUP(B300,'116+240'!$B$14:$AB$682,22,FALSE)</f>
        <v>3475</v>
      </c>
      <c r="T300" s="81">
        <f>VLOOKUP(B300,'116+240'!$B$15:$AB$682,6,FALSE)</f>
        <v>-540</v>
      </c>
      <c r="U300" s="80">
        <f t="shared" si="56"/>
        <v>3135</v>
      </c>
      <c r="V300" s="79">
        <f>VLOOKUP(B300,'116+240'!$B$15:$AB$682,15,FALSE)</f>
        <v>-865</v>
      </c>
      <c r="W300" s="89">
        <f>'116+240'!S301</f>
        <v>4</v>
      </c>
      <c r="X300" s="83">
        <f t="shared" si="61"/>
        <v>835</v>
      </c>
      <c r="Y300" s="78">
        <f t="shared" si="62"/>
        <v>-4</v>
      </c>
      <c r="Z300" s="77">
        <f t="shared" si="63"/>
        <v>0</v>
      </c>
      <c r="AA300" s="76">
        <f t="shared" si="64"/>
        <v>4.2549999999999999</v>
      </c>
      <c r="AB300" s="76">
        <f t="shared" si="65"/>
        <v>2.5739999999999998</v>
      </c>
    </row>
    <row r="301" spans="2:28">
      <c r="B301" s="90">
        <f>'116+240'!B302</f>
        <v>45569</v>
      </c>
      <c r="C301" s="87">
        <f t="shared" si="57"/>
        <v>1</v>
      </c>
      <c r="D301" s="86">
        <f t="shared" si="58"/>
        <v>844</v>
      </c>
      <c r="E301" s="85">
        <f>VLOOKUP(B301,'116+240'!B302:AB302,3,FALSE)</f>
        <v>1753</v>
      </c>
      <c r="F301" s="81">
        <f t="shared" si="53"/>
        <v>2597</v>
      </c>
      <c r="G301" s="84">
        <f>VLOOKUP(B301,'116+240'!$B$15:$AB$682,20,FALSE)</f>
        <v>3188</v>
      </c>
      <c r="H301" s="84">
        <f>VLOOKUP(B301,'116+240'!$B$15:$AB$682,4,FALSE)</f>
        <v>-321</v>
      </c>
      <c r="I301" s="80">
        <f t="shared" si="54"/>
        <v>2918</v>
      </c>
      <c r="J301" s="80">
        <f>VLOOKUP(B301,'116+240'!$B$15:$AB$682,13,FALSE)</f>
        <v>-1082</v>
      </c>
      <c r="K301" s="89">
        <f>'116+240'!Q302</f>
        <v>1</v>
      </c>
      <c r="L301" s="83">
        <f t="shared" si="59"/>
        <v>1122</v>
      </c>
      <c r="M301" s="82">
        <f>VLOOKUP(B301,'116+240'!$B$14:$AB$682,21,FALSE)</f>
        <v>3399</v>
      </c>
      <c r="N301" s="81">
        <f>VLOOKUP(B301,'116+240'!$B$15:$AB$682,5,FALSE)</f>
        <v>-412</v>
      </c>
      <c r="O301" s="80">
        <f t="shared" si="55"/>
        <v>3009</v>
      </c>
      <c r="P301" s="80">
        <f>VLOOKUP(B301,'116+240'!$B$15:$AB$682,14,FALSE)</f>
        <v>-991</v>
      </c>
      <c r="Q301" s="89">
        <f>'116+240'!R302</f>
        <v>3</v>
      </c>
      <c r="R301" s="83">
        <f t="shared" si="60"/>
        <v>911</v>
      </c>
      <c r="S301" s="82">
        <f>VLOOKUP(B301,'116+240'!$B$14:$AB$682,22,FALSE)</f>
        <v>3470</v>
      </c>
      <c r="T301" s="81">
        <f>VLOOKUP(B301,'116+240'!$B$15:$AB$682,6,FALSE)</f>
        <v>-533</v>
      </c>
      <c r="U301" s="80">
        <f t="shared" si="56"/>
        <v>3130</v>
      </c>
      <c r="V301" s="79">
        <f>VLOOKUP(B301,'116+240'!$B$15:$AB$682,15,FALSE)</f>
        <v>-870</v>
      </c>
      <c r="W301" s="89">
        <f>'116+240'!S302</f>
        <v>5</v>
      </c>
      <c r="X301" s="83">
        <f t="shared" si="61"/>
        <v>840</v>
      </c>
      <c r="Y301" s="78">
        <f t="shared" si="62"/>
        <v>-5</v>
      </c>
      <c r="Z301" s="77">
        <f t="shared" si="63"/>
        <v>0</v>
      </c>
      <c r="AA301" s="76">
        <f t="shared" si="64"/>
        <v>4.2549999999999999</v>
      </c>
      <c r="AB301" s="76">
        <f t="shared" si="65"/>
        <v>2.5680000000000001</v>
      </c>
    </row>
    <row r="302" spans="2:28">
      <c r="B302" s="90">
        <f>'116+240'!B303</f>
        <v>45570</v>
      </c>
      <c r="C302" s="87">
        <f t="shared" si="57"/>
        <v>1</v>
      </c>
      <c r="D302" s="86">
        <f t="shared" si="58"/>
        <v>844</v>
      </c>
      <c r="E302" s="85">
        <f>VLOOKUP(B302,'116+240'!B303:AB303,3,FALSE)</f>
        <v>1755</v>
      </c>
      <c r="F302" s="81">
        <f t="shared" si="53"/>
        <v>2599</v>
      </c>
      <c r="G302" s="84">
        <f>VLOOKUP(B302,'116+240'!$B$15:$AB$682,20,FALSE)</f>
        <v>3186</v>
      </c>
      <c r="H302" s="84">
        <f>VLOOKUP(B302,'116+240'!$B$15:$AB$682,4,FALSE)</f>
        <v>-317</v>
      </c>
      <c r="I302" s="80">
        <f t="shared" si="54"/>
        <v>2916</v>
      </c>
      <c r="J302" s="80">
        <f>VLOOKUP(B302,'116+240'!$B$15:$AB$682,13,FALSE)</f>
        <v>-1084</v>
      </c>
      <c r="K302" s="89">
        <f>'116+240'!Q303</f>
        <v>2</v>
      </c>
      <c r="L302" s="83">
        <f t="shared" si="59"/>
        <v>1124</v>
      </c>
      <c r="M302" s="82">
        <f>VLOOKUP(B302,'116+240'!$B$14:$AB$682,21,FALSE)</f>
        <v>3397</v>
      </c>
      <c r="N302" s="81">
        <f>VLOOKUP(B302,'116+240'!$B$15:$AB$682,5,FALSE)</f>
        <v>-408</v>
      </c>
      <c r="O302" s="80">
        <f t="shared" si="55"/>
        <v>3007</v>
      </c>
      <c r="P302" s="80">
        <f>VLOOKUP(B302,'116+240'!$B$15:$AB$682,14,FALSE)</f>
        <v>-993</v>
      </c>
      <c r="Q302" s="89">
        <f>'116+240'!R303</f>
        <v>2</v>
      </c>
      <c r="R302" s="83">
        <f t="shared" si="60"/>
        <v>913</v>
      </c>
      <c r="S302" s="82">
        <f>VLOOKUP(B302,'116+240'!$B$14:$AB$682,22,FALSE)</f>
        <v>3467</v>
      </c>
      <c r="T302" s="81">
        <f>VLOOKUP(B302,'116+240'!$B$15:$AB$682,6,FALSE)</f>
        <v>-528</v>
      </c>
      <c r="U302" s="80">
        <f t="shared" si="56"/>
        <v>3127</v>
      </c>
      <c r="V302" s="79">
        <f>VLOOKUP(B302,'116+240'!$B$15:$AB$682,15,FALSE)</f>
        <v>-873</v>
      </c>
      <c r="W302" s="89">
        <f>'116+240'!S303</f>
        <v>3</v>
      </c>
      <c r="X302" s="83">
        <f t="shared" si="61"/>
        <v>843</v>
      </c>
      <c r="Y302" s="78">
        <f t="shared" si="62"/>
        <v>-3</v>
      </c>
      <c r="Z302" s="77">
        <f t="shared" si="63"/>
        <v>0</v>
      </c>
      <c r="AA302" s="76">
        <f t="shared" si="64"/>
        <v>4.2549999999999999</v>
      </c>
      <c r="AB302" s="76">
        <f t="shared" si="65"/>
        <v>2.5640000000000001</v>
      </c>
    </row>
    <row r="303" spans="2:28">
      <c r="B303" s="90">
        <f>'116+240'!B304</f>
        <v>45571</v>
      </c>
      <c r="C303" s="87">
        <f t="shared" si="57"/>
        <v>1</v>
      </c>
      <c r="D303" s="86">
        <f t="shared" si="58"/>
        <v>844</v>
      </c>
      <c r="E303" s="85">
        <f>VLOOKUP(B303,'116+240'!B304:AB304,3,FALSE)</f>
        <v>1757</v>
      </c>
      <c r="F303" s="81">
        <f t="shared" si="53"/>
        <v>2601</v>
      </c>
      <c r="G303" s="84">
        <f>VLOOKUP(B303,'116+240'!$B$15:$AB$682,20,FALSE)</f>
        <v>3181</v>
      </c>
      <c r="H303" s="84">
        <f>VLOOKUP(B303,'116+240'!$B$15:$AB$682,4,FALSE)</f>
        <v>-310</v>
      </c>
      <c r="I303" s="80">
        <f t="shared" si="54"/>
        <v>2911</v>
      </c>
      <c r="J303" s="80">
        <f>VLOOKUP(B303,'116+240'!$B$15:$AB$682,13,FALSE)</f>
        <v>-1089</v>
      </c>
      <c r="K303" s="89">
        <f>'116+240'!Q304</f>
        <v>5</v>
      </c>
      <c r="L303" s="83">
        <f t="shared" si="59"/>
        <v>1129</v>
      </c>
      <c r="M303" s="82">
        <f>VLOOKUP(B303,'116+240'!$B$14:$AB$682,21,FALSE)</f>
        <v>3395</v>
      </c>
      <c r="N303" s="81">
        <f>VLOOKUP(B303,'116+240'!$B$15:$AB$682,5,FALSE)</f>
        <v>-404</v>
      </c>
      <c r="O303" s="80">
        <f t="shared" si="55"/>
        <v>3005</v>
      </c>
      <c r="P303" s="80">
        <f>VLOOKUP(B303,'116+240'!$B$15:$AB$682,14,FALSE)</f>
        <v>-995</v>
      </c>
      <c r="Q303" s="89">
        <f>'116+240'!R304</f>
        <v>2</v>
      </c>
      <c r="R303" s="83">
        <f t="shared" si="60"/>
        <v>915</v>
      </c>
      <c r="S303" s="82">
        <f>VLOOKUP(B303,'116+240'!$B$14:$AB$682,22,FALSE)</f>
        <v>3465</v>
      </c>
      <c r="T303" s="81">
        <f>VLOOKUP(B303,'116+240'!$B$15:$AB$682,6,FALSE)</f>
        <v>-524</v>
      </c>
      <c r="U303" s="80">
        <f t="shared" si="56"/>
        <v>3125</v>
      </c>
      <c r="V303" s="79">
        <f>VLOOKUP(B303,'116+240'!$B$15:$AB$682,15,FALSE)</f>
        <v>-875</v>
      </c>
      <c r="W303" s="89">
        <f>'116+240'!S304</f>
        <v>2</v>
      </c>
      <c r="X303" s="83">
        <f t="shared" si="61"/>
        <v>845</v>
      </c>
      <c r="Y303" s="78">
        <f t="shared" si="62"/>
        <v>-2</v>
      </c>
      <c r="Z303" s="77">
        <f t="shared" si="63"/>
        <v>0</v>
      </c>
      <c r="AA303" s="76">
        <f t="shared" si="64"/>
        <v>4.2549999999999999</v>
      </c>
      <c r="AB303" s="76">
        <f t="shared" si="65"/>
        <v>2.56</v>
      </c>
    </row>
    <row r="304" spans="2:28">
      <c r="B304" s="90">
        <f>'116+240'!B305</f>
        <v>45572</v>
      </c>
      <c r="C304" s="87">
        <f t="shared" si="57"/>
        <v>1</v>
      </c>
      <c r="D304" s="86">
        <f t="shared" si="58"/>
        <v>844</v>
      </c>
      <c r="E304" s="85">
        <f>VLOOKUP(B304,'116+240'!B305:AB305,3,FALSE)</f>
        <v>1759</v>
      </c>
      <c r="F304" s="81">
        <f t="shared" si="53"/>
        <v>2603</v>
      </c>
      <c r="G304" s="84">
        <f>VLOOKUP(B304,'116+240'!$B$15:$AB$682,20,FALSE)</f>
        <v>3176</v>
      </c>
      <c r="H304" s="84">
        <f>VLOOKUP(B304,'116+240'!$B$15:$AB$682,4,FALSE)</f>
        <v>-303</v>
      </c>
      <c r="I304" s="80">
        <f t="shared" si="54"/>
        <v>2906</v>
      </c>
      <c r="J304" s="80">
        <f>VLOOKUP(B304,'116+240'!$B$15:$AB$682,13,FALSE)</f>
        <v>-1094</v>
      </c>
      <c r="K304" s="89">
        <f>'116+240'!Q305</f>
        <v>5</v>
      </c>
      <c r="L304" s="83">
        <f t="shared" si="59"/>
        <v>1134</v>
      </c>
      <c r="M304" s="82">
        <f>VLOOKUP(B304,'116+240'!$B$14:$AB$682,21,FALSE)</f>
        <v>3394</v>
      </c>
      <c r="N304" s="81">
        <f>VLOOKUP(B304,'116+240'!$B$15:$AB$682,5,FALSE)</f>
        <v>-401</v>
      </c>
      <c r="O304" s="80">
        <f t="shared" si="55"/>
        <v>3004</v>
      </c>
      <c r="P304" s="80">
        <f>VLOOKUP(B304,'116+240'!$B$15:$AB$682,14,FALSE)</f>
        <v>-996</v>
      </c>
      <c r="Q304" s="89">
        <f>'116+240'!R305</f>
        <v>1</v>
      </c>
      <c r="R304" s="83">
        <f t="shared" si="60"/>
        <v>916</v>
      </c>
      <c r="S304" s="82">
        <f>VLOOKUP(B304,'116+240'!$B$14:$AB$682,22,FALSE)</f>
        <v>3463</v>
      </c>
      <c r="T304" s="81">
        <f>VLOOKUP(B304,'116+240'!$B$15:$AB$682,6,FALSE)</f>
        <v>-520</v>
      </c>
      <c r="U304" s="80">
        <f t="shared" si="56"/>
        <v>3123</v>
      </c>
      <c r="V304" s="79">
        <f>VLOOKUP(B304,'116+240'!$B$15:$AB$682,15,FALSE)</f>
        <v>-877</v>
      </c>
      <c r="W304" s="89">
        <f>'116+240'!S305</f>
        <v>2</v>
      </c>
      <c r="X304" s="83">
        <f t="shared" si="61"/>
        <v>847</v>
      </c>
      <c r="Y304" s="78">
        <f t="shared" si="62"/>
        <v>-2</v>
      </c>
      <c r="Z304" s="77">
        <f t="shared" si="63"/>
        <v>0</v>
      </c>
      <c r="AA304" s="76">
        <f t="shared" si="64"/>
        <v>4.2549999999999999</v>
      </c>
      <c r="AB304" s="76">
        <f t="shared" si="65"/>
        <v>2.5579999999999998</v>
      </c>
    </row>
    <row r="305" spans="2:28">
      <c r="B305" s="90">
        <f>'116+240'!B306</f>
        <v>45573</v>
      </c>
      <c r="C305" s="87">
        <f t="shared" si="57"/>
        <v>1</v>
      </c>
      <c r="D305" s="86">
        <f t="shared" si="58"/>
        <v>844</v>
      </c>
      <c r="E305" s="85">
        <f>VLOOKUP(B305,'116+240'!B306:AB306,3,FALSE)</f>
        <v>1761</v>
      </c>
      <c r="F305" s="81">
        <f t="shared" si="53"/>
        <v>2605</v>
      </c>
      <c r="G305" s="84">
        <f>VLOOKUP(B305,'116+240'!$B$15:$AB$682,20,FALSE)</f>
        <v>3173</v>
      </c>
      <c r="H305" s="84">
        <f>VLOOKUP(B305,'116+240'!$B$15:$AB$682,4,FALSE)</f>
        <v>-298</v>
      </c>
      <c r="I305" s="80">
        <f t="shared" si="54"/>
        <v>2903</v>
      </c>
      <c r="J305" s="80">
        <f>VLOOKUP(B305,'116+240'!$B$15:$AB$682,13,FALSE)</f>
        <v>-1097</v>
      </c>
      <c r="K305" s="89">
        <f>'116+240'!Q306</f>
        <v>3</v>
      </c>
      <c r="L305" s="83">
        <f t="shared" si="59"/>
        <v>1137</v>
      </c>
      <c r="M305" s="82">
        <f>VLOOKUP(B305,'116+240'!$B$14:$AB$682,21,FALSE)</f>
        <v>3392</v>
      </c>
      <c r="N305" s="81">
        <f>VLOOKUP(B305,'116+240'!$B$15:$AB$682,5,FALSE)</f>
        <v>-397</v>
      </c>
      <c r="O305" s="80">
        <f t="shared" si="55"/>
        <v>3002</v>
      </c>
      <c r="P305" s="80">
        <f>VLOOKUP(B305,'116+240'!$B$15:$AB$682,14,FALSE)</f>
        <v>-998</v>
      </c>
      <c r="Q305" s="89">
        <f>'116+240'!R306</f>
        <v>2</v>
      </c>
      <c r="R305" s="83">
        <f t="shared" si="60"/>
        <v>918</v>
      </c>
      <c r="S305" s="82">
        <f>VLOOKUP(B305,'116+240'!$B$14:$AB$682,22,FALSE)</f>
        <v>3462</v>
      </c>
      <c r="T305" s="81">
        <f>VLOOKUP(B305,'116+240'!$B$15:$AB$682,6,FALSE)</f>
        <v>-517</v>
      </c>
      <c r="U305" s="80">
        <f t="shared" si="56"/>
        <v>3122</v>
      </c>
      <c r="V305" s="79">
        <f>VLOOKUP(B305,'116+240'!$B$15:$AB$682,15,FALSE)</f>
        <v>-878</v>
      </c>
      <c r="W305" s="89">
        <f>'116+240'!S306</f>
        <v>1</v>
      </c>
      <c r="X305" s="83">
        <f t="shared" si="61"/>
        <v>848</v>
      </c>
      <c r="Y305" s="78">
        <f t="shared" si="62"/>
        <v>-1</v>
      </c>
      <c r="Z305" s="77">
        <f t="shared" si="63"/>
        <v>0</v>
      </c>
      <c r="AA305" s="76">
        <f t="shared" si="64"/>
        <v>4.2549999999999999</v>
      </c>
      <c r="AB305" s="76">
        <f t="shared" si="65"/>
        <v>2.5539999999999998</v>
      </c>
    </row>
    <row r="306" spans="2:28">
      <c r="B306" s="90">
        <f>'116+240'!B307</f>
        <v>45574</v>
      </c>
      <c r="C306" s="87">
        <f t="shared" si="57"/>
        <v>1</v>
      </c>
      <c r="D306" s="86">
        <f t="shared" si="58"/>
        <v>844</v>
      </c>
      <c r="E306" s="85">
        <f>VLOOKUP(B306,'116+240'!B307:AB307,3,FALSE)</f>
        <v>1763</v>
      </c>
      <c r="F306" s="81">
        <f t="shared" si="53"/>
        <v>2607</v>
      </c>
      <c r="G306" s="84">
        <f>VLOOKUP(B306,'116+240'!$B$15:$AB$682,20,FALSE)</f>
        <v>3171</v>
      </c>
      <c r="H306" s="84">
        <f>VLOOKUP(B306,'116+240'!$B$15:$AB$682,4,FALSE)</f>
        <v>-294</v>
      </c>
      <c r="I306" s="80">
        <f t="shared" si="54"/>
        <v>2901</v>
      </c>
      <c r="J306" s="80">
        <f>VLOOKUP(B306,'116+240'!$B$15:$AB$682,13,FALSE)</f>
        <v>-1099</v>
      </c>
      <c r="K306" s="89">
        <f>'116+240'!Q307</f>
        <v>2</v>
      </c>
      <c r="L306" s="83">
        <f t="shared" si="59"/>
        <v>1139</v>
      </c>
      <c r="M306" s="82">
        <f>VLOOKUP(B306,'116+240'!$B$14:$AB$682,21,FALSE)</f>
        <v>3387</v>
      </c>
      <c r="N306" s="81">
        <f>VLOOKUP(B306,'116+240'!$B$15:$AB$682,5,FALSE)</f>
        <v>-390</v>
      </c>
      <c r="O306" s="80">
        <f t="shared" si="55"/>
        <v>2997</v>
      </c>
      <c r="P306" s="80">
        <f>VLOOKUP(B306,'116+240'!$B$15:$AB$682,14,FALSE)</f>
        <v>-1003</v>
      </c>
      <c r="Q306" s="89">
        <f>'116+240'!R307</f>
        <v>5</v>
      </c>
      <c r="R306" s="83">
        <f t="shared" si="60"/>
        <v>923</v>
      </c>
      <c r="S306" s="82">
        <f>VLOOKUP(B306,'116+240'!$B$14:$AB$682,22,FALSE)</f>
        <v>3460</v>
      </c>
      <c r="T306" s="81">
        <f>VLOOKUP(B306,'116+240'!$B$15:$AB$682,6,FALSE)</f>
        <v>-513</v>
      </c>
      <c r="U306" s="80">
        <f t="shared" si="56"/>
        <v>3120</v>
      </c>
      <c r="V306" s="79">
        <f>VLOOKUP(B306,'116+240'!$B$15:$AB$682,15,FALSE)</f>
        <v>-880</v>
      </c>
      <c r="W306" s="89">
        <f>'116+240'!S307</f>
        <v>2</v>
      </c>
      <c r="X306" s="83">
        <f t="shared" si="61"/>
        <v>850</v>
      </c>
      <c r="Y306" s="78">
        <f t="shared" si="62"/>
        <v>-2</v>
      </c>
      <c r="Z306" s="77">
        <f t="shared" si="63"/>
        <v>0</v>
      </c>
      <c r="AA306" s="76">
        <f t="shared" si="64"/>
        <v>4.2549999999999999</v>
      </c>
      <c r="AB306" s="76">
        <f t="shared" si="65"/>
        <v>2.544</v>
      </c>
    </row>
    <row r="307" spans="2:28">
      <c r="B307" s="90">
        <f>'116+240'!B308</f>
        <v>45575</v>
      </c>
      <c r="C307" s="87">
        <f t="shared" si="57"/>
        <v>1</v>
      </c>
      <c r="D307" s="86">
        <f t="shared" si="58"/>
        <v>844</v>
      </c>
      <c r="E307" s="85">
        <f>VLOOKUP(B307,'116+240'!B308:AB308,3,FALSE)</f>
        <v>1765</v>
      </c>
      <c r="F307" s="81">
        <f t="shared" si="53"/>
        <v>2609</v>
      </c>
      <c r="G307" s="84">
        <f>VLOOKUP(B307,'116+240'!$B$15:$AB$682,20,FALSE)</f>
        <v>3170</v>
      </c>
      <c r="H307" s="84">
        <f>VLOOKUP(B307,'116+240'!$B$15:$AB$682,4,FALSE)</f>
        <v>-291</v>
      </c>
      <c r="I307" s="80">
        <f t="shared" si="54"/>
        <v>2900</v>
      </c>
      <c r="J307" s="80">
        <f>VLOOKUP(B307,'116+240'!$B$15:$AB$682,13,FALSE)</f>
        <v>-1100</v>
      </c>
      <c r="K307" s="89">
        <f>'116+240'!Q308</f>
        <v>1</v>
      </c>
      <c r="L307" s="83">
        <f t="shared" si="59"/>
        <v>1140</v>
      </c>
      <c r="M307" s="82">
        <f>VLOOKUP(B307,'116+240'!$B$14:$AB$682,21,FALSE)</f>
        <v>3382</v>
      </c>
      <c r="N307" s="81">
        <f>VLOOKUP(B307,'116+240'!$B$15:$AB$682,5,FALSE)</f>
        <v>-383</v>
      </c>
      <c r="O307" s="80">
        <f t="shared" si="55"/>
        <v>2992</v>
      </c>
      <c r="P307" s="80">
        <f>VLOOKUP(B307,'116+240'!$B$15:$AB$682,14,FALSE)</f>
        <v>-1008</v>
      </c>
      <c r="Q307" s="89">
        <f>'116+240'!R308</f>
        <v>5</v>
      </c>
      <c r="R307" s="83">
        <f t="shared" si="60"/>
        <v>928</v>
      </c>
      <c r="S307" s="82">
        <f>VLOOKUP(B307,'116+240'!$B$14:$AB$682,22,FALSE)</f>
        <v>3455</v>
      </c>
      <c r="T307" s="81">
        <f>VLOOKUP(B307,'116+240'!$B$15:$AB$682,6,FALSE)</f>
        <v>-506</v>
      </c>
      <c r="U307" s="80">
        <f t="shared" si="56"/>
        <v>3115</v>
      </c>
      <c r="V307" s="79">
        <f>VLOOKUP(B307,'116+240'!$B$15:$AB$682,15,FALSE)</f>
        <v>-885</v>
      </c>
      <c r="W307" s="89">
        <f>'116+240'!S308</f>
        <v>5</v>
      </c>
      <c r="X307" s="83">
        <f t="shared" si="61"/>
        <v>855</v>
      </c>
      <c r="Y307" s="78">
        <f t="shared" si="62"/>
        <v>-5</v>
      </c>
      <c r="Z307" s="77">
        <f t="shared" si="63"/>
        <v>0</v>
      </c>
      <c r="AA307" s="76">
        <f t="shared" si="64"/>
        <v>4.2549999999999999</v>
      </c>
      <c r="AB307" s="76">
        <f t="shared" si="65"/>
        <v>2.5339999999999998</v>
      </c>
    </row>
    <row r="308" spans="2:28">
      <c r="B308" s="90">
        <f>'116+240'!B309</f>
        <v>45576</v>
      </c>
      <c r="C308" s="87">
        <f t="shared" si="57"/>
        <v>1</v>
      </c>
      <c r="D308" s="86">
        <f t="shared" si="58"/>
        <v>844</v>
      </c>
      <c r="E308" s="85">
        <f>VLOOKUP(B308,'116+240'!B309:AB309,3,FALSE)</f>
        <v>1767</v>
      </c>
      <c r="F308" s="81">
        <f t="shared" si="53"/>
        <v>2611</v>
      </c>
      <c r="G308" s="84">
        <f>VLOOKUP(B308,'116+240'!$B$15:$AB$682,20,FALSE)</f>
        <v>3167</v>
      </c>
      <c r="H308" s="84">
        <f>VLOOKUP(B308,'116+240'!$B$15:$AB$682,4,FALSE)</f>
        <v>-286</v>
      </c>
      <c r="I308" s="80">
        <f t="shared" si="54"/>
        <v>2897</v>
      </c>
      <c r="J308" s="80">
        <f>VLOOKUP(B308,'116+240'!$B$15:$AB$682,13,FALSE)</f>
        <v>-1103</v>
      </c>
      <c r="K308" s="89">
        <f>'116+240'!Q309</f>
        <v>3</v>
      </c>
      <c r="L308" s="83">
        <f t="shared" si="59"/>
        <v>1143</v>
      </c>
      <c r="M308" s="82">
        <f>VLOOKUP(B308,'116+240'!$B$14:$AB$682,21,FALSE)</f>
        <v>3380</v>
      </c>
      <c r="N308" s="81">
        <f>VLOOKUP(B308,'116+240'!$B$15:$AB$682,5,FALSE)</f>
        <v>-379</v>
      </c>
      <c r="O308" s="80">
        <f t="shared" si="55"/>
        <v>2990</v>
      </c>
      <c r="P308" s="80">
        <f>VLOOKUP(B308,'116+240'!$B$15:$AB$682,14,FALSE)</f>
        <v>-1010</v>
      </c>
      <c r="Q308" s="89">
        <f>'116+240'!R309</f>
        <v>2</v>
      </c>
      <c r="R308" s="83">
        <f t="shared" si="60"/>
        <v>930</v>
      </c>
      <c r="S308" s="82">
        <f>VLOOKUP(B308,'116+240'!$B$14:$AB$682,22,FALSE)</f>
        <v>3450</v>
      </c>
      <c r="T308" s="81">
        <f>VLOOKUP(B308,'116+240'!$B$15:$AB$682,6,FALSE)</f>
        <v>-499</v>
      </c>
      <c r="U308" s="80">
        <f t="shared" si="56"/>
        <v>3110</v>
      </c>
      <c r="V308" s="79">
        <f>VLOOKUP(B308,'116+240'!$B$15:$AB$682,15,FALSE)</f>
        <v>-890</v>
      </c>
      <c r="W308" s="89">
        <f>'116+240'!S309</f>
        <v>5</v>
      </c>
      <c r="X308" s="83">
        <f t="shared" si="61"/>
        <v>860</v>
      </c>
      <c r="Y308" s="78">
        <f t="shared" si="62"/>
        <v>-5</v>
      </c>
      <c r="Z308" s="77">
        <f t="shared" si="63"/>
        <v>0</v>
      </c>
      <c r="AA308" s="76">
        <f t="shared" si="64"/>
        <v>4.2549999999999999</v>
      </c>
      <c r="AB308" s="76">
        <f t="shared" si="65"/>
        <v>2.5299999999999998</v>
      </c>
    </row>
    <row r="309" spans="2:28">
      <c r="B309" s="90">
        <f>'116+240'!B310</f>
        <v>45577</v>
      </c>
      <c r="C309" s="87">
        <f t="shared" si="57"/>
        <v>1</v>
      </c>
      <c r="D309" s="86">
        <f t="shared" si="58"/>
        <v>844</v>
      </c>
      <c r="E309" s="85">
        <f>VLOOKUP(B309,'116+240'!B310:AB310,3,FALSE)</f>
        <v>1769</v>
      </c>
      <c r="F309" s="81">
        <f t="shared" si="53"/>
        <v>2613</v>
      </c>
      <c r="G309" s="84">
        <f>VLOOKUP(B309,'116+240'!$B$15:$AB$682,20,FALSE)</f>
        <v>3165</v>
      </c>
      <c r="H309" s="84">
        <f>VLOOKUP(B309,'116+240'!$B$15:$AB$682,4,FALSE)</f>
        <v>-282</v>
      </c>
      <c r="I309" s="80">
        <f t="shared" si="54"/>
        <v>2895</v>
      </c>
      <c r="J309" s="80">
        <f>VLOOKUP(B309,'116+240'!$B$15:$AB$682,13,FALSE)</f>
        <v>-1105</v>
      </c>
      <c r="K309" s="89">
        <f>'116+240'!Q310</f>
        <v>2</v>
      </c>
      <c r="L309" s="83">
        <f t="shared" si="59"/>
        <v>1145</v>
      </c>
      <c r="M309" s="82">
        <f>VLOOKUP(B309,'116+240'!$B$14:$AB$682,21,FALSE)</f>
        <v>3378</v>
      </c>
      <c r="N309" s="81">
        <f>VLOOKUP(B309,'116+240'!$B$15:$AB$682,5,FALSE)</f>
        <v>-375</v>
      </c>
      <c r="O309" s="80">
        <f t="shared" si="55"/>
        <v>2988</v>
      </c>
      <c r="P309" s="80">
        <f>VLOOKUP(B309,'116+240'!$B$15:$AB$682,14,FALSE)</f>
        <v>-1012</v>
      </c>
      <c r="Q309" s="89">
        <f>'116+240'!R310</f>
        <v>2</v>
      </c>
      <c r="R309" s="83">
        <f t="shared" si="60"/>
        <v>932</v>
      </c>
      <c r="S309" s="82">
        <f>VLOOKUP(B309,'116+240'!$B$14:$AB$682,22,FALSE)</f>
        <v>3445</v>
      </c>
      <c r="T309" s="81">
        <f>VLOOKUP(B309,'116+240'!$B$15:$AB$682,6,FALSE)</f>
        <v>-492</v>
      </c>
      <c r="U309" s="80">
        <f t="shared" si="56"/>
        <v>3105</v>
      </c>
      <c r="V309" s="79">
        <f>VLOOKUP(B309,'116+240'!$B$15:$AB$682,15,FALSE)</f>
        <v>-895</v>
      </c>
      <c r="W309" s="89">
        <f>'116+240'!S310</f>
        <v>5</v>
      </c>
      <c r="X309" s="83">
        <f t="shared" si="61"/>
        <v>865</v>
      </c>
      <c r="Y309" s="78">
        <f t="shared" si="62"/>
        <v>-5</v>
      </c>
      <c r="Z309" s="77">
        <f t="shared" si="63"/>
        <v>0</v>
      </c>
      <c r="AA309" s="76">
        <f t="shared" si="64"/>
        <v>4.2549999999999999</v>
      </c>
      <c r="AB309" s="76">
        <f t="shared" si="65"/>
        <v>2.5259999999999998</v>
      </c>
    </row>
    <row r="310" spans="2:28">
      <c r="B310" s="90">
        <f>'116+240'!B311</f>
        <v>45578</v>
      </c>
      <c r="C310" s="87">
        <f t="shared" si="57"/>
        <v>1</v>
      </c>
      <c r="D310" s="86">
        <f t="shared" si="58"/>
        <v>844</v>
      </c>
      <c r="E310" s="85">
        <f>VLOOKUP(B310,'116+240'!B311:AB311,3,FALSE)</f>
        <v>1771</v>
      </c>
      <c r="F310" s="81">
        <f t="shared" si="53"/>
        <v>2615</v>
      </c>
      <c r="G310" s="84">
        <f>VLOOKUP(B310,'116+240'!$B$15:$AB$682,20,FALSE)</f>
        <v>3164</v>
      </c>
      <c r="H310" s="84">
        <f>VLOOKUP(B310,'116+240'!$B$15:$AB$682,4,FALSE)</f>
        <v>-279</v>
      </c>
      <c r="I310" s="80">
        <f t="shared" si="54"/>
        <v>2894</v>
      </c>
      <c r="J310" s="80">
        <f>VLOOKUP(B310,'116+240'!$B$15:$AB$682,13,FALSE)</f>
        <v>-1106</v>
      </c>
      <c r="K310" s="89">
        <f>'116+240'!Q311</f>
        <v>1</v>
      </c>
      <c r="L310" s="83">
        <f t="shared" si="59"/>
        <v>1146</v>
      </c>
      <c r="M310" s="82">
        <f>VLOOKUP(B310,'116+240'!$B$14:$AB$682,21,FALSE)</f>
        <v>3373</v>
      </c>
      <c r="N310" s="81">
        <f>VLOOKUP(B310,'116+240'!$B$15:$AB$682,5,FALSE)</f>
        <v>-368</v>
      </c>
      <c r="O310" s="80">
        <f t="shared" si="55"/>
        <v>2983</v>
      </c>
      <c r="P310" s="80">
        <f>VLOOKUP(B310,'116+240'!$B$15:$AB$682,14,FALSE)</f>
        <v>-1017</v>
      </c>
      <c r="Q310" s="89">
        <f>'116+240'!R311</f>
        <v>5</v>
      </c>
      <c r="R310" s="83">
        <f t="shared" si="60"/>
        <v>937</v>
      </c>
      <c r="S310" s="82">
        <f>VLOOKUP(B310,'116+240'!$B$14:$AB$682,22,FALSE)</f>
        <v>3443</v>
      </c>
      <c r="T310" s="81">
        <f>VLOOKUP(B310,'116+240'!$B$15:$AB$682,6,FALSE)</f>
        <v>-488</v>
      </c>
      <c r="U310" s="80">
        <f t="shared" si="56"/>
        <v>3103</v>
      </c>
      <c r="V310" s="79">
        <f>VLOOKUP(B310,'116+240'!$B$15:$AB$682,15,FALSE)</f>
        <v>-897</v>
      </c>
      <c r="W310" s="89">
        <f>'116+240'!S311</f>
        <v>2</v>
      </c>
      <c r="X310" s="83">
        <f t="shared" si="61"/>
        <v>867</v>
      </c>
      <c r="Y310" s="78">
        <f t="shared" si="62"/>
        <v>-2</v>
      </c>
      <c r="Z310" s="77">
        <f t="shared" si="63"/>
        <v>0</v>
      </c>
      <c r="AA310" s="76">
        <f t="shared" si="64"/>
        <v>4.2549999999999999</v>
      </c>
      <c r="AB310" s="76">
        <f t="shared" si="65"/>
        <v>2.516</v>
      </c>
    </row>
    <row r="311" spans="2:28">
      <c r="B311" s="90">
        <f>'116+240'!B312</f>
        <v>45579</v>
      </c>
      <c r="C311" s="87">
        <f t="shared" si="57"/>
        <v>1</v>
      </c>
      <c r="D311" s="86">
        <f t="shared" si="58"/>
        <v>844</v>
      </c>
      <c r="E311" s="85">
        <f>VLOOKUP(B311,'116+240'!B312:AB312,3,FALSE)</f>
        <v>1773</v>
      </c>
      <c r="F311" s="81">
        <f t="shared" si="53"/>
        <v>2617</v>
      </c>
      <c r="G311" s="84">
        <f>VLOOKUP(B311,'116+240'!$B$15:$AB$682,20,FALSE)</f>
        <v>3162</v>
      </c>
      <c r="H311" s="84">
        <f>VLOOKUP(B311,'116+240'!$B$15:$AB$682,4,FALSE)</f>
        <v>-275</v>
      </c>
      <c r="I311" s="80">
        <f t="shared" si="54"/>
        <v>2892</v>
      </c>
      <c r="J311" s="80">
        <f>VLOOKUP(B311,'116+240'!$B$15:$AB$682,13,FALSE)</f>
        <v>-1108</v>
      </c>
      <c r="K311" s="89">
        <f>'116+240'!Q312</f>
        <v>2</v>
      </c>
      <c r="L311" s="83">
        <f t="shared" si="59"/>
        <v>1148</v>
      </c>
      <c r="M311" s="82">
        <f>VLOOKUP(B311,'116+240'!$B$14:$AB$682,21,FALSE)</f>
        <v>3371</v>
      </c>
      <c r="N311" s="81">
        <f>VLOOKUP(B311,'116+240'!$B$15:$AB$682,5,FALSE)</f>
        <v>-364</v>
      </c>
      <c r="O311" s="80">
        <f t="shared" si="55"/>
        <v>2981</v>
      </c>
      <c r="P311" s="80">
        <f>VLOOKUP(B311,'116+240'!$B$15:$AB$682,14,FALSE)</f>
        <v>-1019</v>
      </c>
      <c r="Q311" s="89">
        <f>'116+240'!R312</f>
        <v>2</v>
      </c>
      <c r="R311" s="83">
        <f t="shared" si="60"/>
        <v>939</v>
      </c>
      <c r="S311" s="82">
        <f>VLOOKUP(B311,'116+240'!$B$14:$AB$682,22,FALSE)</f>
        <v>3438</v>
      </c>
      <c r="T311" s="81">
        <f>VLOOKUP(B311,'116+240'!$B$15:$AB$682,6,FALSE)</f>
        <v>-481</v>
      </c>
      <c r="U311" s="80">
        <f t="shared" si="56"/>
        <v>3098</v>
      </c>
      <c r="V311" s="79">
        <f>VLOOKUP(B311,'116+240'!$B$15:$AB$682,15,FALSE)</f>
        <v>-902</v>
      </c>
      <c r="W311" s="89">
        <f>'116+240'!S312</f>
        <v>5</v>
      </c>
      <c r="X311" s="83">
        <f t="shared" si="61"/>
        <v>872</v>
      </c>
      <c r="Y311" s="78">
        <f t="shared" si="62"/>
        <v>-5</v>
      </c>
      <c r="Z311" s="77">
        <f t="shared" si="63"/>
        <v>0</v>
      </c>
      <c r="AA311" s="76">
        <f t="shared" si="64"/>
        <v>4.2549999999999999</v>
      </c>
      <c r="AB311" s="76">
        <f t="shared" si="65"/>
        <v>2.512</v>
      </c>
    </row>
    <row r="312" spans="2:28">
      <c r="B312" s="90">
        <f>'116+240'!B313</f>
        <v>45580</v>
      </c>
      <c r="C312" s="87">
        <f t="shared" si="57"/>
        <v>1</v>
      </c>
      <c r="D312" s="86">
        <f t="shared" si="58"/>
        <v>844</v>
      </c>
      <c r="E312" s="85">
        <f>VLOOKUP(B312,'116+240'!B313:AB313,3,FALSE)</f>
        <v>1775</v>
      </c>
      <c r="F312" s="81">
        <f t="shared" si="53"/>
        <v>2619</v>
      </c>
      <c r="G312" s="84">
        <f>VLOOKUP(B312,'116+240'!$B$15:$AB$682,20,FALSE)</f>
        <v>3161</v>
      </c>
      <c r="H312" s="84">
        <f>VLOOKUP(B312,'116+240'!$B$15:$AB$682,4,FALSE)</f>
        <v>-272</v>
      </c>
      <c r="I312" s="80">
        <f t="shared" si="54"/>
        <v>2891</v>
      </c>
      <c r="J312" s="80">
        <f>VLOOKUP(B312,'116+240'!$B$15:$AB$682,13,FALSE)</f>
        <v>-1109</v>
      </c>
      <c r="K312" s="89">
        <f>'116+240'!Q313</f>
        <v>1</v>
      </c>
      <c r="L312" s="83">
        <f t="shared" si="59"/>
        <v>1149</v>
      </c>
      <c r="M312" s="82">
        <f>VLOOKUP(B312,'116+240'!$B$14:$AB$682,21,FALSE)</f>
        <v>3366</v>
      </c>
      <c r="N312" s="81">
        <f>VLOOKUP(B312,'116+240'!$B$15:$AB$682,5,FALSE)</f>
        <v>-357</v>
      </c>
      <c r="O312" s="80">
        <f t="shared" si="55"/>
        <v>2976</v>
      </c>
      <c r="P312" s="80">
        <f>VLOOKUP(B312,'116+240'!$B$15:$AB$682,14,FALSE)</f>
        <v>-1024</v>
      </c>
      <c r="Q312" s="89">
        <f>'116+240'!R313</f>
        <v>5</v>
      </c>
      <c r="R312" s="83">
        <f t="shared" si="60"/>
        <v>944</v>
      </c>
      <c r="S312" s="82">
        <f>VLOOKUP(B312,'116+240'!$B$14:$AB$682,22,FALSE)</f>
        <v>3433</v>
      </c>
      <c r="T312" s="81">
        <f>VLOOKUP(B312,'116+240'!$B$15:$AB$682,6,FALSE)</f>
        <v>-474</v>
      </c>
      <c r="U312" s="80">
        <f t="shared" si="56"/>
        <v>3093</v>
      </c>
      <c r="V312" s="79">
        <f>VLOOKUP(B312,'116+240'!$B$15:$AB$682,15,FALSE)</f>
        <v>-907</v>
      </c>
      <c r="W312" s="89">
        <f>'116+240'!S313</f>
        <v>5</v>
      </c>
      <c r="X312" s="83">
        <f t="shared" si="61"/>
        <v>877</v>
      </c>
      <c r="Y312" s="78">
        <f t="shared" si="62"/>
        <v>-5</v>
      </c>
      <c r="Z312" s="77">
        <f t="shared" si="63"/>
        <v>0</v>
      </c>
      <c r="AA312" s="76">
        <f t="shared" si="64"/>
        <v>4.2549999999999999</v>
      </c>
      <c r="AB312" s="76">
        <f t="shared" si="65"/>
        <v>2.5019999999999998</v>
      </c>
    </row>
    <row r="313" spans="2:28">
      <c r="B313" s="90">
        <f>'116+240'!B314</f>
        <v>45581</v>
      </c>
      <c r="C313" s="87">
        <f t="shared" si="57"/>
        <v>1</v>
      </c>
      <c r="D313" s="86">
        <f t="shared" si="58"/>
        <v>844</v>
      </c>
      <c r="E313" s="85">
        <f>VLOOKUP(B313,'116+240'!B314:AB314,3,FALSE)</f>
        <v>1777</v>
      </c>
      <c r="F313" s="81">
        <f t="shared" si="53"/>
        <v>2621</v>
      </c>
      <c r="G313" s="84">
        <f>VLOOKUP(B313,'116+240'!$B$15:$AB$682,20,FALSE)</f>
        <v>3160</v>
      </c>
      <c r="H313" s="84">
        <f>VLOOKUP(B313,'116+240'!$B$15:$AB$682,4,FALSE)</f>
        <v>-269</v>
      </c>
      <c r="I313" s="80">
        <f t="shared" si="54"/>
        <v>2890</v>
      </c>
      <c r="J313" s="80">
        <f>VLOOKUP(B313,'116+240'!$B$15:$AB$682,13,FALSE)</f>
        <v>-1110</v>
      </c>
      <c r="K313" s="89">
        <f>'116+240'!Q314</f>
        <v>1</v>
      </c>
      <c r="L313" s="83">
        <f t="shared" si="59"/>
        <v>1150</v>
      </c>
      <c r="M313" s="82">
        <f>VLOOKUP(B313,'116+240'!$B$14:$AB$682,21,FALSE)</f>
        <v>3363</v>
      </c>
      <c r="N313" s="81">
        <f>VLOOKUP(B313,'116+240'!$B$15:$AB$682,5,FALSE)</f>
        <v>-352</v>
      </c>
      <c r="O313" s="80">
        <f t="shared" si="55"/>
        <v>2973</v>
      </c>
      <c r="P313" s="80">
        <f>VLOOKUP(B313,'116+240'!$B$15:$AB$682,14,FALSE)</f>
        <v>-1027</v>
      </c>
      <c r="Q313" s="89">
        <f>'116+240'!R314</f>
        <v>3</v>
      </c>
      <c r="R313" s="83">
        <f t="shared" si="60"/>
        <v>947</v>
      </c>
      <c r="S313" s="82">
        <f>VLOOKUP(B313,'116+240'!$B$14:$AB$682,22,FALSE)</f>
        <v>3431</v>
      </c>
      <c r="T313" s="81">
        <f>VLOOKUP(B313,'116+240'!$B$15:$AB$682,6,FALSE)</f>
        <v>-470</v>
      </c>
      <c r="U313" s="80">
        <f t="shared" si="56"/>
        <v>3091</v>
      </c>
      <c r="V313" s="79">
        <f>VLOOKUP(B313,'116+240'!$B$15:$AB$682,15,FALSE)</f>
        <v>-909</v>
      </c>
      <c r="W313" s="89">
        <f>'116+240'!S314</f>
        <v>2</v>
      </c>
      <c r="X313" s="83">
        <f t="shared" si="61"/>
        <v>879</v>
      </c>
      <c r="Y313" s="78">
        <f t="shared" si="62"/>
        <v>-2</v>
      </c>
      <c r="Z313" s="77">
        <f t="shared" si="63"/>
        <v>0</v>
      </c>
      <c r="AA313" s="76">
        <f t="shared" si="64"/>
        <v>4.2549999999999999</v>
      </c>
      <c r="AB313" s="76">
        <f t="shared" si="65"/>
        <v>2.496</v>
      </c>
    </row>
    <row r="314" spans="2:28">
      <c r="B314" s="90">
        <f>'116+240'!B315</f>
        <v>45582</v>
      </c>
      <c r="C314" s="87">
        <f t="shared" si="57"/>
        <v>1</v>
      </c>
      <c r="D314" s="86">
        <f t="shared" si="58"/>
        <v>844</v>
      </c>
      <c r="E314" s="85">
        <f>VLOOKUP(B314,'116+240'!B315:AB315,3,FALSE)</f>
        <v>1779</v>
      </c>
      <c r="F314" s="81">
        <f t="shared" si="53"/>
        <v>2623</v>
      </c>
      <c r="G314" s="84">
        <f>VLOOKUP(B314,'116+240'!$B$15:$AB$682,20,FALSE)</f>
        <v>3158</v>
      </c>
      <c r="H314" s="84">
        <f>VLOOKUP(B314,'116+240'!$B$15:$AB$682,4,FALSE)</f>
        <v>-265</v>
      </c>
      <c r="I314" s="80">
        <f t="shared" si="54"/>
        <v>2888</v>
      </c>
      <c r="J314" s="80">
        <f>VLOOKUP(B314,'116+240'!$B$15:$AB$682,13,FALSE)</f>
        <v>-1112</v>
      </c>
      <c r="K314" s="89">
        <f>'116+240'!Q315</f>
        <v>2</v>
      </c>
      <c r="L314" s="83">
        <f t="shared" si="59"/>
        <v>1152</v>
      </c>
      <c r="M314" s="82">
        <f>VLOOKUP(B314,'116+240'!$B$14:$AB$682,21,FALSE)</f>
        <v>3361</v>
      </c>
      <c r="N314" s="81">
        <f>VLOOKUP(B314,'116+240'!$B$15:$AB$682,5,FALSE)</f>
        <v>-348</v>
      </c>
      <c r="O314" s="80">
        <f t="shared" si="55"/>
        <v>2971</v>
      </c>
      <c r="P314" s="80">
        <f>VLOOKUP(B314,'116+240'!$B$15:$AB$682,14,FALSE)</f>
        <v>-1029</v>
      </c>
      <c r="Q314" s="89">
        <f>'116+240'!R315</f>
        <v>2</v>
      </c>
      <c r="R314" s="83">
        <f t="shared" si="60"/>
        <v>949</v>
      </c>
      <c r="S314" s="82">
        <f>VLOOKUP(B314,'116+240'!$B$14:$AB$682,22,FALSE)</f>
        <v>3430</v>
      </c>
      <c r="T314" s="81">
        <f>VLOOKUP(B314,'116+240'!$B$15:$AB$682,6,FALSE)</f>
        <v>-467</v>
      </c>
      <c r="U314" s="80">
        <f t="shared" si="56"/>
        <v>3090</v>
      </c>
      <c r="V314" s="79">
        <f>VLOOKUP(B314,'116+240'!$B$15:$AB$682,15,FALSE)</f>
        <v>-910</v>
      </c>
      <c r="W314" s="89">
        <f>'116+240'!S315</f>
        <v>1</v>
      </c>
      <c r="X314" s="83">
        <f t="shared" si="61"/>
        <v>880</v>
      </c>
      <c r="Y314" s="78">
        <f t="shared" si="62"/>
        <v>-1</v>
      </c>
      <c r="Z314" s="77">
        <f t="shared" si="63"/>
        <v>0</v>
      </c>
      <c r="AA314" s="76">
        <f t="shared" si="64"/>
        <v>4.2549999999999999</v>
      </c>
      <c r="AB314" s="76">
        <f t="shared" si="65"/>
        <v>2.492</v>
      </c>
    </row>
    <row r="315" spans="2:28">
      <c r="B315" s="90">
        <f>'116+240'!B316</f>
        <v>45583</v>
      </c>
      <c r="C315" s="87">
        <f t="shared" si="57"/>
        <v>1</v>
      </c>
      <c r="D315" s="86">
        <f t="shared" si="58"/>
        <v>844</v>
      </c>
      <c r="E315" s="85">
        <f>VLOOKUP(B315,'116+240'!B316:AB316,3,FALSE)</f>
        <v>1781</v>
      </c>
      <c r="F315" s="81">
        <f t="shared" si="53"/>
        <v>2625</v>
      </c>
      <c r="G315" s="84">
        <f>VLOOKUP(B315,'116+240'!$B$15:$AB$682,20,FALSE)</f>
        <v>3156</v>
      </c>
      <c r="H315" s="84">
        <f>VLOOKUP(B315,'116+240'!$B$15:$AB$682,4,FALSE)</f>
        <v>-261</v>
      </c>
      <c r="I315" s="80">
        <f t="shared" si="54"/>
        <v>2886</v>
      </c>
      <c r="J315" s="80">
        <f>VLOOKUP(B315,'116+240'!$B$15:$AB$682,13,FALSE)</f>
        <v>-1114</v>
      </c>
      <c r="K315" s="89">
        <f>'116+240'!Q316</f>
        <v>2</v>
      </c>
      <c r="L315" s="83">
        <f t="shared" si="59"/>
        <v>1154</v>
      </c>
      <c r="M315" s="82">
        <f>VLOOKUP(B315,'116+240'!$B$14:$AB$682,21,FALSE)</f>
        <v>3356</v>
      </c>
      <c r="N315" s="81">
        <f>VLOOKUP(B315,'116+240'!$B$15:$AB$682,5,FALSE)</f>
        <v>-341</v>
      </c>
      <c r="O315" s="80">
        <f t="shared" si="55"/>
        <v>2966</v>
      </c>
      <c r="P315" s="80">
        <f>VLOOKUP(B315,'116+240'!$B$15:$AB$682,14,FALSE)</f>
        <v>-1034</v>
      </c>
      <c r="Q315" s="89">
        <f>'116+240'!R316</f>
        <v>5</v>
      </c>
      <c r="R315" s="83">
        <f t="shared" si="60"/>
        <v>954</v>
      </c>
      <c r="S315" s="82">
        <f>VLOOKUP(B315,'116+240'!$B$14:$AB$682,22,FALSE)</f>
        <v>3428</v>
      </c>
      <c r="T315" s="81">
        <f>VLOOKUP(B315,'116+240'!$B$15:$AB$682,6,FALSE)</f>
        <v>-463</v>
      </c>
      <c r="U315" s="80">
        <f t="shared" si="56"/>
        <v>3088</v>
      </c>
      <c r="V315" s="79">
        <f>VLOOKUP(B315,'116+240'!$B$15:$AB$682,15,FALSE)</f>
        <v>-912</v>
      </c>
      <c r="W315" s="89">
        <f>'116+240'!S316</f>
        <v>2</v>
      </c>
      <c r="X315" s="83">
        <f t="shared" si="61"/>
        <v>882</v>
      </c>
      <c r="Y315" s="78">
        <f t="shared" si="62"/>
        <v>-2</v>
      </c>
      <c r="Z315" s="77">
        <f t="shared" si="63"/>
        <v>0</v>
      </c>
      <c r="AA315" s="76">
        <f t="shared" si="64"/>
        <v>4.2549999999999999</v>
      </c>
      <c r="AB315" s="76">
        <f t="shared" si="65"/>
        <v>2.4820000000000002</v>
      </c>
    </row>
    <row r="316" spans="2:28">
      <c r="B316" s="90">
        <f>'116+240'!B317</f>
        <v>45584</v>
      </c>
      <c r="C316" s="87">
        <f t="shared" si="57"/>
        <v>1</v>
      </c>
      <c r="D316" s="86">
        <f t="shared" si="58"/>
        <v>844</v>
      </c>
      <c r="E316" s="85">
        <f>VLOOKUP(B316,'116+240'!B317:AB317,3,FALSE)</f>
        <v>1783</v>
      </c>
      <c r="F316" s="81">
        <f t="shared" si="53"/>
        <v>2627</v>
      </c>
      <c r="G316" s="84">
        <f>VLOOKUP(B316,'116+240'!$B$15:$AB$682,20,FALSE)</f>
        <v>3154</v>
      </c>
      <c r="H316" s="84">
        <f>VLOOKUP(B316,'116+240'!$B$15:$AB$682,4,FALSE)</f>
        <v>-257</v>
      </c>
      <c r="I316" s="80">
        <f t="shared" si="54"/>
        <v>2884</v>
      </c>
      <c r="J316" s="80">
        <f>VLOOKUP(B316,'116+240'!$B$15:$AB$682,13,FALSE)</f>
        <v>-1116</v>
      </c>
      <c r="K316" s="89">
        <f>'116+240'!Q317</f>
        <v>2</v>
      </c>
      <c r="L316" s="83">
        <f t="shared" si="59"/>
        <v>1156</v>
      </c>
      <c r="M316" s="82">
        <f>VLOOKUP(B316,'116+240'!$B$14:$AB$682,21,FALSE)</f>
        <v>3351</v>
      </c>
      <c r="N316" s="81">
        <f>VLOOKUP(B316,'116+240'!$B$15:$AB$682,5,FALSE)</f>
        <v>-334</v>
      </c>
      <c r="O316" s="80">
        <f t="shared" si="55"/>
        <v>2961</v>
      </c>
      <c r="P316" s="80">
        <f>VLOOKUP(B316,'116+240'!$B$15:$AB$682,14,FALSE)</f>
        <v>-1039</v>
      </c>
      <c r="Q316" s="89">
        <f>'116+240'!R317</f>
        <v>5</v>
      </c>
      <c r="R316" s="83">
        <f t="shared" si="60"/>
        <v>959</v>
      </c>
      <c r="S316" s="82">
        <f>VLOOKUP(B316,'116+240'!$B$14:$AB$682,22,FALSE)</f>
        <v>3426</v>
      </c>
      <c r="T316" s="81">
        <f>VLOOKUP(B316,'116+240'!$B$15:$AB$682,6,FALSE)</f>
        <v>-459</v>
      </c>
      <c r="U316" s="80">
        <f t="shared" si="56"/>
        <v>3086</v>
      </c>
      <c r="V316" s="79">
        <f>VLOOKUP(B316,'116+240'!$B$15:$AB$682,15,FALSE)</f>
        <v>-914</v>
      </c>
      <c r="W316" s="89">
        <f>'116+240'!S317</f>
        <v>2</v>
      </c>
      <c r="X316" s="83">
        <f t="shared" si="61"/>
        <v>884</v>
      </c>
      <c r="Y316" s="78">
        <f t="shared" si="62"/>
        <v>-2</v>
      </c>
      <c r="Z316" s="77">
        <f t="shared" si="63"/>
        <v>0</v>
      </c>
      <c r="AA316" s="76">
        <f t="shared" si="64"/>
        <v>4.2549999999999999</v>
      </c>
      <c r="AB316" s="76">
        <f t="shared" si="65"/>
        <v>2.472</v>
      </c>
    </row>
    <row r="317" spans="2:28">
      <c r="B317" s="90">
        <f>'116+240'!B318</f>
        <v>45585</v>
      </c>
      <c r="C317" s="87">
        <f t="shared" si="57"/>
        <v>1</v>
      </c>
      <c r="D317" s="86">
        <f t="shared" si="58"/>
        <v>844</v>
      </c>
      <c r="E317" s="85">
        <f>VLOOKUP(B317,'116+240'!B318:AB318,3,FALSE)</f>
        <v>1785</v>
      </c>
      <c r="F317" s="81">
        <f t="shared" si="53"/>
        <v>2629</v>
      </c>
      <c r="G317" s="84">
        <f>VLOOKUP(B317,'116+240'!$B$15:$AB$682,20,FALSE)</f>
        <v>3152</v>
      </c>
      <c r="H317" s="84">
        <f>VLOOKUP(B317,'116+240'!$B$15:$AB$682,4,FALSE)</f>
        <v>-253</v>
      </c>
      <c r="I317" s="80">
        <f t="shared" si="54"/>
        <v>2882</v>
      </c>
      <c r="J317" s="80">
        <f>VLOOKUP(B317,'116+240'!$B$15:$AB$682,13,FALSE)</f>
        <v>-1118</v>
      </c>
      <c r="K317" s="89">
        <f>'116+240'!Q318</f>
        <v>2</v>
      </c>
      <c r="L317" s="83">
        <f t="shared" si="59"/>
        <v>1158</v>
      </c>
      <c r="M317" s="82">
        <f>VLOOKUP(B317,'116+240'!$B$14:$AB$682,21,FALSE)</f>
        <v>3347</v>
      </c>
      <c r="N317" s="81">
        <f>VLOOKUP(B317,'116+240'!$B$15:$AB$682,5,FALSE)</f>
        <v>-328</v>
      </c>
      <c r="O317" s="80">
        <f t="shared" si="55"/>
        <v>2957</v>
      </c>
      <c r="P317" s="80">
        <f>VLOOKUP(B317,'116+240'!$B$15:$AB$682,14,FALSE)</f>
        <v>-1043</v>
      </c>
      <c r="Q317" s="89">
        <f>'116+240'!R318</f>
        <v>4</v>
      </c>
      <c r="R317" s="83">
        <f t="shared" si="60"/>
        <v>963</v>
      </c>
      <c r="S317" s="82">
        <f>VLOOKUP(B317,'116+240'!$B$14:$AB$682,22,FALSE)</f>
        <v>3424</v>
      </c>
      <c r="T317" s="81">
        <f>VLOOKUP(B317,'116+240'!$B$15:$AB$682,6,FALSE)</f>
        <v>-455</v>
      </c>
      <c r="U317" s="80">
        <f t="shared" si="56"/>
        <v>3084</v>
      </c>
      <c r="V317" s="79">
        <f>VLOOKUP(B317,'116+240'!$B$15:$AB$682,15,FALSE)</f>
        <v>-916</v>
      </c>
      <c r="W317" s="89">
        <f>'116+240'!S318</f>
        <v>2</v>
      </c>
      <c r="X317" s="83">
        <f t="shared" si="61"/>
        <v>886</v>
      </c>
      <c r="Y317" s="78">
        <f t="shared" si="62"/>
        <v>-2</v>
      </c>
      <c r="Z317" s="77">
        <f t="shared" si="63"/>
        <v>0</v>
      </c>
      <c r="AA317" s="76">
        <f t="shared" si="64"/>
        <v>4.2549999999999999</v>
      </c>
      <c r="AB317" s="76">
        <f t="shared" si="65"/>
        <v>2.464</v>
      </c>
    </row>
    <row r="318" spans="2:28">
      <c r="B318" s="90">
        <f>'116+240'!B319</f>
        <v>45586</v>
      </c>
      <c r="C318" s="87">
        <f t="shared" si="57"/>
        <v>1</v>
      </c>
      <c r="D318" s="86">
        <f t="shared" si="58"/>
        <v>844</v>
      </c>
      <c r="E318" s="85">
        <f>VLOOKUP(B318,'116+240'!B319:AB319,3,FALSE)</f>
        <v>1787</v>
      </c>
      <c r="F318" s="81">
        <f t="shared" si="53"/>
        <v>2631</v>
      </c>
      <c r="G318" s="84">
        <f>VLOOKUP(B318,'116+240'!$B$15:$AB$682,20,FALSE)</f>
        <v>3151</v>
      </c>
      <c r="H318" s="84">
        <f>VLOOKUP(B318,'116+240'!$B$15:$AB$682,4,FALSE)</f>
        <v>-250</v>
      </c>
      <c r="I318" s="80">
        <f t="shared" si="54"/>
        <v>2881</v>
      </c>
      <c r="J318" s="80">
        <f>VLOOKUP(B318,'116+240'!$B$15:$AB$682,13,FALSE)</f>
        <v>-1119</v>
      </c>
      <c r="K318" s="89">
        <f>'116+240'!Q319</f>
        <v>1</v>
      </c>
      <c r="L318" s="83">
        <f t="shared" si="59"/>
        <v>1159</v>
      </c>
      <c r="M318" s="82">
        <f>VLOOKUP(B318,'116+240'!$B$14:$AB$682,21,FALSE)</f>
        <v>3344</v>
      </c>
      <c r="N318" s="81">
        <f>VLOOKUP(B318,'116+240'!$B$15:$AB$682,5,FALSE)</f>
        <v>-323</v>
      </c>
      <c r="O318" s="80">
        <f t="shared" si="55"/>
        <v>2954</v>
      </c>
      <c r="P318" s="80">
        <f>VLOOKUP(B318,'116+240'!$B$15:$AB$682,14,FALSE)</f>
        <v>-1046</v>
      </c>
      <c r="Q318" s="89">
        <f>'116+240'!R319</f>
        <v>3</v>
      </c>
      <c r="R318" s="83">
        <f t="shared" si="60"/>
        <v>966</v>
      </c>
      <c r="S318" s="82">
        <f>VLOOKUP(B318,'116+240'!$B$14:$AB$682,22,FALSE)</f>
        <v>3423</v>
      </c>
      <c r="T318" s="81">
        <f>VLOOKUP(B318,'116+240'!$B$15:$AB$682,6,FALSE)</f>
        <v>-452</v>
      </c>
      <c r="U318" s="80">
        <f t="shared" si="56"/>
        <v>3083</v>
      </c>
      <c r="V318" s="79">
        <f>VLOOKUP(B318,'116+240'!$B$15:$AB$682,15,FALSE)</f>
        <v>-917</v>
      </c>
      <c r="W318" s="89">
        <f>'116+240'!S319</f>
        <v>1</v>
      </c>
      <c r="X318" s="83">
        <f t="shared" si="61"/>
        <v>887</v>
      </c>
      <c r="Y318" s="78">
        <f t="shared" si="62"/>
        <v>-1</v>
      </c>
      <c r="Z318" s="77">
        <f t="shared" si="63"/>
        <v>0</v>
      </c>
      <c r="AA318" s="76">
        <f t="shared" si="64"/>
        <v>4.2549999999999999</v>
      </c>
      <c r="AB318" s="76">
        <f t="shared" si="65"/>
        <v>2.4580000000000002</v>
      </c>
    </row>
    <row r="319" spans="2:28">
      <c r="B319" s="90">
        <f>'116+240'!B320</f>
        <v>45587</v>
      </c>
      <c r="C319" s="87">
        <f t="shared" si="57"/>
        <v>1</v>
      </c>
      <c r="D319" s="86">
        <f t="shared" si="58"/>
        <v>844</v>
      </c>
      <c r="E319" s="85">
        <f>VLOOKUP(B319,'116+240'!B320:AB320,3,FALSE)</f>
        <v>1789</v>
      </c>
      <c r="F319" s="81">
        <f t="shared" si="53"/>
        <v>2633</v>
      </c>
      <c r="G319" s="84">
        <f>VLOOKUP(B319,'116+240'!$B$15:$AB$682,20,FALSE)</f>
        <v>3149</v>
      </c>
      <c r="H319" s="84">
        <f>VLOOKUP(B319,'116+240'!$B$15:$AB$682,4,FALSE)</f>
        <v>-246</v>
      </c>
      <c r="I319" s="80">
        <f t="shared" si="54"/>
        <v>2879</v>
      </c>
      <c r="J319" s="80">
        <f>VLOOKUP(B319,'116+240'!$B$15:$AB$682,13,FALSE)</f>
        <v>-1121</v>
      </c>
      <c r="K319" s="89">
        <f>'116+240'!Q320</f>
        <v>2</v>
      </c>
      <c r="L319" s="83">
        <f t="shared" si="59"/>
        <v>1161</v>
      </c>
      <c r="M319" s="82">
        <f>VLOOKUP(B319,'116+240'!$B$14:$AB$682,21,FALSE)</f>
        <v>3342</v>
      </c>
      <c r="N319" s="81">
        <f>VLOOKUP(B319,'116+240'!$B$15:$AB$682,5,FALSE)</f>
        <v>-319</v>
      </c>
      <c r="O319" s="80">
        <f t="shared" si="55"/>
        <v>2952</v>
      </c>
      <c r="P319" s="80">
        <f>VLOOKUP(B319,'116+240'!$B$15:$AB$682,14,FALSE)</f>
        <v>-1048</v>
      </c>
      <c r="Q319" s="89">
        <f>'116+240'!R320</f>
        <v>2</v>
      </c>
      <c r="R319" s="83">
        <f t="shared" si="60"/>
        <v>968</v>
      </c>
      <c r="S319" s="82">
        <f>VLOOKUP(B319,'116+240'!$B$14:$AB$682,22,FALSE)</f>
        <v>3422</v>
      </c>
      <c r="T319" s="81">
        <f>VLOOKUP(B319,'116+240'!$B$15:$AB$682,6,FALSE)</f>
        <v>-449</v>
      </c>
      <c r="U319" s="80">
        <f t="shared" si="56"/>
        <v>3082</v>
      </c>
      <c r="V319" s="79">
        <f>VLOOKUP(B319,'116+240'!$B$15:$AB$682,15,FALSE)</f>
        <v>-918</v>
      </c>
      <c r="W319" s="89">
        <f>'116+240'!S320</f>
        <v>1</v>
      </c>
      <c r="X319" s="83">
        <f t="shared" si="61"/>
        <v>888</v>
      </c>
      <c r="Y319" s="78">
        <f t="shared" si="62"/>
        <v>-1</v>
      </c>
      <c r="Z319" s="77">
        <f t="shared" si="63"/>
        <v>0</v>
      </c>
      <c r="AA319" s="76">
        <f t="shared" si="64"/>
        <v>4.2549999999999999</v>
      </c>
      <c r="AB319" s="76">
        <f t="shared" si="65"/>
        <v>2.4540000000000002</v>
      </c>
    </row>
    <row r="320" spans="2:28">
      <c r="B320" s="90">
        <f>'116+240'!B321</f>
        <v>45588</v>
      </c>
      <c r="C320" s="87">
        <f t="shared" si="57"/>
        <v>1</v>
      </c>
      <c r="D320" s="86">
        <f t="shared" si="58"/>
        <v>844</v>
      </c>
      <c r="E320" s="85">
        <f>VLOOKUP(B320,'116+240'!B321:AB321,3,FALSE)</f>
        <v>1791</v>
      </c>
      <c r="F320" s="81">
        <f t="shared" si="53"/>
        <v>2635</v>
      </c>
      <c r="G320" s="84">
        <f>VLOOKUP(B320,'116+240'!$B$15:$AB$682,20,FALSE)</f>
        <v>3147</v>
      </c>
      <c r="H320" s="84">
        <f>VLOOKUP(B320,'116+240'!$B$15:$AB$682,4,FALSE)</f>
        <v>-242</v>
      </c>
      <c r="I320" s="80">
        <f t="shared" si="54"/>
        <v>2877</v>
      </c>
      <c r="J320" s="80">
        <f>VLOOKUP(B320,'116+240'!$B$15:$AB$682,13,FALSE)</f>
        <v>-1123</v>
      </c>
      <c r="K320" s="89">
        <f>'116+240'!Q321</f>
        <v>2</v>
      </c>
      <c r="L320" s="83">
        <f t="shared" si="59"/>
        <v>1163</v>
      </c>
      <c r="M320" s="82">
        <f>VLOOKUP(B320,'116+240'!$B$14:$AB$682,21,FALSE)</f>
        <v>3337</v>
      </c>
      <c r="N320" s="81">
        <f>VLOOKUP(B320,'116+240'!$B$15:$AB$682,5,FALSE)</f>
        <v>-312</v>
      </c>
      <c r="O320" s="80">
        <f t="shared" si="55"/>
        <v>2947</v>
      </c>
      <c r="P320" s="80">
        <f>VLOOKUP(B320,'116+240'!$B$15:$AB$682,14,FALSE)</f>
        <v>-1053</v>
      </c>
      <c r="Q320" s="89">
        <f>'116+240'!R321</f>
        <v>5</v>
      </c>
      <c r="R320" s="83">
        <f t="shared" si="60"/>
        <v>973</v>
      </c>
      <c r="S320" s="82">
        <f>VLOOKUP(B320,'116+240'!$B$14:$AB$682,22,FALSE)</f>
        <v>3420</v>
      </c>
      <c r="T320" s="81">
        <f>VLOOKUP(B320,'116+240'!$B$15:$AB$682,6,FALSE)</f>
        <v>-445</v>
      </c>
      <c r="U320" s="80">
        <f t="shared" si="56"/>
        <v>3080</v>
      </c>
      <c r="V320" s="79">
        <f>VLOOKUP(B320,'116+240'!$B$15:$AB$682,15,FALSE)</f>
        <v>-920</v>
      </c>
      <c r="W320" s="89">
        <f>'116+240'!S321</f>
        <v>2</v>
      </c>
      <c r="X320" s="83">
        <f t="shared" si="61"/>
        <v>890</v>
      </c>
      <c r="Y320" s="78">
        <f t="shared" si="62"/>
        <v>-2</v>
      </c>
      <c r="Z320" s="77">
        <f t="shared" si="63"/>
        <v>0</v>
      </c>
      <c r="AA320" s="76">
        <f t="shared" si="64"/>
        <v>4.2549999999999999</v>
      </c>
      <c r="AB320" s="76">
        <f t="shared" si="65"/>
        <v>2.444</v>
      </c>
    </row>
    <row r="321" spans="2:28">
      <c r="B321" s="90">
        <f>'116+240'!B322</f>
        <v>45589</v>
      </c>
      <c r="C321" s="87">
        <f t="shared" si="57"/>
        <v>1</v>
      </c>
      <c r="D321" s="86">
        <f t="shared" si="58"/>
        <v>844</v>
      </c>
      <c r="E321" s="85">
        <f>VLOOKUP(B321,'116+240'!B322:AB322,3,FALSE)</f>
        <v>1793</v>
      </c>
      <c r="F321" s="81">
        <f t="shared" si="53"/>
        <v>2637</v>
      </c>
      <c r="G321" s="84">
        <f>VLOOKUP(B321,'116+240'!$B$15:$AB$682,20,FALSE)</f>
        <v>3145</v>
      </c>
      <c r="H321" s="84">
        <f>VLOOKUP(B321,'116+240'!$B$15:$AB$682,4,FALSE)</f>
        <v>-238</v>
      </c>
      <c r="I321" s="80">
        <f t="shared" si="54"/>
        <v>2875</v>
      </c>
      <c r="J321" s="80">
        <f>VLOOKUP(B321,'116+240'!$B$15:$AB$682,13,FALSE)</f>
        <v>-1125</v>
      </c>
      <c r="K321" s="89">
        <f>'116+240'!Q322</f>
        <v>2</v>
      </c>
      <c r="L321" s="83">
        <f t="shared" si="59"/>
        <v>1165</v>
      </c>
      <c r="M321" s="82">
        <f>VLOOKUP(B321,'116+240'!$B$14:$AB$682,21,FALSE)</f>
        <v>3332</v>
      </c>
      <c r="N321" s="81">
        <f>VLOOKUP(B321,'116+240'!$B$15:$AB$682,5,FALSE)</f>
        <v>-305</v>
      </c>
      <c r="O321" s="80">
        <f t="shared" si="55"/>
        <v>2942</v>
      </c>
      <c r="P321" s="80">
        <f>VLOOKUP(B321,'116+240'!$B$15:$AB$682,14,FALSE)</f>
        <v>-1058</v>
      </c>
      <c r="Q321" s="89">
        <f>'116+240'!R322</f>
        <v>5</v>
      </c>
      <c r="R321" s="83">
        <f t="shared" si="60"/>
        <v>978</v>
      </c>
      <c r="S321" s="82">
        <f>VLOOKUP(B321,'116+240'!$B$14:$AB$682,22,FALSE)</f>
        <v>3418</v>
      </c>
      <c r="T321" s="81">
        <f>VLOOKUP(B321,'116+240'!$B$15:$AB$682,6,FALSE)</f>
        <v>-441</v>
      </c>
      <c r="U321" s="80">
        <f t="shared" si="56"/>
        <v>3078</v>
      </c>
      <c r="V321" s="79">
        <f>VLOOKUP(B321,'116+240'!$B$15:$AB$682,15,FALSE)</f>
        <v>-922</v>
      </c>
      <c r="W321" s="89">
        <f>'116+240'!S322</f>
        <v>2</v>
      </c>
      <c r="X321" s="83">
        <f t="shared" si="61"/>
        <v>892</v>
      </c>
      <c r="Y321" s="78">
        <f t="shared" si="62"/>
        <v>-2</v>
      </c>
      <c r="Z321" s="77">
        <f t="shared" si="63"/>
        <v>0</v>
      </c>
      <c r="AA321" s="76">
        <f t="shared" si="64"/>
        <v>4.2549999999999999</v>
      </c>
      <c r="AB321" s="76">
        <f t="shared" si="65"/>
        <v>2.4340000000000002</v>
      </c>
    </row>
    <row r="322" spans="2:28">
      <c r="B322" s="90">
        <f>'116+240'!B323</f>
        <v>45590</v>
      </c>
      <c r="C322" s="87">
        <f t="shared" si="57"/>
        <v>1</v>
      </c>
      <c r="D322" s="86">
        <f t="shared" si="58"/>
        <v>844</v>
      </c>
      <c r="E322" s="85">
        <f>VLOOKUP(B322,'116+240'!B323:AB323,3,FALSE)</f>
        <v>1795</v>
      </c>
      <c r="F322" s="81">
        <f t="shared" si="53"/>
        <v>2639</v>
      </c>
      <c r="G322" s="84">
        <f>VLOOKUP(B322,'116+240'!$B$15:$AB$682,20,FALSE)</f>
        <v>3143</v>
      </c>
      <c r="H322" s="84">
        <f>VLOOKUP(B322,'116+240'!$B$15:$AB$682,4,FALSE)</f>
        <v>-234</v>
      </c>
      <c r="I322" s="80">
        <f t="shared" si="54"/>
        <v>2873</v>
      </c>
      <c r="J322" s="80">
        <f>VLOOKUP(B322,'116+240'!$B$15:$AB$682,13,FALSE)</f>
        <v>-1127</v>
      </c>
      <c r="K322" s="89">
        <f>'116+240'!Q323</f>
        <v>2</v>
      </c>
      <c r="L322" s="83">
        <f t="shared" si="59"/>
        <v>1167</v>
      </c>
      <c r="M322" s="82">
        <f>VLOOKUP(B322,'116+240'!$B$14:$AB$682,21,FALSE)</f>
        <v>3328</v>
      </c>
      <c r="N322" s="81">
        <f>VLOOKUP(B322,'116+240'!$B$15:$AB$682,5,FALSE)</f>
        <v>-299</v>
      </c>
      <c r="O322" s="80">
        <f t="shared" si="55"/>
        <v>2938</v>
      </c>
      <c r="P322" s="80">
        <f>VLOOKUP(B322,'116+240'!$B$15:$AB$682,14,FALSE)</f>
        <v>-1062</v>
      </c>
      <c r="Q322" s="89">
        <f>'116+240'!R323</f>
        <v>4</v>
      </c>
      <c r="R322" s="83">
        <f t="shared" si="60"/>
        <v>982</v>
      </c>
      <c r="S322" s="82">
        <f>VLOOKUP(B322,'116+240'!$B$14:$AB$682,22,FALSE)</f>
        <v>3416</v>
      </c>
      <c r="T322" s="81">
        <f>VLOOKUP(B322,'116+240'!$B$15:$AB$682,6,FALSE)</f>
        <v>-437</v>
      </c>
      <c r="U322" s="80">
        <f t="shared" si="56"/>
        <v>3076</v>
      </c>
      <c r="V322" s="79">
        <f>VLOOKUP(B322,'116+240'!$B$15:$AB$682,15,FALSE)</f>
        <v>-924</v>
      </c>
      <c r="W322" s="89">
        <f>'116+240'!S323</f>
        <v>2</v>
      </c>
      <c r="X322" s="83">
        <f t="shared" si="61"/>
        <v>894</v>
      </c>
      <c r="Y322" s="78">
        <f t="shared" si="62"/>
        <v>-2</v>
      </c>
      <c r="Z322" s="77">
        <f t="shared" si="63"/>
        <v>0</v>
      </c>
      <c r="AA322" s="76">
        <f t="shared" si="64"/>
        <v>4.2549999999999999</v>
      </c>
      <c r="AB322" s="76">
        <f t="shared" si="65"/>
        <v>2.4260000000000002</v>
      </c>
    </row>
    <row r="323" spans="2:28">
      <c r="B323" s="90">
        <f>'116+240'!B324</f>
        <v>45591</v>
      </c>
      <c r="C323" s="87">
        <f t="shared" si="57"/>
        <v>1</v>
      </c>
      <c r="D323" s="86">
        <f t="shared" si="58"/>
        <v>844</v>
      </c>
      <c r="E323" s="85">
        <f>VLOOKUP(B323,'116+240'!B324:AB324,3,FALSE)</f>
        <v>1797</v>
      </c>
      <c r="F323" s="81">
        <f t="shared" si="53"/>
        <v>2641</v>
      </c>
      <c r="G323" s="84">
        <f>VLOOKUP(B323,'116+240'!$B$15:$AB$682,20,FALSE)</f>
        <v>3141</v>
      </c>
      <c r="H323" s="84">
        <f>VLOOKUP(B323,'116+240'!$B$15:$AB$682,4,FALSE)</f>
        <v>-230</v>
      </c>
      <c r="I323" s="80">
        <f t="shared" si="54"/>
        <v>2871</v>
      </c>
      <c r="J323" s="80">
        <f>VLOOKUP(B323,'116+240'!$B$15:$AB$682,13,FALSE)</f>
        <v>-1129</v>
      </c>
      <c r="K323" s="89">
        <f>'116+240'!Q324</f>
        <v>2</v>
      </c>
      <c r="L323" s="83">
        <f t="shared" si="59"/>
        <v>1169</v>
      </c>
      <c r="M323" s="82">
        <f>VLOOKUP(B323,'116+240'!$B$14:$AB$682,21,FALSE)</f>
        <v>3325</v>
      </c>
      <c r="N323" s="81">
        <f>VLOOKUP(B323,'116+240'!$B$15:$AB$682,5,FALSE)</f>
        <v>-294</v>
      </c>
      <c r="O323" s="80">
        <f t="shared" si="55"/>
        <v>2935</v>
      </c>
      <c r="P323" s="80">
        <f>VLOOKUP(B323,'116+240'!$B$15:$AB$682,14,FALSE)</f>
        <v>-1065</v>
      </c>
      <c r="Q323" s="89">
        <f>'116+240'!R324</f>
        <v>3</v>
      </c>
      <c r="R323" s="83">
        <f t="shared" si="60"/>
        <v>985</v>
      </c>
      <c r="S323" s="82">
        <f>VLOOKUP(B323,'116+240'!$B$14:$AB$682,22,FALSE)</f>
        <v>3408</v>
      </c>
      <c r="T323" s="81">
        <f>VLOOKUP(B323,'116+240'!$B$15:$AB$682,6,FALSE)</f>
        <v>-427</v>
      </c>
      <c r="U323" s="80">
        <f t="shared" si="56"/>
        <v>3068</v>
      </c>
      <c r="V323" s="79">
        <f>VLOOKUP(B323,'116+240'!$B$15:$AB$682,15,FALSE)</f>
        <v>-932</v>
      </c>
      <c r="W323" s="89">
        <f>'116+240'!S324</f>
        <v>8</v>
      </c>
      <c r="X323" s="83">
        <f t="shared" si="61"/>
        <v>902</v>
      </c>
      <c r="Y323" s="78">
        <f t="shared" si="62"/>
        <v>-8</v>
      </c>
      <c r="Z323" s="77">
        <f t="shared" si="63"/>
        <v>0</v>
      </c>
      <c r="AA323" s="76">
        <f t="shared" si="64"/>
        <v>4.2549999999999999</v>
      </c>
      <c r="AB323" s="76">
        <f t="shared" si="65"/>
        <v>2.42</v>
      </c>
    </row>
    <row r="324" spans="2:28">
      <c r="B324" s="90">
        <f>'116+240'!B325</f>
        <v>45592</v>
      </c>
      <c r="C324" s="87">
        <f t="shared" si="57"/>
        <v>1</v>
      </c>
      <c r="D324" s="86">
        <f t="shared" si="58"/>
        <v>844</v>
      </c>
      <c r="E324" s="85">
        <f>VLOOKUP(B324,'116+240'!B325:AB325,3,FALSE)</f>
        <v>1799</v>
      </c>
      <c r="F324" s="81">
        <f t="shared" si="53"/>
        <v>2643</v>
      </c>
      <c r="G324" s="84">
        <f>VLOOKUP(B324,'116+240'!$B$15:$AB$682,20,FALSE)</f>
        <v>3139</v>
      </c>
      <c r="H324" s="84">
        <f>VLOOKUP(B324,'116+240'!$B$15:$AB$682,4,FALSE)</f>
        <v>-226</v>
      </c>
      <c r="I324" s="80">
        <f t="shared" si="54"/>
        <v>2869</v>
      </c>
      <c r="J324" s="80">
        <f>VLOOKUP(B324,'116+240'!$B$15:$AB$682,13,FALSE)</f>
        <v>-1131</v>
      </c>
      <c r="K324" s="89">
        <f>'116+240'!Q325</f>
        <v>2</v>
      </c>
      <c r="L324" s="83">
        <f t="shared" si="59"/>
        <v>1171</v>
      </c>
      <c r="M324" s="82">
        <f>VLOOKUP(B324,'116+240'!$B$14:$AB$682,21,FALSE)</f>
        <v>3323</v>
      </c>
      <c r="N324" s="81">
        <f>VLOOKUP(B324,'116+240'!$B$15:$AB$682,5,FALSE)</f>
        <v>-290</v>
      </c>
      <c r="O324" s="80">
        <f t="shared" si="55"/>
        <v>2933</v>
      </c>
      <c r="P324" s="80">
        <f>VLOOKUP(B324,'116+240'!$B$15:$AB$682,14,FALSE)</f>
        <v>-1067</v>
      </c>
      <c r="Q324" s="89">
        <f>'116+240'!R325</f>
        <v>2</v>
      </c>
      <c r="R324" s="83">
        <f t="shared" si="60"/>
        <v>987</v>
      </c>
      <c r="S324" s="82">
        <f>VLOOKUP(B324,'116+240'!$B$14:$AB$682,22,FALSE)</f>
        <v>3402</v>
      </c>
      <c r="T324" s="81">
        <f>VLOOKUP(B324,'116+240'!$B$15:$AB$682,6,FALSE)</f>
        <v>-419</v>
      </c>
      <c r="U324" s="80">
        <f t="shared" si="56"/>
        <v>3062</v>
      </c>
      <c r="V324" s="79">
        <f>VLOOKUP(B324,'116+240'!$B$15:$AB$682,15,FALSE)</f>
        <v>-938</v>
      </c>
      <c r="W324" s="89">
        <f>'116+240'!S325</f>
        <v>6</v>
      </c>
      <c r="X324" s="83">
        <f t="shared" si="61"/>
        <v>908</v>
      </c>
      <c r="Y324" s="78">
        <f t="shared" si="62"/>
        <v>-6</v>
      </c>
      <c r="Z324" s="77">
        <f t="shared" si="63"/>
        <v>0</v>
      </c>
      <c r="AA324" s="76">
        <f t="shared" si="64"/>
        <v>4.2549999999999999</v>
      </c>
      <c r="AB324" s="76">
        <f t="shared" si="65"/>
        <v>2.4159999999999999</v>
      </c>
    </row>
    <row r="325" spans="2:28">
      <c r="B325" s="90">
        <f>'116+240'!B326</f>
        <v>45593</v>
      </c>
      <c r="C325" s="87">
        <f t="shared" si="57"/>
        <v>1</v>
      </c>
      <c r="D325" s="86">
        <f t="shared" si="58"/>
        <v>844</v>
      </c>
      <c r="E325" s="85">
        <f>VLOOKUP(B325,'116+240'!B326:AB326,3,FALSE)</f>
        <v>1801</v>
      </c>
      <c r="F325" s="81">
        <f t="shared" si="53"/>
        <v>2645</v>
      </c>
      <c r="G325" s="84">
        <f>VLOOKUP(B325,'116+240'!$B$15:$AB$682,20,FALSE)</f>
        <v>3136</v>
      </c>
      <c r="H325" s="84">
        <f>VLOOKUP(B325,'116+240'!$B$15:$AB$682,4,FALSE)</f>
        <v>-221</v>
      </c>
      <c r="I325" s="80">
        <f t="shared" si="54"/>
        <v>2866</v>
      </c>
      <c r="J325" s="80">
        <f>VLOOKUP(B325,'116+240'!$B$15:$AB$682,13,FALSE)</f>
        <v>-1134</v>
      </c>
      <c r="K325" s="89">
        <f>'116+240'!Q326</f>
        <v>3</v>
      </c>
      <c r="L325" s="83">
        <f t="shared" si="59"/>
        <v>1174</v>
      </c>
      <c r="M325" s="82">
        <f>VLOOKUP(B325,'116+240'!$B$14:$AB$682,21,FALSE)</f>
        <v>3322</v>
      </c>
      <c r="N325" s="81">
        <f>VLOOKUP(B325,'116+240'!$B$15:$AB$682,5,FALSE)</f>
        <v>-287</v>
      </c>
      <c r="O325" s="80">
        <f t="shared" si="55"/>
        <v>2932</v>
      </c>
      <c r="P325" s="80">
        <f>VLOOKUP(B325,'116+240'!$B$15:$AB$682,14,FALSE)</f>
        <v>-1068</v>
      </c>
      <c r="Q325" s="89">
        <f>'116+240'!R326</f>
        <v>1</v>
      </c>
      <c r="R325" s="83">
        <f t="shared" si="60"/>
        <v>988</v>
      </c>
      <c r="S325" s="82">
        <f>VLOOKUP(B325,'116+240'!$B$14:$AB$682,22,FALSE)</f>
        <v>3395</v>
      </c>
      <c r="T325" s="81">
        <f>VLOOKUP(B325,'116+240'!$B$15:$AB$682,6,FALSE)</f>
        <v>-410</v>
      </c>
      <c r="U325" s="80">
        <f t="shared" si="56"/>
        <v>3055</v>
      </c>
      <c r="V325" s="79">
        <f>VLOOKUP(B325,'116+240'!$B$15:$AB$682,15,FALSE)</f>
        <v>-945</v>
      </c>
      <c r="W325" s="89">
        <f>'116+240'!S326</f>
        <v>7</v>
      </c>
      <c r="X325" s="83">
        <f t="shared" si="61"/>
        <v>915</v>
      </c>
      <c r="Y325" s="78">
        <f t="shared" si="62"/>
        <v>-7</v>
      </c>
      <c r="Z325" s="77">
        <f t="shared" si="63"/>
        <v>0</v>
      </c>
      <c r="AA325" s="76">
        <f t="shared" si="64"/>
        <v>4.2549999999999999</v>
      </c>
      <c r="AB325" s="76">
        <f t="shared" si="65"/>
        <v>2.4140000000000001</v>
      </c>
    </row>
    <row r="326" spans="2:28">
      <c r="B326" s="90">
        <f>'116+240'!B327</f>
        <v>45594</v>
      </c>
      <c r="C326" s="87">
        <f t="shared" si="57"/>
        <v>1</v>
      </c>
      <c r="D326" s="86">
        <f t="shared" si="58"/>
        <v>844</v>
      </c>
      <c r="E326" s="85">
        <f>VLOOKUP(B326,'116+240'!B327:AB327,3,FALSE)</f>
        <v>1803</v>
      </c>
      <c r="F326" s="81">
        <f t="shared" si="53"/>
        <v>2647</v>
      </c>
      <c r="G326" s="84">
        <f>VLOOKUP(B326,'116+240'!$B$15:$AB$682,20,FALSE)</f>
        <v>3134</v>
      </c>
      <c r="H326" s="84">
        <f>VLOOKUP(B326,'116+240'!$B$15:$AB$682,4,FALSE)</f>
        <v>-217</v>
      </c>
      <c r="I326" s="80">
        <f t="shared" si="54"/>
        <v>2864</v>
      </c>
      <c r="J326" s="80">
        <f>VLOOKUP(B326,'116+240'!$B$15:$AB$682,13,FALSE)</f>
        <v>-1136</v>
      </c>
      <c r="K326" s="89">
        <f>'116+240'!Q327</f>
        <v>2</v>
      </c>
      <c r="L326" s="83">
        <f t="shared" si="59"/>
        <v>1176</v>
      </c>
      <c r="M326" s="82">
        <f>VLOOKUP(B326,'116+240'!$B$14:$AB$682,21,FALSE)</f>
        <v>3320</v>
      </c>
      <c r="N326" s="81">
        <f>VLOOKUP(B326,'116+240'!$B$15:$AB$682,5,FALSE)</f>
        <v>-283</v>
      </c>
      <c r="O326" s="80">
        <f t="shared" si="55"/>
        <v>2930</v>
      </c>
      <c r="P326" s="80">
        <f>VLOOKUP(B326,'116+240'!$B$15:$AB$682,14,FALSE)</f>
        <v>-1070</v>
      </c>
      <c r="Q326" s="89">
        <f>'116+240'!R327</f>
        <v>2</v>
      </c>
      <c r="R326" s="83">
        <f t="shared" si="60"/>
        <v>990</v>
      </c>
      <c r="S326" s="82">
        <f>VLOOKUP(B326,'116+240'!$B$14:$AB$682,22,FALSE)</f>
        <v>3391</v>
      </c>
      <c r="T326" s="81">
        <f>VLOOKUP(B326,'116+240'!$B$15:$AB$682,6,FALSE)</f>
        <v>-404</v>
      </c>
      <c r="U326" s="80">
        <f t="shared" si="56"/>
        <v>3051</v>
      </c>
      <c r="V326" s="79">
        <f>VLOOKUP(B326,'116+240'!$B$15:$AB$682,15,FALSE)</f>
        <v>-949</v>
      </c>
      <c r="W326" s="89">
        <f>'116+240'!S327</f>
        <v>4</v>
      </c>
      <c r="X326" s="83">
        <f t="shared" si="61"/>
        <v>919</v>
      </c>
      <c r="Y326" s="78">
        <f t="shared" si="62"/>
        <v>-4</v>
      </c>
      <c r="Z326" s="77">
        <f t="shared" si="63"/>
        <v>0</v>
      </c>
      <c r="AA326" s="76">
        <f t="shared" si="64"/>
        <v>4.2549999999999999</v>
      </c>
      <c r="AB326" s="76">
        <f t="shared" si="65"/>
        <v>2.41</v>
      </c>
    </row>
    <row r="327" spans="2:28">
      <c r="B327" s="90">
        <f>'116+240'!B328</f>
        <v>45595</v>
      </c>
      <c r="C327" s="87">
        <f t="shared" si="57"/>
        <v>1</v>
      </c>
      <c r="D327" s="86">
        <f t="shared" si="58"/>
        <v>844</v>
      </c>
      <c r="E327" s="85">
        <f>VLOOKUP(B327,'116+240'!B328:AB328,3,FALSE)</f>
        <v>1805</v>
      </c>
      <c r="F327" s="81">
        <f t="shared" si="53"/>
        <v>2649</v>
      </c>
      <c r="G327" s="84">
        <f>VLOOKUP(B327,'116+240'!$B$15:$AB$682,20,FALSE)</f>
        <v>3131</v>
      </c>
      <c r="H327" s="84">
        <f>VLOOKUP(B327,'116+240'!$B$15:$AB$682,4,FALSE)</f>
        <v>-212</v>
      </c>
      <c r="I327" s="80">
        <f t="shared" si="54"/>
        <v>2861</v>
      </c>
      <c r="J327" s="80">
        <f>VLOOKUP(B327,'116+240'!$B$15:$AB$682,13,FALSE)</f>
        <v>-1139</v>
      </c>
      <c r="K327" s="89">
        <f>'116+240'!Q328</f>
        <v>3</v>
      </c>
      <c r="L327" s="83">
        <f t="shared" si="59"/>
        <v>1179</v>
      </c>
      <c r="M327" s="82">
        <f>VLOOKUP(B327,'116+240'!$B$14:$AB$682,21,FALSE)</f>
        <v>3318</v>
      </c>
      <c r="N327" s="81">
        <f>VLOOKUP(B327,'116+240'!$B$15:$AB$682,5,FALSE)</f>
        <v>-279</v>
      </c>
      <c r="O327" s="80">
        <f t="shared" si="55"/>
        <v>2928</v>
      </c>
      <c r="P327" s="80">
        <f>VLOOKUP(B327,'116+240'!$B$15:$AB$682,14,FALSE)</f>
        <v>-1072</v>
      </c>
      <c r="Q327" s="89">
        <f>'116+240'!R328</f>
        <v>2</v>
      </c>
      <c r="R327" s="83">
        <f t="shared" si="60"/>
        <v>992</v>
      </c>
      <c r="S327" s="82">
        <f>VLOOKUP(B327,'116+240'!$B$14:$AB$682,22,FALSE)</f>
        <v>3386</v>
      </c>
      <c r="T327" s="81">
        <f>VLOOKUP(B327,'116+240'!$B$15:$AB$682,6,FALSE)</f>
        <v>-397</v>
      </c>
      <c r="U327" s="80">
        <f t="shared" si="56"/>
        <v>3046</v>
      </c>
      <c r="V327" s="79">
        <f>VLOOKUP(B327,'116+240'!$B$15:$AB$682,15,FALSE)</f>
        <v>-954</v>
      </c>
      <c r="W327" s="89">
        <f>'116+240'!S328</f>
        <v>5</v>
      </c>
      <c r="X327" s="83">
        <f t="shared" si="61"/>
        <v>924</v>
      </c>
      <c r="Y327" s="78">
        <f t="shared" si="62"/>
        <v>-5</v>
      </c>
      <c r="Z327" s="77">
        <f t="shared" si="63"/>
        <v>0</v>
      </c>
      <c r="AA327" s="76">
        <f t="shared" si="64"/>
        <v>4.2549999999999999</v>
      </c>
      <c r="AB327" s="76">
        <f t="shared" si="65"/>
        <v>2.4060000000000001</v>
      </c>
    </row>
    <row r="328" spans="2:28">
      <c r="B328" s="90">
        <f>'116+240'!B329</f>
        <v>45596</v>
      </c>
      <c r="C328" s="87">
        <f t="shared" si="57"/>
        <v>1</v>
      </c>
      <c r="D328" s="86">
        <f t="shared" si="58"/>
        <v>844</v>
      </c>
      <c r="E328" s="85">
        <f>VLOOKUP(B328,'116+240'!B329:AB329,3,FALSE)</f>
        <v>1807</v>
      </c>
      <c r="F328" s="81">
        <f t="shared" si="53"/>
        <v>2651</v>
      </c>
      <c r="G328" s="84">
        <f>VLOOKUP(B328,'116+240'!$B$15:$AB$682,20,FALSE)</f>
        <v>3129</v>
      </c>
      <c r="H328" s="84">
        <f>VLOOKUP(B328,'116+240'!$B$15:$AB$682,4,FALSE)</f>
        <v>-208</v>
      </c>
      <c r="I328" s="80">
        <f t="shared" si="54"/>
        <v>2859</v>
      </c>
      <c r="J328" s="80">
        <f>VLOOKUP(B328,'116+240'!$B$15:$AB$682,13,FALSE)</f>
        <v>-1141</v>
      </c>
      <c r="K328" s="89">
        <f>'116+240'!Q329</f>
        <v>2</v>
      </c>
      <c r="L328" s="83">
        <f t="shared" si="59"/>
        <v>1181</v>
      </c>
      <c r="M328" s="82">
        <f>VLOOKUP(B328,'116+240'!$B$14:$AB$682,21,FALSE)</f>
        <v>3316</v>
      </c>
      <c r="N328" s="81">
        <f>VLOOKUP(B328,'116+240'!$B$15:$AB$682,5,FALSE)</f>
        <v>-275</v>
      </c>
      <c r="O328" s="80">
        <f t="shared" si="55"/>
        <v>2926</v>
      </c>
      <c r="P328" s="80">
        <f>VLOOKUP(B328,'116+240'!$B$15:$AB$682,14,FALSE)</f>
        <v>-1074</v>
      </c>
      <c r="Q328" s="89">
        <f>'116+240'!R329</f>
        <v>2</v>
      </c>
      <c r="R328" s="83">
        <f t="shared" si="60"/>
        <v>994</v>
      </c>
      <c r="S328" s="82">
        <f>VLOOKUP(B328,'116+240'!$B$14:$AB$682,22,FALSE)</f>
        <v>3383</v>
      </c>
      <c r="T328" s="81">
        <f>VLOOKUP(B328,'116+240'!$B$15:$AB$682,6,FALSE)</f>
        <v>-392</v>
      </c>
      <c r="U328" s="80">
        <f t="shared" si="56"/>
        <v>3043</v>
      </c>
      <c r="V328" s="79">
        <f>VLOOKUP(B328,'116+240'!$B$15:$AB$682,15,FALSE)</f>
        <v>-957</v>
      </c>
      <c r="W328" s="89">
        <f>'116+240'!S329</f>
        <v>3</v>
      </c>
      <c r="X328" s="83">
        <f t="shared" si="61"/>
        <v>927</v>
      </c>
      <c r="Y328" s="78">
        <f t="shared" si="62"/>
        <v>-3</v>
      </c>
      <c r="Z328" s="77">
        <f t="shared" si="63"/>
        <v>0</v>
      </c>
      <c r="AA328" s="76">
        <f t="shared" si="64"/>
        <v>4.2549999999999999</v>
      </c>
      <c r="AB328" s="76">
        <f t="shared" si="65"/>
        <v>2.4020000000000001</v>
      </c>
    </row>
    <row r="329" spans="2:28">
      <c r="B329" s="90">
        <f>'116+240'!B330</f>
        <v>45597</v>
      </c>
      <c r="C329" s="87">
        <f t="shared" si="57"/>
        <v>1</v>
      </c>
      <c r="D329" s="86">
        <f t="shared" si="58"/>
        <v>844</v>
      </c>
      <c r="E329" s="85">
        <f>VLOOKUP(B329,'116+240'!B330:AB330,3,FALSE)</f>
        <v>1809</v>
      </c>
      <c r="F329" s="81">
        <f t="shared" si="53"/>
        <v>2653</v>
      </c>
      <c r="G329" s="84">
        <f>VLOOKUP(B329,'116+240'!$B$15:$AB$682,20,FALSE)</f>
        <v>3128</v>
      </c>
      <c r="H329" s="84">
        <f>VLOOKUP(B329,'116+240'!$B$15:$AB$682,4,FALSE)</f>
        <v>-205</v>
      </c>
      <c r="I329" s="80">
        <f t="shared" si="54"/>
        <v>2858</v>
      </c>
      <c r="J329" s="80">
        <f>VLOOKUP(B329,'116+240'!$B$15:$AB$682,13,FALSE)</f>
        <v>-1142</v>
      </c>
      <c r="K329" s="89">
        <f>'116+240'!Q330</f>
        <v>1</v>
      </c>
      <c r="L329" s="83">
        <f t="shared" si="59"/>
        <v>1182</v>
      </c>
      <c r="M329" s="82">
        <f>VLOOKUP(B329,'116+240'!$B$14:$AB$682,21,FALSE)</f>
        <v>3314</v>
      </c>
      <c r="N329" s="81">
        <f>VLOOKUP(B329,'116+240'!$B$15:$AB$682,5,FALSE)</f>
        <v>-271</v>
      </c>
      <c r="O329" s="80">
        <f t="shared" si="55"/>
        <v>2924</v>
      </c>
      <c r="P329" s="80">
        <f>VLOOKUP(B329,'116+240'!$B$15:$AB$682,14,FALSE)</f>
        <v>-1076</v>
      </c>
      <c r="Q329" s="89">
        <f>'116+240'!R330</f>
        <v>2</v>
      </c>
      <c r="R329" s="83">
        <f t="shared" si="60"/>
        <v>996</v>
      </c>
      <c r="S329" s="82">
        <f>VLOOKUP(B329,'116+240'!$B$14:$AB$682,22,FALSE)</f>
        <v>3381</v>
      </c>
      <c r="T329" s="81">
        <f>VLOOKUP(B329,'116+240'!$B$15:$AB$682,6,FALSE)</f>
        <v>-388</v>
      </c>
      <c r="U329" s="80">
        <f t="shared" si="56"/>
        <v>3041</v>
      </c>
      <c r="V329" s="79">
        <f>VLOOKUP(B329,'116+240'!$B$15:$AB$682,15,FALSE)</f>
        <v>-959</v>
      </c>
      <c r="W329" s="89">
        <f>'116+240'!S330</f>
        <v>2</v>
      </c>
      <c r="X329" s="83">
        <f t="shared" si="61"/>
        <v>929</v>
      </c>
      <c r="Y329" s="78">
        <f t="shared" si="62"/>
        <v>-2</v>
      </c>
      <c r="Z329" s="77">
        <f t="shared" si="63"/>
        <v>0</v>
      </c>
      <c r="AA329" s="76">
        <f t="shared" si="64"/>
        <v>4.2549999999999999</v>
      </c>
      <c r="AB329" s="76">
        <f t="shared" si="65"/>
        <v>2.3980000000000001</v>
      </c>
    </row>
    <row r="330" spans="2:28">
      <c r="B330" s="90">
        <f>'116+240'!B331</f>
        <v>45598</v>
      </c>
      <c r="C330" s="87">
        <f t="shared" si="57"/>
        <v>1</v>
      </c>
      <c r="D330" s="86">
        <f t="shared" si="58"/>
        <v>844</v>
      </c>
      <c r="E330" s="85">
        <f>VLOOKUP(B330,'116+240'!B331:AB331,3,FALSE)</f>
        <v>1811</v>
      </c>
      <c r="F330" s="81">
        <f t="shared" si="53"/>
        <v>2655</v>
      </c>
      <c r="G330" s="84">
        <f>VLOOKUP(B330,'116+240'!$B$15:$AB$682,20,FALSE)</f>
        <v>3125</v>
      </c>
      <c r="H330" s="84">
        <f>VLOOKUP(B330,'116+240'!$B$15:$AB$682,4,FALSE)</f>
        <v>-200</v>
      </c>
      <c r="I330" s="80">
        <f t="shared" si="54"/>
        <v>2855</v>
      </c>
      <c r="J330" s="80">
        <f>VLOOKUP(B330,'116+240'!$B$15:$AB$682,13,FALSE)</f>
        <v>-1145</v>
      </c>
      <c r="K330" s="89">
        <f>'116+240'!Q331</f>
        <v>3</v>
      </c>
      <c r="L330" s="83">
        <f t="shared" si="59"/>
        <v>1185</v>
      </c>
      <c r="M330" s="82">
        <f>VLOOKUP(B330,'116+240'!$B$14:$AB$682,21,FALSE)</f>
        <v>3312</v>
      </c>
      <c r="N330" s="81">
        <f>VLOOKUP(B330,'116+240'!$B$15:$AB$682,5,FALSE)</f>
        <v>-267</v>
      </c>
      <c r="O330" s="80">
        <f t="shared" si="55"/>
        <v>2922</v>
      </c>
      <c r="P330" s="80">
        <f>VLOOKUP(B330,'116+240'!$B$15:$AB$682,14,FALSE)</f>
        <v>-1078</v>
      </c>
      <c r="Q330" s="89">
        <f>'116+240'!R331</f>
        <v>2</v>
      </c>
      <c r="R330" s="83">
        <f t="shared" si="60"/>
        <v>998</v>
      </c>
      <c r="S330" s="82">
        <f>VLOOKUP(B330,'116+240'!$B$14:$AB$682,22,FALSE)</f>
        <v>3379</v>
      </c>
      <c r="T330" s="81">
        <f>VLOOKUP(B330,'116+240'!$B$15:$AB$682,6,FALSE)</f>
        <v>-384</v>
      </c>
      <c r="U330" s="80">
        <f t="shared" si="56"/>
        <v>3039</v>
      </c>
      <c r="V330" s="79">
        <f>VLOOKUP(B330,'116+240'!$B$15:$AB$682,15,FALSE)</f>
        <v>-961</v>
      </c>
      <c r="W330" s="89">
        <f>'116+240'!S331</f>
        <v>2</v>
      </c>
      <c r="X330" s="83">
        <f t="shared" si="61"/>
        <v>931</v>
      </c>
      <c r="Y330" s="78">
        <f t="shared" si="62"/>
        <v>-2</v>
      </c>
      <c r="Z330" s="77">
        <f t="shared" si="63"/>
        <v>0</v>
      </c>
      <c r="AA330" s="76">
        <f t="shared" si="64"/>
        <v>4.2549999999999999</v>
      </c>
      <c r="AB330" s="76">
        <f t="shared" si="65"/>
        <v>2.3940000000000001</v>
      </c>
    </row>
    <row r="331" spans="2:28">
      <c r="B331" s="90">
        <f>'116+240'!B332</f>
        <v>45599</v>
      </c>
      <c r="C331" s="87">
        <f t="shared" si="57"/>
        <v>1</v>
      </c>
      <c r="D331" s="86">
        <f t="shared" si="58"/>
        <v>844</v>
      </c>
      <c r="E331" s="85">
        <f>VLOOKUP(B331,'116+240'!B332:AB332,3,FALSE)</f>
        <v>1813</v>
      </c>
      <c r="F331" s="81">
        <f t="shared" si="53"/>
        <v>2657</v>
      </c>
      <c r="G331" s="84">
        <f>VLOOKUP(B331,'116+240'!$B$15:$AB$682,20,FALSE)</f>
        <v>3123</v>
      </c>
      <c r="H331" s="84">
        <f>VLOOKUP(B331,'116+240'!$B$15:$AB$682,4,FALSE)</f>
        <v>-196</v>
      </c>
      <c r="I331" s="80">
        <f t="shared" si="54"/>
        <v>2853</v>
      </c>
      <c r="J331" s="80">
        <f>VLOOKUP(B331,'116+240'!$B$15:$AB$682,13,FALSE)</f>
        <v>-1147</v>
      </c>
      <c r="K331" s="89">
        <f>'116+240'!Q332</f>
        <v>2</v>
      </c>
      <c r="L331" s="83">
        <f t="shared" si="59"/>
        <v>1187</v>
      </c>
      <c r="M331" s="82">
        <f>VLOOKUP(B331,'116+240'!$B$14:$AB$682,21,FALSE)</f>
        <v>3310</v>
      </c>
      <c r="N331" s="81">
        <f>VLOOKUP(B331,'116+240'!$B$15:$AB$682,5,FALSE)</f>
        <v>-263</v>
      </c>
      <c r="O331" s="80">
        <f t="shared" si="55"/>
        <v>2920</v>
      </c>
      <c r="P331" s="80">
        <f>VLOOKUP(B331,'116+240'!$B$15:$AB$682,14,FALSE)</f>
        <v>-1080</v>
      </c>
      <c r="Q331" s="89">
        <f>'116+240'!R332</f>
        <v>2</v>
      </c>
      <c r="R331" s="83">
        <f t="shared" si="60"/>
        <v>1000</v>
      </c>
      <c r="S331" s="82">
        <f>VLOOKUP(B331,'116+240'!$B$14:$AB$682,22,FALSE)</f>
        <v>3378</v>
      </c>
      <c r="T331" s="81">
        <f>VLOOKUP(B331,'116+240'!$B$15:$AB$682,6,FALSE)</f>
        <v>-381</v>
      </c>
      <c r="U331" s="80">
        <f t="shared" si="56"/>
        <v>3038</v>
      </c>
      <c r="V331" s="79">
        <f>VLOOKUP(B331,'116+240'!$B$15:$AB$682,15,FALSE)</f>
        <v>-962</v>
      </c>
      <c r="W331" s="89">
        <f>'116+240'!S332</f>
        <v>1</v>
      </c>
      <c r="X331" s="83">
        <f t="shared" si="61"/>
        <v>932</v>
      </c>
      <c r="Y331" s="78">
        <f t="shared" si="62"/>
        <v>-1</v>
      </c>
      <c r="Z331" s="77">
        <f t="shared" si="63"/>
        <v>0</v>
      </c>
      <c r="AA331" s="76">
        <f t="shared" si="64"/>
        <v>4.2549999999999999</v>
      </c>
      <c r="AB331" s="76">
        <f t="shared" si="65"/>
        <v>2.39</v>
      </c>
    </row>
    <row r="332" spans="2:28">
      <c r="B332" s="90">
        <f>'116+240'!B333</f>
        <v>45600</v>
      </c>
      <c r="C332" s="87">
        <f t="shared" si="57"/>
        <v>1</v>
      </c>
      <c r="D332" s="86">
        <f t="shared" si="58"/>
        <v>844</v>
      </c>
      <c r="E332" s="85">
        <f>VLOOKUP(B332,'116+240'!B333:AB333,3,FALSE)</f>
        <v>1815</v>
      </c>
      <c r="F332" s="81">
        <f t="shared" si="53"/>
        <v>2659</v>
      </c>
      <c r="G332" s="84">
        <f>VLOOKUP(B332,'116+240'!$B$15:$AB$682,20,FALSE)</f>
        <v>3122</v>
      </c>
      <c r="H332" s="84">
        <f>VLOOKUP(B332,'116+240'!$B$15:$AB$682,4,FALSE)</f>
        <v>-193</v>
      </c>
      <c r="I332" s="80">
        <f t="shared" si="54"/>
        <v>2852</v>
      </c>
      <c r="J332" s="80">
        <f>VLOOKUP(B332,'116+240'!$B$15:$AB$682,13,FALSE)</f>
        <v>-1148</v>
      </c>
      <c r="K332" s="89">
        <f>'116+240'!Q333</f>
        <v>1</v>
      </c>
      <c r="L332" s="83">
        <f t="shared" si="59"/>
        <v>1188</v>
      </c>
      <c r="M332" s="82">
        <f>VLOOKUP(B332,'116+240'!$B$14:$AB$682,21,FALSE)</f>
        <v>3305</v>
      </c>
      <c r="N332" s="81">
        <f>VLOOKUP(B332,'116+240'!$B$15:$AB$682,5,FALSE)</f>
        <v>-256</v>
      </c>
      <c r="O332" s="80">
        <f t="shared" si="55"/>
        <v>2915</v>
      </c>
      <c r="P332" s="80">
        <f>VLOOKUP(B332,'116+240'!$B$15:$AB$682,14,FALSE)</f>
        <v>-1085</v>
      </c>
      <c r="Q332" s="89">
        <f>'116+240'!R333</f>
        <v>5</v>
      </c>
      <c r="R332" s="83">
        <f t="shared" si="60"/>
        <v>1005</v>
      </c>
      <c r="S332" s="82">
        <f>VLOOKUP(B332,'116+240'!$B$14:$AB$682,22,FALSE)</f>
        <v>3376</v>
      </c>
      <c r="T332" s="81">
        <f>VLOOKUP(B332,'116+240'!$B$15:$AB$682,6,FALSE)</f>
        <v>-377</v>
      </c>
      <c r="U332" s="80">
        <f t="shared" si="56"/>
        <v>3036</v>
      </c>
      <c r="V332" s="79">
        <f>VLOOKUP(B332,'116+240'!$B$15:$AB$682,15,FALSE)</f>
        <v>-964</v>
      </c>
      <c r="W332" s="89">
        <f>'116+240'!S333</f>
        <v>2</v>
      </c>
      <c r="X332" s="83">
        <f t="shared" si="61"/>
        <v>934</v>
      </c>
      <c r="Y332" s="78">
        <f t="shared" si="62"/>
        <v>-2</v>
      </c>
      <c r="Z332" s="77">
        <f t="shared" si="63"/>
        <v>0</v>
      </c>
      <c r="AA332" s="76">
        <f t="shared" si="64"/>
        <v>4.2549999999999999</v>
      </c>
      <c r="AB332" s="76">
        <f t="shared" si="65"/>
        <v>2.38</v>
      </c>
    </row>
    <row r="333" spans="2:28">
      <c r="B333" s="90">
        <f>'116+240'!B334</f>
        <v>45601</v>
      </c>
      <c r="C333" s="87">
        <f t="shared" si="57"/>
        <v>1</v>
      </c>
      <c r="D333" s="86">
        <f t="shared" si="58"/>
        <v>844</v>
      </c>
      <c r="E333" s="85">
        <f>VLOOKUP(B333,'116+240'!B334:AB334,3,FALSE)</f>
        <v>1817</v>
      </c>
      <c r="F333" s="81">
        <f t="shared" ref="F333:F396" si="66">D333+E333</f>
        <v>2661</v>
      </c>
      <c r="G333" s="84">
        <f>VLOOKUP(B333,'116+240'!$B$15:$AB$682,20,FALSE)</f>
        <v>3120</v>
      </c>
      <c r="H333" s="84">
        <f>VLOOKUP(B333,'116+240'!$B$15:$AB$682,4,FALSE)</f>
        <v>-189</v>
      </c>
      <c r="I333" s="80">
        <f t="shared" ref="I333:I396" si="67">F333-H333</f>
        <v>2850</v>
      </c>
      <c r="J333" s="80">
        <f>VLOOKUP(B333,'116+240'!$B$15:$AB$682,13,FALSE)</f>
        <v>-1150</v>
      </c>
      <c r="K333" s="89">
        <f>'116+240'!Q334</f>
        <v>2</v>
      </c>
      <c r="L333" s="83">
        <f t="shared" si="59"/>
        <v>1190</v>
      </c>
      <c r="M333" s="82">
        <f>VLOOKUP(B333,'116+240'!$B$14:$AB$682,21,FALSE)</f>
        <v>3301</v>
      </c>
      <c r="N333" s="81">
        <f>VLOOKUP(B333,'116+240'!$B$15:$AB$682,5,FALSE)</f>
        <v>-250</v>
      </c>
      <c r="O333" s="80">
        <f t="shared" ref="O333:O396" si="68">F333-N333</f>
        <v>2911</v>
      </c>
      <c r="P333" s="80">
        <f>VLOOKUP(B333,'116+240'!$B$15:$AB$682,14,FALSE)</f>
        <v>-1089</v>
      </c>
      <c r="Q333" s="89">
        <f>'116+240'!R334</f>
        <v>4</v>
      </c>
      <c r="R333" s="83">
        <f t="shared" si="60"/>
        <v>1009</v>
      </c>
      <c r="S333" s="82">
        <f>VLOOKUP(B333,'116+240'!$B$14:$AB$682,22,FALSE)</f>
        <v>3371</v>
      </c>
      <c r="T333" s="81">
        <f>VLOOKUP(B333,'116+240'!$B$15:$AB$682,6,FALSE)</f>
        <v>-370</v>
      </c>
      <c r="U333" s="80">
        <f t="shared" ref="U333:U396" si="69">F333-T333</f>
        <v>3031</v>
      </c>
      <c r="V333" s="79">
        <f>VLOOKUP(B333,'116+240'!$B$15:$AB$682,15,FALSE)</f>
        <v>-969</v>
      </c>
      <c r="W333" s="89">
        <f>'116+240'!S334</f>
        <v>5</v>
      </c>
      <c r="X333" s="83">
        <f t="shared" si="61"/>
        <v>939</v>
      </c>
      <c r="Y333" s="78">
        <f t="shared" si="62"/>
        <v>-5</v>
      </c>
      <c r="Z333" s="77">
        <f t="shared" si="63"/>
        <v>0</v>
      </c>
      <c r="AA333" s="76">
        <f t="shared" si="64"/>
        <v>4.2549999999999999</v>
      </c>
      <c r="AB333" s="76">
        <f t="shared" si="65"/>
        <v>2.3719999999999999</v>
      </c>
    </row>
    <row r="334" spans="2:28">
      <c r="B334" s="90">
        <f>'116+240'!B335</f>
        <v>45602</v>
      </c>
      <c r="C334" s="87">
        <f t="shared" ref="C334:C397" si="70">B334-B333</f>
        <v>1</v>
      </c>
      <c r="D334" s="86">
        <f t="shared" ref="D334:D397" si="71">D333</f>
        <v>844</v>
      </c>
      <c r="E334" s="85">
        <f>VLOOKUP(B334,'116+240'!B335:AB335,3,FALSE)</f>
        <v>1819</v>
      </c>
      <c r="F334" s="81">
        <f t="shared" si="66"/>
        <v>2663</v>
      </c>
      <c r="G334" s="84">
        <f>VLOOKUP(B334,'116+240'!$B$15:$AB$682,20,FALSE)</f>
        <v>3118</v>
      </c>
      <c r="H334" s="84">
        <f>VLOOKUP(B334,'116+240'!$B$15:$AB$682,4,FALSE)</f>
        <v>-185</v>
      </c>
      <c r="I334" s="80">
        <f t="shared" si="67"/>
        <v>2848</v>
      </c>
      <c r="J334" s="80">
        <f>VLOOKUP(B334,'116+240'!$B$15:$AB$682,13,FALSE)</f>
        <v>-1152</v>
      </c>
      <c r="K334" s="89">
        <f>'116+240'!Q335</f>
        <v>2</v>
      </c>
      <c r="L334" s="83">
        <f t="shared" ref="L334:L397" si="72">+K334+L333</f>
        <v>1192</v>
      </c>
      <c r="M334" s="82">
        <f>VLOOKUP(B334,'116+240'!$B$14:$AB$682,21,FALSE)</f>
        <v>3298</v>
      </c>
      <c r="N334" s="81">
        <f>VLOOKUP(B334,'116+240'!$B$15:$AB$682,5,FALSE)</f>
        <v>-245</v>
      </c>
      <c r="O334" s="80">
        <f t="shared" si="68"/>
        <v>2908</v>
      </c>
      <c r="P334" s="80">
        <f>VLOOKUP(B334,'116+240'!$B$15:$AB$682,14,FALSE)</f>
        <v>-1092</v>
      </c>
      <c r="Q334" s="89">
        <f>'116+240'!R335</f>
        <v>3</v>
      </c>
      <c r="R334" s="83">
        <f t="shared" ref="R334:R397" si="73">+Q334+R333</f>
        <v>1012</v>
      </c>
      <c r="S334" s="82">
        <f>VLOOKUP(B334,'116+240'!$B$14:$AB$682,22,FALSE)</f>
        <v>3366</v>
      </c>
      <c r="T334" s="81">
        <f>VLOOKUP(B334,'116+240'!$B$15:$AB$682,6,FALSE)</f>
        <v>-363</v>
      </c>
      <c r="U334" s="80">
        <f t="shared" si="69"/>
        <v>3026</v>
      </c>
      <c r="V334" s="79">
        <f>VLOOKUP(B334,'116+240'!$B$15:$AB$682,15,FALSE)</f>
        <v>-974</v>
      </c>
      <c r="W334" s="89">
        <f>'116+240'!S335</f>
        <v>5</v>
      </c>
      <c r="X334" s="83">
        <f t="shared" ref="X334:X397" si="74">+W334+X333</f>
        <v>944</v>
      </c>
      <c r="Y334" s="78">
        <f t="shared" ref="Y334:Y397" si="75">S334-S333</f>
        <v>-5</v>
      </c>
      <c r="Z334" s="77">
        <f t="shared" ref="Z334:Z397" si="76">IF(Y334&gt;0,Y334,0)/1000</f>
        <v>0</v>
      </c>
      <c r="AA334" s="76">
        <f t="shared" ref="AA334:AA397" si="77">AA333+Z334</f>
        <v>4.2549999999999999</v>
      </c>
      <c r="AB334" s="76">
        <f t="shared" ref="AB334:AB397" si="78">(M334-$M$13-R334)/1000</f>
        <v>2.3660000000000001</v>
      </c>
    </row>
    <row r="335" spans="2:28">
      <c r="B335" s="90">
        <f>'116+240'!B336</f>
        <v>45603</v>
      </c>
      <c r="C335" s="87">
        <f t="shared" si="70"/>
        <v>1</v>
      </c>
      <c r="D335" s="86">
        <f t="shared" si="71"/>
        <v>844</v>
      </c>
      <c r="E335" s="85">
        <f>VLOOKUP(B335,'116+240'!B336:AB336,3,FALSE)</f>
        <v>1821</v>
      </c>
      <c r="F335" s="81">
        <f t="shared" si="66"/>
        <v>2665</v>
      </c>
      <c r="G335" s="84">
        <f>VLOOKUP(B335,'116+240'!$B$15:$AB$682,20,FALSE)</f>
        <v>3116</v>
      </c>
      <c r="H335" s="84">
        <f>VLOOKUP(B335,'116+240'!$B$15:$AB$682,4,FALSE)</f>
        <v>-181</v>
      </c>
      <c r="I335" s="80">
        <f t="shared" si="67"/>
        <v>2846</v>
      </c>
      <c r="J335" s="80">
        <f>VLOOKUP(B335,'116+240'!$B$15:$AB$682,13,FALSE)</f>
        <v>-1154</v>
      </c>
      <c r="K335" s="89">
        <f>'116+240'!Q336</f>
        <v>2</v>
      </c>
      <c r="L335" s="83">
        <f t="shared" si="72"/>
        <v>1194</v>
      </c>
      <c r="M335" s="82">
        <f>VLOOKUP(B335,'116+240'!$B$14:$AB$682,21,FALSE)</f>
        <v>3296</v>
      </c>
      <c r="N335" s="81">
        <f>VLOOKUP(B335,'116+240'!$B$15:$AB$682,5,FALSE)</f>
        <v>-241</v>
      </c>
      <c r="O335" s="80">
        <f t="shared" si="68"/>
        <v>2906</v>
      </c>
      <c r="P335" s="80">
        <f>VLOOKUP(B335,'116+240'!$B$15:$AB$682,14,FALSE)</f>
        <v>-1094</v>
      </c>
      <c r="Q335" s="89">
        <f>'116+240'!R336</f>
        <v>2</v>
      </c>
      <c r="R335" s="83">
        <f t="shared" si="73"/>
        <v>1014</v>
      </c>
      <c r="S335" s="82">
        <f>VLOOKUP(B335,'116+240'!$B$14:$AB$682,22,FALSE)</f>
        <v>3361</v>
      </c>
      <c r="T335" s="81">
        <f>VLOOKUP(B335,'116+240'!$B$15:$AB$682,6,FALSE)</f>
        <v>-356</v>
      </c>
      <c r="U335" s="80">
        <f t="shared" si="69"/>
        <v>3021</v>
      </c>
      <c r="V335" s="79">
        <f>VLOOKUP(B335,'116+240'!$B$15:$AB$682,15,FALSE)</f>
        <v>-979</v>
      </c>
      <c r="W335" s="89">
        <f>'116+240'!S336</f>
        <v>5</v>
      </c>
      <c r="X335" s="83">
        <f t="shared" si="74"/>
        <v>949</v>
      </c>
      <c r="Y335" s="78">
        <f t="shared" si="75"/>
        <v>-5</v>
      </c>
      <c r="Z335" s="77">
        <f t="shared" si="76"/>
        <v>0</v>
      </c>
      <c r="AA335" s="76">
        <f t="shared" si="77"/>
        <v>4.2549999999999999</v>
      </c>
      <c r="AB335" s="76">
        <f t="shared" si="78"/>
        <v>2.3620000000000001</v>
      </c>
    </row>
    <row r="336" spans="2:28">
      <c r="B336" s="90">
        <f>'116+240'!B337</f>
        <v>45604</v>
      </c>
      <c r="C336" s="87">
        <f t="shared" si="70"/>
        <v>1</v>
      </c>
      <c r="D336" s="86">
        <f t="shared" si="71"/>
        <v>844</v>
      </c>
      <c r="E336" s="85">
        <f>VLOOKUP(B336,'116+240'!B337:AB337,3,FALSE)</f>
        <v>1823</v>
      </c>
      <c r="F336" s="81">
        <f t="shared" si="66"/>
        <v>2667</v>
      </c>
      <c r="G336" s="84">
        <f>VLOOKUP(B336,'116+240'!$B$15:$AB$682,20,FALSE)</f>
        <v>3113</v>
      </c>
      <c r="H336" s="84">
        <f>VLOOKUP(B336,'116+240'!$B$15:$AB$682,4,FALSE)</f>
        <v>-176</v>
      </c>
      <c r="I336" s="80">
        <f t="shared" si="67"/>
        <v>2843</v>
      </c>
      <c r="J336" s="80">
        <f>VLOOKUP(B336,'116+240'!$B$15:$AB$682,13,FALSE)</f>
        <v>-1157</v>
      </c>
      <c r="K336" s="89">
        <f>'116+240'!Q337</f>
        <v>3</v>
      </c>
      <c r="L336" s="83">
        <f t="shared" si="72"/>
        <v>1197</v>
      </c>
      <c r="M336" s="82">
        <f>VLOOKUP(B336,'116+240'!$B$14:$AB$682,21,FALSE)</f>
        <v>3295</v>
      </c>
      <c r="N336" s="81">
        <f>VLOOKUP(B336,'116+240'!$B$15:$AB$682,5,FALSE)</f>
        <v>-238</v>
      </c>
      <c r="O336" s="80">
        <f t="shared" si="68"/>
        <v>2905</v>
      </c>
      <c r="P336" s="80">
        <f>VLOOKUP(B336,'116+240'!$B$15:$AB$682,14,FALSE)</f>
        <v>-1095</v>
      </c>
      <c r="Q336" s="89">
        <f>'116+240'!R337</f>
        <v>1</v>
      </c>
      <c r="R336" s="83">
        <f t="shared" si="73"/>
        <v>1015</v>
      </c>
      <c r="S336" s="82">
        <f>VLOOKUP(B336,'116+240'!$B$14:$AB$682,22,FALSE)</f>
        <v>3359</v>
      </c>
      <c r="T336" s="81">
        <f>VLOOKUP(B336,'116+240'!$B$15:$AB$682,6,FALSE)</f>
        <v>-352</v>
      </c>
      <c r="U336" s="80">
        <f t="shared" si="69"/>
        <v>3019</v>
      </c>
      <c r="V336" s="79">
        <f>VLOOKUP(B336,'116+240'!$B$15:$AB$682,15,FALSE)</f>
        <v>-981</v>
      </c>
      <c r="W336" s="89">
        <f>'116+240'!S337</f>
        <v>2</v>
      </c>
      <c r="X336" s="83">
        <f t="shared" si="74"/>
        <v>951</v>
      </c>
      <c r="Y336" s="78">
        <f t="shared" si="75"/>
        <v>-2</v>
      </c>
      <c r="Z336" s="77">
        <f t="shared" si="76"/>
        <v>0</v>
      </c>
      <c r="AA336" s="76">
        <f t="shared" si="77"/>
        <v>4.2549999999999999</v>
      </c>
      <c r="AB336" s="76">
        <f t="shared" si="78"/>
        <v>2.36</v>
      </c>
    </row>
    <row r="337" spans="2:28">
      <c r="B337" s="90">
        <f>'116+240'!B338</f>
        <v>45605</v>
      </c>
      <c r="C337" s="87">
        <f t="shared" si="70"/>
        <v>1</v>
      </c>
      <c r="D337" s="86">
        <f t="shared" si="71"/>
        <v>844</v>
      </c>
      <c r="E337" s="85">
        <f>VLOOKUP(B337,'116+240'!B338:AB338,3,FALSE)</f>
        <v>1825</v>
      </c>
      <c r="F337" s="81">
        <f t="shared" si="66"/>
        <v>2669</v>
      </c>
      <c r="G337" s="84">
        <f>VLOOKUP(B337,'116+240'!$B$15:$AB$682,20,FALSE)</f>
        <v>3111</v>
      </c>
      <c r="H337" s="84">
        <f>VLOOKUP(B337,'116+240'!$B$15:$AB$682,4,FALSE)</f>
        <v>-172</v>
      </c>
      <c r="I337" s="80">
        <f t="shared" si="67"/>
        <v>2841</v>
      </c>
      <c r="J337" s="80">
        <f>VLOOKUP(B337,'116+240'!$B$15:$AB$682,13,FALSE)</f>
        <v>-1159</v>
      </c>
      <c r="K337" s="89">
        <f>'116+240'!Q338</f>
        <v>2</v>
      </c>
      <c r="L337" s="83">
        <f t="shared" si="72"/>
        <v>1199</v>
      </c>
      <c r="M337" s="82">
        <f>VLOOKUP(B337,'116+240'!$B$14:$AB$682,21,FALSE)</f>
        <v>3293</v>
      </c>
      <c r="N337" s="81">
        <f>VLOOKUP(B337,'116+240'!$B$15:$AB$682,5,FALSE)</f>
        <v>-234</v>
      </c>
      <c r="O337" s="80">
        <f t="shared" si="68"/>
        <v>2903</v>
      </c>
      <c r="P337" s="80">
        <f>VLOOKUP(B337,'116+240'!$B$15:$AB$682,14,FALSE)</f>
        <v>-1097</v>
      </c>
      <c r="Q337" s="89">
        <f>'116+240'!R338</f>
        <v>2</v>
      </c>
      <c r="R337" s="83">
        <f t="shared" si="73"/>
        <v>1017</v>
      </c>
      <c r="S337" s="82">
        <f>VLOOKUP(B337,'116+240'!$B$14:$AB$682,22,FALSE)</f>
        <v>3358</v>
      </c>
      <c r="T337" s="81">
        <f>VLOOKUP(B337,'116+240'!$B$15:$AB$682,6,FALSE)</f>
        <v>-349</v>
      </c>
      <c r="U337" s="80">
        <f t="shared" si="69"/>
        <v>3018</v>
      </c>
      <c r="V337" s="79">
        <f>VLOOKUP(B337,'116+240'!$B$15:$AB$682,15,FALSE)</f>
        <v>-982</v>
      </c>
      <c r="W337" s="89">
        <f>'116+240'!S338</f>
        <v>1</v>
      </c>
      <c r="X337" s="83">
        <f t="shared" si="74"/>
        <v>952</v>
      </c>
      <c r="Y337" s="78">
        <f t="shared" si="75"/>
        <v>-1</v>
      </c>
      <c r="Z337" s="77">
        <f t="shared" si="76"/>
        <v>0</v>
      </c>
      <c r="AA337" s="76">
        <f t="shared" si="77"/>
        <v>4.2549999999999999</v>
      </c>
      <c r="AB337" s="76">
        <f t="shared" si="78"/>
        <v>2.3559999999999999</v>
      </c>
    </row>
    <row r="338" spans="2:28">
      <c r="B338" s="90">
        <f>'116+240'!B339</f>
        <v>45606</v>
      </c>
      <c r="C338" s="87">
        <f t="shared" si="70"/>
        <v>1</v>
      </c>
      <c r="D338" s="86">
        <f t="shared" si="71"/>
        <v>844</v>
      </c>
      <c r="E338" s="85">
        <f>VLOOKUP(B338,'116+240'!B339:AB339,3,FALSE)</f>
        <v>1827</v>
      </c>
      <c r="F338" s="81">
        <f t="shared" si="66"/>
        <v>2671</v>
      </c>
      <c r="G338" s="84">
        <f>VLOOKUP(B338,'116+240'!$B$15:$AB$682,20,FALSE)</f>
        <v>3108</v>
      </c>
      <c r="H338" s="84">
        <f>VLOOKUP(B338,'116+240'!$B$15:$AB$682,4,FALSE)</f>
        <v>-167</v>
      </c>
      <c r="I338" s="80">
        <f t="shared" si="67"/>
        <v>2838</v>
      </c>
      <c r="J338" s="80">
        <f>VLOOKUP(B338,'116+240'!$B$15:$AB$682,13,FALSE)</f>
        <v>-1162</v>
      </c>
      <c r="K338" s="89">
        <f>'116+240'!Q339</f>
        <v>3</v>
      </c>
      <c r="L338" s="83">
        <f t="shared" si="72"/>
        <v>1202</v>
      </c>
      <c r="M338" s="82">
        <f>VLOOKUP(B338,'116+240'!$B$14:$AB$682,21,FALSE)</f>
        <v>3291</v>
      </c>
      <c r="N338" s="81">
        <f>VLOOKUP(B338,'116+240'!$B$15:$AB$682,5,FALSE)</f>
        <v>-230</v>
      </c>
      <c r="O338" s="80">
        <f t="shared" si="68"/>
        <v>2901</v>
      </c>
      <c r="P338" s="80">
        <f>VLOOKUP(B338,'116+240'!$B$15:$AB$682,14,FALSE)</f>
        <v>-1099</v>
      </c>
      <c r="Q338" s="89">
        <f>'116+240'!R339</f>
        <v>2</v>
      </c>
      <c r="R338" s="83">
        <f t="shared" si="73"/>
        <v>1019</v>
      </c>
      <c r="S338" s="82">
        <f>VLOOKUP(B338,'116+240'!$B$14:$AB$682,22,FALSE)</f>
        <v>3356</v>
      </c>
      <c r="T338" s="81">
        <f>VLOOKUP(B338,'116+240'!$B$15:$AB$682,6,FALSE)</f>
        <v>-345</v>
      </c>
      <c r="U338" s="80">
        <f t="shared" si="69"/>
        <v>3016</v>
      </c>
      <c r="V338" s="79">
        <f>VLOOKUP(B338,'116+240'!$B$15:$AB$682,15,FALSE)</f>
        <v>-984</v>
      </c>
      <c r="W338" s="89">
        <f>'116+240'!S339</f>
        <v>2</v>
      </c>
      <c r="X338" s="83">
        <f t="shared" si="74"/>
        <v>954</v>
      </c>
      <c r="Y338" s="78">
        <f t="shared" si="75"/>
        <v>-2</v>
      </c>
      <c r="Z338" s="77">
        <f t="shared" si="76"/>
        <v>0</v>
      </c>
      <c r="AA338" s="76">
        <f t="shared" si="77"/>
        <v>4.2549999999999999</v>
      </c>
      <c r="AB338" s="76">
        <f t="shared" si="78"/>
        <v>2.3519999999999999</v>
      </c>
    </row>
    <row r="339" spans="2:28">
      <c r="B339" s="90">
        <f>'116+240'!B340</f>
        <v>45607</v>
      </c>
      <c r="C339" s="87">
        <f t="shared" si="70"/>
        <v>1</v>
      </c>
      <c r="D339" s="86">
        <f t="shared" si="71"/>
        <v>844</v>
      </c>
      <c r="E339" s="85">
        <f>VLOOKUP(B339,'116+240'!B340:AB340,3,FALSE)</f>
        <v>1829</v>
      </c>
      <c r="F339" s="81">
        <f t="shared" si="66"/>
        <v>2673</v>
      </c>
      <c r="G339" s="84">
        <f>VLOOKUP(B339,'116+240'!$B$15:$AB$682,20,FALSE)</f>
        <v>3106</v>
      </c>
      <c r="H339" s="84">
        <f>VLOOKUP(B339,'116+240'!$B$15:$AB$682,4,FALSE)</f>
        <v>-163</v>
      </c>
      <c r="I339" s="80">
        <f t="shared" si="67"/>
        <v>2836</v>
      </c>
      <c r="J339" s="80">
        <f>VLOOKUP(B339,'116+240'!$B$15:$AB$682,13,FALSE)</f>
        <v>-1164</v>
      </c>
      <c r="K339" s="89">
        <f>'116+240'!Q340</f>
        <v>2</v>
      </c>
      <c r="L339" s="83">
        <f t="shared" si="72"/>
        <v>1204</v>
      </c>
      <c r="M339" s="82">
        <f>VLOOKUP(B339,'116+240'!$B$14:$AB$682,21,FALSE)</f>
        <v>3289</v>
      </c>
      <c r="N339" s="81">
        <f>VLOOKUP(B339,'116+240'!$B$15:$AB$682,5,FALSE)</f>
        <v>-226</v>
      </c>
      <c r="O339" s="80">
        <f t="shared" si="68"/>
        <v>2899</v>
      </c>
      <c r="P339" s="80">
        <f>VLOOKUP(B339,'116+240'!$B$15:$AB$682,14,FALSE)</f>
        <v>-1101</v>
      </c>
      <c r="Q339" s="89">
        <f>'116+240'!R340</f>
        <v>2</v>
      </c>
      <c r="R339" s="83">
        <f t="shared" si="73"/>
        <v>1021</v>
      </c>
      <c r="S339" s="82">
        <f>VLOOKUP(B339,'116+240'!$B$14:$AB$682,22,FALSE)</f>
        <v>3348</v>
      </c>
      <c r="T339" s="81">
        <f>VLOOKUP(B339,'116+240'!$B$15:$AB$682,6,FALSE)</f>
        <v>-335</v>
      </c>
      <c r="U339" s="80">
        <f t="shared" si="69"/>
        <v>3008</v>
      </c>
      <c r="V339" s="79">
        <f>VLOOKUP(B339,'116+240'!$B$15:$AB$682,15,FALSE)</f>
        <v>-992</v>
      </c>
      <c r="W339" s="89">
        <f>'116+240'!S340</f>
        <v>8</v>
      </c>
      <c r="X339" s="83">
        <f t="shared" si="74"/>
        <v>962</v>
      </c>
      <c r="Y339" s="78">
        <f t="shared" si="75"/>
        <v>-8</v>
      </c>
      <c r="Z339" s="77">
        <f t="shared" si="76"/>
        <v>0</v>
      </c>
      <c r="AA339" s="76">
        <f t="shared" si="77"/>
        <v>4.2549999999999999</v>
      </c>
      <c r="AB339" s="76">
        <f t="shared" si="78"/>
        <v>2.3479999999999999</v>
      </c>
    </row>
    <row r="340" spans="2:28">
      <c r="B340" s="90">
        <f>'116+240'!B341</f>
        <v>45608</v>
      </c>
      <c r="C340" s="87">
        <f t="shared" si="70"/>
        <v>1</v>
      </c>
      <c r="D340" s="86">
        <f t="shared" si="71"/>
        <v>844</v>
      </c>
      <c r="E340" s="85">
        <f>VLOOKUP(B340,'116+240'!B341:AB341,3,FALSE)</f>
        <v>1831</v>
      </c>
      <c r="F340" s="81">
        <f t="shared" si="66"/>
        <v>2675</v>
      </c>
      <c r="G340" s="84">
        <f>VLOOKUP(B340,'116+240'!$B$15:$AB$682,20,FALSE)</f>
        <v>3105</v>
      </c>
      <c r="H340" s="84">
        <f>VLOOKUP(B340,'116+240'!$B$15:$AB$682,4,FALSE)</f>
        <v>-160</v>
      </c>
      <c r="I340" s="80">
        <f t="shared" si="67"/>
        <v>2835</v>
      </c>
      <c r="J340" s="80">
        <f>VLOOKUP(B340,'116+240'!$B$15:$AB$682,13,FALSE)</f>
        <v>-1165</v>
      </c>
      <c r="K340" s="89">
        <f>'116+240'!Q341</f>
        <v>1</v>
      </c>
      <c r="L340" s="83">
        <f t="shared" si="72"/>
        <v>1205</v>
      </c>
      <c r="M340" s="82">
        <f>VLOOKUP(B340,'116+240'!$B$14:$AB$682,21,FALSE)</f>
        <v>3287</v>
      </c>
      <c r="N340" s="81">
        <f>VLOOKUP(B340,'116+240'!$B$15:$AB$682,5,FALSE)</f>
        <v>-222</v>
      </c>
      <c r="O340" s="80">
        <f t="shared" si="68"/>
        <v>2897</v>
      </c>
      <c r="P340" s="80">
        <f>VLOOKUP(B340,'116+240'!$B$15:$AB$682,14,FALSE)</f>
        <v>-1103</v>
      </c>
      <c r="Q340" s="89">
        <f>'116+240'!R341</f>
        <v>2</v>
      </c>
      <c r="R340" s="83">
        <f t="shared" si="73"/>
        <v>1023</v>
      </c>
      <c r="S340" s="82">
        <f>VLOOKUP(B340,'116+240'!$B$14:$AB$682,22,FALSE)</f>
        <v>3342</v>
      </c>
      <c r="T340" s="81">
        <f>VLOOKUP(B340,'116+240'!$B$15:$AB$682,6,FALSE)</f>
        <v>-327</v>
      </c>
      <c r="U340" s="80">
        <f t="shared" si="69"/>
        <v>3002</v>
      </c>
      <c r="V340" s="79">
        <f>VLOOKUP(B340,'116+240'!$B$15:$AB$682,15,FALSE)</f>
        <v>-998</v>
      </c>
      <c r="W340" s="89">
        <f>'116+240'!S341</f>
        <v>6</v>
      </c>
      <c r="X340" s="83">
        <f t="shared" si="74"/>
        <v>968</v>
      </c>
      <c r="Y340" s="78">
        <f t="shared" si="75"/>
        <v>-6</v>
      </c>
      <c r="Z340" s="77">
        <f t="shared" si="76"/>
        <v>0</v>
      </c>
      <c r="AA340" s="76">
        <f t="shared" si="77"/>
        <v>4.2549999999999999</v>
      </c>
      <c r="AB340" s="76">
        <f t="shared" si="78"/>
        <v>2.3439999999999999</v>
      </c>
    </row>
    <row r="341" spans="2:28">
      <c r="B341" s="90">
        <f>'116+240'!B342</f>
        <v>45609</v>
      </c>
      <c r="C341" s="87">
        <f t="shared" si="70"/>
        <v>1</v>
      </c>
      <c r="D341" s="86">
        <f t="shared" si="71"/>
        <v>844</v>
      </c>
      <c r="E341" s="85">
        <f>VLOOKUP(B341,'116+240'!B342:AB342,3,FALSE)</f>
        <v>1833</v>
      </c>
      <c r="F341" s="81">
        <f t="shared" si="66"/>
        <v>2677</v>
      </c>
      <c r="G341" s="84">
        <f>VLOOKUP(B341,'116+240'!$B$15:$AB$682,20,FALSE)</f>
        <v>3102</v>
      </c>
      <c r="H341" s="84">
        <f>VLOOKUP(B341,'116+240'!$B$15:$AB$682,4,FALSE)</f>
        <v>-155</v>
      </c>
      <c r="I341" s="80">
        <f t="shared" si="67"/>
        <v>2832</v>
      </c>
      <c r="J341" s="80">
        <f>VLOOKUP(B341,'116+240'!$B$15:$AB$682,13,FALSE)</f>
        <v>-1168</v>
      </c>
      <c r="K341" s="89">
        <f>'116+240'!Q342</f>
        <v>3</v>
      </c>
      <c r="L341" s="83">
        <f t="shared" si="72"/>
        <v>1208</v>
      </c>
      <c r="M341" s="82">
        <f>VLOOKUP(B341,'116+240'!$B$14:$AB$682,21,FALSE)</f>
        <v>3285</v>
      </c>
      <c r="N341" s="81">
        <f>VLOOKUP(B341,'116+240'!$B$15:$AB$682,5,FALSE)</f>
        <v>-218</v>
      </c>
      <c r="O341" s="80">
        <f t="shared" si="68"/>
        <v>2895</v>
      </c>
      <c r="P341" s="80">
        <f>VLOOKUP(B341,'116+240'!$B$15:$AB$682,14,FALSE)</f>
        <v>-1105</v>
      </c>
      <c r="Q341" s="89">
        <f>'116+240'!R342</f>
        <v>2</v>
      </c>
      <c r="R341" s="83">
        <f t="shared" si="73"/>
        <v>1025</v>
      </c>
      <c r="S341" s="82">
        <f>VLOOKUP(B341,'116+240'!$B$14:$AB$682,22,FALSE)</f>
        <v>3335</v>
      </c>
      <c r="T341" s="81">
        <f>VLOOKUP(B341,'116+240'!$B$15:$AB$682,6,FALSE)</f>
        <v>-318</v>
      </c>
      <c r="U341" s="80">
        <f t="shared" si="69"/>
        <v>2995</v>
      </c>
      <c r="V341" s="79">
        <f>VLOOKUP(B341,'116+240'!$B$15:$AB$682,15,FALSE)</f>
        <v>-1005</v>
      </c>
      <c r="W341" s="89">
        <f>'116+240'!S342</f>
        <v>7</v>
      </c>
      <c r="X341" s="83">
        <f t="shared" si="74"/>
        <v>975</v>
      </c>
      <c r="Y341" s="78">
        <f t="shared" si="75"/>
        <v>-7</v>
      </c>
      <c r="Z341" s="77">
        <f t="shared" si="76"/>
        <v>0</v>
      </c>
      <c r="AA341" s="76">
        <f t="shared" si="77"/>
        <v>4.2549999999999999</v>
      </c>
      <c r="AB341" s="76">
        <f t="shared" si="78"/>
        <v>2.34</v>
      </c>
    </row>
    <row r="342" spans="2:28">
      <c r="B342" s="90">
        <f>'116+240'!B343</f>
        <v>45610</v>
      </c>
      <c r="C342" s="87">
        <f t="shared" si="70"/>
        <v>1</v>
      </c>
      <c r="D342" s="86">
        <f t="shared" si="71"/>
        <v>844</v>
      </c>
      <c r="E342" s="85">
        <f>VLOOKUP(B342,'116+240'!B343:AB343,3,FALSE)</f>
        <v>1835</v>
      </c>
      <c r="F342" s="81">
        <f t="shared" si="66"/>
        <v>2679</v>
      </c>
      <c r="G342" s="84">
        <f>VLOOKUP(B342,'116+240'!$B$15:$AB$682,20,FALSE)</f>
        <v>3100</v>
      </c>
      <c r="H342" s="84">
        <f>VLOOKUP(B342,'116+240'!$B$15:$AB$682,4,FALSE)</f>
        <v>-151</v>
      </c>
      <c r="I342" s="80">
        <f t="shared" si="67"/>
        <v>2830</v>
      </c>
      <c r="J342" s="80">
        <f>VLOOKUP(B342,'116+240'!$B$15:$AB$682,13,FALSE)</f>
        <v>-1170</v>
      </c>
      <c r="K342" s="89">
        <f>'116+240'!Q343</f>
        <v>2</v>
      </c>
      <c r="L342" s="83">
        <f t="shared" si="72"/>
        <v>1210</v>
      </c>
      <c r="M342" s="82">
        <f>VLOOKUP(B342,'116+240'!$B$14:$AB$682,21,FALSE)</f>
        <v>3283</v>
      </c>
      <c r="N342" s="81">
        <f>VLOOKUP(B342,'116+240'!$B$15:$AB$682,5,FALSE)</f>
        <v>-214</v>
      </c>
      <c r="O342" s="80">
        <f t="shared" si="68"/>
        <v>2893</v>
      </c>
      <c r="P342" s="80">
        <f>VLOOKUP(B342,'116+240'!$B$15:$AB$682,14,FALSE)</f>
        <v>-1107</v>
      </c>
      <c r="Q342" s="89">
        <f>'116+240'!R343</f>
        <v>2</v>
      </c>
      <c r="R342" s="83">
        <f t="shared" si="73"/>
        <v>1027</v>
      </c>
      <c r="S342" s="82">
        <f>VLOOKUP(B342,'116+240'!$B$14:$AB$682,22,FALSE)</f>
        <v>3331</v>
      </c>
      <c r="T342" s="81">
        <f>VLOOKUP(B342,'116+240'!$B$15:$AB$682,6,FALSE)</f>
        <v>-312</v>
      </c>
      <c r="U342" s="80">
        <f t="shared" si="69"/>
        <v>2991</v>
      </c>
      <c r="V342" s="79">
        <f>VLOOKUP(B342,'116+240'!$B$15:$AB$682,15,FALSE)</f>
        <v>-1009</v>
      </c>
      <c r="W342" s="89">
        <f>'116+240'!S343</f>
        <v>4</v>
      </c>
      <c r="X342" s="83">
        <f t="shared" si="74"/>
        <v>979</v>
      </c>
      <c r="Y342" s="78">
        <f t="shared" si="75"/>
        <v>-4</v>
      </c>
      <c r="Z342" s="77">
        <f t="shared" si="76"/>
        <v>0</v>
      </c>
      <c r="AA342" s="76">
        <f t="shared" si="77"/>
        <v>4.2549999999999999</v>
      </c>
      <c r="AB342" s="76">
        <f t="shared" si="78"/>
        <v>2.3359999999999999</v>
      </c>
    </row>
    <row r="343" spans="2:28">
      <c r="B343" s="90">
        <f>'116+240'!B344</f>
        <v>45611</v>
      </c>
      <c r="C343" s="87">
        <f t="shared" si="70"/>
        <v>1</v>
      </c>
      <c r="D343" s="86">
        <f t="shared" si="71"/>
        <v>844</v>
      </c>
      <c r="E343" s="85">
        <f>VLOOKUP(B343,'116+240'!B344:AB344,3,FALSE)</f>
        <v>1837</v>
      </c>
      <c r="F343" s="81">
        <f t="shared" si="66"/>
        <v>2681</v>
      </c>
      <c r="G343" s="84">
        <f>VLOOKUP(B343,'116+240'!$B$15:$AB$682,20,FALSE)</f>
        <v>3099</v>
      </c>
      <c r="H343" s="84">
        <f>VLOOKUP(B343,'116+240'!$B$15:$AB$682,4,FALSE)</f>
        <v>-148</v>
      </c>
      <c r="I343" s="80">
        <f t="shared" si="67"/>
        <v>2829</v>
      </c>
      <c r="J343" s="80">
        <f>VLOOKUP(B343,'116+240'!$B$15:$AB$682,13,FALSE)</f>
        <v>-1171</v>
      </c>
      <c r="K343" s="89">
        <f>'116+240'!Q344</f>
        <v>1</v>
      </c>
      <c r="L343" s="83">
        <f t="shared" si="72"/>
        <v>1211</v>
      </c>
      <c r="M343" s="82">
        <f>VLOOKUP(B343,'116+240'!$B$14:$AB$682,21,FALSE)</f>
        <v>3278</v>
      </c>
      <c r="N343" s="81">
        <f>VLOOKUP(B343,'116+240'!$B$15:$AB$682,5,FALSE)</f>
        <v>-207</v>
      </c>
      <c r="O343" s="80">
        <f t="shared" si="68"/>
        <v>2888</v>
      </c>
      <c r="P343" s="80">
        <f>VLOOKUP(B343,'116+240'!$B$15:$AB$682,14,FALSE)</f>
        <v>-1112</v>
      </c>
      <c r="Q343" s="89">
        <f>'116+240'!R344</f>
        <v>5</v>
      </c>
      <c r="R343" s="83">
        <f t="shared" si="73"/>
        <v>1032</v>
      </c>
      <c r="S343" s="82">
        <f>VLOOKUP(B343,'116+240'!$B$14:$AB$682,22,FALSE)</f>
        <v>3326</v>
      </c>
      <c r="T343" s="81">
        <f>VLOOKUP(B343,'116+240'!$B$15:$AB$682,6,FALSE)</f>
        <v>-305</v>
      </c>
      <c r="U343" s="80">
        <f t="shared" si="69"/>
        <v>2986</v>
      </c>
      <c r="V343" s="79">
        <f>VLOOKUP(B343,'116+240'!$B$15:$AB$682,15,FALSE)</f>
        <v>-1014</v>
      </c>
      <c r="W343" s="89">
        <f>'116+240'!S344</f>
        <v>5</v>
      </c>
      <c r="X343" s="83">
        <f t="shared" si="74"/>
        <v>984</v>
      </c>
      <c r="Y343" s="78">
        <f t="shared" si="75"/>
        <v>-5</v>
      </c>
      <c r="Z343" s="77">
        <f t="shared" si="76"/>
        <v>0</v>
      </c>
      <c r="AA343" s="76">
        <f t="shared" si="77"/>
        <v>4.2549999999999999</v>
      </c>
      <c r="AB343" s="76">
        <f t="shared" si="78"/>
        <v>2.3260000000000001</v>
      </c>
    </row>
    <row r="344" spans="2:28">
      <c r="B344" s="90">
        <f>'116+240'!B345</f>
        <v>45612</v>
      </c>
      <c r="C344" s="87">
        <f t="shared" si="70"/>
        <v>1</v>
      </c>
      <c r="D344" s="86">
        <f t="shared" si="71"/>
        <v>844</v>
      </c>
      <c r="E344" s="85">
        <f>VLOOKUP(B344,'116+240'!B345:AB345,3,FALSE)</f>
        <v>1839</v>
      </c>
      <c r="F344" s="81">
        <f t="shared" si="66"/>
        <v>2683</v>
      </c>
      <c r="G344" s="84">
        <f>VLOOKUP(B344,'116+240'!$B$15:$AB$682,20,FALSE)</f>
        <v>3096</v>
      </c>
      <c r="H344" s="84">
        <f>VLOOKUP(B344,'116+240'!$B$15:$AB$682,4,FALSE)</f>
        <v>-143</v>
      </c>
      <c r="I344" s="80">
        <f t="shared" si="67"/>
        <v>2826</v>
      </c>
      <c r="J344" s="80">
        <f>VLOOKUP(B344,'116+240'!$B$15:$AB$682,13,FALSE)</f>
        <v>-1174</v>
      </c>
      <c r="K344" s="89">
        <f>'116+240'!Q345</f>
        <v>3</v>
      </c>
      <c r="L344" s="83">
        <f t="shared" si="72"/>
        <v>1214</v>
      </c>
      <c r="M344" s="82">
        <f>VLOOKUP(B344,'116+240'!$B$14:$AB$682,21,FALSE)</f>
        <v>3276</v>
      </c>
      <c r="N344" s="81">
        <f>VLOOKUP(B344,'116+240'!$B$15:$AB$682,5,FALSE)</f>
        <v>-203</v>
      </c>
      <c r="O344" s="80">
        <f t="shared" si="68"/>
        <v>2886</v>
      </c>
      <c r="P344" s="80">
        <f>VLOOKUP(B344,'116+240'!$B$15:$AB$682,14,FALSE)</f>
        <v>-1114</v>
      </c>
      <c r="Q344" s="89">
        <f>'116+240'!R345</f>
        <v>2</v>
      </c>
      <c r="R344" s="83">
        <f t="shared" si="73"/>
        <v>1034</v>
      </c>
      <c r="S344" s="82">
        <f>VLOOKUP(B344,'116+240'!$B$14:$AB$682,22,FALSE)</f>
        <v>3323</v>
      </c>
      <c r="T344" s="81">
        <f>VLOOKUP(B344,'116+240'!$B$15:$AB$682,6,FALSE)</f>
        <v>-300</v>
      </c>
      <c r="U344" s="80">
        <f t="shared" si="69"/>
        <v>2983</v>
      </c>
      <c r="V344" s="79">
        <f>VLOOKUP(B344,'116+240'!$B$15:$AB$682,15,FALSE)</f>
        <v>-1017</v>
      </c>
      <c r="W344" s="89">
        <f>'116+240'!S345</f>
        <v>3</v>
      </c>
      <c r="X344" s="83">
        <f t="shared" si="74"/>
        <v>987</v>
      </c>
      <c r="Y344" s="78">
        <f t="shared" si="75"/>
        <v>-3</v>
      </c>
      <c r="Z344" s="77">
        <f t="shared" si="76"/>
        <v>0</v>
      </c>
      <c r="AA344" s="76">
        <f t="shared" si="77"/>
        <v>4.2549999999999999</v>
      </c>
      <c r="AB344" s="76">
        <f t="shared" si="78"/>
        <v>2.3220000000000001</v>
      </c>
    </row>
    <row r="345" spans="2:28">
      <c r="B345" s="90">
        <f>'116+240'!B346</f>
        <v>45613</v>
      </c>
      <c r="C345" s="87">
        <f t="shared" si="70"/>
        <v>1</v>
      </c>
      <c r="D345" s="86">
        <f t="shared" si="71"/>
        <v>844</v>
      </c>
      <c r="E345" s="85">
        <f>VLOOKUP(B345,'116+240'!B346:AB346,3,FALSE)</f>
        <v>1841</v>
      </c>
      <c r="F345" s="81">
        <f t="shared" si="66"/>
        <v>2685</v>
      </c>
      <c r="G345" s="84">
        <f>VLOOKUP(B345,'116+240'!$B$15:$AB$682,20,FALSE)</f>
        <v>3094</v>
      </c>
      <c r="H345" s="84">
        <f>VLOOKUP(B345,'116+240'!$B$15:$AB$682,4,FALSE)</f>
        <v>-139</v>
      </c>
      <c r="I345" s="80">
        <f t="shared" si="67"/>
        <v>2824</v>
      </c>
      <c r="J345" s="80">
        <f>VLOOKUP(B345,'116+240'!$B$15:$AB$682,13,FALSE)</f>
        <v>-1176</v>
      </c>
      <c r="K345" s="89">
        <f>'116+240'!Q346</f>
        <v>2</v>
      </c>
      <c r="L345" s="83">
        <f t="shared" si="72"/>
        <v>1216</v>
      </c>
      <c r="M345" s="82">
        <f>VLOOKUP(B345,'116+240'!$B$14:$AB$682,21,FALSE)</f>
        <v>3274</v>
      </c>
      <c r="N345" s="81">
        <f>VLOOKUP(B345,'116+240'!$B$15:$AB$682,5,FALSE)</f>
        <v>-199</v>
      </c>
      <c r="O345" s="80">
        <f t="shared" si="68"/>
        <v>2884</v>
      </c>
      <c r="P345" s="80">
        <f>VLOOKUP(B345,'116+240'!$B$15:$AB$682,14,FALSE)</f>
        <v>-1116</v>
      </c>
      <c r="Q345" s="89">
        <f>'116+240'!R346</f>
        <v>2</v>
      </c>
      <c r="R345" s="83">
        <f t="shared" si="73"/>
        <v>1036</v>
      </c>
      <c r="S345" s="82">
        <f>VLOOKUP(B345,'116+240'!$B$14:$AB$682,22,FALSE)</f>
        <v>3321</v>
      </c>
      <c r="T345" s="81">
        <f>VLOOKUP(B345,'116+240'!$B$15:$AB$682,6,FALSE)</f>
        <v>-296</v>
      </c>
      <c r="U345" s="80">
        <f t="shared" si="69"/>
        <v>2981</v>
      </c>
      <c r="V345" s="79">
        <f>VLOOKUP(B345,'116+240'!$B$15:$AB$682,15,FALSE)</f>
        <v>-1019</v>
      </c>
      <c r="W345" s="89">
        <f>'116+240'!S346</f>
        <v>2</v>
      </c>
      <c r="X345" s="83">
        <f t="shared" si="74"/>
        <v>989</v>
      </c>
      <c r="Y345" s="78">
        <f t="shared" si="75"/>
        <v>-2</v>
      </c>
      <c r="Z345" s="77">
        <f t="shared" si="76"/>
        <v>0</v>
      </c>
      <c r="AA345" s="76">
        <f t="shared" si="77"/>
        <v>4.2549999999999999</v>
      </c>
      <c r="AB345" s="76">
        <f t="shared" si="78"/>
        <v>2.3180000000000001</v>
      </c>
    </row>
    <row r="346" spans="2:28">
      <c r="B346" s="90">
        <f>'116+240'!B347</f>
        <v>45614</v>
      </c>
      <c r="C346" s="87">
        <f t="shared" si="70"/>
        <v>1</v>
      </c>
      <c r="D346" s="86">
        <f t="shared" si="71"/>
        <v>844</v>
      </c>
      <c r="E346" s="85">
        <f>VLOOKUP(B346,'116+240'!B347:AB347,3,FALSE)</f>
        <v>1843</v>
      </c>
      <c r="F346" s="81">
        <f t="shared" si="66"/>
        <v>2687</v>
      </c>
      <c r="G346" s="84">
        <f>VLOOKUP(B346,'116+240'!$B$15:$AB$682,20,FALSE)</f>
        <v>3093</v>
      </c>
      <c r="H346" s="84">
        <f>VLOOKUP(B346,'116+240'!$B$15:$AB$682,4,FALSE)</f>
        <v>-136</v>
      </c>
      <c r="I346" s="80">
        <f t="shared" si="67"/>
        <v>2823</v>
      </c>
      <c r="J346" s="80">
        <f>VLOOKUP(B346,'116+240'!$B$15:$AB$682,13,FALSE)</f>
        <v>-1177</v>
      </c>
      <c r="K346" s="89">
        <f>'116+240'!Q347</f>
        <v>1</v>
      </c>
      <c r="L346" s="83">
        <f t="shared" si="72"/>
        <v>1217</v>
      </c>
      <c r="M346" s="82">
        <f>VLOOKUP(B346,'116+240'!$B$14:$AB$682,21,FALSE)</f>
        <v>3272</v>
      </c>
      <c r="N346" s="81">
        <f>VLOOKUP(B346,'116+240'!$B$15:$AB$682,5,FALSE)</f>
        <v>-195</v>
      </c>
      <c r="O346" s="80">
        <f t="shared" si="68"/>
        <v>2882</v>
      </c>
      <c r="P346" s="80">
        <f>VLOOKUP(B346,'116+240'!$B$15:$AB$682,14,FALSE)</f>
        <v>-1118</v>
      </c>
      <c r="Q346" s="89">
        <f>'116+240'!R347</f>
        <v>2</v>
      </c>
      <c r="R346" s="83">
        <f t="shared" si="73"/>
        <v>1038</v>
      </c>
      <c r="S346" s="82">
        <f>VLOOKUP(B346,'116+240'!$B$14:$AB$682,22,FALSE)</f>
        <v>3319</v>
      </c>
      <c r="T346" s="81">
        <f>VLOOKUP(B346,'116+240'!$B$15:$AB$682,6,FALSE)</f>
        <v>-292</v>
      </c>
      <c r="U346" s="80">
        <f t="shared" si="69"/>
        <v>2979</v>
      </c>
      <c r="V346" s="79">
        <f>VLOOKUP(B346,'116+240'!$B$15:$AB$682,15,FALSE)</f>
        <v>-1021</v>
      </c>
      <c r="W346" s="89">
        <f>'116+240'!S347</f>
        <v>2</v>
      </c>
      <c r="X346" s="83">
        <f t="shared" si="74"/>
        <v>991</v>
      </c>
      <c r="Y346" s="78">
        <f t="shared" si="75"/>
        <v>-2</v>
      </c>
      <c r="Z346" s="77">
        <f t="shared" si="76"/>
        <v>0</v>
      </c>
      <c r="AA346" s="76">
        <f t="shared" si="77"/>
        <v>4.2549999999999999</v>
      </c>
      <c r="AB346" s="76">
        <f t="shared" si="78"/>
        <v>2.3140000000000001</v>
      </c>
    </row>
    <row r="347" spans="2:28">
      <c r="B347" s="90">
        <f>'116+240'!B348</f>
        <v>45615</v>
      </c>
      <c r="C347" s="87">
        <f t="shared" si="70"/>
        <v>1</v>
      </c>
      <c r="D347" s="86">
        <f t="shared" si="71"/>
        <v>844</v>
      </c>
      <c r="E347" s="85">
        <f>VLOOKUP(B347,'116+240'!B348:AB348,3,FALSE)</f>
        <v>1845</v>
      </c>
      <c r="F347" s="81">
        <f t="shared" si="66"/>
        <v>2689</v>
      </c>
      <c r="G347" s="84">
        <f>VLOOKUP(B347,'116+240'!$B$15:$AB$682,20,FALSE)</f>
        <v>3092</v>
      </c>
      <c r="H347" s="84">
        <f>VLOOKUP(B347,'116+240'!$B$15:$AB$682,4,FALSE)</f>
        <v>-133</v>
      </c>
      <c r="I347" s="80">
        <f t="shared" si="67"/>
        <v>2822</v>
      </c>
      <c r="J347" s="80">
        <f>VLOOKUP(B347,'116+240'!$B$15:$AB$682,13,FALSE)</f>
        <v>-1178</v>
      </c>
      <c r="K347" s="89">
        <f>'116+240'!Q348</f>
        <v>1</v>
      </c>
      <c r="L347" s="83">
        <f t="shared" si="72"/>
        <v>1218</v>
      </c>
      <c r="M347" s="82">
        <f>VLOOKUP(B347,'116+240'!$B$14:$AB$682,21,FALSE)</f>
        <v>3269</v>
      </c>
      <c r="N347" s="81">
        <f>VLOOKUP(B347,'116+240'!$B$15:$AB$682,5,FALSE)</f>
        <v>-190</v>
      </c>
      <c r="O347" s="80">
        <f t="shared" si="68"/>
        <v>2879</v>
      </c>
      <c r="P347" s="80">
        <f>VLOOKUP(B347,'116+240'!$B$15:$AB$682,14,FALSE)</f>
        <v>-1121</v>
      </c>
      <c r="Q347" s="89">
        <f>'116+240'!R348</f>
        <v>3</v>
      </c>
      <c r="R347" s="83">
        <f t="shared" si="73"/>
        <v>1041</v>
      </c>
      <c r="S347" s="82">
        <f>VLOOKUP(B347,'116+240'!$B$14:$AB$682,22,FALSE)</f>
        <v>3318</v>
      </c>
      <c r="T347" s="81">
        <f>VLOOKUP(B347,'116+240'!$B$15:$AB$682,6,FALSE)</f>
        <v>-289</v>
      </c>
      <c r="U347" s="80">
        <f t="shared" si="69"/>
        <v>2978</v>
      </c>
      <c r="V347" s="79">
        <f>VLOOKUP(B347,'116+240'!$B$15:$AB$682,15,FALSE)</f>
        <v>-1022</v>
      </c>
      <c r="W347" s="89">
        <f>'116+240'!S348</f>
        <v>1</v>
      </c>
      <c r="X347" s="83">
        <f t="shared" si="74"/>
        <v>992</v>
      </c>
      <c r="Y347" s="78">
        <f t="shared" si="75"/>
        <v>-1</v>
      </c>
      <c r="Z347" s="77">
        <f t="shared" si="76"/>
        <v>0</v>
      </c>
      <c r="AA347" s="76">
        <f t="shared" si="77"/>
        <v>4.2549999999999999</v>
      </c>
      <c r="AB347" s="76">
        <f t="shared" si="78"/>
        <v>2.3079999999999998</v>
      </c>
    </row>
    <row r="348" spans="2:28">
      <c r="B348" s="90">
        <f>'116+240'!B349</f>
        <v>45616</v>
      </c>
      <c r="C348" s="87">
        <f t="shared" si="70"/>
        <v>1</v>
      </c>
      <c r="D348" s="86">
        <f t="shared" si="71"/>
        <v>844</v>
      </c>
      <c r="E348" s="85">
        <f>VLOOKUP(B348,'116+240'!B349:AB349,3,FALSE)</f>
        <v>1847</v>
      </c>
      <c r="F348" s="81">
        <f t="shared" si="66"/>
        <v>2691</v>
      </c>
      <c r="G348" s="84">
        <f>VLOOKUP(B348,'116+240'!$B$15:$AB$682,20,FALSE)</f>
        <v>3090</v>
      </c>
      <c r="H348" s="84">
        <f>VLOOKUP(B348,'116+240'!$B$15:$AB$682,4,FALSE)</f>
        <v>-129</v>
      </c>
      <c r="I348" s="80">
        <f t="shared" si="67"/>
        <v>2820</v>
      </c>
      <c r="J348" s="80">
        <f>VLOOKUP(B348,'116+240'!$B$15:$AB$682,13,FALSE)</f>
        <v>-1180</v>
      </c>
      <c r="K348" s="89">
        <f>'116+240'!Q349</f>
        <v>2</v>
      </c>
      <c r="L348" s="83">
        <f t="shared" si="72"/>
        <v>1220</v>
      </c>
      <c r="M348" s="82">
        <f>VLOOKUP(B348,'116+240'!$B$14:$AB$682,21,FALSE)</f>
        <v>3267</v>
      </c>
      <c r="N348" s="81">
        <f>VLOOKUP(B348,'116+240'!$B$15:$AB$682,5,FALSE)</f>
        <v>-186</v>
      </c>
      <c r="O348" s="80">
        <f t="shared" si="68"/>
        <v>2877</v>
      </c>
      <c r="P348" s="80">
        <f>VLOOKUP(B348,'116+240'!$B$15:$AB$682,14,FALSE)</f>
        <v>-1123</v>
      </c>
      <c r="Q348" s="89">
        <f>'116+240'!R349</f>
        <v>2</v>
      </c>
      <c r="R348" s="83">
        <f t="shared" si="73"/>
        <v>1043</v>
      </c>
      <c r="S348" s="82">
        <f>VLOOKUP(B348,'116+240'!$B$14:$AB$682,22,FALSE)</f>
        <v>3316</v>
      </c>
      <c r="T348" s="81">
        <f>VLOOKUP(B348,'116+240'!$B$15:$AB$682,6,FALSE)</f>
        <v>-285</v>
      </c>
      <c r="U348" s="80">
        <f t="shared" si="69"/>
        <v>2976</v>
      </c>
      <c r="V348" s="79">
        <f>VLOOKUP(B348,'116+240'!$B$15:$AB$682,15,FALSE)</f>
        <v>-1024</v>
      </c>
      <c r="W348" s="89">
        <f>'116+240'!S349</f>
        <v>2</v>
      </c>
      <c r="X348" s="83">
        <f t="shared" si="74"/>
        <v>994</v>
      </c>
      <c r="Y348" s="78">
        <f t="shared" si="75"/>
        <v>-2</v>
      </c>
      <c r="Z348" s="77">
        <f t="shared" si="76"/>
        <v>0</v>
      </c>
      <c r="AA348" s="76">
        <f t="shared" si="77"/>
        <v>4.2549999999999999</v>
      </c>
      <c r="AB348" s="76">
        <f t="shared" si="78"/>
        <v>2.3039999999999998</v>
      </c>
    </row>
    <row r="349" spans="2:28">
      <c r="B349" s="90">
        <f>'116+240'!B350</f>
        <v>45617</v>
      </c>
      <c r="C349" s="87">
        <f t="shared" si="70"/>
        <v>1</v>
      </c>
      <c r="D349" s="86">
        <f t="shared" si="71"/>
        <v>844</v>
      </c>
      <c r="E349" s="85">
        <f>VLOOKUP(B349,'116+240'!B350:AB350,3,FALSE)</f>
        <v>1849</v>
      </c>
      <c r="F349" s="81">
        <f t="shared" si="66"/>
        <v>2693</v>
      </c>
      <c r="G349" s="84">
        <f>VLOOKUP(B349,'116+240'!$B$15:$AB$682,20,FALSE)</f>
        <v>3088</v>
      </c>
      <c r="H349" s="84">
        <f>VLOOKUP(B349,'116+240'!$B$15:$AB$682,4,FALSE)</f>
        <v>-125</v>
      </c>
      <c r="I349" s="80">
        <f t="shared" si="67"/>
        <v>2818</v>
      </c>
      <c r="J349" s="80">
        <f>VLOOKUP(B349,'116+240'!$B$15:$AB$682,13,FALSE)</f>
        <v>-1182</v>
      </c>
      <c r="K349" s="89">
        <f>'116+240'!Q350</f>
        <v>2</v>
      </c>
      <c r="L349" s="83">
        <f t="shared" si="72"/>
        <v>1222</v>
      </c>
      <c r="M349" s="82">
        <f>VLOOKUP(B349,'116+240'!$B$14:$AB$682,21,FALSE)</f>
        <v>3262</v>
      </c>
      <c r="N349" s="81">
        <f>VLOOKUP(B349,'116+240'!$B$15:$AB$682,5,FALSE)</f>
        <v>-179</v>
      </c>
      <c r="O349" s="80">
        <f t="shared" si="68"/>
        <v>2872</v>
      </c>
      <c r="P349" s="80">
        <f>VLOOKUP(B349,'116+240'!$B$15:$AB$682,14,FALSE)</f>
        <v>-1128</v>
      </c>
      <c r="Q349" s="89">
        <f>'116+240'!R350</f>
        <v>5</v>
      </c>
      <c r="R349" s="83">
        <f t="shared" si="73"/>
        <v>1048</v>
      </c>
      <c r="S349" s="82">
        <f>VLOOKUP(B349,'116+240'!$B$14:$AB$682,22,FALSE)</f>
        <v>3311</v>
      </c>
      <c r="T349" s="81">
        <f>VLOOKUP(B349,'116+240'!$B$15:$AB$682,6,FALSE)</f>
        <v>-278</v>
      </c>
      <c r="U349" s="80">
        <f t="shared" si="69"/>
        <v>2971</v>
      </c>
      <c r="V349" s="79">
        <f>VLOOKUP(B349,'116+240'!$B$15:$AB$682,15,FALSE)</f>
        <v>-1029</v>
      </c>
      <c r="W349" s="89">
        <f>'116+240'!S350</f>
        <v>5</v>
      </c>
      <c r="X349" s="83">
        <f t="shared" si="74"/>
        <v>999</v>
      </c>
      <c r="Y349" s="78">
        <f t="shared" si="75"/>
        <v>-5</v>
      </c>
      <c r="Z349" s="77">
        <f t="shared" si="76"/>
        <v>0</v>
      </c>
      <c r="AA349" s="76">
        <f t="shared" si="77"/>
        <v>4.2549999999999999</v>
      </c>
      <c r="AB349" s="76">
        <f t="shared" si="78"/>
        <v>2.294</v>
      </c>
    </row>
    <row r="350" spans="2:28">
      <c r="B350" s="90">
        <f>'116+240'!B351</f>
        <v>45618</v>
      </c>
      <c r="C350" s="87">
        <f t="shared" si="70"/>
        <v>1</v>
      </c>
      <c r="D350" s="86">
        <f t="shared" si="71"/>
        <v>844</v>
      </c>
      <c r="E350" s="85">
        <f>VLOOKUP(B350,'116+240'!B351:AB351,3,FALSE)</f>
        <v>1851</v>
      </c>
      <c r="F350" s="81">
        <f t="shared" si="66"/>
        <v>2695</v>
      </c>
      <c r="G350" s="84">
        <f>VLOOKUP(B350,'116+240'!$B$15:$AB$682,20,FALSE)</f>
        <v>3086</v>
      </c>
      <c r="H350" s="84">
        <f>VLOOKUP(B350,'116+240'!$B$15:$AB$682,4,FALSE)</f>
        <v>-121</v>
      </c>
      <c r="I350" s="80">
        <f t="shared" si="67"/>
        <v>2816</v>
      </c>
      <c r="J350" s="80">
        <f>VLOOKUP(B350,'116+240'!$B$15:$AB$682,13,FALSE)</f>
        <v>-1184</v>
      </c>
      <c r="K350" s="89">
        <f>'116+240'!Q351</f>
        <v>2</v>
      </c>
      <c r="L350" s="83">
        <f t="shared" si="72"/>
        <v>1224</v>
      </c>
      <c r="M350" s="82">
        <f>VLOOKUP(B350,'116+240'!$B$14:$AB$682,21,FALSE)</f>
        <v>3257</v>
      </c>
      <c r="N350" s="81">
        <f>VLOOKUP(B350,'116+240'!$B$15:$AB$682,5,FALSE)</f>
        <v>-172</v>
      </c>
      <c r="O350" s="80">
        <f t="shared" si="68"/>
        <v>2867</v>
      </c>
      <c r="P350" s="80">
        <f>VLOOKUP(B350,'116+240'!$B$15:$AB$682,14,FALSE)</f>
        <v>-1133</v>
      </c>
      <c r="Q350" s="89">
        <f>'116+240'!R351</f>
        <v>5</v>
      </c>
      <c r="R350" s="83">
        <f t="shared" si="73"/>
        <v>1053</v>
      </c>
      <c r="S350" s="82">
        <f>VLOOKUP(B350,'116+240'!$B$14:$AB$682,22,FALSE)</f>
        <v>3306</v>
      </c>
      <c r="T350" s="81">
        <f>VLOOKUP(B350,'116+240'!$B$15:$AB$682,6,FALSE)</f>
        <v>-271</v>
      </c>
      <c r="U350" s="80">
        <f t="shared" si="69"/>
        <v>2966</v>
      </c>
      <c r="V350" s="79">
        <f>VLOOKUP(B350,'116+240'!$B$15:$AB$682,15,FALSE)</f>
        <v>-1034</v>
      </c>
      <c r="W350" s="89">
        <f>'116+240'!S351</f>
        <v>5</v>
      </c>
      <c r="X350" s="83">
        <f t="shared" si="74"/>
        <v>1004</v>
      </c>
      <c r="Y350" s="78">
        <f t="shared" si="75"/>
        <v>-5</v>
      </c>
      <c r="Z350" s="77">
        <f t="shared" si="76"/>
        <v>0</v>
      </c>
      <c r="AA350" s="76">
        <f t="shared" si="77"/>
        <v>4.2549999999999999</v>
      </c>
      <c r="AB350" s="76">
        <f t="shared" si="78"/>
        <v>2.2839999999999998</v>
      </c>
    </row>
    <row r="351" spans="2:28">
      <c r="B351" s="90">
        <f>'116+240'!B352</f>
        <v>45619</v>
      </c>
      <c r="C351" s="87">
        <f t="shared" si="70"/>
        <v>1</v>
      </c>
      <c r="D351" s="86">
        <f t="shared" si="71"/>
        <v>844</v>
      </c>
      <c r="E351" s="85">
        <f>VLOOKUP(B351,'116+240'!B352:AB352,3,FALSE)</f>
        <v>1853</v>
      </c>
      <c r="F351" s="81">
        <f t="shared" si="66"/>
        <v>2697</v>
      </c>
      <c r="G351" s="84">
        <f>VLOOKUP(B351,'116+240'!$B$15:$AB$682,20,FALSE)</f>
        <v>3084</v>
      </c>
      <c r="H351" s="84">
        <f>VLOOKUP(B351,'116+240'!$B$15:$AB$682,4,FALSE)</f>
        <v>-117</v>
      </c>
      <c r="I351" s="80">
        <f t="shared" si="67"/>
        <v>2814</v>
      </c>
      <c r="J351" s="80">
        <f>VLOOKUP(B351,'116+240'!$B$15:$AB$682,13,FALSE)</f>
        <v>-1186</v>
      </c>
      <c r="K351" s="89">
        <f>'116+240'!Q352</f>
        <v>2</v>
      </c>
      <c r="L351" s="83">
        <f t="shared" si="72"/>
        <v>1226</v>
      </c>
      <c r="M351" s="82">
        <f>VLOOKUP(B351,'116+240'!$B$14:$AB$682,21,FALSE)</f>
        <v>3253</v>
      </c>
      <c r="N351" s="81">
        <f>VLOOKUP(B351,'116+240'!$B$15:$AB$682,5,FALSE)</f>
        <v>-166</v>
      </c>
      <c r="O351" s="80">
        <f t="shared" si="68"/>
        <v>2863</v>
      </c>
      <c r="P351" s="80">
        <f>VLOOKUP(B351,'116+240'!$B$15:$AB$682,14,FALSE)</f>
        <v>-1137</v>
      </c>
      <c r="Q351" s="89">
        <f>'116+240'!R352</f>
        <v>4</v>
      </c>
      <c r="R351" s="83">
        <f t="shared" si="73"/>
        <v>1057</v>
      </c>
      <c r="S351" s="82">
        <f>VLOOKUP(B351,'116+240'!$B$14:$AB$682,22,FALSE)</f>
        <v>3301</v>
      </c>
      <c r="T351" s="81">
        <f>VLOOKUP(B351,'116+240'!$B$15:$AB$682,6,FALSE)</f>
        <v>-264</v>
      </c>
      <c r="U351" s="80">
        <f t="shared" si="69"/>
        <v>2961</v>
      </c>
      <c r="V351" s="79">
        <f>VLOOKUP(B351,'116+240'!$B$15:$AB$682,15,FALSE)</f>
        <v>-1039</v>
      </c>
      <c r="W351" s="89">
        <f>'116+240'!S352</f>
        <v>5</v>
      </c>
      <c r="X351" s="83">
        <f t="shared" si="74"/>
        <v>1009</v>
      </c>
      <c r="Y351" s="78">
        <f t="shared" si="75"/>
        <v>-5</v>
      </c>
      <c r="Z351" s="77">
        <f t="shared" si="76"/>
        <v>0</v>
      </c>
      <c r="AA351" s="76">
        <f t="shared" si="77"/>
        <v>4.2549999999999999</v>
      </c>
      <c r="AB351" s="76">
        <f t="shared" si="78"/>
        <v>2.2759999999999998</v>
      </c>
    </row>
    <row r="352" spans="2:28">
      <c r="B352" s="90">
        <f>'116+240'!B353</f>
        <v>45620</v>
      </c>
      <c r="C352" s="87">
        <f t="shared" si="70"/>
        <v>1</v>
      </c>
      <c r="D352" s="86">
        <f t="shared" si="71"/>
        <v>844</v>
      </c>
      <c r="E352" s="85">
        <f>VLOOKUP(B352,'116+240'!B353:AB353,3,FALSE)</f>
        <v>1855</v>
      </c>
      <c r="F352" s="81">
        <f t="shared" si="66"/>
        <v>2699</v>
      </c>
      <c r="G352" s="84">
        <f>VLOOKUP(B352,'116+240'!$B$15:$AB$682,20,FALSE)</f>
        <v>3082</v>
      </c>
      <c r="H352" s="84">
        <f>VLOOKUP(B352,'116+240'!$B$15:$AB$682,4,FALSE)</f>
        <v>-113</v>
      </c>
      <c r="I352" s="80">
        <f t="shared" si="67"/>
        <v>2812</v>
      </c>
      <c r="J352" s="80">
        <f>VLOOKUP(B352,'116+240'!$B$15:$AB$682,13,FALSE)</f>
        <v>-1188</v>
      </c>
      <c r="K352" s="89">
        <f>'116+240'!Q353</f>
        <v>2</v>
      </c>
      <c r="L352" s="83">
        <f t="shared" si="72"/>
        <v>1228</v>
      </c>
      <c r="M352" s="82">
        <f>VLOOKUP(B352,'116+240'!$B$14:$AB$682,21,FALSE)</f>
        <v>3250</v>
      </c>
      <c r="N352" s="81">
        <f>VLOOKUP(B352,'116+240'!$B$15:$AB$682,5,FALSE)</f>
        <v>-161</v>
      </c>
      <c r="O352" s="80">
        <f t="shared" si="68"/>
        <v>2860</v>
      </c>
      <c r="P352" s="80">
        <f>VLOOKUP(B352,'116+240'!$B$15:$AB$682,14,FALSE)</f>
        <v>-1140</v>
      </c>
      <c r="Q352" s="89">
        <f>'116+240'!R353</f>
        <v>3</v>
      </c>
      <c r="R352" s="83">
        <f t="shared" si="73"/>
        <v>1060</v>
      </c>
      <c r="S352" s="82">
        <f>VLOOKUP(B352,'116+240'!$B$14:$AB$682,22,FALSE)</f>
        <v>3299</v>
      </c>
      <c r="T352" s="81">
        <f>VLOOKUP(B352,'116+240'!$B$15:$AB$682,6,FALSE)</f>
        <v>-260</v>
      </c>
      <c r="U352" s="80">
        <f t="shared" si="69"/>
        <v>2959</v>
      </c>
      <c r="V352" s="79">
        <f>VLOOKUP(B352,'116+240'!$B$15:$AB$682,15,FALSE)</f>
        <v>-1041</v>
      </c>
      <c r="W352" s="89">
        <f>'116+240'!S353</f>
        <v>2</v>
      </c>
      <c r="X352" s="83">
        <f t="shared" si="74"/>
        <v>1011</v>
      </c>
      <c r="Y352" s="78">
        <f t="shared" si="75"/>
        <v>-2</v>
      </c>
      <c r="Z352" s="77">
        <f t="shared" si="76"/>
        <v>0</v>
      </c>
      <c r="AA352" s="76">
        <f t="shared" si="77"/>
        <v>4.2549999999999999</v>
      </c>
      <c r="AB352" s="76">
        <f t="shared" si="78"/>
        <v>2.27</v>
      </c>
    </row>
    <row r="353" spans="2:28">
      <c r="B353" s="90">
        <f>'116+240'!B354</f>
        <v>45621</v>
      </c>
      <c r="C353" s="87">
        <f t="shared" si="70"/>
        <v>1</v>
      </c>
      <c r="D353" s="86">
        <f t="shared" si="71"/>
        <v>844</v>
      </c>
      <c r="E353" s="85">
        <f>VLOOKUP(B353,'116+240'!B354:AB354,3,FALSE)</f>
        <v>1857</v>
      </c>
      <c r="F353" s="81">
        <f t="shared" si="66"/>
        <v>2701</v>
      </c>
      <c r="G353" s="84">
        <f>VLOOKUP(B353,'116+240'!$B$15:$AB$682,20,FALSE)</f>
        <v>3080</v>
      </c>
      <c r="H353" s="84">
        <f>VLOOKUP(B353,'116+240'!$B$15:$AB$682,4,FALSE)</f>
        <v>-109</v>
      </c>
      <c r="I353" s="80">
        <f t="shared" si="67"/>
        <v>2810</v>
      </c>
      <c r="J353" s="80">
        <f>VLOOKUP(B353,'116+240'!$B$15:$AB$682,13,FALSE)</f>
        <v>-1190</v>
      </c>
      <c r="K353" s="89">
        <f>'116+240'!Q354</f>
        <v>2</v>
      </c>
      <c r="L353" s="83">
        <f t="shared" si="72"/>
        <v>1230</v>
      </c>
      <c r="M353" s="82">
        <f>VLOOKUP(B353,'116+240'!$B$14:$AB$682,21,FALSE)</f>
        <v>3248</v>
      </c>
      <c r="N353" s="81">
        <f>VLOOKUP(B353,'116+240'!$B$15:$AB$682,5,FALSE)</f>
        <v>-157</v>
      </c>
      <c r="O353" s="80">
        <f t="shared" si="68"/>
        <v>2858</v>
      </c>
      <c r="P353" s="80">
        <f>VLOOKUP(B353,'116+240'!$B$15:$AB$682,14,FALSE)</f>
        <v>-1142</v>
      </c>
      <c r="Q353" s="89">
        <f>'116+240'!R354</f>
        <v>2</v>
      </c>
      <c r="R353" s="83">
        <f t="shared" si="73"/>
        <v>1062</v>
      </c>
      <c r="S353" s="82">
        <f>VLOOKUP(B353,'116+240'!$B$14:$AB$682,22,FALSE)</f>
        <v>3297</v>
      </c>
      <c r="T353" s="81">
        <f>VLOOKUP(B353,'116+240'!$B$15:$AB$682,6,FALSE)</f>
        <v>-256</v>
      </c>
      <c r="U353" s="80">
        <f t="shared" si="69"/>
        <v>2957</v>
      </c>
      <c r="V353" s="79">
        <f>VLOOKUP(B353,'116+240'!$B$15:$AB$682,15,FALSE)</f>
        <v>-1043</v>
      </c>
      <c r="W353" s="89">
        <f>'116+240'!S354</f>
        <v>2</v>
      </c>
      <c r="X353" s="83">
        <f t="shared" si="74"/>
        <v>1013</v>
      </c>
      <c r="Y353" s="78">
        <f t="shared" si="75"/>
        <v>-2</v>
      </c>
      <c r="Z353" s="77">
        <f t="shared" si="76"/>
        <v>0</v>
      </c>
      <c r="AA353" s="76">
        <f t="shared" si="77"/>
        <v>4.2549999999999999</v>
      </c>
      <c r="AB353" s="76">
        <f t="shared" si="78"/>
        <v>2.266</v>
      </c>
    </row>
    <row r="354" spans="2:28">
      <c r="B354" s="90">
        <f>'116+240'!B355</f>
        <v>45622</v>
      </c>
      <c r="C354" s="87">
        <f t="shared" si="70"/>
        <v>1</v>
      </c>
      <c r="D354" s="86">
        <f t="shared" si="71"/>
        <v>844</v>
      </c>
      <c r="E354" s="85">
        <f>VLOOKUP(B354,'116+240'!B355:AB355,3,FALSE)</f>
        <v>1859</v>
      </c>
      <c r="F354" s="81">
        <f t="shared" si="66"/>
        <v>2703</v>
      </c>
      <c r="G354" s="84">
        <f>VLOOKUP(B354,'116+240'!$B$15:$AB$682,20,FALSE)</f>
        <v>3077</v>
      </c>
      <c r="H354" s="84">
        <f>VLOOKUP(B354,'116+240'!$B$15:$AB$682,4,FALSE)</f>
        <v>-104</v>
      </c>
      <c r="I354" s="80">
        <f t="shared" si="67"/>
        <v>2807</v>
      </c>
      <c r="J354" s="80">
        <f>VLOOKUP(B354,'116+240'!$B$15:$AB$682,13,FALSE)</f>
        <v>-1193</v>
      </c>
      <c r="K354" s="89">
        <f>'116+240'!Q355</f>
        <v>3</v>
      </c>
      <c r="L354" s="83">
        <f t="shared" si="72"/>
        <v>1233</v>
      </c>
      <c r="M354" s="82">
        <f>VLOOKUP(B354,'116+240'!$B$14:$AB$682,21,FALSE)</f>
        <v>3247</v>
      </c>
      <c r="N354" s="81">
        <f>VLOOKUP(B354,'116+240'!$B$15:$AB$682,5,FALSE)</f>
        <v>-154</v>
      </c>
      <c r="O354" s="80">
        <f t="shared" si="68"/>
        <v>2857</v>
      </c>
      <c r="P354" s="80">
        <f>VLOOKUP(B354,'116+240'!$B$15:$AB$682,14,FALSE)</f>
        <v>-1143</v>
      </c>
      <c r="Q354" s="89">
        <f>'116+240'!R355</f>
        <v>1</v>
      </c>
      <c r="R354" s="83">
        <f t="shared" si="73"/>
        <v>1063</v>
      </c>
      <c r="S354" s="82">
        <f>VLOOKUP(B354,'116+240'!$B$14:$AB$682,22,FALSE)</f>
        <v>3289</v>
      </c>
      <c r="T354" s="81">
        <f>VLOOKUP(B354,'116+240'!$B$15:$AB$682,6,FALSE)</f>
        <v>-246</v>
      </c>
      <c r="U354" s="80">
        <f t="shared" si="69"/>
        <v>2949</v>
      </c>
      <c r="V354" s="79">
        <f>VLOOKUP(B354,'116+240'!$B$15:$AB$682,15,FALSE)</f>
        <v>-1051</v>
      </c>
      <c r="W354" s="89">
        <f>'116+240'!S355</f>
        <v>8</v>
      </c>
      <c r="X354" s="83">
        <f t="shared" si="74"/>
        <v>1021</v>
      </c>
      <c r="Y354" s="78">
        <f t="shared" si="75"/>
        <v>-8</v>
      </c>
      <c r="Z354" s="77">
        <f t="shared" si="76"/>
        <v>0</v>
      </c>
      <c r="AA354" s="76">
        <f t="shared" si="77"/>
        <v>4.2549999999999999</v>
      </c>
      <c r="AB354" s="76">
        <f t="shared" si="78"/>
        <v>2.2639999999999998</v>
      </c>
    </row>
    <row r="355" spans="2:28">
      <c r="B355" s="90">
        <f>'116+240'!B356</f>
        <v>45623</v>
      </c>
      <c r="C355" s="87">
        <f t="shared" si="70"/>
        <v>1</v>
      </c>
      <c r="D355" s="86">
        <f t="shared" si="71"/>
        <v>844</v>
      </c>
      <c r="E355" s="85">
        <f>VLOOKUP(B355,'116+240'!B356:AB356,3,FALSE)</f>
        <v>1861</v>
      </c>
      <c r="F355" s="81">
        <f t="shared" si="66"/>
        <v>2705</v>
      </c>
      <c r="G355" s="84">
        <f>VLOOKUP(B355,'116+240'!$B$15:$AB$682,20,FALSE)</f>
        <v>3075</v>
      </c>
      <c r="H355" s="84">
        <f>VLOOKUP(B355,'116+240'!$B$15:$AB$682,4,FALSE)</f>
        <v>-100</v>
      </c>
      <c r="I355" s="80">
        <f t="shared" si="67"/>
        <v>2805</v>
      </c>
      <c r="J355" s="80">
        <f>VLOOKUP(B355,'116+240'!$B$15:$AB$682,13,FALSE)</f>
        <v>-1195</v>
      </c>
      <c r="K355" s="89">
        <f>'116+240'!Q356</f>
        <v>2</v>
      </c>
      <c r="L355" s="83">
        <f t="shared" si="72"/>
        <v>1235</v>
      </c>
      <c r="M355" s="82">
        <f>VLOOKUP(B355,'116+240'!$B$14:$AB$682,21,FALSE)</f>
        <v>3245</v>
      </c>
      <c r="N355" s="81">
        <f>VLOOKUP(B355,'116+240'!$B$15:$AB$682,5,FALSE)</f>
        <v>-150</v>
      </c>
      <c r="O355" s="80">
        <f t="shared" si="68"/>
        <v>2855</v>
      </c>
      <c r="P355" s="80">
        <f>VLOOKUP(B355,'116+240'!$B$15:$AB$682,14,FALSE)</f>
        <v>-1145</v>
      </c>
      <c r="Q355" s="89">
        <f>'116+240'!R356</f>
        <v>2</v>
      </c>
      <c r="R355" s="83">
        <f t="shared" si="73"/>
        <v>1065</v>
      </c>
      <c r="S355" s="82">
        <f>VLOOKUP(B355,'116+240'!$B$14:$AB$682,22,FALSE)</f>
        <v>3283</v>
      </c>
      <c r="T355" s="81">
        <f>VLOOKUP(B355,'116+240'!$B$15:$AB$682,6,FALSE)</f>
        <v>-238</v>
      </c>
      <c r="U355" s="80">
        <f t="shared" si="69"/>
        <v>2943</v>
      </c>
      <c r="V355" s="79">
        <f>VLOOKUP(B355,'116+240'!$B$15:$AB$682,15,FALSE)</f>
        <v>-1057</v>
      </c>
      <c r="W355" s="89">
        <f>'116+240'!S356</f>
        <v>6</v>
      </c>
      <c r="X355" s="83">
        <f t="shared" si="74"/>
        <v>1027</v>
      </c>
      <c r="Y355" s="78">
        <f t="shared" si="75"/>
        <v>-6</v>
      </c>
      <c r="Z355" s="77">
        <f t="shared" si="76"/>
        <v>0</v>
      </c>
      <c r="AA355" s="76">
        <f t="shared" si="77"/>
        <v>4.2549999999999999</v>
      </c>
      <c r="AB355" s="76">
        <f t="shared" si="78"/>
        <v>2.2599999999999998</v>
      </c>
    </row>
    <row r="356" spans="2:28">
      <c r="B356" s="90">
        <f>'116+240'!B357</f>
        <v>45624</v>
      </c>
      <c r="C356" s="87">
        <f t="shared" si="70"/>
        <v>1</v>
      </c>
      <c r="D356" s="86">
        <f t="shared" si="71"/>
        <v>844</v>
      </c>
      <c r="E356" s="85">
        <f>VLOOKUP(B356,'116+240'!B357:AB357,3,FALSE)</f>
        <v>1863</v>
      </c>
      <c r="F356" s="81">
        <f t="shared" si="66"/>
        <v>2707</v>
      </c>
      <c r="G356" s="84">
        <f>VLOOKUP(B356,'116+240'!$B$15:$AB$682,20,FALSE)</f>
        <v>3072</v>
      </c>
      <c r="H356" s="84">
        <f>VLOOKUP(B356,'116+240'!$B$15:$AB$682,4,FALSE)</f>
        <v>-95</v>
      </c>
      <c r="I356" s="80">
        <f t="shared" si="67"/>
        <v>2802</v>
      </c>
      <c r="J356" s="80">
        <f>VLOOKUP(B356,'116+240'!$B$15:$AB$682,13,FALSE)</f>
        <v>-1198</v>
      </c>
      <c r="K356" s="89">
        <f>'116+240'!Q357</f>
        <v>3</v>
      </c>
      <c r="L356" s="83">
        <f t="shared" si="72"/>
        <v>1238</v>
      </c>
      <c r="M356" s="82">
        <f>VLOOKUP(B356,'116+240'!$B$14:$AB$682,21,FALSE)</f>
        <v>3243</v>
      </c>
      <c r="N356" s="81">
        <f>VLOOKUP(B356,'116+240'!$B$15:$AB$682,5,FALSE)</f>
        <v>-146</v>
      </c>
      <c r="O356" s="80">
        <f t="shared" si="68"/>
        <v>2853</v>
      </c>
      <c r="P356" s="80">
        <f>VLOOKUP(B356,'116+240'!$B$15:$AB$682,14,FALSE)</f>
        <v>-1147</v>
      </c>
      <c r="Q356" s="89">
        <f>'116+240'!R357</f>
        <v>2</v>
      </c>
      <c r="R356" s="83">
        <f t="shared" si="73"/>
        <v>1067</v>
      </c>
      <c r="S356" s="82">
        <f>VLOOKUP(B356,'116+240'!$B$14:$AB$682,22,FALSE)</f>
        <v>3276</v>
      </c>
      <c r="T356" s="81">
        <f>VLOOKUP(B356,'116+240'!$B$15:$AB$682,6,FALSE)</f>
        <v>-229</v>
      </c>
      <c r="U356" s="80">
        <f t="shared" si="69"/>
        <v>2936</v>
      </c>
      <c r="V356" s="79">
        <f>VLOOKUP(B356,'116+240'!$B$15:$AB$682,15,FALSE)</f>
        <v>-1064</v>
      </c>
      <c r="W356" s="89">
        <f>'116+240'!S357</f>
        <v>7</v>
      </c>
      <c r="X356" s="83">
        <f t="shared" si="74"/>
        <v>1034</v>
      </c>
      <c r="Y356" s="78">
        <f t="shared" si="75"/>
        <v>-7</v>
      </c>
      <c r="Z356" s="77">
        <f t="shared" si="76"/>
        <v>0</v>
      </c>
      <c r="AA356" s="76">
        <f t="shared" si="77"/>
        <v>4.2549999999999999</v>
      </c>
      <c r="AB356" s="76">
        <f t="shared" si="78"/>
        <v>2.2559999999999998</v>
      </c>
    </row>
    <row r="357" spans="2:28">
      <c r="B357" s="90">
        <f>'116+240'!B358</f>
        <v>45625</v>
      </c>
      <c r="C357" s="87">
        <f t="shared" si="70"/>
        <v>1</v>
      </c>
      <c r="D357" s="86">
        <f t="shared" si="71"/>
        <v>844</v>
      </c>
      <c r="E357" s="85">
        <f>VLOOKUP(B357,'116+240'!B358:AB358,3,FALSE)</f>
        <v>1865</v>
      </c>
      <c r="F357" s="81">
        <f t="shared" si="66"/>
        <v>2709</v>
      </c>
      <c r="G357" s="84">
        <f>VLOOKUP(B357,'116+240'!$B$15:$AB$682,20,FALSE)</f>
        <v>3070</v>
      </c>
      <c r="H357" s="84">
        <f>VLOOKUP(B357,'116+240'!$B$15:$AB$682,4,FALSE)</f>
        <v>-91</v>
      </c>
      <c r="I357" s="80">
        <f t="shared" si="67"/>
        <v>2800</v>
      </c>
      <c r="J357" s="80">
        <f>VLOOKUP(B357,'116+240'!$B$15:$AB$682,13,FALSE)</f>
        <v>-1200</v>
      </c>
      <c r="K357" s="89">
        <f>'116+240'!Q358</f>
        <v>2</v>
      </c>
      <c r="L357" s="83">
        <f t="shared" si="72"/>
        <v>1240</v>
      </c>
      <c r="M357" s="82">
        <f>VLOOKUP(B357,'116+240'!$B$14:$AB$682,21,FALSE)</f>
        <v>3241</v>
      </c>
      <c r="N357" s="81">
        <f>VLOOKUP(B357,'116+240'!$B$15:$AB$682,5,FALSE)</f>
        <v>-142</v>
      </c>
      <c r="O357" s="80">
        <f t="shared" si="68"/>
        <v>2851</v>
      </c>
      <c r="P357" s="80">
        <f>VLOOKUP(B357,'116+240'!$B$15:$AB$682,14,FALSE)</f>
        <v>-1149</v>
      </c>
      <c r="Q357" s="89">
        <f>'116+240'!R358</f>
        <v>2</v>
      </c>
      <c r="R357" s="83">
        <f t="shared" si="73"/>
        <v>1069</v>
      </c>
      <c r="S357" s="82">
        <f>VLOOKUP(B357,'116+240'!$B$14:$AB$682,22,FALSE)</f>
        <v>3272</v>
      </c>
      <c r="T357" s="81">
        <f>VLOOKUP(B357,'116+240'!$B$15:$AB$682,6,FALSE)</f>
        <v>-223</v>
      </c>
      <c r="U357" s="80">
        <f t="shared" si="69"/>
        <v>2932</v>
      </c>
      <c r="V357" s="79">
        <f>VLOOKUP(B357,'116+240'!$B$15:$AB$682,15,FALSE)</f>
        <v>-1068</v>
      </c>
      <c r="W357" s="89">
        <f>'116+240'!S358</f>
        <v>4</v>
      </c>
      <c r="X357" s="83">
        <f t="shared" si="74"/>
        <v>1038</v>
      </c>
      <c r="Y357" s="78">
        <f t="shared" si="75"/>
        <v>-4</v>
      </c>
      <c r="Z357" s="77">
        <f t="shared" si="76"/>
        <v>0</v>
      </c>
      <c r="AA357" s="76">
        <f t="shared" si="77"/>
        <v>4.2549999999999999</v>
      </c>
      <c r="AB357" s="76">
        <f t="shared" si="78"/>
        <v>2.2519999999999998</v>
      </c>
    </row>
    <row r="358" spans="2:28">
      <c r="B358" s="90">
        <f>'116+240'!B359</f>
        <v>45626</v>
      </c>
      <c r="C358" s="87">
        <f t="shared" si="70"/>
        <v>1</v>
      </c>
      <c r="D358" s="86">
        <f t="shared" si="71"/>
        <v>844</v>
      </c>
      <c r="E358" s="85">
        <f>VLOOKUP(B358,'116+240'!B359:AB359,3,FALSE)</f>
        <v>1867</v>
      </c>
      <c r="F358" s="81">
        <f t="shared" si="66"/>
        <v>2711</v>
      </c>
      <c r="G358" s="84">
        <f>VLOOKUP(B358,'116+240'!$B$15:$AB$682,20,FALSE)</f>
        <v>3069</v>
      </c>
      <c r="H358" s="84">
        <f>VLOOKUP(B358,'116+240'!$B$15:$AB$682,4,FALSE)</f>
        <v>-88</v>
      </c>
      <c r="I358" s="80">
        <f t="shared" si="67"/>
        <v>2799</v>
      </c>
      <c r="J358" s="80">
        <f>VLOOKUP(B358,'116+240'!$B$15:$AB$682,13,FALSE)</f>
        <v>-1201</v>
      </c>
      <c r="K358" s="89">
        <f>'116+240'!Q359</f>
        <v>1</v>
      </c>
      <c r="L358" s="83">
        <f t="shared" si="72"/>
        <v>1241</v>
      </c>
      <c r="M358" s="82">
        <f>VLOOKUP(B358,'116+240'!$B$14:$AB$682,21,FALSE)</f>
        <v>3239</v>
      </c>
      <c r="N358" s="81">
        <f>VLOOKUP(B358,'116+240'!$B$15:$AB$682,5,FALSE)</f>
        <v>-138</v>
      </c>
      <c r="O358" s="80">
        <f t="shared" si="68"/>
        <v>2849</v>
      </c>
      <c r="P358" s="80">
        <f>VLOOKUP(B358,'116+240'!$B$15:$AB$682,14,FALSE)</f>
        <v>-1151</v>
      </c>
      <c r="Q358" s="89">
        <f>'116+240'!R359</f>
        <v>2</v>
      </c>
      <c r="R358" s="83">
        <f t="shared" si="73"/>
        <v>1071</v>
      </c>
      <c r="S358" s="82">
        <f>VLOOKUP(B358,'116+240'!$B$14:$AB$682,22,FALSE)</f>
        <v>3267</v>
      </c>
      <c r="T358" s="81">
        <f>VLOOKUP(B358,'116+240'!$B$15:$AB$682,6,FALSE)</f>
        <v>-216</v>
      </c>
      <c r="U358" s="80">
        <f t="shared" si="69"/>
        <v>2927</v>
      </c>
      <c r="V358" s="79">
        <f>VLOOKUP(B358,'116+240'!$B$15:$AB$682,15,FALSE)</f>
        <v>-1073</v>
      </c>
      <c r="W358" s="89">
        <f>'116+240'!S359</f>
        <v>5</v>
      </c>
      <c r="X358" s="83">
        <f t="shared" si="74"/>
        <v>1043</v>
      </c>
      <c r="Y358" s="78">
        <f t="shared" si="75"/>
        <v>-5</v>
      </c>
      <c r="Z358" s="77">
        <f t="shared" si="76"/>
        <v>0</v>
      </c>
      <c r="AA358" s="76">
        <f t="shared" si="77"/>
        <v>4.2549999999999999</v>
      </c>
      <c r="AB358" s="76">
        <f t="shared" si="78"/>
        <v>2.2480000000000002</v>
      </c>
    </row>
    <row r="359" spans="2:28">
      <c r="B359" s="90">
        <f>'116+240'!B360</f>
        <v>45627</v>
      </c>
      <c r="C359" s="87">
        <f t="shared" si="70"/>
        <v>1</v>
      </c>
      <c r="D359" s="86">
        <f t="shared" si="71"/>
        <v>844</v>
      </c>
      <c r="E359" s="85">
        <f>VLOOKUP(B359,'116+240'!B360:AB360,3,FALSE)</f>
        <v>1869</v>
      </c>
      <c r="F359" s="81">
        <f t="shared" si="66"/>
        <v>2713</v>
      </c>
      <c r="G359" s="84">
        <f>VLOOKUP(B359,'116+240'!$B$15:$AB$682,20,FALSE)</f>
        <v>3066</v>
      </c>
      <c r="H359" s="84">
        <f>VLOOKUP(B359,'116+240'!$B$15:$AB$682,4,FALSE)</f>
        <v>-83</v>
      </c>
      <c r="I359" s="80">
        <f t="shared" si="67"/>
        <v>2796</v>
      </c>
      <c r="J359" s="80">
        <f>VLOOKUP(B359,'116+240'!$B$15:$AB$682,13,FALSE)</f>
        <v>-1204</v>
      </c>
      <c r="K359" s="89">
        <f>'116+240'!Q360</f>
        <v>3</v>
      </c>
      <c r="L359" s="83">
        <f t="shared" si="72"/>
        <v>1244</v>
      </c>
      <c r="M359" s="82">
        <f>VLOOKUP(B359,'116+240'!$B$14:$AB$682,21,FALSE)</f>
        <v>3237</v>
      </c>
      <c r="N359" s="81">
        <f>VLOOKUP(B359,'116+240'!$B$15:$AB$682,5,FALSE)</f>
        <v>-134</v>
      </c>
      <c r="O359" s="80">
        <f t="shared" si="68"/>
        <v>2847</v>
      </c>
      <c r="P359" s="80">
        <f>VLOOKUP(B359,'116+240'!$B$15:$AB$682,14,FALSE)</f>
        <v>-1153</v>
      </c>
      <c r="Q359" s="89">
        <f>'116+240'!R360</f>
        <v>2</v>
      </c>
      <c r="R359" s="83">
        <f t="shared" si="73"/>
        <v>1073</v>
      </c>
      <c r="S359" s="82">
        <f>VLOOKUP(B359,'116+240'!$B$14:$AB$682,22,FALSE)</f>
        <v>3264</v>
      </c>
      <c r="T359" s="81">
        <f>VLOOKUP(B359,'116+240'!$B$15:$AB$682,6,FALSE)</f>
        <v>-211</v>
      </c>
      <c r="U359" s="80">
        <f t="shared" si="69"/>
        <v>2924</v>
      </c>
      <c r="V359" s="79">
        <f>VLOOKUP(B359,'116+240'!$B$15:$AB$682,15,FALSE)</f>
        <v>-1076</v>
      </c>
      <c r="W359" s="89">
        <f>'116+240'!S360</f>
        <v>3</v>
      </c>
      <c r="X359" s="83">
        <f t="shared" si="74"/>
        <v>1046</v>
      </c>
      <c r="Y359" s="78">
        <f t="shared" si="75"/>
        <v>-3</v>
      </c>
      <c r="Z359" s="77">
        <f t="shared" si="76"/>
        <v>0</v>
      </c>
      <c r="AA359" s="76">
        <f t="shared" si="77"/>
        <v>4.2549999999999999</v>
      </c>
      <c r="AB359" s="76">
        <f t="shared" si="78"/>
        <v>2.2440000000000002</v>
      </c>
    </row>
    <row r="360" spans="2:28">
      <c r="B360" s="90">
        <f>'116+240'!B361</f>
        <v>45628</v>
      </c>
      <c r="C360" s="87">
        <f t="shared" si="70"/>
        <v>1</v>
      </c>
      <c r="D360" s="86">
        <f t="shared" si="71"/>
        <v>844</v>
      </c>
      <c r="E360" s="85">
        <f>VLOOKUP(B360,'116+240'!B361:AB361,3,FALSE)</f>
        <v>1871</v>
      </c>
      <c r="F360" s="81">
        <f t="shared" si="66"/>
        <v>2715</v>
      </c>
      <c r="G360" s="84">
        <f>VLOOKUP(B360,'116+240'!$B$15:$AB$682,20,FALSE)</f>
        <v>3064</v>
      </c>
      <c r="H360" s="84">
        <f>VLOOKUP(B360,'116+240'!$B$15:$AB$682,4,FALSE)</f>
        <v>-79</v>
      </c>
      <c r="I360" s="80">
        <f t="shared" si="67"/>
        <v>2794</v>
      </c>
      <c r="J360" s="80">
        <f>VLOOKUP(B360,'116+240'!$B$15:$AB$682,13,FALSE)</f>
        <v>-1206</v>
      </c>
      <c r="K360" s="89">
        <f>'116+240'!Q361</f>
        <v>2</v>
      </c>
      <c r="L360" s="83">
        <f t="shared" si="72"/>
        <v>1246</v>
      </c>
      <c r="M360" s="82">
        <f>VLOOKUP(B360,'116+240'!$B$14:$AB$682,21,FALSE)</f>
        <v>3235</v>
      </c>
      <c r="N360" s="81">
        <f>VLOOKUP(B360,'116+240'!$B$15:$AB$682,5,FALSE)</f>
        <v>-130</v>
      </c>
      <c r="O360" s="80">
        <f t="shared" si="68"/>
        <v>2845</v>
      </c>
      <c r="P360" s="80">
        <f>VLOOKUP(B360,'116+240'!$B$15:$AB$682,14,FALSE)</f>
        <v>-1155</v>
      </c>
      <c r="Q360" s="89">
        <f>'116+240'!R361</f>
        <v>2</v>
      </c>
      <c r="R360" s="83">
        <f t="shared" si="73"/>
        <v>1075</v>
      </c>
      <c r="S360" s="82">
        <f>VLOOKUP(B360,'116+240'!$B$14:$AB$682,22,FALSE)</f>
        <v>3262</v>
      </c>
      <c r="T360" s="81">
        <f>VLOOKUP(B360,'116+240'!$B$15:$AB$682,6,FALSE)</f>
        <v>-207</v>
      </c>
      <c r="U360" s="80">
        <f t="shared" si="69"/>
        <v>2922</v>
      </c>
      <c r="V360" s="79">
        <f>VLOOKUP(B360,'116+240'!$B$15:$AB$682,15,FALSE)</f>
        <v>-1078</v>
      </c>
      <c r="W360" s="89">
        <f>'116+240'!S361</f>
        <v>2</v>
      </c>
      <c r="X360" s="83">
        <f t="shared" si="74"/>
        <v>1048</v>
      </c>
      <c r="Y360" s="78">
        <f t="shared" si="75"/>
        <v>-2</v>
      </c>
      <c r="Z360" s="77">
        <f t="shared" si="76"/>
        <v>0</v>
      </c>
      <c r="AA360" s="76">
        <f t="shared" si="77"/>
        <v>4.2549999999999999</v>
      </c>
      <c r="AB360" s="76">
        <f t="shared" si="78"/>
        <v>2.2400000000000002</v>
      </c>
    </row>
    <row r="361" spans="2:28">
      <c r="B361" s="90">
        <f>'116+240'!B362</f>
        <v>45629</v>
      </c>
      <c r="C361" s="87">
        <f t="shared" si="70"/>
        <v>1</v>
      </c>
      <c r="D361" s="86">
        <f t="shared" si="71"/>
        <v>844</v>
      </c>
      <c r="E361" s="85">
        <f>VLOOKUP(B361,'116+240'!B362:AB362,3,FALSE)</f>
        <v>1873</v>
      </c>
      <c r="F361" s="81">
        <f t="shared" si="66"/>
        <v>2717</v>
      </c>
      <c r="G361" s="84">
        <f>VLOOKUP(B361,'116+240'!$B$15:$AB$682,20,FALSE)</f>
        <v>3063</v>
      </c>
      <c r="H361" s="84">
        <f>VLOOKUP(B361,'116+240'!$B$15:$AB$682,4,FALSE)</f>
        <v>-76</v>
      </c>
      <c r="I361" s="80">
        <f t="shared" si="67"/>
        <v>2793</v>
      </c>
      <c r="J361" s="80">
        <f>VLOOKUP(B361,'116+240'!$B$15:$AB$682,13,FALSE)</f>
        <v>-1207</v>
      </c>
      <c r="K361" s="89">
        <f>'116+240'!Q362</f>
        <v>1</v>
      </c>
      <c r="L361" s="83">
        <f t="shared" si="72"/>
        <v>1247</v>
      </c>
      <c r="M361" s="82">
        <f>VLOOKUP(B361,'116+240'!$B$14:$AB$682,21,FALSE)</f>
        <v>3230</v>
      </c>
      <c r="N361" s="81">
        <f>VLOOKUP(B361,'116+240'!$B$15:$AB$682,5,FALSE)</f>
        <v>-123</v>
      </c>
      <c r="O361" s="80">
        <f t="shared" si="68"/>
        <v>2840</v>
      </c>
      <c r="P361" s="80">
        <f>VLOOKUP(B361,'116+240'!$B$15:$AB$682,14,FALSE)</f>
        <v>-1160</v>
      </c>
      <c r="Q361" s="89">
        <f>'116+240'!R362</f>
        <v>5</v>
      </c>
      <c r="R361" s="83">
        <f t="shared" si="73"/>
        <v>1080</v>
      </c>
      <c r="S361" s="82">
        <f>VLOOKUP(B361,'116+240'!$B$14:$AB$682,22,FALSE)</f>
        <v>3260</v>
      </c>
      <c r="T361" s="81">
        <f>VLOOKUP(B361,'116+240'!$B$15:$AB$682,6,FALSE)</f>
        <v>-203</v>
      </c>
      <c r="U361" s="80">
        <f t="shared" si="69"/>
        <v>2920</v>
      </c>
      <c r="V361" s="79">
        <f>VLOOKUP(B361,'116+240'!$B$15:$AB$682,15,FALSE)</f>
        <v>-1080</v>
      </c>
      <c r="W361" s="89">
        <f>'116+240'!S362</f>
        <v>2</v>
      </c>
      <c r="X361" s="83">
        <f t="shared" si="74"/>
        <v>1050</v>
      </c>
      <c r="Y361" s="78">
        <f t="shared" si="75"/>
        <v>-2</v>
      </c>
      <c r="Z361" s="77">
        <f t="shared" si="76"/>
        <v>0</v>
      </c>
      <c r="AA361" s="76">
        <f t="shared" si="77"/>
        <v>4.2549999999999999</v>
      </c>
      <c r="AB361" s="76">
        <f t="shared" si="78"/>
        <v>2.23</v>
      </c>
    </row>
    <row r="362" spans="2:28">
      <c r="B362" s="90">
        <f>'116+240'!B363</f>
        <v>45630</v>
      </c>
      <c r="C362" s="87">
        <f t="shared" si="70"/>
        <v>1</v>
      </c>
      <c r="D362" s="86">
        <f t="shared" si="71"/>
        <v>844</v>
      </c>
      <c r="E362" s="85">
        <f>VLOOKUP(B362,'116+240'!B363:AB363,3,FALSE)</f>
        <v>1875</v>
      </c>
      <c r="F362" s="81">
        <f t="shared" si="66"/>
        <v>2719</v>
      </c>
      <c r="G362" s="84">
        <f>VLOOKUP(B362,'116+240'!$B$15:$AB$682,20,FALSE)</f>
        <v>3061</v>
      </c>
      <c r="H362" s="84">
        <f>VLOOKUP(B362,'116+240'!$B$15:$AB$682,4,FALSE)</f>
        <v>-72</v>
      </c>
      <c r="I362" s="80">
        <f t="shared" si="67"/>
        <v>2791</v>
      </c>
      <c r="J362" s="80">
        <f>VLOOKUP(B362,'116+240'!$B$15:$AB$682,13,FALSE)</f>
        <v>-1209</v>
      </c>
      <c r="K362" s="89">
        <f>'116+240'!Q363</f>
        <v>2</v>
      </c>
      <c r="L362" s="83">
        <f t="shared" si="72"/>
        <v>1249</v>
      </c>
      <c r="M362" s="82">
        <f>VLOOKUP(B362,'116+240'!$B$14:$AB$682,21,FALSE)</f>
        <v>3225</v>
      </c>
      <c r="N362" s="81">
        <f>VLOOKUP(B362,'116+240'!$B$15:$AB$682,5,FALSE)</f>
        <v>-116</v>
      </c>
      <c r="O362" s="80">
        <f t="shared" si="68"/>
        <v>2835</v>
      </c>
      <c r="P362" s="80">
        <f>VLOOKUP(B362,'116+240'!$B$15:$AB$682,14,FALSE)</f>
        <v>-1165</v>
      </c>
      <c r="Q362" s="89">
        <f>'116+240'!R363</f>
        <v>5</v>
      </c>
      <c r="R362" s="83">
        <f t="shared" si="73"/>
        <v>1085</v>
      </c>
      <c r="S362" s="82">
        <f>VLOOKUP(B362,'116+240'!$B$14:$AB$682,22,FALSE)</f>
        <v>3259</v>
      </c>
      <c r="T362" s="81">
        <f>VLOOKUP(B362,'116+240'!$B$15:$AB$682,6,FALSE)</f>
        <v>-200</v>
      </c>
      <c r="U362" s="80">
        <f t="shared" si="69"/>
        <v>2919</v>
      </c>
      <c r="V362" s="79">
        <f>VLOOKUP(B362,'116+240'!$B$15:$AB$682,15,FALSE)</f>
        <v>-1081</v>
      </c>
      <c r="W362" s="89">
        <f>'116+240'!S363</f>
        <v>1</v>
      </c>
      <c r="X362" s="83">
        <f t="shared" si="74"/>
        <v>1051</v>
      </c>
      <c r="Y362" s="78">
        <f t="shared" si="75"/>
        <v>-1</v>
      </c>
      <c r="Z362" s="77">
        <f t="shared" si="76"/>
        <v>0</v>
      </c>
      <c r="AA362" s="76">
        <f t="shared" si="77"/>
        <v>4.2549999999999999</v>
      </c>
      <c r="AB362" s="76">
        <f t="shared" si="78"/>
        <v>2.2200000000000002</v>
      </c>
    </row>
    <row r="363" spans="2:28">
      <c r="B363" s="90">
        <f>'116+240'!B364</f>
        <v>45631</v>
      </c>
      <c r="C363" s="87">
        <f t="shared" si="70"/>
        <v>1</v>
      </c>
      <c r="D363" s="86">
        <f t="shared" si="71"/>
        <v>844</v>
      </c>
      <c r="E363" s="85">
        <f>VLOOKUP(B363,'116+240'!B364:AB364,3,FALSE)</f>
        <v>1877</v>
      </c>
      <c r="F363" s="81">
        <f t="shared" si="66"/>
        <v>2721</v>
      </c>
      <c r="G363" s="84">
        <f>VLOOKUP(B363,'116+240'!$B$15:$AB$682,20,FALSE)</f>
        <v>3059</v>
      </c>
      <c r="H363" s="84">
        <f>VLOOKUP(B363,'116+240'!$B$15:$AB$682,4,FALSE)</f>
        <v>-68</v>
      </c>
      <c r="I363" s="80">
        <f t="shared" si="67"/>
        <v>2789</v>
      </c>
      <c r="J363" s="80">
        <f>VLOOKUP(B363,'116+240'!$B$15:$AB$682,13,FALSE)</f>
        <v>-1211</v>
      </c>
      <c r="K363" s="89">
        <f>'116+240'!Q364</f>
        <v>2</v>
      </c>
      <c r="L363" s="83">
        <f t="shared" si="72"/>
        <v>1251</v>
      </c>
      <c r="M363" s="82">
        <f>VLOOKUP(B363,'116+240'!$B$14:$AB$682,21,FALSE)</f>
        <v>3220</v>
      </c>
      <c r="N363" s="81">
        <f>VLOOKUP(B363,'116+240'!$B$15:$AB$682,5,FALSE)</f>
        <v>-109</v>
      </c>
      <c r="O363" s="80">
        <f t="shared" si="68"/>
        <v>2830</v>
      </c>
      <c r="P363" s="80">
        <f>VLOOKUP(B363,'116+240'!$B$15:$AB$682,14,FALSE)</f>
        <v>-1170</v>
      </c>
      <c r="Q363" s="89">
        <f>'116+240'!R364</f>
        <v>5</v>
      </c>
      <c r="R363" s="83">
        <f t="shared" si="73"/>
        <v>1090</v>
      </c>
      <c r="S363" s="82">
        <f>VLOOKUP(B363,'116+240'!$B$14:$AB$682,22,FALSE)</f>
        <v>3257</v>
      </c>
      <c r="T363" s="81">
        <f>VLOOKUP(B363,'116+240'!$B$15:$AB$682,6,FALSE)</f>
        <v>-196</v>
      </c>
      <c r="U363" s="80">
        <f t="shared" si="69"/>
        <v>2917</v>
      </c>
      <c r="V363" s="79">
        <f>VLOOKUP(B363,'116+240'!$B$15:$AB$682,15,FALSE)</f>
        <v>-1083</v>
      </c>
      <c r="W363" s="89">
        <f>'116+240'!S364</f>
        <v>2</v>
      </c>
      <c r="X363" s="83">
        <f t="shared" si="74"/>
        <v>1053</v>
      </c>
      <c r="Y363" s="78">
        <f t="shared" si="75"/>
        <v>-2</v>
      </c>
      <c r="Z363" s="77">
        <f t="shared" si="76"/>
        <v>0</v>
      </c>
      <c r="AA363" s="76">
        <f t="shared" si="77"/>
        <v>4.2549999999999999</v>
      </c>
      <c r="AB363" s="76">
        <f t="shared" si="78"/>
        <v>2.21</v>
      </c>
    </row>
    <row r="364" spans="2:28">
      <c r="B364" s="90">
        <f>'116+240'!B365</f>
        <v>45632</v>
      </c>
      <c r="C364" s="87">
        <f t="shared" si="70"/>
        <v>1</v>
      </c>
      <c r="D364" s="86">
        <f t="shared" si="71"/>
        <v>844</v>
      </c>
      <c r="E364" s="85">
        <f>VLOOKUP(B364,'116+240'!B365:AB365,3,FALSE)</f>
        <v>1879</v>
      </c>
      <c r="F364" s="81">
        <f t="shared" si="66"/>
        <v>2723</v>
      </c>
      <c r="G364" s="84">
        <f>VLOOKUP(B364,'116+240'!$B$15:$AB$682,20,FALSE)</f>
        <v>3057</v>
      </c>
      <c r="H364" s="84">
        <f>VLOOKUP(B364,'116+240'!$B$15:$AB$682,4,FALSE)</f>
        <v>-64</v>
      </c>
      <c r="I364" s="80">
        <f t="shared" si="67"/>
        <v>2787</v>
      </c>
      <c r="J364" s="80">
        <f>VLOOKUP(B364,'116+240'!$B$15:$AB$682,13,FALSE)</f>
        <v>-1213</v>
      </c>
      <c r="K364" s="89">
        <f>'116+240'!Q365</f>
        <v>2</v>
      </c>
      <c r="L364" s="83">
        <f t="shared" si="72"/>
        <v>1253</v>
      </c>
      <c r="M364" s="82">
        <f>VLOOKUP(B364,'116+240'!$B$14:$AB$682,21,FALSE)</f>
        <v>3216</v>
      </c>
      <c r="N364" s="81">
        <f>VLOOKUP(B364,'116+240'!$B$15:$AB$682,5,FALSE)</f>
        <v>-103</v>
      </c>
      <c r="O364" s="80">
        <f t="shared" si="68"/>
        <v>2826</v>
      </c>
      <c r="P364" s="80">
        <f>VLOOKUP(B364,'116+240'!$B$15:$AB$682,14,FALSE)</f>
        <v>-1174</v>
      </c>
      <c r="Q364" s="89">
        <f>'116+240'!R365</f>
        <v>4</v>
      </c>
      <c r="R364" s="83">
        <f t="shared" si="73"/>
        <v>1094</v>
      </c>
      <c r="S364" s="82">
        <f>VLOOKUP(B364,'116+240'!$B$14:$AB$682,22,FALSE)</f>
        <v>3252</v>
      </c>
      <c r="T364" s="81">
        <f>VLOOKUP(B364,'116+240'!$B$15:$AB$682,6,FALSE)</f>
        <v>-189</v>
      </c>
      <c r="U364" s="80">
        <f t="shared" si="69"/>
        <v>2912</v>
      </c>
      <c r="V364" s="79">
        <f>VLOOKUP(B364,'116+240'!$B$15:$AB$682,15,FALSE)</f>
        <v>-1088</v>
      </c>
      <c r="W364" s="89">
        <f>'116+240'!S365</f>
        <v>5</v>
      </c>
      <c r="X364" s="83">
        <f t="shared" si="74"/>
        <v>1058</v>
      </c>
      <c r="Y364" s="78">
        <f t="shared" si="75"/>
        <v>-5</v>
      </c>
      <c r="Z364" s="77">
        <f t="shared" si="76"/>
        <v>0</v>
      </c>
      <c r="AA364" s="76">
        <f t="shared" si="77"/>
        <v>4.2549999999999999</v>
      </c>
      <c r="AB364" s="76">
        <f t="shared" si="78"/>
        <v>2.202</v>
      </c>
    </row>
    <row r="365" spans="2:28">
      <c r="B365" s="90">
        <f>'116+240'!B366</f>
        <v>45633</v>
      </c>
      <c r="C365" s="87">
        <f t="shared" si="70"/>
        <v>1</v>
      </c>
      <c r="D365" s="86">
        <f t="shared" si="71"/>
        <v>844</v>
      </c>
      <c r="E365" s="85">
        <f>VLOOKUP(B365,'116+240'!B366:AB366,3,FALSE)</f>
        <v>1881</v>
      </c>
      <c r="F365" s="81">
        <f t="shared" si="66"/>
        <v>2725</v>
      </c>
      <c r="G365" s="84">
        <f>VLOOKUP(B365,'116+240'!$B$15:$AB$682,20,FALSE)</f>
        <v>3055</v>
      </c>
      <c r="H365" s="84">
        <f>VLOOKUP(B365,'116+240'!$B$15:$AB$682,4,FALSE)</f>
        <v>-60</v>
      </c>
      <c r="I365" s="80">
        <f t="shared" si="67"/>
        <v>2785</v>
      </c>
      <c r="J365" s="80">
        <f>VLOOKUP(B365,'116+240'!$B$15:$AB$682,13,FALSE)</f>
        <v>-1215</v>
      </c>
      <c r="K365" s="89">
        <f>'116+240'!Q366</f>
        <v>2</v>
      </c>
      <c r="L365" s="83">
        <f t="shared" si="72"/>
        <v>1255</v>
      </c>
      <c r="M365" s="82">
        <f>VLOOKUP(B365,'116+240'!$B$14:$AB$682,21,FALSE)</f>
        <v>3213</v>
      </c>
      <c r="N365" s="81">
        <f>VLOOKUP(B365,'116+240'!$B$15:$AB$682,5,FALSE)</f>
        <v>-98</v>
      </c>
      <c r="O365" s="80">
        <f t="shared" si="68"/>
        <v>2823</v>
      </c>
      <c r="P365" s="80">
        <f>VLOOKUP(B365,'116+240'!$B$15:$AB$682,14,FALSE)</f>
        <v>-1177</v>
      </c>
      <c r="Q365" s="89">
        <f>'116+240'!R366</f>
        <v>3</v>
      </c>
      <c r="R365" s="83">
        <f t="shared" si="73"/>
        <v>1097</v>
      </c>
      <c r="S365" s="82">
        <f>VLOOKUP(B365,'116+240'!$B$14:$AB$682,22,FALSE)</f>
        <v>3247</v>
      </c>
      <c r="T365" s="81">
        <f>VLOOKUP(B365,'116+240'!$B$15:$AB$682,6,FALSE)</f>
        <v>-182</v>
      </c>
      <c r="U365" s="80">
        <f t="shared" si="69"/>
        <v>2907</v>
      </c>
      <c r="V365" s="79">
        <f>VLOOKUP(B365,'116+240'!$B$15:$AB$682,15,FALSE)</f>
        <v>-1093</v>
      </c>
      <c r="W365" s="89">
        <f>'116+240'!S366</f>
        <v>5</v>
      </c>
      <c r="X365" s="83">
        <f t="shared" si="74"/>
        <v>1063</v>
      </c>
      <c r="Y365" s="78">
        <f t="shared" si="75"/>
        <v>-5</v>
      </c>
      <c r="Z365" s="77">
        <f t="shared" si="76"/>
        <v>0</v>
      </c>
      <c r="AA365" s="76">
        <f t="shared" si="77"/>
        <v>4.2549999999999999</v>
      </c>
      <c r="AB365" s="76">
        <f t="shared" si="78"/>
        <v>2.1960000000000002</v>
      </c>
    </row>
    <row r="366" spans="2:28">
      <c r="B366" s="90">
        <f>'116+240'!B367</f>
        <v>45634</v>
      </c>
      <c r="C366" s="87">
        <f t="shared" si="70"/>
        <v>1</v>
      </c>
      <c r="D366" s="86">
        <f t="shared" si="71"/>
        <v>844</v>
      </c>
      <c r="E366" s="85">
        <f>VLOOKUP(B366,'116+240'!B367:AB367,3,FALSE)</f>
        <v>1883</v>
      </c>
      <c r="F366" s="81">
        <f t="shared" si="66"/>
        <v>2727</v>
      </c>
      <c r="G366" s="84">
        <f>VLOOKUP(B366,'116+240'!$B$15:$AB$682,20,FALSE)</f>
        <v>3053</v>
      </c>
      <c r="H366" s="84">
        <f>VLOOKUP(B366,'116+240'!$B$15:$AB$682,4,FALSE)</f>
        <v>-56</v>
      </c>
      <c r="I366" s="80">
        <f t="shared" si="67"/>
        <v>2783</v>
      </c>
      <c r="J366" s="80">
        <f>VLOOKUP(B366,'116+240'!$B$15:$AB$682,13,FALSE)</f>
        <v>-1217</v>
      </c>
      <c r="K366" s="89">
        <f>'116+240'!Q367</f>
        <v>2</v>
      </c>
      <c r="L366" s="83">
        <f t="shared" si="72"/>
        <v>1257</v>
      </c>
      <c r="M366" s="82">
        <f>VLOOKUP(B366,'116+240'!$B$14:$AB$682,21,FALSE)</f>
        <v>3211</v>
      </c>
      <c r="N366" s="81">
        <f>VLOOKUP(B366,'116+240'!$B$15:$AB$682,5,FALSE)</f>
        <v>-94</v>
      </c>
      <c r="O366" s="80">
        <f t="shared" si="68"/>
        <v>2821</v>
      </c>
      <c r="P366" s="80">
        <f>VLOOKUP(B366,'116+240'!$B$15:$AB$682,14,FALSE)</f>
        <v>-1179</v>
      </c>
      <c r="Q366" s="89">
        <f>'116+240'!R367</f>
        <v>2</v>
      </c>
      <c r="R366" s="83">
        <f t="shared" si="73"/>
        <v>1099</v>
      </c>
      <c r="S366" s="82">
        <f>VLOOKUP(B366,'116+240'!$B$14:$AB$682,22,FALSE)</f>
        <v>3242</v>
      </c>
      <c r="T366" s="81">
        <f>VLOOKUP(B366,'116+240'!$B$15:$AB$682,6,FALSE)</f>
        <v>-175</v>
      </c>
      <c r="U366" s="80">
        <f t="shared" si="69"/>
        <v>2902</v>
      </c>
      <c r="V366" s="79">
        <f>VLOOKUP(B366,'116+240'!$B$15:$AB$682,15,FALSE)</f>
        <v>-1098</v>
      </c>
      <c r="W366" s="89">
        <f>'116+240'!S367</f>
        <v>5</v>
      </c>
      <c r="X366" s="83">
        <f t="shared" si="74"/>
        <v>1068</v>
      </c>
      <c r="Y366" s="78">
        <f t="shared" si="75"/>
        <v>-5</v>
      </c>
      <c r="Z366" s="77">
        <f t="shared" si="76"/>
        <v>0</v>
      </c>
      <c r="AA366" s="76">
        <f t="shared" si="77"/>
        <v>4.2549999999999999</v>
      </c>
      <c r="AB366" s="76">
        <f t="shared" si="78"/>
        <v>2.1920000000000002</v>
      </c>
    </row>
    <row r="367" spans="2:28">
      <c r="B367" s="90">
        <f>'116+240'!B368</f>
        <v>45635</v>
      </c>
      <c r="C367" s="87">
        <f t="shared" si="70"/>
        <v>1</v>
      </c>
      <c r="D367" s="86">
        <f t="shared" si="71"/>
        <v>844</v>
      </c>
      <c r="E367" s="85">
        <f>VLOOKUP(B367,'116+240'!B368:AB368,3,FALSE)</f>
        <v>1885</v>
      </c>
      <c r="F367" s="81">
        <f t="shared" si="66"/>
        <v>2729</v>
      </c>
      <c r="G367" s="84">
        <f>VLOOKUP(B367,'116+240'!$B$15:$AB$682,20,FALSE)</f>
        <v>3050</v>
      </c>
      <c r="H367" s="84">
        <f>VLOOKUP(B367,'116+240'!$B$15:$AB$682,4,FALSE)</f>
        <v>-51</v>
      </c>
      <c r="I367" s="80">
        <f t="shared" si="67"/>
        <v>2780</v>
      </c>
      <c r="J367" s="80">
        <f>VLOOKUP(B367,'116+240'!$B$15:$AB$682,13,FALSE)</f>
        <v>-1220</v>
      </c>
      <c r="K367" s="89">
        <f>'116+240'!Q368</f>
        <v>3</v>
      </c>
      <c r="L367" s="83">
        <f t="shared" si="72"/>
        <v>1260</v>
      </c>
      <c r="M367" s="82">
        <f>VLOOKUP(B367,'116+240'!$B$14:$AB$682,21,FALSE)</f>
        <v>3210</v>
      </c>
      <c r="N367" s="81">
        <f>VLOOKUP(B367,'116+240'!$B$15:$AB$682,5,FALSE)</f>
        <v>-91</v>
      </c>
      <c r="O367" s="80">
        <f t="shared" si="68"/>
        <v>2820</v>
      </c>
      <c r="P367" s="80">
        <f>VLOOKUP(B367,'116+240'!$B$15:$AB$682,14,FALSE)</f>
        <v>-1180</v>
      </c>
      <c r="Q367" s="89">
        <f>'116+240'!R368</f>
        <v>1</v>
      </c>
      <c r="R367" s="83">
        <f t="shared" si="73"/>
        <v>1100</v>
      </c>
      <c r="S367" s="82">
        <f>VLOOKUP(B367,'116+240'!$B$14:$AB$682,22,FALSE)</f>
        <v>3240</v>
      </c>
      <c r="T367" s="81">
        <f>VLOOKUP(B367,'116+240'!$B$15:$AB$682,6,FALSE)</f>
        <v>-171</v>
      </c>
      <c r="U367" s="80">
        <f t="shared" si="69"/>
        <v>2900</v>
      </c>
      <c r="V367" s="79">
        <f>VLOOKUP(B367,'116+240'!$B$15:$AB$682,15,FALSE)</f>
        <v>-1100</v>
      </c>
      <c r="W367" s="89">
        <f>'116+240'!S368</f>
        <v>2</v>
      </c>
      <c r="X367" s="83">
        <f t="shared" si="74"/>
        <v>1070</v>
      </c>
      <c r="Y367" s="78">
        <f t="shared" si="75"/>
        <v>-2</v>
      </c>
      <c r="Z367" s="77">
        <f t="shared" si="76"/>
        <v>0</v>
      </c>
      <c r="AA367" s="76">
        <f t="shared" si="77"/>
        <v>4.2549999999999999</v>
      </c>
      <c r="AB367" s="76">
        <f t="shared" si="78"/>
        <v>2.19</v>
      </c>
    </row>
    <row r="368" spans="2:28">
      <c r="B368" s="90">
        <f>'116+240'!B369</f>
        <v>45636</v>
      </c>
      <c r="C368" s="87">
        <f t="shared" si="70"/>
        <v>1</v>
      </c>
      <c r="D368" s="86">
        <f t="shared" si="71"/>
        <v>844</v>
      </c>
      <c r="E368" s="85">
        <f>VLOOKUP(B368,'116+240'!B369:AB369,3,FALSE)</f>
        <v>1887</v>
      </c>
      <c r="F368" s="81">
        <f t="shared" si="66"/>
        <v>2731</v>
      </c>
      <c r="G368" s="84">
        <f>VLOOKUP(B368,'116+240'!$B$15:$AB$682,20,FALSE)</f>
        <v>3048</v>
      </c>
      <c r="H368" s="84">
        <f>VLOOKUP(B368,'116+240'!$B$15:$AB$682,4,FALSE)</f>
        <v>-47</v>
      </c>
      <c r="I368" s="80">
        <f t="shared" si="67"/>
        <v>2778</v>
      </c>
      <c r="J368" s="80">
        <f>VLOOKUP(B368,'116+240'!$B$15:$AB$682,13,FALSE)</f>
        <v>-1222</v>
      </c>
      <c r="K368" s="89">
        <f>'116+240'!Q369</f>
        <v>2</v>
      </c>
      <c r="L368" s="83">
        <f t="shared" si="72"/>
        <v>1262</v>
      </c>
      <c r="M368" s="82">
        <f>VLOOKUP(B368,'116+240'!$B$14:$AB$682,21,FALSE)</f>
        <v>3208</v>
      </c>
      <c r="N368" s="81">
        <f>VLOOKUP(B368,'116+240'!$B$15:$AB$682,5,FALSE)</f>
        <v>-87</v>
      </c>
      <c r="O368" s="80">
        <f t="shared" si="68"/>
        <v>2818</v>
      </c>
      <c r="P368" s="80">
        <f>VLOOKUP(B368,'116+240'!$B$15:$AB$682,14,FALSE)</f>
        <v>-1182</v>
      </c>
      <c r="Q368" s="89">
        <f>'116+240'!R369</f>
        <v>2</v>
      </c>
      <c r="R368" s="83">
        <f t="shared" si="73"/>
        <v>1102</v>
      </c>
      <c r="S368" s="82">
        <f>VLOOKUP(B368,'116+240'!$B$14:$AB$682,22,FALSE)</f>
        <v>3239</v>
      </c>
      <c r="T368" s="81">
        <f>VLOOKUP(B368,'116+240'!$B$15:$AB$682,6,FALSE)</f>
        <v>-168</v>
      </c>
      <c r="U368" s="80">
        <f t="shared" si="69"/>
        <v>2899</v>
      </c>
      <c r="V368" s="79">
        <f>VLOOKUP(B368,'116+240'!$B$15:$AB$682,15,FALSE)</f>
        <v>-1101</v>
      </c>
      <c r="W368" s="89">
        <f>'116+240'!S369</f>
        <v>1</v>
      </c>
      <c r="X368" s="83">
        <f t="shared" si="74"/>
        <v>1071</v>
      </c>
      <c r="Y368" s="78">
        <f t="shared" si="75"/>
        <v>-1</v>
      </c>
      <c r="Z368" s="77">
        <f t="shared" si="76"/>
        <v>0</v>
      </c>
      <c r="AA368" s="76">
        <f t="shared" si="77"/>
        <v>4.2549999999999999</v>
      </c>
      <c r="AB368" s="76">
        <f t="shared" si="78"/>
        <v>2.1859999999999999</v>
      </c>
    </row>
    <row r="369" spans="2:28">
      <c r="B369" s="90">
        <f>'116+240'!B370</f>
        <v>45637</v>
      </c>
      <c r="C369" s="87">
        <f t="shared" si="70"/>
        <v>1</v>
      </c>
      <c r="D369" s="86">
        <f t="shared" si="71"/>
        <v>844</v>
      </c>
      <c r="E369" s="85">
        <f>VLOOKUP(B369,'116+240'!B370:AB370,3,FALSE)</f>
        <v>1889</v>
      </c>
      <c r="F369" s="81">
        <f t="shared" si="66"/>
        <v>2733</v>
      </c>
      <c r="G369" s="84">
        <f>VLOOKUP(B369,'116+240'!$B$15:$AB$682,20,FALSE)</f>
        <v>3045</v>
      </c>
      <c r="H369" s="84">
        <f>VLOOKUP(B369,'116+240'!$B$15:$AB$682,4,FALSE)</f>
        <v>-42</v>
      </c>
      <c r="I369" s="80">
        <f t="shared" si="67"/>
        <v>2775</v>
      </c>
      <c r="J369" s="80">
        <f>VLOOKUP(B369,'116+240'!$B$15:$AB$682,13,FALSE)</f>
        <v>-1225</v>
      </c>
      <c r="K369" s="89">
        <f>'116+240'!Q370</f>
        <v>3</v>
      </c>
      <c r="L369" s="83">
        <f t="shared" si="72"/>
        <v>1265</v>
      </c>
      <c r="M369" s="82">
        <f>VLOOKUP(B369,'116+240'!$B$14:$AB$682,21,FALSE)</f>
        <v>3206</v>
      </c>
      <c r="N369" s="81">
        <f>VLOOKUP(B369,'116+240'!$B$15:$AB$682,5,FALSE)</f>
        <v>-83</v>
      </c>
      <c r="O369" s="80">
        <f t="shared" si="68"/>
        <v>2816</v>
      </c>
      <c r="P369" s="80">
        <f>VLOOKUP(B369,'116+240'!$B$15:$AB$682,14,FALSE)</f>
        <v>-1184</v>
      </c>
      <c r="Q369" s="89">
        <f>'116+240'!R370</f>
        <v>2</v>
      </c>
      <c r="R369" s="83">
        <f t="shared" si="73"/>
        <v>1104</v>
      </c>
      <c r="S369" s="82">
        <f>VLOOKUP(B369,'116+240'!$B$14:$AB$682,22,FALSE)</f>
        <v>3237</v>
      </c>
      <c r="T369" s="81">
        <f>VLOOKUP(B369,'116+240'!$B$15:$AB$682,6,FALSE)</f>
        <v>-164</v>
      </c>
      <c r="U369" s="80">
        <f t="shared" si="69"/>
        <v>2897</v>
      </c>
      <c r="V369" s="79">
        <f>VLOOKUP(B369,'116+240'!$B$15:$AB$682,15,FALSE)</f>
        <v>-1103</v>
      </c>
      <c r="W369" s="89">
        <f>'116+240'!S370</f>
        <v>2</v>
      </c>
      <c r="X369" s="83">
        <f t="shared" si="74"/>
        <v>1073</v>
      </c>
      <c r="Y369" s="78">
        <f t="shared" si="75"/>
        <v>-2</v>
      </c>
      <c r="Z369" s="77">
        <f t="shared" si="76"/>
        <v>0</v>
      </c>
      <c r="AA369" s="76">
        <f t="shared" si="77"/>
        <v>4.2549999999999999</v>
      </c>
      <c r="AB369" s="76">
        <f t="shared" si="78"/>
        <v>2.1819999999999999</v>
      </c>
    </row>
    <row r="370" spans="2:28">
      <c r="B370" s="90">
        <f>'116+240'!B371</f>
        <v>45638</v>
      </c>
      <c r="C370" s="87">
        <f t="shared" si="70"/>
        <v>1</v>
      </c>
      <c r="D370" s="86">
        <f t="shared" si="71"/>
        <v>844</v>
      </c>
      <c r="E370" s="85">
        <f>VLOOKUP(B370,'116+240'!B371:AB371,3,FALSE)</f>
        <v>1891</v>
      </c>
      <c r="F370" s="81">
        <f t="shared" si="66"/>
        <v>2735</v>
      </c>
      <c r="G370" s="84">
        <f>VLOOKUP(B370,'116+240'!$B$15:$AB$682,20,FALSE)</f>
        <v>3041</v>
      </c>
      <c r="H370" s="84">
        <f>VLOOKUP(B370,'116+240'!$B$15:$AB$682,4,FALSE)</f>
        <v>-36</v>
      </c>
      <c r="I370" s="80">
        <f t="shared" si="67"/>
        <v>2771</v>
      </c>
      <c r="J370" s="80">
        <f>VLOOKUP(B370,'116+240'!$B$15:$AB$682,13,FALSE)</f>
        <v>-1229</v>
      </c>
      <c r="K370" s="89">
        <f>'116+240'!Q371</f>
        <v>4</v>
      </c>
      <c r="L370" s="83">
        <f t="shared" si="72"/>
        <v>1269</v>
      </c>
      <c r="M370" s="82">
        <f>VLOOKUP(B370,'116+240'!$B$14:$AB$682,21,FALSE)</f>
        <v>3204</v>
      </c>
      <c r="N370" s="81">
        <f>VLOOKUP(B370,'116+240'!$B$15:$AB$682,5,FALSE)</f>
        <v>-79</v>
      </c>
      <c r="O370" s="80">
        <f t="shared" si="68"/>
        <v>2814</v>
      </c>
      <c r="P370" s="80">
        <f>VLOOKUP(B370,'116+240'!$B$15:$AB$682,14,FALSE)</f>
        <v>-1186</v>
      </c>
      <c r="Q370" s="89">
        <f>'116+240'!R371</f>
        <v>2</v>
      </c>
      <c r="R370" s="83">
        <f t="shared" si="73"/>
        <v>1106</v>
      </c>
      <c r="S370" s="82">
        <f>VLOOKUP(B370,'116+240'!$B$14:$AB$682,22,FALSE)</f>
        <v>3229</v>
      </c>
      <c r="T370" s="81">
        <f>VLOOKUP(B370,'116+240'!$B$15:$AB$682,6,FALSE)</f>
        <v>-154</v>
      </c>
      <c r="U370" s="80">
        <f t="shared" si="69"/>
        <v>2889</v>
      </c>
      <c r="V370" s="79">
        <f>VLOOKUP(B370,'116+240'!$B$15:$AB$682,15,FALSE)</f>
        <v>-1111</v>
      </c>
      <c r="W370" s="89">
        <f>'116+240'!S371</f>
        <v>8</v>
      </c>
      <c r="X370" s="83">
        <f t="shared" si="74"/>
        <v>1081</v>
      </c>
      <c r="Y370" s="78">
        <f t="shared" si="75"/>
        <v>-8</v>
      </c>
      <c r="Z370" s="77">
        <f t="shared" si="76"/>
        <v>0</v>
      </c>
      <c r="AA370" s="76">
        <f t="shared" si="77"/>
        <v>4.2549999999999999</v>
      </c>
      <c r="AB370" s="76">
        <f t="shared" si="78"/>
        <v>2.1779999999999999</v>
      </c>
    </row>
    <row r="371" spans="2:28">
      <c r="B371" s="90">
        <f>'116+240'!B372</f>
        <v>45639</v>
      </c>
      <c r="C371" s="87">
        <f t="shared" si="70"/>
        <v>1</v>
      </c>
      <c r="D371" s="86">
        <f t="shared" si="71"/>
        <v>844</v>
      </c>
      <c r="E371" s="85">
        <f>VLOOKUP(B371,'116+240'!B372:AB372,3,FALSE)</f>
        <v>1893</v>
      </c>
      <c r="F371" s="81">
        <f t="shared" si="66"/>
        <v>2737</v>
      </c>
      <c r="G371" s="84">
        <f>VLOOKUP(B371,'116+240'!$B$15:$AB$682,20,FALSE)</f>
        <v>3040</v>
      </c>
      <c r="H371" s="84">
        <f>VLOOKUP(B371,'116+240'!$B$15:$AB$682,4,FALSE)</f>
        <v>-33</v>
      </c>
      <c r="I371" s="80">
        <f t="shared" si="67"/>
        <v>2770</v>
      </c>
      <c r="J371" s="80">
        <f>VLOOKUP(B371,'116+240'!$B$15:$AB$682,13,FALSE)</f>
        <v>-1230</v>
      </c>
      <c r="K371" s="89">
        <f>'116+240'!Q372</f>
        <v>1</v>
      </c>
      <c r="L371" s="83">
        <f t="shared" si="72"/>
        <v>1270</v>
      </c>
      <c r="M371" s="82">
        <f>VLOOKUP(B371,'116+240'!$B$14:$AB$682,21,FALSE)</f>
        <v>3202</v>
      </c>
      <c r="N371" s="81">
        <f>VLOOKUP(B371,'116+240'!$B$15:$AB$682,5,FALSE)</f>
        <v>-75</v>
      </c>
      <c r="O371" s="80">
        <f t="shared" si="68"/>
        <v>2812</v>
      </c>
      <c r="P371" s="80">
        <f>VLOOKUP(B371,'116+240'!$B$15:$AB$682,14,FALSE)</f>
        <v>-1188</v>
      </c>
      <c r="Q371" s="89">
        <f>'116+240'!R372</f>
        <v>2</v>
      </c>
      <c r="R371" s="83">
        <f t="shared" si="73"/>
        <v>1108</v>
      </c>
      <c r="S371" s="82">
        <f>VLOOKUP(B371,'116+240'!$B$14:$AB$682,22,FALSE)</f>
        <v>3223</v>
      </c>
      <c r="T371" s="81">
        <f>VLOOKUP(B371,'116+240'!$B$15:$AB$682,6,FALSE)</f>
        <v>-146</v>
      </c>
      <c r="U371" s="80">
        <f t="shared" si="69"/>
        <v>2883</v>
      </c>
      <c r="V371" s="79">
        <f>VLOOKUP(B371,'116+240'!$B$15:$AB$682,15,FALSE)</f>
        <v>-1117</v>
      </c>
      <c r="W371" s="89">
        <f>'116+240'!S372</f>
        <v>6</v>
      </c>
      <c r="X371" s="83">
        <f t="shared" si="74"/>
        <v>1087</v>
      </c>
      <c r="Y371" s="78">
        <f t="shared" si="75"/>
        <v>-6</v>
      </c>
      <c r="Z371" s="77">
        <f t="shared" si="76"/>
        <v>0</v>
      </c>
      <c r="AA371" s="76">
        <f t="shared" si="77"/>
        <v>4.2549999999999999</v>
      </c>
      <c r="AB371" s="76">
        <f t="shared" si="78"/>
        <v>2.1739999999999999</v>
      </c>
    </row>
    <row r="372" spans="2:28">
      <c r="B372" s="90">
        <f>'116+240'!B373</f>
        <v>45640</v>
      </c>
      <c r="C372" s="87">
        <f t="shared" si="70"/>
        <v>1</v>
      </c>
      <c r="D372" s="86">
        <f t="shared" si="71"/>
        <v>844</v>
      </c>
      <c r="E372" s="85">
        <f>VLOOKUP(B372,'116+240'!B373:AB373,3,FALSE)</f>
        <v>1895</v>
      </c>
      <c r="F372" s="81">
        <f t="shared" si="66"/>
        <v>2739</v>
      </c>
      <c r="G372" s="84">
        <f>VLOOKUP(B372,'116+240'!$B$15:$AB$682,20,FALSE)</f>
        <v>3037</v>
      </c>
      <c r="H372" s="84">
        <f>VLOOKUP(B372,'116+240'!$B$15:$AB$682,4,FALSE)</f>
        <v>-28</v>
      </c>
      <c r="I372" s="80">
        <f t="shared" si="67"/>
        <v>2767</v>
      </c>
      <c r="J372" s="80">
        <f>VLOOKUP(B372,'116+240'!$B$15:$AB$682,13,FALSE)</f>
        <v>-1233</v>
      </c>
      <c r="K372" s="89">
        <f>'116+240'!Q373</f>
        <v>3</v>
      </c>
      <c r="L372" s="83">
        <f t="shared" si="72"/>
        <v>1273</v>
      </c>
      <c r="M372" s="82">
        <f>VLOOKUP(B372,'116+240'!$B$14:$AB$682,21,FALSE)</f>
        <v>3200</v>
      </c>
      <c r="N372" s="81">
        <f>VLOOKUP(B372,'116+240'!$B$15:$AB$682,5,FALSE)</f>
        <v>-71</v>
      </c>
      <c r="O372" s="80">
        <f t="shared" si="68"/>
        <v>2810</v>
      </c>
      <c r="P372" s="80">
        <f>VLOOKUP(B372,'116+240'!$B$15:$AB$682,14,FALSE)</f>
        <v>-1190</v>
      </c>
      <c r="Q372" s="89">
        <f>'116+240'!R373</f>
        <v>2</v>
      </c>
      <c r="R372" s="83">
        <f t="shared" si="73"/>
        <v>1110</v>
      </c>
      <c r="S372" s="82">
        <f>VLOOKUP(B372,'116+240'!$B$14:$AB$682,22,FALSE)</f>
        <v>3216</v>
      </c>
      <c r="T372" s="81">
        <f>VLOOKUP(B372,'116+240'!$B$15:$AB$682,6,FALSE)</f>
        <v>-137</v>
      </c>
      <c r="U372" s="80">
        <f t="shared" si="69"/>
        <v>2876</v>
      </c>
      <c r="V372" s="79">
        <f>VLOOKUP(B372,'116+240'!$B$15:$AB$682,15,FALSE)</f>
        <v>-1124</v>
      </c>
      <c r="W372" s="89">
        <f>'116+240'!S373</f>
        <v>7</v>
      </c>
      <c r="X372" s="83">
        <f t="shared" si="74"/>
        <v>1094</v>
      </c>
      <c r="Y372" s="78">
        <f t="shared" si="75"/>
        <v>-7</v>
      </c>
      <c r="Z372" s="77">
        <f t="shared" si="76"/>
        <v>0</v>
      </c>
      <c r="AA372" s="76">
        <f t="shared" si="77"/>
        <v>4.2549999999999999</v>
      </c>
      <c r="AB372" s="76">
        <f t="shared" si="78"/>
        <v>2.17</v>
      </c>
    </row>
    <row r="373" spans="2:28">
      <c r="B373" s="90">
        <f>'116+240'!B374</f>
        <v>45641</v>
      </c>
      <c r="C373" s="87">
        <f t="shared" si="70"/>
        <v>1</v>
      </c>
      <c r="D373" s="86">
        <f t="shared" si="71"/>
        <v>844</v>
      </c>
      <c r="E373" s="85">
        <f>VLOOKUP(B373,'116+240'!B374:AB374,3,FALSE)</f>
        <v>1897</v>
      </c>
      <c r="F373" s="81">
        <f t="shared" si="66"/>
        <v>2741</v>
      </c>
      <c r="G373" s="84">
        <f>VLOOKUP(B373,'116+240'!$B$15:$AB$682,20,FALSE)</f>
        <v>3034</v>
      </c>
      <c r="H373" s="84">
        <f>VLOOKUP(B373,'116+240'!$B$15:$AB$682,4,FALSE)</f>
        <v>-23</v>
      </c>
      <c r="I373" s="80">
        <f t="shared" si="67"/>
        <v>2764</v>
      </c>
      <c r="J373" s="80">
        <f>VLOOKUP(B373,'116+240'!$B$15:$AB$682,13,FALSE)</f>
        <v>-1236</v>
      </c>
      <c r="K373" s="89">
        <f>'116+240'!Q374</f>
        <v>3</v>
      </c>
      <c r="L373" s="83">
        <f t="shared" si="72"/>
        <v>1276</v>
      </c>
      <c r="M373" s="82">
        <f>VLOOKUP(B373,'116+240'!$B$14:$AB$682,21,FALSE)</f>
        <v>3198</v>
      </c>
      <c r="N373" s="81">
        <f>VLOOKUP(B373,'116+240'!$B$15:$AB$682,5,FALSE)</f>
        <v>-67</v>
      </c>
      <c r="O373" s="80">
        <f t="shared" si="68"/>
        <v>2808</v>
      </c>
      <c r="P373" s="80">
        <f>VLOOKUP(B373,'116+240'!$B$15:$AB$682,14,FALSE)</f>
        <v>-1192</v>
      </c>
      <c r="Q373" s="89">
        <f>'116+240'!R374</f>
        <v>2</v>
      </c>
      <c r="R373" s="83">
        <f t="shared" si="73"/>
        <v>1112</v>
      </c>
      <c r="S373" s="82">
        <f>VLOOKUP(B373,'116+240'!$B$14:$AB$682,22,FALSE)</f>
        <v>3212</v>
      </c>
      <c r="T373" s="81">
        <f>VLOOKUP(B373,'116+240'!$B$15:$AB$682,6,FALSE)</f>
        <v>-131</v>
      </c>
      <c r="U373" s="80">
        <f t="shared" si="69"/>
        <v>2872</v>
      </c>
      <c r="V373" s="79">
        <f>VLOOKUP(B373,'116+240'!$B$15:$AB$682,15,FALSE)</f>
        <v>-1128</v>
      </c>
      <c r="W373" s="89">
        <f>'116+240'!S374</f>
        <v>4</v>
      </c>
      <c r="X373" s="83">
        <f t="shared" si="74"/>
        <v>1098</v>
      </c>
      <c r="Y373" s="78">
        <f t="shared" si="75"/>
        <v>-4</v>
      </c>
      <c r="Z373" s="77">
        <f t="shared" si="76"/>
        <v>0</v>
      </c>
      <c r="AA373" s="76">
        <f t="shared" si="77"/>
        <v>4.2549999999999999</v>
      </c>
      <c r="AB373" s="76">
        <f t="shared" si="78"/>
        <v>2.1659999999999999</v>
      </c>
    </row>
    <row r="374" spans="2:28">
      <c r="B374" s="90">
        <f>'116+240'!B375</f>
        <v>45642</v>
      </c>
      <c r="C374" s="87">
        <f t="shared" si="70"/>
        <v>1</v>
      </c>
      <c r="D374" s="86">
        <f t="shared" si="71"/>
        <v>844</v>
      </c>
      <c r="E374" s="85">
        <f>VLOOKUP(B374,'116+240'!B375:AB375,3,FALSE)</f>
        <v>1899</v>
      </c>
      <c r="F374" s="81">
        <f t="shared" si="66"/>
        <v>2743</v>
      </c>
      <c r="G374" s="84">
        <f>VLOOKUP(B374,'116+240'!$B$15:$AB$682,20,FALSE)</f>
        <v>3033</v>
      </c>
      <c r="H374" s="84">
        <f>VLOOKUP(B374,'116+240'!$B$15:$AB$682,4,FALSE)</f>
        <v>-20</v>
      </c>
      <c r="I374" s="80">
        <f t="shared" si="67"/>
        <v>2763</v>
      </c>
      <c r="J374" s="80">
        <f>VLOOKUP(B374,'116+240'!$B$15:$AB$682,13,FALSE)</f>
        <v>-1237</v>
      </c>
      <c r="K374" s="89">
        <f>'116+240'!Q375</f>
        <v>1</v>
      </c>
      <c r="L374" s="83">
        <f t="shared" si="72"/>
        <v>1277</v>
      </c>
      <c r="M374" s="82">
        <f>VLOOKUP(B374,'116+240'!$B$14:$AB$682,21,FALSE)</f>
        <v>3193</v>
      </c>
      <c r="N374" s="81">
        <f>VLOOKUP(B374,'116+240'!$B$15:$AB$682,5,FALSE)</f>
        <v>-60</v>
      </c>
      <c r="O374" s="80">
        <f t="shared" si="68"/>
        <v>2803</v>
      </c>
      <c r="P374" s="80">
        <f>VLOOKUP(B374,'116+240'!$B$15:$AB$682,14,FALSE)</f>
        <v>-1197</v>
      </c>
      <c r="Q374" s="89">
        <f>'116+240'!R375</f>
        <v>5</v>
      </c>
      <c r="R374" s="83">
        <f t="shared" si="73"/>
        <v>1117</v>
      </c>
      <c r="S374" s="82">
        <f>VLOOKUP(B374,'116+240'!$B$14:$AB$682,22,FALSE)</f>
        <v>3207</v>
      </c>
      <c r="T374" s="81">
        <f>VLOOKUP(B374,'116+240'!$B$15:$AB$682,6,FALSE)</f>
        <v>-124</v>
      </c>
      <c r="U374" s="80">
        <f t="shared" si="69"/>
        <v>2867</v>
      </c>
      <c r="V374" s="79">
        <f>VLOOKUP(B374,'116+240'!$B$15:$AB$682,15,FALSE)</f>
        <v>-1133</v>
      </c>
      <c r="W374" s="89">
        <f>'116+240'!S375</f>
        <v>5</v>
      </c>
      <c r="X374" s="83">
        <f t="shared" si="74"/>
        <v>1103</v>
      </c>
      <c r="Y374" s="78">
        <f t="shared" si="75"/>
        <v>-5</v>
      </c>
      <c r="Z374" s="77">
        <f t="shared" si="76"/>
        <v>0</v>
      </c>
      <c r="AA374" s="76">
        <f t="shared" si="77"/>
        <v>4.2549999999999999</v>
      </c>
      <c r="AB374" s="76">
        <f t="shared" si="78"/>
        <v>2.1560000000000001</v>
      </c>
    </row>
    <row r="375" spans="2:28">
      <c r="B375" s="90">
        <f>'116+240'!B376</f>
        <v>45643</v>
      </c>
      <c r="C375" s="87">
        <f t="shared" si="70"/>
        <v>1</v>
      </c>
      <c r="D375" s="86">
        <f t="shared" si="71"/>
        <v>844</v>
      </c>
      <c r="E375" s="85">
        <f>VLOOKUP(B375,'116+240'!B376:AB376,3,FALSE)</f>
        <v>1901</v>
      </c>
      <c r="F375" s="81">
        <f t="shared" si="66"/>
        <v>2745</v>
      </c>
      <c r="G375" s="84">
        <f>VLOOKUP(B375,'116+240'!$B$15:$AB$682,20,FALSE)</f>
        <v>3033</v>
      </c>
      <c r="H375" s="84">
        <f>VLOOKUP(B375,'116+240'!$B$15:$AB$682,4,FALSE)</f>
        <v>-18</v>
      </c>
      <c r="I375" s="80">
        <f t="shared" si="67"/>
        <v>2763</v>
      </c>
      <c r="J375" s="80">
        <f>VLOOKUP(B375,'116+240'!$B$15:$AB$682,13,FALSE)</f>
        <v>-1237</v>
      </c>
      <c r="K375" s="89">
        <f>'116+240'!Q376</f>
        <v>0</v>
      </c>
      <c r="L375" s="83">
        <f t="shared" si="72"/>
        <v>1277</v>
      </c>
      <c r="M375" s="82">
        <f>VLOOKUP(B375,'116+240'!$B$14:$AB$682,21,FALSE)</f>
        <v>3193</v>
      </c>
      <c r="N375" s="81">
        <f>VLOOKUP(B375,'116+240'!$B$15:$AB$682,5,FALSE)</f>
        <v>-58</v>
      </c>
      <c r="O375" s="80">
        <f t="shared" si="68"/>
        <v>2803</v>
      </c>
      <c r="P375" s="80">
        <f>VLOOKUP(B375,'116+240'!$B$15:$AB$682,14,FALSE)</f>
        <v>-1197</v>
      </c>
      <c r="Q375" s="89">
        <f>'116+240'!R376</f>
        <v>0</v>
      </c>
      <c r="R375" s="83">
        <f t="shared" si="73"/>
        <v>1117</v>
      </c>
      <c r="S375" s="82">
        <f>VLOOKUP(B375,'116+240'!$B$14:$AB$682,22,FALSE)</f>
        <v>3204</v>
      </c>
      <c r="T375" s="81">
        <f>VLOOKUP(B375,'116+240'!$B$15:$AB$682,6,FALSE)</f>
        <v>-119</v>
      </c>
      <c r="U375" s="80">
        <f t="shared" si="69"/>
        <v>2864</v>
      </c>
      <c r="V375" s="79">
        <f>VLOOKUP(B375,'116+240'!$B$15:$AB$682,15,FALSE)</f>
        <v>-1136</v>
      </c>
      <c r="W375" s="89">
        <f>'116+240'!S376</f>
        <v>3</v>
      </c>
      <c r="X375" s="83">
        <f t="shared" si="74"/>
        <v>1106</v>
      </c>
      <c r="Y375" s="78">
        <f t="shared" si="75"/>
        <v>-3</v>
      </c>
      <c r="Z375" s="77">
        <f t="shared" si="76"/>
        <v>0</v>
      </c>
      <c r="AA375" s="76">
        <f t="shared" si="77"/>
        <v>4.2549999999999999</v>
      </c>
      <c r="AB375" s="76">
        <f t="shared" si="78"/>
        <v>2.1560000000000001</v>
      </c>
    </row>
    <row r="376" spans="2:28">
      <c r="B376" s="90">
        <f>'116+240'!B377</f>
        <v>45644</v>
      </c>
      <c r="C376" s="87">
        <f t="shared" si="70"/>
        <v>1</v>
      </c>
      <c r="D376" s="86">
        <f t="shared" si="71"/>
        <v>844</v>
      </c>
      <c r="E376" s="85">
        <f>VLOOKUP(B376,'116+240'!B377:AB377,3,FALSE)</f>
        <v>1903</v>
      </c>
      <c r="F376" s="81">
        <f t="shared" si="66"/>
        <v>2747</v>
      </c>
      <c r="G376" s="84">
        <f>VLOOKUP(B376,'116+240'!$B$15:$AB$682,20,FALSE)</f>
        <v>3031</v>
      </c>
      <c r="H376" s="84">
        <f>VLOOKUP(B376,'116+240'!$B$15:$AB$682,4,FALSE)</f>
        <v>-14</v>
      </c>
      <c r="I376" s="80">
        <f t="shared" si="67"/>
        <v>2761</v>
      </c>
      <c r="J376" s="80">
        <f>VLOOKUP(B376,'116+240'!$B$15:$AB$682,13,FALSE)</f>
        <v>-1239</v>
      </c>
      <c r="K376" s="89">
        <f>'116+240'!Q377</f>
        <v>2</v>
      </c>
      <c r="L376" s="83">
        <f t="shared" si="72"/>
        <v>1279</v>
      </c>
      <c r="M376" s="82">
        <f>VLOOKUP(B376,'116+240'!$B$14:$AB$682,21,FALSE)</f>
        <v>3193</v>
      </c>
      <c r="N376" s="81">
        <f>VLOOKUP(B376,'116+240'!$B$15:$AB$682,5,FALSE)</f>
        <v>-56</v>
      </c>
      <c r="O376" s="80">
        <f t="shared" si="68"/>
        <v>2803</v>
      </c>
      <c r="P376" s="80">
        <f>VLOOKUP(B376,'116+240'!$B$15:$AB$682,14,FALSE)</f>
        <v>-1197</v>
      </c>
      <c r="Q376" s="89">
        <f>'116+240'!R377</f>
        <v>0</v>
      </c>
      <c r="R376" s="83">
        <f t="shared" si="73"/>
        <v>1117</v>
      </c>
      <c r="S376" s="82">
        <f>VLOOKUP(B376,'116+240'!$B$14:$AB$682,22,FALSE)</f>
        <v>3202</v>
      </c>
      <c r="T376" s="81">
        <f>VLOOKUP(B376,'116+240'!$B$15:$AB$682,6,FALSE)</f>
        <v>-115</v>
      </c>
      <c r="U376" s="80">
        <f t="shared" si="69"/>
        <v>2862</v>
      </c>
      <c r="V376" s="79">
        <f>VLOOKUP(B376,'116+240'!$B$15:$AB$682,15,FALSE)</f>
        <v>-1138</v>
      </c>
      <c r="W376" s="89">
        <f>'116+240'!S377</f>
        <v>2</v>
      </c>
      <c r="X376" s="83">
        <f t="shared" si="74"/>
        <v>1108</v>
      </c>
      <c r="Y376" s="78">
        <f t="shared" si="75"/>
        <v>-2</v>
      </c>
      <c r="Z376" s="77">
        <f t="shared" si="76"/>
        <v>0</v>
      </c>
      <c r="AA376" s="76">
        <f t="shared" si="77"/>
        <v>4.2549999999999999</v>
      </c>
      <c r="AB376" s="76">
        <f t="shared" si="78"/>
        <v>2.1560000000000001</v>
      </c>
    </row>
    <row r="377" spans="2:28">
      <c r="B377" s="90">
        <f>'116+240'!B378</f>
        <v>45645</v>
      </c>
      <c r="C377" s="87">
        <f t="shared" si="70"/>
        <v>1</v>
      </c>
      <c r="D377" s="86">
        <f t="shared" si="71"/>
        <v>844</v>
      </c>
      <c r="E377" s="85">
        <f>VLOOKUP(B377,'116+240'!B378:AB378,3,FALSE)</f>
        <v>1905</v>
      </c>
      <c r="F377" s="81">
        <f t="shared" si="66"/>
        <v>2749</v>
      </c>
      <c r="G377" s="84">
        <f>VLOOKUP(B377,'116+240'!$B$15:$AB$682,20,FALSE)</f>
        <v>3028</v>
      </c>
      <c r="H377" s="84">
        <f>VLOOKUP(B377,'116+240'!$B$15:$AB$682,4,FALSE)</f>
        <v>-9</v>
      </c>
      <c r="I377" s="80">
        <f t="shared" si="67"/>
        <v>2758</v>
      </c>
      <c r="J377" s="80">
        <f>VLOOKUP(B377,'116+240'!$B$15:$AB$682,13,FALSE)</f>
        <v>-1242</v>
      </c>
      <c r="K377" s="89">
        <f>'116+240'!Q378</f>
        <v>3</v>
      </c>
      <c r="L377" s="83">
        <f t="shared" si="72"/>
        <v>1282</v>
      </c>
      <c r="M377" s="82">
        <f>VLOOKUP(B377,'116+240'!$B$14:$AB$682,21,FALSE)</f>
        <v>3192</v>
      </c>
      <c r="N377" s="81">
        <f>VLOOKUP(B377,'116+240'!$B$15:$AB$682,5,FALSE)</f>
        <v>-53</v>
      </c>
      <c r="O377" s="80">
        <f t="shared" si="68"/>
        <v>2802</v>
      </c>
      <c r="P377" s="80">
        <f>VLOOKUP(B377,'116+240'!$B$15:$AB$682,14,FALSE)</f>
        <v>-1198</v>
      </c>
      <c r="Q377" s="89">
        <f>'116+240'!R378</f>
        <v>1</v>
      </c>
      <c r="R377" s="83">
        <f t="shared" si="73"/>
        <v>1118</v>
      </c>
      <c r="S377" s="82">
        <f>VLOOKUP(B377,'116+240'!$B$14:$AB$682,22,FALSE)</f>
        <v>3200</v>
      </c>
      <c r="T377" s="81">
        <f>VLOOKUP(B377,'116+240'!$B$15:$AB$682,6,FALSE)</f>
        <v>-111</v>
      </c>
      <c r="U377" s="80">
        <f t="shared" si="69"/>
        <v>2860</v>
      </c>
      <c r="V377" s="79">
        <f>VLOOKUP(B377,'116+240'!$B$15:$AB$682,15,FALSE)</f>
        <v>-1140</v>
      </c>
      <c r="W377" s="89">
        <f>'116+240'!S378</f>
        <v>2</v>
      </c>
      <c r="X377" s="83">
        <f t="shared" si="74"/>
        <v>1110</v>
      </c>
      <c r="Y377" s="78">
        <f t="shared" si="75"/>
        <v>-2</v>
      </c>
      <c r="Z377" s="77">
        <f t="shared" si="76"/>
        <v>0</v>
      </c>
      <c r="AA377" s="76">
        <f t="shared" si="77"/>
        <v>4.2549999999999999</v>
      </c>
      <c r="AB377" s="76">
        <f t="shared" si="78"/>
        <v>2.1539999999999999</v>
      </c>
    </row>
    <row r="378" spans="2:28">
      <c r="B378" s="90">
        <f>'116+240'!B379</f>
        <v>45646</v>
      </c>
      <c r="C378" s="87">
        <f t="shared" si="70"/>
        <v>1</v>
      </c>
      <c r="D378" s="86">
        <f t="shared" si="71"/>
        <v>844</v>
      </c>
      <c r="E378" s="85">
        <f>VLOOKUP(B378,'116+240'!B379:AB379,3,FALSE)</f>
        <v>1907</v>
      </c>
      <c r="F378" s="81">
        <f t="shared" si="66"/>
        <v>2751</v>
      </c>
      <c r="G378" s="84">
        <f>VLOOKUP(B378,'116+240'!$B$15:$AB$682,20,FALSE)</f>
        <v>3026</v>
      </c>
      <c r="H378" s="84">
        <f>VLOOKUP(B378,'116+240'!$B$15:$AB$682,4,FALSE)</f>
        <v>-5</v>
      </c>
      <c r="I378" s="80">
        <f t="shared" si="67"/>
        <v>2756</v>
      </c>
      <c r="J378" s="80">
        <f>VLOOKUP(B378,'116+240'!$B$15:$AB$682,13,FALSE)</f>
        <v>-1244</v>
      </c>
      <c r="K378" s="89">
        <f>'116+240'!Q379</f>
        <v>2</v>
      </c>
      <c r="L378" s="83">
        <f t="shared" si="72"/>
        <v>1284</v>
      </c>
      <c r="M378" s="82">
        <f>VLOOKUP(B378,'116+240'!$B$14:$AB$682,21,FALSE)</f>
        <v>3190</v>
      </c>
      <c r="N378" s="81">
        <f>VLOOKUP(B378,'116+240'!$B$15:$AB$682,5,FALSE)</f>
        <v>-49</v>
      </c>
      <c r="O378" s="80">
        <f t="shared" si="68"/>
        <v>2800</v>
      </c>
      <c r="P378" s="80">
        <f>VLOOKUP(B378,'116+240'!$B$15:$AB$682,14,FALSE)</f>
        <v>-1200</v>
      </c>
      <c r="Q378" s="89">
        <f>'116+240'!R379</f>
        <v>2</v>
      </c>
      <c r="R378" s="83">
        <f t="shared" si="73"/>
        <v>1120</v>
      </c>
      <c r="S378" s="82">
        <f>VLOOKUP(B378,'116+240'!$B$14:$AB$682,22,FALSE)</f>
        <v>3199</v>
      </c>
      <c r="T378" s="81">
        <f>VLOOKUP(B378,'116+240'!$B$15:$AB$682,6,FALSE)</f>
        <v>-108</v>
      </c>
      <c r="U378" s="80">
        <f t="shared" si="69"/>
        <v>2859</v>
      </c>
      <c r="V378" s="79">
        <f>VLOOKUP(B378,'116+240'!$B$15:$AB$682,15,FALSE)</f>
        <v>-1141</v>
      </c>
      <c r="W378" s="89">
        <f>'116+240'!S379</f>
        <v>1</v>
      </c>
      <c r="X378" s="83">
        <f t="shared" si="74"/>
        <v>1111</v>
      </c>
      <c r="Y378" s="78">
        <f t="shared" si="75"/>
        <v>-1</v>
      </c>
      <c r="Z378" s="77">
        <f t="shared" si="76"/>
        <v>0</v>
      </c>
      <c r="AA378" s="76">
        <f t="shared" si="77"/>
        <v>4.2549999999999999</v>
      </c>
      <c r="AB378" s="76">
        <f t="shared" si="78"/>
        <v>2.15</v>
      </c>
    </row>
    <row r="379" spans="2:28">
      <c r="B379" s="90">
        <f>'116+240'!B380</f>
        <v>45647</v>
      </c>
      <c r="C379" s="87">
        <f t="shared" si="70"/>
        <v>1</v>
      </c>
      <c r="D379" s="86">
        <f t="shared" si="71"/>
        <v>844</v>
      </c>
      <c r="E379" s="85">
        <f>VLOOKUP(B379,'116+240'!B380:AB380,3,FALSE)</f>
        <v>1909</v>
      </c>
      <c r="F379" s="81">
        <f t="shared" si="66"/>
        <v>2753</v>
      </c>
      <c r="G379" s="84">
        <f>VLOOKUP(B379,'116+240'!$B$15:$AB$682,20,FALSE)</f>
        <v>3022</v>
      </c>
      <c r="H379" s="84">
        <f>VLOOKUP(B379,'116+240'!$B$15:$AB$682,4,FALSE)</f>
        <v>1</v>
      </c>
      <c r="I379" s="80">
        <f t="shared" si="67"/>
        <v>2752</v>
      </c>
      <c r="J379" s="80">
        <f>VLOOKUP(B379,'116+240'!$B$15:$AB$682,13,FALSE)</f>
        <v>-1248</v>
      </c>
      <c r="K379" s="89">
        <f>'116+240'!Q380</f>
        <v>4</v>
      </c>
      <c r="L379" s="83">
        <f t="shared" si="72"/>
        <v>1288</v>
      </c>
      <c r="M379" s="82">
        <f>VLOOKUP(B379,'116+240'!$B$14:$AB$682,21,FALSE)</f>
        <v>3188</v>
      </c>
      <c r="N379" s="81">
        <f>VLOOKUP(B379,'116+240'!$B$15:$AB$682,5,FALSE)</f>
        <v>-45</v>
      </c>
      <c r="O379" s="80">
        <f t="shared" si="68"/>
        <v>2798</v>
      </c>
      <c r="P379" s="80">
        <f>VLOOKUP(B379,'116+240'!$B$15:$AB$682,14,FALSE)</f>
        <v>-1202</v>
      </c>
      <c r="Q379" s="89">
        <f>'116+240'!R380</f>
        <v>2</v>
      </c>
      <c r="R379" s="83">
        <f t="shared" si="73"/>
        <v>1122</v>
      </c>
      <c r="S379" s="82">
        <f>VLOOKUP(B379,'116+240'!$B$14:$AB$682,22,FALSE)</f>
        <v>3198</v>
      </c>
      <c r="T379" s="81">
        <f>VLOOKUP(B379,'116+240'!$B$15:$AB$682,6,FALSE)</f>
        <v>-105</v>
      </c>
      <c r="U379" s="80">
        <f t="shared" si="69"/>
        <v>2858</v>
      </c>
      <c r="V379" s="79">
        <f>VLOOKUP(B379,'116+240'!$B$15:$AB$682,15,FALSE)</f>
        <v>-1142</v>
      </c>
      <c r="W379" s="89">
        <f>'116+240'!S380</f>
        <v>1</v>
      </c>
      <c r="X379" s="83">
        <f t="shared" si="74"/>
        <v>1112</v>
      </c>
      <c r="Y379" s="78">
        <f t="shared" si="75"/>
        <v>-1</v>
      </c>
      <c r="Z379" s="77">
        <f t="shared" si="76"/>
        <v>0</v>
      </c>
      <c r="AA379" s="76">
        <f t="shared" si="77"/>
        <v>4.2549999999999999</v>
      </c>
      <c r="AB379" s="76">
        <f t="shared" si="78"/>
        <v>2.1459999999999999</v>
      </c>
    </row>
    <row r="380" spans="2:28">
      <c r="B380" s="90">
        <f>'116+240'!B381</f>
        <v>45648</v>
      </c>
      <c r="C380" s="87">
        <f t="shared" si="70"/>
        <v>1</v>
      </c>
      <c r="D380" s="86">
        <f t="shared" si="71"/>
        <v>844</v>
      </c>
      <c r="E380" s="85">
        <f>VLOOKUP(B380,'116+240'!B381:AB381,3,FALSE)</f>
        <v>1911</v>
      </c>
      <c r="F380" s="81">
        <f t="shared" si="66"/>
        <v>2755</v>
      </c>
      <c r="G380" s="84">
        <f>VLOOKUP(B380,'116+240'!$B$15:$AB$682,20,FALSE)</f>
        <v>3020</v>
      </c>
      <c r="H380" s="84">
        <f>VLOOKUP(B380,'116+240'!$B$15:$AB$682,4,FALSE)</f>
        <v>5</v>
      </c>
      <c r="I380" s="80">
        <f t="shared" si="67"/>
        <v>2750</v>
      </c>
      <c r="J380" s="80">
        <f>VLOOKUP(B380,'116+240'!$B$15:$AB$682,13,FALSE)</f>
        <v>-1250</v>
      </c>
      <c r="K380" s="89">
        <f>'116+240'!Q381</f>
        <v>2</v>
      </c>
      <c r="L380" s="83">
        <f t="shared" si="72"/>
        <v>1290</v>
      </c>
      <c r="M380" s="82">
        <f>VLOOKUP(B380,'116+240'!$B$14:$AB$682,21,FALSE)</f>
        <v>3186</v>
      </c>
      <c r="N380" s="81">
        <f>VLOOKUP(B380,'116+240'!$B$15:$AB$682,5,FALSE)</f>
        <v>-41</v>
      </c>
      <c r="O380" s="80">
        <f t="shared" si="68"/>
        <v>2796</v>
      </c>
      <c r="P380" s="80">
        <f>VLOOKUP(B380,'116+240'!$B$15:$AB$682,14,FALSE)</f>
        <v>-1204</v>
      </c>
      <c r="Q380" s="89">
        <f>'116+240'!R381</f>
        <v>2</v>
      </c>
      <c r="R380" s="83">
        <f t="shared" si="73"/>
        <v>1124</v>
      </c>
      <c r="S380" s="82">
        <f>VLOOKUP(B380,'116+240'!$B$14:$AB$682,22,FALSE)</f>
        <v>3196</v>
      </c>
      <c r="T380" s="81">
        <f>VLOOKUP(B380,'116+240'!$B$15:$AB$682,6,FALSE)</f>
        <v>-101</v>
      </c>
      <c r="U380" s="80">
        <f t="shared" si="69"/>
        <v>2856</v>
      </c>
      <c r="V380" s="79">
        <f>VLOOKUP(B380,'116+240'!$B$15:$AB$682,15,FALSE)</f>
        <v>-1144</v>
      </c>
      <c r="W380" s="89">
        <f>'116+240'!S381</f>
        <v>2</v>
      </c>
      <c r="X380" s="83">
        <f t="shared" si="74"/>
        <v>1114</v>
      </c>
      <c r="Y380" s="78">
        <f t="shared" si="75"/>
        <v>-2</v>
      </c>
      <c r="Z380" s="77">
        <f t="shared" si="76"/>
        <v>0</v>
      </c>
      <c r="AA380" s="76">
        <f t="shared" si="77"/>
        <v>4.2549999999999999</v>
      </c>
      <c r="AB380" s="76">
        <f t="shared" si="78"/>
        <v>2.1419999999999999</v>
      </c>
    </row>
    <row r="381" spans="2:28">
      <c r="B381" s="90">
        <f>'116+240'!B382</f>
        <v>45649</v>
      </c>
      <c r="C381" s="87">
        <f t="shared" si="70"/>
        <v>1</v>
      </c>
      <c r="D381" s="86">
        <f t="shared" si="71"/>
        <v>844</v>
      </c>
      <c r="E381" s="85">
        <f>VLOOKUP(B381,'116+240'!B382:AB382,3,FALSE)</f>
        <v>1913</v>
      </c>
      <c r="F381" s="81">
        <f t="shared" si="66"/>
        <v>2757</v>
      </c>
      <c r="G381" s="84">
        <f>VLOOKUP(B381,'116+240'!$B$15:$AB$682,20,FALSE)</f>
        <v>3019</v>
      </c>
      <c r="H381" s="84">
        <f>VLOOKUP(B381,'116+240'!$B$15:$AB$682,4,FALSE)</f>
        <v>8</v>
      </c>
      <c r="I381" s="80">
        <f t="shared" si="67"/>
        <v>2749</v>
      </c>
      <c r="J381" s="80">
        <f>VLOOKUP(B381,'116+240'!$B$15:$AB$682,13,FALSE)</f>
        <v>-1251</v>
      </c>
      <c r="K381" s="89">
        <f>'116+240'!Q382</f>
        <v>1</v>
      </c>
      <c r="L381" s="83">
        <f t="shared" si="72"/>
        <v>1291</v>
      </c>
      <c r="M381" s="82">
        <f>VLOOKUP(B381,'116+240'!$B$14:$AB$682,21,FALSE)</f>
        <v>3184</v>
      </c>
      <c r="N381" s="81">
        <f>VLOOKUP(B381,'116+240'!$B$15:$AB$682,5,FALSE)</f>
        <v>-37</v>
      </c>
      <c r="O381" s="80">
        <f t="shared" si="68"/>
        <v>2794</v>
      </c>
      <c r="P381" s="80">
        <f>VLOOKUP(B381,'116+240'!$B$15:$AB$682,14,FALSE)</f>
        <v>-1206</v>
      </c>
      <c r="Q381" s="89">
        <f>'116+240'!R382</f>
        <v>2</v>
      </c>
      <c r="R381" s="83">
        <f t="shared" si="73"/>
        <v>1126</v>
      </c>
      <c r="S381" s="82">
        <f>VLOOKUP(B381,'116+240'!$B$14:$AB$682,22,FALSE)</f>
        <v>3194</v>
      </c>
      <c r="T381" s="81">
        <f>VLOOKUP(B381,'116+240'!$B$15:$AB$682,6,FALSE)</f>
        <v>-97</v>
      </c>
      <c r="U381" s="80">
        <f t="shared" si="69"/>
        <v>2854</v>
      </c>
      <c r="V381" s="79">
        <f>VLOOKUP(B381,'116+240'!$B$15:$AB$682,15,FALSE)</f>
        <v>-1146</v>
      </c>
      <c r="W381" s="89">
        <f>'116+240'!S382</f>
        <v>2</v>
      </c>
      <c r="X381" s="83">
        <f t="shared" si="74"/>
        <v>1116</v>
      </c>
      <c r="Y381" s="78">
        <f t="shared" si="75"/>
        <v>-2</v>
      </c>
      <c r="Z381" s="77">
        <f t="shared" si="76"/>
        <v>0</v>
      </c>
      <c r="AA381" s="76">
        <f t="shared" si="77"/>
        <v>4.2549999999999999</v>
      </c>
      <c r="AB381" s="76">
        <f t="shared" si="78"/>
        <v>2.1379999999999999</v>
      </c>
    </row>
    <row r="382" spans="2:28">
      <c r="B382" s="90">
        <f>'116+240'!B383</f>
        <v>45650</v>
      </c>
      <c r="C382" s="87">
        <f t="shared" si="70"/>
        <v>1</v>
      </c>
      <c r="D382" s="86">
        <f t="shared" si="71"/>
        <v>844</v>
      </c>
      <c r="E382" s="85">
        <f>VLOOKUP(B382,'116+240'!B383:AB383,3,FALSE)</f>
        <v>1915</v>
      </c>
      <c r="F382" s="81">
        <f t="shared" si="66"/>
        <v>2759</v>
      </c>
      <c r="G382" s="84">
        <f>VLOOKUP(B382,'116+240'!$B$15:$AB$682,20,FALSE)</f>
        <v>3017</v>
      </c>
      <c r="H382" s="84">
        <f>VLOOKUP(B382,'116+240'!$B$15:$AB$682,4,FALSE)</f>
        <v>12</v>
      </c>
      <c r="I382" s="80">
        <f t="shared" si="67"/>
        <v>2747</v>
      </c>
      <c r="J382" s="80">
        <f>VLOOKUP(B382,'116+240'!$B$15:$AB$682,13,FALSE)</f>
        <v>-1253</v>
      </c>
      <c r="K382" s="89">
        <f>'116+240'!Q383</f>
        <v>2</v>
      </c>
      <c r="L382" s="83">
        <f t="shared" si="72"/>
        <v>1293</v>
      </c>
      <c r="M382" s="82">
        <f>VLOOKUP(B382,'116+240'!$B$14:$AB$682,21,FALSE)</f>
        <v>3182</v>
      </c>
      <c r="N382" s="81">
        <f>VLOOKUP(B382,'116+240'!$B$15:$AB$682,5,FALSE)</f>
        <v>-33</v>
      </c>
      <c r="O382" s="80">
        <f t="shared" si="68"/>
        <v>2792</v>
      </c>
      <c r="P382" s="80">
        <f>VLOOKUP(B382,'116+240'!$B$15:$AB$682,14,FALSE)</f>
        <v>-1208</v>
      </c>
      <c r="Q382" s="89">
        <f>'116+240'!R383</f>
        <v>2</v>
      </c>
      <c r="R382" s="83">
        <f t="shared" si="73"/>
        <v>1128</v>
      </c>
      <c r="S382" s="82">
        <f>VLOOKUP(B382,'116+240'!$B$14:$AB$682,22,FALSE)</f>
        <v>3194</v>
      </c>
      <c r="T382" s="81">
        <f>VLOOKUP(B382,'116+240'!$B$15:$AB$682,6,FALSE)</f>
        <v>-95</v>
      </c>
      <c r="U382" s="80">
        <f t="shared" si="69"/>
        <v>2854</v>
      </c>
      <c r="V382" s="79">
        <f>VLOOKUP(B382,'116+240'!$B$15:$AB$682,15,FALSE)</f>
        <v>-1146</v>
      </c>
      <c r="W382" s="89">
        <f>'116+240'!S383</f>
        <v>0</v>
      </c>
      <c r="X382" s="83">
        <f t="shared" si="74"/>
        <v>1116</v>
      </c>
      <c r="Y382" s="78">
        <f t="shared" si="75"/>
        <v>0</v>
      </c>
      <c r="Z382" s="77">
        <f t="shared" si="76"/>
        <v>0</v>
      </c>
      <c r="AA382" s="76">
        <f t="shared" si="77"/>
        <v>4.2549999999999999</v>
      </c>
      <c r="AB382" s="76">
        <f t="shared" si="78"/>
        <v>2.1339999999999999</v>
      </c>
    </row>
    <row r="383" spans="2:28">
      <c r="B383" s="90">
        <f>'116+240'!B384</f>
        <v>45651</v>
      </c>
      <c r="C383" s="87">
        <f t="shared" si="70"/>
        <v>1</v>
      </c>
      <c r="D383" s="86">
        <f t="shared" si="71"/>
        <v>844</v>
      </c>
      <c r="E383" s="85">
        <f>VLOOKUP(B383,'116+240'!B384:AB384,3,FALSE)</f>
        <v>1917</v>
      </c>
      <c r="F383" s="81">
        <f t="shared" si="66"/>
        <v>2761</v>
      </c>
      <c r="G383" s="84">
        <f>VLOOKUP(B383,'116+240'!$B$15:$AB$682,20,FALSE)</f>
        <v>3015</v>
      </c>
      <c r="H383" s="84">
        <f>VLOOKUP(B383,'116+240'!$B$15:$AB$682,4,FALSE)</f>
        <v>16</v>
      </c>
      <c r="I383" s="80">
        <f t="shared" si="67"/>
        <v>2745</v>
      </c>
      <c r="J383" s="80">
        <f>VLOOKUP(B383,'116+240'!$B$15:$AB$682,13,FALSE)</f>
        <v>-1255</v>
      </c>
      <c r="K383" s="89">
        <f>'116+240'!Q384</f>
        <v>2</v>
      </c>
      <c r="L383" s="83">
        <f t="shared" si="72"/>
        <v>1295</v>
      </c>
      <c r="M383" s="82">
        <f>VLOOKUP(B383,'116+240'!$B$14:$AB$682,21,FALSE)</f>
        <v>3180</v>
      </c>
      <c r="N383" s="81">
        <f>VLOOKUP(B383,'116+240'!$B$15:$AB$682,5,FALSE)</f>
        <v>-29</v>
      </c>
      <c r="O383" s="80">
        <f t="shared" si="68"/>
        <v>2790</v>
      </c>
      <c r="P383" s="80">
        <f>VLOOKUP(B383,'116+240'!$B$15:$AB$682,14,FALSE)</f>
        <v>-1210</v>
      </c>
      <c r="Q383" s="89">
        <f>'116+240'!R384</f>
        <v>2</v>
      </c>
      <c r="R383" s="83">
        <f t="shared" si="73"/>
        <v>1130</v>
      </c>
      <c r="S383" s="82">
        <f>VLOOKUP(B383,'116+240'!$B$14:$AB$682,22,FALSE)</f>
        <v>3194</v>
      </c>
      <c r="T383" s="81">
        <f>VLOOKUP(B383,'116+240'!$B$15:$AB$682,6,FALSE)</f>
        <v>-93</v>
      </c>
      <c r="U383" s="80">
        <f t="shared" si="69"/>
        <v>2854</v>
      </c>
      <c r="V383" s="79">
        <f>VLOOKUP(B383,'116+240'!$B$15:$AB$682,15,FALSE)</f>
        <v>-1146</v>
      </c>
      <c r="W383" s="89">
        <f>'116+240'!S384</f>
        <v>0</v>
      </c>
      <c r="X383" s="83">
        <f t="shared" si="74"/>
        <v>1116</v>
      </c>
      <c r="Y383" s="78">
        <f t="shared" si="75"/>
        <v>0</v>
      </c>
      <c r="Z383" s="77">
        <f t="shared" si="76"/>
        <v>0</v>
      </c>
      <c r="AA383" s="76">
        <f t="shared" si="77"/>
        <v>4.2549999999999999</v>
      </c>
      <c r="AB383" s="76">
        <f t="shared" si="78"/>
        <v>2.13</v>
      </c>
    </row>
    <row r="384" spans="2:28">
      <c r="B384" s="90">
        <f>'116+240'!B385</f>
        <v>45652</v>
      </c>
      <c r="C384" s="87">
        <f t="shared" si="70"/>
        <v>1</v>
      </c>
      <c r="D384" s="86">
        <f t="shared" si="71"/>
        <v>844</v>
      </c>
      <c r="E384" s="85">
        <f>VLOOKUP(B384,'116+240'!B385:AB385,3,FALSE)</f>
        <v>1919</v>
      </c>
      <c r="F384" s="81">
        <f t="shared" si="66"/>
        <v>2763</v>
      </c>
      <c r="G384" s="84">
        <f>VLOOKUP(B384,'116+240'!$B$15:$AB$682,20,FALSE)</f>
        <v>3014</v>
      </c>
      <c r="H384" s="84">
        <f>VLOOKUP(B384,'116+240'!$B$15:$AB$682,4,FALSE)</f>
        <v>19</v>
      </c>
      <c r="I384" s="80">
        <f t="shared" si="67"/>
        <v>2744</v>
      </c>
      <c r="J384" s="80">
        <f>VLOOKUP(B384,'116+240'!$B$15:$AB$682,13,FALSE)</f>
        <v>-1256</v>
      </c>
      <c r="K384" s="89">
        <f>'116+240'!Q385</f>
        <v>1</v>
      </c>
      <c r="L384" s="83">
        <f t="shared" si="72"/>
        <v>1296</v>
      </c>
      <c r="M384" s="82">
        <f>VLOOKUP(B384,'116+240'!$B$14:$AB$682,21,FALSE)</f>
        <v>3175</v>
      </c>
      <c r="N384" s="81">
        <f>VLOOKUP(B384,'116+240'!$B$15:$AB$682,5,FALSE)</f>
        <v>-22</v>
      </c>
      <c r="O384" s="80">
        <f t="shared" si="68"/>
        <v>2785</v>
      </c>
      <c r="P384" s="80">
        <f>VLOOKUP(B384,'116+240'!$B$15:$AB$682,14,FALSE)</f>
        <v>-1215</v>
      </c>
      <c r="Q384" s="89">
        <f>'116+240'!R385</f>
        <v>5</v>
      </c>
      <c r="R384" s="83">
        <f t="shared" si="73"/>
        <v>1135</v>
      </c>
      <c r="S384" s="82">
        <f>VLOOKUP(B384,'116+240'!$B$14:$AB$682,22,FALSE)</f>
        <v>3192</v>
      </c>
      <c r="T384" s="81">
        <f>VLOOKUP(B384,'116+240'!$B$15:$AB$682,6,FALSE)</f>
        <v>-89</v>
      </c>
      <c r="U384" s="80">
        <f t="shared" si="69"/>
        <v>2852</v>
      </c>
      <c r="V384" s="79">
        <f>VLOOKUP(B384,'116+240'!$B$15:$AB$682,15,FALSE)</f>
        <v>-1148</v>
      </c>
      <c r="W384" s="89">
        <f>'116+240'!S385</f>
        <v>2</v>
      </c>
      <c r="X384" s="83">
        <f t="shared" si="74"/>
        <v>1118</v>
      </c>
      <c r="Y384" s="78">
        <f t="shared" si="75"/>
        <v>-2</v>
      </c>
      <c r="Z384" s="77">
        <f t="shared" si="76"/>
        <v>0</v>
      </c>
      <c r="AA384" s="76">
        <f t="shared" si="77"/>
        <v>4.2549999999999999</v>
      </c>
      <c r="AB384" s="76">
        <f t="shared" si="78"/>
        <v>2.12</v>
      </c>
    </row>
    <row r="385" spans="2:28">
      <c r="B385" s="90">
        <f>'116+240'!B386</f>
        <v>45653</v>
      </c>
      <c r="C385" s="87">
        <f t="shared" si="70"/>
        <v>1</v>
      </c>
      <c r="D385" s="86">
        <f t="shared" si="71"/>
        <v>844</v>
      </c>
      <c r="E385" s="85">
        <f>VLOOKUP(B385,'116+240'!B386:AB386,3,FALSE)</f>
        <v>1921</v>
      </c>
      <c r="F385" s="81">
        <f t="shared" si="66"/>
        <v>2765</v>
      </c>
      <c r="G385" s="84">
        <f>VLOOKUP(B385,'116+240'!$B$15:$AB$682,20,FALSE)</f>
        <v>3011</v>
      </c>
      <c r="H385" s="84">
        <f>VLOOKUP(B385,'116+240'!$B$15:$AB$682,4,FALSE)</f>
        <v>24</v>
      </c>
      <c r="I385" s="80">
        <f t="shared" si="67"/>
        <v>2741</v>
      </c>
      <c r="J385" s="80">
        <f>VLOOKUP(B385,'116+240'!$B$15:$AB$682,13,FALSE)</f>
        <v>-1259</v>
      </c>
      <c r="K385" s="89">
        <f>'116+240'!Q386</f>
        <v>3</v>
      </c>
      <c r="L385" s="83">
        <f t="shared" si="72"/>
        <v>1299</v>
      </c>
      <c r="M385" s="82">
        <f>VLOOKUP(B385,'116+240'!$B$14:$AB$682,21,FALSE)</f>
        <v>3170</v>
      </c>
      <c r="N385" s="81">
        <f>VLOOKUP(B385,'116+240'!$B$15:$AB$682,5,FALSE)</f>
        <v>-15</v>
      </c>
      <c r="O385" s="80">
        <f t="shared" si="68"/>
        <v>2780</v>
      </c>
      <c r="P385" s="80">
        <f>VLOOKUP(B385,'116+240'!$B$15:$AB$682,14,FALSE)</f>
        <v>-1220</v>
      </c>
      <c r="Q385" s="89">
        <f>'116+240'!R386</f>
        <v>5</v>
      </c>
      <c r="R385" s="83">
        <f t="shared" si="73"/>
        <v>1140</v>
      </c>
      <c r="S385" s="82">
        <f>VLOOKUP(B385,'116+240'!$B$14:$AB$682,22,FALSE)</f>
        <v>3190</v>
      </c>
      <c r="T385" s="81">
        <f>VLOOKUP(B385,'116+240'!$B$15:$AB$682,6,FALSE)</f>
        <v>-85</v>
      </c>
      <c r="U385" s="80">
        <f t="shared" si="69"/>
        <v>2850</v>
      </c>
      <c r="V385" s="79">
        <f>VLOOKUP(B385,'116+240'!$B$15:$AB$682,15,FALSE)</f>
        <v>-1150</v>
      </c>
      <c r="W385" s="89">
        <f>'116+240'!S386</f>
        <v>2</v>
      </c>
      <c r="X385" s="83">
        <f t="shared" si="74"/>
        <v>1120</v>
      </c>
      <c r="Y385" s="78">
        <f t="shared" si="75"/>
        <v>-2</v>
      </c>
      <c r="Z385" s="77">
        <f t="shared" si="76"/>
        <v>0</v>
      </c>
      <c r="AA385" s="76">
        <f t="shared" si="77"/>
        <v>4.2549999999999999</v>
      </c>
      <c r="AB385" s="76">
        <f t="shared" si="78"/>
        <v>2.11</v>
      </c>
    </row>
    <row r="386" spans="2:28">
      <c r="B386" s="90">
        <f>'116+240'!B387</f>
        <v>45654</v>
      </c>
      <c r="C386" s="87">
        <f t="shared" si="70"/>
        <v>1</v>
      </c>
      <c r="D386" s="86">
        <f t="shared" si="71"/>
        <v>844</v>
      </c>
      <c r="E386" s="85">
        <f>VLOOKUP(B386,'116+240'!B387:AB387,3,FALSE)</f>
        <v>1923</v>
      </c>
      <c r="F386" s="81">
        <f t="shared" si="66"/>
        <v>2767</v>
      </c>
      <c r="G386" s="84">
        <f>VLOOKUP(B386,'116+240'!$B$15:$AB$682,20,FALSE)</f>
        <v>3009</v>
      </c>
      <c r="H386" s="84">
        <f>VLOOKUP(B386,'116+240'!$B$15:$AB$682,4,FALSE)</f>
        <v>28</v>
      </c>
      <c r="I386" s="80">
        <f t="shared" si="67"/>
        <v>2739</v>
      </c>
      <c r="J386" s="80">
        <f>VLOOKUP(B386,'116+240'!$B$15:$AB$682,13,FALSE)</f>
        <v>-1261</v>
      </c>
      <c r="K386" s="89">
        <f>'116+240'!Q387</f>
        <v>2</v>
      </c>
      <c r="L386" s="83">
        <f t="shared" si="72"/>
        <v>1301</v>
      </c>
      <c r="M386" s="82">
        <f>VLOOKUP(B386,'116+240'!$B$14:$AB$682,21,FALSE)</f>
        <v>3165</v>
      </c>
      <c r="N386" s="81">
        <f>VLOOKUP(B386,'116+240'!$B$15:$AB$682,5,FALSE)</f>
        <v>-8</v>
      </c>
      <c r="O386" s="80">
        <f t="shared" si="68"/>
        <v>2775</v>
      </c>
      <c r="P386" s="80">
        <f>VLOOKUP(B386,'116+240'!$B$15:$AB$682,14,FALSE)</f>
        <v>-1225</v>
      </c>
      <c r="Q386" s="89">
        <f>'116+240'!R387</f>
        <v>5</v>
      </c>
      <c r="R386" s="83">
        <f t="shared" si="73"/>
        <v>1145</v>
      </c>
      <c r="S386" s="82">
        <f>VLOOKUP(B386,'116+240'!$B$14:$AB$682,22,FALSE)</f>
        <v>3188</v>
      </c>
      <c r="T386" s="81">
        <f>VLOOKUP(B386,'116+240'!$B$15:$AB$682,6,FALSE)</f>
        <v>-81</v>
      </c>
      <c r="U386" s="80">
        <f t="shared" si="69"/>
        <v>2848</v>
      </c>
      <c r="V386" s="79">
        <f>VLOOKUP(B386,'116+240'!$B$15:$AB$682,15,FALSE)</f>
        <v>-1152</v>
      </c>
      <c r="W386" s="89">
        <f>'116+240'!S387</f>
        <v>2</v>
      </c>
      <c r="X386" s="83">
        <f t="shared" si="74"/>
        <v>1122</v>
      </c>
      <c r="Y386" s="78">
        <f t="shared" si="75"/>
        <v>-2</v>
      </c>
      <c r="Z386" s="77">
        <f t="shared" si="76"/>
        <v>0</v>
      </c>
      <c r="AA386" s="76">
        <f t="shared" si="77"/>
        <v>4.2549999999999999</v>
      </c>
      <c r="AB386" s="76">
        <f t="shared" si="78"/>
        <v>2.1</v>
      </c>
    </row>
    <row r="387" spans="2:28">
      <c r="B387" s="90">
        <f>'116+240'!B388</f>
        <v>45655</v>
      </c>
      <c r="C387" s="87">
        <f t="shared" si="70"/>
        <v>1</v>
      </c>
      <c r="D387" s="86">
        <f t="shared" si="71"/>
        <v>844</v>
      </c>
      <c r="E387" s="85">
        <f>VLOOKUP(B387,'116+240'!B388:AB388,3,FALSE)</f>
        <v>1925</v>
      </c>
      <c r="F387" s="81">
        <f t="shared" si="66"/>
        <v>2769</v>
      </c>
      <c r="G387" s="84">
        <f>VLOOKUP(B387,'116+240'!$B$15:$AB$682,20,FALSE)</f>
        <v>3009</v>
      </c>
      <c r="H387" s="84">
        <f>VLOOKUP(B387,'116+240'!$B$15:$AB$682,4,FALSE)</f>
        <v>30</v>
      </c>
      <c r="I387" s="80">
        <f t="shared" si="67"/>
        <v>2739</v>
      </c>
      <c r="J387" s="80">
        <f>VLOOKUP(B387,'116+240'!$B$15:$AB$682,13,FALSE)</f>
        <v>-1261</v>
      </c>
      <c r="K387" s="89">
        <f>'116+240'!Q388</f>
        <v>0</v>
      </c>
      <c r="L387" s="83">
        <f t="shared" si="72"/>
        <v>1301</v>
      </c>
      <c r="M387" s="82">
        <f>VLOOKUP(B387,'116+240'!$B$14:$AB$682,21,FALSE)</f>
        <v>3165</v>
      </c>
      <c r="N387" s="81">
        <f>VLOOKUP(B387,'116+240'!$B$15:$AB$682,5,FALSE)</f>
        <v>-6</v>
      </c>
      <c r="O387" s="80">
        <f t="shared" si="68"/>
        <v>2775</v>
      </c>
      <c r="P387" s="80">
        <f>VLOOKUP(B387,'116+240'!$B$15:$AB$682,14,FALSE)</f>
        <v>-1225</v>
      </c>
      <c r="Q387" s="89">
        <f>'116+240'!R388</f>
        <v>0</v>
      </c>
      <c r="R387" s="83">
        <f t="shared" si="73"/>
        <v>1145</v>
      </c>
      <c r="S387" s="82">
        <f>VLOOKUP(B387,'116+240'!$B$14:$AB$682,22,FALSE)</f>
        <v>3188</v>
      </c>
      <c r="T387" s="81">
        <f>VLOOKUP(B387,'116+240'!$B$15:$AB$682,6,FALSE)</f>
        <v>-79</v>
      </c>
      <c r="U387" s="80">
        <f t="shared" si="69"/>
        <v>2848</v>
      </c>
      <c r="V387" s="79">
        <f>VLOOKUP(B387,'116+240'!$B$15:$AB$682,15,FALSE)</f>
        <v>-1152</v>
      </c>
      <c r="W387" s="89">
        <f>'116+240'!S388</f>
        <v>0</v>
      </c>
      <c r="X387" s="83">
        <f t="shared" si="74"/>
        <v>1122</v>
      </c>
      <c r="Y387" s="78">
        <f t="shared" si="75"/>
        <v>0</v>
      </c>
      <c r="Z387" s="77">
        <f t="shared" si="76"/>
        <v>0</v>
      </c>
      <c r="AA387" s="76">
        <f t="shared" si="77"/>
        <v>4.2549999999999999</v>
      </c>
      <c r="AB387" s="76">
        <f t="shared" si="78"/>
        <v>2.1</v>
      </c>
    </row>
    <row r="388" spans="2:28">
      <c r="B388" s="90">
        <f>'116+240'!B389</f>
        <v>45656</v>
      </c>
      <c r="C388" s="87">
        <f t="shared" si="70"/>
        <v>1</v>
      </c>
      <c r="D388" s="86">
        <f t="shared" si="71"/>
        <v>844</v>
      </c>
      <c r="E388" s="85">
        <f>VLOOKUP(B388,'116+240'!B389:AB389,3,FALSE)</f>
        <v>1927</v>
      </c>
      <c r="F388" s="81">
        <f t="shared" si="66"/>
        <v>2771</v>
      </c>
      <c r="G388" s="84">
        <f>VLOOKUP(B388,'116+240'!$B$15:$AB$682,20,FALSE)</f>
        <v>3006</v>
      </c>
      <c r="H388" s="84">
        <f>VLOOKUP(B388,'116+240'!$B$15:$AB$682,4,FALSE)</f>
        <v>35</v>
      </c>
      <c r="I388" s="80">
        <f t="shared" si="67"/>
        <v>2736</v>
      </c>
      <c r="J388" s="80">
        <f>VLOOKUP(B388,'116+240'!$B$15:$AB$682,13,FALSE)</f>
        <v>-1264</v>
      </c>
      <c r="K388" s="89">
        <f>'116+240'!Q389</f>
        <v>3</v>
      </c>
      <c r="L388" s="83">
        <f t="shared" si="72"/>
        <v>1304</v>
      </c>
      <c r="M388" s="82">
        <f>VLOOKUP(B388,'116+240'!$B$14:$AB$682,21,FALSE)</f>
        <v>3164</v>
      </c>
      <c r="N388" s="81">
        <f>VLOOKUP(B388,'116+240'!$B$15:$AB$682,5,FALSE)</f>
        <v>-3</v>
      </c>
      <c r="O388" s="80">
        <f t="shared" si="68"/>
        <v>2774</v>
      </c>
      <c r="P388" s="80">
        <f>VLOOKUP(B388,'116+240'!$B$15:$AB$682,14,FALSE)</f>
        <v>-1226</v>
      </c>
      <c r="Q388" s="89">
        <f>'116+240'!R389</f>
        <v>1</v>
      </c>
      <c r="R388" s="83">
        <f t="shared" si="73"/>
        <v>1146</v>
      </c>
      <c r="S388" s="82">
        <f>VLOOKUP(B388,'116+240'!$B$14:$AB$682,22,FALSE)</f>
        <v>3180</v>
      </c>
      <c r="T388" s="81">
        <f>VLOOKUP(B388,'116+240'!$B$15:$AB$682,6,FALSE)</f>
        <v>-69</v>
      </c>
      <c r="U388" s="80">
        <f t="shared" si="69"/>
        <v>2840</v>
      </c>
      <c r="V388" s="79">
        <f>VLOOKUP(B388,'116+240'!$B$15:$AB$682,15,FALSE)</f>
        <v>-1160</v>
      </c>
      <c r="W388" s="89">
        <f>'116+240'!S389</f>
        <v>8</v>
      </c>
      <c r="X388" s="83">
        <f t="shared" si="74"/>
        <v>1130</v>
      </c>
      <c r="Y388" s="78">
        <f t="shared" si="75"/>
        <v>-8</v>
      </c>
      <c r="Z388" s="77">
        <f t="shared" si="76"/>
        <v>0</v>
      </c>
      <c r="AA388" s="76">
        <f t="shared" si="77"/>
        <v>4.2549999999999999</v>
      </c>
      <c r="AB388" s="76">
        <f t="shared" si="78"/>
        <v>2.0979999999999999</v>
      </c>
    </row>
    <row r="389" spans="2:28">
      <c r="B389" s="90">
        <f>'116+240'!B390</f>
        <v>45657</v>
      </c>
      <c r="C389" s="87">
        <f t="shared" si="70"/>
        <v>1</v>
      </c>
      <c r="D389" s="86">
        <f t="shared" si="71"/>
        <v>844</v>
      </c>
      <c r="E389" s="85">
        <f>VLOOKUP(B389,'116+240'!B390:AB390,3,FALSE)</f>
        <v>1929</v>
      </c>
      <c r="F389" s="81">
        <f t="shared" si="66"/>
        <v>2773</v>
      </c>
      <c r="G389" s="84">
        <f>VLOOKUP(B389,'116+240'!$B$15:$AB$682,20,FALSE)</f>
        <v>3004</v>
      </c>
      <c r="H389" s="84">
        <f>VLOOKUP(B389,'116+240'!$B$15:$AB$682,4,FALSE)</f>
        <v>39</v>
      </c>
      <c r="I389" s="80">
        <f t="shared" si="67"/>
        <v>2734</v>
      </c>
      <c r="J389" s="80">
        <f>VLOOKUP(B389,'116+240'!$B$15:$AB$682,13,FALSE)</f>
        <v>-1266</v>
      </c>
      <c r="K389" s="89">
        <f>'116+240'!Q390</f>
        <v>2</v>
      </c>
      <c r="L389" s="83">
        <f t="shared" si="72"/>
        <v>1306</v>
      </c>
      <c r="M389" s="82">
        <f>VLOOKUP(B389,'116+240'!$B$14:$AB$682,21,FALSE)</f>
        <v>3162</v>
      </c>
      <c r="N389" s="81">
        <f>VLOOKUP(B389,'116+240'!$B$15:$AB$682,5,FALSE)</f>
        <v>1</v>
      </c>
      <c r="O389" s="80">
        <f t="shared" si="68"/>
        <v>2772</v>
      </c>
      <c r="P389" s="80">
        <f>VLOOKUP(B389,'116+240'!$B$15:$AB$682,14,FALSE)</f>
        <v>-1228</v>
      </c>
      <c r="Q389" s="89">
        <f>'116+240'!R390</f>
        <v>2</v>
      </c>
      <c r="R389" s="83">
        <f t="shared" si="73"/>
        <v>1148</v>
      </c>
      <c r="S389" s="82">
        <f>VLOOKUP(B389,'116+240'!$B$14:$AB$682,22,FALSE)</f>
        <v>3174</v>
      </c>
      <c r="T389" s="81">
        <f>VLOOKUP(B389,'116+240'!$B$15:$AB$682,6,FALSE)</f>
        <v>-61</v>
      </c>
      <c r="U389" s="80">
        <f t="shared" si="69"/>
        <v>2834</v>
      </c>
      <c r="V389" s="79">
        <f>VLOOKUP(B389,'116+240'!$B$15:$AB$682,15,FALSE)</f>
        <v>-1166</v>
      </c>
      <c r="W389" s="89">
        <f>'116+240'!S390</f>
        <v>6</v>
      </c>
      <c r="X389" s="83">
        <f t="shared" si="74"/>
        <v>1136</v>
      </c>
      <c r="Y389" s="78">
        <f t="shared" si="75"/>
        <v>-6</v>
      </c>
      <c r="Z389" s="77">
        <f t="shared" si="76"/>
        <v>0</v>
      </c>
      <c r="AA389" s="76">
        <f t="shared" si="77"/>
        <v>4.2549999999999999</v>
      </c>
      <c r="AB389" s="76">
        <f t="shared" si="78"/>
        <v>2.0939999999999999</v>
      </c>
    </row>
    <row r="390" spans="2:28">
      <c r="B390" s="90">
        <f>'116+240'!B391</f>
        <v>45658</v>
      </c>
      <c r="C390" s="87">
        <f t="shared" si="70"/>
        <v>1</v>
      </c>
      <c r="D390" s="86">
        <f t="shared" si="71"/>
        <v>844</v>
      </c>
      <c r="E390" s="85">
        <f>VLOOKUP(B390,'116+240'!B391:AB391,3,FALSE)</f>
        <v>1931</v>
      </c>
      <c r="F390" s="81">
        <f t="shared" si="66"/>
        <v>2775</v>
      </c>
      <c r="G390" s="84">
        <f>VLOOKUP(B390,'116+240'!$B$15:$AB$682,20,FALSE)</f>
        <v>3001</v>
      </c>
      <c r="H390" s="84">
        <f>VLOOKUP(B390,'116+240'!$B$15:$AB$682,4,FALSE)</f>
        <v>44</v>
      </c>
      <c r="I390" s="80">
        <f t="shared" si="67"/>
        <v>2731</v>
      </c>
      <c r="J390" s="80">
        <f>VLOOKUP(B390,'116+240'!$B$15:$AB$682,13,FALSE)</f>
        <v>-1269</v>
      </c>
      <c r="K390" s="89">
        <f>'116+240'!Q391</f>
        <v>3</v>
      </c>
      <c r="L390" s="83">
        <f t="shared" si="72"/>
        <v>1309</v>
      </c>
      <c r="M390" s="82">
        <f>VLOOKUP(B390,'116+240'!$B$14:$AB$682,21,FALSE)</f>
        <v>3160</v>
      </c>
      <c r="N390" s="81">
        <f>VLOOKUP(B390,'116+240'!$B$15:$AB$682,5,FALSE)</f>
        <v>5</v>
      </c>
      <c r="O390" s="80">
        <f t="shared" si="68"/>
        <v>2770</v>
      </c>
      <c r="P390" s="80">
        <f>VLOOKUP(B390,'116+240'!$B$15:$AB$682,14,FALSE)</f>
        <v>-1230</v>
      </c>
      <c r="Q390" s="89">
        <f>'116+240'!R391</f>
        <v>2</v>
      </c>
      <c r="R390" s="83">
        <f t="shared" si="73"/>
        <v>1150</v>
      </c>
      <c r="S390" s="82">
        <f>VLOOKUP(B390,'116+240'!$B$14:$AB$682,22,FALSE)</f>
        <v>3173</v>
      </c>
      <c r="T390" s="81">
        <f>VLOOKUP(B390,'116+240'!$B$15:$AB$682,6,FALSE)</f>
        <v>-58</v>
      </c>
      <c r="U390" s="80">
        <f t="shared" si="69"/>
        <v>2833</v>
      </c>
      <c r="V390" s="79">
        <f>VLOOKUP(B390,'116+240'!$B$15:$AB$682,15,FALSE)</f>
        <v>-1167</v>
      </c>
      <c r="W390" s="89">
        <f>'116+240'!S391</f>
        <v>1</v>
      </c>
      <c r="X390" s="83">
        <f t="shared" si="74"/>
        <v>1137</v>
      </c>
      <c r="Y390" s="78">
        <f t="shared" si="75"/>
        <v>-1</v>
      </c>
      <c r="Z390" s="77">
        <f t="shared" si="76"/>
        <v>0</v>
      </c>
      <c r="AA390" s="76">
        <f t="shared" si="77"/>
        <v>4.2549999999999999</v>
      </c>
      <c r="AB390" s="76">
        <f t="shared" si="78"/>
        <v>2.09</v>
      </c>
    </row>
    <row r="391" spans="2:28">
      <c r="B391" s="90">
        <f>'116+240'!B392</f>
        <v>45659</v>
      </c>
      <c r="C391" s="87">
        <f t="shared" si="70"/>
        <v>1</v>
      </c>
      <c r="D391" s="86">
        <f t="shared" si="71"/>
        <v>844</v>
      </c>
      <c r="E391" s="85">
        <f>VLOOKUP(B391,'116+240'!B392:AB392,3,FALSE)</f>
        <v>1933</v>
      </c>
      <c r="F391" s="81">
        <f t="shared" si="66"/>
        <v>2777</v>
      </c>
      <c r="G391" s="84">
        <f>VLOOKUP(B391,'116+240'!$B$15:$AB$682,20,FALSE)</f>
        <v>2999</v>
      </c>
      <c r="H391" s="84">
        <f>VLOOKUP(B391,'116+240'!$B$15:$AB$682,4,FALSE)</f>
        <v>48</v>
      </c>
      <c r="I391" s="80">
        <f t="shared" si="67"/>
        <v>2729</v>
      </c>
      <c r="J391" s="80">
        <f>VLOOKUP(B391,'116+240'!$B$15:$AB$682,13,FALSE)</f>
        <v>-1271</v>
      </c>
      <c r="K391" s="89">
        <f>'116+240'!Q392</f>
        <v>2</v>
      </c>
      <c r="L391" s="83">
        <f t="shared" si="72"/>
        <v>1311</v>
      </c>
      <c r="M391" s="82">
        <f>VLOOKUP(B391,'116+240'!$B$14:$AB$682,21,FALSE)</f>
        <v>3158</v>
      </c>
      <c r="N391" s="81">
        <f>VLOOKUP(B391,'116+240'!$B$15:$AB$682,5,FALSE)</f>
        <v>9</v>
      </c>
      <c r="O391" s="80">
        <f t="shared" si="68"/>
        <v>2768</v>
      </c>
      <c r="P391" s="80">
        <f>VLOOKUP(B391,'116+240'!$B$15:$AB$682,14,FALSE)</f>
        <v>-1232</v>
      </c>
      <c r="Q391" s="89">
        <f>'116+240'!R392</f>
        <v>2</v>
      </c>
      <c r="R391" s="83">
        <f t="shared" si="73"/>
        <v>1152</v>
      </c>
      <c r="S391" s="82">
        <f>VLOOKUP(B391,'116+240'!$B$14:$AB$682,22,FALSE)</f>
        <v>3171</v>
      </c>
      <c r="T391" s="81">
        <f>VLOOKUP(B391,'116+240'!$B$15:$AB$682,6,FALSE)</f>
        <v>-54</v>
      </c>
      <c r="U391" s="80">
        <f t="shared" si="69"/>
        <v>2831</v>
      </c>
      <c r="V391" s="79">
        <f>VLOOKUP(B391,'116+240'!$B$15:$AB$682,15,FALSE)</f>
        <v>-1169</v>
      </c>
      <c r="W391" s="89">
        <f>'116+240'!S392</f>
        <v>2</v>
      </c>
      <c r="X391" s="83">
        <f t="shared" si="74"/>
        <v>1139</v>
      </c>
      <c r="Y391" s="78">
        <f t="shared" si="75"/>
        <v>-2</v>
      </c>
      <c r="Z391" s="77">
        <f t="shared" si="76"/>
        <v>0</v>
      </c>
      <c r="AA391" s="76">
        <f t="shared" si="77"/>
        <v>4.2549999999999999</v>
      </c>
      <c r="AB391" s="76">
        <f t="shared" si="78"/>
        <v>2.0859999999999999</v>
      </c>
    </row>
    <row r="392" spans="2:28">
      <c r="B392" s="90">
        <f>'116+240'!B393</f>
        <v>45660</v>
      </c>
      <c r="C392" s="87">
        <f t="shared" si="70"/>
        <v>1</v>
      </c>
      <c r="D392" s="86">
        <f t="shared" si="71"/>
        <v>844</v>
      </c>
      <c r="E392" s="85">
        <f>VLOOKUP(B392,'116+240'!B393:AB393,3,FALSE)</f>
        <v>1935</v>
      </c>
      <c r="F392" s="81">
        <f t="shared" si="66"/>
        <v>2779</v>
      </c>
      <c r="G392" s="84">
        <f>VLOOKUP(B392,'116+240'!$B$15:$AB$682,20,FALSE)</f>
        <v>2998</v>
      </c>
      <c r="H392" s="84">
        <f>VLOOKUP(B392,'116+240'!$B$15:$AB$682,4,FALSE)</f>
        <v>51</v>
      </c>
      <c r="I392" s="80">
        <f t="shared" si="67"/>
        <v>2728</v>
      </c>
      <c r="J392" s="80">
        <f>VLOOKUP(B392,'116+240'!$B$15:$AB$682,13,FALSE)</f>
        <v>-1272</v>
      </c>
      <c r="K392" s="89">
        <f>'116+240'!Q393</f>
        <v>1</v>
      </c>
      <c r="L392" s="83">
        <f t="shared" si="72"/>
        <v>1312</v>
      </c>
      <c r="M392" s="82">
        <f>VLOOKUP(B392,'116+240'!$B$14:$AB$682,21,FALSE)</f>
        <v>3156</v>
      </c>
      <c r="N392" s="81">
        <f>VLOOKUP(B392,'116+240'!$B$15:$AB$682,5,FALSE)</f>
        <v>13</v>
      </c>
      <c r="O392" s="80">
        <f t="shared" si="68"/>
        <v>2766</v>
      </c>
      <c r="P392" s="80">
        <f>VLOOKUP(B392,'116+240'!$B$15:$AB$682,14,FALSE)</f>
        <v>-1234</v>
      </c>
      <c r="Q392" s="89">
        <f>'116+240'!R393</f>
        <v>2</v>
      </c>
      <c r="R392" s="83">
        <f t="shared" si="73"/>
        <v>1154</v>
      </c>
      <c r="S392" s="82">
        <f>VLOOKUP(B392,'116+240'!$B$14:$AB$682,22,FALSE)</f>
        <v>3169</v>
      </c>
      <c r="T392" s="81">
        <f>VLOOKUP(B392,'116+240'!$B$15:$AB$682,6,FALSE)</f>
        <v>-50</v>
      </c>
      <c r="U392" s="80">
        <f t="shared" si="69"/>
        <v>2829</v>
      </c>
      <c r="V392" s="79">
        <f>VLOOKUP(B392,'116+240'!$B$15:$AB$682,15,FALSE)</f>
        <v>-1171</v>
      </c>
      <c r="W392" s="89">
        <f>'116+240'!S393</f>
        <v>2</v>
      </c>
      <c r="X392" s="83">
        <f t="shared" si="74"/>
        <v>1141</v>
      </c>
      <c r="Y392" s="78">
        <f t="shared" si="75"/>
        <v>-2</v>
      </c>
      <c r="Z392" s="77">
        <f t="shared" si="76"/>
        <v>0</v>
      </c>
      <c r="AA392" s="76">
        <f t="shared" si="77"/>
        <v>4.2549999999999999</v>
      </c>
      <c r="AB392" s="76">
        <f t="shared" si="78"/>
        <v>2.0819999999999999</v>
      </c>
    </row>
    <row r="393" spans="2:28">
      <c r="B393" s="90">
        <f>'116+240'!B394</f>
        <v>45661</v>
      </c>
      <c r="C393" s="87">
        <f t="shared" si="70"/>
        <v>1</v>
      </c>
      <c r="D393" s="86">
        <f t="shared" si="71"/>
        <v>844</v>
      </c>
      <c r="E393" s="85">
        <f>VLOOKUP(B393,'116+240'!B394:AB394,3,FALSE)</f>
        <v>1937</v>
      </c>
      <c r="F393" s="81">
        <f t="shared" si="66"/>
        <v>2781</v>
      </c>
      <c r="G393" s="84">
        <f>VLOOKUP(B393,'116+240'!$B$15:$AB$682,20,FALSE)</f>
        <v>2995</v>
      </c>
      <c r="H393" s="84">
        <f>VLOOKUP(B393,'116+240'!$B$15:$AB$682,4,FALSE)</f>
        <v>56</v>
      </c>
      <c r="I393" s="80">
        <f t="shared" si="67"/>
        <v>2725</v>
      </c>
      <c r="J393" s="80">
        <f>VLOOKUP(B393,'116+240'!$B$15:$AB$682,13,FALSE)</f>
        <v>-1275</v>
      </c>
      <c r="K393" s="89">
        <f>'116+240'!Q394</f>
        <v>3</v>
      </c>
      <c r="L393" s="83">
        <f t="shared" si="72"/>
        <v>1315</v>
      </c>
      <c r="M393" s="82">
        <f>VLOOKUP(B393,'116+240'!$B$14:$AB$682,21,FALSE)</f>
        <v>3154</v>
      </c>
      <c r="N393" s="81">
        <f>VLOOKUP(B393,'116+240'!$B$15:$AB$682,5,FALSE)</f>
        <v>17</v>
      </c>
      <c r="O393" s="80">
        <f t="shared" si="68"/>
        <v>2764</v>
      </c>
      <c r="P393" s="80">
        <f>VLOOKUP(B393,'116+240'!$B$15:$AB$682,14,FALSE)</f>
        <v>-1236</v>
      </c>
      <c r="Q393" s="89">
        <f>'116+240'!R394</f>
        <v>2</v>
      </c>
      <c r="R393" s="83">
        <f t="shared" si="73"/>
        <v>1156</v>
      </c>
      <c r="S393" s="82">
        <f>VLOOKUP(B393,'116+240'!$B$14:$AB$682,22,FALSE)</f>
        <v>3169</v>
      </c>
      <c r="T393" s="81">
        <f>VLOOKUP(B393,'116+240'!$B$15:$AB$682,6,FALSE)</f>
        <v>-48</v>
      </c>
      <c r="U393" s="80">
        <f t="shared" si="69"/>
        <v>2829</v>
      </c>
      <c r="V393" s="79">
        <f>VLOOKUP(B393,'116+240'!$B$15:$AB$682,15,FALSE)</f>
        <v>-1171</v>
      </c>
      <c r="W393" s="89">
        <f>'116+240'!S394</f>
        <v>0</v>
      </c>
      <c r="X393" s="83">
        <f t="shared" si="74"/>
        <v>1141</v>
      </c>
      <c r="Y393" s="78">
        <f t="shared" si="75"/>
        <v>0</v>
      </c>
      <c r="Z393" s="77">
        <f t="shared" si="76"/>
        <v>0</v>
      </c>
      <c r="AA393" s="76">
        <f t="shared" si="77"/>
        <v>4.2549999999999999</v>
      </c>
      <c r="AB393" s="76">
        <f t="shared" si="78"/>
        <v>2.0779999999999998</v>
      </c>
    </row>
    <row r="394" spans="2:28">
      <c r="B394" s="90">
        <f>'116+240'!B395</f>
        <v>45662</v>
      </c>
      <c r="C394" s="87">
        <f t="shared" si="70"/>
        <v>1</v>
      </c>
      <c r="D394" s="86">
        <f t="shared" si="71"/>
        <v>844</v>
      </c>
      <c r="E394" s="85">
        <f>VLOOKUP(B394,'116+240'!B395:AB395,3,FALSE)</f>
        <v>1939</v>
      </c>
      <c r="F394" s="81">
        <f t="shared" si="66"/>
        <v>2783</v>
      </c>
      <c r="G394" s="84">
        <f>VLOOKUP(B394,'116+240'!$B$15:$AB$682,20,FALSE)</f>
        <v>2993</v>
      </c>
      <c r="H394" s="84">
        <f>VLOOKUP(B394,'116+240'!$B$15:$AB$682,4,FALSE)</f>
        <v>60</v>
      </c>
      <c r="I394" s="80">
        <f t="shared" si="67"/>
        <v>2723</v>
      </c>
      <c r="J394" s="80">
        <f>VLOOKUP(B394,'116+240'!$B$15:$AB$682,13,FALSE)</f>
        <v>-1277</v>
      </c>
      <c r="K394" s="89">
        <f>'116+240'!Q395</f>
        <v>2</v>
      </c>
      <c r="L394" s="83">
        <f t="shared" si="72"/>
        <v>1317</v>
      </c>
      <c r="M394" s="82">
        <f>VLOOKUP(B394,'116+240'!$B$14:$AB$682,21,FALSE)</f>
        <v>3152</v>
      </c>
      <c r="N394" s="81">
        <f>VLOOKUP(B394,'116+240'!$B$15:$AB$682,5,FALSE)</f>
        <v>21</v>
      </c>
      <c r="O394" s="80">
        <f t="shared" si="68"/>
        <v>2762</v>
      </c>
      <c r="P394" s="80">
        <f>VLOOKUP(B394,'116+240'!$B$15:$AB$682,14,FALSE)</f>
        <v>-1238</v>
      </c>
      <c r="Q394" s="89">
        <f>'116+240'!R395</f>
        <v>2</v>
      </c>
      <c r="R394" s="83">
        <f t="shared" si="73"/>
        <v>1158</v>
      </c>
      <c r="S394" s="82">
        <f>VLOOKUP(B394,'116+240'!$B$14:$AB$682,22,FALSE)</f>
        <v>3169</v>
      </c>
      <c r="T394" s="81">
        <f>VLOOKUP(B394,'116+240'!$B$15:$AB$682,6,FALSE)</f>
        <v>-46</v>
      </c>
      <c r="U394" s="80">
        <f t="shared" si="69"/>
        <v>2829</v>
      </c>
      <c r="V394" s="79">
        <f>VLOOKUP(B394,'116+240'!$B$15:$AB$682,15,FALSE)</f>
        <v>-1171</v>
      </c>
      <c r="W394" s="89">
        <f>'116+240'!S395</f>
        <v>0</v>
      </c>
      <c r="X394" s="83">
        <f t="shared" si="74"/>
        <v>1141</v>
      </c>
      <c r="Y394" s="78">
        <f t="shared" si="75"/>
        <v>0</v>
      </c>
      <c r="Z394" s="77">
        <f t="shared" si="76"/>
        <v>0</v>
      </c>
      <c r="AA394" s="76">
        <f t="shared" si="77"/>
        <v>4.2549999999999999</v>
      </c>
      <c r="AB394" s="76">
        <f t="shared" si="78"/>
        <v>2.0739999999999998</v>
      </c>
    </row>
    <row r="395" spans="2:28">
      <c r="B395" s="90">
        <f>'116+240'!B396</f>
        <v>45663</v>
      </c>
      <c r="C395" s="87">
        <f t="shared" si="70"/>
        <v>1</v>
      </c>
      <c r="D395" s="86">
        <f t="shared" si="71"/>
        <v>844</v>
      </c>
      <c r="E395" s="85">
        <f>VLOOKUP(B395,'116+240'!B396:AB396,3,FALSE)</f>
        <v>1941</v>
      </c>
      <c r="F395" s="81">
        <f t="shared" si="66"/>
        <v>2785</v>
      </c>
      <c r="G395" s="84">
        <f>VLOOKUP(B395,'116+240'!$B$15:$AB$682,20,FALSE)</f>
        <v>2992</v>
      </c>
      <c r="H395" s="84">
        <f>VLOOKUP(B395,'116+240'!$B$15:$AB$682,4,FALSE)</f>
        <v>63</v>
      </c>
      <c r="I395" s="80">
        <f t="shared" si="67"/>
        <v>2722</v>
      </c>
      <c r="J395" s="80">
        <f>VLOOKUP(B395,'116+240'!$B$15:$AB$682,13,FALSE)</f>
        <v>-1278</v>
      </c>
      <c r="K395" s="89">
        <f>'116+240'!Q396</f>
        <v>1</v>
      </c>
      <c r="L395" s="83">
        <f t="shared" si="72"/>
        <v>1318</v>
      </c>
      <c r="M395" s="82">
        <f>VLOOKUP(B395,'116+240'!$B$14:$AB$682,21,FALSE)</f>
        <v>3147</v>
      </c>
      <c r="N395" s="81">
        <f>VLOOKUP(B395,'116+240'!$B$15:$AB$682,5,FALSE)</f>
        <v>28</v>
      </c>
      <c r="O395" s="80">
        <f t="shared" si="68"/>
        <v>2757</v>
      </c>
      <c r="P395" s="80">
        <f>VLOOKUP(B395,'116+240'!$B$15:$AB$682,14,FALSE)</f>
        <v>-1243</v>
      </c>
      <c r="Q395" s="89">
        <f>'116+240'!R396</f>
        <v>5</v>
      </c>
      <c r="R395" s="83">
        <f t="shared" si="73"/>
        <v>1163</v>
      </c>
      <c r="S395" s="82">
        <f>VLOOKUP(B395,'116+240'!$B$14:$AB$682,22,FALSE)</f>
        <v>3167</v>
      </c>
      <c r="T395" s="81">
        <f>VLOOKUP(B395,'116+240'!$B$15:$AB$682,6,FALSE)</f>
        <v>-42</v>
      </c>
      <c r="U395" s="80">
        <f t="shared" si="69"/>
        <v>2827</v>
      </c>
      <c r="V395" s="79">
        <f>VLOOKUP(B395,'116+240'!$B$15:$AB$682,15,FALSE)</f>
        <v>-1173</v>
      </c>
      <c r="W395" s="89">
        <f>'116+240'!S396</f>
        <v>2</v>
      </c>
      <c r="X395" s="83">
        <f t="shared" si="74"/>
        <v>1143</v>
      </c>
      <c r="Y395" s="78">
        <f t="shared" si="75"/>
        <v>-2</v>
      </c>
      <c r="Z395" s="77">
        <f t="shared" si="76"/>
        <v>0</v>
      </c>
      <c r="AA395" s="76">
        <f t="shared" si="77"/>
        <v>4.2549999999999999</v>
      </c>
      <c r="AB395" s="76">
        <f t="shared" si="78"/>
        <v>2.0640000000000001</v>
      </c>
    </row>
    <row r="396" spans="2:28">
      <c r="B396" s="90">
        <f>'116+240'!B397</f>
        <v>45664</v>
      </c>
      <c r="C396" s="87">
        <f t="shared" si="70"/>
        <v>1</v>
      </c>
      <c r="D396" s="86">
        <f t="shared" si="71"/>
        <v>844</v>
      </c>
      <c r="E396" s="85">
        <f>VLOOKUP(B396,'116+240'!B397:AB397,3,FALSE)</f>
        <v>1943</v>
      </c>
      <c r="F396" s="81">
        <f t="shared" si="66"/>
        <v>2787</v>
      </c>
      <c r="G396" s="84">
        <f>VLOOKUP(B396,'116+240'!$B$15:$AB$682,20,FALSE)</f>
        <v>2990</v>
      </c>
      <c r="H396" s="84">
        <f>VLOOKUP(B396,'116+240'!$B$15:$AB$682,4,FALSE)</f>
        <v>67</v>
      </c>
      <c r="I396" s="80">
        <f t="shared" si="67"/>
        <v>2720</v>
      </c>
      <c r="J396" s="80">
        <f>VLOOKUP(B396,'116+240'!$B$15:$AB$682,13,FALSE)</f>
        <v>-1280</v>
      </c>
      <c r="K396" s="89">
        <f>'116+240'!Q397</f>
        <v>2</v>
      </c>
      <c r="L396" s="83">
        <f t="shared" si="72"/>
        <v>1320</v>
      </c>
      <c r="M396" s="82">
        <f>VLOOKUP(B396,'116+240'!$B$14:$AB$682,21,FALSE)</f>
        <v>3142</v>
      </c>
      <c r="N396" s="81">
        <f>VLOOKUP(B396,'116+240'!$B$15:$AB$682,5,FALSE)</f>
        <v>35</v>
      </c>
      <c r="O396" s="80">
        <f t="shared" si="68"/>
        <v>2752</v>
      </c>
      <c r="P396" s="80">
        <f>VLOOKUP(B396,'116+240'!$B$15:$AB$682,14,FALSE)</f>
        <v>-1248</v>
      </c>
      <c r="Q396" s="89">
        <f>'116+240'!R397</f>
        <v>5</v>
      </c>
      <c r="R396" s="83">
        <f t="shared" si="73"/>
        <v>1168</v>
      </c>
      <c r="S396" s="82">
        <f>VLOOKUP(B396,'116+240'!$B$14:$AB$682,22,FALSE)</f>
        <v>3166</v>
      </c>
      <c r="T396" s="81">
        <f>VLOOKUP(B396,'116+240'!$B$15:$AB$682,6,FALSE)</f>
        <v>-39</v>
      </c>
      <c r="U396" s="80">
        <f t="shared" si="69"/>
        <v>2826</v>
      </c>
      <c r="V396" s="79">
        <f>VLOOKUP(B396,'116+240'!$B$15:$AB$682,15,FALSE)</f>
        <v>-1174</v>
      </c>
      <c r="W396" s="89">
        <f>'116+240'!S397</f>
        <v>1</v>
      </c>
      <c r="X396" s="83">
        <f t="shared" si="74"/>
        <v>1144</v>
      </c>
      <c r="Y396" s="78">
        <f t="shared" si="75"/>
        <v>-1</v>
      </c>
      <c r="Z396" s="77">
        <f t="shared" si="76"/>
        <v>0</v>
      </c>
      <c r="AA396" s="76">
        <f t="shared" si="77"/>
        <v>4.2549999999999999</v>
      </c>
      <c r="AB396" s="76">
        <f t="shared" si="78"/>
        <v>2.0539999999999998</v>
      </c>
    </row>
    <row r="397" spans="2:28">
      <c r="B397" s="90">
        <f>'116+240'!B398</f>
        <v>45665</v>
      </c>
      <c r="C397" s="87">
        <f t="shared" si="70"/>
        <v>1</v>
      </c>
      <c r="D397" s="86">
        <f t="shared" si="71"/>
        <v>844</v>
      </c>
      <c r="E397" s="85">
        <f>VLOOKUP(B397,'116+240'!B398:AB398,3,FALSE)</f>
        <v>1945</v>
      </c>
      <c r="F397" s="81">
        <f t="shared" ref="F397:F460" si="79">D397+E397</f>
        <v>2789</v>
      </c>
      <c r="G397" s="84">
        <f>VLOOKUP(B397,'116+240'!$B$15:$AB$682,20,FALSE)</f>
        <v>2988</v>
      </c>
      <c r="H397" s="84">
        <f>VLOOKUP(B397,'116+240'!$B$15:$AB$682,4,FALSE)</f>
        <v>71</v>
      </c>
      <c r="I397" s="80">
        <f t="shared" ref="I397:I460" si="80">F397-H397</f>
        <v>2718</v>
      </c>
      <c r="J397" s="80">
        <f>VLOOKUP(B397,'116+240'!$B$15:$AB$682,13,FALSE)</f>
        <v>-1282</v>
      </c>
      <c r="K397" s="89">
        <f>'116+240'!Q398</f>
        <v>2</v>
      </c>
      <c r="L397" s="83">
        <f t="shared" si="72"/>
        <v>1322</v>
      </c>
      <c r="M397" s="82">
        <f>VLOOKUP(B397,'116+240'!$B$14:$AB$682,21,FALSE)</f>
        <v>3137</v>
      </c>
      <c r="N397" s="81">
        <f>VLOOKUP(B397,'116+240'!$B$15:$AB$682,5,FALSE)</f>
        <v>42</v>
      </c>
      <c r="O397" s="80">
        <f t="shared" ref="O397:O460" si="81">F397-N397</f>
        <v>2747</v>
      </c>
      <c r="P397" s="80">
        <f>VLOOKUP(B397,'116+240'!$B$15:$AB$682,14,FALSE)</f>
        <v>-1253</v>
      </c>
      <c r="Q397" s="89">
        <f>'116+240'!R398</f>
        <v>5</v>
      </c>
      <c r="R397" s="83">
        <f t="shared" si="73"/>
        <v>1173</v>
      </c>
      <c r="S397" s="82">
        <f>VLOOKUP(B397,'116+240'!$B$14:$AB$682,22,FALSE)</f>
        <v>3164</v>
      </c>
      <c r="T397" s="81">
        <f>VLOOKUP(B397,'116+240'!$B$15:$AB$682,6,FALSE)</f>
        <v>-35</v>
      </c>
      <c r="U397" s="80">
        <f t="shared" ref="U397:U460" si="82">F397-T397</f>
        <v>2824</v>
      </c>
      <c r="V397" s="79">
        <f>VLOOKUP(B397,'116+240'!$B$15:$AB$682,15,FALSE)</f>
        <v>-1176</v>
      </c>
      <c r="W397" s="89">
        <f>'116+240'!S398</f>
        <v>2</v>
      </c>
      <c r="X397" s="83">
        <f t="shared" si="74"/>
        <v>1146</v>
      </c>
      <c r="Y397" s="78">
        <f t="shared" si="75"/>
        <v>-2</v>
      </c>
      <c r="Z397" s="77">
        <f t="shared" si="76"/>
        <v>0</v>
      </c>
      <c r="AA397" s="76">
        <f t="shared" si="77"/>
        <v>4.2549999999999999</v>
      </c>
      <c r="AB397" s="76">
        <f t="shared" si="78"/>
        <v>2.044</v>
      </c>
    </row>
    <row r="398" spans="2:28">
      <c r="B398" s="90">
        <f>'116+240'!B399</f>
        <v>45666</v>
      </c>
      <c r="C398" s="87">
        <f t="shared" ref="C398:C461" si="83">B398-B397</f>
        <v>1</v>
      </c>
      <c r="D398" s="86">
        <f t="shared" ref="D398:D461" si="84">D397</f>
        <v>844</v>
      </c>
      <c r="E398" s="85">
        <f>VLOOKUP(B398,'116+240'!B399:AB399,3,FALSE)</f>
        <v>1947</v>
      </c>
      <c r="F398" s="81">
        <f t="shared" si="79"/>
        <v>2791</v>
      </c>
      <c r="G398" s="84">
        <f>VLOOKUP(B398,'116+240'!$B$15:$AB$682,20,FALSE)</f>
        <v>2988</v>
      </c>
      <c r="H398" s="84">
        <f>VLOOKUP(B398,'116+240'!$B$15:$AB$682,4,FALSE)</f>
        <v>73</v>
      </c>
      <c r="I398" s="80">
        <f t="shared" si="80"/>
        <v>2718</v>
      </c>
      <c r="J398" s="80">
        <f>VLOOKUP(B398,'116+240'!$B$15:$AB$682,13,FALSE)</f>
        <v>-1282</v>
      </c>
      <c r="K398" s="89">
        <f>'116+240'!Q399</f>
        <v>0</v>
      </c>
      <c r="L398" s="83">
        <f t="shared" ref="L398:L461" si="85">+K398+L397</f>
        <v>1322</v>
      </c>
      <c r="M398" s="82">
        <f>VLOOKUP(B398,'116+240'!$B$14:$AB$682,21,FALSE)</f>
        <v>3137</v>
      </c>
      <c r="N398" s="81">
        <f>VLOOKUP(B398,'116+240'!$B$15:$AB$682,5,FALSE)</f>
        <v>44</v>
      </c>
      <c r="O398" s="80">
        <f t="shared" si="81"/>
        <v>2747</v>
      </c>
      <c r="P398" s="80">
        <f>VLOOKUP(B398,'116+240'!$B$15:$AB$682,14,FALSE)</f>
        <v>-1253</v>
      </c>
      <c r="Q398" s="89">
        <f>'116+240'!R399</f>
        <v>0</v>
      </c>
      <c r="R398" s="83">
        <f t="shared" ref="R398:R461" si="86">+Q398+R397</f>
        <v>1173</v>
      </c>
      <c r="S398" s="82">
        <f>VLOOKUP(B398,'116+240'!$B$14:$AB$682,22,FALSE)</f>
        <v>3159</v>
      </c>
      <c r="T398" s="81">
        <f>VLOOKUP(B398,'116+240'!$B$15:$AB$682,6,FALSE)</f>
        <v>-28</v>
      </c>
      <c r="U398" s="80">
        <f t="shared" si="82"/>
        <v>2819</v>
      </c>
      <c r="V398" s="79">
        <f>VLOOKUP(B398,'116+240'!$B$15:$AB$682,15,FALSE)</f>
        <v>-1181</v>
      </c>
      <c r="W398" s="89">
        <f>'116+240'!S399</f>
        <v>5</v>
      </c>
      <c r="X398" s="83">
        <f t="shared" ref="X398:X461" si="87">+W398+X397</f>
        <v>1151</v>
      </c>
      <c r="Y398" s="78">
        <f t="shared" ref="Y398:Y461" si="88">S398-S397</f>
        <v>-5</v>
      </c>
      <c r="Z398" s="77">
        <f t="shared" ref="Z398:Z461" si="89">IF(Y398&gt;0,Y398,0)/1000</f>
        <v>0</v>
      </c>
      <c r="AA398" s="76">
        <f t="shared" ref="AA398:AA461" si="90">AA397+Z398</f>
        <v>4.2549999999999999</v>
      </c>
      <c r="AB398" s="76">
        <f t="shared" ref="AB398:AB461" si="91">(M398-$M$13-R398)/1000</f>
        <v>2.044</v>
      </c>
    </row>
    <row r="399" spans="2:28">
      <c r="B399" s="90">
        <f>'116+240'!B400</f>
        <v>45667</v>
      </c>
      <c r="C399" s="87">
        <f t="shared" si="83"/>
        <v>1</v>
      </c>
      <c r="D399" s="86">
        <f t="shared" si="84"/>
        <v>844</v>
      </c>
      <c r="E399" s="85">
        <f>VLOOKUP(B399,'116+240'!B400:AB400,3,FALSE)</f>
        <v>1949</v>
      </c>
      <c r="F399" s="81">
        <f t="shared" si="79"/>
        <v>2793</v>
      </c>
      <c r="G399" s="84">
        <f>VLOOKUP(B399,'116+240'!$B$15:$AB$682,20,FALSE)</f>
        <v>2988</v>
      </c>
      <c r="H399" s="84">
        <f>VLOOKUP(B399,'116+240'!$B$15:$AB$682,4,FALSE)</f>
        <v>75</v>
      </c>
      <c r="I399" s="80">
        <f t="shared" si="80"/>
        <v>2718</v>
      </c>
      <c r="J399" s="80">
        <f>VLOOKUP(B399,'116+240'!$B$15:$AB$682,13,FALSE)</f>
        <v>-1282</v>
      </c>
      <c r="K399" s="89">
        <f>'116+240'!Q400</f>
        <v>0</v>
      </c>
      <c r="L399" s="83">
        <f t="shared" si="85"/>
        <v>1322</v>
      </c>
      <c r="M399" s="82">
        <f>VLOOKUP(B399,'116+240'!$B$14:$AB$682,21,FALSE)</f>
        <v>3137</v>
      </c>
      <c r="N399" s="81">
        <f>VLOOKUP(B399,'116+240'!$B$15:$AB$682,5,FALSE)</f>
        <v>46</v>
      </c>
      <c r="O399" s="80">
        <f t="shared" si="81"/>
        <v>2747</v>
      </c>
      <c r="P399" s="80">
        <f>VLOOKUP(B399,'116+240'!$B$15:$AB$682,14,FALSE)</f>
        <v>-1253</v>
      </c>
      <c r="Q399" s="89">
        <f>'116+240'!R400</f>
        <v>0</v>
      </c>
      <c r="R399" s="83">
        <f t="shared" si="86"/>
        <v>1173</v>
      </c>
      <c r="S399" s="82">
        <f>VLOOKUP(B399,'116+240'!$B$14:$AB$682,22,FALSE)</f>
        <v>3154</v>
      </c>
      <c r="T399" s="81">
        <f>VLOOKUP(B399,'116+240'!$B$15:$AB$682,6,FALSE)</f>
        <v>-21</v>
      </c>
      <c r="U399" s="80">
        <f t="shared" si="82"/>
        <v>2814</v>
      </c>
      <c r="V399" s="79">
        <f>VLOOKUP(B399,'116+240'!$B$15:$AB$682,15,FALSE)</f>
        <v>-1186</v>
      </c>
      <c r="W399" s="89">
        <f>'116+240'!S400</f>
        <v>5</v>
      </c>
      <c r="X399" s="83">
        <f t="shared" si="87"/>
        <v>1156</v>
      </c>
      <c r="Y399" s="78">
        <f t="shared" si="88"/>
        <v>-5</v>
      </c>
      <c r="Z399" s="77">
        <f t="shared" si="89"/>
        <v>0</v>
      </c>
      <c r="AA399" s="76">
        <f t="shared" si="90"/>
        <v>4.2549999999999999</v>
      </c>
      <c r="AB399" s="76">
        <f t="shared" si="91"/>
        <v>2.044</v>
      </c>
    </row>
    <row r="400" spans="2:28">
      <c r="B400" s="90">
        <f>'116+240'!B401</f>
        <v>45668</v>
      </c>
      <c r="C400" s="87">
        <f t="shared" si="83"/>
        <v>1</v>
      </c>
      <c r="D400" s="86">
        <f t="shared" si="84"/>
        <v>844</v>
      </c>
      <c r="E400" s="85">
        <f>VLOOKUP(B400,'116+240'!B401:AB401,3,FALSE)</f>
        <v>1951</v>
      </c>
      <c r="F400" s="81">
        <f t="shared" si="79"/>
        <v>2795</v>
      </c>
      <c r="G400" s="84">
        <f>VLOOKUP(B400,'116+240'!$B$15:$AB$682,20,FALSE)</f>
        <v>2988</v>
      </c>
      <c r="H400" s="84">
        <f>VLOOKUP(B400,'116+240'!$B$15:$AB$682,4,FALSE)</f>
        <v>77</v>
      </c>
      <c r="I400" s="80">
        <f t="shared" si="80"/>
        <v>2718</v>
      </c>
      <c r="J400" s="80">
        <f>VLOOKUP(B400,'116+240'!$B$15:$AB$682,13,FALSE)</f>
        <v>-1282</v>
      </c>
      <c r="K400" s="89">
        <f>'116+240'!Q401</f>
        <v>0</v>
      </c>
      <c r="L400" s="83">
        <f t="shared" si="85"/>
        <v>1322</v>
      </c>
      <c r="M400" s="82">
        <f>VLOOKUP(B400,'116+240'!$B$14:$AB$682,21,FALSE)</f>
        <v>3137</v>
      </c>
      <c r="N400" s="81">
        <f>VLOOKUP(B400,'116+240'!$B$15:$AB$682,5,FALSE)</f>
        <v>48</v>
      </c>
      <c r="O400" s="80">
        <f t="shared" si="81"/>
        <v>2747</v>
      </c>
      <c r="P400" s="80">
        <f>VLOOKUP(B400,'116+240'!$B$15:$AB$682,14,FALSE)</f>
        <v>-1253</v>
      </c>
      <c r="Q400" s="89">
        <f>'116+240'!R401</f>
        <v>0</v>
      </c>
      <c r="R400" s="83">
        <f t="shared" si="86"/>
        <v>1173</v>
      </c>
      <c r="S400" s="82">
        <f>VLOOKUP(B400,'116+240'!$B$14:$AB$682,22,FALSE)</f>
        <v>3153</v>
      </c>
      <c r="T400" s="81">
        <f>VLOOKUP(B400,'116+240'!$B$15:$AB$682,6,FALSE)</f>
        <v>-18</v>
      </c>
      <c r="U400" s="80">
        <f t="shared" si="82"/>
        <v>2813</v>
      </c>
      <c r="V400" s="79">
        <f>VLOOKUP(B400,'116+240'!$B$15:$AB$682,15,FALSE)</f>
        <v>-1187</v>
      </c>
      <c r="W400" s="89">
        <f>'116+240'!S401</f>
        <v>1</v>
      </c>
      <c r="X400" s="83">
        <f t="shared" si="87"/>
        <v>1157</v>
      </c>
      <c r="Y400" s="78">
        <f t="shared" si="88"/>
        <v>-1</v>
      </c>
      <c r="Z400" s="77">
        <f t="shared" si="89"/>
        <v>0</v>
      </c>
      <c r="AA400" s="76">
        <f t="shared" si="90"/>
        <v>4.2549999999999999</v>
      </c>
      <c r="AB400" s="76">
        <f t="shared" si="91"/>
        <v>2.044</v>
      </c>
    </row>
    <row r="401" spans="2:28">
      <c r="B401" s="90">
        <f>'116+240'!B402</f>
        <v>45669</v>
      </c>
      <c r="C401" s="87">
        <f t="shared" si="83"/>
        <v>1</v>
      </c>
      <c r="D401" s="86">
        <f t="shared" si="84"/>
        <v>844</v>
      </c>
      <c r="E401" s="85">
        <f>VLOOKUP(B401,'116+240'!B402:AB402,3,FALSE)</f>
        <v>1953</v>
      </c>
      <c r="F401" s="81">
        <f t="shared" si="79"/>
        <v>2797</v>
      </c>
      <c r="G401" s="84">
        <f>VLOOKUP(B401,'116+240'!$B$15:$AB$682,20,FALSE)</f>
        <v>2988</v>
      </c>
      <c r="H401" s="84">
        <f>VLOOKUP(B401,'116+240'!$B$15:$AB$682,4,FALSE)</f>
        <v>79</v>
      </c>
      <c r="I401" s="80">
        <f t="shared" si="80"/>
        <v>2718</v>
      </c>
      <c r="J401" s="80">
        <f>VLOOKUP(B401,'116+240'!$B$15:$AB$682,13,FALSE)</f>
        <v>-1282</v>
      </c>
      <c r="K401" s="89">
        <f>'116+240'!Q402</f>
        <v>0</v>
      </c>
      <c r="L401" s="83">
        <f t="shared" si="85"/>
        <v>1322</v>
      </c>
      <c r="M401" s="82">
        <f>VLOOKUP(B401,'116+240'!$B$14:$AB$682,21,FALSE)</f>
        <v>3137</v>
      </c>
      <c r="N401" s="81">
        <f>VLOOKUP(B401,'116+240'!$B$15:$AB$682,5,FALSE)</f>
        <v>50</v>
      </c>
      <c r="O401" s="80">
        <f t="shared" si="81"/>
        <v>2747</v>
      </c>
      <c r="P401" s="80">
        <f>VLOOKUP(B401,'116+240'!$B$15:$AB$682,14,FALSE)</f>
        <v>-1253</v>
      </c>
      <c r="Q401" s="89">
        <f>'116+240'!R402</f>
        <v>0</v>
      </c>
      <c r="R401" s="83">
        <f t="shared" si="86"/>
        <v>1173</v>
      </c>
      <c r="S401" s="82">
        <f>VLOOKUP(B401,'116+240'!$B$14:$AB$682,22,FALSE)</f>
        <v>3151</v>
      </c>
      <c r="T401" s="81">
        <f>VLOOKUP(B401,'116+240'!$B$15:$AB$682,6,FALSE)</f>
        <v>-14</v>
      </c>
      <c r="U401" s="80">
        <f t="shared" si="82"/>
        <v>2811</v>
      </c>
      <c r="V401" s="79">
        <f>VLOOKUP(B401,'116+240'!$B$15:$AB$682,15,FALSE)</f>
        <v>-1189</v>
      </c>
      <c r="W401" s="89">
        <f>'116+240'!S402</f>
        <v>2</v>
      </c>
      <c r="X401" s="83">
        <f t="shared" si="87"/>
        <v>1159</v>
      </c>
      <c r="Y401" s="78">
        <f t="shared" si="88"/>
        <v>-2</v>
      </c>
      <c r="Z401" s="77">
        <f t="shared" si="89"/>
        <v>0</v>
      </c>
      <c r="AA401" s="76">
        <f t="shared" si="90"/>
        <v>4.2549999999999999</v>
      </c>
      <c r="AB401" s="76">
        <f t="shared" si="91"/>
        <v>2.044</v>
      </c>
    </row>
    <row r="402" spans="2:28">
      <c r="B402" s="90">
        <f>'116+240'!B403</f>
        <v>45670</v>
      </c>
      <c r="C402" s="87">
        <f t="shared" si="83"/>
        <v>1</v>
      </c>
      <c r="D402" s="86">
        <f t="shared" si="84"/>
        <v>844</v>
      </c>
      <c r="E402" s="85">
        <f>VLOOKUP(B402,'116+240'!B403:AB403,3,FALSE)</f>
        <v>1955</v>
      </c>
      <c r="F402" s="81">
        <f t="shared" si="79"/>
        <v>2799</v>
      </c>
      <c r="G402" s="84">
        <f>VLOOKUP(B402,'116+240'!$B$15:$AB$682,20,FALSE)</f>
        <v>2988</v>
      </c>
      <c r="H402" s="84">
        <f>VLOOKUP(B402,'116+240'!$B$15:$AB$682,4,FALSE)</f>
        <v>81</v>
      </c>
      <c r="I402" s="80">
        <f t="shared" si="80"/>
        <v>2718</v>
      </c>
      <c r="J402" s="80">
        <f>VLOOKUP(B402,'116+240'!$B$15:$AB$682,13,FALSE)</f>
        <v>-1282</v>
      </c>
      <c r="K402" s="89">
        <f>'116+240'!Q403</f>
        <v>0</v>
      </c>
      <c r="L402" s="83">
        <f t="shared" si="85"/>
        <v>1322</v>
      </c>
      <c r="M402" s="82">
        <f>VLOOKUP(B402,'116+240'!$B$14:$AB$682,21,FALSE)</f>
        <v>3137</v>
      </c>
      <c r="N402" s="81">
        <f>VLOOKUP(B402,'116+240'!$B$15:$AB$682,5,FALSE)</f>
        <v>52</v>
      </c>
      <c r="O402" s="80">
        <f t="shared" si="81"/>
        <v>2747</v>
      </c>
      <c r="P402" s="80">
        <f>VLOOKUP(B402,'116+240'!$B$15:$AB$682,14,FALSE)</f>
        <v>-1253</v>
      </c>
      <c r="Q402" s="89">
        <f>'116+240'!R403</f>
        <v>0</v>
      </c>
      <c r="R402" s="83">
        <f t="shared" si="86"/>
        <v>1173</v>
      </c>
      <c r="S402" s="82">
        <f>VLOOKUP(B402,'116+240'!$B$14:$AB$682,22,FALSE)</f>
        <v>3149</v>
      </c>
      <c r="T402" s="81">
        <f>VLOOKUP(B402,'116+240'!$B$15:$AB$682,6,FALSE)</f>
        <v>-10</v>
      </c>
      <c r="U402" s="80">
        <f t="shared" si="82"/>
        <v>2809</v>
      </c>
      <c r="V402" s="79">
        <f>VLOOKUP(B402,'116+240'!$B$15:$AB$682,15,FALSE)</f>
        <v>-1191</v>
      </c>
      <c r="W402" s="89">
        <f>'116+240'!S403</f>
        <v>2</v>
      </c>
      <c r="X402" s="83">
        <f t="shared" si="87"/>
        <v>1161</v>
      </c>
      <c r="Y402" s="78">
        <f t="shared" si="88"/>
        <v>-2</v>
      </c>
      <c r="Z402" s="77">
        <f t="shared" si="89"/>
        <v>0</v>
      </c>
      <c r="AA402" s="76">
        <f t="shared" si="90"/>
        <v>4.2549999999999999</v>
      </c>
      <c r="AB402" s="76">
        <f t="shared" si="91"/>
        <v>2.044</v>
      </c>
    </row>
    <row r="403" spans="2:28">
      <c r="B403" s="90">
        <f>'116+240'!B404</f>
        <v>45671</v>
      </c>
      <c r="C403" s="87">
        <f t="shared" si="83"/>
        <v>1</v>
      </c>
      <c r="D403" s="86">
        <f t="shared" si="84"/>
        <v>844</v>
      </c>
      <c r="E403" s="85">
        <f>VLOOKUP(B403,'116+240'!B404:AB404,3,FALSE)</f>
        <v>1957</v>
      </c>
      <c r="F403" s="81">
        <f t="shared" si="79"/>
        <v>2801</v>
      </c>
      <c r="G403" s="84">
        <f>VLOOKUP(B403,'116+240'!$B$15:$AB$682,20,FALSE)</f>
        <v>2988</v>
      </c>
      <c r="H403" s="84">
        <f>VLOOKUP(B403,'116+240'!$B$15:$AB$682,4,FALSE)</f>
        <v>83</v>
      </c>
      <c r="I403" s="80">
        <f t="shared" si="80"/>
        <v>2718</v>
      </c>
      <c r="J403" s="80">
        <f>VLOOKUP(B403,'116+240'!$B$15:$AB$682,13,FALSE)</f>
        <v>-1282</v>
      </c>
      <c r="K403" s="89">
        <f>'116+240'!Q404</f>
        <v>0</v>
      </c>
      <c r="L403" s="83">
        <f t="shared" si="85"/>
        <v>1322</v>
      </c>
      <c r="M403" s="82">
        <f>VLOOKUP(B403,'116+240'!$B$14:$AB$682,21,FALSE)</f>
        <v>3137</v>
      </c>
      <c r="N403" s="81">
        <f>VLOOKUP(B403,'116+240'!$B$15:$AB$682,5,FALSE)</f>
        <v>54</v>
      </c>
      <c r="O403" s="80">
        <f t="shared" si="81"/>
        <v>2747</v>
      </c>
      <c r="P403" s="80">
        <f>VLOOKUP(B403,'116+240'!$B$15:$AB$682,14,FALSE)</f>
        <v>-1253</v>
      </c>
      <c r="Q403" s="89">
        <f>'116+240'!R404</f>
        <v>0</v>
      </c>
      <c r="R403" s="83">
        <f t="shared" si="86"/>
        <v>1173</v>
      </c>
      <c r="S403" s="82">
        <f>VLOOKUP(B403,'116+240'!$B$14:$AB$682,22,FALSE)</f>
        <v>3149</v>
      </c>
      <c r="T403" s="81">
        <f>VLOOKUP(B403,'116+240'!$B$15:$AB$682,6,FALSE)</f>
        <v>-8</v>
      </c>
      <c r="U403" s="80">
        <f t="shared" si="82"/>
        <v>2809</v>
      </c>
      <c r="V403" s="79">
        <f>VLOOKUP(B403,'116+240'!$B$15:$AB$682,15,FALSE)</f>
        <v>-1191</v>
      </c>
      <c r="W403" s="89">
        <f>'116+240'!S404</f>
        <v>0</v>
      </c>
      <c r="X403" s="83">
        <f t="shared" si="87"/>
        <v>1161</v>
      </c>
      <c r="Y403" s="78">
        <f t="shared" si="88"/>
        <v>0</v>
      </c>
      <c r="Z403" s="77">
        <f t="shared" si="89"/>
        <v>0</v>
      </c>
      <c r="AA403" s="76">
        <f t="shared" si="90"/>
        <v>4.2549999999999999</v>
      </c>
      <c r="AB403" s="76">
        <f t="shared" si="91"/>
        <v>2.044</v>
      </c>
    </row>
    <row r="404" spans="2:28">
      <c r="B404" s="90">
        <f>'116+240'!B405</f>
        <v>45672</v>
      </c>
      <c r="C404" s="87">
        <f t="shared" si="83"/>
        <v>1</v>
      </c>
      <c r="D404" s="86">
        <f t="shared" si="84"/>
        <v>844</v>
      </c>
      <c r="E404" s="85">
        <f>VLOOKUP(B404,'116+240'!B405:AB405,3,FALSE)</f>
        <v>1959</v>
      </c>
      <c r="F404" s="81">
        <f t="shared" si="79"/>
        <v>2803</v>
      </c>
      <c r="G404" s="84">
        <f>VLOOKUP(B404,'116+240'!$B$15:$AB$682,20,FALSE)</f>
        <v>2988</v>
      </c>
      <c r="H404" s="84">
        <f>VLOOKUP(B404,'116+240'!$B$15:$AB$682,4,FALSE)</f>
        <v>85</v>
      </c>
      <c r="I404" s="80">
        <f t="shared" si="80"/>
        <v>2718</v>
      </c>
      <c r="J404" s="80">
        <f>VLOOKUP(B404,'116+240'!$B$15:$AB$682,13,FALSE)</f>
        <v>-1282</v>
      </c>
      <c r="K404" s="89">
        <f>'116+240'!Q405</f>
        <v>0</v>
      </c>
      <c r="L404" s="83">
        <f t="shared" si="85"/>
        <v>1322</v>
      </c>
      <c r="M404" s="82">
        <f>VLOOKUP(B404,'116+240'!$B$14:$AB$682,21,FALSE)</f>
        <v>3137</v>
      </c>
      <c r="N404" s="81">
        <f>VLOOKUP(B404,'116+240'!$B$15:$AB$682,5,FALSE)</f>
        <v>56</v>
      </c>
      <c r="O404" s="80">
        <f t="shared" si="81"/>
        <v>2747</v>
      </c>
      <c r="P404" s="80">
        <f>VLOOKUP(B404,'116+240'!$B$15:$AB$682,14,FALSE)</f>
        <v>-1253</v>
      </c>
      <c r="Q404" s="89">
        <f>'116+240'!R405</f>
        <v>0</v>
      </c>
      <c r="R404" s="83">
        <f t="shared" si="86"/>
        <v>1173</v>
      </c>
      <c r="S404" s="82">
        <f>VLOOKUP(B404,'116+240'!$B$14:$AB$682,22,FALSE)</f>
        <v>3149</v>
      </c>
      <c r="T404" s="81">
        <f>VLOOKUP(B404,'116+240'!$B$15:$AB$682,6,FALSE)</f>
        <v>-6</v>
      </c>
      <c r="U404" s="80">
        <f t="shared" si="82"/>
        <v>2809</v>
      </c>
      <c r="V404" s="79">
        <f>VLOOKUP(B404,'116+240'!$B$15:$AB$682,15,FALSE)</f>
        <v>-1191</v>
      </c>
      <c r="W404" s="89">
        <f>'116+240'!S405</f>
        <v>0</v>
      </c>
      <c r="X404" s="83">
        <f t="shared" si="87"/>
        <v>1161</v>
      </c>
      <c r="Y404" s="78">
        <f t="shared" si="88"/>
        <v>0</v>
      </c>
      <c r="Z404" s="77">
        <f t="shared" si="89"/>
        <v>0</v>
      </c>
      <c r="AA404" s="76">
        <f t="shared" si="90"/>
        <v>4.2549999999999999</v>
      </c>
      <c r="AB404" s="76">
        <f t="shared" si="91"/>
        <v>2.044</v>
      </c>
    </row>
    <row r="405" spans="2:28">
      <c r="B405" s="90">
        <f>'116+240'!B406</f>
        <v>45673</v>
      </c>
      <c r="C405" s="87">
        <f t="shared" si="83"/>
        <v>1</v>
      </c>
      <c r="D405" s="86">
        <f t="shared" si="84"/>
        <v>844</v>
      </c>
      <c r="E405" s="85">
        <f>VLOOKUP(B405,'116+240'!B406:AB406,3,FALSE)</f>
        <v>1961</v>
      </c>
      <c r="F405" s="81">
        <f t="shared" si="79"/>
        <v>2805</v>
      </c>
      <c r="G405" s="84">
        <f>VLOOKUP(B405,'116+240'!$B$15:$AB$682,20,FALSE)</f>
        <v>2988</v>
      </c>
      <c r="H405" s="84">
        <f>VLOOKUP(B405,'116+240'!$B$15:$AB$682,4,FALSE)</f>
        <v>87</v>
      </c>
      <c r="I405" s="80">
        <f t="shared" si="80"/>
        <v>2718</v>
      </c>
      <c r="J405" s="80">
        <f>VLOOKUP(B405,'116+240'!$B$15:$AB$682,13,FALSE)</f>
        <v>-1282</v>
      </c>
      <c r="K405" s="89">
        <f>'116+240'!Q406</f>
        <v>0</v>
      </c>
      <c r="L405" s="83">
        <f t="shared" si="85"/>
        <v>1322</v>
      </c>
      <c r="M405" s="82">
        <f>VLOOKUP(B405,'116+240'!$B$14:$AB$682,21,FALSE)</f>
        <v>3137</v>
      </c>
      <c r="N405" s="81">
        <f>VLOOKUP(B405,'116+240'!$B$15:$AB$682,5,FALSE)</f>
        <v>58</v>
      </c>
      <c r="O405" s="80">
        <f t="shared" si="81"/>
        <v>2747</v>
      </c>
      <c r="P405" s="80">
        <f>VLOOKUP(B405,'116+240'!$B$15:$AB$682,14,FALSE)</f>
        <v>-1253</v>
      </c>
      <c r="Q405" s="89">
        <f>'116+240'!R406</f>
        <v>0</v>
      </c>
      <c r="R405" s="83">
        <f t="shared" si="86"/>
        <v>1173</v>
      </c>
      <c r="S405" s="82">
        <f>VLOOKUP(B405,'116+240'!$B$14:$AB$682,22,FALSE)</f>
        <v>3142</v>
      </c>
      <c r="T405" s="81">
        <f>VLOOKUP(B405,'116+240'!$B$15:$AB$682,6,FALSE)</f>
        <v>3</v>
      </c>
      <c r="U405" s="80">
        <f t="shared" si="82"/>
        <v>2802</v>
      </c>
      <c r="V405" s="79">
        <f>VLOOKUP(B405,'116+240'!$B$15:$AB$682,15,FALSE)</f>
        <v>-1198</v>
      </c>
      <c r="W405" s="89">
        <f>'116+240'!S406</f>
        <v>7</v>
      </c>
      <c r="X405" s="83">
        <f t="shared" si="87"/>
        <v>1168</v>
      </c>
      <c r="Y405" s="78">
        <f t="shared" si="88"/>
        <v>-7</v>
      </c>
      <c r="Z405" s="77">
        <f t="shared" si="89"/>
        <v>0</v>
      </c>
      <c r="AA405" s="76">
        <f t="shared" si="90"/>
        <v>4.2549999999999999</v>
      </c>
      <c r="AB405" s="76">
        <f t="shared" si="91"/>
        <v>2.044</v>
      </c>
    </row>
    <row r="406" spans="2:28">
      <c r="B406" s="90">
        <f>'116+240'!B407</f>
        <v>45674</v>
      </c>
      <c r="C406" s="87">
        <f t="shared" si="83"/>
        <v>1</v>
      </c>
      <c r="D406" s="86">
        <f t="shared" si="84"/>
        <v>844</v>
      </c>
      <c r="E406" s="85">
        <f>VLOOKUP(B406,'116+240'!B407:AB407,3,FALSE)</f>
        <v>1963</v>
      </c>
      <c r="F406" s="81">
        <f t="shared" si="79"/>
        <v>2807</v>
      </c>
      <c r="G406" s="84">
        <f>VLOOKUP(B406,'116+240'!$B$15:$AB$682,20,FALSE)</f>
        <v>2988</v>
      </c>
      <c r="H406" s="84">
        <f>VLOOKUP(B406,'116+240'!$B$15:$AB$682,4,FALSE)</f>
        <v>89</v>
      </c>
      <c r="I406" s="80">
        <f t="shared" si="80"/>
        <v>2718</v>
      </c>
      <c r="J406" s="80">
        <f>VLOOKUP(B406,'116+240'!$B$15:$AB$682,13,FALSE)</f>
        <v>-1282</v>
      </c>
      <c r="K406" s="89">
        <f>'116+240'!Q407</f>
        <v>0</v>
      </c>
      <c r="L406" s="83">
        <f t="shared" si="85"/>
        <v>1322</v>
      </c>
      <c r="M406" s="82">
        <f>VLOOKUP(B406,'116+240'!$B$14:$AB$682,21,FALSE)</f>
        <v>3137</v>
      </c>
      <c r="N406" s="81">
        <f>VLOOKUP(B406,'116+240'!$B$15:$AB$682,5,FALSE)</f>
        <v>60</v>
      </c>
      <c r="O406" s="80">
        <f t="shared" si="81"/>
        <v>2747</v>
      </c>
      <c r="P406" s="80">
        <f>VLOOKUP(B406,'116+240'!$B$15:$AB$682,14,FALSE)</f>
        <v>-1253</v>
      </c>
      <c r="Q406" s="89">
        <f>'116+240'!R407</f>
        <v>0</v>
      </c>
      <c r="R406" s="83">
        <f t="shared" si="86"/>
        <v>1173</v>
      </c>
      <c r="S406" s="82">
        <f>VLOOKUP(B406,'116+240'!$B$14:$AB$682,22,FALSE)</f>
        <v>3138</v>
      </c>
      <c r="T406" s="81">
        <f>VLOOKUP(B406,'116+240'!$B$15:$AB$682,6,FALSE)</f>
        <v>9</v>
      </c>
      <c r="U406" s="80">
        <f t="shared" si="82"/>
        <v>2798</v>
      </c>
      <c r="V406" s="79">
        <f>VLOOKUP(B406,'116+240'!$B$15:$AB$682,15,FALSE)</f>
        <v>-1202</v>
      </c>
      <c r="W406" s="89">
        <f>'116+240'!S407</f>
        <v>4</v>
      </c>
      <c r="X406" s="83">
        <f t="shared" si="87"/>
        <v>1172</v>
      </c>
      <c r="Y406" s="78">
        <f t="shared" si="88"/>
        <v>-4</v>
      </c>
      <c r="Z406" s="77">
        <f t="shared" si="89"/>
        <v>0</v>
      </c>
      <c r="AA406" s="76">
        <f t="shared" si="90"/>
        <v>4.2549999999999999</v>
      </c>
      <c r="AB406" s="76">
        <f t="shared" si="91"/>
        <v>2.044</v>
      </c>
    </row>
    <row r="407" spans="2:28">
      <c r="B407" s="90">
        <f>'116+240'!B408</f>
        <v>45675</v>
      </c>
      <c r="C407" s="87">
        <f t="shared" si="83"/>
        <v>1</v>
      </c>
      <c r="D407" s="86">
        <f t="shared" si="84"/>
        <v>844</v>
      </c>
      <c r="E407" s="85">
        <f>VLOOKUP(B407,'116+240'!B408:AB408,3,FALSE)</f>
        <v>1965</v>
      </c>
      <c r="F407" s="81">
        <f t="shared" si="79"/>
        <v>2809</v>
      </c>
      <c r="G407" s="84">
        <f>VLOOKUP(B407,'116+240'!$B$15:$AB$682,20,FALSE)</f>
        <v>2988</v>
      </c>
      <c r="H407" s="84">
        <f>VLOOKUP(B407,'116+240'!$B$15:$AB$682,4,FALSE)</f>
        <v>91</v>
      </c>
      <c r="I407" s="80">
        <f t="shared" si="80"/>
        <v>2718</v>
      </c>
      <c r="J407" s="80">
        <f>VLOOKUP(B407,'116+240'!$B$15:$AB$682,13,FALSE)</f>
        <v>-1282</v>
      </c>
      <c r="K407" s="89">
        <f>'116+240'!Q408</f>
        <v>0</v>
      </c>
      <c r="L407" s="83">
        <f t="shared" si="85"/>
        <v>1322</v>
      </c>
      <c r="M407" s="82">
        <f>VLOOKUP(B407,'116+240'!$B$14:$AB$682,21,FALSE)</f>
        <v>3137</v>
      </c>
      <c r="N407" s="81">
        <f>VLOOKUP(B407,'116+240'!$B$15:$AB$682,5,FALSE)</f>
        <v>62</v>
      </c>
      <c r="O407" s="80">
        <f t="shared" si="81"/>
        <v>2747</v>
      </c>
      <c r="P407" s="80">
        <f>VLOOKUP(B407,'116+240'!$B$15:$AB$682,14,FALSE)</f>
        <v>-1253</v>
      </c>
      <c r="Q407" s="89">
        <f>'116+240'!R408</f>
        <v>0</v>
      </c>
      <c r="R407" s="83">
        <f t="shared" si="86"/>
        <v>1173</v>
      </c>
      <c r="S407" s="82">
        <f>VLOOKUP(B407,'116+240'!$B$14:$AB$682,22,FALSE)</f>
        <v>3133</v>
      </c>
      <c r="T407" s="81">
        <f>VLOOKUP(B407,'116+240'!$B$15:$AB$682,6,FALSE)</f>
        <v>16</v>
      </c>
      <c r="U407" s="80">
        <f t="shared" si="82"/>
        <v>2793</v>
      </c>
      <c r="V407" s="79">
        <f>VLOOKUP(B407,'116+240'!$B$15:$AB$682,15,FALSE)</f>
        <v>-1207</v>
      </c>
      <c r="W407" s="89">
        <f>'116+240'!S408</f>
        <v>5</v>
      </c>
      <c r="X407" s="83">
        <f t="shared" si="87"/>
        <v>1177</v>
      </c>
      <c r="Y407" s="78">
        <f t="shared" si="88"/>
        <v>-5</v>
      </c>
      <c r="Z407" s="77">
        <f t="shared" si="89"/>
        <v>0</v>
      </c>
      <c r="AA407" s="76">
        <f t="shared" si="90"/>
        <v>4.2549999999999999</v>
      </c>
      <c r="AB407" s="76">
        <f t="shared" si="91"/>
        <v>2.044</v>
      </c>
    </row>
    <row r="408" spans="2:28">
      <c r="B408" s="90">
        <f>'116+240'!B409</f>
        <v>45676</v>
      </c>
      <c r="C408" s="87">
        <f t="shared" si="83"/>
        <v>1</v>
      </c>
      <c r="D408" s="86">
        <f t="shared" si="84"/>
        <v>844</v>
      </c>
      <c r="E408" s="85">
        <f>VLOOKUP(B408,'116+240'!B409:AB409,3,FALSE)</f>
        <v>1967</v>
      </c>
      <c r="F408" s="81">
        <f t="shared" si="79"/>
        <v>2811</v>
      </c>
      <c r="G408" s="84">
        <f>VLOOKUP(B408,'116+240'!$B$15:$AB$682,20,FALSE)</f>
        <v>2985</v>
      </c>
      <c r="H408" s="84">
        <f>VLOOKUP(B408,'116+240'!$B$15:$AB$682,4,FALSE)</f>
        <v>96</v>
      </c>
      <c r="I408" s="80">
        <f t="shared" si="80"/>
        <v>2715</v>
      </c>
      <c r="J408" s="80">
        <f>VLOOKUP(B408,'116+240'!$B$15:$AB$682,13,FALSE)</f>
        <v>-1285</v>
      </c>
      <c r="K408" s="89">
        <f>'116+240'!Q409</f>
        <v>3</v>
      </c>
      <c r="L408" s="83">
        <f t="shared" si="85"/>
        <v>1325</v>
      </c>
      <c r="M408" s="82">
        <f>VLOOKUP(B408,'116+240'!$B$14:$AB$682,21,FALSE)</f>
        <v>3136</v>
      </c>
      <c r="N408" s="81">
        <f>VLOOKUP(B408,'116+240'!$B$15:$AB$682,5,FALSE)</f>
        <v>65</v>
      </c>
      <c r="O408" s="80">
        <f t="shared" si="81"/>
        <v>2746</v>
      </c>
      <c r="P408" s="80">
        <f>VLOOKUP(B408,'116+240'!$B$15:$AB$682,14,FALSE)</f>
        <v>-1254</v>
      </c>
      <c r="Q408" s="89">
        <f>'116+240'!R409</f>
        <v>1</v>
      </c>
      <c r="R408" s="83">
        <f t="shared" si="86"/>
        <v>1174</v>
      </c>
      <c r="S408" s="82">
        <f>VLOOKUP(B408,'116+240'!$B$14:$AB$682,22,FALSE)</f>
        <v>3132</v>
      </c>
      <c r="T408" s="81">
        <f>VLOOKUP(B408,'116+240'!$B$15:$AB$682,6,FALSE)</f>
        <v>19</v>
      </c>
      <c r="U408" s="80">
        <f t="shared" si="82"/>
        <v>2792</v>
      </c>
      <c r="V408" s="79">
        <f>VLOOKUP(B408,'116+240'!$B$15:$AB$682,15,FALSE)</f>
        <v>-1208</v>
      </c>
      <c r="W408" s="89">
        <f>'116+240'!S409</f>
        <v>1</v>
      </c>
      <c r="X408" s="83">
        <f t="shared" si="87"/>
        <v>1178</v>
      </c>
      <c r="Y408" s="78">
        <f t="shared" si="88"/>
        <v>-1</v>
      </c>
      <c r="Z408" s="77">
        <f t="shared" si="89"/>
        <v>0</v>
      </c>
      <c r="AA408" s="76">
        <f t="shared" si="90"/>
        <v>4.2549999999999999</v>
      </c>
      <c r="AB408" s="76">
        <f t="shared" si="91"/>
        <v>2.0419999999999998</v>
      </c>
    </row>
    <row r="409" spans="2:28">
      <c r="B409" s="90">
        <f>'116+240'!B410</f>
        <v>45677</v>
      </c>
      <c r="C409" s="87">
        <f t="shared" si="83"/>
        <v>1</v>
      </c>
      <c r="D409" s="86">
        <f t="shared" si="84"/>
        <v>844</v>
      </c>
      <c r="E409" s="85">
        <f>VLOOKUP(B409,'116+240'!B410:AB410,3,FALSE)</f>
        <v>1969</v>
      </c>
      <c r="F409" s="81">
        <f t="shared" si="79"/>
        <v>2813</v>
      </c>
      <c r="G409" s="84">
        <f>VLOOKUP(B409,'116+240'!$B$15:$AB$682,20,FALSE)</f>
        <v>2983</v>
      </c>
      <c r="H409" s="84">
        <f>VLOOKUP(B409,'116+240'!$B$15:$AB$682,4,FALSE)</f>
        <v>100</v>
      </c>
      <c r="I409" s="80">
        <f t="shared" si="80"/>
        <v>2713</v>
      </c>
      <c r="J409" s="80">
        <f>VLOOKUP(B409,'116+240'!$B$15:$AB$682,13,FALSE)</f>
        <v>-1287</v>
      </c>
      <c r="K409" s="89">
        <f>'116+240'!Q410</f>
        <v>2</v>
      </c>
      <c r="L409" s="83">
        <f t="shared" si="85"/>
        <v>1327</v>
      </c>
      <c r="M409" s="82">
        <f>VLOOKUP(B409,'116+240'!$B$14:$AB$682,21,FALSE)</f>
        <v>3134</v>
      </c>
      <c r="N409" s="81">
        <f>VLOOKUP(B409,'116+240'!$B$15:$AB$682,5,FALSE)</f>
        <v>69</v>
      </c>
      <c r="O409" s="80">
        <f t="shared" si="81"/>
        <v>2744</v>
      </c>
      <c r="P409" s="80">
        <f>VLOOKUP(B409,'116+240'!$B$15:$AB$682,14,FALSE)</f>
        <v>-1256</v>
      </c>
      <c r="Q409" s="89">
        <f>'116+240'!R410</f>
        <v>2</v>
      </c>
      <c r="R409" s="83">
        <f t="shared" si="86"/>
        <v>1176</v>
      </c>
      <c r="S409" s="82">
        <f>VLOOKUP(B409,'116+240'!$B$14:$AB$682,22,FALSE)</f>
        <v>3130</v>
      </c>
      <c r="T409" s="81">
        <f>VLOOKUP(B409,'116+240'!$B$15:$AB$682,6,FALSE)</f>
        <v>23</v>
      </c>
      <c r="U409" s="80">
        <f t="shared" si="82"/>
        <v>2790</v>
      </c>
      <c r="V409" s="79">
        <f>VLOOKUP(B409,'116+240'!$B$15:$AB$682,15,FALSE)</f>
        <v>-1210</v>
      </c>
      <c r="W409" s="89">
        <f>'116+240'!S410</f>
        <v>2</v>
      </c>
      <c r="X409" s="83">
        <f t="shared" si="87"/>
        <v>1180</v>
      </c>
      <c r="Y409" s="78">
        <f t="shared" si="88"/>
        <v>-2</v>
      </c>
      <c r="Z409" s="77">
        <f t="shared" si="89"/>
        <v>0</v>
      </c>
      <c r="AA409" s="76">
        <f t="shared" si="90"/>
        <v>4.2549999999999999</v>
      </c>
      <c r="AB409" s="76">
        <f t="shared" si="91"/>
        <v>2.0379999999999998</v>
      </c>
    </row>
    <row r="410" spans="2:28">
      <c r="B410" s="90">
        <f>'116+240'!B411</f>
        <v>45678</v>
      </c>
      <c r="C410" s="87">
        <f t="shared" si="83"/>
        <v>1</v>
      </c>
      <c r="D410" s="86">
        <f t="shared" si="84"/>
        <v>844</v>
      </c>
      <c r="E410" s="85">
        <f>VLOOKUP(B410,'116+240'!B411:AB411,3,FALSE)</f>
        <v>1971</v>
      </c>
      <c r="F410" s="81">
        <f t="shared" si="79"/>
        <v>2815</v>
      </c>
      <c r="G410" s="84">
        <f>VLOOKUP(B410,'116+240'!$B$15:$AB$682,20,FALSE)</f>
        <v>2980</v>
      </c>
      <c r="H410" s="84">
        <f>VLOOKUP(B410,'116+240'!$B$15:$AB$682,4,FALSE)</f>
        <v>105</v>
      </c>
      <c r="I410" s="80">
        <f t="shared" si="80"/>
        <v>2710</v>
      </c>
      <c r="J410" s="80">
        <f>VLOOKUP(B410,'116+240'!$B$15:$AB$682,13,FALSE)</f>
        <v>-1290</v>
      </c>
      <c r="K410" s="89">
        <f>'116+240'!Q411</f>
        <v>3</v>
      </c>
      <c r="L410" s="83">
        <f t="shared" si="85"/>
        <v>1330</v>
      </c>
      <c r="M410" s="82">
        <f>VLOOKUP(B410,'116+240'!$B$14:$AB$682,21,FALSE)</f>
        <v>3132</v>
      </c>
      <c r="N410" s="81">
        <f>VLOOKUP(B410,'116+240'!$B$15:$AB$682,5,FALSE)</f>
        <v>73</v>
      </c>
      <c r="O410" s="80">
        <f t="shared" si="81"/>
        <v>2742</v>
      </c>
      <c r="P410" s="80">
        <f>VLOOKUP(B410,'116+240'!$B$15:$AB$682,14,FALSE)</f>
        <v>-1258</v>
      </c>
      <c r="Q410" s="89">
        <f>'116+240'!R411</f>
        <v>2</v>
      </c>
      <c r="R410" s="83">
        <f t="shared" si="86"/>
        <v>1178</v>
      </c>
      <c r="S410" s="82">
        <f>VLOOKUP(B410,'116+240'!$B$14:$AB$682,22,FALSE)</f>
        <v>3128</v>
      </c>
      <c r="T410" s="81">
        <f>VLOOKUP(B410,'116+240'!$B$15:$AB$682,6,FALSE)</f>
        <v>27</v>
      </c>
      <c r="U410" s="80">
        <f t="shared" si="82"/>
        <v>2788</v>
      </c>
      <c r="V410" s="79">
        <f>VLOOKUP(B410,'116+240'!$B$15:$AB$682,15,FALSE)</f>
        <v>-1212</v>
      </c>
      <c r="W410" s="89">
        <f>'116+240'!S411</f>
        <v>2</v>
      </c>
      <c r="X410" s="83">
        <f t="shared" si="87"/>
        <v>1182</v>
      </c>
      <c r="Y410" s="78">
        <f t="shared" si="88"/>
        <v>-2</v>
      </c>
      <c r="Z410" s="77">
        <f t="shared" si="89"/>
        <v>0</v>
      </c>
      <c r="AA410" s="76">
        <f t="shared" si="90"/>
        <v>4.2549999999999999</v>
      </c>
      <c r="AB410" s="76">
        <f t="shared" si="91"/>
        <v>2.0339999999999998</v>
      </c>
    </row>
    <row r="411" spans="2:28">
      <c r="B411" s="90">
        <f>'116+240'!B412</f>
        <v>45679</v>
      </c>
      <c r="C411" s="87">
        <f t="shared" si="83"/>
        <v>1</v>
      </c>
      <c r="D411" s="86">
        <f t="shared" si="84"/>
        <v>844</v>
      </c>
      <c r="E411" s="85">
        <f>VLOOKUP(B411,'116+240'!B412:AB412,3,FALSE)</f>
        <v>1973</v>
      </c>
      <c r="F411" s="81">
        <f t="shared" si="79"/>
        <v>2817</v>
      </c>
      <c r="G411" s="84">
        <f>VLOOKUP(B411,'116+240'!$B$15:$AB$682,20,FALSE)</f>
        <v>2978</v>
      </c>
      <c r="H411" s="84">
        <f>VLOOKUP(B411,'116+240'!$B$15:$AB$682,4,FALSE)</f>
        <v>109</v>
      </c>
      <c r="I411" s="80">
        <f t="shared" si="80"/>
        <v>2708</v>
      </c>
      <c r="J411" s="80">
        <f>VLOOKUP(B411,'116+240'!$B$15:$AB$682,13,FALSE)</f>
        <v>-1292</v>
      </c>
      <c r="K411" s="89">
        <f>'116+240'!Q412</f>
        <v>2</v>
      </c>
      <c r="L411" s="83">
        <f t="shared" si="85"/>
        <v>1332</v>
      </c>
      <c r="M411" s="82">
        <f>VLOOKUP(B411,'116+240'!$B$14:$AB$682,21,FALSE)</f>
        <v>3130</v>
      </c>
      <c r="N411" s="81">
        <f>VLOOKUP(B411,'116+240'!$B$15:$AB$682,5,FALSE)</f>
        <v>77</v>
      </c>
      <c r="O411" s="80">
        <f t="shared" si="81"/>
        <v>2740</v>
      </c>
      <c r="P411" s="80">
        <f>VLOOKUP(B411,'116+240'!$B$15:$AB$682,14,FALSE)</f>
        <v>-1260</v>
      </c>
      <c r="Q411" s="89">
        <f>'116+240'!R412</f>
        <v>2</v>
      </c>
      <c r="R411" s="83">
        <f t="shared" si="86"/>
        <v>1180</v>
      </c>
      <c r="S411" s="82">
        <f>VLOOKUP(B411,'116+240'!$B$14:$AB$682,22,FALSE)</f>
        <v>3128</v>
      </c>
      <c r="T411" s="81">
        <f>VLOOKUP(B411,'116+240'!$B$15:$AB$682,6,FALSE)</f>
        <v>29</v>
      </c>
      <c r="U411" s="80">
        <f t="shared" si="82"/>
        <v>2788</v>
      </c>
      <c r="V411" s="79">
        <f>VLOOKUP(B411,'116+240'!$B$15:$AB$682,15,FALSE)</f>
        <v>-1212</v>
      </c>
      <c r="W411" s="89">
        <f>'116+240'!S412</f>
        <v>0</v>
      </c>
      <c r="X411" s="83">
        <f t="shared" si="87"/>
        <v>1182</v>
      </c>
      <c r="Y411" s="78">
        <f t="shared" si="88"/>
        <v>0</v>
      </c>
      <c r="Z411" s="77">
        <f t="shared" si="89"/>
        <v>0</v>
      </c>
      <c r="AA411" s="76">
        <f t="shared" si="90"/>
        <v>4.2549999999999999</v>
      </c>
      <c r="AB411" s="76">
        <f t="shared" si="91"/>
        <v>2.0299999999999998</v>
      </c>
    </row>
    <row r="412" spans="2:28">
      <c r="B412" s="90">
        <f>'116+240'!B413</f>
        <v>45680</v>
      </c>
      <c r="C412" s="87">
        <f t="shared" si="83"/>
        <v>1</v>
      </c>
      <c r="D412" s="86">
        <f t="shared" si="84"/>
        <v>844</v>
      </c>
      <c r="E412" s="85">
        <f>VLOOKUP(B412,'116+240'!B413:AB413,3,FALSE)</f>
        <v>1975</v>
      </c>
      <c r="F412" s="81">
        <f t="shared" si="79"/>
        <v>2819</v>
      </c>
      <c r="G412" s="84">
        <f>VLOOKUP(B412,'116+240'!$B$15:$AB$682,20,FALSE)</f>
        <v>2977</v>
      </c>
      <c r="H412" s="84">
        <f>VLOOKUP(B412,'116+240'!$B$15:$AB$682,4,FALSE)</f>
        <v>112</v>
      </c>
      <c r="I412" s="80">
        <f t="shared" si="80"/>
        <v>2707</v>
      </c>
      <c r="J412" s="80">
        <f>VLOOKUP(B412,'116+240'!$B$15:$AB$682,13,FALSE)</f>
        <v>-1293</v>
      </c>
      <c r="K412" s="89">
        <f>'116+240'!Q413</f>
        <v>1</v>
      </c>
      <c r="L412" s="83">
        <f t="shared" si="85"/>
        <v>1333</v>
      </c>
      <c r="M412" s="82">
        <f>VLOOKUP(B412,'116+240'!$B$14:$AB$682,21,FALSE)</f>
        <v>3128</v>
      </c>
      <c r="N412" s="81">
        <f>VLOOKUP(B412,'116+240'!$B$15:$AB$682,5,FALSE)</f>
        <v>81</v>
      </c>
      <c r="O412" s="80">
        <f t="shared" si="81"/>
        <v>2738</v>
      </c>
      <c r="P412" s="80">
        <f>VLOOKUP(B412,'116+240'!$B$15:$AB$682,14,FALSE)</f>
        <v>-1262</v>
      </c>
      <c r="Q412" s="89">
        <f>'116+240'!R413</f>
        <v>2</v>
      </c>
      <c r="R412" s="83">
        <f t="shared" si="86"/>
        <v>1182</v>
      </c>
      <c r="S412" s="82">
        <f>VLOOKUP(B412,'116+240'!$B$14:$AB$682,22,FALSE)</f>
        <v>3128</v>
      </c>
      <c r="T412" s="81">
        <f>VLOOKUP(B412,'116+240'!$B$15:$AB$682,6,FALSE)</f>
        <v>31</v>
      </c>
      <c r="U412" s="80">
        <f t="shared" si="82"/>
        <v>2788</v>
      </c>
      <c r="V412" s="79">
        <f>VLOOKUP(B412,'116+240'!$B$15:$AB$682,15,FALSE)</f>
        <v>-1212</v>
      </c>
      <c r="W412" s="89">
        <f>'116+240'!S413</f>
        <v>0</v>
      </c>
      <c r="X412" s="83">
        <f t="shared" si="87"/>
        <v>1182</v>
      </c>
      <c r="Y412" s="78">
        <f t="shared" si="88"/>
        <v>0</v>
      </c>
      <c r="Z412" s="77">
        <f t="shared" si="89"/>
        <v>0</v>
      </c>
      <c r="AA412" s="76">
        <f t="shared" si="90"/>
        <v>4.2549999999999999</v>
      </c>
      <c r="AB412" s="76">
        <f t="shared" si="91"/>
        <v>2.0259999999999998</v>
      </c>
    </row>
    <row r="413" spans="2:28">
      <c r="B413" s="90">
        <f>'116+240'!B414</f>
        <v>45681</v>
      </c>
      <c r="C413" s="87">
        <f t="shared" si="83"/>
        <v>1</v>
      </c>
      <c r="D413" s="86">
        <f t="shared" si="84"/>
        <v>844</v>
      </c>
      <c r="E413" s="85">
        <f>VLOOKUP(B413,'116+240'!B414:AB414,3,FALSE)</f>
        <v>1977</v>
      </c>
      <c r="F413" s="81">
        <f t="shared" si="79"/>
        <v>2821</v>
      </c>
      <c r="G413" s="84">
        <f>VLOOKUP(B413,'116+240'!$B$15:$AB$682,20,FALSE)</f>
        <v>2974</v>
      </c>
      <c r="H413" s="84">
        <f>VLOOKUP(B413,'116+240'!$B$15:$AB$682,4,FALSE)</f>
        <v>117</v>
      </c>
      <c r="I413" s="80">
        <f t="shared" si="80"/>
        <v>2704</v>
      </c>
      <c r="J413" s="80">
        <f>VLOOKUP(B413,'116+240'!$B$15:$AB$682,13,FALSE)</f>
        <v>-1296</v>
      </c>
      <c r="K413" s="89">
        <f>'116+240'!Q414</f>
        <v>3</v>
      </c>
      <c r="L413" s="83">
        <f t="shared" si="85"/>
        <v>1336</v>
      </c>
      <c r="M413" s="82">
        <f>VLOOKUP(B413,'116+240'!$B$14:$AB$682,21,FALSE)</f>
        <v>3126</v>
      </c>
      <c r="N413" s="81">
        <f>VLOOKUP(B413,'116+240'!$B$15:$AB$682,5,FALSE)</f>
        <v>85</v>
      </c>
      <c r="O413" s="80">
        <f t="shared" si="81"/>
        <v>2736</v>
      </c>
      <c r="P413" s="80">
        <f>VLOOKUP(B413,'116+240'!$B$15:$AB$682,14,FALSE)</f>
        <v>-1264</v>
      </c>
      <c r="Q413" s="89">
        <f>'116+240'!R414</f>
        <v>2</v>
      </c>
      <c r="R413" s="83">
        <f t="shared" si="86"/>
        <v>1184</v>
      </c>
      <c r="S413" s="82">
        <f>VLOOKUP(B413,'116+240'!$B$14:$AB$682,22,FALSE)</f>
        <v>3123</v>
      </c>
      <c r="T413" s="81">
        <f>VLOOKUP(B413,'116+240'!$B$15:$AB$682,6,FALSE)</f>
        <v>38</v>
      </c>
      <c r="U413" s="80">
        <f t="shared" si="82"/>
        <v>2783</v>
      </c>
      <c r="V413" s="79">
        <f>VLOOKUP(B413,'116+240'!$B$15:$AB$682,15,FALSE)</f>
        <v>-1217</v>
      </c>
      <c r="W413" s="89">
        <f>'116+240'!S414</f>
        <v>5</v>
      </c>
      <c r="X413" s="83">
        <f t="shared" si="87"/>
        <v>1187</v>
      </c>
      <c r="Y413" s="78">
        <f t="shared" si="88"/>
        <v>-5</v>
      </c>
      <c r="Z413" s="77">
        <f t="shared" si="89"/>
        <v>0</v>
      </c>
      <c r="AA413" s="76">
        <f t="shared" si="90"/>
        <v>4.2549999999999999</v>
      </c>
      <c r="AB413" s="76">
        <f t="shared" si="91"/>
        <v>2.0219999999999998</v>
      </c>
    </row>
    <row r="414" spans="2:28">
      <c r="B414" s="90">
        <f>'116+240'!B415</f>
        <v>45682</v>
      </c>
      <c r="C414" s="87">
        <f t="shared" si="83"/>
        <v>1</v>
      </c>
      <c r="D414" s="86">
        <f t="shared" si="84"/>
        <v>844</v>
      </c>
      <c r="E414" s="85">
        <f>VLOOKUP(B414,'116+240'!B415:AB415,3,FALSE)</f>
        <v>1979</v>
      </c>
      <c r="F414" s="81">
        <f t="shared" si="79"/>
        <v>2823</v>
      </c>
      <c r="G414" s="84">
        <f>VLOOKUP(B414,'116+240'!$B$15:$AB$682,20,FALSE)</f>
        <v>2972</v>
      </c>
      <c r="H414" s="84">
        <f>VLOOKUP(B414,'116+240'!$B$15:$AB$682,4,FALSE)</f>
        <v>121</v>
      </c>
      <c r="I414" s="80">
        <f t="shared" si="80"/>
        <v>2702</v>
      </c>
      <c r="J414" s="80">
        <f>VLOOKUP(B414,'116+240'!$B$15:$AB$682,13,FALSE)</f>
        <v>-1298</v>
      </c>
      <c r="K414" s="89">
        <f>'116+240'!Q415</f>
        <v>2</v>
      </c>
      <c r="L414" s="83">
        <f t="shared" si="85"/>
        <v>1338</v>
      </c>
      <c r="M414" s="82">
        <f>VLOOKUP(B414,'116+240'!$B$14:$AB$682,21,FALSE)</f>
        <v>3124</v>
      </c>
      <c r="N414" s="81">
        <f>VLOOKUP(B414,'116+240'!$B$15:$AB$682,5,FALSE)</f>
        <v>89</v>
      </c>
      <c r="O414" s="80">
        <f t="shared" si="81"/>
        <v>2734</v>
      </c>
      <c r="P414" s="80">
        <f>VLOOKUP(B414,'116+240'!$B$15:$AB$682,14,FALSE)</f>
        <v>-1266</v>
      </c>
      <c r="Q414" s="89">
        <f>'116+240'!R415</f>
        <v>2</v>
      </c>
      <c r="R414" s="83">
        <f t="shared" si="86"/>
        <v>1186</v>
      </c>
      <c r="S414" s="82">
        <f>VLOOKUP(B414,'116+240'!$B$14:$AB$682,22,FALSE)</f>
        <v>3118</v>
      </c>
      <c r="T414" s="81">
        <f>VLOOKUP(B414,'116+240'!$B$15:$AB$682,6,FALSE)</f>
        <v>45</v>
      </c>
      <c r="U414" s="80">
        <f t="shared" si="82"/>
        <v>2778</v>
      </c>
      <c r="V414" s="79">
        <f>VLOOKUP(B414,'116+240'!$B$15:$AB$682,15,FALSE)</f>
        <v>-1222</v>
      </c>
      <c r="W414" s="89">
        <f>'116+240'!S415</f>
        <v>5</v>
      </c>
      <c r="X414" s="83">
        <f t="shared" si="87"/>
        <v>1192</v>
      </c>
      <c r="Y414" s="78">
        <f t="shared" si="88"/>
        <v>-5</v>
      </c>
      <c r="Z414" s="77">
        <f t="shared" si="89"/>
        <v>0</v>
      </c>
      <c r="AA414" s="76">
        <f t="shared" si="90"/>
        <v>4.2549999999999999</v>
      </c>
      <c r="AB414" s="76">
        <f t="shared" si="91"/>
        <v>2.0179999999999998</v>
      </c>
    </row>
    <row r="415" spans="2:28">
      <c r="B415" s="90">
        <f>'116+240'!B416</f>
        <v>45683</v>
      </c>
      <c r="C415" s="87">
        <f t="shared" si="83"/>
        <v>1</v>
      </c>
      <c r="D415" s="86">
        <f t="shared" si="84"/>
        <v>844</v>
      </c>
      <c r="E415" s="85">
        <f>VLOOKUP(B415,'116+240'!B416:AB416,3,FALSE)</f>
        <v>1981</v>
      </c>
      <c r="F415" s="81">
        <f t="shared" si="79"/>
        <v>2825</v>
      </c>
      <c r="G415" s="84">
        <f>VLOOKUP(B415,'116+240'!$B$15:$AB$682,20,FALSE)</f>
        <v>2971</v>
      </c>
      <c r="H415" s="84">
        <f>VLOOKUP(B415,'116+240'!$B$15:$AB$682,4,FALSE)</f>
        <v>124</v>
      </c>
      <c r="I415" s="80">
        <f t="shared" si="80"/>
        <v>2701</v>
      </c>
      <c r="J415" s="80">
        <f>VLOOKUP(B415,'116+240'!$B$15:$AB$682,13,FALSE)</f>
        <v>-1299</v>
      </c>
      <c r="K415" s="89">
        <f>'116+240'!Q416</f>
        <v>1</v>
      </c>
      <c r="L415" s="83">
        <f t="shared" si="85"/>
        <v>1339</v>
      </c>
      <c r="M415" s="82">
        <f>VLOOKUP(B415,'116+240'!$B$14:$AB$682,21,FALSE)</f>
        <v>3119</v>
      </c>
      <c r="N415" s="81">
        <f>VLOOKUP(B415,'116+240'!$B$15:$AB$682,5,FALSE)</f>
        <v>96</v>
      </c>
      <c r="O415" s="80">
        <f t="shared" si="81"/>
        <v>2729</v>
      </c>
      <c r="P415" s="80">
        <f>VLOOKUP(B415,'116+240'!$B$15:$AB$682,14,FALSE)</f>
        <v>-1271</v>
      </c>
      <c r="Q415" s="89">
        <f>'116+240'!R416</f>
        <v>5</v>
      </c>
      <c r="R415" s="83">
        <f t="shared" si="86"/>
        <v>1191</v>
      </c>
      <c r="S415" s="82">
        <f>VLOOKUP(B415,'116+240'!$B$14:$AB$682,22,FALSE)</f>
        <v>3113</v>
      </c>
      <c r="T415" s="81">
        <f>VLOOKUP(B415,'116+240'!$B$15:$AB$682,6,FALSE)</f>
        <v>52</v>
      </c>
      <c r="U415" s="80">
        <f t="shared" si="82"/>
        <v>2773</v>
      </c>
      <c r="V415" s="79">
        <f>VLOOKUP(B415,'116+240'!$B$15:$AB$682,15,FALSE)</f>
        <v>-1227</v>
      </c>
      <c r="W415" s="89">
        <f>'116+240'!S416</f>
        <v>5</v>
      </c>
      <c r="X415" s="83">
        <f t="shared" si="87"/>
        <v>1197</v>
      </c>
      <c r="Y415" s="78">
        <f t="shared" si="88"/>
        <v>-5</v>
      </c>
      <c r="Z415" s="77">
        <f t="shared" si="89"/>
        <v>0</v>
      </c>
      <c r="AA415" s="76">
        <f t="shared" si="90"/>
        <v>4.2549999999999999</v>
      </c>
      <c r="AB415" s="76">
        <f t="shared" si="91"/>
        <v>2.008</v>
      </c>
    </row>
    <row r="416" spans="2:28">
      <c r="B416" s="90">
        <f>'116+240'!B417</f>
        <v>45684</v>
      </c>
      <c r="C416" s="87">
        <f t="shared" si="83"/>
        <v>1</v>
      </c>
      <c r="D416" s="86">
        <f t="shared" si="84"/>
        <v>844</v>
      </c>
      <c r="E416" s="85">
        <f>VLOOKUP(B416,'116+240'!B417:AB417,3,FALSE)</f>
        <v>1983</v>
      </c>
      <c r="F416" s="81">
        <f t="shared" si="79"/>
        <v>2827</v>
      </c>
      <c r="G416" s="84">
        <f>VLOOKUP(B416,'116+240'!$B$15:$AB$682,20,FALSE)</f>
        <v>2969</v>
      </c>
      <c r="H416" s="84">
        <f>VLOOKUP(B416,'116+240'!$B$15:$AB$682,4,FALSE)</f>
        <v>128</v>
      </c>
      <c r="I416" s="80">
        <f t="shared" si="80"/>
        <v>2699</v>
      </c>
      <c r="J416" s="80">
        <f>VLOOKUP(B416,'116+240'!$B$15:$AB$682,13,FALSE)</f>
        <v>-1301</v>
      </c>
      <c r="K416" s="89">
        <f>'116+240'!Q417</f>
        <v>2</v>
      </c>
      <c r="L416" s="83">
        <f t="shared" si="85"/>
        <v>1341</v>
      </c>
      <c r="M416" s="82">
        <f>VLOOKUP(B416,'116+240'!$B$14:$AB$682,21,FALSE)</f>
        <v>3114</v>
      </c>
      <c r="N416" s="81">
        <f>VLOOKUP(B416,'116+240'!$B$15:$AB$682,5,FALSE)</f>
        <v>103</v>
      </c>
      <c r="O416" s="80">
        <f t="shared" si="81"/>
        <v>2724</v>
      </c>
      <c r="P416" s="80">
        <f>VLOOKUP(B416,'116+240'!$B$15:$AB$682,14,FALSE)</f>
        <v>-1276</v>
      </c>
      <c r="Q416" s="89">
        <f>'116+240'!R417</f>
        <v>5</v>
      </c>
      <c r="R416" s="83">
        <f t="shared" si="86"/>
        <v>1196</v>
      </c>
      <c r="S416" s="82">
        <f>VLOOKUP(B416,'116+240'!$B$14:$AB$682,22,FALSE)</f>
        <v>3111</v>
      </c>
      <c r="T416" s="81">
        <f>VLOOKUP(B416,'116+240'!$B$15:$AB$682,6,FALSE)</f>
        <v>56</v>
      </c>
      <c r="U416" s="80">
        <f t="shared" si="82"/>
        <v>2771</v>
      </c>
      <c r="V416" s="79">
        <f>VLOOKUP(B416,'116+240'!$B$15:$AB$682,15,FALSE)</f>
        <v>-1229</v>
      </c>
      <c r="W416" s="89">
        <f>'116+240'!S417</f>
        <v>2</v>
      </c>
      <c r="X416" s="83">
        <f t="shared" si="87"/>
        <v>1199</v>
      </c>
      <c r="Y416" s="78">
        <f t="shared" si="88"/>
        <v>-2</v>
      </c>
      <c r="Z416" s="77">
        <f t="shared" si="89"/>
        <v>0</v>
      </c>
      <c r="AA416" s="76">
        <f t="shared" si="90"/>
        <v>4.2549999999999999</v>
      </c>
      <c r="AB416" s="76">
        <f t="shared" si="91"/>
        <v>1.998</v>
      </c>
    </row>
    <row r="417" spans="2:28">
      <c r="B417" s="90">
        <f>'116+240'!B418</f>
        <v>45685</v>
      </c>
      <c r="C417" s="87">
        <f t="shared" si="83"/>
        <v>1</v>
      </c>
      <c r="D417" s="86">
        <f t="shared" si="84"/>
        <v>844</v>
      </c>
      <c r="E417" s="85">
        <f>VLOOKUP(B417,'116+240'!B418:AB418,3,FALSE)</f>
        <v>1985</v>
      </c>
      <c r="F417" s="81">
        <f t="shared" si="79"/>
        <v>2829</v>
      </c>
      <c r="G417" s="84">
        <f>VLOOKUP(B417,'116+240'!$B$15:$AB$682,20,FALSE)</f>
        <v>2967</v>
      </c>
      <c r="H417" s="84">
        <f>VLOOKUP(B417,'116+240'!$B$15:$AB$682,4,FALSE)</f>
        <v>132</v>
      </c>
      <c r="I417" s="80">
        <f t="shared" si="80"/>
        <v>2697</v>
      </c>
      <c r="J417" s="80">
        <f>VLOOKUP(B417,'116+240'!$B$15:$AB$682,13,FALSE)</f>
        <v>-1303</v>
      </c>
      <c r="K417" s="89">
        <f>'116+240'!Q418</f>
        <v>2</v>
      </c>
      <c r="L417" s="83">
        <f t="shared" si="85"/>
        <v>1343</v>
      </c>
      <c r="M417" s="82">
        <f>VLOOKUP(B417,'116+240'!$B$14:$AB$682,21,FALSE)</f>
        <v>3109</v>
      </c>
      <c r="N417" s="81">
        <f>VLOOKUP(B417,'116+240'!$B$15:$AB$682,5,FALSE)</f>
        <v>110</v>
      </c>
      <c r="O417" s="80">
        <f t="shared" si="81"/>
        <v>2719</v>
      </c>
      <c r="P417" s="80">
        <f>VLOOKUP(B417,'116+240'!$B$15:$AB$682,14,FALSE)</f>
        <v>-1281</v>
      </c>
      <c r="Q417" s="89">
        <f>'116+240'!R418</f>
        <v>5</v>
      </c>
      <c r="R417" s="83">
        <f t="shared" si="86"/>
        <v>1201</v>
      </c>
      <c r="S417" s="82">
        <f>VLOOKUP(B417,'116+240'!$B$14:$AB$682,22,FALSE)</f>
        <v>3109</v>
      </c>
      <c r="T417" s="81">
        <f>VLOOKUP(B417,'116+240'!$B$15:$AB$682,6,FALSE)</f>
        <v>60</v>
      </c>
      <c r="U417" s="80">
        <f t="shared" si="82"/>
        <v>2769</v>
      </c>
      <c r="V417" s="79">
        <f>VLOOKUP(B417,'116+240'!$B$15:$AB$682,15,FALSE)</f>
        <v>-1231</v>
      </c>
      <c r="W417" s="89">
        <f>'116+240'!S418</f>
        <v>2</v>
      </c>
      <c r="X417" s="83">
        <f t="shared" si="87"/>
        <v>1201</v>
      </c>
      <c r="Y417" s="78">
        <f t="shared" si="88"/>
        <v>-2</v>
      </c>
      <c r="Z417" s="77">
        <f t="shared" si="89"/>
        <v>0</v>
      </c>
      <c r="AA417" s="76">
        <f t="shared" si="90"/>
        <v>4.2549999999999999</v>
      </c>
      <c r="AB417" s="76">
        <f t="shared" si="91"/>
        <v>1.988</v>
      </c>
    </row>
    <row r="418" spans="2:28">
      <c r="B418" s="90">
        <f>'116+240'!B419</f>
        <v>45686</v>
      </c>
      <c r="C418" s="87">
        <f t="shared" si="83"/>
        <v>1</v>
      </c>
      <c r="D418" s="86">
        <f t="shared" si="84"/>
        <v>844</v>
      </c>
      <c r="E418" s="85">
        <f>VLOOKUP(B418,'116+240'!B419:AB419,3,FALSE)</f>
        <v>1987</v>
      </c>
      <c r="F418" s="81">
        <f t="shared" si="79"/>
        <v>2831</v>
      </c>
      <c r="G418" s="84">
        <f>VLOOKUP(B418,'116+240'!$B$15:$AB$682,20,FALSE)</f>
        <v>2967</v>
      </c>
      <c r="H418" s="84">
        <f>VLOOKUP(B418,'116+240'!$B$15:$AB$682,4,FALSE)</f>
        <v>134</v>
      </c>
      <c r="I418" s="80">
        <f t="shared" si="80"/>
        <v>2697</v>
      </c>
      <c r="J418" s="80">
        <f>VLOOKUP(B418,'116+240'!$B$15:$AB$682,13,FALSE)</f>
        <v>-1303</v>
      </c>
      <c r="K418" s="89">
        <f>'116+240'!Q419</f>
        <v>0</v>
      </c>
      <c r="L418" s="83">
        <f t="shared" si="85"/>
        <v>1343</v>
      </c>
      <c r="M418" s="82">
        <f>VLOOKUP(B418,'116+240'!$B$14:$AB$682,21,FALSE)</f>
        <v>3109</v>
      </c>
      <c r="N418" s="81">
        <f>VLOOKUP(B418,'116+240'!$B$15:$AB$682,5,FALSE)</f>
        <v>112</v>
      </c>
      <c r="O418" s="80">
        <f t="shared" si="81"/>
        <v>2719</v>
      </c>
      <c r="P418" s="80">
        <f>VLOOKUP(B418,'116+240'!$B$15:$AB$682,14,FALSE)</f>
        <v>-1281</v>
      </c>
      <c r="Q418" s="89">
        <f>'116+240'!R419</f>
        <v>0</v>
      </c>
      <c r="R418" s="83">
        <f t="shared" si="86"/>
        <v>1201</v>
      </c>
      <c r="S418" s="82">
        <f>VLOOKUP(B418,'116+240'!$B$14:$AB$682,22,FALSE)</f>
        <v>3109</v>
      </c>
      <c r="T418" s="81">
        <f>VLOOKUP(B418,'116+240'!$B$15:$AB$682,6,FALSE)</f>
        <v>62</v>
      </c>
      <c r="U418" s="80">
        <f t="shared" si="82"/>
        <v>2769</v>
      </c>
      <c r="V418" s="79">
        <f>VLOOKUP(B418,'116+240'!$B$15:$AB$682,15,FALSE)</f>
        <v>-1231</v>
      </c>
      <c r="W418" s="89">
        <f>'116+240'!S419</f>
        <v>0</v>
      </c>
      <c r="X418" s="83">
        <f t="shared" si="87"/>
        <v>1201</v>
      </c>
      <c r="Y418" s="78">
        <f t="shared" si="88"/>
        <v>0</v>
      </c>
      <c r="Z418" s="77">
        <f t="shared" si="89"/>
        <v>0</v>
      </c>
      <c r="AA418" s="76">
        <f t="shared" si="90"/>
        <v>4.2549999999999999</v>
      </c>
      <c r="AB418" s="76">
        <f t="shared" si="91"/>
        <v>1.988</v>
      </c>
    </row>
    <row r="419" spans="2:28">
      <c r="B419" s="90">
        <f>'116+240'!B420</f>
        <v>45687</v>
      </c>
      <c r="C419" s="87">
        <f t="shared" si="83"/>
        <v>1</v>
      </c>
      <c r="D419" s="86">
        <f t="shared" si="84"/>
        <v>844</v>
      </c>
      <c r="E419" s="85">
        <f>VLOOKUP(B419,'116+240'!B420:AB420,3,FALSE)</f>
        <v>1989</v>
      </c>
      <c r="F419" s="81">
        <f t="shared" si="79"/>
        <v>2833</v>
      </c>
      <c r="G419" s="84">
        <f>VLOOKUP(B419,'116+240'!$B$15:$AB$682,20,FALSE)</f>
        <v>2967</v>
      </c>
      <c r="H419" s="84">
        <f>VLOOKUP(B419,'116+240'!$B$15:$AB$682,4,FALSE)</f>
        <v>136</v>
      </c>
      <c r="I419" s="80">
        <f t="shared" si="80"/>
        <v>2697</v>
      </c>
      <c r="J419" s="80">
        <f>VLOOKUP(B419,'116+240'!$B$15:$AB$682,13,FALSE)</f>
        <v>-1303</v>
      </c>
      <c r="K419" s="89">
        <f>'116+240'!Q420</f>
        <v>0</v>
      </c>
      <c r="L419" s="83">
        <f t="shared" si="85"/>
        <v>1343</v>
      </c>
      <c r="M419" s="82">
        <f>VLOOKUP(B419,'116+240'!$B$14:$AB$682,21,FALSE)</f>
        <v>3109</v>
      </c>
      <c r="N419" s="81">
        <f>VLOOKUP(B419,'116+240'!$B$15:$AB$682,5,FALSE)</f>
        <v>114</v>
      </c>
      <c r="O419" s="80">
        <f t="shared" si="81"/>
        <v>2719</v>
      </c>
      <c r="P419" s="80">
        <f>VLOOKUP(B419,'116+240'!$B$15:$AB$682,14,FALSE)</f>
        <v>-1281</v>
      </c>
      <c r="Q419" s="89">
        <f>'116+240'!R420</f>
        <v>0</v>
      </c>
      <c r="R419" s="83">
        <f t="shared" si="86"/>
        <v>1201</v>
      </c>
      <c r="S419" s="82">
        <f>VLOOKUP(B419,'116+240'!$B$14:$AB$682,22,FALSE)</f>
        <v>3109</v>
      </c>
      <c r="T419" s="81">
        <f>VLOOKUP(B419,'116+240'!$B$15:$AB$682,6,FALSE)</f>
        <v>64</v>
      </c>
      <c r="U419" s="80">
        <f t="shared" si="82"/>
        <v>2769</v>
      </c>
      <c r="V419" s="79">
        <f>VLOOKUP(B419,'116+240'!$B$15:$AB$682,15,FALSE)</f>
        <v>-1231</v>
      </c>
      <c r="W419" s="89">
        <f>'116+240'!S420</f>
        <v>0</v>
      </c>
      <c r="X419" s="83">
        <f t="shared" si="87"/>
        <v>1201</v>
      </c>
      <c r="Y419" s="78">
        <f t="shared" si="88"/>
        <v>0</v>
      </c>
      <c r="Z419" s="77">
        <f t="shared" si="89"/>
        <v>0</v>
      </c>
      <c r="AA419" s="76">
        <f t="shared" si="90"/>
        <v>4.2549999999999999</v>
      </c>
      <c r="AB419" s="76">
        <f t="shared" si="91"/>
        <v>1.988</v>
      </c>
    </row>
    <row r="420" spans="2:28">
      <c r="B420" s="90">
        <f>'116+240'!B421</f>
        <v>45688</v>
      </c>
      <c r="C420" s="87">
        <f t="shared" si="83"/>
        <v>1</v>
      </c>
      <c r="D420" s="86">
        <f t="shared" si="84"/>
        <v>844</v>
      </c>
      <c r="E420" s="85">
        <f>VLOOKUP(B420,'116+240'!B421:AB421,3,FALSE)</f>
        <v>1991</v>
      </c>
      <c r="F420" s="81">
        <f t="shared" si="79"/>
        <v>2835</v>
      </c>
      <c r="G420" s="84">
        <f>VLOOKUP(B420,'116+240'!$B$15:$AB$682,20,FALSE)</f>
        <v>2964</v>
      </c>
      <c r="H420" s="84">
        <f>VLOOKUP(B420,'116+240'!$B$15:$AB$682,4,FALSE)</f>
        <v>141</v>
      </c>
      <c r="I420" s="80">
        <f t="shared" si="80"/>
        <v>2694</v>
      </c>
      <c r="J420" s="80">
        <f>VLOOKUP(B420,'116+240'!$B$15:$AB$682,13,FALSE)</f>
        <v>-1306</v>
      </c>
      <c r="K420" s="89">
        <f>'116+240'!Q421</f>
        <v>3</v>
      </c>
      <c r="L420" s="83">
        <f t="shared" si="85"/>
        <v>1346</v>
      </c>
      <c r="M420" s="82">
        <f>VLOOKUP(B420,'116+240'!$B$14:$AB$682,21,FALSE)</f>
        <v>3108</v>
      </c>
      <c r="N420" s="81">
        <f>VLOOKUP(B420,'116+240'!$B$15:$AB$682,5,FALSE)</f>
        <v>117</v>
      </c>
      <c r="O420" s="80">
        <f t="shared" si="81"/>
        <v>2718</v>
      </c>
      <c r="P420" s="80">
        <f>VLOOKUP(B420,'116+240'!$B$15:$AB$682,14,FALSE)</f>
        <v>-1282</v>
      </c>
      <c r="Q420" s="89">
        <f>'116+240'!R421</f>
        <v>1</v>
      </c>
      <c r="R420" s="83">
        <f t="shared" si="86"/>
        <v>1202</v>
      </c>
      <c r="S420" s="82">
        <f>VLOOKUP(B420,'116+240'!$B$14:$AB$682,22,FALSE)</f>
        <v>3108</v>
      </c>
      <c r="T420" s="81">
        <f>VLOOKUP(B420,'116+240'!$B$15:$AB$682,6,FALSE)</f>
        <v>67</v>
      </c>
      <c r="U420" s="80">
        <f t="shared" si="82"/>
        <v>2768</v>
      </c>
      <c r="V420" s="79">
        <f>VLOOKUP(B420,'116+240'!$B$15:$AB$682,15,FALSE)</f>
        <v>-1232</v>
      </c>
      <c r="W420" s="89">
        <f>'116+240'!S421</f>
        <v>1</v>
      </c>
      <c r="X420" s="83">
        <f t="shared" si="87"/>
        <v>1202</v>
      </c>
      <c r="Y420" s="78">
        <f t="shared" si="88"/>
        <v>-1</v>
      </c>
      <c r="Z420" s="77">
        <f t="shared" si="89"/>
        <v>0</v>
      </c>
      <c r="AA420" s="76">
        <f t="shared" si="90"/>
        <v>4.2549999999999999</v>
      </c>
      <c r="AB420" s="76">
        <f t="shared" si="91"/>
        <v>1.986</v>
      </c>
    </row>
    <row r="421" spans="2:28">
      <c r="B421" s="90">
        <f>'116+240'!B422</f>
        <v>45689</v>
      </c>
      <c r="C421" s="87">
        <f t="shared" si="83"/>
        <v>1</v>
      </c>
      <c r="D421" s="86">
        <f t="shared" si="84"/>
        <v>844</v>
      </c>
      <c r="E421" s="85">
        <f>VLOOKUP(B421,'116+240'!B422:AB422,3,FALSE)</f>
        <v>1993</v>
      </c>
      <c r="F421" s="81">
        <f t="shared" si="79"/>
        <v>2837</v>
      </c>
      <c r="G421" s="84">
        <f>VLOOKUP(B421,'116+240'!$B$15:$AB$682,20,FALSE)</f>
        <v>2962</v>
      </c>
      <c r="H421" s="84">
        <f>VLOOKUP(B421,'116+240'!$B$15:$AB$682,4,FALSE)</f>
        <v>145</v>
      </c>
      <c r="I421" s="80">
        <f t="shared" si="80"/>
        <v>2692</v>
      </c>
      <c r="J421" s="80">
        <f>VLOOKUP(B421,'116+240'!$B$15:$AB$682,13,FALSE)</f>
        <v>-1308</v>
      </c>
      <c r="K421" s="89">
        <f>'116+240'!Q422</f>
        <v>2</v>
      </c>
      <c r="L421" s="83">
        <f t="shared" si="85"/>
        <v>1348</v>
      </c>
      <c r="M421" s="82">
        <f>VLOOKUP(B421,'116+240'!$B$14:$AB$682,21,FALSE)</f>
        <v>3106</v>
      </c>
      <c r="N421" s="81">
        <f>VLOOKUP(B421,'116+240'!$B$15:$AB$682,5,FALSE)</f>
        <v>121</v>
      </c>
      <c r="O421" s="80">
        <f t="shared" si="81"/>
        <v>2716</v>
      </c>
      <c r="P421" s="80">
        <f>VLOOKUP(B421,'116+240'!$B$15:$AB$682,14,FALSE)</f>
        <v>-1284</v>
      </c>
      <c r="Q421" s="89">
        <f>'116+240'!R422</f>
        <v>2</v>
      </c>
      <c r="R421" s="83">
        <f t="shared" si="86"/>
        <v>1204</v>
      </c>
      <c r="S421" s="82">
        <f>VLOOKUP(B421,'116+240'!$B$14:$AB$682,22,FALSE)</f>
        <v>3107</v>
      </c>
      <c r="T421" s="81">
        <f>VLOOKUP(B421,'116+240'!$B$15:$AB$682,6,FALSE)</f>
        <v>70</v>
      </c>
      <c r="U421" s="80">
        <f t="shared" si="82"/>
        <v>2767</v>
      </c>
      <c r="V421" s="79">
        <f>VLOOKUP(B421,'116+240'!$B$15:$AB$682,15,FALSE)</f>
        <v>-1233</v>
      </c>
      <c r="W421" s="89">
        <f>'116+240'!S422</f>
        <v>1</v>
      </c>
      <c r="X421" s="83">
        <f t="shared" si="87"/>
        <v>1203</v>
      </c>
      <c r="Y421" s="78">
        <f t="shared" si="88"/>
        <v>-1</v>
      </c>
      <c r="Z421" s="77">
        <f t="shared" si="89"/>
        <v>0</v>
      </c>
      <c r="AA421" s="76">
        <f t="shared" si="90"/>
        <v>4.2549999999999999</v>
      </c>
      <c r="AB421" s="76">
        <f t="shared" si="91"/>
        <v>1.982</v>
      </c>
    </row>
    <row r="422" spans="2:28">
      <c r="B422" s="90">
        <f>'116+240'!B423</f>
        <v>45690</v>
      </c>
      <c r="C422" s="87">
        <f t="shared" si="83"/>
        <v>1</v>
      </c>
      <c r="D422" s="86">
        <f t="shared" si="84"/>
        <v>844</v>
      </c>
      <c r="E422" s="85">
        <f>VLOOKUP(B422,'116+240'!B423:AB423,3,FALSE)</f>
        <v>1995</v>
      </c>
      <c r="F422" s="81">
        <f t="shared" si="79"/>
        <v>2839</v>
      </c>
      <c r="G422" s="84">
        <f>VLOOKUP(B422,'116+240'!$B$15:$AB$682,20,FALSE)</f>
        <v>3209</v>
      </c>
      <c r="H422" s="84">
        <f>VLOOKUP(B422,'116+240'!$B$15:$AB$682,4,FALSE)</f>
        <v>150</v>
      </c>
      <c r="I422" s="80">
        <f t="shared" si="80"/>
        <v>2689</v>
      </c>
      <c r="J422" s="80">
        <f>VLOOKUP(B422,'116+240'!$B$15:$AB$682,13,FALSE)</f>
        <v>-1311</v>
      </c>
      <c r="K422" s="89">
        <f>'116+240'!Q423</f>
        <v>3</v>
      </c>
      <c r="L422" s="83">
        <f t="shared" si="85"/>
        <v>1351</v>
      </c>
      <c r="M422" s="82">
        <f>VLOOKUP(B422,'116+240'!$B$14:$AB$682,21,FALSE)</f>
        <v>3354</v>
      </c>
      <c r="N422" s="81">
        <f>VLOOKUP(B422,'116+240'!$B$15:$AB$682,5,FALSE)</f>
        <v>125</v>
      </c>
      <c r="O422" s="80">
        <f t="shared" si="81"/>
        <v>2714</v>
      </c>
      <c r="P422" s="80">
        <f>VLOOKUP(B422,'116+240'!$B$15:$AB$682,14,FALSE)</f>
        <v>-1286</v>
      </c>
      <c r="Q422" s="89">
        <f>'116+240'!R423</f>
        <v>2</v>
      </c>
      <c r="R422" s="83">
        <f t="shared" si="86"/>
        <v>1206</v>
      </c>
      <c r="S422" s="82">
        <f>VLOOKUP(B422,'116+240'!$B$14:$AB$682,22,FALSE)</f>
        <v>3355</v>
      </c>
      <c r="T422" s="81">
        <f>VLOOKUP(B422,'116+240'!$B$15:$AB$682,6,FALSE)</f>
        <v>74</v>
      </c>
      <c r="U422" s="80">
        <f t="shared" si="82"/>
        <v>2765</v>
      </c>
      <c r="V422" s="79">
        <f>VLOOKUP(B422,'116+240'!$B$15:$AB$682,15,FALSE)</f>
        <v>-1235</v>
      </c>
      <c r="W422" s="89">
        <f>'116+240'!S423</f>
        <v>2</v>
      </c>
      <c r="X422" s="83">
        <f t="shared" si="87"/>
        <v>1205</v>
      </c>
      <c r="Y422" s="78">
        <f t="shared" si="88"/>
        <v>248</v>
      </c>
      <c r="Z422" s="77">
        <f t="shared" si="89"/>
        <v>0.248</v>
      </c>
      <c r="AA422" s="76">
        <f t="shared" si="90"/>
        <v>4.5030000000000001</v>
      </c>
      <c r="AB422" s="76">
        <f t="shared" si="91"/>
        <v>2.2280000000000002</v>
      </c>
    </row>
    <row r="423" spans="2:28">
      <c r="B423" s="90">
        <f>'116+240'!B424</f>
        <v>45691</v>
      </c>
      <c r="C423" s="87">
        <f t="shared" si="83"/>
        <v>1</v>
      </c>
      <c r="D423" s="86">
        <f t="shared" si="84"/>
        <v>844</v>
      </c>
      <c r="E423" s="85">
        <f>VLOOKUP(B423,'116+240'!B424:AB424,3,FALSE)</f>
        <v>1997</v>
      </c>
      <c r="F423" s="81">
        <f t="shared" si="79"/>
        <v>2841</v>
      </c>
      <c r="G423" s="84">
        <f>VLOOKUP(B423,'116+240'!$B$15:$AB$682,20,FALSE)</f>
        <v>3207</v>
      </c>
      <c r="H423" s="84">
        <f>VLOOKUP(B423,'116+240'!$B$15:$AB$682,4,FALSE)</f>
        <v>154</v>
      </c>
      <c r="I423" s="80">
        <f t="shared" si="80"/>
        <v>2687</v>
      </c>
      <c r="J423" s="80">
        <f>VLOOKUP(B423,'116+240'!$B$15:$AB$682,13,FALSE)</f>
        <v>-1313</v>
      </c>
      <c r="K423" s="89">
        <f>'116+240'!Q424</f>
        <v>2</v>
      </c>
      <c r="L423" s="83">
        <f t="shared" si="85"/>
        <v>1353</v>
      </c>
      <c r="M423" s="82">
        <f>VLOOKUP(B423,'116+240'!$B$14:$AB$682,21,FALSE)</f>
        <v>3352</v>
      </c>
      <c r="N423" s="81">
        <f>VLOOKUP(B423,'116+240'!$B$15:$AB$682,5,FALSE)</f>
        <v>129</v>
      </c>
      <c r="O423" s="80">
        <f t="shared" si="81"/>
        <v>2712</v>
      </c>
      <c r="P423" s="80">
        <f>VLOOKUP(B423,'116+240'!$B$15:$AB$682,14,FALSE)</f>
        <v>-1288</v>
      </c>
      <c r="Q423" s="89">
        <f>'116+240'!R424</f>
        <v>2</v>
      </c>
      <c r="R423" s="83">
        <f t="shared" si="86"/>
        <v>1208</v>
      </c>
      <c r="S423" s="82">
        <f>VLOOKUP(B423,'116+240'!$B$14:$AB$682,22,FALSE)</f>
        <v>3353</v>
      </c>
      <c r="T423" s="81">
        <f>VLOOKUP(B423,'116+240'!$B$15:$AB$682,6,FALSE)</f>
        <v>78</v>
      </c>
      <c r="U423" s="80">
        <f t="shared" si="82"/>
        <v>2763</v>
      </c>
      <c r="V423" s="79">
        <f>VLOOKUP(B423,'116+240'!$B$15:$AB$682,15,FALSE)</f>
        <v>-1237</v>
      </c>
      <c r="W423" s="89">
        <f>'116+240'!S424</f>
        <v>2</v>
      </c>
      <c r="X423" s="83">
        <f t="shared" si="87"/>
        <v>1207</v>
      </c>
      <c r="Y423" s="78">
        <f t="shared" si="88"/>
        <v>-2</v>
      </c>
      <c r="Z423" s="77">
        <f t="shared" si="89"/>
        <v>0</v>
      </c>
      <c r="AA423" s="76">
        <f t="shared" si="90"/>
        <v>4.5030000000000001</v>
      </c>
      <c r="AB423" s="76">
        <f t="shared" si="91"/>
        <v>2.2240000000000002</v>
      </c>
    </row>
    <row r="424" spans="2:28">
      <c r="B424" s="90">
        <f>'116+240'!B425</f>
        <v>45692</v>
      </c>
      <c r="C424" s="87">
        <f t="shared" si="83"/>
        <v>1</v>
      </c>
      <c r="D424" s="86">
        <f t="shared" si="84"/>
        <v>844</v>
      </c>
      <c r="E424" s="85">
        <f>VLOOKUP(B424,'116+240'!B425:AB425,3,FALSE)</f>
        <v>1999</v>
      </c>
      <c r="F424" s="81">
        <f t="shared" si="79"/>
        <v>2843</v>
      </c>
      <c r="G424" s="84">
        <f>VLOOKUP(B424,'116+240'!$B$15:$AB$682,20,FALSE)</f>
        <v>3206</v>
      </c>
      <c r="H424" s="84">
        <f>VLOOKUP(B424,'116+240'!$B$15:$AB$682,4,FALSE)</f>
        <v>157</v>
      </c>
      <c r="I424" s="80">
        <f t="shared" si="80"/>
        <v>2686</v>
      </c>
      <c r="J424" s="80">
        <f>VLOOKUP(B424,'116+240'!$B$15:$AB$682,13,FALSE)</f>
        <v>-1314</v>
      </c>
      <c r="K424" s="89">
        <f>'116+240'!Q425</f>
        <v>1</v>
      </c>
      <c r="L424" s="83">
        <f t="shared" si="85"/>
        <v>1354</v>
      </c>
      <c r="M424" s="82">
        <f>VLOOKUP(B424,'116+240'!$B$14:$AB$682,21,FALSE)</f>
        <v>3350</v>
      </c>
      <c r="N424" s="81">
        <f>VLOOKUP(B424,'116+240'!$B$15:$AB$682,5,FALSE)</f>
        <v>133</v>
      </c>
      <c r="O424" s="80">
        <f t="shared" si="81"/>
        <v>2710</v>
      </c>
      <c r="P424" s="80">
        <f>VLOOKUP(B424,'116+240'!$B$15:$AB$682,14,FALSE)</f>
        <v>-1290</v>
      </c>
      <c r="Q424" s="89">
        <f>'116+240'!R425</f>
        <v>2</v>
      </c>
      <c r="R424" s="83">
        <f t="shared" si="86"/>
        <v>1210</v>
      </c>
      <c r="S424" s="82">
        <f>VLOOKUP(B424,'116+240'!$B$14:$AB$682,22,FALSE)</f>
        <v>3352</v>
      </c>
      <c r="T424" s="81">
        <f>VLOOKUP(B424,'116+240'!$B$15:$AB$682,6,FALSE)</f>
        <v>81</v>
      </c>
      <c r="U424" s="80">
        <f t="shared" si="82"/>
        <v>2762</v>
      </c>
      <c r="V424" s="79">
        <f>VLOOKUP(B424,'116+240'!$B$15:$AB$682,15,FALSE)</f>
        <v>-1238</v>
      </c>
      <c r="W424" s="89">
        <f>'116+240'!S425</f>
        <v>1</v>
      </c>
      <c r="X424" s="83">
        <f t="shared" si="87"/>
        <v>1208</v>
      </c>
      <c r="Y424" s="78">
        <f t="shared" si="88"/>
        <v>-1</v>
      </c>
      <c r="Z424" s="77">
        <f t="shared" si="89"/>
        <v>0</v>
      </c>
      <c r="AA424" s="76">
        <f t="shared" si="90"/>
        <v>4.5030000000000001</v>
      </c>
      <c r="AB424" s="76">
        <f t="shared" si="91"/>
        <v>2.2200000000000002</v>
      </c>
    </row>
    <row r="425" spans="2:28">
      <c r="B425" s="90">
        <f>'116+240'!B426</f>
        <v>45693</v>
      </c>
      <c r="C425" s="87">
        <f t="shared" si="83"/>
        <v>1</v>
      </c>
      <c r="D425" s="86">
        <f t="shared" si="84"/>
        <v>844</v>
      </c>
      <c r="E425" s="85">
        <f>VLOOKUP(B425,'116+240'!B426:AB426,3,FALSE)</f>
        <v>2001</v>
      </c>
      <c r="F425" s="81">
        <f t="shared" si="79"/>
        <v>2845</v>
      </c>
      <c r="G425" s="84">
        <f>VLOOKUP(B425,'116+240'!$B$15:$AB$682,20,FALSE)</f>
        <v>3203</v>
      </c>
      <c r="H425" s="84">
        <f>VLOOKUP(B425,'116+240'!$B$15:$AB$682,4,FALSE)</f>
        <v>162</v>
      </c>
      <c r="I425" s="80">
        <f t="shared" si="80"/>
        <v>2683</v>
      </c>
      <c r="J425" s="80">
        <f>VLOOKUP(B425,'116+240'!$B$15:$AB$682,13,FALSE)</f>
        <v>-1317</v>
      </c>
      <c r="K425" s="89">
        <f>'116+240'!Q426</f>
        <v>3</v>
      </c>
      <c r="L425" s="83">
        <f t="shared" si="85"/>
        <v>1357</v>
      </c>
      <c r="M425" s="82">
        <f>VLOOKUP(B425,'116+240'!$B$14:$AB$682,21,FALSE)</f>
        <v>3348</v>
      </c>
      <c r="N425" s="81">
        <f>VLOOKUP(B425,'116+240'!$B$15:$AB$682,5,FALSE)</f>
        <v>137</v>
      </c>
      <c r="O425" s="80">
        <f t="shared" si="81"/>
        <v>2708</v>
      </c>
      <c r="P425" s="80">
        <f>VLOOKUP(B425,'116+240'!$B$15:$AB$682,14,FALSE)</f>
        <v>-1292</v>
      </c>
      <c r="Q425" s="89">
        <f>'116+240'!R426</f>
        <v>2</v>
      </c>
      <c r="R425" s="83">
        <f t="shared" si="86"/>
        <v>1212</v>
      </c>
      <c r="S425" s="82">
        <f>VLOOKUP(B425,'116+240'!$B$14:$AB$682,22,FALSE)</f>
        <v>3350</v>
      </c>
      <c r="T425" s="81">
        <f>VLOOKUP(B425,'116+240'!$B$15:$AB$682,6,FALSE)</f>
        <v>85</v>
      </c>
      <c r="U425" s="80">
        <f t="shared" si="82"/>
        <v>2760</v>
      </c>
      <c r="V425" s="79">
        <f>VLOOKUP(B425,'116+240'!$B$15:$AB$682,15,FALSE)</f>
        <v>-1240</v>
      </c>
      <c r="W425" s="89">
        <f>'116+240'!S426</f>
        <v>2</v>
      </c>
      <c r="X425" s="83">
        <f t="shared" si="87"/>
        <v>1210</v>
      </c>
      <c r="Y425" s="78">
        <f t="shared" si="88"/>
        <v>-2</v>
      </c>
      <c r="Z425" s="77">
        <f t="shared" si="89"/>
        <v>0</v>
      </c>
      <c r="AA425" s="76">
        <f t="shared" si="90"/>
        <v>4.5030000000000001</v>
      </c>
      <c r="AB425" s="76">
        <f t="shared" si="91"/>
        <v>2.2160000000000002</v>
      </c>
    </row>
    <row r="426" spans="2:28">
      <c r="B426" s="90">
        <f>'116+240'!B427</f>
        <v>45694</v>
      </c>
      <c r="C426" s="87">
        <f t="shared" si="83"/>
        <v>1</v>
      </c>
      <c r="D426" s="86">
        <f t="shared" si="84"/>
        <v>844</v>
      </c>
      <c r="E426" s="85">
        <f>VLOOKUP(B426,'116+240'!B427:AB427,3,FALSE)</f>
        <v>2003</v>
      </c>
      <c r="F426" s="81">
        <f t="shared" si="79"/>
        <v>2847</v>
      </c>
      <c r="G426" s="84">
        <f>VLOOKUP(B426,'116+240'!$B$15:$AB$682,20,FALSE)</f>
        <v>3201</v>
      </c>
      <c r="H426" s="84">
        <f>VLOOKUP(B426,'116+240'!$B$15:$AB$682,4,FALSE)</f>
        <v>166</v>
      </c>
      <c r="I426" s="80">
        <f t="shared" si="80"/>
        <v>2681</v>
      </c>
      <c r="J426" s="80">
        <f>VLOOKUP(B426,'116+240'!$B$15:$AB$682,13,FALSE)</f>
        <v>-1319</v>
      </c>
      <c r="K426" s="89">
        <f>'116+240'!Q427</f>
        <v>2</v>
      </c>
      <c r="L426" s="83">
        <f t="shared" si="85"/>
        <v>1359</v>
      </c>
      <c r="M426" s="82">
        <f>VLOOKUP(B426,'116+240'!$B$14:$AB$682,21,FALSE)</f>
        <v>3346</v>
      </c>
      <c r="N426" s="81">
        <f>VLOOKUP(B426,'116+240'!$B$15:$AB$682,5,FALSE)</f>
        <v>141</v>
      </c>
      <c r="O426" s="80">
        <f t="shared" si="81"/>
        <v>2706</v>
      </c>
      <c r="P426" s="80">
        <f>VLOOKUP(B426,'116+240'!$B$15:$AB$682,14,FALSE)</f>
        <v>-1294</v>
      </c>
      <c r="Q426" s="89">
        <f>'116+240'!R427</f>
        <v>2</v>
      </c>
      <c r="R426" s="83">
        <f t="shared" si="86"/>
        <v>1214</v>
      </c>
      <c r="S426" s="82">
        <f>VLOOKUP(B426,'116+240'!$B$14:$AB$682,22,FALSE)</f>
        <v>3349</v>
      </c>
      <c r="T426" s="81">
        <f>VLOOKUP(B426,'116+240'!$B$15:$AB$682,6,FALSE)</f>
        <v>88</v>
      </c>
      <c r="U426" s="80">
        <f t="shared" si="82"/>
        <v>2759</v>
      </c>
      <c r="V426" s="79">
        <f>VLOOKUP(B426,'116+240'!$B$15:$AB$682,15,FALSE)</f>
        <v>-1241</v>
      </c>
      <c r="W426" s="89">
        <f>'116+240'!S427</f>
        <v>1</v>
      </c>
      <c r="X426" s="83">
        <f t="shared" si="87"/>
        <v>1211</v>
      </c>
      <c r="Y426" s="78">
        <f t="shared" si="88"/>
        <v>-1</v>
      </c>
      <c r="Z426" s="77">
        <f t="shared" si="89"/>
        <v>0</v>
      </c>
      <c r="AA426" s="76">
        <f t="shared" si="90"/>
        <v>4.5030000000000001</v>
      </c>
      <c r="AB426" s="76">
        <f t="shared" si="91"/>
        <v>2.2120000000000002</v>
      </c>
    </row>
    <row r="427" spans="2:28">
      <c r="B427" s="90">
        <f>'116+240'!B428</f>
        <v>45695</v>
      </c>
      <c r="C427" s="87">
        <f t="shared" si="83"/>
        <v>1</v>
      </c>
      <c r="D427" s="86">
        <f t="shared" si="84"/>
        <v>844</v>
      </c>
      <c r="E427" s="85">
        <f>VLOOKUP(B427,'116+240'!B428:AB428,3,FALSE)</f>
        <v>2005</v>
      </c>
      <c r="F427" s="81">
        <f t="shared" si="79"/>
        <v>2849</v>
      </c>
      <c r="G427" s="84">
        <f>VLOOKUP(B427,'116+240'!$B$15:$AB$682,20,FALSE)</f>
        <v>3490</v>
      </c>
      <c r="H427" s="84">
        <f>VLOOKUP(B427,'116+240'!$B$15:$AB$682,4,FALSE)</f>
        <v>169</v>
      </c>
      <c r="I427" s="80">
        <f t="shared" si="80"/>
        <v>2680</v>
      </c>
      <c r="J427" s="80">
        <f>VLOOKUP(B427,'116+240'!$B$15:$AB$682,13,FALSE)</f>
        <v>-1320</v>
      </c>
      <c r="K427" s="89">
        <f>'116+240'!Q428</f>
        <v>1</v>
      </c>
      <c r="L427" s="83">
        <f t="shared" si="85"/>
        <v>1360</v>
      </c>
      <c r="M427" s="82">
        <f>VLOOKUP(B427,'116+240'!$B$14:$AB$682,21,FALSE)</f>
        <v>3631</v>
      </c>
      <c r="N427" s="81">
        <f>VLOOKUP(B427,'116+240'!$B$15:$AB$682,5,FALSE)</f>
        <v>148</v>
      </c>
      <c r="O427" s="80">
        <f t="shared" si="81"/>
        <v>2701</v>
      </c>
      <c r="P427" s="80">
        <f>VLOOKUP(B427,'116+240'!$B$15:$AB$682,14,FALSE)</f>
        <v>-1299</v>
      </c>
      <c r="Q427" s="89">
        <f>'116+240'!R428</f>
        <v>5</v>
      </c>
      <c r="R427" s="83">
        <f t="shared" si="86"/>
        <v>1219</v>
      </c>
      <c r="S427" s="82">
        <f>VLOOKUP(B427,'116+240'!$B$14:$AB$682,22,FALSE)</f>
        <v>3637</v>
      </c>
      <c r="T427" s="81">
        <f>VLOOKUP(B427,'116+240'!$B$15:$AB$682,6,FALSE)</f>
        <v>92</v>
      </c>
      <c r="U427" s="80">
        <f t="shared" si="82"/>
        <v>2757</v>
      </c>
      <c r="V427" s="79">
        <f>VLOOKUP(B427,'116+240'!$B$15:$AB$682,15,FALSE)</f>
        <v>-1243</v>
      </c>
      <c r="W427" s="89">
        <f>'116+240'!S428</f>
        <v>2</v>
      </c>
      <c r="X427" s="83">
        <f t="shared" si="87"/>
        <v>1213</v>
      </c>
      <c r="Y427" s="78">
        <f t="shared" si="88"/>
        <v>288</v>
      </c>
      <c r="Z427" s="77">
        <f t="shared" si="89"/>
        <v>0.28799999999999998</v>
      </c>
      <c r="AA427" s="76">
        <f t="shared" si="90"/>
        <v>4.7910000000000004</v>
      </c>
      <c r="AB427" s="76">
        <f t="shared" si="91"/>
        <v>2.492</v>
      </c>
    </row>
    <row r="428" spans="2:28">
      <c r="B428" s="90">
        <f>'116+240'!B429</f>
        <v>45696</v>
      </c>
      <c r="C428" s="87">
        <f t="shared" si="83"/>
        <v>1</v>
      </c>
      <c r="D428" s="86">
        <f t="shared" si="84"/>
        <v>844</v>
      </c>
      <c r="E428" s="85">
        <f>VLOOKUP(B428,'116+240'!B429:AB429,3,FALSE)</f>
        <v>2007</v>
      </c>
      <c r="F428" s="81">
        <f t="shared" si="79"/>
        <v>2851</v>
      </c>
      <c r="G428" s="84">
        <f>VLOOKUP(B428,'116+240'!$B$15:$AB$682,20,FALSE)</f>
        <v>3488</v>
      </c>
      <c r="H428" s="84">
        <f>VLOOKUP(B428,'116+240'!$B$15:$AB$682,4,FALSE)</f>
        <v>173</v>
      </c>
      <c r="I428" s="80">
        <f t="shared" si="80"/>
        <v>2678</v>
      </c>
      <c r="J428" s="80">
        <f>VLOOKUP(B428,'116+240'!$B$15:$AB$682,13,FALSE)</f>
        <v>-1322</v>
      </c>
      <c r="K428" s="89">
        <f>'116+240'!Q429</f>
        <v>2</v>
      </c>
      <c r="L428" s="83">
        <f t="shared" si="85"/>
        <v>1362</v>
      </c>
      <c r="M428" s="82">
        <f>VLOOKUP(B428,'116+240'!$B$14:$AB$682,21,FALSE)</f>
        <v>3626</v>
      </c>
      <c r="N428" s="81">
        <f>VLOOKUP(B428,'116+240'!$B$15:$AB$682,5,FALSE)</f>
        <v>155</v>
      </c>
      <c r="O428" s="80">
        <f t="shared" si="81"/>
        <v>2696</v>
      </c>
      <c r="P428" s="80">
        <f>VLOOKUP(B428,'116+240'!$B$15:$AB$682,14,FALSE)</f>
        <v>-1304</v>
      </c>
      <c r="Q428" s="89">
        <f>'116+240'!R429</f>
        <v>5</v>
      </c>
      <c r="R428" s="83">
        <f t="shared" si="86"/>
        <v>1224</v>
      </c>
      <c r="S428" s="82">
        <f>VLOOKUP(B428,'116+240'!$B$14:$AB$682,22,FALSE)</f>
        <v>3635</v>
      </c>
      <c r="T428" s="81">
        <f>VLOOKUP(B428,'116+240'!$B$15:$AB$682,6,FALSE)</f>
        <v>96</v>
      </c>
      <c r="U428" s="80">
        <f t="shared" si="82"/>
        <v>2755</v>
      </c>
      <c r="V428" s="79">
        <f>VLOOKUP(B428,'116+240'!$B$15:$AB$682,15,FALSE)</f>
        <v>-1245</v>
      </c>
      <c r="W428" s="89">
        <f>'116+240'!S429</f>
        <v>2</v>
      </c>
      <c r="X428" s="83">
        <f t="shared" si="87"/>
        <v>1215</v>
      </c>
      <c r="Y428" s="78">
        <f t="shared" si="88"/>
        <v>-2</v>
      </c>
      <c r="Z428" s="77">
        <f t="shared" si="89"/>
        <v>0</v>
      </c>
      <c r="AA428" s="76">
        <f t="shared" si="90"/>
        <v>4.7910000000000004</v>
      </c>
      <c r="AB428" s="76">
        <f t="shared" si="91"/>
        <v>2.4820000000000002</v>
      </c>
    </row>
    <row r="429" spans="2:28">
      <c r="B429" s="90">
        <f>'116+240'!B430</f>
        <v>45697</v>
      </c>
      <c r="C429" s="87">
        <f t="shared" si="83"/>
        <v>1</v>
      </c>
      <c r="D429" s="86">
        <f t="shared" si="84"/>
        <v>844</v>
      </c>
      <c r="E429" s="85">
        <f>VLOOKUP(B429,'116+240'!B430:AB430,3,FALSE)</f>
        <v>2009</v>
      </c>
      <c r="F429" s="81">
        <f t="shared" si="79"/>
        <v>2853</v>
      </c>
      <c r="G429" s="84">
        <f>VLOOKUP(B429,'116+240'!$B$15:$AB$682,20,FALSE)</f>
        <v>3486</v>
      </c>
      <c r="H429" s="84">
        <f>VLOOKUP(B429,'116+240'!$B$15:$AB$682,4,FALSE)</f>
        <v>177</v>
      </c>
      <c r="I429" s="80">
        <f t="shared" si="80"/>
        <v>2676</v>
      </c>
      <c r="J429" s="80">
        <f>VLOOKUP(B429,'116+240'!$B$15:$AB$682,13,FALSE)</f>
        <v>-1324</v>
      </c>
      <c r="K429" s="89">
        <f>'116+240'!Q430</f>
        <v>2</v>
      </c>
      <c r="L429" s="83">
        <f t="shared" si="85"/>
        <v>1364</v>
      </c>
      <c r="M429" s="82">
        <f>VLOOKUP(B429,'116+240'!$B$14:$AB$682,21,FALSE)</f>
        <v>3621</v>
      </c>
      <c r="N429" s="81">
        <f>VLOOKUP(B429,'116+240'!$B$15:$AB$682,5,FALSE)</f>
        <v>162</v>
      </c>
      <c r="O429" s="80">
        <f t="shared" si="81"/>
        <v>2691</v>
      </c>
      <c r="P429" s="80">
        <f>VLOOKUP(B429,'116+240'!$B$15:$AB$682,14,FALSE)</f>
        <v>-1309</v>
      </c>
      <c r="Q429" s="89">
        <f>'116+240'!R430</f>
        <v>5</v>
      </c>
      <c r="R429" s="83">
        <f t="shared" si="86"/>
        <v>1229</v>
      </c>
      <c r="S429" s="82">
        <f>VLOOKUP(B429,'116+240'!$B$14:$AB$682,22,FALSE)</f>
        <v>3633</v>
      </c>
      <c r="T429" s="81">
        <f>VLOOKUP(B429,'116+240'!$B$15:$AB$682,6,FALSE)</f>
        <v>100</v>
      </c>
      <c r="U429" s="80">
        <f t="shared" si="82"/>
        <v>2753</v>
      </c>
      <c r="V429" s="79">
        <f>VLOOKUP(B429,'116+240'!$B$15:$AB$682,15,FALSE)</f>
        <v>-1247</v>
      </c>
      <c r="W429" s="89">
        <f>'116+240'!S430</f>
        <v>2</v>
      </c>
      <c r="X429" s="83">
        <f t="shared" si="87"/>
        <v>1217</v>
      </c>
      <c r="Y429" s="78">
        <f t="shared" si="88"/>
        <v>-2</v>
      </c>
      <c r="Z429" s="77">
        <f t="shared" si="89"/>
        <v>0</v>
      </c>
      <c r="AA429" s="76">
        <f t="shared" si="90"/>
        <v>4.7910000000000004</v>
      </c>
      <c r="AB429" s="76">
        <f t="shared" si="91"/>
        <v>2.472</v>
      </c>
    </row>
    <row r="430" spans="2:28">
      <c r="B430" s="90">
        <f>'116+240'!B431</f>
        <v>45698</v>
      </c>
      <c r="C430" s="87">
        <f t="shared" si="83"/>
        <v>1</v>
      </c>
      <c r="D430" s="86">
        <f t="shared" si="84"/>
        <v>844</v>
      </c>
      <c r="E430" s="85">
        <f>VLOOKUP(B430,'116+240'!B431:AB431,3,FALSE)</f>
        <v>2011</v>
      </c>
      <c r="F430" s="81">
        <f t="shared" si="79"/>
        <v>2855</v>
      </c>
      <c r="G430" s="84">
        <f>VLOOKUP(B430,'116+240'!$B$15:$AB$682,20,FALSE)</f>
        <v>3486</v>
      </c>
      <c r="H430" s="84">
        <f>VLOOKUP(B430,'116+240'!$B$15:$AB$682,4,FALSE)</f>
        <v>179</v>
      </c>
      <c r="I430" s="80">
        <f t="shared" si="80"/>
        <v>2676</v>
      </c>
      <c r="J430" s="80">
        <f>VLOOKUP(B430,'116+240'!$B$15:$AB$682,13,FALSE)</f>
        <v>-1324</v>
      </c>
      <c r="K430" s="89">
        <f>'116+240'!Q431</f>
        <v>0</v>
      </c>
      <c r="L430" s="83">
        <f t="shared" si="85"/>
        <v>1364</v>
      </c>
      <c r="M430" s="82">
        <f>VLOOKUP(B430,'116+240'!$B$14:$AB$682,21,FALSE)</f>
        <v>3621</v>
      </c>
      <c r="N430" s="81">
        <f>VLOOKUP(B430,'116+240'!$B$15:$AB$682,5,FALSE)</f>
        <v>164</v>
      </c>
      <c r="O430" s="80">
        <f t="shared" si="81"/>
        <v>2691</v>
      </c>
      <c r="P430" s="80">
        <f>VLOOKUP(B430,'116+240'!$B$15:$AB$682,14,FALSE)</f>
        <v>-1309</v>
      </c>
      <c r="Q430" s="89">
        <f>'116+240'!R431</f>
        <v>0</v>
      </c>
      <c r="R430" s="83">
        <f t="shared" si="86"/>
        <v>1229</v>
      </c>
      <c r="S430" s="82">
        <f>VLOOKUP(B430,'116+240'!$B$14:$AB$682,22,FALSE)</f>
        <v>3633</v>
      </c>
      <c r="T430" s="81">
        <f>VLOOKUP(B430,'116+240'!$B$15:$AB$682,6,FALSE)</f>
        <v>102</v>
      </c>
      <c r="U430" s="80">
        <f t="shared" si="82"/>
        <v>2753</v>
      </c>
      <c r="V430" s="79">
        <f>VLOOKUP(B430,'116+240'!$B$15:$AB$682,15,FALSE)</f>
        <v>-1247</v>
      </c>
      <c r="W430" s="89">
        <f>'116+240'!S431</f>
        <v>0</v>
      </c>
      <c r="X430" s="83">
        <f t="shared" si="87"/>
        <v>1217</v>
      </c>
      <c r="Y430" s="78">
        <f t="shared" si="88"/>
        <v>0</v>
      </c>
      <c r="Z430" s="77">
        <f t="shared" si="89"/>
        <v>0</v>
      </c>
      <c r="AA430" s="76">
        <f t="shared" si="90"/>
        <v>4.7910000000000004</v>
      </c>
      <c r="AB430" s="76">
        <f t="shared" si="91"/>
        <v>2.472</v>
      </c>
    </row>
    <row r="431" spans="2:28">
      <c r="B431" s="90">
        <f>'116+240'!B432</f>
        <v>45699</v>
      </c>
      <c r="C431" s="87">
        <f t="shared" si="83"/>
        <v>1</v>
      </c>
      <c r="D431" s="86">
        <f t="shared" si="84"/>
        <v>844</v>
      </c>
      <c r="E431" s="85">
        <f>VLOOKUP(B431,'116+240'!B432:AB432,3,FALSE)</f>
        <v>2013</v>
      </c>
      <c r="F431" s="81">
        <f t="shared" si="79"/>
        <v>2857</v>
      </c>
      <c r="G431" s="84">
        <f>VLOOKUP(B431,'116+240'!$B$15:$AB$682,20,FALSE)</f>
        <v>3486</v>
      </c>
      <c r="H431" s="84">
        <f>VLOOKUP(B431,'116+240'!$B$15:$AB$682,4,FALSE)</f>
        <v>181</v>
      </c>
      <c r="I431" s="80">
        <f t="shared" si="80"/>
        <v>2676</v>
      </c>
      <c r="J431" s="80">
        <f>VLOOKUP(B431,'116+240'!$B$15:$AB$682,13,FALSE)</f>
        <v>-1324</v>
      </c>
      <c r="K431" s="89">
        <f>'116+240'!Q432</f>
        <v>0</v>
      </c>
      <c r="L431" s="83">
        <f t="shared" si="85"/>
        <v>1364</v>
      </c>
      <c r="M431" s="82">
        <f>VLOOKUP(B431,'116+240'!$B$14:$AB$682,21,FALSE)</f>
        <v>3621</v>
      </c>
      <c r="N431" s="81">
        <f>VLOOKUP(B431,'116+240'!$B$15:$AB$682,5,FALSE)</f>
        <v>166</v>
      </c>
      <c r="O431" s="80">
        <f t="shared" si="81"/>
        <v>2691</v>
      </c>
      <c r="P431" s="80">
        <f>VLOOKUP(B431,'116+240'!$B$15:$AB$682,14,FALSE)</f>
        <v>-1309</v>
      </c>
      <c r="Q431" s="89">
        <f>'116+240'!R432</f>
        <v>0</v>
      </c>
      <c r="R431" s="83">
        <f t="shared" si="86"/>
        <v>1229</v>
      </c>
      <c r="S431" s="82">
        <f>VLOOKUP(B431,'116+240'!$B$14:$AB$682,22,FALSE)</f>
        <v>3633</v>
      </c>
      <c r="T431" s="81">
        <f>VLOOKUP(B431,'116+240'!$B$15:$AB$682,6,FALSE)</f>
        <v>104</v>
      </c>
      <c r="U431" s="80">
        <f t="shared" si="82"/>
        <v>2753</v>
      </c>
      <c r="V431" s="79">
        <f>VLOOKUP(B431,'116+240'!$B$15:$AB$682,15,FALSE)</f>
        <v>-1247</v>
      </c>
      <c r="W431" s="89">
        <f>'116+240'!S432</f>
        <v>0</v>
      </c>
      <c r="X431" s="83">
        <f t="shared" si="87"/>
        <v>1217</v>
      </c>
      <c r="Y431" s="78">
        <f t="shared" si="88"/>
        <v>0</v>
      </c>
      <c r="Z431" s="77">
        <f t="shared" si="89"/>
        <v>0</v>
      </c>
      <c r="AA431" s="76">
        <f t="shared" si="90"/>
        <v>4.7910000000000004</v>
      </c>
      <c r="AB431" s="76">
        <f t="shared" si="91"/>
        <v>2.472</v>
      </c>
    </row>
    <row r="432" spans="2:28">
      <c r="B432" s="90">
        <f>'116+240'!B433</f>
        <v>45700</v>
      </c>
      <c r="C432" s="87">
        <f t="shared" si="83"/>
        <v>1</v>
      </c>
      <c r="D432" s="86">
        <f t="shared" si="84"/>
        <v>844</v>
      </c>
      <c r="E432" s="85">
        <f>VLOOKUP(B432,'116+240'!B433:AB433,3,FALSE)</f>
        <v>2015</v>
      </c>
      <c r="F432" s="81">
        <f t="shared" si="79"/>
        <v>2859</v>
      </c>
      <c r="G432" s="84">
        <f>VLOOKUP(B432,'116+240'!$B$15:$AB$682,20,FALSE)</f>
        <v>3786</v>
      </c>
      <c r="H432" s="84">
        <f>VLOOKUP(B432,'116+240'!$B$15:$AB$682,4,FALSE)</f>
        <v>183</v>
      </c>
      <c r="I432" s="80">
        <f t="shared" si="80"/>
        <v>2676</v>
      </c>
      <c r="J432" s="80">
        <f>VLOOKUP(B432,'116+240'!$B$15:$AB$682,13,FALSE)</f>
        <v>-1324</v>
      </c>
      <c r="K432" s="89">
        <f>'116+240'!Q433</f>
        <v>0</v>
      </c>
      <c r="L432" s="83">
        <f t="shared" si="85"/>
        <v>1364</v>
      </c>
      <c r="M432" s="82">
        <f>VLOOKUP(B432,'116+240'!$B$14:$AB$682,21,FALSE)</f>
        <v>3921</v>
      </c>
      <c r="N432" s="81">
        <f>VLOOKUP(B432,'116+240'!$B$15:$AB$682,5,FALSE)</f>
        <v>168</v>
      </c>
      <c r="O432" s="80">
        <f t="shared" si="81"/>
        <v>2691</v>
      </c>
      <c r="P432" s="80">
        <f>VLOOKUP(B432,'116+240'!$B$15:$AB$682,14,FALSE)</f>
        <v>-1309</v>
      </c>
      <c r="Q432" s="89">
        <f>'116+240'!R433</f>
        <v>0</v>
      </c>
      <c r="R432" s="83">
        <f t="shared" si="86"/>
        <v>1229</v>
      </c>
      <c r="S432" s="82">
        <f>VLOOKUP(B432,'116+240'!$B$14:$AB$682,22,FALSE)</f>
        <v>3933</v>
      </c>
      <c r="T432" s="81">
        <f>VLOOKUP(B432,'116+240'!$B$15:$AB$682,6,FALSE)</f>
        <v>106</v>
      </c>
      <c r="U432" s="80">
        <f t="shared" si="82"/>
        <v>2753</v>
      </c>
      <c r="V432" s="79">
        <f>VLOOKUP(B432,'116+240'!$B$15:$AB$682,15,FALSE)</f>
        <v>-1247</v>
      </c>
      <c r="W432" s="89">
        <f>'116+240'!S433</f>
        <v>0</v>
      </c>
      <c r="X432" s="83">
        <f t="shared" si="87"/>
        <v>1217</v>
      </c>
      <c r="Y432" s="78">
        <f t="shared" si="88"/>
        <v>300</v>
      </c>
      <c r="Z432" s="77">
        <f t="shared" si="89"/>
        <v>0.3</v>
      </c>
      <c r="AA432" s="76">
        <f t="shared" si="90"/>
        <v>5.0910000000000002</v>
      </c>
      <c r="AB432" s="76">
        <f t="shared" si="91"/>
        <v>2.7719999999999998</v>
      </c>
    </row>
    <row r="433" spans="2:28">
      <c r="B433" s="90">
        <f>'116+240'!B434</f>
        <v>45701</v>
      </c>
      <c r="C433" s="87">
        <f t="shared" si="83"/>
        <v>1</v>
      </c>
      <c r="D433" s="86">
        <f t="shared" si="84"/>
        <v>844</v>
      </c>
      <c r="E433" s="85">
        <f>VLOOKUP(B433,'116+240'!B434:AB434,3,FALSE)</f>
        <v>2017</v>
      </c>
      <c r="F433" s="81">
        <f t="shared" si="79"/>
        <v>2861</v>
      </c>
      <c r="G433" s="84">
        <f>VLOOKUP(B433,'116+240'!$B$15:$AB$682,20,FALSE)</f>
        <v>3786</v>
      </c>
      <c r="H433" s="84">
        <f>VLOOKUP(B433,'116+240'!$B$15:$AB$682,4,FALSE)</f>
        <v>185</v>
      </c>
      <c r="I433" s="80">
        <f t="shared" si="80"/>
        <v>2676</v>
      </c>
      <c r="J433" s="80">
        <f>VLOOKUP(B433,'116+240'!$B$15:$AB$682,13,FALSE)</f>
        <v>-1324</v>
      </c>
      <c r="K433" s="89">
        <f>'116+240'!Q434</f>
        <v>0</v>
      </c>
      <c r="L433" s="83">
        <f t="shared" si="85"/>
        <v>1364</v>
      </c>
      <c r="M433" s="82">
        <f>VLOOKUP(B433,'116+240'!$B$14:$AB$682,21,FALSE)</f>
        <v>3921</v>
      </c>
      <c r="N433" s="81">
        <f>VLOOKUP(B433,'116+240'!$B$15:$AB$682,5,FALSE)</f>
        <v>170</v>
      </c>
      <c r="O433" s="80">
        <f t="shared" si="81"/>
        <v>2691</v>
      </c>
      <c r="P433" s="80">
        <f>VLOOKUP(B433,'116+240'!$B$15:$AB$682,14,FALSE)</f>
        <v>-1309</v>
      </c>
      <c r="Q433" s="89">
        <f>'116+240'!R434</f>
        <v>0</v>
      </c>
      <c r="R433" s="83">
        <f t="shared" si="86"/>
        <v>1229</v>
      </c>
      <c r="S433" s="82">
        <f>VLOOKUP(B433,'116+240'!$B$14:$AB$682,22,FALSE)</f>
        <v>3933</v>
      </c>
      <c r="T433" s="81">
        <f>VLOOKUP(B433,'116+240'!$B$15:$AB$682,6,FALSE)</f>
        <v>108</v>
      </c>
      <c r="U433" s="80">
        <f t="shared" si="82"/>
        <v>2753</v>
      </c>
      <c r="V433" s="79">
        <f>VLOOKUP(B433,'116+240'!$B$15:$AB$682,15,FALSE)</f>
        <v>-1247</v>
      </c>
      <c r="W433" s="89">
        <f>'116+240'!S434</f>
        <v>0</v>
      </c>
      <c r="X433" s="83">
        <f t="shared" si="87"/>
        <v>1217</v>
      </c>
      <c r="Y433" s="78">
        <f t="shared" si="88"/>
        <v>0</v>
      </c>
      <c r="Z433" s="77">
        <f t="shared" si="89"/>
        <v>0</v>
      </c>
      <c r="AA433" s="76">
        <f t="shared" si="90"/>
        <v>5.0910000000000002</v>
      </c>
      <c r="AB433" s="76">
        <f t="shared" si="91"/>
        <v>2.7719999999999998</v>
      </c>
    </row>
    <row r="434" spans="2:28">
      <c r="B434" s="90">
        <f>'116+240'!B435</f>
        <v>45702</v>
      </c>
      <c r="C434" s="87">
        <f t="shared" si="83"/>
        <v>1</v>
      </c>
      <c r="D434" s="86">
        <f t="shared" si="84"/>
        <v>844</v>
      </c>
      <c r="E434" s="85">
        <f>VLOOKUP(B434,'116+240'!B435:AB435,3,FALSE)</f>
        <v>2019</v>
      </c>
      <c r="F434" s="81">
        <f t="shared" si="79"/>
        <v>2863</v>
      </c>
      <c r="G434" s="84">
        <f>VLOOKUP(B434,'116+240'!$B$15:$AB$682,20,FALSE)</f>
        <v>3786</v>
      </c>
      <c r="H434" s="84">
        <f>VLOOKUP(B434,'116+240'!$B$15:$AB$682,4,FALSE)</f>
        <v>187</v>
      </c>
      <c r="I434" s="80">
        <f t="shared" si="80"/>
        <v>2676</v>
      </c>
      <c r="J434" s="80">
        <f>VLOOKUP(B434,'116+240'!$B$15:$AB$682,13,FALSE)</f>
        <v>-1324</v>
      </c>
      <c r="K434" s="89">
        <f>'116+240'!Q435</f>
        <v>0</v>
      </c>
      <c r="L434" s="83">
        <f t="shared" si="85"/>
        <v>1364</v>
      </c>
      <c r="M434" s="82">
        <f>VLOOKUP(B434,'116+240'!$B$14:$AB$682,21,FALSE)</f>
        <v>3921</v>
      </c>
      <c r="N434" s="81">
        <f>VLOOKUP(B434,'116+240'!$B$15:$AB$682,5,FALSE)</f>
        <v>172</v>
      </c>
      <c r="O434" s="80">
        <f t="shared" si="81"/>
        <v>2691</v>
      </c>
      <c r="P434" s="80">
        <f>VLOOKUP(B434,'116+240'!$B$15:$AB$682,14,FALSE)</f>
        <v>-1309</v>
      </c>
      <c r="Q434" s="89">
        <f>'116+240'!R435</f>
        <v>0</v>
      </c>
      <c r="R434" s="83">
        <f t="shared" si="86"/>
        <v>1229</v>
      </c>
      <c r="S434" s="82">
        <f>VLOOKUP(B434,'116+240'!$B$14:$AB$682,22,FALSE)</f>
        <v>3933</v>
      </c>
      <c r="T434" s="81">
        <f>VLOOKUP(B434,'116+240'!$B$15:$AB$682,6,FALSE)</f>
        <v>110</v>
      </c>
      <c r="U434" s="80">
        <f t="shared" si="82"/>
        <v>2753</v>
      </c>
      <c r="V434" s="79">
        <f>VLOOKUP(B434,'116+240'!$B$15:$AB$682,15,FALSE)</f>
        <v>-1247</v>
      </c>
      <c r="W434" s="89">
        <f>'116+240'!S435</f>
        <v>0</v>
      </c>
      <c r="X434" s="83">
        <f t="shared" si="87"/>
        <v>1217</v>
      </c>
      <c r="Y434" s="78">
        <f t="shared" si="88"/>
        <v>0</v>
      </c>
      <c r="Z434" s="77">
        <f t="shared" si="89"/>
        <v>0</v>
      </c>
      <c r="AA434" s="76">
        <f t="shared" si="90"/>
        <v>5.0910000000000002</v>
      </c>
      <c r="AB434" s="76">
        <f t="shared" si="91"/>
        <v>2.7719999999999998</v>
      </c>
    </row>
    <row r="435" spans="2:28">
      <c r="B435" s="90">
        <f>'116+240'!B436</f>
        <v>45703</v>
      </c>
      <c r="C435" s="87">
        <f t="shared" si="83"/>
        <v>1</v>
      </c>
      <c r="D435" s="86">
        <f t="shared" si="84"/>
        <v>844</v>
      </c>
      <c r="E435" s="85">
        <f>VLOOKUP(B435,'116+240'!B436:AB436,3,FALSE)</f>
        <v>2021</v>
      </c>
      <c r="F435" s="81">
        <f t="shared" si="79"/>
        <v>2865</v>
      </c>
      <c r="G435" s="84">
        <f>VLOOKUP(B435,'116+240'!$B$15:$AB$682,20,FALSE)</f>
        <v>3783</v>
      </c>
      <c r="H435" s="84">
        <f>VLOOKUP(B435,'116+240'!$B$15:$AB$682,4,FALSE)</f>
        <v>192</v>
      </c>
      <c r="I435" s="80">
        <f t="shared" si="80"/>
        <v>2673</v>
      </c>
      <c r="J435" s="80">
        <f>VLOOKUP(B435,'116+240'!$B$15:$AB$682,13,FALSE)</f>
        <v>-1327</v>
      </c>
      <c r="K435" s="89">
        <f>'116+240'!Q436</f>
        <v>3</v>
      </c>
      <c r="L435" s="83">
        <f t="shared" si="85"/>
        <v>1367</v>
      </c>
      <c r="M435" s="82">
        <f>VLOOKUP(B435,'116+240'!$B$14:$AB$682,21,FALSE)</f>
        <v>3920</v>
      </c>
      <c r="N435" s="81">
        <f>VLOOKUP(B435,'116+240'!$B$15:$AB$682,5,FALSE)</f>
        <v>175</v>
      </c>
      <c r="O435" s="80">
        <f t="shared" si="81"/>
        <v>2690</v>
      </c>
      <c r="P435" s="80">
        <f>VLOOKUP(B435,'116+240'!$B$15:$AB$682,14,FALSE)</f>
        <v>-1310</v>
      </c>
      <c r="Q435" s="89">
        <f>'116+240'!R436</f>
        <v>1</v>
      </c>
      <c r="R435" s="83">
        <f t="shared" si="86"/>
        <v>1230</v>
      </c>
      <c r="S435" s="82">
        <f>VLOOKUP(B435,'116+240'!$B$14:$AB$682,22,FALSE)</f>
        <v>3932</v>
      </c>
      <c r="T435" s="81">
        <f>VLOOKUP(B435,'116+240'!$B$15:$AB$682,6,FALSE)</f>
        <v>113</v>
      </c>
      <c r="U435" s="80">
        <f t="shared" si="82"/>
        <v>2752</v>
      </c>
      <c r="V435" s="79">
        <f>VLOOKUP(B435,'116+240'!$B$15:$AB$682,15,FALSE)</f>
        <v>-1248</v>
      </c>
      <c r="W435" s="89">
        <f>'116+240'!S436</f>
        <v>1</v>
      </c>
      <c r="X435" s="83">
        <f t="shared" si="87"/>
        <v>1218</v>
      </c>
      <c r="Y435" s="78">
        <f t="shared" si="88"/>
        <v>-1</v>
      </c>
      <c r="Z435" s="77">
        <f t="shared" si="89"/>
        <v>0</v>
      </c>
      <c r="AA435" s="76">
        <f t="shared" si="90"/>
        <v>5.0910000000000002</v>
      </c>
      <c r="AB435" s="76">
        <f t="shared" si="91"/>
        <v>2.77</v>
      </c>
    </row>
    <row r="436" spans="2:28">
      <c r="B436" s="90">
        <f>'116+240'!B437</f>
        <v>45704</v>
      </c>
      <c r="C436" s="87">
        <f t="shared" si="83"/>
        <v>1</v>
      </c>
      <c r="D436" s="86">
        <f t="shared" si="84"/>
        <v>844</v>
      </c>
      <c r="E436" s="85">
        <f>VLOOKUP(B436,'116+240'!B437:AB437,3,FALSE)</f>
        <v>2023</v>
      </c>
      <c r="F436" s="81">
        <f t="shared" si="79"/>
        <v>2867</v>
      </c>
      <c r="G436" s="84">
        <f>VLOOKUP(B436,'116+240'!$B$15:$AB$682,20,FALSE)</f>
        <v>3781</v>
      </c>
      <c r="H436" s="84">
        <f>VLOOKUP(B436,'116+240'!$B$15:$AB$682,4,FALSE)</f>
        <v>196</v>
      </c>
      <c r="I436" s="80">
        <f t="shared" si="80"/>
        <v>2671</v>
      </c>
      <c r="J436" s="80">
        <f>VLOOKUP(B436,'116+240'!$B$15:$AB$682,13,FALSE)</f>
        <v>-1329</v>
      </c>
      <c r="K436" s="89">
        <f>'116+240'!Q437</f>
        <v>2</v>
      </c>
      <c r="L436" s="83">
        <f t="shared" si="85"/>
        <v>1369</v>
      </c>
      <c r="M436" s="82">
        <f>VLOOKUP(B436,'116+240'!$B$14:$AB$682,21,FALSE)</f>
        <v>3918</v>
      </c>
      <c r="N436" s="81">
        <f>VLOOKUP(B436,'116+240'!$B$15:$AB$682,5,FALSE)</f>
        <v>179</v>
      </c>
      <c r="O436" s="80">
        <f t="shared" si="81"/>
        <v>2688</v>
      </c>
      <c r="P436" s="80">
        <f>VLOOKUP(B436,'116+240'!$B$15:$AB$682,14,FALSE)</f>
        <v>-1312</v>
      </c>
      <c r="Q436" s="89">
        <f>'116+240'!R437</f>
        <v>2</v>
      </c>
      <c r="R436" s="83">
        <f t="shared" si="86"/>
        <v>1232</v>
      </c>
      <c r="S436" s="82">
        <f>VLOOKUP(B436,'116+240'!$B$14:$AB$682,22,FALSE)</f>
        <v>3931</v>
      </c>
      <c r="T436" s="81">
        <f>VLOOKUP(B436,'116+240'!$B$15:$AB$682,6,FALSE)</f>
        <v>116</v>
      </c>
      <c r="U436" s="80">
        <f t="shared" si="82"/>
        <v>2751</v>
      </c>
      <c r="V436" s="79">
        <f>VLOOKUP(B436,'116+240'!$B$15:$AB$682,15,FALSE)</f>
        <v>-1249</v>
      </c>
      <c r="W436" s="89">
        <f>'116+240'!S437</f>
        <v>1</v>
      </c>
      <c r="X436" s="83">
        <f t="shared" si="87"/>
        <v>1219</v>
      </c>
      <c r="Y436" s="78">
        <f t="shared" si="88"/>
        <v>-1</v>
      </c>
      <c r="Z436" s="77">
        <f t="shared" si="89"/>
        <v>0</v>
      </c>
      <c r="AA436" s="76">
        <f t="shared" si="90"/>
        <v>5.0910000000000002</v>
      </c>
      <c r="AB436" s="76">
        <f t="shared" si="91"/>
        <v>2.766</v>
      </c>
    </row>
    <row r="437" spans="2:28">
      <c r="B437" s="90">
        <f>'116+240'!B438</f>
        <v>45705</v>
      </c>
      <c r="C437" s="87">
        <f t="shared" si="83"/>
        <v>1</v>
      </c>
      <c r="D437" s="86">
        <f t="shared" si="84"/>
        <v>844</v>
      </c>
      <c r="E437" s="85">
        <f>VLOOKUP(B437,'116+240'!B438:AB438,3,FALSE)</f>
        <v>2025</v>
      </c>
      <c r="F437" s="81">
        <f t="shared" si="79"/>
        <v>2869</v>
      </c>
      <c r="G437" s="84">
        <f>VLOOKUP(B437,'116+240'!$B$15:$AB$682,20,FALSE)</f>
        <v>4078</v>
      </c>
      <c r="H437" s="84">
        <f>VLOOKUP(B437,'116+240'!$B$15:$AB$682,4,FALSE)</f>
        <v>201</v>
      </c>
      <c r="I437" s="80">
        <f t="shared" si="80"/>
        <v>2668</v>
      </c>
      <c r="J437" s="80">
        <f>VLOOKUP(B437,'116+240'!$B$15:$AB$682,13,FALSE)</f>
        <v>-1332</v>
      </c>
      <c r="K437" s="89">
        <f>'116+240'!Q438</f>
        <v>3</v>
      </c>
      <c r="L437" s="83">
        <f t="shared" si="85"/>
        <v>1372</v>
      </c>
      <c r="M437" s="82">
        <f>VLOOKUP(B437,'116+240'!$B$14:$AB$682,21,FALSE)</f>
        <v>4216</v>
      </c>
      <c r="N437" s="81">
        <f>VLOOKUP(B437,'116+240'!$B$15:$AB$682,5,FALSE)</f>
        <v>183</v>
      </c>
      <c r="O437" s="80">
        <f t="shared" si="81"/>
        <v>2686</v>
      </c>
      <c r="P437" s="80">
        <f>VLOOKUP(B437,'116+240'!$B$15:$AB$682,14,FALSE)</f>
        <v>-1314</v>
      </c>
      <c r="Q437" s="89">
        <f>'116+240'!R438</f>
        <v>2</v>
      </c>
      <c r="R437" s="83">
        <f t="shared" si="86"/>
        <v>1234</v>
      </c>
      <c r="S437" s="82">
        <f>VLOOKUP(B437,'116+240'!$B$14:$AB$682,22,FALSE)</f>
        <v>4229</v>
      </c>
      <c r="T437" s="81">
        <f>VLOOKUP(B437,'116+240'!$B$15:$AB$682,6,FALSE)</f>
        <v>120</v>
      </c>
      <c r="U437" s="80">
        <f t="shared" si="82"/>
        <v>2749</v>
      </c>
      <c r="V437" s="79">
        <f>VLOOKUP(B437,'116+240'!$B$15:$AB$682,15,FALSE)</f>
        <v>-1251</v>
      </c>
      <c r="W437" s="89">
        <f>'116+240'!S438</f>
        <v>2</v>
      </c>
      <c r="X437" s="83">
        <f t="shared" si="87"/>
        <v>1221</v>
      </c>
      <c r="Y437" s="78">
        <f t="shared" si="88"/>
        <v>298</v>
      </c>
      <c r="Z437" s="77">
        <f t="shared" si="89"/>
        <v>0.29799999999999999</v>
      </c>
      <c r="AA437" s="76">
        <f t="shared" si="90"/>
        <v>5.3890000000000002</v>
      </c>
      <c r="AB437" s="76">
        <f t="shared" si="91"/>
        <v>3.0619999999999998</v>
      </c>
    </row>
    <row r="438" spans="2:28">
      <c r="B438" s="90">
        <f>'116+240'!B439</f>
        <v>45706</v>
      </c>
      <c r="C438" s="87">
        <f t="shared" si="83"/>
        <v>1</v>
      </c>
      <c r="D438" s="86">
        <f t="shared" si="84"/>
        <v>844</v>
      </c>
      <c r="E438" s="85">
        <f>VLOOKUP(B438,'116+240'!B439:AB439,3,FALSE)</f>
        <v>2027</v>
      </c>
      <c r="F438" s="81">
        <f t="shared" si="79"/>
        <v>2871</v>
      </c>
      <c r="G438" s="84">
        <f>VLOOKUP(B438,'116+240'!$B$15:$AB$682,20,FALSE)</f>
        <v>4076</v>
      </c>
      <c r="H438" s="84">
        <f>VLOOKUP(B438,'116+240'!$B$15:$AB$682,4,FALSE)</f>
        <v>205</v>
      </c>
      <c r="I438" s="80">
        <f t="shared" si="80"/>
        <v>2666</v>
      </c>
      <c r="J438" s="80">
        <f>VLOOKUP(B438,'116+240'!$B$15:$AB$682,13,FALSE)</f>
        <v>-1334</v>
      </c>
      <c r="K438" s="89">
        <f>'116+240'!Q439</f>
        <v>2</v>
      </c>
      <c r="L438" s="83">
        <f t="shared" si="85"/>
        <v>1374</v>
      </c>
      <c r="M438" s="82">
        <f>VLOOKUP(B438,'116+240'!$B$14:$AB$682,21,FALSE)</f>
        <v>4214</v>
      </c>
      <c r="N438" s="81">
        <f>VLOOKUP(B438,'116+240'!$B$15:$AB$682,5,FALSE)</f>
        <v>187</v>
      </c>
      <c r="O438" s="80">
        <f t="shared" si="81"/>
        <v>2684</v>
      </c>
      <c r="P438" s="80">
        <f>VLOOKUP(B438,'116+240'!$B$15:$AB$682,14,FALSE)</f>
        <v>-1316</v>
      </c>
      <c r="Q438" s="89">
        <f>'116+240'!R439</f>
        <v>2</v>
      </c>
      <c r="R438" s="83">
        <f t="shared" si="86"/>
        <v>1236</v>
      </c>
      <c r="S438" s="82">
        <f>VLOOKUP(B438,'116+240'!$B$14:$AB$682,22,FALSE)</f>
        <v>4227</v>
      </c>
      <c r="T438" s="81">
        <f>VLOOKUP(B438,'116+240'!$B$15:$AB$682,6,FALSE)</f>
        <v>124</v>
      </c>
      <c r="U438" s="80">
        <f t="shared" si="82"/>
        <v>2747</v>
      </c>
      <c r="V438" s="79">
        <f>VLOOKUP(B438,'116+240'!$B$15:$AB$682,15,FALSE)</f>
        <v>-1253</v>
      </c>
      <c r="W438" s="89">
        <f>'116+240'!S439</f>
        <v>2</v>
      </c>
      <c r="X438" s="83">
        <f t="shared" si="87"/>
        <v>1223</v>
      </c>
      <c r="Y438" s="78">
        <f t="shared" si="88"/>
        <v>-2</v>
      </c>
      <c r="Z438" s="77">
        <f t="shared" si="89"/>
        <v>0</v>
      </c>
      <c r="AA438" s="76">
        <f t="shared" si="90"/>
        <v>5.3890000000000002</v>
      </c>
      <c r="AB438" s="76">
        <f t="shared" si="91"/>
        <v>3.0579999999999998</v>
      </c>
    </row>
    <row r="439" spans="2:28">
      <c r="B439" s="90">
        <f>'116+240'!B440</f>
        <v>45707</v>
      </c>
      <c r="C439" s="87">
        <f t="shared" si="83"/>
        <v>1</v>
      </c>
      <c r="D439" s="86">
        <f t="shared" si="84"/>
        <v>844</v>
      </c>
      <c r="E439" s="85">
        <f>VLOOKUP(B439,'116+240'!B440:AB440,3,FALSE)</f>
        <v>2029</v>
      </c>
      <c r="F439" s="81">
        <f t="shared" si="79"/>
        <v>2873</v>
      </c>
      <c r="G439" s="84">
        <f>VLOOKUP(B439,'116+240'!$B$15:$AB$682,20,FALSE)</f>
        <v>4075</v>
      </c>
      <c r="H439" s="84">
        <f>VLOOKUP(B439,'116+240'!$B$15:$AB$682,4,FALSE)</f>
        <v>208</v>
      </c>
      <c r="I439" s="80">
        <f t="shared" si="80"/>
        <v>2665</v>
      </c>
      <c r="J439" s="80">
        <f>VLOOKUP(B439,'116+240'!$B$15:$AB$682,13,FALSE)</f>
        <v>-1335</v>
      </c>
      <c r="K439" s="89">
        <f>'116+240'!Q440</f>
        <v>1</v>
      </c>
      <c r="L439" s="83">
        <f t="shared" si="85"/>
        <v>1375</v>
      </c>
      <c r="M439" s="82">
        <f>VLOOKUP(B439,'116+240'!$B$14:$AB$682,21,FALSE)</f>
        <v>4212</v>
      </c>
      <c r="N439" s="81">
        <f>VLOOKUP(B439,'116+240'!$B$15:$AB$682,5,FALSE)</f>
        <v>191</v>
      </c>
      <c r="O439" s="80">
        <f t="shared" si="81"/>
        <v>2682</v>
      </c>
      <c r="P439" s="80">
        <f>VLOOKUP(B439,'116+240'!$B$15:$AB$682,14,FALSE)</f>
        <v>-1318</v>
      </c>
      <c r="Q439" s="89">
        <f>'116+240'!R440</f>
        <v>2</v>
      </c>
      <c r="R439" s="83">
        <f t="shared" si="86"/>
        <v>1238</v>
      </c>
      <c r="S439" s="82">
        <f>VLOOKUP(B439,'116+240'!$B$14:$AB$682,22,FALSE)</f>
        <v>4226</v>
      </c>
      <c r="T439" s="81">
        <f>VLOOKUP(B439,'116+240'!$B$15:$AB$682,6,FALSE)</f>
        <v>127</v>
      </c>
      <c r="U439" s="80">
        <f t="shared" si="82"/>
        <v>2746</v>
      </c>
      <c r="V439" s="79">
        <f>VLOOKUP(B439,'116+240'!$B$15:$AB$682,15,FALSE)</f>
        <v>-1254</v>
      </c>
      <c r="W439" s="89">
        <f>'116+240'!S440</f>
        <v>1</v>
      </c>
      <c r="X439" s="83">
        <f t="shared" si="87"/>
        <v>1224</v>
      </c>
      <c r="Y439" s="78">
        <f t="shared" si="88"/>
        <v>-1</v>
      </c>
      <c r="Z439" s="77">
        <f t="shared" si="89"/>
        <v>0</v>
      </c>
      <c r="AA439" s="76">
        <f t="shared" si="90"/>
        <v>5.3890000000000002</v>
      </c>
      <c r="AB439" s="76">
        <f t="shared" si="91"/>
        <v>3.0539999999999998</v>
      </c>
    </row>
    <row r="440" spans="2:28">
      <c r="B440" s="90">
        <f>'116+240'!B441</f>
        <v>45708</v>
      </c>
      <c r="C440" s="87">
        <f t="shared" si="83"/>
        <v>1</v>
      </c>
      <c r="D440" s="86">
        <f t="shared" si="84"/>
        <v>844</v>
      </c>
      <c r="E440" s="85">
        <f>VLOOKUP(B440,'116+240'!B441:AB441,3,FALSE)</f>
        <v>2031</v>
      </c>
      <c r="F440" s="81">
        <f t="shared" si="79"/>
        <v>2875</v>
      </c>
      <c r="G440" s="84">
        <f>VLOOKUP(B440,'116+240'!$B$15:$AB$682,20,FALSE)</f>
        <v>4072</v>
      </c>
      <c r="H440" s="84">
        <f>VLOOKUP(B440,'116+240'!$B$15:$AB$682,4,FALSE)</f>
        <v>213</v>
      </c>
      <c r="I440" s="80">
        <f t="shared" si="80"/>
        <v>2662</v>
      </c>
      <c r="J440" s="80">
        <f>VLOOKUP(B440,'116+240'!$B$15:$AB$682,13,FALSE)</f>
        <v>-1338</v>
      </c>
      <c r="K440" s="89">
        <f>'116+240'!Q441</f>
        <v>3</v>
      </c>
      <c r="L440" s="83">
        <f t="shared" si="85"/>
        <v>1378</v>
      </c>
      <c r="M440" s="82">
        <f>VLOOKUP(B440,'116+240'!$B$14:$AB$682,21,FALSE)</f>
        <v>4210</v>
      </c>
      <c r="N440" s="81">
        <f>VLOOKUP(B440,'116+240'!$B$15:$AB$682,5,FALSE)</f>
        <v>195</v>
      </c>
      <c r="O440" s="80">
        <f t="shared" si="81"/>
        <v>2680</v>
      </c>
      <c r="P440" s="80">
        <f>VLOOKUP(B440,'116+240'!$B$15:$AB$682,14,FALSE)</f>
        <v>-1320</v>
      </c>
      <c r="Q440" s="89">
        <f>'116+240'!R441</f>
        <v>2</v>
      </c>
      <c r="R440" s="83">
        <f t="shared" si="86"/>
        <v>1240</v>
      </c>
      <c r="S440" s="82">
        <f>VLOOKUP(B440,'116+240'!$B$14:$AB$682,22,FALSE)</f>
        <v>4224</v>
      </c>
      <c r="T440" s="81">
        <f>VLOOKUP(B440,'116+240'!$B$15:$AB$682,6,FALSE)</f>
        <v>131</v>
      </c>
      <c r="U440" s="80">
        <f t="shared" si="82"/>
        <v>2744</v>
      </c>
      <c r="V440" s="79">
        <f>VLOOKUP(B440,'116+240'!$B$15:$AB$682,15,FALSE)</f>
        <v>-1256</v>
      </c>
      <c r="W440" s="89">
        <f>'116+240'!S441</f>
        <v>2</v>
      </c>
      <c r="X440" s="83">
        <f t="shared" si="87"/>
        <v>1226</v>
      </c>
      <c r="Y440" s="78">
        <f t="shared" si="88"/>
        <v>-2</v>
      </c>
      <c r="Z440" s="77">
        <f t="shared" si="89"/>
        <v>0</v>
      </c>
      <c r="AA440" s="76">
        <f t="shared" si="90"/>
        <v>5.3890000000000002</v>
      </c>
      <c r="AB440" s="76">
        <f t="shared" si="91"/>
        <v>3.05</v>
      </c>
    </row>
    <row r="441" spans="2:28">
      <c r="B441" s="90">
        <f>'116+240'!B442</f>
        <v>45709</v>
      </c>
      <c r="C441" s="87">
        <f t="shared" si="83"/>
        <v>1</v>
      </c>
      <c r="D441" s="86">
        <f t="shared" si="84"/>
        <v>844</v>
      </c>
      <c r="E441" s="85">
        <f>VLOOKUP(B441,'116+240'!B442:AB442,3,FALSE)</f>
        <v>2033</v>
      </c>
      <c r="F441" s="81">
        <f t="shared" si="79"/>
        <v>2877</v>
      </c>
      <c r="G441" s="84">
        <f>VLOOKUP(B441,'116+240'!$B$15:$AB$682,20,FALSE)</f>
        <v>4070</v>
      </c>
      <c r="H441" s="84">
        <f>VLOOKUP(B441,'116+240'!$B$15:$AB$682,4,FALSE)</f>
        <v>217</v>
      </c>
      <c r="I441" s="80">
        <f t="shared" si="80"/>
        <v>2660</v>
      </c>
      <c r="J441" s="80">
        <f>VLOOKUP(B441,'116+240'!$B$15:$AB$682,13,FALSE)</f>
        <v>-1340</v>
      </c>
      <c r="K441" s="89">
        <f>'116+240'!Q442</f>
        <v>2</v>
      </c>
      <c r="L441" s="83">
        <f t="shared" si="85"/>
        <v>1380</v>
      </c>
      <c r="M441" s="82">
        <f>VLOOKUP(B441,'116+240'!$B$14:$AB$682,21,FALSE)</f>
        <v>4208</v>
      </c>
      <c r="N441" s="81">
        <f>VLOOKUP(B441,'116+240'!$B$15:$AB$682,5,FALSE)</f>
        <v>199</v>
      </c>
      <c r="O441" s="80">
        <f t="shared" si="81"/>
        <v>2678</v>
      </c>
      <c r="P441" s="80">
        <f>VLOOKUP(B441,'116+240'!$B$15:$AB$682,14,FALSE)</f>
        <v>-1322</v>
      </c>
      <c r="Q441" s="89">
        <f>'116+240'!R442</f>
        <v>2</v>
      </c>
      <c r="R441" s="83">
        <f t="shared" si="86"/>
        <v>1242</v>
      </c>
      <c r="S441" s="82">
        <f>VLOOKUP(B441,'116+240'!$B$14:$AB$682,22,FALSE)</f>
        <v>4223</v>
      </c>
      <c r="T441" s="81">
        <f>VLOOKUP(B441,'116+240'!$B$15:$AB$682,6,FALSE)</f>
        <v>134</v>
      </c>
      <c r="U441" s="80">
        <f t="shared" si="82"/>
        <v>2743</v>
      </c>
      <c r="V441" s="79">
        <f>VLOOKUP(B441,'116+240'!$B$15:$AB$682,15,FALSE)</f>
        <v>-1257</v>
      </c>
      <c r="W441" s="89">
        <f>'116+240'!S442</f>
        <v>1</v>
      </c>
      <c r="X441" s="83">
        <f t="shared" si="87"/>
        <v>1227</v>
      </c>
      <c r="Y441" s="78">
        <f t="shared" si="88"/>
        <v>-1</v>
      </c>
      <c r="Z441" s="77">
        <f t="shared" si="89"/>
        <v>0</v>
      </c>
      <c r="AA441" s="76">
        <f t="shared" si="90"/>
        <v>5.3890000000000002</v>
      </c>
      <c r="AB441" s="76">
        <f t="shared" si="91"/>
        <v>3.0459999999999998</v>
      </c>
    </row>
    <row r="442" spans="2:28">
      <c r="B442" s="90">
        <f>'116+240'!B443</f>
        <v>45710</v>
      </c>
      <c r="C442" s="87">
        <f t="shared" si="83"/>
        <v>1</v>
      </c>
      <c r="D442" s="86">
        <f t="shared" si="84"/>
        <v>844</v>
      </c>
      <c r="E442" s="85">
        <f>VLOOKUP(B442,'116+240'!B443:AB443,3,FALSE)</f>
        <v>2035</v>
      </c>
      <c r="F442" s="81">
        <f t="shared" si="79"/>
        <v>2879</v>
      </c>
      <c r="G442" s="84">
        <f>VLOOKUP(B442,'116+240'!$B$15:$AB$682,20,FALSE)</f>
        <v>4369</v>
      </c>
      <c r="H442" s="84">
        <f>VLOOKUP(B442,'116+240'!$B$15:$AB$682,4,FALSE)</f>
        <v>220</v>
      </c>
      <c r="I442" s="80">
        <f t="shared" si="80"/>
        <v>2659</v>
      </c>
      <c r="J442" s="80">
        <f>VLOOKUP(B442,'116+240'!$B$15:$AB$682,13,FALSE)</f>
        <v>-1341</v>
      </c>
      <c r="K442" s="89">
        <f>'116+240'!Q443</f>
        <v>1</v>
      </c>
      <c r="L442" s="83">
        <f t="shared" si="85"/>
        <v>1381</v>
      </c>
      <c r="M442" s="82">
        <f>VLOOKUP(B442,'116+240'!$B$14:$AB$682,21,FALSE)</f>
        <v>4503</v>
      </c>
      <c r="N442" s="81">
        <f>VLOOKUP(B442,'116+240'!$B$15:$AB$682,5,FALSE)</f>
        <v>206</v>
      </c>
      <c r="O442" s="80">
        <f t="shared" si="81"/>
        <v>2673</v>
      </c>
      <c r="P442" s="80">
        <f>VLOOKUP(B442,'116+240'!$B$15:$AB$682,14,FALSE)</f>
        <v>-1327</v>
      </c>
      <c r="Q442" s="89">
        <f>'116+240'!R443</f>
        <v>5</v>
      </c>
      <c r="R442" s="83">
        <f t="shared" si="86"/>
        <v>1247</v>
      </c>
      <c r="S442" s="82">
        <f>VLOOKUP(B442,'116+240'!$B$14:$AB$682,22,FALSE)</f>
        <v>4521</v>
      </c>
      <c r="T442" s="81">
        <f>VLOOKUP(B442,'116+240'!$B$15:$AB$682,6,FALSE)</f>
        <v>138</v>
      </c>
      <c r="U442" s="80">
        <f t="shared" si="82"/>
        <v>2741</v>
      </c>
      <c r="V442" s="79">
        <f>VLOOKUP(B442,'116+240'!$B$15:$AB$682,15,FALSE)</f>
        <v>-1259</v>
      </c>
      <c r="W442" s="89">
        <f>'116+240'!S443</f>
        <v>2</v>
      </c>
      <c r="X442" s="83">
        <f t="shared" si="87"/>
        <v>1229</v>
      </c>
      <c r="Y442" s="78">
        <f t="shared" si="88"/>
        <v>298</v>
      </c>
      <c r="Z442" s="77">
        <f t="shared" si="89"/>
        <v>0.29799999999999999</v>
      </c>
      <c r="AA442" s="76">
        <f t="shared" si="90"/>
        <v>5.6870000000000003</v>
      </c>
      <c r="AB442" s="76">
        <f t="shared" si="91"/>
        <v>3.3359999999999999</v>
      </c>
    </row>
    <row r="443" spans="2:28">
      <c r="B443" s="90">
        <f>'116+240'!B444</f>
        <v>45711</v>
      </c>
      <c r="C443" s="87">
        <f t="shared" si="83"/>
        <v>1</v>
      </c>
      <c r="D443" s="86">
        <f t="shared" si="84"/>
        <v>844</v>
      </c>
      <c r="E443" s="85">
        <f>VLOOKUP(B443,'116+240'!B444:AB444,3,FALSE)</f>
        <v>2037</v>
      </c>
      <c r="F443" s="81">
        <f t="shared" si="79"/>
        <v>2881</v>
      </c>
      <c r="G443" s="84">
        <f>VLOOKUP(B443,'116+240'!$B$15:$AB$682,20,FALSE)</f>
        <v>4367</v>
      </c>
      <c r="H443" s="84">
        <f>VLOOKUP(B443,'116+240'!$B$15:$AB$682,4,FALSE)</f>
        <v>224</v>
      </c>
      <c r="I443" s="80">
        <f t="shared" si="80"/>
        <v>2657</v>
      </c>
      <c r="J443" s="80">
        <f>VLOOKUP(B443,'116+240'!$B$15:$AB$682,13,FALSE)</f>
        <v>-1343</v>
      </c>
      <c r="K443" s="89">
        <f>'116+240'!Q444</f>
        <v>2</v>
      </c>
      <c r="L443" s="83">
        <f t="shared" si="85"/>
        <v>1383</v>
      </c>
      <c r="M443" s="82">
        <f>VLOOKUP(B443,'116+240'!$B$14:$AB$682,21,FALSE)</f>
        <v>4493</v>
      </c>
      <c r="N443" s="81">
        <f>VLOOKUP(B443,'116+240'!$B$15:$AB$682,5,FALSE)</f>
        <v>218</v>
      </c>
      <c r="O443" s="80">
        <f t="shared" si="81"/>
        <v>2663</v>
      </c>
      <c r="P443" s="80">
        <f>VLOOKUP(B443,'116+240'!$B$15:$AB$682,14,FALSE)</f>
        <v>-1337</v>
      </c>
      <c r="Q443" s="89">
        <f>'116+240'!R444</f>
        <v>10</v>
      </c>
      <c r="R443" s="83">
        <f t="shared" si="86"/>
        <v>1257</v>
      </c>
      <c r="S443" s="82">
        <f>VLOOKUP(B443,'116+240'!$B$14:$AB$682,22,FALSE)</f>
        <v>4519</v>
      </c>
      <c r="T443" s="81">
        <f>VLOOKUP(B443,'116+240'!$B$15:$AB$682,6,FALSE)</f>
        <v>142</v>
      </c>
      <c r="U443" s="80">
        <f t="shared" si="82"/>
        <v>2739</v>
      </c>
      <c r="V443" s="79">
        <f>VLOOKUP(B443,'116+240'!$B$15:$AB$682,15,FALSE)</f>
        <v>-1261</v>
      </c>
      <c r="W443" s="89">
        <f>'116+240'!S444</f>
        <v>2</v>
      </c>
      <c r="X443" s="83">
        <f t="shared" si="87"/>
        <v>1231</v>
      </c>
      <c r="Y443" s="78">
        <f t="shared" si="88"/>
        <v>-2</v>
      </c>
      <c r="Z443" s="77">
        <f t="shared" si="89"/>
        <v>0</v>
      </c>
      <c r="AA443" s="76">
        <f t="shared" si="90"/>
        <v>5.6870000000000003</v>
      </c>
      <c r="AB443" s="76">
        <f t="shared" si="91"/>
        <v>3.3159999999999998</v>
      </c>
    </row>
    <row r="444" spans="2:28">
      <c r="B444" s="90">
        <f>'116+240'!B445</f>
        <v>45712</v>
      </c>
      <c r="C444" s="87">
        <f t="shared" si="83"/>
        <v>1</v>
      </c>
      <c r="D444" s="86">
        <f t="shared" si="84"/>
        <v>844</v>
      </c>
      <c r="E444" s="85">
        <f>VLOOKUP(B444,'116+240'!B445:AB445,3,FALSE)</f>
        <v>2039</v>
      </c>
      <c r="F444" s="81">
        <f t="shared" si="79"/>
        <v>2883</v>
      </c>
      <c r="G444" s="84">
        <f>VLOOKUP(B444,'116+240'!$B$15:$AB$682,20,FALSE)</f>
        <v>4365</v>
      </c>
      <c r="H444" s="84">
        <f>VLOOKUP(B444,'116+240'!$B$15:$AB$682,4,FALSE)</f>
        <v>228</v>
      </c>
      <c r="I444" s="80">
        <f t="shared" si="80"/>
        <v>2655</v>
      </c>
      <c r="J444" s="80">
        <f>VLOOKUP(B444,'116+240'!$B$15:$AB$682,13,FALSE)</f>
        <v>-1345</v>
      </c>
      <c r="K444" s="89">
        <f>'116+240'!Q445</f>
        <v>2</v>
      </c>
      <c r="L444" s="83">
        <f t="shared" si="85"/>
        <v>1385</v>
      </c>
      <c r="M444" s="82">
        <f>VLOOKUP(B444,'116+240'!$B$14:$AB$682,21,FALSE)</f>
        <v>4483</v>
      </c>
      <c r="N444" s="81">
        <f>VLOOKUP(B444,'116+240'!$B$15:$AB$682,5,FALSE)</f>
        <v>230</v>
      </c>
      <c r="O444" s="80">
        <f t="shared" si="81"/>
        <v>2653</v>
      </c>
      <c r="P444" s="80">
        <f>VLOOKUP(B444,'116+240'!$B$15:$AB$682,14,FALSE)</f>
        <v>-1347</v>
      </c>
      <c r="Q444" s="89">
        <f>'116+240'!R445</f>
        <v>10</v>
      </c>
      <c r="R444" s="83">
        <f t="shared" si="86"/>
        <v>1267</v>
      </c>
      <c r="S444" s="82">
        <f>VLOOKUP(B444,'116+240'!$B$14:$AB$682,22,FALSE)</f>
        <v>4517</v>
      </c>
      <c r="T444" s="81">
        <f>VLOOKUP(B444,'116+240'!$B$15:$AB$682,6,FALSE)</f>
        <v>146</v>
      </c>
      <c r="U444" s="80">
        <f t="shared" si="82"/>
        <v>2737</v>
      </c>
      <c r="V444" s="79">
        <f>VLOOKUP(B444,'116+240'!$B$15:$AB$682,15,FALSE)</f>
        <v>-1263</v>
      </c>
      <c r="W444" s="89">
        <f>'116+240'!S445</f>
        <v>2</v>
      </c>
      <c r="X444" s="83">
        <f t="shared" si="87"/>
        <v>1233</v>
      </c>
      <c r="Y444" s="78">
        <f t="shared" si="88"/>
        <v>-2</v>
      </c>
      <c r="Z444" s="77">
        <f t="shared" si="89"/>
        <v>0</v>
      </c>
      <c r="AA444" s="76">
        <f t="shared" si="90"/>
        <v>5.6870000000000003</v>
      </c>
      <c r="AB444" s="76">
        <f t="shared" si="91"/>
        <v>3.2959999999999998</v>
      </c>
    </row>
    <row r="445" spans="2:28">
      <c r="B445" s="90">
        <f>'116+240'!B446</f>
        <v>45713</v>
      </c>
      <c r="C445" s="87">
        <f t="shared" si="83"/>
        <v>1</v>
      </c>
      <c r="D445" s="86">
        <f t="shared" si="84"/>
        <v>844</v>
      </c>
      <c r="E445" s="85">
        <f>VLOOKUP(B445,'116+240'!B446:AB446,3,FALSE)</f>
        <v>2041</v>
      </c>
      <c r="F445" s="81">
        <f t="shared" si="79"/>
        <v>2885</v>
      </c>
      <c r="G445" s="84">
        <f>VLOOKUP(B445,'116+240'!$B$15:$AB$682,20,FALSE)</f>
        <v>4365</v>
      </c>
      <c r="H445" s="84">
        <f>VLOOKUP(B445,'116+240'!$B$15:$AB$682,4,FALSE)</f>
        <v>230</v>
      </c>
      <c r="I445" s="80">
        <f t="shared" si="80"/>
        <v>2655</v>
      </c>
      <c r="J445" s="80">
        <f>VLOOKUP(B445,'116+240'!$B$15:$AB$682,13,FALSE)</f>
        <v>-1345</v>
      </c>
      <c r="K445" s="89">
        <f>'116+240'!Q446</f>
        <v>0</v>
      </c>
      <c r="L445" s="83">
        <f t="shared" si="85"/>
        <v>1385</v>
      </c>
      <c r="M445" s="82">
        <f>VLOOKUP(B445,'116+240'!$B$14:$AB$682,21,FALSE)</f>
        <v>4473</v>
      </c>
      <c r="N445" s="81">
        <f>VLOOKUP(B445,'116+240'!$B$15:$AB$682,5,FALSE)</f>
        <v>242</v>
      </c>
      <c r="O445" s="80">
        <f t="shared" si="81"/>
        <v>2643</v>
      </c>
      <c r="P445" s="80">
        <f>VLOOKUP(B445,'116+240'!$B$15:$AB$682,14,FALSE)</f>
        <v>-1357</v>
      </c>
      <c r="Q445" s="89">
        <f>'116+240'!R446</f>
        <v>10</v>
      </c>
      <c r="R445" s="83">
        <f t="shared" si="86"/>
        <v>1277</v>
      </c>
      <c r="S445" s="82">
        <f>VLOOKUP(B445,'116+240'!$B$14:$AB$682,22,FALSE)</f>
        <v>4517</v>
      </c>
      <c r="T445" s="81">
        <f>VLOOKUP(B445,'116+240'!$B$15:$AB$682,6,FALSE)</f>
        <v>148</v>
      </c>
      <c r="U445" s="80">
        <f t="shared" si="82"/>
        <v>2737</v>
      </c>
      <c r="V445" s="79">
        <f>VLOOKUP(B445,'116+240'!$B$15:$AB$682,15,FALSE)</f>
        <v>-1263</v>
      </c>
      <c r="W445" s="89">
        <f>'116+240'!S446</f>
        <v>0</v>
      </c>
      <c r="X445" s="83">
        <f t="shared" si="87"/>
        <v>1233</v>
      </c>
      <c r="Y445" s="78">
        <f t="shared" si="88"/>
        <v>0</v>
      </c>
      <c r="Z445" s="77">
        <f t="shared" si="89"/>
        <v>0</v>
      </c>
      <c r="AA445" s="76">
        <f t="shared" si="90"/>
        <v>5.6870000000000003</v>
      </c>
      <c r="AB445" s="76">
        <f t="shared" si="91"/>
        <v>3.2759999999999998</v>
      </c>
    </row>
    <row r="446" spans="2:28">
      <c r="B446" s="90">
        <f>'116+240'!B447</f>
        <v>45714</v>
      </c>
      <c r="C446" s="87">
        <f t="shared" si="83"/>
        <v>1</v>
      </c>
      <c r="D446" s="86">
        <f t="shared" si="84"/>
        <v>844</v>
      </c>
      <c r="E446" s="85">
        <f>VLOOKUP(B446,'116+240'!B447:AB447,3,FALSE)</f>
        <v>2043</v>
      </c>
      <c r="F446" s="81">
        <f t="shared" si="79"/>
        <v>2887</v>
      </c>
      <c r="G446" s="84">
        <f>VLOOKUP(B446,'116+240'!$B$15:$AB$682,20,FALSE)</f>
        <v>4365</v>
      </c>
      <c r="H446" s="84">
        <f>VLOOKUP(B446,'116+240'!$B$15:$AB$682,4,FALSE)</f>
        <v>232</v>
      </c>
      <c r="I446" s="80">
        <f t="shared" si="80"/>
        <v>2655</v>
      </c>
      <c r="J446" s="80">
        <f>VLOOKUP(B446,'116+240'!$B$15:$AB$682,13,FALSE)</f>
        <v>-1345</v>
      </c>
      <c r="K446" s="89">
        <f>'116+240'!Q447</f>
        <v>0</v>
      </c>
      <c r="L446" s="83">
        <f t="shared" si="85"/>
        <v>1385</v>
      </c>
      <c r="M446" s="82">
        <f>VLOOKUP(B446,'116+240'!$B$14:$AB$682,21,FALSE)</f>
        <v>4463</v>
      </c>
      <c r="N446" s="81">
        <f>VLOOKUP(B446,'116+240'!$B$15:$AB$682,5,FALSE)</f>
        <v>254</v>
      </c>
      <c r="O446" s="80">
        <f t="shared" si="81"/>
        <v>2633</v>
      </c>
      <c r="P446" s="80">
        <f>VLOOKUP(B446,'116+240'!$B$15:$AB$682,14,FALSE)</f>
        <v>-1367</v>
      </c>
      <c r="Q446" s="89">
        <f>'116+240'!R447</f>
        <v>10</v>
      </c>
      <c r="R446" s="83">
        <f t="shared" si="86"/>
        <v>1287</v>
      </c>
      <c r="S446" s="82">
        <f>VLOOKUP(B446,'116+240'!$B$14:$AB$682,22,FALSE)</f>
        <v>4517</v>
      </c>
      <c r="T446" s="81">
        <f>VLOOKUP(B446,'116+240'!$B$15:$AB$682,6,FALSE)</f>
        <v>150</v>
      </c>
      <c r="U446" s="80">
        <f t="shared" si="82"/>
        <v>2737</v>
      </c>
      <c r="V446" s="79">
        <f>VLOOKUP(B446,'116+240'!$B$15:$AB$682,15,FALSE)</f>
        <v>-1263</v>
      </c>
      <c r="W446" s="89">
        <f>'116+240'!S447</f>
        <v>0</v>
      </c>
      <c r="X446" s="83">
        <f t="shared" si="87"/>
        <v>1233</v>
      </c>
      <c r="Y446" s="78">
        <f t="shared" si="88"/>
        <v>0</v>
      </c>
      <c r="Z446" s="77">
        <f t="shared" si="89"/>
        <v>0</v>
      </c>
      <c r="AA446" s="76">
        <f t="shared" si="90"/>
        <v>5.6870000000000003</v>
      </c>
      <c r="AB446" s="76">
        <f t="shared" si="91"/>
        <v>3.2559999999999998</v>
      </c>
    </row>
    <row r="447" spans="2:28">
      <c r="B447" s="90">
        <f>'116+240'!B448</f>
        <v>45715</v>
      </c>
      <c r="C447" s="87">
        <f t="shared" si="83"/>
        <v>1</v>
      </c>
      <c r="D447" s="86">
        <f t="shared" si="84"/>
        <v>844</v>
      </c>
      <c r="E447" s="85">
        <f>VLOOKUP(B447,'116+240'!B448:AB448,3,FALSE)</f>
        <v>2045</v>
      </c>
      <c r="F447" s="81">
        <f t="shared" si="79"/>
        <v>2889</v>
      </c>
      <c r="G447" s="84">
        <f>VLOOKUP(B447,'116+240'!$B$15:$AB$682,20,FALSE)</f>
        <v>4665</v>
      </c>
      <c r="H447" s="84">
        <f>VLOOKUP(B447,'116+240'!$B$15:$AB$682,4,FALSE)</f>
        <v>234</v>
      </c>
      <c r="I447" s="80">
        <f t="shared" si="80"/>
        <v>2655</v>
      </c>
      <c r="J447" s="80">
        <f>VLOOKUP(B447,'116+240'!$B$15:$AB$682,13,FALSE)</f>
        <v>-1345</v>
      </c>
      <c r="K447" s="89">
        <f>'116+240'!Q448</f>
        <v>0</v>
      </c>
      <c r="L447" s="83">
        <f t="shared" si="85"/>
        <v>1385</v>
      </c>
      <c r="M447" s="82">
        <f>VLOOKUP(B447,'116+240'!$B$14:$AB$682,21,FALSE)</f>
        <v>4753</v>
      </c>
      <c r="N447" s="81">
        <f>VLOOKUP(B447,'116+240'!$B$15:$AB$682,5,FALSE)</f>
        <v>266</v>
      </c>
      <c r="O447" s="80">
        <f t="shared" si="81"/>
        <v>2623</v>
      </c>
      <c r="P447" s="80">
        <f>VLOOKUP(B447,'116+240'!$B$15:$AB$682,14,FALSE)</f>
        <v>-1377</v>
      </c>
      <c r="Q447" s="89">
        <f>'116+240'!R448</f>
        <v>10</v>
      </c>
      <c r="R447" s="83">
        <f t="shared" si="86"/>
        <v>1297</v>
      </c>
      <c r="S447" s="82">
        <f>VLOOKUP(B447,'116+240'!$B$14:$AB$682,22,FALSE)</f>
        <v>4816</v>
      </c>
      <c r="T447" s="81">
        <f>VLOOKUP(B447,'116+240'!$B$15:$AB$682,6,FALSE)</f>
        <v>153</v>
      </c>
      <c r="U447" s="80">
        <f t="shared" si="82"/>
        <v>2736</v>
      </c>
      <c r="V447" s="79">
        <f>VLOOKUP(B447,'116+240'!$B$15:$AB$682,15,FALSE)</f>
        <v>-1264</v>
      </c>
      <c r="W447" s="89">
        <f>'116+240'!S448</f>
        <v>1</v>
      </c>
      <c r="X447" s="83">
        <f t="shared" si="87"/>
        <v>1234</v>
      </c>
      <c r="Y447" s="78">
        <f t="shared" si="88"/>
        <v>299</v>
      </c>
      <c r="Z447" s="77">
        <f t="shared" si="89"/>
        <v>0.29899999999999999</v>
      </c>
      <c r="AA447" s="76">
        <f t="shared" si="90"/>
        <v>5.9860000000000007</v>
      </c>
      <c r="AB447" s="76">
        <f t="shared" si="91"/>
        <v>3.536</v>
      </c>
    </row>
    <row r="448" spans="2:28">
      <c r="B448" s="90">
        <f>'116+240'!B449</f>
        <v>45716</v>
      </c>
      <c r="C448" s="87">
        <f t="shared" si="83"/>
        <v>1</v>
      </c>
      <c r="D448" s="86">
        <f t="shared" si="84"/>
        <v>844</v>
      </c>
      <c r="E448" s="85">
        <f>VLOOKUP(B448,'116+240'!B449:AB449,3,FALSE)</f>
        <v>2047</v>
      </c>
      <c r="F448" s="81">
        <f t="shared" si="79"/>
        <v>2891</v>
      </c>
      <c r="G448" s="84">
        <f>VLOOKUP(B448,'116+240'!$B$15:$AB$682,20,FALSE)</f>
        <v>4665</v>
      </c>
      <c r="H448" s="84">
        <f>VLOOKUP(B448,'116+240'!$B$15:$AB$682,4,FALSE)</f>
        <v>236</v>
      </c>
      <c r="I448" s="80">
        <f t="shared" si="80"/>
        <v>2655</v>
      </c>
      <c r="J448" s="80">
        <f>VLOOKUP(B448,'116+240'!$B$15:$AB$682,13,FALSE)</f>
        <v>-1345</v>
      </c>
      <c r="K448" s="89">
        <f>'116+240'!Q449</f>
        <v>0</v>
      </c>
      <c r="L448" s="83">
        <f t="shared" si="85"/>
        <v>1385</v>
      </c>
      <c r="M448" s="82">
        <f>VLOOKUP(B448,'116+240'!$B$14:$AB$682,21,FALSE)</f>
        <v>4743</v>
      </c>
      <c r="N448" s="81">
        <f>VLOOKUP(B448,'116+240'!$B$15:$AB$682,5,FALSE)</f>
        <v>278</v>
      </c>
      <c r="O448" s="80">
        <f t="shared" si="81"/>
        <v>2613</v>
      </c>
      <c r="P448" s="80">
        <f>VLOOKUP(B448,'116+240'!$B$15:$AB$682,14,FALSE)</f>
        <v>-1387</v>
      </c>
      <c r="Q448" s="89">
        <f>'116+240'!R449</f>
        <v>10</v>
      </c>
      <c r="R448" s="83">
        <f t="shared" si="86"/>
        <v>1307</v>
      </c>
      <c r="S448" s="82">
        <f>VLOOKUP(B448,'116+240'!$B$14:$AB$682,22,FALSE)</f>
        <v>4814</v>
      </c>
      <c r="T448" s="81">
        <f>VLOOKUP(B448,'116+240'!$B$15:$AB$682,6,FALSE)</f>
        <v>157</v>
      </c>
      <c r="U448" s="80">
        <f t="shared" si="82"/>
        <v>2734</v>
      </c>
      <c r="V448" s="79">
        <f>VLOOKUP(B448,'116+240'!$B$15:$AB$682,15,FALSE)</f>
        <v>-1266</v>
      </c>
      <c r="W448" s="89">
        <f>'116+240'!S449</f>
        <v>2</v>
      </c>
      <c r="X448" s="83">
        <f t="shared" si="87"/>
        <v>1236</v>
      </c>
      <c r="Y448" s="78">
        <f t="shared" si="88"/>
        <v>-2</v>
      </c>
      <c r="Z448" s="77">
        <f t="shared" si="89"/>
        <v>0</v>
      </c>
      <c r="AA448" s="76">
        <f t="shared" si="90"/>
        <v>5.9860000000000007</v>
      </c>
      <c r="AB448" s="76">
        <f t="shared" si="91"/>
        <v>3.516</v>
      </c>
    </row>
    <row r="449" spans="2:28">
      <c r="B449" s="90">
        <f>'116+240'!B450</f>
        <v>45717</v>
      </c>
      <c r="C449" s="87">
        <f t="shared" si="83"/>
        <v>1</v>
      </c>
      <c r="D449" s="86">
        <f t="shared" si="84"/>
        <v>844</v>
      </c>
      <c r="E449" s="85">
        <f>VLOOKUP(B449,'116+240'!B450:AB450,3,FALSE)</f>
        <v>2049</v>
      </c>
      <c r="F449" s="81">
        <f t="shared" si="79"/>
        <v>2893</v>
      </c>
      <c r="G449" s="84">
        <f>VLOOKUP(B449,'116+240'!$B$15:$AB$682,20,FALSE)</f>
        <v>4665</v>
      </c>
      <c r="H449" s="84">
        <f>VLOOKUP(B449,'116+240'!$B$15:$AB$682,4,FALSE)</f>
        <v>238</v>
      </c>
      <c r="I449" s="80">
        <f t="shared" si="80"/>
        <v>2655</v>
      </c>
      <c r="J449" s="80">
        <f>VLOOKUP(B449,'116+240'!$B$15:$AB$682,13,FALSE)</f>
        <v>-1345</v>
      </c>
      <c r="K449" s="89">
        <f>'116+240'!Q450</f>
        <v>0</v>
      </c>
      <c r="L449" s="83">
        <f t="shared" si="85"/>
        <v>1385</v>
      </c>
      <c r="M449" s="82">
        <f>VLOOKUP(B449,'116+240'!$B$14:$AB$682,21,FALSE)</f>
        <v>4733</v>
      </c>
      <c r="N449" s="81">
        <f>VLOOKUP(B449,'116+240'!$B$15:$AB$682,5,FALSE)</f>
        <v>290</v>
      </c>
      <c r="O449" s="80">
        <f t="shared" si="81"/>
        <v>2603</v>
      </c>
      <c r="P449" s="80">
        <f>VLOOKUP(B449,'116+240'!$B$15:$AB$682,14,FALSE)</f>
        <v>-1397</v>
      </c>
      <c r="Q449" s="89">
        <f>'116+240'!R450</f>
        <v>10</v>
      </c>
      <c r="R449" s="83">
        <f t="shared" si="86"/>
        <v>1317</v>
      </c>
      <c r="S449" s="82">
        <f>VLOOKUP(B449,'116+240'!$B$14:$AB$682,22,FALSE)</f>
        <v>4812</v>
      </c>
      <c r="T449" s="81">
        <f>VLOOKUP(B449,'116+240'!$B$15:$AB$682,6,FALSE)</f>
        <v>161</v>
      </c>
      <c r="U449" s="80">
        <f t="shared" si="82"/>
        <v>2732</v>
      </c>
      <c r="V449" s="79">
        <f>VLOOKUP(B449,'116+240'!$B$15:$AB$682,15,FALSE)</f>
        <v>-1268</v>
      </c>
      <c r="W449" s="89">
        <f>'116+240'!S450</f>
        <v>2</v>
      </c>
      <c r="X449" s="83">
        <f t="shared" si="87"/>
        <v>1238</v>
      </c>
      <c r="Y449" s="78">
        <f t="shared" si="88"/>
        <v>-2</v>
      </c>
      <c r="Z449" s="77">
        <f t="shared" si="89"/>
        <v>0</v>
      </c>
      <c r="AA449" s="76">
        <f t="shared" si="90"/>
        <v>5.9860000000000007</v>
      </c>
      <c r="AB449" s="76">
        <f t="shared" si="91"/>
        <v>3.496</v>
      </c>
    </row>
    <row r="450" spans="2:28">
      <c r="B450" s="90">
        <f>'116+240'!B451</f>
        <v>45718</v>
      </c>
      <c r="C450" s="87">
        <f t="shared" si="83"/>
        <v>1</v>
      </c>
      <c r="D450" s="86">
        <f t="shared" si="84"/>
        <v>844</v>
      </c>
      <c r="E450" s="85">
        <f>VLOOKUP(B450,'116+240'!B451:AB451,3,FALSE)</f>
        <v>2051</v>
      </c>
      <c r="F450" s="81">
        <f t="shared" si="79"/>
        <v>2895</v>
      </c>
      <c r="G450" s="84">
        <f>VLOOKUP(B450,'116+240'!$B$15:$AB$682,20,FALSE)</f>
        <v>4665</v>
      </c>
      <c r="H450" s="84">
        <f>VLOOKUP(B450,'116+240'!$B$15:$AB$682,4,FALSE)</f>
        <v>240</v>
      </c>
      <c r="I450" s="80">
        <f t="shared" si="80"/>
        <v>2655</v>
      </c>
      <c r="J450" s="80">
        <f>VLOOKUP(B450,'116+240'!$B$15:$AB$682,13,FALSE)</f>
        <v>-1345</v>
      </c>
      <c r="K450" s="89">
        <f>'116+240'!Q451</f>
        <v>0</v>
      </c>
      <c r="L450" s="83">
        <f t="shared" si="85"/>
        <v>1385</v>
      </c>
      <c r="M450" s="82">
        <f>VLOOKUP(B450,'116+240'!$B$14:$AB$682,21,FALSE)</f>
        <v>4723</v>
      </c>
      <c r="N450" s="81">
        <f>VLOOKUP(B450,'116+240'!$B$15:$AB$682,5,FALSE)</f>
        <v>302</v>
      </c>
      <c r="O450" s="80">
        <f t="shared" si="81"/>
        <v>2593</v>
      </c>
      <c r="P450" s="80">
        <f>VLOOKUP(B450,'116+240'!$B$15:$AB$682,14,FALSE)</f>
        <v>-1407</v>
      </c>
      <c r="Q450" s="89">
        <f>'116+240'!R451</f>
        <v>10</v>
      </c>
      <c r="R450" s="83">
        <f t="shared" si="86"/>
        <v>1327</v>
      </c>
      <c r="S450" s="82">
        <f>VLOOKUP(B450,'116+240'!$B$14:$AB$682,22,FALSE)</f>
        <v>4812</v>
      </c>
      <c r="T450" s="81">
        <f>VLOOKUP(B450,'116+240'!$B$15:$AB$682,6,FALSE)</f>
        <v>163</v>
      </c>
      <c r="U450" s="80">
        <f t="shared" si="82"/>
        <v>2732</v>
      </c>
      <c r="V450" s="79">
        <f>VLOOKUP(B450,'116+240'!$B$15:$AB$682,15,FALSE)</f>
        <v>-1268</v>
      </c>
      <c r="W450" s="89">
        <f>'116+240'!S451</f>
        <v>0</v>
      </c>
      <c r="X450" s="83">
        <f t="shared" si="87"/>
        <v>1238</v>
      </c>
      <c r="Y450" s="78">
        <f t="shared" si="88"/>
        <v>0</v>
      </c>
      <c r="Z450" s="77">
        <f t="shared" si="89"/>
        <v>0</v>
      </c>
      <c r="AA450" s="76">
        <f t="shared" si="90"/>
        <v>5.9860000000000007</v>
      </c>
      <c r="AB450" s="76">
        <f t="shared" si="91"/>
        <v>3.476</v>
      </c>
    </row>
    <row r="451" spans="2:28">
      <c r="B451" s="90">
        <f>'116+240'!B452</f>
        <v>45719</v>
      </c>
      <c r="C451" s="87">
        <f t="shared" si="83"/>
        <v>1</v>
      </c>
      <c r="D451" s="86">
        <f t="shared" si="84"/>
        <v>844</v>
      </c>
      <c r="E451" s="85">
        <f>VLOOKUP(B451,'116+240'!B452:AB452,3,FALSE)</f>
        <v>2053</v>
      </c>
      <c r="F451" s="81">
        <f t="shared" si="79"/>
        <v>2897</v>
      </c>
      <c r="G451" s="84">
        <f>VLOOKUP(B451,'116+240'!$B$15:$AB$682,20,FALSE)</f>
        <v>4665</v>
      </c>
      <c r="H451" s="84">
        <f>VLOOKUP(B451,'116+240'!$B$15:$AB$682,4,FALSE)</f>
        <v>242</v>
      </c>
      <c r="I451" s="80">
        <f t="shared" si="80"/>
        <v>2655</v>
      </c>
      <c r="J451" s="80">
        <f>VLOOKUP(B451,'116+240'!$B$15:$AB$682,13,FALSE)</f>
        <v>-1345</v>
      </c>
      <c r="K451" s="89">
        <f>'116+240'!Q452</f>
        <v>0</v>
      </c>
      <c r="L451" s="83">
        <f t="shared" si="85"/>
        <v>1385</v>
      </c>
      <c r="M451" s="82">
        <f>VLOOKUP(B451,'116+240'!$B$14:$AB$682,21,FALSE)</f>
        <v>4713</v>
      </c>
      <c r="N451" s="81">
        <f>VLOOKUP(B451,'116+240'!$B$15:$AB$682,5,FALSE)</f>
        <v>314</v>
      </c>
      <c r="O451" s="80">
        <f t="shared" si="81"/>
        <v>2583</v>
      </c>
      <c r="P451" s="80">
        <f>VLOOKUP(B451,'116+240'!$B$15:$AB$682,14,FALSE)</f>
        <v>-1417</v>
      </c>
      <c r="Q451" s="89">
        <f>'116+240'!R452</f>
        <v>10</v>
      </c>
      <c r="R451" s="83">
        <f t="shared" si="86"/>
        <v>1337</v>
      </c>
      <c r="S451" s="82">
        <f>VLOOKUP(B451,'116+240'!$B$14:$AB$682,22,FALSE)</f>
        <v>4812</v>
      </c>
      <c r="T451" s="81">
        <f>VLOOKUP(B451,'116+240'!$B$15:$AB$682,6,FALSE)</f>
        <v>165</v>
      </c>
      <c r="U451" s="80">
        <f t="shared" si="82"/>
        <v>2732</v>
      </c>
      <c r="V451" s="79">
        <f>VLOOKUP(B451,'116+240'!$B$15:$AB$682,15,FALSE)</f>
        <v>-1268</v>
      </c>
      <c r="W451" s="89">
        <f>'116+240'!S452</f>
        <v>0</v>
      </c>
      <c r="X451" s="83">
        <f t="shared" si="87"/>
        <v>1238</v>
      </c>
      <c r="Y451" s="78">
        <f t="shared" si="88"/>
        <v>0</v>
      </c>
      <c r="Z451" s="77">
        <f t="shared" si="89"/>
        <v>0</v>
      </c>
      <c r="AA451" s="76">
        <f t="shared" si="90"/>
        <v>5.9860000000000007</v>
      </c>
      <c r="AB451" s="76">
        <f t="shared" si="91"/>
        <v>3.456</v>
      </c>
    </row>
    <row r="452" spans="2:28">
      <c r="B452" s="90">
        <f>'116+240'!B453</f>
        <v>45720</v>
      </c>
      <c r="C452" s="87">
        <f t="shared" si="83"/>
        <v>1</v>
      </c>
      <c r="D452" s="86">
        <f t="shared" si="84"/>
        <v>844</v>
      </c>
      <c r="E452" s="85">
        <f>VLOOKUP(B452,'116+240'!B453:AB453,3,FALSE)</f>
        <v>2055</v>
      </c>
      <c r="F452" s="81">
        <f t="shared" si="79"/>
        <v>2899</v>
      </c>
      <c r="G452" s="84">
        <f>VLOOKUP(B452,'116+240'!$B$15:$AB$682,20,FALSE)</f>
        <v>4965</v>
      </c>
      <c r="H452" s="84">
        <f>VLOOKUP(B452,'116+240'!$B$15:$AB$682,4,FALSE)</f>
        <v>244</v>
      </c>
      <c r="I452" s="80">
        <f t="shared" si="80"/>
        <v>2655</v>
      </c>
      <c r="J452" s="80">
        <f>VLOOKUP(B452,'116+240'!$B$15:$AB$682,13,FALSE)</f>
        <v>-1345</v>
      </c>
      <c r="K452" s="89">
        <f>'116+240'!Q453</f>
        <v>0</v>
      </c>
      <c r="L452" s="83">
        <f t="shared" si="85"/>
        <v>1385</v>
      </c>
      <c r="M452" s="82">
        <f>VLOOKUP(B452,'116+240'!$B$14:$AB$682,21,FALSE)</f>
        <v>5003</v>
      </c>
      <c r="N452" s="81">
        <f>VLOOKUP(B452,'116+240'!$B$15:$AB$682,5,FALSE)</f>
        <v>326</v>
      </c>
      <c r="O452" s="80">
        <f t="shared" si="81"/>
        <v>2573</v>
      </c>
      <c r="P452" s="80">
        <f>VLOOKUP(B452,'116+240'!$B$15:$AB$682,14,FALSE)</f>
        <v>-1427</v>
      </c>
      <c r="Q452" s="89">
        <f>'116+240'!R453</f>
        <v>10</v>
      </c>
      <c r="R452" s="83">
        <f t="shared" si="86"/>
        <v>1347</v>
      </c>
      <c r="S452" s="82">
        <f>VLOOKUP(B452,'116+240'!$B$14:$AB$682,22,FALSE)</f>
        <v>5110</v>
      </c>
      <c r="T452" s="81">
        <f>VLOOKUP(B452,'116+240'!$B$15:$AB$682,6,FALSE)</f>
        <v>169</v>
      </c>
      <c r="U452" s="80">
        <f t="shared" si="82"/>
        <v>2730</v>
      </c>
      <c r="V452" s="79">
        <f>VLOOKUP(B452,'116+240'!$B$15:$AB$682,15,FALSE)</f>
        <v>-1270</v>
      </c>
      <c r="W452" s="89">
        <f>'116+240'!S453</f>
        <v>2</v>
      </c>
      <c r="X452" s="83">
        <f t="shared" si="87"/>
        <v>1240</v>
      </c>
      <c r="Y452" s="78">
        <f t="shared" si="88"/>
        <v>298</v>
      </c>
      <c r="Z452" s="77">
        <f t="shared" si="89"/>
        <v>0.29799999999999999</v>
      </c>
      <c r="AA452" s="76">
        <f t="shared" si="90"/>
        <v>6.2840000000000007</v>
      </c>
      <c r="AB452" s="76">
        <f t="shared" si="91"/>
        <v>3.7360000000000002</v>
      </c>
    </row>
    <row r="453" spans="2:28">
      <c r="B453" s="90">
        <f>'116+240'!B454</f>
        <v>45721</v>
      </c>
      <c r="C453" s="87">
        <f t="shared" si="83"/>
        <v>1</v>
      </c>
      <c r="D453" s="86">
        <f t="shared" si="84"/>
        <v>844</v>
      </c>
      <c r="E453" s="85">
        <f>VLOOKUP(B453,'116+240'!B454:AB454,3,FALSE)</f>
        <v>2057</v>
      </c>
      <c r="F453" s="81">
        <f t="shared" si="79"/>
        <v>2901</v>
      </c>
      <c r="G453" s="84">
        <f>VLOOKUP(B453,'116+240'!$B$15:$AB$682,20,FALSE)</f>
        <v>4962</v>
      </c>
      <c r="H453" s="84">
        <f>VLOOKUP(B453,'116+240'!$B$15:$AB$682,4,FALSE)</f>
        <v>249</v>
      </c>
      <c r="I453" s="80">
        <f t="shared" si="80"/>
        <v>2652</v>
      </c>
      <c r="J453" s="80">
        <f>VLOOKUP(B453,'116+240'!$B$15:$AB$682,13,FALSE)</f>
        <v>-1348</v>
      </c>
      <c r="K453" s="89">
        <f>'116+240'!Q454</f>
        <v>3</v>
      </c>
      <c r="L453" s="83">
        <f t="shared" si="85"/>
        <v>1388</v>
      </c>
      <c r="M453" s="82">
        <f>VLOOKUP(B453,'116+240'!$B$14:$AB$682,21,FALSE)</f>
        <v>4993</v>
      </c>
      <c r="N453" s="81">
        <f>VLOOKUP(B453,'116+240'!$B$15:$AB$682,5,FALSE)</f>
        <v>338</v>
      </c>
      <c r="O453" s="80">
        <f t="shared" si="81"/>
        <v>2563</v>
      </c>
      <c r="P453" s="80">
        <f>VLOOKUP(B453,'116+240'!$B$15:$AB$682,14,FALSE)</f>
        <v>-1437</v>
      </c>
      <c r="Q453" s="89">
        <f>'116+240'!R454</f>
        <v>10</v>
      </c>
      <c r="R453" s="83">
        <f t="shared" si="86"/>
        <v>1357</v>
      </c>
      <c r="S453" s="82">
        <f>VLOOKUP(B453,'116+240'!$B$14:$AB$682,22,FALSE)</f>
        <v>5110</v>
      </c>
      <c r="T453" s="81">
        <f>VLOOKUP(B453,'116+240'!$B$15:$AB$682,6,FALSE)</f>
        <v>171</v>
      </c>
      <c r="U453" s="80">
        <f t="shared" si="82"/>
        <v>2730</v>
      </c>
      <c r="V453" s="79">
        <f>VLOOKUP(B453,'116+240'!$B$15:$AB$682,15,FALSE)</f>
        <v>-1270</v>
      </c>
      <c r="W453" s="89">
        <f>'116+240'!S454</f>
        <v>0</v>
      </c>
      <c r="X453" s="83">
        <f t="shared" si="87"/>
        <v>1240</v>
      </c>
      <c r="Y453" s="78">
        <f t="shared" si="88"/>
        <v>0</v>
      </c>
      <c r="Z453" s="77">
        <f t="shared" si="89"/>
        <v>0</v>
      </c>
      <c r="AA453" s="76">
        <f t="shared" si="90"/>
        <v>6.2840000000000007</v>
      </c>
      <c r="AB453" s="76">
        <f t="shared" si="91"/>
        <v>3.7160000000000002</v>
      </c>
    </row>
    <row r="454" spans="2:28">
      <c r="B454" s="90">
        <f>'116+240'!B455</f>
        <v>45722</v>
      </c>
      <c r="C454" s="87">
        <f t="shared" si="83"/>
        <v>1</v>
      </c>
      <c r="D454" s="86">
        <f t="shared" si="84"/>
        <v>844</v>
      </c>
      <c r="E454" s="85">
        <f>VLOOKUP(B454,'116+240'!B455:AB455,3,FALSE)</f>
        <v>2059</v>
      </c>
      <c r="F454" s="81">
        <f t="shared" si="79"/>
        <v>2903</v>
      </c>
      <c r="G454" s="84">
        <f>VLOOKUP(B454,'116+240'!$B$15:$AB$682,20,FALSE)</f>
        <v>4960</v>
      </c>
      <c r="H454" s="84">
        <f>VLOOKUP(B454,'116+240'!$B$15:$AB$682,4,FALSE)</f>
        <v>253</v>
      </c>
      <c r="I454" s="80">
        <f t="shared" si="80"/>
        <v>2650</v>
      </c>
      <c r="J454" s="80">
        <f>VLOOKUP(B454,'116+240'!$B$15:$AB$682,13,FALSE)</f>
        <v>-1350</v>
      </c>
      <c r="K454" s="89">
        <f>'116+240'!Q455</f>
        <v>2</v>
      </c>
      <c r="L454" s="83">
        <f t="shared" si="85"/>
        <v>1390</v>
      </c>
      <c r="M454" s="82">
        <f>VLOOKUP(B454,'116+240'!$B$14:$AB$682,21,FALSE)</f>
        <v>4983</v>
      </c>
      <c r="N454" s="81">
        <f>VLOOKUP(B454,'116+240'!$B$15:$AB$682,5,FALSE)</f>
        <v>350</v>
      </c>
      <c r="O454" s="80">
        <f t="shared" si="81"/>
        <v>2553</v>
      </c>
      <c r="P454" s="80">
        <f>VLOOKUP(B454,'116+240'!$B$15:$AB$682,14,FALSE)</f>
        <v>-1447</v>
      </c>
      <c r="Q454" s="89">
        <f>'116+240'!R455</f>
        <v>10</v>
      </c>
      <c r="R454" s="83">
        <f t="shared" si="86"/>
        <v>1367</v>
      </c>
      <c r="S454" s="82">
        <f>VLOOKUP(B454,'116+240'!$B$14:$AB$682,22,FALSE)</f>
        <v>5110</v>
      </c>
      <c r="T454" s="81">
        <f>VLOOKUP(B454,'116+240'!$B$15:$AB$682,6,FALSE)</f>
        <v>173</v>
      </c>
      <c r="U454" s="80">
        <f t="shared" si="82"/>
        <v>2730</v>
      </c>
      <c r="V454" s="79">
        <f>VLOOKUP(B454,'116+240'!$B$15:$AB$682,15,FALSE)</f>
        <v>-1270</v>
      </c>
      <c r="W454" s="89">
        <f>'116+240'!S455</f>
        <v>0</v>
      </c>
      <c r="X454" s="83">
        <f t="shared" si="87"/>
        <v>1240</v>
      </c>
      <c r="Y454" s="78">
        <f t="shared" si="88"/>
        <v>0</v>
      </c>
      <c r="Z454" s="77">
        <f t="shared" si="89"/>
        <v>0</v>
      </c>
      <c r="AA454" s="76">
        <f t="shared" si="90"/>
        <v>6.2840000000000007</v>
      </c>
      <c r="AB454" s="76">
        <f t="shared" si="91"/>
        <v>3.6960000000000002</v>
      </c>
    </row>
    <row r="455" spans="2:28">
      <c r="B455" s="90">
        <f>'116+240'!B456</f>
        <v>45723</v>
      </c>
      <c r="C455" s="87">
        <f t="shared" si="83"/>
        <v>1</v>
      </c>
      <c r="D455" s="86">
        <f t="shared" si="84"/>
        <v>844</v>
      </c>
      <c r="E455" s="85">
        <f>VLOOKUP(B455,'116+240'!B456:AB456,3,FALSE)</f>
        <v>2061</v>
      </c>
      <c r="F455" s="81">
        <f t="shared" si="79"/>
        <v>2905</v>
      </c>
      <c r="G455" s="84">
        <f>VLOOKUP(B455,'116+240'!$B$15:$AB$682,20,FALSE)</f>
        <v>4957</v>
      </c>
      <c r="H455" s="84">
        <f>VLOOKUP(B455,'116+240'!$B$15:$AB$682,4,FALSE)</f>
        <v>258</v>
      </c>
      <c r="I455" s="80">
        <f t="shared" si="80"/>
        <v>2647</v>
      </c>
      <c r="J455" s="80">
        <f>VLOOKUP(B455,'116+240'!$B$15:$AB$682,13,FALSE)</f>
        <v>-1353</v>
      </c>
      <c r="K455" s="89">
        <f>'116+240'!Q456</f>
        <v>3</v>
      </c>
      <c r="L455" s="83">
        <f t="shared" si="85"/>
        <v>1393</v>
      </c>
      <c r="M455" s="82">
        <f>VLOOKUP(B455,'116+240'!$B$14:$AB$682,21,FALSE)</f>
        <v>4973</v>
      </c>
      <c r="N455" s="81">
        <f>VLOOKUP(B455,'116+240'!$B$15:$AB$682,5,FALSE)</f>
        <v>362</v>
      </c>
      <c r="O455" s="80">
        <f t="shared" si="81"/>
        <v>2543</v>
      </c>
      <c r="P455" s="80">
        <f>VLOOKUP(B455,'116+240'!$B$15:$AB$682,14,FALSE)</f>
        <v>-1457</v>
      </c>
      <c r="Q455" s="89">
        <f>'116+240'!R456</f>
        <v>10</v>
      </c>
      <c r="R455" s="83">
        <f t="shared" si="86"/>
        <v>1377</v>
      </c>
      <c r="S455" s="82">
        <f>VLOOKUP(B455,'116+240'!$B$14:$AB$682,22,FALSE)</f>
        <v>5109</v>
      </c>
      <c r="T455" s="81">
        <f>VLOOKUP(B455,'116+240'!$B$15:$AB$682,6,FALSE)</f>
        <v>176</v>
      </c>
      <c r="U455" s="80">
        <f t="shared" si="82"/>
        <v>2729</v>
      </c>
      <c r="V455" s="79">
        <f>VLOOKUP(B455,'116+240'!$B$15:$AB$682,15,FALSE)</f>
        <v>-1271</v>
      </c>
      <c r="W455" s="89">
        <f>'116+240'!S456</f>
        <v>1</v>
      </c>
      <c r="X455" s="83">
        <f t="shared" si="87"/>
        <v>1241</v>
      </c>
      <c r="Y455" s="78">
        <f t="shared" si="88"/>
        <v>-1</v>
      </c>
      <c r="Z455" s="77">
        <f t="shared" si="89"/>
        <v>0</v>
      </c>
      <c r="AA455" s="76">
        <f t="shared" si="90"/>
        <v>6.2840000000000007</v>
      </c>
      <c r="AB455" s="76">
        <f t="shared" si="91"/>
        <v>3.6760000000000002</v>
      </c>
    </row>
    <row r="456" spans="2:28">
      <c r="B456" s="90">
        <f>'116+240'!B457</f>
        <v>45724</v>
      </c>
      <c r="C456" s="87">
        <f t="shared" si="83"/>
        <v>1</v>
      </c>
      <c r="D456" s="86">
        <f t="shared" si="84"/>
        <v>844</v>
      </c>
      <c r="E456" s="85">
        <f>VLOOKUP(B456,'116+240'!B457:AB457,3,FALSE)</f>
        <v>2063</v>
      </c>
      <c r="F456" s="81">
        <f t="shared" si="79"/>
        <v>2907</v>
      </c>
      <c r="G456" s="84">
        <f>VLOOKUP(B456,'116+240'!$B$15:$AB$682,20,FALSE)</f>
        <v>4955</v>
      </c>
      <c r="H456" s="84">
        <f>VLOOKUP(B456,'116+240'!$B$15:$AB$682,4,FALSE)</f>
        <v>262</v>
      </c>
      <c r="I456" s="80">
        <f t="shared" si="80"/>
        <v>2645</v>
      </c>
      <c r="J456" s="80">
        <f>VLOOKUP(B456,'116+240'!$B$15:$AB$682,13,FALSE)</f>
        <v>-1355</v>
      </c>
      <c r="K456" s="89">
        <f>'116+240'!Q457</f>
        <v>2</v>
      </c>
      <c r="L456" s="83">
        <f t="shared" si="85"/>
        <v>1395</v>
      </c>
      <c r="M456" s="82">
        <f>VLOOKUP(B456,'116+240'!$B$14:$AB$682,21,FALSE)</f>
        <v>4963</v>
      </c>
      <c r="N456" s="81">
        <f>VLOOKUP(B456,'116+240'!$B$15:$AB$682,5,FALSE)</f>
        <v>374</v>
      </c>
      <c r="O456" s="80">
        <f t="shared" si="81"/>
        <v>2533</v>
      </c>
      <c r="P456" s="80">
        <f>VLOOKUP(B456,'116+240'!$B$15:$AB$682,14,FALSE)</f>
        <v>-1467</v>
      </c>
      <c r="Q456" s="89">
        <f>'116+240'!R457</f>
        <v>10</v>
      </c>
      <c r="R456" s="83">
        <f t="shared" si="86"/>
        <v>1387</v>
      </c>
      <c r="S456" s="82">
        <f>VLOOKUP(B456,'116+240'!$B$14:$AB$682,22,FALSE)</f>
        <v>5107</v>
      </c>
      <c r="T456" s="81">
        <f>VLOOKUP(B456,'116+240'!$B$15:$AB$682,6,FALSE)</f>
        <v>180</v>
      </c>
      <c r="U456" s="80">
        <f t="shared" si="82"/>
        <v>2727</v>
      </c>
      <c r="V456" s="79">
        <f>VLOOKUP(B456,'116+240'!$B$15:$AB$682,15,FALSE)</f>
        <v>-1273</v>
      </c>
      <c r="W456" s="89">
        <f>'116+240'!S457</f>
        <v>2</v>
      </c>
      <c r="X456" s="83">
        <f t="shared" si="87"/>
        <v>1243</v>
      </c>
      <c r="Y456" s="78">
        <f t="shared" si="88"/>
        <v>-2</v>
      </c>
      <c r="Z456" s="77">
        <f t="shared" si="89"/>
        <v>0</v>
      </c>
      <c r="AA456" s="76">
        <f t="shared" si="90"/>
        <v>6.2840000000000007</v>
      </c>
      <c r="AB456" s="76">
        <f t="shared" si="91"/>
        <v>3.6560000000000001</v>
      </c>
    </row>
    <row r="457" spans="2:28">
      <c r="B457" s="90">
        <f>'116+240'!B458</f>
        <v>45725</v>
      </c>
      <c r="C457" s="87">
        <f t="shared" si="83"/>
        <v>1</v>
      </c>
      <c r="D457" s="86">
        <f t="shared" si="84"/>
        <v>844</v>
      </c>
      <c r="E457" s="85">
        <f>VLOOKUP(B457,'116+240'!B458:AB458,3,FALSE)</f>
        <v>2065</v>
      </c>
      <c r="F457" s="81">
        <f t="shared" si="79"/>
        <v>2909</v>
      </c>
      <c r="G457" s="84">
        <f>VLOOKUP(B457,'116+240'!$B$15:$AB$682,20,FALSE)</f>
        <v>5254</v>
      </c>
      <c r="H457" s="84">
        <f>VLOOKUP(B457,'116+240'!$B$15:$AB$682,4,FALSE)</f>
        <v>265</v>
      </c>
      <c r="I457" s="80">
        <f t="shared" si="80"/>
        <v>2644</v>
      </c>
      <c r="J457" s="80">
        <f>VLOOKUP(B457,'116+240'!$B$15:$AB$682,13,FALSE)</f>
        <v>-1356</v>
      </c>
      <c r="K457" s="89">
        <f>'116+240'!Q458</f>
        <v>1</v>
      </c>
      <c r="L457" s="83">
        <f t="shared" si="85"/>
        <v>1396</v>
      </c>
      <c r="M457" s="82">
        <f>VLOOKUP(B457,'116+240'!$B$14:$AB$682,21,FALSE)</f>
        <v>5253</v>
      </c>
      <c r="N457" s="81">
        <f>VLOOKUP(B457,'116+240'!$B$15:$AB$682,5,FALSE)</f>
        <v>386</v>
      </c>
      <c r="O457" s="80">
        <f t="shared" si="81"/>
        <v>2523</v>
      </c>
      <c r="P457" s="80">
        <f>VLOOKUP(B457,'116+240'!$B$15:$AB$682,14,FALSE)</f>
        <v>-1477</v>
      </c>
      <c r="Q457" s="89">
        <f>'116+240'!R458</f>
        <v>10</v>
      </c>
      <c r="R457" s="83">
        <f t="shared" si="86"/>
        <v>1397</v>
      </c>
      <c r="S457" s="82">
        <f>VLOOKUP(B457,'116+240'!$B$14:$AB$682,22,FALSE)</f>
        <v>5402</v>
      </c>
      <c r="T457" s="81">
        <f>VLOOKUP(B457,'116+240'!$B$15:$AB$682,6,FALSE)</f>
        <v>187</v>
      </c>
      <c r="U457" s="80">
        <f t="shared" si="82"/>
        <v>2722</v>
      </c>
      <c r="V457" s="79">
        <f>VLOOKUP(B457,'116+240'!$B$15:$AB$682,15,FALSE)</f>
        <v>-1278</v>
      </c>
      <c r="W457" s="89">
        <f>'116+240'!S458</f>
        <v>5</v>
      </c>
      <c r="X457" s="83">
        <f t="shared" si="87"/>
        <v>1248</v>
      </c>
      <c r="Y457" s="78">
        <f t="shared" si="88"/>
        <v>295</v>
      </c>
      <c r="Z457" s="77">
        <f t="shared" si="89"/>
        <v>0.29499999999999998</v>
      </c>
      <c r="AA457" s="76">
        <f t="shared" si="90"/>
        <v>6.5790000000000006</v>
      </c>
      <c r="AB457" s="76">
        <f t="shared" si="91"/>
        <v>3.9359999999999999</v>
      </c>
    </row>
    <row r="458" spans="2:28">
      <c r="B458" s="90">
        <f>'116+240'!B459</f>
        <v>45726</v>
      </c>
      <c r="C458" s="87">
        <f t="shared" si="83"/>
        <v>1</v>
      </c>
      <c r="D458" s="86">
        <f t="shared" si="84"/>
        <v>844</v>
      </c>
      <c r="E458" s="85">
        <f>VLOOKUP(B458,'116+240'!B459:AB459,3,FALSE)</f>
        <v>2067</v>
      </c>
      <c r="F458" s="81">
        <f t="shared" si="79"/>
        <v>2911</v>
      </c>
      <c r="G458" s="84">
        <f>VLOOKUP(B458,'116+240'!$B$15:$AB$682,20,FALSE)</f>
        <v>5251</v>
      </c>
      <c r="H458" s="84">
        <f>VLOOKUP(B458,'116+240'!$B$15:$AB$682,4,FALSE)</f>
        <v>270</v>
      </c>
      <c r="I458" s="80">
        <f t="shared" si="80"/>
        <v>2641</v>
      </c>
      <c r="J458" s="80">
        <f>VLOOKUP(B458,'116+240'!$B$15:$AB$682,13,FALSE)</f>
        <v>-1359</v>
      </c>
      <c r="K458" s="89">
        <f>'116+240'!Q459</f>
        <v>3</v>
      </c>
      <c r="L458" s="83">
        <f t="shared" si="85"/>
        <v>1399</v>
      </c>
      <c r="M458" s="82">
        <f>VLOOKUP(B458,'116+240'!$B$14:$AB$682,21,FALSE)</f>
        <v>5243</v>
      </c>
      <c r="N458" s="81">
        <f>VLOOKUP(B458,'116+240'!$B$15:$AB$682,5,FALSE)</f>
        <v>398</v>
      </c>
      <c r="O458" s="80">
        <f t="shared" si="81"/>
        <v>2513</v>
      </c>
      <c r="P458" s="80">
        <f>VLOOKUP(B458,'116+240'!$B$15:$AB$682,14,FALSE)</f>
        <v>-1487</v>
      </c>
      <c r="Q458" s="89">
        <f>'116+240'!R459</f>
        <v>10</v>
      </c>
      <c r="R458" s="83">
        <f t="shared" si="86"/>
        <v>1407</v>
      </c>
      <c r="S458" s="82">
        <f>VLOOKUP(B458,'116+240'!$B$14:$AB$682,22,FALSE)</f>
        <v>5395</v>
      </c>
      <c r="T458" s="81">
        <f>VLOOKUP(B458,'116+240'!$B$15:$AB$682,6,FALSE)</f>
        <v>196</v>
      </c>
      <c r="U458" s="80">
        <f t="shared" si="82"/>
        <v>2715</v>
      </c>
      <c r="V458" s="79">
        <f>VLOOKUP(B458,'116+240'!$B$15:$AB$682,15,FALSE)</f>
        <v>-1285</v>
      </c>
      <c r="W458" s="89">
        <f>'116+240'!S459</f>
        <v>7</v>
      </c>
      <c r="X458" s="83">
        <f t="shared" si="87"/>
        <v>1255</v>
      </c>
      <c r="Y458" s="78">
        <f t="shared" si="88"/>
        <v>-7</v>
      </c>
      <c r="Z458" s="77">
        <f t="shared" si="89"/>
        <v>0</v>
      </c>
      <c r="AA458" s="76">
        <f t="shared" si="90"/>
        <v>6.5790000000000006</v>
      </c>
      <c r="AB458" s="76">
        <f t="shared" si="91"/>
        <v>3.9159999999999999</v>
      </c>
    </row>
    <row r="459" spans="2:28">
      <c r="B459" s="90">
        <f>'116+240'!B460</f>
        <v>45727</v>
      </c>
      <c r="C459" s="87">
        <f t="shared" si="83"/>
        <v>1</v>
      </c>
      <c r="D459" s="86">
        <f t="shared" si="84"/>
        <v>844</v>
      </c>
      <c r="E459" s="85">
        <f>VLOOKUP(B459,'116+240'!B460:AB460,3,FALSE)</f>
        <v>2069</v>
      </c>
      <c r="F459" s="81">
        <f t="shared" si="79"/>
        <v>2913</v>
      </c>
      <c r="G459" s="84">
        <f>VLOOKUP(B459,'116+240'!$B$15:$AB$682,20,FALSE)</f>
        <v>5249</v>
      </c>
      <c r="H459" s="84">
        <f>VLOOKUP(B459,'116+240'!$B$15:$AB$682,4,FALSE)</f>
        <v>274</v>
      </c>
      <c r="I459" s="80">
        <f t="shared" si="80"/>
        <v>2639</v>
      </c>
      <c r="J459" s="80">
        <f>VLOOKUP(B459,'116+240'!$B$15:$AB$682,13,FALSE)</f>
        <v>-1361</v>
      </c>
      <c r="K459" s="89">
        <f>'116+240'!Q460</f>
        <v>2</v>
      </c>
      <c r="L459" s="83">
        <f t="shared" si="85"/>
        <v>1401</v>
      </c>
      <c r="M459" s="82">
        <f>VLOOKUP(B459,'116+240'!$B$14:$AB$682,21,FALSE)</f>
        <v>5233</v>
      </c>
      <c r="N459" s="81">
        <f>VLOOKUP(B459,'116+240'!$B$15:$AB$682,5,FALSE)</f>
        <v>410</v>
      </c>
      <c r="O459" s="80">
        <f t="shared" si="81"/>
        <v>2503</v>
      </c>
      <c r="P459" s="80">
        <f>VLOOKUP(B459,'116+240'!$B$15:$AB$682,14,FALSE)</f>
        <v>-1497</v>
      </c>
      <c r="Q459" s="89">
        <f>'116+240'!R460</f>
        <v>10</v>
      </c>
      <c r="R459" s="83">
        <f t="shared" si="86"/>
        <v>1417</v>
      </c>
      <c r="S459" s="82">
        <f>VLOOKUP(B459,'116+240'!$B$14:$AB$682,22,FALSE)</f>
        <v>5394</v>
      </c>
      <c r="T459" s="81">
        <f>VLOOKUP(B459,'116+240'!$B$15:$AB$682,6,FALSE)</f>
        <v>199</v>
      </c>
      <c r="U459" s="80">
        <f t="shared" si="82"/>
        <v>2714</v>
      </c>
      <c r="V459" s="79">
        <f>VLOOKUP(B459,'116+240'!$B$15:$AB$682,15,FALSE)</f>
        <v>-1286</v>
      </c>
      <c r="W459" s="89">
        <f>'116+240'!S460</f>
        <v>1</v>
      </c>
      <c r="X459" s="83">
        <f t="shared" si="87"/>
        <v>1256</v>
      </c>
      <c r="Y459" s="78">
        <f t="shared" si="88"/>
        <v>-1</v>
      </c>
      <c r="Z459" s="77">
        <f t="shared" si="89"/>
        <v>0</v>
      </c>
      <c r="AA459" s="76">
        <f t="shared" si="90"/>
        <v>6.5790000000000006</v>
      </c>
      <c r="AB459" s="76">
        <f t="shared" si="91"/>
        <v>3.8959999999999999</v>
      </c>
    </row>
    <row r="460" spans="2:28">
      <c r="B460" s="90">
        <f>'116+240'!B461</f>
        <v>45728</v>
      </c>
      <c r="C460" s="87">
        <f t="shared" si="83"/>
        <v>1</v>
      </c>
      <c r="D460" s="86">
        <f t="shared" si="84"/>
        <v>844</v>
      </c>
      <c r="E460" s="85">
        <f>VLOOKUP(B460,'116+240'!B461:AB461,3,FALSE)</f>
        <v>2071</v>
      </c>
      <c r="F460" s="81">
        <f t="shared" si="79"/>
        <v>2915</v>
      </c>
      <c r="G460" s="84">
        <f>VLOOKUP(B460,'116+240'!$B$15:$AB$682,20,FALSE)</f>
        <v>5248</v>
      </c>
      <c r="H460" s="84">
        <f>VLOOKUP(B460,'116+240'!$B$15:$AB$682,4,FALSE)</f>
        <v>277</v>
      </c>
      <c r="I460" s="80">
        <f t="shared" si="80"/>
        <v>2638</v>
      </c>
      <c r="J460" s="80">
        <f>VLOOKUP(B460,'116+240'!$B$15:$AB$682,13,FALSE)</f>
        <v>-1362</v>
      </c>
      <c r="K460" s="89">
        <f>'116+240'!Q461</f>
        <v>1</v>
      </c>
      <c r="L460" s="83">
        <f t="shared" si="85"/>
        <v>1402</v>
      </c>
      <c r="M460" s="82">
        <f>VLOOKUP(B460,'116+240'!$B$14:$AB$682,21,FALSE)</f>
        <v>5223</v>
      </c>
      <c r="N460" s="81">
        <f>VLOOKUP(B460,'116+240'!$B$15:$AB$682,5,FALSE)</f>
        <v>422</v>
      </c>
      <c r="O460" s="80">
        <f t="shared" si="81"/>
        <v>2493</v>
      </c>
      <c r="P460" s="80">
        <f>VLOOKUP(B460,'116+240'!$B$15:$AB$682,14,FALSE)</f>
        <v>-1507</v>
      </c>
      <c r="Q460" s="89">
        <f>'116+240'!R461</f>
        <v>10</v>
      </c>
      <c r="R460" s="83">
        <f t="shared" si="86"/>
        <v>1427</v>
      </c>
      <c r="S460" s="82">
        <f>VLOOKUP(B460,'116+240'!$B$14:$AB$682,22,FALSE)</f>
        <v>5392</v>
      </c>
      <c r="T460" s="81">
        <f>VLOOKUP(B460,'116+240'!$B$15:$AB$682,6,FALSE)</f>
        <v>203</v>
      </c>
      <c r="U460" s="80">
        <f t="shared" si="82"/>
        <v>2712</v>
      </c>
      <c r="V460" s="79">
        <f>VLOOKUP(B460,'116+240'!$B$15:$AB$682,15,FALSE)</f>
        <v>-1288</v>
      </c>
      <c r="W460" s="89">
        <f>'116+240'!S461</f>
        <v>2</v>
      </c>
      <c r="X460" s="83">
        <f t="shared" si="87"/>
        <v>1258</v>
      </c>
      <c r="Y460" s="78">
        <f t="shared" si="88"/>
        <v>-2</v>
      </c>
      <c r="Z460" s="77">
        <f t="shared" si="89"/>
        <v>0</v>
      </c>
      <c r="AA460" s="76">
        <f t="shared" si="90"/>
        <v>6.5790000000000006</v>
      </c>
      <c r="AB460" s="76">
        <f t="shared" si="91"/>
        <v>3.8759999999999999</v>
      </c>
    </row>
    <row r="461" spans="2:28">
      <c r="B461" s="90">
        <f>'116+240'!B462</f>
        <v>45729</v>
      </c>
      <c r="C461" s="87">
        <f t="shared" si="83"/>
        <v>1</v>
      </c>
      <c r="D461" s="86">
        <f t="shared" si="84"/>
        <v>844</v>
      </c>
      <c r="E461" s="85">
        <f>VLOOKUP(B461,'116+240'!B462:AB462,3,FALSE)</f>
        <v>2073</v>
      </c>
      <c r="F461" s="81">
        <f t="shared" ref="F461:F481" si="92">D461+E461</f>
        <v>2917</v>
      </c>
      <c r="G461" s="84">
        <f>VLOOKUP(B461,'116+240'!$B$15:$AB$682,20,FALSE)</f>
        <v>5246</v>
      </c>
      <c r="H461" s="84">
        <f>VLOOKUP(B461,'116+240'!$B$15:$AB$682,4,FALSE)</f>
        <v>281</v>
      </c>
      <c r="I461" s="80">
        <f t="shared" ref="I461:I481" si="93">F461-H461</f>
        <v>2636</v>
      </c>
      <c r="J461" s="80">
        <f>VLOOKUP(B461,'116+240'!$B$15:$AB$682,13,FALSE)</f>
        <v>-1364</v>
      </c>
      <c r="K461" s="89">
        <f>'116+240'!Q462</f>
        <v>2</v>
      </c>
      <c r="L461" s="83">
        <f t="shared" si="85"/>
        <v>1404</v>
      </c>
      <c r="M461" s="82">
        <f>VLOOKUP(B461,'116+240'!$B$14:$AB$682,21,FALSE)</f>
        <v>5213</v>
      </c>
      <c r="N461" s="81">
        <f>VLOOKUP(B461,'116+240'!$B$15:$AB$682,5,FALSE)</f>
        <v>434</v>
      </c>
      <c r="O461" s="80">
        <f t="shared" ref="O461:O481" si="94">F461-N461</f>
        <v>2483</v>
      </c>
      <c r="P461" s="80">
        <f>VLOOKUP(B461,'116+240'!$B$15:$AB$682,14,FALSE)</f>
        <v>-1517</v>
      </c>
      <c r="Q461" s="89">
        <f>'116+240'!R462</f>
        <v>10</v>
      </c>
      <c r="R461" s="83">
        <f t="shared" si="86"/>
        <v>1437</v>
      </c>
      <c r="S461" s="82">
        <f>VLOOKUP(B461,'116+240'!$B$14:$AB$682,22,FALSE)</f>
        <v>5390</v>
      </c>
      <c r="T461" s="81">
        <f>VLOOKUP(B461,'116+240'!$B$15:$AB$682,6,FALSE)</f>
        <v>207</v>
      </c>
      <c r="U461" s="80">
        <f t="shared" ref="U461:U481" si="95">F461-T461</f>
        <v>2710</v>
      </c>
      <c r="V461" s="79">
        <f>VLOOKUP(B461,'116+240'!$B$15:$AB$682,15,FALSE)</f>
        <v>-1290</v>
      </c>
      <c r="W461" s="89">
        <f>'116+240'!S462</f>
        <v>2</v>
      </c>
      <c r="X461" s="83">
        <f t="shared" si="87"/>
        <v>1260</v>
      </c>
      <c r="Y461" s="78">
        <f t="shared" si="88"/>
        <v>-2</v>
      </c>
      <c r="Z461" s="77">
        <f t="shared" si="89"/>
        <v>0</v>
      </c>
      <c r="AA461" s="76">
        <f t="shared" si="90"/>
        <v>6.5790000000000006</v>
      </c>
      <c r="AB461" s="76">
        <f t="shared" si="91"/>
        <v>3.8559999999999999</v>
      </c>
    </row>
    <row r="462" spans="2:28">
      <c r="B462" s="90">
        <f>'116+240'!B463</f>
        <v>45730</v>
      </c>
      <c r="C462" s="87">
        <f t="shared" ref="C462:C497" si="96">B462-B461</f>
        <v>1</v>
      </c>
      <c r="D462" s="86">
        <f t="shared" ref="D462:D481" si="97">D461</f>
        <v>844</v>
      </c>
      <c r="E462" s="85">
        <f>VLOOKUP(B462,'116+240'!B463:AB463,3,FALSE)</f>
        <v>2075</v>
      </c>
      <c r="F462" s="81">
        <f t="shared" si="92"/>
        <v>2919</v>
      </c>
      <c r="G462" s="84">
        <f>VLOOKUP(B462,'116+240'!$B$15:$AB$682,20,FALSE)</f>
        <v>5244</v>
      </c>
      <c r="H462" s="84">
        <f>VLOOKUP(B462,'116+240'!$B$15:$AB$682,4,FALSE)</f>
        <v>285</v>
      </c>
      <c r="I462" s="80">
        <f t="shared" si="93"/>
        <v>2634</v>
      </c>
      <c r="J462" s="80">
        <f>VLOOKUP(B462,'116+240'!$B$15:$AB$682,13,FALSE)</f>
        <v>-1366</v>
      </c>
      <c r="K462" s="89">
        <f>'116+240'!Q463</f>
        <v>2</v>
      </c>
      <c r="L462" s="83">
        <f t="shared" ref="L462:L481" si="98">+K462+L461</f>
        <v>1406</v>
      </c>
      <c r="M462" s="82">
        <f>VLOOKUP(B462,'116+240'!$B$14:$AB$682,21,FALSE)</f>
        <v>5203</v>
      </c>
      <c r="N462" s="81">
        <f>VLOOKUP(B462,'116+240'!$B$15:$AB$682,5,FALSE)</f>
        <v>446</v>
      </c>
      <c r="O462" s="80">
        <f t="shared" si="94"/>
        <v>2473</v>
      </c>
      <c r="P462" s="80">
        <f>VLOOKUP(B462,'116+240'!$B$15:$AB$682,14,FALSE)</f>
        <v>-1527</v>
      </c>
      <c r="Q462" s="89">
        <f>'116+240'!R463</f>
        <v>10</v>
      </c>
      <c r="R462" s="83">
        <f t="shared" ref="R462:R481" si="99">+Q462+R461</f>
        <v>1447</v>
      </c>
      <c r="S462" s="82">
        <f>VLOOKUP(B462,'116+240'!$B$14:$AB$682,22,FALSE)</f>
        <v>5388</v>
      </c>
      <c r="T462" s="81">
        <f>VLOOKUP(B462,'116+240'!$B$15:$AB$682,6,FALSE)</f>
        <v>211</v>
      </c>
      <c r="U462" s="80">
        <f t="shared" si="95"/>
        <v>2708</v>
      </c>
      <c r="V462" s="79">
        <f>VLOOKUP(B462,'116+240'!$B$15:$AB$682,15,FALSE)</f>
        <v>-1292</v>
      </c>
      <c r="W462" s="89">
        <f>'116+240'!S463</f>
        <v>2</v>
      </c>
      <c r="X462" s="83">
        <f t="shared" ref="X462:X481" si="100">+W462+X461</f>
        <v>1262</v>
      </c>
      <c r="Y462" s="78">
        <f t="shared" ref="Y462:Y481" si="101">S462-S461</f>
        <v>-2</v>
      </c>
      <c r="Z462" s="77">
        <f t="shared" ref="Z462:Z497" si="102">IF(Y462&gt;0,Y462,0)/1000</f>
        <v>0</v>
      </c>
      <c r="AA462" s="76">
        <f t="shared" ref="AA462:AA481" si="103">AA461+Z462</f>
        <v>6.5790000000000006</v>
      </c>
      <c r="AB462" s="76">
        <f t="shared" ref="AB462:AB481" si="104">(M462-$M$13-R462)/1000</f>
        <v>3.8359999999999999</v>
      </c>
    </row>
    <row r="463" spans="2:28">
      <c r="B463" s="90">
        <f>'116+240'!B464</f>
        <v>45731</v>
      </c>
      <c r="C463" s="87">
        <f t="shared" si="96"/>
        <v>1</v>
      </c>
      <c r="D463" s="86">
        <f t="shared" si="97"/>
        <v>844</v>
      </c>
      <c r="E463" s="85">
        <f>VLOOKUP(B463,'116+240'!B464:AB464,3,FALSE)</f>
        <v>2077</v>
      </c>
      <c r="F463" s="81">
        <f t="shared" si="92"/>
        <v>2921</v>
      </c>
      <c r="G463" s="84">
        <f>VLOOKUP(B463,'116+240'!$B$15:$AB$682,20,FALSE)</f>
        <v>5243</v>
      </c>
      <c r="H463" s="84">
        <f>VLOOKUP(B463,'116+240'!$B$15:$AB$682,4,FALSE)</f>
        <v>288</v>
      </c>
      <c r="I463" s="80">
        <f t="shared" si="93"/>
        <v>2633</v>
      </c>
      <c r="J463" s="80">
        <f>VLOOKUP(B463,'116+240'!$B$15:$AB$682,13,FALSE)</f>
        <v>-1367</v>
      </c>
      <c r="K463" s="89">
        <f>'116+240'!Q464</f>
        <v>1</v>
      </c>
      <c r="L463" s="83">
        <f t="shared" si="98"/>
        <v>1407</v>
      </c>
      <c r="M463" s="82">
        <f>VLOOKUP(B463,'116+240'!$B$14:$AB$682,21,FALSE)</f>
        <v>5193</v>
      </c>
      <c r="N463" s="81">
        <f>VLOOKUP(B463,'116+240'!$B$15:$AB$682,5,FALSE)</f>
        <v>458</v>
      </c>
      <c r="O463" s="80">
        <f t="shared" si="94"/>
        <v>2463</v>
      </c>
      <c r="P463" s="80">
        <f>VLOOKUP(B463,'116+240'!$B$15:$AB$682,14,FALSE)</f>
        <v>-1537</v>
      </c>
      <c r="Q463" s="89">
        <f>'116+240'!R464</f>
        <v>10</v>
      </c>
      <c r="R463" s="83">
        <f t="shared" si="99"/>
        <v>1457</v>
      </c>
      <c r="S463" s="82">
        <f>VLOOKUP(B463,'116+240'!$B$14:$AB$682,22,FALSE)</f>
        <v>5388</v>
      </c>
      <c r="T463" s="81">
        <f>VLOOKUP(B463,'116+240'!$B$15:$AB$682,6,FALSE)</f>
        <v>213</v>
      </c>
      <c r="U463" s="80">
        <f t="shared" si="95"/>
        <v>2708</v>
      </c>
      <c r="V463" s="79">
        <f>VLOOKUP(B463,'116+240'!$B$15:$AB$682,15,FALSE)</f>
        <v>-1292</v>
      </c>
      <c r="W463" s="89">
        <f>'116+240'!S464</f>
        <v>0</v>
      </c>
      <c r="X463" s="83">
        <f t="shared" si="100"/>
        <v>1262</v>
      </c>
      <c r="Y463" s="78">
        <f t="shared" si="101"/>
        <v>0</v>
      </c>
      <c r="Z463" s="77">
        <f t="shared" si="102"/>
        <v>0</v>
      </c>
      <c r="AA463" s="76">
        <f t="shared" si="103"/>
        <v>6.5790000000000006</v>
      </c>
      <c r="AB463" s="76">
        <f t="shared" si="104"/>
        <v>3.8159999999999998</v>
      </c>
    </row>
    <row r="464" spans="2:28">
      <c r="B464" s="90">
        <f>'116+240'!B465</f>
        <v>45732</v>
      </c>
      <c r="C464" s="87">
        <f t="shared" si="96"/>
        <v>1</v>
      </c>
      <c r="D464" s="86">
        <f t="shared" si="97"/>
        <v>844</v>
      </c>
      <c r="E464" s="85">
        <f>VLOOKUP(B464,'116+240'!B465:AB465,3,FALSE)</f>
        <v>2079</v>
      </c>
      <c r="F464" s="81">
        <f t="shared" si="92"/>
        <v>2923</v>
      </c>
      <c r="G464" s="84">
        <f>VLOOKUP(B464,'116+240'!$B$15:$AB$682,20,FALSE)</f>
        <v>5243</v>
      </c>
      <c r="H464" s="84">
        <f>VLOOKUP(B464,'116+240'!$B$15:$AB$682,4,FALSE)</f>
        <v>290</v>
      </c>
      <c r="I464" s="80">
        <f t="shared" si="93"/>
        <v>2633</v>
      </c>
      <c r="J464" s="80">
        <f>VLOOKUP(B464,'116+240'!$B$15:$AB$682,13,FALSE)</f>
        <v>-1367</v>
      </c>
      <c r="K464" s="89">
        <f>'116+240'!Q465</f>
        <v>0</v>
      </c>
      <c r="L464" s="83">
        <f t="shared" si="98"/>
        <v>1407</v>
      </c>
      <c r="M464" s="82">
        <f>VLOOKUP(B464,'116+240'!$B$14:$AB$682,21,FALSE)</f>
        <v>5183</v>
      </c>
      <c r="N464" s="81">
        <f>VLOOKUP(B464,'116+240'!$B$15:$AB$682,5,FALSE)</f>
        <v>470</v>
      </c>
      <c r="O464" s="80">
        <f t="shared" si="94"/>
        <v>2453</v>
      </c>
      <c r="P464" s="80">
        <f>VLOOKUP(B464,'116+240'!$B$15:$AB$682,14,FALSE)</f>
        <v>-1547</v>
      </c>
      <c r="Q464" s="89">
        <f>'116+240'!R465</f>
        <v>10</v>
      </c>
      <c r="R464" s="83">
        <f t="shared" si="99"/>
        <v>1467</v>
      </c>
      <c r="S464" s="82">
        <f>VLOOKUP(B464,'116+240'!$B$14:$AB$682,22,FALSE)</f>
        <v>5378</v>
      </c>
      <c r="T464" s="81">
        <f>VLOOKUP(B464,'116+240'!$B$15:$AB$682,6,FALSE)</f>
        <v>225</v>
      </c>
      <c r="U464" s="80">
        <f t="shared" si="95"/>
        <v>2698</v>
      </c>
      <c r="V464" s="79">
        <f>VLOOKUP(B464,'116+240'!$B$15:$AB$682,15,FALSE)</f>
        <v>-1302</v>
      </c>
      <c r="W464" s="89">
        <f>'116+240'!S465</f>
        <v>10</v>
      </c>
      <c r="X464" s="83">
        <f t="shared" si="100"/>
        <v>1272</v>
      </c>
      <c r="Y464" s="78">
        <f t="shared" si="101"/>
        <v>-10</v>
      </c>
      <c r="Z464" s="77">
        <f t="shared" si="102"/>
        <v>0</v>
      </c>
      <c r="AA464" s="76">
        <f t="shared" si="103"/>
        <v>6.5790000000000006</v>
      </c>
      <c r="AB464" s="76">
        <f t="shared" si="104"/>
        <v>3.7959999999999998</v>
      </c>
    </row>
    <row r="465" spans="2:28">
      <c r="B465" s="90">
        <f>'116+240'!B466</f>
        <v>45733</v>
      </c>
      <c r="C465" s="87">
        <f t="shared" si="96"/>
        <v>1</v>
      </c>
      <c r="D465" s="86">
        <f t="shared" si="97"/>
        <v>844</v>
      </c>
      <c r="E465" s="85">
        <f>VLOOKUP(B465,'116+240'!B466:AB466,3,FALSE)</f>
        <v>2081</v>
      </c>
      <c r="F465" s="81">
        <f t="shared" si="92"/>
        <v>2925</v>
      </c>
      <c r="G465" s="84">
        <f>VLOOKUP(B465,'116+240'!$B$15:$AB$682,20,FALSE)</f>
        <v>5241</v>
      </c>
      <c r="H465" s="84">
        <f>VLOOKUP(B465,'116+240'!$B$15:$AB$682,4,FALSE)</f>
        <v>294</v>
      </c>
      <c r="I465" s="80">
        <f t="shared" si="93"/>
        <v>2631</v>
      </c>
      <c r="J465" s="80">
        <f>VLOOKUP(B465,'116+240'!$B$15:$AB$682,13,FALSE)</f>
        <v>-1369</v>
      </c>
      <c r="K465" s="89">
        <f>'116+240'!Q466</f>
        <v>2</v>
      </c>
      <c r="L465" s="83">
        <f t="shared" si="98"/>
        <v>1409</v>
      </c>
      <c r="M465" s="82">
        <f>VLOOKUP(B465,'116+240'!$B$14:$AB$682,21,FALSE)</f>
        <v>5173</v>
      </c>
      <c r="N465" s="81">
        <f>VLOOKUP(B465,'116+240'!$B$15:$AB$682,5,FALSE)</f>
        <v>482</v>
      </c>
      <c r="O465" s="80">
        <f t="shared" si="94"/>
        <v>2443</v>
      </c>
      <c r="P465" s="80">
        <f>VLOOKUP(B465,'116+240'!$B$15:$AB$682,14,FALSE)</f>
        <v>-1557</v>
      </c>
      <c r="Q465" s="89">
        <f>'116+240'!R466</f>
        <v>10</v>
      </c>
      <c r="R465" s="83">
        <f t="shared" si="99"/>
        <v>1477</v>
      </c>
      <c r="S465" s="82">
        <f>VLOOKUP(B465,'116+240'!$B$14:$AB$682,22,FALSE)</f>
        <v>5376</v>
      </c>
      <c r="T465" s="81">
        <f>VLOOKUP(B465,'116+240'!$B$15:$AB$682,6,FALSE)</f>
        <v>229</v>
      </c>
      <c r="U465" s="80">
        <f t="shared" si="95"/>
        <v>2696</v>
      </c>
      <c r="V465" s="79">
        <f>VLOOKUP(B465,'116+240'!$B$15:$AB$682,15,FALSE)</f>
        <v>-1304</v>
      </c>
      <c r="W465" s="89">
        <f>'116+240'!S466</f>
        <v>2</v>
      </c>
      <c r="X465" s="83">
        <f t="shared" si="100"/>
        <v>1274</v>
      </c>
      <c r="Y465" s="78">
        <f t="shared" si="101"/>
        <v>-2</v>
      </c>
      <c r="Z465" s="77">
        <f t="shared" si="102"/>
        <v>0</v>
      </c>
      <c r="AA465" s="76">
        <f t="shared" si="103"/>
        <v>6.5790000000000006</v>
      </c>
      <c r="AB465" s="76">
        <f t="shared" si="104"/>
        <v>3.7759999999999998</v>
      </c>
    </row>
    <row r="466" spans="2:28">
      <c r="B466" s="90">
        <f>'116+240'!B467</f>
        <v>45734</v>
      </c>
      <c r="C466" s="87">
        <f t="shared" si="96"/>
        <v>1</v>
      </c>
      <c r="D466" s="86">
        <f t="shared" si="97"/>
        <v>844</v>
      </c>
      <c r="E466" s="85">
        <f>VLOOKUP(B466,'116+240'!B467:AB467,3,FALSE)</f>
        <v>2083</v>
      </c>
      <c r="F466" s="81">
        <f t="shared" si="92"/>
        <v>2927</v>
      </c>
      <c r="G466" s="84">
        <f>VLOOKUP(B466,'116+240'!$B$15:$AB$682,20,FALSE)</f>
        <v>5238</v>
      </c>
      <c r="H466" s="84">
        <f>VLOOKUP(B466,'116+240'!$B$15:$AB$682,4,FALSE)</f>
        <v>299</v>
      </c>
      <c r="I466" s="80">
        <f t="shared" si="93"/>
        <v>2628</v>
      </c>
      <c r="J466" s="80">
        <f>VLOOKUP(B466,'116+240'!$B$15:$AB$682,13,FALSE)</f>
        <v>-1372</v>
      </c>
      <c r="K466" s="89">
        <f>'116+240'!Q467</f>
        <v>3</v>
      </c>
      <c r="L466" s="83">
        <f t="shared" si="98"/>
        <v>1412</v>
      </c>
      <c r="M466" s="82">
        <f>VLOOKUP(B466,'116+240'!$B$14:$AB$682,21,FALSE)</f>
        <v>5163</v>
      </c>
      <c r="N466" s="81">
        <f>VLOOKUP(B466,'116+240'!$B$15:$AB$682,5,FALSE)</f>
        <v>494</v>
      </c>
      <c r="O466" s="80">
        <f t="shared" si="94"/>
        <v>2433</v>
      </c>
      <c r="P466" s="80">
        <f>VLOOKUP(B466,'116+240'!$B$15:$AB$682,14,FALSE)</f>
        <v>-1567</v>
      </c>
      <c r="Q466" s="89">
        <f>'116+240'!R467</f>
        <v>10</v>
      </c>
      <c r="R466" s="83">
        <f t="shared" si="99"/>
        <v>1487</v>
      </c>
      <c r="S466" s="82">
        <f>VLOOKUP(B466,'116+240'!$B$14:$AB$682,22,FALSE)</f>
        <v>5376</v>
      </c>
      <c r="T466" s="81">
        <f>VLOOKUP(B466,'116+240'!$B$15:$AB$682,6,FALSE)</f>
        <v>231</v>
      </c>
      <c r="U466" s="80">
        <f t="shared" si="95"/>
        <v>2696</v>
      </c>
      <c r="V466" s="79">
        <f>VLOOKUP(B466,'116+240'!$B$15:$AB$682,15,FALSE)</f>
        <v>-1304</v>
      </c>
      <c r="W466" s="89">
        <f>'116+240'!S467</f>
        <v>0</v>
      </c>
      <c r="X466" s="83">
        <f t="shared" si="100"/>
        <v>1274</v>
      </c>
      <c r="Y466" s="78">
        <f t="shared" si="101"/>
        <v>0</v>
      </c>
      <c r="Z466" s="77">
        <f t="shared" si="102"/>
        <v>0</v>
      </c>
      <c r="AA466" s="76">
        <f t="shared" si="103"/>
        <v>6.5790000000000006</v>
      </c>
      <c r="AB466" s="76">
        <f t="shared" si="104"/>
        <v>3.7559999999999998</v>
      </c>
    </row>
    <row r="467" spans="2:28">
      <c r="B467" s="90">
        <f>'116+240'!B468</f>
        <v>45735</v>
      </c>
      <c r="C467" s="87">
        <f t="shared" si="96"/>
        <v>1</v>
      </c>
      <c r="D467" s="86">
        <f t="shared" si="97"/>
        <v>844</v>
      </c>
      <c r="E467" s="85">
        <f>VLOOKUP(B467,'116+240'!B468:AB468,3,FALSE)</f>
        <v>2085</v>
      </c>
      <c r="F467" s="81">
        <f t="shared" si="92"/>
        <v>2929</v>
      </c>
      <c r="G467" s="84">
        <f>VLOOKUP(B467,'116+240'!$B$15:$AB$682,20,FALSE)</f>
        <v>5123</v>
      </c>
      <c r="H467" s="84">
        <f>VLOOKUP(B467,'116+240'!$B$15:$AB$682,4,FALSE)</f>
        <v>416</v>
      </c>
      <c r="I467" s="80">
        <f t="shared" si="93"/>
        <v>2513</v>
      </c>
      <c r="J467" s="80">
        <f>VLOOKUP(B467,'116+240'!$B$15:$AB$682,13,FALSE)</f>
        <v>-1487</v>
      </c>
      <c r="K467" s="89">
        <f>'116+240'!Q468</f>
        <v>115</v>
      </c>
      <c r="L467" s="83">
        <f t="shared" si="98"/>
        <v>1527</v>
      </c>
      <c r="M467" s="82">
        <f>VLOOKUP(B467,'116+240'!$B$14:$AB$682,21,FALSE)</f>
        <v>5153</v>
      </c>
      <c r="N467" s="81">
        <f>VLOOKUP(B467,'116+240'!$B$15:$AB$682,5,FALSE)</f>
        <v>506</v>
      </c>
      <c r="O467" s="80">
        <f t="shared" si="94"/>
        <v>2423</v>
      </c>
      <c r="P467" s="80">
        <f>VLOOKUP(B467,'116+240'!$B$15:$AB$682,14,FALSE)</f>
        <v>-1577</v>
      </c>
      <c r="Q467" s="89">
        <f>'116+240'!R468</f>
        <v>10</v>
      </c>
      <c r="R467" s="83">
        <f t="shared" si="99"/>
        <v>1497</v>
      </c>
      <c r="S467" s="82">
        <f>VLOOKUP(B467,'116+240'!$B$14:$AB$682,22,FALSE)</f>
        <v>5375</v>
      </c>
      <c r="T467" s="81">
        <f>VLOOKUP(B467,'116+240'!$B$15:$AB$682,6,FALSE)</f>
        <v>234</v>
      </c>
      <c r="U467" s="80">
        <f t="shared" si="95"/>
        <v>2695</v>
      </c>
      <c r="V467" s="79">
        <f>VLOOKUP(B467,'116+240'!$B$15:$AB$682,15,FALSE)</f>
        <v>-1305</v>
      </c>
      <c r="W467" s="89">
        <f>'116+240'!S468</f>
        <v>1</v>
      </c>
      <c r="X467" s="83">
        <f t="shared" si="100"/>
        <v>1275</v>
      </c>
      <c r="Y467" s="78">
        <f t="shared" si="101"/>
        <v>-1</v>
      </c>
      <c r="Z467" s="77">
        <f t="shared" si="102"/>
        <v>0</v>
      </c>
      <c r="AA467" s="76">
        <f t="shared" si="103"/>
        <v>6.5790000000000006</v>
      </c>
      <c r="AB467" s="76">
        <f t="shared" si="104"/>
        <v>3.7360000000000002</v>
      </c>
    </row>
    <row r="468" spans="2:28">
      <c r="B468" s="90">
        <f>'116+240'!B469</f>
        <v>45736</v>
      </c>
      <c r="C468" s="87">
        <f t="shared" si="96"/>
        <v>1</v>
      </c>
      <c r="D468" s="86">
        <f t="shared" si="97"/>
        <v>844</v>
      </c>
      <c r="E468" s="85">
        <f>VLOOKUP(B468,'116+240'!B469:AB469,3,FALSE)</f>
        <v>2087</v>
      </c>
      <c r="F468" s="81">
        <f t="shared" si="92"/>
        <v>2931</v>
      </c>
      <c r="G468" s="84">
        <f>VLOOKUP(B468,'116+240'!$B$15:$AB$682,20,FALSE)</f>
        <v>5121</v>
      </c>
      <c r="H468" s="84">
        <f>VLOOKUP(B468,'116+240'!$B$15:$AB$682,4,FALSE)</f>
        <v>420</v>
      </c>
      <c r="I468" s="80">
        <f t="shared" si="93"/>
        <v>2511</v>
      </c>
      <c r="J468" s="80">
        <f>VLOOKUP(B468,'116+240'!$B$15:$AB$682,13,FALSE)</f>
        <v>-1489</v>
      </c>
      <c r="K468" s="89">
        <f>'116+240'!Q469</f>
        <v>2</v>
      </c>
      <c r="L468" s="83">
        <f t="shared" si="98"/>
        <v>1529</v>
      </c>
      <c r="M468" s="82">
        <f>VLOOKUP(B468,'116+240'!$B$14:$AB$682,21,FALSE)</f>
        <v>5144</v>
      </c>
      <c r="N468" s="81">
        <f>VLOOKUP(B468,'116+240'!$B$15:$AB$682,5,FALSE)</f>
        <v>517</v>
      </c>
      <c r="O468" s="80">
        <f t="shared" si="94"/>
        <v>2414</v>
      </c>
      <c r="P468" s="80">
        <f>VLOOKUP(B468,'116+240'!$B$15:$AB$682,14,FALSE)</f>
        <v>-1586</v>
      </c>
      <c r="Q468" s="89">
        <f>'116+240'!R469</f>
        <v>9</v>
      </c>
      <c r="R468" s="83">
        <f t="shared" si="99"/>
        <v>1506</v>
      </c>
      <c r="S468" s="82">
        <f>VLOOKUP(B468,'116+240'!$B$14:$AB$682,22,FALSE)</f>
        <v>5373</v>
      </c>
      <c r="T468" s="81">
        <f>VLOOKUP(B468,'116+240'!$B$15:$AB$682,6,FALSE)</f>
        <v>238</v>
      </c>
      <c r="U468" s="80">
        <f t="shared" si="95"/>
        <v>2693</v>
      </c>
      <c r="V468" s="79">
        <f>VLOOKUP(B468,'116+240'!$B$15:$AB$682,15,FALSE)</f>
        <v>-1307</v>
      </c>
      <c r="W468" s="89">
        <f>'116+240'!S469</f>
        <v>2</v>
      </c>
      <c r="X468" s="83">
        <f t="shared" si="100"/>
        <v>1277</v>
      </c>
      <c r="Y468" s="78">
        <f t="shared" si="101"/>
        <v>-2</v>
      </c>
      <c r="Z468" s="77">
        <f t="shared" si="102"/>
        <v>0</v>
      </c>
      <c r="AA468" s="76">
        <f t="shared" si="103"/>
        <v>6.5790000000000006</v>
      </c>
      <c r="AB468" s="76">
        <f t="shared" si="104"/>
        <v>3.718</v>
      </c>
    </row>
    <row r="469" spans="2:28">
      <c r="B469" s="90">
        <f>'116+240'!B470</f>
        <v>45737</v>
      </c>
      <c r="C469" s="87">
        <f t="shared" si="96"/>
        <v>1</v>
      </c>
      <c r="D469" s="86">
        <f t="shared" si="97"/>
        <v>844</v>
      </c>
      <c r="E469" s="85">
        <f>VLOOKUP(B469,'116+240'!B470:AB470,3,FALSE)</f>
        <v>2089</v>
      </c>
      <c r="F469" s="81">
        <f t="shared" si="92"/>
        <v>2933</v>
      </c>
      <c r="G469" s="84">
        <f>VLOOKUP(B469,'116+240'!$B$15:$AB$682,20,FALSE)</f>
        <v>5420</v>
      </c>
      <c r="H469" s="84">
        <f>VLOOKUP(B469,'116+240'!$B$15:$AB$682,4,FALSE)</f>
        <v>423</v>
      </c>
      <c r="I469" s="80">
        <f t="shared" si="93"/>
        <v>2510</v>
      </c>
      <c r="J469" s="80">
        <f>VLOOKUP(B469,'116+240'!$B$15:$AB$682,13,FALSE)</f>
        <v>-1490</v>
      </c>
      <c r="K469" s="89">
        <f>'116+240'!Q470</f>
        <v>1</v>
      </c>
      <c r="L469" s="83">
        <f t="shared" si="98"/>
        <v>1530</v>
      </c>
      <c r="M469" s="82">
        <f>VLOOKUP(B469,'116+240'!$B$14:$AB$682,21,FALSE)</f>
        <v>5434</v>
      </c>
      <c r="N469" s="81">
        <f>VLOOKUP(B469,'116+240'!$B$15:$AB$682,5,FALSE)</f>
        <v>529</v>
      </c>
      <c r="O469" s="80">
        <f t="shared" si="94"/>
        <v>2404</v>
      </c>
      <c r="P469" s="80">
        <f>VLOOKUP(B469,'116+240'!$B$15:$AB$682,14,FALSE)</f>
        <v>-1596</v>
      </c>
      <c r="Q469" s="89">
        <f>'116+240'!R470</f>
        <v>10</v>
      </c>
      <c r="R469" s="83">
        <f t="shared" si="99"/>
        <v>1516</v>
      </c>
      <c r="S469" s="82">
        <f>VLOOKUP(B469,'116+240'!$B$14:$AB$682,22,FALSE)</f>
        <v>5671</v>
      </c>
      <c r="T469" s="81">
        <f>VLOOKUP(B469,'116+240'!$B$15:$AB$682,6,FALSE)</f>
        <v>242</v>
      </c>
      <c r="U469" s="80">
        <f t="shared" si="95"/>
        <v>2691</v>
      </c>
      <c r="V469" s="79">
        <f>VLOOKUP(B469,'116+240'!$B$15:$AB$682,15,FALSE)</f>
        <v>-1309</v>
      </c>
      <c r="W469" s="89">
        <f>'116+240'!S470</f>
        <v>2</v>
      </c>
      <c r="X469" s="83">
        <f t="shared" si="100"/>
        <v>1279</v>
      </c>
      <c r="Y469" s="78">
        <f t="shared" si="101"/>
        <v>298</v>
      </c>
      <c r="Z469" s="77">
        <f t="shared" si="102"/>
        <v>0.29799999999999999</v>
      </c>
      <c r="AA469" s="76">
        <f t="shared" si="103"/>
        <v>6.8770000000000007</v>
      </c>
      <c r="AB469" s="76">
        <f t="shared" si="104"/>
        <v>3.9980000000000002</v>
      </c>
    </row>
    <row r="470" spans="2:28">
      <c r="B470" s="90">
        <f>'116+240'!B471</f>
        <v>45740</v>
      </c>
      <c r="C470" s="87">
        <f t="shared" si="96"/>
        <v>3</v>
      </c>
      <c r="D470" s="86">
        <f t="shared" si="97"/>
        <v>844</v>
      </c>
      <c r="E470" s="85">
        <f>VLOOKUP(B470,'116+240'!B471:AB471,3,FALSE)</f>
        <v>2091</v>
      </c>
      <c r="F470" s="81">
        <f t="shared" si="92"/>
        <v>2935</v>
      </c>
      <c r="G470" s="84">
        <f>VLOOKUP(B470,'116+240'!$B$15:$AB$682,20,FALSE)</f>
        <v>5400</v>
      </c>
      <c r="H470" s="84">
        <f>VLOOKUP(B470,'116+240'!$B$15:$AB$682,4,FALSE)</f>
        <v>445</v>
      </c>
      <c r="I470" s="80">
        <f t="shared" si="93"/>
        <v>2490</v>
      </c>
      <c r="J470" s="80">
        <f>VLOOKUP(B470,'116+240'!$B$15:$AB$682,13,FALSE)</f>
        <v>-1510</v>
      </c>
      <c r="K470" s="89">
        <f>'116+240'!Q471</f>
        <v>20</v>
      </c>
      <c r="L470" s="83">
        <f t="shared" si="98"/>
        <v>1550</v>
      </c>
      <c r="M470" s="82">
        <f>VLOOKUP(B470,'116+240'!$B$14:$AB$682,21,FALSE)</f>
        <v>5404</v>
      </c>
      <c r="N470" s="81">
        <f>VLOOKUP(B470,'116+240'!$B$15:$AB$682,5,FALSE)</f>
        <v>561</v>
      </c>
      <c r="O470" s="80">
        <f t="shared" si="94"/>
        <v>2374</v>
      </c>
      <c r="P470" s="80">
        <f>VLOOKUP(B470,'116+240'!$B$15:$AB$682,14,FALSE)</f>
        <v>-1626</v>
      </c>
      <c r="Q470" s="89">
        <f>'116+240'!R471</f>
        <v>30</v>
      </c>
      <c r="R470" s="83">
        <f t="shared" si="99"/>
        <v>1546</v>
      </c>
      <c r="S470" s="82">
        <f>VLOOKUP(B470,'116+240'!$B$14:$AB$682,22,FALSE)</f>
        <v>5646</v>
      </c>
      <c r="T470" s="81">
        <f>VLOOKUP(B470,'116+240'!$B$15:$AB$682,6,FALSE)</f>
        <v>269</v>
      </c>
      <c r="U470" s="80">
        <f t="shared" si="95"/>
        <v>2666</v>
      </c>
      <c r="V470" s="79">
        <f>VLOOKUP(B470,'116+240'!$B$15:$AB$682,15,FALSE)</f>
        <v>-1334</v>
      </c>
      <c r="W470" s="89">
        <f>'116+240'!S471</f>
        <v>25</v>
      </c>
      <c r="X470" s="83">
        <f t="shared" si="100"/>
        <v>1304</v>
      </c>
      <c r="Y470" s="78">
        <f t="shared" si="101"/>
        <v>-25</v>
      </c>
      <c r="Z470" s="77">
        <f t="shared" si="102"/>
        <v>0</v>
      </c>
      <c r="AA470" s="76">
        <f t="shared" si="103"/>
        <v>6.8770000000000007</v>
      </c>
      <c r="AB470" s="76">
        <f t="shared" si="104"/>
        <v>3.9380000000000002</v>
      </c>
    </row>
    <row r="471" spans="2:28">
      <c r="B471" s="90">
        <f>'116+240'!B472</f>
        <v>45744</v>
      </c>
      <c r="C471" s="87">
        <f t="shared" si="96"/>
        <v>4</v>
      </c>
      <c r="D471" s="86">
        <f t="shared" si="97"/>
        <v>844</v>
      </c>
      <c r="E471" s="85">
        <f>VLOOKUP(B471,'116+240'!B472:AB472,3,FALSE)</f>
        <v>2093</v>
      </c>
      <c r="F471" s="81">
        <f t="shared" si="92"/>
        <v>2937</v>
      </c>
      <c r="G471" s="84">
        <f>VLOOKUP(B471,'116+240'!$B$15:$AB$682,20,FALSE)</f>
        <v>5373</v>
      </c>
      <c r="H471" s="84">
        <f>VLOOKUP(B471,'116+240'!$B$15:$AB$682,4,FALSE)</f>
        <v>474</v>
      </c>
      <c r="I471" s="80">
        <f t="shared" si="93"/>
        <v>2463</v>
      </c>
      <c r="J471" s="80">
        <f>VLOOKUP(B471,'116+240'!$B$15:$AB$682,13,FALSE)</f>
        <v>-1537</v>
      </c>
      <c r="K471" s="89">
        <f>'116+240'!Q472</f>
        <v>27</v>
      </c>
      <c r="L471" s="83">
        <f t="shared" si="98"/>
        <v>1577</v>
      </c>
      <c r="M471" s="82">
        <f>VLOOKUP(B471,'116+240'!$B$14:$AB$682,21,FALSE)</f>
        <v>5364</v>
      </c>
      <c r="N471" s="81">
        <f>VLOOKUP(B471,'116+240'!$B$15:$AB$682,5,FALSE)</f>
        <v>603</v>
      </c>
      <c r="O471" s="80">
        <f t="shared" si="94"/>
        <v>2334</v>
      </c>
      <c r="P471" s="80">
        <f>VLOOKUP(B471,'116+240'!$B$15:$AB$682,14,FALSE)</f>
        <v>-1666</v>
      </c>
      <c r="Q471" s="89">
        <f>'116+240'!R472</f>
        <v>40</v>
      </c>
      <c r="R471" s="83">
        <f t="shared" si="99"/>
        <v>1586</v>
      </c>
      <c r="S471" s="82">
        <f>VLOOKUP(B471,'116+240'!$B$14:$AB$682,22,FALSE)</f>
        <v>5611</v>
      </c>
      <c r="T471" s="81">
        <f>VLOOKUP(B471,'116+240'!$B$15:$AB$682,6,FALSE)</f>
        <v>306</v>
      </c>
      <c r="U471" s="80">
        <f t="shared" si="95"/>
        <v>2631</v>
      </c>
      <c r="V471" s="79">
        <f>VLOOKUP(B471,'116+240'!$B$15:$AB$682,15,FALSE)</f>
        <v>-1369</v>
      </c>
      <c r="W471" s="89">
        <f>'116+240'!S472</f>
        <v>35</v>
      </c>
      <c r="X471" s="83">
        <f t="shared" si="100"/>
        <v>1339</v>
      </c>
      <c r="Y471" s="78">
        <f t="shared" si="101"/>
        <v>-35</v>
      </c>
      <c r="Z471" s="77">
        <f t="shared" si="102"/>
        <v>0</v>
      </c>
      <c r="AA471" s="76">
        <f t="shared" si="103"/>
        <v>6.8770000000000007</v>
      </c>
      <c r="AB471" s="76">
        <f t="shared" si="104"/>
        <v>3.8580000000000001</v>
      </c>
    </row>
    <row r="472" spans="2:28">
      <c r="B472" s="90">
        <f>'116+240'!B473</f>
        <v>45747</v>
      </c>
      <c r="C472" s="87">
        <f t="shared" si="96"/>
        <v>3</v>
      </c>
      <c r="D472" s="86">
        <f t="shared" si="97"/>
        <v>844</v>
      </c>
      <c r="E472" s="85">
        <f>VLOOKUP(B472,'116+240'!B473:AB473,3,FALSE)</f>
        <v>2095</v>
      </c>
      <c r="F472" s="81">
        <f t="shared" si="92"/>
        <v>2939</v>
      </c>
      <c r="G472" s="84">
        <f>VLOOKUP(B472,'116+240'!$B$15:$AB$682,20,FALSE)</f>
        <v>5357</v>
      </c>
      <c r="H472" s="84">
        <f>VLOOKUP(B472,'116+240'!$B$15:$AB$682,4,FALSE)</f>
        <v>492</v>
      </c>
      <c r="I472" s="80">
        <f t="shared" si="93"/>
        <v>2447</v>
      </c>
      <c r="J472" s="80">
        <f>VLOOKUP(B472,'116+240'!$B$15:$AB$682,13,FALSE)</f>
        <v>-1553</v>
      </c>
      <c r="K472" s="89">
        <f>'116+240'!Q473</f>
        <v>16</v>
      </c>
      <c r="L472" s="83">
        <f t="shared" si="98"/>
        <v>1593</v>
      </c>
      <c r="M472" s="82">
        <f>VLOOKUP(B472,'116+240'!$B$14:$AB$682,21,FALSE)</f>
        <v>5336</v>
      </c>
      <c r="N472" s="81">
        <f>VLOOKUP(B472,'116+240'!$B$15:$AB$682,5,FALSE)</f>
        <v>633</v>
      </c>
      <c r="O472" s="80">
        <f t="shared" si="94"/>
        <v>2306</v>
      </c>
      <c r="P472" s="80">
        <f>VLOOKUP(B472,'116+240'!$B$15:$AB$682,14,FALSE)</f>
        <v>-1694</v>
      </c>
      <c r="Q472" s="89">
        <f>'116+240'!R473</f>
        <v>28</v>
      </c>
      <c r="R472" s="83">
        <f t="shared" si="99"/>
        <v>1614</v>
      </c>
      <c r="S472" s="82">
        <f>VLOOKUP(B472,'116+240'!$B$14:$AB$682,22,FALSE)</f>
        <v>5589</v>
      </c>
      <c r="T472" s="81">
        <f>VLOOKUP(B472,'116+240'!$B$15:$AB$682,6,FALSE)</f>
        <v>330</v>
      </c>
      <c r="U472" s="80">
        <f t="shared" si="95"/>
        <v>2609</v>
      </c>
      <c r="V472" s="79">
        <f>VLOOKUP(B472,'116+240'!$B$15:$AB$682,15,FALSE)</f>
        <v>-1391</v>
      </c>
      <c r="W472" s="89">
        <f>'116+240'!S473</f>
        <v>22</v>
      </c>
      <c r="X472" s="83">
        <f t="shared" si="100"/>
        <v>1361</v>
      </c>
      <c r="Y472" s="78">
        <f t="shared" si="101"/>
        <v>-22</v>
      </c>
      <c r="Z472" s="77">
        <f t="shared" si="102"/>
        <v>0</v>
      </c>
      <c r="AA472" s="76">
        <f t="shared" si="103"/>
        <v>6.8770000000000007</v>
      </c>
      <c r="AB472" s="76">
        <f t="shared" si="104"/>
        <v>3.802</v>
      </c>
    </row>
    <row r="473" spans="2:28">
      <c r="B473" s="90">
        <f>'116+240'!B474</f>
        <v>45751</v>
      </c>
      <c r="C473" s="87">
        <f t="shared" si="96"/>
        <v>4</v>
      </c>
      <c r="D473" s="86">
        <f t="shared" si="97"/>
        <v>844</v>
      </c>
      <c r="E473" s="85">
        <f>VLOOKUP(B473,'116+240'!B474:AB474,3,FALSE)</f>
        <v>2097</v>
      </c>
      <c r="F473" s="81">
        <f t="shared" si="92"/>
        <v>2941</v>
      </c>
      <c r="G473" s="84">
        <f>VLOOKUP(B473,'116+240'!$B$15:$AB$682,20,FALSE)</f>
        <v>5332</v>
      </c>
      <c r="H473" s="84">
        <f>VLOOKUP(B473,'116+240'!$B$15:$AB$682,4,FALSE)</f>
        <v>519</v>
      </c>
      <c r="I473" s="80">
        <f t="shared" si="93"/>
        <v>2422</v>
      </c>
      <c r="J473" s="80">
        <f>VLOOKUP(B473,'116+240'!$B$15:$AB$682,13,FALSE)</f>
        <v>-1578</v>
      </c>
      <c r="K473" s="89">
        <f>'116+240'!Q474</f>
        <v>25</v>
      </c>
      <c r="L473" s="83">
        <f t="shared" si="98"/>
        <v>1618</v>
      </c>
      <c r="M473" s="82">
        <f>VLOOKUP(B473,'116+240'!$B$14:$AB$682,21,FALSE)</f>
        <v>5297</v>
      </c>
      <c r="N473" s="81">
        <f>VLOOKUP(B473,'116+240'!$B$15:$AB$682,5,FALSE)</f>
        <v>674</v>
      </c>
      <c r="O473" s="80">
        <f t="shared" si="94"/>
        <v>2267</v>
      </c>
      <c r="P473" s="80">
        <f>VLOOKUP(B473,'116+240'!$B$15:$AB$682,14,FALSE)</f>
        <v>-1733</v>
      </c>
      <c r="Q473" s="89">
        <f>'116+240'!R474</f>
        <v>39</v>
      </c>
      <c r="R473" s="83">
        <f t="shared" si="99"/>
        <v>1653</v>
      </c>
      <c r="S473" s="82">
        <f>VLOOKUP(B473,'116+240'!$B$14:$AB$682,22,FALSE)</f>
        <v>5559</v>
      </c>
      <c r="T473" s="81">
        <f>VLOOKUP(B473,'116+240'!$B$15:$AB$682,6,FALSE)</f>
        <v>362</v>
      </c>
      <c r="U473" s="80">
        <f t="shared" si="95"/>
        <v>2579</v>
      </c>
      <c r="V473" s="79">
        <f>VLOOKUP(B473,'116+240'!$B$15:$AB$682,15,FALSE)</f>
        <v>-1421</v>
      </c>
      <c r="W473" s="89">
        <f>'116+240'!S474</f>
        <v>30</v>
      </c>
      <c r="X473" s="83">
        <f t="shared" si="100"/>
        <v>1391</v>
      </c>
      <c r="Y473" s="78">
        <f t="shared" si="101"/>
        <v>-30</v>
      </c>
      <c r="Z473" s="77">
        <f t="shared" si="102"/>
        <v>0</v>
      </c>
      <c r="AA473" s="76">
        <f t="shared" si="103"/>
        <v>6.8770000000000007</v>
      </c>
      <c r="AB473" s="76">
        <f t="shared" si="104"/>
        <v>3.7240000000000002</v>
      </c>
    </row>
    <row r="474" spans="2:28">
      <c r="B474" s="90">
        <f>'116+240'!B475</f>
        <v>45754</v>
      </c>
      <c r="C474" s="87">
        <f t="shared" si="96"/>
        <v>3</v>
      </c>
      <c r="D474" s="86">
        <f t="shared" si="97"/>
        <v>844</v>
      </c>
      <c r="E474" s="85">
        <f>VLOOKUP(B474,'116+240'!B475:AB475,3,FALSE)</f>
        <v>2099</v>
      </c>
      <c r="F474" s="81">
        <f t="shared" si="92"/>
        <v>2943</v>
      </c>
      <c r="G474" s="84">
        <f>VLOOKUP(B474,'116+240'!$B$15:$AB$682,20,FALSE)</f>
        <v>5317</v>
      </c>
      <c r="H474" s="84">
        <f>VLOOKUP(B474,'116+240'!$B$15:$AB$682,4,FALSE)</f>
        <v>536</v>
      </c>
      <c r="I474" s="80">
        <f t="shared" si="93"/>
        <v>2407</v>
      </c>
      <c r="J474" s="80">
        <f>VLOOKUP(B474,'116+240'!$B$15:$AB$682,13,FALSE)</f>
        <v>-1593</v>
      </c>
      <c r="K474" s="89">
        <f>'116+240'!Q475</f>
        <v>15</v>
      </c>
      <c r="L474" s="83">
        <f t="shared" si="98"/>
        <v>1633</v>
      </c>
      <c r="M474" s="82">
        <f>VLOOKUP(B474,'116+240'!$B$14:$AB$682,21,FALSE)</f>
        <v>5268</v>
      </c>
      <c r="N474" s="81">
        <f>VLOOKUP(B474,'116+240'!$B$15:$AB$682,5,FALSE)</f>
        <v>705</v>
      </c>
      <c r="O474" s="80">
        <f t="shared" si="94"/>
        <v>2238</v>
      </c>
      <c r="P474" s="80">
        <f>VLOOKUP(B474,'116+240'!$B$15:$AB$682,14,FALSE)</f>
        <v>-1762</v>
      </c>
      <c r="Q474" s="89">
        <f>'116+240'!R475</f>
        <v>29</v>
      </c>
      <c r="R474" s="83">
        <f t="shared" si="99"/>
        <v>1682</v>
      </c>
      <c r="S474" s="82">
        <f>VLOOKUP(B474,'116+240'!$B$14:$AB$682,22,FALSE)</f>
        <v>5539</v>
      </c>
      <c r="T474" s="81">
        <f>VLOOKUP(B474,'116+240'!$B$15:$AB$682,6,FALSE)</f>
        <v>384</v>
      </c>
      <c r="U474" s="80">
        <f t="shared" si="95"/>
        <v>2559</v>
      </c>
      <c r="V474" s="79">
        <f>VLOOKUP(B474,'116+240'!$B$15:$AB$682,15,FALSE)</f>
        <v>-1441</v>
      </c>
      <c r="W474" s="89">
        <f>'116+240'!S475</f>
        <v>20</v>
      </c>
      <c r="X474" s="83">
        <f t="shared" si="100"/>
        <v>1411</v>
      </c>
      <c r="Y474" s="78">
        <f t="shared" si="101"/>
        <v>-20</v>
      </c>
      <c r="Z474" s="77">
        <f t="shared" si="102"/>
        <v>0</v>
      </c>
      <c r="AA474" s="76">
        <f t="shared" si="103"/>
        <v>6.8770000000000007</v>
      </c>
      <c r="AB474" s="76">
        <f t="shared" si="104"/>
        <v>3.6659999999999999</v>
      </c>
    </row>
    <row r="475" spans="2:28">
      <c r="B475" s="90">
        <f>'116+240'!B476</f>
        <v>45758</v>
      </c>
      <c r="C475" s="87">
        <f t="shared" si="96"/>
        <v>4</v>
      </c>
      <c r="D475" s="86">
        <f t="shared" si="97"/>
        <v>844</v>
      </c>
      <c r="E475" s="85">
        <f>VLOOKUP(B475,'116+240'!B476:AB476,3,FALSE)</f>
        <v>2101</v>
      </c>
      <c r="F475" s="81">
        <f t="shared" si="92"/>
        <v>2945</v>
      </c>
      <c r="G475" s="84">
        <f>VLOOKUP(B475,'116+240'!$B$15:$AB$682,20,FALSE)</f>
        <v>5293</v>
      </c>
      <c r="H475" s="84">
        <f>VLOOKUP(B475,'116+240'!$B$15:$AB$682,4,FALSE)</f>
        <v>562</v>
      </c>
      <c r="I475" s="80">
        <f t="shared" si="93"/>
        <v>2383</v>
      </c>
      <c r="J475" s="80">
        <f>VLOOKUP(B475,'116+240'!$B$15:$AB$682,13,FALSE)</f>
        <v>-1617</v>
      </c>
      <c r="K475" s="89">
        <f>'116+240'!Q476</f>
        <v>24</v>
      </c>
      <c r="L475" s="83">
        <f t="shared" si="98"/>
        <v>1657</v>
      </c>
      <c r="M475" s="82">
        <f>VLOOKUP(B475,'116+240'!$B$14:$AB$682,21,FALSE)</f>
        <v>5232</v>
      </c>
      <c r="N475" s="81">
        <f>VLOOKUP(B475,'116+240'!$B$15:$AB$682,5,FALSE)</f>
        <v>743</v>
      </c>
      <c r="O475" s="80">
        <f t="shared" si="94"/>
        <v>2202</v>
      </c>
      <c r="P475" s="80">
        <f>VLOOKUP(B475,'116+240'!$B$15:$AB$682,14,FALSE)</f>
        <v>-1798</v>
      </c>
      <c r="Q475" s="89">
        <f>'116+240'!R476</f>
        <v>36</v>
      </c>
      <c r="R475" s="83">
        <f t="shared" si="99"/>
        <v>1718</v>
      </c>
      <c r="S475" s="82">
        <f>VLOOKUP(B475,'116+240'!$B$14:$AB$682,22,FALSE)</f>
        <v>5511</v>
      </c>
      <c r="T475" s="81">
        <f>VLOOKUP(B475,'116+240'!$B$15:$AB$682,6,FALSE)</f>
        <v>414</v>
      </c>
      <c r="U475" s="80">
        <f t="shared" si="95"/>
        <v>2531</v>
      </c>
      <c r="V475" s="79">
        <f>VLOOKUP(B475,'116+240'!$B$15:$AB$682,15,FALSE)</f>
        <v>-1469</v>
      </c>
      <c r="W475" s="89">
        <f>'116+240'!S476</f>
        <v>28</v>
      </c>
      <c r="X475" s="83">
        <f t="shared" si="100"/>
        <v>1439</v>
      </c>
      <c r="Y475" s="78">
        <f t="shared" si="101"/>
        <v>-28</v>
      </c>
      <c r="Z475" s="77">
        <f t="shared" si="102"/>
        <v>0</v>
      </c>
      <c r="AA475" s="76">
        <f t="shared" si="103"/>
        <v>6.8770000000000007</v>
      </c>
      <c r="AB475" s="76">
        <f t="shared" si="104"/>
        <v>3.5939999999999999</v>
      </c>
    </row>
    <row r="476" spans="2:28">
      <c r="B476" s="90">
        <f>'116+240'!B477</f>
        <v>45761</v>
      </c>
      <c r="C476" s="87">
        <f t="shared" si="96"/>
        <v>3</v>
      </c>
      <c r="D476" s="86">
        <f t="shared" si="97"/>
        <v>844</v>
      </c>
      <c r="E476" s="85">
        <f>VLOOKUP(B476,'116+240'!B477:AB477,3,FALSE)</f>
        <v>2103</v>
      </c>
      <c r="F476" s="81">
        <f t="shared" si="92"/>
        <v>2947</v>
      </c>
      <c r="G476" s="84">
        <f>VLOOKUP(B476,'116+240'!$B$15:$AB$682,20,FALSE)</f>
        <v>5280</v>
      </c>
      <c r="H476" s="84">
        <f>VLOOKUP(B476,'116+240'!$B$15:$AB$682,4,FALSE)</f>
        <v>577</v>
      </c>
      <c r="I476" s="80">
        <f t="shared" si="93"/>
        <v>2370</v>
      </c>
      <c r="J476" s="80">
        <f>VLOOKUP(B476,'116+240'!$B$15:$AB$682,13,FALSE)</f>
        <v>-1630</v>
      </c>
      <c r="K476" s="89">
        <f>'116+240'!Q477</f>
        <v>13</v>
      </c>
      <c r="L476" s="83">
        <f t="shared" si="98"/>
        <v>1670</v>
      </c>
      <c r="M476" s="82">
        <f>VLOOKUP(B476,'116+240'!$B$14:$AB$682,21,FALSE)</f>
        <v>5204</v>
      </c>
      <c r="N476" s="81">
        <f>VLOOKUP(B476,'116+240'!$B$15:$AB$682,5,FALSE)</f>
        <v>773</v>
      </c>
      <c r="O476" s="80">
        <f t="shared" si="94"/>
        <v>2174</v>
      </c>
      <c r="P476" s="80">
        <f>VLOOKUP(B476,'116+240'!$B$15:$AB$682,14,FALSE)</f>
        <v>-1826</v>
      </c>
      <c r="Q476" s="89">
        <f>'116+240'!R477</f>
        <v>28</v>
      </c>
      <c r="R476" s="83">
        <f t="shared" si="99"/>
        <v>1746</v>
      </c>
      <c r="S476" s="82">
        <f>VLOOKUP(B476,'116+240'!$B$14:$AB$682,22,FALSE)</f>
        <v>5495</v>
      </c>
      <c r="T476" s="81">
        <f>VLOOKUP(B476,'116+240'!$B$15:$AB$682,6,FALSE)</f>
        <v>432</v>
      </c>
      <c r="U476" s="80">
        <f t="shared" si="95"/>
        <v>2515</v>
      </c>
      <c r="V476" s="79">
        <f>VLOOKUP(B476,'116+240'!$B$15:$AB$682,15,FALSE)</f>
        <v>-1485</v>
      </c>
      <c r="W476" s="89">
        <f>'116+240'!S477</f>
        <v>16</v>
      </c>
      <c r="X476" s="83">
        <f t="shared" si="100"/>
        <v>1455</v>
      </c>
      <c r="Y476" s="78">
        <f t="shared" si="101"/>
        <v>-16</v>
      </c>
      <c r="Z476" s="77">
        <f t="shared" si="102"/>
        <v>0</v>
      </c>
      <c r="AA476" s="76">
        <f t="shared" si="103"/>
        <v>6.8770000000000007</v>
      </c>
      <c r="AB476" s="76">
        <f t="shared" si="104"/>
        <v>3.5379999999999998</v>
      </c>
    </row>
    <row r="477" spans="2:28">
      <c r="B477" s="90">
        <f>'116+240'!B478</f>
        <v>45765</v>
      </c>
      <c r="C477" s="87">
        <f t="shared" si="96"/>
        <v>4</v>
      </c>
      <c r="D477" s="86">
        <f t="shared" si="97"/>
        <v>844</v>
      </c>
      <c r="E477" s="85">
        <f>VLOOKUP(B477,'116+240'!B478:AB478,3,FALSE)</f>
        <v>2105</v>
      </c>
      <c r="F477" s="81">
        <f t="shared" si="92"/>
        <v>2949</v>
      </c>
      <c r="G477" s="84">
        <f>VLOOKUP(B477,'116+240'!$B$15:$AB$682,20,FALSE)</f>
        <v>5258</v>
      </c>
      <c r="H477" s="84">
        <f>VLOOKUP(B477,'116+240'!$B$15:$AB$682,4,FALSE)</f>
        <v>601</v>
      </c>
      <c r="I477" s="80">
        <f t="shared" si="93"/>
        <v>2348</v>
      </c>
      <c r="J477" s="80">
        <f>VLOOKUP(B477,'116+240'!$B$15:$AB$682,13,FALSE)</f>
        <v>-1652</v>
      </c>
      <c r="K477" s="89">
        <f>'116+240'!Q478</f>
        <v>22</v>
      </c>
      <c r="L477" s="83">
        <f t="shared" si="98"/>
        <v>1692</v>
      </c>
      <c r="M477" s="82">
        <f>VLOOKUP(B477,'116+240'!$B$14:$AB$682,21,FALSE)</f>
        <v>5169</v>
      </c>
      <c r="N477" s="81">
        <f>VLOOKUP(B477,'116+240'!$B$15:$AB$682,5,FALSE)</f>
        <v>810</v>
      </c>
      <c r="O477" s="80">
        <f t="shared" si="94"/>
        <v>2139</v>
      </c>
      <c r="P477" s="80">
        <f>VLOOKUP(B477,'116+240'!$B$15:$AB$682,14,FALSE)</f>
        <v>-1861</v>
      </c>
      <c r="Q477" s="89">
        <f>'116+240'!R478</f>
        <v>35</v>
      </c>
      <c r="R477" s="83">
        <f t="shared" si="99"/>
        <v>1781</v>
      </c>
      <c r="S477" s="82">
        <f>VLOOKUP(B477,'116+240'!$B$14:$AB$682,22,FALSE)</f>
        <v>5470</v>
      </c>
      <c r="T477" s="81">
        <f>VLOOKUP(B477,'116+240'!$B$15:$AB$682,6,FALSE)</f>
        <v>459</v>
      </c>
      <c r="U477" s="80">
        <f t="shared" si="95"/>
        <v>2490</v>
      </c>
      <c r="V477" s="79">
        <f>VLOOKUP(B477,'116+240'!$B$15:$AB$682,15,FALSE)</f>
        <v>-1510</v>
      </c>
      <c r="W477" s="89">
        <f>'116+240'!S478</f>
        <v>25</v>
      </c>
      <c r="X477" s="83">
        <f t="shared" si="100"/>
        <v>1480</v>
      </c>
      <c r="Y477" s="78">
        <f t="shared" si="101"/>
        <v>-25</v>
      </c>
      <c r="Z477" s="77">
        <f t="shared" si="102"/>
        <v>0</v>
      </c>
      <c r="AA477" s="76">
        <f t="shared" si="103"/>
        <v>6.8770000000000007</v>
      </c>
      <c r="AB477" s="76">
        <f t="shared" si="104"/>
        <v>3.468</v>
      </c>
    </row>
    <row r="478" spans="2:28">
      <c r="B478" s="90">
        <f>'116+240'!B479</f>
        <v>45772</v>
      </c>
      <c r="C478" s="87">
        <f t="shared" si="96"/>
        <v>7</v>
      </c>
      <c r="D478" s="86">
        <f t="shared" si="97"/>
        <v>844</v>
      </c>
      <c r="E478" s="85">
        <f>VLOOKUP(B478,'116+240'!B479:AB479,3,FALSE)</f>
        <v>2107</v>
      </c>
      <c r="F478" s="81">
        <f t="shared" si="92"/>
        <v>2951</v>
      </c>
      <c r="G478" s="84">
        <f>VLOOKUP(B478,'116+240'!$B$15:$AB$682,20,FALSE)</f>
        <v>5231</v>
      </c>
      <c r="H478" s="84">
        <f>VLOOKUP(B478,'116+240'!$B$15:$AB$682,4,FALSE)</f>
        <v>630</v>
      </c>
      <c r="I478" s="80">
        <f t="shared" si="93"/>
        <v>2321</v>
      </c>
      <c r="J478" s="80">
        <f>VLOOKUP(B478,'116+240'!$B$15:$AB$682,13,FALSE)</f>
        <v>-1679</v>
      </c>
      <c r="K478" s="89">
        <f>'116+240'!Q479</f>
        <v>27</v>
      </c>
      <c r="L478" s="83">
        <f t="shared" si="98"/>
        <v>1719</v>
      </c>
      <c r="M478" s="82">
        <f>VLOOKUP(B478,'116+240'!$B$14:$AB$682,21,FALSE)</f>
        <v>5129</v>
      </c>
      <c r="N478" s="81">
        <f>VLOOKUP(B478,'116+240'!$B$15:$AB$682,5,FALSE)</f>
        <v>852</v>
      </c>
      <c r="O478" s="80">
        <f t="shared" si="94"/>
        <v>2099</v>
      </c>
      <c r="P478" s="80">
        <f>VLOOKUP(B478,'116+240'!$B$15:$AB$682,14,FALSE)</f>
        <v>-1901</v>
      </c>
      <c r="Q478" s="89">
        <f>'116+240'!R479</f>
        <v>40</v>
      </c>
      <c r="R478" s="83">
        <f t="shared" si="99"/>
        <v>1821</v>
      </c>
      <c r="S478" s="82">
        <f>VLOOKUP(B478,'116+240'!$B$14:$AB$682,22,FALSE)</f>
        <v>5435</v>
      </c>
      <c r="T478" s="81">
        <f>VLOOKUP(B478,'116+240'!$B$15:$AB$682,6,FALSE)</f>
        <v>496</v>
      </c>
      <c r="U478" s="80">
        <f t="shared" si="95"/>
        <v>2455</v>
      </c>
      <c r="V478" s="79">
        <f>VLOOKUP(B478,'116+240'!$B$15:$AB$682,15,FALSE)</f>
        <v>-1545</v>
      </c>
      <c r="W478" s="89">
        <f>'116+240'!S479</f>
        <v>35</v>
      </c>
      <c r="X478" s="83">
        <f t="shared" si="100"/>
        <v>1515</v>
      </c>
      <c r="Y478" s="78">
        <f t="shared" si="101"/>
        <v>-35</v>
      </c>
      <c r="Z478" s="77">
        <f t="shared" si="102"/>
        <v>0</v>
      </c>
      <c r="AA478" s="76">
        <f t="shared" si="103"/>
        <v>6.8770000000000007</v>
      </c>
      <c r="AB478" s="76">
        <f t="shared" si="104"/>
        <v>3.3879999999999999</v>
      </c>
    </row>
    <row r="479" spans="2:28">
      <c r="B479" s="90">
        <f>'116+240'!B480</f>
        <v>45779</v>
      </c>
      <c r="C479" s="87">
        <f t="shared" si="96"/>
        <v>7</v>
      </c>
      <c r="D479" s="86">
        <f t="shared" si="97"/>
        <v>844</v>
      </c>
      <c r="E479" s="85">
        <f>VLOOKUP(B479,'116+240'!B480:AB480,3,FALSE)</f>
        <v>2109</v>
      </c>
      <c r="F479" s="81">
        <f t="shared" si="92"/>
        <v>2953</v>
      </c>
      <c r="G479" s="84">
        <f>VLOOKUP(B479,'116+240'!$B$15:$AB$682,20,FALSE)</f>
        <v>5211</v>
      </c>
      <c r="H479" s="84">
        <f>VLOOKUP(B479,'116+240'!$B$15:$AB$682,4,FALSE)</f>
        <v>652</v>
      </c>
      <c r="I479" s="80">
        <f t="shared" si="93"/>
        <v>2301</v>
      </c>
      <c r="J479" s="80">
        <f>VLOOKUP(B479,'116+240'!$B$15:$AB$682,13,FALSE)</f>
        <v>-1699</v>
      </c>
      <c r="K479" s="89">
        <f>'116+240'!Q480</f>
        <v>20</v>
      </c>
      <c r="L479" s="83">
        <f t="shared" si="98"/>
        <v>1739</v>
      </c>
      <c r="M479" s="82">
        <f>VLOOKUP(B479,'116+240'!$B$14:$AB$682,21,FALSE)</f>
        <v>5091</v>
      </c>
      <c r="N479" s="81">
        <f>VLOOKUP(B479,'116+240'!$B$15:$AB$682,5,FALSE)</f>
        <v>892</v>
      </c>
      <c r="O479" s="80">
        <f t="shared" si="94"/>
        <v>2061</v>
      </c>
      <c r="P479" s="80">
        <f>VLOOKUP(B479,'116+240'!$B$15:$AB$682,14,FALSE)</f>
        <v>-1939</v>
      </c>
      <c r="Q479" s="89">
        <f>'116+240'!R480</f>
        <v>38</v>
      </c>
      <c r="R479" s="83">
        <f t="shared" si="99"/>
        <v>1859</v>
      </c>
      <c r="S479" s="82">
        <f>VLOOKUP(B479,'116+240'!$B$14:$AB$682,22,FALSE)</f>
        <v>5400</v>
      </c>
      <c r="T479" s="81">
        <f>VLOOKUP(B479,'116+240'!$B$15:$AB$682,6,FALSE)</f>
        <v>533</v>
      </c>
      <c r="U479" s="80">
        <f t="shared" si="95"/>
        <v>2420</v>
      </c>
      <c r="V479" s="79">
        <f>VLOOKUP(B479,'116+240'!$B$15:$AB$682,15,FALSE)</f>
        <v>-1580</v>
      </c>
      <c r="W479" s="89">
        <f>'116+240'!S480</f>
        <v>35</v>
      </c>
      <c r="X479" s="83">
        <f t="shared" si="100"/>
        <v>1550</v>
      </c>
      <c r="Y479" s="78">
        <f t="shared" si="101"/>
        <v>-35</v>
      </c>
      <c r="Z479" s="77">
        <f t="shared" si="102"/>
        <v>0</v>
      </c>
      <c r="AA479" s="76">
        <f t="shared" si="103"/>
        <v>6.8770000000000007</v>
      </c>
      <c r="AB479" s="76">
        <f t="shared" si="104"/>
        <v>3.3119999999999998</v>
      </c>
    </row>
    <row r="480" spans="2:28">
      <c r="B480" s="90">
        <f>'116+240'!B481</f>
        <v>45786</v>
      </c>
      <c r="C480" s="87">
        <f t="shared" si="96"/>
        <v>7</v>
      </c>
      <c r="D480" s="86">
        <f t="shared" si="97"/>
        <v>844</v>
      </c>
      <c r="E480" s="85">
        <f>VLOOKUP(B480,'116+240'!B481:AB481,3,FALSE)</f>
        <v>2111</v>
      </c>
      <c r="F480" s="81">
        <f t="shared" si="92"/>
        <v>2955</v>
      </c>
      <c r="G480" s="84">
        <f>VLOOKUP(B480,'116+240'!$B$15:$AB$682,20,FALSE)</f>
        <v>5193</v>
      </c>
      <c r="H480" s="84">
        <f>VLOOKUP(B480,'116+240'!$B$15:$AB$682,4,FALSE)</f>
        <v>672</v>
      </c>
      <c r="I480" s="80">
        <f t="shared" si="93"/>
        <v>2283</v>
      </c>
      <c r="J480" s="80">
        <f>VLOOKUP(B480,'116+240'!$B$15:$AB$682,13,FALSE)</f>
        <v>-1717</v>
      </c>
      <c r="K480" s="89">
        <f>'116+240'!Q481</f>
        <v>18</v>
      </c>
      <c r="L480" s="83">
        <f t="shared" si="98"/>
        <v>1757</v>
      </c>
      <c r="M480" s="82">
        <f>VLOOKUP(B480,'116+240'!$B$14:$AB$682,21,FALSE)</f>
        <v>5055</v>
      </c>
      <c r="N480" s="81">
        <f>VLOOKUP(B480,'116+240'!$B$15:$AB$682,5,FALSE)</f>
        <v>930</v>
      </c>
      <c r="O480" s="80">
        <f t="shared" si="94"/>
        <v>2025</v>
      </c>
      <c r="P480" s="80">
        <f>VLOOKUP(B480,'116+240'!$B$15:$AB$682,14,FALSE)</f>
        <v>-1975</v>
      </c>
      <c r="Q480" s="89">
        <f>'116+240'!R481</f>
        <v>36</v>
      </c>
      <c r="R480" s="83">
        <f t="shared" si="99"/>
        <v>1895</v>
      </c>
      <c r="S480" s="82">
        <f>VLOOKUP(B480,'116+240'!$B$14:$AB$682,22,FALSE)</f>
        <v>5370</v>
      </c>
      <c r="T480" s="81">
        <f>VLOOKUP(B480,'116+240'!$B$15:$AB$682,6,FALSE)</f>
        <v>565</v>
      </c>
      <c r="U480" s="80">
        <f t="shared" si="95"/>
        <v>2390</v>
      </c>
      <c r="V480" s="79">
        <f>VLOOKUP(B480,'116+240'!$B$15:$AB$682,15,FALSE)</f>
        <v>-1610</v>
      </c>
      <c r="W480" s="89">
        <f>'116+240'!S481</f>
        <v>30</v>
      </c>
      <c r="X480" s="83">
        <f t="shared" si="100"/>
        <v>1580</v>
      </c>
      <c r="Y480" s="78">
        <f t="shared" si="101"/>
        <v>-30</v>
      </c>
      <c r="Z480" s="77">
        <f t="shared" si="102"/>
        <v>0</v>
      </c>
      <c r="AA480" s="76">
        <f t="shared" si="103"/>
        <v>6.8770000000000007</v>
      </c>
      <c r="AB480" s="76">
        <f t="shared" si="104"/>
        <v>3.24</v>
      </c>
    </row>
    <row r="481" spans="2:28">
      <c r="B481" s="90">
        <f>'116+240'!B482</f>
        <v>45793</v>
      </c>
      <c r="C481" s="87">
        <f t="shared" si="96"/>
        <v>7</v>
      </c>
      <c r="D481" s="86">
        <f t="shared" si="97"/>
        <v>844</v>
      </c>
      <c r="E481" s="85">
        <f>VLOOKUP(B481,'116+240'!B482:AB482,3,FALSE)</f>
        <v>2113</v>
      </c>
      <c r="F481" s="81">
        <f t="shared" si="92"/>
        <v>2957</v>
      </c>
      <c r="G481" s="84">
        <f>VLOOKUP(B481,'116+240'!$B$15:$AB$682,20,FALSE)</f>
        <v>5179</v>
      </c>
      <c r="H481" s="84">
        <f>VLOOKUP(B481,'116+240'!$B$15:$AB$682,4,FALSE)</f>
        <v>688</v>
      </c>
      <c r="I481" s="80">
        <f t="shared" si="93"/>
        <v>2269</v>
      </c>
      <c r="J481" s="80">
        <f>VLOOKUP(B481,'116+240'!$B$15:$AB$682,13,FALSE)</f>
        <v>-1731</v>
      </c>
      <c r="K481" s="89">
        <f>'116+240'!Q482</f>
        <v>14</v>
      </c>
      <c r="L481" s="83">
        <f t="shared" si="98"/>
        <v>1771</v>
      </c>
      <c r="M481" s="82">
        <f>VLOOKUP(B481,'116+240'!$B$14:$AB$682,21,FALSE)</f>
        <v>5022</v>
      </c>
      <c r="N481" s="81">
        <f>VLOOKUP(B481,'116+240'!$B$15:$AB$682,5,FALSE)</f>
        <v>965</v>
      </c>
      <c r="O481" s="80">
        <f t="shared" si="94"/>
        <v>1992</v>
      </c>
      <c r="P481" s="80">
        <f>VLOOKUP(B481,'116+240'!$B$15:$AB$682,14,FALSE)</f>
        <v>-2008</v>
      </c>
      <c r="Q481" s="89">
        <f>'116+240'!R482</f>
        <v>33</v>
      </c>
      <c r="R481" s="83">
        <f t="shared" si="99"/>
        <v>1928</v>
      </c>
      <c r="S481" s="82">
        <f>VLOOKUP(B481,'116+240'!$B$14:$AB$682,22,FALSE)</f>
        <v>5348</v>
      </c>
      <c r="T481" s="81">
        <f>VLOOKUP(B481,'116+240'!$B$15:$AB$682,6,FALSE)</f>
        <v>589</v>
      </c>
      <c r="U481" s="80">
        <f t="shared" si="95"/>
        <v>2368</v>
      </c>
      <c r="V481" s="79">
        <f>VLOOKUP(B481,'116+240'!$B$15:$AB$682,15,FALSE)</f>
        <v>-1632</v>
      </c>
      <c r="W481" s="89">
        <f>'116+240'!S482</f>
        <v>22</v>
      </c>
      <c r="X481" s="83">
        <f t="shared" si="100"/>
        <v>1602</v>
      </c>
      <c r="Y481" s="78">
        <f t="shared" si="101"/>
        <v>-22</v>
      </c>
      <c r="Z481" s="77">
        <f t="shared" si="102"/>
        <v>0</v>
      </c>
      <c r="AA481" s="76">
        <f t="shared" si="103"/>
        <v>6.8770000000000007</v>
      </c>
      <c r="AB481" s="76">
        <f t="shared" si="104"/>
        <v>3.1739999999999999</v>
      </c>
    </row>
    <row r="482" spans="2:28">
      <c r="B482" s="90">
        <f>'116+240'!B483</f>
        <v>45800</v>
      </c>
      <c r="C482" s="87">
        <f t="shared" si="96"/>
        <v>7</v>
      </c>
      <c r="D482" s="86">
        <f t="shared" ref="D482:D497" si="105">D481</f>
        <v>844</v>
      </c>
      <c r="E482" s="85">
        <f>VLOOKUP(B482,'116+240'!B483:AB483,3,FALSE)</f>
        <v>2115</v>
      </c>
      <c r="F482" s="81">
        <f t="shared" ref="F482:F497" si="106">D482+E482</f>
        <v>2959</v>
      </c>
      <c r="G482" s="84">
        <f>VLOOKUP(B482,'116+240'!$B$15:$AB$682,20,FALSE)</f>
        <v>5167</v>
      </c>
      <c r="H482" s="84">
        <f>VLOOKUP(B482,'116+240'!$B$15:$AB$682,4,FALSE)</f>
        <v>702</v>
      </c>
      <c r="I482" s="80">
        <f t="shared" ref="I482:I497" si="107">F482-H482</f>
        <v>2257</v>
      </c>
      <c r="J482" s="80">
        <f>VLOOKUP(B482,'116+240'!$B$15:$AB$682,13,FALSE)</f>
        <v>-1743</v>
      </c>
      <c r="K482" s="89">
        <f>'116+240'!Q483</f>
        <v>12</v>
      </c>
      <c r="L482" s="83">
        <f t="shared" ref="L482:L497" si="108">+K482+L481</f>
        <v>1783</v>
      </c>
      <c r="M482" s="82">
        <f>VLOOKUP(B482,'116+240'!$B$14:$AB$682,21,FALSE)</f>
        <v>4988</v>
      </c>
      <c r="N482" s="81">
        <f>VLOOKUP(B482,'116+240'!$B$15:$AB$682,5,FALSE)</f>
        <v>1001</v>
      </c>
      <c r="O482" s="80">
        <f t="shared" ref="O482:O497" si="109">F482-N482</f>
        <v>1958</v>
      </c>
      <c r="P482" s="80">
        <f>VLOOKUP(B482,'116+240'!$B$15:$AB$682,14,FALSE)</f>
        <v>-2042</v>
      </c>
      <c r="Q482" s="89">
        <f>'116+240'!R483</f>
        <v>34</v>
      </c>
      <c r="R482" s="83">
        <f t="shared" ref="R482:R497" si="110">+Q482+R481</f>
        <v>1962</v>
      </c>
      <c r="S482" s="82">
        <f>VLOOKUP(B482,'116+240'!$B$14:$AB$682,22,FALSE)</f>
        <v>5330</v>
      </c>
      <c r="T482" s="81">
        <f>VLOOKUP(B482,'116+240'!$B$15:$AB$682,6,FALSE)</f>
        <v>609</v>
      </c>
      <c r="U482" s="80">
        <f t="shared" ref="U482:U497" si="111">F482-T482</f>
        <v>2350</v>
      </c>
      <c r="V482" s="79">
        <f>VLOOKUP(B482,'116+240'!$B$15:$AB$682,15,FALSE)</f>
        <v>-1650</v>
      </c>
      <c r="W482" s="89">
        <f>'116+240'!S483</f>
        <v>18</v>
      </c>
      <c r="X482" s="83">
        <f t="shared" ref="X482:X497" si="112">+W482+X481</f>
        <v>1620</v>
      </c>
      <c r="Y482" s="78">
        <f t="shared" ref="Y482:Y497" si="113">S482-S481</f>
        <v>-18</v>
      </c>
      <c r="Z482" s="77">
        <f t="shared" si="102"/>
        <v>0</v>
      </c>
      <c r="AA482" s="76">
        <f t="shared" ref="AA482:AA497" si="114">AA481+Z482</f>
        <v>6.8770000000000007</v>
      </c>
      <c r="AB482" s="76">
        <f t="shared" ref="AB482:AB497" si="115">(M482-$M$13-R482)/1000</f>
        <v>3.1059999999999999</v>
      </c>
    </row>
    <row r="483" spans="2:28">
      <c r="B483" s="90">
        <f>'116+240'!B484</f>
        <v>45807</v>
      </c>
      <c r="C483" s="87">
        <f t="shared" si="96"/>
        <v>7</v>
      </c>
      <c r="D483" s="86">
        <f t="shared" si="105"/>
        <v>844</v>
      </c>
      <c r="E483" s="85">
        <f>VLOOKUP(B483,'116+240'!B484:AB484,3,FALSE)</f>
        <v>2117</v>
      </c>
      <c r="F483" s="81">
        <f t="shared" si="106"/>
        <v>2961</v>
      </c>
      <c r="G483" s="84">
        <f>VLOOKUP(B483,'116+240'!$B$15:$AB$682,20,FALSE)</f>
        <v>5155</v>
      </c>
      <c r="H483" s="84">
        <f>VLOOKUP(B483,'116+240'!$B$15:$AB$682,4,FALSE)</f>
        <v>716</v>
      </c>
      <c r="I483" s="80">
        <f t="shared" si="107"/>
        <v>2245</v>
      </c>
      <c r="J483" s="80">
        <f>VLOOKUP(B483,'116+240'!$B$15:$AB$682,13,FALSE)</f>
        <v>-1755</v>
      </c>
      <c r="K483" s="89">
        <f>'116+240'!Q484</f>
        <v>12</v>
      </c>
      <c r="L483" s="83">
        <f t="shared" si="108"/>
        <v>1795</v>
      </c>
      <c r="M483" s="82">
        <f>VLOOKUP(B483,'116+240'!$B$14:$AB$682,21,FALSE)</f>
        <v>4958</v>
      </c>
      <c r="N483" s="81">
        <f>VLOOKUP(B483,'116+240'!$B$15:$AB$682,5,FALSE)</f>
        <v>1033</v>
      </c>
      <c r="O483" s="80">
        <f t="shared" si="109"/>
        <v>1928</v>
      </c>
      <c r="P483" s="80">
        <f>VLOOKUP(B483,'116+240'!$B$15:$AB$682,14,FALSE)</f>
        <v>-2072</v>
      </c>
      <c r="Q483" s="89">
        <f>'116+240'!R484</f>
        <v>30</v>
      </c>
      <c r="R483" s="83">
        <f t="shared" si="110"/>
        <v>1992</v>
      </c>
      <c r="S483" s="82">
        <f>VLOOKUP(B483,'116+240'!$B$14:$AB$682,22,FALSE)</f>
        <v>5316</v>
      </c>
      <c r="T483" s="81">
        <f>VLOOKUP(B483,'116+240'!$B$15:$AB$682,6,FALSE)</f>
        <v>625</v>
      </c>
      <c r="U483" s="80">
        <f t="shared" si="111"/>
        <v>2336</v>
      </c>
      <c r="V483" s="79">
        <f>VLOOKUP(B483,'116+240'!$B$15:$AB$682,15,FALSE)</f>
        <v>-1664</v>
      </c>
      <c r="W483" s="89">
        <f>'116+240'!S484</f>
        <v>14</v>
      </c>
      <c r="X483" s="83">
        <f t="shared" si="112"/>
        <v>1634</v>
      </c>
      <c r="Y483" s="78">
        <f t="shared" si="113"/>
        <v>-14</v>
      </c>
      <c r="Z483" s="77">
        <f t="shared" si="102"/>
        <v>0</v>
      </c>
      <c r="AA483" s="76">
        <f t="shared" si="114"/>
        <v>6.8770000000000007</v>
      </c>
      <c r="AB483" s="76">
        <f t="shared" si="115"/>
        <v>3.0459999999999998</v>
      </c>
    </row>
    <row r="484" spans="2:28">
      <c r="B484" s="90">
        <f>'116+240'!B485</f>
        <v>45814</v>
      </c>
      <c r="C484" s="87">
        <f t="shared" si="96"/>
        <v>7</v>
      </c>
      <c r="D484" s="86">
        <f t="shared" si="105"/>
        <v>844</v>
      </c>
      <c r="E484" s="85">
        <f>VLOOKUP(B484,'116+240'!B485:AB485,3,FALSE)</f>
        <v>2119</v>
      </c>
      <c r="F484" s="81">
        <f t="shared" si="106"/>
        <v>2963</v>
      </c>
      <c r="G484" s="84">
        <f>VLOOKUP(B484,'116+240'!$B$15:$AB$682,20,FALSE)</f>
        <v>5143</v>
      </c>
      <c r="H484" s="84">
        <f>VLOOKUP(B484,'116+240'!$B$15:$AB$682,4,FALSE)</f>
        <v>730</v>
      </c>
      <c r="I484" s="80">
        <f t="shared" si="107"/>
        <v>2233</v>
      </c>
      <c r="J484" s="80">
        <f>VLOOKUP(B484,'116+240'!$B$15:$AB$682,13,FALSE)</f>
        <v>-1767</v>
      </c>
      <c r="K484" s="89">
        <f>'116+240'!Q485</f>
        <v>12</v>
      </c>
      <c r="L484" s="83">
        <f t="shared" si="108"/>
        <v>1807</v>
      </c>
      <c r="M484" s="82">
        <f>VLOOKUP(B484,'116+240'!$B$14:$AB$682,21,FALSE)</f>
        <v>4930</v>
      </c>
      <c r="N484" s="81">
        <f>VLOOKUP(B484,'116+240'!$B$15:$AB$682,5,FALSE)</f>
        <v>1063</v>
      </c>
      <c r="O484" s="80">
        <f t="shared" si="109"/>
        <v>1900</v>
      </c>
      <c r="P484" s="80">
        <f>VLOOKUP(B484,'116+240'!$B$15:$AB$682,14,FALSE)</f>
        <v>-2100</v>
      </c>
      <c r="Q484" s="89">
        <f>'116+240'!R485</f>
        <v>28</v>
      </c>
      <c r="R484" s="83">
        <f t="shared" si="110"/>
        <v>2020</v>
      </c>
      <c r="S484" s="82">
        <f>VLOOKUP(B484,'116+240'!$B$14:$AB$682,22,FALSE)</f>
        <v>5304</v>
      </c>
      <c r="T484" s="81">
        <f>VLOOKUP(B484,'116+240'!$B$15:$AB$682,6,FALSE)</f>
        <v>639</v>
      </c>
      <c r="U484" s="80">
        <f t="shared" si="111"/>
        <v>2324</v>
      </c>
      <c r="V484" s="79">
        <f>VLOOKUP(B484,'116+240'!$B$15:$AB$682,15,FALSE)</f>
        <v>-1676</v>
      </c>
      <c r="W484" s="89">
        <f>'116+240'!S485</f>
        <v>12</v>
      </c>
      <c r="X484" s="83">
        <f t="shared" si="112"/>
        <v>1646</v>
      </c>
      <c r="Y484" s="78">
        <f t="shared" si="113"/>
        <v>-12</v>
      </c>
      <c r="Z484" s="77">
        <f t="shared" si="102"/>
        <v>0</v>
      </c>
      <c r="AA484" s="76">
        <f t="shared" si="114"/>
        <v>6.8770000000000007</v>
      </c>
      <c r="AB484" s="76">
        <f t="shared" si="115"/>
        <v>2.99</v>
      </c>
    </row>
    <row r="485" spans="2:28">
      <c r="B485" s="90">
        <f>'116+240'!B486</f>
        <v>45821</v>
      </c>
      <c r="C485" s="87">
        <f t="shared" si="96"/>
        <v>7</v>
      </c>
      <c r="D485" s="86">
        <f t="shared" si="105"/>
        <v>844</v>
      </c>
      <c r="E485" s="85">
        <f>VLOOKUP(B485,'116+240'!B486:AB486,3,FALSE)</f>
        <v>2121</v>
      </c>
      <c r="F485" s="81">
        <f t="shared" si="106"/>
        <v>2965</v>
      </c>
      <c r="G485" s="84">
        <f>VLOOKUP(B485,'116+240'!$B$15:$AB$682,20,FALSE)</f>
        <v>5129</v>
      </c>
      <c r="H485" s="84">
        <f>VLOOKUP(B485,'116+240'!$B$15:$AB$682,4,FALSE)</f>
        <v>746</v>
      </c>
      <c r="I485" s="80">
        <f t="shared" si="107"/>
        <v>2219</v>
      </c>
      <c r="J485" s="80">
        <f>VLOOKUP(B485,'116+240'!$B$15:$AB$682,13,FALSE)</f>
        <v>-1781</v>
      </c>
      <c r="K485" s="89">
        <f>'116+240'!Q486</f>
        <v>14</v>
      </c>
      <c r="L485" s="83">
        <f t="shared" si="108"/>
        <v>1821</v>
      </c>
      <c r="M485" s="82">
        <f>VLOOKUP(B485,'116+240'!$B$14:$AB$682,21,FALSE)</f>
        <v>4903</v>
      </c>
      <c r="N485" s="81">
        <f>VLOOKUP(B485,'116+240'!$B$15:$AB$682,5,FALSE)</f>
        <v>1092</v>
      </c>
      <c r="O485" s="80">
        <f t="shared" si="109"/>
        <v>1873</v>
      </c>
      <c r="P485" s="80">
        <f>VLOOKUP(B485,'116+240'!$B$15:$AB$682,14,FALSE)</f>
        <v>-2127</v>
      </c>
      <c r="Q485" s="89">
        <f>'116+240'!R486</f>
        <v>27</v>
      </c>
      <c r="R485" s="83">
        <f t="shared" si="110"/>
        <v>2047</v>
      </c>
      <c r="S485" s="82">
        <f>VLOOKUP(B485,'116+240'!$B$14:$AB$682,22,FALSE)</f>
        <v>5292</v>
      </c>
      <c r="T485" s="81">
        <f>VLOOKUP(B485,'116+240'!$B$15:$AB$682,6,FALSE)</f>
        <v>653</v>
      </c>
      <c r="U485" s="80">
        <f t="shared" si="111"/>
        <v>2312</v>
      </c>
      <c r="V485" s="79">
        <f>VLOOKUP(B485,'116+240'!$B$15:$AB$682,15,FALSE)</f>
        <v>-1688</v>
      </c>
      <c r="W485" s="89">
        <f>'116+240'!S486</f>
        <v>12</v>
      </c>
      <c r="X485" s="83">
        <f t="shared" si="112"/>
        <v>1658</v>
      </c>
      <c r="Y485" s="78">
        <f t="shared" si="113"/>
        <v>-12</v>
      </c>
      <c r="Z485" s="77">
        <f t="shared" si="102"/>
        <v>0</v>
      </c>
      <c r="AA485" s="76">
        <f t="shared" si="114"/>
        <v>6.8770000000000007</v>
      </c>
      <c r="AB485" s="76">
        <f t="shared" si="115"/>
        <v>2.9359999999999999</v>
      </c>
    </row>
    <row r="486" spans="2:28">
      <c r="B486" s="90">
        <f>'116+240'!B487</f>
        <v>45828</v>
      </c>
      <c r="C486" s="87">
        <f t="shared" si="96"/>
        <v>7</v>
      </c>
      <c r="D486" s="86">
        <f t="shared" si="105"/>
        <v>844</v>
      </c>
      <c r="E486" s="85">
        <f>VLOOKUP(B486,'116+240'!B487:AB487,3,FALSE)</f>
        <v>2123</v>
      </c>
      <c r="F486" s="81">
        <f t="shared" si="106"/>
        <v>2967</v>
      </c>
      <c r="G486" s="84">
        <f>VLOOKUP(B486,'116+240'!$B$15:$AB$682,20,FALSE)</f>
        <v>5117</v>
      </c>
      <c r="H486" s="84">
        <f>VLOOKUP(B486,'116+240'!$B$15:$AB$682,4,FALSE)</f>
        <v>760</v>
      </c>
      <c r="I486" s="80">
        <f t="shared" si="107"/>
        <v>2207</v>
      </c>
      <c r="J486" s="80">
        <f>VLOOKUP(B486,'116+240'!$B$15:$AB$682,13,FALSE)</f>
        <v>-1793</v>
      </c>
      <c r="K486" s="89">
        <f>'116+240'!Q487</f>
        <v>12</v>
      </c>
      <c r="L486" s="83">
        <f t="shared" si="108"/>
        <v>1833</v>
      </c>
      <c r="M486" s="82">
        <f>VLOOKUP(B486,'116+240'!$B$14:$AB$682,21,FALSE)</f>
        <v>4879</v>
      </c>
      <c r="N486" s="81">
        <f>VLOOKUP(B486,'116+240'!$B$15:$AB$682,5,FALSE)</f>
        <v>1118</v>
      </c>
      <c r="O486" s="80">
        <f t="shared" si="109"/>
        <v>1849</v>
      </c>
      <c r="P486" s="80">
        <f>VLOOKUP(B486,'116+240'!$B$15:$AB$682,14,FALSE)</f>
        <v>-2151</v>
      </c>
      <c r="Q486" s="89">
        <f>'116+240'!R487</f>
        <v>24</v>
      </c>
      <c r="R486" s="83">
        <f t="shared" si="110"/>
        <v>2071</v>
      </c>
      <c r="S486" s="82">
        <f>VLOOKUP(B486,'116+240'!$B$14:$AB$682,22,FALSE)</f>
        <v>5281</v>
      </c>
      <c r="T486" s="81">
        <f>VLOOKUP(B486,'116+240'!$B$15:$AB$682,6,FALSE)</f>
        <v>666</v>
      </c>
      <c r="U486" s="80">
        <f t="shared" si="111"/>
        <v>2301</v>
      </c>
      <c r="V486" s="79">
        <f>VLOOKUP(B486,'116+240'!$B$15:$AB$682,15,FALSE)</f>
        <v>-1699</v>
      </c>
      <c r="W486" s="89">
        <f>'116+240'!S487</f>
        <v>11</v>
      </c>
      <c r="X486" s="83">
        <f t="shared" si="112"/>
        <v>1669</v>
      </c>
      <c r="Y486" s="78">
        <f t="shared" si="113"/>
        <v>-11</v>
      </c>
      <c r="Z486" s="77">
        <f t="shared" si="102"/>
        <v>0</v>
      </c>
      <c r="AA486" s="76">
        <f t="shared" si="114"/>
        <v>6.8770000000000007</v>
      </c>
      <c r="AB486" s="76">
        <f t="shared" si="115"/>
        <v>2.8879999999999999</v>
      </c>
    </row>
    <row r="487" spans="2:28">
      <c r="B487" s="90">
        <f>'116+240'!B488</f>
        <v>45835</v>
      </c>
      <c r="C487" s="87">
        <f t="shared" si="96"/>
        <v>7</v>
      </c>
      <c r="D487" s="86">
        <f t="shared" si="105"/>
        <v>844</v>
      </c>
      <c r="E487" s="85">
        <f>VLOOKUP(B487,'116+240'!B488:AB488,3,FALSE)</f>
        <v>2125</v>
      </c>
      <c r="F487" s="81">
        <f t="shared" si="106"/>
        <v>2969</v>
      </c>
      <c r="G487" s="84">
        <f>VLOOKUP(B487,'116+240'!$B$15:$AB$682,20,FALSE)</f>
        <v>5105</v>
      </c>
      <c r="H487" s="84">
        <f>VLOOKUP(B487,'116+240'!$B$15:$AB$682,4,FALSE)</f>
        <v>774</v>
      </c>
      <c r="I487" s="80">
        <f t="shared" si="107"/>
        <v>2195</v>
      </c>
      <c r="J487" s="80">
        <f>VLOOKUP(B487,'116+240'!$B$15:$AB$682,13,FALSE)</f>
        <v>-1805</v>
      </c>
      <c r="K487" s="89">
        <f>'116+240'!Q488</f>
        <v>12</v>
      </c>
      <c r="L487" s="83">
        <f t="shared" si="108"/>
        <v>1845</v>
      </c>
      <c r="M487" s="82">
        <f>VLOOKUP(B487,'116+240'!$B$14:$AB$682,21,FALSE)</f>
        <v>4854</v>
      </c>
      <c r="N487" s="81">
        <f>VLOOKUP(B487,'116+240'!$B$15:$AB$682,5,FALSE)</f>
        <v>1145</v>
      </c>
      <c r="O487" s="80">
        <f t="shared" si="109"/>
        <v>1824</v>
      </c>
      <c r="P487" s="80">
        <f>VLOOKUP(B487,'116+240'!$B$15:$AB$682,14,FALSE)</f>
        <v>-2176</v>
      </c>
      <c r="Q487" s="89">
        <f>'116+240'!R488</f>
        <v>25</v>
      </c>
      <c r="R487" s="83">
        <f t="shared" si="110"/>
        <v>2096</v>
      </c>
      <c r="S487" s="82">
        <f>VLOOKUP(B487,'116+240'!$B$14:$AB$682,22,FALSE)</f>
        <v>5269</v>
      </c>
      <c r="T487" s="81">
        <f>VLOOKUP(B487,'116+240'!$B$15:$AB$682,6,FALSE)</f>
        <v>680</v>
      </c>
      <c r="U487" s="80">
        <f t="shared" si="111"/>
        <v>2289</v>
      </c>
      <c r="V487" s="79">
        <f>VLOOKUP(B487,'116+240'!$B$15:$AB$682,15,FALSE)</f>
        <v>-1711</v>
      </c>
      <c r="W487" s="89">
        <f>'116+240'!S488</f>
        <v>12</v>
      </c>
      <c r="X487" s="83">
        <f t="shared" si="112"/>
        <v>1681</v>
      </c>
      <c r="Y487" s="78">
        <f t="shared" si="113"/>
        <v>-12</v>
      </c>
      <c r="Z487" s="77">
        <f t="shared" si="102"/>
        <v>0</v>
      </c>
      <c r="AA487" s="76">
        <f t="shared" si="114"/>
        <v>6.8770000000000007</v>
      </c>
      <c r="AB487" s="76">
        <f t="shared" si="115"/>
        <v>2.8380000000000001</v>
      </c>
    </row>
    <row r="488" spans="2:28">
      <c r="B488" s="90">
        <f>'116+240'!B489</f>
        <v>45842</v>
      </c>
      <c r="C488" s="87">
        <f t="shared" si="96"/>
        <v>7</v>
      </c>
      <c r="D488" s="86">
        <f t="shared" si="105"/>
        <v>844</v>
      </c>
      <c r="E488" s="85">
        <f>VLOOKUP(B488,'116+240'!B489:AB489,3,FALSE)</f>
        <v>2127</v>
      </c>
      <c r="F488" s="81">
        <f t="shared" si="106"/>
        <v>2971</v>
      </c>
      <c r="G488" s="84">
        <f>VLOOKUP(B488,'116+240'!$B$15:$AB$682,20,FALSE)</f>
        <v>5094</v>
      </c>
      <c r="H488" s="84">
        <f>VLOOKUP(B488,'116+240'!$B$15:$AB$682,4,FALSE)</f>
        <v>787</v>
      </c>
      <c r="I488" s="80">
        <f t="shared" si="107"/>
        <v>2184</v>
      </c>
      <c r="J488" s="80">
        <f>VLOOKUP(B488,'116+240'!$B$15:$AB$682,13,FALSE)</f>
        <v>-1816</v>
      </c>
      <c r="K488" s="89">
        <f>'116+240'!Q489</f>
        <v>11</v>
      </c>
      <c r="L488" s="83">
        <f t="shared" si="108"/>
        <v>1856</v>
      </c>
      <c r="M488" s="82">
        <f>VLOOKUP(B488,'116+240'!$B$14:$AB$682,21,FALSE)</f>
        <v>4830</v>
      </c>
      <c r="N488" s="81">
        <f>VLOOKUP(B488,'116+240'!$B$15:$AB$682,5,FALSE)</f>
        <v>1171</v>
      </c>
      <c r="O488" s="80">
        <f t="shared" si="109"/>
        <v>1800</v>
      </c>
      <c r="P488" s="80">
        <f>VLOOKUP(B488,'116+240'!$B$15:$AB$682,14,FALSE)</f>
        <v>-2200</v>
      </c>
      <c r="Q488" s="89">
        <f>'116+240'!R489</f>
        <v>24</v>
      </c>
      <c r="R488" s="83">
        <f t="shared" si="110"/>
        <v>2120</v>
      </c>
      <c r="S488" s="82">
        <f>VLOOKUP(B488,'116+240'!$B$14:$AB$682,22,FALSE)</f>
        <v>5258</v>
      </c>
      <c r="T488" s="81">
        <f>VLOOKUP(B488,'116+240'!$B$15:$AB$682,6,FALSE)</f>
        <v>693</v>
      </c>
      <c r="U488" s="80">
        <f t="shared" si="111"/>
        <v>2278</v>
      </c>
      <c r="V488" s="79">
        <f>VLOOKUP(B488,'116+240'!$B$15:$AB$682,15,FALSE)</f>
        <v>-1722</v>
      </c>
      <c r="W488" s="89">
        <f>'116+240'!S489</f>
        <v>11</v>
      </c>
      <c r="X488" s="83">
        <f t="shared" si="112"/>
        <v>1692</v>
      </c>
      <c r="Y488" s="78">
        <f t="shared" si="113"/>
        <v>-11</v>
      </c>
      <c r="Z488" s="77">
        <f t="shared" si="102"/>
        <v>0</v>
      </c>
      <c r="AA488" s="76">
        <f t="shared" si="114"/>
        <v>6.8770000000000007</v>
      </c>
      <c r="AB488" s="76">
        <f t="shared" si="115"/>
        <v>2.79</v>
      </c>
    </row>
    <row r="489" spans="2:28">
      <c r="B489" s="90">
        <f>'116+240'!B490</f>
        <v>45849</v>
      </c>
      <c r="C489" s="87">
        <f t="shared" si="96"/>
        <v>7</v>
      </c>
      <c r="D489" s="86">
        <f t="shared" si="105"/>
        <v>844</v>
      </c>
      <c r="E489" s="85">
        <f>VLOOKUP(B489,'116+240'!B490:AB490,3,FALSE)</f>
        <v>2129</v>
      </c>
      <c r="F489" s="81">
        <f t="shared" si="106"/>
        <v>2973</v>
      </c>
      <c r="G489" s="84">
        <f>VLOOKUP(B489,'116+240'!$B$15:$AB$682,20,FALSE)</f>
        <v>5084</v>
      </c>
      <c r="H489" s="84">
        <f>VLOOKUP(B489,'116+240'!$B$15:$AB$682,4,FALSE)</f>
        <v>799</v>
      </c>
      <c r="I489" s="80">
        <f t="shared" si="107"/>
        <v>2174</v>
      </c>
      <c r="J489" s="80">
        <f>VLOOKUP(B489,'116+240'!$B$15:$AB$682,13,FALSE)</f>
        <v>-1826</v>
      </c>
      <c r="K489" s="89">
        <f>'116+240'!Q490</f>
        <v>10</v>
      </c>
      <c r="L489" s="83">
        <f t="shared" si="108"/>
        <v>1866</v>
      </c>
      <c r="M489" s="82">
        <f>VLOOKUP(B489,'116+240'!$B$14:$AB$682,21,FALSE)</f>
        <v>4804</v>
      </c>
      <c r="N489" s="81">
        <f>VLOOKUP(B489,'116+240'!$B$15:$AB$682,5,FALSE)</f>
        <v>1199</v>
      </c>
      <c r="O489" s="80">
        <f t="shared" si="109"/>
        <v>1774</v>
      </c>
      <c r="P489" s="80">
        <f>VLOOKUP(B489,'116+240'!$B$15:$AB$682,14,FALSE)</f>
        <v>-2226</v>
      </c>
      <c r="Q489" s="89">
        <f>'116+240'!R490</f>
        <v>26</v>
      </c>
      <c r="R489" s="83">
        <f t="shared" si="110"/>
        <v>2146</v>
      </c>
      <c r="S489" s="82">
        <f>VLOOKUP(B489,'116+240'!$B$14:$AB$682,22,FALSE)</f>
        <v>5247</v>
      </c>
      <c r="T489" s="81">
        <f>VLOOKUP(B489,'116+240'!$B$15:$AB$682,6,FALSE)</f>
        <v>706</v>
      </c>
      <c r="U489" s="80">
        <f t="shared" si="111"/>
        <v>2267</v>
      </c>
      <c r="V489" s="79">
        <f>VLOOKUP(B489,'116+240'!$B$15:$AB$682,15,FALSE)</f>
        <v>-1733</v>
      </c>
      <c r="W489" s="89">
        <f>'116+240'!S490</f>
        <v>11</v>
      </c>
      <c r="X489" s="83">
        <f t="shared" si="112"/>
        <v>1703</v>
      </c>
      <c r="Y489" s="78">
        <f t="shared" si="113"/>
        <v>-11</v>
      </c>
      <c r="Z489" s="77">
        <f t="shared" si="102"/>
        <v>0</v>
      </c>
      <c r="AA489" s="76">
        <f t="shared" si="114"/>
        <v>6.8770000000000007</v>
      </c>
      <c r="AB489" s="76">
        <f t="shared" si="115"/>
        <v>2.738</v>
      </c>
    </row>
    <row r="490" spans="2:28">
      <c r="B490" s="90">
        <f>'116+240'!B491</f>
        <v>45856</v>
      </c>
      <c r="C490" s="87">
        <f t="shared" si="96"/>
        <v>7</v>
      </c>
      <c r="D490" s="86">
        <f t="shared" si="105"/>
        <v>844</v>
      </c>
      <c r="E490" s="85">
        <f>VLOOKUP(B490,'116+240'!B491:AB491,3,FALSE)</f>
        <v>2131</v>
      </c>
      <c r="F490" s="81">
        <f t="shared" si="106"/>
        <v>2975</v>
      </c>
      <c r="G490" s="84">
        <f>VLOOKUP(B490,'116+240'!$B$15:$AB$682,20,FALSE)</f>
        <v>5074</v>
      </c>
      <c r="H490" s="84">
        <f>VLOOKUP(B490,'116+240'!$B$15:$AB$682,4,FALSE)</f>
        <v>811</v>
      </c>
      <c r="I490" s="80">
        <f t="shared" si="107"/>
        <v>2164</v>
      </c>
      <c r="J490" s="80">
        <f>VLOOKUP(B490,'116+240'!$B$15:$AB$682,13,FALSE)</f>
        <v>-1836</v>
      </c>
      <c r="K490" s="89">
        <f>'116+240'!Q491</f>
        <v>10</v>
      </c>
      <c r="L490" s="83">
        <f t="shared" si="108"/>
        <v>1876</v>
      </c>
      <c r="M490" s="82">
        <f>VLOOKUP(B490,'116+240'!$B$14:$AB$682,21,FALSE)</f>
        <v>4780</v>
      </c>
      <c r="N490" s="81">
        <f>VLOOKUP(B490,'116+240'!$B$15:$AB$682,5,FALSE)</f>
        <v>1225</v>
      </c>
      <c r="O490" s="80">
        <f t="shared" si="109"/>
        <v>1750</v>
      </c>
      <c r="P490" s="80">
        <f>VLOOKUP(B490,'116+240'!$B$15:$AB$682,14,FALSE)</f>
        <v>-2250</v>
      </c>
      <c r="Q490" s="89">
        <f>'116+240'!R491</f>
        <v>24</v>
      </c>
      <c r="R490" s="83">
        <f t="shared" si="110"/>
        <v>2170</v>
      </c>
      <c r="S490" s="82">
        <f>VLOOKUP(B490,'116+240'!$B$14:$AB$682,22,FALSE)</f>
        <v>5237</v>
      </c>
      <c r="T490" s="81">
        <f>VLOOKUP(B490,'116+240'!$B$15:$AB$682,6,FALSE)</f>
        <v>718</v>
      </c>
      <c r="U490" s="80">
        <f t="shared" si="111"/>
        <v>2257</v>
      </c>
      <c r="V490" s="79">
        <f>VLOOKUP(B490,'116+240'!$B$15:$AB$682,15,FALSE)</f>
        <v>-1743</v>
      </c>
      <c r="W490" s="89">
        <f>'116+240'!S491</f>
        <v>10</v>
      </c>
      <c r="X490" s="83">
        <f t="shared" si="112"/>
        <v>1713</v>
      </c>
      <c r="Y490" s="78">
        <f t="shared" si="113"/>
        <v>-10</v>
      </c>
      <c r="Z490" s="77">
        <f t="shared" si="102"/>
        <v>0</v>
      </c>
      <c r="AA490" s="76">
        <f t="shared" si="114"/>
        <v>6.8770000000000007</v>
      </c>
      <c r="AB490" s="76">
        <f t="shared" si="115"/>
        <v>2.69</v>
      </c>
    </row>
    <row r="491" spans="2:28">
      <c r="B491" s="90">
        <f>'116+240'!B492</f>
        <v>45863</v>
      </c>
      <c r="C491" s="87">
        <f t="shared" si="96"/>
        <v>7</v>
      </c>
      <c r="D491" s="86">
        <f t="shared" si="105"/>
        <v>844</v>
      </c>
      <c r="E491" s="85">
        <f>VLOOKUP(B491,'116+240'!B492:AB492,3,FALSE)</f>
        <v>2133</v>
      </c>
      <c r="F491" s="81">
        <f t="shared" si="106"/>
        <v>2977</v>
      </c>
      <c r="G491" s="84">
        <f>VLOOKUP(B491,'116+240'!$B$15:$AB$682,20,FALSE)</f>
        <v>5065</v>
      </c>
      <c r="H491" s="84">
        <f>VLOOKUP(B491,'116+240'!$B$15:$AB$682,4,FALSE)</f>
        <v>822</v>
      </c>
      <c r="I491" s="80">
        <f t="shared" si="107"/>
        <v>2155</v>
      </c>
      <c r="J491" s="80">
        <f>VLOOKUP(B491,'116+240'!$B$15:$AB$682,13,FALSE)</f>
        <v>-1845</v>
      </c>
      <c r="K491" s="89">
        <f>'116+240'!Q492</f>
        <v>9</v>
      </c>
      <c r="L491" s="83">
        <f t="shared" si="108"/>
        <v>1885</v>
      </c>
      <c r="M491" s="82">
        <f>VLOOKUP(B491,'116+240'!$B$14:$AB$682,21,FALSE)</f>
        <v>4757</v>
      </c>
      <c r="N491" s="81">
        <f>VLOOKUP(B491,'116+240'!$B$15:$AB$682,5,FALSE)</f>
        <v>1250</v>
      </c>
      <c r="O491" s="80">
        <f t="shared" si="109"/>
        <v>1727</v>
      </c>
      <c r="P491" s="80">
        <f>VLOOKUP(B491,'116+240'!$B$15:$AB$682,14,FALSE)</f>
        <v>-2273</v>
      </c>
      <c r="Q491" s="89">
        <f>'116+240'!R492</f>
        <v>23</v>
      </c>
      <c r="R491" s="83">
        <f t="shared" si="110"/>
        <v>2193</v>
      </c>
      <c r="S491" s="82">
        <f>VLOOKUP(B491,'116+240'!$B$14:$AB$682,22,FALSE)</f>
        <v>5228</v>
      </c>
      <c r="T491" s="81">
        <f>VLOOKUP(B491,'116+240'!$B$15:$AB$682,6,FALSE)</f>
        <v>729</v>
      </c>
      <c r="U491" s="80">
        <f t="shared" si="111"/>
        <v>2248</v>
      </c>
      <c r="V491" s="79">
        <f>VLOOKUP(B491,'116+240'!$B$15:$AB$682,15,FALSE)</f>
        <v>-1752</v>
      </c>
      <c r="W491" s="89">
        <f>'116+240'!S492</f>
        <v>9</v>
      </c>
      <c r="X491" s="83">
        <f t="shared" si="112"/>
        <v>1722</v>
      </c>
      <c r="Y491" s="78">
        <f t="shared" si="113"/>
        <v>-9</v>
      </c>
      <c r="Z491" s="77">
        <f t="shared" si="102"/>
        <v>0</v>
      </c>
      <c r="AA491" s="76">
        <f t="shared" si="114"/>
        <v>6.8770000000000007</v>
      </c>
      <c r="AB491" s="76">
        <f t="shared" si="115"/>
        <v>2.6440000000000001</v>
      </c>
    </row>
    <row r="492" spans="2:28">
      <c r="B492" s="90">
        <f>'116+240'!B493</f>
        <v>0</v>
      </c>
      <c r="C492" s="87">
        <f t="shared" si="96"/>
        <v>-45863</v>
      </c>
      <c r="D492" s="86">
        <f t="shared" si="105"/>
        <v>844</v>
      </c>
      <c r="E492" s="85" t="e">
        <f>VLOOKUP(B492,'116+240'!B493:AB493,3,FALSE)</f>
        <v>#N/A</v>
      </c>
      <c r="F492" s="81" t="e">
        <f t="shared" si="106"/>
        <v>#N/A</v>
      </c>
      <c r="G492" s="84" t="e">
        <f>VLOOKUP(B492,'116+240'!$B$15:$AB$682,20,FALSE)</f>
        <v>#N/A</v>
      </c>
      <c r="H492" s="84" t="e">
        <f>VLOOKUP(B492,'116+240'!$B$15:$AB$682,4,FALSE)</f>
        <v>#N/A</v>
      </c>
      <c r="I492" s="80" t="e">
        <f t="shared" si="107"/>
        <v>#N/A</v>
      </c>
      <c r="J492" s="80" t="e">
        <f>VLOOKUP(B492,'116+240'!$B$15:$AB$682,13,FALSE)</f>
        <v>#N/A</v>
      </c>
      <c r="K492" s="89">
        <f>'116+240'!Q493</f>
        <v>0</v>
      </c>
      <c r="L492" s="83">
        <f t="shared" si="108"/>
        <v>1885</v>
      </c>
      <c r="M492" s="82" t="e">
        <f>VLOOKUP(B492,'116+240'!$B$14:$AB$682,21,FALSE)</f>
        <v>#N/A</v>
      </c>
      <c r="N492" s="81" t="e">
        <f>VLOOKUP(B492,'116+240'!$B$15:$AB$682,5,FALSE)</f>
        <v>#N/A</v>
      </c>
      <c r="O492" s="80" t="e">
        <f t="shared" si="109"/>
        <v>#N/A</v>
      </c>
      <c r="P492" s="80" t="e">
        <f>VLOOKUP(B492,'116+240'!$B$15:$AB$682,14,FALSE)</f>
        <v>#N/A</v>
      </c>
      <c r="Q492" s="89">
        <f>'116+240'!R493</f>
        <v>0</v>
      </c>
      <c r="R492" s="83">
        <f t="shared" si="110"/>
        <v>2193</v>
      </c>
      <c r="S492" s="82" t="e">
        <f>VLOOKUP(B492,'116+240'!$B$14:$AB$682,22,FALSE)</f>
        <v>#N/A</v>
      </c>
      <c r="T492" s="81" t="e">
        <f>VLOOKUP(B492,'116+240'!$B$15:$AB$682,6,FALSE)</f>
        <v>#N/A</v>
      </c>
      <c r="U492" s="80" t="e">
        <f t="shared" si="111"/>
        <v>#N/A</v>
      </c>
      <c r="V492" s="79" t="e">
        <f>VLOOKUP(B492,'116+240'!$B$15:$AB$682,15,FALSE)</f>
        <v>#N/A</v>
      </c>
      <c r="W492" s="89">
        <f>'116+240'!S493</f>
        <v>0</v>
      </c>
      <c r="X492" s="83">
        <f t="shared" si="112"/>
        <v>1722</v>
      </c>
      <c r="Y492" s="78" t="e">
        <f t="shared" si="113"/>
        <v>#N/A</v>
      </c>
      <c r="Z492" s="77" t="e">
        <f t="shared" si="102"/>
        <v>#N/A</v>
      </c>
      <c r="AA492" s="76" t="e">
        <f t="shared" si="114"/>
        <v>#N/A</v>
      </c>
      <c r="AB492" s="76" t="e">
        <f t="shared" si="115"/>
        <v>#N/A</v>
      </c>
    </row>
    <row r="493" spans="2:28">
      <c r="B493" s="90">
        <f>'116+240'!B494</f>
        <v>0</v>
      </c>
      <c r="C493" s="87">
        <f t="shared" si="96"/>
        <v>0</v>
      </c>
      <c r="D493" s="86">
        <f t="shared" si="105"/>
        <v>844</v>
      </c>
      <c r="E493" s="85" t="e">
        <f>VLOOKUP(B493,'116+240'!B494:AB494,3,FALSE)</f>
        <v>#N/A</v>
      </c>
      <c r="F493" s="81" t="e">
        <f t="shared" si="106"/>
        <v>#N/A</v>
      </c>
      <c r="G493" s="84" t="e">
        <f>VLOOKUP(B493,'116+240'!$B$15:$AB$682,20,FALSE)</f>
        <v>#N/A</v>
      </c>
      <c r="H493" s="84" t="e">
        <f>VLOOKUP(B493,'116+240'!$B$15:$AB$682,4,FALSE)</f>
        <v>#N/A</v>
      </c>
      <c r="I493" s="80" t="e">
        <f t="shared" si="107"/>
        <v>#N/A</v>
      </c>
      <c r="J493" s="80" t="e">
        <f>VLOOKUP(B493,'116+240'!$B$15:$AB$682,13,FALSE)</f>
        <v>#N/A</v>
      </c>
      <c r="K493" s="89">
        <f>'116+240'!Q494</f>
        <v>0</v>
      </c>
      <c r="L493" s="83">
        <f t="shared" si="108"/>
        <v>1885</v>
      </c>
      <c r="M493" s="82" t="e">
        <f>VLOOKUP(B493,'116+240'!$B$14:$AB$682,21,FALSE)</f>
        <v>#N/A</v>
      </c>
      <c r="N493" s="81" t="e">
        <f>VLOOKUP(B493,'116+240'!$B$15:$AB$682,5,FALSE)</f>
        <v>#N/A</v>
      </c>
      <c r="O493" s="80" t="e">
        <f t="shared" si="109"/>
        <v>#N/A</v>
      </c>
      <c r="P493" s="80" t="e">
        <f>VLOOKUP(B493,'116+240'!$B$15:$AB$682,14,FALSE)</f>
        <v>#N/A</v>
      </c>
      <c r="Q493" s="89">
        <f>'116+240'!R494</f>
        <v>0</v>
      </c>
      <c r="R493" s="83">
        <f t="shared" si="110"/>
        <v>2193</v>
      </c>
      <c r="S493" s="82" t="e">
        <f>VLOOKUP(B493,'116+240'!$B$14:$AB$682,22,FALSE)</f>
        <v>#N/A</v>
      </c>
      <c r="T493" s="81" t="e">
        <f>VLOOKUP(B493,'116+240'!$B$15:$AB$682,6,FALSE)</f>
        <v>#N/A</v>
      </c>
      <c r="U493" s="80" t="e">
        <f t="shared" si="111"/>
        <v>#N/A</v>
      </c>
      <c r="V493" s="79" t="e">
        <f>VLOOKUP(B493,'116+240'!$B$15:$AB$682,15,FALSE)</f>
        <v>#N/A</v>
      </c>
      <c r="W493" s="89">
        <f>'116+240'!S494</f>
        <v>0</v>
      </c>
      <c r="X493" s="83">
        <f t="shared" si="112"/>
        <v>1722</v>
      </c>
      <c r="Y493" s="78" t="e">
        <f t="shared" si="113"/>
        <v>#N/A</v>
      </c>
      <c r="Z493" s="77" t="e">
        <f t="shared" si="102"/>
        <v>#N/A</v>
      </c>
      <c r="AA493" s="76" t="e">
        <f t="shared" si="114"/>
        <v>#N/A</v>
      </c>
      <c r="AB493" s="76" t="e">
        <f t="shared" si="115"/>
        <v>#N/A</v>
      </c>
    </row>
    <row r="494" spans="2:28">
      <c r="B494" s="90">
        <f>'116+240'!B495</f>
        <v>0</v>
      </c>
      <c r="C494" s="87">
        <f t="shared" si="96"/>
        <v>0</v>
      </c>
      <c r="D494" s="86">
        <f t="shared" si="105"/>
        <v>844</v>
      </c>
      <c r="E494" s="85" t="e">
        <f>VLOOKUP(B494,'116+240'!B495:AB495,3,FALSE)</f>
        <v>#N/A</v>
      </c>
      <c r="F494" s="81" t="e">
        <f t="shared" si="106"/>
        <v>#N/A</v>
      </c>
      <c r="G494" s="84" t="e">
        <f>VLOOKUP(B494,'116+240'!$B$15:$AB$682,20,FALSE)</f>
        <v>#N/A</v>
      </c>
      <c r="H494" s="84" t="e">
        <f>VLOOKUP(B494,'116+240'!$B$15:$AB$682,4,FALSE)</f>
        <v>#N/A</v>
      </c>
      <c r="I494" s="80" t="e">
        <f t="shared" si="107"/>
        <v>#N/A</v>
      </c>
      <c r="J494" s="80" t="e">
        <f>VLOOKUP(B494,'116+240'!$B$15:$AB$682,13,FALSE)</f>
        <v>#N/A</v>
      </c>
      <c r="K494" s="89">
        <f>'116+240'!Q495</f>
        <v>0</v>
      </c>
      <c r="L494" s="83">
        <f t="shared" si="108"/>
        <v>1885</v>
      </c>
      <c r="M494" s="82" t="e">
        <f>VLOOKUP(B494,'116+240'!$B$14:$AB$682,21,FALSE)</f>
        <v>#N/A</v>
      </c>
      <c r="N494" s="81" t="e">
        <f>VLOOKUP(B494,'116+240'!$B$15:$AB$682,5,FALSE)</f>
        <v>#N/A</v>
      </c>
      <c r="O494" s="80" t="e">
        <f t="shared" si="109"/>
        <v>#N/A</v>
      </c>
      <c r="P494" s="80" t="e">
        <f>VLOOKUP(B494,'116+240'!$B$15:$AB$682,14,FALSE)</f>
        <v>#N/A</v>
      </c>
      <c r="Q494" s="89">
        <f>'116+240'!R495</f>
        <v>0</v>
      </c>
      <c r="R494" s="83">
        <f t="shared" si="110"/>
        <v>2193</v>
      </c>
      <c r="S494" s="82" t="e">
        <f>VLOOKUP(B494,'116+240'!$B$14:$AB$682,22,FALSE)</f>
        <v>#N/A</v>
      </c>
      <c r="T494" s="81" t="e">
        <f>VLOOKUP(B494,'116+240'!$B$15:$AB$682,6,FALSE)</f>
        <v>#N/A</v>
      </c>
      <c r="U494" s="80" t="e">
        <f t="shared" si="111"/>
        <v>#N/A</v>
      </c>
      <c r="V494" s="79" t="e">
        <f>VLOOKUP(B494,'116+240'!$B$15:$AB$682,15,FALSE)</f>
        <v>#N/A</v>
      </c>
      <c r="W494" s="89">
        <f>'116+240'!S495</f>
        <v>0</v>
      </c>
      <c r="X494" s="83">
        <f t="shared" si="112"/>
        <v>1722</v>
      </c>
      <c r="Y494" s="78" t="e">
        <f t="shared" si="113"/>
        <v>#N/A</v>
      </c>
      <c r="Z494" s="77" t="e">
        <f t="shared" si="102"/>
        <v>#N/A</v>
      </c>
      <c r="AA494" s="76" t="e">
        <f t="shared" si="114"/>
        <v>#N/A</v>
      </c>
      <c r="AB494" s="76" t="e">
        <f t="shared" si="115"/>
        <v>#N/A</v>
      </c>
    </row>
    <row r="495" spans="2:28">
      <c r="B495" s="90">
        <f>'116+240'!B496</f>
        <v>0</v>
      </c>
      <c r="C495" s="87">
        <f t="shared" si="96"/>
        <v>0</v>
      </c>
      <c r="D495" s="86">
        <f t="shared" si="105"/>
        <v>844</v>
      </c>
      <c r="E495" s="85" t="e">
        <f>VLOOKUP(B495,'116+240'!B496:AB496,3,FALSE)</f>
        <v>#N/A</v>
      </c>
      <c r="F495" s="81" t="e">
        <f t="shared" si="106"/>
        <v>#N/A</v>
      </c>
      <c r="G495" s="84" t="e">
        <f>VLOOKUP(B495,'116+240'!$B$15:$AB$682,20,FALSE)</f>
        <v>#N/A</v>
      </c>
      <c r="H495" s="84" t="e">
        <f>VLOOKUP(B495,'116+240'!$B$15:$AB$682,4,FALSE)</f>
        <v>#N/A</v>
      </c>
      <c r="I495" s="80" t="e">
        <f t="shared" si="107"/>
        <v>#N/A</v>
      </c>
      <c r="J495" s="80" t="e">
        <f>VLOOKUP(B495,'116+240'!$B$15:$AB$682,13,FALSE)</f>
        <v>#N/A</v>
      </c>
      <c r="K495" s="89">
        <f>'116+240'!Q496</f>
        <v>0</v>
      </c>
      <c r="L495" s="83">
        <f t="shared" si="108"/>
        <v>1885</v>
      </c>
      <c r="M495" s="82" t="e">
        <f>VLOOKUP(B495,'116+240'!$B$14:$AB$682,21,FALSE)</f>
        <v>#N/A</v>
      </c>
      <c r="N495" s="81" t="e">
        <f>VLOOKUP(B495,'116+240'!$B$15:$AB$682,5,FALSE)</f>
        <v>#N/A</v>
      </c>
      <c r="O495" s="80" t="e">
        <f t="shared" si="109"/>
        <v>#N/A</v>
      </c>
      <c r="P495" s="80" t="e">
        <f>VLOOKUP(B495,'116+240'!$B$15:$AB$682,14,FALSE)</f>
        <v>#N/A</v>
      </c>
      <c r="Q495" s="89">
        <f>'116+240'!R496</f>
        <v>0</v>
      </c>
      <c r="R495" s="83">
        <f t="shared" si="110"/>
        <v>2193</v>
      </c>
      <c r="S495" s="82" t="e">
        <f>VLOOKUP(B495,'116+240'!$B$14:$AB$682,22,FALSE)</f>
        <v>#N/A</v>
      </c>
      <c r="T495" s="81" t="e">
        <f>VLOOKUP(B495,'116+240'!$B$15:$AB$682,6,FALSE)</f>
        <v>#N/A</v>
      </c>
      <c r="U495" s="80" t="e">
        <f t="shared" si="111"/>
        <v>#N/A</v>
      </c>
      <c r="V495" s="79" t="e">
        <f>VLOOKUP(B495,'116+240'!$B$15:$AB$682,15,FALSE)</f>
        <v>#N/A</v>
      </c>
      <c r="W495" s="89">
        <f>'116+240'!S496</f>
        <v>0</v>
      </c>
      <c r="X495" s="83">
        <f t="shared" si="112"/>
        <v>1722</v>
      </c>
      <c r="Y495" s="78" t="e">
        <f t="shared" si="113"/>
        <v>#N/A</v>
      </c>
      <c r="Z495" s="77" t="e">
        <f t="shared" si="102"/>
        <v>#N/A</v>
      </c>
      <c r="AA495" s="76" t="e">
        <f t="shared" si="114"/>
        <v>#N/A</v>
      </c>
      <c r="AB495" s="76" t="e">
        <f t="shared" si="115"/>
        <v>#N/A</v>
      </c>
    </row>
    <row r="496" spans="2:28">
      <c r="B496" s="90">
        <f>'116+240'!B497</f>
        <v>0</v>
      </c>
      <c r="C496" s="87">
        <f t="shared" si="96"/>
        <v>0</v>
      </c>
      <c r="D496" s="86">
        <f t="shared" si="105"/>
        <v>844</v>
      </c>
      <c r="E496" s="85" t="e">
        <f>VLOOKUP(B496,'116+240'!B497:AB497,3,FALSE)</f>
        <v>#N/A</v>
      </c>
      <c r="F496" s="81" t="e">
        <f t="shared" si="106"/>
        <v>#N/A</v>
      </c>
      <c r="G496" s="84" t="e">
        <f>VLOOKUP(B496,'116+240'!$B$15:$AB$682,20,FALSE)</f>
        <v>#N/A</v>
      </c>
      <c r="H496" s="84" t="e">
        <f>VLOOKUP(B496,'116+240'!$B$15:$AB$682,4,FALSE)</f>
        <v>#N/A</v>
      </c>
      <c r="I496" s="80" t="e">
        <f t="shared" si="107"/>
        <v>#N/A</v>
      </c>
      <c r="J496" s="80" t="e">
        <f>VLOOKUP(B496,'116+240'!$B$15:$AB$682,13,FALSE)</f>
        <v>#N/A</v>
      </c>
      <c r="K496" s="89">
        <f>'116+240'!Q497</f>
        <v>0</v>
      </c>
      <c r="L496" s="83">
        <f t="shared" si="108"/>
        <v>1885</v>
      </c>
      <c r="M496" s="82" t="e">
        <f>VLOOKUP(B496,'116+240'!$B$14:$AB$682,21,FALSE)</f>
        <v>#N/A</v>
      </c>
      <c r="N496" s="81" t="e">
        <f>VLOOKUP(B496,'116+240'!$B$15:$AB$682,5,FALSE)</f>
        <v>#N/A</v>
      </c>
      <c r="O496" s="80" t="e">
        <f t="shared" si="109"/>
        <v>#N/A</v>
      </c>
      <c r="P496" s="80" t="e">
        <f>VLOOKUP(B496,'116+240'!$B$15:$AB$682,14,FALSE)</f>
        <v>#N/A</v>
      </c>
      <c r="Q496" s="89">
        <f>'116+240'!R497</f>
        <v>0</v>
      </c>
      <c r="R496" s="83">
        <f t="shared" si="110"/>
        <v>2193</v>
      </c>
      <c r="S496" s="82" t="e">
        <f>VLOOKUP(B496,'116+240'!$B$14:$AB$682,22,FALSE)</f>
        <v>#N/A</v>
      </c>
      <c r="T496" s="81" t="e">
        <f>VLOOKUP(B496,'116+240'!$B$15:$AB$682,6,FALSE)</f>
        <v>#N/A</v>
      </c>
      <c r="U496" s="80" t="e">
        <f t="shared" si="111"/>
        <v>#N/A</v>
      </c>
      <c r="V496" s="79" t="e">
        <f>VLOOKUP(B496,'116+240'!$B$15:$AB$682,15,FALSE)</f>
        <v>#N/A</v>
      </c>
      <c r="W496" s="89">
        <f>'116+240'!S497</f>
        <v>0</v>
      </c>
      <c r="X496" s="83">
        <f t="shared" si="112"/>
        <v>1722</v>
      </c>
      <c r="Y496" s="78" t="e">
        <f t="shared" si="113"/>
        <v>#N/A</v>
      </c>
      <c r="Z496" s="77" t="e">
        <f t="shared" si="102"/>
        <v>#N/A</v>
      </c>
      <c r="AA496" s="76" t="e">
        <f t="shared" si="114"/>
        <v>#N/A</v>
      </c>
      <c r="AB496" s="76" t="e">
        <f t="shared" si="115"/>
        <v>#N/A</v>
      </c>
    </row>
    <row r="497" spans="2:28">
      <c r="B497" s="90">
        <f>'116+240'!B498</f>
        <v>0</v>
      </c>
      <c r="C497" s="87">
        <f t="shared" si="96"/>
        <v>0</v>
      </c>
      <c r="D497" s="86">
        <f t="shared" si="105"/>
        <v>844</v>
      </c>
      <c r="E497" s="85" t="e">
        <f>VLOOKUP(B497,'116+240'!B498:AB498,3,FALSE)</f>
        <v>#N/A</v>
      </c>
      <c r="F497" s="81" t="e">
        <f t="shared" si="106"/>
        <v>#N/A</v>
      </c>
      <c r="G497" s="84" t="e">
        <f>VLOOKUP(B497,'116+240'!$B$15:$AB$682,20,FALSE)</f>
        <v>#N/A</v>
      </c>
      <c r="H497" s="84" t="e">
        <f>VLOOKUP(B497,'116+240'!$B$15:$AB$682,4,FALSE)</f>
        <v>#N/A</v>
      </c>
      <c r="I497" s="80" t="e">
        <f t="shared" si="107"/>
        <v>#N/A</v>
      </c>
      <c r="J497" s="80" t="e">
        <f>VLOOKUP(B497,'116+240'!$B$15:$AB$682,13,FALSE)</f>
        <v>#N/A</v>
      </c>
      <c r="K497" s="89">
        <f>'116+240'!Q498</f>
        <v>0</v>
      </c>
      <c r="L497" s="83">
        <f t="shared" si="108"/>
        <v>1885</v>
      </c>
      <c r="M497" s="82" t="e">
        <f>VLOOKUP(B497,'116+240'!$B$14:$AB$682,21,FALSE)</f>
        <v>#N/A</v>
      </c>
      <c r="N497" s="81" t="e">
        <f>VLOOKUP(B497,'116+240'!$B$15:$AB$682,5,FALSE)</f>
        <v>#N/A</v>
      </c>
      <c r="O497" s="80" t="e">
        <f t="shared" si="109"/>
        <v>#N/A</v>
      </c>
      <c r="P497" s="80" t="e">
        <f>VLOOKUP(B497,'116+240'!$B$15:$AB$682,14,FALSE)</f>
        <v>#N/A</v>
      </c>
      <c r="Q497" s="89">
        <f>'116+240'!R498</f>
        <v>0</v>
      </c>
      <c r="R497" s="83">
        <f t="shared" si="110"/>
        <v>2193</v>
      </c>
      <c r="S497" s="82" t="e">
        <f>VLOOKUP(B497,'116+240'!$B$14:$AB$682,22,FALSE)</f>
        <v>#N/A</v>
      </c>
      <c r="T497" s="81" t="e">
        <f>VLOOKUP(B497,'116+240'!$B$15:$AB$682,6,FALSE)</f>
        <v>#N/A</v>
      </c>
      <c r="U497" s="80" t="e">
        <f t="shared" si="111"/>
        <v>#N/A</v>
      </c>
      <c r="V497" s="79" t="e">
        <f>VLOOKUP(B497,'116+240'!$B$15:$AB$682,15,FALSE)</f>
        <v>#N/A</v>
      </c>
      <c r="W497" s="89">
        <f>'116+240'!S498</f>
        <v>0</v>
      </c>
      <c r="X497" s="83">
        <f t="shared" si="112"/>
        <v>1722</v>
      </c>
      <c r="Y497" s="78" t="e">
        <f t="shared" si="113"/>
        <v>#N/A</v>
      </c>
      <c r="Z497" s="77" t="e">
        <f t="shared" si="102"/>
        <v>#N/A</v>
      </c>
      <c r="AA497" s="76" t="e">
        <f t="shared" si="114"/>
        <v>#N/A</v>
      </c>
      <c r="AB497" s="76" t="e">
        <f t="shared" si="115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B1:AB1"/>
    <mergeCell ref="B2:AB2"/>
    <mergeCell ref="B3:AB3"/>
    <mergeCell ref="B4:I4"/>
    <mergeCell ref="J4:S4"/>
    <mergeCell ref="T4:AB4"/>
    <mergeCell ref="S11:X11"/>
    <mergeCell ref="Y11:Y12"/>
    <mergeCell ref="B5:I5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438E-0622-4E2E-A039-3A907F409A34}">
  <sheetPr>
    <tabColor rgb="FFFFFF00"/>
  </sheetPr>
  <dimension ref="A1:AA939"/>
  <sheetViews>
    <sheetView topLeftCell="A460" zoomScaleNormal="100" zoomScaleSheetLayoutView="85" workbookViewId="0">
      <selection activeCell="K494" sqref="K494"/>
    </sheetView>
  </sheetViews>
  <sheetFormatPr defaultColWidth="9.140625" defaultRowHeight="14.25"/>
  <cols>
    <col min="1" max="1" width="11.5703125" style="151" customWidth="1"/>
    <col min="2" max="2" width="6.85546875" style="149" customWidth="1"/>
    <col min="3" max="11" width="9" style="150" customWidth="1"/>
    <col min="12" max="12" width="9.28515625" style="149" customWidth="1"/>
    <col min="13" max="13" width="8.7109375" style="149" customWidth="1"/>
    <col min="14" max="14" width="8.7109375" style="148" customWidth="1"/>
    <col min="15" max="15" width="10.42578125" style="148" customWidth="1"/>
    <col min="16" max="18" width="9.140625" style="146"/>
    <col min="19" max="19" width="12.140625" style="146" customWidth="1"/>
    <col min="20" max="20" width="9.140625" style="146"/>
    <col min="21" max="21" width="0" style="146" hidden="1" customWidth="1"/>
    <col min="22" max="22" width="10.28515625" style="147" customWidth="1"/>
    <col min="23" max="16384" width="9.140625" style="146"/>
  </cols>
  <sheetData>
    <row r="1" spans="1:27" ht="17.25" customHeight="1">
      <c r="A1" s="251" t="s">
        <v>45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0"/>
    </row>
    <row r="2" spans="1:27" ht="17.25" customHeight="1">
      <c r="A2" s="251" t="s">
        <v>44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8"/>
    </row>
    <row r="3" spans="1:27" ht="29.25" customHeight="1">
      <c r="A3" s="25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6"/>
    </row>
    <row r="4" spans="1:27" ht="14.25" customHeight="1">
      <c r="A4" s="188" t="s">
        <v>43</v>
      </c>
      <c r="B4" s="189"/>
      <c r="C4" s="189"/>
      <c r="D4" s="189"/>
      <c r="E4" s="190"/>
      <c r="F4" s="226" t="s">
        <v>42</v>
      </c>
      <c r="G4" s="226"/>
      <c r="H4" s="226"/>
      <c r="I4" s="226"/>
      <c r="J4" s="227"/>
      <c r="K4" s="225" t="s">
        <v>41</v>
      </c>
      <c r="L4" s="226"/>
      <c r="M4" s="226"/>
      <c r="N4" s="226"/>
      <c r="O4" s="227"/>
      <c r="Q4" s="161"/>
    </row>
    <row r="5" spans="1:27" ht="57" customHeight="1">
      <c r="A5" s="194" t="s">
        <v>40</v>
      </c>
      <c r="B5" s="195"/>
      <c r="C5" s="195"/>
      <c r="D5" s="195"/>
      <c r="E5" s="196"/>
      <c r="F5" s="22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9"/>
      <c r="H5" s="229"/>
      <c r="I5" s="229"/>
      <c r="J5" s="230"/>
      <c r="K5" s="228" t="s">
        <v>39</v>
      </c>
      <c r="L5" s="229"/>
      <c r="M5" s="229"/>
      <c r="N5" s="229"/>
      <c r="O5" s="230"/>
      <c r="Q5" s="161"/>
    </row>
    <row r="6" spans="1:27" ht="24.75" customHeight="1">
      <c r="A6" s="197" t="s">
        <v>38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P6" s="166"/>
    </row>
    <row r="7" spans="1:27" ht="15.75">
      <c r="A7" s="62" t="s">
        <v>37</v>
      </c>
      <c r="B7" s="60">
        <f>'[4]BC.95+020'!C7</f>
        <v>0</v>
      </c>
      <c r="C7" s="60"/>
      <c r="D7" s="60"/>
      <c r="E7" s="60"/>
      <c r="F7" s="60"/>
      <c r="G7" s="60"/>
      <c r="H7" s="60"/>
      <c r="I7" s="60"/>
      <c r="J7" s="61"/>
      <c r="K7" s="61" t="s">
        <v>36</v>
      </c>
      <c r="L7" s="61"/>
      <c r="M7" s="61">
        <f>'[4]BC.95+020'!N7</f>
        <v>0</v>
      </c>
      <c r="N7" s="61"/>
      <c r="O7" s="175"/>
      <c r="P7" s="164"/>
      <c r="S7" s="165"/>
    </row>
    <row r="8" spans="1:27" ht="15.75">
      <c r="A8" s="56" t="s">
        <v>35</v>
      </c>
      <c r="B8" s="54" t="str">
        <f>'[4]BC.95+020'!C8</f>
        <v>năng</v>
      </c>
      <c r="C8" s="54"/>
      <c r="D8" s="54"/>
      <c r="E8" s="54"/>
      <c r="F8" s="54"/>
      <c r="G8" s="54"/>
      <c r="H8" s="54"/>
      <c r="I8" s="54"/>
      <c r="J8" s="55"/>
      <c r="K8" s="55" t="s">
        <v>33</v>
      </c>
      <c r="L8" s="55"/>
      <c r="M8" s="57">
        <f>'116+240'!M9</f>
        <v>844</v>
      </c>
      <c r="N8" s="55"/>
      <c r="O8" s="174"/>
      <c r="P8" s="164"/>
      <c r="S8" s="165"/>
    </row>
    <row r="9" spans="1:27" ht="15.75">
      <c r="A9" s="140" t="s">
        <v>32</v>
      </c>
      <c r="B9" s="138" t="str">
        <f>'116+240'!C10</f>
        <v>Km116+240</v>
      </c>
      <c r="C9" s="138"/>
      <c r="D9" s="138"/>
      <c r="E9" s="138"/>
      <c r="F9" s="138"/>
      <c r="G9" s="138"/>
      <c r="H9" s="138"/>
      <c r="I9" s="138"/>
      <c r="J9" s="139"/>
      <c r="K9" s="139" t="s">
        <v>30</v>
      </c>
      <c r="L9" s="139"/>
      <c r="M9" s="240">
        <f>'116+240'!M10</f>
        <v>45281</v>
      </c>
      <c r="N9" s="241"/>
      <c r="O9" s="173"/>
      <c r="P9" s="164"/>
      <c r="Q9" s="163"/>
      <c r="R9" s="162"/>
      <c r="S9" s="161"/>
      <c r="T9" s="161"/>
    </row>
    <row r="10" spans="1:27" ht="14.25" customHeight="1">
      <c r="A10" s="172"/>
      <c r="B10" s="170"/>
      <c r="C10" s="170"/>
      <c r="D10" s="170"/>
      <c r="E10" s="170"/>
      <c r="F10" s="170"/>
      <c r="G10" s="170"/>
      <c r="H10" s="170"/>
      <c r="I10" s="170"/>
      <c r="J10" s="171"/>
      <c r="K10" s="171"/>
      <c r="L10" s="171"/>
      <c r="M10" s="171"/>
      <c r="N10" s="171"/>
      <c r="O10" s="170"/>
      <c r="P10" s="169"/>
      <c r="Q10" s="169"/>
      <c r="R10" s="169"/>
      <c r="S10" s="169"/>
      <c r="T10" s="169"/>
      <c r="U10" s="168"/>
      <c r="V10" s="168"/>
      <c r="W10" s="168"/>
      <c r="X10" s="168"/>
      <c r="Y10" s="168"/>
      <c r="Z10" s="65"/>
      <c r="AA10" s="65"/>
    </row>
    <row r="11" spans="1:27" ht="26.45" customHeight="1">
      <c r="A11" s="250" t="str">
        <f>"BÀN QUAN TRẮC: "&amp;B9</f>
        <v>BÀN QUAN TRẮC: Km116+240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Q11" s="161"/>
    </row>
    <row r="12" spans="1:27" ht="28.9" customHeight="1">
      <c r="A12" s="243" t="s">
        <v>75</v>
      </c>
      <c r="B12" s="244" t="s">
        <v>74</v>
      </c>
      <c r="C12" s="245" t="s">
        <v>73</v>
      </c>
      <c r="D12" s="246" t="s">
        <v>57</v>
      </c>
      <c r="E12" s="248" t="s">
        <v>72</v>
      </c>
      <c r="F12" s="249" t="s">
        <v>13</v>
      </c>
      <c r="G12" s="249"/>
      <c r="H12" s="249" t="s">
        <v>71</v>
      </c>
      <c r="I12" s="249"/>
      <c r="J12" s="249" t="s">
        <v>11</v>
      </c>
      <c r="K12" s="249"/>
      <c r="L12" s="244" t="s">
        <v>70</v>
      </c>
      <c r="M12" s="244" t="s">
        <v>69</v>
      </c>
      <c r="N12" s="244" t="s">
        <v>68</v>
      </c>
      <c r="O12" s="242" t="s">
        <v>67</v>
      </c>
      <c r="Q12" s="161"/>
    </row>
    <row r="13" spans="1:27" ht="72.599999999999994" customHeight="1">
      <c r="A13" s="243"/>
      <c r="B13" s="244"/>
      <c r="C13" s="245"/>
      <c r="D13" s="247"/>
      <c r="E13" s="248"/>
      <c r="F13" s="167" t="s">
        <v>66</v>
      </c>
      <c r="G13" s="167" t="s">
        <v>65</v>
      </c>
      <c r="H13" s="167" t="s">
        <v>66</v>
      </c>
      <c r="I13" s="167" t="s">
        <v>65</v>
      </c>
      <c r="J13" s="167" t="s">
        <v>66</v>
      </c>
      <c r="K13" s="167" t="s">
        <v>65</v>
      </c>
      <c r="L13" s="244"/>
      <c r="M13" s="244"/>
      <c r="N13" s="244"/>
      <c r="O13" s="242"/>
      <c r="P13" s="166"/>
    </row>
    <row r="14" spans="1:27">
      <c r="A14" s="88">
        <f>'BC.116+240'!B13</f>
        <v>45281</v>
      </c>
      <c r="B14" s="152">
        <v>0</v>
      </c>
      <c r="C14" s="154">
        <f>'BC.116+240'!M13/1000</f>
        <v>-0.08</v>
      </c>
      <c r="D14" s="154">
        <f>'BC.116+240'!AA13</f>
        <v>0</v>
      </c>
      <c r="E14" s="155">
        <f>'BC.116+240'!AB13</f>
        <v>0</v>
      </c>
      <c r="F14" s="154">
        <f>VLOOKUP($A14,'BC.116+240'!$B$13:$X$489,8,0)/1000</f>
        <v>2.04</v>
      </c>
      <c r="G14" s="154">
        <f>VLOOKUP($A14,'BC.116+240'!$B$13:$X$489,9,0)/1000</f>
        <v>3.9999999999999994E-2</v>
      </c>
      <c r="H14" s="154">
        <f>VLOOKUP($A14,'BC.116+240'!$B$13:$X$489,14,0)/1000</f>
        <v>1.92</v>
      </c>
      <c r="I14" s="154">
        <f>VLOOKUP($A14,'BC.116+240'!$B$13:$X$489,15,0)/1000</f>
        <v>-0.08</v>
      </c>
      <c r="J14" s="154">
        <f>VLOOKUP($A14,'BC.116+240'!$B$13:$X$489,20,0)/1000</f>
        <v>1.97</v>
      </c>
      <c r="K14" s="154">
        <f>VLOOKUP($A14,'BC.116+240'!$B$13:$X$489,21,0)/1000</f>
        <v>-0.03</v>
      </c>
      <c r="L14" s="152">
        <f t="shared" ref="L14:L77" si="0">(G14-$G$14)*1000</f>
        <v>0</v>
      </c>
      <c r="M14" s="152">
        <f t="shared" ref="M14:M77" si="1">(I14-$I$14)*1000</f>
        <v>0</v>
      </c>
      <c r="N14" s="152">
        <v>0</v>
      </c>
      <c r="O14" s="152"/>
      <c r="P14" s="164"/>
      <c r="S14" s="165"/>
    </row>
    <row r="15" spans="1:27">
      <c r="A15" s="88">
        <f>'BC.116+240'!B14</f>
        <v>45282</v>
      </c>
      <c r="B15" s="152">
        <v>1</v>
      </c>
      <c r="C15" s="154">
        <f>'BC.116+240'!M14/1000</f>
        <v>-0.08</v>
      </c>
      <c r="D15" s="154">
        <f>'BC.116+240'!AA14</f>
        <v>0</v>
      </c>
      <c r="E15" s="155">
        <f>'BC.116+240'!AB14</f>
        <v>0</v>
      </c>
      <c r="F15" s="154">
        <f>VLOOKUP($A15,'BC.116+240'!$B$13:$X$489,8,0)/1000</f>
        <v>2.04</v>
      </c>
      <c r="G15" s="154">
        <f>VLOOKUP($A15,'BC.116+240'!$B$13:$X$489,9,0)/1000</f>
        <v>3.9999999999999994E-2</v>
      </c>
      <c r="H15" s="154">
        <f>VLOOKUP($A15,'BC.116+240'!$B$13:$X$489,14,0)/1000</f>
        <v>1.92</v>
      </c>
      <c r="I15" s="154">
        <f>VLOOKUP($A15,'BC.116+240'!$B$13:$X$489,15,0)/1000</f>
        <v>-0.08</v>
      </c>
      <c r="J15" s="154">
        <f>VLOOKUP($A15,'BC.116+240'!$B$13:$X$489,20,0)/1000</f>
        <v>1.97</v>
      </c>
      <c r="K15" s="154">
        <f>VLOOKUP($A15,'BC.116+240'!$B$13:$X$489,21,0)/1000</f>
        <v>-0.03</v>
      </c>
      <c r="L15" s="152">
        <f t="shared" si="0"/>
        <v>0</v>
      </c>
      <c r="M15" s="153">
        <f t="shared" si="1"/>
        <v>0</v>
      </c>
      <c r="N15" s="152">
        <f t="shared" ref="N15:N78" si="2">(K15-$K$14)*1000</f>
        <v>0</v>
      </c>
      <c r="O15" s="152"/>
      <c r="P15" s="164"/>
      <c r="S15" s="165"/>
    </row>
    <row r="16" spans="1:27">
      <c r="A16" s="88">
        <f>'BC.116+240'!B15</f>
        <v>45283</v>
      </c>
      <c r="B16" s="152">
        <v>2</v>
      </c>
      <c r="C16" s="154">
        <f>'BC.116+240'!M15/1000</f>
        <v>-0.08</v>
      </c>
      <c r="D16" s="154">
        <f>'BC.116+240'!AA15</f>
        <v>0</v>
      </c>
      <c r="E16" s="155">
        <f>'BC.116+240'!AB15</f>
        <v>0</v>
      </c>
      <c r="F16" s="154">
        <f>VLOOKUP($A16,'BC.116+240'!$B$13:$X$489,8,0)/1000</f>
        <v>2.04</v>
      </c>
      <c r="G16" s="154">
        <f>VLOOKUP($A16,'BC.116+240'!$B$13:$X$489,9,0)/1000</f>
        <v>3.9999999999999994E-2</v>
      </c>
      <c r="H16" s="154">
        <f>VLOOKUP($A16,'BC.116+240'!$B$13:$X$489,14,0)/1000</f>
        <v>1.92</v>
      </c>
      <c r="I16" s="154">
        <f>VLOOKUP($A16,'BC.116+240'!$B$13:$X$489,15,0)/1000</f>
        <v>-0.08</v>
      </c>
      <c r="J16" s="154">
        <f>VLOOKUP($A16,'BC.116+240'!$B$13:$X$489,20,0)/1000</f>
        <v>1.97</v>
      </c>
      <c r="K16" s="154">
        <f>VLOOKUP($A16,'BC.116+240'!$B$13:$X$489,21,0)/1000</f>
        <v>-0.03</v>
      </c>
      <c r="L16" s="152">
        <f t="shared" si="0"/>
        <v>0</v>
      </c>
      <c r="M16" s="153">
        <f t="shared" si="1"/>
        <v>0</v>
      </c>
      <c r="N16" s="152">
        <f t="shared" si="2"/>
        <v>0</v>
      </c>
      <c r="O16" s="152"/>
      <c r="P16" s="164"/>
      <c r="Q16" s="163"/>
      <c r="R16" s="162"/>
      <c r="S16" s="161"/>
      <c r="T16" s="161"/>
    </row>
    <row r="17" spans="1:20">
      <c r="A17" s="88">
        <f>'BC.116+240'!B16</f>
        <v>45284</v>
      </c>
      <c r="B17" s="152">
        <v>3</v>
      </c>
      <c r="C17" s="154">
        <f>'BC.116+240'!M16/1000</f>
        <v>-0.08</v>
      </c>
      <c r="D17" s="154">
        <f>'BC.116+240'!AA16</f>
        <v>0</v>
      </c>
      <c r="E17" s="155">
        <f>'BC.116+240'!AB16</f>
        <v>0</v>
      </c>
      <c r="F17" s="154">
        <f>VLOOKUP($A17,'BC.116+240'!$B$13:$X$489,8,0)/1000</f>
        <v>2.04</v>
      </c>
      <c r="G17" s="154">
        <f>VLOOKUP($A17,'BC.116+240'!$B$13:$X$489,9,0)/1000</f>
        <v>3.9999999999999994E-2</v>
      </c>
      <c r="H17" s="154">
        <f>VLOOKUP($A17,'BC.116+240'!$B$13:$X$489,14,0)/1000</f>
        <v>1.92</v>
      </c>
      <c r="I17" s="154">
        <f>VLOOKUP($A17,'BC.116+240'!$B$13:$X$489,15,0)/1000</f>
        <v>-0.08</v>
      </c>
      <c r="J17" s="154">
        <f>VLOOKUP($A17,'BC.116+240'!$B$13:$X$489,20,0)/1000</f>
        <v>1.97</v>
      </c>
      <c r="K17" s="154">
        <f>VLOOKUP($A17,'BC.116+240'!$B$13:$X$489,21,0)/1000</f>
        <v>-0.03</v>
      </c>
      <c r="L17" s="152">
        <f t="shared" si="0"/>
        <v>0</v>
      </c>
      <c r="M17" s="153">
        <f t="shared" si="1"/>
        <v>0</v>
      </c>
      <c r="N17" s="152">
        <f t="shared" si="2"/>
        <v>0</v>
      </c>
      <c r="O17" s="152"/>
      <c r="P17" s="164"/>
      <c r="Q17" s="163"/>
      <c r="R17" s="162"/>
      <c r="S17" s="161"/>
      <c r="T17" s="161"/>
    </row>
    <row r="18" spans="1:20">
      <c r="A18" s="88">
        <f>'BC.116+240'!B17</f>
        <v>45285</v>
      </c>
      <c r="B18" s="152">
        <v>4</v>
      </c>
      <c r="C18" s="154">
        <f>'BC.116+240'!M17/1000</f>
        <v>-0.08</v>
      </c>
      <c r="D18" s="154">
        <f>'BC.116+240'!AA17</f>
        <v>0</v>
      </c>
      <c r="E18" s="155">
        <f>'BC.116+240'!AB17</f>
        <v>0</v>
      </c>
      <c r="F18" s="154">
        <f>VLOOKUP($A18,'BC.116+240'!$B$13:$X$489,8,0)/1000</f>
        <v>2.04</v>
      </c>
      <c r="G18" s="154">
        <f>VLOOKUP($A18,'BC.116+240'!$B$13:$X$489,9,0)/1000</f>
        <v>3.9999999999999994E-2</v>
      </c>
      <c r="H18" s="154">
        <f>VLOOKUP($A18,'BC.116+240'!$B$13:$X$489,14,0)/1000</f>
        <v>1.92</v>
      </c>
      <c r="I18" s="154">
        <f>VLOOKUP($A18,'BC.116+240'!$B$13:$X$489,15,0)/1000</f>
        <v>-0.08</v>
      </c>
      <c r="J18" s="154">
        <f>VLOOKUP($A18,'BC.116+240'!$B$13:$X$489,20,0)/1000</f>
        <v>1.97</v>
      </c>
      <c r="K18" s="154">
        <f>VLOOKUP($A18,'BC.116+240'!$B$13:$X$489,21,0)/1000</f>
        <v>-0.03</v>
      </c>
      <c r="L18" s="152">
        <f t="shared" si="0"/>
        <v>0</v>
      </c>
      <c r="M18" s="153">
        <f t="shared" si="1"/>
        <v>0</v>
      </c>
      <c r="N18" s="152">
        <f t="shared" si="2"/>
        <v>0</v>
      </c>
      <c r="O18" s="152"/>
      <c r="P18" s="164"/>
      <c r="Q18" s="163"/>
      <c r="R18" s="162"/>
      <c r="S18" s="161"/>
      <c r="T18" s="161"/>
    </row>
    <row r="19" spans="1:20">
      <c r="A19" s="88">
        <f>'BC.116+240'!B18</f>
        <v>45286</v>
      </c>
      <c r="B19" s="152">
        <v>5</v>
      </c>
      <c r="C19" s="154">
        <f>'BC.116+240'!M18/1000</f>
        <v>-0.08</v>
      </c>
      <c r="D19" s="154">
        <f>'BC.116+240'!AA18</f>
        <v>0</v>
      </c>
      <c r="E19" s="155">
        <f>'BC.116+240'!AB18</f>
        <v>0</v>
      </c>
      <c r="F19" s="154">
        <f>VLOOKUP($A19,'BC.116+240'!$B$13:$X$489,8,0)/1000</f>
        <v>2.04</v>
      </c>
      <c r="G19" s="154">
        <f>VLOOKUP($A19,'BC.116+240'!$B$13:$X$489,9,0)/1000</f>
        <v>3.9999999999999994E-2</v>
      </c>
      <c r="H19" s="154">
        <f>VLOOKUP($A19,'BC.116+240'!$B$13:$X$489,14,0)/1000</f>
        <v>1.92</v>
      </c>
      <c r="I19" s="154">
        <f>VLOOKUP($A19,'BC.116+240'!$B$13:$X$489,15,0)/1000</f>
        <v>-0.08</v>
      </c>
      <c r="J19" s="154">
        <f>VLOOKUP($A19,'BC.116+240'!$B$13:$X$489,20,0)/1000</f>
        <v>1.97</v>
      </c>
      <c r="K19" s="154">
        <f>VLOOKUP($A19,'BC.116+240'!$B$13:$X$489,21,0)/1000</f>
        <v>-0.03</v>
      </c>
      <c r="L19" s="152">
        <f t="shared" si="0"/>
        <v>0</v>
      </c>
      <c r="M19" s="153">
        <f t="shared" si="1"/>
        <v>0</v>
      </c>
      <c r="N19" s="152">
        <f t="shared" si="2"/>
        <v>0</v>
      </c>
      <c r="O19" s="152"/>
      <c r="P19" s="164"/>
      <c r="Q19" s="163"/>
      <c r="R19" s="162"/>
      <c r="S19" s="161"/>
      <c r="T19" s="161"/>
    </row>
    <row r="20" spans="1:20">
      <c r="A20" s="88">
        <f>'BC.116+240'!B19</f>
        <v>45287</v>
      </c>
      <c r="B20" s="152">
        <v>6</v>
      </c>
      <c r="C20" s="154">
        <f>'BC.116+240'!M19/1000</f>
        <v>-0.08</v>
      </c>
      <c r="D20" s="154">
        <f>'BC.116+240'!AA19</f>
        <v>0</v>
      </c>
      <c r="E20" s="155">
        <f>'BC.116+240'!AB19</f>
        <v>0</v>
      </c>
      <c r="F20" s="154">
        <f>VLOOKUP($A20,'BC.116+240'!$B$13:$X$489,8,0)/1000</f>
        <v>2.04</v>
      </c>
      <c r="G20" s="154">
        <f>VLOOKUP($A20,'BC.116+240'!$B$13:$X$489,9,0)/1000</f>
        <v>3.9999999999999994E-2</v>
      </c>
      <c r="H20" s="154">
        <f>VLOOKUP($A20,'BC.116+240'!$B$13:$X$489,14,0)/1000</f>
        <v>1.92</v>
      </c>
      <c r="I20" s="154">
        <f>VLOOKUP($A20,'BC.116+240'!$B$13:$X$489,15,0)/1000</f>
        <v>-0.08</v>
      </c>
      <c r="J20" s="154">
        <f>VLOOKUP($A20,'BC.116+240'!$B$13:$X$489,20,0)/1000</f>
        <v>1.97</v>
      </c>
      <c r="K20" s="154">
        <f>VLOOKUP($A20,'BC.116+240'!$B$13:$X$489,21,0)/1000</f>
        <v>-0.03</v>
      </c>
      <c r="L20" s="152">
        <f t="shared" si="0"/>
        <v>0</v>
      </c>
      <c r="M20" s="153">
        <f t="shared" si="1"/>
        <v>0</v>
      </c>
      <c r="N20" s="152">
        <f t="shared" si="2"/>
        <v>0</v>
      </c>
      <c r="O20" s="152"/>
      <c r="P20" s="164"/>
      <c r="Q20" s="163"/>
      <c r="R20" s="162"/>
      <c r="S20" s="161"/>
      <c r="T20" s="161"/>
    </row>
    <row r="21" spans="1:20">
      <c r="A21" s="88">
        <f>'BC.116+240'!B20</f>
        <v>45288</v>
      </c>
      <c r="B21" s="152">
        <v>7</v>
      </c>
      <c r="C21" s="154">
        <f>'BC.116+240'!M20/1000</f>
        <v>-0.08</v>
      </c>
      <c r="D21" s="154">
        <f>'BC.116+240'!AA20</f>
        <v>0</v>
      </c>
      <c r="E21" s="155">
        <f>'BC.116+240'!AB20</f>
        <v>0</v>
      </c>
      <c r="F21" s="154">
        <f>VLOOKUP($A21,'BC.116+240'!$B$13:$X$489,8,0)/1000</f>
        <v>2.04</v>
      </c>
      <c r="G21" s="154">
        <f>VLOOKUP($A21,'BC.116+240'!$B$13:$X$489,9,0)/1000</f>
        <v>3.9999999999999994E-2</v>
      </c>
      <c r="H21" s="154">
        <f>VLOOKUP($A21,'BC.116+240'!$B$13:$X$489,14,0)/1000</f>
        <v>1.92</v>
      </c>
      <c r="I21" s="154">
        <f>VLOOKUP($A21,'BC.116+240'!$B$13:$X$489,15,0)/1000</f>
        <v>-0.08</v>
      </c>
      <c r="J21" s="154">
        <f>VLOOKUP($A21,'BC.116+240'!$B$13:$X$489,20,0)/1000</f>
        <v>1.97</v>
      </c>
      <c r="K21" s="154">
        <f>VLOOKUP($A21,'BC.116+240'!$B$13:$X$489,21,0)/1000</f>
        <v>-0.03</v>
      </c>
      <c r="L21" s="152">
        <f t="shared" si="0"/>
        <v>0</v>
      </c>
      <c r="M21" s="153">
        <f t="shared" si="1"/>
        <v>0</v>
      </c>
      <c r="N21" s="152">
        <f t="shared" si="2"/>
        <v>0</v>
      </c>
      <c r="O21" s="152"/>
      <c r="P21" s="164"/>
      <c r="Q21" s="163"/>
      <c r="R21" s="162"/>
      <c r="S21" s="161"/>
      <c r="T21" s="161"/>
    </row>
    <row r="22" spans="1:20">
      <c r="A22" s="88">
        <f>'BC.116+240'!B21</f>
        <v>45289</v>
      </c>
      <c r="B22" s="152">
        <v>8</v>
      </c>
      <c r="C22" s="154">
        <f>'BC.116+240'!M21/1000</f>
        <v>-0.08</v>
      </c>
      <c r="D22" s="154">
        <f>'BC.116+240'!AA21</f>
        <v>0</v>
      </c>
      <c r="E22" s="155">
        <f>'BC.116+240'!AB21</f>
        <v>0</v>
      </c>
      <c r="F22" s="154">
        <f>VLOOKUP($A22,'BC.116+240'!$B$13:$X$489,8,0)/1000</f>
        <v>2.04</v>
      </c>
      <c r="G22" s="154">
        <f>VLOOKUP($A22,'BC.116+240'!$B$13:$X$489,9,0)/1000</f>
        <v>3.9999999999999994E-2</v>
      </c>
      <c r="H22" s="154">
        <f>VLOOKUP($A22,'BC.116+240'!$B$13:$X$489,14,0)/1000</f>
        <v>1.92</v>
      </c>
      <c r="I22" s="154">
        <f>VLOOKUP($A22,'BC.116+240'!$B$13:$X$489,15,0)/1000</f>
        <v>-0.08</v>
      </c>
      <c r="J22" s="154">
        <f>VLOOKUP($A22,'BC.116+240'!$B$13:$X$489,20,0)/1000</f>
        <v>1.97</v>
      </c>
      <c r="K22" s="154">
        <f>VLOOKUP($A22,'BC.116+240'!$B$13:$X$489,21,0)/1000</f>
        <v>-0.03</v>
      </c>
      <c r="L22" s="152">
        <f t="shared" si="0"/>
        <v>0</v>
      </c>
      <c r="M22" s="153">
        <f t="shared" si="1"/>
        <v>0</v>
      </c>
      <c r="N22" s="152">
        <f t="shared" si="2"/>
        <v>0</v>
      </c>
      <c r="O22" s="152"/>
      <c r="P22" s="164"/>
      <c r="Q22" s="163"/>
      <c r="R22" s="162"/>
      <c r="S22" s="161"/>
      <c r="T22" s="161"/>
    </row>
    <row r="23" spans="1:20">
      <c r="A23" s="88">
        <f>'BC.116+240'!B22</f>
        <v>45290</v>
      </c>
      <c r="B23" s="152">
        <v>9</v>
      </c>
      <c r="C23" s="154">
        <f>'BC.116+240'!M22/1000</f>
        <v>-0.08</v>
      </c>
      <c r="D23" s="154">
        <f>'BC.116+240'!AA22</f>
        <v>0</v>
      </c>
      <c r="E23" s="155">
        <f>'BC.116+240'!AB22</f>
        <v>0</v>
      </c>
      <c r="F23" s="154">
        <f>VLOOKUP($A23,'BC.116+240'!$B$13:$X$489,8,0)/1000</f>
        <v>2.04</v>
      </c>
      <c r="G23" s="154">
        <f>VLOOKUP($A23,'BC.116+240'!$B$13:$X$489,9,0)/1000</f>
        <v>3.9999999999999994E-2</v>
      </c>
      <c r="H23" s="154">
        <f>VLOOKUP($A23,'BC.116+240'!$B$13:$X$489,14,0)/1000</f>
        <v>1.92</v>
      </c>
      <c r="I23" s="154">
        <f>VLOOKUP($A23,'BC.116+240'!$B$13:$X$489,15,0)/1000</f>
        <v>-0.08</v>
      </c>
      <c r="J23" s="154">
        <f>VLOOKUP($A23,'BC.116+240'!$B$13:$X$489,20,0)/1000</f>
        <v>1.97</v>
      </c>
      <c r="K23" s="154">
        <f>VLOOKUP($A23,'BC.116+240'!$B$13:$X$489,21,0)/1000</f>
        <v>-0.03</v>
      </c>
      <c r="L23" s="152">
        <f t="shared" si="0"/>
        <v>0</v>
      </c>
      <c r="M23" s="153">
        <f t="shared" si="1"/>
        <v>0</v>
      </c>
      <c r="N23" s="152">
        <f t="shared" si="2"/>
        <v>0</v>
      </c>
      <c r="O23" s="152"/>
      <c r="P23" s="164"/>
      <c r="Q23" s="163"/>
      <c r="R23" s="162"/>
      <c r="S23" s="161"/>
      <c r="T23" s="161"/>
    </row>
    <row r="24" spans="1:20">
      <c r="A24" s="88">
        <f>'BC.116+240'!B23</f>
        <v>45291</v>
      </c>
      <c r="B24" s="152">
        <v>10</v>
      </c>
      <c r="C24" s="154">
        <f>'BC.116+240'!M23/1000</f>
        <v>-0.08</v>
      </c>
      <c r="D24" s="154">
        <f>'BC.116+240'!AA23</f>
        <v>0</v>
      </c>
      <c r="E24" s="155">
        <f>'BC.116+240'!AB23</f>
        <v>0</v>
      </c>
      <c r="F24" s="154">
        <f>VLOOKUP($A24,'BC.116+240'!$B$13:$X$489,8,0)/1000</f>
        <v>2.04</v>
      </c>
      <c r="G24" s="154">
        <f>VLOOKUP($A24,'BC.116+240'!$B$13:$X$489,9,0)/1000</f>
        <v>3.9999999999999994E-2</v>
      </c>
      <c r="H24" s="154">
        <f>VLOOKUP($A24,'BC.116+240'!$B$13:$X$489,14,0)/1000</f>
        <v>1.92</v>
      </c>
      <c r="I24" s="154">
        <f>VLOOKUP($A24,'BC.116+240'!$B$13:$X$489,15,0)/1000</f>
        <v>-0.08</v>
      </c>
      <c r="J24" s="154">
        <f>VLOOKUP($A24,'BC.116+240'!$B$13:$X$489,20,0)/1000</f>
        <v>1.97</v>
      </c>
      <c r="K24" s="154">
        <f>VLOOKUP($A24,'BC.116+240'!$B$13:$X$489,21,0)/1000</f>
        <v>-0.03</v>
      </c>
      <c r="L24" s="152">
        <f t="shared" si="0"/>
        <v>0</v>
      </c>
      <c r="M24" s="153">
        <f t="shared" si="1"/>
        <v>0</v>
      </c>
      <c r="N24" s="152">
        <f t="shared" si="2"/>
        <v>0</v>
      </c>
      <c r="O24" s="152"/>
      <c r="P24" s="164"/>
      <c r="Q24" s="163"/>
      <c r="R24" s="162"/>
      <c r="S24" s="161"/>
      <c r="T24" s="161"/>
    </row>
    <row r="25" spans="1:20">
      <c r="A25" s="88">
        <f>'BC.116+240'!B24</f>
        <v>45292</v>
      </c>
      <c r="B25" s="152">
        <v>11</v>
      </c>
      <c r="C25" s="154">
        <f>'BC.116+240'!M24/1000</f>
        <v>-0.08</v>
      </c>
      <c r="D25" s="154">
        <f>'BC.116+240'!AA24</f>
        <v>0</v>
      </c>
      <c r="E25" s="155">
        <f>'BC.116+240'!AB24</f>
        <v>0</v>
      </c>
      <c r="F25" s="154">
        <f>VLOOKUP($A25,'BC.116+240'!$B$13:$X$489,8,0)/1000</f>
        <v>2.04</v>
      </c>
      <c r="G25" s="154">
        <f>VLOOKUP($A25,'BC.116+240'!$B$13:$X$489,9,0)/1000</f>
        <v>3.9999999999999994E-2</v>
      </c>
      <c r="H25" s="154">
        <f>VLOOKUP($A25,'BC.116+240'!$B$13:$X$489,14,0)/1000</f>
        <v>1.92</v>
      </c>
      <c r="I25" s="154">
        <f>VLOOKUP($A25,'BC.116+240'!$B$13:$X$489,15,0)/1000</f>
        <v>-0.08</v>
      </c>
      <c r="J25" s="154">
        <f>VLOOKUP($A25,'BC.116+240'!$B$13:$X$489,20,0)/1000</f>
        <v>1.97</v>
      </c>
      <c r="K25" s="154">
        <f>VLOOKUP($A25,'BC.116+240'!$B$13:$X$489,21,0)/1000</f>
        <v>-0.03</v>
      </c>
      <c r="L25" s="152">
        <f t="shared" si="0"/>
        <v>0</v>
      </c>
      <c r="M25" s="153">
        <f t="shared" si="1"/>
        <v>0</v>
      </c>
      <c r="N25" s="152">
        <f t="shared" si="2"/>
        <v>0</v>
      </c>
      <c r="O25" s="152"/>
      <c r="P25" s="164"/>
      <c r="Q25" s="163"/>
      <c r="R25" s="162"/>
      <c r="S25" s="161"/>
      <c r="T25" s="161"/>
    </row>
    <row r="26" spans="1:20">
      <c r="A26" s="88">
        <f>'BC.116+240'!B25</f>
        <v>45293</v>
      </c>
      <c r="B26" s="152">
        <v>12</v>
      </c>
      <c r="C26" s="154">
        <f>'BC.116+240'!M25/1000</f>
        <v>9.1999999999999998E-2</v>
      </c>
      <c r="D26" s="154">
        <f>'BC.116+240'!AA25</f>
        <v>0.125</v>
      </c>
      <c r="E26" s="155">
        <f>'BC.116+240'!AB25</f>
        <v>0.16400000000000001</v>
      </c>
      <c r="F26" s="154">
        <f>VLOOKUP($A26,'BC.116+240'!$B$13:$X$489,8,0)/1000</f>
        <v>2.0339999999999998</v>
      </c>
      <c r="G26" s="154">
        <f>VLOOKUP($A26,'BC.116+240'!$B$13:$X$489,9,0)/1000</f>
        <v>3.3999999999999996E-2</v>
      </c>
      <c r="H26" s="154">
        <f>VLOOKUP($A26,'BC.116+240'!$B$13:$X$489,14,0)/1000</f>
        <v>1.9119999999999999</v>
      </c>
      <c r="I26" s="154">
        <f>VLOOKUP($A26,'BC.116+240'!$B$13:$X$489,15,0)/1000</f>
        <v>-8.7999999999999995E-2</v>
      </c>
      <c r="J26" s="154">
        <f>VLOOKUP($A26,'BC.116+240'!$B$13:$X$489,20,0)/1000</f>
        <v>1.9650000000000001</v>
      </c>
      <c r="K26" s="154">
        <f>VLOOKUP($A26,'BC.116+240'!$B$13:$X$489,21,0)/1000</f>
        <v>-3.5000000000000003E-2</v>
      </c>
      <c r="L26" s="152">
        <f t="shared" si="0"/>
        <v>-5.9999999999999982</v>
      </c>
      <c r="M26" s="153">
        <f t="shared" si="1"/>
        <v>-7.9999999999999929</v>
      </c>
      <c r="N26" s="152">
        <f t="shared" si="2"/>
        <v>-5.0000000000000044</v>
      </c>
      <c r="O26" s="152"/>
      <c r="P26" s="164"/>
      <c r="Q26" s="163"/>
      <c r="R26" s="162"/>
      <c r="S26" s="161"/>
      <c r="T26" s="161"/>
    </row>
    <row r="27" spans="1:20">
      <c r="A27" s="88">
        <f>'BC.116+240'!B26</f>
        <v>45294</v>
      </c>
      <c r="B27" s="152">
        <v>13</v>
      </c>
      <c r="C27" s="154">
        <f>'BC.116+240'!M26/1000</f>
        <v>0.09</v>
      </c>
      <c r="D27" s="154">
        <f>'BC.116+240'!AA26</f>
        <v>0.125</v>
      </c>
      <c r="E27" s="155">
        <f>'BC.116+240'!AB26</f>
        <v>0.16</v>
      </c>
      <c r="F27" s="154">
        <f>VLOOKUP($A27,'BC.116+240'!$B$13:$X$489,8,0)/1000</f>
        <v>2.032</v>
      </c>
      <c r="G27" s="154">
        <f>VLOOKUP($A27,'BC.116+240'!$B$13:$X$489,9,0)/1000</f>
        <v>3.1999999999999994E-2</v>
      </c>
      <c r="H27" s="154">
        <f>VLOOKUP($A27,'BC.116+240'!$B$13:$X$489,14,0)/1000</f>
        <v>1.91</v>
      </c>
      <c r="I27" s="154">
        <f>VLOOKUP($A27,'BC.116+240'!$B$13:$X$489,15,0)/1000</f>
        <v>-0.09</v>
      </c>
      <c r="J27" s="154">
        <f>VLOOKUP($A27,'BC.116+240'!$B$13:$X$489,20,0)/1000</f>
        <v>1.964</v>
      </c>
      <c r="K27" s="154">
        <f>VLOOKUP($A27,'BC.116+240'!$B$13:$X$489,21,0)/1000</f>
        <v>-3.5999999999999997E-2</v>
      </c>
      <c r="L27" s="152">
        <f t="shared" si="0"/>
        <v>-8</v>
      </c>
      <c r="M27" s="153">
        <f t="shared" si="1"/>
        <v>-9.9999999999999947</v>
      </c>
      <c r="N27" s="152">
        <f t="shared" si="2"/>
        <v>-5.9999999999999982</v>
      </c>
      <c r="O27" s="152"/>
      <c r="P27" s="164"/>
      <c r="Q27" s="163"/>
      <c r="R27" s="162"/>
      <c r="S27" s="161"/>
      <c r="T27" s="161"/>
    </row>
    <row r="28" spans="1:20">
      <c r="A28" s="88">
        <f>'BC.116+240'!B27</f>
        <v>45295</v>
      </c>
      <c r="B28" s="152">
        <v>14</v>
      </c>
      <c r="C28" s="154">
        <f>'BC.116+240'!M27/1000</f>
        <v>8.7999999999999995E-2</v>
      </c>
      <c r="D28" s="154">
        <f>'BC.116+240'!AA27</f>
        <v>0.125</v>
      </c>
      <c r="E28" s="155">
        <f>'BC.116+240'!AB27</f>
        <v>0.156</v>
      </c>
      <c r="F28" s="154">
        <f>VLOOKUP($A28,'BC.116+240'!$B$13:$X$489,8,0)/1000</f>
        <v>2.0299999999999998</v>
      </c>
      <c r="G28" s="154">
        <f>VLOOKUP($A28,'BC.116+240'!$B$13:$X$489,9,0)/1000</f>
        <v>2.9999999999999992E-2</v>
      </c>
      <c r="H28" s="154">
        <f>VLOOKUP($A28,'BC.116+240'!$B$13:$X$489,14,0)/1000</f>
        <v>1.9079999999999999</v>
      </c>
      <c r="I28" s="154">
        <f>VLOOKUP($A28,'BC.116+240'!$B$13:$X$489,15,0)/1000</f>
        <v>-9.1999999999999998E-2</v>
      </c>
      <c r="J28" s="154">
        <f>VLOOKUP($A28,'BC.116+240'!$B$13:$X$489,20,0)/1000</f>
        <v>1.9630000000000001</v>
      </c>
      <c r="K28" s="154">
        <f>VLOOKUP($A28,'BC.116+240'!$B$13:$X$489,21,0)/1000</f>
        <v>-3.6999999999999998E-2</v>
      </c>
      <c r="L28" s="152">
        <f t="shared" si="0"/>
        <v>-10.000000000000002</v>
      </c>
      <c r="M28" s="153">
        <f t="shared" si="1"/>
        <v>-11.999999999999996</v>
      </c>
      <c r="N28" s="152">
        <f t="shared" si="2"/>
        <v>-6.9999999999999991</v>
      </c>
      <c r="O28" s="152"/>
      <c r="P28" s="164"/>
      <c r="Q28" s="163"/>
      <c r="R28" s="162"/>
      <c r="S28" s="161"/>
      <c r="T28" s="161"/>
    </row>
    <row r="29" spans="1:20">
      <c r="A29" s="88">
        <f>'BC.116+240'!B28</f>
        <v>45296</v>
      </c>
      <c r="B29" s="152">
        <v>15</v>
      </c>
      <c r="C29" s="154">
        <f>'BC.116+240'!M28/1000</f>
        <v>0.38600000000000001</v>
      </c>
      <c r="D29" s="154">
        <f>'BC.116+240'!AA28</f>
        <v>0.42299999999999999</v>
      </c>
      <c r="E29" s="155">
        <f>'BC.116+240'!AB28</f>
        <v>0.45200000000000001</v>
      </c>
      <c r="F29" s="154">
        <f>VLOOKUP($A29,'BC.116+240'!$B$13:$X$489,8,0)/1000</f>
        <v>2.028</v>
      </c>
      <c r="G29" s="154">
        <f>VLOOKUP($A29,'BC.116+240'!$B$13:$X$489,9,0)/1000</f>
        <v>2.7999999999999994E-2</v>
      </c>
      <c r="H29" s="154">
        <f>VLOOKUP($A29,'BC.116+240'!$B$13:$X$489,14,0)/1000</f>
        <v>1.9059999999999999</v>
      </c>
      <c r="I29" s="154">
        <f>VLOOKUP($A29,'BC.116+240'!$B$13:$X$489,15,0)/1000</f>
        <v>-9.4E-2</v>
      </c>
      <c r="J29" s="154">
        <f>VLOOKUP($A29,'BC.116+240'!$B$13:$X$489,20,0)/1000</f>
        <v>1.9610000000000001</v>
      </c>
      <c r="K29" s="154">
        <f>VLOOKUP($A29,'BC.116+240'!$B$13:$X$489,21,0)/1000</f>
        <v>-3.9E-2</v>
      </c>
      <c r="L29" s="152">
        <f t="shared" si="0"/>
        <v>-12</v>
      </c>
      <c r="M29" s="153">
        <f t="shared" si="1"/>
        <v>-13.999999999999998</v>
      </c>
      <c r="N29" s="152">
        <f t="shared" si="2"/>
        <v>-9.0000000000000018</v>
      </c>
      <c r="O29" s="152"/>
      <c r="P29" s="164"/>
      <c r="Q29" s="163"/>
      <c r="R29" s="162"/>
      <c r="S29" s="161"/>
      <c r="T29" s="161"/>
    </row>
    <row r="30" spans="1:20">
      <c r="A30" s="88">
        <f>'BC.116+240'!B29</f>
        <v>45297</v>
      </c>
      <c r="B30" s="152">
        <v>16</v>
      </c>
      <c r="C30" s="154">
        <f>'BC.116+240'!M29/1000</f>
        <v>0.378</v>
      </c>
      <c r="D30" s="154">
        <f>'BC.116+240'!AA29</f>
        <v>0.42299999999999999</v>
      </c>
      <c r="E30" s="155">
        <f>'BC.116+240'!AB29</f>
        <v>0.436</v>
      </c>
      <c r="F30" s="154">
        <f>VLOOKUP($A30,'BC.116+240'!$B$13:$X$489,8,0)/1000</f>
        <v>2.0230000000000001</v>
      </c>
      <c r="G30" s="154">
        <f>VLOOKUP($A30,'BC.116+240'!$B$13:$X$489,9,0)/1000</f>
        <v>2.2999999999999993E-2</v>
      </c>
      <c r="H30" s="154">
        <f>VLOOKUP($A30,'BC.116+240'!$B$13:$X$489,14,0)/1000</f>
        <v>1.8979999999999999</v>
      </c>
      <c r="I30" s="154">
        <f>VLOOKUP($A30,'BC.116+240'!$B$13:$X$489,15,0)/1000</f>
        <v>-0.10199999999999999</v>
      </c>
      <c r="J30" s="154">
        <f>VLOOKUP($A30,'BC.116+240'!$B$13:$X$489,20,0)/1000</f>
        <v>1.956</v>
      </c>
      <c r="K30" s="154">
        <f>VLOOKUP($A30,'BC.116+240'!$B$13:$X$489,21,0)/1000</f>
        <v>-4.3999999999999997E-2</v>
      </c>
      <c r="L30" s="152">
        <f t="shared" si="0"/>
        <v>-17</v>
      </c>
      <c r="M30" s="153">
        <f t="shared" si="1"/>
        <v>-21.999999999999993</v>
      </c>
      <c r="N30" s="152">
        <f t="shared" si="2"/>
        <v>-13.999999999999998</v>
      </c>
      <c r="O30" s="152"/>
      <c r="P30" s="164"/>
      <c r="Q30" s="163"/>
      <c r="R30" s="162"/>
      <c r="S30" s="161"/>
      <c r="T30" s="161"/>
    </row>
    <row r="31" spans="1:20">
      <c r="A31" s="88">
        <f>'BC.116+240'!B30</f>
        <v>45298</v>
      </c>
      <c r="B31" s="152">
        <v>17</v>
      </c>
      <c r="C31" s="154">
        <f>'BC.116+240'!M30/1000</f>
        <v>0.376</v>
      </c>
      <c r="D31" s="154">
        <f>'BC.116+240'!AA30</f>
        <v>0.42299999999999999</v>
      </c>
      <c r="E31" s="155">
        <f>'BC.116+240'!AB30</f>
        <v>0.432</v>
      </c>
      <c r="F31" s="154">
        <f>VLOOKUP($A31,'BC.116+240'!$B$13:$X$489,8,0)/1000</f>
        <v>2.0209999999999999</v>
      </c>
      <c r="G31" s="154">
        <f>VLOOKUP($A31,'BC.116+240'!$B$13:$X$489,9,0)/1000</f>
        <v>2.0999999999999994E-2</v>
      </c>
      <c r="H31" s="154">
        <f>VLOOKUP($A31,'BC.116+240'!$B$13:$X$489,14,0)/1000</f>
        <v>1.8959999999999999</v>
      </c>
      <c r="I31" s="154">
        <f>VLOOKUP($A31,'BC.116+240'!$B$13:$X$489,15,0)/1000</f>
        <v>-0.104</v>
      </c>
      <c r="J31" s="154">
        <f>VLOOKUP($A31,'BC.116+240'!$B$13:$X$489,20,0)/1000</f>
        <v>1.9550000000000001</v>
      </c>
      <c r="K31" s="154">
        <f>VLOOKUP($A31,'BC.116+240'!$B$13:$X$489,21,0)/1000</f>
        <v>-4.4999999999999998E-2</v>
      </c>
      <c r="L31" s="152">
        <f t="shared" si="0"/>
        <v>-19</v>
      </c>
      <c r="M31" s="153">
        <f t="shared" si="1"/>
        <v>-23.999999999999993</v>
      </c>
      <c r="N31" s="152">
        <f t="shared" si="2"/>
        <v>-15</v>
      </c>
      <c r="O31" s="152"/>
      <c r="P31" s="164"/>
      <c r="Q31" s="163"/>
      <c r="R31" s="162"/>
      <c r="S31" s="161"/>
      <c r="T31" s="161"/>
    </row>
    <row r="32" spans="1:20">
      <c r="A32" s="88">
        <f>'BC.116+240'!B31</f>
        <v>45299</v>
      </c>
      <c r="B32" s="152">
        <v>18</v>
      </c>
      <c r="C32" s="154">
        <f>'BC.116+240'!M31/1000</f>
        <v>0.374</v>
      </c>
      <c r="D32" s="154">
        <f>'BC.116+240'!AA31</f>
        <v>0.42299999999999999</v>
      </c>
      <c r="E32" s="155">
        <f>'BC.116+240'!AB31</f>
        <v>0.42799999999999999</v>
      </c>
      <c r="F32" s="154">
        <f>VLOOKUP($A32,'BC.116+240'!$B$13:$X$489,8,0)/1000</f>
        <v>2.0190000000000001</v>
      </c>
      <c r="G32" s="154">
        <f>VLOOKUP($A32,'BC.116+240'!$B$13:$X$489,9,0)/1000</f>
        <v>1.8999999999999993E-2</v>
      </c>
      <c r="H32" s="154">
        <f>VLOOKUP($A32,'BC.116+240'!$B$13:$X$489,14,0)/1000</f>
        <v>1.8939999999999999</v>
      </c>
      <c r="I32" s="154">
        <f>VLOOKUP($A32,'BC.116+240'!$B$13:$X$489,15,0)/1000</f>
        <v>-0.106</v>
      </c>
      <c r="J32" s="154">
        <f>VLOOKUP($A32,'BC.116+240'!$B$13:$X$489,20,0)/1000</f>
        <v>1.9530000000000001</v>
      </c>
      <c r="K32" s="154">
        <f>VLOOKUP($A32,'BC.116+240'!$B$13:$X$489,21,0)/1000</f>
        <v>-4.7E-2</v>
      </c>
      <c r="L32" s="152">
        <f t="shared" si="0"/>
        <v>-21</v>
      </c>
      <c r="M32" s="153">
        <f t="shared" si="1"/>
        <v>-25.999999999999996</v>
      </c>
      <c r="N32" s="152">
        <f t="shared" si="2"/>
        <v>-17</v>
      </c>
      <c r="O32" s="152"/>
      <c r="P32" s="164"/>
      <c r="Q32" s="163"/>
      <c r="R32" s="162"/>
      <c r="S32" s="161"/>
      <c r="T32" s="161"/>
    </row>
    <row r="33" spans="1:20">
      <c r="A33" s="88">
        <f>'BC.116+240'!B32</f>
        <v>45300</v>
      </c>
      <c r="B33" s="152">
        <v>19</v>
      </c>
      <c r="C33" s="154">
        <f>'BC.116+240'!M32/1000</f>
        <v>0.67200000000000004</v>
      </c>
      <c r="D33" s="154">
        <f>'BC.116+240'!AA32</f>
        <v>0.72199999999999998</v>
      </c>
      <c r="E33" s="155">
        <f>'BC.116+240'!AB32</f>
        <v>0.72399999999999998</v>
      </c>
      <c r="F33" s="154">
        <f>VLOOKUP($A33,'BC.116+240'!$B$13:$X$489,8,0)/1000</f>
        <v>2.0169999999999999</v>
      </c>
      <c r="G33" s="154">
        <f>VLOOKUP($A33,'BC.116+240'!$B$13:$X$489,9,0)/1000</f>
        <v>1.6999999999999994E-2</v>
      </c>
      <c r="H33" s="154">
        <f>VLOOKUP($A33,'BC.116+240'!$B$13:$X$489,14,0)/1000</f>
        <v>1.8919999999999999</v>
      </c>
      <c r="I33" s="154">
        <f>VLOOKUP($A33,'BC.116+240'!$B$13:$X$489,15,0)/1000</f>
        <v>-0.108</v>
      </c>
      <c r="J33" s="154">
        <f>VLOOKUP($A33,'BC.116+240'!$B$13:$X$489,20,0)/1000</f>
        <v>1.952</v>
      </c>
      <c r="K33" s="154">
        <f>VLOOKUP($A33,'BC.116+240'!$B$13:$X$489,21,0)/1000</f>
        <v>-4.8000000000000001E-2</v>
      </c>
      <c r="L33" s="152">
        <f t="shared" si="0"/>
        <v>-23</v>
      </c>
      <c r="M33" s="153">
        <f t="shared" si="1"/>
        <v>-27.999999999999996</v>
      </c>
      <c r="N33" s="152">
        <f t="shared" si="2"/>
        <v>-18.000000000000004</v>
      </c>
      <c r="O33" s="152"/>
      <c r="P33" s="164"/>
      <c r="Q33" s="163"/>
      <c r="R33" s="162"/>
      <c r="S33" s="161"/>
      <c r="T33" s="161"/>
    </row>
    <row r="34" spans="1:20">
      <c r="A34" s="88">
        <f>'BC.116+240'!B33</f>
        <v>45301</v>
      </c>
      <c r="B34" s="152">
        <v>20</v>
      </c>
      <c r="C34" s="154">
        <f>'BC.116+240'!M33/1000</f>
        <v>0.66400000000000003</v>
      </c>
      <c r="D34" s="154">
        <f>'BC.116+240'!AA33</f>
        <v>0.72199999999999998</v>
      </c>
      <c r="E34" s="155">
        <f>'BC.116+240'!AB33</f>
        <v>0.70799999999999996</v>
      </c>
      <c r="F34" s="154">
        <f>VLOOKUP($A34,'BC.116+240'!$B$13:$X$489,8,0)/1000</f>
        <v>2.012</v>
      </c>
      <c r="G34" s="154">
        <f>VLOOKUP($A34,'BC.116+240'!$B$13:$X$489,9,0)/1000</f>
        <v>1.1999999999999993E-2</v>
      </c>
      <c r="H34" s="154">
        <f>VLOOKUP($A34,'BC.116+240'!$B$13:$X$489,14,0)/1000</f>
        <v>1.8839999999999999</v>
      </c>
      <c r="I34" s="154">
        <f>VLOOKUP($A34,'BC.116+240'!$B$13:$X$489,15,0)/1000</f>
        <v>-0.11600000000000001</v>
      </c>
      <c r="J34" s="154">
        <f>VLOOKUP($A34,'BC.116+240'!$B$13:$X$489,20,0)/1000</f>
        <v>1.946</v>
      </c>
      <c r="K34" s="154">
        <f>VLOOKUP($A34,'BC.116+240'!$B$13:$X$489,21,0)/1000</f>
        <v>-5.3999999999999999E-2</v>
      </c>
      <c r="L34" s="152">
        <f t="shared" si="0"/>
        <v>-28</v>
      </c>
      <c r="M34" s="153">
        <f t="shared" si="1"/>
        <v>-36.000000000000007</v>
      </c>
      <c r="N34" s="152">
        <f t="shared" si="2"/>
        <v>-24</v>
      </c>
      <c r="O34" s="152"/>
      <c r="P34" s="164"/>
      <c r="Q34" s="163"/>
      <c r="R34" s="162"/>
      <c r="S34" s="161"/>
      <c r="T34" s="161"/>
    </row>
    <row r="35" spans="1:20">
      <c r="A35" s="88">
        <f>'BC.116+240'!B34</f>
        <v>45302</v>
      </c>
      <c r="B35" s="152">
        <v>21</v>
      </c>
      <c r="C35" s="154">
        <f>'BC.116+240'!M34/1000</f>
        <v>0.65600000000000003</v>
      </c>
      <c r="D35" s="154">
        <f>'BC.116+240'!AA34</f>
        <v>0.72199999999999998</v>
      </c>
      <c r="E35" s="155">
        <f>'BC.116+240'!AB34</f>
        <v>0.69199999999999995</v>
      </c>
      <c r="F35" s="154">
        <f>VLOOKUP($A35,'BC.116+240'!$B$13:$X$489,8,0)/1000</f>
        <v>2.0059999999999998</v>
      </c>
      <c r="G35" s="154">
        <f>VLOOKUP($A35,'BC.116+240'!$B$13:$X$489,9,0)/1000</f>
        <v>5.9999999999999932E-3</v>
      </c>
      <c r="H35" s="154">
        <f>VLOOKUP($A35,'BC.116+240'!$B$13:$X$489,14,0)/1000</f>
        <v>1.8759999999999999</v>
      </c>
      <c r="I35" s="154">
        <f>VLOOKUP($A35,'BC.116+240'!$B$13:$X$489,15,0)/1000</f>
        <v>-0.124</v>
      </c>
      <c r="J35" s="154">
        <f>VLOOKUP($A35,'BC.116+240'!$B$13:$X$489,20,0)/1000</f>
        <v>1.9410000000000001</v>
      </c>
      <c r="K35" s="154">
        <f>VLOOKUP($A35,'BC.116+240'!$B$13:$X$489,21,0)/1000</f>
        <v>-5.8999999999999997E-2</v>
      </c>
      <c r="L35" s="152">
        <f t="shared" si="0"/>
        <v>-34</v>
      </c>
      <c r="M35" s="153">
        <f t="shared" si="1"/>
        <v>-44</v>
      </c>
      <c r="N35" s="152">
        <f t="shared" si="2"/>
        <v>-28.999999999999996</v>
      </c>
      <c r="O35" s="152"/>
      <c r="P35" s="164"/>
      <c r="Q35" s="163"/>
      <c r="R35" s="162"/>
      <c r="S35" s="161"/>
      <c r="T35" s="161"/>
    </row>
    <row r="36" spans="1:20" ht="13.5" customHeight="1">
      <c r="A36" s="88">
        <f>'BC.116+240'!B35</f>
        <v>45303</v>
      </c>
      <c r="B36" s="152">
        <v>22</v>
      </c>
      <c r="C36" s="154">
        <f>'BC.116+240'!M35/1000</f>
        <v>0.65400000000000003</v>
      </c>
      <c r="D36" s="154">
        <f>'BC.116+240'!AA35</f>
        <v>0.72199999999999998</v>
      </c>
      <c r="E36" s="155">
        <f>'BC.116+240'!AB35</f>
        <v>0.68799999999999994</v>
      </c>
      <c r="F36" s="154">
        <f>VLOOKUP($A36,'BC.116+240'!$B$13:$X$489,8,0)/1000</f>
        <v>2.004</v>
      </c>
      <c r="G36" s="154">
        <f>VLOOKUP($A36,'BC.116+240'!$B$13:$X$489,9,0)/1000</f>
        <v>3.9999999999999931E-3</v>
      </c>
      <c r="H36" s="154">
        <f>VLOOKUP($A36,'BC.116+240'!$B$13:$X$489,14,0)/1000</f>
        <v>1.8740000000000001</v>
      </c>
      <c r="I36" s="154">
        <f>VLOOKUP($A36,'BC.116+240'!$B$13:$X$489,15,0)/1000</f>
        <v>-0.126</v>
      </c>
      <c r="J36" s="154">
        <f>VLOOKUP($A36,'BC.116+240'!$B$13:$X$489,20,0)/1000</f>
        <v>1.94</v>
      </c>
      <c r="K36" s="154">
        <f>VLOOKUP($A36,'BC.116+240'!$B$13:$X$489,21,0)/1000</f>
        <v>-0.06</v>
      </c>
      <c r="L36" s="152">
        <f t="shared" si="0"/>
        <v>-36.000000000000007</v>
      </c>
      <c r="M36" s="153">
        <f t="shared" si="1"/>
        <v>-46</v>
      </c>
      <c r="N36" s="152">
        <f t="shared" si="2"/>
        <v>-30</v>
      </c>
      <c r="O36" s="152"/>
      <c r="P36" s="164"/>
      <c r="Q36" s="163"/>
      <c r="R36" s="162"/>
      <c r="S36" s="161"/>
      <c r="T36" s="161"/>
    </row>
    <row r="37" spans="1:20">
      <c r="A37" s="88">
        <f>'BC.116+240'!B36</f>
        <v>45304</v>
      </c>
      <c r="B37" s="152">
        <v>23</v>
      </c>
      <c r="C37" s="154">
        <f>'BC.116+240'!M36/1000</f>
        <v>0.65200000000000002</v>
      </c>
      <c r="D37" s="154">
        <f>'BC.116+240'!AA36</f>
        <v>0.72199999999999998</v>
      </c>
      <c r="E37" s="155">
        <f>'BC.116+240'!AB36</f>
        <v>0.68400000000000005</v>
      </c>
      <c r="F37" s="154">
        <f>VLOOKUP($A37,'BC.116+240'!$B$13:$X$489,8,0)/1000</f>
        <v>2.0019999999999998</v>
      </c>
      <c r="G37" s="154">
        <f>VLOOKUP($A37,'BC.116+240'!$B$13:$X$489,9,0)/1000</f>
        <v>1.9999999999999931E-3</v>
      </c>
      <c r="H37" s="154">
        <f>VLOOKUP($A37,'BC.116+240'!$B$13:$X$489,14,0)/1000</f>
        <v>1.8720000000000001</v>
      </c>
      <c r="I37" s="154">
        <f>VLOOKUP($A37,'BC.116+240'!$B$13:$X$489,15,0)/1000</f>
        <v>-0.128</v>
      </c>
      <c r="J37" s="154">
        <f>VLOOKUP($A37,'BC.116+240'!$B$13:$X$489,20,0)/1000</f>
        <v>1.9390000000000001</v>
      </c>
      <c r="K37" s="154">
        <f>VLOOKUP($A37,'BC.116+240'!$B$13:$X$489,21,0)/1000</f>
        <v>-6.0999999999999999E-2</v>
      </c>
      <c r="L37" s="152">
        <f t="shared" si="0"/>
        <v>-38</v>
      </c>
      <c r="M37" s="153">
        <f t="shared" si="1"/>
        <v>-48</v>
      </c>
      <c r="N37" s="152">
        <f t="shared" si="2"/>
        <v>-31</v>
      </c>
      <c r="O37" s="152"/>
      <c r="P37" s="164"/>
      <c r="Q37" s="163"/>
      <c r="R37" s="162"/>
      <c r="S37" s="161"/>
      <c r="T37" s="161"/>
    </row>
    <row r="38" spans="1:20">
      <c r="A38" s="88">
        <f>'BC.116+240'!B37</f>
        <v>45305</v>
      </c>
      <c r="B38" s="152">
        <v>24</v>
      </c>
      <c r="C38" s="154">
        <f>'BC.116+240'!M37/1000</f>
        <v>0.95</v>
      </c>
      <c r="D38" s="154">
        <f>'BC.116+240'!AA37</f>
        <v>1.02</v>
      </c>
      <c r="E38" s="155">
        <f>'BC.116+240'!AB37</f>
        <v>0.98</v>
      </c>
      <c r="F38" s="154">
        <f>VLOOKUP($A38,'BC.116+240'!$B$13:$X$489,8,0)/1000</f>
        <v>2</v>
      </c>
      <c r="G38" s="154">
        <f>VLOOKUP($A38,'BC.116+240'!$B$13:$X$489,9,0)/1000</f>
        <v>-7.105427357601002E-18</v>
      </c>
      <c r="H38" s="154">
        <f>VLOOKUP($A38,'BC.116+240'!$B$13:$X$489,14,0)/1000</f>
        <v>1.87</v>
      </c>
      <c r="I38" s="154">
        <f>VLOOKUP($A38,'BC.116+240'!$B$13:$X$489,15,0)/1000</f>
        <v>-0.13</v>
      </c>
      <c r="J38" s="154">
        <f>VLOOKUP($A38,'BC.116+240'!$B$13:$X$489,20,0)/1000</f>
        <v>1.9370000000000001</v>
      </c>
      <c r="K38" s="154">
        <f>VLOOKUP($A38,'BC.116+240'!$B$13:$X$489,21,0)/1000</f>
        <v>-6.3E-2</v>
      </c>
      <c r="L38" s="152">
        <f t="shared" si="0"/>
        <v>-40</v>
      </c>
      <c r="M38" s="153">
        <f t="shared" si="1"/>
        <v>-50</v>
      </c>
      <c r="N38" s="152">
        <f t="shared" si="2"/>
        <v>-33</v>
      </c>
      <c r="O38" s="152"/>
      <c r="P38" s="164"/>
      <c r="Q38" s="163"/>
      <c r="R38" s="162"/>
      <c r="S38" s="161"/>
      <c r="T38" s="161"/>
    </row>
    <row r="39" spans="1:20">
      <c r="A39" s="88">
        <f>'BC.116+240'!B38</f>
        <v>45306</v>
      </c>
      <c r="B39" s="152">
        <v>25</v>
      </c>
      <c r="C39" s="154">
        <f>'BC.116+240'!M38/1000</f>
        <v>0.94199999999999995</v>
      </c>
      <c r="D39" s="154">
        <f>'BC.116+240'!AA38</f>
        <v>1.02</v>
      </c>
      <c r="E39" s="155">
        <f>'BC.116+240'!AB38</f>
        <v>0.96399999999999997</v>
      </c>
      <c r="F39" s="154">
        <f>VLOOKUP($A39,'BC.116+240'!$B$13:$X$489,8,0)/1000</f>
        <v>1.9950000000000001</v>
      </c>
      <c r="G39" s="154">
        <f>VLOOKUP($A39,'BC.116+240'!$B$13:$X$489,9,0)/1000</f>
        <v>-5.000000000000007E-3</v>
      </c>
      <c r="H39" s="154">
        <f>VLOOKUP($A39,'BC.116+240'!$B$13:$X$489,14,0)/1000</f>
        <v>1.8620000000000001</v>
      </c>
      <c r="I39" s="154">
        <f>VLOOKUP($A39,'BC.116+240'!$B$13:$X$489,15,0)/1000</f>
        <v>-0.13800000000000001</v>
      </c>
      <c r="J39" s="154">
        <f>VLOOKUP($A39,'BC.116+240'!$B$13:$X$489,20,0)/1000</f>
        <v>1.9319999999999999</v>
      </c>
      <c r="K39" s="154">
        <f>VLOOKUP($A39,'BC.116+240'!$B$13:$X$489,21,0)/1000</f>
        <v>-6.8000000000000005E-2</v>
      </c>
      <c r="L39" s="152">
        <f t="shared" si="0"/>
        <v>-45</v>
      </c>
      <c r="M39" s="153">
        <f t="shared" si="1"/>
        <v>-58.000000000000007</v>
      </c>
      <c r="N39" s="152">
        <f t="shared" si="2"/>
        <v>-38.000000000000007</v>
      </c>
      <c r="O39" s="152"/>
      <c r="P39" s="164"/>
      <c r="Q39" s="163"/>
      <c r="R39" s="162"/>
      <c r="S39" s="161"/>
      <c r="T39" s="161"/>
    </row>
    <row r="40" spans="1:20">
      <c r="A40" s="88">
        <f>'BC.116+240'!B39</f>
        <v>45307</v>
      </c>
      <c r="B40" s="152">
        <v>26</v>
      </c>
      <c r="C40" s="154">
        <f>'BC.116+240'!M39/1000</f>
        <v>0.94</v>
      </c>
      <c r="D40" s="154">
        <f>'BC.116+240'!AA39</f>
        <v>1.02</v>
      </c>
      <c r="E40" s="155">
        <f>'BC.116+240'!AB39</f>
        <v>0.96</v>
      </c>
      <c r="F40" s="154">
        <f>VLOOKUP($A40,'BC.116+240'!$B$13:$X$489,8,0)/1000</f>
        <v>1.9930000000000001</v>
      </c>
      <c r="G40" s="154">
        <f>VLOOKUP($A40,'BC.116+240'!$B$13:$X$489,9,0)/1000</f>
        <v>-7.0000000000000071E-3</v>
      </c>
      <c r="H40" s="154">
        <f>VLOOKUP($A40,'BC.116+240'!$B$13:$X$489,14,0)/1000</f>
        <v>1.86</v>
      </c>
      <c r="I40" s="154">
        <f>VLOOKUP($A40,'BC.116+240'!$B$13:$X$489,15,0)/1000</f>
        <v>-0.14000000000000001</v>
      </c>
      <c r="J40" s="154">
        <f>VLOOKUP($A40,'BC.116+240'!$B$13:$X$489,20,0)/1000</f>
        <v>1.931</v>
      </c>
      <c r="K40" s="154">
        <f>VLOOKUP($A40,'BC.116+240'!$B$13:$X$489,21,0)/1000</f>
        <v>-6.9000000000000006E-2</v>
      </c>
      <c r="L40" s="152">
        <f t="shared" si="0"/>
        <v>-47</v>
      </c>
      <c r="M40" s="153">
        <f t="shared" si="1"/>
        <v>-60.000000000000014</v>
      </c>
      <c r="N40" s="152">
        <f t="shared" si="2"/>
        <v>-39.000000000000007</v>
      </c>
      <c r="O40" s="152"/>
      <c r="P40" s="164"/>
      <c r="Q40" s="163"/>
      <c r="R40" s="162"/>
      <c r="S40" s="161"/>
      <c r="T40" s="161"/>
    </row>
    <row r="41" spans="1:20">
      <c r="A41" s="88">
        <f>'BC.116+240'!B40</f>
        <v>45308</v>
      </c>
      <c r="B41" s="152">
        <v>27</v>
      </c>
      <c r="C41" s="154">
        <f>'BC.116+240'!M40/1000</f>
        <v>0.93799999999999994</v>
      </c>
      <c r="D41" s="154">
        <f>'BC.116+240'!AA40</f>
        <v>1.02</v>
      </c>
      <c r="E41" s="155">
        <f>'BC.116+240'!AB40</f>
        <v>0.95599999999999996</v>
      </c>
      <c r="F41" s="154">
        <f>VLOOKUP($A41,'BC.116+240'!$B$13:$X$489,8,0)/1000</f>
        <v>1.9910000000000001</v>
      </c>
      <c r="G41" s="154">
        <f>VLOOKUP($A41,'BC.116+240'!$B$13:$X$489,9,0)/1000</f>
        <v>-9.0000000000000063E-3</v>
      </c>
      <c r="H41" s="154">
        <f>VLOOKUP($A41,'BC.116+240'!$B$13:$X$489,14,0)/1000</f>
        <v>1.8580000000000001</v>
      </c>
      <c r="I41" s="154">
        <f>VLOOKUP($A41,'BC.116+240'!$B$13:$X$489,15,0)/1000</f>
        <v>-0.14199999999999999</v>
      </c>
      <c r="J41" s="154">
        <f>VLOOKUP($A41,'BC.116+240'!$B$13:$X$489,20,0)/1000</f>
        <v>1.929</v>
      </c>
      <c r="K41" s="154">
        <f>VLOOKUP($A41,'BC.116+240'!$B$13:$X$489,21,0)/1000</f>
        <v>-7.0999999999999994E-2</v>
      </c>
      <c r="L41" s="152">
        <f t="shared" si="0"/>
        <v>-49</v>
      </c>
      <c r="M41" s="153">
        <f t="shared" si="1"/>
        <v>-61.999999999999986</v>
      </c>
      <c r="N41" s="152">
        <f t="shared" si="2"/>
        <v>-40.999999999999993</v>
      </c>
      <c r="O41" s="152"/>
      <c r="P41" s="164"/>
      <c r="Q41" s="163"/>
      <c r="R41" s="162"/>
      <c r="S41" s="161"/>
      <c r="T41" s="161"/>
    </row>
    <row r="42" spans="1:20">
      <c r="A42" s="88">
        <f>'BC.116+240'!B41</f>
        <v>45309</v>
      </c>
      <c r="B42" s="152">
        <v>28</v>
      </c>
      <c r="C42" s="154">
        <f>'BC.116+240'!M41/1000</f>
        <v>1.236</v>
      </c>
      <c r="D42" s="154">
        <f>'BC.116+240'!AA41</f>
        <v>1.319</v>
      </c>
      <c r="E42" s="155">
        <f>'BC.116+240'!AB41</f>
        <v>1.252</v>
      </c>
      <c r="F42" s="154">
        <f>VLOOKUP($A42,'BC.116+240'!$B$13:$X$489,8,0)/1000</f>
        <v>1.9890000000000001</v>
      </c>
      <c r="G42" s="154">
        <f>VLOOKUP($A42,'BC.116+240'!$B$13:$X$489,9,0)/1000</f>
        <v>-1.1000000000000006E-2</v>
      </c>
      <c r="H42" s="154">
        <f>VLOOKUP($A42,'BC.116+240'!$B$13:$X$489,14,0)/1000</f>
        <v>1.8560000000000001</v>
      </c>
      <c r="I42" s="154">
        <f>VLOOKUP($A42,'BC.116+240'!$B$13:$X$489,15,0)/1000</f>
        <v>-0.14399999999999999</v>
      </c>
      <c r="J42" s="154">
        <f>VLOOKUP($A42,'BC.116+240'!$B$13:$X$489,20,0)/1000</f>
        <v>1.9279999999999999</v>
      </c>
      <c r="K42" s="154">
        <f>VLOOKUP($A42,'BC.116+240'!$B$13:$X$489,21,0)/1000</f>
        <v>-7.1999999999999995E-2</v>
      </c>
      <c r="L42" s="152">
        <f t="shared" si="0"/>
        <v>-51.000000000000007</v>
      </c>
      <c r="M42" s="153">
        <f t="shared" si="1"/>
        <v>-63.999999999999986</v>
      </c>
      <c r="N42" s="152">
        <f t="shared" si="2"/>
        <v>-41.999999999999993</v>
      </c>
      <c r="O42" s="152"/>
      <c r="P42" s="164"/>
      <c r="Q42" s="163"/>
      <c r="R42" s="162"/>
      <c r="S42" s="161"/>
      <c r="T42" s="161"/>
    </row>
    <row r="43" spans="1:20">
      <c r="A43" s="88">
        <f>'BC.116+240'!B42</f>
        <v>45310</v>
      </c>
      <c r="B43" s="152">
        <v>29</v>
      </c>
      <c r="C43" s="154">
        <f>'BC.116+240'!M42/1000</f>
        <v>1.228</v>
      </c>
      <c r="D43" s="154">
        <f>'BC.116+240'!AA42</f>
        <v>1.319</v>
      </c>
      <c r="E43" s="155">
        <f>'BC.116+240'!AB42</f>
        <v>1.236</v>
      </c>
      <c r="F43" s="154">
        <f>VLOOKUP($A43,'BC.116+240'!$B$13:$X$489,8,0)/1000</f>
        <v>1.984</v>
      </c>
      <c r="G43" s="154">
        <f>VLOOKUP($A43,'BC.116+240'!$B$13:$X$489,9,0)/1000</f>
        <v>-1.6000000000000007E-2</v>
      </c>
      <c r="H43" s="154">
        <f>VLOOKUP($A43,'BC.116+240'!$B$13:$X$489,14,0)/1000</f>
        <v>1.8480000000000001</v>
      </c>
      <c r="I43" s="154">
        <f>VLOOKUP($A43,'BC.116+240'!$B$13:$X$489,15,0)/1000</f>
        <v>-0.152</v>
      </c>
      <c r="J43" s="154">
        <f>VLOOKUP($A43,'BC.116+240'!$B$13:$X$489,20,0)/1000</f>
        <v>1.9219999999999999</v>
      </c>
      <c r="K43" s="154">
        <f>VLOOKUP($A43,'BC.116+240'!$B$13:$X$489,21,0)/1000</f>
        <v>-7.8E-2</v>
      </c>
      <c r="L43" s="152">
        <f t="shared" si="0"/>
        <v>-56</v>
      </c>
      <c r="M43" s="153">
        <f t="shared" si="1"/>
        <v>-72</v>
      </c>
      <c r="N43" s="152">
        <f t="shared" si="2"/>
        <v>-48</v>
      </c>
      <c r="O43" s="152"/>
      <c r="P43" s="164"/>
      <c r="Q43" s="163"/>
      <c r="R43" s="162"/>
      <c r="S43" s="161"/>
      <c r="T43" s="161"/>
    </row>
    <row r="44" spans="1:20">
      <c r="A44" s="88">
        <f>'BC.116+240'!B43</f>
        <v>45311</v>
      </c>
      <c r="B44" s="152">
        <v>30</v>
      </c>
      <c r="C44" s="154">
        <f>'BC.116+240'!M43/1000</f>
        <v>1.2270000000000001</v>
      </c>
      <c r="D44" s="154">
        <f>'BC.116+240'!AA43</f>
        <v>1.319</v>
      </c>
      <c r="E44" s="155">
        <f>'BC.116+240'!AB43</f>
        <v>1.234</v>
      </c>
      <c r="F44" s="154">
        <f>VLOOKUP($A44,'BC.116+240'!$B$13:$X$489,8,0)/1000</f>
        <v>1.984</v>
      </c>
      <c r="G44" s="154">
        <f>VLOOKUP($A44,'BC.116+240'!$B$13:$X$489,9,0)/1000</f>
        <v>-1.6000000000000007E-2</v>
      </c>
      <c r="H44" s="154">
        <f>VLOOKUP($A44,'BC.116+240'!$B$13:$X$489,14,0)/1000</f>
        <v>1.847</v>
      </c>
      <c r="I44" s="154">
        <f>VLOOKUP($A44,'BC.116+240'!$B$13:$X$489,15,0)/1000</f>
        <v>-0.153</v>
      </c>
      <c r="J44" s="154">
        <f>VLOOKUP($A44,'BC.116+240'!$B$13:$X$489,20,0)/1000</f>
        <v>1.9219999999999999</v>
      </c>
      <c r="K44" s="154">
        <f>VLOOKUP($A44,'BC.116+240'!$B$13:$X$489,21,0)/1000</f>
        <v>-7.8E-2</v>
      </c>
      <c r="L44" s="152">
        <f t="shared" si="0"/>
        <v>-56</v>
      </c>
      <c r="M44" s="153">
        <f t="shared" si="1"/>
        <v>-73</v>
      </c>
      <c r="N44" s="152">
        <f t="shared" si="2"/>
        <v>-48</v>
      </c>
      <c r="O44" s="152"/>
      <c r="P44" s="164"/>
      <c r="Q44" s="163"/>
      <c r="R44" s="162"/>
      <c r="S44" s="161"/>
      <c r="T44" s="161"/>
    </row>
    <row r="45" spans="1:20">
      <c r="A45" s="88">
        <f>'BC.116+240'!B44</f>
        <v>45312</v>
      </c>
      <c r="B45" s="152">
        <v>31</v>
      </c>
      <c r="C45" s="154">
        <f>'BC.116+240'!M44/1000</f>
        <v>1.2190000000000001</v>
      </c>
      <c r="D45" s="154">
        <f>'BC.116+240'!AA44</f>
        <v>1.319</v>
      </c>
      <c r="E45" s="155">
        <f>'BC.116+240'!AB44</f>
        <v>1.218</v>
      </c>
      <c r="F45" s="154">
        <f>VLOOKUP($A45,'BC.116+240'!$B$13:$X$489,8,0)/1000</f>
        <v>1.978</v>
      </c>
      <c r="G45" s="154">
        <f>VLOOKUP($A45,'BC.116+240'!$B$13:$X$489,9,0)/1000</f>
        <v>-2.2000000000000006E-2</v>
      </c>
      <c r="H45" s="154">
        <f>VLOOKUP($A45,'BC.116+240'!$B$13:$X$489,14,0)/1000</f>
        <v>1.839</v>
      </c>
      <c r="I45" s="154">
        <f>VLOOKUP($A45,'BC.116+240'!$B$13:$X$489,15,0)/1000</f>
        <v>-0.161</v>
      </c>
      <c r="J45" s="154">
        <f>VLOOKUP($A45,'BC.116+240'!$B$13:$X$489,20,0)/1000</f>
        <v>1.917</v>
      </c>
      <c r="K45" s="154">
        <f>VLOOKUP($A45,'BC.116+240'!$B$13:$X$489,21,0)/1000</f>
        <v>-8.3000000000000004E-2</v>
      </c>
      <c r="L45" s="152">
        <f t="shared" si="0"/>
        <v>-62</v>
      </c>
      <c r="M45" s="153">
        <f t="shared" si="1"/>
        <v>-81</v>
      </c>
      <c r="N45" s="152">
        <f t="shared" si="2"/>
        <v>-53.000000000000007</v>
      </c>
      <c r="O45" s="152"/>
      <c r="P45" s="164"/>
      <c r="Q45" s="163"/>
      <c r="R45" s="162"/>
      <c r="S45" s="161"/>
      <c r="T45" s="161"/>
    </row>
    <row r="46" spans="1:20">
      <c r="A46" s="88">
        <f>'BC.116+240'!B45</f>
        <v>45313</v>
      </c>
      <c r="B46" s="152">
        <v>32</v>
      </c>
      <c r="C46" s="154">
        <f>'BC.116+240'!M45/1000</f>
        <v>1.5169999999999999</v>
      </c>
      <c r="D46" s="154">
        <f>'BC.116+240'!AA45</f>
        <v>1.6179999999999999</v>
      </c>
      <c r="E46" s="155">
        <f>'BC.116+240'!AB45</f>
        <v>1.514</v>
      </c>
      <c r="F46" s="154">
        <f>VLOOKUP($A46,'BC.116+240'!$B$13:$X$489,8,0)/1000</f>
        <v>1.976</v>
      </c>
      <c r="G46" s="154">
        <f>VLOOKUP($A46,'BC.116+240'!$B$13:$X$489,9,0)/1000</f>
        <v>-2.4000000000000007E-2</v>
      </c>
      <c r="H46" s="154">
        <f>VLOOKUP($A46,'BC.116+240'!$B$13:$X$489,14,0)/1000</f>
        <v>1.837</v>
      </c>
      <c r="I46" s="154">
        <f>VLOOKUP($A46,'BC.116+240'!$B$13:$X$489,15,0)/1000</f>
        <v>-0.16300000000000001</v>
      </c>
      <c r="J46" s="154">
        <f>VLOOKUP($A46,'BC.116+240'!$B$13:$X$489,20,0)/1000</f>
        <v>1.9159999999999999</v>
      </c>
      <c r="K46" s="154">
        <f>VLOOKUP($A46,'BC.116+240'!$B$13:$X$489,21,0)/1000</f>
        <v>-8.4000000000000005E-2</v>
      </c>
      <c r="L46" s="152">
        <f t="shared" si="0"/>
        <v>-64</v>
      </c>
      <c r="M46" s="153">
        <f t="shared" si="1"/>
        <v>-83</v>
      </c>
      <c r="N46" s="152">
        <f t="shared" si="2"/>
        <v>-54.000000000000007</v>
      </c>
      <c r="O46" s="152"/>
      <c r="P46" s="164"/>
      <c r="Q46" s="163"/>
      <c r="R46" s="162"/>
      <c r="S46" s="161"/>
      <c r="T46" s="161"/>
    </row>
    <row r="47" spans="1:20">
      <c r="A47" s="88">
        <f>'BC.116+240'!B46</f>
        <v>45314</v>
      </c>
      <c r="B47" s="152">
        <v>33</v>
      </c>
      <c r="C47" s="154">
        <f>'BC.116+240'!M46/1000</f>
        <v>1.5149999999999999</v>
      </c>
      <c r="D47" s="154">
        <f>'BC.116+240'!AA46</f>
        <v>1.6179999999999999</v>
      </c>
      <c r="E47" s="155">
        <f>'BC.116+240'!AB46</f>
        <v>1.51</v>
      </c>
      <c r="F47" s="154">
        <f>VLOOKUP($A47,'BC.116+240'!$B$13:$X$489,8,0)/1000</f>
        <v>1.974</v>
      </c>
      <c r="G47" s="154">
        <f>VLOOKUP($A47,'BC.116+240'!$B$13:$X$489,9,0)/1000</f>
        <v>-2.6000000000000006E-2</v>
      </c>
      <c r="H47" s="154">
        <f>VLOOKUP($A47,'BC.116+240'!$B$13:$X$489,14,0)/1000</f>
        <v>1.835</v>
      </c>
      <c r="I47" s="154">
        <f>VLOOKUP($A47,'BC.116+240'!$B$13:$X$489,15,0)/1000</f>
        <v>-0.16500000000000001</v>
      </c>
      <c r="J47" s="154">
        <f>VLOOKUP($A47,'BC.116+240'!$B$13:$X$489,20,0)/1000</f>
        <v>1.915</v>
      </c>
      <c r="K47" s="154">
        <f>VLOOKUP($A47,'BC.116+240'!$B$13:$X$489,21,0)/1000</f>
        <v>-8.5000000000000006E-2</v>
      </c>
      <c r="L47" s="152">
        <f t="shared" si="0"/>
        <v>-66</v>
      </c>
      <c r="M47" s="153">
        <f t="shared" si="1"/>
        <v>-85</v>
      </c>
      <c r="N47" s="152">
        <f t="shared" si="2"/>
        <v>-55.000000000000007</v>
      </c>
      <c r="O47" s="152"/>
      <c r="P47" s="164"/>
      <c r="Q47" s="163"/>
      <c r="R47" s="162"/>
      <c r="S47" s="161"/>
      <c r="T47" s="161"/>
    </row>
    <row r="48" spans="1:20">
      <c r="A48" s="88">
        <f>'BC.116+240'!B47</f>
        <v>45315</v>
      </c>
      <c r="B48" s="152">
        <v>34</v>
      </c>
      <c r="C48" s="154">
        <f>'BC.116+240'!M47/1000</f>
        <v>1.5129999999999999</v>
      </c>
      <c r="D48" s="154">
        <f>'BC.116+240'!AA47</f>
        <v>1.6179999999999999</v>
      </c>
      <c r="E48" s="155">
        <f>'BC.116+240'!AB47</f>
        <v>1.506</v>
      </c>
      <c r="F48" s="154">
        <f>VLOOKUP($A48,'BC.116+240'!$B$13:$X$489,8,0)/1000</f>
        <v>1.972</v>
      </c>
      <c r="G48" s="154">
        <f>VLOOKUP($A48,'BC.116+240'!$B$13:$X$489,9,0)/1000</f>
        <v>-2.8000000000000008E-2</v>
      </c>
      <c r="H48" s="154">
        <f>VLOOKUP($A48,'BC.116+240'!$B$13:$X$489,14,0)/1000</f>
        <v>1.833</v>
      </c>
      <c r="I48" s="154">
        <f>VLOOKUP($A48,'BC.116+240'!$B$13:$X$489,15,0)/1000</f>
        <v>-0.16700000000000001</v>
      </c>
      <c r="J48" s="154">
        <f>VLOOKUP($A48,'BC.116+240'!$B$13:$X$489,20,0)/1000</f>
        <v>1.913</v>
      </c>
      <c r="K48" s="154">
        <f>VLOOKUP($A48,'BC.116+240'!$B$13:$X$489,21,0)/1000</f>
        <v>-8.6999999999999994E-2</v>
      </c>
      <c r="L48" s="152">
        <f t="shared" si="0"/>
        <v>-68</v>
      </c>
      <c r="M48" s="153">
        <f t="shared" si="1"/>
        <v>-87.000000000000014</v>
      </c>
      <c r="N48" s="152">
        <f t="shared" si="2"/>
        <v>-56.999999999999993</v>
      </c>
      <c r="O48" s="152"/>
      <c r="P48" s="164"/>
      <c r="Q48" s="163"/>
      <c r="R48" s="162"/>
      <c r="S48" s="161"/>
      <c r="T48" s="161"/>
    </row>
    <row r="49" spans="1:20">
      <c r="A49" s="88">
        <f>'BC.116+240'!B48</f>
        <v>45316</v>
      </c>
      <c r="B49" s="152">
        <v>35</v>
      </c>
      <c r="C49" s="154">
        <f>'BC.116+240'!M48/1000</f>
        <v>1.5049999999999999</v>
      </c>
      <c r="D49" s="154">
        <f>'BC.116+240'!AA48</f>
        <v>1.6179999999999999</v>
      </c>
      <c r="E49" s="155">
        <f>'BC.116+240'!AB48</f>
        <v>1.49</v>
      </c>
      <c r="F49" s="154">
        <f>VLOOKUP($A49,'BC.116+240'!$B$13:$X$489,8,0)/1000</f>
        <v>1.9670000000000001</v>
      </c>
      <c r="G49" s="154">
        <f>VLOOKUP($A49,'BC.116+240'!$B$13:$X$489,9,0)/1000</f>
        <v>-3.3000000000000008E-2</v>
      </c>
      <c r="H49" s="154">
        <f>VLOOKUP($A49,'BC.116+240'!$B$13:$X$489,14,0)/1000</f>
        <v>1.825</v>
      </c>
      <c r="I49" s="154">
        <f>VLOOKUP($A49,'BC.116+240'!$B$13:$X$489,15,0)/1000</f>
        <v>-0.17499999999999999</v>
      </c>
      <c r="J49" s="154">
        <f>VLOOKUP($A49,'BC.116+240'!$B$13:$X$489,20,0)/1000</f>
        <v>1.9079999999999999</v>
      </c>
      <c r="K49" s="154">
        <f>VLOOKUP($A49,'BC.116+240'!$B$13:$X$489,21,0)/1000</f>
        <v>-9.1999999999999998E-2</v>
      </c>
      <c r="L49" s="152">
        <f t="shared" si="0"/>
        <v>-73.000000000000014</v>
      </c>
      <c r="M49" s="153">
        <f t="shared" si="1"/>
        <v>-94.999999999999986</v>
      </c>
      <c r="N49" s="152">
        <f t="shared" si="2"/>
        <v>-62</v>
      </c>
      <c r="O49" s="152"/>
      <c r="P49" s="164"/>
      <c r="Q49" s="163"/>
      <c r="R49" s="162"/>
      <c r="S49" s="161"/>
      <c r="T49" s="161"/>
    </row>
    <row r="50" spans="1:20">
      <c r="A50" s="88">
        <f>'BC.116+240'!B49</f>
        <v>45317</v>
      </c>
      <c r="B50" s="152">
        <v>36</v>
      </c>
      <c r="C50" s="154">
        <f>'BC.116+240'!M49/1000</f>
        <v>1.5029999999999999</v>
      </c>
      <c r="D50" s="154">
        <f>'BC.116+240'!AA49</f>
        <v>1.6179999999999999</v>
      </c>
      <c r="E50" s="155">
        <f>'BC.116+240'!AB49</f>
        <v>1.486</v>
      </c>
      <c r="F50" s="154">
        <f>VLOOKUP($A50,'BC.116+240'!$B$13:$X$489,8,0)/1000</f>
        <v>1.9650000000000001</v>
      </c>
      <c r="G50" s="154">
        <f>VLOOKUP($A50,'BC.116+240'!$B$13:$X$489,9,0)/1000</f>
        <v>-3.500000000000001E-2</v>
      </c>
      <c r="H50" s="154">
        <f>VLOOKUP($A50,'BC.116+240'!$B$13:$X$489,14,0)/1000</f>
        <v>1.823</v>
      </c>
      <c r="I50" s="154">
        <f>VLOOKUP($A50,'BC.116+240'!$B$13:$X$489,15,0)/1000</f>
        <v>-0.17699999999999999</v>
      </c>
      <c r="J50" s="154">
        <f>VLOOKUP($A50,'BC.116+240'!$B$13:$X$489,20,0)/1000</f>
        <v>1.907</v>
      </c>
      <c r="K50" s="154">
        <f>VLOOKUP($A50,'BC.116+240'!$B$13:$X$489,21,0)/1000</f>
        <v>-9.2999999999999999E-2</v>
      </c>
      <c r="L50" s="152">
        <f t="shared" si="0"/>
        <v>-75.000000000000014</v>
      </c>
      <c r="M50" s="153">
        <f t="shared" si="1"/>
        <v>-96.999999999999986</v>
      </c>
      <c r="N50" s="152">
        <f t="shared" si="2"/>
        <v>-63</v>
      </c>
      <c r="O50" s="152"/>
      <c r="P50" s="164"/>
      <c r="Q50" s="163"/>
      <c r="R50" s="162"/>
      <c r="S50" s="161"/>
      <c r="T50" s="161"/>
    </row>
    <row r="51" spans="1:20">
      <c r="A51" s="88">
        <f>'BC.116+240'!B50</f>
        <v>45318</v>
      </c>
      <c r="B51" s="152">
        <v>37</v>
      </c>
      <c r="C51" s="154">
        <f>'BC.116+240'!M50/1000</f>
        <v>1.5009999999999999</v>
      </c>
      <c r="D51" s="154">
        <f>'BC.116+240'!AA50</f>
        <v>1.6179999999999999</v>
      </c>
      <c r="E51" s="155">
        <f>'BC.116+240'!AB50</f>
        <v>1.482</v>
      </c>
      <c r="F51" s="154">
        <f>VLOOKUP($A51,'BC.116+240'!$B$13:$X$489,8,0)/1000</f>
        <v>1.9630000000000001</v>
      </c>
      <c r="G51" s="154">
        <f>VLOOKUP($A51,'BC.116+240'!$B$13:$X$489,9,0)/1000</f>
        <v>-3.7000000000000005E-2</v>
      </c>
      <c r="H51" s="154">
        <f>VLOOKUP($A51,'BC.116+240'!$B$13:$X$489,14,0)/1000</f>
        <v>1.821</v>
      </c>
      <c r="I51" s="154">
        <f>VLOOKUP($A51,'BC.116+240'!$B$13:$X$489,15,0)/1000</f>
        <v>-0.17899999999999999</v>
      </c>
      <c r="J51" s="154">
        <f>VLOOKUP($A51,'BC.116+240'!$B$13:$X$489,20,0)/1000</f>
        <v>1.905</v>
      </c>
      <c r="K51" s="154">
        <f>VLOOKUP($A51,'BC.116+240'!$B$13:$X$489,21,0)/1000</f>
        <v>-9.5000000000000001E-2</v>
      </c>
      <c r="L51" s="152">
        <f t="shared" si="0"/>
        <v>-77</v>
      </c>
      <c r="M51" s="153">
        <f t="shared" si="1"/>
        <v>-98.999999999999986</v>
      </c>
      <c r="N51" s="152">
        <f t="shared" si="2"/>
        <v>-65</v>
      </c>
      <c r="O51" s="152"/>
      <c r="P51" s="164"/>
      <c r="Q51" s="163"/>
      <c r="R51" s="162"/>
      <c r="S51" s="161"/>
      <c r="T51" s="161"/>
    </row>
    <row r="52" spans="1:20">
      <c r="A52" s="88">
        <f>'BC.116+240'!B51</f>
        <v>45319</v>
      </c>
      <c r="B52" s="152">
        <v>38</v>
      </c>
      <c r="C52" s="154">
        <f>'BC.116+240'!M51/1000</f>
        <v>1.4990000000000001</v>
      </c>
      <c r="D52" s="154">
        <f>'BC.116+240'!AA51</f>
        <v>1.6179999999999999</v>
      </c>
      <c r="E52" s="155">
        <f>'BC.116+240'!AB51</f>
        <v>1.478</v>
      </c>
      <c r="F52" s="154">
        <f>VLOOKUP($A52,'BC.116+240'!$B$13:$X$489,8,0)/1000</f>
        <v>1.9610000000000001</v>
      </c>
      <c r="G52" s="154">
        <f>VLOOKUP($A52,'BC.116+240'!$B$13:$X$489,9,0)/1000</f>
        <v>-3.9000000000000007E-2</v>
      </c>
      <c r="H52" s="154">
        <f>VLOOKUP($A52,'BC.116+240'!$B$13:$X$489,14,0)/1000</f>
        <v>1.819</v>
      </c>
      <c r="I52" s="154">
        <f>VLOOKUP($A52,'BC.116+240'!$B$13:$X$489,15,0)/1000</f>
        <v>-0.18099999999999999</v>
      </c>
      <c r="J52" s="154">
        <f>VLOOKUP($A52,'BC.116+240'!$B$13:$X$489,20,0)/1000</f>
        <v>1.9039999999999999</v>
      </c>
      <c r="K52" s="154">
        <f>VLOOKUP($A52,'BC.116+240'!$B$13:$X$489,21,0)/1000</f>
        <v>-9.6000000000000002E-2</v>
      </c>
      <c r="L52" s="152">
        <f t="shared" si="0"/>
        <v>-79</v>
      </c>
      <c r="M52" s="153">
        <f t="shared" si="1"/>
        <v>-100.99999999999999</v>
      </c>
      <c r="N52" s="152">
        <f t="shared" si="2"/>
        <v>-66</v>
      </c>
      <c r="O52" s="152"/>
      <c r="P52" s="164"/>
      <c r="Q52" s="163"/>
      <c r="R52" s="162"/>
      <c r="S52" s="161"/>
      <c r="T52" s="161"/>
    </row>
    <row r="53" spans="1:20">
      <c r="A53" s="88">
        <f>'BC.116+240'!B52</f>
        <v>45320</v>
      </c>
      <c r="B53" s="152">
        <v>39</v>
      </c>
      <c r="C53" s="154">
        <f>'BC.116+240'!M52/1000</f>
        <v>1.4910000000000001</v>
      </c>
      <c r="D53" s="154">
        <f>'BC.116+240'!AA52</f>
        <v>1.6179999999999999</v>
      </c>
      <c r="E53" s="155">
        <f>'BC.116+240'!AB52</f>
        <v>1.462</v>
      </c>
      <c r="F53" s="154">
        <f>VLOOKUP($A53,'BC.116+240'!$B$13:$X$489,8,0)/1000</f>
        <v>1.956</v>
      </c>
      <c r="G53" s="154">
        <f>VLOOKUP($A53,'BC.116+240'!$B$13:$X$489,9,0)/1000</f>
        <v>-4.4000000000000004E-2</v>
      </c>
      <c r="H53" s="154">
        <f>VLOOKUP($A53,'BC.116+240'!$B$13:$X$489,14,0)/1000</f>
        <v>1.8109999999999999</v>
      </c>
      <c r="I53" s="154">
        <f>VLOOKUP($A53,'BC.116+240'!$B$13:$X$489,15,0)/1000</f>
        <v>-0.189</v>
      </c>
      <c r="J53" s="154">
        <f>VLOOKUP($A53,'BC.116+240'!$B$13:$X$489,20,0)/1000</f>
        <v>1.8979999999999999</v>
      </c>
      <c r="K53" s="154">
        <f>VLOOKUP($A53,'BC.116+240'!$B$13:$X$489,21,0)/1000</f>
        <v>-0.10199999999999999</v>
      </c>
      <c r="L53" s="152">
        <f t="shared" si="0"/>
        <v>-83.999999999999986</v>
      </c>
      <c r="M53" s="153">
        <f t="shared" si="1"/>
        <v>-109</v>
      </c>
      <c r="N53" s="152">
        <f t="shared" si="2"/>
        <v>-72</v>
      </c>
      <c r="O53" s="152"/>
      <c r="P53" s="164"/>
      <c r="Q53" s="163"/>
      <c r="R53" s="162"/>
      <c r="S53" s="161"/>
      <c r="T53" s="161"/>
    </row>
    <row r="54" spans="1:20">
      <c r="A54" s="88">
        <f>'BC.116+240'!B53</f>
        <v>45321</v>
      </c>
      <c r="B54" s="152">
        <v>40</v>
      </c>
      <c r="C54" s="154">
        <f>'BC.116+240'!M53/1000</f>
        <v>1.49</v>
      </c>
      <c r="D54" s="154">
        <f>'BC.116+240'!AA53</f>
        <v>1.6179999999999999</v>
      </c>
      <c r="E54" s="155">
        <f>'BC.116+240'!AB53</f>
        <v>1.46</v>
      </c>
      <c r="F54" s="154">
        <f>VLOOKUP($A54,'BC.116+240'!$B$13:$X$489,8,0)/1000</f>
        <v>1.956</v>
      </c>
      <c r="G54" s="154">
        <f>VLOOKUP($A54,'BC.116+240'!$B$13:$X$489,9,0)/1000</f>
        <v>-4.4000000000000004E-2</v>
      </c>
      <c r="H54" s="154">
        <f>VLOOKUP($A54,'BC.116+240'!$B$13:$X$489,14,0)/1000</f>
        <v>1.81</v>
      </c>
      <c r="I54" s="154">
        <f>VLOOKUP($A54,'BC.116+240'!$B$13:$X$489,15,0)/1000</f>
        <v>-0.19</v>
      </c>
      <c r="J54" s="154">
        <f>VLOOKUP($A54,'BC.116+240'!$B$13:$X$489,20,0)/1000</f>
        <v>1.8979999999999999</v>
      </c>
      <c r="K54" s="154">
        <f>VLOOKUP($A54,'BC.116+240'!$B$13:$X$489,21,0)/1000</f>
        <v>-0.10199999999999999</v>
      </c>
      <c r="L54" s="152">
        <f t="shared" si="0"/>
        <v>-83.999999999999986</v>
      </c>
      <c r="M54" s="153">
        <f t="shared" si="1"/>
        <v>-110</v>
      </c>
      <c r="N54" s="152">
        <f t="shared" si="2"/>
        <v>-72</v>
      </c>
      <c r="O54" s="152"/>
      <c r="P54" s="164"/>
      <c r="Q54" s="163"/>
      <c r="R54" s="162"/>
      <c r="S54" s="161"/>
      <c r="T54" s="161"/>
    </row>
    <row r="55" spans="1:20">
      <c r="A55" s="88">
        <f>'BC.116+240'!B54</f>
        <v>45322</v>
      </c>
      <c r="B55" s="152">
        <v>41</v>
      </c>
      <c r="C55" s="154">
        <f>'BC.116+240'!M54/1000</f>
        <v>1.49</v>
      </c>
      <c r="D55" s="154">
        <f>'BC.116+240'!AA54</f>
        <v>1.6179999999999999</v>
      </c>
      <c r="E55" s="155">
        <f>'BC.116+240'!AB54</f>
        <v>1.46</v>
      </c>
      <c r="F55" s="154">
        <f>VLOOKUP($A55,'BC.116+240'!$B$13:$X$489,8,0)/1000</f>
        <v>1.9550000000000001</v>
      </c>
      <c r="G55" s="154">
        <f>VLOOKUP($A55,'BC.116+240'!$B$13:$X$489,9,0)/1000</f>
        <v>-4.5000000000000005E-2</v>
      </c>
      <c r="H55" s="154">
        <f>VLOOKUP($A55,'BC.116+240'!$B$13:$X$489,14,0)/1000</f>
        <v>1.81</v>
      </c>
      <c r="I55" s="154">
        <f>VLOOKUP($A55,'BC.116+240'!$B$13:$X$489,15,0)/1000</f>
        <v>-0.19</v>
      </c>
      <c r="J55" s="154">
        <f>VLOOKUP($A55,'BC.116+240'!$B$13:$X$489,20,0)/1000</f>
        <v>1.897</v>
      </c>
      <c r="K55" s="154">
        <f>VLOOKUP($A55,'BC.116+240'!$B$13:$X$489,21,0)/1000</f>
        <v>-0.10299999999999999</v>
      </c>
      <c r="L55" s="152">
        <f t="shared" si="0"/>
        <v>-84.999999999999986</v>
      </c>
      <c r="M55" s="153">
        <f t="shared" si="1"/>
        <v>-110</v>
      </c>
      <c r="N55" s="152">
        <f t="shared" si="2"/>
        <v>-73</v>
      </c>
      <c r="O55" s="152"/>
      <c r="P55" s="164"/>
      <c r="Q55" s="163"/>
      <c r="R55" s="162"/>
      <c r="S55" s="161"/>
      <c r="T55" s="161"/>
    </row>
    <row r="56" spans="1:20">
      <c r="A56" s="88">
        <f>'BC.116+240'!B55</f>
        <v>45323</v>
      </c>
      <c r="B56" s="152">
        <v>42</v>
      </c>
      <c r="C56" s="154">
        <f>'BC.116+240'!M55/1000</f>
        <v>1.4890000000000001</v>
      </c>
      <c r="D56" s="154">
        <f>'BC.116+240'!AA55</f>
        <v>1.6179999999999999</v>
      </c>
      <c r="E56" s="155">
        <f>'BC.116+240'!AB55</f>
        <v>1.458</v>
      </c>
      <c r="F56" s="154">
        <f>VLOOKUP($A56,'BC.116+240'!$B$13:$X$489,8,0)/1000</f>
        <v>1.9550000000000001</v>
      </c>
      <c r="G56" s="154">
        <f>VLOOKUP($A56,'BC.116+240'!$B$13:$X$489,9,0)/1000</f>
        <v>-4.5000000000000005E-2</v>
      </c>
      <c r="H56" s="154">
        <f>VLOOKUP($A56,'BC.116+240'!$B$13:$X$489,14,0)/1000</f>
        <v>1.8089999999999999</v>
      </c>
      <c r="I56" s="154">
        <f>VLOOKUP($A56,'BC.116+240'!$B$13:$X$489,15,0)/1000</f>
        <v>-0.191</v>
      </c>
      <c r="J56" s="154">
        <f>VLOOKUP($A56,'BC.116+240'!$B$13:$X$489,20,0)/1000</f>
        <v>1.897</v>
      </c>
      <c r="K56" s="154">
        <f>VLOOKUP($A56,'BC.116+240'!$B$13:$X$489,21,0)/1000</f>
        <v>-0.10299999999999999</v>
      </c>
      <c r="L56" s="152">
        <f t="shared" si="0"/>
        <v>-84.999999999999986</v>
      </c>
      <c r="M56" s="153">
        <f t="shared" si="1"/>
        <v>-111</v>
      </c>
      <c r="N56" s="152">
        <f t="shared" si="2"/>
        <v>-73</v>
      </c>
      <c r="O56" s="152"/>
      <c r="P56" s="164"/>
      <c r="Q56" s="163"/>
      <c r="R56" s="162"/>
      <c r="S56" s="161"/>
      <c r="T56" s="161"/>
    </row>
    <row r="57" spans="1:20">
      <c r="A57" s="88">
        <f>'BC.116+240'!B56</f>
        <v>45324</v>
      </c>
      <c r="B57" s="152">
        <v>43</v>
      </c>
      <c r="C57" s="154">
        <f>'BC.116+240'!M56/1000</f>
        <v>1.4890000000000001</v>
      </c>
      <c r="D57" s="154">
        <f>'BC.116+240'!AA56</f>
        <v>1.6179999999999999</v>
      </c>
      <c r="E57" s="155">
        <f>'BC.116+240'!AB56</f>
        <v>1.458</v>
      </c>
      <c r="F57" s="154">
        <f>VLOOKUP($A57,'BC.116+240'!$B$13:$X$489,8,0)/1000</f>
        <v>1.9550000000000001</v>
      </c>
      <c r="G57" s="154">
        <f>VLOOKUP($A57,'BC.116+240'!$B$13:$X$489,9,0)/1000</f>
        <v>-4.5000000000000005E-2</v>
      </c>
      <c r="H57" s="154">
        <f>VLOOKUP($A57,'BC.116+240'!$B$13:$X$489,14,0)/1000</f>
        <v>1.8089999999999999</v>
      </c>
      <c r="I57" s="154">
        <f>VLOOKUP($A57,'BC.116+240'!$B$13:$X$489,15,0)/1000</f>
        <v>-0.191</v>
      </c>
      <c r="J57" s="154">
        <f>VLOOKUP($A57,'BC.116+240'!$B$13:$X$489,20,0)/1000</f>
        <v>1.897</v>
      </c>
      <c r="K57" s="154">
        <f>VLOOKUP($A57,'BC.116+240'!$B$13:$X$489,21,0)/1000</f>
        <v>-0.10299999999999999</v>
      </c>
      <c r="L57" s="152">
        <f t="shared" si="0"/>
        <v>-84.999999999999986</v>
      </c>
      <c r="M57" s="153">
        <f t="shared" si="1"/>
        <v>-111</v>
      </c>
      <c r="N57" s="152">
        <f t="shared" si="2"/>
        <v>-73</v>
      </c>
      <c r="O57" s="152"/>
      <c r="P57" s="164"/>
      <c r="Q57" s="163"/>
      <c r="R57" s="162"/>
      <c r="S57" s="161"/>
      <c r="T57" s="161"/>
    </row>
    <row r="58" spans="1:20">
      <c r="A58" s="88">
        <f>'BC.116+240'!B57</f>
        <v>45325</v>
      </c>
      <c r="B58" s="152">
        <v>44</v>
      </c>
      <c r="C58" s="154">
        <f>'BC.116+240'!M57/1000</f>
        <v>1.488</v>
      </c>
      <c r="D58" s="154">
        <f>'BC.116+240'!AA57</f>
        <v>1.6179999999999999</v>
      </c>
      <c r="E58" s="155">
        <f>'BC.116+240'!AB57</f>
        <v>1.456</v>
      </c>
      <c r="F58" s="154">
        <f>VLOOKUP($A58,'BC.116+240'!$B$13:$X$489,8,0)/1000</f>
        <v>1.952</v>
      </c>
      <c r="G58" s="154">
        <f>VLOOKUP($A58,'BC.116+240'!$B$13:$X$489,9,0)/1000</f>
        <v>-4.8000000000000008E-2</v>
      </c>
      <c r="H58" s="154">
        <f>VLOOKUP($A58,'BC.116+240'!$B$13:$X$489,14,0)/1000</f>
        <v>1.8080000000000001</v>
      </c>
      <c r="I58" s="154">
        <f>VLOOKUP($A58,'BC.116+240'!$B$13:$X$489,15,0)/1000</f>
        <v>-0.192</v>
      </c>
      <c r="J58" s="154">
        <f>VLOOKUP($A58,'BC.116+240'!$B$13:$X$489,20,0)/1000</f>
        <v>1.897</v>
      </c>
      <c r="K58" s="154">
        <f>VLOOKUP($A58,'BC.116+240'!$B$13:$X$489,21,0)/1000</f>
        <v>-0.10299999999999999</v>
      </c>
      <c r="L58" s="152">
        <f t="shared" si="0"/>
        <v>-88</v>
      </c>
      <c r="M58" s="153">
        <f t="shared" si="1"/>
        <v>-112</v>
      </c>
      <c r="N58" s="152">
        <f t="shared" si="2"/>
        <v>-73</v>
      </c>
      <c r="O58" s="152"/>
      <c r="P58" s="164"/>
      <c r="Q58" s="163"/>
      <c r="R58" s="162"/>
      <c r="S58" s="161"/>
      <c r="T58" s="161"/>
    </row>
    <row r="59" spans="1:20">
      <c r="A59" s="88">
        <f>'BC.116+240'!B58</f>
        <v>45326</v>
      </c>
      <c r="B59" s="152">
        <v>45</v>
      </c>
      <c r="C59" s="154">
        <f>'BC.116+240'!M58/1000</f>
        <v>1.488</v>
      </c>
      <c r="D59" s="154">
        <f>'BC.116+240'!AA58</f>
        <v>1.6179999999999999</v>
      </c>
      <c r="E59" s="155">
        <f>'BC.116+240'!AB58</f>
        <v>1.456</v>
      </c>
      <c r="F59" s="154">
        <f>VLOOKUP($A59,'BC.116+240'!$B$13:$X$489,8,0)/1000</f>
        <v>1.9490000000000001</v>
      </c>
      <c r="G59" s="154">
        <f>VLOOKUP($A59,'BC.116+240'!$B$13:$X$489,9,0)/1000</f>
        <v>-5.1000000000000004E-2</v>
      </c>
      <c r="H59" s="154">
        <f>VLOOKUP($A59,'BC.116+240'!$B$13:$X$489,14,0)/1000</f>
        <v>1.8080000000000001</v>
      </c>
      <c r="I59" s="154">
        <f>VLOOKUP($A59,'BC.116+240'!$B$13:$X$489,15,0)/1000</f>
        <v>-0.192</v>
      </c>
      <c r="J59" s="154">
        <f>VLOOKUP($A59,'BC.116+240'!$B$13:$X$489,20,0)/1000</f>
        <v>1.8959999999999999</v>
      </c>
      <c r="K59" s="154">
        <f>VLOOKUP($A59,'BC.116+240'!$B$13:$X$489,21,0)/1000</f>
        <v>-0.104</v>
      </c>
      <c r="L59" s="152">
        <f t="shared" si="0"/>
        <v>-91</v>
      </c>
      <c r="M59" s="153">
        <f t="shared" si="1"/>
        <v>-112</v>
      </c>
      <c r="N59" s="152">
        <f t="shared" si="2"/>
        <v>-74</v>
      </c>
      <c r="O59" s="152"/>
      <c r="P59" s="164"/>
      <c r="Q59" s="163"/>
      <c r="R59" s="162"/>
      <c r="S59" s="161"/>
      <c r="T59" s="161"/>
    </row>
    <row r="60" spans="1:20">
      <c r="A60" s="88">
        <f>'BC.116+240'!B59</f>
        <v>45327</v>
      </c>
      <c r="B60" s="152">
        <v>46</v>
      </c>
      <c r="C60" s="154">
        <f>'BC.116+240'!M59/1000</f>
        <v>1.488</v>
      </c>
      <c r="D60" s="154">
        <f>'BC.116+240'!AA59</f>
        <v>1.6179999999999999</v>
      </c>
      <c r="E60" s="155">
        <f>'BC.116+240'!AB59</f>
        <v>1.456</v>
      </c>
      <c r="F60" s="154">
        <f>VLOOKUP($A60,'BC.116+240'!$B$13:$X$489,8,0)/1000</f>
        <v>1.9450000000000001</v>
      </c>
      <c r="G60" s="154">
        <f>VLOOKUP($A60,'BC.116+240'!$B$13:$X$489,9,0)/1000</f>
        <v>-5.5000000000000007E-2</v>
      </c>
      <c r="H60" s="154">
        <f>VLOOKUP($A60,'BC.116+240'!$B$13:$X$489,14,0)/1000</f>
        <v>1.8080000000000001</v>
      </c>
      <c r="I60" s="154">
        <f>VLOOKUP($A60,'BC.116+240'!$B$13:$X$489,15,0)/1000</f>
        <v>-0.192</v>
      </c>
      <c r="J60" s="154">
        <f>VLOOKUP($A60,'BC.116+240'!$B$13:$X$489,20,0)/1000</f>
        <v>1.8959999999999999</v>
      </c>
      <c r="K60" s="154">
        <f>VLOOKUP($A60,'BC.116+240'!$B$13:$X$489,21,0)/1000</f>
        <v>-0.104</v>
      </c>
      <c r="L60" s="152">
        <f t="shared" si="0"/>
        <v>-95</v>
      </c>
      <c r="M60" s="153">
        <f t="shared" si="1"/>
        <v>-112</v>
      </c>
      <c r="N60" s="152">
        <f t="shared" si="2"/>
        <v>-74</v>
      </c>
      <c r="O60" s="152"/>
      <c r="P60" s="164"/>
      <c r="Q60" s="163"/>
      <c r="R60" s="162"/>
      <c r="S60" s="161"/>
      <c r="T60" s="161"/>
    </row>
    <row r="61" spans="1:20">
      <c r="A61" s="88">
        <f>'BC.116+240'!B60</f>
        <v>45328</v>
      </c>
      <c r="B61" s="152">
        <v>47</v>
      </c>
      <c r="C61" s="154">
        <f>'BC.116+240'!M60/1000</f>
        <v>1.488</v>
      </c>
      <c r="D61" s="154">
        <f>'BC.116+240'!AA60</f>
        <v>1.6179999999999999</v>
      </c>
      <c r="E61" s="155">
        <f>'BC.116+240'!AB60</f>
        <v>1.456</v>
      </c>
      <c r="F61" s="154">
        <f>VLOOKUP($A61,'BC.116+240'!$B$13:$X$489,8,0)/1000</f>
        <v>1.9419999999999999</v>
      </c>
      <c r="G61" s="154">
        <f>VLOOKUP($A61,'BC.116+240'!$B$13:$X$489,9,0)/1000</f>
        <v>-5.800000000000001E-2</v>
      </c>
      <c r="H61" s="154">
        <f>VLOOKUP($A61,'BC.116+240'!$B$13:$X$489,14,0)/1000</f>
        <v>1.8080000000000001</v>
      </c>
      <c r="I61" s="154">
        <f>VLOOKUP($A61,'BC.116+240'!$B$13:$X$489,15,0)/1000</f>
        <v>-0.192</v>
      </c>
      <c r="J61" s="154">
        <f>VLOOKUP($A61,'BC.116+240'!$B$13:$X$489,20,0)/1000</f>
        <v>1.8959999999999999</v>
      </c>
      <c r="K61" s="154">
        <f>VLOOKUP($A61,'BC.116+240'!$B$13:$X$489,21,0)/1000</f>
        <v>-0.104</v>
      </c>
      <c r="L61" s="152">
        <f t="shared" si="0"/>
        <v>-98</v>
      </c>
      <c r="M61" s="153">
        <f t="shared" si="1"/>
        <v>-112</v>
      </c>
      <c r="N61" s="152">
        <f t="shared" si="2"/>
        <v>-74</v>
      </c>
      <c r="O61" s="152"/>
      <c r="P61" s="164"/>
      <c r="Q61" s="163"/>
      <c r="R61" s="162"/>
      <c r="S61" s="161"/>
      <c r="T61" s="161"/>
    </row>
    <row r="62" spans="1:20">
      <c r="A62" s="88">
        <f>'BC.116+240'!B61</f>
        <v>45329</v>
      </c>
      <c r="B62" s="152">
        <v>48</v>
      </c>
      <c r="C62" s="154">
        <f>'BC.116+240'!M61/1000</f>
        <v>1.488</v>
      </c>
      <c r="D62" s="154">
        <f>'BC.116+240'!AA61</f>
        <v>1.6179999999999999</v>
      </c>
      <c r="E62" s="155">
        <f>'BC.116+240'!AB61</f>
        <v>1.456</v>
      </c>
      <c r="F62" s="154">
        <f>VLOOKUP($A62,'BC.116+240'!$B$13:$X$489,8,0)/1000</f>
        <v>1.9330000000000001</v>
      </c>
      <c r="G62" s="154">
        <f>VLOOKUP($A62,'BC.116+240'!$B$13:$X$489,9,0)/1000</f>
        <v>-6.7000000000000004E-2</v>
      </c>
      <c r="H62" s="154">
        <f>VLOOKUP($A62,'BC.116+240'!$B$13:$X$489,14,0)/1000</f>
        <v>1.8080000000000001</v>
      </c>
      <c r="I62" s="154">
        <f>VLOOKUP($A62,'BC.116+240'!$B$13:$X$489,15,0)/1000</f>
        <v>-0.192</v>
      </c>
      <c r="J62" s="154">
        <f>VLOOKUP($A62,'BC.116+240'!$B$13:$X$489,20,0)/1000</f>
        <v>1.8959999999999999</v>
      </c>
      <c r="K62" s="154">
        <f>VLOOKUP($A62,'BC.116+240'!$B$13:$X$489,21,0)/1000</f>
        <v>-0.104</v>
      </c>
      <c r="L62" s="152">
        <f t="shared" si="0"/>
        <v>-107</v>
      </c>
      <c r="M62" s="153">
        <f t="shared" si="1"/>
        <v>-112</v>
      </c>
      <c r="N62" s="152">
        <f t="shared" si="2"/>
        <v>-74</v>
      </c>
      <c r="O62" s="152"/>
      <c r="P62" s="164"/>
      <c r="Q62" s="163"/>
      <c r="R62" s="162"/>
      <c r="S62" s="161"/>
      <c r="T62" s="161"/>
    </row>
    <row r="63" spans="1:20">
      <c r="A63" s="88">
        <f>'BC.116+240'!B62</f>
        <v>45330</v>
      </c>
      <c r="B63" s="152">
        <v>49</v>
      </c>
      <c r="C63" s="154">
        <f>'BC.116+240'!M62/1000</f>
        <v>1.488</v>
      </c>
      <c r="D63" s="154">
        <f>'BC.116+240'!AA62</f>
        <v>1.6179999999999999</v>
      </c>
      <c r="E63" s="155">
        <f>'BC.116+240'!AB62</f>
        <v>1.456</v>
      </c>
      <c r="F63" s="154">
        <f>VLOOKUP($A63,'BC.116+240'!$B$13:$X$489,8,0)/1000</f>
        <v>1.931</v>
      </c>
      <c r="G63" s="154">
        <f>VLOOKUP($A63,'BC.116+240'!$B$13:$X$489,9,0)/1000</f>
        <v>-6.9000000000000006E-2</v>
      </c>
      <c r="H63" s="154">
        <f>VLOOKUP($A63,'BC.116+240'!$B$13:$X$489,14,0)/1000</f>
        <v>1.8080000000000001</v>
      </c>
      <c r="I63" s="154">
        <f>VLOOKUP($A63,'BC.116+240'!$B$13:$X$489,15,0)/1000</f>
        <v>-0.192</v>
      </c>
      <c r="J63" s="154">
        <f>VLOOKUP($A63,'BC.116+240'!$B$13:$X$489,20,0)/1000</f>
        <v>1.8959999999999999</v>
      </c>
      <c r="K63" s="154">
        <f>VLOOKUP($A63,'BC.116+240'!$B$13:$X$489,21,0)/1000</f>
        <v>-0.104</v>
      </c>
      <c r="L63" s="152">
        <f t="shared" si="0"/>
        <v>-109</v>
      </c>
      <c r="M63" s="153">
        <f t="shared" si="1"/>
        <v>-112</v>
      </c>
      <c r="N63" s="152">
        <f t="shared" si="2"/>
        <v>-74</v>
      </c>
      <c r="O63" s="152"/>
      <c r="P63" s="164"/>
      <c r="Q63" s="163"/>
      <c r="R63" s="162"/>
      <c r="S63" s="161"/>
      <c r="T63" s="161"/>
    </row>
    <row r="64" spans="1:20">
      <c r="A64" s="88">
        <f>'BC.116+240'!B63</f>
        <v>45331</v>
      </c>
      <c r="B64" s="152">
        <v>50</v>
      </c>
      <c r="C64" s="154">
        <f>'BC.116+240'!M63/1000</f>
        <v>1.486</v>
      </c>
      <c r="D64" s="154">
        <f>'BC.116+240'!AA63</f>
        <v>1.6179999999999999</v>
      </c>
      <c r="E64" s="155">
        <f>'BC.116+240'!AB63</f>
        <v>1.452</v>
      </c>
      <c r="F64" s="154">
        <f>VLOOKUP($A64,'BC.116+240'!$B$13:$X$489,8,0)/1000</f>
        <v>1.927</v>
      </c>
      <c r="G64" s="154">
        <f>VLOOKUP($A64,'BC.116+240'!$B$13:$X$489,9,0)/1000</f>
        <v>-7.2999999999999995E-2</v>
      </c>
      <c r="H64" s="154">
        <f>VLOOKUP($A64,'BC.116+240'!$B$13:$X$489,14,0)/1000</f>
        <v>1.806</v>
      </c>
      <c r="I64" s="154">
        <f>VLOOKUP($A64,'BC.116+240'!$B$13:$X$489,15,0)/1000</f>
        <v>-0.19400000000000001</v>
      </c>
      <c r="J64" s="154">
        <f>VLOOKUP($A64,'BC.116+240'!$B$13:$X$489,20,0)/1000</f>
        <v>1.8939999999999999</v>
      </c>
      <c r="K64" s="154">
        <f>VLOOKUP($A64,'BC.116+240'!$B$13:$X$489,21,0)/1000</f>
        <v>-0.106</v>
      </c>
      <c r="L64" s="152">
        <f t="shared" si="0"/>
        <v>-112.99999999999999</v>
      </c>
      <c r="M64" s="153">
        <f t="shared" si="1"/>
        <v>-114</v>
      </c>
      <c r="N64" s="152">
        <f t="shared" si="2"/>
        <v>-76</v>
      </c>
      <c r="O64" s="152"/>
      <c r="P64" s="164"/>
      <c r="Q64" s="163"/>
      <c r="R64" s="162"/>
      <c r="S64" s="161"/>
      <c r="T64" s="161"/>
    </row>
    <row r="65" spans="1:20">
      <c r="A65" s="88">
        <f>'BC.116+240'!B64</f>
        <v>45332</v>
      </c>
      <c r="B65" s="152">
        <v>51</v>
      </c>
      <c r="C65" s="154">
        <f>'BC.116+240'!M64/1000</f>
        <v>1.486</v>
      </c>
      <c r="D65" s="154">
        <f>'BC.116+240'!AA64</f>
        <v>1.6179999999999999</v>
      </c>
      <c r="E65" s="155">
        <f>'BC.116+240'!AB64</f>
        <v>1.452</v>
      </c>
      <c r="F65" s="154">
        <f>VLOOKUP($A65,'BC.116+240'!$B$13:$X$489,8,0)/1000</f>
        <v>1.921</v>
      </c>
      <c r="G65" s="154">
        <f>VLOOKUP($A65,'BC.116+240'!$B$13:$X$489,9,0)/1000</f>
        <v>-7.9000000000000001E-2</v>
      </c>
      <c r="H65" s="154">
        <f>VLOOKUP($A65,'BC.116+240'!$B$13:$X$489,14,0)/1000</f>
        <v>1.806</v>
      </c>
      <c r="I65" s="154">
        <f>VLOOKUP($A65,'BC.116+240'!$B$13:$X$489,15,0)/1000</f>
        <v>-0.19400000000000001</v>
      </c>
      <c r="J65" s="154">
        <f>VLOOKUP($A65,'BC.116+240'!$B$13:$X$489,20,0)/1000</f>
        <v>1.8939999999999999</v>
      </c>
      <c r="K65" s="154">
        <f>VLOOKUP($A65,'BC.116+240'!$B$13:$X$489,21,0)/1000</f>
        <v>-0.106</v>
      </c>
      <c r="L65" s="152">
        <f t="shared" si="0"/>
        <v>-119</v>
      </c>
      <c r="M65" s="153">
        <f t="shared" si="1"/>
        <v>-114</v>
      </c>
      <c r="N65" s="152">
        <f t="shared" si="2"/>
        <v>-76</v>
      </c>
      <c r="O65" s="152"/>
      <c r="P65" s="164"/>
      <c r="Q65" s="163"/>
      <c r="R65" s="162"/>
      <c r="S65" s="161"/>
      <c r="T65" s="161"/>
    </row>
    <row r="66" spans="1:20">
      <c r="A66" s="88">
        <f>'BC.116+240'!B65</f>
        <v>45333</v>
      </c>
      <c r="B66" s="152">
        <v>52</v>
      </c>
      <c r="C66" s="154">
        <f>'BC.116+240'!M65/1000</f>
        <v>1.486</v>
      </c>
      <c r="D66" s="154">
        <f>'BC.116+240'!AA65</f>
        <v>1.6179999999999999</v>
      </c>
      <c r="E66" s="155">
        <f>'BC.116+240'!AB65</f>
        <v>1.452</v>
      </c>
      <c r="F66" s="154">
        <f>VLOOKUP($A66,'BC.116+240'!$B$13:$X$489,8,0)/1000</f>
        <v>1.9119999999999999</v>
      </c>
      <c r="G66" s="154">
        <f>VLOOKUP($A66,'BC.116+240'!$B$13:$X$489,9,0)/1000</f>
        <v>-8.7999999999999995E-2</v>
      </c>
      <c r="H66" s="154">
        <f>VLOOKUP($A66,'BC.116+240'!$B$13:$X$489,14,0)/1000</f>
        <v>1.806</v>
      </c>
      <c r="I66" s="154">
        <f>VLOOKUP($A66,'BC.116+240'!$B$13:$X$489,15,0)/1000</f>
        <v>-0.19400000000000001</v>
      </c>
      <c r="J66" s="154">
        <f>VLOOKUP($A66,'BC.116+240'!$B$13:$X$489,20,0)/1000</f>
        <v>1.8939999999999999</v>
      </c>
      <c r="K66" s="154">
        <f>VLOOKUP($A66,'BC.116+240'!$B$13:$X$489,21,0)/1000</f>
        <v>-0.106</v>
      </c>
      <c r="L66" s="152">
        <f t="shared" si="0"/>
        <v>-128</v>
      </c>
      <c r="M66" s="153">
        <f t="shared" si="1"/>
        <v>-114</v>
      </c>
      <c r="N66" s="152">
        <f t="shared" si="2"/>
        <v>-76</v>
      </c>
      <c r="O66" s="152"/>
      <c r="P66" s="164"/>
      <c r="Q66" s="163"/>
      <c r="R66" s="162"/>
      <c r="S66" s="161"/>
      <c r="T66" s="161"/>
    </row>
    <row r="67" spans="1:20">
      <c r="A67" s="88">
        <f>'BC.116+240'!B66</f>
        <v>45334</v>
      </c>
      <c r="B67" s="152">
        <v>53</v>
      </c>
      <c r="C67" s="154">
        <f>'BC.116+240'!M66/1000</f>
        <v>1.484</v>
      </c>
      <c r="D67" s="154">
        <f>'BC.116+240'!AA66</f>
        <v>1.6179999999999999</v>
      </c>
      <c r="E67" s="155">
        <f>'BC.116+240'!AB66</f>
        <v>1.448</v>
      </c>
      <c r="F67" s="154">
        <f>VLOOKUP($A67,'BC.116+240'!$B$13:$X$489,8,0)/1000</f>
        <v>1.909</v>
      </c>
      <c r="G67" s="154">
        <f>VLOOKUP($A67,'BC.116+240'!$B$13:$X$489,9,0)/1000</f>
        <v>-9.0999999999999998E-2</v>
      </c>
      <c r="H67" s="154">
        <f>VLOOKUP($A67,'BC.116+240'!$B$13:$X$489,14,0)/1000</f>
        <v>1.804</v>
      </c>
      <c r="I67" s="154">
        <f>VLOOKUP($A67,'BC.116+240'!$B$13:$X$489,15,0)/1000</f>
        <v>-0.19600000000000001</v>
      </c>
      <c r="J67" s="154">
        <f>VLOOKUP($A67,'BC.116+240'!$B$13:$X$489,20,0)/1000</f>
        <v>1.893</v>
      </c>
      <c r="K67" s="154">
        <f>VLOOKUP($A67,'BC.116+240'!$B$13:$X$489,21,0)/1000</f>
        <v>-0.107</v>
      </c>
      <c r="L67" s="152">
        <f t="shared" si="0"/>
        <v>-131</v>
      </c>
      <c r="M67" s="153">
        <f t="shared" si="1"/>
        <v>-116</v>
      </c>
      <c r="N67" s="152">
        <f t="shared" si="2"/>
        <v>-77</v>
      </c>
      <c r="O67" s="152"/>
      <c r="P67" s="164"/>
      <c r="Q67" s="163"/>
      <c r="R67" s="162"/>
      <c r="S67" s="161"/>
      <c r="T67" s="161"/>
    </row>
    <row r="68" spans="1:20">
      <c r="A68" s="88">
        <f>'BC.116+240'!B67</f>
        <v>45335</v>
      </c>
      <c r="B68" s="152">
        <v>54</v>
      </c>
      <c r="C68" s="154">
        <f>'BC.116+240'!M67/1000</f>
        <v>1.484</v>
      </c>
      <c r="D68" s="154">
        <f>'BC.116+240'!AA67</f>
        <v>1.6179999999999999</v>
      </c>
      <c r="E68" s="155">
        <f>'BC.116+240'!AB67</f>
        <v>1.448</v>
      </c>
      <c r="F68" s="154">
        <f>VLOOKUP($A68,'BC.116+240'!$B$13:$X$489,8,0)/1000</f>
        <v>1.905</v>
      </c>
      <c r="G68" s="154">
        <f>VLOOKUP($A68,'BC.116+240'!$B$13:$X$489,9,0)/1000</f>
        <v>-9.5000000000000001E-2</v>
      </c>
      <c r="H68" s="154">
        <f>VLOOKUP($A68,'BC.116+240'!$B$13:$X$489,14,0)/1000</f>
        <v>1.804</v>
      </c>
      <c r="I68" s="154">
        <f>VLOOKUP($A68,'BC.116+240'!$B$13:$X$489,15,0)/1000</f>
        <v>-0.19600000000000001</v>
      </c>
      <c r="J68" s="154">
        <f>VLOOKUP($A68,'BC.116+240'!$B$13:$X$489,20,0)/1000</f>
        <v>1.893</v>
      </c>
      <c r="K68" s="154">
        <f>VLOOKUP($A68,'BC.116+240'!$B$13:$X$489,21,0)/1000</f>
        <v>-0.107</v>
      </c>
      <c r="L68" s="152">
        <f t="shared" si="0"/>
        <v>-135</v>
      </c>
      <c r="M68" s="153">
        <f t="shared" si="1"/>
        <v>-116</v>
      </c>
      <c r="N68" s="152">
        <f t="shared" si="2"/>
        <v>-77</v>
      </c>
      <c r="O68" s="152"/>
      <c r="P68" s="164"/>
      <c r="Q68" s="163"/>
      <c r="R68" s="162"/>
      <c r="S68" s="161"/>
      <c r="T68" s="161"/>
    </row>
    <row r="69" spans="1:20">
      <c r="A69" s="88">
        <f>'BC.116+240'!B68</f>
        <v>45336</v>
      </c>
      <c r="B69" s="152">
        <v>55</v>
      </c>
      <c r="C69" s="154">
        <f>'BC.116+240'!M68/1000</f>
        <v>1.484</v>
      </c>
      <c r="D69" s="154">
        <f>'BC.116+240'!AA68</f>
        <v>1.6179999999999999</v>
      </c>
      <c r="E69" s="155">
        <f>'BC.116+240'!AB68</f>
        <v>1.448</v>
      </c>
      <c r="F69" s="154">
        <f>VLOOKUP($A69,'BC.116+240'!$B$13:$X$489,8,0)/1000</f>
        <v>1.9019999999999999</v>
      </c>
      <c r="G69" s="154">
        <f>VLOOKUP($A69,'BC.116+240'!$B$13:$X$489,9,0)/1000</f>
        <v>-9.8000000000000004E-2</v>
      </c>
      <c r="H69" s="154">
        <f>VLOOKUP($A69,'BC.116+240'!$B$13:$X$489,14,0)/1000</f>
        <v>1.804</v>
      </c>
      <c r="I69" s="154">
        <f>VLOOKUP($A69,'BC.116+240'!$B$13:$X$489,15,0)/1000</f>
        <v>-0.19600000000000001</v>
      </c>
      <c r="J69" s="154">
        <f>VLOOKUP($A69,'BC.116+240'!$B$13:$X$489,20,0)/1000</f>
        <v>1.893</v>
      </c>
      <c r="K69" s="154">
        <f>VLOOKUP($A69,'BC.116+240'!$B$13:$X$489,21,0)/1000</f>
        <v>-0.107</v>
      </c>
      <c r="L69" s="152">
        <f t="shared" si="0"/>
        <v>-138</v>
      </c>
      <c r="M69" s="153">
        <f t="shared" si="1"/>
        <v>-116</v>
      </c>
      <c r="N69" s="152">
        <f t="shared" si="2"/>
        <v>-77</v>
      </c>
      <c r="O69" s="152"/>
      <c r="P69" s="164"/>
      <c r="Q69" s="163"/>
      <c r="R69" s="162"/>
      <c r="S69" s="161"/>
      <c r="T69" s="161"/>
    </row>
    <row r="70" spans="1:20">
      <c r="A70" s="88">
        <f>'BC.116+240'!B69</f>
        <v>45337</v>
      </c>
      <c r="B70" s="152">
        <v>56</v>
      </c>
      <c r="C70" s="154">
        <f>'BC.116+240'!M69/1000</f>
        <v>1.484</v>
      </c>
      <c r="D70" s="154">
        <f>'BC.116+240'!AA69</f>
        <v>1.6179999999999999</v>
      </c>
      <c r="E70" s="155">
        <f>'BC.116+240'!AB69</f>
        <v>1.448</v>
      </c>
      <c r="F70" s="154">
        <f>VLOOKUP($A70,'BC.116+240'!$B$13:$X$489,8,0)/1000</f>
        <v>1.893</v>
      </c>
      <c r="G70" s="154">
        <f>VLOOKUP($A70,'BC.116+240'!$B$13:$X$489,9,0)/1000</f>
        <v>-0.107</v>
      </c>
      <c r="H70" s="154">
        <f>VLOOKUP($A70,'BC.116+240'!$B$13:$X$489,14,0)/1000</f>
        <v>1.804</v>
      </c>
      <c r="I70" s="154">
        <f>VLOOKUP($A70,'BC.116+240'!$B$13:$X$489,15,0)/1000</f>
        <v>-0.19600000000000001</v>
      </c>
      <c r="J70" s="154">
        <f>VLOOKUP($A70,'BC.116+240'!$B$13:$X$489,20,0)/1000</f>
        <v>1.893</v>
      </c>
      <c r="K70" s="154">
        <f>VLOOKUP($A70,'BC.116+240'!$B$13:$X$489,21,0)/1000</f>
        <v>-0.107</v>
      </c>
      <c r="L70" s="152">
        <f t="shared" si="0"/>
        <v>-147</v>
      </c>
      <c r="M70" s="153">
        <f t="shared" si="1"/>
        <v>-116</v>
      </c>
      <c r="N70" s="152">
        <f t="shared" si="2"/>
        <v>-77</v>
      </c>
      <c r="O70" s="152"/>
      <c r="P70" s="164"/>
      <c r="Q70" s="163"/>
      <c r="R70" s="162"/>
      <c r="S70" s="161"/>
      <c r="T70" s="161"/>
    </row>
    <row r="71" spans="1:20">
      <c r="A71" s="88">
        <f>'BC.116+240'!B70</f>
        <v>45338</v>
      </c>
      <c r="B71" s="152">
        <v>57</v>
      </c>
      <c r="C71" s="154">
        <f>'BC.116+240'!M70/1000</f>
        <v>1.482</v>
      </c>
      <c r="D71" s="154">
        <f>'BC.116+240'!AA70</f>
        <v>1.6179999999999999</v>
      </c>
      <c r="E71" s="155">
        <f>'BC.116+240'!AB70</f>
        <v>1.444</v>
      </c>
      <c r="F71" s="154">
        <f>VLOOKUP($A71,'BC.116+240'!$B$13:$X$489,8,0)/1000</f>
        <v>1.891</v>
      </c>
      <c r="G71" s="154">
        <f>VLOOKUP($A71,'BC.116+240'!$B$13:$X$489,9,0)/1000</f>
        <v>-0.109</v>
      </c>
      <c r="H71" s="154">
        <f>VLOOKUP($A71,'BC.116+240'!$B$13:$X$489,14,0)/1000</f>
        <v>1.802</v>
      </c>
      <c r="I71" s="154">
        <f>VLOOKUP($A71,'BC.116+240'!$B$13:$X$489,15,0)/1000</f>
        <v>-0.19800000000000001</v>
      </c>
      <c r="J71" s="154">
        <f>VLOOKUP($A71,'BC.116+240'!$B$13:$X$489,20,0)/1000</f>
        <v>1.89</v>
      </c>
      <c r="K71" s="154">
        <f>VLOOKUP($A71,'BC.116+240'!$B$13:$X$489,21,0)/1000</f>
        <v>-0.11</v>
      </c>
      <c r="L71" s="152">
        <f t="shared" si="0"/>
        <v>-149</v>
      </c>
      <c r="M71" s="153">
        <f t="shared" si="1"/>
        <v>-118.00000000000001</v>
      </c>
      <c r="N71" s="152">
        <f t="shared" si="2"/>
        <v>-80</v>
      </c>
      <c r="O71" s="152"/>
      <c r="P71" s="164"/>
      <c r="Q71" s="163"/>
      <c r="R71" s="162"/>
      <c r="S71" s="161"/>
      <c r="T71" s="161"/>
    </row>
    <row r="72" spans="1:20">
      <c r="A72" s="88">
        <f>'BC.116+240'!B71</f>
        <v>45339</v>
      </c>
      <c r="B72" s="152">
        <v>58</v>
      </c>
      <c r="C72" s="154">
        <f>'BC.116+240'!M71/1000</f>
        <v>1.482</v>
      </c>
      <c r="D72" s="154">
        <f>'BC.116+240'!AA71</f>
        <v>1.6179999999999999</v>
      </c>
      <c r="E72" s="155">
        <f>'BC.116+240'!AB71</f>
        <v>1.444</v>
      </c>
      <c r="F72" s="154">
        <f>VLOOKUP($A72,'BC.116+240'!$B$13:$X$489,8,0)/1000</f>
        <v>1.887</v>
      </c>
      <c r="G72" s="154">
        <f>VLOOKUP($A72,'BC.116+240'!$B$13:$X$489,9,0)/1000</f>
        <v>-0.113</v>
      </c>
      <c r="H72" s="154">
        <f>VLOOKUP($A72,'BC.116+240'!$B$13:$X$489,14,0)/1000</f>
        <v>1.802</v>
      </c>
      <c r="I72" s="154">
        <f>VLOOKUP($A72,'BC.116+240'!$B$13:$X$489,15,0)/1000</f>
        <v>-0.19800000000000001</v>
      </c>
      <c r="J72" s="154">
        <f>VLOOKUP($A72,'BC.116+240'!$B$13:$X$489,20,0)/1000</f>
        <v>1.89</v>
      </c>
      <c r="K72" s="154">
        <f>VLOOKUP($A72,'BC.116+240'!$B$13:$X$489,21,0)/1000</f>
        <v>-0.11</v>
      </c>
      <c r="L72" s="152">
        <f t="shared" si="0"/>
        <v>-153</v>
      </c>
      <c r="M72" s="153">
        <f t="shared" si="1"/>
        <v>-118.00000000000001</v>
      </c>
      <c r="N72" s="152">
        <f t="shared" si="2"/>
        <v>-80</v>
      </c>
      <c r="O72" s="152"/>
      <c r="P72" s="164"/>
      <c r="Q72" s="163"/>
      <c r="R72" s="162"/>
      <c r="S72" s="161"/>
      <c r="T72" s="161"/>
    </row>
    <row r="73" spans="1:20">
      <c r="A73" s="88">
        <f>'BC.116+240'!B72</f>
        <v>45340</v>
      </c>
      <c r="B73" s="152">
        <v>59</v>
      </c>
      <c r="C73" s="154">
        <f>'BC.116+240'!M72/1000</f>
        <v>1.482</v>
      </c>
      <c r="D73" s="154">
        <f>'BC.116+240'!AA72</f>
        <v>1.6179999999999999</v>
      </c>
      <c r="E73" s="155">
        <f>'BC.116+240'!AB72</f>
        <v>1.444</v>
      </c>
      <c r="F73" s="154">
        <f>VLOOKUP($A73,'BC.116+240'!$B$13:$X$489,8,0)/1000</f>
        <v>1.8839999999999999</v>
      </c>
      <c r="G73" s="154">
        <f>VLOOKUP($A73,'BC.116+240'!$B$13:$X$489,9,0)/1000</f>
        <v>-0.11600000000000001</v>
      </c>
      <c r="H73" s="154">
        <f>VLOOKUP($A73,'BC.116+240'!$B$13:$X$489,14,0)/1000</f>
        <v>1.802</v>
      </c>
      <c r="I73" s="154">
        <f>VLOOKUP($A73,'BC.116+240'!$B$13:$X$489,15,0)/1000</f>
        <v>-0.19800000000000001</v>
      </c>
      <c r="J73" s="154">
        <f>VLOOKUP($A73,'BC.116+240'!$B$13:$X$489,20,0)/1000</f>
        <v>1.89</v>
      </c>
      <c r="K73" s="154">
        <f>VLOOKUP($A73,'BC.116+240'!$B$13:$X$489,21,0)/1000</f>
        <v>-0.11</v>
      </c>
      <c r="L73" s="152">
        <f t="shared" si="0"/>
        <v>-156</v>
      </c>
      <c r="M73" s="153">
        <f t="shared" si="1"/>
        <v>-118.00000000000001</v>
      </c>
      <c r="N73" s="152">
        <f t="shared" si="2"/>
        <v>-80</v>
      </c>
      <c r="O73" s="152"/>
      <c r="P73" s="164"/>
      <c r="Q73" s="163"/>
      <c r="R73" s="162"/>
      <c r="S73" s="161"/>
      <c r="T73" s="161"/>
    </row>
    <row r="74" spans="1:20">
      <c r="A74" s="88">
        <f>'BC.116+240'!B73</f>
        <v>45341</v>
      </c>
      <c r="B74" s="152">
        <v>60</v>
      </c>
      <c r="C74" s="154">
        <f>'BC.116+240'!M73/1000</f>
        <v>1.482</v>
      </c>
      <c r="D74" s="154">
        <f>'BC.116+240'!AA73</f>
        <v>1.6179999999999999</v>
      </c>
      <c r="E74" s="155">
        <f>'BC.116+240'!AB73</f>
        <v>1.444</v>
      </c>
      <c r="F74" s="154">
        <f>VLOOKUP($A74,'BC.116+240'!$B$13:$X$489,8,0)/1000</f>
        <v>1.881</v>
      </c>
      <c r="G74" s="154">
        <f>VLOOKUP($A74,'BC.116+240'!$B$13:$X$489,9,0)/1000</f>
        <v>-0.11899999999999999</v>
      </c>
      <c r="H74" s="154">
        <f>VLOOKUP($A74,'BC.116+240'!$B$13:$X$489,14,0)/1000</f>
        <v>1.802</v>
      </c>
      <c r="I74" s="154">
        <f>VLOOKUP($A74,'BC.116+240'!$B$13:$X$489,15,0)/1000</f>
        <v>-0.19800000000000001</v>
      </c>
      <c r="J74" s="154">
        <f>VLOOKUP($A74,'BC.116+240'!$B$13:$X$489,20,0)/1000</f>
        <v>1.89</v>
      </c>
      <c r="K74" s="154">
        <f>VLOOKUP($A74,'BC.116+240'!$B$13:$X$489,21,0)/1000</f>
        <v>-0.11</v>
      </c>
      <c r="L74" s="152">
        <f t="shared" si="0"/>
        <v>-158.99999999999997</v>
      </c>
      <c r="M74" s="153">
        <f t="shared" si="1"/>
        <v>-118.00000000000001</v>
      </c>
      <c r="N74" s="152">
        <f t="shared" si="2"/>
        <v>-80</v>
      </c>
      <c r="O74" s="152"/>
      <c r="P74" s="164"/>
      <c r="Q74" s="163"/>
      <c r="R74" s="162"/>
      <c r="S74" s="161"/>
      <c r="T74" s="161"/>
    </row>
    <row r="75" spans="1:20">
      <c r="A75" s="88">
        <f>'BC.116+240'!B74</f>
        <v>45342</v>
      </c>
      <c r="B75" s="152">
        <v>61</v>
      </c>
      <c r="C75" s="154">
        <f>'BC.116+240'!M74/1000</f>
        <v>1.48</v>
      </c>
      <c r="D75" s="154">
        <f>'BC.116+240'!AA74</f>
        <v>1.6179999999999999</v>
      </c>
      <c r="E75" s="155">
        <f>'BC.116+240'!AB74</f>
        <v>1.44</v>
      </c>
      <c r="F75" s="154">
        <f>VLOOKUP($A75,'BC.116+240'!$B$13:$X$489,8,0)/1000</f>
        <v>1.8720000000000001</v>
      </c>
      <c r="G75" s="154">
        <f>VLOOKUP($A75,'BC.116+240'!$B$13:$X$489,9,0)/1000</f>
        <v>-0.128</v>
      </c>
      <c r="H75" s="154">
        <f>VLOOKUP($A75,'BC.116+240'!$B$13:$X$489,14,0)/1000</f>
        <v>1.8</v>
      </c>
      <c r="I75" s="154">
        <f>VLOOKUP($A75,'BC.116+240'!$B$13:$X$489,15,0)/1000</f>
        <v>-0.2</v>
      </c>
      <c r="J75" s="154">
        <f>VLOOKUP($A75,'BC.116+240'!$B$13:$X$489,20,0)/1000</f>
        <v>1.89</v>
      </c>
      <c r="K75" s="154">
        <f>VLOOKUP($A75,'BC.116+240'!$B$13:$X$489,21,0)/1000</f>
        <v>-0.11</v>
      </c>
      <c r="L75" s="152">
        <f t="shared" si="0"/>
        <v>-167.99999999999997</v>
      </c>
      <c r="M75" s="153">
        <f t="shared" si="1"/>
        <v>-120.00000000000001</v>
      </c>
      <c r="N75" s="152">
        <f t="shared" si="2"/>
        <v>-80</v>
      </c>
      <c r="O75" s="152"/>
      <c r="P75" s="164"/>
      <c r="Q75" s="163"/>
      <c r="R75" s="162"/>
      <c r="S75" s="161"/>
      <c r="T75" s="161"/>
    </row>
    <row r="76" spans="1:20">
      <c r="A76" s="88">
        <f>'BC.116+240'!B75</f>
        <v>45343</v>
      </c>
      <c r="B76" s="152">
        <v>62</v>
      </c>
      <c r="C76" s="154">
        <f>'BC.116+240'!M75/1000</f>
        <v>1.48</v>
      </c>
      <c r="D76" s="154">
        <f>'BC.116+240'!AA75</f>
        <v>1.6179999999999999</v>
      </c>
      <c r="E76" s="155">
        <f>'BC.116+240'!AB75</f>
        <v>1.44</v>
      </c>
      <c r="F76" s="154">
        <f>VLOOKUP($A76,'BC.116+240'!$B$13:$X$489,8,0)/1000</f>
        <v>1.87</v>
      </c>
      <c r="G76" s="154">
        <f>VLOOKUP($A76,'BC.116+240'!$B$13:$X$489,9,0)/1000</f>
        <v>-0.13</v>
      </c>
      <c r="H76" s="154">
        <f>VLOOKUP($A76,'BC.116+240'!$B$13:$X$489,14,0)/1000</f>
        <v>1.8</v>
      </c>
      <c r="I76" s="154">
        <f>VLOOKUP($A76,'BC.116+240'!$B$13:$X$489,15,0)/1000</f>
        <v>-0.2</v>
      </c>
      <c r="J76" s="154">
        <f>VLOOKUP($A76,'BC.116+240'!$B$13:$X$489,20,0)/1000</f>
        <v>1.887</v>
      </c>
      <c r="K76" s="154">
        <f>VLOOKUP($A76,'BC.116+240'!$B$13:$X$489,21,0)/1000</f>
        <v>-0.113</v>
      </c>
      <c r="L76" s="152">
        <f t="shared" si="0"/>
        <v>-169.99999999999997</v>
      </c>
      <c r="M76" s="153">
        <f t="shared" si="1"/>
        <v>-120.00000000000001</v>
      </c>
      <c r="N76" s="152">
        <f t="shared" si="2"/>
        <v>-83</v>
      </c>
      <c r="O76" s="152"/>
      <c r="P76" s="164"/>
      <c r="Q76" s="163"/>
      <c r="R76" s="162"/>
      <c r="S76" s="161"/>
      <c r="T76" s="161"/>
    </row>
    <row r="77" spans="1:20">
      <c r="A77" s="88">
        <f>'BC.116+240'!B76</f>
        <v>45344</v>
      </c>
      <c r="B77" s="152">
        <v>63</v>
      </c>
      <c r="C77" s="154">
        <f>'BC.116+240'!M76/1000</f>
        <v>1.478</v>
      </c>
      <c r="D77" s="154">
        <f>'BC.116+240'!AA76</f>
        <v>1.6179999999999999</v>
      </c>
      <c r="E77" s="155">
        <f>'BC.116+240'!AB76</f>
        <v>1.4359999999999999</v>
      </c>
      <c r="F77" s="154">
        <f>VLOOKUP($A77,'BC.116+240'!$B$13:$X$489,8,0)/1000</f>
        <v>1.8680000000000001</v>
      </c>
      <c r="G77" s="154">
        <f>VLOOKUP($A77,'BC.116+240'!$B$13:$X$489,9,0)/1000</f>
        <v>-0.13200000000000001</v>
      </c>
      <c r="H77" s="154">
        <f>VLOOKUP($A77,'BC.116+240'!$B$13:$X$489,14,0)/1000</f>
        <v>1.798</v>
      </c>
      <c r="I77" s="154">
        <f>VLOOKUP($A77,'BC.116+240'!$B$13:$X$489,15,0)/1000</f>
        <v>-0.20200000000000001</v>
      </c>
      <c r="J77" s="154">
        <f>VLOOKUP($A77,'BC.116+240'!$B$13:$X$489,20,0)/1000</f>
        <v>1.887</v>
      </c>
      <c r="K77" s="154">
        <f>VLOOKUP($A77,'BC.116+240'!$B$13:$X$489,21,0)/1000</f>
        <v>-0.113</v>
      </c>
      <c r="L77" s="152">
        <f t="shared" si="0"/>
        <v>-172</v>
      </c>
      <c r="M77" s="153">
        <f t="shared" si="1"/>
        <v>-122.00000000000001</v>
      </c>
      <c r="N77" s="152">
        <f t="shared" si="2"/>
        <v>-83</v>
      </c>
      <c r="O77" s="152"/>
    </row>
    <row r="78" spans="1:20">
      <c r="A78" s="88">
        <f>'BC.116+240'!B77</f>
        <v>45345</v>
      </c>
      <c r="B78" s="152">
        <v>64</v>
      </c>
      <c r="C78" s="154">
        <f>'BC.116+240'!M77/1000</f>
        <v>1.4770000000000001</v>
      </c>
      <c r="D78" s="154">
        <f>'BC.116+240'!AA77</f>
        <v>1.6179999999999999</v>
      </c>
      <c r="E78" s="155">
        <f>'BC.116+240'!AB77</f>
        <v>1.4339999999999999</v>
      </c>
      <c r="F78" s="154">
        <f>VLOOKUP($A78,'BC.116+240'!$B$13:$X$489,8,0)/1000</f>
        <v>1.8660000000000001</v>
      </c>
      <c r="G78" s="154">
        <f>VLOOKUP($A78,'BC.116+240'!$B$13:$X$489,9,0)/1000</f>
        <v>-0.13400000000000001</v>
      </c>
      <c r="H78" s="154">
        <f>VLOOKUP($A78,'BC.116+240'!$B$13:$X$489,14,0)/1000</f>
        <v>1.7969999999999999</v>
      </c>
      <c r="I78" s="154">
        <f>VLOOKUP($A78,'BC.116+240'!$B$13:$X$489,15,0)/1000</f>
        <v>-0.20300000000000001</v>
      </c>
      <c r="J78" s="154">
        <f>VLOOKUP($A78,'BC.116+240'!$B$13:$X$489,20,0)/1000</f>
        <v>1.887</v>
      </c>
      <c r="K78" s="154">
        <f>VLOOKUP($A78,'BC.116+240'!$B$13:$X$489,21,0)/1000</f>
        <v>-0.113</v>
      </c>
      <c r="L78" s="152">
        <f t="shared" ref="L78:L141" si="3">(G78-$G$14)*1000</f>
        <v>-174</v>
      </c>
      <c r="M78" s="153">
        <f t="shared" ref="M78:M141" si="4">(I78-$I$14)*1000</f>
        <v>-123.00000000000001</v>
      </c>
      <c r="N78" s="152">
        <f t="shared" si="2"/>
        <v>-83</v>
      </c>
      <c r="O78" s="152"/>
    </row>
    <row r="79" spans="1:20">
      <c r="A79" s="88">
        <f>'BC.116+240'!B78</f>
        <v>45346</v>
      </c>
      <c r="B79" s="152">
        <v>65</v>
      </c>
      <c r="C79" s="154">
        <f>'BC.116+240'!M78/1000</f>
        <v>1.4770000000000001</v>
      </c>
      <c r="D79" s="154">
        <f>'BC.116+240'!AA78</f>
        <v>1.6179999999999999</v>
      </c>
      <c r="E79" s="155">
        <f>'BC.116+240'!AB78</f>
        <v>1.4339999999999999</v>
      </c>
      <c r="F79" s="154">
        <f>VLOOKUP($A79,'BC.116+240'!$B$13:$X$489,8,0)/1000</f>
        <v>1.863</v>
      </c>
      <c r="G79" s="154">
        <f>VLOOKUP($A79,'BC.116+240'!$B$13:$X$489,9,0)/1000</f>
        <v>-0.13700000000000001</v>
      </c>
      <c r="H79" s="154">
        <f>VLOOKUP($A79,'BC.116+240'!$B$13:$X$489,14,0)/1000</f>
        <v>1.7969999999999999</v>
      </c>
      <c r="I79" s="154">
        <f>VLOOKUP($A79,'BC.116+240'!$B$13:$X$489,15,0)/1000</f>
        <v>-0.20300000000000001</v>
      </c>
      <c r="J79" s="154">
        <f>VLOOKUP($A79,'BC.116+240'!$B$13:$X$489,20,0)/1000</f>
        <v>1.887</v>
      </c>
      <c r="K79" s="154">
        <f>VLOOKUP($A79,'BC.116+240'!$B$13:$X$489,21,0)/1000</f>
        <v>-0.113</v>
      </c>
      <c r="L79" s="152">
        <f t="shared" si="3"/>
        <v>-177</v>
      </c>
      <c r="M79" s="153">
        <f t="shared" si="4"/>
        <v>-123.00000000000001</v>
      </c>
      <c r="N79" s="152">
        <f t="shared" ref="N79:N142" si="5">(K79-$K$14)*1000</f>
        <v>-83</v>
      </c>
      <c r="O79" s="152"/>
    </row>
    <row r="80" spans="1:20">
      <c r="A80" s="88">
        <f>'BC.116+240'!B79</f>
        <v>45347</v>
      </c>
      <c r="B80" s="152">
        <v>66</v>
      </c>
      <c r="C80" s="154">
        <f>'BC.116+240'!M79/1000</f>
        <v>1.4770000000000001</v>
      </c>
      <c r="D80" s="154">
        <f>'BC.116+240'!AA79</f>
        <v>1.6179999999999999</v>
      </c>
      <c r="E80" s="155">
        <f>'BC.116+240'!AB79</f>
        <v>1.4339999999999999</v>
      </c>
      <c r="F80" s="154">
        <f>VLOOKUP($A80,'BC.116+240'!$B$13:$X$489,8,0)/1000</f>
        <v>1.859</v>
      </c>
      <c r="G80" s="154">
        <f>VLOOKUP($A80,'BC.116+240'!$B$13:$X$489,9,0)/1000</f>
        <v>-0.14099999999999999</v>
      </c>
      <c r="H80" s="154">
        <f>VLOOKUP($A80,'BC.116+240'!$B$13:$X$489,14,0)/1000</f>
        <v>1.7969999999999999</v>
      </c>
      <c r="I80" s="154">
        <f>VLOOKUP($A80,'BC.116+240'!$B$13:$X$489,15,0)/1000</f>
        <v>-0.20300000000000001</v>
      </c>
      <c r="J80" s="154">
        <f>VLOOKUP($A80,'BC.116+240'!$B$13:$X$489,20,0)/1000</f>
        <v>1.887</v>
      </c>
      <c r="K80" s="154">
        <f>VLOOKUP($A80,'BC.116+240'!$B$13:$X$489,21,0)/1000</f>
        <v>-0.113</v>
      </c>
      <c r="L80" s="152">
        <f t="shared" si="3"/>
        <v>-181</v>
      </c>
      <c r="M80" s="153">
        <f t="shared" si="4"/>
        <v>-123.00000000000001</v>
      </c>
      <c r="N80" s="152">
        <f t="shared" si="5"/>
        <v>-83</v>
      </c>
      <c r="O80" s="152"/>
    </row>
    <row r="81" spans="1:25">
      <c r="A81" s="88">
        <f>'BC.116+240'!B80</f>
        <v>45348</v>
      </c>
      <c r="B81" s="152">
        <v>67</v>
      </c>
      <c r="C81" s="154">
        <f>'BC.116+240'!M80/1000</f>
        <v>1.474</v>
      </c>
      <c r="D81" s="154">
        <f>'BC.116+240'!AA80</f>
        <v>1.6179999999999999</v>
      </c>
      <c r="E81" s="155">
        <f>'BC.116+240'!AB80</f>
        <v>1.4279999999999999</v>
      </c>
      <c r="F81" s="154">
        <f>VLOOKUP($A81,'BC.116+240'!$B$13:$X$489,8,0)/1000</f>
        <v>1.8560000000000001</v>
      </c>
      <c r="G81" s="154">
        <f>VLOOKUP($A81,'BC.116+240'!$B$13:$X$489,9,0)/1000</f>
        <v>-0.14399999999999999</v>
      </c>
      <c r="H81" s="154">
        <f>VLOOKUP($A81,'BC.116+240'!$B$13:$X$489,14,0)/1000</f>
        <v>1.794</v>
      </c>
      <c r="I81" s="154">
        <f>VLOOKUP($A81,'BC.116+240'!$B$13:$X$489,15,0)/1000</f>
        <v>-0.20599999999999999</v>
      </c>
      <c r="J81" s="154">
        <f>VLOOKUP($A81,'BC.116+240'!$B$13:$X$489,20,0)/1000</f>
        <v>1.887</v>
      </c>
      <c r="K81" s="154">
        <f>VLOOKUP($A81,'BC.116+240'!$B$13:$X$489,21,0)/1000</f>
        <v>-0.113</v>
      </c>
      <c r="L81" s="152">
        <f t="shared" si="3"/>
        <v>-184</v>
      </c>
      <c r="M81" s="153">
        <f t="shared" si="4"/>
        <v>-126</v>
      </c>
      <c r="N81" s="152">
        <f t="shared" si="5"/>
        <v>-83</v>
      </c>
      <c r="O81" s="152"/>
    </row>
    <row r="82" spans="1:25">
      <c r="A82" s="88">
        <f>'BC.116+240'!B81</f>
        <v>45349</v>
      </c>
      <c r="B82" s="152">
        <v>68</v>
      </c>
      <c r="C82" s="154">
        <f>'BC.116+240'!M81/1000</f>
        <v>1.4730000000000001</v>
      </c>
      <c r="D82" s="154">
        <f>'BC.116+240'!AA81</f>
        <v>1.6179999999999999</v>
      </c>
      <c r="E82" s="155">
        <f>'BC.116+240'!AB81</f>
        <v>1.4259999999999999</v>
      </c>
      <c r="F82" s="154">
        <f>VLOOKUP($A82,'BC.116+240'!$B$13:$X$489,8,0)/1000</f>
        <v>1.847</v>
      </c>
      <c r="G82" s="154">
        <f>VLOOKUP($A82,'BC.116+240'!$B$13:$X$489,9,0)/1000</f>
        <v>-0.153</v>
      </c>
      <c r="H82" s="154">
        <f>VLOOKUP($A82,'BC.116+240'!$B$13:$X$489,14,0)/1000</f>
        <v>1.7929999999999999</v>
      </c>
      <c r="I82" s="154">
        <f>VLOOKUP($A82,'BC.116+240'!$B$13:$X$489,15,0)/1000</f>
        <v>-0.20699999999999999</v>
      </c>
      <c r="J82" s="154">
        <f>VLOOKUP($A82,'BC.116+240'!$B$13:$X$489,20,0)/1000</f>
        <v>1.887</v>
      </c>
      <c r="K82" s="154">
        <f>VLOOKUP($A82,'BC.116+240'!$B$13:$X$489,21,0)/1000</f>
        <v>-0.113</v>
      </c>
      <c r="L82" s="152">
        <f t="shared" si="3"/>
        <v>-193</v>
      </c>
      <c r="M82" s="153">
        <f t="shared" si="4"/>
        <v>-127</v>
      </c>
      <c r="N82" s="152">
        <f t="shared" si="5"/>
        <v>-83</v>
      </c>
      <c r="O82" s="152"/>
    </row>
    <row r="83" spans="1:25">
      <c r="A83" s="88">
        <f>'BC.116+240'!B82</f>
        <v>45350</v>
      </c>
      <c r="B83" s="152">
        <v>69</v>
      </c>
      <c r="C83" s="154">
        <f>'BC.116+240'!M82/1000</f>
        <v>1.4730000000000001</v>
      </c>
      <c r="D83" s="154">
        <f>'BC.116+240'!AA82</f>
        <v>1.6179999999999999</v>
      </c>
      <c r="E83" s="155">
        <f>'BC.116+240'!AB82</f>
        <v>1.4259999999999999</v>
      </c>
      <c r="F83" s="154">
        <f>VLOOKUP($A83,'BC.116+240'!$B$13:$X$489,8,0)/1000</f>
        <v>1.845</v>
      </c>
      <c r="G83" s="154">
        <f>VLOOKUP($A83,'BC.116+240'!$B$13:$X$489,9,0)/1000</f>
        <v>-0.155</v>
      </c>
      <c r="H83" s="154">
        <f>VLOOKUP($A83,'BC.116+240'!$B$13:$X$489,14,0)/1000</f>
        <v>1.7929999999999999</v>
      </c>
      <c r="I83" s="154">
        <f>VLOOKUP($A83,'BC.116+240'!$B$13:$X$489,15,0)/1000</f>
        <v>-0.20699999999999999</v>
      </c>
      <c r="J83" s="154">
        <f>VLOOKUP($A83,'BC.116+240'!$B$13:$X$489,20,0)/1000</f>
        <v>1.8859999999999999</v>
      </c>
      <c r="K83" s="154">
        <f>VLOOKUP($A83,'BC.116+240'!$B$13:$X$489,21,0)/1000</f>
        <v>-0.114</v>
      </c>
      <c r="L83" s="152">
        <f t="shared" si="3"/>
        <v>-195</v>
      </c>
      <c r="M83" s="153">
        <f t="shared" si="4"/>
        <v>-127</v>
      </c>
      <c r="N83" s="152">
        <f t="shared" si="5"/>
        <v>-84</v>
      </c>
      <c r="O83" s="152"/>
    </row>
    <row r="84" spans="1:25">
      <c r="A84" s="88">
        <f>'BC.116+240'!B83</f>
        <v>45351</v>
      </c>
      <c r="B84" s="152">
        <v>70</v>
      </c>
      <c r="C84" s="154">
        <f>'BC.116+240'!M83/1000</f>
        <v>1.4730000000000001</v>
      </c>
      <c r="D84" s="154">
        <f>'BC.116+240'!AA83</f>
        <v>1.6179999999999999</v>
      </c>
      <c r="E84" s="155">
        <f>'BC.116+240'!AB83</f>
        <v>1.4259999999999999</v>
      </c>
      <c r="F84" s="154">
        <f>VLOOKUP($A84,'BC.116+240'!$B$13:$X$489,8,0)/1000</f>
        <v>1.841</v>
      </c>
      <c r="G84" s="154">
        <f>VLOOKUP($A84,'BC.116+240'!$B$13:$X$489,9,0)/1000</f>
        <v>-0.159</v>
      </c>
      <c r="H84" s="154">
        <f>VLOOKUP($A84,'BC.116+240'!$B$13:$X$489,14,0)/1000</f>
        <v>1.7929999999999999</v>
      </c>
      <c r="I84" s="154">
        <f>VLOOKUP($A84,'BC.116+240'!$B$13:$X$489,15,0)/1000</f>
        <v>-0.20699999999999999</v>
      </c>
      <c r="J84" s="154">
        <f>VLOOKUP($A84,'BC.116+240'!$B$13:$X$489,20,0)/1000</f>
        <v>1.8859999999999999</v>
      </c>
      <c r="K84" s="154">
        <f>VLOOKUP($A84,'BC.116+240'!$B$13:$X$489,21,0)/1000</f>
        <v>-0.114</v>
      </c>
      <c r="L84" s="152">
        <f t="shared" si="3"/>
        <v>-199</v>
      </c>
      <c r="M84" s="153">
        <f t="shared" si="4"/>
        <v>-127</v>
      </c>
      <c r="N84" s="152">
        <f t="shared" si="5"/>
        <v>-84</v>
      </c>
      <c r="O84" s="152"/>
    </row>
    <row r="85" spans="1:25">
      <c r="A85" s="88">
        <f>'BC.116+240'!B84</f>
        <v>45352</v>
      </c>
      <c r="B85" s="152">
        <v>71</v>
      </c>
      <c r="C85" s="154">
        <f>'BC.116+240'!M84/1000</f>
        <v>1.4730000000000001</v>
      </c>
      <c r="D85" s="154">
        <f>'BC.116+240'!AA84</f>
        <v>1.6179999999999999</v>
      </c>
      <c r="E85" s="155">
        <f>'BC.116+240'!AB84</f>
        <v>1.4259999999999999</v>
      </c>
      <c r="F85" s="154">
        <f>VLOOKUP($A85,'BC.116+240'!$B$13:$X$489,8,0)/1000</f>
        <v>1.835</v>
      </c>
      <c r="G85" s="154">
        <f>VLOOKUP($A85,'BC.116+240'!$B$13:$X$489,9,0)/1000</f>
        <v>-0.16500000000000001</v>
      </c>
      <c r="H85" s="154">
        <f>VLOOKUP($A85,'BC.116+240'!$B$13:$X$489,14,0)/1000</f>
        <v>1.7929999999999999</v>
      </c>
      <c r="I85" s="154">
        <f>VLOOKUP($A85,'BC.116+240'!$B$13:$X$489,15,0)/1000</f>
        <v>-0.20699999999999999</v>
      </c>
      <c r="J85" s="154">
        <f>VLOOKUP($A85,'BC.116+240'!$B$13:$X$489,20,0)/1000</f>
        <v>1.8859999999999999</v>
      </c>
      <c r="K85" s="154">
        <f>VLOOKUP($A85,'BC.116+240'!$B$13:$X$489,21,0)/1000</f>
        <v>-0.114</v>
      </c>
      <c r="L85" s="152">
        <f t="shared" si="3"/>
        <v>-205.00000000000003</v>
      </c>
      <c r="M85" s="153">
        <f t="shared" si="4"/>
        <v>-127</v>
      </c>
      <c r="N85" s="152">
        <f t="shared" si="5"/>
        <v>-84</v>
      </c>
      <c r="O85" s="152"/>
    </row>
    <row r="86" spans="1:25">
      <c r="A86" s="88">
        <f>'BC.116+240'!B85</f>
        <v>45353</v>
      </c>
      <c r="B86" s="152">
        <v>72</v>
      </c>
      <c r="C86" s="154">
        <f>'BC.116+240'!M85/1000</f>
        <v>1.47</v>
      </c>
      <c r="D86" s="154">
        <f>'BC.116+240'!AA85</f>
        <v>1.6179999999999999</v>
      </c>
      <c r="E86" s="155">
        <f>'BC.116+240'!AB85</f>
        <v>1.42</v>
      </c>
      <c r="F86" s="154">
        <f>VLOOKUP($A86,'BC.116+240'!$B$13:$X$489,8,0)/1000</f>
        <v>1.8260000000000001</v>
      </c>
      <c r="G86" s="154">
        <f>VLOOKUP($A86,'BC.116+240'!$B$13:$X$489,9,0)/1000</f>
        <v>-0.17399999999999999</v>
      </c>
      <c r="H86" s="154">
        <f>VLOOKUP($A86,'BC.116+240'!$B$13:$X$489,14,0)/1000</f>
        <v>1.79</v>
      </c>
      <c r="I86" s="154">
        <f>VLOOKUP($A86,'BC.116+240'!$B$13:$X$489,15,0)/1000</f>
        <v>-0.21</v>
      </c>
      <c r="J86" s="154">
        <f>VLOOKUP($A86,'BC.116+240'!$B$13:$X$489,20,0)/1000</f>
        <v>1.8859999999999999</v>
      </c>
      <c r="K86" s="154">
        <f>VLOOKUP($A86,'BC.116+240'!$B$13:$X$489,21,0)/1000</f>
        <v>-0.114</v>
      </c>
      <c r="L86" s="152">
        <f t="shared" si="3"/>
        <v>-213.99999999999997</v>
      </c>
      <c r="M86" s="153">
        <f t="shared" si="4"/>
        <v>-130</v>
      </c>
      <c r="N86" s="152">
        <f t="shared" si="5"/>
        <v>-84</v>
      </c>
      <c r="O86" s="152"/>
    </row>
    <row r="87" spans="1:25">
      <c r="A87" s="88">
        <f>'BC.116+240'!B86</f>
        <v>45354</v>
      </c>
      <c r="B87" s="152">
        <v>73</v>
      </c>
      <c r="C87" s="154">
        <f>'BC.116+240'!M86/1000</f>
        <v>1.47</v>
      </c>
      <c r="D87" s="154">
        <f>'BC.116+240'!AA86</f>
        <v>1.6179999999999999</v>
      </c>
      <c r="E87" s="155">
        <f>'BC.116+240'!AB86</f>
        <v>1.42</v>
      </c>
      <c r="F87" s="154">
        <f>VLOOKUP($A87,'BC.116+240'!$B$13:$X$489,8,0)/1000</f>
        <v>1.823</v>
      </c>
      <c r="G87" s="154">
        <f>VLOOKUP($A87,'BC.116+240'!$B$13:$X$489,9,0)/1000</f>
        <v>-0.17699999999999999</v>
      </c>
      <c r="H87" s="154">
        <f>VLOOKUP($A87,'BC.116+240'!$B$13:$X$489,14,0)/1000</f>
        <v>1.79</v>
      </c>
      <c r="I87" s="154">
        <f>VLOOKUP($A87,'BC.116+240'!$B$13:$X$489,15,0)/1000</f>
        <v>-0.21</v>
      </c>
      <c r="J87" s="154">
        <f>VLOOKUP($A87,'BC.116+240'!$B$13:$X$489,20,0)/1000</f>
        <v>1.8859999999999999</v>
      </c>
      <c r="K87" s="154">
        <f>VLOOKUP($A87,'BC.116+240'!$B$13:$X$489,21,0)/1000</f>
        <v>-0.114</v>
      </c>
      <c r="L87" s="152">
        <f t="shared" si="3"/>
        <v>-216.99999999999997</v>
      </c>
      <c r="M87" s="153">
        <f t="shared" si="4"/>
        <v>-130</v>
      </c>
      <c r="N87" s="152">
        <f t="shared" si="5"/>
        <v>-84</v>
      </c>
      <c r="O87" s="152"/>
    </row>
    <row r="88" spans="1:25">
      <c r="A88" s="88">
        <f>'BC.116+240'!B87</f>
        <v>45355</v>
      </c>
      <c r="B88" s="152">
        <v>74</v>
      </c>
      <c r="C88" s="154">
        <f>'BC.116+240'!M87/1000</f>
        <v>1.77</v>
      </c>
      <c r="D88" s="154">
        <f>'BC.116+240'!AA87</f>
        <v>1.9179999999999999</v>
      </c>
      <c r="E88" s="155">
        <f>'BC.116+240'!AB87</f>
        <v>1.72</v>
      </c>
      <c r="F88" s="154">
        <f>VLOOKUP($A88,'BC.116+240'!$B$13:$X$489,8,0)/1000</f>
        <v>1.819</v>
      </c>
      <c r="G88" s="154">
        <f>VLOOKUP($A88,'BC.116+240'!$B$13:$X$489,9,0)/1000</f>
        <v>-0.18099999999999999</v>
      </c>
      <c r="H88" s="154">
        <f>VLOOKUP($A88,'BC.116+240'!$B$13:$X$489,14,0)/1000</f>
        <v>1.79</v>
      </c>
      <c r="I88" s="154">
        <f>VLOOKUP($A88,'BC.116+240'!$B$13:$X$489,15,0)/1000</f>
        <v>-0.21</v>
      </c>
      <c r="J88" s="154">
        <f>VLOOKUP($A88,'BC.116+240'!$B$13:$X$489,20,0)/1000</f>
        <v>1.8859999999999999</v>
      </c>
      <c r="K88" s="154">
        <f>VLOOKUP($A88,'BC.116+240'!$B$13:$X$489,21,0)/1000</f>
        <v>-0.114</v>
      </c>
      <c r="L88" s="152">
        <f t="shared" si="3"/>
        <v>-220.99999999999997</v>
      </c>
      <c r="M88" s="153">
        <f t="shared" si="4"/>
        <v>-130</v>
      </c>
      <c r="N88" s="152">
        <f t="shared" si="5"/>
        <v>-84</v>
      </c>
      <c r="O88" s="152"/>
    </row>
    <row r="89" spans="1:25">
      <c r="A89" s="88">
        <f>'BC.116+240'!B88</f>
        <v>45356</v>
      </c>
      <c r="B89" s="152">
        <v>75</v>
      </c>
      <c r="C89" s="154">
        <f>'BC.116+240'!M88/1000</f>
        <v>1.7689999999999999</v>
      </c>
      <c r="D89" s="154">
        <f>'BC.116+240'!AA88</f>
        <v>1.9179999999999999</v>
      </c>
      <c r="E89" s="155">
        <f>'BC.116+240'!AB88</f>
        <v>1.718</v>
      </c>
      <c r="F89" s="154">
        <f>VLOOKUP($A89,'BC.116+240'!$B$13:$X$489,8,0)/1000</f>
        <v>1.8160000000000001</v>
      </c>
      <c r="G89" s="154">
        <f>VLOOKUP($A89,'BC.116+240'!$B$13:$X$489,9,0)/1000</f>
        <v>-0.184</v>
      </c>
      <c r="H89" s="154">
        <f>VLOOKUP($A89,'BC.116+240'!$B$13:$X$489,14,0)/1000</f>
        <v>1.7889999999999999</v>
      </c>
      <c r="I89" s="154">
        <f>VLOOKUP($A89,'BC.116+240'!$B$13:$X$489,15,0)/1000</f>
        <v>-0.21099999999999999</v>
      </c>
      <c r="J89" s="154">
        <f>VLOOKUP($A89,'BC.116+240'!$B$13:$X$489,20,0)/1000</f>
        <v>1.8859999999999999</v>
      </c>
      <c r="K89" s="154">
        <f>VLOOKUP($A89,'BC.116+240'!$B$13:$X$489,21,0)/1000</f>
        <v>-0.114</v>
      </c>
      <c r="L89" s="152">
        <f t="shared" si="3"/>
        <v>-223.99999999999997</v>
      </c>
      <c r="M89" s="153">
        <f t="shared" si="4"/>
        <v>-131</v>
      </c>
      <c r="N89" s="152">
        <f t="shared" si="5"/>
        <v>-84</v>
      </c>
      <c r="O89" s="152"/>
    </row>
    <row r="90" spans="1:25">
      <c r="A90" s="88">
        <f>'BC.116+240'!B89</f>
        <v>45357</v>
      </c>
      <c r="B90" s="152">
        <v>76</v>
      </c>
      <c r="C90" s="154">
        <f>'BC.116+240'!M89/1000</f>
        <v>1.7669999999999999</v>
      </c>
      <c r="D90" s="154">
        <f>'BC.116+240'!AA89</f>
        <v>1.9179999999999999</v>
      </c>
      <c r="E90" s="155">
        <f>'BC.116+240'!AB89</f>
        <v>1.714</v>
      </c>
      <c r="F90" s="154">
        <f>VLOOKUP($A90,'BC.116+240'!$B$13:$X$489,8,0)/1000</f>
        <v>1.8069999999999999</v>
      </c>
      <c r="G90" s="154">
        <f>VLOOKUP($A90,'BC.116+240'!$B$13:$X$489,9,0)/1000</f>
        <v>-0.193</v>
      </c>
      <c r="H90" s="154">
        <f>VLOOKUP($A90,'BC.116+240'!$B$13:$X$489,14,0)/1000</f>
        <v>1.7869999999999999</v>
      </c>
      <c r="I90" s="154">
        <f>VLOOKUP($A90,'BC.116+240'!$B$13:$X$489,15,0)/1000</f>
        <v>-0.21299999999999999</v>
      </c>
      <c r="J90" s="154">
        <f>VLOOKUP($A90,'BC.116+240'!$B$13:$X$489,20,0)/1000</f>
        <v>1.8859999999999999</v>
      </c>
      <c r="K90" s="154">
        <f>VLOOKUP($A90,'BC.116+240'!$B$13:$X$489,21,0)/1000</f>
        <v>-0.114</v>
      </c>
      <c r="L90" s="152">
        <f t="shared" si="3"/>
        <v>-232.99999999999997</v>
      </c>
      <c r="M90" s="153">
        <f t="shared" si="4"/>
        <v>-133</v>
      </c>
      <c r="N90" s="152">
        <f t="shared" si="5"/>
        <v>-84</v>
      </c>
      <c r="O90" s="152"/>
    </row>
    <row r="91" spans="1:25">
      <c r="A91" s="88">
        <f>'BC.116+240'!B90</f>
        <v>45358</v>
      </c>
      <c r="B91" s="152">
        <v>77</v>
      </c>
      <c r="C91" s="154">
        <f>'BC.116+240'!M90/1000</f>
        <v>1.7669999999999999</v>
      </c>
      <c r="D91" s="154">
        <f>'BC.116+240'!AA90</f>
        <v>1.9179999999999999</v>
      </c>
      <c r="E91" s="155">
        <f>'BC.116+240'!AB90</f>
        <v>1.714</v>
      </c>
      <c r="F91" s="154">
        <f>VLOOKUP($A91,'BC.116+240'!$B$13:$X$489,8,0)/1000</f>
        <v>2.8050000000000002</v>
      </c>
      <c r="G91" s="154">
        <f>VLOOKUP($A91,'BC.116+240'!$B$13:$X$489,9,0)/1000</f>
        <v>-0.19500000000000001</v>
      </c>
      <c r="H91" s="154">
        <f>VLOOKUP($A91,'BC.116+240'!$B$13:$X$489,14,0)/1000</f>
        <v>2.7869999999999999</v>
      </c>
      <c r="I91" s="154">
        <f>VLOOKUP($A91,'BC.116+240'!$B$13:$X$489,15,0)/1000</f>
        <v>-0.21299999999999999</v>
      </c>
      <c r="J91" s="154">
        <f>VLOOKUP($A91,'BC.116+240'!$B$13:$X$489,20,0)/1000</f>
        <v>2.8860000000000001</v>
      </c>
      <c r="K91" s="154">
        <f>VLOOKUP($A91,'BC.116+240'!$B$13:$X$489,21,0)/1000</f>
        <v>-0.114</v>
      </c>
      <c r="L91" s="152">
        <f t="shared" si="3"/>
        <v>-235</v>
      </c>
      <c r="M91" s="153">
        <f t="shared" si="4"/>
        <v>-133</v>
      </c>
      <c r="N91" s="152">
        <f t="shared" si="5"/>
        <v>-84</v>
      </c>
      <c r="O91" s="152"/>
    </row>
    <row r="92" spans="1:25">
      <c r="A92" s="88">
        <f>'BC.116+240'!B91</f>
        <v>45359</v>
      </c>
      <c r="B92" s="152">
        <v>78</v>
      </c>
      <c r="C92" s="154">
        <f>'BC.116+240'!M91/1000</f>
        <v>1.7669999999999999</v>
      </c>
      <c r="D92" s="154">
        <f>'BC.116+240'!AA91</f>
        <v>1.9179999999999999</v>
      </c>
      <c r="E92" s="155">
        <f>'BC.116+240'!AB91</f>
        <v>1.714</v>
      </c>
      <c r="F92" s="154">
        <f>VLOOKUP($A92,'BC.116+240'!$B$13:$X$489,8,0)/1000</f>
        <v>2.8010000000000002</v>
      </c>
      <c r="G92" s="154">
        <f>VLOOKUP($A92,'BC.116+240'!$B$13:$X$489,9,0)/1000</f>
        <v>-0.19900000000000001</v>
      </c>
      <c r="H92" s="154">
        <f>VLOOKUP($A92,'BC.116+240'!$B$13:$X$489,14,0)/1000</f>
        <v>2.7869999999999999</v>
      </c>
      <c r="I92" s="154">
        <f>VLOOKUP($A92,'BC.116+240'!$B$13:$X$489,15,0)/1000</f>
        <v>-0.21299999999999999</v>
      </c>
      <c r="J92" s="154">
        <f>VLOOKUP($A92,'BC.116+240'!$B$13:$X$489,20,0)/1000</f>
        <v>2.8860000000000001</v>
      </c>
      <c r="K92" s="154">
        <f>VLOOKUP($A92,'BC.116+240'!$B$13:$X$489,21,0)/1000</f>
        <v>-0.114</v>
      </c>
      <c r="L92" s="152">
        <f t="shared" si="3"/>
        <v>-239</v>
      </c>
      <c r="M92" s="153">
        <f t="shared" si="4"/>
        <v>-133</v>
      </c>
      <c r="N92" s="152">
        <f t="shared" si="5"/>
        <v>-84</v>
      </c>
      <c r="O92" s="152"/>
      <c r="Y92" s="146">
        <f>A21-A14</f>
        <v>7</v>
      </c>
    </row>
    <row r="93" spans="1:25">
      <c r="A93" s="88">
        <f>'BC.116+240'!B92</f>
        <v>45360</v>
      </c>
      <c r="B93" s="152">
        <v>79</v>
      </c>
      <c r="C93" s="154">
        <f>'BC.116+240'!M92/1000</f>
        <v>1.764</v>
      </c>
      <c r="D93" s="154">
        <f>'BC.116+240'!AA92</f>
        <v>1.9179999999999999</v>
      </c>
      <c r="E93" s="155">
        <f>'BC.116+240'!AB92</f>
        <v>1.708</v>
      </c>
      <c r="F93" s="154">
        <f>VLOOKUP($A93,'BC.116+240'!$B$13:$X$489,8,0)/1000</f>
        <v>2.798</v>
      </c>
      <c r="G93" s="154">
        <f>VLOOKUP($A93,'BC.116+240'!$B$13:$X$489,9,0)/1000</f>
        <v>-0.20200000000000001</v>
      </c>
      <c r="H93" s="154">
        <f>VLOOKUP($A93,'BC.116+240'!$B$13:$X$489,14,0)/1000</f>
        <v>2.7839999999999998</v>
      </c>
      <c r="I93" s="154">
        <f>VLOOKUP($A93,'BC.116+240'!$B$13:$X$489,15,0)/1000</f>
        <v>-0.216</v>
      </c>
      <c r="J93" s="154">
        <f>VLOOKUP($A93,'BC.116+240'!$B$13:$X$489,20,0)/1000</f>
        <v>2.8860000000000001</v>
      </c>
      <c r="K93" s="154">
        <f>VLOOKUP($A93,'BC.116+240'!$B$13:$X$489,21,0)/1000</f>
        <v>-0.114</v>
      </c>
      <c r="L93" s="152">
        <f t="shared" si="3"/>
        <v>-242</v>
      </c>
      <c r="M93" s="153">
        <f t="shared" si="4"/>
        <v>-136</v>
      </c>
      <c r="N93" s="152">
        <f t="shared" si="5"/>
        <v>-84</v>
      </c>
      <c r="O93" s="152"/>
    </row>
    <row r="94" spans="1:25">
      <c r="A94" s="88">
        <f>'BC.116+240'!B93</f>
        <v>45361</v>
      </c>
      <c r="B94" s="152">
        <v>80</v>
      </c>
      <c r="C94" s="154">
        <f>'BC.116+240'!M93/1000</f>
        <v>1.764</v>
      </c>
      <c r="D94" s="154">
        <f>'BC.116+240'!AA93</f>
        <v>1.9179999999999999</v>
      </c>
      <c r="E94" s="155">
        <f>'BC.116+240'!AB93</f>
        <v>1.708</v>
      </c>
      <c r="F94" s="154">
        <f>VLOOKUP($A94,'BC.116+240'!$B$13:$X$489,8,0)/1000</f>
        <v>2.7949999999999999</v>
      </c>
      <c r="G94" s="154">
        <f>VLOOKUP($A94,'BC.116+240'!$B$13:$X$489,9,0)/1000</f>
        <v>-0.20499999999999999</v>
      </c>
      <c r="H94" s="154">
        <f>VLOOKUP($A94,'BC.116+240'!$B$13:$X$489,14,0)/1000</f>
        <v>2.7839999999999998</v>
      </c>
      <c r="I94" s="154">
        <f>VLOOKUP($A94,'BC.116+240'!$B$13:$X$489,15,0)/1000</f>
        <v>-0.216</v>
      </c>
      <c r="J94" s="154">
        <f>VLOOKUP($A94,'BC.116+240'!$B$13:$X$489,20,0)/1000</f>
        <v>2.8860000000000001</v>
      </c>
      <c r="K94" s="154">
        <f>VLOOKUP($A94,'BC.116+240'!$B$13:$X$489,21,0)/1000</f>
        <v>-0.114</v>
      </c>
      <c r="L94" s="152">
        <f t="shared" si="3"/>
        <v>-245</v>
      </c>
      <c r="M94" s="153">
        <f t="shared" si="4"/>
        <v>-136</v>
      </c>
      <c r="N94" s="152">
        <f t="shared" si="5"/>
        <v>-84</v>
      </c>
      <c r="O94" s="152"/>
    </row>
    <row r="95" spans="1:25">
      <c r="A95" s="88">
        <f>'BC.116+240'!B94</f>
        <v>45362</v>
      </c>
      <c r="B95" s="152">
        <v>81</v>
      </c>
      <c r="C95" s="154">
        <f>'BC.116+240'!M94/1000</f>
        <v>1.764</v>
      </c>
      <c r="D95" s="154">
        <f>'BC.116+240'!AA94</f>
        <v>1.9179999999999999</v>
      </c>
      <c r="E95" s="155">
        <f>'BC.116+240'!AB94</f>
        <v>1.708</v>
      </c>
      <c r="F95" s="154">
        <f>VLOOKUP($A95,'BC.116+240'!$B$13:$X$489,8,0)/1000</f>
        <v>2.786</v>
      </c>
      <c r="G95" s="154">
        <f>VLOOKUP($A95,'BC.116+240'!$B$13:$X$489,9,0)/1000</f>
        <v>-0.214</v>
      </c>
      <c r="H95" s="154">
        <f>VLOOKUP($A95,'BC.116+240'!$B$13:$X$489,14,0)/1000</f>
        <v>2.7839999999999998</v>
      </c>
      <c r="I95" s="154">
        <f>VLOOKUP($A95,'BC.116+240'!$B$13:$X$489,15,0)/1000</f>
        <v>-0.216</v>
      </c>
      <c r="J95" s="154">
        <f>VLOOKUP($A95,'BC.116+240'!$B$13:$X$489,20,0)/1000</f>
        <v>2.8860000000000001</v>
      </c>
      <c r="K95" s="154">
        <f>VLOOKUP($A95,'BC.116+240'!$B$13:$X$489,21,0)/1000</f>
        <v>-0.114</v>
      </c>
      <c r="L95" s="152">
        <f t="shared" si="3"/>
        <v>-254</v>
      </c>
      <c r="M95" s="153">
        <f t="shared" si="4"/>
        <v>-136</v>
      </c>
      <c r="N95" s="152">
        <f t="shared" si="5"/>
        <v>-84</v>
      </c>
      <c r="O95" s="152"/>
    </row>
    <row r="96" spans="1:25">
      <c r="A96" s="88">
        <f>'BC.116+240'!B95</f>
        <v>45363</v>
      </c>
      <c r="B96" s="152">
        <v>82</v>
      </c>
      <c r="C96" s="154">
        <f>'BC.116+240'!M95/1000</f>
        <v>1.764</v>
      </c>
      <c r="D96" s="154">
        <f>'BC.116+240'!AA95</f>
        <v>1.9179999999999999</v>
      </c>
      <c r="E96" s="155">
        <f>'BC.116+240'!AB95</f>
        <v>1.708</v>
      </c>
      <c r="F96" s="154">
        <f>VLOOKUP($A96,'BC.116+240'!$B$13:$X$489,8,0)/1000</f>
        <v>2.7839999999999998</v>
      </c>
      <c r="G96" s="154">
        <f>VLOOKUP($A96,'BC.116+240'!$B$13:$X$489,9,0)/1000</f>
        <v>-0.216</v>
      </c>
      <c r="H96" s="154">
        <f>VLOOKUP($A96,'BC.116+240'!$B$13:$X$489,14,0)/1000</f>
        <v>2.7839999999999998</v>
      </c>
      <c r="I96" s="154">
        <f>VLOOKUP($A96,'BC.116+240'!$B$13:$X$489,15,0)/1000</f>
        <v>-0.216</v>
      </c>
      <c r="J96" s="154">
        <f>VLOOKUP($A96,'BC.116+240'!$B$13:$X$489,20,0)/1000</f>
        <v>2.8860000000000001</v>
      </c>
      <c r="K96" s="154">
        <f>VLOOKUP($A96,'BC.116+240'!$B$13:$X$489,21,0)/1000</f>
        <v>-0.114</v>
      </c>
      <c r="L96" s="152">
        <f t="shared" si="3"/>
        <v>-256</v>
      </c>
      <c r="M96" s="153">
        <f t="shared" si="4"/>
        <v>-136</v>
      </c>
      <c r="N96" s="152">
        <f t="shared" si="5"/>
        <v>-84</v>
      </c>
      <c r="O96" s="152"/>
    </row>
    <row r="97" spans="1:15">
      <c r="A97" s="88">
        <f>'BC.116+240'!B96</f>
        <v>45364</v>
      </c>
      <c r="B97" s="152">
        <v>83</v>
      </c>
      <c r="C97" s="154">
        <f>'BC.116+240'!M96/1000</f>
        <v>2.056</v>
      </c>
      <c r="D97" s="154">
        <f>'BC.116+240'!AA96</f>
        <v>2.2130000000000001</v>
      </c>
      <c r="E97" s="155">
        <f>'BC.116+240'!AB96</f>
        <v>1.992</v>
      </c>
      <c r="F97" s="154">
        <f>VLOOKUP($A97,'BC.116+240'!$B$13:$X$489,8,0)/1000</f>
        <v>2.782</v>
      </c>
      <c r="G97" s="154">
        <f>VLOOKUP($A97,'BC.116+240'!$B$13:$X$489,9,0)/1000</f>
        <v>-0.218</v>
      </c>
      <c r="H97" s="154">
        <f>VLOOKUP($A97,'BC.116+240'!$B$13:$X$489,14,0)/1000</f>
        <v>2.7759999999999998</v>
      </c>
      <c r="I97" s="154">
        <f>VLOOKUP($A97,'BC.116+240'!$B$13:$X$489,15,0)/1000</f>
        <v>-0.224</v>
      </c>
      <c r="J97" s="154">
        <f>VLOOKUP($A97,'BC.116+240'!$B$13:$X$489,20,0)/1000</f>
        <v>2.8809999999999998</v>
      </c>
      <c r="K97" s="154">
        <f>VLOOKUP($A97,'BC.116+240'!$B$13:$X$489,21,0)/1000</f>
        <v>-0.11899999999999999</v>
      </c>
      <c r="L97" s="152">
        <f t="shared" si="3"/>
        <v>-258</v>
      </c>
      <c r="M97" s="153">
        <f t="shared" si="4"/>
        <v>-144.00000000000003</v>
      </c>
      <c r="N97" s="152">
        <f t="shared" si="5"/>
        <v>-89</v>
      </c>
      <c r="O97" s="152"/>
    </row>
    <row r="98" spans="1:15">
      <c r="A98" s="88">
        <f>'BC.116+240'!B97</f>
        <v>45365</v>
      </c>
      <c r="B98" s="152">
        <v>84</v>
      </c>
      <c r="C98" s="154">
        <f>'BC.116+240'!M97/1000</f>
        <v>2.0539999999999998</v>
      </c>
      <c r="D98" s="154">
        <f>'BC.116+240'!AA97</f>
        <v>2.2130000000000001</v>
      </c>
      <c r="E98" s="155">
        <f>'BC.116+240'!AB97</f>
        <v>1.988</v>
      </c>
      <c r="F98" s="154">
        <f>VLOOKUP($A98,'BC.116+240'!$B$13:$X$489,8,0)/1000</f>
        <v>2.78</v>
      </c>
      <c r="G98" s="154">
        <f>VLOOKUP($A98,'BC.116+240'!$B$13:$X$489,9,0)/1000</f>
        <v>-0.22</v>
      </c>
      <c r="H98" s="154">
        <f>VLOOKUP($A98,'BC.116+240'!$B$13:$X$489,14,0)/1000</f>
        <v>2.774</v>
      </c>
      <c r="I98" s="154">
        <f>VLOOKUP($A98,'BC.116+240'!$B$13:$X$489,15,0)/1000</f>
        <v>-0.22600000000000001</v>
      </c>
      <c r="J98" s="154">
        <f>VLOOKUP($A98,'BC.116+240'!$B$13:$X$489,20,0)/1000</f>
        <v>2.88</v>
      </c>
      <c r="K98" s="154">
        <f>VLOOKUP($A98,'BC.116+240'!$B$13:$X$489,21,0)/1000</f>
        <v>-0.12</v>
      </c>
      <c r="L98" s="152">
        <f t="shared" si="3"/>
        <v>-260</v>
      </c>
      <c r="M98" s="153">
        <f t="shared" si="4"/>
        <v>-146.00000000000003</v>
      </c>
      <c r="N98" s="152">
        <f t="shared" si="5"/>
        <v>-90</v>
      </c>
      <c r="O98" s="152"/>
    </row>
    <row r="99" spans="1:15">
      <c r="A99" s="88">
        <f>'BC.116+240'!B98</f>
        <v>45366</v>
      </c>
      <c r="B99" s="152">
        <v>85</v>
      </c>
      <c r="C99" s="154">
        <f>'BC.116+240'!M98/1000</f>
        <v>2.052</v>
      </c>
      <c r="D99" s="154">
        <f>'BC.116+240'!AA98</f>
        <v>2.2130000000000001</v>
      </c>
      <c r="E99" s="155">
        <f>'BC.116+240'!AB98</f>
        <v>1.984</v>
      </c>
      <c r="F99" s="154">
        <f>VLOOKUP($A99,'BC.116+240'!$B$13:$X$489,8,0)/1000</f>
        <v>2.7770000000000001</v>
      </c>
      <c r="G99" s="154">
        <f>VLOOKUP($A99,'BC.116+240'!$B$13:$X$489,9,0)/1000</f>
        <v>-0.223</v>
      </c>
      <c r="H99" s="154">
        <f>VLOOKUP($A99,'BC.116+240'!$B$13:$X$489,14,0)/1000</f>
        <v>2.7719999999999998</v>
      </c>
      <c r="I99" s="154">
        <f>VLOOKUP($A99,'BC.116+240'!$B$13:$X$489,15,0)/1000</f>
        <v>-0.22800000000000001</v>
      </c>
      <c r="J99" s="154">
        <f>VLOOKUP($A99,'BC.116+240'!$B$13:$X$489,20,0)/1000</f>
        <v>2.879</v>
      </c>
      <c r="K99" s="154">
        <f>VLOOKUP($A99,'BC.116+240'!$B$13:$X$489,21,0)/1000</f>
        <v>-0.121</v>
      </c>
      <c r="L99" s="152">
        <f t="shared" si="3"/>
        <v>-263</v>
      </c>
      <c r="M99" s="153">
        <f t="shared" si="4"/>
        <v>-148.00000000000003</v>
      </c>
      <c r="N99" s="152">
        <f t="shared" si="5"/>
        <v>-91</v>
      </c>
      <c r="O99" s="152"/>
    </row>
    <row r="100" spans="1:15">
      <c r="A100" s="88">
        <f>'BC.116+240'!B99</f>
        <v>45367</v>
      </c>
      <c r="B100" s="152">
        <v>86</v>
      </c>
      <c r="C100" s="154">
        <f>'BC.116+240'!M99/1000</f>
        <v>2.0499999999999998</v>
      </c>
      <c r="D100" s="154">
        <f>'BC.116+240'!AA99</f>
        <v>2.2130000000000001</v>
      </c>
      <c r="E100" s="155">
        <f>'BC.116+240'!AB99</f>
        <v>1.98</v>
      </c>
      <c r="F100" s="154">
        <f>VLOOKUP($A100,'BC.116+240'!$B$13:$X$489,8,0)/1000</f>
        <v>2.7730000000000001</v>
      </c>
      <c r="G100" s="154">
        <f>VLOOKUP($A100,'BC.116+240'!$B$13:$X$489,9,0)/1000</f>
        <v>-0.22700000000000001</v>
      </c>
      <c r="H100" s="154">
        <f>VLOOKUP($A100,'BC.116+240'!$B$13:$X$489,14,0)/1000</f>
        <v>2.77</v>
      </c>
      <c r="I100" s="154">
        <f>VLOOKUP($A100,'BC.116+240'!$B$13:$X$489,15,0)/1000</f>
        <v>-0.23</v>
      </c>
      <c r="J100" s="154">
        <f>VLOOKUP($A100,'BC.116+240'!$B$13:$X$489,20,0)/1000</f>
        <v>2.8769999999999998</v>
      </c>
      <c r="K100" s="154">
        <f>VLOOKUP($A100,'BC.116+240'!$B$13:$X$489,21,0)/1000</f>
        <v>-0.123</v>
      </c>
      <c r="L100" s="152">
        <f t="shared" si="3"/>
        <v>-267</v>
      </c>
      <c r="M100" s="153">
        <f t="shared" si="4"/>
        <v>-150.00000000000003</v>
      </c>
      <c r="N100" s="152">
        <f t="shared" si="5"/>
        <v>-93</v>
      </c>
      <c r="O100" s="152"/>
    </row>
    <row r="101" spans="1:15">
      <c r="A101" s="88">
        <f>'BC.116+240'!B100</f>
        <v>45368</v>
      </c>
      <c r="B101" s="152">
        <v>87</v>
      </c>
      <c r="C101" s="154">
        <f>'BC.116+240'!M100/1000</f>
        <v>2.0419999999999998</v>
      </c>
      <c r="D101" s="154">
        <f>'BC.116+240'!AA100</f>
        <v>2.2130000000000001</v>
      </c>
      <c r="E101" s="155">
        <f>'BC.116+240'!AB100</f>
        <v>1.964</v>
      </c>
      <c r="F101" s="154">
        <f>VLOOKUP($A101,'BC.116+240'!$B$13:$X$489,8,0)/1000</f>
        <v>2.77</v>
      </c>
      <c r="G101" s="154">
        <f>VLOOKUP($A101,'BC.116+240'!$B$13:$X$489,9,0)/1000</f>
        <v>-0.23</v>
      </c>
      <c r="H101" s="154">
        <f>VLOOKUP($A101,'BC.116+240'!$B$13:$X$489,14,0)/1000</f>
        <v>2.762</v>
      </c>
      <c r="I101" s="154">
        <f>VLOOKUP($A101,'BC.116+240'!$B$13:$X$489,15,0)/1000</f>
        <v>-0.23799999999999999</v>
      </c>
      <c r="J101" s="154">
        <f>VLOOKUP($A101,'BC.116+240'!$B$13:$X$489,20,0)/1000</f>
        <v>2.8719999999999999</v>
      </c>
      <c r="K101" s="154">
        <f>VLOOKUP($A101,'BC.116+240'!$B$13:$X$489,21,0)/1000</f>
        <v>-0.128</v>
      </c>
      <c r="L101" s="152">
        <f t="shared" si="3"/>
        <v>-270</v>
      </c>
      <c r="M101" s="153">
        <f t="shared" si="4"/>
        <v>-157.99999999999997</v>
      </c>
      <c r="N101" s="152">
        <f t="shared" si="5"/>
        <v>-98</v>
      </c>
      <c r="O101" s="152"/>
    </row>
    <row r="102" spans="1:15">
      <c r="A102" s="88">
        <f>'BC.116+240'!B101</f>
        <v>45369</v>
      </c>
      <c r="B102" s="152">
        <v>88</v>
      </c>
      <c r="C102" s="154">
        <f>'BC.116+240'!M101/1000</f>
        <v>2.04</v>
      </c>
      <c r="D102" s="154">
        <f>'BC.116+240'!AA101</f>
        <v>2.2130000000000001</v>
      </c>
      <c r="E102" s="155">
        <f>'BC.116+240'!AB101</f>
        <v>1.96</v>
      </c>
      <c r="F102" s="154">
        <f>VLOOKUP($A102,'BC.116+240'!$B$13:$X$489,8,0)/1000</f>
        <v>2.7610000000000001</v>
      </c>
      <c r="G102" s="154">
        <f>VLOOKUP($A102,'BC.116+240'!$B$13:$X$489,9,0)/1000</f>
        <v>-0.23899999999999999</v>
      </c>
      <c r="H102" s="154">
        <f>VLOOKUP($A102,'BC.116+240'!$B$13:$X$489,14,0)/1000</f>
        <v>2.76</v>
      </c>
      <c r="I102" s="154">
        <f>VLOOKUP($A102,'BC.116+240'!$B$13:$X$489,15,0)/1000</f>
        <v>-0.24</v>
      </c>
      <c r="J102" s="154">
        <f>VLOOKUP($A102,'BC.116+240'!$B$13:$X$489,20,0)/1000</f>
        <v>2.871</v>
      </c>
      <c r="K102" s="154">
        <f>VLOOKUP($A102,'BC.116+240'!$B$13:$X$489,21,0)/1000</f>
        <v>-0.129</v>
      </c>
      <c r="L102" s="152">
        <f t="shared" si="3"/>
        <v>-278.99999999999994</v>
      </c>
      <c r="M102" s="153">
        <f t="shared" si="4"/>
        <v>-159.99999999999997</v>
      </c>
      <c r="N102" s="152">
        <f t="shared" si="5"/>
        <v>-99</v>
      </c>
      <c r="O102" s="152"/>
    </row>
    <row r="103" spans="1:15">
      <c r="A103" s="88">
        <f>'BC.116+240'!B102</f>
        <v>45370</v>
      </c>
      <c r="B103" s="152">
        <v>89</v>
      </c>
      <c r="C103" s="154">
        <f>'BC.116+240'!M102/1000</f>
        <v>2.0379999999999998</v>
      </c>
      <c r="D103" s="154">
        <f>'BC.116+240'!AA102</f>
        <v>2.2130000000000001</v>
      </c>
      <c r="E103" s="155">
        <f>'BC.116+240'!AB102</f>
        <v>1.956</v>
      </c>
      <c r="F103" s="154">
        <f>VLOOKUP($A103,'BC.116+240'!$B$13:$X$489,8,0)/1000</f>
        <v>2.7589999999999999</v>
      </c>
      <c r="G103" s="154">
        <f>VLOOKUP($A103,'BC.116+240'!$B$13:$X$489,9,0)/1000</f>
        <v>-0.24099999999999999</v>
      </c>
      <c r="H103" s="154">
        <f>VLOOKUP($A103,'BC.116+240'!$B$13:$X$489,14,0)/1000</f>
        <v>2.758</v>
      </c>
      <c r="I103" s="154">
        <f>VLOOKUP($A103,'BC.116+240'!$B$13:$X$489,15,0)/1000</f>
        <v>-0.24199999999999999</v>
      </c>
      <c r="J103" s="154">
        <f>VLOOKUP($A103,'BC.116+240'!$B$13:$X$489,20,0)/1000</f>
        <v>2.8690000000000002</v>
      </c>
      <c r="K103" s="154">
        <f>VLOOKUP($A103,'BC.116+240'!$B$13:$X$489,21,0)/1000</f>
        <v>-0.13100000000000001</v>
      </c>
      <c r="L103" s="152">
        <f t="shared" si="3"/>
        <v>-281</v>
      </c>
      <c r="M103" s="153">
        <f t="shared" si="4"/>
        <v>-161.99999999999997</v>
      </c>
      <c r="N103" s="152">
        <f t="shared" si="5"/>
        <v>-101</v>
      </c>
      <c r="O103" s="152"/>
    </row>
    <row r="104" spans="1:15">
      <c r="A104" s="88">
        <f>'BC.116+240'!B103</f>
        <v>45371</v>
      </c>
      <c r="B104" s="152">
        <v>90</v>
      </c>
      <c r="C104" s="154">
        <f>'BC.116+240'!M103/1000</f>
        <v>2.036</v>
      </c>
      <c r="D104" s="154">
        <f>'BC.116+240'!AA103</f>
        <v>2.2130000000000001</v>
      </c>
      <c r="E104" s="155">
        <f>'BC.116+240'!AB103</f>
        <v>1.952</v>
      </c>
      <c r="F104" s="154">
        <f>VLOOKUP($A104,'BC.116+240'!$B$13:$X$489,8,0)/1000</f>
        <v>2.7549999999999999</v>
      </c>
      <c r="G104" s="154">
        <f>VLOOKUP($A104,'BC.116+240'!$B$13:$X$489,9,0)/1000</f>
        <v>-0.245</v>
      </c>
      <c r="H104" s="154">
        <f>VLOOKUP($A104,'BC.116+240'!$B$13:$X$489,14,0)/1000</f>
        <v>2.7559999999999998</v>
      </c>
      <c r="I104" s="154">
        <f>VLOOKUP($A104,'BC.116+240'!$B$13:$X$489,15,0)/1000</f>
        <v>-0.24399999999999999</v>
      </c>
      <c r="J104" s="154">
        <f>VLOOKUP($A104,'BC.116+240'!$B$13:$X$489,20,0)/1000</f>
        <v>2.8679999999999999</v>
      </c>
      <c r="K104" s="154">
        <f>VLOOKUP($A104,'BC.116+240'!$B$13:$X$489,21,0)/1000</f>
        <v>-0.13200000000000001</v>
      </c>
      <c r="L104" s="152">
        <f t="shared" si="3"/>
        <v>-285</v>
      </c>
      <c r="M104" s="153">
        <f t="shared" si="4"/>
        <v>-163.99999999999997</v>
      </c>
      <c r="N104" s="152">
        <f t="shared" si="5"/>
        <v>-102.00000000000001</v>
      </c>
      <c r="O104" s="152"/>
    </row>
    <row r="105" spans="1:15">
      <c r="A105" s="88">
        <f>'BC.116+240'!B104</f>
        <v>45372</v>
      </c>
      <c r="B105" s="152">
        <v>91</v>
      </c>
      <c r="C105" s="154">
        <f>'BC.116+240'!M104/1000</f>
        <v>2.028</v>
      </c>
      <c r="D105" s="154">
        <f>'BC.116+240'!AA104</f>
        <v>2.2130000000000001</v>
      </c>
      <c r="E105" s="155">
        <f>'BC.116+240'!AB104</f>
        <v>1.9359999999999999</v>
      </c>
      <c r="F105" s="154">
        <f>VLOOKUP($A105,'BC.116+240'!$B$13:$X$489,8,0)/1000</f>
        <v>2.7490000000000001</v>
      </c>
      <c r="G105" s="154">
        <f>VLOOKUP($A105,'BC.116+240'!$B$13:$X$489,9,0)/1000</f>
        <v>-0.251</v>
      </c>
      <c r="H105" s="154">
        <f>VLOOKUP($A105,'BC.116+240'!$B$13:$X$489,14,0)/1000</f>
        <v>2.7480000000000002</v>
      </c>
      <c r="I105" s="154">
        <f>VLOOKUP($A105,'BC.116+240'!$B$13:$X$489,15,0)/1000</f>
        <v>-0.252</v>
      </c>
      <c r="J105" s="154">
        <f>VLOOKUP($A105,'BC.116+240'!$B$13:$X$489,20,0)/1000</f>
        <v>2.8620000000000001</v>
      </c>
      <c r="K105" s="154">
        <f>VLOOKUP($A105,'BC.116+240'!$B$13:$X$489,21,0)/1000</f>
        <v>-0.13800000000000001</v>
      </c>
      <c r="L105" s="152">
        <f t="shared" si="3"/>
        <v>-291</v>
      </c>
      <c r="M105" s="153">
        <f t="shared" si="4"/>
        <v>-172</v>
      </c>
      <c r="N105" s="152">
        <f t="shared" si="5"/>
        <v>-108.00000000000001</v>
      </c>
      <c r="O105" s="152"/>
    </row>
    <row r="106" spans="1:15">
      <c r="A106" s="88">
        <f>'BC.116+240'!B105</f>
        <v>45373</v>
      </c>
      <c r="B106" s="152">
        <v>92</v>
      </c>
      <c r="C106" s="154">
        <f>'BC.116+240'!M105/1000</f>
        <v>2.0270000000000001</v>
      </c>
      <c r="D106" s="154">
        <f>'BC.116+240'!AA105</f>
        <v>2.2130000000000001</v>
      </c>
      <c r="E106" s="155">
        <f>'BC.116+240'!AB105</f>
        <v>1.9339999999999999</v>
      </c>
      <c r="F106" s="154">
        <f>VLOOKUP($A106,'BC.116+240'!$B$13:$X$489,8,0)/1000</f>
        <v>2.74</v>
      </c>
      <c r="G106" s="154">
        <f>VLOOKUP($A106,'BC.116+240'!$B$13:$X$489,9,0)/1000</f>
        <v>-0.26</v>
      </c>
      <c r="H106" s="154">
        <f>VLOOKUP($A106,'BC.116+240'!$B$13:$X$489,14,0)/1000</f>
        <v>2.7469999999999999</v>
      </c>
      <c r="I106" s="154">
        <f>VLOOKUP($A106,'BC.116+240'!$B$13:$X$489,15,0)/1000</f>
        <v>-0.253</v>
      </c>
      <c r="J106" s="154">
        <f>VLOOKUP($A106,'BC.116+240'!$B$13:$X$489,20,0)/1000</f>
        <v>2.8620000000000001</v>
      </c>
      <c r="K106" s="154">
        <f>VLOOKUP($A106,'BC.116+240'!$B$13:$X$489,21,0)/1000</f>
        <v>-0.13800000000000001</v>
      </c>
      <c r="L106" s="152">
        <f t="shared" si="3"/>
        <v>-300</v>
      </c>
      <c r="M106" s="153">
        <f t="shared" si="4"/>
        <v>-173</v>
      </c>
      <c r="N106" s="152">
        <f t="shared" si="5"/>
        <v>-108.00000000000001</v>
      </c>
      <c r="O106" s="152"/>
    </row>
    <row r="107" spans="1:15">
      <c r="A107" s="88">
        <f>'BC.116+240'!B106</f>
        <v>45374</v>
      </c>
      <c r="B107" s="152">
        <v>93</v>
      </c>
      <c r="C107" s="154">
        <f>'BC.116+240'!M106/1000</f>
        <v>2.0270000000000001</v>
      </c>
      <c r="D107" s="154">
        <f>'BC.116+240'!AA106</f>
        <v>2.2130000000000001</v>
      </c>
      <c r="E107" s="155">
        <f>'BC.116+240'!AB106</f>
        <v>1.9339999999999999</v>
      </c>
      <c r="F107" s="154">
        <f>VLOOKUP($A107,'BC.116+240'!$B$13:$X$489,8,0)/1000</f>
        <v>2.7370000000000001</v>
      </c>
      <c r="G107" s="154">
        <f>VLOOKUP($A107,'BC.116+240'!$B$13:$X$489,9,0)/1000</f>
        <v>-0.26300000000000001</v>
      </c>
      <c r="H107" s="154">
        <f>VLOOKUP($A107,'BC.116+240'!$B$13:$X$489,14,0)/1000</f>
        <v>2.7469999999999999</v>
      </c>
      <c r="I107" s="154">
        <f>VLOOKUP($A107,'BC.116+240'!$B$13:$X$489,15,0)/1000</f>
        <v>-0.253</v>
      </c>
      <c r="J107" s="154">
        <f>VLOOKUP($A107,'BC.116+240'!$B$13:$X$489,20,0)/1000</f>
        <v>2.8610000000000002</v>
      </c>
      <c r="K107" s="154">
        <f>VLOOKUP($A107,'BC.116+240'!$B$13:$X$489,21,0)/1000</f>
        <v>-0.13900000000000001</v>
      </c>
      <c r="L107" s="152">
        <f t="shared" si="3"/>
        <v>-303</v>
      </c>
      <c r="M107" s="153">
        <f t="shared" si="4"/>
        <v>-173</v>
      </c>
      <c r="N107" s="152">
        <f t="shared" si="5"/>
        <v>-109.00000000000001</v>
      </c>
      <c r="O107" s="152"/>
    </row>
    <row r="108" spans="1:15">
      <c r="A108" s="88">
        <f>'BC.116+240'!B107</f>
        <v>45375</v>
      </c>
      <c r="B108" s="152">
        <v>94</v>
      </c>
      <c r="C108" s="154">
        <f>'BC.116+240'!M107/1000</f>
        <v>2.0259999999999998</v>
      </c>
      <c r="D108" s="154">
        <f>'BC.116+240'!AA107</f>
        <v>2.2130000000000001</v>
      </c>
      <c r="E108" s="155">
        <f>'BC.116+240'!AB107</f>
        <v>1.9319999999999999</v>
      </c>
      <c r="F108" s="154">
        <f>VLOOKUP($A108,'BC.116+240'!$B$13:$X$489,8,0)/1000</f>
        <v>2.7330000000000001</v>
      </c>
      <c r="G108" s="154">
        <f>VLOOKUP($A108,'BC.116+240'!$B$13:$X$489,9,0)/1000</f>
        <v>-0.26700000000000002</v>
      </c>
      <c r="H108" s="154">
        <f>VLOOKUP($A108,'BC.116+240'!$B$13:$X$489,14,0)/1000</f>
        <v>2.746</v>
      </c>
      <c r="I108" s="154">
        <f>VLOOKUP($A108,'BC.116+240'!$B$13:$X$489,15,0)/1000</f>
        <v>-0.254</v>
      </c>
      <c r="J108" s="154">
        <f>VLOOKUP($A108,'BC.116+240'!$B$13:$X$489,20,0)/1000</f>
        <v>2.8610000000000002</v>
      </c>
      <c r="K108" s="154">
        <f>VLOOKUP($A108,'BC.116+240'!$B$13:$X$489,21,0)/1000</f>
        <v>-0.13900000000000001</v>
      </c>
      <c r="L108" s="152">
        <f t="shared" si="3"/>
        <v>-307</v>
      </c>
      <c r="M108" s="153">
        <f t="shared" si="4"/>
        <v>-174</v>
      </c>
      <c r="N108" s="152">
        <f t="shared" si="5"/>
        <v>-109.00000000000001</v>
      </c>
      <c r="O108" s="152"/>
    </row>
    <row r="109" spans="1:15">
      <c r="A109" s="88">
        <f>'BC.116+240'!B108</f>
        <v>45376</v>
      </c>
      <c r="B109" s="152">
        <v>95</v>
      </c>
      <c r="C109" s="154">
        <f>'BC.116+240'!M108/1000</f>
        <v>2.0259999999999998</v>
      </c>
      <c r="D109" s="154">
        <f>'BC.116+240'!AA108</f>
        <v>2.2130000000000001</v>
      </c>
      <c r="E109" s="155">
        <f>'BC.116+240'!AB108</f>
        <v>1.9319999999999999</v>
      </c>
      <c r="F109" s="154">
        <f>VLOOKUP($A109,'BC.116+240'!$B$13:$X$489,8,0)/1000</f>
        <v>2.73</v>
      </c>
      <c r="G109" s="154">
        <f>VLOOKUP($A109,'BC.116+240'!$B$13:$X$489,9,0)/1000</f>
        <v>-0.27</v>
      </c>
      <c r="H109" s="154">
        <f>VLOOKUP($A109,'BC.116+240'!$B$13:$X$489,14,0)/1000</f>
        <v>2.746</v>
      </c>
      <c r="I109" s="154">
        <f>VLOOKUP($A109,'BC.116+240'!$B$13:$X$489,15,0)/1000</f>
        <v>-0.254</v>
      </c>
      <c r="J109" s="154">
        <f>VLOOKUP($A109,'BC.116+240'!$B$13:$X$489,20,0)/1000</f>
        <v>2.8610000000000002</v>
      </c>
      <c r="K109" s="154">
        <f>VLOOKUP($A109,'BC.116+240'!$B$13:$X$489,21,0)/1000</f>
        <v>-0.13900000000000001</v>
      </c>
      <c r="L109" s="152">
        <f t="shared" si="3"/>
        <v>-310</v>
      </c>
      <c r="M109" s="153">
        <f t="shared" si="4"/>
        <v>-174</v>
      </c>
      <c r="N109" s="152">
        <f t="shared" si="5"/>
        <v>-109.00000000000001</v>
      </c>
      <c r="O109" s="152"/>
    </row>
    <row r="110" spans="1:15">
      <c r="A110" s="88">
        <f>'BC.116+240'!B109</f>
        <v>45377</v>
      </c>
      <c r="B110" s="152">
        <v>96</v>
      </c>
      <c r="C110" s="154">
        <f>'BC.116+240'!M109/1000</f>
        <v>2.0259999999999998</v>
      </c>
      <c r="D110" s="154">
        <f>'BC.116+240'!AA109</f>
        <v>2.2130000000000001</v>
      </c>
      <c r="E110" s="155">
        <f>'BC.116+240'!AB109</f>
        <v>1.9319999999999999</v>
      </c>
      <c r="F110" s="154">
        <f>VLOOKUP($A110,'BC.116+240'!$B$13:$X$489,8,0)/1000</f>
        <v>2.7210000000000001</v>
      </c>
      <c r="G110" s="154">
        <f>VLOOKUP($A110,'BC.116+240'!$B$13:$X$489,9,0)/1000</f>
        <v>-0.27900000000000003</v>
      </c>
      <c r="H110" s="154">
        <f>VLOOKUP($A110,'BC.116+240'!$B$13:$X$489,14,0)/1000</f>
        <v>2.746</v>
      </c>
      <c r="I110" s="154">
        <f>VLOOKUP($A110,'BC.116+240'!$B$13:$X$489,15,0)/1000</f>
        <v>-0.254</v>
      </c>
      <c r="J110" s="154">
        <f>VLOOKUP($A110,'BC.116+240'!$B$13:$X$489,20,0)/1000</f>
        <v>2.8610000000000002</v>
      </c>
      <c r="K110" s="154">
        <f>VLOOKUP($A110,'BC.116+240'!$B$13:$X$489,21,0)/1000</f>
        <v>-0.13900000000000001</v>
      </c>
      <c r="L110" s="152">
        <f t="shared" si="3"/>
        <v>-319</v>
      </c>
      <c r="M110" s="153">
        <f t="shared" si="4"/>
        <v>-174</v>
      </c>
      <c r="N110" s="152">
        <f t="shared" si="5"/>
        <v>-109.00000000000001</v>
      </c>
      <c r="O110" s="152"/>
    </row>
    <row r="111" spans="1:15">
      <c r="A111" s="88">
        <f>'BC.116+240'!B110</f>
        <v>45378</v>
      </c>
      <c r="B111" s="152">
        <v>97</v>
      </c>
      <c r="C111" s="154">
        <f>'BC.116+240'!M110/1000</f>
        <v>2.0259999999999998</v>
      </c>
      <c r="D111" s="154">
        <f>'BC.116+240'!AA110</f>
        <v>2.2130000000000001</v>
      </c>
      <c r="E111" s="155">
        <f>'BC.116+240'!AB110</f>
        <v>1.9319999999999999</v>
      </c>
      <c r="F111" s="154">
        <f>VLOOKUP($A111,'BC.116+240'!$B$13:$X$489,8,0)/1000</f>
        <v>2.7189999999999999</v>
      </c>
      <c r="G111" s="154">
        <f>VLOOKUP($A111,'BC.116+240'!$B$13:$X$489,9,0)/1000</f>
        <v>-0.28100000000000003</v>
      </c>
      <c r="H111" s="154">
        <f>VLOOKUP($A111,'BC.116+240'!$B$13:$X$489,14,0)/1000</f>
        <v>2.746</v>
      </c>
      <c r="I111" s="154">
        <f>VLOOKUP($A111,'BC.116+240'!$B$13:$X$489,15,0)/1000</f>
        <v>-0.254</v>
      </c>
      <c r="J111" s="154">
        <f>VLOOKUP($A111,'BC.116+240'!$B$13:$X$489,20,0)/1000</f>
        <v>2.8610000000000002</v>
      </c>
      <c r="K111" s="154">
        <f>VLOOKUP($A111,'BC.116+240'!$B$13:$X$489,21,0)/1000</f>
        <v>-0.13900000000000001</v>
      </c>
      <c r="L111" s="152">
        <f t="shared" si="3"/>
        <v>-321</v>
      </c>
      <c r="M111" s="153">
        <f t="shared" si="4"/>
        <v>-174</v>
      </c>
      <c r="N111" s="152">
        <f t="shared" si="5"/>
        <v>-109.00000000000001</v>
      </c>
      <c r="O111" s="152"/>
    </row>
    <row r="112" spans="1:15">
      <c r="A112" s="88">
        <f>'BC.116+240'!B111</f>
        <v>45379</v>
      </c>
      <c r="B112" s="152">
        <v>98</v>
      </c>
      <c r="C112" s="154">
        <f>'BC.116+240'!M111/1000</f>
        <v>2.0259999999999998</v>
      </c>
      <c r="D112" s="154">
        <f>'BC.116+240'!AA111</f>
        <v>2.2130000000000001</v>
      </c>
      <c r="E112" s="155">
        <f>'BC.116+240'!AB111</f>
        <v>1.9319999999999999</v>
      </c>
      <c r="F112" s="154">
        <f>VLOOKUP($A112,'BC.116+240'!$B$13:$X$489,8,0)/1000</f>
        <v>2.7149999999999999</v>
      </c>
      <c r="G112" s="154">
        <f>VLOOKUP($A112,'BC.116+240'!$B$13:$X$489,9,0)/1000</f>
        <v>-0.28499999999999998</v>
      </c>
      <c r="H112" s="154">
        <f>VLOOKUP($A112,'BC.116+240'!$B$13:$X$489,14,0)/1000</f>
        <v>2.746</v>
      </c>
      <c r="I112" s="154">
        <f>VLOOKUP($A112,'BC.116+240'!$B$13:$X$489,15,0)/1000</f>
        <v>-0.254</v>
      </c>
      <c r="J112" s="154">
        <f>VLOOKUP($A112,'BC.116+240'!$B$13:$X$489,20,0)/1000</f>
        <v>2.8610000000000002</v>
      </c>
      <c r="K112" s="154">
        <f>VLOOKUP($A112,'BC.116+240'!$B$13:$X$489,21,0)/1000</f>
        <v>-0.13900000000000001</v>
      </c>
      <c r="L112" s="152">
        <f t="shared" si="3"/>
        <v>-324.99999999999994</v>
      </c>
      <c r="M112" s="153">
        <f t="shared" si="4"/>
        <v>-174</v>
      </c>
      <c r="N112" s="152">
        <f t="shared" si="5"/>
        <v>-109.00000000000001</v>
      </c>
      <c r="O112" s="152"/>
    </row>
    <row r="113" spans="1:15">
      <c r="A113" s="88">
        <f>'BC.116+240'!B112</f>
        <v>45380</v>
      </c>
      <c r="B113" s="152">
        <v>99</v>
      </c>
      <c r="C113" s="154">
        <f>'BC.116+240'!M112/1000</f>
        <v>2.0259999999999998</v>
      </c>
      <c r="D113" s="154">
        <f>'BC.116+240'!AA112</f>
        <v>2.2130000000000001</v>
      </c>
      <c r="E113" s="155">
        <f>'BC.116+240'!AB112</f>
        <v>1.9319999999999999</v>
      </c>
      <c r="F113" s="154">
        <f>VLOOKUP($A113,'BC.116+240'!$B$13:$X$489,8,0)/1000</f>
        <v>2.7120000000000002</v>
      </c>
      <c r="G113" s="154">
        <f>VLOOKUP($A113,'BC.116+240'!$B$13:$X$489,9,0)/1000</f>
        <v>-0.28799999999999998</v>
      </c>
      <c r="H113" s="154">
        <f>VLOOKUP($A113,'BC.116+240'!$B$13:$X$489,14,0)/1000</f>
        <v>2.746</v>
      </c>
      <c r="I113" s="154">
        <f>VLOOKUP($A113,'BC.116+240'!$B$13:$X$489,15,0)/1000</f>
        <v>-0.254</v>
      </c>
      <c r="J113" s="154">
        <f>VLOOKUP($A113,'BC.116+240'!$B$13:$X$489,20,0)/1000</f>
        <v>2.8610000000000002</v>
      </c>
      <c r="K113" s="154">
        <f>VLOOKUP($A113,'BC.116+240'!$B$13:$X$489,21,0)/1000</f>
        <v>-0.13900000000000001</v>
      </c>
      <c r="L113" s="152">
        <f t="shared" si="3"/>
        <v>-327.99999999999994</v>
      </c>
      <c r="M113" s="153">
        <f t="shared" si="4"/>
        <v>-174</v>
      </c>
      <c r="N113" s="152">
        <f t="shared" si="5"/>
        <v>-109.00000000000001</v>
      </c>
      <c r="O113" s="152"/>
    </row>
    <row r="114" spans="1:15">
      <c r="A114" s="88">
        <f>'BC.116+240'!B113</f>
        <v>45381</v>
      </c>
      <c r="B114" s="152">
        <v>100</v>
      </c>
      <c r="C114" s="154">
        <f>'BC.116+240'!M113/1000</f>
        <v>2.0259999999999998</v>
      </c>
      <c r="D114" s="154">
        <f>'BC.116+240'!AA113</f>
        <v>2.2130000000000001</v>
      </c>
      <c r="E114" s="155">
        <f>'BC.116+240'!AB113</f>
        <v>1.9319999999999999</v>
      </c>
      <c r="F114" s="154">
        <f>VLOOKUP($A114,'BC.116+240'!$B$13:$X$489,8,0)/1000</f>
        <v>2.7090000000000001</v>
      </c>
      <c r="G114" s="154">
        <f>VLOOKUP($A114,'BC.116+240'!$B$13:$X$489,9,0)/1000</f>
        <v>-0.29099999999999998</v>
      </c>
      <c r="H114" s="154">
        <f>VLOOKUP($A114,'BC.116+240'!$B$13:$X$489,14,0)/1000</f>
        <v>2.746</v>
      </c>
      <c r="I114" s="154">
        <f>VLOOKUP($A114,'BC.116+240'!$B$13:$X$489,15,0)/1000</f>
        <v>-0.254</v>
      </c>
      <c r="J114" s="154">
        <f>VLOOKUP($A114,'BC.116+240'!$B$13:$X$489,20,0)/1000</f>
        <v>2.8610000000000002</v>
      </c>
      <c r="K114" s="154">
        <f>VLOOKUP($A114,'BC.116+240'!$B$13:$X$489,21,0)/1000</f>
        <v>-0.13900000000000001</v>
      </c>
      <c r="L114" s="152">
        <f t="shared" si="3"/>
        <v>-330.99999999999994</v>
      </c>
      <c r="M114" s="153">
        <f t="shared" si="4"/>
        <v>-174</v>
      </c>
      <c r="N114" s="152">
        <f t="shared" si="5"/>
        <v>-109.00000000000001</v>
      </c>
      <c r="O114" s="152"/>
    </row>
    <row r="115" spans="1:15">
      <c r="A115" s="88">
        <f>'BC.116+240'!B114</f>
        <v>45382</v>
      </c>
      <c r="B115" s="152">
        <v>101</v>
      </c>
      <c r="C115" s="154">
        <f>'BC.116+240'!M114/1000</f>
        <v>2.0259999999999998</v>
      </c>
      <c r="D115" s="154">
        <f>'BC.116+240'!AA114</f>
        <v>2.2130000000000001</v>
      </c>
      <c r="E115" s="155">
        <f>'BC.116+240'!AB114</f>
        <v>1.9319999999999999</v>
      </c>
      <c r="F115" s="154">
        <f>VLOOKUP($A115,'BC.116+240'!$B$13:$X$489,8,0)/1000</f>
        <v>2.7</v>
      </c>
      <c r="G115" s="154">
        <f>VLOOKUP($A115,'BC.116+240'!$B$13:$X$489,9,0)/1000</f>
        <v>-0.3</v>
      </c>
      <c r="H115" s="154">
        <f>VLOOKUP($A115,'BC.116+240'!$B$13:$X$489,14,0)/1000</f>
        <v>2.746</v>
      </c>
      <c r="I115" s="154">
        <f>VLOOKUP($A115,'BC.116+240'!$B$13:$X$489,15,0)/1000</f>
        <v>-0.254</v>
      </c>
      <c r="J115" s="154">
        <f>VLOOKUP($A115,'BC.116+240'!$B$13:$X$489,20,0)/1000</f>
        <v>2.8610000000000002</v>
      </c>
      <c r="K115" s="154">
        <f>VLOOKUP($A115,'BC.116+240'!$B$13:$X$489,21,0)/1000</f>
        <v>-0.13900000000000001</v>
      </c>
      <c r="L115" s="152">
        <f t="shared" si="3"/>
        <v>-339.99999999999994</v>
      </c>
      <c r="M115" s="153">
        <f t="shared" si="4"/>
        <v>-174</v>
      </c>
      <c r="N115" s="152">
        <f t="shared" si="5"/>
        <v>-109.00000000000001</v>
      </c>
      <c r="O115" s="152"/>
    </row>
    <row r="116" spans="1:15">
      <c r="A116" s="88">
        <f>'BC.116+240'!B115</f>
        <v>45383</v>
      </c>
      <c r="B116" s="152">
        <v>102</v>
      </c>
      <c r="C116" s="154">
        <f>'BC.116+240'!M115/1000</f>
        <v>2.0259999999999998</v>
      </c>
      <c r="D116" s="154">
        <f>'BC.116+240'!AA115</f>
        <v>2.2130000000000001</v>
      </c>
      <c r="E116" s="155">
        <f>'BC.116+240'!AB115</f>
        <v>1.9319999999999999</v>
      </c>
      <c r="F116" s="154">
        <f>VLOOKUP($A116,'BC.116+240'!$B$13:$X$489,8,0)/1000</f>
        <v>2.698</v>
      </c>
      <c r="G116" s="154">
        <f>VLOOKUP($A116,'BC.116+240'!$B$13:$X$489,9,0)/1000</f>
        <v>-0.30199999999999999</v>
      </c>
      <c r="H116" s="154">
        <f>VLOOKUP($A116,'BC.116+240'!$B$13:$X$489,14,0)/1000</f>
        <v>2.746</v>
      </c>
      <c r="I116" s="154">
        <f>VLOOKUP($A116,'BC.116+240'!$B$13:$X$489,15,0)/1000</f>
        <v>-0.254</v>
      </c>
      <c r="J116" s="154">
        <f>VLOOKUP($A116,'BC.116+240'!$B$13:$X$489,20,0)/1000</f>
        <v>2.8610000000000002</v>
      </c>
      <c r="K116" s="154">
        <f>VLOOKUP($A116,'BC.116+240'!$B$13:$X$489,21,0)/1000</f>
        <v>-0.13900000000000001</v>
      </c>
      <c r="L116" s="152">
        <f t="shared" si="3"/>
        <v>-341.99999999999994</v>
      </c>
      <c r="M116" s="153">
        <f t="shared" si="4"/>
        <v>-174</v>
      </c>
      <c r="N116" s="152">
        <f t="shared" si="5"/>
        <v>-109.00000000000001</v>
      </c>
      <c r="O116" s="152"/>
    </row>
    <row r="117" spans="1:15">
      <c r="A117" s="88">
        <f>'BC.116+240'!B116</f>
        <v>45384</v>
      </c>
      <c r="B117" s="152">
        <v>103</v>
      </c>
      <c r="C117" s="154">
        <f>'BC.116+240'!M116/1000</f>
        <v>2.0259999999999998</v>
      </c>
      <c r="D117" s="154">
        <f>'BC.116+240'!AA116</f>
        <v>2.2130000000000001</v>
      </c>
      <c r="E117" s="155">
        <f>'BC.116+240'!AB116</f>
        <v>1.9319999999999999</v>
      </c>
      <c r="F117" s="154">
        <f>VLOOKUP($A117,'BC.116+240'!$B$13:$X$489,8,0)/1000</f>
        <v>2.6960000000000002</v>
      </c>
      <c r="G117" s="154">
        <f>VLOOKUP($A117,'BC.116+240'!$B$13:$X$489,9,0)/1000</f>
        <v>-0.30399999999999999</v>
      </c>
      <c r="H117" s="154">
        <f>VLOOKUP($A117,'BC.116+240'!$B$13:$X$489,14,0)/1000</f>
        <v>2.746</v>
      </c>
      <c r="I117" s="154">
        <f>VLOOKUP($A117,'BC.116+240'!$B$13:$X$489,15,0)/1000</f>
        <v>-0.254</v>
      </c>
      <c r="J117" s="154">
        <f>VLOOKUP($A117,'BC.116+240'!$B$13:$X$489,20,0)/1000</f>
        <v>2.8610000000000002</v>
      </c>
      <c r="K117" s="154">
        <f>VLOOKUP($A117,'BC.116+240'!$B$13:$X$489,21,0)/1000</f>
        <v>-0.13900000000000001</v>
      </c>
      <c r="L117" s="152">
        <f t="shared" si="3"/>
        <v>-344</v>
      </c>
      <c r="M117" s="153">
        <f t="shared" si="4"/>
        <v>-174</v>
      </c>
      <c r="N117" s="152">
        <f t="shared" si="5"/>
        <v>-109.00000000000001</v>
      </c>
      <c r="O117" s="152"/>
    </row>
    <row r="118" spans="1:15">
      <c r="A118" s="88">
        <f>'BC.116+240'!B117</f>
        <v>45385</v>
      </c>
      <c r="B118" s="152">
        <v>104</v>
      </c>
      <c r="C118" s="154">
        <f>'BC.116+240'!M117/1000</f>
        <v>2.0259999999999998</v>
      </c>
      <c r="D118" s="154">
        <f>'BC.116+240'!AA117</f>
        <v>2.2130000000000001</v>
      </c>
      <c r="E118" s="155">
        <f>'BC.116+240'!AB117</f>
        <v>1.9319999999999999</v>
      </c>
      <c r="F118" s="154">
        <f>VLOOKUP($A118,'BC.116+240'!$B$13:$X$489,8,0)/1000</f>
        <v>2.694</v>
      </c>
      <c r="G118" s="154">
        <f>VLOOKUP($A118,'BC.116+240'!$B$13:$X$489,9,0)/1000</f>
        <v>-0.30599999999999999</v>
      </c>
      <c r="H118" s="154">
        <f>VLOOKUP($A118,'BC.116+240'!$B$13:$X$489,14,0)/1000</f>
        <v>2.746</v>
      </c>
      <c r="I118" s="154">
        <f>VLOOKUP($A118,'BC.116+240'!$B$13:$X$489,15,0)/1000</f>
        <v>-0.254</v>
      </c>
      <c r="J118" s="154">
        <f>VLOOKUP($A118,'BC.116+240'!$B$13:$X$489,20,0)/1000</f>
        <v>2.8610000000000002</v>
      </c>
      <c r="K118" s="154">
        <f>VLOOKUP($A118,'BC.116+240'!$B$13:$X$489,21,0)/1000</f>
        <v>-0.13900000000000001</v>
      </c>
      <c r="L118" s="152">
        <f t="shared" si="3"/>
        <v>-346</v>
      </c>
      <c r="M118" s="153">
        <f t="shared" si="4"/>
        <v>-174</v>
      </c>
      <c r="N118" s="152">
        <f t="shared" si="5"/>
        <v>-109.00000000000001</v>
      </c>
      <c r="O118" s="152"/>
    </row>
    <row r="119" spans="1:15">
      <c r="A119" s="88">
        <f>'BC.116+240'!B118</f>
        <v>45386</v>
      </c>
      <c r="B119" s="152">
        <v>105</v>
      </c>
      <c r="C119" s="154">
        <f>'BC.116+240'!M118/1000</f>
        <v>2.0259999999999998</v>
      </c>
      <c r="D119" s="154">
        <f>'BC.116+240'!AA118</f>
        <v>2.2130000000000001</v>
      </c>
      <c r="E119" s="155">
        <f>'BC.116+240'!AB118</f>
        <v>1.9319999999999999</v>
      </c>
      <c r="F119" s="154">
        <f>VLOOKUP($A119,'BC.116+240'!$B$13:$X$489,8,0)/1000</f>
        <v>2.6920000000000002</v>
      </c>
      <c r="G119" s="154">
        <f>VLOOKUP($A119,'BC.116+240'!$B$13:$X$489,9,0)/1000</f>
        <v>-0.308</v>
      </c>
      <c r="H119" s="154">
        <f>VLOOKUP($A119,'BC.116+240'!$B$13:$X$489,14,0)/1000</f>
        <v>2.746</v>
      </c>
      <c r="I119" s="154">
        <f>VLOOKUP($A119,'BC.116+240'!$B$13:$X$489,15,0)/1000</f>
        <v>-0.254</v>
      </c>
      <c r="J119" s="154">
        <f>VLOOKUP($A119,'BC.116+240'!$B$13:$X$489,20,0)/1000</f>
        <v>2.8610000000000002</v>
      </c>
      <c r="K119" s="154">
        <f>VLOOKUP($A119,'BC.116+240'!$B$13:$X$489,21,0)/1000</f>
        <v>-0.13900000000000001</v>
      </c>
      <c r="L119" s="152">
        <f t="shared" si="3"/>
        <v>-348</v>
      </c>
      <c r="M119" s="153">
        <f t="shared" si="4"/>
        <v>-174</v>
      </c>
      <c r="N119" s="152">
        <f t="shared" si="5"/>
        <v>-109.00000000000001</v>
      </c>
      <c r="O119" s="152"/>
    </row>
    <row r="120" spans="1:15">
      <c r="A120" s="88">
        <f>'BC.116+240'!B119</f>
        <v>45387</v>
      </c>
      <c r="B120" s="152">
        <v>106</v>
      </c>
      <c r="C120" s="154">
        <f>'BC.116+240'!M119/1000</f>
        <v>2.0259999999999998</v>
      </c>
      <c r="D120" s="154">
        <f>'BC.116+240'!AA119</f>
        <v>2.2130000000000001</v>
      </c>
      <c r="E120" s="155">
        <f>'BC.116+240'!AB119</f>
        <v>1.9319999999999999</v>
      </c>
      <c r="F120" s="154">
        <f>VLOOKUP($A120,'BC.116+240'!$B$13:$X$489,8,0)/1000</f>
        <v>2.6909999999999998</v>
      </c>
      <c r="G120" s="154">
        <f>VLOOKUP($A120,'BC.116+240'!$B$13:$X$489,9,0)/1000</f>
        <v>-0.309</v>
      </c>
      <c r="H120" s="154">
        <f>VLOOKUP($A120,'BC.116+240'!$B$13:$X$489,14,0)/1000</f>
        <v>2.746</v>
      </c>
      <c r="I120" s="154">
        <f>VLOOKUP($A120,'BC.116+240'!$B$13:$X$489,15,0)/1000</f>
        <v>-0.254</v>
      </c>
      <c r="J120" s="154">
        <f>VLOOKUP($A120,'BC.116+240'!$B$13:$X$489,20,0)/1000</f>
        <v>2.8610000000000002</v>
      </c>
      <c r="K120" s="154">
        <f>VLOOKUP($A120,'BC.116+240'!$B$13:$X$489,21,0)/1000</f>
        <v>-0.13900000000000001</v>
      </c>
      <c r="L120" s="152">
        <f t="shared" si="3"/>
        <v>-349</v>
      </c>
      <c r="M120" s="153">
        <f t="shared" si="4"/>
        <v>-174</v>
      </c>
      <c r="N120" s="152">
        <f t="shared" si="5"/>
        <v>-109.00000000000001</v>
      </c>
      <c r="O120" s="152"/>
    </row>
    <row r="121" spans="1:15">
      <c r="A121" s="88">
        <f>'BC.116+240'!B120</f>
        <v>45388</v>
      </c>
      <c r="B121" s="152">
        <v>107</v>
      </c>
      <c r="C121" s="154">
        <f>'BC.116+240'!M120/1000</f>
        <v>2.0259999999999998</v>
      </c>
      <c r="D121" s="154">
        <f>'BC.116+240'!AA120</f>
        <v>2.2130000000000001</v>
      </c>
      <c r="E121" s="155">
        <f>'BC.116+240'!AB120</f>
        <v>1.9319999999999999</v>
      </c>
      <c r="F121" s="154">
        <f>VLOOKUP($A121,'BC.116+240'!$B$13:$X$489,8,0)/1000</f>
        <v>2.6909999999999998</v>
      </c>
      <c r="G121" s="154">
        <f>VLOOKUP($A121,'BC.116+240'!$B$13:$X$489,9,0)/1000</f>
        <v>-0.309</v>
      </c>
      <c r="H121" s="154">
        <f>VLOOKUP($A121,'BC.116+240'!$B$13:$X$489,14,0)/1000</f>
        <v>2.746</v>
      </c>
      <c r="I121" s="154">
        <f>VLOOKUP($A121,'BC.116+240'!$B$13:$X$489,15,0)/1000</f>
        <v>-0.254</v>
      </c>
      <c r="J121" s="154">
        <f>VLOOKUP($A121,'BC.116+240'!$B$13:$X$489,20,0)/1000</f>
        <v>2.8610000000000002</v>
      </c>
      <c r="K121" s="154">
        <f>VLOOKUP($A121,'BC.116+240'!$B$13:$X$489,21,0)/1000</f>
        <v>-0.13900000000000001</v>
      </c>
      <c r="L121" s="152">
        <f t="shared" si="3"/>
        <v>-349</v>
      </c>
      <c r="M121" s="153">
        <f t="shared" si="4"/>
        <v>-174</v>
      </c>
      <c r="N121" s="152">
        <f t="shared" si="5"/>
        <v>-109.00000000000001</v>
      </c>
      <c r="O121" s="152"/>
    </row>
    <row r="122" spans="1:15">
      <c r="A122" s="88">
        <f>'BC.116+240'!B121</f>
        <v>45389</v>
      </c>
      <c r="B122" s="152">
        <v>108</v>
      </c>
      <c r="C122" s="154">
        <f>'BC.116+240'!M121/1000</f>
        <v>2.0259999999999998</v>
      </c>
      <c r="D122" s="154">
        <f>'BC.116+240'!AA121</f>
        <v>2.2130000000000001</v>
      </c>
      <c r="E122" s="155">
        <f>'BC.116+240'!AB121</f>
        <v>1.9319999999999999</v>
      </c>
      <c r="F122" s="154">
        <f>VLOOKUP($A122,'BC.116+240'!$B$13:$X$489,8,0)/1000</f>
        <v>2.69</v>
      </c>
      <c r="G122" s="154">
        <f>VLOOKUP($A122,'BC.116+240'!$B$13:$X$489,9,0)/1000</f>
        <v>-0.31</v>
      </c>
      <c r="H122" s="154">
        <f>VLOOKUP($A122,'BC.116+240'!$B$13:$X$489,14,0)/1000</f>
        <v>2.746</v>
      </c>
      <c r="I122" s="154">
        <f>VLOOKUP($A122,'BC.116+240'!$B$13:$X$489,15,0)/1000</f>
        <v>-0.254</v>
      </c>
      <c r="J122" s="154">
        <f>VLOOKUP($A122,'BC.116+240'!$B$13:$X$489,20,0)/1000</f>
        <v>2.8610000000000002</v>
      </c>
      <c r="K122" s="154">
        <f>VLOOKUP($A122,'BC.116+240'!$B$13:$X$489,21,0)/1000</f>
        <v>-0.13900000000000001</v>
      </c>
      <c r="L122" s="152">
        <f t="shared" si="3"/>
        <v>-350</v>
      </c>
      <c r="M122" s="153">
        <f t="shared" si="4"/>
        <v>-174</v>
      </c>
      <c r="N122" s="152">
        <f t="shared" si="5"/>
        <v>-109.00000000000001</v>
      </c>
      <c r="O122" s="152"/>
    </row>
    <row r="123" spans="1:15">
      <c r="A123" s="88">
        <f>'BC.116+240'!B122</f>
        <v>45390</v>
      </c>
      <c r="B123" s="152">
        <v>109</v>
      </c>
      <c r="C123" s="154">
        <f>'BC.116+240'!M122/1000</f>
        <v>2.0259999999999998</v>
      </c>
      <c r="D123" s="154">
        <f>'BC.116+240'!AA122</f>
        <v>2.2130000000000001</v>
      </c>
      <c r="E123" s="155">
        <f>'BC.116+240'!AB122</f>
        <v>1.9319999999999999</v>
      </c>
      <c r="F123" s="154">
        <f>VLOOKUP($A123,'BC.116+240'!$B$13:$X$489,8,0)/1000</f>
        <v>2.69</v>
      </c>
      <c r="G123" s="154">
        <f>VLOOKUP($A123,'BC.116+240'!$B$13:$X$489,9,0)/1000</f>
        <v>-0.31</v>
      </c>
      <c r="H123" s="154">
        <f>VLOOKUP($A123,'BC.116+240'!$B$13:$X$489,14,0)/1000</f>
        <v>2.746</v>
      </c>
      <c r="I123" s="154">
        <f>VLOOKUP($A123,'BC.116+240'!$B$13:$X$489,15,0)/1000</f>
        <v>-0.254</v>
      </c>
      <c r="J123" s="154">
        <f>VLOOKUP($A123,'BC.116+240'!$B$13:$X$489,20,0)/1000</f>
        <v>2.8610000000000002</v>
      </c>
      <c r="K123" s="154">
        <f>VLOOKUP($A123,'BC.116+240'!$B$13:$X$489,21,0)/1000</f>
        <v>-0.13900000000000001</v>
      </c>
      <c r="L123" s="152">
        <f t="shared" si="3"/>
        <v>-350</v>
      </c>
      <c r="M123" s="153">
        <f t="shared" si="4"/>
        <v>-174</v>
      </c>
      <c r="N123" s="152">
        <f t="shared" si="5"/>
        <v>-109.00000000000001</v>
      </c>
      <c r="O123" s="152"/>
    </row>
    <row r="124" spans="1:15">
      <c r="A124" s="88">
        <f>'BC.116+240'!B123</f>
        <v>45391</v>
      </c>
      <c r="B124" s="152">
        <v>110</v>
      </c>
      <c r="C124" s="154">
        <f>'BC.116+240'!M123/1000</f>
        <v>2.0259999999999998</v>
      </c>
      <c r="D124" s="154">
        <f>'BC.116+240'!AA123</f>
        <v>2.2130000000000001</v>
      </c>
      <c r="E124" s="155">
        <f>'BC.116+240'!AB123</f>
        <v>1.9319999999999999</v>
      </c>
      <c r="F124" s="154">
        <f>VLOOKUP($A124,'BC.116+240'!$B$13:$X$489,8,0)/1000</f>
        <v>2.6880000000000002</v>
      </c>
      <c r="G124" s="154">
        <f>VLOOKUP($A124,'BC.116+240'!$B$13:$X$489,9,0)/1000</f>
        <v>-0.312</v>
      </c>
      <c r="H124" s="154">
        <f>VLOOKUP($A124,'BC.116+240'!$B$13:$X$489,14,0)/1000</f>
        <v>2.746</v>
      </c>
      <c r="I124" s="154">
        <f>VLOOKUP($A124,'BC.116+240'!$B$13:$X$489,15,0)/1000</f>
        <v>-0.254</v>
      </c>
      <c r="J124" s="154">
        <f>VLOOKUP($A124,'BC.116+240'!$B$13:$X$489,20,0)/1000</f>
        <v>2.8610000000000002</v>
      </c>
      <c r="K124" s="154">
        <f>VLOOKUP($A124,'BC.116+240'!$B$13:$X$489,21,0)/1000</f>
        <v>-0.13900000000000001</v>
      </c>
      <c r="L124" s="152">
        <f t="shared" si="3"/>
        <v>-352</v>
      </c>
      <c r="M124" s="153">
        <f t="shared" si="4"/>
        <v>-174</v>
      </c>
      <c r="N124" s="152">
        <f t="shared" si="5"/>
        <v>-109.00000000000001</v>
      </c>
      <c r="O124" s="152"/>
    </row>
    <row r="125" spans="1:15">
      <c r="A125" s="88">
        <f>'BC.116+240'!B124</f>
        <v>45392</v>
      </c>
      <c r="B125" s="152">
        <v>111</v>
      </c>
      <c r="C125" s="154">
        <f>'BC.116+240'!M124/1000</f>
        <v>2.0259999999999998</v>
      </c>
      <c r="D125" s="154">
        <f>'BC.116+240'!AA124</f>
        <v>2.2130000000000001</v>
      </c>
      <c r="E125" s="155">
        <f>'BC.116+240'!AB124</f>
        <v>1.9319999999999999</v>
      </c>
      <c r="F125" s="154">
        <f>VLOOKUP($A125,'BC.116+240'!$B$13:$X$489,8,0)/1000</f>
        <v>2.6859999999999999</v>
      </c>
      <c r="G125" s="154">
        <f>VLOOKUP($A125,'BC.116+240'!$B$13:$X$489,9,0)/1000</f>
        <v>-0.314</v>
      </c>
      <c r="H125" s="154">
        <f>VLOOKUP($A125,'BC.116+240'!$B$13:$X$489,14,0)/1000</f>
        <v>2.746</v>
      </c>
      <c r="I125" s="154">
        <f>VLOOKUP($A125,'BC.116+240'!$B$13:$X$489,15,0)/1000</f>
        <v>-0.254</v>
      </c>
      <c r="J125" s="154">
        <f>VLOOKUP($A125,'BC.116+240'!$B$13:$X$489,20,0)/1000</f>
        <v>2.8610000000000002</v>
      </c>
      <c r="K125" s="154">
        <f>VLOOKUP($A125,'BC.116+240'!$B$13:$X$489,21,0)/1000</f>
        <v>-0.13900000000000001</v>
      </c>
      <c r="L125" s="152">
        <f t="shared" si="3"/>
        <v>-354</v>
      </c>
      <c r="M125" s="153">
        <f t="shared" si="4"/>
        <v>-174</v>
      </c>
      <c r="N125" s="152">
        <f t="shared" si="5"/>
        <v>-109.00000000000001</v>
      </c>
      <c r="O125" s="152"/>
    </row>
    <row r="126" spans="1:15">
      <c r="A126" s="88">
        <f>'BC.116+240'!B125</f>
        <v>45393</v>
      </c>
      <c r="B126" s="152">
        <v>112</v>
      </c>
      <c r="C126" s="154">
        <f>'BC.116+240'!M125/1000</f>
        <v>2.0259999999999998</v>
      </c>
      <c r="D126" s="154">
        <f>'BC.116+240'!AA125</f>
        <v>2.2130000000000001</v>
      </c>
      <c r="E126" s="155">
        <f>'BC.116+240'!AB125</f>
        <v>1.9319999999999999</v>
      </c>
      <c r="F126" s="154">
        <f>VLOOKUP($A126,'BC.116+240'!$B$13:$X$489,8,0)/1000</f>
        <v>2.6840000000000002</v>
      </c>
      <c r="G126" s="154">
        <f>VLOOKUP($A126,'BC.116+240'!$B$13:$X$489,9,0)/1000</f>
        <v>-0.316</v>
      </c>
      <c r="H126" s="154">
        <f>VLOOKUP($A126,'BC.116+240'!$B$13:$X$489,14,0)/1000</f>
        <v>2.746</v>
      </c>
      <c r="I126" s="154">
        <f>VLOOKUP($A126,'BC.116+240'!$B$13:$X$489,15,0)/1000</f>
        <v>-0.254</v>
      </c>
      <c r="J126" s="154">
        <f>VLOOKUP($A126,'BC.116+240'!$B$13:$X$489,20,0)/1000</f>
        <v>2.8610000000000002</v>
      </c>
      <c r="K126" s="154">
        <f>VLOOKUP($A126,'BC.116+240'!$B$13:$X$489,21,0)/1000</f>
        <v>-0.13900000000000001</v>
      </c>
      <c r="L126" s="152">
        <f t="shared" si="3"/>
        <v>-356</v>
      </c>
      <c r="M126" s="153">
        <f t="shared" si="4"/>
        <v>-174</v>
      </c>
      <c r="N126" s="152">
        <f t="shared" si="5"/>
        <v>-109.00000000000001</v>
      </c>
      <c r="O126" s="152"/>
    </row>
    <row r="127" spans="1:15">
      <c r="A127" s="88">
        <f>'BC.116+240'!B126</f>
        <v>45394</v>
      </c>
      <c r="B127" s="152">
        <v>113</v>
      </c>
      <c r="C127" s="154">
        <f>'BC.116+240'!M126/1000</f>
        <v>2.0259999999999998</v>
      </c>
      <c r="D127" s="154">
        <f>'BC.116+240'!AA126</f>
        <v>2.2130000000000001</v>
      </c>
      <c r="E127" s="155">
        <f>'BC.116+240'!AB126</f>
        <v>1.9319999999999999</v>
      </c>
      <c r="F127" s="154">
        <f>VLOOKUP($A127,'BC.116+240'!$B$13:$X$489,8,0)/1000</f>
        <v>2.6819999999999999</v>
      </c>
      <c r="G127" s="154">
        <f>VLOOKUP($A127,'BC.116+240'!$B$13:$X$489,9,0)/1000</f>
        <v>-0.318</v>
      </c>
      <c r="H127" s="154">
        <f>VLOOKUP($A127,'BC.116+240'!$B$13:$X$489,14,0)/1000</f>
        <v>2.746</v>
      </c>
      <c r="I127" s="154">
        <f>VLOOKUP($A127,'BC.116+240'!$B$13:$X$489,15,0)/1000</f>
        <v>-0.254</v>
      </c>
      <c r="J127" s="154">
        <f>VLOOKUP($A127,'BC.116+240'!$B$13:$X$489,20,0)/1000</f>
        <v>2.8610000000000002</v>
      </c>
      <c r="K127" s="154">
        <f>VLOOKUP($A127,'BC.116+240'!$B$13:$X$489,21,0)/1000</f>
        <v>-0.13900000000000001</v>
      </c>
      <c r="L127" s="152">
        <f t="shared" si="3"/>
        <v>-358</v>
      </c>
      <c r="M127" s="153">
        <f t="shared" si="4"/>
        <v>-174</v>
      </c>
      <c r="N127" s="152">
        <f t="shared" si="5"/>
        <v>-109.00000000000001</v>
      </c>
      <c r="O127" s="152"/>
    </row>
    <row r="128" spans="1:15">
      <c r="A128" s="88">
        <f>'BC.116+240'!B127</f>
        <v>45395</v>
      </c>
      <c r="B128" s="152">
        <v>114</v>
      </c>
      <c r="C128" s="154">
        <f>'BC.116+240'!M127/1000</f>
        <v>2.0259999999999998</v>
      </c>
      <c r="D128" s="154">
        <f>'BC.116+240'!AA127</f>
        <v>2.2130000000000001</v>
      </c>
      <c r="E128" s="155">
        <f>'BC.116+240'!AB127</f>
        <v>1.9319999999999999</v>
      </c>
      <c r="F128" s="154">
        <f>VLOOKUP($A128,'BC.116+240'!$B$13:$X$489,8,0)/1000</f>
        <v>2.681</v>
      </c>
      <c r="G128" s="154">
        <f>VLOOKUP($A128,'BC.116+240'!$B$13:$X$489,9,0)/1000</f>
        <v>-0.31900000000000001</v>
      </c>
      <c r="H128" s="154">
        <f>VLOOKUP($A128,'BC.116+240'!$B$13:$X$489,14,0)/1000</f>
        <v>2.746</v>
      </c>
      <c r="I128" s="154">
        <f>VLOOKUP($A128,'BC.116+240'!$B$13:$X$489,15,0)/1000</f>
        <v>-0.254</v>
      </c>
      <c r="J128" s="154">
        <f>VLOOKUP($A128,'BC.116+240'!$B$13:$X$489,20,0)/1000</f>
        <v>2.8610000000000002</v>
      </c>
      <c r="K128" s="154">
        <f>VLOOKUP($A128,'BC.116+240'!$B$13:$X$489,21,0)/1000</f>
        <v>-0.13900000000000001</v>
      </c>
      <c r="L128" s="152">
        <f t="shared" si="3"/>
        <v>-359</v>
      </c>
      <c r="M128" s="153">
        <f t="shared" si="4"/>
        <v>-174</v>
      </c>
      <c r="N128" s="152">
        <f t="shared" si="5"/>
        <v>-109.00000000000001</v>
      </c>
      <c r="O128" s="152"/>
    </row>
    <row r="129" spans="1:15">
      <c r="A129" s="88">
        <f>'BC.116+240'!B128</f>
        <v>45396</v>
      </c>
      <c r="B129" s="152">
        <v>115</v>
      </c>
      <c r="C129" s="154">
        <f>'BC.116+240'!M128/1000</f>
        <v>2.0259999999999998</v>
      </c>
      <c r="D129" s="154">
        <f>'BC.116+240'!AA128</f>
        <v>2.2130000000000001</v>
      </c>
      <c r="E129" s="155">
        <f>'BC.116+240'!AB128</f>
        <v>1.9319999999999999</v>
      </c>
      <c r="F129" s="154">
        <f>VLOOKUP($A129,'BC.116+240'!$B$13:$X$489,8,0)/1000</f>
        <v>2.6789999999999998</v>
      </c>
      <c r="G129" s="154">
        <f>VLOOKUP($A129,'BC.116+240'!$B$13:$X$489,9,0)/1000</f>
        <v>-0.32100000000000001</v>
      </c>
      <c r="H129" s="154">
        <f>VLOOKUP($A129,'BC.116+240'!$B$13:$X$489,14,0)/1000</f>
        <v>2.746</v>
      </c>
      <c r="I129" s="154">
        <f>VLOOKUP($A129,'BC.116+240'!$B$13:$X$489,15,0)/1000</f>
        <v>-0.254</v>
      </c>
      <c r="J129" s="154">
        <f>VLOOKUP($A129,'BC.116+240'!$B$13:$X$489,20,0)/1000</f>
        <v>2.8610000000000002</v>
      </c>
      <c r="K129" s="154">
        <f>VLOOKUP($A129,'BC.116+240'!$B$13:$X$489,21,0)/1000</f>
        <v>-0.13900000000000001</v>
      </c>
      <c r="L129" s="152">
        <f t="shared" si="3"/>
        <v>-361</v>
      </c>
      <c r="M129" s="153">
        <f t="shared" si="4"/>
        <v>-174</v>
      </c>
      <c r="N129" s="152">
        <f t="shared" si="5"/>
        <v>-109.00000000000001</v>
      </c>
      <c r="O129" s="152"/>
    </row>
    <row r="130" spans="1:15">
      <c r="A130" s="88">
        <f>'BC.116+240'!B129</f>
        <v>45397</v>
      </c>
      <c r="B130" s="152">
        <v>116</v>
      </c>
      <c r="C130" s="154">
        <f>'BC.116+240'!M129/1000</f>
        <v>2.0259999999999998</v>
      </c>
      <c r="D130" s="154">
        <f>'BC.116+240'!AA129</f>
        <v>2.2130000000000001</v>
      </c>
      <c r="E130" s="155">
        <f>'BC.116+240'!AB129</f>
        <v>1.9319999999999999</v>
      </c>
      <c r="F130" s="154">
        <f>VLOOKUP($A130,'BC.116+240'!$B$13:$X$489,8,0)/1000</f>
        <v>2.677</v>
      </c>
      <c r="G130" s="154">
        <f>VLOOKUP($A130,'BC.116+240'!$B$13:$X$489,9,0)/1000</f>
        <v>-0.32300000000000001</v>
      </c>
      <c r="H130" s="154">
        <f>VLOOKUP($A130,'BC.116+240'!$B$13:$X$489,14,0)/1000</f>
        <v>2.746</v>
      </c>
      <c r="I130" s="154">
        <f>VLOOKUP($A130,'BC.116+240'!$B$13:$X$489,15,0)/1000</f>
        <v>-0.254</v>
      </c>
      <c r="J130" s="154">
        <f>VLOOKUP($A130,'BC.116+240'!$B$13:$X$489,20,0)/1000</f>
        <v>2.8610000000000002</v>
      </c>
      <c r="K130" s="154">
        <f>VLOOKUP($A130,'BC.116+240'!$B$13:$X$489,21,0)/1000</f>
        <v>-0.13900000000000001</v>
      </c>
      <c r="L130" s="152">
        <f t="shared" si="3"/>
        <v>-363</v>
      </c>
      <c r="M130" s="153">
        <f t="shared" si="4"/>
        <v>-174</v>
      </c>
      <c r="N130" s="152">
        <f t="shared" si="5"/>
        <v>-109.00000000000001</v>
      </c>
      <c r="O130" s="152"/>
    </row>
    <row r="131" spans="1:15">
      <c r="A131" s="88">
        <f>'BC.116+240'!B130</f>
        <v>45398</v>
      </c>
      <c r="B131" s="152">
        <v>117</v>
      </c>
      <c r="C131" s="154">
        <f>'BC.116+240'!M130/1000</f>
        <v>2.0259999999999998</v>
      </c>
      <c r="D131" s="154">
        <f>'BC.116+240'!AA130</f>
        <v>2.2130000000000001</v>
      </c>
      <c r="E131" s="155">
        <f>'BC.116+240'!AB130</f>
        <v>1.9319999999999999</v>
      </c>
      <c r="F131" s="154">
        <f>VLOOKUP($A131,'BC.116+240'!$B$13:$X$489,8,0)/1000</f>
        <v>2.6749999999999998</v>
      </c>
      <c r="G131" s="154">
        <f>VLOOKUP($A131,'BC.116+240'!$B$13:$X$489,9,0)/1000</f>
        <v>-0.32500000000000001</v>
      </c>
      <c r="H131" s="154">
        <f>VLOOKUP($A131,'BC.116+240'!$B$13:$X$489,14,0)/1000</f>
        <v>2.746</v>
      </c>
      <c r="I131" s="154">
        <f>VLOOKUP($A131,'BC.116+240'!$B$13:$X$489,15,0)/1000</f>
        <v>-0.254</v>
      </c>
      <c r="J131" s="154">
        <f>VLOOKUP($A131,'BC.116+240'!$B$13:$X$489,20,0)/1000</f>
        <v>2.8610000000000002</v>
      </c>
      <c r="K131" s="154">
        <f>VLOOKUP($A131,'BC.116+240'!$B$13:$X$489,21,0)/1000</f>
        <v>-0.13900000000000001</v>
      </c>
      <c r="L131" s="152">
        <f t="shared" si="3"/>
        <v>-365</v>
      </c>
      <c r="M131" s="153">
        <f t="shared" si="4"/>
        <v>-174</v>
      </c>
      <c r="N131" s="152">
        <f t="shared" si="5"/>
        <v>-109.00000000000001</v>
      </c>
      <c r="O131" s="152"/>
    </row>
    <row r="132" spans="1:15">
      <c r="A132" s="88">
        <f>'BC.116+240'!B131</f>
        <v>45399</v>
      </c>
      <c r="B132" s="152">
        <v>118</v>
      </c>
      <c r="C132" s="154">
        <f>'BC.116+240'!M131/1000</f>
        <v>2.0259999999999998</v>
      </c>
      <c r="D132" s="154">
        <f>'BC.116+240'!AA131</f>
        <v>2.2130000000000001</v>
      </c>
      <c r="E132" s="155">
        <f>'BC.116+240'!AB131</f>
        <v>1.9319999999999999</v>
      </c>
      <c r="F132" s="154">
        <f>VLOOKUP($A132,'BC.116+240'!$B$13:$X$489,8,0)/1000</f>
        <v>2.673</v>
      </c>
      <c r="G132" s="154">
        <f>VLOOKUP($A132,'BC.116+240'!$B$13:$X$489,9,0)/1000</f>
        <v>-0.32700000000000001</v>
      </c>
      <c r="H132" s="154">
        <f>VLOOKUP($A132,'BC.116+240'!$B$13:$X$489,14,0)/1000</f>
        <v>2.746</v>
      </c>
      <c r="I132" s="154">
        <f>VLOOKUP($A132,'BC.116+240'!$B$13:$X$489,15,0)/1000</f>
        <v>-0.254</v>
      </c>
      <c r="J132" s="154">
        <f>VLOOKUP($A132,'BC.116+240'!$B$13:$X$489,20,0)/1000</f>
        <v>2.8610000000000002</v>
      </c>
      <c r="K132" s="154">
        <f>VLOOKUP($A132,'BC.116+240'!$B$13:$X$489,21,0)/1000</f>
        <v>-0.13900000000000001</v>
      </c>
      <c r="L132" s="152">
        <f t="shared" si="3"/>
        <v>-367</v>
      </c>
      <c r="M132" s="153">
        <f t="shared" si="4"/>
        <v>-174</v>
      </c>
      <c r="N132" s="152">
        <f t="shared" si="5"/>
        <v>-109.00000000000001</v>
      </c>
      <c r="O132" s="152"/>
    </row>
    <row r="133" spans="1:15">
      <c r="A133" s="88">
        <f>'BC.116+240'!B132</f>
        <v>45400</v>
      </c>
      <c r="B133" s="152">
        <v>119</v>
      </c>
      <c r="C133" s="154">
        <f>'BC.116+240'!M132/1000</f>
        <v>2.0259999999999998</v>
      </c>
      <c r="D133" s="154">
        <f>'BC.116+240'!AA132</f>
        <v>2.2130000000000001</v>
      </c>
      <c r="E133" s="155">
        <f>'BC.116+240'!AB132</f>
        <v>1.9319999999999999</v>
      </c>
      <c r="F133" s="154">
        <f>VLOOKUP($A133,'BC.116+240'!$B$13:$X$489,8,0)/1000</f>
        <v>2.673</v>
      </c>
      <c r="G133" s="154">
        <f>VLOOKUP($A133,'BC.116+240'!$B$13:$X$489,9,0)/1000</f>
        <v>-0.32700000000000001</v>
      </c>
      <c r="H133" s="154">
        <f>VLOOKUP($A133,'BC.116+240'!$B$13:$X$489,14,0)/1000</f>
        <v>2.746</v>
      </c>
      <c r="I133" s="154">
        <f>VLOOKUP($A133,'BC.116+240'!$B$13:$X$489,15,0)/1000</f>
        <v>-0.254</v>
      </c>
      <c r="J133" s="154">
        <f>VLOOKUP($A133,'BC.116+240'!$B$13:$X$489,20,0)/1000</f>
        <v>2.8610000000000002</v>
      </c>
      <c r="K133" s="154">
        <f>VLOOKUP($A133,'BC.116+240'!$B$13:$X$489,21,0)/1000</f>
        <v>-0.13900000000000001</v>
      </c>
      <c r="L133" s="152">
        <f t="shared" si="3"/>
        <v>-367</v>
      </c>
      <c r="M133" s="153">
        <f t="shared" si="4"/>
        <v>-174</v>
      </c>
      <c r="N133" s="152">
        <f t="shared" si="5"/>
        <v>-109.00000000000001</v>
      </c>
      <c r="O133" s="152"/>
    </row>
    <row r="134" spans="1:15">
      <c r="A134" s="88">
        <f>'BC.116+240'!B133</f>
        <v>45401</v>
      </c>
      <c r="B134" s="152">
        <v>120</v>
      </c>
      <c r="C134" s="154">
        <f>'BC.116+240'!M133/1000</f>
        <v>2.0259999999999998</v>
      </c>
      <c r="D134" s="154">
        <f>'BC.116+240'!AA133</f>
        <v>2.2130000000000001</v>
      </c>
      <c r="E134" s="155">
        <f>'BC.116+240'!AB133</f>
        <v>1.9319999999999999</v>
      </c>
      <c r="F134" s="154">
        <f>VLOOKUP($A134,'BC.116+240'!$B$13:$X$489,8,0)/1000</f>
        <v>2.673</v>
      </c>
      <c r="G134" s="154">
        <f>VLOOKUP($A134,'BC.116+240'!$B$13:$X$489,9,0)/1000</f>
        <v>-0.32700000000000001</v>
      </c>
      <c r="H134" s="154">
        <f>VLOOKUP($A134,'BC.116+240'!$B$13:$X$489,14,0)/1000</f>
        <v>2.746</v>
      </c>
      <c r="I134" s="154">
        <f>VLOOKUP($A134,'BC.116+240'!$B$13:$X$489,15,0)/1000</f>
        <v>-0.254</v>
      </c>
      <c r="J134" s="154">
        <f>VLOOKUP($A134,'BC.116+240'!$B$13:$X$489,20,0)/1000</f>
        <v>2.8610000000000002</v>
      </c>
      <c r="K134" s="154">
        <f>VLOOKUP($A134,'BC.116+240'!$B$13:$X$489,21,0)/1000</f>
        <v>-0.13900000000000001</v>
      </c>
      <c r="L134" s="152">
        <f t="shared" si="3"/>
        <v>-367</v>
      </c>
      <c r="M134" s="153">
        <f t="shared" si="4"/>
        <v>-174</v>
      </c>
      <c r="N134" s="152">
        <f t="shared" si="5"/>
        <v>-109.00000000000001</v>
      </c>
      <c r="O134" s="156"/>
    </row>
    <row r="135" spans="1:15">
      <c r="A135" s="88">
        <f>'BC.116+240'!B134</f>
        <v>45402</v>
      </c>
      <c r="B135" s="152">
        <v>121</v>
      </c>
      <c r="C135" s="154">
        <f>'BC.116+240'!M134/1000</f>
        <v>2.0259999999999998</v>
      </c>
      <c r="D135" s="154">
        <f>'BC.116+240'!AA134</f>
        <v>2.2130000000000001</v>
      </c>
      <c r="E135" s="155">
        <f>'BC.116+240'!AB134</f>
        <v>1.9319999999999999</v>
      </c>
      <c r="F135" s="154">
        <f>VLOOKUP($A135,'BC.116+240'!$B$13:$X$489,8,0)/1000</f>
        <v>2.673</v>
      </c>
      <c r="G135" s="154">
        <f>VLOOKUP($A135,'BC.116+240'!$B$13:$X$489,9,0)/1000</f>
        <v>-0.32700000000000001</v>
      </c>
      <c r="H135" s="154">
        <f>VLOOKUP($A135,'BC.116+240'!$B$13:$X$489,14,0)/1000</f>
        <v>2.746</v>
      </c>
      <c r="I135" s="154">
        <f>VLOOKUP($A135,'BC.116+240'!$B$13:$X$489,15,0)/1000</f>
        <v>-0.254</v>
      </c>
      <c r="J135" s="154">
        <f>VLOOKUP($A135,'BC.116+240'!$B$13:$X$489,20,0)/1000</f>
        <v>2.8610000000000002</v>
      </c>
      <c r="K135" s="154">
        <f>VLOOKUP($A135,'BC.116+240'!$B$13:$X$489,21,0)/1000</f>
        <v>-0.13900000000000001</v>
      </c>
      <c r="L135" s="152">
        <f t="shared" si="3"/>
        <v>-367</v>
      </c>
      <c r="M135" s="153">
        <f t="shared" si="4"/>
        <v>-174</v>
      </c>
      <c r="N135" s="152">
        <f t="shared" si="5"/>
        <v>-109.00000000000001</v>
      </c>
      <c r="O135" s="152"/>
    </row>
    <row r="136" spans="1:15">
      <c r="A136" s="88">
        <f>'BC.116+240'!B135</f>
        <v>45403</v>
      </c>
      <c r="B136" s="152">
        <v>122</v>
      </c>
      <c r="C136" s="154">
        <f>'BC.116+240'!M135/1000</f>
        <v>2.0259999999999998</v>
      </c>
      <c r="D136" s="154">
        <f>'BC.116+240'!AA135</f>
        <v>2.2130000000000001</v>
      </c>
      <c r="E136" s="155">
        <f>'BC.116+240'!AB135</f>
        <v>1.9319999999999999</v>
      </c>
      <c r="F136" s="154">
        <f>VLOOKUP($A136,'BC.116+240'!$B$13:$X$489,8,0)/1000</f>
        <v>2.6709999999999998</v>
      </c>
      <c r="G136" s="154">
        <f>VLOOKUP($A136,'BC.116+240'!$B$13:$X$489,9,0)/1000</f>
        <v>-0.32900000000000001</v>
      </c>
      <c r="H136" s="154">
        <f>VLOOKUP($A136,'BC.116+240'!$B$13:$X$489,14,0)/1000</f>
        <v>2.746</v>
      </c>
      <c r="I136" s="154">
        <f>VLOOKUP($A136,'BC.116+240'!$B$13:$X$489,15,0)/1000</f>
        <v>-0.254</v>
      </c>
      <c r="J136" s="154">
        <f>VLOOKUP($A136,'BC.116+240'!$B$13:$X$489,20,0)/1000</f>
        <v>2.8610000000000002</v>
      </c>
      <c r="K136" s="154">
        <f>VLOOKUP($A136,'BC.116+240'!$B$13:$X$489,21,0)/1000</f>
        <v>-0.13900000000000001</v>
      </c>
      <c r="L136" s="152">
        <f t="shared" si="3"/>
        <v>-369</v>
      </c>
      <c r="M136" s="153">
        <f t="shared" si="4"/>
        <v>-174</v>
      </c>
      <c r="N136" s="152">
        <f t="shared" si="5"/>
        <v>-109.00000000000001</v>
      </c>
      <c r="O136" s="152"/>
    </row>
    <row r="137" spans="1:15">
      <c r="A137" s="88">
        <f>'BC.116+240'!B136</f>
        <v>45404</v>
      </c>
      <c r="B137" s="152">
        <v>123</v>
      </c>
      <c r="C137" s="154">
        <f>'BC.116+240'!M136/1000</f>
        <v>2.0259999999999998</v>
      </c>
      <c r="D137" s="154">
        <f>'BC.116+240'!AA136</f>
        <v>2.2130000000000001</v>
      </c>
      <c r="E137" s="155">
        <f>'BC.116+240'!AB136</f>
        <v>1.9319999999999999</v>
      </c>
      <c r="F137" s="154">
        <f>VLOOKUP($A137,'BC.116+240'!$B$13:$X$489,8,0)/1000</f>
        <v>2.669</v>
      </c>
      <c r="G137" s="154">
        <f>VLOOKUP($A137,'BC.116+240'!$B$13:$X$489,9,0)/1000</f>
        <v>-0.33100000000000002</v>
      </c>
      <c r="H137" s="154">
        <f>VLOOKUP($A137,'BC.116+240'!$B$13:$X$489,14,0)/1000</f>
        <v>2.746</v>
      </c>
      <c r="I137" s="154">
        <f>VLOOKUP($A137,'BC.116+240'!$B$13:$X$489,15,0)/1000</f>
        <v>-0.254</v>
      </c>
      <c r="J137" s="154">
        <f>VLOOKUP($A137,'BC.116+240'!$B$13:$X$489,20,0)/1000</f>
        <v>2.8610000000000002</v>
      </c>
      <c r="K137" s="154">
        <f>VLOOKUP($A137,'BC.116+240'!$B$13:$X$489,21,0)/1000</f>
        <v>-0.13900000000000001</v>
      </c>
      <c r="L137" s="152">
        <f t="shared" si="3"/>
        <v>-371</v>
      </c>
      <c r="M137" s="153">
        <f t="shared" si="4"/>
        <v>-174</v>
      </c>
      <c r="N137" s="152">
        <f t="shared" si="5"/>
        <v>-109.00000000000001</v>
      </c>
      <c r="O137" s="152"/>
    </row>
    <row r="138" spans="1:15">
      <c r="A138" s="88">
        <f>'BC.116+240'!B137</f>
        <v>45405</v>
      </c>
      <c r="B138" s="152">
        <v>124</v>
      </c>
      <c r="C138" s="154">
        <f>'BC.116+240'!M137/1000</f>
        <v>2.0259999999999998</v>
      </c>
      <c r="D138" s="154">
        <f>'BC.116+240'!AA137</f>
        <v>2.2130000000000001</v>
      </c>
      <c r="E138" s="155">
        <f>'BC.116+240'!AB137</f>
        <v>1.9319999999999999</v>
      </c>
      <c r="F138" s="154">
        <f>VLOOKUP($A138,'BC.116+240'!$B$13:$X$489,8,0)/1000</f>
        <v>2.6669999999999998</v>
      </c>
      <c r="G138" s="154">
        <f>VLOOKUP($A138,'BC.116+240'!$B$13:$X$489,9,0)/1000</f>
        <v>-0.33300000000000002</v>
      </c>
      <c r="H138" s="154">
        <f>VLOOKUP($A138,'BC.116+240'!$B$13:$X$489,14,0)/1000</f>
        <v>2.746</v>
      </c>
      <c r="I138" s="154">
        <f>VLOOKUP($A138,'BC.116+240'!$B$13:$X$489,15,0)/1000</f>
        <v>-0.254</v>
      </c>
      <c r="J138" s="154">
        <f>VLOOKUP($A138,'BC.116+240'!$B$13:$X$489,20,0)/1000</f>
        <v>2.8610000000000002</v>
      </c>
      <c r="K138" s="154">
        <f>VLOOKUP($A138,'BC.116+240'!$B$13:$X$489,21,0)/1000</f>
        <v>-0.13900000000000001</v>
      </c>
      <c r="L138" s="152">
        <f t="shared" si="3"/>
        <v>-373</v>
      </c>
      <c r="M138" s="153">
        <f t="shared" si="4"/>
        <v>-174</v>
      </c>
      <c r="N138" s="152">
        <f t="shared" si="5"/>
        <v>-109.00000000000001</v>
      </c>
      <c r="O138" s="152"/>
    </row>
    <row r="139" spans="1:15">
      <c r="A139" s="88">
        <f>'BC.116+240'!B138</f>
        <v>45406</v>
      </c>
      <c r="B139" s="152">
        <v>125</v>
      </c>
      <c r="C139" s="154">
        <f>'BC.116+240'!M138/1000</f>
        <v>2.0259999999999998</v>
      </c>
      <c r="D139" s="154">
        <f>'BC.116+240'!AA138</f>
        <v>2.2130000000000001</v>
      </c>
      <c r="E139" s="155">
        <f>'BC.116+240'!AB138</f>
        <v>1.9319999999999999</v>
      </c>
      <c r="F139" s="154">
        <f>VLOOKUP($A139,'BC.116+240'!$B$13:$X$489,8,0)/1000</f>
        <v>2.665</v>
      </c>
      <c r="G139" s="154">
        <f>VLOOKUP($A139,'BC.116+240'!$B$13:$X$489,9,0)/1000</f>
        <v>-0.33500000000000002</v>
      </c>
      <c r="H139" s="154">
        <f>VLOOKUP($A139,'BC.116+240'!$B$13:$X$489,14,0)/1000</f>
        <v>2.746</v>
      </c>
      <c r="I139" s="154">
        <f>VLOOKUP($A139,'BC.116+240'!$B$13:$X$489,15,0)/1000</f>
        <v>-0.254</v>
      </c>
      <c r="J139" s="154">
        <f>VLOOKUP($A139,'BC.116+240'!$B$13:$X$489,20,0)/1000</f>
        <v>2.8610000000000002</v>
      </c>
      <c r="K139" s="154">
        <f>VLOOKUP($A139,'BC.116+240'!$B$13:$X$489,21,0)/1000</f>
        <v>-0.13900000000000001</v>
      </c>
      <c r="L139" s="152">
        <f t="shared" si="3"/>
        <v>-375</v>
      </c>
      <c r="M139" s="153">
        <f t="shared" si="4"/>
        <v>-174</v>
      </c>
      <c r="N139" s="152">
        <f t="shared" si="5"/>
        <v>-109.00000000000001</v>
      </c>
      <c r="O139" s="152"/>
    </row>
    <row r="140" spans="1:15">
      <c r="A140" s="88">
        <f>'BC.116+240'!B139</f>
        <v>45407</v>
      </c>
      <c r="B140" s="152">
        <v>126</v>
      </c>
      <c r="C140" s="154">
        <f>'BC.116+240'!M139/1000</f>
        <v>2.0259999999999998</v>
      </c>
      <c r="D140" s="154">
        <f>'BC.116+240'!AA139</f>
        <v>2.2130000000000001</v>
      </c>
      <c r="E140" s="155">
        <f>'BC.116+240'!AB139</f>
        <v>1.9319999999999999</v>
      </c>
      <c r="F140" s="154">
        <f>VLOOKUP($A140,'BC.116+240'!$B$13:$X$489,8,0)/1000</f>
        <v>2.6640000000000001</v>
      </c>
      <c r="G140" s="154">
        <f>VLOOKUP($A140,'BC.116+240'!$B$13:$X$489,9,0)/1000</f>
        <v>-0.33600000000000002</v>
      </c>
      <c r="H140" s="154">
        <f>VLOOKUP($A140,'BC.116+240'!$B$13:$X$489,14,0)/1000</f>
        <v>2.746</v>
      </c>
      <c r="I140" s="154">
        <f>VLOOKUP($A140,'BC.116+240'!$B$13:$X$489,15,0)/1000</f>
        <v>-0.254</v>
      </c>
      <c r="J140" s="154">
        <f>VLOOKUP($A140,'BC.116+240'!$B$13:$X$489,20,0)/1000</f>
        <v>2.8610000000000002</v>
      </c>
      <c r="K140" s="154">
        <f>VLOOKUP($A140,'BC.116+240'!$B$13:$X$489,21,0)/1000</f>
        <v>-0.13900000000000001</v>
      </c>
      <c r="L140" s="152">
        <f t="shared" si="3"/>
        <v>-376</v>
      </c>
      <c r="M140" s="153">
        <f t="shared" si="4"/>
        <v>-174</v>
      </c>
      <c r="N140" s="152">
        <f t="shared" si="5"/>
        <v>-109.00000000000001</v>
      </c>
      <c r="O140" s="152"/>
    </row>
    <row r="141" spans="1:15">
      <c r="A141" s="88">
        <f>'BC.116+240'!B140</f>
        <v>45408</v>
      </c>
      <c r="B141" s="152">
        <v>127</v>
      </c>
      <c r="C141" s="154">
        <f>'BC.116+240'!M140/1000</f>
        <v>2.0259999999999998</v>
      </c>
      <c r="D141" s="154">
        <f>'BC.116+240'!AA140</f>
        <v>2.2130000000000001</v>
      </c>
      <c r="E141" s="155">
        <f>'BC.116+240'!AB140</f>
        <v>1.9319999999999999</v>
      </c>
      <c r="F141" s="154">
        <f>VLOOKUP($A141,'BC.116+240'!$B$13:$X$489,8,0)/1000</f>
        <v>2.6619999999999999</v>
      </c>
      <c r="G141" s="154">
        <f>VLOOKUP($A141,'BC.116+240'!$B$13:$X$489,9,0)/1000</f>
        <v>-0.33800000000000002</v>
      </c>
      <c r="H141" s="154">
        <f>VLOOKUP($A141,'BC.116+240'!$B$13:$X$489,14,0)/1000</f>
        <v>2.746</v>
      </c>
      <c r="I141" s="154">
        <f>VLOOKUP($A141,'BC.116+240'!$B$13:$X$489,15,0)/1000</f>
        <v>-0.254</v>
      </c>
      <c r="J141" s="154">
        <f>VLOOKUP($A141,'BC.116+240'!$B$13:$X$489,20,0)/1000</f>
        <v>2.8610000000000002</v>
      </c>
      <c r="K141" s="154">
        <f>VLOOKUP($A141,'BC.116+240'!$B$13:$X$489,21,0)/1000</f>
        <v>-0.13900000000000001</v>
      </c>
      <c r="L141" s="152">
        <f t="shared" si="3"/>
        <v>-378</v>
      </c>
      <c r="M141" s="153">
        <f t="shared" si="4"/>
        <v>-174</v>
      </c>
      <c r="N141" s="152">
        <f t="shared" si="5"/>
        <v>-109.00000000000001</v>
      </c>
      <c r="O141" s="152"/>
    </row>
    <row r="142" spans="1:15">
      <c r="A142" s="88">
        <f>'BC.116+240'!B141</f>
        <v>45409</v>
      </c>
      <c r="B142" s="152">
        <v>128</v>
      </c>
      <c r="C142" s="154">
        <f>'BC.116+240'!M141/1000</f>
        <v>2.0259999999999998</v>
      </c>
      <c r="D142" s="154">
        <f>'BC.116+240'!AA141</f>
        <v>2.2130000000000001</v>
      </c>
      <c r="E142" s="155">
        <f>'BC.116+240'!AB141</f>
        <v>1.9319999999999999</v>
      </c>
      <c r="F142" s="154">
        <f>VLOOKUP($A142,'BC.116+240'!$B$13:$X$489,8,0)/1000</f>
        <v>2.66</v>
      </c>
      <c r="G142" s="154">
        <f>VLOOKUP($A142,'BC.116+240'!$B$13:$X$489,9,0)/1000</f>
        <v>-0.34</v>
      </c>
      <c r="H142" s="154">
        <f>VLOOKUP($A142,'BC.116+240'!$B$13:$X$489,14,0)/1000</f>
        <v>2.746</v>
      </c>
      <c r="I142" s="154">
        <f>VLOOKUP($A142,'BC.116+240'!$B$13:$X$489,15,0)/1000</f>
        <v>-0.254</v>
      </c>
      <c r="J142" s="154">
        <f>VLOOKUP($A142,'BC.116+240'!$B$13:$X$489,20,0)/1000</f>
        <v>2.8610000000000002</v>
      </c>
      <c r="K142" s="154">
        <f>VLOOKUP($A142,'BC.116+240'!$B$13:$X$489,21,0)/1000</f>
        <v>-0.13900000000000001</v>
      </c>
      <c r="L142" s="152">
        <f t="shared" ref="L142:L205" si="6">(G142-$G$14)*1000</f>
        <v>-380</v>
      </c>
      <c r="M142" s="153">
        <f t="shared" ref="M142:M205" si="7">(I142-$I$14)*1000</f>
        <v>-174</v>
      </c>
      <c r="N142" s="152">
        <f t="shared" si="5"/>
        <v>-109.00000000000001</v>
      </c>
      <c r="O142" s="152"/>
    </row>
    <row r="143" spans="1:15">
      <c r="A143" s="88">
        <f>'BC.116+240'!B142</f>
        <v>45410</v>
      </c>
      <c r="B143" s="152">
        <v>129</v>
      </c>
      <c r="C143" s="154">
        <f>'BC.116+240'!M142/1000</f>
        <v>2.0259999999999998</v>
      </c>
      <c r="D143" s="154">
        <f>'BC.116+240'!AA142</f>
        <v>2.2130000000000001</v>
      </c>
      <c r="E143" s="155">
        <f>'BC.116+240'!AB142</f>
        <v>1.9319999999999999</v>
      </c>
      <c r="F143" s="154">
        <f>VLOOKUP($A143,'BC.116+240'!$B$13:$X$489,8,0)/1000</f>
        <v>2.6579999999999999</v>
      </c>
      <c r="G143" s="154">
        <f>VLOOKUP($A143,'BC.116+240'!$B$13:$X$489,9,0)/1000</f>
        <v>-0.34200000000000003</v>
      </c>
      <c r="H143" s="154">
        <f>VLOOKUP($A143,'BC.116+240'!$B$13:$X$489,14,0)/1000</f>
        <v>2.746</v>
      </c>
      <c r="I143" s="154">
        <f>VLOOKUP($A143,'BC.116+240'!$B$13:$X$489,15,0)/1000</f>
        <v>-0.254</v>
      </c>
      <c r="J143" s="154">
        <f>VLOOKUP($A143,'BC.116+240'!$B$13:$X$489,20,0)/1000</f>
        <v>2.8610000000000002</v>
      </c>
      <c r="K143" s="154">
        <f>VLOOKUP($A143,'BC.116+240'!$B$13:$X$489,21,0)/1000</f>
        <v>-0.13900000000000001</v>
      </c>
      <c r="L143" s="152">
        <f t="shared" si="6"/>
        <v>-382</v>
      </c>
      <c r="M143" s="153">
        <f t="shared" si="7"/>
        <v>-174</v>
      </c>
      <c r="N143" s="152">
        <f t="shared" ref="N143:N206" si="8">(K143-$K$14)*1000</f>
        <v>-109.00000000000001</v>
      </c>
      <c r="O143" s="152"/>
    </row>
    <row r="144" spans="1:15">
      <c r="A144" s="88">
        <f>'BC.116+240'!B143</f>
        <v>45411</v>
      </c>
      <c r="B144" s="152">
        <v>130</v>
      </c>
      <c r="C144" s="154">
        <f>'BC.116+240'!M143/1000</f>
        <v>2.0259999999999998</v>
      </c>
      <c r="D144" s="154">
        <f>'BC.116+240'!AA143</f>
        <v>2.2130000000000001</v>
      </c>
      <c r="E144" s="155">
        <f>'BC.116+240'!AB143</f>
        <v>1.9319999999999999</v>
      </c>
      <c r="F144" s="154">
        <f>VLOOKUP($A144,'BC.116+240'!$B$13:$X$489,8,0)/1000</f>
        <v>2.6560000000000001</v>
      </c>
      <c r="G144" s="154">
        <f>VLOOKUP($A144,'BC.116+240'!$B$13:$X$489,9,0)/1000</f>
        <v>-0.34399999999999997</v>
      </c>
      <c r="H144" s="154">
        <f>VLOOKUP($A144,'BC.116+240'!$B$13:$X$489,14,0)/1000</f>
        <v>2.746</v>
      </c>
      <c r="I144" s="154">
        <f>VLOOKUP($A144,'BC.116+240'!$B$13:$X$489,15,0)/1000</f>
        <v>-0.254</v>
      </c>
      <c r="J144" s="154">
        <f>VLOOKUP($A144,'BC.116+240'!$B$13:$X$489,20,0)/1000</f>
        <v>2.8610000000000002</v>
      </c>
      <c r="K144" s="154">
        <f>VLOOKUP($A144,'BC.116+240'!$B$13:$X$489,21,0)/1000</f>
        <v>-0.13900000000000001</v>
      </c>
      <c r="L144" s="152">
        <f t="shared" si="6"/>
        <v>-383.99999999999994</v>
      </c>
      <c r="M144" s="153">
        <f t="shared" si="7"/>
        <v>-174</v>
      </c>
      <c r="N144" s="152">
        <f t="shared" si="8"/>
        <v>-109.00000000000001</v>
      </c>
      <c r="O144" s="152"/>
    </row>
    <row r="145" spans="1:15">
      <c r="A145" s="88">
        <f>'BC.116+240'!B144</f>
        <v>45412</v>
      </c>
      <c r="B145" s="152">
        <v>131</v>
      </c>
      <c r="C145" s="154">
        <f>'BC.116+240'!M144/1000</f>
        <v>2.0259999999999998</v>
      </c>
      <c r="D145" s="154">
        <f>'BC.116+240'!AA144</f>
        <v>2.2130000000000001</v>
      </c>
      <c r="E145" s="155">
        <f>'BC.116+240'!AB144</f>
        <v>1.9319999999999999</v>
      </c>
      <c r="F145" s="154">
        <f>VLOOKUP($A145,'BC.116+240'!$B$13:$X$489,8,0)/1000</f>
        <v>2.6560000000000001</v>
      </c>
      <c r="G145" s="154">
        <f>VLOOKUP($A145,'BC.116+240'!$B$13:$X$489,9,0)/1000</f>
        <v>-0.34399999999999997</v>
      </c>
      <c r="H145" s="154">
        <f>VLOOKUP($A145,'BC.116+240'!$B$13:$X$489,14,0)/1000</f>
        <v>2.746</v>
      </c>
      <c r="I145" s="154">
        <f>VLOOKUP($A145,'BC.116+240'!$B$13:$X$489,15,0)/1000</f>
        <v>-0.254</v>
      </c>
      <c r="J145" s="154">
        <f>VLOOKUP($A145,'BC.116+240'!$B$13:$X$489,20,0)/1000</f>
        <v>2.8610000000000002</v>
      </c>
      <c r="K145" s="154">
        <f>VLOOKUP($A145,'BC.116+240'!$B$13:$X$489,21,0)/1000</f>
        <v>-0.13900000000000001</v>
      </c>
      <c r="L145" s="152">
        <f t="shared" si="6"/>
        <v>-383.99999999999994</v>
      </c>
      <c r="M145" s="153">
        <f t="shared" si="7"/>
        <v>-174</v>
      </c>
      <c r="N145" s="152">
        <f t="shared" si="8"/>
        <v>-109.00000000000001</v>
      </c>
      <c r="O145" s="152"/>
    </row>
    <row r="146" spans="1:15">
      <c r="A146" s="88">
        <f>'BC.116+240'!B145</f>
        <v>45413</v>
      </c>
      <c r="B146" s="152">
        <v>132</v>
      </c>
      <c r="C146" s="154">
        <f>'BC.116+240'!M145/1000</f>
        <v>2.0259999999999998</v>
      </c>
      <c r="D146" s="154">
        <f>'BC.116+240'!AA145</f>
        <v>2.2130000000000001</v>
      </c>
      <c r="E146" s="155">
        <f>'BC.116+240'!AB145</f>
        <v>1.9319999999999999</v>
      </c>
      <c r="F146" s="154">
        <f>VLOOKUP($A146,'BC.116+240'!$B$13:$X$489,8,0)/1000</f>
        <v>2.6560000000000001</v>
      </c>
      <c r="G146" s="154">
        <f>VLOOKUP($A146,'BC.116+240'!$B$13:$X$489,9,0)/1000</f>
        <v>-0.34399999999999997</v>
      </c>
      <c r="H146" s="154">
        <f>VLOOKUP($A146,'BC.116+240'!$B$13:$X$489,14,0)/1000</f>
        <v>2.746</v>
      </c>
      <c r="I146" s="154">
        <f>VLOOKUP($A146,'BC.116+240'!$B$13:$X$489,15,0)/1000</f>
        <v>-0.254</v>
      </c>
      <c r="J146" s="154">
        <f>VLOOKUP($A146,'BC.116+240'!$B$13:$X$489,20,0)/1000</f>
        <v>2.8610000000000002</v>
      </c>
      <c r="K146" s="154">
        <f>VLOOKUP($A146,'BC.116+240'!$B$13:$X$489,21,0)/1000</f>
        <v>-0.13900000000000001</v>
      </c>
      <c r="L146" s="152">
        <f t="shared" si="6"/>
        <v>-383.99999999999994</v>
      </c>
      <c r="M146" s="153">
        <f t="shared" si="7"/>
        <v>-174</v>
      </c>
      <c r="N146" s="152">
        <f t="shared" si="8"/>
        <v>-109.00000000000001</v>
      </c>
      <c r="O146" s="152"/>
    </row>
    <row r="147" spans="1:15">
      <c r="A147" s="88">
        <f>'BC.116+240'!B146</f>
        <v>45414</v>
      </c>
      <c r="B147" s="152">
        <v>133</v>
      </c>
      <c r="C147" s="154">
        <f>'BC.116+240'!M146/1000</f>
        <v>2.0259999999999998</v>
      </c>
      <c r="D147" s="154">
        <f>'BC.116+240'!AA146</f>
        <v>2.2130000000000001</v>
      </c>
      <c r="E147" s="155">
        <f>'BC.116+240'!AB146</f>
        <v>1.9319999999999999</v>
      </c>
      <c r="F147" s="154">
        <f>VLOOKUP($A147,'BC.116+240'!$B$13:$X$489,8,0)/1000</f>
        <v>2.6560000000000001</v>
      </c>
      <c r="G147" s="154">
        <f>VLOOKUP($A147,'BC.116+240'!$B$13:$X$489,9,0)/1000</f>
        <v>-0.34399999999999997</v>
      </c>
      <c r="H147" s="154">
        <f>VLOOKUP($A147,'BC.116+240'!$B$13:$X$489,14,0)/1000</f>
        <v>2.746</v>
      </c>
      <c r="I147" s="154">
        <f>VLOOKUP($A147,'BC.116+240'!$B$13:$X$489,15,0)/1000</f>
        <v>-0.254</v>
      </c>
      <c r="J147" s="154">
        <f>VLOOKUP($A147,'BC.116+240'!$B$13:$X$489,20,0)/1000</f>
        <v>2.8610000000000002</v>
      </c>
      <c r="K147" s="154">
        <f>VLOOKUP($A147,'BC.116+240'!$B$13:$X$489,21,0)/1000</f>
        <v>-0.13900000000000001</v>
      </c>
      <c r="L147" s="152">
        <f t="shared" si="6"/>
        <v>-383.99999999999994</v>
      </c>
      <c r="M147" s="153">
        <f t="shared" si="7"/>
        <v>-174</v>
      </c>
      <c r="N147" s="152">
        <f t="shared" si="8"/>
        <v>-109.00000000000001</v>
      </c>
      <c r="O147" s="152"/>
    </row>
    <row r="148" spans="1:15">
      <c r="A148" s="88">
        <f>'BC.116+240'!B147</f>
        <v>45415</v>
      </c>
      <c r="B148" s="152">
        <v>134</v>
      </c>
      <c r="C148" s="154">
        <f>'BC.116+240'!M147/1000</f>
        <v>2.0259999999999998</v>
      </c>
      <c r="D148" s="154">
        <f>'BC.116+240'!AA147</f>
        <v>2.2130000000000001</v>
      </c>
      <c r="E148" s="155">
        <f>'BC.116+240'!AB147</f>
        <v>1.9319999999999999</v>
      </c>
      <c r="F148" s="154">
        <f>VLOOKUP($A148,'BC.116+240'!$B$13:$X$489,8,0)/1000</f>
        <v>3.6560000000000001</v>
      </c>
      <c r="G148" s="154">
        <f>VLOOKUP($A148,'BC.116+240'!$B$13:$X$489,9,0)/1000</f>
        <v>-0.34399999999999997</v>
      </c>
      <c r="H148" s="154">
        <f>VLOOKUP($A148,'BC.116+240'!$B$13:$X$489,14,0)/1000</f>
        <v>3.746</v>
      </c>
      <c r="I148" s="154">
        <f>VLOOKUP($A148,'BC.116+240'!$B$13:$X$489,15,0)/1000</f>
        <v>-0.254</v>
      </c>
      <c r="J148" s="154">
        <f>VLOOKUP($A148,'BC.116+240'!$B$13:$X$489,20,0)/1000</f>
        <v>3.8610000000000002</v>
      </c>
      <c r="K148" s="154">
        <f>VLOOKUP($A148,'BC.116+240'!$B$13:$X$489,21,0)/1000</f>
        <v>-0.13900000000000001</v>
      </c>
      <c r="L148" s="152">
        <f t="shared" si="6"/>
        <v>-383.99999999999994</v>
      </c>
      <c r="M148" s="153">
        <f t="shared" si="7"/>
        <v>-174</v>
      </c>
      <c r="N148" s="152">
        <f t="shared" si="8"/>
        <v>-109.00000000000001</v>
      </c>
      <c r="O148" s="152"/>
    </row>
    <row r="149" spans="1:15">
      <c r="A149" s="88">
        <f>'BC.116+240'!B148</f>
        <v>45416</v>
      </c>
      <c r="B149" s="152">
        <v>135</v>
      </c>
      <c r="C149" s="154">
        <f>'BC.116+240'!M148/1000</f>
        <v>2.0259999999999998</v>
      </c>
      <c r="D149" s="154">
        <f>'BC.116+240'!AA148</f>
        <v>2.2130000000000001</v>
      </c>
      <c r="E149" s="155">
        <f>'BC.116+240'!AB148</f>
        <v>1.9319999999999999</v>
      </c>
      <c r="F149" s="154">
        <f>VLOOKUP($A149,'BC.116+240'!$B$13:$X$489,8,0)/1000</f>
        <v>3.6539999999999999</v>
      </c>
      <c r="G149" s="154">
        <f>VLOOKUP($A149,'BC.116+240'!$B$13:$X$489,9,0)/1000</f>
        <v>-0.34599999999999997</v>
      </c>
      <c r="H149" s="154">
        <f>VLOOKUP($A149,'BC.116+240'!$B$13:$X$489,14,0)/1000</f>
        <v>3.746</v>
      </c>
      <c r="I149" s="154">
        <f>VLOOKUP($A149,'BC.116+240'!$B$13:$X$489,15,0)/1000</f>
        <v>-0.254</v>
      </c>
      <c r="J149" s="154">
        <f>VLOOKUP($A149,'BC.116+240'!$B$13:$X$489,20,0)/1000</f>
        <v>3.8610000000000002</v>
      </c>
      <c r="K149" s="154">
        <f>VLOOKUP($A149,'BC.116+240'!$B$13:$X$489,21,0)/1000</f>
        <v>-0.13900000000000001</v>
      </c>
      <c r="L149" s="152">
        <f t="shared" si="6"/>
        <v>-385.99999999999994</v>
      </c>
      <c r="M149" s="153">
        <f t="shared" si="7"/>
        <v>-174</v>
      </c>
      <c r="N149" s="152">
        <f t="shared" si="8"/>
        <v>-109.00000000000001</v>
      </c>
      <c r="O149" s="152"/>
    </row>
    <row r="150" spans="1:15">
      <c r="A150" s="88">
        <f>'BC.116+240'!B149</f>
        <v>45417</v>
      </c>
      <c r="B150" s="152">
        <v>136</v>
      </c>
      <c r="C150" s="154">
        <f>'BC.116+240'!M149/1000</f>
        <v>2.0259999999999998</v>
      </c>
      <c r="D150" s="154">
        <f>'BC.116+240'!AA149</f>
        <v>2.2130000000000001</v>
      </c>
      <c r="E150" s="155">
        <f>'BC.116+240'!AB149</f>
        <v>1.9319999999999999</v>
      </c>
      <c r="F150" s="154">
        <f>VLOOKUP($A150,'BC.116+240'!$B$13:$X$489,8,0)/1000</f>
        <v>3.6520000000000001</v>
      </c>
      <c r="G150" s="154">
        <f>VLOOKUP($A150,'BC.116+240'!$B$13:$X$489,9,0)/1000</f>
        <v>-0.34799999999999998</v>
      </c>
      <c r="H150" s="154">
        <f>VLOOKUP($A150,'BC.116+240'!$B$13:$X$489,14,0)/1000</f>
        <v>3.746</v>
      </c>
      <c r="I150" s="154">
        <f>VLOOKUP($A150,'BC.116+240'!$B$13:$X$489,15,0)/1000</f>
        <v>-0.254</v>
      </c>
      <c r="J150" s="154">
        <f>VLOOKUP($A150,'BC.116+240'!$B$13:$X$489,20,0)/1000</f>
        <v>3.8610000000000002</v>
      </c>
      <c r="K150" s="154">
        <f>VLOOKUP($A150,'BC.116+240'!$B$13:$X$489,21,0)/1000</f>
        <v>-0.13900000000000001</v>
      </c>
      <c r="L150" s="152">
        <f t="shared" si="6"/>
        <v>-387.99999999999994</v>
      </c>
      <c r="M150" s="153">
        <f t="shared" si="7"/>
        <v>-174</v>
      </c>
      <c r="N150" s="152">
        <f t="shared" si="8"/>
        <v>-109.00000000000001</v>
      </c>
      <c r="O150" s="152"/>
    </row>
    <row r="151" spans="1:15">
      <c r="A151" s="88">
        <f>'BC.116+240'!B150</f>
        <v>45418</v>
      </c>
      <c r="B151" s="152">
        <v>137</v>
      </c>
      <c r="C151" s="154">
        <f>'BC.116+240'!M150/1000</f>
        <v>2.0259999999999998</v>
      </c>
      <c r="D151" s="154">
        <f>'BC.116+240'!AA150</f>
        <v>2.2130000000000001</v>
      </c>
      <c r="E151" s="155">
        <f>'BC.116+240'!AB150</f>
        <v>1.9319999999999999</v>
      </c>
      <c r="F151" s="154">
        <f>VLOOKUP($A151,'BC.116+240'!$B$13:$X$489,8,0)/1000</f>
        <v>3.65</v>
      </c>
      <c r="G151" s="154">
        <f>VLOOKUP($A151,'BC.116+240'!$B$13:$X$489,9,0)/1000</f>
        <v>-0.35</v>
      </c>
      <c r="H151" s="154">
        <f>VLOOKUP($A151,'BC.116+240'!$B$13:$X$489,14,0)/1000</f>
        <v>3.746</v>
      </c>
      <c r="I151" s="154">
        <f>VLOOKUP($A151,'BC.116+240'!$B$13:$X$489,15,0)/1000</f>
        <v>-0.254</v>
      </c>
      <c r="J151" s="154">
        <f>VLOOKUP($A151,'BC.116+240'!$B$13:$X$489,20,0)/1000</f>
        <v>3.8610000000000002</v>
      </c>
      <c r="K151" s="154">
        <f>VLOOKUP($A151,'BC.116+240'!$B$13:$X$489,21,0)/1000</f>
        <v>-0.13900000000000001</v>
      </c>
      <c r="L151" s="152">
        <f t="shared" si="6"/>
        <v>-389.99999999999994</v>
      </c>
      <c r="M151" s="153">
        <f t="shared" si="7"/>
        <v>-174</v>
      </c>
      <c r="N151" s="152">
        <f t="shared" si="8"/>
        <v>-109.00000000000001</v>
      </c>
      <c r="O151" s="152"/>
    </row>
    <row r="152" spans="1:15">
      <c r="A152" s="88">
        <f>'BC.116+240'!B151</f>
        <v>45419</v>
      </c>
      <c r="B152" s="152">
        <v>138</v>
      </c>
      <c r="C152" s="154">
        <f>'BC.116+240'!M151/1000</f>
        <v>2.0259999999999998</v>
      </c>
      <c r="D152" s="154">
        <f>'BC.116+240'!AA151</f>
        <v>2.2130000000000001</v>
      </c>
      <c r="E152" s="155">
        <f>'BC.116+240'!AB151</f>
        <v>1.9319999999999999</v>
      </c>
      <c r="F152" s="154">
        <f>VLOOKUP($A152,'BC.116+240'!$B$13:$X$489,8,0)/1000</f>
        <v>3.6480000000000001</v>
      </c>
      <c r="G152" s="154">
        <f>VLOOKUP($A152,'BC.116+240'!$B$13:$X$489,9,0)/1000</f>
        <v>-0.35199999999999998</v>
      </c>
      <c r="H152" s="154">
        <f>VLOOKUP($A152,'BC.116+240'!$B$13:$X$489,14,0)/1000</f>
        <v>3.746</v>
      </c>
      <c r="I152" s="154">
        <f>VLOOKUP($A152,'BC.116+240'!$B$13:$X$489,15,0)/1000</f>
        <v>-0.254</v>
      </c>
      <c r="J152" s="154">
        <f>VLOOKUP($A152,'BC.116+240'!$B$13:$X$489,20,0)/1000</f>
        <v>3.8610000000000002</v>
      </c>
      <c r="K152" s="154">
        <f>VLOOKUP($A152,'BC.116+240'!$B$13:$X$489,21,0)/1000</f>
        <v>-0.13900000000000001</v>
      </c>
      <c r="L152" s="152">
        <f t="shared" si="6"/>
        <v>-391.99999999999994</v>
      </c>
      <c r="M152" s="153">
        <f t="shared" si="7"/>
        <v>-174</v>
      </c>
      <c r="N152" s="152">
        <f t="shared" si="8"/>
        <v>-109.00000000000001</v>
      </c>
      <c r="O152" s="152"/>
    </row>
    <row r="153" spans="1:15">
      <c r="A153" s="88">
        <f>'BC.116+240'!B152</f>
        <v>45420</v>
      </c>
      <c r="B153" s="152">
        <v>139</v>
      </c>
      <c r="C153" s="154">
        <f>'BC.116+240'!M152/1000</f>
        <v>2.0259999999999998</v>
      </c>
      <c r="D153" s="154">
        <f>'BC.116+240'!AA152</f>
        <v>2.2130000000000001</v>
      </c>
      <c r="E153" s="155">
        <f>'BC.116+240'!AB152</f>
        <v>1.9319999999999999</v>
      </c>
      <c r="F153" s="154">
        <f>VLOOKUP($A153,'BC.116+240'!$B$13:$X$489,8,0)/1000</f>
        <v>3.6469999999999998</v>
      </c>
      <c r="G153" s="154">
        <f>VLOOKUP($A153,'BC.116+240'!$B$13:$X$489,9,0)/1000</f>
        <v>-0.35299999999999998</v>
      </c>
      <c r="H153" s="154">
        <f>VLOOKUP($A153,'BC.116+240'!$B$13:$X$489,14,0)/1000</f>
        <v>3.746</v>
      </c>
      <c r="I153" s="154">
        <f>VLOOKUP($A153,'BC.116+240'!$B$13:$X$489,15,0)/1000</f>
        <v>-0.254</v>
      </c>
      <c r="J153" s="154">
        <f>VLOOKUP($A153,'BC.116+240'!$B$13:$X$489,20,0)/1000</f>
        <v>3.8610000000000002</v>
      </c>
      <c r="K153" s="154">
        <f>VLOOKUP($A153,'BC.116+240'!$B$13:$X$489,21,0)/1000</f>
        <v>-0.13900000000000001</v>
      </c>
      <c r="L153" s="152">
        <f t="shared" si="6"/>
        <v>-392.99999999999994</v>
      </c>
      <c r="M153" s="153">
        <f t="shared" si="7"/>
        <v>-174</v>
      </c>
      <c r="N153" s="152">
        <f t="shared" si="8"/>
        <v>-109.00000000000001</v>
      </c>
      <c r="O153" s="152"/>
    </row>
    <row r="154" spans="1:15">
      <c r="A154" s="88">
        <f>'BC.116+240'!B153</f>
        <v>45421</v>
      </c>
      <c r="B154" s="152">
        <v>140</v>
      </c>
      <c r="C154" s="154">
        <f>'BC.116+240'!M153/1000</f>
        <v>2.0259999999999998</v>
      </c>
      <c r="D154" s="154">
        <f>'BC.116+240'!AA153</f>
        <v>2.2130000000000001</v>
      </c>
      <c r="E154" s="155">
        <f>'BC.116+240'!AB153</f>
        <v>1.9319999999999999</v>
      </c>
      <c r="F154" s="154">
        <f>VLOOKUP($A154,'BC.116+240'!$B$13:$X$489,8,0)/1000</f>
        <v>3.645</v>
      </c>
      <c r="G154" s="154">
        <f>VLOOKUP($A154,'BC.116+240'!$B$13:$X$489,9,0)/1000</f>
        <v>-0.35499999999999998</v>
      </c>
      <c r="H154" s="154">
        <f>VLOOKUP($A154,'BC.116+240'!$B$13:$X$489,14,0)/1000</f>
        <v>3.746</v>
      </c>
      <c r="I154" s="154">
        <f>VLOOKUP($A154,'BC.116+240'!$B$13:$X$489,15,0)/1000</f>
        <v>-0.254</v>
      </c>
      <c r="J154" s="154">
        <f>VLOOKUP($A154,'BC.116+240'!$B$13:$X$489,20,0)/1000</f>
        <v>3.8610000000000002</v>
      </c>
      <c r="K154" s="154">
        <f>VLOOKUP($A154,'BC.116+240'!$B$13:$X$489,21,0)/1000</f>
        <v>-0.13900000000000001</v>
      </c>
      <c r="L154" s="152">
        <f t="shared" si="6"/>
        <v>-394.99999999999994</v>
      </c>
      <c r="M154" s="153">
        <f t="shared" si="7"/>
        <v>-174</v>
      </c>
      <c r="N154" s="152">
        <f t="shared" si="8"/>
        <v>-109.00000000000001</v>
      </c>
      <c r="O154" s="152"/>
    </row>
    <row r="155" spans="1:15">
      <c r="A155" s="88">
        <f>'BC.116+240'!B154</f>
        <v>45422</v>
      </c>
      <c r="B155" s="152">
        <v>141</v>
      </c>
      <c r="C155" s="154">
        <f>'BC.116+240'!M154/1000</f>
        <v>2.0259999999999998</v>
      </c>
      <c r="D155" s="154">
        <f>'BC.116+240'!AA154</f>
        <v>2.2130000000000001</v>
      </c>
      <c r="E155" s="155">
        <f>'BC.116+240'!AB154</f>
        <v>1.9319999999999999</v>
      </c>
      <c r="F155" s="154">
        <f>VLOOKUP($A155,'BC.116+240'!$B$13:$X$489,8,0)/1000</f>
        <v>3.6429999999999998</v>
      </c>
      <c r="G155" s="154">
        <f>VLOOKUP($A155,'BC.116+240'!$B$13:$X$489,9,0)/1000</f>
        <v>-0.35699999999999998</v>
      </c>
      <c r="H155" s="154">
        <f>VLOOKUP($A155,'BC.116+240'!$B$13:$X$489,14,0)/1000</f>
        <v>3.746</v>
      </c>
      <c r="I155" s="154">
        <f>VLOOKUP($A155,'BC.116+240'!$B$13:$X$489,15,0)/1000</f>
        <v>-0.254</v>
      </c>
      <c r="J155" s="154">
        <f>VLOOKUP($A155,'BC.116+240'!$B$13:$X$489,20,0)/1000</f>
        <v>3.8610000000000002</v>
      </c>
      <c r="K155" s="154">
        <f>VLOOKUP($A155,'BC.116+240'!$B$13:$X$489,21,0)/1000</f>
        <v>-0.13900000000000001</v>
      </c>
      <c r="L155" s="152">
        <f t="shared" si="6"/>
        <v>-396.99999999999994</v>
      </c>
      <c r="M155" s="153">
        <f t="shared" si="7"/>
        <v>-174</v>
      </c>
      <c r="N155" s="152">
        <f t="shared" si="8"/>
        <v>-109.00000000000001</v>
      </c>
      <c r="O155" s="152"/>
    </row>
    <row r="156" spans="1:15">
      <c r="A156" s="88">
        <f>'BC.116+240'!B155</f>
        <v>45423</v>
      </c>
      <c r="B156" s="152">
        <v>142</v>
      </c>
      <c r="C156" s="154">
        <f>'BC.116+240'!M155/1000</f>
        <v>2.0259999999999998</v>
      </c>
      <c r="D156" s="154">
        <f>'BC.116+240'!AA155</f>
        <v>2.2130000000000001</v>
      </c>
      <c r="E156" s="155">
        <f>'BC.116+240'!AB155</f>
        <v>1.9319999999999999</v>
      </c>
      <c r="F156" s="154">
        <f>VLOOKUP($A156,'BC.116+240'!$B$13:$X$489,8,0)/1000</f>
        <v>3.641</v>
      </c>
      <c r="G156" s="154">
        <f>VLOOKUP($A156,'BC.116+240'!$B$13:$X$489,9,0)/1000</f>
        <v>-0.35899999999999999</v>
      </c>
      <c r="H156" s="154">
        <f>VLOOKUP($A156,'BC.116+240'!$B$13:$X$489,14,0)/1000</f>
        <v>3.746</v>
      </c>
      <c r="I156" s="154">
        <f>VLOOKUP($A156,'BC.116+240'!$B$13:$X$489,15,0)/1000</f>
        <v>-0.254</v>
      </c>
      <c r="J156" s="154">
        <f>VLOOKUP($A156,'BC.116+240'!$B$13:$X$489,20,0)/1000</f>
        <v>3.8610000000000002</v>
      </c>
      <c r="K156" s="154">
        <f>VLOOKUP($A156,'BC.116+240'!$B$13:$X$489,21,0)/1000</f>
        <v>-0.13900000000000001</v>
      </c>
      <c r="L156" s="152">
        <f t="shared" si="6"/>
        <v>-398.99999999999994</v>
      </c>
      <c r="M156" s="153">
        <f t="shared" si="7"/>
        <v>-174</v>
      </c>
      <c r="N156" s="152">
        <f t="shared" si="8"/>
        <v>-109.00000000000001</v>
      </c>
      <c r="O156" s="152"/>
    </row>
    <row r="157" spans="1:15">
      <c r="A157" s="88">
        <f>'BC.116+240'!B156</f>
        <v>45424</v>
      </c>
      <c r="B157" s="152">
        <v>143</v>
      </c>
      <c r="C157" s="154">
        <f>'BC.116+240'!M156/1000</f>
        <v>2.0259999999999998</v>
      </c>
      <c r="D157" s="154">
        <f>'BC.116+240'!AA156</f>
        <v>2.2130000000000001</v>
      </c>
      <c r="E157" s="155">
        <f>'BC.116+240'!AB156</f>
        <v>1.9319999999999999</v>
      </c>
      <c r="F157" s="154">
        <f>VLOOKUP($A157,'BC.116+240'!$B$13:$X$489,8,0)/1000</f>
        <v>3.6389999999999998</v>
      </c>
      <c r="G157" s="154">
        <f>VLOOKUP($A157,'BC.116+240'!$B$13:$X$489,9,0)/1000</f>
        <v>-0.36099999999999999</v>
      </c>
      <c r="H157" s="154">
        <f>VLOOKUP($A157,'BC.116+240'!$B$13:$X$489,14,0)/1000</f>
        <v>3.746</v>
      </c>
      <c r="I157" s="154">
        <f>VLOOKUP($A157,'BC.116+240'!$B$13:$X$489,15,0)/1000</f>
        <v>-0.254</v>
      </c>
      <c r="J157" s="154">
        <f>VLOOKUP($A157,'BC.116+240'!$B$13:$X$489,20,0)/1000</f>
        <v>3.8610000000000002</v>
      </c>
      <c r="K157" s="154">
        <f>VLOOKUP($A157,'BC.116+240'!$B$13:$X$489,21,0)/1000</f>
        <v>-0.13900000000000001</v>
      </c>
      <c r="L157" s="152">
        <f t="shared" si="6"/>
        <v>-400.99999999999994</v>
      </c>
      <c r="M157" s="153">
        <f t="shared" si="7"/>
        <v>-174</v>
      </c>
      <c r="N157" s="152">
        <f t="shared" si="8"/>
        <v>-109.00000000000001</v>
      </c>
      <c r="O157" s="152"/>
    </row>
    <row r="158" spans="1:15">
      <c r="A158" s="88">
        <f>'BC.116+240'!B157</f>
        <v>45425</v>
      </c>
      <c r="B158" s="152">
        <v>144</v>
      </c>
      <c r="C158" s="154">
        <f>'BC.116+240'!M157/1000</f>
        <v>2.0259999999999998</v>
      </c>
      <c r="D158" s="154">
        <f>'BC.116+240'!AA157</f>
        <v>2.2130000000000001</v>
      </c>
      <c r="E158" s="155">
        <f>'BC.116+240'!AB157</f>
        <v>1.9319999999999999</v>
      </c>
      <c r="F158" s="154">
        <f>VLOOKUP($A158,'BC.116+240'!$B$13:$X$489,8,0)/1000</f>
        <v>3.637</v>
      </c>
      <c r="G158" s="154">
        <f>VLOOKUP($A158,'BC.116+240'!$B$13:$X$489,9,0)/1000</f>
        <v>-0.36299999999999999</v>
      </c>
      <c r="H158" s="154">
        <f>VLOOKUP($A158,'BC.116+240'!$B$13:$X$489,14,0)/1000</f>
        <v>3.746</v>
      </c>
      <c r="I158" s="154">
        <f>VLOOKUP($A158,'BC.116+240'!$B$13:$X$489,15,0)/1000</f>
        <v>-0.254</v>
      </c>
      <c r="J158" s="154">
        <f>VLOOKUP($A158,'BC.116+240'!$B$13:$X$489,20,0)/1000</f>
        <v>3.8610000000000002</v>
      </c>
      <c r="K158" s="154">
        <f>VLOOKUP($A158,'BC.116+240'!$B$13:$X$489,21,0)/1000</f>
        <v>-0.13900000000000001</v>
      </c>
      <c r="L158" s="152">
        <f t="shared" si="6"/>
        <v>-402.99999999999994</v>
      </c>
      <c r="M158" s="153">
        <f t="shared" si="7"/>
        <v>-174</v>
      </c>
      <c r="N158" s="152">
        <f t="shared" si="8"/>
        <v>-109.00000000000001</v>
      </c>
      <c r="O158" s="152"/>
    </row>
    <row r="159" spans="1:15">
      <c r="A159" s="88">
        <f>'BC.116+240'!B158</f>
        <v>45426</v>
      </c>
      <c r="B159" s="152">
        <v>145</v>
      </c>
      <c r="C159" s="154">
        <f>'BC.116+240'!M158/1000</f>
        <v>2.0259999999999998</v>
      </c>
      <c r="D159" s="154">
        <f>'BC.116+240'!AA158</f>
        <v>2.2130000000000001</v>
      </c>
      <c r="E159" s="155">
        <f>'BC.116+240'!AB158</f>
        <v>1.9319999999999999</v>
      </c>
      <c r="F159" s="154">
        <f>VLOOKUP($A159,'BC.116+240'!$B$13:$X$489,8,0)/1000</f>
        <v>3.6360000000000001</v>
      </c>
      <c r="G159" s="154">
        <f>VLOOKUP($A159,'BC.116+240'!$B$13:$X$489,9,0)/1000</f>
        <v>-0.36399999999999999</v>
      </c>
      <c r="H159" s="154">
        <f>VLOOKUP($A159,'BC.116+240'!$B$13:$X$489,14,0)/1000</f>
        <v>3.746</v>
      </c>
      <c r="I159" s="154">
        <f>VLOOKUP($A159,'BC.116+240'!$B$13:$X$489,15,0)/1000</f>
        <v>-0.254</v>
      </c>
      <c r="J159" s="154">
        <f>VLOOKUP($A159,'BC.116+240'!$B$13:$X$489,20,0)/1000</f>
        <v>3.8610000000000002</v>
      </c>
      <c r="K159" s="154">
        <f>VLOOKUP($A159,'BC.116+240'!$B$13:$X$489,21,0)/1000</f>
        <v>-0.13900000000000001</v>
      </c>
      <c r="L159" s="152">
        <f t="shared" si="6"/>
        <v>-403.99999999999994</v>
      </c>
      <c r="M159" s="153">
        <f t="shared" si="7"/>
        <v>-174</v>
      </c>
      <c r="N159" s="152">
        <f t="shared" si="8"/>
        <v>-109.00000000000001</v>
      </c>
      <c r="O159" s="152"/>
    </row>
    <row r="160" spans="1:15">
      <c r="A160" s="88">
        <f>'BC.116+240'!B159</f>
        <v>45427</v>
      </c>
      <c r="B160" s="152">
        <v>146</v>
      </c>
      <c r="C160" s="154">
        <f>'BC.116+240'!M159/1000</f>
        <v>2.0259999999999998</v>
      </c>
      <c r="D160" s="154">
        <f>'BC.116+240'!AA159</f>
        <v>2.2130000000000001</v>
      </c>
      <c r="E160" s="155">
        <f>'BC.116+240'!AB159</f>
        <v>1.9319999999999999</v>
      </c>
      <c r="F160" s="154">
        <f>VLOOKUP($A160,'BC.116+240'!$B$13:$X$489,8,0)/1000</f>
        <v>3.6339999999999999</v>
      </c>
      <c r="G160" s="154">
        <f>VLOOKUP($A160,'BC.116+240'!$B$13:$X$489,9,0)/1000</f>
        <v>-0.36599999999999999</v>
      </c>
      <c r="H160" s="154">
        <f>VLOOKUP($A160,'BC.116+240'!$B$13:$X$489,14,0)/1000</f>
        <v>3.746</v>
      </c>
      <c r="I160" s="154">
        <f>VLOOKUP($A160,'BC.116+240'!$B$13:$X$489,15,0)/1000</f>
        <v>-0.254</v>
      </c>
      <c r="J160" s="154">
        <f>VLOOKUP($A160,'BC.116+240'!$B$13:$X$489,20,0)/1000</f>
        <v>3.8610000000000002</v>
      </c>
      <c r="K160" s="154">
        <f>VLOOKUP($A160,'BC.116+240'!$B$13:$X$489,21,0)/1000</f>
        <v>-0.13900000000000001</v>
      </c>
      <c r="L160" s="152">
        <f t="shared" si="6"/>
        <v>-406</v>
      </c>
      <c r="M160" s="153">
        <f t="shared" si="7"/>
        <v>-174</v>
      </c>
      <c r="N160" s="152">
        <f t="shared" si="8"/>
        <v>-109.00000000000001</v>
      </c>
      <c r="O160" s="152"/>
    </row>
    <row r="161" spans="1:15">
      <c r="A161" s="88">
        <f>'BC.116+240'!B160</f>
        <v>45428</v>
      </c>
      <c r="B161" s="152">
        <v>147</v>
      </c>
      <c r="C161" s="154">
        <f>'BC.116+240'!M160/1000</f>
        <v>2.0259999999999998</v>
      </c>
      <c r="D161" s="154">
        <f>'BC.116+240'!AA160</f>
        <v>2.2130000000000001</v>
      </c>
      <c r="E161" s="155">
        <f>'BC.116+240'!AB160</f>
        <v>1.9319999999999999</v>
      </c>
      <c r="F161" s="154">
        <f>VLOOKUP($A161,'BC.116+240'!$B$13:$X$489,8,0)/1000</f>
        <v>3.6320000000000001</v>
      </c>
      <c r="G161" s="154">
        <f>VLOOKUP($A161,'BC.116+240'!$B$13:$X$489,9,0)/1000</f>
        <v>-0.36799999999999999</v>
      </c>
      <c r="H161" s="154">
        <f>VLOOKUP($A161,'BC.116+240'!$B$13:$X$489,14,0)/1000</f>
        <v>3.746</v>
      </c>
      <c r="I161" s="154">
        <f>VLOOKUP($A161,'BC.116+240'!$B$13:$X$489,15,0)/1000</f>
        <v>-0.254</v>
      </c>
      <c r="J161" s="154">
        <f>VLOOKUP($A161,'BC.116+240'!$B$13:$X$489,20,0)/1000</f>
        <v>3.8610000000000002</v>
      </c>
      <c r="K161" s="154">
        <f>VLOOKUP($A161,'BC.116+240'!$B$13:$X$489,21,0)/1000</f>
        <v>-0.13900000000000001</v>
      </c>
      <c r="L161" s="152">
        <f t="shared" si="6"/>
        <v>-408</v>
      </c>
      <c r="M161" s="153">
        <f t="shared" si="7"/>
        <v>-174</v>
      </c>
      <c r="N161" s="152">
        <f t="shared" si="8"/>
        <v>-109.00000000000001</v>
      </c>
      <c r="O161" s="152"/>
    </row>
    <row r="162" spans="1:15">
      <c r="A162" s="88">
        <f>'BC.116+240'!B161</f>
        <v>45429</v>
      </c>
      <c r="B162" s="152">
        <v>148</v>
      </c>
      <c r="C162" s="154">
        <f>'BC.116+240'!M161/1000</f>
        <v>2.0259999999999998</v>
      </c>
      <c r="D162" s="154">
        <f>'BC.116+240'!AA161</f>
        <v>2.2130000000000001</v>
      </c>
      <c r="E162" s="155">
        <f>'BC.116+240'!AB161</f>
        <v>1.9319999999999999</v>
      </c>
      <c r="F162" s="154">
        <f>VLOOKUP($A162,'BC.116+240'!$B$13:$X$489,8,0)/1000</f>
        <v>3.63</v>
      </c>
      <c r="G162" s="154">
        <f>VLOOKUP($A162,'BC.116+240'!$B$13:$X$489,9,0)/1000</f>
        <v>-0.37</v>
      </c>
      <c r="H162" s="154">
        <f>VLOOKUP($A162,'BC.116+240'!$B$13:$X$489,14,0)/1000</f>
        <v>3.746</v>
      </c>
      <c r="I162" s="154">
        <f>VLOOKUP($A162,'BC.116+240'!$B$13:$X$489,15,0)/1000</f>
        <v>-0.254</v>
      </c>
      <c r="J162" s="154">
        <f>VLOOKUP($A162,'BC.116+240'!$B$13:$X$489,20,0)/1000</f>
        <v>3.8610000000000002</v>
      </c>
      <c r="K162" s="154">
        <f>VLOOKUP($A162,'BC.116+240'!$B$13:$X$489,21,0)/1000</f>
        <v>-0.13900000000000001</v>
      </c>
      <c r="L162" s="152">
        <f t="shared" si="6"/>
        <v>-410</v>
      </c>
      <c r="M162" s="153">
        <f t="shared" si="7"/>
        <v>-174</v>
      </c>
      <c r="N162" s="152">
        <f t="shared" si="8"/>
        <v>-109.00000000000001</v>
      </c>
      <c r="O162" s="152"/>
    </row>
    <row r="163" spans="1:15">
      <c r="A163" s="88">
        <f>'BC.116+240'!B162</f>
        <v>45430</v>
      </c>
      <c r="B163" s="152">
        <v>149</v>
      </c>
      <c r="C163" s="154">
        <f>'BC.116+240'!M162/1000</f>
        <v>2.0259999999999998</v>
      </c>
      <c r="D163" s="154">
        <f>'BC.116+240'!AA162</f>
        <v>2.2130000000000001</v>
      </c>
      <c r="E163" s="155">
        <f>'BC.116+240'!AB162</f>
        <v>1.9319999999999999</v>
      </c>
      <c r="F163" s="154">
        <f>VLOOKUP($A163,'BC.116+240'!$B$13:$X$489,8,0)/1000</f>
        <v>3.6280000000000001</v>
      </c>
      <c r="G163" s="154">
        <f>VLOOKUP($A163,'BC.116+240'!$B$13:$X$489,9,0)/1000</f>
        <v>-0.372</v>
      </c>
      <c r="H163" s="154">
        <f>VLOOKUP($A163,'BC.116+240'!$B$13:$X$489,14,0)/1000</f>
        <v>3.746</v>
      </c>
      <c r="I163" s="154">
        <f>VLOOKUP($A163,'BC.116+240'!$B$13:$X$489,15,0)/1000</f>
        <v>-0.254</v>
      </c>
      <c r="J163" s="154">
        <f>VLOOKUP($A163,'BC.116+240'!$B$13:$X$489,20,0)/1000</f>
        <v>3.8610000000000002</v>
      </c>
      <c r="K163" s="154">
        <f>VLOOKUP($A163,'BC.116+240'!$B$13:$X$489,21,0)/1000</f>
        <v>-0.13900000000000001</v>
      </c>
      <c r="L163" s="152">
        <f t="shared" si="6"/>
        <v>-412</v>
      </c>
      <c r="M163" s="153">
        <f t="shared" si="7"/>
        <v>-174</v>
      </c>
      <c r="N163" s="152">
        <f t="shared" si="8"/>
        <v>-109.00000000000001</v>
      </c>
      <c r="O163" s="152"/>
    </row>
    <row r="164" spans="1:15">
      <c r="A164" s="88">
        <f>'BC.116+240'!B163</f>
        <v>45431</v>
      </c>
      <c r="B164" s="152">
        <v>150</v>
      </c>
      <c r="C164" s="154">
        <f>'BC.116+240'!M163/1000</f>
        <v>2.0259999999999998</v>
      </c>
      <c r="D164" s="154">
        <f>'BC.116+240'!AA163</f>
        <v>2.2130000000000001</v>
      </c>
      <c r="E164" s="155">
        <f>'BC.116+240'!AB163</f>
        <v>1.9319999999999999</v>
      </c>
      <c r="F164" s="154">
        <f>VLOOKUP($A164,'BC.116+240'!$B$13:$X$489,8,0)/1000</f>
        <v>3.6280000000000001</v>
      </c>
      <c r="G164" s="154">
        <f>VLOOKUP($A164,'BC.116+240'!$B$13:$X$489,9,0)/1000</f>
        <v>-0.372</v>
      </c>
      <c r="H164" s="154">
        <f>VLOOKUP($A164,'BC.116+240'!$B$13:$X$489,14,0)/1000</f>
        <v>3.746</v>
      </c>
      <c r="I164" s="154">
        <f>VLOOKUP($A164,'BC.116+240'!$B$13:$X$489,15,0)/1000</f>
        <v>-0.254</v>
      </c>
      <c r="J164" s="154">
        <f>VLOOKUP($A164,'BC.116+240'!$B$13:$X$489,20,0)/1000</f>
        <v>3.8610000000000002</v>
      </c>
      <c r="K164" s="154">
        <f>VLOOKUP($A164,'BC.116+240'!$B$13:$X$489,21,0)/1000</f>
        <v>-0.13900000000000001</v>
      </c>
      <c r="L164" s="152">
        <f t="shared" si="6"/>
        <v>-412</v>
      </c>
      <c r="M164" s="153">
        <f t="shared" si="7"/>
        <v>-174</v>
      </c>
      <c r="N164" s="152">
        <f t="shared" si="8"/>
        <v>-109.00000000000001</v>
      </c>
      <c r="O164" s="152"/>
    </row>
    <row r="165" spans="1:15">
      <c r="A165" s="88">
        <f>'BC.116+240'!B164</f>
        <v>45432</v>
      </c>
      <c r="B165" s="152">
        <v>151</v>
      </c>
      <c r="C165" s="154">
        <f>'BC.116+240'!M164/1000</f>
        <v>2.0259999999999998</v>
      </c>
      <c r="D165" s="154">
        <f>'BC.116+240'!AA164</f>
        <v>2.2130000000000001</v>
      </c>
      <c r="E165" s="155">
        <f>'BC.116+240'!AB164</f>
        <v>1.9319999999999999</v>
      </c>
      <c r="F165" s="154">
        <f>VLOOKUP($A165,'BC.116+240'!$B$13:$X$489,8,0)/1000</f>
        <v>3.6280000000000001</v>
      </c>
      <c r="G165" s="154">
        <f>VLOOKUP($A165,'BC.116+240'!$B$13:$X$489,9,0)/1000</f>
        <v>-0.372</v>
      </c>
      <c r="H165" s="154">
        <f>VLOOKUP($A165,'BC.116+240'!$B$13:$X$489,14,0)/1000</f>
        <v>3.746</v>
      </c>
      <c r="I165" s="154">
        <f>VLOOKUP($A165,'BC.116+240'!$B$13:$X$489,15,0)/1000</f>
        <v>-0.254</v>
      </c>
      <c r="J165" s="154">
        <f>VLOOKUP($A165,'BC.116+240'!$B$13:$X$489,20,0)/1000</f>
        <v>3.8610000000000002</v>
      </c>
      <c r="K165" s="154">
        <f>VLOOKUP($A165,'BC.116+240'!$B$13:$X$489,21,0)/1000</f>
        <v>-0.13900000000000001</v>
      </c>
      <c r="L165" s="152">
        <f t="shared" si="6"/>
        <v>-412</v>
      </c>
      <c r="M165" s="153">
        <f t="shared" si="7"/>
        <v>-174</v>
      </c>
      <c r="N165" s="152">
        <f t="shared" si="8"/>
        <v>-109.00000000000001</v>
      </c>
      <c r="O165" s="152"/>
    </row>
    <row r="166" spans="1:15">
      <c r="A166" s="88">
        <f>'BC.116+240'!B165</f>
        <v>45433</v>
      </c>
      <c r="B166" s="152">
        <v>152</v>
      </c>
      <c r="C166" s="154">
        <f>'BC.116+240'!M165/1000</f>
        <v>2.0259999999999998</v>
      </c>
      <c r="D166" s="154">
        <f>'BC.116+240'!AA165</f>
        <v>2.2130000000000001</v>
      </c>
      <c r="E166" s="155">
        <f>'BC.116+240'!AB165</f>
        <v>1.9319999999999999</v>
      </c>
      <c r="F166" s="154">
        <f>VLOOKUP($A166,'BC.116+240'!$B$13:$X$489,8,0)/1000</f>
        <v>3.6280000000000001</v>
      </c>
      <c r="G166" s="154">
        <f>VLOOKUP($A166,'BC.116+240'!$B$13:$X$489,9,0)/1000</f>
        <v>-0.372</v>
      </c>
      <c r="H166" s="154">
        <f>VLOOKUP($A166,'BC.116+240'!$B$13:$X$489,14,0)/1000</f>
        <v>3.746</v>
      </c>
      <c r="I166" s="154">
        <f>VLOOKUP($A166,'BC.116+240'!$B$13:$X$489,15,0)/1000</f>
        <v>-0.254</v>
      </c>
      <c r="J166" s="154">
        <f>VLOOKUP($A166,'BC.116+240'!$B$13:$X$489,20,0)/1000</f>
        <v>3.8610000000000002</v>
      </c>
      <c r="K166" s="154">
        <f>VLOOKUP($A166,'BC.116+240'!$B$13:$X$489,21,0)/1000</f>
        <v>-0.13900000000000001</v>
      </c>
      <c r="L166" s="152">
        <f t="shared" si="6"/>
        <v>-412</v>
      </c>
      <c r="M166" s="153">
        <f t="shared" si="7"/>
        <v>-174</v>
      </c>
      <c r="N166" s="152">
        <f t="shared" si="8"/>
        <v>-109.00000000000001</v>
      </c>
      <c r="O166" s="152"/>
    </row>
    <row r="167" spans="1:15">
      <c r="A167" s="88">
        <f>'BC.116+240'!B166</f>
        <v>45434</v>
      </c>
      <c r="B167" s="152">
        <v>153</v>
      </c>
      <c r="C167" s="154">
        <f>'BC.116+240'!M166/1000</f>
        <v>2.0259999999999998</v>
      </c>
      <c r="D167" s="154">
        <f>'BC.116+240'!AA166</f>
        <v>2.2130000000000001</v>
      </c>
      <c r="E167" s="155">
        <f>'BC.116+240'!AB166</f>
        <v>1.9319999999999999</v>
      </c>
      <c r="F167" s="154">
        <f>VLOOKUP($A167,'BC.116+240'!$B$13:$X$489,8,0)/1000</f>
        <v>3.6280000000000001</v>
      </c>
      <c r="G167" s="154">
        <f>VLOOKUP($A167,'BC.116+240'!$B$13:$X$489,9,0)/1000</f>
        <v>-0.372</v>
      </c>
      <c r="H167" s="154">
        <f>VLOOKUP($A167,'BC.116+240'!$B$13:$X$489,14,0)/1000</f>
        <v>3.746</v>
      </c>
      <c r="I167" s="154">
        <f>VLOOKUP($A167,'BC.116+240'!$B$13:$X$489,15,0)/1000</f>
        <v>-0.254</v>
      </c>
      <c r="J167" s="154">
        <f>VLOOKUP($A167,'BC.116+240'!$B$13:$X$489,20,0)/1000</f>
        <v>3.8610000000000002</v>
      </c>
      <c r="K167" s="154">
        <f>VLOOKUP($A167,'BC.116+240'!$B$13:$X$489,21,0)/1000</f>
        <v>-0.13900000000000001</v>
      </c>
      <c r="L167" s="152">
        <f t="shared" si="6"/>
        <v>-412</v>
      </c>
      <c r="M167" s="153">
        <f t="shared" si="7"/>
        <v>-174</v>
      </c>
      <c r="N167" s="152">
        <f t="shared" si="8"/>
        <v>-109.00000000000001</v>
      </c>
      <c r="O167" s="152"/>
    </row>
    <row r="168" spans="1:15">
      <c r="A168" s="88">
        <f>'BC.116+240'!B167</f>
        <v>45435</v>
      </c>
      <c r="B168" s="152">
        <v>154</v>
      </c>
      <c r="C168" s="154">
        <f>'BC.116+240'!M167/1000</f>
        <v>2.0259999999999998</v>
      </c>
      <c r="D168" s="154">
        <f>'BC.116+240'!AA167</f>
        <v>2.2130000000000001</v>
      </c>
      <c r="E168" s="155">
        <f>'BC.116+240'!AB167</f>
        <v>1.9319999999999999</v>
      </c>
      <c r="F168" s="154">
        <f>VLOOKUP($A168,'BC.116+240'!$B$13:$X$489,8,0)/1000</f>
        <v>3.6280000000000001</v>
      </c>
      <c r="G168" s="154">
        <f>VLOOKUP($A168,'BC.116+240'!$B$13:$X$489,9,0)/1000</f>
        <v>-0.372</v>
      </c>
      <c r="H168" s="154">
        <f>VLOOKUP($A168,'BC.116+240'!$B$13:$X$489,14,0)/1000</f>
        <v>3.746</v>
      </c>
      <c r="I168" s="154">
        <f>VLOOKUP($A168,'BC.116+240'!$B$13:$X$489,15,0)/1000</f>
        <v>-0.254</v>
      </c>
      <c r="J168" s="154">
        <f>VLOOKUP($A168,'BC.116+240'!$B$13:$X$489,20,0)/1000</f>
        <v>3.8610000000000002</v>
      </c>
      <c r="K168" s="154">
        <f>VLOOKUP($A168,'BC.116+240'!$B$13:$X$489,21,0)/1000</f>
        <v>-0.13900000000000001</v>
      </c>
      <c r="L168" s="152">
        <f t="shared" si="6"/>
        <v>-412</v>
      </c>
      <c r="M168" s="153">
        <f t="shared" si="7"/>
        <v>-174</v>
      </c>
      <c r="N168" s="152">
        <f t="shared" si="8"/>
        <v>-109.00000000000001</v>
      </c>
      <c r="O168" s="152"/>
    </row>
    <row r="169" spans="1:15">
      <c r="A169" s="88">
        <f>'BC.116+240'!B168</f>
        <v>45436</v>
      </c>
      <c r="B169" s="152">
        <v>155</v>
      </c>
      <c r="C169" s="154">
        <f>'BC.116+240'!M168/1000</f>
        <v>2.0259999999999998</v>
      </c>
      <c r="D169" s="154">
        <f>'BC.116+240'!AA168</f>
        <v>2.2130000000000001</v>
      </c>
      <c r="E169" s="155">
        <f>'BC.116+240'!AB168</f>
        <v>1.9319999999999999</v>
      </c>
      <c r="F169" s="154">
        <f>VLOOKUP($A169,'BC.116+240'!$B$13:$X$489,8,0)/1000</f>
        <v>3.6280000000000001</v>
      </c>
      <c r="G169" s="154">
        <f>VLOOKUP($A169,'BC.116+240'!$B$13:$X$489,9,0)/1000</f>
        <v>-0.372</v>
      </c>
      <c r="H169" s="154">
        <f>VLOOKUP($A169,'BC.116+240'!$B$13:$X$489,14,0)/1000</f>
        <v>3.746</v>
      </c>
      <c r="I169" s="154">
        <f>VLOOKUP($A169,'BC.116+240'!$B$13:$X$489,15,0)/1000</f>
        <v>-0.254</v>
      </c>
      <c r="J169" s="154">
        <f>VLOOKUP($A169,'BC.116+240'!$B$13:$X$489,20,0)/1000</f>
        <v>3.8610000000000002</v>
      </c>
      <c r="K169" s="154">
        <f>VLOOKUP($A169,'BC.116+240'!$B$13:$X$489,21,0)/1000</f>
        <v>-0.13900000000000001</v>
      </c>
      <c r="L169" s="152">
        <f t="shared" si="6"/>
        <v>-412</v>
      </c>
      <c r="M169" s="153">
        <f t="shared" si="7"/>
        <v>-174</v>
      </c>
      <c r="N169" s="152">
        <f t="shared" si="8"/>
        <v>-109.00000000000001</v>
      </c>
      <c r="O169" s="152"/>
    </row>
    <row r="170" spans="1:15" ht="15.6" customHeight="1">
      <c r="A170" s="88">
        <f>'BC.116+240'!B169</f>
        <v>45437</v>
      </c>
      <c r="B170" s="152">
        <v>156</v>
      </c>
      <c r="C170" s="154">
        <f>'BC.116+240'!M169/1000</f>
        <v>2.0259999999999998</v>
      </c>
      <c r="D170" s="154">
        <f>'BC.116+240'!AA169</f>
        <v>2.2130000000000001</v>
      </c>
      <c r="E170" s="155">
        <f>'BC.116+240'!AB169</f>
        <v>1.9319999999999999</v>
      </c>
      <c r="F170" s="154">
        <f>VLOOKUP($A170,'BC.116+240'!$B$13:$X$489,8,0)/1000</f>
        <v>3.6280000000000001</v>
      </c>
      <c r="G170" s="154">
        <f>VLOOKUP($A170,'BC.116+240'!$B$13:$X$489,9,0)/1000</f>
        <v>-0.372</v>
      </c>
      <c r="H170" s="154">
        <f>VLOOKUP($A170,'BC.116+240'!$B$13:$X$489,14,0)/1000</f>
        <v>3.746</v>
      </c>
      <c r="I170" s="154">
        <f>VLOOKUP($A170,'BC.116+240'!$B$13:$X$489,15,0)/1000</f>
        <v>-0.254</v>
      </c>
      <c r="J170" s="154">
        <f>VLOOKUP($A170,'BC.116+240'!$B$13:$X$489,20,0)/1000</f>
        <v>3.8610000000000002</v>
      </c>
      <c r="K170" s="154">
        <f>VLOOKUP($A170,'BC.116+240'!$B$13:$X$489,21,0)/1000</f>
        <v>-0.13900000000000001</v>
      </c>
      <c r="L170" s="152">
        <f t="shared" si="6"/>
        <v>-412</v>
      </c>
      <c r="M170" s="153">
        <f t="shared" si="7"/>
        <v>-174</v>
      </c>
      <c r="N170" s="152">
        <f t="shared" si="8"/>
        <v>-109.00000000000001</v>
      </c>
      <c r="O170" s="152"/>
    </row>
    <row r="171" spans="1:15" ht="15.6" customHeight="1">
      <c r="A171" s="88">
        <f>'BC.116+240'!B170</f>
        <v>45438</v>
      </c>
      <c r="B171" s="152">
        <v>157</v>
      </c>
      <c r="C171" s="154">
        <f>'BC.116+240'!M170/1000</f>
        <v>2.0259999999999998</v>
      </c>
      <c r="D171" s="154">
        <f>'BC.116+240'!AA170</f>
        <v>2.2130000000000001</v>
      </c>
      <c r="E171" s="155">
        <f>'BC.116+240'!AB170</f>
        <v>1.9319999999999999</v>
      </c>
      <c r="F171" s="154">
        <f>VLOOKUP($A171,'BC.116+240'!$B$13:$X$489,8,0)/1000</f>
        <v>3.6259999999999999</v>
      </c>
      <c r="G171" s="154">
        <f>VLOOKUP($A171,'BC.116+240'!$B$13:$X$489,9,0)/1000</f>
        <v>-0.374</v>
      </c>
      <c r="H171" s="154">
        <f>VLOOKUP($A171,'BC.116+240'!$B$13:$X$489,14,0)/1000</f>
        <v>3.746</v>
      </c>
      <c r="I171" s="154">
        <f>VLOOKUP($A171,'BC.116+240'!$B$13:$X$489,15,0)/1000</f>
        <v>-0.254</v>
      </c>
      <c r="J171" s="154">
        <f>VLOOKUP($A171,'BC.116+240'!$B$13:$X$489,20,0)/1000</f>
        <v>3.8610000000000002</v>
      </c>
      <c r="K171" s="154">
        <f>VLOOKUP($A171,'BC.116+240'!$B$13:$X$489,21,0)/1000</f>
        <v>-0.13900000000000001</v>
      </c>
      <c r="L171" s="152">
        <f t="shared" si="6"/>
        <v>-414</v>
      </c>
      <c r="M171" s="153">
        <f t="shared" si="7"/>
        <v>-174</v>
      </c>
      <c r="N171" s="152">
        <f t="shared" si="8"/>
        <v>-109.00000000000001</v>
      </c>
      <c r="O171" s="152"/>
    </row>
    <row r="172" spans="1:15" ht="15.6" customHeight="1">
      <c r="A172" s="88">
        <f>'BC.116+240'!B171</f>
        <v>45439</v>
      </c>
      <c r="B172" s="152">
        <v>158</v>
      </c>
      <c r="C172" s="154">
        <f>'BC.116+240'!M171/1000</f>
        <v>2.0259999999999998</v>
      </c>
      <c r="D172" s="154">
        <f>'BC.116+240'!AA171</f>
        <v>2.2130000000000001</v>
      </c>
      <c r="E172" s="155">
        <f>'BC.116+240'!AB171</f>
        <v>1.9319999999999999</v>
      </c>
      <c r="F172" s="154">
        <f>VLOOKUP($A172,'BC.116+240'!$B$13:$X$489,8,0)/1000</f>
        <v>3.6240000000000001</v>
      </c>
      <c r="G172" s="154">
        <f>VLOOKUP($A172,'BC.116+240'!$B$13:$X$489,9,0)/1000</f>
        <v>-0.376</v>
      </c>
      <c r="H172" s="154">
        <f>VLOOKUP($A172,'BC.116+240'!$B$13:$X$489,14,0)/1000</f>
        <v>3.746</v>
      </c>
      <c r="I172" s="154">
        <f>VLOOKUP($A172,'BC.116+240'!$B$13:$X$489,15,0)/1000</f>
        <v>-0.254</v>
      </c>
      <c r="J172" s="154">
        <f>VLOOKUP($A172,'BC.116+240'!$B$13:$X$489,20,0)/1000</f>
        <v>3.8610000000000002</v>
      </c>
      <c r="K172" s="154">
        <f>VLOOKUP($A172,'BC.116+240'!$B$13:$X$489,21,0)/1000</f>
        <v>-0.13900000000000001</v>
      </c>
      <c r="L172" s="152">
        <f t="shared" si="6"/>
        <v>-416</v>
      </c>
      <c r="M172" s="153">
        <f t="shared" si="7"/>
        <v>-174</v>
      </c>
      <c r="N172" s="152">
        <f t="shared" si="8"/>
        <v>-109.00000000000001</v>
      </c>
      <c r="O172" s="152"/>
    </row>
    <row r="173" spans="1:15" ht="15.6" customHeight="1">
      <c r="A173" s="88">
        <f>'BC.116+240'!B172</f>
        <v>45440</v>
      </c>
      <c r="B173" s="152">
        <v>159</v>
      </c>
      <c r="C173" s="154">
        <f>'BC.116+240'!M172/1000</f>
        <v>2.0259999999999998</v>
      </c>
      <c r="D173" s="154">
        <f>'BC.116+240'!AA172</f>
        <v>2.2130000000000001</v>
      </c>
      <c r="E173" s="155">
        <f>'BC.116+240'!AB172</f>
        <v>1.9319999999999999</v>
      </c>
      <c r="F173" s="154">
        <f>VLOOKUP($A173,'BC.116+240'!$B$13:$X$489,8,0)/1000</f>
        <v>3.6219999999999999</v>
      </c>
      <c r="G173" s="154">
        <f>VLOOKUP($A173,'BC.116+240'!$B$13:$X$489,9,0)/1000</f>
        <v>-0.378</v>
      </c>
      <c r="H173" s="154">
        <f>VLOOKUP($A173,'BC.116+240'!$B$13:$X$489,14,0)/1000</f>
        <v>3.746</v>
      </c>
      <c r="I173" s="154">
        <f>VLOOKUP($A173,'BC.116+240'!$B$13:$X$489,15,0)/1000</f>
        <v>-0.254</v>
      </c>
      <c r="J173" s="154">
        <f>VLOOKUP($A173,'BC.116+240'!$B$13:$X$489,20,0)/1000</f>
        <v>3.8610000000000002</v>
      </c>
      <c r="K173" s="154">
        <f>VLOOKUP($A173,'BC.116+240'!$B$13:$X$489,21,0)/1000</f>
        <v>-0.13900000000000001</v>
      </c>
      <c r="L173" s="152">
        <f t="shared" si="6"/>
        <v>-418</v>
      </c>
      <c r="M173" s="153">
        <f t="shared" si="7"/>
        <v>-174</v>
      </c>
      <c r="N173" s="152">
        <f t="shared" si="8"/>
        <v>-109.00000000000001</v>
      </c>
      <c r="O173" s="152"/>
    </row>
    <row r="174" spans="1:15" ht="15.6" customHeight="1">
      <c r="A174" s="88">
        <f>'BC.116+240'!B173</f>
        <v>45441</v>
      </c>
      <c r="B174" s="152">
        <v>160</v>
      </c>
      <c r="C174" s="154">
        <f>'BC.116+240'!M173/1000</f>
        <v>2.0259999999999998</v>
      </c>
      <c r="D174" s="154">
        <f>'BC.116+240'!AA173</f>
        <v>2.2130000000000001</v>
      </c>
      <c r="E174" s="155">
        <f>'BC.116+240'!AB173</f>
        <v>1.9319999999999999</v>
      </c>
      <c r="F174" s="154">
        <f>VLOOKUP($A174,'BC.116+240'!$B$13:$X$489,8,0)/1000</f>
        <v>3.62</v>
      </c>
      <c r="G174" s="154">
        <f>VLOOKUP($A174,'BC.116+240'!$B$13:$X$489,9,0)/1000</f>
        <v>-0.38</v>
      </c>
      <c r="H174" s="154">
        <f>VLOOKUP($A174,'BC.116+240'!$B$13:$X$489,14,0)/1000</f>
        <v>3.746</v>
      </c>
      <c r="I174" s="154">
        <f>VLOOKUP($A174,'BC.116+240'!$B$13:$X$489,15,0)/1000</f>
        <v>-0.254</v>
      </c>
      <c r="J174" s="154">
        <f>VLOOKUP($A174,'BC.116+240'!$B$13:$X$489,20,0)/1000</f>
        <v>3.8610000000000002</v>
      </c>
      <c r="K174" s="154">
        <f>VLOOKUP($A174,'BC.116+240'!$B$13:$X$489,21,0)/1000</f>
        <v>-0.13900000000000001</v>
      </c>
      <c r="L174" s="152">
        <f t="shared" si="6"/>
        <v>-420</v>
      </c>
      <c r="M174" s="153">
        <f t="shared" si="7"/>
        <v>-174</v>
      </c>
      <c r="N174" s="152">
        <f t="shared" si="8"/>
        <v>-109.00000000000001</v>
      </c>
      <c r="O174" s="152"/>
    </row>
    <row r="175" spans="1:15" ht="15.6" customHeight="1">
      <c r="A175" s="88">
        <f>'BC.116+240'!B174</f>
        <v>45442</v>
      </c>
      <c r="B175" s="152">
        <v>161</v>
      </c>
      <c r="C175" s="154">
        <f>'BC.116+240'!M174/1000</f>
        <v>2.0259999999999998</v>
      </c>
      <c r="D175" s="154">
        <f>'BC.116+240'!AA174</f>
        <v>2.2130000000000001</v>
      </c>
      <c r="E175" s="155">
        <f>'BC.116+240'!AB174</f>
        <v>1.9319999999999999</v>
      </c>
      <c r="F175" s="154">
        <f>VLOOKUP($A175,'BC.116+240'!$B$13:$X$489,8,0)/1000</f>
        <v>3.6190000000000002</v>
      </c>
      <c r="G175" s="154">
        <f>VLOOKUP($A175,'BC.116+240'!$B$13:$X$489,9,0)/1000</f>
        <v>-0.38100000000000001</v>
      </c>
      <c r="H175" s="154">
        <f>VLOOKUP($A175,'BC.116+240'!$B$13:$X$489,14,0)/1000</f>
        <v>3.746</v>
      </c>
      <c r="I175" s="154">
        <f>VLOOKUP($A175,'BC.116+240'!$B$13:$X$489,15,0)/1000</f>
        <v>-0.254</v>
      </c>
      <c r="J175" s="154">
        <f>VLOOKUP($A175,'BC.116+240'!$B$13:$X$489,20,0)/1000</f>
        <v>3.8610000000000002</v>
      </c>
      <c r="K175" s="154">
        <f>VLOOKUP($A175,'BC.116+240'!$B$13:$X$489,21,0)/1000</f>
        <v>-0.13900000000000001</v>
      </c>
      <c r="L175" s="152">
        <f t="shared" si="6"/>
        <v>-421</v>
      </c>
      <c r="M175" s="153">
        <f t="shared" si="7"/>
        <v>-174</v>
      </c>
      <c r="N175" s="152">
        <f t="shared" si="8"/>
        <v>-109.00000000000001</v>
      </c>
      <c r="O175" s="152"/>
    </row>
    <row r="176" spans="1:15" ht="15.6" customHeight="1">
      <c r="A176" s="88">
        <f>'BC.116+240'!B175</f>
        <v>45443</v>
      </c>
      <c r="B176" s="152">
        <v>162</v>
      </c>
      <c r="C176" s="154">
        <f>'BC.116+240'!M175/1000</f>
        <v>2.0259999999999998</v>
      </c>
      <c r="D176" s="154">
        <f>'BC.116+240'!AA175</f>
        <v>2.2130000000000001</v>
      </c>
      <c r="E176" s="155">
        <f>'BC.116+240'!AB175</f>
        <v>1.9319999999999999</v>
      </c>
      <c r="F176" s="154">
        <f>VLOOKUP($A176,'BC.116+240'!$B$13:$X$489,8,0)/1000</f>
        <v>3.617</v>
      </c>
      <c r="G176" s="154">
        <f>VLOOKUP($A176,'BC.116+240'!$B$13:$X$489,9,0)/1000</f>
        <v>-0.38300000000000001</v>
      </c>
      <c r="H176" s="154">
        <f>VLOOKUP($A176,'BC.116+240'!$B$13:$X$489,14,0)/1000</f>
        <v>3.746</v>
      </c>
      <c r="I176" s="154">
        <f>VLOOKUP($A176,'BC.116+240'!$B$13:$X$489,15,0)/1000</f>
        <v>-0.254</v>
      </c>
      <c r="J176" s="154">
        <f>VLOOKUP($A176,'BC.116+240'!$B$13:$X$489,20,0)/1000</f>
        <v>3.8610000000000002</v>
      </c>
      <c r="K176" s="154">
        <f>VLOOKUP($A176,'BC.116+240'!$B$13:$X$489,21,0)/1000</f>
        <v>-0.13900000000000001</v>
      </c>
      <c r="L176" s="152">
        <f t="shared" si="6"/>
        <v>-423</v>
      </c>
      <c r="M176" s="153">
        <f t="shared" si="7"/>
        <v>-174</v>
      </c>
      <c r="N176" s="152">
        <f t="shared" si="8"/>
        <v>-109.00000000000001</v>
      </c>
      <c r="O176" s="152"/>
    </row>
    <row r="177" spans="1:15" ht="15.6" customHeight="1">
      <c r="A177" s="88">
        <f>'BC.116+240'!B176</f>
        <v>45444</v>
      </c>
      <c r="B177" s="152">
        <v>163</v>
      </c>
      <c r="C177" s="154">
        <f>'BC.116+240'!M176/1000</f>
        <v>2.0259999999999998</v>
      </c>
      <c r="D177" s="154">
        <f>'BC.116+240'!AA176</f>
        <v>2.2130000000000001</v>
      </c>
      <c r="E177" s="155">
        <f>'BC.116+240'!AB176</f>
        <v>1.9319999999999999</v>
      </c>
      <c r="F177" s="154">
        <f>VLOOKUP($A177,'BC.116+240'!$B$13:$X$489,8,0)/1000</f>
        <v>3.6150000000000002</v>
      </c>
      <c r="G177" s="154">
        <f>VLOOKUP($A177,'BC.116+240'!$B$13:$X$489,9,0)/1000</f>
        <v>-0.38500000000000001</v>
      </c>
      <c r="H177" s="154">
        <f>VLOOKUP($A177,'BC.116+240'!$B$13:$X$489,14,0)/1000</f>
        <v>3.746</v>
      </c>
      <c r="I177" s="154">
        <f>VLOOKUP($A177,'BC.116+240'!$B$13:$X$489,15,0)/1000</f>
        <v>-0.254</v>
      </c>
      <c r="J177" s="154">
        <f>VLOOKUP($A177,'BC.116+240'!$B$13:$X$489,20,0)/1000</f>
        <v>3.8610000000000002</v>
      </c>
      <c r="K177" s="154">
        <f>VLOOKUP($A177,'BC.116+240'!$B$13:$X$489,21,0)/1000</f>
        <v>-0.13900000000000001</v>
      </c>
      <c r="L177" s="152">
        <f t="shared" si="6"/>
        <v>-425</v>
      </c>
      <c r="M177" s="153">
        <f t="shared" si="7"/>
        <v>-174</v>
      </c>
      <c r="N177" s="152">
        <f t="shared" si="8"/>
        <v>-109.00000000000001</v>
      </c>
      <c r="O177" s="152"/>
    </row>
    <row r="178" spans="1:15" ht="15.6" customHeight="1">
      <c r="A178" s="88">
        <f>'BC.116+240'!B177</f>
        <v>45445</v>
      </c>
      <c r="B178" s="152">
        <v>164</v>
      </c>
      <c r="C178" s="154">
        <f>'BC.116+240'!M177/1000</f>
        <v>2.0259999999999998</v>
      </c>
      <c r="D178" s="154">
        <f>'BC.116+240'!AA177</f>
        <v>2.2130000000000001</v>
      </c>
      <c r="E178" s="155">
        <f>'BC.116+240'!AB177</f>
        <v>1.9319999999999999</v>
      </c>
      <c r="F178" s="154">
        <f>VLOOKUP($A178,'BC.116+240'!$B$13:$X$489,8,0)/1000</f>
        <v>3.613</v>
      </c>
      <c r="G178" s="154">
        <f>VLOOKUP($A178,'BC.116+240'!$B$13:$X$489,9,0)/1000</f>
        <v>-0.38700000000000001</v>
      </c>
      <c r="H178" s="154">
        <f>VLOOKUP($A178,'BC.116+240'!$B$13:$X$489,14,0)/1000</f>
        <v>3.746</v>
      </c>
      <c r="I178" s="154">
        <f>VLOOKUP($A178,'BC.116+240'!$B$13:$X$489,15,0)/1000</f>
        <v>-0.254</v>
      </c>
      <c r="J178" s="154">
        <f>VLOOKUP($A178,'BC.116+240'!$B$13:$X$489,20,0)/1000</f>
        <v>3.8610000000000002</v>
      </c>
      <c r="K178" s="154">
        <f>VLOOKUP($A178,'BC.116+240'!$B$13:$X$489,21,0)/1000</f>
        <v>-0.13900000000000001</v>
      </c>
      <c r="L178" s="152">
        <f t="shared" si="6"/>
        <v>-427</v>
      </c>
      <c r="M178" s="153">
        <f t="shared" si="7"/>
        <v>-174</v>
      </c>
      <c r="N178" s="152">
        <f t="shared" si="8"/>
        <v>-109.00000000000001</v>
      </c>
      <c r="O178" s="152"/>
    </row>
    <row r="179" spans="1:15" ht="15.6" customHeight="1">
      <c r="A179" s="88">
        <f>'BC.116+240'!B178</f>
        <v>45446</v>
      </c>
      <c r="B179" s="152">
        <v>165</v>
      </c>
      <c r="C179" s="154">
        <f>'BC.116+240'!M178/1000</f>
        <v>2.0259999999999998</v>
      </c>
      <c r="D179" s="154">
        <f>'BC.116+240'!AA178</f>
        <v>2.2130000000000001</v>
      </c>
      <c r="E179" s="155">
        <f>'BC.116+240'!AB178</f>
        <v>1.9319999999999999</v>
      </c>
      <c r="F179" s="154">
        <f>VLOOKUP($A179,'BC.116+240'!$B$13:$X$489,8,0)/1000</f>
        <v>3.6110000000000002</v>
      </c>
      <c r="G179" s="154">
        <f>VLOOKUP($A179,'BC.116+240'!$B$13:$X$489,9,0)/1000</f>
        <v>-0.38900000000000001</v>
      </c>
      <c r="H179" s="154">
        <f>VLOOKUP($A179,'BC.116+240'!$B$13:$X$489,14,0)/1000</f>
        <v>3.746</v>
      </c>
      <c r="I179" s="154">
        <f>VLOOKUP($A179,'BC.116+240'!$B$13:$X$489,15,0)/1000</f>
        <v>-0.254</v>
      </c>
      <c r="J179" s="154">
        <f>VLOOKUP($A179,'BC.116+240'!$B$13:$X$489,20,0)/1000</f>
        <v>3.8610000000000002</v>
      </c>
      <c r="K179" s="154">
        <f>VLOOKUP($A179,'BC.116+240'!$B$13:$X$489,21,0)/1000</f>
        <v>-0.13900000000000001</v>
      </c>
      <c r="L179" s="152">
        <f t="shared" si="6"/>
        <v>-429</v>
      </c>
      <c r="M179" s="153">
        <f t="shared" si="7"/>
        <v>-174</v>
      </c>
      <c r="N179" s="152">
        <f t="shared" si="8"/>
        <v>-109.00000000000001</v>
      </c>
      <c r="O179" s="152"/>
    </row>
    <row r="180" spans="1:15" ht="15.6" customHeight="1">
      <c r="A180" s="88">
        <f>'BC.116+240'!B179</f>
        <v>45447</v>
      </c>
      <c r="B180" s="152">
        <v>166</v>
      </c>
      <c r="C180" s="154">
        <f>'BC.116+240'!M179/1000</f>
        <v>2.0259999999999998</v>
      </c>
      <c r="D180" s="154">
        <f>'BC.116+240'!AA179</f>
        <v>2.2130000000000001</v>
      </c>
      <c r="E180" s="155">
        <f>'BC.116+240'!AB179</f>
        <v>1.9319999999999999</v>
      </c>
      <c r="F180" s="154">
        <f>VLOOKUP($A180,'BC.116+240'!$B$13:$X$489,8,0)/1000</f>
        <v>3.6110000000000002</v>
      </c>
      <c r="G180" s="154">
        <f>VLOOKUP($A180,'BC.116+240'!$B$13:$X$489,9,0)/1000</f>
        <v>-0.38900000000000001</v>
      </c>
      <c r="H180" s="154">
        <f>VLOOKUP($A180,'BC.116+240'!$B$13:$X$489,14,0)/1000</f>
        <v>3.746</v>
      </c>
      <c r="I180" s="154">
        <f>VLOOKUP($A180,'BC.116+240'!$B$13:$X$489,15,0)/1000</f>
        <v>-0.254</v>
      </c>
      <c r="J180" s="154">
        <f>VLOOKUP($A180,'BC.116+240'!$B$13:$X$489,20,0)/1000</f>
        <v>3.8610000000000002</v>
      </c>
      <c r="K180" s="154">
        <f>VLOOKUP($A180,'BC.116+240'!$B$13:$X$489,21,0)/1000</f>
        <v>-0.13900000000000001</v>
      </c>
      <c r="L180" s="152">
        <f t="shared" si="6"/>
        <v>-429</v>
      </c>
      <c r="M180" s="153">
        <f t="shared" si="7"/>
        <v>-174</v>
      </c>
      <c r="N180" s="152">
        <f t="shared" si="8"/>
        <v>-109.00000000000001</v>
      </c>
      <c r="O180" s="152"/>
    </row>
    <row r="181" spans="1:15" ht="15.6" customHeight="1">
      <c r="A181" s="88">
        <f>'BC.116+240'!B180</f>
        <v>45448</v>
      </c>
      <c r="B181" s="152">
        <v>167</v>
      </c>
      <c r="C181" s="154">
        <f>'BC.116+240'!M180/1000</f>
        <v>2.0259999999999998</v>
      </c>
      <c r="D181" s="154">
        <f>'BC.116+240'!AA180</f>
        <v>2.2130000000000001</v>
      </c>
      <c r="E181" s="155">
        <f>'BC.116+240'!AB180</f>
        <v>1.9319999999999999</v>
      </c>
      <c r="F181" s="154">
        <f>VLOOKUP($A181,'BC.116+240'!$B$13:$X$489,8,0)/1000</f>
        <v>3.6110000000000002</v>
      </c>
      <c r="G181" s="154">
        <f>VLOOKUP($A181,'BC.116+240'!$B$13:$X$489,9,0)/1000</f>
        <v>-0.38900000000000001</v>
      </c>
      <c r="H181" s="154">
        <f>VLOOKUP($A181,'BC.116+240'!$B$13:$X$489,14,0)/1000</f>
        <v>3.746</v>
      </c>
      <c r="I181" s="154">
        <f>VLOOKUP($A181,'BC.116+240'!$B$13:$X$489,15,0)/1000</f>
        <v>-0.254</v>
      </c>
      <c r="J181" s="154">
        <f>VLOOKUP($A181,'BC.116+240'!$B$13:$X$489,20,0)/1000</f>
        <v>3.8610000000000002</v>
      </c>
      <c r="K181" s="154">
        <f>VLOOKUP($A181,'BC.116+240'!$B$13:$X$489,21,0)/1000</f>
        <v>-0.13900000000000001</v>
      </c>
      <c r="L181" s="152">
        <f t="shared" si="6"/>
        <v>-429</v>
      </c>
      <c r="M181" s="153">
        <f t="shared" si="7"/>
        <v>-174</v>
      </c>
      <c r="N181" s="152">
        <f t="shared" si="8"/>
        <v>-109.00000000000001</v>
      </c>
      <c r="O181" s="152"/>
    </row>
    <row r="182" spans="1:15" ht="15.6" customHeight="1">
      <c r="A182" s="88">
        <f>'BC.116+240'!B181</f>
        <v>45449</v>
      </c>
      <c r="B182" s="152">
        <v>168</v>
      </c>
      <c r="C182" s="154">
        <f>'BC.116+240'!M181/1000</f>
        <v>2.0259999999999998</v>
      </c>
      <c r="D182" s="154">
        <f>'BC.116+240'!AA181</f>
        <v>2.2130000000000001</v>
      </c>
      <c r="E182" s="155">
        <f>'BC.116+240'!AB181</f>
        <v>1.9319999999999999</v>
      </c>
      <c r="F182" s="154">
        <f>VLOOKUP($A182,'BC.116+240'!$B$13:$X$489,8,0)/1000</f>
        <v>3.6110000000000002</v>
      </c>
      <c r="G182" s="154">
        <f>VLOOKUP($A182,'BC.116+240'!$B$13:$X$489,9,0)/1000</f>
        <v>-0.38900000000000001</v>
      </c>
      <c r="H182" s="154">
        <f>VLOOKUP($A182,'BC.116+240'!$B$13:$X$489,14,0)/1000</f>
        <v>3.746</v>
      </c>
      <c r="I182" s="154">
        <f>VLOOKUP($A182,'BC.116+240'!$B$13:$X$489,15,0)/1000</f>
        <v>-0.254</v>
      </c>
      <c r="J182" s="154">
        <f>VLOOKUP($A182,'BC.116+240'!$B$13:$X$489,20,0)/1000</f>
        <v>3.8610000000000002</v>
      </c>
      <c r="K182" s="154">
        <f>VLOOKUP($A182,'BC.116+240'!$B$13:$X$489,21,0)/1000</f>
        <v>-0.13900000000000001</v>
      </c>
      <c r="L182" s="152">
        <f t="shared" si="6"/>
        <v>-429</v>
      </c>
      <c r="M182" s="153">
        <f t="shared" si="7"/>
        <v>-174</v>
      </c>
      <c r="N182" s="152">
        <f t="shared" si="8"/>
        <v>-109.00000000000001</v>
      </c>
      <c r="O182" s="152"/>
    </row>
    <row r="183" spans="1:15" ht="15.6" customHeight="1">
      <c r="A183" s="88">
        <f>'BC.116+240'!B182</f>
        <v>45450</v>
      </c>
      <c r="B183" s="152">
        <v>169</v>
      </c>
      <c r="C183" s="154">
        <f>'BC.116+240'!M182/1000</f>
        <v>2.0259999999999998</v>
      </c>
      <c r="D183" s="154">
        <f>'BC.116+240'!AA182</f>
        <v>2.2130000000000001</v>
      </c>
      <c r="E183" s="155">
        <f>'BC.116+240'!AB182</f>
        <v>1.9319999999999999</v>
      </c>
      <c r="F183" s="154">
        <f>VLOOKUP($A183,'BC.116+240'!$B$13:$X$489,8,0)/1000</f>
        <v>3.6110000000000002</v>
      </c>
      <c r="G183" s="154">
        <f>VLOOKUP($A183,'BC.116+240'!$B$13:$X$489,9,0)/1000</f>
        <v>-0.38900000000000001</v>
      </c>
      <c r="H183" s="154">
        <f>VLOOKUP($A183,'BC.116+240'!$B$13:$X$489,14,0)/1000</f>
        <v>3.746</v>
      </c>
      <c r="I183" s="154">
        <f>VLOOKUP($A183,'BC.116+240'!$B$13:$X$489,15,0)/1000</f>
        <v>-0.254</v>
      </c>
      <c r="J183" s="154">
        <f>VLOOKUP($A183,'BC.116+240'!$B$13:$X$489,20,0)/1000</f>
        <v>3.8610000000000002</v>
      </c>
      <c r="K183" s="154">
        <f>VLOOKUP($A183,'BC.116+240'!$B$13:$X$489,21,0)/1000</f>
        <v>-0.13900000000000001</v>
      </c>
      <c r="L183" s="152">
        <f t="shared" si="6"/>
        <v>-429</v>
      </c>
      <c r="M183" s="153">
        <f t="shared" si="7"/>
        <v>-174</v>
      </c>
      <c r="N183" s="152">
        <f t="shared" si="8"/>
        <v>-109.00000000000001</v>
      </c>
      <c r="O183" s="152"/>
    </row>
    <row r="184" spans="1:15" ht="15.6" customHeight="1">
      <c r="A184" s="88">
        <f>'BC.116+240'!B183</f>
        <v>45451</v>
      </c>
      <c r="B184" s="152">
        <v>170</v>
      </c>
      <c r="C184" s="154">
        <f>'BC.116+240'!M183/1000</f>
        <v>2.0259999999999998</v>
      </c>
      <c r="D184" s="154">
        <f>'BC.116+240'!AA183</f>
        <v>2.2130000000000001</v>
      </c>
      <c r="E184" s="155">
        <f>'BC.116+240'!AB183</f>
        <v>1.9319999999999999</v>
      </c>
      <c r="F184" s="154">
        <f>VLOOKUP($A184,'BC.116+240'!$B$13:$X$489,8,0)/1000</f>
        <v>3.6110000000000002</v>
      </c>
      <c r="G184" s="154">
        <f>VLOOKUP($A184,'BC.116+240'!$B$13:$X$489,9,0)/1000</f>
        <v>-0.38900000000000001</v>
      </c>
      <c r="H184" s="154">
        <f>VLOOKUP($A184,'BC.116+240'!$B$13:$X$489,14,0)/1000</f>
        <v>3.746</v>
      </c>
      <c r="I184" s="154">
        <f>VLOOKUP($A184,'BC.116+240'!$B$13:$X$489,15,0)/1000</f>
        <v>-0.254</v>
      </c>
      <c r="J184" s="154">
        <f>VLOOKUP($A184,'BC.116+240'!$B$13:$X$489,20,0)/1000</f>
        <v>3.8610000000000002</v>
      </c>
      <c r="K184" s="154">
        <f>VLOOKUP($A184,'BC.116+240'!$B$13:$X$489,21,0)/1000</f>
        <v>-0.13900000000000001</v>
      </c>
      <c r="L184" s="152">
        <f t="shared" si="6"/>
        <v>-429</v>
      </c>
      <c r="M184" s="153">
        <f t="shared" si="7"/>
        <v>-174</v>
      </c>
      <c r="N184" s="152">
        <f t="shared" si="8"/>
        <v>-109.00000000000001</v>
      </c>
      <c r="O184" s="152"/>
    </row>
    <row r="185" spans="1:15" ht="15.6" customHeight="1">
      <c r="A185" s="88">
        <f>'BC.116+240'!B184</f>
        <v>45452</v>
      </c>
      <c r="B185" s="152">
        <v>171</v>
      </c>
      <c r="C185" s="154">
        <f>'BC.116+240'!M184/1000</f>
        <v>2.0259999999999998</v>
      </c>
      <c r="D185" s="154">
        <f>'BC.116+240'!AA184</f>
        <v>2.2130000000000001</v>
      </c>
      <c r="E185" s="155">
        <f>'BC.116+240'!AB184</f>
        <v>1.9319999999999999</v>
      </c>
      <c r="F185" s="154">
        <f>VLOOKUP($A185,'BC.116+240'!$B$13:$X$489,8,0)/1000</f>
        <v>3.6110000000000002</v>
      </c>
      <c r="G185" s="154">
        <f>VLOOKUP($A185,'BC.116+240'!$B$13:$X$489,9,0)/1000</f>
        <v>-0.38900000000000001</v>
      </c>
      <c r="H185" s="154">
        <f>VLOOKUP($A185,'BC.116+240'!$B$13:$X$489,14,0)/1000</f>
        <v>3.746</v>
      </c>
      <c r="I185" s="154">
        <f>VLOOKUP($A185,'BC.116+240'!$B$13:$X$489,15,0)/1000</f>
        <v>-0.254</v>
      </c>
      <c r="J185" s="154">
        <f>VLOOKUP($A185,'BC.116+240'!$B$13:$X$489,20,0)/1000</f>
        <v>3.8610000000000002</v>
      </c>
      <c r="K185" s="154">
        <f>VLOOKUP($A185,'BC.116+240'!$B$13:$X$489,21,0)/1000</f>
        <v>-0.13900000000000001</v>
      </c>
      <c r="L185" s="152">
        <f t="shared" si="6"/>
        <v>-429</v>
      </c>
      <c r="M185" s="153">
        <f t="shared" si="7"/>
        <v>-174</v>
      </c>
      <c r="N185" s="152">
        <f t="shared" si="8"/>
        <v>-109.00000000000001</v>
      </c>
      <c r="O185" s="152"/>
    </row>
    <row r="186" spans="1:15" ht="15.6" customHeight="1">
      <c r="A186" s="88">
        <f>'BC.116+240'!B185</f>
        <v>45453</v>
      </c>
      <c r="B186" s="152">
        <v>172</v>
      </c>
      <c r="C186" s="154">
        <f>'BC.116+240'!M185/1000</f>
        <v>2.0259999999999998</v>
      </c>
      <c r="D186" s="154">
        <f>'BC.116+240'!AA185</f>
        <v>2.2130000000000001</v>
      </c>
      <c r="E186" s="155">
        <f>'BC.116+240'!AB185</f>
        <v>1.9319999999999999</v>
      </c>
      <c r="F186" s="154">
        <f>VLOOKUP($A186,'BC.116+240'!$B$13:$X$489,8,0)/1000</f>
        <v>3.6110000000000002</v>
      </c>
      <c r="G186" s="154">
        <f>VLOOKUP($A186,'BC.116+240'!$B$13:$X$489,9,0)/1000</f>
        <v>-0.38900000000000001</v>
      </c>
      <c r="H186" s="154">
        <f>VLOOKUP($A186,'BC.116+240'!$B$13:$X$489,14,0)/1000</f>
        <v>3.746</v>
      </c>
      <c r="I186" s="154">
        <f>VLOOKUP($A186,'BC.116+240'!$B$13:$X$489,15,0)/1000</f>
        <v>-0.254</v>
      </c>
      <c r="J186" s="154">
        <f>VLOOKUP($A186,'BC.116+240'!$B$13:$X$489,20,0)/1000</f>
        <v>3.8610000000000002</v>
      </c>
      <c r="K186" s="154">
        <f>VLOOKUP($A186,'BC.116+240'!$B$13:$X$489,21,0)/1000</f>
        <v>-0.13900000000000001</v>
      </c>
      <c r="L186" s="152">
        <f t="shared" si="6"/>
        <v>-429</v>
      </c>
      <c r="M186" s="153">
        <f t="shared" si="7"/>
        <v>-174</v>
      </c>
      <c r="N186" s="152">
        <f t="shared" si="8"/>
        <v>-109.00000000000001</v>
      </c>
      <c r="O186" s="152"/>
    </row>
    <row r="187" spans="1:15" ht="15.6" customHeight="1">
      <c r="A187" s="88">
        <f>'BC.116+240'!B186</f>
        <v>45454</v>
      </c>
      <c r="B187" s="152">
        <v>173</v>
      </c>
      <c r="C187" s="154">
        <f>'BC.116+240'!M186/1000</f>
        <v>2.0259999999999998</v>
      </c>
      <c r="D187" s="154">
        <f>'BC.116+240'!AA186</f>
        <v>2.2130000000000001</v>
      </c>
      <c r="E187" s="155">
        <f>'BC.116+240'!AB186</f>
        <v>1.9319999999999999</v>
      </c>
      <c r="F187" s="154">
        <f>VLOOKUP($A187,'BC.116+240'!$B$13:$X$489,8,0)/1000</f>
        <v>3.6110000000000002</v>
      </c>
      <c r="G187" s="154">
        <f>VLOOKUP($A187,'BC.116+240'!$B$13:$X$489,9,0)/1000</f>
        <v>-0.38900000000000001</v>
      </c>
      <c r="H187" s="154">
        <f>VLOOKUP($A187,'BC.116+240'!$B$13:$X$489,14,0)/1000</f>
        <v>3.746</v>
      </c>
      <c r="I187" s="154">
        <f>VLOOKUP($A187,'BC.116+240'!$B$13:$X$489,15,0)/1000</f>
        <v>-0.254</v>
      </c>
      <c r="J187" s="154">
        <f>VLOOKUP($A187,'BC.116+240'!$B$13:$X$489,20,0)/1000</f>
        <v>3.8610000000000002</v>
      </c>
      <c r="K187" s="154">
        <f>VLOOKUP($A187,'BC.116+240'!$B$13:$X$489,21,0)/1000</f>
        <v>-0.13900000000000001</v>
      </c>
      <c r="L187" s="152">
        <f t="shared" si="6"/>
        <v>-429</v>
      </c>
      <c r="M187" s="153">
        <f t="shared" si="7"/>
        <v>-174</v>
      </c>
      <c r="N187" s="152">
        <f t="shared" si="8"/>
        <v>-109.00000000000001</v>
      </c>
      <c r="O187" s="152"/>
    </row>
    <row r="188" spans="1:15" ht="15.6" customHeight="1">
      <c r="A188" s="88">
        <f>'BC.116+240'!B187</f>
        <v>45455</v>
      </c>
      <c r="B188" s="152">
        <v>174</v>
      </c>
      <c r="C188" s="154">
        <f>'BC.116+240'!M187/1000</f>
        <v>2.0259999999999998</v>
      </c>
      <c r="D188" s="154">
        <f>'BC.116+240'!AA187</f>
        <v>2.2130000000000001</v>
      </c>
      <c r="E188" s="155">
        <f>'BC.116+240'!AB187</f>
        <v>1.9319999999999999</v>
      </c>
      <c r="F188" s="154">
        <f>VLOOKUP($A188,'BC.116+240'!$B$13:$X$489,8,0)/1000</f>
        <v>3.6110000000000002</v>
      </c>
      <c r="G188" s="154">
        <f>VLOOKUP($A188,'BC.116+240'!$B$13:$X$489,9,0)/1000</f>
        <v>-0.38900000000000001</v>
      </c>
      <c r="H188" s="154">
        <f>VLOOKUP($A188,'BC.116+240'!$B$13:$X$489,14,0)/1000</f>
        <v>3.746</v>
      </c>
      <c r="I188" s="154">
        <f>VLOOKUP($A188,'BC.116+240'!$B$13:$X$489,15,0)/1000</f>
        <v>-0.254</v>
      </c>
      <c r="J188" s="154">
        <f>VLOOKUP($A188,'BC.116+240'!$B$13:$X$489,20,0)/1000</f>
        <v>3.8610000000000002</v>
      </c>
      <c r="K188" s="154">
        <f>VLOOKUP($A188,'BC.116+240'!$B$13:$X$489,21,0)/1000</f>
        <v>-0.13900000000000001</v>
      </c>
      <c r="L188" s="152">
        <f t="shared" si="6"/>
        <v>-429</v>
      </c>
      <c r="M188" s="153">
        <f t="shared" si="7"/>
        <v>-174</v>
      </c>
      <c r="N188" s="152">
        <f t="shared" si="8"/>
        <v>-109.00000000000001</v>
      </c>
      <c r="O188" s="152"/>
    </row>
    <row r="189" spans="1:15" ht="15.6" customHeight="1">
      <c r="A189" s="88">
        <f>'BC.116+240'!B188</f>
        <v>45456</v>
      </c>
      <c r="B189" s="152">
        <v>175</v>
      </c>
      <c r="C189" s="154">
        <f>'BC.116+240'!M188/1000</f>
        <v>2.0259999999999998</v>
      </c>
      <c r="D189" s="154">
        <f>'BC.116+240'!AA188</f>
        <v>2.2130000000000001</v>
      </c>
      <c r="E189" s="155">
        <f>'BC.116+240'!AB188</f>
        <v>1.9319999999999999</v>
      </c>
      <c r="F189" s="154">
        <f>VLOOKUP($A189,'BC.116+240'!$B$13:$X$489,8,0)/1000</f>
        <v>3.6110000000000002</v>
      </c>
      <c r="G189" s="154">
        <f>VLOOKUP($A189,'BC.116+240'!$B$13:$X$489,9,0)/1000</f>
        <v>-0.38900000000000001</v>
      </c>
      <c r="H189" s="154">
        <f>VLOOKUP($A189,'BC.116+240'!$B$13:$X$489,14,0)/1000</f>
        <v>3.746</v>
      </c>
      <c r="I189" s="154">
        <f>VLOOKUP($A189,'BC.116+240'!$B$13:$X$489,15,0)/1000</f>
        <v>-0.254</v>
      </c>
      <c r="J189" s="154">
        <f>VLOOKUP($A189,'BC.116+240'!$B$13:$X$489,20,0)/1000</f>
        <v>3.8610000000000002</v>
      </c>
      <c r="K189" s="154">
        <f>VLOOKUP($A189,'BC.116+240'!$B$13:$X$489,21,0)/1000</f>
        <v>-0.13900000000000001</v>
      </c>
      <c r="L189" s="152">
        <f t="shared" si="6"/>
        <v>-429</v>
      </c>
      <c r="M189" s="153">
        <f t="shared" si="7"/>
        <v>-174</v>
      </c>
      <c r="N189" s="152">
        <f t="shared" si="8"/>
        <v>-109.00000000000001</v>
      </c>
      <c r="O189" s="152"/>
    </row>
    <row r="190" spans="1:15" ht="15.6" customHeight="1">
      <c r="A190" s="88">
        <f>'BC.116+240'!B189</f>
        <v>45457</v>
      </c>
      <c r="B190" s="152">
        <v>176</v>
      </c>
      <c r="C190" s="154">
        <f>'BC.116+240'!M189/1000</f>
        <v>2.0259999999999998</v>
      </c>
      <c r="D190" s="154">
        <f>'BC.116+240'!AA189</f>
        <v>2.2130000000000001</v>
      </c>
      <c r="E190" s="155">
        <f>'BC.116+240'!AB189</f>
        <v>1.9319999999999999</v>
      </c>
      <c r="F190" s="154">
        <f>VLOOKUP($A190,'BC.116+240'!$B$13:$X$489,8,0)/1000</f>
        <v>3.6110000000000002</v>
      </c>
      <c r="G190" s="154">
        <f>VLOOKUP($A190,'BC.116+240'!$B$13:$X$489,9,0)/1000</f>
        <v>-0.38900000000000001</v>
      </c>
      <c r="H190" s="154">
        <f>VLOOKUP($A190,'BC.116+240'!$B$13:$X$489,14,0)/1000</f>
        <v>3.746</v>
      </c>
      <c r="I190" s="154">
        <f>VLOOKUP($A190,'BC.116+240'!$B$13:$X$489,15,0)/1000</f>
        <v>-0.254</v>
      </c>
      <c r="J190" s="154">
        <f>VLOOKUP($A190,'BC.116+240'!$B$13:$X$489,20,0)/1000</f>
        <v>3.8610000000000002</v>
      </c>
      <c r="K190" s="154">
        <f>VLOOKUP($A190,'BC.116+240'!$B$13:$X$489,21,0)/1000</f>
        <v>-0.13900000000000001</v>
      </c>
      <c r="L190" s="152">
        <f t="shared" si="6"/>
        <v>-429</v>
      </c>
      <c r="M190" s="153">
        <f t="shared" si="7"/>
        <v>-174</v>
      </c>
      <c r="N190" s="152">
        <f t="shared" si="8"/>
        <v>-109.00000000000001</v>
      </c>
      <c r="O190" s="152"/>
    </row>
    <row r="191" spans="1:15" ht="15.6" customHeight="1">
      <c r="A191" s="88">
        <f>'BC.116+240'!B190</f>
        <v>45458</v>
      </c>
      <c r="B191" s="152">
        <v>177</v>
      </c>
      <c r="C191" s="154">
        <f>'BC.116+240'!M190/1000</f>
        <v>2.0259999999999998</v>
      </c>
      <c r="D191" s="154">
        <f>'BC.116+240'!AA190</f>
        <v>2.2130000000000001</v>
      </c>
      <c r="E191" s="155">
        <f>'BC.116+240'!AB190</f>
        <v>1.9319999999999999</v>
      </c>
      <c r="F191" s="154">
        <f>VLOOKUP($A191,'BC.116+240'!$B$13:$X$489,8,0)/1000</f>
        <v>3.6110000000000002</v>
      </c>
      <c r="G191" s="154">
        <f>VLOOKUP($A191,'BC.116+240'!$B$13:$X$489,9,0)/1000</f>
        <v>-0.38900000000000001</v>
      </c>
      <c r="H191" s="154">
        <f>VLOOKUP($A191,'BC.116+240'!$B$13:$X$489,14,0)/1000</f>
        <v>3.746</v>
      </c>
      <c r="I191" s="154">
        <f>VLOOKUP($A191,'BC.116+240'!$B$13:$X$489,15,0)/1000</f>
        <v>-0.254</v>
      </c>
      <c r="J191" s="154">
        <f>VLOOKUP($A191,'BC.116+240'!$B$13:$X$489,20,0)/1000</f>
        <v>3.8610000000000002</v>
      </c>
      <c r="K191" s="154">
        <f>VLOOKUP($A191,'BC.116+240'!$B$13:$X$489,21,0)/1000</f>
        <v>-0.13900000000000001</v>
      </c>
      <c r="L191" s="152">
        <f t="shared" si="6"/>
        <v>-429</v>
      </c>
      <c r="M191" s="153">
        <f t="shared" si="7"/>
        <v>-174</v>
      </c>
      <c r="N191" s="152">
        <f t="shared" si="8"/>
        <v>-109.00000000000001</v>
      </c>
      <c r="O191" s="152"/>
    </row>
    <row r="192" spans="1:15" ht="15.6" customHeight="1">
      <c r="A192" s="88">
        <f>'BC.116+240'!B191</f>
        <v>45459</v>
      </c>
      <c r="B192" s="152">
        <v>178</v>
      </c>
      <c r="C192" s="154">
        <f>'BC.116+240'!M191/1000</f>
        <v>2.0259999999999998</v>
      </c>
      <c r="D192" s="154">
        <f>'BC.116+240'!AA191</f>
        <v>2.2130000000000001</v>
      </c>
      <c r="E192" s="155">
        <f>'BC.116+240'!AB191</f>
        <v>1.9319999999999999</v>
      </c>
      <c r="F192" s="154">
        <f>VLOOKUP($A192,'BC.116+240'!$B$13:$X$489,8,0)/1000</f>
        <v>3.6110000000000002</v>
      </c>
      <c r="G192" s="154">
        <f>VLOOKUP($A192,'BC.116+240'!$B$13:$X$489,9,0)/1000</f>
        <v>-0.38900000000000001</v>
      </c>
      <c r="H192" s="154">
        <f>VLOOKUP($A192,'BC.116+240'!$B$13:$X$489,14,0)/1000</f>
        <v>3.746</v>
      </c>
      <c r="I192" s="154">
        <f>VLOOKUP($A192,'BC.116+240'!$B$13:$X$489,15,0)/1000</f>
        <v>-0.254</v>
      </c>
      <c r="J192" s="154">
        <f>VLOOKUP($A192,'BC.116+240'!$B$13:$X$489,20,0)/1000</f>
        <v>3.8610000000000002</v>
      </c>
      <c r="K192" s="154">
        <f>VLOOKUP($A192,'BC.116+240'!$B$13:$X$489,21,0)/1000</f>
        <v>-0.13900000000000001</v>
      </c>
      <c r="L192" s="152">
        <f t="shared" si="6"/>
        <v>-429</v>
      </c>
      <c r="M192" s="153">
        <f t="shared" si="7"/>
        <v>-174</v>
      </c>
      <c r="N192" s="152">
        <f t="shared" si="8"/>
        <v>-109.00000000000001</v>
      </c>
      <c r="O192" s="152"/>
    </row>
    <row r="193" spans="1:15" ht="15.6" customHeight="1">
      <c r="A193" s="88">
        <f>'BC.116+240'!B192</f>
        <v>45460</v>
      </c>
      <c r="B193" s="152">
        <v>179</v>
      </c>
      <c r="C193" s="154">
        <f>'BC.116+240'!M192/1000</f>
        <v>2.0259999999999998</v>
      </c>
      <c r="D193" s="154">
        <f>'BC.116+240'!AA192</f>
        <v>2.2130000000000001</v>
      </c>
      <c r="E193" s="155">
        <f>'BC.116+240'!AB192</f>
        <v>1.9319999999999999</v>
      </c>
      <c r="F193" s="154">
        <f>VLOOKUP($A193,'BC.116+240'!$B$13:$X$489,8,0)/1000</f>
        <v>3.6110000000000002</v>
      </c>
      <c r="G193" s="154">
        <f>VLOOKUP($A193,'BC.116+240'!$B$13:$X$489,9,0)/1000</f>
        <v>-0.38900000000000001</v>
      </c>
      <c r="H193" s="154">
        <f>VLOOKUP($A193,'BC.116+240'!$B$13:$X$489,14,0)/1000</f>
        <v>3.746</v>
      </c>
      <c r="I193" s="154">
        <f>VLOOKUP($A193,'BC.116+240'!$B$13:$X$489,15,0)/1000</f>
        <v>-0.254</v>
      </c>
      <c r="J193" s="154">
        <f>VLOOKUP($A193,'BC.116+240'!$B$13:$X$489,20,0)/1000</f>
        <v>3.8610000000000002</v>
      </c>
      <c r="K193" s="154">
        <f>VLOOKUP($A193,'BC.116+240'!$B$13:$X$489,21,0)/1000</f>
        <v>-0.13900000000000001</v>
      </c>
      <c r="L193" s="152">
        <f t="shared" si="6"/>
        <v>-429</v>
      </c>
      <c r="M193" s="153">
        <f t="shared" si="7"/>
        <v>-174</v>
      </c>
      <c r="N193" s="152">
        <f t="shared" si="8"/>
        <v>-109.00000000000001</v>
      </c>
      <c r="O193" s="152"/>
    </row>
    <row r="194" spans="1:15" ht="15.6" customHeight="1">
      <c r="A194" s="88">
        <f>'BC.116+240'!B193</f>
        <v>45461</v>
      </c>
      <c r="B194" s="152">
        <v>180</v>
      </c>
      <c r="C194" s="154">
        <f>'BC.116+240'!M193/1000</f>
        <v>2.0259999999999998</v>
      </c>
      <c r="D194" s="154">
        <f>'BC.116+240'!AA193</f>
        <v>2.2130000000000001</v>
      </c>
      <c r="E194" s="155">
        <f>'BC.116+240'!AB193</f>
        <v>1.9319999999999999</v>
      </c>
      <c r="F194" s="154">
        <f>VLOOKUP($A194,'BC.116+240'!$B$13:$X$489,8,0)/1000</f>
        <v>3.6110000000000002</v>
      </c>
      <c r="G194" s="154">
        <f>VLOOKUP($A194,'BC.116+240'!$B$13:$X$489,9,0)/1000</f>
        <v>-0.38900000000000001</v>
      </c>
      <c r="H194" s="154">
        <f>VLOOKUP($A194,'BC.116+240'!$B$13:$X$489,14,0)/1000</f>
        <v>3.746</v>
      </c>
      <c r="I194" s="154">
        <f>VLOOKUP($A194,'BC.116+240'!$B$13:$X$489,15,0)/1000</f>
        <v>-0.254</v>
      </c>
      <c r="J194" s="154">
        <f>VLOOKUP($A194,'BC.116+240'!$B$13:$X$489,20,0)/1000</f>
        <v>3.8610000000000002</v>
      </c>
      <c r="K194" s="154">
        <f>VLOOKUP($A194,'BC.116+240'!$B$13:$X$489,21,0)/1000</f>
        <v>-0.13900000000000001</v>
      </c>
      <c r="L194" s="152">
        <f t="shared" si="6"/>
        <v>-429</v>
      </c>
      <c r="M194" s="153">
        <f t="shared" si="7"/>
        <v>-174</v>
      </c>
      <c r="N194" s="152">
        <f t="shared" si="8"/>
        <v>-109.00000000000001</v>
      </c>
      <c r="O194" s="152"/>
    </row>
    <row r="195" spans="1:15" ht="15.6" customHeight="1">
      <c r="A195" s="88">
        <f>'BC.116+240'!B194</f>
        <v>45462</v>
      </c>
      <c r="B195" s="152">
        <v>181</v>
      </c>
      <c r="C195" s="154">
        <f>'BC.116+240'!M194/1000</f>
        <v>2.0259999999999998</v>
      </c>
      <c r="D195" s="154">
        <f>'BC.116+240'!AA194</f>
        <v>2.2130000000000001</v>
      </c>
      <c r="E195" s="155">
        <f>'BC.116+240'!AB194</f>
        <v>1.9319999999999999</v>
      </c>
      <c r="F195" s="154">
        <f>VLOOKUP($A195,'BC.116+240'!$B$13:$X$489,8,0)/1000</f>
        <v>3.6110000000000002</v>
      </c>
      <c r="G195" s="154">
        <f>VLOOKUP($A195,'BC.116+240'!$B$13:$X$489,9,0)/1000</f>
        <v>-0.38900000000000001</v>
      </c>
      <c r="H195" s="154">
        <f>VLOOKUP($A195,'BC.116+240'!$B$13:$X$489,14,0)/1000</f>
        <v>3.746</v>
      </c>
      <c r="I195" s="154">
        <f>VLOOKUP($A195,'BC.116+240'!$B$13:$X$489,15,0)/1000</f>
        <v>-0.254</v>
      </c>
      <c r="J195" s="154">
        <f>VLOOKUP($A195,'BC.116+240'!$B$13:$X$489,20,0)/1000</f>
        <v>3.8610000000000002</v>
      </c>
      <c r="K195" s="154">
        <f>VLOOKUP($A195,'BC.116+240'!$B$13:$X$489,21,0)/1000</f>
        <v>-0.13900000000000001</v>
      </c>
      <c r="L195" s="152">
        <f t="shared" si="6"/>
        <v>-429</v>
      </c>
      <c r="M195" s="153">
        <f t="shared" si="7"/>
        <v>-174</v>
      </c>
      <c r="N195" s="152">
        <f t="shared" si="8"/>
        <v>-109.00000000000001</v>
      </c>
      <c r="O195" s="152"/>
    </row>
    <row r="196" spans="1:15" ht="15.6" customHeight="1">
      <c r="A196" s="88">
        <f>'BC.116+240'!B195</f>
        <v>45463</v>
      </c>
      <c r="B196" s="152">
        <v>182</v>
      </c>
      <c r="C196" s="154">
        <f>'BC.116+240'!M195/1000</f>
        <v>2.0259999999999998</v>
      </c>
      <c r="D196" s="154">
        <f>'BC.116+240'!AA195</f>
        <v>2.2130000000000001</v>
      </c>
      <c r="E196" s="155">
        <f>'BC.116+240'!AB195</f>
        <v>1.9319999999999999</v>
      </c>
      <c r="F196" s="154">
        <f>VLOOKUP($A196,'BC.116+240'!$B$13:$X$489,8,0)/1000</f>
        <v>3.6110000000000002</v>
      </c>
      <c r="G196" s="154">
        <f>VLOOKUP($A196,'BC.116+240'!$B$13:$X$489,9,0)/1000</f>
        <v>-0.38900000000000001</v>
      </c>
      <c r="H196" s="154">
        <f>VLOOKUP($A196,'BC.116+240'!$B$13:$X$489,14,0)/1000</f>
        <v>3.746</v>
      </c>
      <c r="I196" s="154">
        <f>VLOOKUP($A196,'BC.116+240'!$B$13:$X$489,15,0)/1000</f>
        <v>-0.254</v>
      </c>
      <c r="J196" s="154">
        <f>VLOOKUP($A196,'BC.116+240'!$B$13:$X$489,20,0)/1000</f>
        <v>3.8610000000000002</v>
      </c>
      <c r="K196" s="154">
        <f>VLOOKUP($A196,'BC.116+240'!$B$13:$X$489,21,0)/1000</f>
        <v>-0.13900000000000001</v>
      </c>
      <c r="L196" s="152">
        <f t="shared" si="6"/>
        <v>-429</v>
      </c>
      <c r="M196" s="153">
        <f t="shared" si="7"/>
        <v>-174</v>
      </c>
      <c r="N196" s="152">
        <f t="shared" si="8"/>
        <v>-109.00000000000001</v>
      </c>
      <c r="O196" s="152"/>
    </row>
    <row r="197" spans="1:15" ht="15.6" customHeight="1">
      <c r="A197" s="88">
        <f>'BC.116+240'!B196</f>
        <v>45464</v>
      </c>
      <c r="B197" s="152">
        <v>183</v>
      </c>
      <c r="C197" s="154">
        <f>'BC.116+240'!M196/1000</f>
        <v>2.0259999999999998</v>
      </c>
      <c r="D197" s="154">
        <f>'BC.116+240'!AA196</f>
        <v>2.2130000000000001</v>
      </c>
      <c r="E197" s="155">
        <f>'BC.116+240'!AB196</f>
        <v>1.9319999999999999</v>
      </c>
      <c r="F197" s="154">
        <f>VLOOKUP($A197,'BC.116+240'!$B$13:$X$489,8,0)/1000</f>
        <v>3.6110000000000002</v>
      </c>
      <c r="G197" s="154">
        <f>VLOOKUP($A197,'BC.116+240'!$B$13:$X$489,9,0)/1000</f>
        <v>-0.38900000000000001</v>
      </c>
      <c r="H197" s="154">
        <f>VLOOKUP($A197,'BC.116+240'!$B$13:$X$489,14,0)/1000</f>
        <v>3.746</v>
      </c>
      <c r="I197" s="154">
        <f>VLOOKUP($A197,'BC.116+240'!$B$13:$X$489,15,0)/1000</f>
        <v>-0.254</v>
      </c>
      <c r="J197" s="154">
        <f>VLOOKUP($A197,'BC.116+240'!$B$13:$X$489,20,0)/1000</f>
        <v>3.8610000000000002</v>
      </c>
      <c r="K197" s="154">
        <f>VLOOKUP($A197,'BC.116+240'!$B$13:$X$489,21,0)/1000</f>
        <v>-0.13900000000000001</v>
      </c>
      <c r="L197" s="152">
        <f t="shared" si="6"/>
        <v>-429</v>
      </c>
      <c r="M197" s="153">
        <f t="shared" si="7"/>
        <v>-174</v>
      </c>
      <c r="N197" s="152">
        <f t="shared" si="8"/>
        <v>-109.00000000000001</v>
      </c>
      <c r="O197" s="152"/>
    </row>
    <row r="198" spans="1:15" ht="15.6" customHeight="1">
      <c r="A198" s="88">
        <f>'BC.116+240'!B197</f>
        <v>45465</v>
      </c>
      <c r="B198" s="152">
        <v>184</v>
      </c>
      <c r="C198" s="154">
        <f>'BC.116+240'!M197/1000</f>
        <v>2.0259999999999998</v>
      </c>
      <c r="D198" s="154">
        <f>'BC.116+240'!AA197</f>
        <v>2.2130000000000001</v>
      </c>
      <c r="E198" s="155">
        <f>'BC.116+240'!AB197</f>
        <v>1.9319999999999999</v>
      </c>
      <c r="F198" s="154">
        <f>VLOOKUP($A198,'BC.116+240'!$B$13:$X$489,8,0)/1000</f>
        <v>3.6110000000000002</v>
      </c>
      <c r="G198" s="154">
        <f>VLOOKUP($A198,'BC.116+240'!$B$13:$X$489,9,0)/1000</f>
        <v>-0.38900000000000001</v>
      </c>
      <c r="H198" s="154">
        <f>VLOOKUP($A198,'BC.116+240'!$B$13:$X$489,14,0)/1000</f>
        <v>3.746</v>
      </c>
      <c r="I198" s="154">
        <f>VLOOKUP($A198,'BC.116+240'!$B$13:$X$489,15,0)/1000</f>
        <v>-0.254</v>
      </c>
      <c r="J198" s="154">
        <f>VLOOKUP($A198,'BC.116+240'!$B$13:$X$489,20,0)/1000</f>
        <v>3.8610000000000002</v>
      </c>
      <c r="K198" s="154">
        <f>VLOOKUP($A198,'BC.116+240'!$B$13:$X$489,21,0)/1000</f>
        <v>-0.13900000000000001</v>
      </c>
      <c r="L198" s="152">
        <f t="shared" si="6"/>
        <v>-429</v>
      </c>
      <c r="M198" s="153">
        <f t="shared" si="7"/>
        <v>-174</v>
      </c>
      <c r="N198" s="152">
        <f t="shared" si="8"/>
        <v>-109.00000000000001</v>
      </c>
      <c r="O198" s="152"/>
    </row>
    <row r="199" spans="1:15" ht="15.6" customHeight="1">
      <c r="A199" s="88">
        <f>'BC.116+240'!B198</f>
        <v>45466</v>
      </c>
      <c r="B199" s="152">
        <v>185</v>
      </c>
      <c r="C199" s="154">
        <f>'BC.116+240'!M198/1000</f>
        <v>2.0259999999999998</v>
      </c>
      <c r="D199" s="154">
        <f>'BC.116+240'!AA198</f>
        <v>2.2130000000000001</v>
      </c>
      <c r="E199" s="155">
        <f>'BC.116+240'!AB198</f>
        <v>1.9319999999999999</v>
      </c>
      <c r="F199" s="154">
        <f>VLOOKUP($A199,'BC.116+240'!$B$13:$X$489,8,0)/1000</f>
        <v>3.6110000000000002</v>
      </c>
      <c r="G199" s="154">
        <f>VLOOKUP($A199,'BC.116+240'!$B$13:$X$489,9,0)/1000</f>
        <v>-0.38900000000000001</v>
      </c>
      <c r="H199" s="154">
        <f>VLOOKUP($A199,'BC.116+240'!$B$13:$X$489,14,0)/1000</f>
        <v>3.746</v>
      </c>
      <c r="I199" s="154">
        <f>VLOOKUP($A199,'BC.116+240'!$B$13:$X$489,15,0)/1000</f>
        <v>-0.254</v>
      </c>
      <c r="J199" s="154">
        <f>VLOOKUP($A199,'BC.116+240'!$B$13:$X$489,20,0)/1000</f>
        <v>3.8610000000000002</v>
      </c>
      <c r="K199" s="154">
        <f>VLOOKUP($A199,'BC.116+240'!$B$13:$X$489,21,0)/1000</f>
        <v>-0.13900000000000001</v>
      </c>
      <c r="L199" s="152">
        <f t="shared" si="6"/>
        <v>-429</v>
      </c>
      <c r="M199" s="153">
        <f t="shared" si="7"/>
        <v>-174</v>
      </c>
      <c r="N199" s="152">
        <f t="shared" si="8"/>
        <v>-109.00000000000001</v>
      </c>
      <c r="O199" s="152"/>
    </row>
    <row r="200" spans="1:15" ht="15.6" customHeight="1">
      <c r="A200" s="88">
        <f>'BC.116+240'!B199</f>
        <v>45467</v>
      </c>
      <c r="B200" s="152">
        <v>186</v>
      </c>
      <c r="C200" s="154">
        <f>'BC.116+240'!M199/1000</f>
        <v>2.3159999999999998</v>
      </c>
      <c r="D200" s="154">
        <f>'BC.116+240'!AA199</f>
        <v>2.5030000000000001</v>
      </c>
      <c r="E200" s="155">
        <f>'BC.116+240'!AB199</f>
        <v>2.2120000000000002</v>
      </c>
      <c r="F200" s="154">
        <f>VLOOKUP($A200,'BC.116+240'!$B$13:$X$489,8,0)/1000</f>
        <v>3.601</v>
      </c>
      <c r="G200" s="154">
        <f>VLOOKUP($A200,'BC.116+240'!$B$13:$X$489,9,0)/1000</f>
        <v>-0.39900000000000002</v>
      </c>
      <c r="H200" s="154">
        <f>VLOOKUP($A200,'BC.116+240'!$B$13:$X$489,14,0)/1000</f>
        <v>3.7360000000000002</v>
      </c>
      <c r="I200" s="154">
        <f>VLOOKUP($A200,'BC.116+240'!$B$13:$X$489,15,0)/1000</f>
        <v>-0.26400000000000001</v>
      </c>
      <c r="J200" s="154">
        <f>VLOOKUP($A200,'BC.116+240'!$B$13:$X$489,20,0)/1000</f>
        <v>3.851</v>
      </c>
      <c r="K200" s="154">
        <f>VLOOKUP($A200,'BC.116+240'!$B$13:$X$489,21,0)/1000</f>
        <v>-0.14899999999999999</v>
      </c>
      <c r="L200" s="152">
        <f t="shared" si="6"/>
        <v>-439</v>
      </c>
      <c r="M200" s="153">
        <f t="shared" si="7"/>
        <v>-184</v>
      </c>
      <c r="N200" s="152">
        <f t="shared" si="8"/>
        <v>-119</v>
      </c>
      <c r="O200" s="152"/>
    </row>
    <row r="201" spans="1:15">
      <c r="A201" s="88">
        <f>'BC.116+240'!B200</f>
        <v>45468</v>
      </c>
      <c r="B201" s="152">
        <v>187</v>
      </c>
      <c r="C201" s="154">
        <f>'BC.116+240'!M200/1000</f>
        <v>2.306</v>
      </c>
      <c r="D201" s="154">
        <f>'BC.116+240'!AA200</f>
        <v>2.5030000000000001</v>
      </c>
      <c r="E201" s="155">
        <f>'BC.116+240'!AB200</f>
        <v>2.1920000000000002</v>
      </c>
      <c r="F201" s="154">
        <f>VLOOKUP($A201,'BC.116+240'!$B$13:$X$489,8,0)/1000</f>
        <v>3.5910000000000002</v>
      </c>
      <c r="G201" s="154">
        <f>VLOOKUP($A201,'BC.116+240'!$B$13:$X$489,9,0)/1000</f>
        <v>-0.40899999999999997</v>
      </c>
      <c r="H201" s="154">
        <f>VLOOKUP($A201,'BC.116+240'!$B$13:$X$489,14,0)/1000</f>
        <v>3.726</v>
      </c>
      <c r="I201" s="154">
        <f>VLOOKUP($A201,'BC.116+240'!$B$13:$X$489,15,0)/1000</f>
        <v>-0.27400000000000002</v>
      </c>
      <c r="J201" s="154">
        <f>VLOOKUP($A201,'BC.116+240'!$B$13:$X$489,20,0)/1000</f>
        <v>3.8410000000000002</v>
      </c>
      <c r="K201" s="154">
        <f>VLOOKUP($A201,'BC.116+240'!$B$13:$X$489,21,0)/1000</f>
        <v>-0.159</v>
      </c>
      <c r="L201" s="152">
        <f t="shared" si="6"/>
        <v>-448.99999999999994</v>
      </c>
      <c r="M201" s="153">
        <f t="shared" si="7"/>
        <v>-194</v>
      </c>
      <c r="N201" s="152">
        <f t="shared" si="8"/>
        <v>-129</v>
      </c>
      <c r="O201" s="152"/>
    </row>
    <row r="202" spans="1:15">
      <c r="A202" s="88">
        <f>'BC.116+240'!B201</f>
        <v>45469</v>
      </c>
      <c r="B202" s="152">
        <v>188</v>
      </c>
      <c r="C202" s="154">
        <f>'BC.116+240'!M201/1000</f>
        <v>2.2970000000000002</v>
      </c>
      <c r="D202" s="154">
        <f>'BC.116+240'!AA201</f>
        <v>2.5030000000000001</v>
      </c>
      <c r="E202" s="155">
        <f>'BC.116+240'!AB201</f>
        <v>2.1739999999999999</v>
      </c>
      <c r="F202" s="154">
        <f>VLOOKUP($A202,'BC.116+240'!$B$13:$X$489,8,0)/1000</f>
        <v>3.5830000000000002</v>
      </c>
      <c r="G202" s="154">
        <f>VLOOKUP($A202,'BC.116+240'!$B$13:$X$489,9,0)/1000</f>
        <v>-0.41699999999999998</v>
      </c>
      <c r="H202" s="154">
        <f>VLOOKUP($A202,'BC.116+240'!$B$13:$X$489,14,0)/1000</f>
        <v>3.7170000000000001</v>
      </c>
      <c r="I202" s="154">
        <f>VLOOKUP($A202,'BC.116+240'!$B$13:$X$489,15,0)/1000</f>
        <v>-0.28299999999999997</v>
      </c>
      <c r="J202" s="154">
        <f>VLOOKUP($A202,'BC.116+240'!$B$13:$X$489,20,0)/1000</f>
        <v>3.8330000000000002</v>
      </c>
      <c r="K202" s="154">
        <f>VLOOKUP($A202,'BC.116+240'!$B$13:$X$489,21,0)/1000</f>
        <v>-0.16700000000000001</v>
      </c>
      <c r="L202" s="152">
        <f t="shared" si="6"/>
        <v>-456.99999999999994</v>
      </c>
      <c r="M202" s="153">
        <f t="shared" si="7"/>
        <v>-202.99999999999997</v>
      </c>
      <c r="N202" s="152">
        <f t="shared" si="8"/>
        <v>-137</v>
      </c>
      <c r="O202" s="152"/>
    </row>
    <row r="203" spans="1:15">
      <c r="A203" s="88">
        <f>'BC.116+240'!B202</f>
        <v>45470</v>
      </c>
      <c r="B203" s="152">
        <v>189</v>
      </c>
      <c r="C203" s="154">
        <f>'BC.116+240'!M202/1000</f>
        <v>2.2890000000000001</v>
      </c>
      <c r="D203" s="154">
        <f>'BC.116+240'!AA202</f>
        <v>2.5030000000000001</v>
      </c>
      <c r="E203" s="155">
        <f>'BC.116+240'!AB202</f>
        <v>2.1579999999999999</v>
      </c>
      <c r="F203" s="154">
        <f>VLOOKUP($A203,'BC.116+240'!$B$13:$X$489,8,0)/1000</f>
        <v>3.5739999999999998</v>
      </c>
      <c r="G203" s="154">
        <f>VLOOKUP($A203,'BC.116+240'!$B$13:$X$489,9,0)/1000</f>
        <v>-0.42599999999999999</v>
      </c>
      <c r="H203" s="154">
        <f>VLOOKUP($A203,'BC.116+240'!$B$13:$X$489,14,0)/1000</f>
        <v>3.7090000000000001</v>
      </c>
      <c r="I203" s="154">
        <f>VLOOKUP($A203,'BC.116+240'!$B$13:$X$489,15,0)/1000</f>
        <v>-0.29099999999999998</v>
      </c>
      <c r="J203" s="154">
        <f>VLOOKUP($A203,'BC.116+240'!$B$13:$X$489,20,0)/1000</f>
        <v>3.8239999999999998</v>
      </c>
      <c r="K203" s="154">
        <f>VLOOKUP($A203,'BC.116+240'!$B$13:$X$489,21,0)/1000</f>
        <v>-0.17599999999999999</v>
      </c>
      <c r="L203" s="152">
        <f t="shared" si="6"/>
        <v>-465.99999999999994</v>
      </c>
      <c r="M203" s="153">
        <f t="shared" si="7"/>
        <v>-210.99999999999997</v>
      </c>
      <c r="N203" s="152">
        <f t="shared" si="8"/>
        <v>-146</v>
      </c>
      <c r="O203" s="152"/>
    </row>
    <row r="204" spans="1:15">
      <c r="A204" s="88">
        <f>'BC.116+240'!B203</f>
        <v>45471</v>
      </c>
      <c r="B204" s="152">
        <v>190</v>
      </c>
      <c r="C204" s="154">
        <f>'BC.116+240'!M203/1000</f>
        <v>2.2810000000000001</v>
      </c>
      <c r="D204" s="154">
        <f>'BC.116+240'!AA203</f>
        <v>2.5030000000000001</v>
      </c>
      <c r="E204" s="155">
        <f>'BC.116+240'!AB203</f>
        <v>2.1419999999999999</v>
      </c>
      <c r="F204" s="154">
        <f>VLOOKUP($A204,'BC.116+240'!$B$13:$X$489,8,0)/1000</f>
        <v>3.5649999999999999</v>
      </c>
      <c r="G204" s="154">
        <f>VLOOKUP($A204,'BC.116+240'!$B$13:$X$489,9,0)/1000</f>
        <v>-0.435</v>
      </c>
      <c r="H204" s="154">
        <f>VLOOKUP($A204,'BC.116+240'!$B$13:$X$489,14,0)/1000</f>
        <v>3.7010000000000001</v>
      </c>
      <c r="I204" s="154">
        <f>VLOOKUP($A204,'BC.116+240'!$B$13:$X$489,15,0)/1000</f>
        <v>-0.29899999999999999</v>
      </c>
      <c r="J204" s="154">
        <f>VLOOKUP($A204,'BC.116+240'!$B$13:$X$489,20,0)/1000</f>
        <v>3.8149999999999999</v>
      </c>
      <c r="K204" s="154">
        <f>VLOOKUP($A204,'BC.116+240'!$B$13:$X$489,21,0)/1000</f>
        <v>-0.185</v>
      </c>
      <c r="L204" s="152">
        <f t="shared" si="6"/>
        <v>-475</v>
      </c>
      <c r="M204" s="153">
        <f t="shared" si="7"/>
        <v>-218.99999999999997</v>
      </c>
      <c r="N204" s="152">
        <f t="shared" si="8"/>
        <v>-155</v>
      </c>
      <c r="O204" s="152"/>
    </row>
    <row r="205" spans="1:15">
      <c r="A205" s="88">
        <f>'BC.116+240'!B204</f>
        <v>45472</v>
      </c>
      <c r="B205" s="152">
        <v>191</v>
      </c>
      <c r="C205" s="154">
        <f>'BC.116+240'!M204/1000</f>
        <v>2.581</v>
      </c>
      <c r="D205" s="154">
        <f>'BC.116+240'!AA204</f>
        <v>2.8029999999999999</v>
      </c>
      <c r="E205" s="155">
        <f>'BC.116+240'!AB204</f>
        <v>2.4319999999999999</v>
      </c>
      <c r="F205" s="154">
        <f>VLOOKUP($A205,'BC.116+240'!$B$13:$X$489,8,0)/1000</f>
        <v>3.5550000000000002</v>
      </c>
      <c r="G205" s="154">
        <f>VLOOKUP($A205,'BC.116+240'!$B$13:$X$489,9,0)/1000</f>
        <v>-0.44500000000000001</v>
      </c>
      <c r="H205" s="154">
        <f>VLOOKUP($A205,'BC.116+240'!$B$13:$X$489,14,0)/1000</f>
        <v>3.6909999999999998</v>
      </c>
      <c r="I205" s="154">
        <f>VLOOKUP($A205,'BC.116+240'!$B$13:$X$489,15,0)/1000</f>
        <v>-0.309</v>
      </c>
      <c r="J205" s="154">
        <f>VLOOKUP($A205,'BC.116+240'!$B$13:$X$489,20,0)/1000</f>
        <v>3.8050000000000002</v>
      </c>
      <c r="K205" s="154">
        <f>VLOOKUP($A205,'BC.116+240'!$B$13:$X$489,21,0)/1000</f>
        <v>-0.19500000000000001</v>
      </c>
      <c r="L205" s="152">
        <f t="shared" si="6"/>
        <v>-485</v>
      </c>
      <c r="M205" s="153">
        <f t="shared" si="7"/>
        <v>-228.99999999999997</v>
      </c>
      <c r="N205" s="152">
        <f t="shared" si="8"/>
        <v>-165</v>
      </c>
      <c r="O205" s="152"/>
    </row>
    <row r="206" spans="1:15">
      <c r="A206" s="88">
        <f>'BC.116+240'!B205</f>
        <v>45473</v>
      </c>
      <c r="B206" s="152">
        <v>192</v>
      </c>
      <c r="C206" s="154">
        <f>'BC.116+240'!M205/1000</f>
        <v>2.5710000000000002</v>
      </c>
      <c r="D206" s="154">
        <f>'BC.116+240'!AA205</f>
        <v>2.8029999999999999</v>
      </c>
      <c r="E206" s="155">
        <f>'BC.116+240'!AB205</f>
        <v>2.4119999999999999</v>
      </c>
      <c r="F206" s="154">
        <f>VLOOKUP($A206,'BC.116+240'!$B$13:$X$489,8,0)/1000</f>
        <v>3.5449999999999999</v>
      </c>
      <c r="G206" s="154">
        <f>VLOOKUP($A206,'BC.116+240'!$B$13:$X$489,9,0)/1000</f>
        <v>-0.45500000000000002</v>
      </c>
      <c r="H206" s="154">
        <f>VLOOKUP($A206,'BC.116+240'!$B$13:$X$489,14,0)/1000</f>
        <v>3.681</v>
      </c>
      <c r="I206" s="154">
        <f>VLOOKUP($A206,'BC.116+240'!$B$13:$X$489,15,0)/1000</f>
        <v>-0.31900000000000001</v>
      </c>
      <c r="J206" s="154">
        <f>VLOOKUP($A206,'BC.116+240'!$B$13:$X$489,20,0)/1000</f>
        <v>3.7949999999999999</v>
      </c>
      <c r="K206" s="154">
        <f>VLOOKUP($A206,'BC.116+240'!$B$13:$X$489,21,0)/1000</f>
        <v>-0.20499999999999999</v>
      </c>
      <c r="L206" s="152">
        <f t="shared" ref="L206:L269" si="9">(G206-$G$14)*1000</f>
        <v>-495</v>
      </c>
      <c r="M206" s="153">
        <f t="shared" ref="M206:M269" si="10">(I206-$I$14)*1000</f>
        <v>-239</v>
      </c>
      <c r="N206" s="152">
        <f t="shared" si="8"/>
        <v>-175</v>
      </c>
      <c r="O206" s="152"/>
    </row>
    <row r="207" spans="1:15">
      <c r="A207" s="88">
        <f>'BC.116+240'!B206</f>
        <v>45474</v>
      </c>
      <c r="B207" s="152">
        <v>193</v>
      </c>
      <c r="C207" s="154">
        <f>'BC.116+240'!M206/1000</f>
        <v>2.5640000000000001</v>
      </c>
      <c r="D207" s="154">
        <f>'BC.116+240'!AA206</f>
        <v>2.8029999999999999</v>
      </c>
      <c r="E207" s="155">
        <f>'BC.116+240'!AB206</f>
        <v>2.3980000000000001</v>
      </c>
      <c r="F207" s="154">
        <f>VLOOKUP($A207,'BC.116+240'!$B$13:$X$489,8,0)/1000</f>
        <v>3.5369999999999999</v>
      </c>
      <c r="G207" s="154">
        <f>VLOOKUP($A207,'BC.116+240'!$B$13:$X$489,9,0)/1000</f>
        <v>-0.46300000000000002</v>
      </c>
      <c r="H207" s="154">
        <f>VLOOKUP($A207,'BC.116+240'!$B$13:$X$489,14,0)/1000</f>
        <v>3.6739999999999999</v>
      </c>
      <c r="I207" s="154">
        <f>VLOOKUP($A207,'BC.116+240'!$B$13:$X$489,15,0)/1000</f>
        <v>-0.32600000000000001</v>
      </c>
      <c r="J207" s="154">
        <f>VLOOKUP($A207,'BC.116+240'!$B$13:$X$489,20,0)/1000</f>
        <v>3.7869999999999999</v>
      </c>
      <c r="K207" s="154">
        <f>VLOOKUP($A207,'BC.116+240'!$B$13:$X$489,21,0)/1000</f>
        <v>-0.21299999999999999</v>
      </c>
      <c r="L207" s="152">
        <f t="shared" si="9"/>
        <v>-503</v>
      </c>
      <c r="M207" s="153">
        <f t="shared" si="10"/>
        <v>-246</v>
      </c>
      <c r="N207" s="152">
        <f t="shared" ref="N207:N270" si="11">(K207-$K$14)*1000</f>
        <v>-183</v>
      </c>
      <c r="O207" s="152"/>
    </row>
    <row r="208" spans="1:15">
      <c r="A208" s="88">
        <f>'BC.116+240'!B207</f>
        <v>45475</v>
      </c>
      <c r="B208" s="152">
        <v>194</v>
      </c>
      <c r="C208" s="154">
        <f>'BC.116+240'!M207/1000</f>
        <v>2.556</v>
      </c>
      <c r="D208" s="154">
        <f>'BC.116+240'!AA207</f>
        <v>2.8029999999999999</v>
      </c>
      <c r="E208" s="155">
        <f>'BC.116+240'!AB207</f>
        <v>2.3820000000000001</v>
      </c>
      <c r="F208" s="154">
        <f>VLOOKUP($A208,'BC.116+240'!$B$13:$X$489,8,0)/1000</f>
        <v>3.528</v>
      </c>
      <c r="G208" s="154">
        <f>VLOOKUP($A208,'BC.116+240'!$B$13:$X$489,9,0)/1000</f>
        <v>-0.47199999999999998</v>
      </c>
      <c r="H208" s="154">
        <f>VLOOKUP($A208,'BC.116+240'!$B$13:$X$489,14,0)/1000</f>
        <v>3.6659999999999999</v>
      </c>
      <c r="I208" s="154">
        <f>VLOOKUP($A208,'BC.116+240'!$B$13:$X$489,15,0)/1000</f>
        <v>-0.33400000000000002</v>
      </c>
      <c r="J208" s="154">
        <f>VLOOKUP($A208,'BC.116+240'!$B$13:$X$489,20,0)/1000</f>
        <v>3.778</v>
      </c>
      <c r="K208" s="154">
        <f>VLOOKUP($A208,'BC.116+240'!$B$13:$X$489,21,0)/1000</f>
        <v>-0.222</v>
      </c>
      <c r="L208" s="152">
        <f t="shared" si="9"/>
        <v>-512</v>
      </c>
      <c r="M208" s="153">
        <f t="shared" si="10"/>
        <v>-254</v>
      </c>
      <c r="N208" s="152">
        <f t="shared" si="11"/>
        <v>-192</v>
      </c>
      <c r="O208" s="152"/>
    </row>
    <row r="209" spans="1:15">
      <c r="A209" s="88">
        <f>'BC.116+240'!B208</f>
        <v>45476</v>
      </c>
      <c r="B209" s="152">
        <v>195</v>
      </c>
      <c r="C209" s="154">
        <f>'BC.116+240'!M208/1000</f>
        <v>2.5489999999999999</v>
      </c>
      <c r="D209" s="154">
        <f>'BC.116+240'!AA208</f>
        <v>2.8029999999999999</v>
      </c>
      <c r="E209" s="155">
        <f>'BC.116+240'!AB208</f>
        <v>2.3679999999999999</v>
      </c>
      <c r="F209" s="154">
        <f>VLOOKUP($A209,'BC.116+240'!$B$13:$X$489,8,0)/1000</f>
        <v>3.52</v>
      </c>
      <c r="G209" s="154">
        <f>VLOOKUP($A209,'BC.116+240'!$B$13:$X$489,9,0)/1000</f>
        <v>-0.48</v>
      </c>
      <c r="H209" s="154">
        <f>VLOOKUP($A209,'BC.116+240'!$B$13:$X$489,14,0)/1000</f>
        <v>3.6589999999999998</v>
      </c>
      <c r="I209" s="154">
        <f>VLOOKUP($A209,'BC.116+240'!$B$13:$X$489,15,0)/1000</f>
        <v>-0.34100000000000003</v>
      </c>
      <c r="J209" s="154">
        <f>VLOOKUP($A209,'BC.116+240'!$B$13:$X$489,20,0)/1000</f>
        <v>3.77</v>
      </c>
      <c r="K209" s="154">
        <f>VLOOKUP($A209,'BC.116+240'!$B$13:$X$489,21,0)/1000</f>
        <v>-0.23</v>
      </c>
      <c r="L209" s="152">
        <f t="shared" si="9"/>
        <v>-520</v>
      </c>
      <c r="M209" s="153">
        <f t="shared" si="10"/>
        <v>-261</v>
      </c>
      <c r="N209" s="152">
        <f t="shared" si="11"/>
        <v>-200</v>
      </c>
      <c r="O209" s="152"/>
    </row>
    <row r="210" spans="1:15">
      <c r="A210" s="88">
        <f>'BC.116+240'!B209</f>
        <v>45477</v>
      </c>
      <c r="B210" s="152">
        <v>196</v>
      </c>
      <c r="C210" s="154">
        <f>'BC.116+240'!M209/1000</f>
        <v>2.8420000000000001</v>
      </c>
      <c r="D210" s="154">
        <f>'BC.116+240'!AA209</f>
        <v>3.0949999999999998</v>
      </c>
      <c r="E210" s="155">
        <f>'BC.116+240'!AB209</f>
        <v>2.6539999999999999</v>
      </c>
      <c r="F210" s="154">
        <f>VLOOKUP($A210,'BC.116+240'!$B$13:$X$489,8,0)/1000</f>
        <v>3.512</v>
      </c>
      <c r="G210" s="154">
        <f>VLOOKUP($A210,'BC.116+240'!$B$13:$X$489,9,0)/1000</f>
        <v>-0.48799999999999999</v>
      </c>
      <c r="H210" s="154">
        <f>VLOOKUP($A210,'BC.116+240'!$B$13:$X$489,14,0)/1000</f>
        <v>3.6520000000000001</v>
      </c>
      <c r="I210" s="154">
        <f>VLOOKUP($A210,'BC.116+240'!$B$13:$X$489,15,0)/1000</f>
        <v>-0.34799999999999998</v>
      </c>
      <c r="J210" s="154">
        <f>VLOOKUP($A210,'BC.116+240'!$B$13:$X$489,20,0)/1000</f>
        <v>3.762</v>
      </c>
      <c r="K210" s="154">
        <f>VLOOKUP($A210,'BC.116+240'!$B$13:$X$489,21,0)/1000</f>
        <v>-0.23799999999999999</v>
      </c>
      <c r="L210" s="152">
        <f t="shared" si="9"/>
        <v>-528</v>
      </c>
      <c r="M210" s="153">
        <f t="shared" si="10"/>
        <v>-267.99999999999994</v>
      </c>
      <c r="N210" s="152">
        <f t="shared" si="11"/>
        <v>-208</v>
      </c>
      <c r="O210" s="152"/>
    </row>
    <row r="211" spans="1:15">
      <c r="A211" s="88">
        <f>'BC.116+240'!B210</f>
        <v>45478</v>
      </c>
      <c r="B211" s="152">
        <v>197</v>
      </c>
      <c r="C211" s="154">
        <f>'BC.116+240'!M210/1000</f>
        <v>2.8319999999999999</v>
      </c>
      <c r="D211" s="154">
        <f>'BC.116+240'!AA210</f>
        <v>3.0949999999999998</v>
      </c>
      <c r="E211" s="155">
        <f>'BC.116+240'!AB210</f>
        <v>2.6339999999999999</v>
      </c>
      <c r="F211" s="154">
        <f>VLOOKUP($A211,'BC.116+240'!$B$13:$X$489,8,0)/1000</f>
        <v>3.5019999999999998</v>
      </c>
      <c r="G211" s="154">
        <f>VLOOKUP($A211,'BC.116+240'!$B$13:$X$489,9,0)/1000</f>
        <v>-0.498</v>
      </c>
      <c r="H211" s="154">
        <f>VLOOKUP($A211,'BC.116+240'!$B$13:$X$489,14,0)/1000</f>
        <v>3.6419999999999999</v>
      </c>
      <c r="I211" s="154">
        <f>VLOOKUP($A211,'BC.116+240'!$B$13:$X$489,15,0)/1000</f>
        <v>-0.35799999999999998</v>
      </c>
      <c r="J211" s="154">
        <f>VLOOKUP($A211,'BC.116+240'!$B$13:$X$489,20,0)/1000</f>
        <v>3.7519999999999998</v>
      </c>
      <c r="K211" s="154">
        <f>VLOOKUP($A211,'BC.116+240'!$B$13:$X$489,21,0)/1000</f>
        <v>-0.248</v>
      </c>
      <c r="L211" s="152">
        <f t="shared" si="9"/>
        <v>-538</v>
      </c>
      <c r="M211" s="153">
        <f t="shared" si="10"/>
        <v>-277.99999999999994</v>
      </c>
      <c r="N211" s="152">
        <f t="shared" si="11"/>
        <v>-218</v>
      </c>
      <c r="O211" s="152"/>
    </row>
    <row r="212" spans="1:15">
      <c r="A212" s="88">
        <f>'BC.116+240'!B211</f>
        <v>45479</v>
      </c>
      <c r="B212" s="152">
        <v>198</v>
      </c>
      <c r="C212" s="154">
        <f>'BC.116+240'!M211/1000</f>
        <v>2.8250000000000002</v>
      </c>
      <c r="D212" s="154">
        <f>'BC.116+240'!AA211</f>
        <v>3.0949999999999998</v>
      </c>
      <c r="E212" s="155">
        <f>'BC.116+240'!AB211</f>
        <v>2.62</v>
      </c>
      <c r="F212" s="154">
        <f>VLOOKUP($A212,'BC.116+240'!$B$13:$X$489,8,0)/1000</f>
        <v>3.4940000000000002</v>
      </c>
      <c r="G212" s="154">
        <f>VLOOKUP($A212,'BC.116+240'!$B$13:$X$489,9,0)/1000</f>
        <v>-0.50600000000000001</v>
      </c>
      <c r="H212" s="154">
        <f>VLOOKUP($A212,'BC.116+240'!$B$13:$X$489,14,0)/1000</f>
        <v>3.6349999999999998</v>
      </c>
      <c r="I212" s="154">
        <f>VLOOKUP($A212,'BC.116+240'!$B$13:$X$489,15,0)/1000</f>
        <v>-0.36499999999999999</v>
      </c>
      <c r="J212" s="154">
        <f>VLOOKUP($A212,'BC.116+240'!$B$13:$X$489,20,0)/1000</f>
        <v>3.7450000000000001</v>
      </c>
      <c r="K212" s="154">
        <f>VLOOKUP($A212,'BC.116+240'!$B$13:$X$489,21,0)/1000</f>
        <v>-0.255</v>
      </c>
      <c r="L212" s="152">
        <f t="shared" si="9"/>
        <v>-546</v>
      </c>
      <c r="M212" s="153">
        <f t="shared" si="10"/>
        <v>-285</v>
      </c>
      <c r="N212" s="152">
        <f t="shared" si="11"/>
        <v>-225</v>
      </c>
      <c r="O212" s="152"/>
    </row>
    <row r="213" spans="1:15">
      <c r="A213" s="88">
        <f>'BC.116+240'!B212</f>
        <v>45480</v>
      </c>
      <c r="B213" s="152">
        <v>199</v>
      </c>
      <c r="C213" s="154">
        <f>'BC.116+240'!M212/1000</f>
        <v>2.8180000000000001</v>
      </c>
      <c r="D213" s="154">
        <f>'BC.116+240'!AA212</f>
        <v>3.0949999999999998</v>
      </c>
      <c r="E213" s="155">
        <f>'BC.116+240'!AB212</f>
        <v>2.6059999999999999</v>
      </c>
      <c r="F213" s="154">
        <f>VLOOKUP($A213,'BC.116+240'!$B$13:$X$489,8,0)/1000</f>
        <v>3.492</v>
      </c>
      <c r="G213" s="154">
        <f>VLOOKUP($A213,'BC.116+240'!$B$13:$X$489,9,0)/1000</f>
        <v>-0.50800000000000001</v>
      </c>
      <c r="H213" s="154">
        <f>VLOOKUP($A213,'BC.116+240'!$B$13:$X$489,14,0)/1000</f>
        <v>3.6280000000000001</v>
      </c>
      <c r="I213" s="154">
        <f>VLOOKUP($A213,'BC.116+240'!$B$13:$X$489,15,0)/1000</f>
        <v>-0.372</v>
      </c>
      <c r="J213" s="154">
        <f>VLOOKUP($A213,'BC.116+240'!$B$13:$X$489,20,0)/1000</f>
        <v>3.7429999999999999</v>
      </c>
      <c r="K213" s="154">
        <f>VLOOKUP($A213,'BC.116+240'!$B$13:$X$489,21,0)/1000</f>
        <v>-0.25700000000000001</v>
      </c>
      <c r="L213" s="152">
        <f t="shared" si="9"/>
        <v>-548</v>
      </c>
      <c r="M213" s="153">
        <f t="shared" si="10"/>
        <v>-292</v>
      </c>
      <c r="N213" s="152">
        <f t="shared" si="11"/>
        <v>-227</v>
      </c>
      <c r="O213" s="152"/>
    </row>
    <row r="214" spans="1:15">
      <c r="A214" s="88">
        <f>'BC.116+240'!B213</f>
        <v>45481</v>
      </c>
      <c r="B214" s="152">
        <v>200</v>
      </c>
      <c r="C214" s="154">
        <f>'BC.116+240'!M213/1000</f>
        <v>2.8130000000000002</v>
      </c>
      <c r="D214" s="154">
        <f>'BC.116+240'!AA213</f>
        <v>3.0949999999999998</v>
      </c>
      <c r="E214" s="155">
        <f>'BC.116+240'!AB213</f>
        <v>2.5960000000000001</v>
      </c>
      <c r="F214" s="154">
        <f>VLOOKUP($A214,'BC.116+240'!$B$13:$X$489,8,0)/1000</f>
        <v>3.49</v>
      </c>
      <c r="G214" s="154">
        <f>VLOOKUP($A214,'BC.116+240'!$B$13:$X$489,9,0)/1000</f>
        <v>-0.51</v>
      </c>
      <c r="H214" s="154">
        <f>VLOOKUP($A214,'BC.116+240'!$B$13:$X$489,14,0)/1000</f>
        <v>3.6230000000000002</v>
      </c>
      <c r="I214" s="154">
        <f>VLOOKUP($A214,'BC.116+240'!$B$13:$X$489,15,0)/1000</f>
        <v>-0.377</v>
      </c>
      <c r="J214" s="154">
        <f>VLOOKUP($A214,'BC.116+240'!$B$13:$X$489,20,0)/1000</f>
        <v>3.7410000000000001</v>
      </c>
      <c r="K214" s="154">
        <f>VLOOKUP($A214,'BC.116+240'!$B$13:$X$489,21,0)/1000</f>
        <v>-0.25900000000000001</v>
      </c>
      <c r="L214" s="152">
        <f t="shared" si="9"/>
        <v>-550</v>
      </c>
      <c r="M214" s="153">
        <f t="shared" si="10"/>
        <v>-297</v>
      </c>
      <c r="N214" s="152">
        <f t="shared" si="11"/>
        <v>-229</v>
      </c>
      <c r="O214" s="152"/>
    </row>
    <row r="215" spans="1:15">
      <c r="A215" s="88">
        <f>'BC.116+240'!B214</f>
        <v>45482</v>
      </c>
      <c r="B215" s="152">
        <v>201</v>
      </c>
      <c r="C215" s="154">
        <f>'BC.116+240'!M214/1000</f>
        <v>3.1030000000000002</v>
      </c>
      <c r="D215" s="154">
        <f>'BC.116+240'!AA214</f>
        <v>3.3849999999999998</v>
      </c>
      <c r="E215" s="155">
        <f>'BC.116+240'!AB214</f>
        <v>2.8759999999999999</v>
      </c>
      <c r="F215" s="154">
        <f>VLOOKUP($A215,'BC.116+240'!$B$13:$X$489,8,0)/1000</f>
        <v>3.48</v>
      </c>
      <c r="G215" s="154">
        <f>VLOOKUP($A215,'BC.116+240'!$B$13:$X$489,9,0)/1000</f>
        <v>-0.52</v>
      </c>
      <c r="H215" s="154">
        <f>VLOOKUP($A215,'BC.116+240'!$B$13:$X$489,14,0)/1000</f>
        <v>3.613</v>
      </c>
      <c r="I215" s="154">
        <f>VLOOKUP($A215,'BC.116+240'!$B$13:$X$489,15,0)/1000</f>
        <v>-0.38700000000000001</v>
      </c>
      <c r="J215" s="154">
        <f>VLOOKUP($A215,'BC.116+240'!$B$13:$X$489,20,0)/1000</f>
        <v>3.7309999999999999</v>
      </c>
      <c r="K215" s="154">
        <f>VLOOKUP($A215,'BC.116+240'!$B$13:$X$489,21,0)/1000</f>
        <v>-0.26900000000000002</v>
      </c>
      <c r="L215" s="152">
        <f t="shared" si="9"/>
        <v>-560</v>
      </c>
      <c r="M215" s="153">
        <f t="shared" si="10"/>
        <v>-307</v>
      </c>
      <c r="N215" s="152">
        <f t="shared" si="11"/>
        <v>-239.00000000000003</v>
      </c>
      <c r="O215" s="152"/>
    </row>
    <row r="216" spans="1:15">
      <c r="A216" s="88">
        <f>'BC.116+240'!B215</f>
        <v>45483</v>
      </c>
      <c r="B216" s="152">
        <v>202</v>
      </c>
      <c r="C216" s="154">
        <f>'BC.116+240'!M215/1000</f>
        <v>3.0990000000000002</v>
      </c>
      <c r="D216" s="154">
        <f>'BC.116+240'!AA215</f>
        <v>3.3849999999999998</v>
      </c>
      <c r="E216" s="155">
        <f>'BC.116+240'!AB215</f>
        <v>2.8679999999999999</v>
      </c>
      <c r="F216" s="154">
        <f>VLOOKUP($A216,'BC.116+240'!$B$13:$X$489,8,0)/1000</f>
        <v>3.4780000000000002</v>
      </c>
      <c r="G216" s="154">
        <f>VLOOKUP($A216,'BC.116+240'!$B$13:$X$489,9,0)/1000</f>
        <v>-0.52200000000000002</v>
      </c>
      <c r="H216" s="154">
        <f>VLOOKUP($A216,'BC.116+240'!$B$13:$X$489,14,0)/1000</f>
        <v>3.609</v>
      </c>
      <c r="I216" s="154">
        <f>VLOOKUP($A216,'BC.116+240'!$B$13:$X$489,15,0)/1000</f>
        <v>-0.39100000000000001</v>
      </c>
      <c r="J216" s="154">
        <f>VLOOKUP($A216,'BC.116+240'!$B$13:$X$489,20,0)/1000</f>
        <v>3.73</v>
      </c>
      <c r="K216" s="154">
        <f>VLOOKUP($A216,'BC.116+240'!$B$13:$X$489,21,0)/1000</f>
        <v>-0.27</v>
      </c>
      <c r="L216" s="152">
        <f t="shared" si="9"/>
        <v>-562</v>
      </c>
      <c r="M216" s="153">
        <f t="shared" si="10"/>
        <v>-311</v>
      </c>
      <c r="N216" s="152">
        <f t="shared" si="11"/>
        <v>-240.00000000000003</v>
      </c>
      <c r="O216" s="152"/>
    </row>
    <row r="217" spans="1:15">
      <c r="A217" s="88">
        <f>'BC.116+240'!B216</f>
        <v>45484</v>
      </c>
      <c r="B217" s="152">
        <v>203</v>
      </c>
      <c r="C217" s="154">
        <f>'BC.116+240'!M216/1000</f>
        <v>3.0960000000000001</v>
      </c>
      <c r="D217" s="154">
        <f>'BC.116+240'!AA216</f>
        <v>3.3849999999999998</v>
      </c>
      <c r="E217" s="155">
        <f>'BC.116+240'!AB216</f>
        <v>2.8620000000000001</v>
      </c>
      <c r="F217" s="154">
        <f>VLOOKUP($A217,'BC.116+240'!$B$13:$X$489,8,0)/1000</f>
        <v>3.476</v>
      </c>
      <c r="G217" s="154">
        <f>VLOOKUP($A217,'BC.116+240'!$B$13:$X$489,9,0)/1000</f>
        <v>-0.52400000000000002</v>
      </c>
      <c r="H217" s="154">
        <f>VLOOKUP($A217,'BC.116+240'!$B$13:$X$489,14,0)/1000</f>
        <v>3.6059999999999999</v>
      </c>
      <c r="I217" s="154">
        <f>VLOOKUP($A217,'BC.116+240'!$B$13:$X$489,15,0)/1000</f>
        <v>-0.39400000000000002</v>
      </c>
      <c r="J217" s="154">
        <f>VLOOKUP($A217,'BC.116+240'!$B$13:$X$489,20,0)/1000</f>
        <v>3.7280000000000002</v>
      </c>
      <c r="K217" s="154">
        <f>VLOOKUP($A217,'BC.116+240'!$B$13:$X$489,21,0)/1000</f>
        <v>-0.27200000000000002</v>
      </c>
      <c r="L217" s="152">
        <f t="shared" si="9"/>
        <v>-564</v>
      </c>
      <c r="M217" s="153">
        <f t="shared" si="10"/>
        <v>-314</v>
      </c>
      <c r="N217" s="152">
        <f t="shared" si="11"/>
        <v>-242.00000000000003</v>
      </c>
      <c r="O217" s="152"/>
    </row>
    <row r="218" spans="1:15">
      <c r="A218" s="88">
        <f>'BC.116+240'!B217</f>
        <v>45485</v>
      </c>
      <c r="B218" s="152">
        <v>204</v>
      </c>
      <c r="C218" s="154">
        <f>'BC.116+240'!M217/1000</f>
        <v>3.0939999999999999</v>
      </c>
      <c r="D218" s="154">
        <f>'BC.116+240'!AA217</f>
        <v>3.3849999999999998</v>
      </c>
      <c r="E218" s="155">
        <f>'BC.116+240'!AB217</f>
        <v>2.8580000000000001</v>
      </c>
      <c r="F218" s="154">
        <f>VLOOKUP($A218,'BC.116+240'!$B$13:$X$489,8,0)/1000</f>
        <v>3.4729999999999999</v>
      </c>
      <c r="G218" s="154">
        <f>VLOOKUP($A218,'BC.116+240'!$B$13:$X$489,9,0)/1000</f>
        <v>-0.52700000000000002</v>
      </c>
      <c r="H218" s="154">
        <f>VLOOKUP($A218,'BC.116+240'!$B$13:$X$489,14,0)/1000</f>
        <v>3.6040000000000001</v>
      </c>
      <c r="I218" s="154">
        <f>VLOOKUP($A218,'BC.116+240'!$B$13:$X$489,15,0)/1000</f>
        <v>-0.39600000000000002</v>
      </c>
      <c r="J218" s="154">
        <f>VLOOKUP($A218,'BC.116+240'!$B$13:$X$489,20,0)/1000</f>
        <v>3.7269999999999999</v>
      </c>
      <c r="K218" s="154">
        <f>VLOOKUP($A218,'BC.116+240'!$B$13:$X$489,21,0)/1000</f>
        <v>-0.27300000000000002</v>
      </c>
      <c r="L218" s="152">
        <f t="shared" si="9"/>
        <v>-567.00000000000011</v>
      </c>
      <c r="M218" s="153">
        <f t="shared" si="10"/>
        <v>-316</v>
      </c>
      <c r="N218" s="152">
        <f t="shared" si="11"/>
        <v>-243.00000000000003</v>
      </c>
      <c r="O218" s="152"/>
    </row>
    <row r="219" spans="1:15">
      <c r="A219" s="88">
        <f>'BC.116+240'!B218</f>
        <v>45486</v>
      </c>
      <c r="B219" s="152">
        <v>205</v>
      </c>
      <c r="C219" s="154">
        <f>'BC.116+240'!M218/1000</f>
        <v>3.09</v>
      </c>
      <c r="D219" s="154">
        <f>'BC.116+240'!AA218</f>
        <v>3.3849999999999998</v>
      </c>
      <c r="E219" s="155">
        <f>'BC.116+240'!AB218</f>
        <v>2.85</v>
      </c>
      <c r="F219" s="154">
        <f>VLOOKUP($A219,'BC.116+240'!$B$13:$X$489,8,0)/1000</f>
        <v>3.4710000000000001</v>
      </c>
      <c r="G219" s="154">
        <f>VLOOKUP($A219,'BC.116+240'!$B$13:$X$489,9,0)/1000</f>
        <v>-0.52900000000000003</v>
      </c>
      <c r="H219" s="154">
        <f>VLOOKUP($A219,'BC.116+240'!$B$13:$X$489,14,0)/1000</f>
        <v>3.6</v>
      </c>
      <c r="I219" s="154">
        <f>VLOOKUP($A219,'BC.116+240'!$B$13:$X$489,15,0)/1000</f>
        <v>-0.4</v>
      </c>
      <c r="J219" s="154">
        <f>VLOOKUP($A219,'BC.116+240'!$B$13:$X$489,20,0)/1000</f>
        <v>3.7250000000000001</v>
      </c>
      <c r="K219" s="154">
        <f>VLOOKUP($A219,'BC.116+240'!$B$13:$X$489,21,0)/1000</f>
        <v>-0.27500000000000002</v>
      </c>
      <c r="L219" s="152">
        <f t="shared" si="9"/>
        <v>-569.00000000000011</v>
      </c>
      <c r="M219" s="153">
        <f t="shared" si="10"/>
        <v>-320</v>
      </c>
      <c r="N219" s="152">
        <f t="shared" si="11"/>
        <v>-245.00000000000003</v>
      </c>
      <c r="O219" s="152"/>
    </row>
    <row r="220" spans="1:15">
      <c r="A220" s="88">
        <f>'BC.116+240'!B219</f>
        <v>45487</v>
      </c>
      <c r="B220" s="152">
        <v>206</v>
      </c>
      <c r="C220" s="154">
        <f>'BC.116+240'!M219/1000</f>
        <v>3.0870000000000002</v>
      </c>
      <c r="D220" s="154">
        <f>'BC.116+240'!AA219</f>
        <v>3.3849999999999998</v>
      </c>
      <c r="E220" s="155">
        <f>'BC.116+240'!AB219</f>
        <v>2.8439999999999999</v>
      </c>
      <c r="F220" s="154">
        <f>VLOOKUP($A220,'BC.116+240'!$B$13:$X$489,8,0)/1000</f>
        <v>3.47</v>
      </c>
      <c r="G220" s="154">
        <f>VLOOKUP($A220,'BC.116+240'!$B$13:$X$489,9,0)/1000</f>
        <v>-0.53</v>
      </c>
      <c r="H220" s="154">
        <f>VLOOKUP($A220,'BC.116+240'!$B$13:$X$489,14,0)/1000</f>
        <v>3.597</v>
      </c>
      <c r="I220" s="154">
        <f>VLOOKUP($A220,'BC.116+240'!$B$13:$X$489,15,0)/1000</f>
        <v>-0.40300000000000002</v>
      </c>
      <c r="J220" s="154">
        <f>VLOOKUP($A220,'BC.116+240'!$B$13:$X$489,20,0)/1000</f>
        <v>3.7240000000000002</v>
      </c>
      <c r="K220" s="154">
        <f>VLOOKUP($A220,'BC.116+240'!$B$13:$X$489,21,0)/1000</f>
        <v>-0.27600000000000002</v>
      </c>
      <c r="L220" s="152">
        <f t="shared" si="9"/>
        <v>-570.00000000000011</v>
      </c>
      <c r="M220" s="153">
        <f t="shared" si="10"/>
        <v>-323</v>
      </c>
      <c r="N220" s="152">
        <f t="shared" si="11"/>
        <v>-246.00000000000003</v>
      </c>
      <c r="O220" s="152"/>
    </row>
    <row r="221" spans="1:15">
      <c r="A221" s="88">
        <f>'BC.116+240'!B220</f>
        <v>45488</v>
      </c>
      <c r="B221" s="152">
        <v>207</v>
      </c>
      <c r="C221" s="154">
        <f>'BC.116+240'!M220/1000</f>
        <v>3.085</v>
      </c>
      <c r="D221" s="154">
        <f>'BC.116+240'!AA220</f>
        <v>3.3849999999999998</v>
      </c>
      <c r="E221" s="155">
        <f>'BC.116+240'!AB220</f>
        <v>2.84</v>
      </c>
      <c r="F221" s="154">
        <f>VLOOKUP($A221,'BC.116+240'!$B$13:$X$489,8,0)/1000</f>
        <v>3.468</v>
      </c>
      <c r="G221" s="154">
        <f>VLOOKUP($A221,'BC.116+240'!$B$13:$X$489,9,0)/1000</f>
        <v>-0.53200000000000003</v>
      </c>
      <c r="H221" s="154">
        <f>VLOOKUP($A221,'BC.116+240'!$B$13:$X$489,14,0)/1000</f>
        <v>3.5950000000000002</v>
      </c>
      <c r="I221" s="154">
        <f>VLOOKUP($A221,'BC.116+240'!$B$13:$X$489,15,0)/1000</f>
        <v>-0.40500000000000003</v>
      </c>
      <c r="J221" s="154">
        <f>VLOOKUP($A221,'BC.116+240'!$B$13:$X$489,20,0)/1000</f>
        <v>3.7229999999999999</v>
      </c>
      <c r="K221" s="154">
        <f>VLOOKUP($A221,'BC.116+240'!$B$13:$X$489,21,0)/1000</f>
        <v>-0.27700000000000002</v>
      </c>
      <c r="L221" s="152">
        <f t="shared" si="9"/>
        <v>-572.00000000000011</v>
      </c>
      <c r="M221" s="153">
        <f t="shared" si="10"/>
        <v>-325</v>
      </c>
      <c r="N221" s="152">
        <f t="shared" si="11"/>
        <v>-247.00000000000003</v>
      </c>
      <c r="O221" s="152"/>
    </row>
    <row r="222" spans="1:15">
      <c r="A222" s="88">
        <f>'BC.116+240'!B221</f>
        <v>45489</v>
      </c>
      <c r="B222" s="152">
        <v>208</v>
      </c>
      <c r="C222" s="154">
        <f>'BC.116+240'!M221/1000</f>
        <v>3.08</v>
      </c>
      <c r="D222" s="154">
        <f>'BC.116+240'!AA221</f>
        <v>3.3849999999999998</v>
      </c>
      <c r="E222" s="155">
        <f>'BC.116+240'!AB221</f>
        <v>2.83</v>
      </c>
      <c r="F222" s="154">
        <f>VLOOKUP($A222,'BC.116+240'!$B$13:$X$489,8,0)/1000</f>
        <v>3.4660000000000002</v>
      </c>
      <c r="G222" s="154">
        <f>VLOOKUP($A222,'BC.116+240'!$B$13:$X$489,9,0)/1000</f>
        <v>-0.53400000000000003</v>
      </c>
      <c r="H222" s="154">
        <f>VLOOKUP($A222,'BC.116+240'!$B$13:$X$489,14,0)/1000</f>
        <v>3.59</v>
      </c>
      <c r="I222" s="154">
        <f>VLOOKUP($A222,'BC.116+240'!$B$13:$X$489,15,0)/1000</f>
        <v>-0.41</v>
      </c>
      <c r="J222" s="154">
        <f>VLOOKUP($A222,'BC.116+240'!$B$13:$X$489,20,0)/1000</f>
        <v>3.7210000000000001</v>
      </c>
      <c r="K222" s="154">
        <f>VLOOKUP($A222,'BC.116+240'!$B$13:$X$489,21,0)/1000</f>
        <v>-0.27900000000000003</v>
      </c>
      <c r="L222" s="152">
        <f t="shared" si="9"/>
        <v>-574.00000000000011</v>
      </c>
      <c r="M222" s="153">
        <f t="shared" si="10"/>
        <v>-329.99999999999994</v>
      </c>
      <c r="N222" s="152">
        <f t="shared" si="11"/>
        <v>-249.00000000000003</v>
      </c>
      <c r="O222" s="152"/>
    </row>
    <row r="223" spans="1:15">
      <c r="A223" s="88">
        <f>'BC.116+240'!B222</f>
        <v>45490</v>
      </c>
      <c r="B223" s="152">
        <v>209</v>
      </c>
      <c r="C223" s="154">
        <f>'BC.116+240'!M222/1000</f>
        <v>3.0750000000000002</v>
      </c>
      <c r="D223" s="154">
        <f>'BC.116+240'!AA222</f>
        <v>3.3849999999999998</v>
      </c>
      <c r="E223" s="155">
        <f>'BC.116+240'!AB222</f>
        <v>2.82</v>
      </c>
      <c r="F223" s="154">
        <f>VLOOKUP($A223,'BC.116+240'!$B$13:$X$489,8,0)/1000</f>
        <v>3.464</v>
      </c>
      <c r="G223" s="154">
        <f>VLOOKUP($A223,'BC.116+240'!$B$13:$X$489,9,0)/1000</f>
        <v>-0.53600000000000003</v>
      </c>
      <c r="H223" s="154">
        <f>VLOOKUP($A223,'BC.116+240'!$B$13:$X$489,14,0)/1000</f>
        <v>3.585</v>
      </c>
      <c r="I223" s="154">
        <f>VLOOKUP($A223,'BC.116+240'!$B$13:$X$489,15,0)/1000</f>
        <v>-0.41499999999999998</v>
      </c>
      <c r="J223" s="154">
        <f>VLOOKUP($A223,'BC.116+240'!$B$13:$X$489,20,0)/1000</f>
        <v>3.7189999999999999</v>
      </c>
      <c r="K223" s="154">
        <f>VLOOKUP($A223,'BC.116+240'!$B$13:$X$489,21,0)/1000</f>
        <v>-0.28100000000000003</v>
      </c>
      <c r="L223" s="152">
        <f t="shared" si="9"/>
        <v>-576.00000000000011</v>
      </c>
      <c r="M223" s="153">
        <f t="shared" si="10"/>
        <v>-334.99999999999994</v>
      </c>
      <c r="N223" s="152">
        <f t="shared" si="11"/>
        <v>-251</v>
      </c>
      <c r="O223" s="152"/>
    </row>
    <row r="224" spans="1:15">
      <c r="A224" s="88">
        <f>'BC.116+240'!B223</f>
        <v>45491</v>
      </c>
      <c r="B224" s="152">
        <v>210</v>
      </c>
      <c r="C224" s="154">
        <f>'BC.116+240'!M223/1000</f>
        <v>3.0710000000000002</v>
      </c>
      <c r="D224" s="154">
        <f>'BC.116+240'!AA223</f>
        <v>3.3849999999999998</v>
      </c>
      <c r="E224" s="155">
        <f>'BC.116+240'!AB223</f>
        <v>2.8119999999999998</v>
      </c>
      <c r="F224" s="154">
        <f>VLOOKUP($A224,'BC.116+240'!$B$13:$X$489,8,0)/1000</f>
        <v>3.4620000000000002</v>
      </c>
      <c r="G224" s="154">
        <f>VLOOKUP($A224,'BC.116+240'!$B$13:$X$489,9,0)/1000</f>
        <v>-0.53800000000000003</v>
      </c>
      <c r="H224" s="154">
        <f>VLOOKUP($A224,'BC.116+240'!$B$13:$X$489,14,0)/1000</f>
        <v>3.581</v>
      </c>
      <c r="I224" s="154">
        <f>VLOOKUP($A224,'BC.116+240'!$B$13:$X$489,15,0)/1000</f>
        <v>-0.41899999999999998</v>
      </c>
      <c r="J224" s="154">
        <f>VLOOKUP($A224,'BC.116+240'!$B$13:$X$489,20,0)/1000</f>
        <v>3.7170000000000001</v>
      </c>
      <c r="K224" s="154">
        <f>VLOOKUP($A224,'BC.116+240'!$B$13:$X$489,21,0)/1000</f>
        <v>-0.28299999999999997</v>
      </c>
      <c r="L224" s="152">
        <f t="shared" si="9"/>
        <v>-578.00000000000011</v>
      </c>
      <c r="M224" s="153">
        <f t="shared" si="10"/>
        <v>-338.99999999999994</v>
      </c>
      <c r="N224" s="152">
        <f t="shared" si="11"/>
        <v>-253</v>
      </c>
      <c r="O224" s="152"/>
    </row>
    <row r="225" spans="1:15">
      <c r="A225" s="88">
        <f>'BC.116+240'!B224</f>
        <v>45492</v>
      </c>
      <c r="B225" s="152">
        <v>211</v>
      </c>
      <c r="C225" s="154">
        <f>'BC.116+240'!M224/1000</f>
        <v>3.0680000000000001</v>
      </c>
      <c r="D225" s="154">
        <f>'BC.116+240'!AA224</f>
        <v>3.3849999999999998</v>
      </c>
      <c r="E225" s="155">
        <f>'BC.116+240'!AB224</f>
        <v>2.806</v>
      </c>
      <c r="F225" s="154">
        <f>VLOOKUP($A225,'BC.116+240'!$B$13:$X$489,8,0)/1000</f>
        <v>3.46</v>
      </c>
      <c r="G225" s="154">
        <f>VLOOKUP($A225,'BC.116+240'!$B$13:$X$489,9,0)/1000</f>
        <v>-0.54</v>
      </c>
      <c r="H225" s="154">
        <f>VLOOKUP($A225,'BC.116+240'!$B$13:$X$489,14,0)/1000</f>
        <v>3.5779999999999998</v>
      </c>
      <c r="I225" s="154">
        <f>VLOOKUP($A225,'BC.116+240'!$B$13:$X$489,15,0)/1000</f>
        <v>-0.42199999999999999</v>
      </c>
      <c r="J225" s="154">
        <f>VLOOKUP($A225,'BC.116+240'!$B$13:$X$489,20,0)/1000</f>
        <v>3.7160000000000002</v>
      </c>
      <c r="K225" s="154">
        <f>VLOOKUP($A225,'BC.116+240'!$B$13:$X$489,21,0)/1000</f>
        <v>-0.28399999999999997</v>
      </c>
      <c r="L225" s="152">
        <f t="shared" si="9"/>
        <v>-580.00000000000011</v>
      </c>
      <c r="M225" s="153">
        <f t="shared" si="10"/>
        <v>-341.99999999999994</v>
      </c>
      <c r="N225" s="152">
        <f t="shared" si="11"/>
        <v>-254</v>
      </c>
      <c r="O225" s="152"/>
    </row>
    <row r="226" spans="1:15">
      <c r="A226" s="88">
        <f>'BC.116+240'!B225</f>
        <v>45493</v>
      </c>
      <c r="B226" s="152">
        <v>212</v>
      </c>
      <c r="C226" s="154">
        <f>'BC.116+240'!M225/1000</f>
        <v>3.0659999999999998</v>
      </c>
      <c r="D226" s="154">
        <f>'BC.116+240'!AA225</f>
        <v>3.3849999999999998</v>
      </c>
      <c r="E226" s="155">
        <f>'BC.116+240'!AB225</f>
        <v>2.802</v>
      </c>
      <c r="F226" s="154">
        <f>VLOOKUP($A226,'BC.116+240'!$B$13:$X$489,8,0)/1000</f>
        <v>3.4580000000000002</v>
      </c>
      <c r="G226" s="154">
        <f>VLOOKUP($A226,'BC.116+240'!$B$13:$X$489,9,0)/1000</f>
        <v>-0.54200000000000004</v>
      </c>
      <c r="H226" s="154">
        <f>VLOOKUP($A226,'BC.116+240'!$B$13:$X$489,14,0)/1000</f>
        <v>3.5760000000000001</v>
      </c>
      <c r="I226" s="154">
        <f>VLOOKUP($A226,'BC.116+240'!$B$13:$X$489,15,0)/1000</f>
        <v>-0.42399999999999999</v>
      </c>
      <c r="J226" s="154">
        <f>VLOOKUP($A226,'BC.116+240'!$B$13:$X$489,20,0)/1000</f>
        <v>3.714</v>
      </c>
      <c r="K226" s="154">
        <f>VLOOKUP($A226,'BC.116+240'!$B$13:$X$489,21,0)/1000</f>
        <v>-0.28599999999999998</v>
      </c>
      <c r="L226" s="152">
        <f t="shared" si="9"/>
        <v>-582.00000000000011</v>
      </c>
      <c r="M226" s="153">
        <f t="shared" si="10"/>
        <v>-344</v>
      </c>
      <c r="N226" s="152">
        <f t="shared" si="11"/>
        <v>-256</v>
      </c>
      <c r="O226" s="152"/>
    </row>
    <row r="227" spans="1:15">
      <c r="A227" s="88">
        <f>'BC.116+240'!B226</f>
        <v>45494</v>
      </c>
      <c r="B227" s="152">
        <v>213</v>
      </c>
      <c r="C227" s="154">
        <f>'BC.116+240'!M226/1000</f>
        <v>3.0649999999999999</v>
      </c>
      <c r="D227" s="154">
        <f>'BC.116+240'!AA226</f>
        <v>3.3849999999999998</v>
      </c>
      <c r="E227" s="155">
        <f>'BC.116+240'!AB226</f>
        <v>2.8</v>
      </c>
      <c r="F227" s="154">
        <f>VLOOKUP($A227,'BC.116+240'!$B$13:$X$489,8,0)/1000</f>
        <v>3.4550000000000001</v>
      </c>
      <c r="G227" s="154">
        <f>VLOOKUP($A227,'BC.116+240'!$B$13:$X$489,9,0)/1000</f>
        <v>-0.54500000000000004</v>
      </c>
      <c r="H227" s="154">
        <f>VLOOKUP($A227,'BC.116+240'!$B$13:$X$489,14,0)/1000</f>
        <v>3.5750000000000002</v>
      </c>
      <c r="I227" s="154">
        <f>VLOOKUP($A227,'BC.116+240'!$B$13:$X$489,15,0)/1000</f>
        <v>-0.42499999999999999</v>
      </c>
      <c r="J227" s="154">
        <f>VLOOKUP($A227,'BC.116+240'!$B$13:$X$489,20,0)/1000</f>
        <v>3.7130000000000001</v>
      </c>
      <c r="K227" s="154">
        <f>VLOOKUP($A227,'BC.116+240'!$B$13:$X$489,21,0)/1000</f>
        <v>-0.28699999999999998</v>
      </c>
      <c r="L227" s="152">
        <f t="shared" si="9"/>
        <v>-585.00000000000011</v>
      </c>
      <c r="M227" s="153">
        <f t="shared" si="10"/>
        <v>-345</v>
      </c>
      <c r="N227" s="152">
        <f t="shared" si="11"/>
        <v>-257</v>
      </c>
      <c r="O227" s="152"/>
    </row>
    <row r="228" spans="1:15">
      <c r="A228" s="88">
        <f>'BC.116+240'!B227</f>
        <v>45495</v>
      </c>
      <c r="B228" s="152">
        <v>214</v>
      </c>
      <c r="C228" s="154">
        <f>'BC.116+240'!M227/1000</f>
        <v>3.0630000000000002</v>
      </c>
      <c r="D228" s="154">
        <f>'BC.116+240'!AA227</f>
        <v>3.3849999999999998</v>
      </c>
      <c r="E228" s="155">
        <f>'BC.116+240'!AB227</f>
        <v>2.7959999999999998</v>
      </c>
      <c r="F228" s="154">
        <f>VLOOKUP($A228,'BC.116+240'!$B$13:$X$489,8,0)/1000</f>
        <v>3.4529999999999998</v>
      </c>
      <c r="G228" s="154">
        <f>VLOOKUP($A228,'BC.116+240'!$B$13:$X$489,9,0)/1000</f>
        <v>-0.54700000000000004</v>
      </c>
      <c r="H228" s="154">
        <f>VLOOKUP($A228,'BC.116+240'!$B$13:$X$489,14,0)/1000</f>
        <v>3.573</v>
      </c>
      <c r="I228" s="154">
        <f>VLOOKUP($A228,'BC.116+240'!$B$13:$X$489,15,0)/1000</f>
        <v>-0.42699999999999999</v>
      </c>
      <c r="J228" s="154">
        <f>VLOOKUP($A228,'BC.116+240'!$B$13:$X$489,20,0)/1000</f>
        <v>3.7120000000000002</v>
      </c>
      <c r="K228" s="154">
        <f>VLOOKUP($A228,'BC.116+240'!$B$13:$X$489,21,0)/1000</f>
        <v>-0.28799999999999998</v>
      </c>
      <c r="L228" s="152">
        <f t="shared" si="9"/>
        <v>-587.00000000000011</v>
      </c>
      <c r="M228" s="153">
        <f t="shared" si="10"/>
        <v>-347</v>
      </c>
      <c r="N228" s="152">
        <f t="shared" si="11"/>
        <v>-258</v>
      </c>
      <c r="O228" s="152"/>
    </row>
    <row r="229" spans="1:15">
      <c r="A229" s="88">
        <f>'BC.116+240'!B228</f>
        <v>45496</v>
      </c>
      <c r="B229" s="152">
        <v>215</v>
      </c>
      <c r="C229" s="154">
        <f>'BC.116+240'!M228/1000</f>
        <v>3.3530000000000002</v>
      </c>
      <c r="D229" s="154">
        <f>'BC.116+240'!AA228</f>
        <v>3.6749999999999998</v>
      </c>
      <c r="E229" s="155">
        <f>'BC.116+240'!AB228</f>
        <v>3.0760000000000001</v>
      </c>
      <c r="F229" s="154">
        <f>VLOOKUP($A229,'BC.116+240'!$B$13:$X$489,8,0)/1000</f>
        <v>3.4430000000000001</v>
      </c>
      <c r="G229" s="154">
        <f>VLOOKUP($A229,'BC.116+240'!$B$13:$X$489,9,0)/1000</f>
        <v>-0.55700000000000005</v>
      </c>
      <c r="H229" s="154">
        <f>VLOOKUP($A229,'BC.116+240'!$B$13:$X$489,14,0)/1000</f>
        <v>3.5630000000000002</v>
      </c>
      <c r="I229" s="154">
        <f>VLOOKUP($A229,'BC.116+240'!$B$13:$X$489,15,0)/1000</f>
        <v>-0.437</v>
      </c>
      <c r="J229" s="154">
        <f>VLOOKUP($A229,'BC.116+240'!$B$13:$X$489,20,0)/1000</f>
        <v>3.702</v>
      </c>
      <c r="K229" s="154">
        <f>VLOOKUP($A229,'BC.116+240'!$B$13:$X$489,21,0)/1000</f>
        <v>-0.29799999999999999</v>
      </c>
      <c r="L229" s="152">
        <f t="shared" si="9"/>
        <v>-597.00000000000011</v>
      </c>
      <c r="M229" s="153">
        <f t="shared" si="10"/>
        <v>-357</v>
      </c>
      <c r="N229" s="152">
        <f t="shared" si="11"/>
        <v>-268</v>
      </c>
      <c r="O229" s="152"/>
    </row>
    <row r="230" spans="1:15">
      <c r="A230" s="88">
        <f>'BC.116+240'!B229</f>
        <v>45497</v>
      </c>
      <c r="B230" s="152">
        <v>216</v>
      </c>
      <c r="C230" s="154">
        <f>'BC.116+240'!M229/1000</f>
        <v>3.343</v>
      </c>
      <c r="D230" s="154">
        <f>'BC.116+240'!AA229</f>
        <v>3.6749999999999998</v>
      </c>
      <c r="E230" s="155">
        <f>'BC.116+240'!AB229</f>
        <v>3.056</v>
      </c>
      <c r="F230" s="154">
        <f>VLOOKUP($A230,'BC.116+240'!$B$13:$X$489,8,0)/1000</f>
        <v>3.4329999999999998</v>
      </c>
      <c r="G230" s="154">
        <f>VLOOKUP($A230,'BC.116+240'!$B$13:$X$489,9,0)/1000</f>
        <v>-0.56699999999999995</v>
      </c>
      <c r="H230" s="154">
        <f>VLOOKUP($A230,'BC.116+240'!$B$13:$X$489,14,0)/1000</f>
        <v>3.5529999999999999</v>
      </c>
      <c r="I230" s="154">
        <f>VLOOKUP($A230,'BC.116+240'!$B$13:$X$489,15,0)/1000</f>
        <v>-0.44700000000000001</v>
      </c>
      <c r="J230" s="154">
        <f>VLOOKUP($A230,'BC.116+240'!$B$13:$X$489,20,0)/1000</f>
        <v>3.6920000000000002</v>
      </c>
      <c r="K230" s="154">
        <f>VLOOKUP($A230,'BC.116+240'!$B$13:$X$489,21,0)/1000</f>
        <v>-0.308</v>
      </c>
      <c r="L230" s="152">
        <f t="shared" si="9"/>
        <v>-607</v>
      </c>
      <c r="M230" s="153">
        <f t="shared" si="10"/>
        <v>-367</v>
      </c>
      <c r="N230" s="152">
        <f t="shared" si="11"/>
        <v>-278</v>
      </c>
      <c r="O230" s="152"/>
    </row>
    <row r="231" spans="1:15">
      <c r="A231" s="88">
        <f>'BC.116+240'!B230</f>
        <v>45498</v>
      </c>
      <c r="B231" s="152">
        <v>217</v>
      </c>
      <c r="C231" s="154">
        <f>'BC.116+240'!M230/1000</f>
        <v>3.3330000000000002</v>
      </c>
      <c r="D231" s="154">
        <f>'BC.116+240'!AA230</f>
        <v>3.6749999999999998</v>
      </c>
      <c r="E231" s="155">
        <f>'BC.116+240'!AB230</f>
        <v>3.036</v>
      </c>
      <c r="F231" s="154">
        <f>VLOOKUP($A231,'BC.116+240'!$B$13:$X$489,8,0)/1000</f>
        <v>3.423</v>
      </c>
      <c r="G231" s="154">
        <f>VLOOKUP($A231,'BC.116+240'!$B$13:$X$489,9,0)/1000</f>
        <v>-0.57699999999999996</v>
      </c>
      <c r="H231" s="154">
        <f>VLOOKUP($A231,'BC.116+240'!$B$13:$X$489,14,0)/1000</f>
        <v>3.5430000000000001</v>
      </c>
      <c r="I231" s="154">
        <f>VLOOKUP($A231,'BC.116+240'!$B$13:$X$489,15,0)/1000</f>
        <v>-0.45700000000000002</v>
      </c>
      <c r="J231" s="154">
        <f>VLOOKUP($A231,'BC.116+240'!$B$13:$X$489,20,0)/1000</f>
        <v>3.6819999999999999</v>
      </c>
      <c r="K231" s="154">
        <f>VLOOKUP($A231,'BC.116+240'!$B$13:$X$489,21,0)/1000</f>
        <v>-0.318</v>
      </c>
      <c r="L231" s="152">
        <f t="shared" si="9"/>
        <v>-617</v>
      </c>
      <c r="M231" s="153">
        <f t="shared" si="10"/>
        <v>-377</v>
      </c>
      <c r="N231" s="152">
        <f t="shared" si="11"/>
        <v>-288.00000000000006</v>
      </c>
      <c r="O231" s="152"/>
    </row>
    <row r="232" spans="1:15">
      <c r="A232" s="88">
        <f>'BC.116+240'!B231</f>
        <v>45499</v>
      </c>
      <c r="B232" s="152">
        <v>218</v>
      </c>
      <c r="C232" s="154">
        <f>'BC.116+240'!M231/1000</f>
        <v>3.323</v>
      </c>
      <c r="D232" s="154">
        <f>'BC.116+240'!AA231</f>
        <v>3.6749999999999998</v>
      </c>
      <c r="E232" s="155">
        <f>'BC.116+240'!AB231</f>
        <v>3.016</v>
      </c>
      <c r="F232" s="154">
        <f>VLOOKUP($A232,'BC.116+240'!$B$13:$X$489,8,0)/1000</f>
        <v>3.4129999999999998</v>
      </c>
      <c r="G232" s="154">
        <f>VLOOKUP($A232,'BC.116+240'!$B$13:$X$489,9,0)/1000</f>
        <v>-0.58699999999999997</v>
      </c>
      <c r="H232" s="154">
        <f>VLOOKUP($A232,'BC.116+240'!$B$13:$X$489,14,0)/1000</f>
        <v>3.5329999999999999</v>
      </c>
      <c r="I232" s="154">
        <f>VLOOKUP($A232,'BC.116+240'!$B$13:$X$489,15,0)/1000</f>
        <v>-0.46700000000000003</v>
      </c>
      <c r="J232" s="154">
        <f>VLOOKUP($A232,'BC.116+240'!$B$13:$X$489,20,0)/1000</f>
        <v>3.6720000000000002</v>
      </c>
      <c r="K232" s="154">
        <f>VLOOKUP($A232,'BC.116+240'!$B$13:$X$489,21,0)/1000</f>
        <v>-0.32800000000000001</v>
      </c>
      <c r="L232" s="152">
        <f t="shared" si="9"/>
        <v>-627</v>
      </c>
      <c r="M232" s="153">
        <f t="shared" si="10"/>
        <v>-387</v>
      </c>
      <c r="N232" s="152">
        <f t="shared" si="11"/>
        <v>-298.00000000000006</v>
      </c>
      <c r="O232" s="152"/>
    </row>
    <row r="233" spans="1:15">
      <c r="A233" s="88">
        <f>'BC.116+240'!B232</f>
        <v>45500</v>
      </c>
      <c r="B233" s="152">
        <v>219</v>
      </c>
      <c r="C233" s="154">
        <f>'BC.116+240'!M232/1000</f>
        <v>3.3130000000000002</v>
      </c>
      <c r="D233" s="154">
        <f>'BC.116+240'!AA232</f>
        <v>3.6749999999999998</v>
      </c>
      <c r="E233" s="155">
        <f>'BC.116+240'!AB232</f>
        <v>2.996</v>
      </c>
      <c r="F233" s="154">
        <f>VLOOKUP($A233,'BC.116+240'!$B$13:$X$489,8,0)/1000</f>
        <v>3.403</v>
      </c>
      <c r="G233" s="154">
        <f>VLOOKUP($A233,'BC.116+240'!$B$13:$X$489,9,0)/1000</f>
        <v>-0.59699999999999998</v>
      </c>
      <c r="H233" s="154">
        <f>VLOOKUP($A233,'BC.116+240'!$B$13:$X$489,14,0)/1000</f>
        <v>3.5230000000000001</v>
      </c>
      <c r="I233" s="154">
        <f>VLOOKUP($A233,'BC.116+240'!$B$13:$X$489,15,0)/1000</f>
        <v>-0.47699999999999998</v>
      </c>
      <c r="J233" s="154">
        <f>VLOOKUP($A233,'BC.116+240'!$B$13:$X$489,20,0)/1000</f>
        <v>3.6619999999999999</v>
      </c>
      <c r="K233" s="154">
        <f>VLOOKUP($A233,'BC.116+240'!$B$13:$X$489,21,0)/1000</f>
        <v>-0.33800000000000002</v>
      </c>
      <c r="L233" s="152">
        <f t="shared" si="9"/>
        <v>-637</v>
      </c>
      <c r="M233" s="153">
        <f t="shared" si="10"/>
        <v>-396.99999999999994</v>
      </c>
      <c r="N233" s="152">
        <f t="shared" si="11"/>
        <v>-308.00000000000006</v>
      </c>
      <c r="O233" s="152"/>
    </row>
    <row r="234" spans="1:15">
      <c r="A234" s="88">
        <f>'BC.116+240'!B233</f>
        <v>45501</v>
      </c>
      <c r="B234" s="152">
        <v>220</v>
      </c>
      <c r="C234" s="154">
        <f>'BC.116+240'!M233/1000</f>
        <v>3.6030000000000002</v>
      </c>
      <c r="D234" s="154">
        <f>'BC.116+240'!AA233</f>
        <v>3.9649999999999999</v>
      </c>
      <c r="E234" s="155">
        <f>'BC.116+240'!AB233</f>
        <v>3.2759999999999998</v>
      </c>
      <c r="F234" s="154">
        <f>VLOOKUP($A234,'BC.116+240'!$B$13:$X$489,8,0)/1000</f>
        <v>3.3929999999999998</v>
      </c>
      <c r="G234" s="154">
        <f>VLOOKUP($A234,'BC.116+240'!$B$13:$X$489,9,0)/1000</f>
        <v>-0.60699999999999998</v>
      </c>
      <c r="H234" s="154">
        <f>VLOOKUP($A234,'BC.116+240'!$B$13:$X$489,14,0)/1000</f>
        <v>3.5129999999999999</v>
      </c>
      <c r="I234" s="154">
        <f>VLOOKUP($A234,'BC.116+240'!$B$13:$X$489,15,0)/1000</f>
        <v>-0.48699999999999999</v>
      </c>
      <c r="J234" s="154">
        <f>VLOOKUP($A234,'BC.116+240'!$B$13:$X$489,20,0)/1000</f>
        <v>3.6520000000000001</v>
      </c>
      <c r="K234" s="154">
        <f>VLOOKUP($A234,'BC.116+240'!$B$13:$X$489,21,0)/1000</f>
        <v>-0.34799999999999998</v>
      </c>
      <c r="L234" s="152">
        <f t="shared" si="9"/>
        <v>-647</v>
      </c>
      <c r="M234" s="153">
        <f t="shared" si="10"/>
        <v>-407</v>
      </c>
      <c r="N234" s="152">
        <f t="shared" si="11"/>
        <v>-317.99999999999994</v>
      </c>
      <c r="O234" s="152"/>
    </row>
    <row r="235" spans="1:15">
      <c r="A235" s="88">
        <f>'BC.116+240'!B234</f>
        <v>45502</v>
      </c>
      <c r="B235" s="152">
        <v>221</v>
      </c>
      <c r="C235" s="154">
        <f>'BC.116+240'!M234/1000</f>
        <v>3.593</v>
      </c>
      <c r="D235" s="154">
        <f>'BC.116+240'!AA234</f>
        <v>3.9649999999999999</v>
      </c>
      <c r="E235" s="155">
        <f>'BC.116+240'!AB234</f>
        <v>3.2559999999999998</v>
      </c>
      <c r="F235" s="154">
        <f>VLOOKUP($A235,'BC.116+240'!$B$13:$X$489,8,0)/1000</f>
        <v>3.383</v>
      </c>
      <c r="G235" s="154">
        <f>VLOOKUP($A235,'BC.116+240'!$B$13:$X$489,9,0)/1000</f>
        <v>-0.61699999999999999</v>
      </c>
      <c r="H235" s="154">
        <f>VLOOKUP($A235,'BC.116+240'!$B$13:$X$489,14,0)/1000</f>
        <v>3.5030000000000001</v>
      </c>
      <c r="I235" s="154">
        <f>VLOOKUP($A235,'BC.116+240'!$B$13:$X$489,15,0)/1000</f>
        <v>-0.497</v>
      </c>
      <c r="J235" s="154">
        <f>VLOOKUP($A235,'BC.116+240'!$B$13:$X$489,20,0)/1000</f>
        <v>3.6419999999999999</v>
      </c>
      <c r="K235" s="154">
        <f>VLOOKUP($A235,'BC.116+240'!$B$13:$X$489,21,0)/1000</f>
        <v>-0.35799999999999998</v>
      </c>
      <c r="L235" s="152">
        <f t="shared" si="9"/>
        <v>-657</v>
      </c>
      <c r="M235" s="153">
        <f t="shared" si="10"/>
        <v>-417</v>
      </c>
      <c r="N235" s="152">
        <f t="shared" si="11"/>
        <v>-327.99999999999994</v>
      </c>
      <c r="O235" s="152"/>
    </row>
    <row r="236" spans="1:15">
      <c r="A236" s="88">
        <f>'BC.116+240'!B235</f>
        <v>45503</v>
      </c>
      <c r="B236" s="152">
        <v>222</v>
      </c>
      <c r="C236" s="154">
        <f>'BC.116+240'!M235/1000</f>
        <v>3.5830000000000002</v>
      </c>
      <c r="D236" s="154">
        <f>'BC.116+240'!AA235</f>
        <v>3.9649999999999999</v>
      </c>
      <c r="E236" s="155">
        <f>'BC.116+240'!AB235</f>
        <v>3.2360000000000002</v>
      </c>
      <c r="F236" s="154">
        <f>VLOOKUP($A236,'BC.116+240'!$B$13:$X$489,8,0)/1000</f>
        <v>3.3730000000000002</v>
      </c>
      <c r="G236" s="154">
        <f>VLOOKUP($A236,'BC.116+240'!$B$13:$X$489,9,0)/1000</f>
        <v>-0.627</v>
      </c>
      <c r="H236" s="154">
        <f>VLOOKUP($A236,'BC.116+240'!$B$13:$X$489,14,0)/1000</f>
        <v>3.4929999999999999</v>
      </c>
      <c r="I236" s="154">
        <f>VLOOKUP($A236,'BC.116+240'!$B$13:$X$489,15,0)/1000</f>
        <v>-0.50700000000000001</v>
      </c>
      <c r="J236" s="154">
        <f>VLOOKUP($A236,'BC.116+240'!$B$13:$X$489,20,0)/1000</f>
        <v>3.6320000000000001</v>
      </c>
      <c r="K236" s="154">
        <f>VLOOKUP($A236,'BC.116+240'!$B$13:$X$489,21,0)/1000</f>
        <v>-0.36799999999999999</v>
      </c>
      <c r="L236" s="152">
        <f t="shared" si="9"/>
        <v>-667</v>
      </c>
      <c r="M236" s="153">
        <f t="shared" si="10"/>
        <v>-427</v>
      </c>
      <c r="N236" s="152">
        <f t="shared" si="11"/>
        <v>-337.99999999999994</v>
      </c>
      <c r="O236" s="152"/>
    </row>
    <row r="237" spans="1:15">
      <c r="A237" s="88">
        <f>'BC.116+240'!B236</f>
        <v>45504</v>
      </c>
      <c r="B237" s="152">
        <v>223</v>
      </c>
      <c r="C237" s="154">
        <f>'BC.116+240'!M236/1000</f>
        <v>3.573</v>
      </c>
      <c r="D237" s="154">
        <f>'BC.116+240'!AA236</f>
        <v>3.9649999999999999</v>
      </c>
      <c r="E237" s="155">
        <f>'BC.116+240'!AB236</f>
        <v>3.2160000000000002</v>
      </c>
      <c r="F237" s="154">
        <f>VLOOKUP($A237,'BC.116+240'!$B$13:$X$489,8,0)/1000</f>
        <v>3.363</v>
      </c>
      <c r="G237" s="154">
        <f>VLOOKUP($A237,'BC.116+240'!$B$13:$X$489,9,0)/1000</f>
        <v>-0.63700000000000001</v>
      </c>
      <c r="H237" s="154">
        <f>VLOOKUP($A237,'BC.116+240'!$B$13:$X$489,14,0)/1000</f>
        <v>3.4830000000000001</v>
      </c>
      <c r="I237" s="154">
        <f>VLOOKUP($A237,'BC.116+240'!$B$13:$X$489,15,0)/1000</f>
        <v>-0.51700000000000002</v>
      </c>
      <c r="J237" s="154">
        <f>VLOOKUP($A237,'BC.116+240'!$B$13:$X$489,20,0)/1000</f>
        <v>3.6219999999999999</v>
      </c>
      <c r="K237" s="154">
        <f>VLOOKUP($A237,'BC.116+240'!$B$13:$X$489,21,0)/1000</f>
        <v>-0.378</v>
      </c>
      <c r="L237" s="152">
        <f t="shared" si="9"/>
        <v>-677</v>
      </c>
      <c r="M237" s="153">
        <f t="shared" si="10"/>
        <v>-437</v>
      </c>
      <c r="N237" s="152">
        <f t="shared" si="11"/>
        <v>-348</v>
      </c>
      <c r="O237" s="152"/>
    </row>
    <row r="238" spans="1:15">
      <c r="A238" s="88">
        <f>'BC.116+240'!B237</f>
        <v>45505</v>
      </c>
      <c r="B238" s="152">
        <v>224</v>
      </c>
      <c r="C238" s="154">
        <f>'BC.116+240'!M237/1000</f>
        <v>3.5630000000000002</v>
      </c>
      <c r="D238" s="154">
        <f>'BC.116+240'!AA237</f>
        <v>3.9649999999999999</v>
      </c>
      <c r="E238" s="155">
        <f>'BC.116+240'!AB237</f>
        <v>3.1960000000000002</v>
      </c>
      <c r="F238" s="154">
        <f>VLOOKUP($A238,'BC.116+240'!$B$13:$X$489,8,0)/1000</f>
        <v>3.3530000000000002</v>
      </c>
      <c r="G238" s="154">
        <f>VLOOKUP($A238,'BC.116+240'!$B$13:$X$489,9,0)/1000</f>
        <v>-0.64700000000000002</v>
      </c>
      <c r="H238" s="154">
        <f>VLOOKUP($A238,'BC.116+240'!$B$13:$X$489,14,0)/1000</f>
        <v>3.4729999999999999</v>
      </c>
      <c r="I238" s="154">
        <f>VLOOKUP($A238,'BC.116+240'!$B$13:$X$489,15,0)/1000</f>
        <v>-0.52700000000000002</v>
      </c>
      <c r="J238" s="154">
        <f>VLOOKUP($A238,'BC.116+240'!$B$13:$X$489,20,0)/1000</f>
        <v>3.6120000000000001</v>
      </c>
      <c r="K238" s="154">
        <f>VLOOKUP($A238,'BC.116+240'!$B$13:$X$489,21,0)/1000</f>
        <v>-0.38800000000000001</v>
      </c>
      <c r="L238" s="152">
        <f t="shared" si="9"/>
        <v>-687</v>
      </c>
      <c r="M238" s="153">
        <f t="shared" si="10"/>
        <v>-447</v>
      </c>
      <c r="N238" s="152">
        <f t="shared" si="11"/>
        <v>-358</v>
      </c>
      <c r="O238" s="152"/>
    </row>
    <row r="239" spans="1:15">
      <c r="A239" s="88">
        <f>'BC.116+240'!B238</f>
        <v>45506</v>
      </c>
      <c r="B239" s="152">
        <v>225</v>
      </c>
      <c r="C239" s="154">
        <f>'BC.116+240'!M238/1000</f>
        <v>3.8530000000000002</v>
      </c>
      <c r="D239" s="154">
        <f>'BC.116+240'!AA238</f>
        <v>4.2549999999999999</v>
      </c>
      <c r="E239" s="155">
        <f>'BC.116+240'!AB238</f>
        <v>3.476</v>
      </c>
      <c r="F239" s="154">
        <f>VLOOKUP($A239,'BC.116+240'!$B$13:$X$489,8,0)/1000</f>
        <v>3.343</v>
      </c>
      <c r="G239" s="154">
        <f>VLOOKUP($A239,'BC.116+240'!$B$13:$X$489,9,0)/1000</f>
        <v>-0.65700000000000003</v>
      </c>
      <c r="H239" s="154">
        <f>VLOOKUP($A239,'BC.116+240'!$B$13:$X$489,14,0)/1000</f>
        <v>3.4630000000000001</v>
      </c>
      <c r="I239" s="154">
        <f>VLOOKUP($A239,'BC.116+240'!$B$13:$X$489,15,0)/1000</f>
        <v>-0.53700000000000003</v>
      </c>
      <c r="J239" s="154">
        <f>VLOOKUP($A239,'BC.116+240'!$B$13:$X$489,20,0)/1000</f>
        <v>3.6019999999999999</v>
      </c>
      <c r="K239" s="154">
        <f>VLOOKUP($A239,'BC.116+240'!$B$13:$X$489,21,0)/1000</f>
        <v>-0.39800000000000002</v>
      </c>
      <c r="L239" s="152">
        <f t="shared" si="9"/>
        <v>-697.00000000000011</v>
      </c>
      <c r="M239" s="153">
        <f t="shared" si="10"/>
        <v>-457</v>
      </c>
      <c r="N239" s="152">
        <f t="shared" si="11"/>
        <v>-368</v>
      </c>
      <c r="O239" s="152"/>
    </row>
    <row r="240" spans="1:15">
      <c r="A240" s="88">
        <f>'BC.116+240'!B239</f>
        <v>45507</v>
      </c>
      <c r="B240" s="152">
        <v>226</v>
      </c>
      <c r="C240" s="154">
        <f>'BC.116+240'!M239/1000</f>
        <v>3.843</v>
      </c>
      <c r="D240" s="154">
        <f>'BC.116+240'!AA239</f>
        <v>4.2549999999999999</v>
      </c>
      <c r="E240" s="155">
        <f>'BC.116+240'!AB239</f>
        <v>3.456</v>
      </c>
      <c r="F240" s="154">
        <f>VLOOKUP($A240,'BC.116+240'!$B$13:$X$489,8,0)/1000</f>
        <v>3.3330000000000002</v>
      </c>
      <c r="G240" s="154">
        <f>VLOOKUP($A240,'BC.116+240'!$B$13:$X$489,9,0)/1000</f>
        <v>-0.66700000000000004</v>
      </c>
      <c r="H240" s="154">
        <f>VLOOKUP($A240,'BC.116+240'!$B$13:$X$489,14,0)/1000</f>
        <v>3.4529999999999998</v>
      </c>
      <c r="I240" s="154">
        <f>VLOOKUP($A240,'BC.116+240'!$B$13:$X$489,15,0)/1000</f>
        <v>-0.54700000000000004</v>
      </c>
      <c r="J240" s="154">
        <f>VLOOKUP($A240,'BC.116+240'!$B$13:$X$489,20,0)/1000</f>
        <v>3.5920000000000001</v>
      </c>
      <c r="K240" s="154">
        <f>VLOOKUP($A240,'BC.116+240'!$B$13:$X$489,21,0)/1000</f>
        <v>-0.40799999999999997</v>
      </c>
      <c r="L240" s="152">
        <f t="shared" si="9"/>
        <v>-707.00000000000011</v>
      </c>
      <c r="M240" s="153">
        <f t="shared" si="10"/>
        <v>-467</v>
      </c>
      <c r="N240" s="152">
        <f t="shared" si="11"/>
        <v>-378</v>
      </c>
      <c r="O240" s="152"/>
    </row>
    <row r="241" spans="1:15">
      <c r="A241" s="88">
        <f>'BC.116+240'!B240</f>
        <v>45508</v>
      </c>
      <c r="B241" s="152">
        <v>227</v>
      </c>
      <c r="C241" s="154">
        <f>'BC.116+240'!M240/1000</f>
        <v>3.8330000000000002</v>
      </c>
      <c r="D241" s="154">
        <f>'BC.116+240'!AA240</f>
        <v>4.2549999999999999</v>
      </c>
      <c r="E241" s="155">
        <f>'BC.116+240'!AB240</f>
        <v>3.4359999999999999</v>
      </c>
      <c r="F241" s="154">
        <f>VLOOKUP($A241,'BC.116+240'!$B$13:$X$489,8,0)/1000</f>
        <v>3.323</v>
      </c>
      <c r="G241" s="154">
        <f>VLOOKUP($A241,'BC.116+240'!$B$13:$X$489,9,0)/1000</f>
        <v>-0.67700000000000005</v>
      </c>
      <c r="H241" s="154">
        <f>VLOOKUP($A241,'BC.116+240'!$B$13:$X$489,14,0)/1000</f>
        <v>3.4430000000000001</v>
      </c>
      <c r="I241" s="154">
        <f>VLOOKUP($A241,'BC.116+240'!$B$13:$X$489,15,0)/1000</f>
        <v>-0.55700000000000005</v>
      </c>
      <c r="J241" s="154">
        <f>VLOOKUP($A241,'BC.116+240'!$B$13:$X$489,20,0)/1000</f>
        <v>3.5819999999999999</v>
      </c>
      <c r="K241" s="154">
        <f>VLOOKUP($A241,'BC.116+240'!$B$13:$X$489,21,0)/1000</f>
        <v>-0.41799999999999998</v>
      </c>
      <c r="L241" s="152">
        <f t="shared" si="9"/>
        <v>-717.00000000000011</v>
      </c>
      <c r="M241" s="153">
        <f t="shared" si="10"/>
        <v>-477.00000000000006</v>
      </c>
      <c r="N241" s="152">
        <f t="shared" si="11"/>
        <v>-388</v>
      </c>
      <c r="O241" s="152"/>
    </row>
    <row r="242" spans="1:15">
      <c r="A242" s="88">
        <f>'BC.116+240'!B241</f>
        <v>45509</v>
      </c>
      <c r="B242" s="152">
        <v>228</v>
      </c>
      <c r="C242" s="154">
        <f>'BC.116+240'!M241/1000</f>
        <v>3.823</v>
      </c>
      <c r="D242" s="154">
        <f>'BC.116+240'!AA241</f>
        <v>4.2549999999999999</v>
      </c>
      <c r="E242" s="155">
        <f>'BC.116+240'!AB241</f>
        <v>3.4159999999999999</v>
      </c>
      <c r="F242" s="154">
        <f>VLOOKUP($A242,'BC.116+240'!$B$13:$X$489,8,0)/1000</f>
        <v>3.3130000000000002</v>
      </c>
      <c r="G242" s="154">
        <f>VLOOKUP($A242,'BC.116+240'!$B$13:$X$489,9,0)/1000</f>
        <v>-0.68700000000000006</v>
      </c>
      <c r="H242" s="154">
        <f>VLOOKUP($A242,'BC.116+240'!$B$13:$X$489,14,0)/1000</f>
        <v>3.4329999999999998</v>
      </c>
      <c r="I242" s="154">
        <f>VLOOKUP($A242,'BC.116+240'!$B$13:$X$489,15,0)/1000</f>
        <v>-0.56699999999999995</v>
      </c>
      <c r="J242" s="154">
        <f>VLOOKUP($A242,'BC.116+240'!$B$13:$X$489,20,0)/1000</f>
        <v>3.5720000000000001</v>
      </c>
      <c r="K242" s="154">
        <f>VLOOKUP($A242,'BC.116+240'!$B$13:$X$489,21,0)/1000</f>
        <v>-0.42799999999999999</v>
      </c>
      <c r="L242" s="152">
        <f t="shared" si="9"/>
        <v>-727.00000000000011</v>
      </c>
      <c r="M242" s="153">
        <f t="shared" si="10"/>
        <v>-486.99999999999994</v>
      </c>
      <c r="N242" s="152">
        <f t="shared" si="11"/>
        <v>-398</v>
      </c>
      <c r="O242" s="152"/>
    </row>
    <row r="243" spans="1:15">
      <c r="A243" s="88">
        <f>'BC.116+240'!B242</f>
        <v>45510</v>
      </c>
      <c r="B243" s="152">
        <v>229</v>
      </c>
      <c r="C243" s="154">
        <f>'BC.116+240'!M242/1000</f>
        <v>3.8130000000000002</v>
      </c>
      <c r="D243" s="154">
        <f>'BC.116+240'!AA242</f>
        <v>4.2549999999999999</v>
      </c>
      <c r="E243" s="155">
        <f>'BC.116+240'!AB242</f>
        <v>3.3959999999999999</v>
      </c>
      <c r="F243" s="154">
        <f>VLOOKUP($A243,'BC.116+240'!$B$13:$X$489,8,0)/1000</f>
        <v>3.3029999999999999</v>
      </c>
      <c r="G243" s="154">
        <f>VLOOKUP($A243,'BC.116+240'!$B$13:$X$489,9,0)/1000</f>
        <v>-0.69699999999999995</v>
      </c>
      <c r="H243" s="154">
        <f>VLOOKUP($A243,'BC.116+240'!$B$13:$X$489,14,0)/1000</f>
        <v>3.423</v>
      </c>
      <c r="I243" s="154">
        <f>VLOOKUP($A243,'BC.116+240'!$B$13:$X$489,15,0)/1000</f>
        <v>-0.57699999999999996</v>
      </c>
      <c r="J243" s="154">
        <f>VLOOKUP($A243,'BC.116+240'!$B$13:$X$489,20,0)/1000</f>
        <v>3.5619999999999998</v>
      </c>
      <c r="K243" s="154">
        <f>VLOOKUP($A243,'BC.116+240'!$B$13:$X$489,21,0)/1000</f>
        <v>-0.438</v>
      </c>
      <c r="L243" s="152">
        <f t="shared" si="9"/>
        <v>-737</v>
      </c>
      <c r="M243" s="153">
        <f t="shared" si="10"/>
        <v>-496.99999999999994</v>
      </c>
      <c r="N243" s="152">
        <f t="shared" si="11"/>
        <v>-408.00000000000006</v>
      </c>
      <c r="O243" s="152"/>
    </row>
    <row r="244" spans="1:15">
      <c r="A244" s="88">
        <f>'BC.116+240'!B243</f>
        <v>45511</v>
      </c>
      <c r="B244" s="152">
        <v>230</v>
      </c>
      <c r="C244" s="154">
        <f>'BC.116+240'!M243/1000</f>
        <v>3.8029999999999999</v>
      </c>
      <c r="D244" s="154">
        <f>'BC.116+240'!AA243</f>
        <v>4.2549999999999999</v>
      </c>
      <c r="E244" s="155">
        <f>'BC.116+240'!AB243</f>
        <v>3.3759999999999999</v>
      </c>
      <c r="F244" s="154">
        <f>VLOOKUP($A244,'BC.116+240'!$B$13:$X$489,8,0)/1000</f>
        <v>3.2930000000000001</v>
      </c>
      <c r="G244" s="154">
        <f>VLOOKUP($A244,'BC.116+240'!$B$13:$X$489,9,0)/1000</f>
        <v>-0.70699999999999996</v>
      </c>
      <c r="H244" s="154">
        <f>VLOOKUP($A244,'BC.116+240'!$B$13:$X$489,14,0)/1000</f>
        <v>3.4129999999999998</v>
      </c>
      <c r="I244" s="154">
        <f>VLOOKUP($A244,'BC.116+240'!$B$13:$X$489,15,0)/1000</f>
        <v>-0.58699999999999997</v>
      </c>
      <c r="J244" s="154">
        <f>VLOOKUP($A244,'BC.116+240'!$B$13:$X$489,20,0)/1000</f>
        <v>3.552</v>
      </c>
      <c r="K244" s="154">
        <f>VLOOKUP($A244,'BC.116+240'!$B$13:$X$489,21,0)/1000</f>
        <v>-0.44800000000000001</v>
      </c>
      <c r="L244" s="152">
        <f t="shared" si="9"/>
        <v>-747</v>
      </c>
      <c r="M244" s="153">
        <f t="shared" si="10"/>
        <v>-507</v>
      </c>
      <c r="N244" s="152">
        <f t="shared" si="11"/>
        <v>-418.00000000000006</v>
      </c>
      <c r="O244" s="152"/>
    </row>
    <row r="245" spans="1:15">
      <c r="A245" s="88">
        <f>'BC.116+240'!B244</f>
        <v>45512</v>
      </c>
      <c r="B245" s="152">
        <f t="shared" ref="B245:B308" si="12">+B244+1</f>
        <v>231</v>
      </c>
      <c r="C245" s="154">
        <f>'BC.116+240'!M244/1000</f>
        <v>3.7930000000000001</v>
      </c>
      <c r="D245" s="154">
        <f>'BC.116+240'!AA244</f>
        <v>4.2549999999999999</v>
      </c>
      <c r="E245" s="155">
        <f>'BC.116+240'!AB244</f>
        <v>3.3559999999999999</v>
      </c>
      <c r="F245" s="154">
        <f>VLOOKUP($A245,'BC.116+240'!$B$13:$X$489,8,0)/1000</f>
        <v>3.2829999999999999</v>
      </c>
      <c r="G245" s="154">
        <f>VLOOKUP($A245,'BC.116+240'!$B$13:$X$489,9,0)/1000</f>
        <v>-0.71699999999999997</v>
      </c>
      <c r="H245" s="154">
        <f>VLOOKUP($A245,'BC.116+240'!$B$13:$X$489,14,0)/1000</f>
        <v>3.403</v>
      </c>
      <c r="I245" s="154">
        <f>VLOOKUP($A245,'BC.116+240'!$B$13:$X$489,15,0)/1000</f>
        <v>-0.59699999999999998</v>
      </c>
      <c r="J245" s="154">
        <f>VLOOKUP($A245,'BC.116+240'!$B$13:$X$489,20,0)/1000</f>
        <v>3.5419999999999998</v>
      </c>
      <c r="K245" s="154">
        <f>VLOOKUP($A245,'BC.116+240'!$B$13:$X$489,21,0)/1000</f>
        <v>-0.45800000000000002</v>
      </c>
      <c r="L245" s="152">
        <f t="shared" si="9"/>
        <v>-757</v>
      </c>
      <c r="M245" s="153">
        <f t="shared" si="10"/>
        <v>-517</v>
      </c>
      <c r="N245" s="152">
        <f t="shared" si="11"/>
        <v>-428.00000000000006</v>
      </c>
      <c r="O245" s="152"/>
    </row>
    <row r="246" spans="1:15">
      <c r="A246" s="88">
        <f>'BC.116+240'!B245</f>
        <v>45513</v>
      </c>
      <c r="B246" s="152">
        <f t="shared" si="12"/>
        <v>232</v>
      </c>
      <c r="C246" s="154">
        <f>'BC.116+240'!M245/1000</f>
        <v>3.7829999999999999</v>
      </c>
      <c r="D246" s="154">
        <f>'BC.116+240'!AA245</f>
        <v>4.2549999999999999</v>
      </c>
      <c r="E246" s="155">
        <f>'BC.116+240'!AB245</f>
        <v>3.3359999999999999</v>
      </c>
      <c r="F246" s="154">
        <f>VLOOKUP($A246,'BC.116+240'!$B$13:$X$489,8,0)/1000</f>
        <v>3.2730000000000001</v>
      </c>
      <c r="G246" s="154">
        <f>VLOOKUP($A246,'BC.116+240'!$B$13:$X$489,9,0)/1000</f>
        <v>-0.72699999999999998</v>
      </c>
      <c r="H246" s="154">
        <f>VLOOKUP($A246,'BC.116+240'!$B$13:$X$489,14,0)/1000</f>
        <v>3.3929999999999998</v>
      </c>
      <c r="I246" s="154">
        <f>VLOOKUP($A246,'BC.116+240'!$B$13:$X$489,15,0)/1000</f>
        <v>-0.60699999999999998</v>
      </c>
      <c r="J246" s="154">
        <f>VLOOKUP($A246,'BC.116+240'!$B$13:$X$489,20,0)/1000</f>
        <v>3.532</v>
      </c>
      <c r="K246" s="154">
        <f>VLOOKUP($A246,'BC.116+240'!$B$13:$X$489,21,0)/1000</f>
        <v>-0.46800000000000003</v>
      </c>
      <c r="L246" s="152">
        <f t="shared" si="9"/>
        <v>-767</v>
      </c>
      <c r="M246" s="153">
        <f t="shared" si="10"/>
        <v>-527</v>
      </c>
      <c r="N246" s="152">
        <f t="shared" si="11"/>
        <v>-438.00000000000006</v>
      </c>
      <c r="O246" s="152"/>
    </row>
    <row r="247" spans="1:15">
      <c r="A247" s="88">
        <f>'BC.116+240'!B246</f>
        <v>45514</v>
      </c>
      <c r="B247" s="152">
        <f t="shared" si="12"/>
        <v>233</v>
      </c>
      <c r="C247" s="154">
        <f>'BC.116+240'!M246/1000</f>
        <v>3.7730000000000001</v>
      </c>
      <c r="D247" s="154">
        <f>'BC.116+240'!AA246</f>
        <v>4.2549999999999999</v>
      </c>
      <c r="E247" s="155">
        <f>'BC.116+240'!AB246</f>
        <v>3.3159999999999998</v>
      </c>
      <c r="F247" s="154">
        <f>VLOOKUP($A247,'BC.116+240'!$B$13:$X$489,8,0)/1000</f>
        <v>3.2629999999999999</v>
      </c>
      <c r="G247" s="154">
        <f>VLOOKUP($A247,'BC.116+240'!$B$13:$X$489,9,0)/1000</f>
        <v>-0.73699999999999999</v>
      </c>
      <c r="H247" s="154">
        <f>VLOOKUP($A247,'BC.116+240'!$B$13:$X$489,14,0)/1000</f>
        <v>3.383</v>
      </c>
      <c r="I247" s="154">
        <f>VLOOKUP($A247,'BC.116+240'!$B$13:$X$489,15,0)/1000</f>
        <v>-0.61699999999999999</v>
      </c>
      <c r="J247" s="154">
        <f>VLOOKUP($A247,'BC.116+240'!$B$13:$X$489,20,0)/1000</f>
        <v>3.5219999999999998</v>
      </c>
      <c r="K247" s="154">
        <f>VLOOKUP($A247,'BC.116+240'!$B$13:$X$489,21,0)/1000</f>
        <v>-0.47799999999999998</v>
      </c>
      <c r="L247" s="152">
        <f t="shared" si="9"/>
        <v>-777</v>
      </c>
      <c r="M247" s="153">
        <f t="shared" si="10"/>
        <v>-537</v>
      </c>
      <c r="N247" s="152">
        <f t="shared" si="11"/>
        <v>-447.99999999999994</v>
      </c>
      <c r="O247" s="152"/>
    </row>
    <row r="248" spans="1:15">
      <c r="A248" s="88">
        <f>'BC.116+240'!B247</f>
        <v>45515</v>
      </c>
      <c r="B248" s="152">
        <f t="shared" si="12"/>
        <v>234</v>
      </c>
      <c r="C248" s="154">
        <f>'BC.116+240'!M247/1000</f>
        <v>3.7629999999999999</v>
      </c>
      <c r="D248" s="154">
        <f>'BC.116+240'!AA247</f>
        <v>4.2549999999999999</v>
      </c>
      <c r="E248" s="155">
        <f>'BC.116+240'!AB247</f>
        <v>3.2959999999999998</v>
      </c>
      <c r="F248" s="154">
        <f>VLOOKUP($A248,'BC.116+240'!$B$13:$X$489,8,0)/1000</f>
        <v>3.2530000000000001</v>
      </c>
      <c r="G248" s="154">
        <f>VLOOKUP($A248,'BC.116+240'!$B$13:$X$489,9,0)/1000</f>
        <v>-0.747</v>
      </c>
      <c r="H248" s="154">
        <f>VLOOKUP($A248,'BC.116+240'!$B$13:$X$489,14,0)/1000</f>
        <v>3.3730000000000002</v>
      </c>
      <c r="I248" s="154">
        <f>VLOOKUP($A248,'BC.116+240'!$B$13:$X$489,15,0)/1000</f>
        <v>-0.627</v>
      </c>
      <c r="J248" s="154">
        <f>VLOOKUP($A248,'BC.116+240'!$B$13:$X$489,20,0)/1000</f>
        <v>3.512</v>
      </c>
      <c r="K248" s="154">
        <f>VLOOKUP($A248,'BC.116+240'!$B$13:$X$489,21,0)/1000</f>
        <v>-0.48799999999999999</v>
      </c>
      <c r="L248" s="152">
        <f t="shared" si="9"/>
        <v>-787</v>
      </c>
      <c r="M248" s="153">
        <f t="shared" si="10"/>
        <v>-547</v>
      </c>
      <c r="N248" s="152">
        <f t="shared" si="11"/>
        <v>-457.99999999999994</v>
      </c>
      <c r="O248" s="152"/>
    </row>
    <row r="249" spans="1:15">
      <c r="A249" s="88">
        <f>'BC.116+240'!B248</f>
        <v>45516</v>
      </c>
      <c r="B249" s="152">
        <f t="shared" si="12"/>
        <v>235</v>
      </c>
      <c r="C249" s="154">
        <f>'BC.116+240'!M248/1000</f>
        <v>3.7530000000000001</v>
      </c>
      <c r="D249" s="154">
        <f>'BC.116+240'!AA248</f>
        <v>4.2549999999999999</v>
      </c>
      <c r="E249" s="155">
        <f>'BC.116+240'!AB248</f>
        <v>3.2759999999999998</v>
      </c>
      <c r="F249" s="154">
        <f>VLOOKUP($A249,'BC.116+240'!$B$13:$X$489,8,0)/1000</f>
        <v>3.2429999999999999</v>
      </c>
      <c r="G249" s="154">
        <f>VLOOKUP($A249,'BC.116+240'!$B$13:$X$489,9,0)/1000</f>
        <v>-0.75700000000000001</v>
      </c>
      <c r="H249" s="154">
        <f>VLOOKUP($A249,'BC.116+240'!$B$13:$X$489,14,0)/1000</f>
        <v>3.363</v>
      </c>
      <c r="I249" s="154">
        <f>VLOOKUP($A249,'BC.116+240'!$B$13:$X$489,15,0)/1000</f>
        <v>-0.63700000000000001</v>
      </c>
      <c r="J249" s="154">
        <f>VLOOKUP($A249,'BC.116+240'!$B$13:$X$489,20,0)/1000</f>
        <v>3.5019999999999998</v>
      </c>
      <c r="K249" s="154">
        <f>VLOOKUP($A249,'BC.116+240'!$B$13:$X$489,21,0)/1000</f>
        <v>-0.498</v>
      </c>
      <c r="L249" s="152">
        <f t="shared" si="9"/>
        <v>-797</v>
      </c>
      <c r="M249" s="153">
        <f t="shared" si="10"/>
        <v>-557</v>
      </c>
      <c r="N249" s="152">
        <f t="shared" si="11"/>
        <v>-468</v>
      </c>
      <c r="O249" s="152"/>
    </row>
    <row r="250" spans="1:15">
      <c r="A250" s="88">
        <f>'BC.116+240'!B249</f>
        <v>45517</v>
      </c>
      <c r="B250" s="152">
        <f t="shared" si="12"/>
        <v>236</v>
      </c>
      <c r="C250" s="154">
        <f>'BC.116+240'!M249/1000</f>
        <v>3.7429999999999999</v>
      </c>
      <c r="D250" s="154">
        <f>'BC.116+240'!AA249</f>
        <v>4.2549999999999999</v>
      </c>
      <c r="E250" s="155">
        <f>'BC.116+240'!AB249</f>
        <v>3.2559999999999998</v>
      </c>
      <c r="F250" s="154">
        <f>VLOOKUP($A250,'BC.116+240'!$B$13:$X$489,8,0)/1000</f>
        <v>3.2330000000000001</v>
      </c>
      <c r="G250" s="154">
        <f>VLOOKUP($A250,'BC.116+240'!$B$13:$X$489,9,0)/1000</f>
        <v>-0.76700000000000002</v>
      </c>
      <c r="H250" s="154">
        <f>VLOOKUP($A250,'BC.116+240'!$B$13:$X$489,14,0)/1000</f>
        <v>3.3530000000000002</v>
      </c>
      <c r="I250" s="154">
        <f>VLOOKUP($A250,'BC.116+240'!$B$13:$X$489,15,0)/1000</f>
        <v>-0.64700000000000002</v>
      </c>
      <c r="J250" s="154">
        <f>VLOOKUP($A250,'BC.116+240'!$B$13:$X$489,20,0)/1000</f>
        <v>3.492</v>
      </c>
      <c r="K250" s="154">
        <f>VLOOKUP($A250,'BC.116+240'!$B$13:$X$489,21,0)/1000</f>
        <v>-0.50800000000000001</v>
      </c>
      <c r="L250" s="152">
        <f t="shared" si="9"/>
        <v>-807</v>
      </c>
      <c r="M250" s="153">
        <f t="shared" si="10"/>
        <v>-567.00000000000011</v>
      </c>
      <c r="N250" s="152">
        <f t="shared" si="11"/>
        <v>-478</v>
      </c>
      <c r="O250" s="152"/>
    </row>
    <row r="251" spans="1:15">
      <c r="A251" s="88">
        <f>'BC.116+240'!B250</f>
        <v>45518</v>
      </c>
      <c r="B251" s="152">
        <f t="shared" si="12"/>
        <v>237</v>
      </c>
      <c r="C251" s="154">
        <f>'BC.116+240'!M250/1000</f>
        <v>3.7330000000000001</v>
      </c>
      <c r="D251" s="154">
        <f>'BC.116+240'!AA250</f>
        <v>4.2549999999999999</v>
      </c>
      <c r="E251" s="155">
        <f>'BC.116+240'!AB250</f>
        <v>3.2360000000000002</v>
      </c>
      <c r="F251" s="154">
        <f>VLOOKUP($A251,'BC.116+240'!$B$13:$X$489,8,0)/1000</f>
        <v>3.2229999999999999</v>
      </c>
      <c r="G251" s="154">
        <f>VLOOKUP($A251,'BC.116+240'!$B$13:$X$489,9,0)/1000</f>
        <v>-0.77700000000000002</v>
      </c>
      <c r="H251" s="154">
        <f>VLOOKUP($A251,'BC.116+240'!$B$13:$X$489,14,0)/1000</f>
        <v>3.343</v>
      </c>
      <c r="I251" s="154">
        <f>VLOOKUP($A251,'BC.116+240'!$B$13:$X$489,15,0)/1000</f>
        <v>-0.65700000000000003</v>
      </c>
      <c r="J251" s="154">
        <f>VLOOKUP($A251,'BC.116+240'!$B$13:$X$489,20,0)/1000</f>
        <v>3.4820000000000002</v>
      </c>
      <c r="K251" s="154">
        <f>VLOOKUP($A251,'BC.116+240'!$B$13:$X$489,21,0)/1000</f>
        <v>-0.51800000000000002</v>
      </c>
      <c r="L251" s="152">
        <f t="shared" si="9"/>
        <v>-817.00000000000011</v>
      </c>
      <c r="M251" s="153">
        <f t="shared" si="10"/>
        <v>-577.00000000000011</v>
      </c>
      <c r="N251" s="152">
        <f t="shared" si="11"/>
        <v>-488</v>
      </c>
      <c r="O251" s="152"/>
    </row>
    <row r="252" spans="1:15">
      <c r="A252" s="88">
        <f>'BC.116+240'!B251</f>
        <v>45519</v>
      </c>
      <c r="B252" s="152">
        <f t="shared" si="12"/>
        <v>238</v>
      </c>
      <c r="C252" s="154">
        <f>'BC.116+240'!M251/1000</f>
        <v>3.7229999999999999</v>
      </c>
      <c r="D252" s="154">
        <f>'BC.116+240'!AA251</f>
        <v>4.2549999999999999</v>
      </c>
      <c r="E252" s="155">
        <f>'BC.116+240'!AB251</f>
        <v>3.2160000000000002</v>
      </c>
      <c r="F252" s="154">
        <f>VLOOKUP($A252,'BC.116+240'!$B$13:$X$489,8,0)/1000</f>
        <v>3.2130000000000001</v>
      </c>
      <c r="G252" s="154">
        <f>VLOOKUP($A252,'BC.116+240'!$B$13:$X$489,9,0)/1000</f>
        <v>-0.78700000000000003</v>
      </c>
      <c r="H252" s="154">
        <f>VLOOKUP($A252,'BC.116+240'!$B$13:$X$489,14,0)/1000</f>
        <v>3.3330000000000002</v>
      </c>
      <c r="I252" s="154">
        <f>VLOOKUP($A252,'BC.116+240'!$B$13:$X$489,15,0)/1000</f>
        <v>-0.66700000000000004</v>
      </c>
      <c r="J252" s="154">
        <f>VLOOKUP($A252,'BC.116+240'!$B$13:$X$489,20,0)/1000</f>
        <v>3.472</v>
      </c>
      <c r="K252" s="154">
        <f>VLOOKUP($A252,'BC.116+240'!$B$13:$X$489,21,0)/1000</f>
        <v>-0.52800000000000002</v>
      </c>
      <c r="L252" s="152">
        <f t="shared" si="9"/>
        <v>-827.00000000000011</v>
      </c>
      <c r="M252" s="153">
        <f t="shared" si="10"/>
        <v>-587.00000000000011</v>
      </c>
      <c r="N252" s="152">
        <f t="shared" si="11"/>
        <v>-498</v>
      </c>
      <c r="O252" s="152"/>
    </row>
    <row r="253" spans="1:15">
      <c r="A253" s="88">
        <f>'BC.116+240'!B252</f>
        <v>45520</v>
      </c>
      <c r="B253" s="152">
        <f t="shared" si="12"/>
        <v>239</v>
      </c>
      <c r="C253" s="154">
        <f>'BC.116+240'!M252/1000</f>
        <v>3.7130000000000001</v>
      </c>
      <c r="D253" s="154">
        <f>'BC.116+240'!AA252</f>
        <v>4.2549999999999999</v>
      </c>
      <c r="E253" s="155">
        <f>'BC.116+240'!AB252</f>
        <v>3.1960000000000002</v>
      </c>
      <c r="F253" s="154">
        <f>VLOOKUP($A253,'BC.116+240'!$B$13:$X$489,8,0)/1000</f>
        <v>3.2029999999999998</v>
      </c>
      <c r="G253" s="154">
        <f>VLOOKUP($A253,'BC.116+240'!$B$13:$X$489,9,0)/1000</f>
        <v>-0.79700000000000004</v>
      </c>
      <c r="H253" s="154">
        <f>VLOOKUP($A253,'BC.116+240'!$B$13:$X$489,14,0)/1000</f>
        <v>3.323</v>
      </c>
      <c r="I253" s="154">
        <f>VLOOKUP($A253,'BC.116+240'!$B$13:$X$489,15,0)/1000</f>
        <v>-0.67700000000000005</v>
      </c>
      <c r="J253" s="154">
        <f>VLOOKUP($A253,'BC.116+240'!$B$13:$X$489,20,0)/1000</f>
        <v>3.4620000000000002</v>
      </c>
      <c r="K253" s="154">
        <f>VLOOKUP($A253,'BC.116+240'!$B$13:$X$489,21,0)/1000</f>
        <v>-0.53800000000000003</v>
      </c>
      <c r="L253" s="152">
        <f t="shared" si="9"/>
        <v>-837.00000000000011</v>
      </c>
      <c r="M253" s="153">
        <f t="shared" si="10"/>
        <v>-597.00000000000011</v>
      </c>
      <c r="N253" s="152">
        <f t="shared" si="11"/>
        <v>-508</v>
      </c>
      <c r="O253" s="152"/>
    </row>
    <row r="254" spans="1:15">
      <c r="A254" s="88">
        <f>'BC.116+240'!B253</f>
        <v>45521</v>
      </c>
      <c r="B254" s="152">
        <f t="shared" si="12"/>
        <v>240</v>
      </c>
      <c r="C254" s="154">
        <f>'BC.116+240'!M253/1000</f>
        <v>3.7029999999999998</v>
      </c>
      <c r="D254" s="154">
        <f>'BC.116+240'!AA253</f>
        <v>4.2549999999999999</v>
      </c>
      <c r="E254" s="155">
        <f>'BC.116+240'!AB253</f>
        <v>3.1760000000000002</v>
      </c>
      <c r="F254" s="154">
        <f>VLOOKUP($A254,'BC.116+240'!$B$13:$X$489,8,0)/1000</f>
        <v>3.1930000000000001</v>
      </c>
      <c r="G254" s="154">
        <f>VLOOKUP($A254,'BC.116+240'!$B$13:$X$489,9,0)/1000</f>
        <v>-0.80700000000000005</v>
      </c>
      <c r="H254" s="154">
        <f>VLOOKUP($A254,'BC.116+240'!$B$13:$X$489,14,0)/1000</f>
        <v>3.3130000000000002</v>
      </c>
      <c r="I254" s="154">
        <f>VLOOKUP($A254,'BC.116+240'!$B$13:$X$489,15,0)/1000</f>
        <v>-0.68700000000000006</v>
      </c>
      <c r="J254" s="154">
        <f>VLOOKUP($A254,'BC.116+240'!$B$13:$X$489,20,0)/1000</f>
        <v>3.452</v>
      </c>
      <c r="K254" s="154">
        <f>VLOOKUP($A254,'BC.116+240'!$B$13:$X$489,21,0)/1000</f>
        <v>-0.54800000000000004</v>
      </c>
      <c r="L254" s="152">
        <f t="shared" si="9"/>
        <v>-847.00000000000011</v>
      </c>
      <c r="M254" s="153">
        <f t="shared" si="10"/>
        <v>-607.00000000000011</v>
      </c>
      <c r="N254" s="152">
        <f t="shared" si="11"/>
        <v>-518</v>
      </c>
      <c r="O254" s="152"/>
    </row>
    <row r="255" spans="1:15">
      <c r="A255" s="88">
        <f>'BC.116+240'!B254</f>
        <v>45522</v>
      </c>
      <c r="B255" s="152">
        <f t="shared" si="12"/>
        <v>241</v>
      </c>
      <c r="C255" s="154">
        <f>'BC.116+240'!M254/1000</f>
        <v>3.6930000000000001</v>
      </c>
      <c r="D255" s="154">
        <f>'BC.116+240'!AA254</f>
        <v>4.2549999999999999</v>
      </c>
      <c r="E255" s="155">
        <f>'BC.116+240'!AB254</f>
        <v>3.1560000000000001</v>
      </c>
      <c r="F255" s="154">
        <f>VLOOKUP($A255,'BC.116+240'!$B$13:$X$489,8,0)/1000</f>
        <v>3.1829999999999998</v>
      </c>
      <c r="G255" s="154">
        <f>VLOOKUP($A255,'BC.116+240'!$B$13:$X$489,9,0)/1000</f>
        <v>-0.81699999999999995</v>
      </c>
      <c r="H255" s="154">
        <f>VLOOKUP($A255,'BC.116+240'!$B$13:$X$489,14,0)/1000</f>
        <v>3.3029999999999999</v>
      </c>
      <c r="I255" s="154">
        <f>VLOOKUP($A255,'BC.116+240'!$B$13:$X$489,15,0)/1000</f>
        <v>-0.69699999999999995</v>
      </c>
      <c r="J255" s="154">
        <f>VLOOKUP($A255,'BC.116+240'!$B$13:$X$489,20,0)/1000</f>
        <v>3.4420000000000002</v>
      </c>
      <c r="K255" s="154">
        <f>VLOOKUP($A255,'BC.116+240'!$B$13:$X$489,21,0)/1000</f>
        <v>-0.55800000000000005</v>
      </c>
      <c r="L255" s="152">
        <f t="shared" si="9"/>
        <v>-857</v>
      </c>
      <c r="M255" s="153">
        <f t="shared" si="10"/>
        <v>-617</v>
      </c>
      <c r="N255" s="152">
        <f t="shared" si="11"/>
        <v>-528</v>
      </c>
      <c r="O255" s="152"/>
    </row>
    <row r="256" spans="1:15">
      <c r="A256" s="88">
        <f>'BC.116+240'!B255</f>
        <v>45523</v>
      </c>
      <c r="B256" s="152">
        <f t="shared" si="12"/>
        <v>242</v>
      </c>
      <c r="C256" s="154">
        <f>'BC.116+240'!M255/1000</f>
        <v>3.6829999999999998</v>
      </c>
      <c r="D256" s="154">
        <f>'BC.116+240'!AA255</f>
        <v>4.2549999999999999</v>
      </c>
      <c r="E256" s="155">
        <f>'BC.116+240'!AB255</f>
        <v>3.1360000000000001</v>
      </c>
      <c r="F256" s="154">
        <f>VLOOKUP($A256,'BC.116+240'!$B$13:$X$489,8,0)/1000</f>
        <v>3.173</v>
      </c>
      <c r="G256" s="154">
        <f>VLOOKUP($A256,'BC.116+240'!$B$13:$X$489,9,0)/1000</f>
        <v>-0.82699999999999996</v>
      </c>
      <c r="H256" s="154">
        <f>VLOOKUP($A256,'BC.116+240'!$B$13:$X$489,14,0)/1000</f>
        <v>3.2930000000000001</v>
      </c>
      <c r="I256" s="154">
        <f>VLOOKUP($A256,'BC.116+240'!$B$13:$X$489,15,0)/1000</f>
        <v>-0.70699999999999996</v>
      </c>
      <c r="J256" s="154">
        <f>VLOOKUP($A256,'BC.116+240'!$B$13:$X$489,20,0)/1000</f>
        <v>3.4319999999999999</v>
      </c>
      <c r="K256" s="154">
        <f>VLOOKUP($A256,'BC.116+240'!$B$13:$X$489,21,0)/1000</f>
        <v>-0.56799999999999995</v>
      </c>
      <c r="L256" s="152">
        <f t="shared" si="9"/>
        <v>-867</v>
      </c>
      <c r="M256" s="153">
        <f t="shared" si="10"/>
        <v>-627</v>
      </c>
      <c r="N256" s="152">
        <f t="shared" si="11"/>
        <v>-537.99999999999989</v>
      </c>
      <c r="O256" s="152"/>
    </row>
    <row r="257" spans="1:15">
      <c r="A257" s="88">
        <f>'BC.116+240'!B256</f>
        <v>45524</v>
      </c>
      <c r="B257" s="152">
        <f t="shared" si="12"/>
        <v>243</v>
      </c>
      <c r="C257" s="154">
        <f>'BC.116+240'!M256/1000</f>
        <v>3.673</v>
      </c>
      <c r="D257" s="154">
        <f>'BC.116+240'!AA256</f>
        <v>4.2549999999999999</v>
      </c>
      <c r="E257" s="155">
        <f>'BC.116+240'!AB256</f>
        <v>3.1160000000000001</v>
      </c>
      <c r="F257" s="154">
        <f>VLOOKUP($A257,'BC.116+240'!$B$13:$X$489,8,0)/1000</f>
        <v>3.1629999999999998</v>
      </c>
      <c r="G257" s="154">
        <f>VLOOKUP($A257,'BC.116+240'!$B$13:$X$489,9,0)/1000</f>
        <v>-0.83699999999999997</v>
      </c>
      <c r="H257" s="154">
        <f>VLOOKUP($A257,'BC.116+240'!$B$13:$X$489,14,0)/1000</f>
        <v>3.2829999999999999</v>
      </c>
      <c r="I257" s="154">
        <f>VLOOKUP($A257,'BC.116+240'!$B$13:$X$489,15,0)/1000</f>
        <v>-0.71699999999999997</v>
      </c>
      <c r="J257" s="154">
        <f>VLOOKUP($A257,'BC.116+240'!$B$13:$X$489,20,0)/1000</f>
        <v>3.4220000000000002</v>
      </c>
      <c r="K257" s="154">
        <f>VLOOKUP($A257,'BC.116+240'!$B$13:$X$489,21,0)/1000</f>
        <v>-0.57799999999999996</v>
      </c>
      <c r="L257" s="152">
        <f t="shared" si="9"/>
        <v>-877</v>
      </c>
      <c r="M257" s="153">
        <f t="shared" si="10"/>
        <v>-637</v>
      </c>
      <c r="N257" s="152">
        <f t="shared" si="11"/>
        <v>-547.99999999999989</v>
      </c>
      <c r="O257" s="152"/>
    </row>
    <row r="258" spans="1:15">
      <c r="A258" s="88">
        <f>'BC.116+240'!B257</f>
        <v>45525</v>
      </c>
      <c r="B258" s="152">
        <f t="shared" si="12"/>
        <v>244</v>
      </c>
      <c r="C258" s="154">
        <f>'BC.116+240'!M257/1000</f>
        <v>3.6629999999999998</v>
      </c>
      <c r="D258" s="154">
        <f>'BC.116+240'!AA257</f>
        <v>4.2549999999999999</v>
      </c>
      <c r="E258" s="155">
        <f>'BC.116+240'!AB257</f>
        <v>3.0960000000000001</v>
      </c>
      <c r="F258" s="154">
        <f>VLOOKUP($A258,'BC.116+240'!$B$13:$X$489,8,0)/1000</f>
        <v>3.153</v>
      </c>
      <c r="G258" s="154">
        <f>VLOOKUP($A258,'BC.116+240'!$B$13:$X$489,9,0)/1000</f>
        <v>-0.84699999999999998</v>
      </c>
      <c r="H258" s="154">
        <f>VLOOKUP($A258,'BC.116+240'!$B$13:$X$489,14,0)/1000</f>
        <v>3.2730000000000001</v>
      </c>
      <c r="I258" s="154">
        <f>VLOOKUP($A258,'BC.116+240'!$B$13:$X$489,15,0)/1000</f>
        <v>-0.72699999999999998</v>
      </c>
      <c r="J258" s="154">
        <f>VLOOKUP($A258,'BC.116+240'!$B$13:$X$489,20,0)/1000</f>
        <v>3.4119999999999999</v>
      </c>
      <c r="K258" s="154">
        <f>VLOOKUP($A258,'BC.116+240'!$B$13:$X$489,21,0)/1000</f>
        <v>-0.58799999999999997</v>
      </c>
      <c r="L258" s="152">
        <f t="shared" si="9"/>
        <v>-887</v>
      </c>
      <c r="M258" s="153">
        <f t="shared" si="10"/>
        <v>-647</v>
      </c>
      <c r="N258" s="152">
        <f t="shared" si="11"/>
        <v>-557.99999999999989</v>
      </c>
      <c r="O258" s="152"/>
    </row>
    <row r="259" spans="1:15">
      <c r="A259" s="88">
        <f>'BC.116+240'!B258</f>
        <v>45526</v>
      </c>
      <c r="B259" s="152">
        <f t="shared" si="12"/>
        <v>245</v>
      </c>
      <c r="C259" s="154">
        <f>'BC.116+240'!M258/1000</f>
        <v>3.653</v>
      </c>
      <c r="D259" s="154">
        <f>'BC.116+240'!AA258</f>
        <v>4.2549999999999999</v>
      </c>
      <c r="E259" s="155">
        <f>'BC.116+240'!AB258</f>
        <v>3.0760000000000001</v>
      </c>
      <c r="F259" s="154">
        <f>VLOOKUP($A259,'BC.116+240'!$B$13:$X$489,8,0)/1000</f>
        <v>3.1429999999999998</v>
      </c>
      <c r="G259" s="154">
        <f>VLOOKUP($A259,'BC.116+240'!$B$13:$X$489,9,0)/1000</f>
        <v>-0.85699999999999998</v>
      </c>
      <c r="H259" s="154">
        <f>VLOOKUP($A259,'BC.116+240'!$B$13:$X$489,14,0)/1000</f>
        <v>3.2629999999999999</v>
      </c>
      <c r="I259" s="154">
        <f>VLOOKUP($A259,'BC.116+240'!$B$13:$X$489,15,0)/1000</f>
        <v>-0.73699999999999999</v>
      </c>
      <c r="J259" s="154">
        <f>VLOOKUP($A259,'BC.116+240'!$B$13:$X$489,20,0)/1000</f>
        <v>3.4020000000000001</v>
      </c>
      <c r="K259" s="154">
        <f>VLOOKUP($A259,'BC.116+240'!$B$13:$X$489,21,0)/1000</f>
        <v>-0.59799999999999998</v>
      </c>
      <c r="L259" s="152">
        <f t="shared" si="9"/>
        <v>-897</v>
      </c>
      <c r="M259" s="153">
        <f t="shared" si="10"/>
        <v>-657</v>
      </c>
      <c r="N259" s="152">
        <f t="shared" si="11"/>
        <v>-568</v>
      </c>
      <c r="O259" s="152"/>
    </row>
    <row r="260" spans="1:15">
      <c r="A260" s="88">
        <f>'BC.116+240'!B259</f>
        <v>45527</v>
      </c>
      <c r="B260" s="152">
        <f t="shared" si="12"/>
        <v>246</v>
      </c>
      <c r="C260" s="154">
        <f>'BC.116+240'!M259/1000</f>
        <v>3.6429999999999998</v>
      </c>
      <c r="D260" s="154">
        <f>'BC.116+240'!AA259</f>
        <v>4.2549999999999999</v>
      </c>
      <c r="E260" s="155">
        <f>'BC.116+240'!AB259</f>
        <v>3.056</v>
      </c>
      <c r="F260" s="154">
        <f>VLOOKUP($A260,'BC.116+240'!$B$13:$X$489,8,0)/1000</f>
        <v>3.133</v>
      </c>
      <c r="G260" s="154">
        <f>VLOOKUP($A260,'BC.116+240'!$B$13:$X$489,9,0)/1000</f>
        <v>-0.86699999999999999</v>
      </c>
      <c r="H260" s="154">
        <f>VLOOKUP($A260,'BC.116+240'!$B$13:$X$489,14,0)/1000</f>
        <v>3.2530000000000001</v>
      </c>
      <c r="I260" s="154">
        <f>VLOOKUP($A260,'BC.116+240'!$B$13:$X$489,15,0)/1000</f>
        <v>-0.747</v>
      </c>
      <c r="J260" s="154">
        <f>VLOOKUP($A260,'BC.116+240'!$B$13:$X$489,20,0)/1000</f>
        <v>3.3919999999999999</v>
      </c>
      <c r="K260" s="154">
        <f>VLOOKUP($A260,'BC.116+240'!$B$13:$X$489,21,0)/1000</f>
        <v>-0.60799999999999998</v>
      </c>
      <c r="L260" s="152">
        <f t="shared" si="9"/>
        <v>-907</v>
      </c>
      <c r="M260" s="153">
        <f t="shared" si="10"/>
        <v>-667</v>
      </c>
      <c r="N260" s="152">
        <f t="shared" si="11"/>
        <v>-578</v>
      </c>
      <c r="O260" s="152"/>
    </row>
    <row r="261" spans="1:15">
      <c r="A261" s="88">
        <f>'BC.116+240'!B260</f>
        <v>45528</v>
      </c>
      <c r="B261" s="152">
        <f t="shared" si="12"/>
        <v>247</v>
      </c>
      <c r="C261" s="154">
        <f>'BC.116+240'!M260/1000</f>
        <v>3.633</v>
      </c>
      <c r="D261" s="154">
        <f>'BC.116+240'!AA260</f>
        <v>4.2549999999999999</v>
      </c>
      <c r="E261" s="155">
        <f>'BC.116+240'!AB260</f>
        <v>3.036</v>
      </c>
      <c r="F261" s="154">
        <f>VLOOKUP($A261,'BC.116+240'!$B$13:$X$489,8,0)/1000</f>
        <v>3.1230000000000002</v>
      </c>
      <c r="G261" s="154">
        <f>VLOOKUP($A261,'BC.116+240'!$B$13:$X$489,9,0)/1000</f>
        <v>-0.877</v>
      </c>
      <c r="H261" s="154">
        <f>VLOOKUP($A261,'BC.116+240'!$B$13:$X$489,14,0)/1000</f>
        <v>3.2429999999999999</v>
      </c>
      <c r="I261" s="154">
        <f>VLOOKUP($A261,'BC.116+240'!$B$13:$X$489,15,0)/1000</f>
        <v>-0.75700000000000001</v>
      </c>
      <c r="J261" s="154">
        <f>VLOOKUP($A261,'BC.116+240'!$B$13:$X$489,20,0)/1000</f>
        <v>3.3820000000000001</v>
      </c>
      <c r="K261" s="154">
        <f>VLOOKUP($A261,'BC.116+240'!$B$13:$X$489,21,0)/1000</f>
        <v>-0.61799999999999999</v>
      </c>
      <c r="L261" s="152">
        <f t="shared" si="9"/>
        <v>-917</v>
      </c>
      <c r="M261" s="153">
        <f t="shared" si="10"/>
        <v>-677</v>
      </c>
      <c r="N261" s="152">
        <f t="shared" si="11"/>
        <v>-588</v>
      </c>
      <c r="O261" s="152"/>
    </row>
    <row r="262" spans="1:15">
      <c r="A262" s="88">
        <f>'BC.116+240'!B261</f>
        <v>45529</v>
      </c>
      <c r="B262" s="152">
        <f t="shared" si="12"/>
        <v>248</v>
      </c>
      <c r="C262" s="154">
        <f>'BC.116+240'!M261/1000</f>
        <v>3.6230000000000002</v>
      </c>
      <c r="D262" s="154">
        <f>'BC.116+240'!AA261</f>
        <v>4.2549999999999999</v>
      </c>
      <c r="E262" s="155">
        <f>'BC.116+240'!AB261</f>
        <v>3.016</v>
      </c>
      <c r="F262" s="154">
        <f>VLOOKUP($A262,'BC.116+240'!$B$13:$X$489,8,0)/1000</f>
        <v>3.113</v>
      </c>
      <c r="G262" s="154">
        <f>VLOOKUP($A262,'BC.116+240'!$B$13:$X$489,9,0)/1000</f>
        <v>-0.88700000000000001</v>
      </c>
      <c r="H262" s="154">
        <f>VLOOKUP($A262,'BC.116+240'!$B$13:$X$489,14,0)/1000</f>
        <v>3.2330000000000001</v>
      </c>
      <c r="I262" s="154">
        <f>VLOOKUP($A262,'BC.116+240'!$B$13:$X$489,15,0)/1000</f>
        <v>-0.76700000000000002</v>
      </c>
      <c r="J262" s="154">
        <f>VLOOKUP($A262,'BC.116+240'!$B$13:$X$489,20,0)/1000</f>
        <v>3.3719999999999999</v>
      </c>
      <c r="K262" s="154">
        <f>VLOOKUP($A262,'BC.116+240'!$B$13:$X$489,21,0)/1000</f>
        <v>-0.628</v>
      </c>
      <c r="L262" s="152">
        <f t="shared" si="9"/>
        <v>-927</v>
      </c>
      <c r="M262" s="153">
        <f t="shared" si="10"/>
        <v>-687</v>
      </c>
      <c r="N262" s="152">
        <f t="shared" si="11"/>
        <v>-598</v>
      </c>
      <c r="O262" s="152"/>
    </row>
    <row r="263" spans="1:15">
      <c r="A263" s="88">
        <f>'BC.116+240'!B262</f>
        <v>45530</v>
      </c>
      <c r="B263" s="152">
        <f t="shared" si="12"/>
        <v>249</v>
      </c>
      <c r="C263" s="154">
        <f>'BC.116+240'!M262/1000</f>
        <v>3.613</v>
      </c>
      <c r="D263" s="154">
        <f>'BC.116+240'!AA262</f>
        <v>4.2549999999999999</v>
      </c>
      <c r="E263" s="155">
        <f>'BC.116+240'!AB262</f>
        <v>2.996</v>
      </c>
      <c r="F263" s="154">
        <f>VLOOKUP($A263,'BC.116+240'!$B$13:$X$489,8,0)/1000</f>
        <v>3.1030000000000002</v>
      </c>
      <c r="G263" s="154">
        <f>VLOOKUP($A263,'BC.116+240'!$B$13:$X$489,9,0)/1000</f>
        <v>-0.89700000000000002</v>
      </c>
      <c r="H263" s="154">
        <f>VLOOKUP($A263,'BC.116+240'!$B$13:$X$489,14,0)/1000</f>
        <v>3.2229999999999999</v>
      </c>
      <c r="I263" s="154">
        <f>VLOOKUP($A263,'BC.116+240'!$B$13:$X$489,15,0)/1000</f>
        <v>-0.77700000000000002</v>
      </c>
      <c r="J263" s="154">
        <f>VLOOKUP($A263,'BC.116+240'!$B$13:$X$489,20,0)/1000</f>
        <v>3.3620000000000001</v>
      </c>
      <c r="K263" s="154">
        <f>VLOOKUP($A263,'BC.116+240'!$B$13:$X$489,21,0)/1000</f>
        <v>-0.63800000000000001</v>
      </c>
      <c r="L263" s="152">
        <f t="shared" si="9"/>
        <v>-937</v>
      </c>
      <c r="M263" s="153">
        <f t="shared" si="10"/>
        <v>-697.00000000000011</v>
      </c>
      <c r="N263" s="152">
        <f t="shared" si="11"/>
        <v>-608</v>
      </c>
      <c r="O263" s="152"/>
    </row>
    <row r="264" spans="1:15">
      <c r="A264" s="88">
        <f>'BC.116+240'!B263</f>
        <v>45531</v>
      </c>
      <c r="B264" s="152">
        <f t="shared" si="12"/>
        <v>250</v>
      </c>
      <c r="C264" s="154">
        <f>'BC.116+240'!M263/1000</f>
        <v>3.6030000000000002</v>
      </c>
      <c r="D264" s="154">
        <f>'BC.116+240'!AA263</f>
        <v>4.2549999999999999</v>
      </c>
      <c r="E264" s="155">
        <f>'BC.116+240'!AB263</f>
        <v>2.976</v>
      </c>
      <c r="F264" s="154">
        <f>VLOOKUP($A264,'BC.116+240'!$B$13:$X$489,8,0)/1000</f>
        <v>3.093</v>
      </c>
      <c r="G264" s="154">
        <f>VLOOKUP($A264,'BC.116+240'!$B$13:$X$489,9,0)/1000</f>
        <v>-0.90700000000000003</v>
      </c>
      <c r="H264" s="154">
        <f>VLOOKUP($A264,'BC.116+240'!$B$13:$X$489,14,0)/1000</f>
        <v>3.2130000000000001</v>
      </c>
      <c r="I264" s="154">
        <f>VLOOKUP($A264,'BC.116+240'!$B$13:$X$489,15,0)/1000</f>
        <v>-0.78700000000000003</v>
      </c>
      <c r="J264" s="154">
        <f>VLOOKUP($A264,'BC.116+240'!$B$13:$X$489,20,0)/1000</f>
        <v>3.3519999999999999</v>
      </c>
      <c r="K264" s="154">
        <f>VLOOKUP($A264,'BC.116+240'!$B$13:$X$489,21,0)/1000</f>
        <v>-0.64800000000000002</v>
      </c>
      <c r="L264" s="152">
        <f t="shared" si="9"/>
        <v>-947.00000000000011</v>
      </c>
      <c r="M264" s="153">
        <f t="shared" si="10"/>
        <v>-707.00000000000011</v>
      </c>
      <c r="N264" s="152">
        <f t="shared" si="11"/>
        <v>-618</v>
      </c>
      <c r="O264" s="152"/>
    </row>
    <row r="265" spans="1:15">
      <c r="A265" s="88">
        <f>'BC.116+240'!B264</f>
        <v>45532</v>
      </c>
      <c r="B265" s="152">
        <f t="shared" si="12"/>
        <v>251</v>
      </c>
      <c r="C265" s="154">
        <f>'BC.116+240'!M264/1000</f>
        <v>3.593</v>
      </c>
      <c r="D265" s="154">
        <f>'BC.116+240'!AA264</f>
        <v>4.2549999999999999</v>
      </c>
      <c r="E265" s="155">
        <f>'BC.116+240'!AB264</f>
        <v>2.956</v>
      </c>
      <c r="F265" s="154">
        <f>VLOOKUP($A265,'BC.116+240'!$B$13:$X$489,8,0)/1000</f>
        <v>3.0830000000000002</v>
      </c>
      <c r="G265" s="154">
        <f>VLOOKUP($A265,'BC.116+240'!$B$13:$X$489,9,0)/1000</f>
        <v>-0.91700000000000004</v>
      </c>
      <c r="H265" s="154">
        <f>VLOOKUP($A265,'BC.116+240'!$B$13:$X$489,14,0)/1000</f>
        <v>3.2029999999999998</v>
      </c>
      <c r="I265" s="154">
        <f>VLOOKUP($A265,'BC.116+240'!$B$13:$X$489,15,0)/1000</f>
        <v>-0.79700000000000004</v>
      </c>
      <c r="J265" s="154">
        <f>VLOOKUP($A265,'BC.116+240'!$B$13:$X$489,20,0)/1000</f>
        <v>3.3420000000000001</v>
      </c>
      <c r="K265" s="154">
        <f>VLOOKUP($A265,'BC.116+240'!$B$13:$X$489,21,0)/1000</f>
        <v>-0.65800000000000003</v>
      </c>
      <c r="L265" s="152">
        <f t="shared" si="9"/>
        <v>-957.00000000000011</v>
      </c>
      <c r="M265" s="153">
        <f t="shared" si="10"/>
        <v>-717.00000000000011</v>
      </c>
      <c r="N265" s="152">
        <f t="shared" si="11"/>
        <v>-628</v>
      </c>
      <c r="O265" s="152"/>
    </row>
    <row r="266" spans="1:15">
      <c r="A266" s="88">
        <f>'BC.116+240'!B265</f>
        <v>45533</v>
      </c>
      <c r="B266" s="152">
        <f t="shared" si="12"/>
        <v>252</v>
      </c>
      <c r="C266" s="154">
        <f>'BC.116+240'!M265/1000</f>
        <v>3.5830000000000002</v>
      </c>
      <c r="D266" s="154">
        <f>'BC.116+240'!AA265</f>
        <v>4.2549999999999999</v>
      </c>
      <c r="E266" s="155">
        <f>'BC.116+240'!AB265</f>
        <v>2.9359999999999999</v>
      </c>
      <c r="F266" s="154">
        <f>VLOOKUP($A266,'BC.116+240'!$B$13:$X$489,8,0)/1000</f>
        <v>3.073</v>
      </c>
      <c r="G266" s="154">
        <f>VLOOKUP($A266,'BC.116+240'!$B$13:$X$489,9,0)/1000</f>
        <v>-0.92700000000000005</v>
      </c>
      <c r="H266" s="154">
        <f>VLOOKUP($A266,'BC.116+240'!$B$13:$X$489,14,0)/1000</f>
        <v>3.1930000000000001</v>
      </c>
      <c r="I266" s="154">
        <f>VLOOKUP($A266,'BC.116+240'!$B$13:$X$489,15,0)/1000</f>
        <v>-0.80700000000000005</v>
      </c>
      <c r="J266" s="154">
        <f>VLOOKUP($A266,'BC.116+240'!$B$13:$X$489,20,0)/1000</f>
        <v>3.3319999999999999</v>
      </c>
      <c r="K266" s="154">
        <f>VLOOKUP($A266,'BC.116+240'!$B$13:$X$489,21,0)/1000</f>
        <v>-0.66800000000000004</v>
      </c>
      <c r="L266" s="152">
        <f t="shared" si="9"/>
        <v>-967.00000000000011</v>
      </c>
      <c r="M266" s="153">
        <f t="shared" si="10"/>
        <v>-727.00000000000011</v>
      </c>
      <c r="N266" s="152">
        <f t="shared" si="11"/>
        <v>-638</v>
      </c>
      <c r="O266" s="152"/>
    </row>
    <row r="267" spans="1:15">
      <c r="A267" s="88">
        <f>'BC.116+240'!B266</f>
        <v>45534</v>
      </c>
      <c r="B267" s="152">
        <f t="shared" si="12"/>
        <v>253</v>
      </c>
      <c r="C267" s="154">
        <f>'BC.116+240'!M266/1000</f>
        <v>3.5739999999999998</v>
      </c>
      <c r="D267" s="154">
        <f>'BC.116+240'!AA266</f>
        <v>4.2549999999999999</v>
      </c>
      <c r="E267" s="155">
        <f>'BC.116+240'!AB266</f>
        <v>2.9180000000000001</v>
      </c>
      <c r="F267" s="154">
        <f>VLOOKUP($A267,'BC.116+240'!$B$13:$X$489,8,0)/1000</f>
        <v>3.0649999999999999</v>
      </c>
      <c r="G267" s="154">
        <f>VLOOKUP($A267,'BC.116+240'!$B$13:$X$489,9,0)/1000</f>
        <v>-0.93500000000000005</v>
      </c>
      <c r="H267" s="154">
        <f>VLOOKUP($A267,'BC.116+240'!$B$13:$X$489,14,0)/1000</f>
        <v>3.1840000000000002</v>
      </c>
      <c r="I267" s="154">
        <f>VLOOKUP($A267,'BC.116+240'!$B$13:$X$489,15,0)/1000</f>
        <v>-0.81599999999999995</v>
      </c>
      <c r="J267" s="154">
        <f>VLOOKUP($A267,'BC.116+240'!$B$13:$X$489,20,0)/1000</f>
        <v>3.3220000000000001</v>
      </c>
      <c r="K267" s="154">
        <f>VLOOKUP($A267,'BC.116+240'!$B$13:$X$489,21,0)/1000</f>
        <v>-0.67800000000000005</v>
      </c>
      <c r="L267" s="152">
        <f t="shared" si="9"/>
        <v>-975.00000000000011</v>
      </c>
      <c r="M267" s="153">
        <f t="shared" si="10"/>
        <v>-736</v>
      </c>
      <c r="N267" s="152">
        <f t="shared" si="11"/>
        <v>-648</v>
      </c>
      <c r="O267" s="152"/>
    </row>
    <row r="268" spans="1:15">
      <c r="A268" s="88">
        <f>'BC.116+240'!B267</f>
        <v>45535</v>
      </c>
      <c r="B268" s="152">
        <f t="shared" si="12"/>
        <v>254</v>
      </c>
      <c r="C268" s="154">
        <f>'BC.116+240'!M267/1000</f>
        <v>3.5659999999999998</v>
      </c>
      <c r="D268" s="154">
        <f>'BC.116+240'!AA267</f>
        <v>4.2549999999999999</v>
      </c>
      <c r="E268" s="155">
        <f>'BC.116+240'!AB267</f>
        <v>2.9020000000000001</v>
      </c>
      <c r="F268" s="154">
        <f>VLOOKUP($A268,'BC.116+240'!$B$13:$X$4890,8,0)/1000</f>
        <v>3.056</v>
      </c>
      <c r="G268" s="154">
        <f>VLOOKUP($A268,'BC.116+240'!$B$13:$X$4890,9,0)/1000</f>
        <v>-0.94399999999999995</v>
      </c>
      <c r="H268" s="154">
        <f>VLOOKUP($A268,'BC.116+240'!$B$13:$X$4890,14,0)/1000</f>
        <v>3.1760000000000002</v>
      </c>
      <c r="I268" s="154">
        <f>VLOOKUP($A268,'BC.116+240'!$B$13:$X$4890,15,0)/1000</f>
        <v>-0.82399999999999995</v>
      </c>
      <c r="J268" s="154">
        <f>VLOOKUP($A268,'BC.116+240'!$B$13:$X$4890,20,0)/1000</f>
        <v>3.3119999999999998</v>
      </c>
      <c r="K268" s="154">
        <f>VLOOKUP($A268,'BC.116+240'!$B$13:$X$4890,21,0)/1000</f>
        <v>-0.68799999999999994</v>
      </c>
      <c r="L268" s="152">
        <f t="shared" si="9"/>
        <v>-984</v>
      </c>
      <c r="M268" s="153">
        <f t="shared" si="10"/>
        <v>-744</v>
      </c>
      <c r="N268" s="152">
        <f t="shared" si="11"/>
        <v>-657.99999999999989</v>
      </c>
      <c r="O268" s="152"/>
    </row>
    <row r="269" spans="1:15">
      <c r="A269" s="88">
        <f>'BC.116+240'!B268</f>
        <v>45536</v>
      </c>
      <c r="B269" s="152">
        <f t="shared" si="12"/>
        <v>255</v>
      </c>
      <c r="C269" s="154">
        <f>'BC.116+240'!M268/1000</f>
        <v>3.5579999999999998</v>
      </c>
      <c r="D269" s="154">
        <f>'BC.116+240'!AA268</f>
        <v>4.2549999999999999</v>
      </c>
      <c r="E269" s="155">
        <f>'BC.116+240'!AB268</f>
        <v>2.8860000000000001</v>
      </c>
      <c r="F269" s="154">
        <f>VLOOKUP($A269,'BC.116+240'!$B$13:$X$4890,8,0)/1000</f>
        <v>3.048</v>
      </c>
      <c r="G269" s="154">
        <f>VLOOKUP($A269,'BC.116+240'!$B$13:$X$4890,9,0)/1000</f>
        <v>-0.95199999999999996</v>
      </c>
      <c r="H269" s="154">
        <f>VLOOKUP($A269,'BC.116+240'!$B$13:$X$4890,14,0)/1000</f>
        <v>3.1680000000000001</v>
      </c>
      <c r="I269" s="154">
        <f>VLOOKUP($A269,'BC.116+240'!$B$13:$X$4890,15,0)/1000</f>
        <v>-0.83199999999999996</v>
      </c>
      <c r="J269" s="154">
        <f>VLOOKUP($A269,'BC.116+240'!$B$13:$X$4890,20,0)/1000</f>
        <v>3.302</v>
      </c>
      <c r="K269" s="154">
        <f>VLOOKUP($A269,'BC.116+240'!$B$13:$X$4890,21,0)/1000</f>
        <v>-0.69799999999999995</v>
      </c>
      <c r="L269" s="152">
        <f t="shared" si="9"/>
        <v>-992</v>
      </c>
      <c r="M269" s="153">
        <f t="shared" si="10"/>
        <v>-752</v>
      </c>
      <c r="N269" s="152">
        <f t="shared" si="11"/>
        <v>-667.99999999999989</v>
      </c>
      <c r="O269" s="152"/>
    </row>
    <row r="270" spans="1:15">
      <c r="A270" s="88">
        <f>'BC.116+240'!B269</f>
        <v>45537</v>
      </c>
      <c r="B270" s="152">
        <f t="shared" si="12"/>
        <v>256</v>
      </c>
      <c r="C270" s="154">
        <f>'BC.116+240'!M269/1000</f>
        <v>3.552</v>
      </c>
      <c r="D270" s="154">
        <f>'BC.116+240'!AA269</f>
        <v>4.2549999999999999</v>
      </c>
      <c r="E270" s="155">
        <f>'BC.116+240'!AB269</f>
        <v>2.8740000000000001</v>
      </c>
      <c r="F270" s="154">
        <f>VLOOKUP($A270,'BC.116+240'!$B$13:$X$4890,8,0)/1000</f>
        <v>3.04</v>
      </c>
      <c r="G270" s="154">
        <f>VLOOKUP($A270,'BC.116+240'!$B$13:$X$4890,9,0)/1000</f>
        <v>-0.96</v>
      </c>
      <c r="H270" s="154">
        <f>VLOOKUP($A270,'BC.116+240'!$B$13:$X$4890,14,0)/1000</f>
        <v>3.1619999999999999</v>
      </c>
      <c r="I270" s="154">
        <f>VLOOKUP($A270,'BC.116+240'!$B$13:$X$4890,15,0)/1000</f>
        <v>-0.83799999999999997</v>
      </c>
      <c r="J270" s="154">
        <f>VLOOKUP($A270,'BC.116+240'!$B$13:$X$4890,20,0)/1000</f>
        <v>3.2930000000000001</v>
      </c>
      <c r="K270" s="154">
        <f>VLOOKUP($A270,'BC.116+240'!$B$13:$X$4890,21,0)/1000</f>
        <v>-0.70699999999999996</v>
      </c>
      <c r="L270" s="152">
        <f t="shared" ref="L270:L333" si="13">(G270-$G$14)*1000</f>
        <v>-1000</v>
      </c>
      <c r="M270" s="153">
        <f t="shared" ref="M270:M333" si="14">(I270-$I$14)*1000</f>
        <v>-758</v>
      </c>
      <c r="N270" s="152">
        <f t="shared" si="11"/>
        <v>-676.99999999999989</v>
      </c>
      <c r="O270" s="152"/>
    </row>
    <row r="271" spans="1:15">
      <c r="A271" s="88">
        <f>'BC.116+240'!B270</f>
        <v>45538</v>
      </c>
      <c r="B271" s="152">
        <f t="shared" si="12"/>
        <v>257</v>
      </c>
      <c r="C271" s="154">
        <f>'BC.116+240'!M270/1000</f>
        <v>3.5449999999999999</v>
      </c>
      <c r="D271" s="154">
        <f>'BC.116+240'!AA270</f>
        <v>4.2549999999999999</v>
      </c>
      <c r="E271" s="155">
        <f>'BC.116+240'!AB270</f>
        <v>2.86</v>
      </c>
      <c r="F271" s="154">
        <f>VLOOKUP($A271,'BC.116+240'!$B$13:$X$4890,8,0)/1000</f>
        <v>3.0339999999999998</v>
      </c>
      <c r="G271" s="154">
        <f>VLOOKUP($A271,'BC.116+240'!$B$13:$X$4890,9,0)/1000</f>
        <v>-0.96599999999999997</v>
      </c>
      <c r="H271" s="154">
        <f>VLOOKUP($A271,'BC.116+240'!$B$13:$X$4890,14,0)/1000</f>
        <v>3.1549999999999998</v>
      </c>
      <c r="I271" s="154">
        <f>VLOOKUP($A271,'BC.116+240'!$B$13:$X$4890,15,0)/1000</f>
        <v>-0.84499999999999997</v>
      </c>
      <c r="J271" s="154">
        <f>VLOOKUP($A271,'BC.116+240'!$B$13:$X$4890,20,0)/1000</f>
        <v>3.2850000000000001</v>
      </c>
      <c r="K271" s="154">
        <f>VLOOKUP($A271,'BC.116+240'!$B$13:$X$4890,21,0)/1000</f>
        <v>-0.71499999999999997</v>
      </c>
      <c r="L271" s="152">
        <f t="shared" si="13"/>
        <v>-1006</v>
      </c>
      <c r="M271" s="153">
        <f t="shared" si="14"/>
        <v>-765</v>
      </c>
      <c r="N271" s="152">
        <f t="shared" ref="N271:N334" si="15">(K271-$K$14)*1000</f>
        <v>-684.99999999999989</v>
      </c>
      <c r="O271" s="152"/>
    </row>
    <row r="272" spans="1:15">
      <c r="A272" s="88">
        <f>'BC.116+240'!B271</f>
        <v>45539</v>
      </c>
      <c r="B272" s="152">
        <f t="shared" si="12"/>
        <v>258</v>
      </c>
      <c r="C272" s="154">
        <f>'BC.116+240'!M271/1000</f>
        <v>3.5409999999999999</v>
      </c>
      <c r="D272" s="154">
        <f>'BC.116+240'!AA271</f>
        <v>4.2549999999999999</v>
      </c>
      <c r="E272" s="155">
        <f>'BC.116+240'!AB271</f>
        <v>2.8519999999999999</v>
      </c>
      <c r="F272" s="154">
        <f>VLOOKUP($A272,'BC.116+240'!$B$13:$X$4890,8,0)/1000</f>
        <v>3.0270000000000001</v>
      </c>
      <c r="G272" s="154">
        <f>VLOOKUP($A272,'BC.116+240'!$B$13:$X$4890,9,0)/1000</f>
        <v>-0.97299999999999998</v>
      </c>
      <c r="H272" s="154">
        <f>VLOOKUP($A272,'BC.116+240'!$B$13:$X$4890,14,0)/1000</f>
        <v>3.1509999999999998</v>
      </c>
      <c r="I272" s="154">
        <f>VLOOKUP($A272,'BC.116+240'!$B$13:$X$4890,15,0)/1000</f>
        <v>-0.84899999999999998</v>
      </c>
      <c r="J272" s="154">
        <f>VLOOKUP($A272,'BC.116+240'!$B$13:$X$4890,20,0)/1000</f>
        <v>3.2770000000000001</v>
      </c>
      <c r="K272" s="154">
        <f>VLOOKUP($A272,'BC.116+240'!$B$13:$X$4890,21,0)/1000</f>
        <v>-0.72299999999999998</v>
      </c>
      <c r="L272" s="152">
        <f t="shared" si="13"/>
        <v>-1012.9999999999999</v>
      </c>
      <c r="M272" s="153">
        <f t="shared" si="14"/>
        <v>-769</v>
      </c>
      <c r="N272" s="152">
        <f t="shared" si="15"/>
        <v>-693</v>
      </c>
      <c r="O272" s="152"/>
    </row>
    <row r="273" spans="1:15">
      <c r="A273" s="88">
        <f>'BC.116+240'!B272</f>
        <v>45540</v>
      </c>
      <c r="B273" s="152">
        <f t="shared" si="12"/>
        <v>259</v>
      </c>
      <c r="C273" s="154">
        <f>'BC.116+240'!M272/1000</f>
        <v>3.536</v>
      </c>
      <c r="D273" s="154">
        <f>'BC.116+240'!AA272</f>
        <v>4.2549999999999999</v>
      </c>
      <c r="E273" s="155">
        <f>'BC.116+240'!AB272</f>
        <v>2.8420000000000001</v>
      </c>
      <c r="F273" s="154">
        <f>VLOOKUP($A273,'BC.116+240'!$B$13:$X$4890,8,0)/1000</f>
        <v>3.0230000000000001</v>
      </c>
      <c r="G273" s="154">
        <f>VLOOKUP($A273,'BC.116+240'!$B$13:$X$4890,9,0)/1000</f>
        <v>-0.97699999999999998</v>
      </c>
      <c r="H273" s="154">
        <f>VLOOKUP($A273,'BC.116+240'!$B$13:$X$4890,14,0)/1000</f>
        <v>3.1459999999999999</v>
      </c>
      <c r="I273" s="154">
        <f>VLOOKUP($A273,'BC.116+240'!$B$13:$X$4890,15,0)/1000</f>
        <v>-0.85399999999999998</v>
      </c>
      <c r="J273" s="154">
        <f>VLOOKUP($A273,'BC.116+240'!$B$13:$X$4890,20,0)/1000</f>
        <v>3.2709999999999999</v>
      </c>
      <c r="K273" s="154">
        <f>VLOOKUP($A273,'BC.116+240'!$B$13:$X$4890,21,0)/1000</f>
        <v>-0.72899999999999998</v>
      </c>
      <c r="L273" s="152">
        <f t="shared" si="13"/>
        <v>-1016.9999999999999</v>
      </c>
      <c r="M273" s="153">
        <f t="shared" si="14"/>
        <v>-774</v>
      </c>
      <c r="N273" s="152">
        <f t="shared" si="15"/>
        <v>-699</v>
      </c>
      <c r="O273" s="152"/>
    </row>
    <row r="274" spans="1:15">
      <c r="A274" s="88">
        <f>'BC.116+240'!B273</f>
        <v>45541</v>
      </c>
      <c r="B274" s="152">
        <f t="shared" si="12"/>
        <v>260</v>
      </c>
      <c r="C274" s="154">
        <f>'BC.116+240'!M273/1000</f>
        <v>3.5329999999999999</v>
      </c>
      <c r="D274" s="154">
        <f>'BC.116+240'!AA273</f>
        <v>4.2549999999999999</v>
      </c>
      <c r="E274" s="155">
        <f>'BC.116+240'!AB273</f>
        <v>2.8359999999999999</v>
      </c>
      <c r="F274" s="154">
        <f>VLOOKUP($A274,'BC.116+240'!$B$13:$X$4890,8,0)/1000</f>
        <v>3.0179999999999998</v>
      </c>
      <c r="G274" s="154">
        <f>VLOOKUP($A274,'BC.116+240'!$B$13:$X$4890,9,0)/1000</f>
        <v>-0.98199999999999998</v>
      </c>
      <c r="H274" s="154">
        <f>VLOOKUP($A274,'BC.116+240'!$B$13:$X$4890,14,0)/1000</f>
        <v>3.1429999999999998</v>
      </c>
      <c r="I274" s="154">
        <f>VLOOKUP($A274,'BC.116+240'!$B$13:$X$4890,15,0)/1000</f>
        <v>-0.85699999999999998</v>
      </c>
      <c r="J274" s="154">
        <f>VLOOKUP($A274,'BC.116+240'!$B$13:$X$4890,20,0)/1000</f>
        <v>3.2639999999999998</v>
      </c>
      <c r="K274" s="154">
        <f>VLOOKUP($A274,'BC.116+240'!$B$13:$X$4890,21,0)/1000</f>
        <v>-0.73599999999999999</v>
      </c>
      <c r="L274" s="152">
        <f t="shared" si="13"/>
        <v>-1022</v>
      </c>
      <c r="M274" s="153">
        <f t="shared" si="14"/>
        <v>-777</v>
      </c>
      <c r="N274" s="152">
        <f t="shared" si="15"/>
        <v>-706</v>
      </c>
      <c r="O274" s="152"/>
    </row>
    <row r="275" spans="1:15">
      <c r="A275" s="88">
        <f>'BC.116+240'!B274</f>
        <v>45542</v>
      </c>
      <c r="B275" s="152">
        <f t="shared" si="12"/>
        <v>261</v>
      </c>
      <c r="C275" s="154">
        <f>'BC.116+240'!M274/1000</f>
        <v>3.5310000000000001</v>
      </c>
      <c r="D275" s="154">
        <f>'BC.116+240'!AA274</f>
        <v>4.2549999999999999</v>
      </c>
      <c r="E275" s="155">
        <f>'BC.116+240'!AB274</f>
        <v>2.8319999999999999</v>
      </c>
      <c r="F275" s="154">
        <f>VLOOKUP($A275,'BC.116+240'!$B$13:$X$4890,8,0)/1000</f>
        <v>3.0150000000000001</v>
      </c>
      <c r="G275" s="154">
        <f>VLOOKUP($A275,'BC.116+240'!$B$13:$X$4890,9,0)/1000</f>
        <v>-0.98499999999999999</v>
      </c>
      <c r="H275" s="154">
        <f>VLOOKUP($A275,'BC.116+240'!$B$13:$X$4890,14,0)/1000</f>
        <v>3.141</v>
      </c>
      <c r="I275" s="154">
        <f>VLOOKUP($A275,'BC.116+240'!$B$13:$X$4890,15,0)/1000</f>
        <v>-0.85899999999999999</v>
      </c>
      <c r="J275" s="154">
        <f>VLOOKUP($A275,'BC.116+240'!$B$13:$X$4890,20,0)/1000</f>
        <v>3.26</v>
      </c>
      <c r="K275" s="154">
        <f>VLOOKUP($A275,'BC.116+240'!$B$13:$X$4890,21,0)/1000</f>
        <v>-0.74</v>
      </c>
      <c r="L275" s="152">
        <f t="shared" si="13"/>
        <v>-1025</v>
      </c>
      <c r="M275" s="153">
        <f t="shared" si="14"/>
        <v>-779</v>
      </c>
      <c r="N275" s="152">
        <f t="shared" si="15"/>
        <v>-710</v>
      </c>
      <c r="O275" s="152"/>
    </row>
    <row r="276" spans="1:15">
      <c r="A276" s="88">
        <f>'BC.116+240'!B275</f>
        <v>45543</v>
      </c>
      <c r="B276" s="152">
        <f t="shared" si="12"/>
        <v>262</v>
      </c>
      <c r="C276" s="154">
        <f>'BC.116+240'!M275/1000</f>
        <v>3.5289999999999999</v>
      </c>
      <c r="D276" s="154">
        <f>'BC.116+240'!AA275</f>
        <v>4.2549999999999999</v>
      </c>
      <c r="E276" s="155">
        <f>'BC.116+240'!AB275</f>
        <v>2.8279999999999998</v>
      </c>
      <c r="F276" s="154">
        <f>VLOOKUP($A276,'BC.116+240'!$B$13:$X$4890,8,0)/1000</f>
        <v>3.0129999999999999</v>
      </c>
      <c r="G276" s="154">
        <f>VLOOKUP($A276,'BC.116+240'!$B$13:$X$4890,9,0)/1000</f>
        <v>-0.98699999999999999</v>
      </c>
      <c r="H276" s="154">
        <f>VLOOKUP($A276,'BC.116+240'!$B$13:$X$4890,14,0)/1000</f>
        <v>3.1389999999999998</v>
      </c>
      <c r="I276" s="154">
        <f>VLOOKUP($A276,'BC.116+240'!$B$13:$X$4890,15,0)/1000</f>
        <v>-0.86099999999999999</v>
      </c>
      <c r="J276" s="154">
        <f>VLOOKUP($A276,'BC.116+240'!$B$13:$X$4890,20,0)/1000</f>
        <v>3.2519999999999998</v>
      </c>
      <c r="K276" s="154">
        <f>VLOOKUP($A276,'BC.116+240'!$B$13:$X$4890,21,0)/1000</f>
        <v>-0.748</v>
      </c>
      <c r="L276" s="152">
        <f t="shared" si="13"/>
        <v>-1027</v>
      </c>
      <c r="M276" s="153">
        <f t="shared" si="14"/>
        <v>-781</v>
      </c>
      <c r="N276" s="152">
        <f t="shared" si="15"/>
        <v>-718</v>
      </c>
      <c r="O276" s="152"/>
    </row>
    <row r="277" spans="1:15">
      <c r="A277" s="88">
        <f>'BC.116+240'!B276</f>
        <v>45544</v>
      </c>
      <c r="B277" s="152">
        <f t="shared" si="12"/>
        <v>263</v>
      </c>
      <c r="C277" s="154">
        <f>'BC.116+240'!M276/1000</f>
        <v>3.528</v>
      </c>
      <c r="D277" s="154">
        <f>'BC.116+240'!AA276</f>
        <v>4.2549999999999999</v>
      </c>
      <c r="E277" s="155">
        <f>'BC.116+240'!AB276</f>
        <v>2.8260000000000001</v>
      </c>
      <c r="F277" s="154">
        <f>VLOOKUP($A277,'BC.116+240'!$B$13:$X$4890,8,0)/1000</f>
        <v>3.0110000000000001</v>
      </c>
      <c r="G277" s="154">
        <f>VLOOKUP($A277,'BC.116+240'!$B$13:$X$4890,9,0)/1000</f>
        <v>-0.98899999999999999</v>
      </c>
      <c r="H277" s="154">
        <f>VLOOKUP($A277,'BC.116+240'!$B$13:$X$4890,14,0)/1000</f>
        <v>3.1379999999999999</v>
      </c>
      <c r="I277" s="154">
        <f>VLOOKUP($A277,'BC.116+240'!$B$13:$X$4890,15,0)/1000</f>
        <v>-0.86199999999999999</v>
      </c>
      <c r="J277" s="154">
        <f>VLOOKUP($A277,'BC.116+240'!$B$13:$X$4890,20,0)/1000</f>
        <v>3.246</v>
      </c>
      <c r="K277" s="154">
        <f>VLOOKUP($A277,'BC.116+240'!$B$13:$X$4890,21,0)/1000</f>
        <v>-0.754</v>
      </c>
      <c r="L277" s="152">
        <f t="shared" si="13"/>
        <v>-1029</v>
      </c>
      <c r="M277" s="153">
        <f t="shared" si="14"/>
        <v>-782</v>
      </c>
      <c r="N277" s="152">
        <f t="shared" si="15"/>
        <v>-724</v>
      </c>
      <c r="O277" s="152"/>
    </row>
    <row r="278" spans="1:15">
      <c r="A278" s="88">
        <f>'BC.116+240'!B277</f>
        <v>45545</v>
      </c>
      <c r="B278" s="152">
        <f t="shared" si="12"/>
        <v>264</v>
      </c>
      <c r="C278" s="154">
        <f>'BC.116+240'!M277/1000</f>
        <v>3.5259999999999998</v>
      </c>
      <c r="D278" s="154">
        <f>'BC.116+240'!AA277</f>
        <v>4.2549999999999999</v>
      </c>
      <c r="E278" s="155">
        <f>'BC.116+240'!AB277</f>
        <v>2.8220000000000001</v>
      </c>
      <c r="F278" s="154">
        <f>VLOOKUP($A278,'BC.116+240'!$B$13:$X$4890,8,0)/1000</f>
        <v>3.01</v>
      </c>
      <c r="G278" s="154">
        <f>VLOOKUP($A278,'BC.116+240'!$B$13:$X$4890,9,0)/1000</f>
        <v>-0.99</v>
      </c>
      <c r="H278" s="154">
        <f>VLOOKUP($A278,'BC.116+240'!$B$13:$X$4890,14,0)/1000</f>
        <v>3.1360000000000001</v>
      </c>
      <c r="I278" s="154">
        <f>VLOOKUP($A278,'BC.116+240'!$B$13:$X$4890,15,0)/1000</f>
        <v>-0.86399999999999999</v>
      </c>
      <c r="J278" s="154">
        <f>VLOOKUP($A278,'BC.116+240'!$B$13:$X$4890,20,0)/1000</f>
        <v>3.2389999999999999</v>
      </c>
      <c r="K278" s="154">
        <f>VLOOKUP($A278,'BC.116+240'!$B$13:$X$4890,21,0)/1000</f>
        <v>-0.76100000000000001</v>
      </c>
      <c r="L278" s="152">
        <f t="shared" si="13"/>
        <v>-1030</v>
      </c>
      <c r="M278" s="153">
        <f t="shared" si="14"/>
        <v>-784</v>
      </c>
      <c r="N278" s="152">
        <f t="shared" si="15"/>
        <v>-731</v>
      </c>
      <c r="O278" s="152"/>
    </row>
    <row r="279" spans="1:15">
      <c r="A279" s="88">
        <f>'BC.116+240'!B278</f>
        <v>45546</v>
      </c>
      <c r="B279" s="152">
        <f t="shared" si="12"/>
        <v>265</v>
      </c>
      <c r="C279" s="154">
        <f>'BC.116+240'!M278/1000</f>
        <v>3.5209999999999999</v>
      </c>
      <c r="D279" s="154">
        <f>'BC.116+240'!AA278</f>
        <v>4.2549999999999999</v>
      </c>
      <c r="E279" s="155">
        <f>'BC.116+240'!AB278</f>
        <v>2.8119999999999998</v>
      </c>
      <c r="F279" s="154">
        <f>VLOOKUP($A279,'BC.116+240'!$B$13:$X$4890,8,0)/1000</f>
        <v>3.008</v>
      </c>
      <c r="G279" s="154">
        <f>VLOOKUP($A279,'BC.116+240'!$B$13:$X$4890,9,0)/1000</f>
        <v>-0.99199999999999999</v>
      </c>
      <c r="H279" s="154">
        <f>VLOOKUP($A279,'BC.116+240'!$B$13:$X$4890,14,0)/1000</f>
        <v>3.1309999999999998</v>
      </c>
      <c r="I279" s="154">
        <f>VLOOKUP($A279,'BC.116+240'!$B$13:$X$4890,15,0)/1000</f>
        <v>-0.86899999999999999</v>
      </c>
      <c r="J279" s="154">
        <f>VLOOKUP($A279,'BC.116+240'!$B$13:$X$4890,20,0)/1000</f>
        <v>3.2349999999999999</v>
      </c>
      <c r="K279" s="154">
        <f>VLOOKUP($A279,'BC.116+240'!$B$13:$X$4890,21,0)/1000</f>
        <v>-0.76500000000000001</v>
      </c>
      <c r="L279" s="152">
        <f t="shared" si="13"/>
        <v>-1032</v>
      </c>
      <c r="M279" s="153">
        <f t="shared" si="14"/>
        <v>-789</v>
      </c>
      <c r="N279" s="152">
        <f t="shared" si="15"/>
        <v>-735</v>
      </c>
      <c r="O279" s="152"/>
    </row>
    <row r="280" spans="1:15">
      <c r="A280" s="88">
        <f>'BC.116+240'!B279</f>
        <v>45547</v>
      </c>
      <c r="B280" s="152">
        <f t="shared" si="12"/>
        <v>266</v>
      </c>
      <c r="C280" s="154">
        <f>'BC.116+240'!M279/1000</f>
        <v>3.512</v>
      </c>
      <c r="D280" s="154">
        <f>'BC.116+240'!AA279</f>
        <v>4.2549999999999999</v>
      </c>
      <c r="E280" s="155">
        <f>'BC.116+240'!AB279</f>
        <v>2.794</v>
      </c>
      <c r="F280" s="154">
        <f>VLOOKUP($A280,'BC.116+240'!$B$13:$X$4890,8,0)/1000</f>
        <v>3.0030000000000001</v>
      </c>
      <c r="G280" s="154">
        <f>VLOOKUP($A280,'BC.116+240'!$B$13:$X$4890,9,0)/1000</f>
        <v>-0.997</v>
      </c>
      <c r="H280" s="154">
        <f>VLOOKUP($A280,'BC.116+240'!$B$13:$X$4890,14,0)/1000</f>
        <v>3.1219999999999999</v>
      </c>
      <c r="I280" s="154">
        <f>VLOOKUP($A280,'BC.116+240'!$B$13:$X$4890,15,0)/1000</f>
        <v>-0.878</v>
      </c>
      <c r="J280" s="154">
        <f>VLOOKUP($A280,'BC.116+240'!$B$13:$X$4890,20,0)/1000</f>
        <v>3.23</v>
      </c>
      <c r="K280" s="154">
        <f>VLOOKUP($A280,'BC.116+240'!$B$13:$X$4890,21,0)/1000</f>
        <v>-0.77</v>
      </c>
      <c r="L280" s="152">
        <f t="shared" si="13"/>
        <v>-1037</v>
      </c>
      <c r="M280" s="153">
        <f t="shared" si="14"/>
        <v>-798</v>
      </c>
      <c r="N280" s="152">
        <f t="shared" si="15"/>
        <v>-740</v>
      </c>
      <c r="O280" s="152"/>
    </row>
    <row r="281" spans="1:15">
      <c r="A281" s="88">
        <f>'BC.116+240'!B280</f>
        <v>45548</v>
      </c>
      <c r="B281" s="152">
        <f t="shared" si="12"/>
        <v>267</v>
      </c>
      <c r="C281" s="154">
        <f>'BC.116+240'!M280/1000</f>
        <v>3.504</v>
      </c>
      <c r="D281" s="154">
        <f>'BC.116+240'!AA280</f>
        <v>4.2549999999999999</v>
      </c>
      <c r="E281" s="155">
        <f>'BC.116+240'!AB280</f>
        <v>2.778</v>
      </c>
      <c r="F281" s="154">
        <f>VLOOKUP($A281,'BC.116+240'!$B$13:$X$4890,8,0)/1000</f>
        <v>2.9980000000000002</v>
      </c>
      <c r="G281" s="154">
        <f>VLOOKUP($A281,'BC.116+240'!$B$13:$X$4890,9,0)/1000</f>
        <v>-1.002</v>
      </c>
      <c r="H281" s="154">
        <f>VLOOKUP($A281,'BC.116+240'!$B$13:$X$4890,14,0)/1000</f>
        <v>3.1139999999999999</v>
      </c>
      <c r="I281" s="154">
        <f>VLOOKUP($A281,'BC.116+240'!$B$13:$X$4890,15,0)/1000</f>
        <v>-0.88600000000000001</v>
      </c>
      <c r="J281" s="154">
        <f>VLOOKUP($A281,'BC.116+240'!$B$13:$X$4890,20,0)/1000</f>
        <v>3.2269999999999999</v>
      </c>
      <c r="K281" s="154">
        <f>VLOOKUP($A281,'BC.116+240'!$B$13:$X$4890,21,0)/1000</f>
        <v>-0.77300000000000002</v>
      </c>
      <c r="L281" s="152">
        <f t="shared" si="13"/>
        <v>-1042</v>
      </c>
      <c r="M281" s="153">
        <f t="shared" si="14"/>
        <v>-806</v>
      </c>
      <c r="N281" s="152">
        <f t="shared" si="15"/>
        <v>-743</v>
      </c>
      <c r="O281" s="152"/>
    </row>
    <row r="282" spans="1:15">
      <c r="A282" s="88">
        <f>'BC.116+240'!B281</f>
        <v>45549</v>
      </c>
      <c r="B282" s="152">
        <f t="shared" si="12"/>
        <v>268</v>
      </c>
      <c r="C282" s="154">
        <f>'BC.116+240'!M281/1000</f>
        <v>3.496</v>
      </c>
      <c r="D282" s="154">
        <f>'BC.116+240'!AA281</f>
        <v>4.2549999999999999</v>
      </c>
      <c r="E282" s="155">
        <f>'BC.116+240'!AB281</f>
        <v>2.762</v>
      </c>
      <c r="F282" s="154">
        <f>VLOOKUP($A282,'BC.116+240'!$B$13:$X$4890,8,0)/1000</f>
        <v>2.9929999999999999</v>
      </c>
      <c r="G282" s="154">
        <f>VLOOKUP($A282,'BC.116+240'!$B$13:$X$4890,9,0)/1000</f>
        <v>-1.0069999999999999</v>
      </c>
      <c r="H282" s="154">
        <f>VLOOKUP($A282,'BC.116+240'!$B$13:$X$4890,14,0)/1000</f>
        <v>3.1059999999999999</v>
      </c>
      <c r="I282" s="154">
        <f>VLOOKUP($A282,'BC.116+240'!$B$13:$X$4890,15,0)/1000</f>
        <v>-0.89400000000000002</v>
      </c>
      <c r="J282" s="154">
        <f>VLOOKUP($A282,'BC.116+240'!$B$13:$X$4890,20,0)/1000</f>
        <v>3.2189999999999999</v>
      </c>
      <c r="K282" s="154">
        <f>VLOOKUP($A282,'BC.116+240'!$B$13:$X$4890,21,0)/1000</f>
        <v>-0.78100000000000003</v>
      </c>
      <c r="L282" s="152">
        <f t="shared" si="13"/>
        <v>-1047</v>
      </c>
      <c r="M282" s="153">
        <f t="shared" si="14"/>
        <v>-814</v>
      </c>
      <c r="N282" s="152">
        <f t="shared" si="15"/>
        <v>-751</v>
      </c>
      <c r="O282" s="152"/>
    </row>
    <row r="283" spans="1:15">
      <c r="A283" s="88">
        <f>'BC.116+240'!B282</f>
        <v>45550</v>
      </c>
      <c r="B283" s="152">
        <f t="shared" si="12"/>
        <v>269</v>
      </c>
      <c r="C283" s="154">
        <f>'BC.116+240'!M282/1000</f>
        <v>3.49</v>
      </c>
      <c r="D283" s="154">
        <f>'BC.116+240'!AA282</f>
        <v>4.2549999999999999</v>
      </c>
      <c r="E283" s="155">
        <f>'BC.116+240'!AB282</f>
        <v>2.75</v>
      </c>
      <c r="F283" s="154">
        <f>VLOOKUP($A283,'BC.116+240'!$B$13:$X$4890,8,0)/1000</f>
        <v>2.9910000000000001</v>
      </c>
      <c r="G283" s="154">
        <f>VLOOKUP($A283,'BC.116+240'!$B$13:$X$4890,9,0)/1000</f>
        <v>-1.0089999999999999</v>
      </c>
      <c r="H283" s="154">
        <f>VLOOKUP($A283,'BC.116+240'!$B$13:$X$4890,14,0)/1000</f>
        <v>3.1</v>
      </c>
      <c r="I283" s="154">
        <f>VLOOKUP($A283,'BC.116+240'!$B$13:$X$4890,15,0)/1000</f>
        <v>-0.9</v>
      </c>
      <c r="J283" s="154">
        <f>VLOOKUP($A283,'BC.116+240'!$B$13:$X$4890,20,0)/1000</f>
        <v>3.2130000000000001</v>
      </c>
      <c r="K283" s="154">
        <f>VLOOKUP($A283,'BC.116+240'!$B$13:$X$4890,21,0)/1000</f>
        <v>-0.78700000000000003</v>
      </c>
      <c r="L283" s="152">
        <f t="shared" si="13"/>
        <v>-1049</v>
      </c>
      <c r="M283" s="153">
        <f t="shared" si="14"/>
        <v>-820.00000000000011</v>
      </c>
      <c r="N283" s="152">
        <f t="shared" si="15"/>
        <v>-757</v>
      </c>
      <c r="O283" s="152"/>
    </row>
    <row r="284" spans="1:15">
      <c r="A284" s="88">
        <f>'BC.116+240'!B283</f>
        <v>45551</v>
      </c>
      <c r="B284" s="152">
        <f t="shared" si="12"/>
        <v>270</v>
      </c>
      <c r="C284" s="154">
        <f>'BC.116+240'!M283/1000</f>
        <v>3.4830000000000001</v>
      </c>
      <c r="D284" s="154">
        <f>'BC.116+240'!AA283</f>
        <v>4.2549999999999999</v>
      </c>
      <c r="E284" s="155">
        <f>'BC.116+240'!AB283</f>
        <v>2.7360000000000002</v>
      </c>
      <c r="F284" s="154">
        <f>VLOOKUP($A284,'BC.116+240'!$B$13:$X$4890,8,0)/1000</f>
        <v>2.9889999999999999</v>
      </c>
      <c r="G284" s="154">
        <f>VLOOKUP($A284,'BC.116+240'!$B$13:$X$4890,9,0)/1000</f>
        <v>-1.0109999999999999</v>
      </c>
      <c r="H284" s="154">
        <f>VLOOKUP($A284,'BC.116+240'!$B$13:$X$4890,14,0)/1000</f>
        <v>3.093</v>
      </c>
      <c r="I284" s="154">
        <f>VLOOKUP($A284,'BC.116+240'!$B$13:$X$4890,15,0)/1000</f>
        <v>-0.90700000000000003</v>
      </c>
      <c r="J284" s="154">
        <f>VLOOKUP($A284,'BC.116+240'!$B$13:$X$4890,20,0)/1000</f>
        <v>3.206</v>
      </c>
      <c r="K284" s="154">
        <f>VLOOKUP($A284,'BC.116+240'!$B$13:$X$4890,21,0)/1000</f>
        <v>-0.79400000000000004</v>
      </c>
      <c r="L284" s="152">
        <f t="shared" si="13"/>
        <v>-1051</v>
      </c>
      <c r="M284" s="153">
        <f t="shared" si="14"/>
        <v>-827.00000000000011</v>
      </c>
      <c r="N284" s="152">
        <f t="shared" si="15"/>
        <v>-764</v>
      </c>
      <c r="O284" s="152"/>
    </row>
    <row r="285" spans="1:15">
      <c r="A285" s="88">
        <f>'BC.116+240'!B284</f>
        <v>45552</v>
      </c>
      <c r="B285" s="152">
        <f t="shared" si="12"/>
        <v>271</v>
      </c>
      <c r="C285" s="154">
        <f>'BC.116+240'!M284/1000</f>
        <v>3.4790000000000001</v>
      </c>
      <c r="D285" s="154">
        <f>'BC.116+240'!AA284</f>
        <v>4.2549999999999999</v>
      </c>
      <c r="E285" s="155">
        <f>'BC.116+240'!AB284</f>
        <v>2.7280000000000002</v>
      </c>
      <c r="F285" s="154">
        <f>VLOOKUP($A285,'BC.116+240'!$B$13:$X$4890,8,0)/1000</f>
        <v>2.9870000000000001</v>
      </c>
      <c r="G285" s="154">
        <f>VLOOKUP($A285,'BC.116+240'!$B$13:$X$4890,9,0)/1000</f>
        <v>-1.0129999999999999</v>
      </c>
      <c r="H285" s="154">
        <f>VLOOKUP($A285,'BC.116+240'!$B$13:$X$4890,14,0)/1000</f>
        <v>3.089</v>
      </c>
      <c r="I285" s="154">
        <f>VLOOKUP($A285,'BC.116+240'!$B$13:$X$4890,15,0)/1000</f>
        <v>-0.91100000000000003</v>
      </c>
      <c r="J285" s="154">
        <f>VLOOKUP($A285,'BC.116+240'!$B$13:$X$4890,20,0)/1000</f>
        <v>3.202</v>
      </c>
      <c r="K285" s="154">
        <f>VLOOKUP($A285,'BC.116+240'!$B$13:$X$4890,21,0)/1000</f>
        <v>-0.79800000000000004</v>
      </c>
      <c r="L285" s="152">
        <f t="shared" si="13"/>
        <v>-1053</v>
      </c>
      <c r="M285" s="153">
        <f t="shared" si="14"/>
        <v>-831.00000000000011</v>
      </c>
      <c r="N285" s="152">
        <f t="shared" si="15"/>
        <v>-768</v>
      </c>
      <c r="O285" s="152"/>
    </row>
    <row r="286" spans="1:15">
      <c r="A286" s="88">
        <f>'BC.116+240'!B285</f>
        <v>45553</v>
      </c>
      <c r="B286" s="152">
        <f t="shared" si="12"/>
        <v>272</v>
      </c>
      <c r="C286" s="154">
        <f>'BC.116+240'!M285/1000</f>
        <v>3.4740000000000002</v>
      </c>
      <c r="D286" s="154">
        <f>'BC.116+240'!AA285</f>
        <v>4.2549999999999999</v>
      </c>
      <c r="E286" s="155">
        <f>'BC.116+240'!AB285</f>
        <v>2.718</v>
      </c>
      <c r="F286" s="154">
        <f>VLOOKUP($A286,'BC.116+240'!$B$13:$X$4890,8,0)/1000</f>
        <v>2.9849999999999999</v>
      </c>
      <c r="G286" s="154">
        <f>VLOOKUP($A286,'BC.116+240'!$B$13:$X$4890,9,0)/1000</f>
        <v>-1.0149999999999999</v>
      </c>
      <c r="H286" s="154">
        <f>VLOOKUP($A286,'BC.116+240'!$B$13:$X$4890,14,0)/1000</f>
        <v>3.0840000000000001</v>
      </c>
      <c r="I286" s="154">
        <f>VLOOKUP($A286,'BC.116+240'!$B$13:$X$4890,15,0)/1000</f>
        <v>-0.91600000000000004</v>
      </c>
      <c r="J286" s="154">
        <f>VLOOKUP($A286,'BC.116+240'!$B$13:$X$4890,20,0)/1000</f>
        <v>3.1970000000000001</v>
      </c>
      <c r="K286" s="154">
        <f>VLOOKUP($A286,'BC.116+240'!$B$13:$X$4890,21,0)/1000</f>
        <v>-0.80300000000000005</v>
      </c>
      <c r="L286" s="152">
        <f t="shared" si="13"/>
        <v>-1055</v>
      </c>
      <c r="M286" s="153">
        <f t="shared" si="14"/>
        <v>-836.00000000000011</v>
      </c>
      <c r="N286" s="152">
        <f t="shared" si="15"/>
        <v>-773</v>
      </c>
      <c r="O286" s="152"/>
    </row>
    <row r="287" spans="1:15">
      <c r="A287" s="88">
        <f>'BC.116+240'!B286</f>
        <v>45554</v>
      </c>
      <c r="B287" s="152">
        <f t="shared" si="12"/>
        <v>273</v>
      </c>
      <c r="C287" s="154">
        <f>'BC.116+240'!M286/1000</f>
        <v>3.4710000000000001</v>
      </c>
      <c r="D287" s="154">
        <f>'BC.116+240'!AA286</f>
        <v>4.2549999999999999</v>
      </c>
      <c r="E287" s="155">
        <f>'BC.116+240'!AB286</f>
        <v>2.7120000000000002</v>
      </c>
      <c r="F287" s="154">
        <f>VLOOKUP($A287,'BC.116+240'!$B$13:$X$4890,8,0)/1000</f>
        <v>2.9830000000000001</v>
      </c>
      <c r="G287" s="154">
        <f>VLOOKUP($A287,'BC.116+240'!$B$13:$X$4890,9,0)/1000</f>
        <v>-1.0169999999999999</v>
      </c>
      <c r="H287" s="154">
        <f>VLOOKUP($A287,'BC.116+240'!$B$13:$X$4890,14,0)/1000</f>
        <v>3.081</v>
      </c>
      <c r="I287" s="154">
        <f>VLOOKUP($A287,'BC.116+240'!$B$13:$X$4890,15,0)/1000</f>
        <v>-0.91900000000000004</v>
      </c>
      <c r="J287" s="154">
        <f>VLOOKUP($A287,'BC.116+240'!$B$13:$X$4890,20,0)/1000</f>
        <v>3.194</v>
      </c>
      <c r="K287" s="154">
        <f>VLOOKUP($A287,'BC.116+240'!$B$13:$X$4890,21,0)/1000</f>
        <v>-0.80600000000000005</v>
      </c>
      <c r="L287" s="152">
        <f t="shared" si="13"/>
        <v>-1057</v>
      </c>
      <c r="M287" s="153">
        <f t="shared" si="14"/>
        <v>-839.00000000000011</v>
      </c>
      <c r="N287" s="152">
        <f t="shared" si="15"/>
        <v>-776</v>
      </c>
      <c r="O287" s="152"/>
    </row>
    <row r="288" spans="1:15">
      <c r="A288" s="88">
        <f>'BC.116+240'!B287</f>
        <v>45555</v>
      </c>
      <c r="B288" s="152">
        <f t="shared" si="12"/>
        <v>274</v>
      </c>
      <c r="C288" s="154">
        <f>'BC.116+240'!M287/1000</f>
        <v>3.4689999999999999</v>
      </c>
      <c r="D288" s="154">
        <f>'BC.116+240'!AA287</f>
        <v>4.2549999999999999</v>
      </c>
      <c r="E288" s="155">
        <f>'BC.116+240'!AB287</f>
        <v>2.7080000000000002</v>
      </c>
      <c r="F288" s="154">
        <f>VLOOKUP($A288,'BC.116+240'!$B$13:$X$4890,8,0)/1000</f>
        <v>2.98</v>
      </c>
      <c r="G288" s="154">
        <f>VLOOKUP($A288,'BC.116+240'!$B$13:$X$4890,9,0)/1000</f>
        <v>-1.02</v>
      </c>
      <c r="H288" s="154">
        <f>VLOOKUP($A288,'BC.116+240'!$B$13:$X$4890,14,0)/1000</f>
        <v>3.0790000000000002</v>
      </c>
      <c r="I288" s="154">
        <f>VLOOKUP($A288,'BC.116+240'!$B$13:$X$4890,15,0)/1000</f>
        <v>-0.92100000000000004</v>
      </c>
      <c r="J288" s="154">
        <f>VLOOKUP($A288,'BC.116+240'!$B$13:$X$4890,20,0)/1000</f>
        <v>3.1920000000000002</v>
      </c>
      <c r="K288" s="154">
        <f>VLOOKUP($A288,'BC.116+240'!$B$13:$X$4890,21,0)/1000</f>
        <v>-0.80800000000000005</v>
      </c>
      <c r="L288" s="152">
        <f t="shared" si="13"/>
        <v>-1060</v>
      </c>
      <c r="M288" s="153">
        <f t="shared" si="14"/>
        <v>-841.00000000000011</v>
      </c>
      <c r="N288" s="152">
        <f t="shared" si="15"/>
        <v>-778</v>
      </c>
      <c r="O288" s="152"/>
    </row>
    <row r="289" spans="1:15">
      <c r="A289" s="88">
        <f>'BC.116+240'!B288</f>
        <v>45556</v>
      </c>
      <c r="B289" s="152">
        <f t="shared" si="12"/>
        <v>275</v>
      </c>
      <c r="C289" s="154">
        <f>'BC.116+240'!M288/1000</f>
        <v>3.4670000000000001</v>
      </c>
      <c r="D289" s="154">
        <f>'BC.116+240'!AA288</f>
        <v>4.2549999999999999</v>
      </c>
      <c r="E289" s="155">
        <f>'BC.116+240'!AB288</f>
        <v>2.7040000000000002</v>
      </c>
      <c r="F289" s="154">
        <f>VLOOKUP($A289,'BC.116+240'!$B$13:$X$4890,8,0)/1000</f>
        <v>2.9780000000000002</v>
      </c>
      <c r="G289" s="154">
        <f>VLOOKUP($A289,'BC.116+240'!$B$13:$X$4890,9,0)/1000</f>
        <v>-1.022</v>
      </c>
      <c r="H289" s="154">
        <f>VLOOKUP($A289,'BC.116+240'!$B$13:$X$4890,14,0)/1000</f>
        <v>3.077</v>
      </c>
      <c r="I289" s="154">
        <f>VLOOKUP($A289,'BC.116+240'!$B$13:$X$4890,15,0)/1000</f>
        <v>-0.92300000000000004</v>
      </c>
      <c r="J289" s="154">
        <f>VLOOKUP($A289,'BC.116+240'!$B$13:$X$4890,20,0)/1000</f>
        <v>3.19</v>
      </c>
      <c r="K289" s="154">
        <f>VLOOKUP($A289,'BC.116+240'!$B$13:$X$4890,21,0)/1000</f>
        <v>-0.81</v>
      </c>
      <c r="L289" s="152">
        <f t="shared" si="13"/>
        <v>-1062</v>
      </c>
      <c r="M289" s="153">
        <f t="shared" si="14"/>
        <v>-843.00000000000011</v>
      </c>
      <c r="N289" s="152">
        <f t="shared" si="15"/>
        <v>-780</v>
      </c>
      <c r="O289" s="152"/>
    </row>
    <row r="290" spans="1:15">
      <c r="A290" s="88">
        <f>'BC.116+240'!B289</f>
        <v>45557</v>
      </c>
      <c r="B290" s="152">
        <f t="shared" si="12"/>
        <v>276</v>
      </c>
      <c r="C290" s="154">
        <f>'BC.116+240'!M289/1000</f>
        <v>3.4660000000000002</v>
      </c>
      <c r="D290" s="154">
        <f>'BC.116+240'!AA289</f>
        <v>4.2549999999999999</v>
      </c>
      <c r="E290" s="155">
        <f>'BC.116+240'!AB289</f>
        <v>2.702</v>
      </c>
      <c r="F290" s="154">
        <f>VLOOKUP($A290,'BC.116+240'!$B$13:$X$4890,8,0)/1000</f>
        <v>2.9750000000000001</v>
      </c>
      <c r="G290" s="154">
        <f>VLOOKUP($A290,'BC.116+240'!$B$13:$X$4890,9,0)/1000</f>
        <v>-1.0249999999999999</v>
      </c>
      <c r="H290" s="154">
        <f>VLOOKUP($A290,'BC.116+240'!$B$13:$X$4890,14,0)/1000</f>
        <v>3.0760000000000001</v>
      </c>
      <c r="I290" s="154">
        <f>VLOOKUP($A290,'BC.116+240'!$B$13:$X$4890,15,0)/1000</f>
        <v>-0.92400000000000004</v>
      </c>
      <c r="J290" s="154">
        <f>VLOOKUP($A290,'BC.116+240'!$B$13:$X$4890,20,0)/1000</f>
        <v>3.1890000000000001</v>
      </c>
      <c r="K290" s="154">
        <f>VLOOKUP($A290,'BC.116+240'!$B$13:$X$4890,21,0)/1000</f>
        <v>-0.81100000000000005</v>
      </c>
      <c r="L290" s="152">
        <f t="shared" si="13"/>
        <v>-1065</v>
      </c>
      <c r="M290" s="153">
        <f t="shared" si="14"/>
        <v>-844.00000000000011</v>
      </c>
      <c r="N290" s="152">
        <f t="shared" si="15"/>
        <v>-781</v>
      </c>
      <c r="O290" s="152"/>
    </row>
    <row r="291" spans="1:15">
      <c r="A291" s="88">
        <f>'BC.116+240'!B290</f>
        <v>45558</v>
      </c>
      <c r="B291" s="152">
        <f t="shared" si="12"/>
        <v>277</v>
      </c>
      <c r="C291" s="154">
        <f>'BC.116+240'!M290/1000</f>
        <v>3.464</v>
      </c>
      <c r="D291" s="154">
        <f>'BC.116+240'!AA290</f>
        <v>4.2549999999999999</v>
      </c>
      <c r="E291" s="155">
        <f>'BC.116+240'!AB290</f>
        <v>2.698</v>
      </c>
      <c r="F291" s="154">
        <f>VLOOKUP($A291,'BC.116+240'!$B$13:$X$4890,8,0)/1000</f>
        <v>2.9729999999999999</v>
      </c>
      <c r="G291" s="154">
        <f>VLOOKUP($A291,'BC.116+240'!$B$13:$X$4890,9,0)/1000</f>
        <v>-1.0269999999999999</v>
      </c>
      <c r="H291" s="154">
        <f>VLOOKUP($A291,'BC.116+240'!$B$13:$X$4890,14,0)/1000</f>
        <v>3.0739999999999998</v>
      </c>
      <c r="I291" s="154">
        <f>VLOOKUP($A291,'BC.116+240'!$B$13:$X$4890,15,0)/1000</f>
        <v>-0.92600000000000005</v>
      </c>
      <c r="J291" s="154">
        <f>VLOOKUP($A291,'BC.116+240'!$B$13:$X$4890,20,0)/1000</f>
        <v>3.1869999999999998</v>
      </c>
      <c r="K291" s="154">
        <f>VLOOKUP($A291,'BC.116+240'!$B$13:$X$4890,21,0)/1000</f>
        <v>-0.81299999999999994</v>
      </c>
      <c r="L291" s="152">
        <f t="shared" si="13"/>
        <v>-1067</v>
      </c>
      <c r="M291" s="153">
        <f t="shared" si="14"/>
        <v>-846.00000000000011</v>
      </c>
      <c r="N291" s="152">
        <f t="shared" si="15"/>
        <v>-782.99999999999989</v>
      </c>
      <c r="O291" s="152"/>
    </row>
    <row r="292" spans="1:15">
      <c r="A292" s="88">
        <f>'BC.116+240'!B291</f>
        <v>45559</v>
      </c>
      <c r="B292" s="152">
        <f t="shared" si="12"/>
        <v>278</v>
      </c>
      <c r="C292" s="154">
        <f>'BC.116+240'!M291/1000</f>
        <v>3.4590000000000001</v>
      </c>
      <c r="D292" s="154">
        <f>'BC.116+240'!AA291</f>
        <v>4.2549999999999999</v>
      </c>
      <c r="E292" s="155">
        <f>'BC.116+240'!AB291</f>
        <v>2.6880000000000002</v>
      </c>
      <c r="F292" s="154">
        <f>VLOOKUP($A292,'BC.116+240'!$B$13:$X$4890,8,0)/1000</f>
        <v>2.964</v>
      </c>
      <c r="G292" s="154">
        <f>VLOOKUP($A292,'BC.116+240'!$B$13:$X$4890,9,0)/1000</f>
        <v>-1.036</v>
      </c>
      <c r="H292" s="154">
        <f>VLOOKUP($A292,'BC.116+240'!$B$13:$X$4890,14,0)/1000</f>
        <v>3.069</v>
      </c>
      <c r="I292" s="154">
        <f>VLOOKUP($A292,'BC.116+240'!$B$13:$X$4890,15,0)/1000</f>
        <v>-0.93100000000000005</v>
      </c>
      <c r="J292" s="154">
        <f>VLOOKUP($A292,'BC.116+240'!$B$13:$X$4890,20,0)/1000</f>
        <v>3.1819999999999999</v>
      </c>
      <c r="K292" s="154">
        <f>VLOOKUP($A292,'BC.116+240'!$B$13:$X$4890,21,0)/1000</f>
        <v>-0.81799999999999995</v>
      </c>
      <c r="L292" s="152">
        <f t="shared" si="13"/>
        <v>-1076</v>
      </c>
      <c r="M292" s="153">
        <f t="shared" si="14"/>
        <v>-851.00000000000011</v>
      </c>
      <c r="N292" s="152">
        <f t="shared" si="15"/>
        <v>-787.99999999999989</v>
      </c>
      <c r="O292" s="152"/>
    </row>
    <row r="293" spans="1:15">
      <c r="A293" s="88">
        <f>'BC.116+240'!B292</f>
        <v>45560</v>
      </c>
      <c r="B293" s="152">
        <f t="shared" si="12"/>
        <v>279</v>
      </c>
      <c r="C293" s="154">
        <f>'BC.116+240'!M292/1000</f>
        <v>3.4540000000000002</v>
      </c>
      <c r="D293" s="154">
        <f>'BC.116+240'!AA292</f>
        <v>4.2549999999999999</v>
      </c>
      <c r="E293" s="155">
        <f>'BC.116+240'!AB292</f>
        <v>2.6779999999999999</v>
      </c>
      <c r="F293" s="154">
        <f>VLOOKUP($A293,'BC.116+240'!$B$13:$X$4890,8,0)/1000</f>
        <v>2.956</v>
      </c>
      <c r="G293" s="154">
        <f>VLOOKUP($A293,'BC.116+240'!$B$13:$X$4890,9,0)/1000</f>
        <v>-1.044</v>
      </c>
      <c r="H293" s="154">
        <f>VLOOKUP($A293,'BC.116+240'!$B$13:$X$4890,14,0)/1000</f>
        <v>3.0640000000000001</v>
      </c>
      <c r="I293" s="154">
        <f>VLOOKUP($A293,'BC.116+240'!$B$13:$X$4890,15,0)/1000</f>
        <v>-0.93600000000000005</v>
      </c>
      <c r="J293" s="154">
        <f>VLOOKUP($A293,'BC.116+240'!$B$13:$X$4890,20,0)/1000</f>
        <v>3.177</v>
      </c>
      <c r="K293" s="154">
        <f>VLOOKUP($A293,'BC.116+240'!$B$13:$X$4890,21,0)/1000</f>
        <v>-0.82299999999999995</v>
      </c>
      <c r="L293" s="152">
        <f t="shared" si="13"/>
        <v>-1084</v>
      </c>
      <c r="M293" s="153">
        <f t="shared" si="14"/>
        <v>-856.00000000000011</v>
      </c>
      <c r="N293" s="152">
        <f t="shared" si="15"/>
        <v>-792.99999999999989</v>
      </c>
      <c r="O293" s="152"/>
    </row>
    <row r="294" spans="1:15">
      <c r="A294" s="88">
        <f>'BC.116+240'!B293</f>
        <v>45561</v>
      </c>
      <c r="B294" s="152">
        <f t="shared" si="12"/>
        <v>280</v>
      </c>
      <c r="C294" s="154">
        <f>'BC.116+240'!M293/1000</f>
        <v>3.4489999999999998</v>
      </c>
      <c r="D294" s="154">
        <f>'BC.116+240'!AA293</f>
        <v>4.2549999999999999</v>
      </c>
      <c r="E294" s="155">
        <f>'BC.116+240'!AB293</f>
        <v>2.6680000000000001</v>
      </c>
      <c r="F294" s="154">
        <f>VLOOKUP($A294,'BC.116+240'!$B$13:$X$4890,8,0)/1000</f>
        <v>2.948</v>
      </c>
      <c r="G294" s="154">
        <f>VLOOKUP($A294,'BC.116+240'!$B$13:$X$4890,9,0)/1000</f>
        <v>-1.052</v>
      </c>
      <c r="H294" s="154">
        <f>VLOOKUP($A294,'BC.116+240'!$B$13:$X$4890,14,0)/1000</f>
        <v>3.0590000000000002</v>
      </c>
      <c r="I294" s="154">
        <f>VLOOKUP($A294,'BC.116+240'!$B$13:$X$4890,15,0)/1000</f>
        <v>-0.94099999999999995</v>
      </c>
      <c r="J294" s="154">
        <f>VLOOKUP($A294,'BC.116+240'!$B$13:$X$4890,20,0)/1000</f>
        <v>3.1720000000000002</v>
      </c>
      <c r="K294" s="154">
        <f>VLOOKUP($A294,'BC.116+240'!$B$13:$X$4890,21,0)/1000</f>
        <v>-0.82799999999999996</v>
      </c>
      <c r="L294" s="152">
        <f t="shared" si="13"/>
        <v>-1092</v>
      </c>
      <c r="M294" s="153">
        <f t="shared" si="14"/>
        <v>-861</v>
      </c>
      <c r="N294" s="152">
        <f t="shared" si="15"/>
        <v>-797.99999999999989</v>
      </c>
      <c r="O294" s="152"/>
    </row>
    <row r="295" spans="1:15">
      <c r="A295" s="88">
        <f>'BC.116+240'!B294</f>
        <v>45562</v>
      </c>
      <c r="B295" s="152">
        <f t="shared" si="12"/>
        <v>281</v>
      </c>
      <c r="C295" s="154">
        <f>'BC.116+240'!M294/1000</f>
        <v>3.44</v>
      </c>
      <c r="D295" s="154">
        <f>'BC.116+240'!AA294</f>
        <v>4.2549999999999999</v>
      </c>
      <c r="E295" s="155">
        <f>'BC.116+240'!AB294</f>
        <v>2.65</v>
      </c>
      <c r="F295" s="154">
        <f>VLOOKUP($A295,'BC.116+240'!$B$13:$X$4890,8,0)/1000</f>
        <v>2.9420000000000002</v>
      </c>
      <c r="G295" s="154">
        <f>VLOOKUP($A295,'BC.116+240'!$B$13:$X$4890,9,0)/1000</f>
        <v>-1.0580000000000001</v>
      </c>
      <c r="H295" s="154">
        <f>VLOOKUP($A295,'BC.116+240'!$B$13:$X$4890,14,0)/1000</f>
        <v>3.05</v>
      </c>
      <c r="I295" s="154">
        <f>VLOOKUP($A295,'BC.116+240'!$B$13:$X$4890,15,0)/1000</f>
        <v>-0.95</v>
      </c>
      <c r="J295" s="154">
        <f>VLOOKUP($A295,'BC.116+240'!$B$13:$X$4890,20,0)/1000</f>
        <v>3.17</v>
      </c>
      <c r="K295" s="154">
        <f>VLOOKUP($A295,'BC.116+240'!$B$13:$X$4890,21,0)/1000</f>
        <v>-0.83</v>
      </c>
      <c r="L295" s="152">
        <f t="shared" si="13"/>
        <v>-1098</v>
      </c>
      <c r="M295" s="153">
        <f t="shared" si="14"/>
        <v>-870</v>
      </c>
      <c r="N295" s="152">
        <f t="shared" si="15"/>
        <v>-799.99999999999989</v>
      </c>
      <c r="O295" s="152"/>
    </row>
    <row r="296" spans="1:15">
      <c r="A296" s="88">
        <f>'BC.116+240'!B295</f>
        <v>45563</v>
      </c>
      <c r="B296" s="152">
        <f t="shared" si="12"/>
        <v>282</v>
      </c>
      <c r="C296" s="154">
        <f>'BC.116+240'!M295/1000</f>
        <v>3.4319999999999999</v>
      </c>
      <c r="D296" s="154">
        <f>'BC.116+240'!AA295</f>
        <v>4.2549999999999999</v>
      </c>
      <c r="E296" s="155">
        <f>'BC.116+240'!AB295</f>
        <v>2.6339999999999999</v>
      </c>
      <c r="F296" s="154">
        <f>VLOOKUP($A296,'BC.116+240'!$B$13:$X$4890,8,0)/1000</f>
        <v>2.9350000000000001</v>
      </c>
      <c r="G296" s="154">
        <f>VLOOKUP($A296,'BC.116+240'!$B$13:$X$4890,9,0)/1000</f>
        <v>-1.0649999999999999</v>
      </c>
      <c r="H296" s="154">
        <f>VLOOKUP($A296,'BC.116+240'!$B$13:$X$4890,14,0)/1000</f>
        <v>3.0419999999999998</v>
      </c>
      <c r="I296" s="154">
        <f>VLOOKUP($A296,'BC.116+240'!$B$13:$X$4890,15,0)/1000</f>
        <v>-0.95799999999999996</v>
      </c>
      <c r="J296" s="154">
        <f>VLOOKUP($A296,'BC.116+240'!$B$13:$X$4890,20,0)/1000</f>
        <v>3.165</v>
      </c>
      <c r="K296" s="154">
        <f>VLOOKUP($A296,'BC.116+240'!$B$13:$X$4890,21,0)/1000</f>
        <v>-0.83499999999999996</v>
      </c>
      <c r="L296" s="152">
        <f t="shared" si="13"/>
        <v>-1105</v>
      </c>
      <c r="M296" s="153">
        <f t="shared" si="14"/>
        <v>-878</v>
      </c>
      <c r="N296" s="152">
        <f t="shared" si="15"/>
        <v>-804.99999999999989</v>
      </c>
      <c r="O296" s="152"/>
    </row>
    <row r="297" spans="1:15">
      <c r="A297" s="88">
        <f>'BC.116+240'!B296</f>
        <v>45564</v>
      </c>
      <c r="B297" s="152">
        <f t="shared" si="12"/>
        <v>283</v>
      </c>
      <c r="C297" s="154">
        <f>'BC.116+240'!M296/1000</f>
        <v>3.4239999999999999</v>
      </c>
      <c r="D297" s="154">
        <f>'BC.116+240'!AA296</f>
        <v>4.2549999999999999</v>
      </c>
      <c r="E297" s="155">
        <f>'BC.116+240'!AB296</f>
        <v>2.6179999999999999</v>
      </c>
      <c r="F297" s="154">
        <f>VLOOKUP($A297,'BC.116+240'!$B$13:$X$4890,8,0)/1000</f>
        <v>2.931</v>
      </c>
      <c r="G297" s="154">
        <f>VLOOKUP($A297,'BC.116+240'!$B$13:$X$4890,9,0)/1000</f>
        <v>-1.069</v>
      </c>
      <c r="H297" s="154">
        <f>VLOOKUP($A297,'BC.116+240'!$B$13:$X$4890,14,0)/1000</f>
        <v>3.0339999999999998</v>
      </c>
      <c r="I297" s="154">
        <f>VLOOKUP($A297,'BC.116+240'!$B$13:$X$4890,15,0)/1000</f>
        <v>-0.96599999999999997</v>
      </c>
      <c r="J297" s="154">
        <f>VLOOKUP($A297,'BC.116+240'!$B$13:$X$4890,20,0)/1000</f>
        <v>3.16</v>
      </c>
      <c r="K297" s="154">
        <f>VLOOKUP($A297,'BC.116+240'!$B$13:$X$4890,21,0)/1000</f>
        <v>-0.84</v>
      </c>
      <c r="L297" s="152">
        <f t="shared" si="13"/>
        <v>-1109</v>
      </c>
      <c r="M297" s="153">
        <f t="shared" si="14"/>
        <v>-886</v>
      </c>
      <c r="N297" s="152">
        <f t="shared" si="15"/>
        <v>-809.99999999999989</v>
      </c>
      <c r="O297" s="152"/>
    </row>
    <row r="298" spans="1:15">
      <c r="A298" s="88">
        <f>'BC.116+240'!B297</f>
        <v>45565</v>
      </c>
      <c r="B298" s="152">
        <f t="shared" si="12"/>
        <v>284</v>
      </c>
      <c r="C298" s="154">
        <f>'BC.116+240'!M297/1000</f>
        <v>3.4180000000000001</v>
      </c>
      <c r="D298" s="154">
        <f>'BC.116+240'!AA297</f>
        <v>4.2549999999999999</v>
      </c>
      <c r="E298" s="155">
        <f>'BC.116+240'!AB297</f>
        <v>2.6059999999999999</v>
      </c>
      <c r="F298" s="154">
        <f>VLOOKUP($A298,'BC.116+240'!$B$13:$X$4890,8,0)/1000</f>
        <v>2.9260000000000002</v>
      </c>
      <c r="G298" s="154">
        <f>VLOOKUP($A298,'BC.116+240'!$B$13:$X$4890,9,0)/1000</f>
        <v>-1.0740000000000001</v>
      </c>
      <c r="H298" s="154">
        <f>VLOOKUP($A298,'BC.116+240'!$B$13:$X$4890,14,0)/1000</f>
        <v>3.028</v>
      </c>
      <c r="I298" s="154">
        <f>VLOOKUP($A298,'BC.116+240'!$B$13:$X$4890,15,0)/1000</f>
        <v>-0.97199999999999998</v>
      </c>
      <c r="J298" s="154">
        <f>VLOOKUP($A298,'BC.116+240'!$B$13:$X$4890,20,0)/1000</f>
        <v>3.1520000000000001</v>
      </c>
      <c r="K298" s="154">
        <f>VLOOKUP($A298,'BC.116+240'!$B$13:$X$4890,21,0)/1000</f>
        <v>-0.84799999999999998</v>
      </c>
      <c r="L298" s="152">
        <f t="shared" si="13"/>
        <v>-1114</v>
      </c>
      <c r="M298" s="153">
        <f t="shared" si="14"/>
        <v>-892</v>
      </c>
      <c r="N298" s="152">
        <f t="shared" si="15"/>
        <v>-818</v>
      </c>
      <c r="O298" s="152"/>
    </row>
    <row r="299" spans="1:15">
      <c r="A299" s="88">
        <f>'BC.116+240'!B298</f>
        <v>45566</v>
      </c>
      <c r="B299" s="152">
        <f t="shared" si="12"/>
        <v>285</v>
      </c>
      <c r="C299" s="154">
        <f>'BC.116+240'!M298/1000</f>
        <v>3.411</v>
      </c>
      <c r="D299" s="154">
        <f>'BC.116+240'!AA298</f>
        <v>4.2549999999999999</v>
      </c>
      <c r="E299" s="155">
        <f>'BC.116+240'!AB298</f>
        <v>2.5920000000000001</v>
      </c>
      <c r="F299" s="154">
        <f>VLOOKUP($A299,'BC.116+240'!$B$13:$X$4890,8,0)/1000</f>
        <v>2.923</v>
      </c>
      <c r="G299" s="154">
        <f>VLOOKUP($A299,'BC.116+240'!$B$13:$X$4890,9,0)/1000</f>
        <v>-1.077</v>
      </c>
      <c r="H299" s="154">
        <f>VLOOKUP($A299,'BC.116+240'!$B$13:$X$4890,14,0)/1000</f>
        <v>3.0209999999999999</v>
      </c>
      <c r="I299" s="154">
        <f>VLOOKUP($A299,'BC.116+240'!$B$13:$X$4890,15,0)/1000</f>
        <v>-0.97899999999999998</v>
      </c>
      <c r="J299" s="154">
        <f>VLOOKUP($A299,'BC.116+240'!$B$13:$X$4890,20,0)/1000</f>
        <v>3.1459999999999999</v>
      </c>
      <c r="K299" s="154">
        <f>VLOOKUP($A299,'BC.116+240'!$B$13:$X$4890,21,0)/1000</f>
        <v>-0.85399999999999998</v>
      </c>
      <c r="L299" s="152">
        <f t="shared" si="13"/>
        <v>-1117</v>
      </c>
      <c r="M299" s="153">
        <f t="shared" si="14"/>
        <v>-899</v>
      </c>
      <c r="N299" s="152">
        <f t="shared" si="15"/>
        <v>-824</v>
      </c>
      <c r="O299" s="152"/>
    </row>
    <row r="300" spans="1:15">
      <c r="A300" s="88">
        <f>'BC.116+240'!B299</f>
        <v>45567</v>
      </c>
      <c r="B300" s="152">
        <f t="shared" si="12"/>
        <v>286</v>
      </c>
      <c r="C300" s="154">
        <f>'BC.116+240'!M299/1000</f>
        <v>3.407</v>
      </c>
      <c r="D300" s="154">
        <f>'BC.116+240'!AA299</f>
        <v>4.2549999999999999</v>
      </c>
      <c r="E300" s="155">
        <f>'BC.116+240'!AB299</f>
        <v>2.5840000000000001</v>
      </c>
      <c r="F300" s="154">
        <f>VLOOKUP($A300,'BC.116+240'!$B$13:$X$4890,8,0)/1000</f>
        <v>2.9209999999999998</v>
      </c>
      <c r="G300" s="154">
        <f>VLOOKUP($A300,'BC.116+240'!$B$13:$X$4890,9,0)/1000</f>
        <v>-1.079</v>
      </c>
      <c r="H300" s="154">
        <f>VLOOKUP($A300,'BC.116+240'!$B$13:$X$4890,14,0)/1000</f>
        <v>3.0169999999999999</v>
      </c>
      <c r="I300" s="154">
        <f>VLOOKUP($A300,'BC.116+240'!$B$13:$X$4890,15,0)/1000</f>
        <v>-0.98299999999999998</v>
      </c>
      <c r="J300" s="154">
        <f>VLOOKUP($A300,'BC.116+240'!$B$13:$X$4890,20,0)/1000</f>
        <v>3.1389999999999998</v>
      </c>
      <c r="K300" s="154">
        <f>VLOOKUP($A300,'BC.116+240'!$B$13:$X$4890,21,0)/1000</f>
        <v>-0.86099999999999999</v>
      </c>
      <c r="L300" s="152">
        <f t="shared" si="13"/>
        <v>-1119</v>
      </c>
      <c r="M300" s="153">
        <f t="shared" si="14"/>
        <v>-903</v>
      </c>
      <c r="N300" s="152">
        <f t="shared" si="15"/>
        <v>-831</v>
      </c>
      <c r="O300" s="152"/>
    </row>
    <row r="301" spans="1:15">
      <c r="A301" s="88">
        <f>'BC.116+240'!B300</f>
        <v>45568</v>
      </c>
      <c r="B301" s="152">
        <f t="shared" si="12"/>
        <v>287</v>
      </c>
      <c r="C301" s="154">
        <f>'BC.116+240'!M300/1000</f>
        <v>3.4020000000000001</v>
      </c>
      <c r="D301" s="154">
        <f>'BC.116+240'!AA300</f>
        <v>4.2549999999999999</v>
      </c>
      <c r="E301" s="155">
        <f>'BC.116+240'!AB300</f>
        <v>2.5739999999999998</v>
      </c>
      <c r="F301" s="154">
        <f>VLOOKUP($A301,'BC.116+240'!$B$13:$X$4890,8,0)/1000</f>
        <v>2.919</v>
      </c>
      <c r="G301" s="154">
        <f>VLOOKUP($A301,'BC.116+240'!$B$13:$X$4890,9,0)/1000</f>
        <v>-1.081</v>
      </c>
      <c r="H301" s="154">
        <f>VLOOKUP($A301,'BC.116+240'!$B$13:$X$4890,14,0)/1000</f>
        <v>3.012</v>
      </c>
      <c r="I301" s="154">
        <f>VLOOKUP($A301,'BC.116+240'!$B$13:$X$4890,15,0)/1000</f>
        <v>-0.98799999999999999</v>
      </c>
      <c r="J301" s="154">
        <f>VLOOKUP($A301,'BC.116+240'!$B$13:$X$4890,20,0)/1000</f>
        <v>3.1349999999999998</v>
      </c>
      <c r="K301" s="154">
        <f>VLOOKUP($A301,'BC.116+240'!$B$13:$X$4890,21,0)/1000</f>
        <v>-0.86499999999999999</v>
      </c>
      <c r="L301" s="152">
        <f t="shared" si="13"/>
        <v>-1121</v>
      </c>
      <c r="M301" s="153">
        <f t="shared" si="14"/>
        <v>-908</v>
      </c>
      <c r="N301" s="152">
        <f t="shared" si="15"/>
        <v>-835</v>
      </c>
      <c r="O301" s="152"/>
    </row>
    <row r="302" spans="1:15">
      <c r="A302" s="88">
        <f>'BC.116+240'!B301</f>
        <v>45569</v>
      </c>
      <c r="B302" s="152">
        <f t="shared" si="12"/>
        <v>288</v>
      </c>
      <c r="C302" s="154">
        <f>'BC.116+240'!M301/1000</f>
        <v>3.399</v>
      </c>
      <c r="D302" s="154">
        <f>'BC.116+240'!AA301</f>
        <v>4.2549999999999999</v>
      </c>
      <c r="E302" s="155">
        <f>'BC.116+240'!AB301</f>
        <v>2.5680000000000001</v>
      </c>
      <c r="F302" s="154">
        <f>VLOOKUP($A302,'BC.116+240'!$B$13:$X$4890,8,0)/1000</f>
        <v>2.9180000000000001</v>
      </c>
      <c r="G302" s="154">
        <f>VLOOKUP($A302,'BC.116+240'!$B$13:$X$4890,9,0)/1000</f>
        <v>-1.0820000000000001</v>
      </c>
      <c r="H302" s="154">
        <f>VLOOKUP($A302,'BC.116+240'!$B$13:$X$4890,14,0)/1000</f>
        <v>3.0089999999999999</v>
      </c>
      <c r="I302" s="154">
        <f>VLOOKUP($A302,'BC.116+240'!$B$13:$X$4890,15,0)/1000</f>
        <v>-0.99099999999999999</v>
      </c>
      <c r="J302" s="154">
        <f>VLOOKUP($A302,'BC.116+240'!$B$13:$X$4890,20,0)/1000</f>
        <v>3.13</v>
      </c>
      <c r="K302" s="154">
        <f>VLOOKUP($A302,'BC.116+240'!$B$13:$X$4890,21,0)/1000</f>
        <v>-0.87</v>
      </c>
      <c r="L302" s="152">
        <f t="shared" si="13"/>
        <v>-1122</v>
      </c>
      <c r="M302" s="153">
        <f t="shared" si="14"/>
        <v>-911</v>
      </c>
      <c r="N302" s="152">
        <f t="shared" si="15"/>
        <v>-840</v>
      </c>
      <c r="O302" s="152"/>
    </row>
    <row r="303" spans="1:15">
      <c r="A303" s="88">
        <f>'BC.116+240'!B302</f>
        <v>45570</v>
      </c>
      <c r="B303" s="152">
        <f t="shared" si="12"/>
        <v>289</v>
      </c>
      <c r="C303" s="154">
        <f>'BC.116+240'!M302/1000</f>
        <v>3.3969999999999998</v>
      </c>
      <c r="D303" s="154">
        <f>'BC.116+240'!AA302</f>
        <v>4.2549999999999999</v>
      </c>
      <c r="E303" s="155">
        <f>'BC.116+240'!AB302</f>
        <v>2.5640000000000001</v>
      </c>
      <c r="F303" s="154">
        <f>VLOOKUP($A303,'BC.116+240'!$B$13:$X$4890,8,0)/1000</f>
        <v>2.9159999999999999</v>
      </c>
      <c r="G303" s="154">
        <f>VLOOKUP($A303,'BC.116+240'!$B$13:$X$4890,9,0)/1000</f>
        <v>-1.0840000000000001</v>
      </c>
      <c r="H303" s="154">
        <f>VLOOKUP($A303,'BC.116+240'!$B$13:$X$4890,14,0)/1000</f>
        <v>3.0070000000000001</v>
      </c>
      <c r="I303" s="154">
        <f>VLOOKUP($A303,'BC.116+240'!$B$13:$X$4890,15,0)/1000</f>
        <v>-0.99299999999999999</v>
      </c>
      <c r="J303" s="154">
        <f>VLOOKUP($A303,'BC.116+240'!$B$13:$X$4890,20,0)/1000</f>
        <v>3.1269999999999998</v>
      </c>
      <c r="K303" s="154">
        <f>VLOOKUP($A303,'BC.116+240'!$B$13:$X$4890,21,0)/1000</f>
        <v>-0.873</v>
      </c>
      <c r="L303" s="152">
        <f t="shared" si="13"/>
        <v>-1124</v>
      </c>
      <c r="M303" s="153">
        <f t="shared" si="14"/>
        <v>-913</v>
      </c>
      <c r="N303" s="152">
        <f t="shared" si="15"/>
        <v>-843</v>
      </c>
      <c r="O303" s="152"/>
    </row>
    <row r="304" spans="1:15">
      <c r="A304" s="88">
        <f>'BC.116+240'!B303</f>
        <v>45571</v>
      </c>
      <c r="B304" s="152">
        <f t="shared" si="12"/>
        <v>290</v>
      </c>
      <c r="C304" s="154">
        <f>'BC.116+240'!M303/1000</f>
        <v>3.395</v>
      </c>
      <c r="D304" s="154">
        <f>'BC.116+240'!AA303</f>
        <v>4.2549999999999999</v>
      </c>
      <c r="E304" s="155">
        <f>'BC.116+240'!AB303</f>
        <v>2.56</v>
      </c>
      <c r="F304" s="154">
        <f>VLOOKUP($A304,'BC.116+240'!$B$13:$X$4890,8,0)/1000</f>
        <v>2.911</v>
      </c>
      <c r="G304" s="154">
        <f>VLOOKUP($A304,'BC.116+240'!$B$13:$X$4890,9,0)/1000</f>
        <v>-1.089</v>
      </c>
      <c r="H304" s="154">
        <f>VLOOKUP($A304,'BC.116+240'!$B$13:$X$4890,14,0)/1000</f>
        <v>3.0049999999999999</v>
      </c>
      <c r="I304" s="154">
        <f>VLOOKUP($A304,'BC.116+240'!$B$13:$X$4890,15,0)/1000</f>
        <v>-0.995</v>
      </c>
      <c r="J304" s="154">
        <f>VLOOKUP($A304,'BC.116+240'!$B$13:$X$4890,20,0)/1000</f>
        <v>3.125</v>
      </c>
      <c r="K304" s="154">
        <f>VLOOKUP($A304,'BC.116+240'!$B$13:$X$4890,21,0)/1000</f>
        <v>-0.875</v>
      </c>
      <c r="L304" s="152">
        <f t="shared" si="13"/>
        <v>-1129</v>
      </c>
      <c r="M304" s="153">
        <f t="shared" si="14"/>
        <v>-915</v>
      </c>
      <c r="N304" s="152">
        <f t="shared" si="15"/>
        <v>-845</v>
      </c>
      <c r="O304" s="152"/>
    </row>
    <row r="305" spans="1:15">
      <c r="A305" s="88">
        <f>'BC.116+240'!B304</f>
        <v>45572</v>
      </c>
      <c r="B305" s="152">
        <f t="shared" si="12"/>
        <v>291</v>
      </c>
      <c r="C305" s="154">
        <f>'BC.116+240'!M304/1000</f>
        <v>3.3940000000000001</v>
      </c>
      <c r="D305" s="154">
        <f>'BC.116+240'!AA304</f>
        <v>4.2549999999999999</v>
      </c>
      <c r="E305" s="155">
        <f>'BC.116+240'!AB304</f>
        <v>2.5579999999999998</v>
      </c>
      <c r="F305" s="154">
        <f>VLOOKUP($A305,'BC.116+240'!$B$13:$X$4890,8,0)/1000</f>
        <v>2.9060000000000001</v>
      </c>
      <c r="G305" s="154">
        <f>VLOOKUP($A305,'BC.116+240'!$B$13:$X$4890,9,0)/1000</f>
        <v>-1.0940000000000001</v>
      </c>
      <c r="H305" s="154">
        <f>VLOOKUP($A305,'BC.116+240'!$B$13:$X$4890,14,0)/1000</f>
        <v>3.004</v>
      </c>
      <c r="I305" s="154">
        <f>VLOOKUP($A305,'BC.116+240'!$B$13:$X$4890,15,0)/1000</f>
        <v>-0.996</v>
      </c>
      <c r="J305" s="154">
        <f>VLOOKUP($A305,'BC.116+240'!$B$13:$X$4890,20,0)/1000</f>
        <v>3.1230000000000002</v>
      </c>
      <c r="K305" s="154">
        <f>VLOOKUP($A305,'BC.116+240'!$B$13:$X$4890,21,0)/1000</f>
        <v>-0.877</v>
      </c>
      <c r="L305" s="152">
        <f t="shared" si="13"/>
        <v>-1134.0000000000002</v>
      </c>
      <c r="M305" s="153">
        <f t="shared" si="14"/>
        <v>-916</v>
      </c>
      <c r="N305" s="152">
        <f t="shared" si="15"/>
        <v>-847</v>
      </c>
      <c r="O305" s="152"/>
    </row>
    <row r="306" spans="1:15">
      <c r="A306" s="88">
        <f>'BC.116+240'!B305</f>
        <v>45573</v>
      </c>
      <c r="B306" s="152">
        <f t="shared" si="12"/>
        <v>292</v>
      </c>
      <c r="C306" s="154">
        <f>'BC.116+240'!M305/1000</f>
        <v>3.3919999999999999</v>
      </c>
      <c r="D306" s="154">
        <f>'BC.116+240'!AA305</f>
        <v>4.2549999999999999</v>
      </c>
      <c r="E306" s="155">
        <f>'BC.116+240'!AB305</f>
        <v>2.5539999999999998</v>
      </c>
      <c r="F306" s="154">
        <f>VLOOKUP($A306,'BC.116+240'!$B$13:$X$4890,8,0)/1000</f>
        <v>2.903</v>
      </c>
      <c r="G306" s="154">
        <f>VLOOKUP($A306,'BC.116+240'!$B$13:$X$4890,9,0)/1000</f>
        <v>-1.097</v>
      </c>
      <c r="H306" s="154">
        <f>VLOOKUP($A306,'BC.116+240'!$B$13:$X$4890,14,0)/1000</f>
        <v>3.0019999999999998</v>
      </c>
      <c r="I306" s="154">
        <f>VLOOKUP($A306,'BC.116+240'!$B$13:$X$4890,15,0)/1000</f>
        <v>-0.998</v>
      </c>
      <c r="J306" s="154">
        <f>VLOOKUP($A306,'BC.116+240'!$B$13:$X$4890,20,0)/1000</f>
        <v>3.1219999999999999</v>
      </c>
      <c r="K306" s="154">
        <f>VLOOKUP($A306,'BC.116+240'!$B$13:$X$4890,21,0)/1000</f>
        <v>-0.878</v>
      </c>
      <c r="L306" s="152">
        <f t="shared" si="13"/>
        <v>-1137</v>
      </c>
      <c r="M306" s="153">
        <f t="shared" si="14"/>
        <v>-918</v>
      </c>
      <c r="N306" s="152">
        <f t="shared" si="15"/>
        <v>-848</v>
      </c>
      <c r="O306" s="152"/>
    </row>
    <row r="307" spans="1:15">
      <c r="A307" s="88">
        <f>'BC.116+240'!B306</f>
        <v>45574</v>
      </c>
      <c r="B307" s="152">
        <f t="shared" si="12"/>
        <v>293</v>
      </c>
      <c r="C307" s="154">
        <f>'BC.116+240'!M306/1000</f>
        <v>3.387</v>
      </c>
      <c r="D307" s="154">
        <f>'BC.116+240'!AA306</f>
        <v>4.2549999999999999</v>
      </c>
      <c r="E307" s="155">
        <f>'BC.116+240'!AB306</f>
        <v>2.544</v>
      </c>
      <c r="F307" s="154">
        <f>VLOOKUP($A307,'BC.116+240'!$B$13:$X$4890,8,0)/1000</f>
        <v>2.9009999999999998</v>
      </c>
      <c r="G307" s="154">
        <f>VLOOKUP($A307,'BC.116+240'!$B$13:$X$4890,9,0)/1000</f>
        <v>-1.099</v>
      </c>
      <c r="H307" s="154">
        <f>VLOOKUP($A307,'BC.116+240'!$B$13:$X$4890,14,0)/1000</f>
        <v>2.9969999999999999</v>
      </c>
      <c r="I307" s="154">
        <f>VLOOKUP($A307,'BC.116+240'!$B$13:$X$4890,15,0)/1000</f>
        <v>-1.0029999999999999</v>
      </c>
      <c r="J307" s="154">
        <f>VLOOKUP($A307,'BC.116+240'!$B$13:$X$4890,20,0)/1000</f>
        <v>3.12</v>
      </c>
      <c r="K307" s="154">
        <f>VLOOKUP($A307,'BC.116+240'!$B$13:$X$4890,21,0)/1000</f>
        <v>-0.88</v>
      </c>
      <c r="L307" s="152">
        <f t="shared" si="13"/>
        <v>-1139</v>
      </c>
      <c r="M307" s="153">
        <f t="shared" si="14"/>
        <v>-922.99999999999989</v>
      </c>
      <c r="N307" s="152">
        <f t="shared" si="15"/>
        <v>-850</v>
      </c>
      <c r="O307" s="152"/>
    </row>
    <row r="308" spans="1:15">
      <c r="A308" s="88">
        <f>'BC.116+240'!B307</f>
        <v>45575</v>
      </c>
      <c r="B308" s="152">
        <f t="shared" si="12"/>
        <v>294</v>
      </c>
      <c r="C308" s="154">
        <f>'BC.116+240'!M307/1000</f>
        <v>3.3820000000000001</v>
      </c>
      <c r="D308" s="154">
        <f>'BC.116+240'!AA307</f>
        <v>4.2549999999999999</v>
      </c>
      <c r="E308" s="155">
        <f>'BC.116+240'!AB307</f>
        <v>2.5339999999999998</v>
      </c>
      <c r="F308" s="154">
        <f>VLOOKUP($A308,'BC.116+240'!$B$13:$X$4890,8,0)/1000</f>
        <v>2.9</v>
      </c>
      <c r="G308" s="154">
        <f>VLOOKUP($A308,'BC.116+240'!$B$13:$X$4890,9,0)/1000</f>
        <v>-1.1000000000000001</v>
      </c>
      <c r="H308" s="154">
        <f>VLOOKUP($A308,'BC.116+240'!$B$13:$X$4890,14,0)/1000</f>
        <v>2.992</v>
      </c>
      <c r="I308" s="154">
        <f>VLOOKUP($A308,'BC.116+240'!$B$13:$X$4890,15,0)/1000</f>
        <v>-1.008</v>
      </c>
      <c r="J308" s="154">
        <f>VLOOKUP($A308,'BC.116+240'!$B$13:$X$4890,20,0)/1000</f>
        <v>3.1150000000000002</v>
      </c>
      <c r="K308" s="154">
        <f>VLOOKUP($A308,'BC.116+240'!$B$13:$X$4890,21,0)/1000</f>
        <v>-0.88500000000000001</v>
      </c>
      <c r="L308" s="152">
        <f t="shared" si="13"/>
        <v>-1140.0000000000002</v>
      </c>
      <c r="M308" s="153">
        <f t="shared" si="14"/>
        <v>-928</v>
      </c>
      <c r="N308" s="152">
        <f t="shared" si="15"/>
        <v>-855</v>
      </c>
      <c r="O308" s="152"/>
    </row>
    <row r="309" spans="1:15">
      <c r="A309" s="88">
        <f>'BC.116+240'!B308</f>
        <v>45576</v>
      </c>
      <c r="B309" s="152">
        <f t="shared" ref="B309:B372" si="16">+B308+1</f>
        <v>295</v>
      </c>
      <c r="C309" s="154">
        <f>'BC.116+240'!M308/1000</f>
        <v>3.38</v>
      </c>
      <c r="D309" s="154">
        <f>'BC.116+240'!AA308</f>
        <v>4.2549999999999999</v>
      </c>
      <c r="E309" s="155">
        <f>'BC.116+240'!AB308</f>
        <v>2.5299999999999998</v>
      </c>
      <c r="F309" s="154">
        <f>VLOOKUP($A309,'BC.116+240'!$B$13:$X$4890,8,0)/1000</f>
        <v>2.8969999999999998</v>
      </c>
      <c r="G309" s="154">
        <f>VLOOKUP($A309,'BC.116+240'!$B$13:$X$4890,9,0)/1000</f>
        <v>-1.103</v>
      </c>
      <c r="H309" s="154">
        <f>VLOOKUP($A309,'BC.116+240'!$B$13:$X$4890,14,0)/1000</f>
        <v>2.99</v>
      </c>
      <c r="I309" s="154">
        <f>VLOOKUP($A309,'BC.116+240'!$B$13:$X$4890,15,0)/1000</f>
        <v>-1.01</v>
      </c>
      <c r="J309" s="154">
        <f>VLOOKUP($A309,'BC.116+240'!$B$13:$X$4890,20,0)/1000</f>
        <v>3.11</v>
      </c>
      <c r="K309" s="154">
        <f>VLOOKUP($A309,'BC.116+240'!$B$13:$X$4890,21,0)/1000</f>
        <v>-0.89</v>
      </c>
      <c r="L309" s="152">
        <f t="shared" si="13"/>
        <v>-1143</v>
      </c>
      <c r="M309" s="153">
        <f t="shared" si="14"/>
        <v>-930</v>
      </c>
      <c r="N309" s="152">
        <f t="shared" si="15"/>
        <v>-860</v>
      </c>
      <c r="O309" s="152"/>
    </row>
    <row r="310" spans="1:15">
      <c r="A310" s="88">
        <f>'BC.116+240'!B309</f>
        <v>45577</v>
      </c>
      <c r="B310" s="152">
        <f t="shared" si="16"/>
        <v>296</v>
      </c>
      <c r="C310" s="154">
        <f>'BC.116+240'!M309/1000</f>
        <v>3.3780000000000001</v>
      </c>
      <c r="D310" s="154">
        <f>'BC.116+240'!AA309</f>
        <v>4.2549999999999999</v>
      </c>
      <c r="E310" s="155">
        <f>'BC.116+240'!AB309</f>
        <v>2.5259999999999998</v>
      </c>
      <c r="F310" s="154">
        <f>VLOOKUP($A310,'BC.116+240'!$B$13:$X$4890,8,0)/1000</f>
        <v>2.895</v>
      </c>
      <c r="G310" s="154">
        <f>VLOOKUP($A310,'BC.116+240'!$B$13:$X$4890,9,0)/1000</f>
        <v>-1.105</v>
      </c>
      <c r="H310" s="154">
        <f>VLOOKUP($A310,'BC.116+240'!$B$13:$X$4890,14,0)/1000</f>
        <v>2.988</v>
      </c>
      <c r="I310" s="154">
        <f>VLOOKUP($A310,'BC.116+240'!$B$13:$X$4890,15,0)/1000</f>
        <v>-1.012</v>
      </c>
      <c r="J310" s="154">
        <f>VLOOKUP($A310,'BC.116+240'!$B$13:$X$4890,20,0)/1000</f>
        <v>3.105</v>
      </c>
      <c r="K310" s="154">
        <f>VLOOKUP($A310,'BC.116+240'!$B$13:$X$4890,21,0)/1000</f>
        <v>-0.89500000000000002</v>
      </c>
      <c r="L310" s="152">
        <f t="shared" si="13"/>
        <v>-1145</v>
      </c>
      <c r="M310" s="153">
        <f t="shared" si="14"/>
        <v>-932</v>
      </c>
      <c r="N310" s="152">
        <f t="shared" si="15"/>
        <v>-865</v>
      </c>
      <c r="O310" s="152"/>
    </row>
    <row r="311" spans="1:15">
      <c r="A311" s="88">
        <f>'BC.116+240'!B310</f>
        <v>45578</v>
      </c>
      <c r="B311" s="152">
        <f t="shared" si="16"/>
        <v>297</v>
      </c>
      <c r="C311" s="154">
        <f>'BC.116+240'!M310/1000</f>
        <v>3.3730000000000002</v>
      </c>
      <c r="D311" s="154">
        <f>'BC.116+240'!AA310</f>
        <v>4.2549999999999999</v>
      </c>
      <c r="E311" s="155">
        <f>'BC.116+240'!AB310</f>
        <v>2.516</v>
      </c>
      <c r="F311" s="154">
        <f>VLOOKUP($A311,'BC.116+240'!$B$13:$X$4890,8,0)/1000</f>
        <v>2.8940000000000001</v>
      </c>
      <c r="G311" s="154">
        <f>VLOOKUP($A311,'BC.116+240'!$B$13:$X$4890,9,0)/1000</f>
        <v>-1.1060000000000001</v>
      </c>
      <c r="H311" s="154">
        <f>VLOOKUP($A311,'BC.116+240'!$B$13:$X$4890,14,0)/1000</f>
        <v>2.9830000000000001</v>
      </c>
      <c r="I311" s="154">
        <f>VLOOKUP($A311,'BC.116+240'!$B$13:$X$4890,15,0)/1000</f>
        <v>-1.0169999999999999</v>
      </c>
      <c r="J311" s="154">
        <f>VLOOKUP($A311,'BC.116+240'!$B$13:$X$4890,20,0)/1000</f>
        <v>3.1030000000000002</v>
      </c>
      <c r="K311" s="154">
        <f>VLOOKUP($A311,'BC.116+240'!$B$13:$X$4890,21,0)/1000</f>
        <v>-0.89700000000000002</v>
      </c>
      <c r="L311" s="152">
        <f t="shared" si="13"/>
        <v>-1146.0000000000002</v>
      </c>
      <c r="M311" s="153">
        <f t="shared" si="14"/>
        <v>-937</v>
      </c>
      <c r="N311" s="152">
        <f t="shared" si="15"/>
        <v>-867</v>
      </c>
      <c r="O311" s="152"/>
    </row>
    <row r="312" spans="1:15">
      <c r="A312" s="88">
        <f>'BC.116+240'!B311</f>
        <v>45579</v>
      </c>
      <c r="B312" s="152">
        <f t="shared" si="16"/>
        <v>298</v>
      </c>
      <c r="C312" s="154">
        <f>'BC.116+240'!M311/1000</f>
        <v>3.371</v>
      </c>
      <c r="D312" s="154">
        <f>'BC.116+240'!AA311</f>
        <v>4.2549999999999999</v>
      </c>
      <c r="E312" s="155">
        <f>'BC.116+240'!AB311</f>
        <v>2.512</v>
      </c>
      <c r="F312" s="154">
        <f>VLOOKUP($A312,'BC.116+240'!$B$13:$X$4890,8,0)/1000</f>
        <v>2.8919999999999999</v>
      </c>
      <c r="G312" s="154">
        <f>VLOOKUP($A312,'BC.116+240'!$B$13:$X$4890,9,0)/1000</f>
        <v>-1.1080000000000001</v>
      </c>
      <c r="H312" s="154">
        <f>VLOOKUP($A312,'BC.116+240'!$B$13:$X$4890,14,0)/1000</f>
        <v>2.9809999999999999</v>
      </c>
      <c r="I312" s="154">
        <f>VLOOKUP($A312,'BC.116+240'!$B$13:$X$4890,15,0)/1000</f>
        <v>-1.0189999999999999</v>
      </c>
      <c r="J312" s="154">
        <f>VLOOKUP($A312,'BC.116+240'!$B$13:$X$4890,20,0)/1000</f>
        <v>3.0979999999999999</v>
      </c>
      <c r="K312" s="154">
        <f>VLOOKUP($A312,'BC.116+240'!$B$13:$X$4890,21,0)/1000</f>
        <v>-0.90200000000000002</v>
      </c>
      <c r="L312" s="152">
        <f t="shared" si="13"/>
        <v>-1148.0000000000002</v>
      </c>
      <c r="M312" s="153">
        <f t="shared" si="14"/>
        <v>-939</v>
      </c>
      <c r="N312" s="152">
        <f t="shared" si="15"/>
        <v>-872</v>
      </c>
      <c r="O312" s="152"/>
    </row>
    <row r="313" spans="1:15">
      <c r="A313" s="88">
        <f>'BC.116+240'!B312</f>
        <v>45580</v>
      </c>
      <c r="B313" s="152">
        <f t="shared" si="16"/>
        <v>299</v>
      </c>
      <c r="C313" s="154">
        <f>'BC.116+240'!M312/1000</f>
        <v>3.3660000000000001</v>
      </c>
      <c r="D313" s="154">
        <f>'BC.116+240'!AA312</f>
        <v>4.2549999999999999</v>
      </c>
      <c r="E313" s="155">
        <f>'BC.116+240'!AB312</f>
        <v>2.5019999999999998</v>
      </c>
      <c r="F313" s="154">
        <f>VLOOKUP($A313,'BC.116+240'!$B$13:$X$4890,8,0)/1000</f>
        <v>2.891</v>
      </c>
      <c r="G313" s="154">
        <f>VLOOKUP($A313,'BC.116+240'!$B$13:$X$4890,9,0)/1000</f>
        <v>-1.109</v>
      </c>
      <c r="H313" s="154">
        <f>VLOOKUP($A313,'BC.116+240'!$B$13:$X$4890,14,0)/1000</f>
        <v>2.976</v>
      </c>
      <c r="I313" s="154">
        <f>VLOOKUP($A313,'BC.116+240'!$B$13:$X$4890,15,0)/1000</f>
        <v>-1.024</v>
      </c>
      <c r="J313" s="154">
        <f>VLOOKUP($A313,'BC.116+240'!$B$13:$X$4890,20,0)/1000</f>
        <v>3.093</v>
      </c>
      <c r="K313" s="154">
        <f>VLOOKUP($A313,'BC.116+240'!$B$13:$X$4890,21,0)/1000</f>
        <v>-0.90700000000000003</v>
      </c>
      <c r="L313" s="152">
        <f t="shared" si="13"/>
        <v>-1149</v>
      </c>
      <c r="M313" s="153">
        <f t="shared" si="14"/>
        <v>-944.00000000000011</v>
      </c>
      <c r="N313" s="152">
        <f t="shared" si="15"/>
        <v>-877</v>
      </c>
      <c r="O313" s="152"/>
    </row>
    <row r="314" spans="1:15">
      <c r="A314" s="88">
        <f>'BC.116+240'!B313</f>
        <v>45581</v>
      </c>
      <c r="B314" s="152">
        <f t="shared" si="16"/>
        <v>300</v>
      </c>
      <c r="C314" s="154">
        <f>'BC.116+240'!M313/1000</f>
        <v>3.363</v>
      </c>
      <c r="D314" s="154">
        <f>'BC.116+240'!AA313</f>
        <v>4.2549999999999999</v>
      </c>
      <c r="E314" s="155">
        <f>'BC.116+240'!AB313</f>
        <v>2.496</v>
      </c>
      <c r="F314" s="154">
        <f>VLOOKUP($A314,'BC.116+240'!$B$13:$X$4890,8,0)/1000</f>
        <v>2.89</v>
      </c>
      <c r="G314" s="154">
        <f>VLOOKUP($A314,'BC.116+240'!$B$13:$X$4890,9,0)/1000</f>
        <v>-1.1100000000000001</v>
      </c>
      <c r="H314" s="154">
        <f>VLOOKUP($A314,'BC.116+240'!$B$13:$X$4890,14,0)/1000</f>
        <v>2.9729999999999999</v>
      </c>
      <c r="I314" s="154">
        <f>VLOOKUP($A314,'BC.116+240'!$B$13:$X$4890,15,0)/1000</f>
        <v>-1.0269999999999999</v>
      </c>
      <c r="J314" s="154">
        <f>VLOOKUP($A314,'BC.116+240'!$B$13:$X$4890,20,0)/1000</f>
        <v>3.0910000000000002</v>
      </c>
      <c r="K314" s="154">
        <f>VLOOKUP($A314,'BC.116+240'!$B$13:$X$4890,21,0)/1000</f>
        <v>-0.90900000000000003</v>
      </c>
      <c r="L314" s="152">
        <f t="shared" si="13"/>
        <v>-1150.0000000000002</v>
      </c>
      <c r="M314" s="153">
        <f t="shared" si="14"/>
        <v>-947</v>
      </c>
      <c r="N314" s="152">
        <f t="shared" si="15"/>
        <v>-879</v>
      </c>
      <c r="O314" s="152"/>
    </row>
    <row r="315" spans="1:15">
      <c r="A315" s="88">
        <f>'BC.116+240'!B314</f>
        <v>45582</v>
      </c>
      <c r="B315" s="152">
        <f t="shared" si="16"/>
        <v>301</v>
      </c>
      <c r="C315" s="154">
        <f>'BC.116+240'!M314/1000</f>
        <v>3.3610000000000002</v>
      </c>
      <c r="D315" s="154">
        <f>'BC.116+240'!AA314</f>
        <v>4.2549999999999999</v>
      </c>
      <c r="E315" s="155">
        <f>'BC.116+240'!AB314</f>
        <v>2.492</v>
      </c>
      <c r="F315" s="154">
        <f>VLOOKUP($A315,'BC.116+240'!$B$13:$X$4890,8,0)/1000</f>
        <v>2.8879999999999999</v>
      </c>
      <c r="G315" s="154">
        <f>VLOOKUP($A315,'BC.116+240'!$B$13:$X$4890,9,0)/1000</f>
        <v>-1.1120000000000001</v>
      </c>
      <c r="H315" s="154">
        <f>VLOOKUP($A315,'BC.116+240'!$B$13:$X$4890,14,0)/1000</f>
        <v>2.9710000000000001</v>
      </c>
      <c r="I315" s="154">
        <f>VLOOKUP($A315,'BC.116+240'!$B$13:$X$4890,15,0)/1000</f>
        <v>-1.0289999999999999</v>
      </c>
      <c r="J315" s="154">
        <f>VLOOKUP($A315,'BC.116+240'!$B$13:$X$4890,20,0)/1000</f>
        <v>3.09</v>
      </c>
      <c r="K315" s="154">
        <f>VLOOKUP($A315,'BC.116+240'!$B$13:$X$4890,21,0)/1000</f>
        <v>-0.91</v>
      </c>
      <c r="L315" s="152">
        <f t="shared" si="13"/>
        <v>-1152.0000000000002</v>
      </c>
      <c r="M315" s="153">
        <f t="shared" si="14"/>
        <v>-949</v>
      </c>
      <c r="N315" s="152">
        <f t="shared" si="15"/>
        <v>-880</v>
      </c>
      <c r="O315" s="152"/>
    </row>
    <row r="316" spans="1:15">
      <c r="A316" s="88">
        <f>'BC.116+240'!B315</f>
        <v>45583</v>
      </c>
      <c r="B316" s="152">
        <f t="shared" si="16"/>
        <v>302</v>
      </c>
      <c r="C316" s="154">
        <f>'BC.116+240'!M315/1000</f>
        <v>3.3559999999999999</v>
      </c>
      <c r="D316" s="154">
        <f>'BC.116+240'!AA315</f>
        <v>4.2549999999999999</v>
      </c>
      <c r="E316" s="155">
        <f>'BC.116+240'!AB315</f>
        <v>2.4820000000000002</v>
      </c>
      <c r="F316" s="154">
        <f>VLOOKUP($A316,'BC.116+240'!$B$13:$X$4890,8,0)/1000</f>
        <v>2.8860000000000001</v>
      </c>
      <c r="G316" s="154">
        <f>VLOOKUP($A316,'BC.116+240'!$B$13:$X$4890,9,0)/1000</f>
        <v>-1.1140000000000001</v>
      </c>
      <c r="H316" s="154">
        <f>VLOOKUP($A316,'BC.116+240'!$B$13:$X$4890,14,0)/1000</f>
        <v>2.9660000000000002</v>
      </c>
      <c r="I316" s="154">
        <f>VLOOKUP($A316,'BC.116+240'!$B$13:$X$4890,15,0)/1000</f>
        <v>-1.034</v>
      </c>
      <c r="J316" s="154">
        <f>VLOOKUP($A316,'BC.116+240'!$B$13:$X$4890,20,0)/1000</f>
        <v>3.0880000000000001</v>
      </c>
      <c r="K316" s="154">
        <f>VLOOKUP($A316,'BC.116+240'!$B$13:$X$4890,21,0)/1000</f>
        <v>-0.91200000000000003</v>
      </c>
      <c r="L316" s="152">
        <f t="shared" si="13"/>
        <v>-1154.0000000000002</v>
      </c>
      <c r="M316" s="153">
        <f t="shared" si="14"/>
        <v>-954.00000000000011</v>
      </c>
      <c r="N316" s="152">
        <f t="shared" si="15"/>
        <v>-882</v>
      </c>
      <c r="O316" s="152"/>
    </row>
    <row r="317" spans="1:15">
      <c r="A317" s="88">
        <f>'BC.116+240'!B316</f>
        <v>45584</v>
      </c>
      <c r="B317" s="152">
        <f t="shared" si="16"/>
        <v>303</v>
      </c>
      <c r="C317" s="154">
        <f>'BC.116+240'!M316/1000</f>
        <v>3.351</v>
      </c>
      <c r="D317" s="154">
        <f>'BC.116+240'!AA316</f>
        <v>4.2549999999999999</v>
      </c>
      <c r="E317" s="155">
        <f>'BC.116+240'!AB316</f>
        <v>2.472</v>
      </c>
      <c r="F317" s="154">
        <f>VLOOKUP($A317,'BC.116+240'!$B$13:$X$4890,8,0)/1000</f>
        <v>2.8839999999999999</v>
      </c>
      <c r="G317" s="154">
        <f>VLOOKUP($A317,'BC.116+240'!$B$13:$X$4890,9,0)/1000</f>
        <v>-1.1160000000000001</v>
      </c>
      <c r="H317" s="154">
        <f>VLOOKUP($A317,'BC.116+240'!$B$13:$X$4890,14,0)/1000</f>
        <v>2.9609999999999999</v>
      </c>
      <c r="I317" s="154">
        <f>VLOOKUP($A317,'BC.116+240'!$B$13:$X$4890,15,0)/1000</f>
        <v>-1.0389999999999999</v>
      </c>
      <c r="J317" s="154">
        <f>VLOOKUP($A317,'BC.116+240'!$B$13:$X$4890,20,0)/1000</f>
        <v>3.0859999999999999</v>
      </c>
      <c r="K317" s="154">
        <f>VLOOKUP($A317,'BC.116+240'!$B$13:$X$4890,21,0)/1000</f>
        <v>-0.91400000000000003</v>
      </c>
      <c r="L317" s="152">
        <f t="shared" si="13"/>
        <v>-1156.0000000000002</v>
      </c>
      <c r="M317" s="153">
        <f t="shared" si="14"/>
        <v>-959</v>
      </c>
      <c r="N317" s="152">
        <f t="shared" si="15"/>
        <v>-884</v>
      </c>
      <c r="O317" s="152"/>
    </row>
    <row r="318" spans="1:15">
      <c r="A318" s="88">
        <f>'BC.116+240'!B317</f>
        <v>45585</v>
      </c>
      <c r="B318" s="152">
        <f t="shared" si="16"/>
        <v>304</v>
      </c>
      <c r="C318" s="154">
        <f>'BC.116+240'!M317/1000</f>
        <v>3.347</v>
      </c>
      <c r="D318" s="154">
        <f>'BC.116+240'!AA317</f>
        <v>4.2549999999999999</v>
      </c>
      <c r="E318" s="155">
        <f>'BC.116+240'!AB317</f>
        <v>2.464</v>
      </c>
      <c r="F318" s="154">
        <f>VLOOKUP($A318,'BC.116+240'!$B$13:$X$4890,8,0)/1000</f>
        <v>2.8820000000000001</v>
      </c>
      <c r="G318" s="154">
        <f>VLOOKUP($A318,'BC.116+240'!$B$13:$X$4890,9,0)/1000</f>
        <v>-1.1180000000000001</v>
      </c>
      <c r="H318" s="154">
        <f>VLOOKUP($A318,'BC.116+240'!$B$13:$X$4890,14,0)/1000</f>
        <v>2.9569999999999999</v>
      </c>
      <c r="I318" s="154">
        <f>VLOOKUP($A318,'BC.116+240'!$B$13:$X$4890,15,0)/1000</f>
        <v>-1.0429999999999999</v>
      </c>
      <c r="J318" s="154">
        <f>VLOOKUP($A318,'BC.116+240'!$B$13:$X$4890,20,0)/1000</f>
        <v>3.0840000000000001</v>
      </c>
      <c r="K318" s="154">
        <f>VLOOKUP($A318,'BC.116+240'!$B$13:$X$4890,21,0)/1000</f>
        <v>-0.91600000000000004</v>
      </c>
      <c r="L318" s="152">
        <f t="shared" si="13"/>
        <v>-1158.0000000000002</v>
      </c>
      <c r="M318" s="153">
        <f t="shared" si="14"/>
        <v>-963</v>
      </c>
      <c r="N318" s="152">
        <f t="shared" si="15"/>
        <v>-886</v>
      </c>
      <c r="O318" s="152"/>
    </row>
    <row r="319" spans="1:15">
      <c r="A319" s="88">
        <f>'BC.116+240'!B318</f>
        <v>45586</v>
      </c>
      <c r="B319" s="152">
        <f t="shared" si="16"/>
        <v>305</v>
      </c>
      <c r="C319" s="154">
        <f>'BC.116+240'!M318/1000</f>
        <v>3.3439999999999999</v>
      </c>
      <c r="D319" s="154">
        <f>'BC.116+240'!AA318</f>
        <v>4.2549999999999999</v>
      </c>
      <c r="E319" s="155">
        <f>'BC.116+240'!AB318</f>
        <v>2.4580000000000002</v>
      </c>
      <c r="F319" s="154">
        <f>VLOOKUP($A319,'BC.116+240'!$B$13:$X$4890,8,0)/1000</f>
        <v>2.8809999999999998</v>
      </c>
      <c r="G319" s="154">
        <f>VLOOKUP($A319,'BC.116+240'!$B$13:$X$4890,9,0)/1000</f>
        <v>-1.119</v>
      </c>
      <c r="H319" s="154">
        <f>VLOOKUP($A319,'BC.116+240'!$B$13:$X$4890,14,0)/1000</f>
        <v>2.9540000000000002</v>
      </c>
      <c r="I319" s="154">
        <f>VLOOKUP($A319,'BC.116+240'!$B$13:$X$4890,15,0)/1000</f>
        <v>-1.046</v>
      </c>
      <c r="J319" s="154">
        <f>VLOOKUP($A319,'BC.116+240'!$B$13:$X$4890,20,0)/1000</f>
        <v>3.0830000000000002</v>
      </c>
      <c r="K319" s="154">
        <f>VLOOKUP($A319,'BC.116+240'!$B$13:$X$4890,21,0)/1000</f>
        <v>-0.91700000000000004</v>
      </c>
      <c r="L319" s="152">
        <f t="shared" si="13"/>
        <v>-1159</v>
      </c>
      <c r="M319" s="153">
        <f t="shared" si="14"/>
        <v>-966.00000000000011</v>
      </c>
      <c r="N319" s="152">
        <f t="shared" si="15"/>
        <v>-887</v>
      </c>
      <c r="O319" s="152"/>
    </row>
    <row r="320" spans="1:15">
      <c r="A320" s="88">
        <f>'BC.116+240'!B319</f>
        <v>45587</v>
      </c>
      <c r="B320" s="152">
        <f t="shared" si="16"/>
        <v>306</v>
      </c>
      <c r="C320" s="154">
        <f>'BC.116+240'!M319/1000</f>
        <v>3.3420000000000001</v>
      </c>
      <c r="D320" s="154">
        <f>'BC.116+240'!AA319</f>
        <v>4.2549999999999999</v>
      </c>
      <c r="E320" s="155">
        <f>'BC.116+240'!AB319</f>
        <v>2.4540000000000002</v>
      </c>
      <c r="F320" s="154">
        <f>VLOOKUP($A320,'BC.116+240'!$B$13:$X$4890,8,0)/1000</f>
        <v>2.879</v>
      </c>
      <c r="G320" s="154">
        <f>VLOOKUP($A320,'BC.116+240'!$B$13:$X$4890,9,0)/1000</f>
        <v>-1.121</v>
      </c>
      <c r="H320" s="154">
        <f>VLOOKUP($A320,'BC.116+240'!$B$13:$X$4890,14,0)/1000</f>
        <v>2.952</v>
      </c>
      <c r="I320" s="154">
        <f>VLOOKUP($A320,'BC.116+240'!$B$13:$X$4890,15,0)/1000</f>
        <v>-1.048</v>
      </c>
      <c r="J320" s="154">
        <f>VLOOKUP($A320,'BC.116+240'!$B$13:$X$4890,20,0)/1000</f>
        <v>3.0819999999999999</v>
      </c>
      <c r="K320" s="154">
        <f>VLOOKUP($A320,'BC.116+240'!$B$13:$X$4890,21,0)/1000</f>
        <v>-0.91800000000000004</v>
      </c>
      <c r="L320" s="152">
        <f t="shared" si="13"/>
        <v>-1161</v>
      </c>
      <c r="M320" s="153">
        <f t="shared" si="14"/>
        <v>-968.00000000000011</v>
      </c>
      <c r="N320" s="152">
        <f t="shared" si="15"/>
        <v>-888</v>
      </c>
      <c r="O320" s="152"/>
    </row>
    <row r="321" spans="1:15">
      <c r="A321" s="88">
        <f>'BC.116+240'!B320</f>
        <v>45588</v>
      </c>
      <c r="B321" s="152">
        <f t="shared" si="16"/>
        <v>307</v>
      </c>
      <c r="C321" s="154">
        <f>'BC.116+240'!M320/1000</f>
        <v>3.3370000000000002</v>
      </c>
      <c r="D321" s="154">
        <f>'BC.116+240'!AA320</f>
        <v>4.2549999999999999</v>
      </c>
      <c r="E321" s="155">
        <f>'BC.116+240'!AB320</f>
        <v>2.444</v>
      </c>
      <c r="F321" s="154">
        <f>VLOOKUP($A321,'BC.116+240'!$B$13:$X$4890,8,0)/1000</f>
        <v>2.8769999999999998</v>
      </c>
      <c r="G321" s="154">
        <f>VLOOKUP($A321,'BC.116+240'!$B$13:$X$4890,9,0)/1000</f>
        <v>-1.123</v>
      </c>
      <c r="H321" s="154">
        <f>VLOOKUP($A321,'BC.116+240'!$B$13:$X$4890,14,0)/1000</f>
        <v>2.9470000000000001</v>
      </c>
      <c r="I321" s="154">
        <f>VLOOKUP($A321,'BC.116+240'!$B$13:$X$4890,15,0)/1000</f>
        <v>-1.0529999999999999</v>
      </c>
      <c r="J321" s="154">
        <f>VLOOKUP($A321,'BC.116+240'!$B$13:$X$4890,20,0)/1000</f>
        <v>3.08</v>
      </c>
      <c r="K321" s="154">
        <f>VLOOKUP($A321,'BC.116+240'!$B$13:$X$4890,21,0)/1000</f>
        <v>-0.92</v>
      </c>
      <c r="L321" s="152">
        <f t="shared" si="13"/>
        <v>-1163</v>
      </c>
      <c r="M321" s="153">
        <f t="shared" si="14"/>
        <v>-973</v>
      </c>
      <c r="N321" s="152">
        <f t="shared" si="15"/>
        <v>-890</v>
      </c>
      <c r="O321" s="152"/>
    </row>
    <row r="322" spans="1:15">
      <c r="A322" s="88">
        <f>'BC.116+240'!B321</f>
        <v>45589</v>
      </c>
      <c r="B322" s="152">
        <f t="shared" si="16"/>
        <v>308</v>
      </c>
      <c r="C322" s="154">
        <f>'BC.116+240'!M321/1000</f>
        <v>3.3319999999999999</v>
      </c>
      <c r="D322" s="154">
        <f>'BC.116+240'!AA321</f>
        <v>4.2549999999999999</v>
      </c>
      <c r="E322" s="155">
        <f>'BC.116+240'!AB321</f>
        <v>2.4340000000000002</v>
      </c>
      <c r="F322" s="154">
        <f>VLOOKUP($A322,'BC.116+240'!$B$13:$X$4890,8,0)/1000</f>
        <v>2.875</v>
      </c>
      <c r="G322" s="154">
        <f>VLOOKUP($A322,'BC.116+240'!$B$13:$X$4890,9,0)/1000</f>
        <v>-1.125</v>
      </c>
      <c r="H322" s="154">
        <f>VLOOKUP($A322,'BC.116+240'!$B$13:$X$4890,14,0)/1000</f>
        <v>2.9420000000000002</v>
      </c>
      <c r="I322" s="154">
        <f>VLOOKUP($A322,'BC.116+240'!$B$13:$X$4890,15,0)/1000</f>
        <v>-1.0580000000000001</v>
      </c>
      <c r="J322" s="154">
        <f>VLOOKUP($A322,'BC.116+240'!$B$13:$X$4890,20,0)/1000</f>
        <v>3.0779999999999998</v>
      </c>
      <c r="K322" s="154">
        <f>VLOOKUP($A322,'BC.116+240'!$B$13:$X$4890,21,0)/1000</f>
        <v>-0.92200000000000004</v>
      </c>
      <c r="L322" s="152">
        <f t="shared" si="13"/>
        <v>-1165</v>
      </c>
      <c r="M322" s="153">
        <f t="shared" si="14"/>
        <v>-978.00000000000011</v>
      </c>
      <c r="N322" s="152">
        <f t="shared" si="15"/>
        <v>-892</v>
      </c>
      <c r="O322" s="152"/>
    </row>
    <row r="323" spans="1:15">
      <c r="A323" s="88">
        <f>'BC.116+240'!B322</f>
        <v>45590</v>
      </c>
      <c r="B323" s="152">
        <f t="shared" si="16"/>
        <v>309</v>
      </c>
      <c r="C323" s="154">
        <f>'BC.116+240'!M322/1000</f>
        <v>3.3279999999999998</v>
      </c>
      <c r="D323" s="154">
        <f>'BC.116+240'!AA322</f>
        <v>4.2549999999999999</v>
      </c>
      <c r="E323" s="155">
        <f>'BC.116+240'!AB322</f>
        <v>2.4260000000000002</v>
      </c>
      <c r="F323" s="154">
        <f>VLOOKUP($A323,'BC.116+240'!$B$13:$X$4890,8,0)/1000</f>
        <v>2.8730000000000002</v>
      </c>
      <c r="G323" s="154">
        <f>VLOOKUP($A323,'BC.116+240'!$B$13:$X$4890,9,0)/1000</f>
        <v>-1.127</v>
      </c>
      <c r="H323" s="154">
        <f>VLOOKUP($A323,'BC.116+240'!$B$13:$X$4890,14,0)/1000</f>
        <v>2.9380000000000002</v>
      </c>
      <c r="I323" s="154">
        <f>VLOOKUP($A323,'BC.116+240'!$B$13:$X$4890,15,0)/1000</f>
        <v>-1.0620000000000001</v>
      </c>
      <c r="J323" s="154">
        <f>VLOOKUP($A323,'BC.116+240'!$B$13:$X$4890,20,0)/1000</f>
        <v>3.0760000000000001</v>
      </c>
      <c r="K323" s="154">
        <f>VLOOKUP($A323,'BC.116+240'!$B$13:$X$4890,21,0)/1000</f>
        <v>-0.92400000000000004</v>
      </c>
      <c r="L323" s="152">
        <f t="shared" si="13"/>
        <v>-1167</v>
      </c>
      <c r="M323" s="153">
        <f t="shared" si="14"/>
        <v>-982.00000000000011</v>
      </c>
      <c r="N323" s="152">
        <f t="shared" si="15"/>
        <v>-894</v>
      </c>
      <c r="O323" s="152"/>
    </row>
    <row r="324" spans="1:15">
      <c r="A324" s="88">
        <f>'BC.116+240'!B323</f>
        <v>45591</v>
      </c>
      <c r="B324" s="152">
        <f t="shared" si="16"/>
        <v>310</v>
      </c>
      <c r="C324" s="154">
        <f>'BC.116+240'!M323/1000</f>
        <v>3.3250000000000002</v>
      </c>
      <c r="D324" s="154">
        <f>'BC.116+240'!AA323</f>
        <v>4.2549999999999999</v>
      </c>
      <c r="E324" s="155">
        <f>'BC.116+240'!AB323</f>
        <v>2.42</v>
      </c>
      <c r="F324" s="154">
        <f>VLOOKUP($A324,'BC.116+240'!$B$13:$X$4890,8,0)/1000</f>
        <v>2.871</v>
      </c>
      <c r="G324" s="154">
        <f>VLOOKUP($A324,'BC.116+240'!$B$13:$X$4890,9,0)/1000</f>
        <v>-1.129</v>
      </c>
      <c r="H324" s="154">
        <f>VLOOKUP($A324,'BC.116+240'!$B$13:$X$4890,14,0)/1000</f>
        <v>2.9350000000000001</v>
      </c>
      <c r="I324" s="154">
        <f>VLOOKUP($A324,'BC.116+240'!$B$13:$X$4890,15,0)/1000</f>
        <v>-1.0649999999999999</v>
      </c>
      <c r="J324" s="154">
        <f>VLOOKUP($A324,'BC.116+240'!$B$13:$X$4890,20,0)/1000</f>
        <v>3.0680000000000001</v>
      </c>
      <c r="K324" s="154">
        <f>VLOOKUP($A324,'BC.116+240'!$B$13:$X$4890,21,0)/1000</f>
        <v>-0.93200000000000005</v>
      </c>
      <c r="L324" s="152">
        <f t="shared" si="13"/>
        <v>-1169</v>
      </c>
      <c r="M324" s="153">
        <f t="shared" si="14"/>
        <v>-985</v>
      </c>
      <c r="N324" s="152">
        <f t="shared" si="15"/>
        <v>-902</v>
      </c>
      <c r="O324" s="152"/>
    </row>
    <row r="325" spans="1:15">
      <c r="A325" s="88">
        <f>'BC.116+240'!B324</f>
        <v>45592</v>
      </c>
      <c r="B325" s="152">
        <f t="shared" si="16"/>
        <v>311</v>
      </c>
      <c r="C325" s="154">
        <f>'BC.116+240'!M324/1000</f>
        <v>3.323</v>
      </c>
      <c r="D325" s="154">
        <f>'BC.116+240'!AA324</f>
        <v>4.2549999999999999</v>
      </c>
      <c r="E325" s="155">
        <f>'BC.116+240'!AB324</f>
        <v>2.4159999999999999</v>
      </c>
      <c r="F325" s="154">
        <f>VLOOKUP($A325,'BC.116+240'!$B$13:$X$4890,8,0)/1000</f>
        <v>2.8690000000000002</v>
      </c>
      <c r="G325" s="154">
        <f>VLOOKUP($A325,'BC.116+240'!$B$13:$X$4890,9,0)/1000</f>
        <v>-1.131</v>
      </c>
      <c r="H325" s="154">
        <f>VLOOKUP($A325,'BC.116+240'!$B$13:$X$4890,14,0)/1000</f>
        <v>2.9329999999999998</v>
      </c>
      <c r="I325" s="154">
        <f>VLOOKUP($A325,'BC.116+240'!$B$13:$X$4890,15,0)/1000</f>
        <v>-1.0669999999999999</v>
      </c>
      <c r="J325" s="154">
        <f>VLOOKUP($A325,'BC.116+240'!$B$13:$X$4890,20,0)/1000</f>
        <v>3.0619999999999998</v>
      </c>
      <c r="K325" s="154">
        <f>VLOOKUP($A325,'BC.116+240'!$B$13:$X$4890,21,0)/1000</f>
        <v>-0.93799999999999994</v>
      </c>
      <c r="L325" s="152">
        <f t="shared" si="13"/>
        <v>-1171</v>
      </c>
      <c r="M325" s="153">
        <f t="shared" si="14"/>
        <v>-987</v>
      </c>
      <c r="N325" s="152">
        <f t="shared" si="15"/>
        <v>-907.99999999999989</v>
      </c>
      <c r="O325" s="152"/>
    </row>
    <row r="326" spans="1:15">
      <c r="A326" s="88">
        <f>'BC.116+240'!B325</f>
        <v>45593</v>
      </c>
      <c r="B326" s="152">
        <f t="shared" si="16"/>
        <v>312</v>
      </c>
      <c r="C326" s="154">
        <f>'BC.116+240'!M325/1000</f>
        <v>3.3220000000000001</v>
      </c>
      <c r="D326" s="154">
        <f>'BC.116+240'!AA325</f>
        <v>4.2549999999999999</v>
      </c>
      <c r="E326" s="155">
        <f>'BC.116+240'!AB325</f>
        <v>2.4140000000000001</v>
      </c>
      <c r="F326" s="154">
        <f>VLOOKUP($A326,'BC.116+240'!$B$13:$X$4890,8,0)/1000</f>
        <v>2.8660000000000001</v>
      </c>
      <c r="G326" s="154">
        <f>VLOOKUP($A326,'BC.116+240'!$B$13:$X$4890,9,0)/1000</f>
        <v>-1.1339999999999999</v>
      </c>
      <c r="H326" s="154">
        <f>VLOOKUP($A326,'BC.116+240'!$B$13:$X$4890,14,0)/1000</f>
        <v>2.9319999999999999</v>
      </c>
      <c r="I326" s="154">
        <f>VLOOKUP($A326,'BC.116+240'!$B$13:$X$4890,15,0)/1000</f>
        <v>-1.0680000000000001</v>
      </c>
      <c r="J326" s="154">
        <f>VLOOKUP($A326,'BC.116+240'!$B$13:$X$4890,20,0)/1000</f>
        <v>3.0550000000000002</v>
      </c>
      <c r="K326" s="154">
        <f>VLOOKUP($A326,'BC.116+240'!$B$13:$X$4890,21,0)/1000</f>
        <v>-0.94499999999999995</v>
      </c>
      <c r="L326" s="152">
        <f t="shared" si="13"/>
        <v>-1174</v>
      </c>
      <c r="M326" s="153">
        <f t="shared" si="14"/>
        <v>-988.00000000000011</v>
      </c>
      <c r="N326" s="152">
        <f t="shared" si="15"/>
        <v>-914.99999999999989</v>
      </c>
      <c r="O326" s="152"/>
    </row>
    <row r="327" spans="1:15">
      <c r="A327" s="88">
        <f>'BC.116+240'!B326</f>
        <v>45594</v>
      </c>
      <c r="B327" s="152">
        <f t="shared" si="16"/>
        <v>313</v>
      </c>
      <c r="C327" s="154">
        <f>'BC.116+240'!M326/1000</f>
        <v>3.32</v>
      </c>
      <c r="D327" s="154">
        <f>'BC.116+240'!AA326</f>
        <v>4.2549999999999999</v>
      </c>
      <c r="E327" s="155">
        <f>'BC.116+240'!AB326</f>
        <v>2.41</v>
      </c>
      <c r="F327" s="154">
        <f>VLOOKUP($A327,'BC.116+240'!$B$13:$X$4890,8,0)/1000</f>
        <v>2.8639999999999999</v>
      </c>
      <c r="G327" s="154">
        <f>VLOOKUP($A327,'BC.116+240'!$B$13:$X$4890,9,0)/1000</f>
        <v>-1.1359999999999999</v>
      </c>
      <c r="H327" s="154">
        <f>VLOOKUP($A327,'BC.116+240'!$B$13:$X$4890,14,0)/1000</f>
        <v>2.93</v>
      </c>
      <c r="I327" s="154">
        <f>VLOOKUP($A327,'BC.116+240'!$B$13:$X$4890,15,0)/1000</f>
        <v>-1.07</v>
      </c>
      <c r="J327" s="154">
        <f>VLOOKUP($A327,'BC.116+240'!$B$13:$X$4890,20,0)/1000</f>
        <v>3.0510000000000002</v>
      </c>
      <c r="K327" s="154">
        <f>VLOOKUP($A327,'BC.116+240'!$B$13:$X$4890,21,0)/1000</f>
        <v>-0.94899999999999995</v>
      </c>
      <c r="L327" s="152">
        <f t="shared" si="13"/>
        <v>-1176</v>
      </c>
      <c r="M327" s="153">
        <f t="shared" si="14"/>
        <v>-990.00000000000011</v>
      </c>
      <c r="N327" s="152">
        <f t="shared" si="15"/>
        <v>-918.99999999999989</v>
      </c>
      <c r="O327" s="152"/>
    </row>
    <row r="328" spans="1:15">
      <c r="A328" s="88">
        <f>'BC.116+240'!B327</f>
        <v>45595</v>
      </c>
      <c r="B328" s="152">
        <f t="shared" si="16"/>
        <v>314</v>
      </c>
      <c r="C328" s="154">
        <f>'BC.116+240'!M327/1000</f>
        <v>3.3180000000000001</v>
      </c>
      <c r="D328" s="154">
        <f>'BC.116+240'!AA327</f>
        <v>4.2549999999999999</v>
      </c>
      <c r="E328" s="155">
        <f>'BC.116+240'!AB327</f>
        <v>2.4060000000000001</v>
      </c>
      <c r="F328" s="154">
        <f>VLOOKUP($A328,'BC.116+240'!$B$13:$X$4890,8,0)/1000</f>
        <v>2.8610000000000002</v>
      </c>
      <c r="G328" s="154">
        <f>VLOOKUP($A328,'BC.116+240'!$B$13:$X$4890,9,0)/1000</f>
        <v>-1.139</v>
      </c>
      <c r="H328" s="154">
        <f>VLOOKUP($A328,'BC.116+240'!$B$13:$X$4890,14,0)/1000</f>
        <v>2.9279999999999999</v>
      </c>
      <c r="I328" s="154">
        <f>VLOOKUP($A328,'BC.116+240'!$B$13:$X$4890,15,0)/1000</f>
        <v>-1.0720000000000001</v>
      </c>
      <c r="J328" s="154">
        <f>VLOOKUP($A328,'BC.116+240'!$B$13:$X$4890,20,0)/1000</f>
        <v>3.0459999999999998</v>
      </c>
      <c r="K328" s="154">
        <f>VLOOKUP($A328,'BC.116+240'!$B$13:$X$4890,21,0)/1000</f>
        <v>-0.95399999999999996</v>
      </c>
      <c r="L328" s="152">
        <f t="shared" si="13"/>
        <v>-1179</v>
      </c>
      <c r="M328" s="153">
        <f t="shared" si="14"/>
        <v>-992.00000000000011</v>
      </c>
      <c r="N328" s="152">
        <f t="shared" si="15"/>
        <v>-923.99999999999989</v>
      </c>
      <c r="O328" s="152"/>
    </row>
    <row r="329" spans="1:15">
      <c r="A329" s="88">
        <f>'BC.116+240'!B328</f>
        <v>45596</v>
      </c>
      <c r="B329" s="152">
        <f t="shared" si="16"/>
        <v>315</v>
      </c>
      <c r="C329" s="154">
        <f>'BC.116+240'!M328/1000</f>
        <v>3.3159999999999998</v>
      </c>
      <c r="D329" s="154">
        <f>'BC.116+240'!AA328</f>
        <v>4.2549999999999999</v>
      </c>
      <c r="E329" s="155">
        <f>'BC.116+240'!AB328</f>
        <v>2.4020000000000001</v>
      </c>
      <c r="F329" s="154">
        <f>VLOOKUP($A329,'BC.116+240'!$B$13:$X$4890,8,0)/1000</f>
        <v>2.859</v>
      </c>
      <c r="G329" s="154">
        <f>VLOOKUP($A329,'BC.116+240'!$B$13:$X$4890,9,0)/1000</f>
        <v>-1.141</v>
      </c>
      <c r="H329" s="154">
        <f>VLOOKUP($A329,'BC.116+240'!$B$13:$X$4890,14,0)/1000</f>
        <v>2.9260000000000002</v>
      </c>
      <c r="I329" s="154">
        <f>VLOOKUP($A329,'BC.116+240'!$B$13:$X$4890,15,0)/1000</f>
        <v>-1.0740000000000001</v>
      </c>
      <c r="J329" s="154">
        <f>VLOOKUP($A329,'BC.116+240'!$B$13:$X$4890,20,0)/1000</f>
        <v>3.0430000000000001</v>
      </c>
      <c r="K329" s="154">
        <f>VLOOKUP($A329,'BC.116+240'!$B$13:$X$4890,21,0)/1000</f>
        <v>-0.95699999999999996</v>
      </c>
      <c r="L329" s="152">
        <f t="shared" si="13"/>
        <v>-1181</v>
      </c>
      <c r="M329" s="153">
        <f t="shared" si="14"/>
        <v>-994.00000000000011</v>
      </c>
      <c r="N329" s="152">
        <f t="shared" si="15"/>
        <v>-926.99999999999989</v>
      </c>
      <c r="O329" s="152"/>
    </row>
    <row r="330" spans="1:15">
      <c r="A330" s="88">
        <f>'BC.116+240'!B329</f>
        <v>45597</v>
      </c>
      <c r="B330" s="152">
        <f t="shared" si="16"/>
        <v>316</v>
      </c>
      <c r="C330" s="154">
        <f>'BC.116+240'!M329/1000</f>
        <v>3.3140000000000001</v>
      </c>
      <c r="D330" s="154">
        <f>'BC.116+240'!AA329</f>
        <v>4.2549999999999999</v>
      </c>
      <c r="E330" s="155">
        <f>'BC.116+240'!AB329</f>
        <v>2.3980000000000001</v>
      </c>
      <c r="F330" s="154">
        <f>VLOOKUP($A330,'BC.116+240'!$B$13:$X$4890,8,0)/1000</f>
        <v>2.8580000000000001</v>
      </c>
      <c r="G330" s="154">
        <f>VLOOKUP($A330,'BC.116+240'!$B$13:$X$4890,9,0)/1000</f>
        <v>-1.1419999999999999</v>
      </c>
      <c r="H330" s="154">
        <f>VLOOKUP($A330,'BC.116+240'!$B$13:$X$4890,14,0)/1000</f>
        <v>2.9239999999999999</v>
      </c>
      <c r="I330" s="154">
        <f>VLOOKUP($A330,'BC.116+240'!$B$13:$X$4890,15,0)/1000</f>
        <v>-1.0760000000000001</v>
      </c>
      <c r="J330" s="154">
        <f>VLOOKUP($A330,'BC.116+240'!$B$13:$X$4890,20,0)/1000</f>
        <v>3.0409999999999999</v>
      </c>
      <c r="K330" s="154">
        <f>VLOOKUP($A330,'BC.116+240'!$B$13:$X$4890,21,0)/1000</f>
        <v>-0.95899999999999996</v>
      </c>
      <c r="L330" s="152">
        <f t="shared" si="13"/>
        <v>-1182</v>
      </c>
      <c r="M330" s="153">
        <f t="shared" si="14"/>
        <v>-996.00000000000011</v>
      </c>
      <c r="N330" s="152">
        <f t="shared" si="15"/>
        <v>-928.99999999999989</v>
      </c>
      <c r="O330" s="152"/>
    </row>
    <row r="331" spans="1:15">
      <c r="A331" s="88">
        <f>'BC.116+240'!B330</f>
        <v>45598</v>
      </c>
      <c r="B331" s="152">
        <f t="shared" si="16"/>
        <v>317</v>
      </c>
      <c r="C331" s="154">
        <f>'BC.116+240'!M330/1000</f>
        <v>3.3119999999999998</v>
      </c>
      <c r="D331" s="154">
        <f>'BC.116+240'!AA330</f>
        <v>4.2549999999999999</v>
      </c>
      <c r="E331" s="155">
        <f>'BC.116+240'!AB330</f>
        <v>2.3940000000000001</v>
      </c>
      <c r="F331" s="154">
        <f>VLOOKUP($A331,'BC.116+240'!$B$13:$X$4890,8,0)/1000</f>
        <v>2.855</v>
      </c>
      <c r="G331" s="154">
        <f>VLOOKUP($A331,'BC.116+240'!$B$13:$X$4890,9,0)/1000</f>
        <v>-1.145</v>
      </c>
      <c r="H331" s="154">
        <f>VLOOKUP($A331,'BC.116+240'!$B$13:$X$4890,14,0)/1000</f>
        <v>2.9220000000000002</v>
      </c>
      <c r="I331" s="154">
        <f>VLOOKUP($A331,'BC.116+240'!$B$13:$X$4890,15,0)/1000</f>
        <v>-1.0780000000000001</v>
      </c>
      <c r="J331" s="154">
        <f>VLOOKUP($A331,'BC.116+240'!$B$13:$X$4890,20,0)/1000</f>
        <v>3.0390000000000001</v>
      </c>
      <c r="K331" s="154">
        <f>VLOOKUP($A331,'BC.116+240'!$B$13:$X$4890,21,0)/1000</f>
        <v>-0.96099999999999997</v>
      </c>
      <c r="L331" s="152">
        <f t="shared" si="13"/>
        <v>-1185</v>
      </c>
      <c r="M331" s="153">
        <f t="shared" si="14"/>
        <v>-998.00000000000011</v>
      </c>
      <c r="N331" s="152">
        <f t="shared" si="15"/>
        <v>-930.99999999999989</v>
      </c>
      <c r="O331" s="152"/>
    </row>
    <row r="332" spans="1:15">
      <c r="A332" s="88">
        <f>'BC.116+240'!B331</f>
        <v>45599</v>
      </c>
      <c r="B332" s="152">
        <f t="shared" si="16"/>
        <v>318</v>
      </c>
      <c r="C332" s="154">
        <f>'BC.116+240'!M331/1000</f>
        <v>3.31</v>
      </c>
      <c r="D332" s="154">
        <f>'BC.116+240'!AA331</f>
        <v>4.2549999999999999</v>
      </c>
      <c r="E332" s="155">
        <f>'BC.116+240'!AB331</f>
        <v>2.39</v>
      </c>
      <c r="F332" s="154">
        <f>VLOOKUP($A332,'BC.116+240'!$B$13:$X$4890,8,0)/1000</f>
        <v>2.8530000000000002</v>
      </c>
      <c r="G332" s="154">
        <f>VLOOKUP($A332,'BC.116+240'!$B$13:$X$4890,9,0)/1000</f>
        <v>-1.147</v>
      </c>
      <c r="H332" s="154">
        <f>VLOOKUP($A332,'BC.116+240'!$B$13:$X$4890,14,0)/1000</f>
        <v>2.92</v>
      </c>
      <c r="I332" s="154">
        <f>VLOOKUP($A332,'BC.116+240'!$B$13:$X$4890,15,0)/1000</f>
        <v>-1.08</v>
      </c>
      <c r="J332" s="154">
        <f>VLOOKUP($A332,'BC.116+240'!$B$13:$X$4890,20,0)/1000</f>
        <v>3.0379999999999998</v>
      </c>
      <c r="K332" s="154">
        <f>VLOOKUP($A332,'BC.116+240'!$B$13:$X$4890,21,0)/1000</f>
        <v>-0.96199999999999997</v>
      </c>
      <c r="L332" s="152">
        <f t="shared" si="13"/>
        <v>-1187</v>
      </c>
      <c r="M332" s="153">
        <f t="shared" si="14"/>
        <v>-1000</v>
      </c>
      <c r="N332" s="152">
        <f t="shared" si="15"/>
        <v>-931.99999999999989</v>
      </c>
      <c r="O332" s="152"/>
    </row>
    <row r="333" spans="1:15">
      <c r="A333" s="88">
        <f>'BC.116+240'!B332</f>
        <v>45600</v>
      </c>
      <c r="B333" s="152">
        <f t="shared" si="16"/>
        <v>319</v>
      </c>
      <c r="C333" s="154">
        <f>'BC.116+240'!M332/1000</f>
        <v>3.3050000000000002</v>
      </c>
      <c r="D333" s="154">
        <f>'BC.116+240'!AA332</f>
        <v>4.2549999999999999</v>
      </c>
      <c r="E333" s="155">
        <f>'BC.116+240'!AB332</f>
        <v>2.38</v>
      </c>
      <c r="F333" s="154">
        <f>VLOOKUP($A333,'BC.116+240'!$B$13:$X$4890,8,0)/1000</f>
        <v>2.8519999999999999</v>
      </c>
      <c r="G333" s="154">
        <f>VLOOKUP($A333,'BC.116+240'!$B$13:$X$4890,9,0)/1000</f>
        <v>-1.1479999999999999</v>
      </c>
      <c r="H333" s="154">
        <f>VLOOKUP($A333,'BC.116+240'!$B$13:$X$4890,14,0)/1000</f>
        <v>2.915</v>
      </c>
      <c r="I333" s="154">
        <f>VLOOKUP($A333,'BC.116+240'!$B$13:$X$4890,15,0)/1000</f>
        <v>-1.085</v>
      </c>
      <c r="J333" s="154">
        <f>VLOOKUP($A333,'BC.116+240'!$B$13:$X$4890,20,0)/1000</f>
        <v>3.036</v>
      </c>
      <c r="K333" s="154">
        <f>VLOOKUP($A333,'BC.116+240'!$B$13:$X$4890,21,0)/1000</f>
        <v>-0.96399999999999997</v>
      </c>
      <c r="L333" s="152">
        <f t="shared" si="13"/>
        <v>-1188</v>
      </c>
      <c r="M333" s="153">
        <f t="shared" si="14"/>
        <v>-1004.9999999999999</v>
      </c>
      <c r="N333" s="152">
        <f t="shared" si="15"/>
        <v>-933.99999999999989</v>
      </c>
      <c r="O333" s="152"/>
    </row>
    <row r="334" spans="1:15">
      <c r="A334" s="88">
        <f>'BC.116+240'!B333</f>
        <v>45601</v>
      </c>
      <c r="B334" s="152">
        <f t="shared" si="16"/>
        <v>320</v>
      </c>
      <c r="C334" s="154">
        <f>'BC.116+240'!M333/1000</f>
        <v>3.3010000000000002</v>
      </c>
      <c r="D334" s="154">
        <f>'BC.116+240'!AA333</f>
        <v>4.2549999999999999</v>
      </c>
      <c r="E334" s="155">
        <f>'BC.116+240'!AB333</f>
        <v>2.3719999999999999</v>
      </c>
      <c r="F334" s="154">
        <f>VLOOKUP($A334,'BC.116+240'!$B$13:$X$4890,8,0)/1000</f>
        <v>2.85</v>
      </c>
      <c r="G334" s="154">
        <f>VLOOKUP($A334,'BC.116+240'!$B$13:$X$4890,9,0)/1000</f>
        <v>-1.1499999999999999</v>
      </c>
      <c r="H334" s="154">
        <f>VLOOKUP($A334,'BC.116+240'!$B$13:$X$4890,14,0)/1000</f>
        <v>2.911</v>
      </c>
      <c r="I334" s="154">
        <f>VLOOKUP($A334,'BC.116+240'!$B$13:$X$4890,15,0)/1000</f>
        <v>-1.089</v>
      </c>
      <c r="J334" s="154">
        <f>VLOOKUP($A334,'BC.116+240'!$B$13:$X$4890,20,0)/1000</f>
        <v>3.0310000000000001</v>
      </c>
      <c r="K334" s="154">
        <f>VLOOKUP($A334,'BC.116+240'!$B$13:$X$4890,21,0)/1000</f>
        <v>-0.96899999999999997</v>
      </c>
      <c r="L334" s="152">
        <f t="shared" ref="L334:L397" si="17">(G334-$G$14)*1000</f>
        <v>-1190</v>
      </c>
      <c r="M334" s="153">
        <f t="shared" ref="M334:M397" si="18">(I334-$I$14)*1000</f>
        <v>-1008.9999999999999</v>
      </c>
      <c r="N334" s="152">
        <f t="shared" si="15"/>
        <v>-939</v>
      </c>
      <c r="O334" s="152"/>
    </row>
    <row r="335" spans="1:15">
      <c r="A335" s="88">
        <f>'BC.116+240'!B334</f>
        <v>45602</v>
      </c>
      <c r="B335" s="152">
        <f t="shared" si="16"/>
        <v>321</v>
      </c>
      <c r="C335" s="154">
        <f>'BC.116+240'!M334/1000</f>
        <v>3.298</v>
      </c>
      <c r="D335" s="154">
        <f>'BC.116+240'!AA334</f>
        <v>4.2549999999999999</v>
      </c>
      <c r="E335" s="155">
        <f>'BC.116+240'!AB334</f>
        <v>2.3660000000000001</v>
      </c>
      <c r="F335" s="154">
        <f>VLOOKUP($A335,'BC.116+240'!$B$13:$X$4890,8,0)/1000</f>
        <v>2.8479999999999999</v>
      </c>
      <c r="G335" s="154">
        <f>VLOOKUP($A335,'BC.116+240'!$B$13:$X$4890,9,0)/1000</f>
        <v>-1.1519999999999999</v>
      </c>
      <c r="H335" s="154">
        <f>VLOOKUP($A335,'BC.116+240'!$B$13:$X$4890,14,0)/1000</f>
        <v>2.9079999999999999</v>
      </c>
      <c r="I335" s="154">
        <f>VLOOKUP($A335,'BC.116+240'!$B$13:$X$4890,15,0)/1000</f>
        <v>-1.0920000000000001</v>
      </c>
      <c r="J335" s="154">
        <f>VLOOKUP($A335,'BC.116+240'!$B$13:$X$4890,20,0)/1000</f>
        <v>3.0259999999999998</v>
      </c>
      <c r="K335" s="154">
        <f>VLOOKUP($A335,'BC.116+240'!$B$13:$X$4890,21,0)/1000</f>
        <v>-0.97399999999999998</v>
      </c>
      <c r="L335" s="152">
        <f t="shared" si="17"/>
        <v>-1192</v>
      </c>
      <c r="M335" s="153">
        <f t="shared" si="18"/>
        <v>-1012</v>
      </c>
      <c r="N335" s="152">
        <f t="shared" ref="N335:N398" si="19">(K335-$K$14)*1000</f>
        <v>-944</v>
      </c>
      <c r="O335" s="152"/>
    </row>
    <row r="336" spans="1:15">
      <c r="A336" s="88">
        <f>'BC.116+240'!B335</f>
        <v>45603</v>
      </c>
      <c r="B336" s="152">
        <f t="shared" si="16"/>
        <v>322</v>
      </c>
      <c r="C336" s="154">
        <f>'BC.116+240'!M335/1000</f>
        <v>3.2959999999999998</v>
      </c>
      <c r="D336" s="154">
        <f>'BC.116+240'!AA335</f>
        <v>4.2549999999999999</v>
      </c>
      <c r="E336" s="155">
        <f>'BC.116+240'!AB335</f>
        <v>2.3620000000000001</v>
      </c>
      <c r="F336" s="154">
        <f>VLOOKUP($A336,'BC.116+240'!$B$13:$X$4890,8,0)/1000</f>
        <v>2.8460000000000001</v>
      </c>
      <c r="G336" s="154">
        <f>VLOOKUP($A336,'BC.116+240'!$B$13:$X$4890,9,0)/1000</f>
        <v>-1.1539999999999999</v>
      </c>
      <c r="H336" s="154">
        <f>VLOOKUP($A336,'BC.116+240'!$B$13:$X$4890,14,0)/1000</f>
        <v>2.9060000000000001</v>
      </c>
      <c r="I336" s="154">
        <f>VLOOKUP($A336,'BC.116+240'!$B$13:$X$4890,15,0)/1000</f>
        <v>-1.0940000000000001</v>
      </c>
      <c r="J336" s="154">
        <f>VLOOKUP($A336,'BC.116+240'!$B$13:$X$4890,20,0)/1000</f>
        <v>3.0209999999999999</v>
      </c>
      <c r="K336" s="154">
        <f>VLOOKUP($A336,'BC.116+240'!$B$13:$X$4890,21,0)/1000</f>
        <v>-0.97899999999999998</v>
      </c>
      <c r="L336" s="152">
        <f t="shared" si="17"/>
        <v>-1194</v>
      </c>
      <c r="M336" s="153">
        <f t="shared" si="18"/>
        <v>-1014</v>
      </c>
      <c r="N336" s="152">
        <f t="shared" si="19"/>
        <v>-949</v>
      </c>
      <c r="O336" s="152"/>
    </row>
    <row r="337" spans="1:15">
      <c r="A337" s="88">
        <f>'BC.116+240'!B336</f>
        <v>45604</v>
      </c>
      <c r="B337" s="152">
        <f t="shared" si="16"/>
        <v>323</v>
      </c>
      <c r="C337" s="154">
        <f>'BC.116+240'!M336/1000</f>
        <v>3.2949999999999999</v>
      </c>
      <c r="D337" s="154">
        <f>'BC.116+240'!AA336</f>
        <v>4.2549999999999999</v>
      </c>
      <c r="E337" s="155">
        <f>'BC.116+240'!AB336</f>
        <v>2.36</v>
      </c>
      <c r="F337" s="154">
        <f>VLOOKUP($A337,'BC.116+240'!$B$13:$X$4890,8,0)/1000</f>
        <v>2.843</v>
      </c>
      <c r="G337" s="154">
        <f>VLOOKUP($A337,'BC.116+240'!$B$13:$X$4890,9,0)/1000</f>
        <v>-1.157</v>
      </c>
      <c r="H337" s="154">
        <f>VLOOKUP($A337,'BC.116+240'!$B$13:$X$4890,14,0)/1000</f>
        <v>2.9049999999999998</v>
      </c>
      <c r="I337" s="154">
        <f>VLOOKUP($A337,'BC.116+240'!$B$13:$X$4890,15,0)/1000</f>
        <v>-1.095</v>
      </c>
      <c r="J337" s="154">
        <f>VLOOKUP($A337,'BC.116+240'!$B$13:$X$4890,20,0)/1000</f>
        <v>3.0190000000000001</v>
      </c>
      <c r="K337" s="154">
        <f>VLOOKUP($A337,'BC.116+240'!$B$13:$X$4890,21,0)/1000</f>
        <v>-0.98099999999999998</v>
      </c>
      <c r="L337" s="152">
        <f t="shared" si="17"/>
        <v>-1197</v>
      </c>
      <c r="M337" s="153">
        <f t="shared" si="18"/>
        <v>-1014.9999999999999</v>
      </c>
      <c r="N337" s="152">
        <f t="shared" si="19"/>
        <v>-951</v>
      </c>
      <c r="O337" s="152"/>
    </row>
    <row r="338" spans="1:15">
      <c r="A338" s="88">
        <f>'BC.116+240'!B337</f>
        <v>45605</v>
      </c>
      <c r="B338" s="152">
        <f t="shared" si="16"/>
        <v>324</v>
      </c>
      <c r="C338" s="154">
        <f>'BC.116+240'!M337/1000</f>
        <v>3.2930000000000001</v>
      </c>
      <c r="D338" s="154">
        <f>'BC.116+240'!AA337</f>
        <v>4.2549999999999999</v>
      </c>
      <c r="E338" s="155">
        <f>'BC.116+240'!AB337</f>
        <v>2.3559999999999999</v>
      </c>
      <c r="F338" s="154">
        <f>VLOOKUP($A338,'BC.116+240'!$B$13:$X$4890,8,0)/1000</f>
        <v>2.8410000000000002</v>
      </c>
      <c r="G338" s="154">
        <f>VLOOKUP($A338,'BC.116+240'!$B$13:$X$4890,9,0)/1000</f>
        <v>-1.159</v>
      </c>
      <c r="H338" s="154">
        <f>VLOOKUP($A338,'BC.116+240'!$B$13:$X$4890,14,0)/1000</f>
        <v>2.903</v>
      </c>
      <c r="I338" s="154">
        <f>VLOOKUP($A338,'BC.116+240'!$B$13:$X$4890,15,0)/1000</f>
        <v>-1.097</v>
      </c>
      <c r="J338" s="154">
        <f>VLOOKUP($A338,'BC.116+240'!$B$13:$X$4890,20,0)/1000</f>
        <v>3.0179999999999998</v>
      </c>
      <c r="K338" s="154">
        <f>VLOOKUP($A338,'BC.116+240'!$B$13:$X$4890,21,0)/1000</f>
        <v>-0.98199999999999998</v>
      </c>
      <c r="L338" s="152">
        <f t="shared" si="17"/>
        <v>-1199</v>
      </c>
      <c r="M338" s="153">
        <f t="shared" si="18"/>
        <v>-1016.9999999999999</v>
      </c>
      <c r="N338" s="152">
        <f t="shared" si="19"/>
        <v>-952</v>
      </c>
      <c r="O338" s="152"/>
    </row>
    <row r="339" spans="1:15">
      <c r="A339" s="88">
        <f>'BC.116+240'!B338</f>
        <v>45606</v>
      </c>
      <c r="B339" s="152">
        <f t="shared" si="16"/>
        <v>325</v>
      </c>
      <c r="C339" s="154">
        <f>'BC.116+240'!M338/1000</f>
        <v>3.2909999999999999</v>
      </c>
      <c r="D339" s="154">
        <f>'BC.116+240'!AA338</f>
        <v>4.2549999999999999</v>
      </c>
      <c r="E339" s="155">
        <f>'BC.116+240'!AB338</f>
        <v>2.3519999999999999</v>
      </c>
      <c r="F339" s="154">
        <f>VLOOKUP($A339,'BC.116+240'!$B$13:$X$4890,8,0)/1000</f>
        <v>2.8380000000000001</v>
      </c>
      <c r="G339" s="154">
        <f>VLOOKUP($A339,'BC.116+240'!$B$13:$X$4890,9,0)/1000</f>
        <v>-1.1619999999999999</v>
      </c>
      <c r="H339" s="154">
        <f>VLOOKUP($A339,'BC.116+240'!$B$13:$X$4890,14,0)/1000</f>
        <v>2.9009999999999998</v>
      </c>
      <c r="I339" s="154">
        <f>VLOOKUP($A339,'BC.116+240'!$B$13:$X$4890,15,0)/1000</f>
        <v>-1.099</v>
      </c>
      <c r="J339" s="154">
        <f>VLOOKUP($A339,'BC.116+240'!$B$13:$X$4890,20,0)/1000</f>
        <v>3.016</v>
      </c>
      <c r="K339" s="154">
        <f>VLOOKUP($A339,'BC.116+240'!$B$13:$X$4890,21,0)/1000</f>
        <v>-0.98399999999999999</v>
      </c>
      <c r="L339" s="152">
        <f t="shared" si="17"/>
        <v>-1202</v>
      </c>
      <c r="M339" s="153">
        <f t="shared" si="18"/>
        <v>-1018.9999999999999</v>
      </c>
      <c r="N339" s="152">
        <f t="shared" si="19"/>
        <v>-954</v>
      </c>
      <c r="O339" s="152"/>
    </row>
    <row r="340" spans="1:15">
      <c r="A340" s="88">
        <f>'BC.116+240'!B339</f>
        <v>45607</v>
      </c>
      <c r="B340" s="152">
        <f t="shared" si="16"/>
        <v>326</v>
      </c>
      <c r="C340" s="154">
        <f>'BC.116+240'!M339/1000</f>
        <v>3.2890000000000001</v>
      </c>
      <c r="D340" s="154">
        <f>'BC.116+240'!AA339</f>
        <v>4.2549999999999999</v>
      </c>
      <c r="E340" s="155">
        <f>'BC.116+240'!AB339</f>
        <v>2.3479999999999999</v>
      </c>
      <c r="F340" s="154">
        <f>VLOOKUP($A340,'BC.116+240'!$B$13:$X$4890,8,0)/1000</f>
        <v>2.8359999999999999</v>
      </c>
      <c r="G340" s="154">
        <f>VLOOKUP($A340,'BC.116+240'!$B$13:$X$4890,9,0)/1000</f>
        <v>-1.1639999999999999</v>
      </c>
      <c r="H340" s="154">
        <f>VLOOKUP($A340,'BC.116+240'!$B$13:$X$4890,14,0)/1000</f>
        <v>2.899</v>
      </c>
      <c r="I340" s="154">
        <f>VLOOKUP($A340,'BC.116+240'!$B$13:$X$4890,15,0)/1000</f>
        <v>-1.101</v>
      </c>
      <c r="J340" s="154">
        <f>VLOOKUP($A340,'BC.116+240'!$B$13:$X$4890,20,0)/1000</f>
        <v>3.008</v>
      </c>
      <c r="K340" s="154">
        <f>VLOOKUP($A340,'BC.116+240'!$B$13:$X$4890,21,0)/1000</f>
        <v>-0.99199999999999999</v>
      </c>
      <c r="L340" s="152">
        <f t="shared" si="17"/>
        <v>-1204</v>
      </c>
      <c r="M340" s="153">
        <f t="shared" si="18"/>
        <v>-1020.9999999999999</v>
      </c>
      <c r="N340" s="152">
        <f t="shared" si="19"/>
        <v>-962</v>
      </c>
      <c r="O340" s="152"/>
    </row>
    <row r="341" spans="1:15">
      <c r="A341" s="88">
        <f>'BC.116+240'!B340</f>
        <v>45608</v>
      </c>
      <c r="B341" s="152">
        <f t="shared" si="16"/>
        <v>327</v>
      </c>
      <c r="C341" s="154">
        <f>'BC.116+240'!M340/1000</f>
        <v>3.2869999999999999</v>
      </c>
      <c r="D341" s="154">
        <f>'BC.116+240'!AA340</f>
        <v>4.2549999999999999</v>
      </c>
      <c r="E341" s="155">
        <f>'BC.116+240'!AB340</f>
        <v>2.3439999999999999</v>
      </c>
      <c r="F341" s="154">
        <f>VLOOKUP($A341,'BC.116+240'!$B$13:$X$4890,8,0)/1000</f>
        <v>2.835</v>
      </c>
      <c r="G341" s="154">
        <f>VLOOKUP($A341,'BC.116+240'!$B$13:$X$4890,9,0)/1000</f>
        <v>-1.165</v>
      </c>
      <c r="H341" s="154">
        <f>VLOOKUP($A341,'BC.116+240'!$B$13:$X$4890,14,0)/1000</f>
        <v>2.8969999999999998</v>
      </c>
      <c r="I341" s="154">
        <f>VLOOKUP($A341,'BC.116+240'!$B$13:$X$4890,15,0)/1000</f>
        <v>-1.103</v>
      </c>
      <c r="J341" s="154">
        <f>VLOOKUP($A341,'BC.116+240'!$B$13:$X$4890,20,0)/1000</f>
        <v>3.0019999999999998</v>
      </c>
      <c r="K341" s="154">
        <f>VLOOKUP($A341,'BC.116+240'!$B$13:$X$4890,21,0)/1000</f>
        <v>-0.998</v>
      </c>
      <c r="L341" s="152">
        <f t="shared" si="17"/>
        <v>-1205</v>
      </c>
      <c r="M341" s="153">
        <f t="shared" si="18"/>
        <v>-1022.9999999999999</v>
      </c>
      <c r="N341" s="152">
        <f t="shared" si="19"/>
        <v>-968</v>
      </c>
      <c r="O341" s="152"/>
    </row>
    <row r="342" spans="1:15">
      <c r="A342" s="88">
        <f>'BC.116+240'!B341</f>
        <v>45609</v>
      </c>
      <c r="B342" s="152">
        <f t="shared" si="16"/>
        <v>328</v>
      </c>
      <c r="C342" s="154">
        <f>'BC.116+240'!M341/1000</f>
        <v>3.2850000000000001</v>
      </c>
      <c r="D342" s="154">
        <f>'BC.116+240'!AA341</f>
        <v>4.2549999999999999</v>
      </c>
      <c r="E342" s="155">
        <f>'BC.116+240'!AB341</f>
        <v>2.34</v>
      </c>
      <c r="F342" s="154">
        <f>VLOOKUP($A342,'BC.116+240'!$B$13:$X$4890,8,0)/1000</f>
        <v>2.8319999999999999</v>
      </c>
      <c r="G342" s="154">
        <f>VLOOKUP($A342,'BC.116+240'!$B$13:$X$4890,9,0)/1000</f>
        <v>-1.1679999999999999</v>
      </c>
      <c r="H342" s="154">
        <f>VLOOKUP($A342,'BC.116+240'!$B$13:$X$4890,14,0)/1000</f>
        <v>2.895</v>
      </c>
      <c r="I342" s="154">
        <f>VLOOKUP($A342,'BC.116+240'!$B$13:$X$4890,15,0)/1000</f>
        <v>-1.105</v>
      </c>
      <c r="J342" s="154">
        <f>VLOOKUP($A342,'BC.116+240'!$B$13:$X$4890,20,0)/1000</f>
        <v>2.9950000000000001</v>
      </c>
      <c r="K342" s="154">
        <f>VLOOKUP($A342,'BC.116+240'!$B$13:$X$4890,21,0)/1000</f>
        <v>-1.0049999999999999</v>
      </c>
      <c r="L342" s="152">
        <f t="shared" si="17"/>
        <v>-1208</v>
      </c>
      <c r="M342" s="153">
        <f t="shared" si="18"/>
        <v>-1025</v>
      </c>
      <c r="N342" s="152">
        <f t="shared" si="19"/>
        <v>-974.99999999999989</v>
      </c>
      <c r="O342" s="152"/>
    </row>
    <row r="343" spans="1:15">
      <c r="A343" s="88">
        <f>'BC.116+240'!B342</f>
        <v>45610</v>
      </c>
      <c r="B343" s="152">
        <f t="shared" si="16"/>
        <v>329</v>
      </c>
      <c r="C343" s="154">
        <f>'BC.116+240'!M342/1000</f>
        <v>3.2829999999999999</v>
      </c>
      <c r="D343" s="154">
        <f>'BC.116+240'!AA342</f>
        <v>4.2549999999999999</v>
      </c>
      <c r="E343" s="155">
        <f>'BC.116+240'!AB342</f>
        <v>2.3359999999999999</v>
      </c>
      <c r="F343" s="154">
        <f>VLOOKUP($A343,'BC.116+240'!$B$13:$X$4890,8,0)/1000</f>
        <v>2.83</v>
      </c>
      <c r="G343" s="154">
        <f>VLOOKUP($A343,'BC.116+240'!$B$13:$X$4890,9,0)/1000</f>
        <v>-1.17</v>
      </c>
      <c r="H343" s="154">
        <f>VLOOKUP($A343,'BC.116+240'!$B$13:$X$4890,14,0)/1000</f>
        <v>2.8929999999999998</v>
      </c>
      <c r="I343" s="154">
        <f>VLOOKUP($A343,'BC.116+240'!$B$13:$X$4890,15,0)/1000</f>
        <v>-1.107</v>
      </c>
      <c r="J343" s="154">
        <f>VLOOKUP($A343,'BC.116+240'!$B$13:$X$4890,20,0)/1000</f>
        <v>2.9910000000000001</v>
      </c>
      <c r="K343" s="154">
        <f>VLOOKUP($A343,'BC.116+240'!$B$13:$X$4890,21,0)/1000</f>
        <v>-1.0089999999999999</v>
      </c>
      <c r="L343" s="152">
        <f t="shared" si="17"/>
        <v>-1210</v>
      </c>
      <c r="M343" s="153">
        <f t="shared" si="18"/>
        <v>-1027</v>
      </c>
      <c r="N343" s="152">
        <f t="shared" si="19"/>
        <v>-978.99999999999989</v>
      </c>
      <c r="O343" s="152"/>
    </row>
    <row r="344" spans="1:15">
      <c r="A344" s="88">
        <f>'BC.116+240'!B343</f>
        <v>45611</v>
      </c>
      <c r="B344" s="152">
        <f t="shared" si="16"/>
        <v>330</v>
      </c>
      <c r="C344" s="154">
        <f>'BC.116+240'!M343/1000</f>
        <v>3.278</v>
      </c>
      <c r="D344" s="154">
        <f>'BC.116+240'!AA343</f>
        <v>4.2549999999999999</v>
      </c>
      <c r="E344" s="155">
        <f>'BC.116+240'!AB343</f>
        <v>2.3260000000000001</v>
      </c>
      <c r="F344" s="154">
        <f>VLOOKUP($A344,'BC.116+240'!$B$13:$X$4890,8,0)/1000</f>
        <v>2.8290000000000002</v>
      </c>
      <c r="G344" s="154">
        <f>VLOOKUP($A344,'BC.116+240'!$B$13:$X$4890,9,0)/1000</f>
        <v>-1.171</v>
      </c>
      <c r="H344" s="154">
        <f>VLOOKUP($A344,'BC.116+240'!$B$13:$X$4890,14,0)/1000</f>
        <v>2.8879999999999999</v>
      </c>
      <c r="I344" s="154">
        <f>VLOOKUP($A344,'BC.116+240'!$B$13:$X$4890,15,0)/1000</f>
        <v>-1.1120000000000001</v>
      </c>
      <c r="J344" s="154">
        <f>VLOOKUP($A344,'BC.116+240'!$B$13:$X$4890,20,0)/1000</f>
        <v>2.9860000000000002</v>
      </c>
      <c r="K344" s="154">
        <f>VLOOKUP($A344,'BC.116+240'!$B$13:$X$4890,21,0)/1000</f>
        <v>-1.014</v>
      </c>
      <c r="L344" s="152">
        <f t="shared" si="17"/>
        <v>-1211</v>
      </c>
      <c r="M344" s="153">
        <f t="shared" si="18"/>
        <v>-1032</v>
      </c>
      <c r="N344" s="152">
        <f t="shared" si="19"/>
        <v>-984</v>
      </c>
      <c r="O344" s="152"/>
    </row>
    <row r="345" spans="1:15">
      <c r="A345" s="88">
        <f>'BC.116+240'!B344</f>
        <v>45612</v>
      </c>
      <c r="B345" s="152">
        <f t="shared" si="16"/>
        <v>331</v>
      </c>
      <c r="C345" s="154">
        <f>'BC.116+240'!M344/1000</f>
        <v>3.2759999999999998</v>
      </c>
      <c r="D345" s="154">
        <f>'BC.116+240'!AA344</f>
        <v>4.2549999999999999</v>
      </c>
      <c r="E345" s="155">
        <f>'BC.116+240'!AB344</f>
        <v>2.3220000000000001</v>
      </c>
      <c r="F345" s="154">
        <f>VLOOKUP($A345,'BC.116+240'!$B$13:$X$4890,8,0)/1000</f>
        <v>2.8260000000000001</v>
      </c>
      <c r="G345" s="154">
        <f>VLOOKUP($A345,'BC.116+240'!$B$13:$X$4890,9,0)/1000</f>
        <v>-1.1739999999999999</v>
      </c>
      <c r="H345" s="154">
        <f>VLOOKUP($A345,'BC.116+240'!$B$13:$X$4890,14,0)/1000</f>
        <v>2.8860000000000001</v>
      </c>
      <c r="I345" s="154">
        <f>VLOOKUP($A345,'BC.116+240'!$B$13:$X$4890,15,0)/1000</f>
        <v>-1.1140000000000001</v>
      </c>
      <c r="J345" s="154">
        <f>VLOOKUP($A345,'BC.116+240'!$B$13:$X$4890,20,0)/1000</f>
        <v>2.9830000000000001</v>
      </c>
      <c r="K345" s="154">
        <f>VLOOKUP($A345,'BC.116+240'!$B$13:$X$4890,21,0)/1000</f>
        <v>-1.0169999999999999</v>
      </c>
      <c r="L345" s="152">
        <f t="shared" si="17"/>
        <v>-1214</v>
      </c>
      <c r="M345" s="153">
        <f t="shared" si="18"/>
        <v>-1034</v>
      </c>
      <c r="N345" s="152">
        <f t="shared" si="19"/>
        <v>-986.99999999999989</v>
      </c>
      <c r="O345" s="152"/>
    </row>
    <row r="346" spans="1:15">
      <c r="A346" s="88">
        <f>'BC.116+240'!B345</f>
        <v>45613</v>
      </c>
      <c r="B346" s="152">
        <f t="shared" si="16"/>
        <v>332</v>
      </c>
      <c r="C346" s="154">
        <f>'BC.116+240'!M345/1000</f>
        <v>3.274</v>
      </c>
      <c r="D346" s="154">
        <f>'BC.116+240'!AA345</f>
        <v>4.2549999999999999</v>
      </c>
      <c r="E346" s="155">
        <f>'BC.116+240'!AB345</f>
        <v>2.3180000000000001</v>
      </c>
      <c r="F346" s="154">
        <f>VLOOKUP($A346,'BC.116+240'!$B$13:$X$4890,8,0)/1000</f>
        <v>2.8239999999999998</v>
      </c>
      <c r="G346" s="154">
        <f>VLOOKUP($A346,'BC.116+240'!$B$13:$X$4890,9,0)/1000</f>
        <v>-1.1759999999999999</v>
      </c>
      <c r="H346" s="154">
        <f>VLOOKUP($A346,'BC.116+240'!$B$13:$X$4890,14,0)/1000</f>
        <v>2.8839999999999999</v>
      </c>
      <c r="I346" s="154">
        <f>VLOOKUP($A346,'BC.116+240'!$B$13:$X$4890,15,0)/1000</f>
        <v>-1.1160000000000001</v>
      </c>
      <c r="J346" s="154">
        <f>VLOOKUP($A346,'BC.116+240'!$B$13:$X$4890,20,0)/1000</f>
        <v>2.9809999999999999</v>
      </c>
      <c r="K346" s="154">
        <f>VLOOKUP($A346,'BC.116+240'!$B$13:$X$4890,21,0)/1000</f>
        <v>-1.0189999999999999</v>
      </c>
      <c r="L346" s="152">
        <f t="shared" si="17"/>
        <v>-1216</v>
      </c>
      <c r="M346" s="153">
        <f t="shared" si="18"/>
        <v>-1036</v>
      </c>
      <c r="N346" s="152">
        <f t="shared" si="19"/>
        <v>-988.99999999999989</v>
      </c>
      <c r="O346" s="152"/>
    </row>
    <row r="347" spans="1:15">
      <c r="A347" s="88">
        <f>'BC.116+240'!B346</f>
        <v>45614</v>
      </c>
      <c r="B347" s="152">
        <f t="shared" si="16"/>
        <v>333</v>
      </c>
      <c r="C347" s="154">
        <f>'BC.116+240'!M346/1000</f>
        <v>3.2719999999999998</v>
      </c>
      <c r="D347" s="154">
        <f>'BC.116+240'!AA346</f>
        <v>4.2549999999999999</v>
      </c>
      <c r="E347" s="155">
        <f>'BC.116+240'!AB346</f>
        <v>2.3140000000000001</v>
      </c>
      <c r="F347" s="154">
        <f>VLOOKUP($A347,'BC.116+240'!$B$13:$X$4890,8,0)/1000</f>
        <v>2.823</v>
      </c>
      <c r="G347" s="154">
        <f>VLOOKUP($A347,'BC.116+240'!$B$13:$X$4890,9,0)/1000</f>
        <v>-1.177</v>
      </c>
      <c r="H347" s="154">
        <f>VLOOKUP($A347,'BC.116+240'!$B$13:$X$4890,14,0)/1000</f>
        <v>2.8820000000000001</v>
      </c>
      <c r="I347" s="154">
        <f>VLOOKUP($A347,'BC.116+240'!$B$13:$X$4890,15,0)/1000</f>
        <v>-1.1180000000000001</v>
      </c>
      <c r="J347" s="154">
        <f>VLOOKUP($A347,'BC.116+240'!$B$13:$X$4890,20,0)/1000</f>
        <v>2.9790000000000001</v>
      </c>
      <c r="K347" s="154">
        <f>VLOOKUP($A347,'BC.116+240'!$B$13:$X$4890,21,0)/1000</f>
        <v>-1.0209999999999999</v>
      </c>
      <c r="L347" s="152">
        <f t="shared" si="17"/>
        <v>-1217</v>
      </c>
      <c r="M347" s="153">
        <f t="shared" si="18"/>
        <v>-1038</v>
      </c>
      <c r="N347" s="152">
        <f t="shared" si="19"/>
        <v>-990.99999999999989</v>
      </c>
      <c r="O347" s="152"/>
    </row>
    <row r="348" spans="1:15">
      <c r="A348" s="88">
        <f>'BC.116+240'!B347</f>
        <v>45615</v>
      </c>
      <c r="B348" s="152">
        <f t="shared" si="16"/>
        <v>334</v>
      </c>
      <c r="C348" s="154">
        <f>'BC.116+240'!M347/1000</f>
        <v>3.2690000000000001</v>
      </c>
      <c r="D348" s="154">
        <f>'BC.116+240'!AA347</f>
        <v>4.2549999999999999</v>
      </c>
      <c r="E348" s="155">
        <f>'BC.116+240'!AB347</f>
        <v>2.3079999999999998</v>
      </c>
      <c r="F348" s="154">
        <f>VLOOKUP($A348,'BC.116+240'!$B$13:$X$4890,8,0)/1000</f>
        <v>2.8220000000000001</v>
      </c>
      <c r="G348" s="154">
        <f>VLOOKUP($A348,'BC.116+240'!$B$13:$X$4890,9,0)/1000</f>
        <v>-1.1779999999999999</v>
      </c>
      <c r="H348" s="154">
        <f>VLOOKUP($A348,'BC.116+240'!$B$13:$X$4890,14,0)/1000</f>
        <v>2.879</v>
      </c>
      <c r="I348" s="154">
        <f>VLOOKUP($A348,'BC.116+240'!$B$13:$X$4890,15,0)/1000</f>
        <v>-1.121</v>
      </c>
      <c r="J348" s="154">
        <f>VLOOKUP($A348,'BC.116+240'!$B$13:$X$4890,20,0)/1000</f>
        <v>2.9780000000000002</v>
      </c>
      <c r="K348" s="154">
        <f>VLOOKUP($A348,'BC.116+240'!$B$13:$X$4890,21,0)/1000</f>
        <v>-1.022</v>
      </c>
      <c r="L348" s="152">
        <f t="shared" si="17"/>
        <v>-1218</v>
      </c>
      <c r="M348" s="153">
        <f t="shared" si="18"/>
        <v>-1041</v>
      </c>
      <c r="N348" s="152">
        <f t="shared" si="19"/>
        <v>-992</v>
      </c>
      <c r="O348" s="152"/>
    </row>
    <row r="349" spans="1:15">
      <c r="A349" s="88">
        <f>'BC.116+240'!B348</f>
        <v>45616</v>
      </c>
      <c r="B349" s="152">
        <f t="shared" si="16"/>
        <v>335</v>
      </c>
      <c r="C349" s="154">
        <f>'BC.116+240'!M348/1000</f>
        <v>3.2669999999999999</v>
      </c>
      <c r="D349" s="154">
        <f>'BC.116+240'!AA348</f>
        <v>4.2549999999999999</v>
      </c>
      <c r="E349" s="155">
        <f>'BC.116+240'!AB348</f>
        <v>2.3039999999999998</v>
      </c>
      <c r="F349" s="154">
        <f>VLOOKUP($A349,'BC.116+240'!$B$13:$X$4890,8,0)/1000</f>
        <v>2.82</v>
      </c>
      <c r="G349" s="154">
        <f>VLOOKUP($A349,'BC.116+240'!$B$13:$X$4890,9,0)/1000</f>
        <v>-1.18</v>
      </c>
      <c r="H349" s="154">
        <f>VLOOKUP($A349,'BC.116+240'!$B$13:$X$4890,14,0)/1000</f>
        <v>2.8769999999999998</v>
      </c>
      <c r="I349" s="154">
        <f>VLOOKUP($A349,'BC.116+240'!$B$13:$X$4890,15,0)/1000</f>
        <v>-1.123</v>
      </c>
      <c r="J349" s="154">
        <f>VLOOKUP($A349,'BC.116+240'!$B$13:$X$4890,20,0)/1000</f>
        <v>2.976</v>
      </c>
      <c r="K349" s="154">
        <f>VLOOKUP($A349,'BC.116+240'!$B$13:$X$4890,21,0)/1000</f>
        <v>-1.024</v>
      </c>
      <c r="L349" s="152">
        <f t="shared" si="17"/>
        <v>-1220</v>
      </c>
      <c r="M349" s="153">
        <f t="shared" si="18"/>
        <v>-1043</v>
      </c>
      <c r="N349" s="152">
        <f t="shared" si="19"/>
        <v>-994</v>
      </c>
      <c r="O349" s="152"/>
    </row>
    <row r="350" spans="1:15">
      <c r="A350" s="88">
        <f>'BC.116+240'!B349</f>
        <v>45617</v>
      </c>
      <c r="B350" s="152">
        <f t="shared" si="16"/>
        <v>336</v>
      </c>
      <c r="C350" s="154">
        <f>'BC.116+240'!M349/1000</f>
        <v>3.262</v>
      </c>
      <c r="D350" s="154">
        <f>'BC.116+240'!AA349</f>
        <v>4.2549999999999999</v>
      </c>
      <c r="E350" s="155">
        <f>'BC.116+240'!AB349</f>
        <v>2.294</v>
      </c>
      <c r="F350" s="154">
        <f>VLOOKUP($A350,'BC.116+240'!$B$13:$X$4890,8,0)/1000</f>
        <v>2.8180000000000001</v>
      </c>
      <c r="G350" s="154">
        <f>VLOOKUP($A350,'BC.116+240'!$B$13:$X$4890,9,0)/1000</f>
        <v>-1.1819999999999999</v>
      </c>
      <c r="H350" s="154">
        <f>VLOOKUP($A350,'BC.116+240'!$B$13:$X$4890,14,0)/1000</f>
        <v>2.8719999999999999</v>
      </c>
      <c r="I350" s="154">
        <f>VLOOKUP($A350,'BC.116+240'!$B$13:$X$4890,15,0)/1000</f>
        <v>-1.1279999999999999</v>
      </c>
      <c r="J350" s="154">
        <f>VLOOKUP($A350,'BC.116+240'!$B$13:$X$4890,20,0)/1000</f>
        <v>2.9710000000000001</v>
      </c>
      <c r="K350" s="154">
        <f>VLOOKUP($A350,'BC.116+240'!$B$13:$X$4890,21,0)/1000</f>
        <v>-1.0289999999999999</v>
      </c>
      <c r="L350" s="152">
        <f t="shared" si="17"/>
        <v>-1222</v>
      </c>
      <c r="M350" s="153">
        <f t="shared" si="18"/>
        <v>-1047.9999999999998</v>
      </c>
      <c r="N350" s="152">
        <f t="shared" si="19"/>
        <v>-998.99999999999989</v>
      </c>
      <c r="O350" s="152"/>
    </row>
    <row r="351" spans="1:15">
      <c r="A351" s="88">
        <f>'BC.116+240'!B350</f>
        <v>45618</v>
      </c>
      <c r="B351" s="152">
        <f t="shared" si="16"/>
        <v>337</v>
      </c>
      <c r="C351" s="154">
        <f>'BC.116+240'!M350/1000</f>
        <v>3.2570000000000001</v>
      </c>
      <c r="D351" s="154">
        <f>'BC.116+240'!AA350</f>
        <v>4.2549999999999999</v>
      </c>
      <c r="E351" s="155">
        <f>'BC.116+240'!AB350</f>
        <v>2.2839999999999998</v>
      </c>
      <c r="F351" s="154">
        <f>VLOOKUP($A351,'BC.116+240'!$B$13:$X$4890,8,0)/1000</f>
        <v>2.8159999999999998</v>
      </c>
      <c r="G351" s="154">
        <f>VLOOKUP($A351,'BC.116+240'!$B$13:$X$4890,9,0)/1000</f>
        <v>-1.1839999999999999</v>
      </c>
      <c r="H351" s="154">
        <f>VLOOKUP($A351,'BC.116+240'!$B$13:$X$4890,14,0)/1000</f>
        <v>2.867</v>
      </c>
      <c r="I351" s="154">
        <f>VLOOKUP($A351,'BC.116+240'!$B$13:$X$4890,15,0)/1000</f>
        <v>-1.133</v>
      </c>
      <c r="J351" s="154">
        <f>VLOOKUP($A351,'BC.116+240'!$B$13:$X$4890,20,0)/1000</f>
        <v>2.9660000000000002</v>
      </c>
      <c r="K351" s="154">
        <f>VLOOKUP($A351,'BC.116+240'!$B$13:$X$4890,21,0)/1000</f>
        <v>-1.034</v>
      </c>
      <c r="L351" s="152">
        <f t="shared" si="17"/>
        <v>-1224</v>
      </c>
      <c r="M351" s="153">
        <f t="shared" si="18"/>
        <v>-1053</v>
      </c>
      <c r="N351" s="152">
        <f t="shared" si="19"/>
        <v>-1004</v>
      </c>
      <c r="O351" s="152"/>
    </row>
    <row r="352" spans="1:15">
      <c r="A352" s="88">
        <f>'BC.116+240'!B351</f>
        <v>45619</v>
      </c>
      <c r="B352" s="152">
        <f t="shared" si="16"/>
        <v>338</v>
      </c>
      <c r="C352" s="154">
        <f>'BC.116+240'!M351/1000</f>
        <v>3.2530000000000001</v>
      </c>
      <c r="D352" s="154">
        <f>'BC.116+240'!AA351</f>
        <v>4.2549999999999999</v>
      </c>
      <c r="E352" s="155">
        <f>'BC.116+240'!AB351</f>
        <v>2.2759999999999998</v>
      </c>
      <c r="F352" s="154">
        <f>VLOOKUP($A352,'BC.116+240'!$B$13:$X$4890,8,0)/1000</f>
        <v>2.8140000000000001</v>
      </c>
      <c r="G352" s="154">
        <f>VLOOKUP($A352,'BC.116+240'!$B$13:$X$4890,9,0)/1000</f>
        <v>-1.1859999999999999</v>
      </c>
      <c r="H352" s="154">
        <f>VLOOKUP($A352,'BC.116+240'!$B$13:$X$4890,14,0)/1000</f>
        <v>2.863</v>
      </c>
      <c r="I352" s="154">
        <f>VLOOKUP($A352,'BC.116+240'!$B$13:$X$4890,15,0)/1000</f>
        <v>-1.137</v>
      </c>
      <c r="J352" s="154">
        <f>VLOOKUP($A352,'BC.116+240'!$B$13:$X$4890,20,0)/1000</f>
        <v>2.9609999999999999</v>
      </c>
      <c r="K352" s="154">
        <f>VLOOKUP($A352,'BC.116+240'!$B$13:$X$4890,21,0)/1000</f>
        <v>-1.0389999999999999</v>
      </c>
      <c r="L352" s="152">
        <f t="shared" si="17"/>
        <v>-1226</v>
      </c>
      <c r="M352" s="153">
        <f t="shared" si="18"/>
        <v>-1057</v>
      </c>
      <c r="N352" s="152">
        <f t="shared" si="19"/>
        <v>-1008.9999999999999</v>
      </c>
      <c r="O352" s="152"/>
    </row>
    <row r="353" spans="1:15">
      <c r="A353" s="88">
        <f>'BC.116+240'!B352</f>
        <v>45620</v>
      </c>
      <c r="B353" s="152">
        <f t="shared" si="16"/>
        <v>339</v>
      </c>
      <c r="C353" s="154">
        <f>'BC.116+240'!M352/1000</f>
        <v>3.25</v>
      </c>
      <c r="D353" s="154">
        <f>'BC.116+240'!AA352</f>
        <v>4.2549999999999999</v>
      </c>
      <c r="E353" s="155">
        <f>'BC.116+240'!AB352</f>
        <v>2.27</v>
      </c>
      <c r="F353" s="154">
        <f>VLOOKUP($A353,'BC.116+240'!$B$13:$X$4890,8,0)/1000</f>
        <v>2.8119999999999998</v>
      </c>
      <c r="G353" s="154">
        <f>VLOOKUP($A353,'BC.116+240'!$B$13:$X$4890,9,0)/1000</f>
        <v>-1.1879999999999999</v>
      </c>
      <c r="H353" s="154">
        <f>VLOOKUP($A353,'BC.116+240'!$B$13:$X$4890,14,0)/1000</f>
        <v>2.86</v>
      </c>
      <c r="I353" s="154">
        <f>VLOOKUP($A353,'BC.116+240'!$B$13:$X$4890,15,0)/1000</f>
        <v>-1.1399999999999999</v>
      </c>
      <c r="J353" s="154">
        <f>VLOOKUP($A353,'BC.116+240'!$B$13:$X$4890,20,0)/1000</f>
        <v>2.9590000000000001</v>
      </c>
      <c r="K353" s="154">
        <f>VLOOKUP($A353,'BC.116+240'!$B$13:$X$4890,21,0)/1000</f>
        <v>-1.0409999999999999</v>
      </c>
      <c r="L353" s="152">
        <f t="shared" si="17"/>
        <v>-1228</v>
      </c>
      <c r="M353" s="153">
        <f t="shared" si="18"/>
        <v>-1059.9999999999998</v>
      </c>
      <c r="N353" s="152">
        <f t="shared" si="19"/>
        <v>-1010.9999999999999</v>
      </c>
      <c r="O353" s="152"/>
    </row>
    <row r="354" spans="1:15">
      <c r="A354" s="88">
        <f>'BC.116+240'!B353</f>
        <v>45621</v>
      </c>
      <c r="B354" s="152">
        <f t="shared" si="16"/>
        <v>340</v>
      </c>
      <c r="C354" s="154">
        <f>'BC.116+240'!M353/1000</f>
        <v>3.2480000000000002</v>
      </c>
      <c r="D354" s="154">
        <f>'BC.116+240'!AA353</f>
        <v>4.2549999999999999</v>
      </c>
      <c r="E354" s="155">
        <f>'BC.116+240'!AB353</f>
        <v>2.266</v>
      </c>
      <c r="F354" s="154">
        <f>VLOOKUP($A354,'BC.116+240'!$B$13:$X$4890,8,0)/1000</f>
        <v>2.81</v>
      </c>
      <c r="G354" s="154">
        <f>VLOOKUP($A354,'BC.116+240'!$B$13:$X$4890,9,0)/1000</f>
        <v>-1.19</v>
      </c>
      <c r="H354" s="154">
        <f>VLOOKUP($A354,'BC.116+240'!$B$13:$X$4890,14,0)/1000</f>
        <v>2.8580000000000001</v>
      </c>
      <c r="I354" s="154">
        <f>VLOOKUP($A354,'BC.116+240'!$B$13:$X$4890,15,0)/1000</f>
        <v>-1.1419999999999999</v>
      </c>
      <c r="J354" s="154">
        <f>VLOOKUP($A354,'BC.116+240'!$B$13:$X$4890,20,0)/1000</f>
        <v>2.9569999999999999</v>
      </c>
      <c r="K354" s="154">
        <f>VLOOKUP($A354,'BC.116+240'!$B$13:$X$4890,21,0)/1000</f>
        <v>-1.0429999999999999</v>
      </c>
      <c r="L354" s="152">
        <f t="shared" si="17"/>
        <v>-1230</v>
      </c>
      <c r="M354" s="153">
        <f t="shared" si="18"/>
        <v>-1061.9999999999998</v>
      </c>
      <c r="N354" s="152">
        <f t="shared" si="19"/>
        <v>-1012.9999999999999</v>
      </c>
      <c r="O354" s="152"/>
    </row>
    <row r="355" spans="1:15">
      <c r="A355" s="88">
        <f>'BC.116+240'!B354</f>
        <v>45622</v>
      </c>
      <c r="B355" s="152">
        <f t="shared" si="16"/>
        <v>341</v>
      </c>
      <c r="C355" s="154">
        <f>'BC.116+240'!M354/1000</f>
        <v>3.2469999999999999</v>
      </c>
      <c r="D355" s="154">
        <f>'BC.116+240'!AA354</f>
        <v>4.2549999999999999</v>
      </c>
      <c r="E355" s="155">
        <f>'BC.116+240'!AB354</f>
        <v>2.2639999999999998</v>
      </c>
      <c r="F355" s="154">
        <f>VLOOKUP($A355,'BC.116+240'!$B$13:$X$4890,8,0)/1000</f>
        <v>2.8069999999999999</v>
      </c>
      <c r="G355" s="154">
        <f>VLOOKUP($A355,'BC.116+240'!$B$13:$X$4890,9,0)/1000</f>
        <v>-1.1930000000000001</v>
      </c>
      <c r="H355" s="154">
        <f>VLOOKUP($A355,'BC.116+240'!$B$13:$X$4890,14,0)/1000</f>
        <v>2.8570000000000002</v>
      </c>
      <c r="I355" s="154">
        <f>VLOOKUP($A355,'BC.116+240'!$B$13:$X$4890,15,0)/1000</f>
        <v>-1.143</v>
      </c>
      <c r="J355" s="154">
        <f>VLOOKUP($A355,'BC.116+240'!$B$13:$X$4890,20,0)/1000</f>
        <v>2.9489999999999998</v>
      </c>
      <c r="K355" s="154">
        <f>VLOOKUP($A355,'BC.116+240'!$B$13:$X$4890,21,0)/1000</f>
        <v>-1.0509999999999999</v>
      </c>
      <c r="L355" s="152">
        <f t="shared" si="17"/>
        <v>-1233</v>
      </c>
      <c r="M355" s="153">
        <f t="shared" si="18"/>
        <v>-1063</v>
      </c>
      <c r="N355" s="152">
        <f t="shared" si="19"/>
        <v>-1020.9999999999999</v>
      </c>
      <c r="O355" s="152"/>
    </row>
    <row r="356" spans="1:15">
      <c r="A356" s="88">
        <f>'BC.116+240'!B355</f>
        <v>45623</v>
      </c>
      <c r="B356" s="152">
        <f t="shared" si="16"/>
        <v>342</v>
      </c>
      <c r="C356" s="154">
        <f>'BC.116+240'!M355/1000</f>
        <v>3.2450000000000001</v>
      </c>
      <c r="D356" s="154">
        <f>'BC.116+240'!AA355</f>
        <v>4.2549999999999999</v>
      </c>
      <c r="E356" s="155">
        <f>'BC.116+240'!AB355</f>
        <v>2.2599999999999998</v>
      </c>
      <c r="F356" s="154">
        <f>VLOOKUP($A356,'BC.116+240'!$B$13:$X$4890,8,0)/1000</f>
        <v>2.8050000000000002</v>
      </c>
      <c r="G356" s="154">
        <f>VLOOKUP($A356,'BC.116+240'!$B$13:$X$4890,9,0)/1000</f>
        <v>-1.1950000000000001</v>
      </c>
      <c r="H356" s="154">
        <f>VLOOKUP($A356,'BC.116+240'!$B$13:$X$4890,14,0)/1000</f>
        <v>2.855</v>
      </c>
      <c r="I356" s="154">
        <f>VLOOKUP($A356,'BC.116+240'!$B$13:$X$4890,15,0)/1000</f>
        <v>-1.145</v>
      </c>
      <c r="J356" s="154">
        <f>VLOOKUP($A356,'BC.116+240'!$B$13:$X$4890,20,0)/1000</f>
        <v>2.9430000000000001</v>
      </c>
      <c r="K356" s="154">
        <f>VLOOKUP($A356,'BC.116+240'!$B$13:$X$4890,21,0)/1000</f>
        <v>-1.0569999999999999</v>
      </c>
      <c r="L356" s="152">
        <f t="shared" si="17"/>
        <v>-1235</v>
      </c>
      <c r="M356" s="153">
        <f t="shared" si="18"/>
        <v>-1065</v>
      </c>
      <c r="N356" s="152">
        <f t="shared" si="19"/>
        <v>-1027</v>
      </c>
      <c r="O356" s="152"/>
    </row>
    <row r="357" spans="1:15">
      <c r="A357" s="88">
        <f>'BC.116+240'!B356</f>
        <v>45624</v>
      </c>
      <c r="B357" s="152">
        <f t="shared" si="16"/>
        <v>343</v>
      </c>
      <c r="C357" s="154">
        <f>'BC.116+240'!M356/1000</f>
        <v>3.2429999999999999</v>
      </c>
      <c r="D357" s="154">
        <f>'BC.116+240'!AA356</f>
        <v>4.2549999999999999</v>
      </c>
      <c r="E357" s="155">
        <f>'BC.116+240'!AB356</f>
        <v>2.2559999999999998</v>
      </c>
      <c r="F357" s="154">
        <f>VLOOKUP($A357,'BC.116+240'!$B$13:$X$4890,8,0)/1000</f>
        <v>2.802</v>
      </c>
      <c r="G357" s="154">
        <f>VLOOKUP($A357,'BC.116+240'!$B$13:$X$4890,9,0)/1000</f>
        <v>-1.198</v>
      </c>
      <c r="H357" s="154">
        <f>VLOOKUP($A357,'BC.116+240'!$B$13:$X$4890,14,0)/1000</f>
        <v>2.8530000000000002</v>
      </c>
      <c r="I357" s="154">
        <f>VLOOKUP($A357,'BC.116+240'!$B$13:$X$4890,15,0)/1000</f>
        <v>-1.147</v>
      </c>
      <c r="J357" s="154">
        <f>VLOOKUP($A357,'BC.116+240'!$B$13:$X$4890,20,0)/1000</f>
        <v>2.9359999999999999</v>
      </c>
      <c r="K357" s="154">
        <f>VLOOKUP($A357,'BC.116+240'!$B$13:$X$4890,21,0)/1000</f>
        <v>-1.0640000000000001</v>
      </c>
      <c r="L357" s="152">
        <f t="shared" si="17"/>
        <v>-1238</v>
      </c>
      <c r="M357" s="153">
        <f t="shared" si="18"/>
        <v>-1067</v>
      </c>
      <c r="N357" s="152">
        <f t="shared" si="19"/>
        <v>-1034</v>
      </c>
      <c r="O357" s="152"/>
    </row>
    <row r="358" spans="1:15">
      <c r="A358" s="88">
        <f>'BC.116+240'!B357</f>
        <v>45625</v>
      </c>
      <c r="B358" s="152">
        <f t="shared" si="16"/>
        <v>344</v>
      </c>
      <c r="C358" s="154">
        <f>'BC.116+240'!M357/1000</f>
        <v>3.2410000000000001</v>
      </c>
      <c r="D358" s="154">
        <f>'BC.116+240'!AA357</f>
        <v>4.2549999999999999</v>
      </c>
      <c r="E358" s="155">
        <f>'BC.116+240'!AB357</f>
        <v>2.2519999999999998</v>
      </c>
      <c r="F358" s="154">
        <f>VLOOKUP($A358,'BC.116+240'!$B$13:$X$4890,8,0)/1000</f>
        <v>2.8</v>
      </c>
      <c r="G358" s="154">
        <f>VLOOKUP($A358,'BC.116+240'!$B$13:$X$4890,9,0)/1000</f>
        <v>-1.2</v>
      </c>
      <c r="H358" s="154">
        <f>VLOOKUP($A358,'BC.116+240'!$B$13:$X$4890,14,0)/1000</f>
        <v>2.851</v>
      </c>
      <c r="I358" s="154">
        <f>VLOOKUP($A358,'BC.116+240'!$B$13:$X$4890,15,0)/1000</f>
        <v>-1.149</v>
      </c>
      <c r="J358" s="154">
        <f>VLOOKUP($A358,'BC.116+240'!$B$13:$X$4890,20,0)/1000</f>
        <v>2.9319999999999999</v>
      </c>
      <c r="K358" s="154">
        <f>VLOOKUP($A358,'BC.116+240'!$B$13:$X$4890,21,0)/1000</f>
        <v>-1.0680000000000001</v>
      </c>
      <c r="L358" s="152">
        <f t="shared" si="17"/>
        <v>-1240</v>
      </c>
      <c r="M358" s="153">
        <f t="shared" si="18"/>
        <v>-1069</v>
      </c>
      <c r="N358" s="152">
        <f t="shared" si="19"/>
        <v>-1038</v>
      </c>
      <c r="O358" s="152"/>
    </row>
    <row r="359" spans="1:15">
      <c r="A359" s="88">
        <f>'BC.116+240'!B358</f>
        <v>45626</v>
      </c>
      <c r="B359" s="152">
        <f t="shared" si="16"/>
        <v>345</v>
      </c>
      <c r="C359" s="154">
        <f>'BC.116+240'!M358/1000</f>
        <v>3.2389999999999999</v>
      </c>
      <c r="D359" s="154">
        <f>'BC.116+240'!AA358</f>
        <v>4.2549999999999999</v>
      </c>
      <c r="E359" s="155">
        <f>'BC.116+240'!AB358</f>
        <v>2.2480000000000002</v>
      </c>
      <c r="F359" s="154">
        <f>VLOOKUP($A359,'BC.116+240'!$B$13:$X$4890,8,0)/1000</f>
        <v>2.7989999999999999</v>
      </c>
      <c r="G359" s="154">
        <f>VLOOKUP($A359,'BC.116+240'!$B$13:$X$4890,9,0)/1000</f>
        <v>-1.2010000000000001</v>
      </c>
      <c r="H359" s="154">
        <f>VLOOKUP($A359,'BC.116+240'!$B$13:$X$4890,14,0)/1000</f>
        <v>2.8490000000000002</v>
      </c>
      <c r="I359" s="154">
        <f>VLOOKUP($A359,'BC.116+240'!$B$13:$X$4890,15,0)/1000</f>
        <v>-1.151</v>
      </c>
      <c r="J359" s="154">
        <f>VLOOKUP($A359,'BC.116+240'!$B$13:$X$4890,20,0)/1000</f>
        <v>2.927</v>
      </c>
      <c r="K359" s="154">
        <f>VLOOKUP($A359,'BC.116+240'!$B$13:$X$4890,21,0)/1000</f>
        <v>-1.073</v>
      </c>
      <c r="L359" s="152">
        <f t="shared" si="17"/>
        <v>-1241</v>
      </c>
      <c r="M359" s="153">
        <f t="shared" si="18"/>
        <v>-1071</v>
      </c>
      <c r="N359" s="152">
        <f t="shared" si="19"/>
        <v>-1043</v>
      </c>
      <c r="O359" s="152"/>
    </row>
    <row r="360" spans="1:15">
      <c r="A360" s="88">
        <f>'BC.116+240'!B359</f>
        <v>45627</v>
      </c>
      <c r="B360" s="152">
        <f t="shared" si="16"/>
        <v>346</v>
      </c>
      <c r="C360" s="154">
        <f>'BC.116+240'!M359/1000</f>
        <v>3.2370000000000001</v>
      </c>
      <c r="D360" s="154">
        <f>'BC.116+240'!AA359</f>
        <v>4.2549999999999999</v>
      </c>
      <c r="E360" s="155">
        <f>'BC.116+240'!AB359</f>
        <v>2.2440000000000002</v>
      </c>
      <c r="F360" s="154">
        <f>VLOOKUP($A360,'BC.116+240'!$B$13:$X$4890,8,0)/1000</f>
        <v>2.7959999999999998</v>
      </c>
      <c r="G360" s="154">
        <f>VLOOKUP($A360,'BC.116+240'!$B$13:$X$4890,9,0)/1000</f>
        <v>-1.204</v>
      </c>
      <c r="H360" s="154">
        <f>VLOOKUP($A360,'BC.116+240'!$B$13:$X$4890,14,0)/1000</f>
        <v>2.847</v>
      </c>
      <c r="I360" s="154">
        <f>VLOOKUP($A360,'BC.116+240'!$B$13:$X$4890,15,0)/1000</f>
        <v>-1.153</v>
      </c>
      <c r="J360" s="154">
        <f>VLOOKUP($A360,'BC.116+240'!$B$13:$X$4890,20,0)/1000</f>
        <v>2.9239999999999999</v>
      </c>
      <c r="K360" s="154">
        <f>VLOOKUP($A360,'BC.116+240'!$B$13:$X$4890,21,0)/1000</f>
        <v>-1.0760000000000001</v>
      </c>
      <c r="L360" s="152">
        <f t="shared" si="17"/>
        <v>-1244</v>
      </c>
      <c r="M360" s="153">
        <f t="shared" si="18"/>
        <v>-1073</v>
      </c>
      <c r="N360" s="152">
        <f t="shared" si="19"/>
        <v>-1046</v>
      </c>
      <c r="O360" s="152"/>
    </row>
    <row r="361" spans="1:15">
      <c r="A361" s="88">
        <f>'BC.116+240'!B360</f>
        <v>45628</v>
      </c>
      <c r="B361" s="152">
        <f t="shared" si="16"/>
        <v>347</v>
      </c>
      <c r="C361" s="154">
        <f>'BC.116+240'!M360/1000</f>
        <v>3.2349999999999999</v>
      </c>
      <c r="D361" s="154">
        <f>'BC.116+240'!AA360</f>
        <v>4.2549999999999999</v>
      </c>
      <c r="E361" s="155">
        <f>'BC.116+240'!AB360</f>
        <v>2.2400000000000002</v>
      </c>
      <c r="F361" s="154">
        <f>VLOOKUP($A361,'BC.116+240'!$B$13:$X$4890,8,0)/1000</f>
        <v>2.794</v>
      </c>
      <c r="G361" s="154">
        <f>VLOOKUP($A361,'BC.116+240'!$B$13:$X$4890,9,0)/1000</f>
        <v>-1.206</v>
      </c>
      <c r="H361" s="154">
        <f>VLOOKUP($A361,'BC.116+240'!$B$13:$X$4890,14,0)/1000</f>
        <v>2.8450000000000002</v>
      </c>
      <c r="I361" s="154">
        <f>VLOOKUP($A361,'BC.116+240'!$B$13:$X$4890,15,0)/1000</f>
        <v>-1.155</v>
      </c>
      <c r="J361" s="154">
        <f>VLOOKUP($A361,'BC.116+240'!$B$13:$X$4890,20,0)/1000</f>
        <v>2.9220000000000002</v>
      </c>
      <c r="K361" s="154">
        <f>VLOOKUP($A361,'BC.116+240'!$B$13:$X$4890,21,0)/1000</f>
        <v>-1.0780000000000001</v>
      </c>
      <c r="L361" s="152">
        <f t="shared" si="17"/>
        <v>-1246</v>
      </c>
      <c r="M361" s="153">
        <f t="shared" si="18"/>
        <v>-1075</v>
      </c>
      <c r="N361" s="152">
        <f t="shared" si="19"/>
        <v>-1048</v>
      </c>
      <c r="O361" s="152"/>
    </row>
    <row r="362" spans="1:15">
      <c r="A362" s="88">
        <f>'BC.116+240'!B361</f>
        <v>45629</v>
      </c>
      <c r="B362" s="152">
        <f t="shared" si="16"/>
        <v>348</v>
      </c>
      <c r="C362" s="154">
        <f>'BC.116+240'!M361/1000</f>
        <v>3.23</v>
      </c>
      <c r="D362" s="154">
        <f>'BC.116+240'!AA361</f>
        <v>4.2549999999999999</v>
      </c>
      <c r="E362" s="155">
        <f>'BC.116+240'!AB361</f>
        <v>2.23</v>
      </c>
      <c r="F362" s="154">
        <f>VLOOKUP($A362,'BC.116+240'!$B$13:$X$4890,8,0)/1000</f>
        <v>2.7930000000000001</v>
      </c>
      <c r="G362" s="154">
        <f>VLOOKUP($A362,'BC.116+240'!$B$13:$X$4890,9,0)/1000</f>
        <v>-1.2070000000000001</v>
      </c>
      <c r="H362" s="154">
        <f>VLOOKUP($A362,'BC.116+240'!$B$13:$X$4890,14,0)/1000</f>
        <v>2.84</v>
      </c>
      <c r="I362" s="154">
        <f>VLOOKUP($A362,'BC.116+240'!$B$13:$X$4890,15,0)/1000</f>
        <v>-1.1599999999999999</v>
      </c>
      <c r="J362" s="154">
        <f>VLOOKUP($A362,'BC.116+240'!$B$13:$X$4890,20,0)/1000</f>
        <v>2.92</v>
      </c>
      <c r="K362" s="154">
        <f>VLOOKUP($A362,'BC.116+240'!$B$13:$X$4890,21,0)/1000</f>
        <v>-1.08</v>
      </c>
      <c r="L362" s="152">
        <f t="shared" si="17"/>
        <v>-1247</v>
      </c>
      <c r="M362" s="153">
        <f t="shared" si="18"/>
        <v>-1079.9999999999998</v>
      </c>
      <c r="N362" s="152">
        <f t="shared" si="19"/>
        <v>-1050</v>
      </c>
      <c r="O362" s="152"/>
    </row>
    <row r="363" spans="1:15">
      <c r="A363" s="88">
        <f>'BC.116+240'!B362</f>
        <v>45630</v>
      </c>
      <c r="B363" s="152">
        <f t="shared" si="16"/>
        <v>349</v>
      </c>
      <c r="C363" s="154">
        <f>'BC.116+240'!M362/1000</f>
        <v>3.2250000000000001</v>
      </c>
      <c r="D363" s="154">
        <f>'BC.116+240'!AA362</f>
        <v>4.2549999999999999</v>
      </c>
      <c r="E363" s="155">
        <f>'BC.116+240'!AB362</f>
        <v>2.2200000000000002</v>
      </c>
      <c r="F363" s="154">
        <f>VLOOKUP($A363,'BC.116+240'!$B$13:$X$4890,8,0)/1000</f>
        <v>2.7909999999999999</v>
      </c>
      <c r="G363" s="154">
        <f>VLOOKUP($A363,'BC.116+240'!$B$13:$X$4890,9,0)/1000</f>
        <v>-1.2090000000000001</v>
      </c>
      <c r="H363" s="154">
        <f>VLOOKUP($A363,'BC.116+240'!$B$13:$X$4890,14,0)/1000</f>
        <v>2.835</v>
      </c>
      <c r="I363" s="154">
        <f>VLOOKUP($A363,'BC.116+240'!$B$13:$X$4890,15,0)/1000</f>
        <v>-1.165</v>
      </c>
      <c r="J363" s="154">
        <f>VLOOKUP($A363,'BC.116+240'!$B$13:$X$4890,20,0)/1000</f>
        <v>2.919</v>
      </c>
      <c r="K363" s="154">
        <f>VLOOKUP($A363,'BC.116+240'!$B$13:$X$4890,21,0)/1000</f>
        <v>-1.081</v>
      </c>
      <c r="L363" s="152">
        <f t="shared" si="17"/>
        <v>-1249</v>
      </c>
      <c r="M363" s="153">
        <f t="shared" si="18"/>
        <v>-1085</v>
      </c>
      <c r="N363" s="152">
        <f t="shared" si="19"/>
        <v>-1051</v>
      </c>
      <c r="O363" s="152"/>
    </row>
    <row r="364" spans="1:15">
      <c r="A364" s="88">
        <f>'BC.116+240'!B363</f>
        <v>45631</v>
      </c>
      <c r="B364" s="152">
        <f t="shared" si="16"/>
        <v>350</v>
      </c>
      <c r="C364" s="154">
        <f>'BC.116+240'!M363/1000</f>
        <v>3.22</v>
      </c>
      <c r="D364" s="154">
        <f>'BC.116+240'!AA363</f>
        <v>4.2549999999999999</v>
      </c>
      <c r="E364" s="155">
        <f>'BC.116+240'!AB363</f>
        <v>2.21</v>
      </c>
      <c r="F364" s="154">
        <f>VLOOKUP($A364,'BC.116+240'!$B$13:$X$4890,8,0)/1000</f>
        <v>2.7890000000000001</v>
      </c>
      <c r="G364" s="154">
        <f>VLOOKUP($A364,'BC.116+240'!$B$13:$X$4890,9,0)/1000</f>
        <v>-1.2110000000000001</v>
      </c>
      <c r="H364" s="154">
        <f>VLOOKUP($A364,'BC.116+240'!$B$13:$X$4890,14,0)/1000</f>
        <v>2.83</v>
      </c>
      <c r="I364" s="154">
        <f>VLOOKUP($A364,'BC.116+240'!$B$13:$X$4890,15,0)/1000</f>
        <v>-1.17</v>
      </c>
      <c r="J364" s="154">
        <f>VLOOKUP($A364,'BC.116+240'!$B$13:$X$4890,20,0)/1000</f>
        <v>2.9169999999999998</v>
      </c>
      <c r="K364" s="154">
        <f>VLOOKUP($A364,'BC.116+240'!$B$13:$X$4890,21,0)/1000</f>
        <v>-1.083</v>
      </c>
      <c r="L364" s="152">
        <f t="shared" si="17"/>
        <v>-1251</v>
      </c>
      <c r="M364" s="153">
        <f t="shared" si="18"/>
        <v>-1089.9999999999998</v>
      </c>
      <c r="N364" s="152">
        <f t="shared" si="19"/>
        <v>-1053</v>
      </c>
      <c r="O364" s="152"/>
    </row>
    <row r="365" spans="1:15">
      <c r="A365" s="88">
        <f>'BC.116+240'!B364</f>
        <v>45632</v>
      </c>
      <c r="B365" s="152">
        <f t="shared" si="16"/>
        <v>351</v>
      </c>
      <c r="C365" s="154">
        <f>'BC.116+240'!M364/1000</f>
        <v>3.2160000000000002</v>
      </c>
      <c r="D365" s="154">
        <f>'BC.116+240'!AA364</f>
        <v>4.2549999999999999</v>
      </c>
      <c r="E365" s="155">
        <f>'BC.116+240'!AB364</f>
        <v>2.202</v>
      </c>
      <c r="F365" s="154">
        <f>VLOOKUP($A365,'BC.116+240'!$B$13:$X$4890,8,0)/1000</f>
        <v>2.7869999999999999</v>
      </c>
      <c r="G365" s="154">
        <f>VLOOKUP($A365,'BC.116+240'!$B$13:$X$4890,9,0)/1000</f>
        <v>-1.2130000000000001</v>
      </c>
      <c r="H365" s="154">
        <f>VLOOKUP($A365,'BC.116+240'!$B$13:$X$4890,14,0)/1000</f>
        <v>2.8260000000000001</v>
      </c>
      <c r="I365" s="154">
        <f>VLOOKUP($A365,'BC.116+240'!$B$13:$X$4890,15,0)/1000</f>
        <v>-1.1739999999999999</v>
      </c>
      <c r="J365" s="154">
        <f>VLOOKUP($A365,'BC.116+240'!$B$13:$X$4890,20,0)/1000</f>
        <v>2.9119999999999999</v>
      </c>
      <c r="K365" s="154">
        <f>VLOOKUP($A365,'BC.116+240'!$B$13:$X$4890,21,0)/1000</f>
        <v>-1.0880000000000001</v>
      </c>
      <c r="L365" s="152">
        <f t="shared" si="17"/>
        <v>-1253</v>
      </c>
      <c r="M365" s="153">
        <f t="shared" si="18"/>
        <v>-1093.9999999999998</v>
      </c>
      <c r="N365" s="152">
        <f t="shared" si="19"/>
        <v>-1058</v>
      </c>
      <c r="O365" s="152"/>
    </row>
    <row r="366" spans="1:15">
      <c r="A366" s="88">
        <f>'BC.116+240'!B365</f>
        <v>45633</v>
      </c>
      <c r="B366" s="152">
        <f t="shared" si="16"/>
        <v>352</v>
      </c>
      <c r="C366" s="154">
        <f>'BC.116+240'!M365/1000</f>
        <v>3.2130000000000001</v>
      </c>
      <c r="D366" s="154">
        <f>'BC.116+240'!AA365</f>
        <v>4.2549999999999999</v>
      </c>
      <c r="E366" s="155">
        <f>'BC.116+240'!AB365</f>
        <v>2.1960000000000002</v>
      </c>
      <c r="F366" s="154">
        <f>VLOOKUP($A366,'BC.116+240'!$B$13:$X$4890,8,0)/1000</f>
        <v>2.7850000000000001</v>
      </c>
      <c r="G366" s="154">
        <f>VLOOKUP($A366,'BC.116+240'!$B$13:$X$4890,9,0)/1000</f>
        <v>-1.2150000000000001</v>
      </c>
      <c r="H366" s="154">
        <f>VLOOKUP($A366,'BC.116+240'!$B$13:$X$4890,14,0)/1000</f>
        <v>2.823</v>
      </c>
      <c r="I366" s="154">
        <f>VLOOKUP($A366,'BC.116+240'!$B$13:$X$4890,15,0)/1000</f>
        <v>-1.177</v>
      </c>
      <c r="J366" s="154">
        <f>VLOOKUP($A366,'BC.116+240'!$B$13:$X$4890,20,0)/1000</f>
        <v>2.907</v>
      </c>
      <c r="K366" s="154">
        <f>VLOOKUP($A366,'BC.116+240'!$B$13:$X$4890,21,0)/1000</f>
        <v>-1.093</v>
      </c>
      <c r="L366" s="152">
        <f t="shared" si="17"/>
        <v>-1255.0000000000002</v>
      </c>
      <c r="M366" s="153">
        <f t="shared" si="18"/>
        <v>-1097</v>
      </c>
      <c r="N366" s="152">
        <f t="shared" si="19"/>
        <v>-1063</v>
      </c>
      <c r="O366" s="152"/>
    </row>
    <row r="367" spans="1:15">
      <c r="A367" s="88">
        <f>'BC.116+240'!B366</f>
        <v>45634</v>
      </c>
      <c r="B367" s="152">
        <f t="shared" si="16"/>
        <v>353</v>
      </c>
      <c r="C367" s="154">
        <f>'BC.116+240'!M366/1000</f>
        <v>3.2109999999999999</v>
      </c>
      <c r="D367" s="154">
        <f>'BC.116+240'!AA366</f>
        <v>4.2549999999999999</v>
      </c>
      <c r="E367" s="155">
        <f>'BC.116+240'!AB366</f>
        <v>2.1920000000000002</v>
      </c>
      <c r="F367" s="154">
        <f>VLOOKUP($A367,'BC.116+240'!$B$13:$X$4890,8,0)/1000</f>
        <v>2.7829999999999999</v>
      </c>
      <c r="G367" s="154">
        <f>VLOOKUP($A367,'BC.116+240'!$B$13:$X$4890,9,0)/1000</f>
        <v>-1.2170000000000001</v>
      </c>
      <c r="H367" s="154">
        <f>VLOOKUP($A367,'BC.116+240'!$B$13:$X$4890,14,0)/1000</f>
        <v>2.8210000000000002</v>
      </c>
      <c r="I367" s="154">
        <f>VLOOKUP($A367,'BC.116+240'!$B$13:$X$4890,15,0)/1000</f>
        <v>-1.179</v>
      </c>
      <c r="J367" s="154">
        <f>VLOOKUP($A367,'BC.116+240'!$B$13:$X$4890,20,0)/1000</f>
        <v>2.9020000000000001</v>
      </c>
      <c r="K367" s="154">
        <f>VLOOKUP($A367,'BC.116+240'!$B$13:$X$4890,21,0)/1000</f>
        <v>-1.0980000000000001</v>
      </c>
      <c r="L367" s="152">
        <f t="shared" si="17"/>
        <v>-1257.0000000000002</v>
      </c>
      <c r="M367" s="153">
        <f t="shared" si="18"/>
        <v>-1099</v>
      </c>
      <c r="N367" s="152">
        <f t="shared" si="19"/>
        <v>-1068</v>
      </c>
      <c r="O367" s="152"/>
    </row>
    <row r="368" spans="1:15">
      <c r="A368" s="88">
        <f>'BC.116+240'!B367</f>
        <v>45635</v>
      </c>
      <c r="B368" s="152">
        <f t="shared" si="16"/>
        <v>354</v>
      </c>
      <c r="C368" s="154">
        <f>'BC.116+240'!M367/1000</f>
        <v>3.21</v>
      </c>
      <c r="D368" s="154">
        <f>'BC.116+240'!AA367</f>
        <v>4.2549999999999999</v>
      </c>
      <c r="E368" s="155">
        <f>'BC.116+240'!AB367</f>
        <v>2.19</v>
      </c>
      <c r="F368" s="154">
        <f>VLOOKUP($A368,'BC.116+240'!$B$13:$X$4890,8,0)/1000</f>
        <v>2.78</v>
      </c>
      <c r="G368" s="154">
        <f>VLOOKUP($A368,'BC.116+240'!$B$13:$X$4890,9,0)/1000</f>
        <v>-1.22</v>
      </c>
      <c r="H368" s="154">
        <f>VLOOKUP($A368,'BC.116+240'!$B$13:$X$4890,14,0)/1000</f>
        <v>2.82</v>
      </c>
      <c r="I368" s="154">
        <f>VLOOKUP($A368,'BC.116+240'!$B$13:$X$4890,15,0)/1000</f>
        <v>-1.18</v>
      </c>
      <c r="J368" s="154">
        <f>VLOOKUP($A368,'BC.116+240'!$B$13:$X$4890,20,0)/1000</f>
        <v>2.9</v>
      </c>
      <c r="K368" s="154">
        <f>VLOOKUP($A368,'BC.116+240'!$B$13:$X$4890,21,0)/1000</f>
        <v>-1.1000000000000001</v>
      </c>
      <c r="L368" s="152">
        <f t="shared" si="17"/>
        <v>-1260</v>
      </c>
      <c r="M368" s="153">
        <f t="shared" si="18"/>
        <v>-1099.9999999999998</v>
      </c>
      <c r="N368" s="152">
        <f t="shared" si="19"/>
        <v>-1070</v>
      </c>
      <c r="O368" s="152"/>
    </row>
    <row r="369" spans="1:15">
      <c r="A369" s="88">
        <f>'BC.116+240'!B368</f>
        <v>45636</v>
      </c>
      <c r="B369" s="152">
        <f t="shared" si="16"/>
        <v>355</v>
      </c>
      <c r="C369" s="154">
        <f>'BC.116+240'!M368/1000</f>
        <v>3.2080000000000002</v>
      </c>
      <c r="D369" s="154">
        <f>'BC.116+240'!AA368</f>
        <v>4.2549999999999999</v>
      </c>
      <c r="E369" s="155">
        <f>'BC.116+240'!AB368</f>
        <v>2.1859999999999999</v>
      </c>
      <c r="F369" s="154">
        <f>VLOOKUP($A369,'BC.116+240'!$B$13:$X$4890,8,0)/1000</f>
        <v>2.778</v>
      </c>
      <c r="G369" s="154">
        <f>VLOOKUP($A369,'BC.116+240'!$B$13:$X$4890,9,0)/1000</f>
        <v>-1.222</v>
      </c>
      <c r="H369" s="154">
        <f>VLOOKUP($A369,'BC.116+240'!$B$13:$X$4890,14,0)/1000</f>
        <v>2.8180000000000001</v>
      </c>
      <c r="I369" s="154">
        <f>VLOOKUP($A369,'BC.116+240'!$B$13:$X$4890,15,0)/1000</f>
        <v>-1.1819999999999999</v>
      </c>
      <c r="J369" s="154">
        <f>VLOOKUP($A369,'BC.116+240'!$B$13:$X$4890,20,0)/1000</f>
        <v>2.899</v>
      </c>
      <c r="K369" s="154">
        <f>VLOOKUP($A369,'BC.116+240'!$B$13:$X$4890,21,0)/1000</f>
        <v>-1.101</v>
      </c>
      <c r="L369" s="152">
        <f t="shared" si="17"/>
        <v>-1262</v>
      </c>
      <c r="M369" s="153">
        <f t="shared" si="18"/>
        <v>-1101.9999999999998</v>
      </c>
      <c r="N369" s="152">
        <f t="shared" si="19"/>
        <v>-1071</v>
      </c>
      <c r="O369" s="152"/>
    </row>
    <row r="370" spans="1:15">
      <c r="A370" s="88">
        <f>'BC.116+240'!B369</f>
        <v>45637</v>
      </c>
      <c r="B370" s="152">
        <f t="shared" si="16"/>
        <v>356</v>
      </c>
      <c r="C370" s="154">
        <f>'BC.116+240'!M369/1000</f>
        <v>3.206</v>
      </c>
      <c r="D370" s="154">
        <f>'BC.116+240'!AA369</f>
        <v>4.2549999999999999</v>
      </c>
      <c r="E370" s="155">
        <f>'BC.116+240'!AB369</f>
        <v>2.1819999999999999</v>
      </c>
      <c r="F370" s="154">
        <f>VLOOKUP($A370,'BC.116+240'!$B$13:$X$4890,8,0)/1000</f>
        <v>2.7749999999999999</v>
      </c>
      <c r="G370" s="154">
        <f>VLOOKUP($A370,'BC.116+240'!$B$13:$X$4890,9,0)/1000</f>
        <v>-1.2250000000000001</v>
      </c>
      <c r="H370" s="154">
        <f>VLOOKUP($A370,'BC.116+240'!$B$13:$X$4890,14,0)/1000</f>
        <v>2.8159999999999998</v>
      </c>
      <c r="I370" s="154">
        <f>VLOOKUP($A370,'BC.116+240'!$B$13:$X$4890,15,0)/1000</f>
        <v>-1.1839999999999999</v>
      </c>
      <c r="J370" s="154">
        <f>VLOOKUP($A370,'BC.116+240'!$B$13:$X$4890,20,0)/1000</f>
        <v>2.8969999999999998</v>
      </c>
      <c r="K370" s="154">
        <f>VLOOKUP($A370,'BC.116+240'!$B$13:$X$4890,21,0)/1000</f>
        <v>-1.103</v>
      </c>
      <c r="L370" s="152">
        <f t="shared" si="17"/>
        <v>-1265.0000000000002</v>
      </c>
      <c r="M370" s="153">
        <f t="shared" si="18"/>
        <v>-1103.9999999999998</v>
      </c>
      <c r="N370" s="152">
        <f t="shared" si="19"/>
        <v>-1073</v>
      </c>
      <c r="O370" s="152"/>
    </row>
    <row r="371" spans="1:15">
      <c r="A371" s="88">
        <f>'BC.116+240'!B370</f>
        <v>45638</v>
      </c>
      <c r="B371" s="152">
        <f t="shared" si="16"/>
        <v>357</v>
      </c>
      <c r="C371" s="154">
        <f>'BC.116+240'!M370/1000</f>
        <v>3.2040000000000002</v>
      </c>
      <c r="D371" s="154">
        <f>'BC.116+240'!AA370</f>
        <v>4.2549999999999999</v>
      </c>
      <c r="E371" s="155">
        <f>'BC.116+240'!AB370</f>
        <v>2.1779999999999999</v>
      </c>
      <c r="F371" s="154">
        <f>VLOOKUP($A371,'BC.116+240'!$B$13:$X$4890,8,0)/1000</f>
        <v>2.7709999999999999</v>
      </c>
      <c r="G371" s="154">
        <f>VLOOKUP($A371,'BC.116+240'!$B$13:$X$4890,9,0)/1000</f>
        <v>-1.2290000000000001</v>
      </c>
      <c r="H371" s="154">
        <f>VLOOKUP($A371,'BC.116+240'!$B$13:$X$4890,14,0)/1000</f>
        <v>2.8140000000000001</v>
      </c>
      <c r="I371" s="154">
        <f>VLOOKUP($A371,'BC.116+240'!$B$13:$X$4890,15,0)/1000</f>
        <v>-1.1859999999999999</v>
      </c>
      <c r="J371" s="154">
        <f>VLOOKUP($A371,'BC.116+240'!$B$13:$X$4890,20,0)/1000</f>
        <v>2.8889999999999998</v>
      </c>
      <c r="K371" s="154">
        <f>VLOOKUP($A371,'BC.116+240'!$B$13:$X$4890,21,0)/1000</f>
        <v>-1.111</v>
      </c>
      <c r="L371" s="152">
        <f t="shared" si="17"/>
        <v>-1269.0000000000002</v>
      </c>
      <c r="M371" s="153">
        <f t="shared" si="18"/>
        <v>-1105.9999999999998</v>
      </c>
      <c r="N371" s="152">
        <f t="shared" si="19"/>
        <v>-1081</v>
      </c>
      <c r="O371" s="152"/>
    </row>
    <row r="372" spans="1:15">
      <c r="A372" s="88">
        <f>'BC.116+240'!B371</f>
        <v>45639</v>
      </c>
      <c r="B372" s="152">
        <f t="shared" si="16"/>
        <v>358</v>
      </c>
      <c r="C372" s="154">
        <f>'BC.116+240'!M371/1000</f>
        <v>3.202</v>
      </c>
      <c r="D372" s="154">
        <f>'BC.116+240'!AA371</f>
        <v>4.2549999999999999</v>
      </c>
      <c r="E372" s="155">
        <f>'BC.116+240'!AB371</f>
        <v>2.1739999999999999</v>
      </c>
      <c r="F372" s="154">
        <f>VLOOKUP($A372,'BC.116+240'!$B$13:$X$4890,8,0)/1000</f>
        <v>2.77</v>
      </c>
      <c r="G372" s="154">
        <f>VLOOKUP($A372,'BC.116+240'!$B$13:$X$4890,9,0)/1000</f>
        <v>-1.23</v>
      </c>
      <c r="H372" s="154">
        <f>VLOOKUP($A372,'BC.116+240'!$B$13:$X$4890,14,0)/1000</f>
        <v>2.8119999999999998</v>
      </c>
      <c r="I372" s="154">
        <f>VLOOKUP($A372,'BC.116+240'!$B$13:$X$4890,15,0)/1000</f>
        <v>-1.1879999999999999</v>
      </c>
      <c r="J372" s="154">
        <f>VLOOKUP($A372,'BC.116+240'!$B$13:$X$4890,20,0)/1000</f>
        <v>2.883</v>
      </c>
      <c r="K372" s="154">
        <f>VLOOKUP($A372,'BC.116+240'!$B$13:$X$4890,21,0)/1000</f>
        <v>-1.117</v>
      </c>
      <c r="L372" s="152">
        <f t="shared" si="17"/>
        <v>-1270</v>
      </c>
      <c r="M372" s="153">
        <f t="shared" si="18"/>
        <v>-1107.9999999999998</v>
      </c>
      <c r="N372" s="152">
        <f t="shared" si="19"/>
        <v>-1087</v>
      </c>
      <c r="O372" s="152"/>
    </row>
    <row r="373" spans="1:15">
      <c r="A373" s="88">
        <f>'BC.116+240'!B372</f>
        <v>45640</v>
      </c>
      <c r="B373" s="152">
        <f t="shared" ref="B373:B436" si="20">+B372+1</f>
        <v>359</v>
      </c>
      <c r="C373" s="154">
        <f>'BC.116+240'!M372/1000</f>
        <v>3.2</v>
      </c>
      <c r="D373" s="154">
        <f>'BC.116+240'!AA372</f>
        <v>4.2549999999999999</v>
      </c>
      <c r="E373" s="155">
        <f>'BC.116+240'!AB372</f>
        <v>2.17</v>
      </c>
      <c r="F373" s="154">
        <f>VLOOKUP($A373,'BC.116+240'!$B$13:$X$4890,8,0)/1000</f>
        <v>2.7669999999999999</v>
      </c>
      <c r="G373" s="154">
        <f>VLOOKUP($A373,'BC.116+240'!$B$13:$X$4890,9,0)/1000</f>
        <v>-1.2330000000000001</v>
      </c>
      <c r="H373" s="154">
        <f>VLOOKUP($A373,'BC.116+240'!$B$13:$X$4890,14,0)/1000</f>
        <v>2.81</v>
      </c>
      <c r="I373" s="154">
        <f>VLOOKUP($A373,'BC.116+240'!$B$13:$X$4890,15,0)/1000</f>
        <v>-1.19</v>
      </c>
      <c r="J373" s="154">
        <f>VLOOKUP($A373,'BC.116+240'!$B$13:$X$4890,20,0)/1000</f>
        <v>2.8759999999999999</v>
      </c>
      <c r="K373" s="154">
        <f>VLOOKUP($A373,'BC.116+240'!$B$13:$X$4890,21,0)/1000</f>
        <v>-1.1240000000000001</v>
      </c>
      <c r="L373" s="152">
        <f t="shared" si="17"/>
        <v>-1273.0000000000002</v>
      </c>
      <c r="M373" s="153">
        <f t="shared" si="18"/>
        <v>-1109.9999999999998</v>
      </c>
      <c r="N373" s="152">
        <f t="shared" si="19"/>
        <v>-1094</v>
      </c>
      <c r="O373" s="152"/>
    </row>
    <row r="374" spans="1:15">
      <c r="A374" s="88">
        <f>'BC.116+240'!B373</f>
        <v>45641</v>
      </c>
      <c r="B374" s="152">
        <f t="shared" si="20"/>
        <v>360</v>
      </c>
      <c r="C374" s="154">
        <f>'BC.116+240'!M373/1000</f>
        <v>3.198</v>
      </c>
      <c r="D374" s="154">
        <f>'BC.116+240'!AA373</f>
        <v>4.2549999999999999</v>
      </c>
      <c r="E374" s="155">
        <f>'BC.116+240'!AB373</f>
        <v>2.1659999999999999</v>
      </c>
      <c r="F374" s="154">
        <f>VLOOKUP($A374,'BC.116+240'!$B$13:$X$4890,8,0)/1000</f>
        <v>2.7639999999999998</v>
      </c>
      <c r="G374" s="154">
        <f>VLOOKUP($A374,'BC.116+240'!$B$13:$X$4890,9,0)/1000</f>
        <v>-1.236</v>
      </c>
      <c r="H374" s="154">
        <f>VLOOKUP($A374,'BC.116+240'!$B$13:$X$4890,14,0)/1000</f>
        <v>2.8079999999999998</v>
      </c>
      <c r="I374" s="154">
        <f>VLOOKUP($A374,'BC.116+240'!$B$13:$X$4890,15,0)/1000</f>
        <v>-1.1919999999999999</v>
      </c>
      <c r="J374" s="154">
        <f>VLOOKUP($A374,'BC.116+240'!$B$13:$X$4890,20,0)/1000</f>
        <v>2.8719999999999999</v>
      </c>
      <c r="K374" s="154">
        <f>VLOOKUP($A374,'BC.116+240'!$B$13:$X$4890,21,0)/1000</f>
        <v>-1.1279999999999999</v>
      </c>
      <c r="L374" s="152">
        <f t="shared" si="17"/>
        <v>-1276</v>
      </c>
      <c r="M374" s="153">
        <f t="shared" si="18"/>
        <v>-1111.9999999999998</v>
      </c>
      <c r="N374" s="152">
        <f t="shared" si="19"/>
        <v>-1097.9999999999998</v>
      </c>
      <c r="O374" s="152"/>
    </row>
    <row r="375" spans="1:15">
      <c r="A375" s="88">
        <f>'BC.116+240'!B374</f>
        <v>45642</v>
      </c>
      <c r="B375" s="152">
        <f t="shared" si="20"/>
        <v>361</v>
      </c>
      <c r="C375" s="154">
        <f>'BC.116+240'!M374/1000</f>
        <v>3.1930000000000001</v>
      </c>
      <c r="D375" s="154">
        <f>'BC.116+240'!AA374</f>
        <v>4.2549999999999999</v>
      </c>
      <c r="E375" s="155">
        <f>'BC.116+240'!AB374</f>
        <v>2.1560000000000001</v>
      </c>
      <c r="F375" s="154">
        <f>VLOOKUP($A375,'BC.116+240'!$B$13:$X$4890,8,0)/1000</f>
        <v>2.7629999999999999</v>
      </c>
      <c r="G375" s="154">
        <f>VLOOKUP($A375,'BC.116+240'!$B$13:$X$4890,9,0)/1000</f>
        <v>-1.2370000000000001</v>
      </c>
      <c r="H375" s="154">
        <f>VLOOKUP($A375,'BC.116+240'!$B$13:$X$4890,14,0)/1000</f>
        <v>2.8029999999999999</v>
      </c>
      <c r="I375" s="154">
        <f>VLOOKUP($A375,'BC.116+240'!$B$13:$X$4890,15,0)/1000</f>
        <v>-1.1970000000000001</v>
      </c>
      <c r="J375" s="154">
        <f>VLOOKUP($A375,'BC.116+240'!$B$13:$X$4890,20,0)/1000</f>
        <v>2.867</v>
      </c>
      <c r="K375" s="154">
        <f>VLOOKUP($A375,'BC.116+240'!$B$13:$X$4890,21,0)/1000</f>
        <v>-1.133</v>
      </c>
      <c r="L375" s="152">
        <f t="shared" si="17"/>
        <v>-1277.0000000000002</v>
      </c>
      <c r="M375" s="153">
        <f t="shared" si="18"/>
        <v>-1117</v>
      </c>
      <c r="N375" s="152">
        <f t="shared" si="19"/>
        <v>-1103</v>
      </c>
      <c r="O375" s="152"/>
    </row>
    <row r="376" spans="1:15">
      <c r="A376" s="88">
        <f>'BC.116+240'!B375</f>
        <v>45643</v>
      </c>
      <c r="B376" s="152">
        <f t="shared" si="20"/>
        <v>362</v>
      </c>
      <c r="C376" s="154">
        <f>'BC.116+240'!M375/1000</f>
        <v>3.1930000000000001</v>
      </c>
      <c r="D376" s="154">
        <f>'BC.116+240'!AA375</f>
        <v>4.2549999999999999</v>
      </c>
      <c r="E376" s="155">
        <f>'BC.116+240'!AB375</f>
        <v>2.1560000000000001</v>
      </c>
      <c r="F376" s="154">
        <f>VLOOKUP($A376,'BC.116+240'!$B$13:$X$4890,8,0)/1000</f>
        <v>2.7629999999999999</v>
      </c>
      <c r="G376" s="154">
        <f>VLOOKUP($A376,'BC.116+240'!$B$13:$X$4890,9,0)/1000</f>
        <v>-1.2370000000000001</v>
      </c>
      <c r="H376" s="154">
        <f>VLOOKUP($A376,'BC.116+240'!$B$13:$X$4890,14,0)/1000</f>
        <v>2.8029999999999999</v>
      </c>
      <c r="I376" s="154">
        <f>VLOOKUP($A376,'BC.116+240'!$B$13:$X$4890,15,0)/1000</f>
        <v>-1.1970000000000001</v>
      </c>
      <c r="J376" s="154">
        <f>VLOOKUP($A376,'BC.116+240'!$B$13:$X$4890,20,0)/1000</f>
        <v>2.8639999999999999</v>
      </c>
      <c r="K376" s="154">
        <f>VLOOKUP($A376,'BC.116+240'!$B$13:$X$4890,21,0)/1000</f>
        <v>-1.1359999999999999</v>
      </c>
      <c r="L376" s="152">
        <f t="shared" si="17"/>
        <v>-1277.0000000000002</v>
      </c>
      <c r="M376" s="153">
        <f t="shared" si="18"/>
        <v>-1117</v>
      </c>
      <c r="N376" s="152">
        <f t="shared" si="19"/>
        <v>-1105.9999999999998</v>
      </c>
      <c r="O376" s="152"/>
    </row>
    <row r="377" spans="1:15">
      <c r="A377" s="88">
        <f>'BC.116+240'!B376</f>
        <v>45644</v>
      </c>
      <c r="B377" s="152">
        <f t="shared" si="20"/>
        <v>363</v>
      </c>
      <c r="C377" s="154">
        <f>'BC.116+240'!M376/1000</f>
        <v>3.1930000000000001</v>
      </c>
      <c r="D377" s="154">
        <f>'BC.116+240'!AA376</f>
        <v>4.2549999999999999</v>
      </c>
      <c r="E377" s="155">
        <f>'BC.116+240'!AB376</f>
        <v>2.1560000000000001</v>
      </c>
      <c r="F377" s="154">
        <f>VLOOKUP($A377,'BC.116+240'!$B$13:$X$4890,8,0)/1000</f>
        <v>2.7610000000000001</v>
      </c>
      <c r="G377" s="154">
        <f>VLOOKUP($A377,'BC.116+240'!$B$13:$X$4890,9,0)/1000</f>
        <v>-1.2390000000000001</v>
      </c>
      <c r="H377" s="154">
        <f>VLOOKUP($A377,'BC.116+240'!$B$13:$X$4890,14,0)/1000</f>
        <v>2.8029999999999999</v>
      </c>
      <c r="I377" s="154">
        <f>VLOOKUP($A377,'BC.116+240'!$B$13:$X$4890,15,0)/1000</f>
        <v>-1.1970000000000001</v>
      </c>
      <c r="J377" s="154">
        <f>VLOOKUP($A377,'BC.116+240'!$B$13:$X$4890,20,0)/1000</f>
        <v>2.8620000000000001</v>
      </c>
      <c r="K377" s="154">
        <f>VLOOKUP($A377,'BC.116+240'!$B$13:$X$4890,21,0)/1000</f>
        <v>-1.1379999999999999</v>
      </c>
      <c r="L377" s="152">
        <f t="shared" si="17"/>
        <v>-1279.0000000000002</v>
      </c>
      <c r="M377" s="153">
        <f t="shared" si="18"/>
        <v>-1117</v>
      </c>
      <c r="N377" s="152">
        <f t="shared" si="19"/>
        <v>-1107.9999999999998</v>
      </c>
      <c r="O377" s="152"/>
    </row>
    <row r="378" spans="1:15">
      <c r="A378" s="88">
        <f>'BC.116+240'!B377</f>
        <v>45645</v>
      </c>
      <c r="B378" s="152">
        <f t="shared" si="20"/>
        <v>364</v>
      </c>
      <c r="C378" s="154">
        <f>'BC.116+240'!M377/1000</f>
        <v>3.1920000000000002</v>
      </c>
      <c r="D378" s="154">
        <f>'BC.116+240'!AA377</f>
        <v>4.2549999999999999</v>
      </c>
      <c r="E378" s="155">
        <f>'BC.116+240'!AB377</f>
        <v>2.1539999999999999</v>
      </c>
      <c r="F378" s="154">
        <f>VLOOKUP($A378,'BC.116+240'!$B$13:$X$4890,8,0)/1000</f>
        <v>2.758</v>
      </c>
      <c r="G378" s="154">
        <f>VLOOKUP($A378,'BC.116+240'!$B$13:$X$4890,9,0)/1000</f>
        <v>-1.242</v>
      </c>
      <c r="H378" s="154">
        <f>VLOOKUP($A378,'BC.116+240'!$B$13:$X$4890,14,0)/1000</f>
        <v>2.802</v>
      </c>
      <c r="I378" s="154">
        <f>VLOOKUP($A378,'BC.116+240'!$B$13:$X$4890,15,0)/1000</f>
        <v>-1.198</v>
      </c>
      <c r="J378" s="154">
        <f>VLOOKUP($A378,'BC.116+240'!$B$13:$X$4890,20,0)/1000</f>
        <v>2.86</v>
      </c>
      <c r="K378" s="154">
        <f>VLOOKUP($A378,'BC.116+240'!$B$13:$X$4890,21,0)/1000</f>
        <v>-1.1399999999999999</v>
      </c>
      <c r="L378" s="152">
        <f t="shared" si="17"/>
        <v>-1282</v>
      </c>
      <c r="M378" s="153">
        <f t="shared" si="18"/>
        <v>-1117.9999999999998</v>
      </c>
      <c r="N378" s="152">
        <f t="shared" si="19"/>
        <v>-1109.9999999999998</v>
      </c>
      <c r="O378" s="152"/>
    </row>
    <row r="379" spans="1:15">
      <c r="A379" s="88">
        <f>'BC.116+240'!B378</f>
        <v>45646</v>
      </c>
      <c r="B379" s="152">
        <f t="shared" si="20"/>
        <v>365</v>
      </c>
      <c r="C379" s="154">
        <f>'BC.116+240'!M378/1000</f>
        <v>3.19</v>
      </c>
      <c r="D379" s="154">
        <f>'BC.116+240'!AA378</f>
        <v>4.2549999999999999</v>
      </c>
      <c r="E379" s="155">
        <f>'BC.116+240'!AB378</f>
        <v>2.15</v>
      </c>
      <c r="F379" s="154">
        <f>VLOOKUP($A379,'BC.116+240'!$B$13:$X$4890,8,0)/1000</f>
        <v>2.7559999999999998</v>
      </c>
      <c r="G379" s="154">
        <f>VLOOKUP($A379,'BC.116+240'!$B$13:$X$4890,9,0)/1000</f>
        <v>-1.244</v>
      </c>
      <c r="H379" s="154">
        <f>VLOOKUP($A379,'BC.116+240'!$B$13:$X$4890,14,0)/1000</f>
        <v>2.8</v>
      </c>
      <c r="I379" s="154">
        <f>VLOOKUP($A379,'BC.116+240'!$B$13:$X$4890,15,0)/1000</f>
        <v>-1.2</v>
      </c>
      <c r="J379" s="154">
        <f>VLOOKUP($A379,'BC.116+240'!$B$13:$X$4890,20,0)/1000</f>
        <v>2.859</v>
      </c>
      <c r="K379" s="154">
        <f>VLOOKUP($A379,'BC.116+240'!$B$13:$X$4890,21,0)/1000</f>
        <v>-1.141</v>
      </c>
      <c r="L379" s="152">
        <f t="shared" si="17"/>
        <v>-1284</v>
      </c>
      <c r="M379" s="153">
        <f t="shared" si="18"/>
        <v>-1119.9999999999998</v>
      </c>
      <c r="N379" s="152">
        <f t="shared" si="19"/>
        <v>-1111</v>
      </c>
      <c r="O379" s="152"/>
    </row>
    <row r="380" spans="1:15">
      <c r="A380" s="88">
        <f>'BC.116+240'!B379</f>
        <v>45647</v>
      </c>
      <c r="B380" s="152">
        <f t="shared" si="20"/>
        <v>366</v>
      </c>
      <c r="C380" s="154">
        <f>'BC.116+240'!M379/1000</f>
        <v>3.1880000000000002</v>
      </c>
      <c r="D380" s="154">
        <f>'BC.116+240'!AA379</f>
        <v>4.2549999999999999</v>
      </c>
      <c r="E380" s="155">
        <f>'BC.116+240'!AB379</f>
        <v>2.1459999999999999</v>
      </c>
      <c r="F380" s="154">
        <f>VLOOKUP($A380,'BC.116+240'!$B$13:$X$4890,8,0)/1000</f>
        <v>2.7519999999999998</v>
      </c>
      <c r="G380" s="154">
        <f>VLOOKUP($A380,'BC.116+240'!$B$13:$X$4890,9,0)/1000</f>
        <v>-1.248</v>
      </c>
      <c r="H380" s="154">
        <f>VLOOKUP($A380,'BC.116+240'!$B$13:$X$4890,14,0)/1000</f>
        <v>2.798</v>
      </c>
      <c r="I380" s="154">
        <f>VLOOKUP($A380,'BC.116+240'!$B$13:$X$4890,15,0)/1000</f>
        <v>-1.202</v>
      </c>
      <c r="J380" s="154">
        <f>VLOOKUP($A380,'BC.116+240'!$B$13:$X$4890,20,0)/1000</f>
        <v>2.8580000000000001</v>
      </c>
      <c r="K380" s="154">
        <f>VLOOKUP($A380,'BC.116+240'!$B$13:$X$4890,21,0)/1000</f>
        <v>-1.1419999999999999</v>
      </c>
      <c r="L380" s="152">
        <f t="shared" si="17"/>
        <v>-1288</v>
      </c>
      <c r="M380" s="153">
        <f t="shared" si="18"/>
        <v>-1122</v>
      </c>
      <c r="N380" s="152">
        <f t="shared" si="19"/>
        <v>-1111.9999999999998</v>
      </c>
      <c r="O380" s="152"/>
    </row>
    <row r="381" spans="1:15">
      <c r="A381" s="88">
        <f>'BC.116+240'!B380</f>
        <v>45648</v>
      </c>
      <c r="B381" s="152">
        <f t="shared" si="20"/>
        <v>367</v>
      </c>
      <c r="C381" s="154">
        <f>'BC.116+240'!M380/1000</f>
        <v>3.1859999999999999</v>
      </c>
      <c r="D381" s="154">
        <f>'BC.116+240'!AA380</f>
        <v>4.2549999999999999</v>
      </c>
      <c r="E381" s="155">
        <f>'BC.116+240'!AB380</f>
        <v>2.1419999999999999</v>
      </c>
      <c r="F381" s="154">
        <f>VLOOKUP($A381,'BC.116+240'!$B$13:$X$4890,8,0)/1000</f>
        <v>2.75</v>
      </c>
      <c r="G381" s="154">
        <f>VLOOKUP($A381,'BC.116+240'!$B$13:$X$4890,9,0)/1000</f>
        <v>-1.25</v>
      </c>
      <c r="H381" s="154">
        <f>VLOOKUP($A381,'BC.116+240'!$B$13:$X$4890,14,0)/1000</f>
        <v>2.7959999999999998</v>
      </c>
      <c r="I381" s="154">
        <f>VLOOKUP($A381,'BC.116+240'!$B$13:$X$4890,15,0)/1000</f>
        <v>-1.204</v>
      </c>
      <c r="J381" s="154">
        <f>VLOOKUP($A381,'BC.116+240'!$B$13:$X$4890,20,0)/1000</f>
        <v>2.8559999999999999</v>
      </c>
      <c r="K381" s="154">
        <f>VLOOKUP($A381,'BC.116+240'!$B$13:$X$4890,21,0)/1000</f>
        <v>-1.1439999999999999</v>
      </c>
      <c r="L381" s="152">
        <f t="shared" si="17"/>
        <v>-1290</v>
      </c>
      <c r="M381" s="153">
        <f t="shared" si="18"/>
        <v>-1124</v>
      </c>
      <c r="N381" s="152">
        <f t="shared" si="19"/>
        <v>-1113.9999999999998</v>
      </c>
      <c r="O381" s="152"/>
    </row>
    <row r="382" spans="1:15">
      <c r="A382" s="88">
        <f>'BC.116+240'!B381</f>
        <v>45649</v>
      </c>
      <c r="B382" s="152">
        <f t="shared" si="20"/>
        <v>368</v>
      </c>
      <c r="C382" s="154">
        <f>'BC.116+240'!M381/1000</f>
        <v>3.1840000000000002</v>
      </c>
      <c r="D382" s="154">
        <f>'BC.116+240'!AA381</f>
        <v>4.2549999999999999</v>
      </c>
      <c r="E382" s="155">
        <f>'BC.116+240'!AB381</f>
        <v>2.1379999999999999</v>
      </c>
      <c r="F382" s="154">
        <f>VLOOKUP($A382,'BC.116+240'!$B$13:$X$4890,8,0)/1000</f>
        <v>2.7490000000000001</v>
      </c>
      <c r="G382" s="154">
        <f>VLOOKUP($A382,'BC.116+240'!$B$13:$X$4890,9,0)/1000</f>
        <v>-1.2509999999999999</v>
      </c>
      <c r="H382" s="154">
        <f>VLOOKUP($A382,'BC.116+240'!$B$13:$X$4890,14,0)/1000</f>
        <v>2.794</v>
      </c>
      <c r="I382" s="154">
        <f>VLOOKUP($A382,'BC.116+240'!$B$13:$X$4890,15,0)/1000</f>
        <v>-1.206</v>
      </c>
      <c r="J382" s="154">
        <f>VLOOKUP($A382,'BC.116+240'!$B$13:$X$4890,20,0)/1000</f>
        <v>2.8540000000000001</v>
      </c>
      <c r="K382" s="154">
        <f>VLOOKUP($A382,'BC.116+240'!$B$13:$X$4890,21,0)/1000</f>
        <v>-1.1459999999999999</v>
      </c>
      <c r="L382" s="152">
        <f t="shared" si="17"/>
        <v>-1291</v>
      </c>
      <c r="M382" s="153">
        <f t="shared" si="18"/>
        <v>-1126</v>
      </c>
      <c r="N382" s="152">
        <f t="shared" si="19"/>
        <v>-1115.9999999999998</v>
      </c>
      <c r="O382" s="152"/>
    </row>
    <row r="383" spans="1:15">
      <c r="A383" s="88">
        <f>'BC.116+240'!B382</f>
        <v>45650</v>
      </c>
      <c r="B383" s="152">
        <f t="shared" si="20"/>
        <v>369</v>
      </c>
      <c r="C383" s="154">
        <f>'BC.116+240'!M382/1000</f>
        <v>3.1819999999999999</v>
      </c>
      <c r="D383" s="154">
        <f>'BC.116+240'!AA382</f>
        <v>4.2549999999999999</v>
      </c>
      <c r="E383" s="155">
        <f>'BC.116+240'!AB382</f>
        <v>2.1339999999999999</v>
      </c>
      <c r="F383" s="154">
        <f>VLOOKUP($A383,'BC.116+240'!$B$13:$X$4890,8,0)/1000</f>
        <v>2.7469999999999999</v>
      </c>
      <c r="G383" s="154">
        <f>VLOOKUP($A383,'BC.116+240'!$B$13:$X$4890,9,0)/1000</f>
        <v>-1.2529999999999999</v>
      </c>
      <c r="H383" s="154">
        <f>VLOOKUP($A383,'BC.116+240'!$B$13:$X$4890,14,0)/1000</f>
        <v>2.7919999999999998</v>
      </c>
      <c r="I383" s="154">
        <f>VLOOKUP($A383,'BC.116+240'!$B$13:$X$4890,15,0)/1000</f>
        <v>-1.208</v>
      </c>
      <c r="J383" s="154">
        <f>VLOOKUP($A383,'BC.116+240'!$B$13:$X$4890,20,0)/1000</f>
        <v>2.8540000000000001</v>
      </c>
      <c r="K383" s="154">
        <f>VLOOKUP($A383,'BC.116+240'!$B$13:$X$4890,21,0)/1000</f>
        <v>-1.1459999999999999</v>
      </c>
      <c r="L383" s="152">
        <f t="shared" si="17"/>
        <v>-1293</v>
      </c>
      <c r="M383" s="153">
        <f t="shared" si="18"/>
        <v>-1128</v>
      </c>
      <c r="N383" s="152">
        <f t="shared" si="19"/>
        <v>-1115.9999999999998</v>
      </c>
      <c r="O383" s="152"/>
    </row>
    <row r="384" spans="1:15">
      <c r="A384" s="88">
        <f>'BC.116+240'!B383</f>
        <v>45651</v>
      </c>
      <c r="B384" s="152">
        <f t="shared" si="20"/>
        <v>370</v>
      </c>
      <c r="C384" s="154">
        <f>'BC.116+240'!M383/1000</f>
        <v>3.18</v>
      </c>
      <c r="D384" s="154">
        <f>'BC.116+240'!AA383</f>
        <v>4.2549999999999999</v>
      </c>
      <c r="E384" s="155">
        <f>'BC.116+240'!AB383</f>
        <v>2.13</v>
      </c>
      <c r="F384" s="154">
        <f>VLOOKUP($A384,'BC.116+240'!$B$13:$X$4890,8,0)/1000</f>
        <v>2.7450000000000001</v>
      </c>
      <c r="G384" s="154">
        <f>VLOOKUP($A384,'BC.116+240'!$B$13:$X$4890,9,0)/1000</f>
        <v>-1.2549999999999999</v>
      </c>
      <c r="H384" s="154">
        <f>VLOOKUP($A384,'BC.116+240'!$B$13:$X$4890,14,0)/1000</f>
        <v>2.79</v>
      </c>
      <c r="I384" s="154">
        <f>VLOOKUP($A384,'BC.116+240'!$B$13:$X$4890,15,0)/1000</f>
        <v>-1.21</v>
      </c>
      <c r="J384" s="154">
        <f>VLOOKUP($A384,'BC.116+240'!$B$13:$X$4890,20,0)/1000</f>
        <v>2.8540000000000001</v>
      </c>
      <c r="K384" s="154">
        <f>VLOOKUP($A384,'BC.116+240'!$B$13:$X$4890,21,0)/1000</f>
        <v>-1.1459999999999999</v>
      </c>
      <c r="L384" s="152">
        <f t="shared" si="17"/>
        <v>-1295</v>
      </c>
      <c r="M384" s="153">
        <f t="shared" si="18"/>
        <v>-1130</v>
      </c>
      <c r="N384" s="152">
        <f t="shared" si="19"/>
        <v>-1115.9999999999998</v>
      </c>
      <c r="O384" s="152"/>
    </row>
    <row r="385" spans="1:15">
      <c r="A385" s="88">
        <f>'BC.116+240'!B384</f>
        <v>45652</v>
      </c>
      <c r="B385" s="152">
        <f t="shared" si="20"/>
        <v>371</v>
      </c>
      <c r="C385" s="154">
        <f>'BC.116+240'!M384/1000</f>
        <v>3.1749999999999998</v>
      </c>
      <c r="D385" s="154">
        <f>'BC.116+240'!AA384</f>
        <v>4.2549999999999999</v>
      </c>
      <c r="E385" s="155">
        <f>'BC.116+240'!AB384</f>
        <v>2.12</v>
      </c>
      <c r="F385" s="154">
        <f>VLOOKUP($A385,'BC.116+240'!$B$13:$X$4890,8,0)/1000</f>
        <v>2.7440000000000002</v>
      </c>
      <c r="G385" s="154">
        <f>VLOOKUP($A385,'BC.116+240'!$B$13:$X$4890,9,0)/1000</f>
        <v>-1.256</v>
      </c>
      <c r="H385" s="154">
        <f>VLOOKUP($A385,'BC.116+240'!$B$13:$X$4890,14,0)/1000</f>
        <v>2.7850000000000001</v>
      </c>
      <c r="I385" s="154">
        <f>VLOOKUP($A385,'BC.116+240'!$B$13:$X$4890,15,0)/1000</f>
        <v>-1.2150000000000001</v>
      </c>
      <c r="J385" s="154">
        <f>VLOOKUP($A385,'BC.116+240'!$B$13:$X$4890,20,0)/1000</f>
        <v>2.8519999999999999</v>
      </c>
      <c r="K385" s="154">
        <f>VLOOKUP($A385,'BC.116+240'!$B$13:$X$4890,21,0)/1000</f>
        <v>-1.1479999999999999</v>
      </c>
      <c r="L385" s="152">
        <f t="shared" si="17"/>
        <v>-1296</v>
      </c>
      <c r="M385" s="153">
        <f t="shared" si="18"/>
        <v>-1135</v>
      </c>
      <c r="N385" s="152">
        <f t="shared" si="19"/>
        <v>-1117.9999999999998</v>
      </c>
      <c r="O385" s="152"/>
    </row>
    <row r="386" spans="1:15">
      <c r="A386" s="88">
        <f>'BC.116+240'!B385</f>
        <v>45653</v>
      </c>
      <c r="B386" s="152">
        <f t="shared" si="20"/>
        <v>372</v>
      </c>
      <c r="C386" s="154">
        <f>'BC.116+240'!M385/1000</f>
        <v>3.17</v>
      </c>
      <c r="D386" s="154">
        <f>'BC.116+240'!AA385</f>
        <v>4.2549999999999999</v>
      </c>
      <c r="E386" s="155">
        <f>'BC.116+240'!AB385</f>
        <v>2.11</v>
      </c>
      <c r="F386" s="154">
        <f>VLOOKUP($A386,'BC.116+240'!$B$13:$X$4890,8,0)/1000</f>
        <v>2.7410000000000001</v>
      </c>
      <c r="G386" s="154">
        <f>VLOOKUP($A386,'BC.116+240'!$B$13:$X$4890,9,0)/1000</f>
        <v>-1.2589999999999999</v>
      </c>
      <c r="H386" s="154">
        <f>VLOOKUP($A386,'BC.116+240'!$B$13:$X$4890,14,0)/1000</f>
        <v>2.78</v>
      </c>
      <c r="I386" s="154">
        <f>VLOOKUP($A386,'BC.116+240'!$B$13:$X$4890,15,0)/1000</f>
        <v>-1.22</v>
      </c>
      <c r="J386" s="154">
        <f>VLOOKUP($A386,'BC.116+240'!$B$13:$X$4890,20,0)/1000</f>
        <v>2.85</v>
      </c>
      <c r="K386" s="154">
        <f>VLOOKUP($A386,'BC.116+240'!$B$13:$X$4890,21,0)/1000</f>
        <v>-1.1499999999999999</v>
      </c>
      <c r="L386" s="152">
        <f t="shared" si="17"/>
        <v>-1299</v>
      </c>
      <c r="M386" s="153">
        <f t="shared" si="18"/>
        <v>-1140</v>
      </c>
      <c r="N386" s="152">
        <f t="shared" si="19"/>
        <v>-1119.9999999999998</v>
      </c>
      <c r="O386" s="152"/>
    </row>
    <row r="387" spans="1:15">
      <c r="A387" s="88">
        <f>'BC.116+240'!B386</f>
        <v>45654</v>
      </c>
      <c r="B387" s="152">
        <f t="shared" si="20"/>
        <v>373</v>
      </c>
      <c r="C387" s="154">
        <f>'BC.116+240'!M386/1000</f>
        <v>3.165</v>
      </c>
      <c r="D387" s="154">
        <f>'BC.116+240'!AA386</f>
        <v>4.2549999999999999</v>
      </c>
      <c r="E387" s="155">
        <f>'BC.116+240'!AB386</f>
        <v>2.1</v>
      </c>
      <c r="F387" s="154">
        <f>VLOOKUP($A387,'BC.116+240'!$B$13:$X$4890,8,0)/1000</f>
        <v>2.7389999999999999</v>
      </c>
      <c r="G387" s="154">
        <f>VLOOKUP($A387,'BC.116+240'!$B$13:$X$4890,9,0)/1000</f>
        <v>-1.2609999999999999</v>
      </c>
      <c r="H387" s="154">
        <f>VLOOKUP($A387,'BC.116+240'!$B$13:$X$4890,14,0)/1000</f>
        <v>2.7749999999999999</v>
      </c>
      <c r="I387" s="154">
        <f>VLOOKUP($A387,'BC.116+240'!$B$13:$X$4890,15,0)/1000</f>
        <v>-1.2250000000000001</v>
      </c>
      <c r="J387" s="154">
        <f>VLOOKUP($A387,'BC.116+240'!$B$13:$X$4890,20,0)/1000</f>
        <v>2.8479999999999999</v>
      </c>
      <c r="K387" s="154">
        <f>VLOOKUP($A387,'BC.116+240'!$B$13:$X$4890,21,0)/1000</f>
        <v>-1.1519999999999999</v>
      </c>
      <c r="L387" s="152">
        <f t="shared" si="17"/>
        <v>-1301</v>
      </c>
      <c r="M387" s="153">
        <f t="shared" si="18"/>
        <v>-1145</v>
      </c>
      <c r="N387" s="152">
        <f t="shared" si="19"/>
        <v>-1122</v>
      </c>
      <c r="O387" s="152"/>
    </row>
    <row r="388" spans="1:15">
      <c r="A388" s="88">
        <f>'BC.116+240'!B387</f>
        <v>45655</v>
      </c>
      <c r="B388" s="152">
        <f t="shared" si="20"/>
        <v>374</v>
      </c>
      <c r="C388" s="154">
        <f>'BC.116+240'!M387/1000</f>
        <v>3.165</v>
      </c>
      <c r="D388" s="154">
        <f>'BC.116+240'!AA387</f>
        <v>4.2549999999999999</v>
      </c>
      <c r="E388" s="155">
        <f>'BC.116+240'!AB387</f>
        <v>2.1</v>
      </c>
      <c r="F388" s="154">
        <f>VLOOKUP($A388,'BC.116+240'!$B$13:$X$4890,8,0)/1000</f>
        <v>2.7389999999999999</v>
      </c>
      <c r="G388" s="154">
        <f>VLOOKUP($A388,'BC.116+240'!$B$13:$X$4890,9,0)/1000</f>
        <v>-1.2609999999999999</v>
      </c>
      <c r="H388" s="154">
        <f>VLOOKUP($A388,'BC.116+240'!$B$13:$X$4890,14,0)/1000</f>
        <v>2.7749999999999999</v>
      </c>
      <c r="I388" s="154">
        <f>VLOOKUP($A388,'BC.116+240'!$B$13:$X$4890,15,0)/1000</f>
        <v>-1.2250000000000001</v>
      </c>
      <c r="J388" s="154">
        <f>VLOOKUP($A388,'BC.116+240'!$B$13:$X$4890,20,0)/1000</f>
        <v>2.8479999999999999</v>
      </c>
      <c r="K388" s="154">
        <f>VLOOKUP($A388,'BC.116+240'!$B$13:$X$4890,21,0)/1000</f>
        <v>-1.1519999999999999</v>
      </c>
      <c r="L388" s="152">
        <f t="shared" si="17"/>
        <v>-1301</v>
      </c>
      <c r="M388" s="153">
        <f t="shared" si="18"/>
        <v>-1145</v>
      </c>
      <c r="N388" s="152">
        <f t="shared" si="19"/>
        <v>-1122</v>
      </c>
      <c r="O388" s="152"/>
    </row>
    <row r="389" spans="1:15">
      <c r="A389" s="88">
        <f>'BC.116+240'!B388</f>
        <v>45656</v>
      </c>
      <c r="B389" s="152">
        <f t="shared" si="20"/>
        <v>375</v>
      </c>
      <c r="C389" s="154">
        <f>'BC.116+240'!M388/1000</f>
        <v>3.1640000000000001</v>
      </c>
      <c r="D389" s="154">
        <f>'BC.116+240'!AA388</f>
        <v>4.2549999999999999</v>
      </c>
      <c r="E389" s="155">
        <f>'BC.116+240'!AB388</f>
        <v>2.0979999999999999</v>
      </c>
      <c r="F389" s="154">
        <f>VLOOKUP($A389,'BC.116+240'!$B$13:$X$4890,8,0)/1000</f>
        <v>2.7360000000000002</v>
      </c>
      <c r="G389" s="154">
        <f>VLOOKUP($A389,'BC.116+240'!$B$13:$X$4890,9,0)/1000</f>
        <v>-1.264</v>
      </c>
      <c r="H389" s="154">
        <f>VLOOKUP($A389,'BC.116+240'!$B$13:$X$4890,14,0)/1000</f>
        <v>2.774</v>
      </c>
      <c r="I389" s="154">
        <f>VLOOKUP($A389,'BC.116+240'!$B$13:$X$4890,15,0)/1000</f>
        <v>-1.226</v>
      </c>
      <c r="J389" s="154">
        <f>VLOOKUP($A389,'BC.116+240'!$B$13:$X$4890,20,0)/1000</f>
        <v>2.84</v>
      </c>
      <c r="K389" s="154">
        <f>VLOOKUP($A389,'BC.116+240'!$B$13:$X$4890,21,0)/1000</f>
        <v>-1.1599999999999999</v>
      </c>
      <c r="L389" s="152">
        <f t="shared" si="17"/>
        <v>-1304</v>
      </c>
      <c r="M389" s="153">
        <f t="shared" si="18"/>
        <v>-1146</v>
      </c>
      <c r="N389" s="152">
        <f t="shared" si="19"/>
        <v>-1130</v>
      </c>
      <c r="O389" s="152"/>
    </row>
    <row r="390" spans="1:15">
      <c r="A390" s="88">
        <f>'BC.116+240'!B389</f>
        <v>45657</v>
      </c>
      <c r="B390" s="152">
        <f t="shared" si="20"/>
        <v>376</v>
      </c>
      <c r="C390" s="154">
        <f>'BC.116+240'!M389/1000</f>
        <v>3.1619999999999999</v>
      </c>
      <c r="D390" s="154">
        <f>'BC.116+240'!AA389</f>
        <v>4.2549999999999999</v>
      </c>
      <c r="E390" s="155">
        <f>'BC.116+240'!AB389</f>
        <v>2.0939999999999999</v>
      </c>
      <c r="F390" s="154">
        <f>VLOOKUP($A390,'BC.116+240'!$B$13:$X$4890,8,0)/1000</f>
        <v>2.734</v>
      </c>
      <c r="G390" s="154">
        <f>VLOOKUP($A390,'BC.116+240'!$B$13:$X$4890,9,0)/1000</f>
        <v>-1.266</v>
      </c>
      <c r="H390" s="154">
        <f>VLOOKUP($A390,'BC.116+240'!$B$13:$X$4890,14,0)/1000</f>
        <v>2.7719999999999998</v>
      </c>
      <c r="I390" s="154">
        <f>VLOOKUP($A390,'BC.116+240'!$B$13:$X$4890,15,0)/1000</f>
        <v>-1.228</v>
      </c>
      <c r="J390" s="154">
        <f>VLOOKUP($A390,'BC.116+240'!$B$13:$X$4890,20,0)/1000</f>
        <v>2.8340000000000001</v>
      </c>
      <c r="K390" s="154">
        <f>VLOOKUP($A390,'BC.116+240'!$B$13:$X$4890,21,0)/1000</f>
        <v>-1.1659999999999999</v>
      </c>
      <c r="L390" s="152">
        <f t="shared" si="17"/>
        <v>-1306</v>
      </c>
      <c r="M390" s="153">
        <f t="shared" si="18"/>
        <v>-1148</v>
      </c>
      <c r="N390" s="152">
        <f t="shared" si="19"/>
        <v>-1136</v>
      </c>
      <c r="O390" s="152"/>
    </row>
    <row r="391" spans="1:15">
      <c r="A391" s="88">
        <f>'BC.116+240'!B390</f>
        <v>45658</v>
      </c>
      <c r="B391" s="152">
        <f t="shared" si="20"/>
        <v>377</v>
      </c>
      <c r="C391" s="154">
        <f>'BC.116+240'!M390/1000</f>
        <v>3.16</v>
      </c>
      <c r="D391" s="154">
        <f>'BC.116+240'!AA390</f>
        <v>4.2549999999999999</v>
      </c>
      <c r="E391" s="155">
        <f>'BC.116+240'!AB390</f>
        <v>2.09</v>
      </c>
      <c r="F391" s="154">
        <f>VLOOKUP($A391,'BC.116+240'!$B$13:$X$4890,8,0)/1000</f>
        <v>2.7309999999999999</v>
      </c>
      <c r="G391" s="154">
        <f>VLOOKUP($A391,'BC.116+240'!$B$13:$X$4890,9,0)/1000</f>
        <v>-1.2689999999999999</v>
      </c>
      <c r="H391" s="154">
        <f>VLOOKUP($A391,'BC.116+240'!$B$13:$X$4890,14,0)/1000</f>
        <v>2.77</v>
      </c>
      <c r="I391" s="154">
        <f>VLOOKUP($A391,'BC.116+240'!$B$13:$X$4890,15,0)/1000</f>
        <v>-1.23</v>
      </c>
      <c r="J391" s="154">
        <f>VLOOKUP($A391,'BC.116+240'!$B$13:$X$4890,20,0)/1000</f>
        <v>2.8330000000000002</v>
      </c>
      <c r="K391" s="154">
        <f>VLOOKUP($A391,'BC.116+240'!$B$13:$X$4890,21,0)/1000</f>
        <v>-1.167</v>
      </c>
      <c r="L391" s="152">
        <f t="shared" si="17"/>
        <v>-1309</v>
      </c>
      <c r="M391" s="153">
        <f t="shared" si="18"/>
        <v>-1150</v>
      </c>
      <c r="N391" s="152">
        <f t="shared" si="19"/>
        <v>-1137</v>
      </c>
      <c r="O391" s="152"/>
    </row>
    <row r="392" spans="1:15">
      <c r="A392" s="88">
        <f>'BC.116+240'!B391</f>
        <v>45659</v>
      </c>
      <c r="B392" s="152">
        <f t="shared" si="20"/>
        <v>378</v>
      </c>
      <c r="C392" s="154">
        <f>'BC.116+240'!M391/1000</f>
        <v>3.1579999999999999</v>
      </c>
      <c r="D392" s="154">
        <f>'BC.116+240'!AA391</f>
        <v>4.2549999999999999</v>
      </c>
      <c r="E392" s="155">
        <f>'BC.116+240'!AB391</f>
        <v>2.0859999999999999</v>
      </c>
      <c r="F392" s="154">
        <f>VLOOKUP($A392,'BC.116+240'!$B$13:$X$4890,8,0)/1000</f>
        <v>2.7290000000000001</v>
      </c>
      <c r="G392" s="154">
        <f>VLOOKUP($A392,'BC.116+240'!$B$13:$X$4890,9,0)/1000</f>
        <v>-1.2709999999999999</v>
      </c>
      <c r="H392" s="154">
        <f>VLOOKUP($A392,'BC.116+240'!$B$13:$X$4890,14,0)/1000</f>
        <v>2.7679999999999998</v>
      </c>
      <c r="I392" s="154">
        <f>VLOOKUP($A392,'BC.116+240'!$B$13:$X$4890,15,0)/1000</f>
        <v>-1.232</v>
      </c>
      <c r="J392" s="154">
        <f>VLOOKUP($A392,'BC.116+240'!$B$13:$X$4890,20,0)/1000</f>
        <v>2.831</v>
      </c>
      <c r="K392" s="154">
        <f>VLOOKUP($A392,'BC.116+240'!$B$13:$X$4890,21,0)/1000</f>
        <v>-1.169</v>
      </c>
      <c r="L392" s="152">
        <f t="shared" si="17"/>
        <v>-1311</v>
      </c>
      <c r="M392" s="153">
        <f t="shared" si="18"/>
        <v>-1152</v>
      </c>
      <c r="N392" s="152">
        <f t="shared" si="19"/>
        <v>-1139</v>
      </c>
      <c r="O392" s="152"/>
    </row>
    <row r="393" spans="1:15">
      <c r="A393" s="88">
        <f>'BC.116+240'!B392</f>
        <v>45660</v>
      </c>
      <c r="B393" s="152">
        <f t="shared" si="20"/>
        <v>379</v>
      </c>
      <c r="C393" s="154">
        <f>'BC.116+240'!M392/1000</f>
        <v>3.1560000000000001</v>
      </c>
      <c r="D393" s="154">
        <f>'BC.116+240'!AA392</f>
        <v>4.2549999999999999</v>
      </c>
      <c r="E393" s="155">
        <f>'BC.116+240'!AB392</f>
        <v>2.0819999999999999</v>
      </c>
      <c r="F393" s="154">
        <f>VLOOKUP($A393,'BC.116+240'!$B$13:$X$4890,8,0)/1000</f>
        <v>2.7280000000000002</v>
      </c>
      <c r="G393" s="154">
        <f>VLOOKUP($A393,'BC.116+240'!$B$13:$X$4890,9,0)/1000</f>
        <v>-1.272</v>
      </c>
      <c r="H393" s="154">
        <f>VLOOKUP($A393,'BC.116+240'!$B$13:$X$4890,14,0)/1000</f>
        <v>2.766</v>
      </c>
      <c r="I393" s="154">
        <f>VLOOKUP($A393,'BC.116+240'!$B$13:$X$4890,15,0)/1000</f>
        <v>-1.234</v>
      </c>
      <c r="J393" s="154">
        <f>VLOOKUP($A393,'BC.116+240'!$B$13:$X$4890,20,0)/1000</f>
        <v>2.8290000000000002</v>
      </c>
      <c r="K393" s="154">
        <f>VLOOKUP($A393,'BC.116+240'!$B$13:$X$4890,21,0)/1000</f>
        <v>-1.171</v>
      </c>
      <c r="L393" s="152">
        <f t="shared" si="17"/>
        <v>-1312</v>
      </c>
      <c r="M393" s="153">
        <f t="shared" si="18"/>
        <v>-1154</v>
      </c>
      <c r="N393" s="152">
        <f t="shared" si="19"/>
        <v>-1141</v>
      </c>
      <c r="O393" s="152"/>
    </row>
    <row r="394" spans="1:15">
      <c r="A394" s="88">
        <f>'BC.116+240'!B393</f>
        <v>45661</v>
      </c>
      <c r="B394" s="152">
        <f t="shared" si="20"/>
        <v>380</v>
      </c>
      <c r="C394" s="154">
        <f>'BC.116+240'!M393/1000</f>
        <v>3.1539999999999999</v>
      </c>
      <c r="D394" s="154">
        <f>'BC.116+240'!AA393</f>
        <v>4.2549999999999999</v>
      </c>
      <c r="E394" s="155">
        <f>'BC.116+240'!AB393</f>
        <v>2.0779999999999998</v>
      </c>
      <c r="F394" s="154">
        <f>VLOOKUP($A394,'BC.116+240'!$B$13:$X$4890,8,0)/1000</f>
        <v>2.7250000000000001</v>
      </c>
      <c r="G394" s="154">
        <f>VLOOKUP($A394,'BC.116+240'!$B$13:$X$4890,9,0)/1000</f>
        <v>-1.2749999999999999</v>
      </c>
      <c r="H394" s="154">
        <f>VLOOKUP($A394,'BC.116+240'!$B$13:$X$4890,14,0)/1000</f>
        <v>2.7639999999999998</v>
      </c>
      <c r="I394" s="154">
        <f>VLOOKUP($A394,'BC.116+240'!$B$13:$X$4890,15,0)/1000</f>
        <v>-1.236</v>
      </c>
      <c r="J394" s="154">
        <f>VLOOKUP($A394,'BC.116+240'!$B$13:$X$4890,20,0)/1000</f>
        <v>2.8290000000000002</v>
      </c>
      <c r="K394" s="154">
        <f>VLOOKUP($A394,'BC.116+240'!$B$13:$X$4890,21,0)/1000</f>
        <v>-1.171</v>
      </c>
      <c r="L394" s="152">
        <f t="shared" si="17"/>
        <v>-1315</v>
      </c>
      <c r="M394" s="153">
        <f t="shared" si="18"/>
        <v>-1156</v>
      </c>
      <c r="N394" s="152">
        <f t="shared" si="19"/>
        <v>-1141</v>
      </c>
      <c r="O394" s="152"/>
    </row>
    <row r="395" spans="1:15">
      <c r="A395" s="88">
        <f>'BC.116+240'!B394</f>
        <v>45662</v>
      </c>
      <c r="B395" s="152">
        <f t="shared" si="20"/>
        <v>381</v>
      </c>
      <c r="C395" s="154">
        <f>'BC.116+240'!M394/1000</f>
        <v>3.1520000000000001</v>
      </c>
      <c r="D395" s="154">
        <f>'BC.116+240'!AA394</f>
        <v>4.2549999999999999</v>
      </c>
      <c r="E395" s="155">
        <f>'BC.116+240'!AB394</f>
        <v>2.0739999999999998</v>
      </c>
      <c r="F395" s="154">
        <f>VLOOKUP($A395,'BC.116+240'!$B$13:$X$4890,8,0)/1000</f>
        <v>2.7229999999999999</v>
      </c>
      <c r="G395" s="154">
        <f>VLOOKUP($A395,'BC.116+240'!$B$13:$X$4890,9,0)/1000</f>
        <v>-1.2769999999999999</v>
      </c>
      <c r="H395" s="154">
        <f>VLOOKUP($A395,'BC.116+240'!$B$13:$X$4890,14,0)/1000</f>
        <v>2.762</v>
      </c>
      <c r="I395" s="154">
        <f>VLOOKUP($A395,'BC.116+240'!$B$13:$X$4890,15,0)/1000</f>
        <v>-1.238</v>
      </c>
      <c r="J395" s="154">
        <f>VLOOKUP($A395,'BC.116+240'!$B$13:$X$4890,20,0)/1000</f>
        <v>2.8290000000000002</v>
      </c>
      <c r="K395" s="154">
        <f>VLOOKUP($A395,'BC.116+240'!$B$13:$X$4890,21,0)/1000</f>
        <v>-1.171</v>
      </c>
      <c r="L395" s="152">
        <f t="shared" si="17"/>
        <v>-1317</v>
      </c>
      <c r="M395" s="153">
        <f t="shared" si="18"/>
        <v>-1158</v>
      </c>
      <c r="N395" s="152">
        <f t="shared" si="19"/>
        <v>-1141</v>
      </c>
      <c r="O395" s="152"/>
    </row>
    <row r="396" spans="1:15">
      <c r="A396" s="88">
        <f>'BC.116+240'!B395</f>
        <v>45663</v>
      </c>
      <c r="B396" s="152">
        <f t="shared" si="20"/>
        <v>382</v>
      </c>
      <c r="C396" s="154">
        <f>'BC.116+240'!M395/1000</f>
        <v>3.1469999999999998</v>
      </c>
      <c r="D396" s="154">
        <f>'BC.116+240'!AA395</f>
        <v>4.2549999999999999</v>
      </c>
      <c r="E396" s="155">
        <f>'BC.116+240'!AB395</f>
        <v>2.0640000000000001</v>
      </c>
      <c r="F396" s="154">
        <f>VLOOKUP($A396,'BC.116+240'!$B$13:$X$4890,8,0)/1000</f>
        <v>2.722</v>
      </c>
      <c r="G396" s="154">
        <f>VLOOKUP($A396,'BC.116+240'!$B$13:$X$4890,9,0)/1000</f>
        <v>-1.278</v>
      </c>
      <c r="H396" s="154">
        <f>VLOOKUP($A396,'BC.116+240'!$B$13:$X$4890,14,0)/1000</f>
        <v>2.7570000000000001</v>
      </c>
      <c r="I396" s="154">
        <f>VLOOKUP($A396,'BC.116+240'!$B$13:$X$4890,15,0)/1000</f>
        <v>-1.2430000000000001</v>
      </c>
      <c r="J396" s="154">
        <f>VLOOKUP($A396,'BC.116+240'!$B$13:$X$4890,20,0)/1000</f>
        <v>2.827</v>
      </c>
      <c r="K396" s="154">
        <f>VLOOKUP($A396,'BC.116+240'!$B$13:$X$4890,21,0)/1000</f>
        <v>-1.173</v>
      </c>
      <c r="L396" s="152">
        <f t="shared" si="17"/>
        <v>-1318</v>
      </c>
      <c r="M396" s="153">
        <f t="shared" si="18"/>
        <v>-1163</v>
      </c>
      <c r="N396" s="152">
        <f t="shared" si="19"/>
        <v>-1143</v>
      </c>
      <c r="O396" s="152"/>
    </row>
    <row r="397" spans="1:15">
      <c r="A397" s="88">
        <f>'BC.116+240'!B396</f>
        <v>45664</v>
      </c>
      <c r="B397" s="152">
        <f t="shared" si="20"/>
        <v>383</v>
      </c>
      <c r="C397" s="154">
        <f>'BC.116+240'!M396/1000</f>
        <v>3.1419999999999999</v>
      </c>
      <c r="D397" s="154">
        <f>'BC.116+240'!AA396</f>
        <v>4.2549999999999999</v>
      </c>
      <c r="E397" s="155">
        <f>'BC.116+240'!AB396</f>
        <v>2.0539999999999998</v>
      </c>
      <c r="F397" s="154">
        <f>VLOOKUP($A397,'BC.116+240'!$B$13:$X$4890,8,0)/1000</f>
        <v>2.72</v>
      </c>
      <c r="G397" s="154">
        <f>VLOOKUP($A397,'BC.116+240'!$B$13:$X$4890,9,0)/1000</f>
        <v>-1.28</v>
      </c>
      <c r="H397" s="154">
        <f>VLOOKUP($A397,'BC.116+240'!$B$13:$X$4890,14,0)/1000</f>
        <v>2.7519999999999998</v>
      </c>
      <c r="I397" s="154">
        <f>VLOOKUP($A397,'BC.116+240'!$B$13:$X$4890,15,0)/1000</f>
        <v>-1.248</v>
      </c>
      <c r="J397" s="154">
        <f>VLOOKUP($A397,'BC.116+240'!$B$13:$X$4890,20,0)/1000</f>
        <v>2.8260000000000001</v>
      </c>
      <c r="K397" s="154">
        <f>VLOOKUP($A397,'BC.116+240'!$B$13:$X$4890,21,0)/1000</f>
        <v>-1.1739999999999999</v>
      </c>
      <c r="L397" s="152">
        <f t="shared" si="17"/>
        <v>-1320</v>
      </c>
      <c r="M397" s="153">
        <f t="shared" si="18"/>
        <v>-1168</v>
      </c>
      <c r="N397" s="152">
        <f t="shared" si="19"/>
        <v>-1144</v>
      </c>
      <c r="O397" s="152"/>
    </row>
    <row r="398" spans="1:15">
      <c r="A398" s="88">
        <f>'BC.116+240'!B397</f>
        <v>45665</v>
      </c>
      <c r="B398" s="152">
        <f t="shared" si="20"/>
        <v>384</v>
      </c>
      <c r="C398" s="154">
        <f>'BC.116+240'!M397/1000</f>
        <v>3.137</v>
      </c>
      <c r="D398" s="154">
        <f>'BC.116+240'!AA397</f>
        <v>4.2549999999999999</v>
      </c>
      <c r="E398" s="155">
        <f>'BC.116+240'!AB397</f>
        <v>2.044</v>
      </c>
      <c r="F398" s="154">
        <f>VLOOKUP($A398,'BC.116+240'!$B$13:$X$4890,8,0)/1000</f>
        <v>2.718</v>
      </c>
      <c r="G398" s="154">
        <f>VLOOKUP($A398,'BC.116+240'!$B$13:$X$4890,9,0)/1000</f>
        <v>-1.282</v>
      </c>
      <c r="H398" s="154">
        <f>VLOOKUP($A398,'BC.116+240'!$B$13:$X$4890,14,0)/1000</f>
        <v>2.7469999999999999</v>
      </c>
      <c r="I398" s="154">
        <f>VLOOKUP($A398,'BC.116+240'!$B$13:$X$4890,15,0)/1000</f>
        <v>-1.2529999999999999</v>
      </c>
      <c r="J398" s="154">
        <f>VLOOKUP($A398,'BC.116+240'!$B$13:$X$4890,20,0)/1000</f>
        <v>2.8239999999999998</v>
      </c>
      <c r="K398" s="154">
        <f>VLOOKUP($A398,'BC.116+240'!$B$13:$X$4890,21,0)/1000</f>
        <v>-1.1759999999999999</v>
      </c>
      <c r="L398" s="152">
        <f t="shared" ref="L398:L461" si="21">(G398-$G$14)*1000</f>
        <v>-1322</v>
      </c>
      <c r="M398" s="153">
        <f t="shared" ref="M398:M461" si="22">(I398-$I$14)*1000</f>
        <v>-1172.9999999999998</v>
      </c>
      <c r="N398" s="152">
        <f t="shared" si="19"/>
        <v>-1146</v>
      </c>
      <c r="O398" s="152"/>
    </row>
    <row r="399" spans="1:15">
      <c r="A399" s="88">
        <f>'BC.116+240'!B398</f>
        <v>45666</v>
      </c>
      <c r="B399" s="152">
        <f t="shared" si="20"/>
        <v>385</v>
      </c>
      <c r="C399" s="154">
        <f>'BC.116+240'!M398/1000</f>
        <v>3.137</v>
      </c>
      <c r="D399" s="154">
        <f>'BC.116+240'!AA398</f>
        <v>4.2549999999999999</v>
      </c>
      <c r="E399" s="155">
        <f>'BC.116+240'!AB398</f>
        <v>2.044</v>
      </c>
      <c r="F399" s="154">
        <f>VLOOKUP($A399,'BC.116+240'!$B$13:$X$4890,8,0)/1000</f>
        <v>2.718</v>
      </c>
      <c r="G399" s="154">
        <f>VLOOKUP($A399,'BC.116+240'!$B$13:$X$4890,9,0)/1000</f>
        <v>-1.282</v>
      </c>
      <c r="H399" s="154">
        <f>VLOOKUP($A399,'BC.116+240'!$B$13:$X$4890,14,0)/1000</f>
        <v>2.7469999999999999</v>
      </c>
      <c r="I399" s="154">
        <f>VLOOKUP($A399,'BC.116+240'!$B$13:$X$4890,15,0)/1000</f>
        <v>-1.2529999999999999</v>
      </c>
      <c r="J399" s="154">
        <f>VLOOKUP($A399,'BC.116+240'!$B$13:$X$4890,20,0)/1000</f>
        <v>2.819</v>
      </c>
      <c r="K399" s="154">
        <f>VLOOKUP($A399,'BC.116+240'!$B$13:$X$4890,21,0)/1000</f>
        <v>-1.181</v>
      </c>
      <c r="L399" s="152">
        <f t="shared" si="21"/>
        <v>-1322</v>
      </c>
      <c r="M399" s="153">
        <f t="shared" si="22"/>
        <v>-1172.9999999999998</v>
      </c>
      <c r="N399" s="152">
        <f t="shared" ref="N399:N462" si="23">(K399-$K$14)*1000</f>
        <v>-1151</v>
      </c>
      <c r="O399" s="152"/>
    </row>
    <row r="400" spans="1:15">
      <c r="A400" s="88">
        <f>'BC.116+240'!B399</f>
        <v>45667</v>
      </c>
      <c r="B400" s="152">
        <f t="shared" si="20"/>
        <v>386</v>
      </c>
      <c r="C400" s="154">
        <f>'BC.116+240'!M399/1000</f>
        <v>3.137</v>
      </c>
      <c r="D400" s="154">
        <f>'BC.116+240'!AA399</f>
        <v>4.2549999999999999</v>
      </c>
      <c r="E400" s="155">
        <f>'BC.116+240'!AB399</f>
        <v>2.044</v>
      </c>
      <c r="F400" s="154">
        <f>VLOOKUP($A400,'BC.116+240'!$B$13:$X$4890,8,0)/1000</f>
        <v>2.718</v>
      </c>
      <c r="G400" s="154">
        <f>VLOOKUP($A400,'BC.116+240'!$B$13:$X$4890,9,0)/1000</f>
        <v>-1.282</v>
      </c>
      <c r="H400" s="154">
        <f>VLOOKUP($A400,'BC.116+240'!$B$13:$X$4890,14,0)/1000</f>
        <v>2.7469999999999999</v>
      </c>
      <c r="I400" s="154">
        <f>VLOOKUP($A400,'BC.116+240'!$B$13:$X$4890,15,0)/1000</f>
        <v>-1.2529999999999999</v>
      </c>
      <c r="J400" s="154">
        <f>VLOOKUP($A400,'BC.116+240'!$B$13:$X$4890,20,0)/1000</f>
        <v>2.8140000000000001</v>
      </c>
      <c r="K400" s="154">
        <f>VLOOKUP($A400,'BC.116+240'!$B$13:$X$4890,21,0)/1000</f>
        <v>-1.1859999999999999</v>
      </c>
      <c r="L400" s="152">
        <f t="shared" si="21"/>
        <v>-1322</v>
      </c>
      <c r="M400" s="153">
        <f t="shared" si="22"/>
        <v>-1172.9999999999998</v>
      </c>
      <c r="N400" s="152">
        <f t="shared" si="23"/>
        <v>-1156</v>
      </c>
      <c r="O400" s="152"/>
    </row>
    <row r="401" spans="1:15">
      <c r="A401" s="88">
        <f>'BC.116+240'!B400</f>
        <v>45668</v>
      </c>
      <c r="B401" s="152">
        <f t="shared" si="20"/>
        <v>387</v>
      </c>
      <c r="C401" s="154">
        <f>'BC.116+240'!M400/1000</f>
        <v>3.137</v>
      </c>
      <c r="D401" s="154">
        <f>'BC.116+240'!AA400</f>
        <v>4.2549999999999999</v>
      </c>
      <c r="E401" s="155">
        <f>'BC.116+240'!AB400</f>
        <v>2.044</v>
      </c>
      <c r="F401" s="154">
        <f>VLOOKUP($A401,'BC.116+240'!$B$13:$X$4890,8,0)/1000</f>
        <v>2.718</v>
      </c>
      <c r="G401" s="154">
        <f>VLOOKUP($A401,'BC.116+240'!$B$13:$X$4890,9,0)/1000</f>
        <v>-1.282</v>
      </c>
      <c r="H401" s="154">
        <f>VLOOKUP($A401,'BC.116+240'!$B$13:$X$4890,14,0)/1000</f>
        <v>2.7469999999999999</v>
      </c>
      <c r="I401" s="154">
        <f>VLOOKUP($A401,'BC.116+240'!$B$13:$X$4890,15,0)/1000</f>
        <v>-1.2529999999999999</v>
      </c>
      <c r="J401" s="154">
        <f>VLOOKUP($A401,'BC.116+240'!$B$13:$X$4890,20,0)/1000</f>
        <v>2.8130000000000002</v>
      </c>
      <c r="K401" s="154">
        <f>VLOOKUP($A401,'BC.116+240'!$B$13:$X$4890,21,0)/1000</f>
        <v>-1.1870000000000001</v>
      </c>
      <c r="L401" s="152">
        <f t="shared" si="21"/>
        <v>-1322</v>
      </c>
      <c r="M401" s="153">
        <f t="shared" si="22"/>
        <v>-1172.9999999999998</v>
      </c>
      <c r="N401" s="152">
        <f t="shared" si="23"/>
        <v>-1157</v>
      </c>
      <c r="O401" s="152"/>
    </row>
    <row r="402" spans="1:15">
      <c r="A402" s="88">
        <f>'BC.116+240'!B401</f>
        <v>45669</v>
      </c>
      <c r="B402" s="152">
        <f t="shared" si="20"/>
        <v>388</v>
      </c>
      <c r="C402" s="154">
        <f>'BC.116+240'!M401/1000</f>
        <v>3.137</v>
      </c>
      <c r="D402" s="154">
        <f>'BC.116+240'!AA401</f>
        <v>4.2549999999999999</v>
      </c>
      <c r="E402" s="155">
        <f>'BC.116+240'!AB401</f>
        <v>2.044</v>
      </c>
      <c r="F402" s="154">
        <f>VLOOKUP($A402,'BC.116+240'!$B$13:$X$4890,8,0)/1000</f>
        <v>2.718</v>
      </c>
      <c r="G402" s="154">
        <f>VLOOKUP($A402,'BC.116+240'!$B$13:$X$4890,9,0)/1000</f>
        <v>-1.282</v>
      </c>
      <c r="H402" s="154">
        <f>VLOOKUP($A402,'BC.116+240'!$B$13:$X$4890,14,0)/1000</f>
        <v>2.7469999999999999</v>
      </c>
      <c r="I402" s="154">
        <f>VLOOKUP($A402,'BC.116+240'!$B$13:$X$4890,15,0)/1000</f>
        <v>-1.2529999999999999</v>
      </c>
      <c r="J402" s="154">
        <f>VLOOKUP($A402,'BC.116+240'!$B$13:$X$4890,20,0)/1000</f>
        <v>2.8109999999999999</v>
      </c>
      <c r="K402" s="154">
        <f>VLOOKUP($A402,'BC.116+240'!$B$13:$X$4890,21,0)/1000</f>
        <v>-1.1890000000000001</v>
      </c>
      <c r="L402" s="152">
        <f t="shared" si="21"/>
        <v>-1322</v>
      </c>
      <c r="M402" s="153">
        <f t="shared" si="22"/>
        <v>-1172.9999999999998</v>
      </c>
      <c r="N402" s="152">
        <f t="shared" si="23"/>
        <v>-1159</v>
      </c>
      <c r="O402" s="152"/>
    </row>
    <row r="403" spans="1:15">
      <c r="A403" s="88">
        <f>'BC.116+240'!B402</f>
        <v>45670</v>
      </c>
      <c r="B403" s="152">
        <f t="shared" si="20"/>
        <v>389</v>
      </c>
      <c r="C403" s="154">
        <f>'BC.116+240'!M402/1000</f>
        <v>3.137</v>
      </c>
      <c r="D403" s="154">
        <f>'BC.116+240'!AA402</f>
        <v>4.2549999999999999</v>
      </c>
      <c r="E403" s="155">
        <f>'BC.116+240'!AB402</f>
        <v>2.044</v>
      </c>
      <c r="F403" s="154">
        <f>VLOOKUP($A403,'BC.116+240'!$B$13:$X$4890,8,0)/1000</f>
        <v>2.718</v>
      </c>
      <c r="G403" s="154">
        <f>VLOOKUP($A403,'BC.116+240'!$B$13:$X$4890,9,0)/1000</f>
        <v>-1.282</v>
      </c>
      <c r="H403" s="154">
        <f>VLOOKUP($A403,'BC.116+240'!$B$13:$X$4890,14,0)/1000</f>
        <v>2.7469999999999999</v>
      </c>
      <c r="I403" s="154">
        <f>VLOOKUP($A403,'BC.116+240'!$B$13:$X$4890,15,0)/1000</f>
        <v>-1.2529999999999999</v>
      </c>
      <c r="J403" s="154">
        <f>VLOOKUP($A403,'BC.116+240'!$B$13:$X$4890,20,0)/1000</f>
        <v>2.8090000000000002</v>
      </c>
      <c r="K403" s="154">
        <f>VLOOKUP($A403,'BC.116+240'!$B$13:$X$4890,21,0)/1000</f>
        <v>-1.1910000000000001</v>
      </c>
      <c r="L403" s="152">
        <f t="shared" si="21"/>
        <v>-1322</v>
      </c>
      <c r="M403" s="153">
        <f t="shared" si="22"/>
        <v>-1172.9999999999998</v>
      </c>
      <c r="N403" s="152">
        <f t="shared" si="23"/>
        <v>-1161</v>
      </c>
      <c r="O403" s="152"/>
    </row>
    <row r="404" spans="1:15">
      <c r="A404" s="88">
        <f>'BC.116+240'!B403</f>
        <v>45671</v>
      </c>
      <c r="B404" s="152">
        <f t="shared" si="20"/>
        <v>390</v>
      </c>
      <c r="C404" s="154">
        <f>'BC.116+240'!M403/1000</f>
        <v>3.137</v>
      </c>
      <c r="D404" s="154">
        <f>'BC.116+240'!AA403</f>
        <v>4.2549999999999999</v>
      </c>
      <c r="E404" s="155">
        <f>'BC.116+240'!AB403</f>
        <v>2.044</v>
      </c>
      <c r="F404" s="154">
        <f>VLOOKUP($A404,'BC.116+240'!$B$13:$X$4890,8,0)/1000</f>
        <v>2.718</v>
      </c>
      <c r="G404" s="154">
        <f>VLOOKUP($A404,'BC.116+240'!$B$13:$X$4890,9,0)/1000</f>
        <v>-1.282</v>
      </c>
      <c r="H404" s="154">
        <f>VLOOKUP($A404,'BC.116+240'!$B$13:$X$4890,14,0)/1000</f>
        <v>2.7469999999999999</v>
      </c>
      <c r="I404" s="154">
        <f>VLOOKUP($A404,'BC.116+240'!$B$13:$X$4890,15,0)/1000</f>
        <v>-1.2529999999999999</v>
      </c>
      <c r="J404" s="154">
        <f>VLOOKUP($A404,'BC.116+240'!$B$13:$X$4890,20,0)/1000</f>
        <v>2.8090000000000002</v>
      </c>
      <c r="K404" s="154">
        <f>VLOOKUP($A404,'BC.116+240'!$B$13:$X$4890,21,0)/1000</f>
        <v>-1.1910000000000001</v>
      </c>
      <c r="L404" s="152">
        <f t="shared" si="21"/>
        <v>-1322</v>
      </c>
      <c r="M404" s="153">
        <f t="shared" si="22"/>
        <v>-1172.9999999999998</v>
      </c>
      <c r="N404" s="152">
        <f t="shared" si="23"/>
        <v>-1161</v>
      </c>
      <c r="O404" s="152"/>
    </row>
    <row r="405" spans="1:15">
      <c r="A405" s="88">
        <f>'BC.116+240'!B404</f>
        <v>45672</v>
      </c>
      <c r="B405" s="152">
        <f t="shared" si="20"/>
        <v>391</v>
      </c>
      <c r="C405" s="154">
        <f>'BC.116+240'!M404/1000</f>
        <v>3.137</v>
      </c>
      <c r="D405" s="154">
        <f>'BC.116+240'!AA404</f>
        <v>4.2549999999999999</v>
      </c>
      <c r="E405" s="155">
        <f>'BC.116+240'!AB404</f>
        <v>2.044</v>
      </c>
      <c r="F405" s="154">
        <f>VLOOKUP($A405,'BC.116+240'!$B$13:$X$4890,8,0)/1000</f>
        <v>2.718</v>
      </c>
      <c r="G405" s="154">
        <f>VLOOKUP($A405,'BC.116+240'!$B$13:$X$4890,9,0)/1000</f>
        <v>-1.282</v>
      </c>
      <c r="H405" s="154">
        <f>VLOOKUP($A405,'BC.116+240'!$B$13:$X$4890,14,0)/1000</f>
        <v>2.7469999999999999</v>
      </c>
      <c r="I405" s="154">
        <f>VLOOKUP($A405,'BC.116+240'!$B$13:$X$4890,15,0)/1000</f>
        <v>-1.2529999999999999</v>
      </c>
      <c r="J405" s="154">
        <f>VLOOKUP($A405,'BC.116+240'!$B$13:$X$4890,20,0)/1000</f>
        <v>2.8090000000000002</v>
      </c>
      <c r="K405" s="154">
        <f>VLOOKUP($A405,'BC.116+240'!$B$13:$X$4890,21,0)/1000</f>
        <v>-1.1910000000000001</v>
      </c>
      <c r="L405" s="152">
        <f t="shared" si="21"/>
        <v>-1322</v>
      </c>
      <c r="M405" s="153">
        <f t="shared" si="22"/>
        <v>-1172.9999999999998</v>
      </c>
      <c r="N405" s="152">
        <f t="shared" si="23"/>
        <v>-1161</v>
      </c>
      <c r="O405" s="152"/>
    </row>
    <row r="406" spans="1:15">
      <c r="A406" s="88">
        <f>'BC.116+240'!B405</f>
        <v>45673</v>
      </c>
      <c r="B406" s="152">
        <f t="shared" si="20"/>
        <v>392</v>
      </c>
      <c r="C406" s="154">
        <f>'BC.116+240'!M405/1000</f>
        <v>3.137</v>
      </c>
      <c r="D406" s="154">
        <f>'BC.116+240'!AA405</f>
        <v>4.2549999999999999</v>
      </c>
      <c r="E406" s="155">
        <f>'BC.116+240'!AB405</f>
        <v>2.044</v>
      </c>
      <c r="F406" s="154">
        <f>VLOOKUP($A406,'BC.116+240'!$B$13:$X$4890,8,0)/1000</f>
        <v>2.718</v>
      </c>
      <c r="G406" s="154">
        <f>VLOOKUP($A406,'BC.116+240'!$B$13:$X$4890,9,0)/1000</f>
        <v>-1.282</v>
      </c>
      <c r="H406" s="154">
        <f>VLOOKUP($A406,'BC.116+240'!$B$13:$X$4890,14,0)/1000</f>
        <v>2.7469999999999999</v>
      </c>
      <c r="I406" s="154">
        <f>VLOOKUP($A406,'BC.116+240'!$B$13:$X$4890,15,0)/1000</f>
        <v>-1.2529999999999999</v>
      </c>
      <c r="J406" s="154">
        <f>VLOOKUP($A406,'BC.116+240'!$B$13:$X$4890,20,0)/1000</f>
        <v>2.802</v>
      </c>
      <c r="K406" s="154">
        <f>VLOOKUP($A406,'BC.116+240'!$B$13:$X$4890,21,0)/1000</f>
        <v>-1.198</v>
      </c>
      <c r="L406" s="152">
        <f t="shared" si="21"/>
        <v>-1322</v>
      </c>
      <c r="M406" s="153">
        <f t="shared" si="22"/>
        <v>-1172.9999999999998</v>
      </c>
      <c r="N406" s="152">
        <f t="shared" si="23"/>
        <v>-1168</v>
      </c>
      <c r="O406" s="152"/>
    </row>
    <row r="407" spans="1:15">
      <c r="A407" s="88">
        <f>'BC.116+240'!B406</f>
        <v>45674</v>
      </c>
      <c r="B407" s="152">
        <f t="shared" si="20"/>
        <v>393</v>
      </c>
      <c r="C407" s="154">
        <f>'BC.116+240'!M406/1000</f>
        <v>3.137</v>
      </c>
      <c r="D407" s="154">
        <f>'BC.116+240'!AA406</f>
        <v>4.2549999999999999</v>
      </c>
      <c r="E407" s="155">
        <f>'BC.116+240'!AB406</f>
        <v>2.044</v>
      </c>
      <c r="F407" s="154">
        <f>VLOOKUP($A407,'BC.116+240'!$B$13:$X$4890,8,0)/1000</f>
        <v>2.718</v>
      </c>
      <c r="G407" s="154">
        <f>VLOOKUP($A407,'BC.116+240'!$B$13:$X$4890,9,0)/1000</f>
        <v>-1.282</v>
      </c>
      <c r="H407" s="154">
        <f>VLOOKUP($A407,'BC.116+240'!$B$13:$X$4890,14,0)/1000</f>
        <v>2.7469999999999999</v>
      </c>
      <c r="I407" s="154">
        <f>VLOOKUP($A407,'BC.116+240'!$B$13:$X$4890,15,0)/1000</f>
        <v>-1.2529999999999999</v>
      </c>
      <c r="J407" s="154">
        <f>VLOOKUP($A407,'BC.116+240'!$B$13:$X$4890,20,0)/1000</f>
        <v>2.798</v>
      </c>
      <c r="K407" s="154">
        <f>VLOOKUP($A407,'BC.116+240'!$B$13:$X$4890,21,0)/1000</f>
        <v>-1.202</v>
      </c>
      <c r="L407" s="152">
        <f t="shared" si="21"/>
        <v>-1322</v>
      </c>
      <c r="M407" s="153">
        <f t="shared" si="22"/>
        <v>-1172.9999999999998</v>
      </c>
      <c r="N407" s="152">
        <f t="shared" si="23"/>
        <v>-1172</v>
      </c>
      <c r="O407" s="152"/>
    </row>
    <row r="408" spans="1:15">
      <c r="A408" s="88">
        <f>'BC.116+240'!B407</f>
        <v>45675</v>
      </c>
      <c r="B408" s="152">
        <f t="shared" si="20"/>
        <v>394</v>
      </c>
      <c r="C408" s="154">
        <f>'BC.116+240'!M407/1000</f>
        <v>3.137</v>
      </c>
      <c r="D408" s="154">
        <f>'BC.116+240'!AA407</f>
        <v>4.2549999999999999</v>
      </c>
      <c r="E408" s="155">
        <f>'BC.116+240'!AB407</f>
        <v>2.044</v>
      </c>
      <c r="F408" s="154">
        <f>VLOOKUP($A408,'BC.116+240'!$B$13:$X$4890,8,0)/1000</f>
        <v>2.718</v>
      </c>
      <c r="G408" s="154">
        <f>VLOOKUP($A408,'BC.116+240'!$B$13:$X$4890,9,0)/1000</f>
        <v>-1.282</v>
      </c>
      <c r="H408" s="154">
        <f>VLOOKUP($A408,'BC.116+240'!$B$13:$X$4890,14,0)/1000</f>
        <v>2.7469999999999999</v>
      </c>
      <c r="I408" s="154">
        <f>VLOOKUP($A408,'BC.116+240'!$B$13:$X$4890,15,0)/1000</f>
        <v>-1.2529999999999999</v>
      </c>
      <c r="J408" s="154">
        <f>VLOOKUP($A408,'BC.116+240'!$B$13:$X$4890,20,0)/1000</f>
        <v>2.7930000000000001</v>
      </c>
      <c r="K408" s="154">
        <f>VLOOKUP($A408,'BC.116+240'!$B$13:$X$4890,21,0)/1000</f>
        <v>-1.2070000000000001</v>
      </c>
      <c r="L408" s="152">
        <f t="shared" si="21"/>
        <v>-1322</v>
      </c>
      <c r="M408" s="153">
        <f t="shared" si="22"/>
        <v>-1172.9999999999998</v>
      </c>
      <c r="N408" s="152">
        <f t="shared" si="23"/>
        <v>-1177</v>
      </c>
      <c r="O408" s="152"/>
    </row>
    <row r="409" spans="1:15">
      <c r="A409" s="88">
        <f>'BC.116+240'!B408</f>
        <v>45676</v>
      </c>
      <c r="B409" s="152">
        <f t="shared" si="20"/>
        <v>395</v>
      </c>
      <c r="C409" s="154">
        <f>'BC.116+240'!M408/1000</f>
        <v>3.1360000000000001</v>
      </c>
      <c r="D409" s="154">
        <f>'BC.116+240'!AA408</f>
        <v>4.2549999999999999</v>
      </c>
      <c r="E409" s="155">
        <f>'BC.116+240'!AB408</f>
        <v>2.0419999999999998</v>
      </c>
      <c r="F409" s="154">
        <f>VLOOKUP($A409,'BC.116+240'!$B$13:$X$4890,8,0)/1000</f>
        <v>2.7149999999999999</v>
      </c>
      <c r="G409" s="154">
        <f>VLOOKUP($A409,'BC.116+240'!$B$13:$X$4890,9,0)/1000</f>
        <v>-1.2849999999999999</v>
      </c>
      <c r="H409" s="154">
        <f>VLOOKUP($A409,'BC.116+240'!$B$13:$X$4890,14,0)/1000</f>
        <v>2.746</v>
      </c>
      <c r="I409" s="154">
        <f>VLOOKUP($A409,'BC.116+240'!$B$13:$X$4890,15,0)/1000</f>
        <v>-1.254</v>
      </c>
      <c r="J409" s="154">
        <f>VLOOKUP($A409,'BC.116+240'!$B$13:$X$4890,20,0)/1000</f>
        <v>2.7919999999999998</v>
      </c>
      <c r="K409" s="154">
        <f>VLOOKUP($A409,'BC.116+240'!$B$13:$X$4890,21,0)/1000</f>
        <v>-1.208</v>
      </c>
      <c r="L409" s="152">
        <f t="shared" si="21"/>
        <v>-1325</v>
      </c>
      <c r="M409" s="153">
        <f t="shared" si="22"/>
        <v>-1174</v>
      </c>
      <c r="N409" s="152">
        <f t="shared" si="23"/>
        <v>-1178</v>
      </c>
      <c r="O409" s="152"/>
    </row>
    <row r="410" spans="1:15">
      <c r="A410" s="88">
        <f>'BC.116+240'!B409</f>
        <v>45677</v>
      </c>
      <c r="B410" s="152">
        <f t="shared" si="20"/>
        <v>396</v>
      </c>
      <c r="C410" s="154">
        <f>'BC.116+240'!M409/1000</f>
        <v>3.1339999999999999</v>
      </c>
      <c r="D410" s="154">
        <f>'BC.116+240'!AA409</f>
        <v>4.2549999999999999</v>
      </c>
      <c r="E410" s="155">
        <f>'BC.116+240'!AB409</f>
        <v>2.0379999999999998</v>
      </c>
      <c r="F410" s="154">
        <f>VLOOKUP($A410,'BC.116+240'!$B$13:$X$4890,8,0)/1000</f>
        <v>2.7130000000000001</v>
      </c>
      <c r="G410" s="154">
        <f>VLOOKUP($A410,'BC.116+240'!$B$13:$X$4890,9,0)/1000</f>
        <v>-1.2869999999999999</v>
      </c>
      <c r="H410" s="154">
        <f>VLOOKUP($A410,'BC.116+240'!$B$13:$X$4890,14,0)/1000</f>
        <v>2.7440000000000002</v>
      </c>
      <c r="I410" s="154">
        <f>VLOOKUP($A410,'BC.116+240'!$B$13:$X$4890,15,0)/1000</f>
        <v>-1.256</v>
      </c>
      <c r="J410" s="154">
        <f>VLOOKUP($A410,'BC.116+240'!$B$13:$X$4890,20,0)/1000</f>
        <v>2.79</v>
      </c>
      <c r="K410" s="154">
        <f>VLOOKUP($A410,'BC.116+240'!$B$13:$X$4890,21,0)/1000</f>
        <v>-1.21</v>
      </c>
      <c r="L410" s="152">
        <f t="shared" si="21"/>
        <v>-1327</v>
      </c>
      <c r="M410" s="153">
        <f t="shared" si="22"/>
        <v>-1176</v>
      </c>
      <c r="N410" s="152">
        <f t="shared" si="23"/>
        <v>-1180</v>
      </c>
      <c r="O410" s="152"/>
    </row>
    <row r="411" spans="1:15">
      <c r="A411" s="88">
        <f>'BC.116+240'!B410</f>
        <v>45678</v>
      </c>
      <c r="B411" s="152">
        <f t="shared" si="20"/>
        <v>397</v>
      </c>
      <c r="C411" s="154">
        <f>'BC.116+240'!M410/1000</f>
        <v>3.1320000000000001</v>
      </c>
      <c r="D411" s="154">
        <f>'BC.116+240'!AA410</f>
        <v>4.2549999999999999</v>
      </c>
      <c r="E411" s="155">
        <f>'BC.116+240'!AB410</f>
        <v>2.0339999999999998</v>
      </c>
      <c r="F411" s="154">
        <f>VLOOKUP($A411,'BC.116+240'!$B$13:$X$4890,8,0)/1000</f>
        <v>2.71</v>
      </c>
      <c r="G411" s="154">
        <f>VLOOKUP($A411,'BC.116+240'!$B$13:$X$4890,9,0)/1000</f>
        <v>-1.29</v>
      </c>
      <c r="H411" s="154">
        <f>VLOOKUP($A411,'BC.116+240'!$B$13:$X$4890,14,0)/1000</f>
        <v>2.742</v>
      </c>
      <c r="I411" s="154">
        <f>VLOOKUP($A411,'BC.116+240'!$B$13:$X$4890,15,0)/1000</f>
        <v>-1.258</v>
      </c>
      <c r="J411" s="154">
        <f>VLOOKUP($A411,'BC.116+240'!$B$13:$X$4890,20,0)/1000</f>
        <v>2.7879999999999998</v>
      </c>
      <c r="K411" s="154">
        <f>VLOOKUP($A411,'BC.116+240'!$B$13:$X$4890,21,0)/1000</f>
        <v>-1.212</v>
      </c>
      <c r="L411" s="152">
        <f t="shared" si="21"/>
        <v>-1330</v>
      </c>
      <c r="M411" s="153">
        <f t="shared" si="22"/>
        <v>-1178</v>
      </c>
      <c r="N411" s="152">
        <f t="shared" si="23"/>
        <v>-1182</v>
      </c>
      <c r="O411" s="152"/>
    </row>
    <row r="412" spans="1:15">
      <c r="A412" s="88">
        <f>'BC.116+240'!B411</f>
        <v>45679</v>
      </c>
      <c r="B412" s="152">
        <f t="shared" si="20"/>
        <v>398</v>
      </c>
      <c r="C412" s="154">
        <f>'BC.116+240'!M411/1000</f>
        <v>3.13</v>
      </c>
      <c r="D412" s="154">
        <f>'BC.116+240'!AA411</f>
        <v>4.2549999999999999</v>
      </c>
      <c r="E412" s="155">
        <f>'BC.116+240'!AB411</f>
        <v>2.0299999999999998</v>
      </c>
      <c r="F412" s="154">
        <f>VLOOKUP($A412,'BC.116+240'!$B$13:$X$4890,8,0)/1000</f>
        <v>2.7080000000000002</v>
      </c>
      <c r="G412" s="154">
        <f>VLOOKUP($A412,'BC.116+240'!$B$13:$X$4890,9,0)/1000</f>
        <v>-1.292</v>
      </c>
      <c r="H412" s="154">
        <f>VLOOKUP($A412,'BC.116+240'!$B$13:$X$4890,14,0)/1000</f>
        <v>2.74</v>
      </c>
      <c r="I412" s="154">
        <f>VLOOKUP($A412,'BC.116+240'!$B$13:$X$4890,15,0)/1000</f>
        <v>-1.26</v>
      </c>
      <c r="J412" s="154">
        <f>VLOOKUP($A412,'BC.116+240'!$B$13:$X$4890,20,0)/1000</f>
        <v>2.7879999999999998</v>
      </c>
      <c r="K412" s="154">
        <f>VLOOKUP($A412,'BC.116+240'!$B$13:$X$4890,21,0)/1000</f>
        <v>-1.212</v>
      </c>
      <c r="L412" s="152">
        <f t="shared" si="21"/>
        <v>-1332</v>
      </c>
      <c r="M412" s="153">
        <f t="shared" si="22"/>
        <v>-1180</v>
      </c>
      <c r="N412" s="152">
        <f t="shared" si="23"/>
        <v>-1182</v>
      </c>
      <c r="O412" s="152"/>
    </row>
    <row r="413" spans="1:15">
      <c r="A413" s="88">
        <f>'BC.116+240'!B412</f>
        <v>45680</v>
      </c>
      <c r="B413" s="152">
        <f t="shared" si="20"/>
        <v>399</v>
      </c>
      <c r="C413" s="154">
        <f>'BC.116+240'!M412/1000</f>
        <v>3.1280000000000001</v>
      </c>
      <c r="D413" s="154">
        <f>'BC.116+240'!AA412</f>
        <v>4.2549999999999999</v>
      </c>
      <c r="E413" s="155">
        <f>'BC.116+240'!AB412</f>
        <v>2.0259999999999998</v>
      </c>
      <c r="F413" s="154">
        <f>VLOOKUP($A413,'BC.116+240'!$B$13:$X$4890,8,0)/1000</f>
        <v>2.7069999999999999</v>
      </c>
      <c r="G413" s="154">
        <f>VLOOKUP($A413,'BC.116+240'!$B$13:$X$4890,9,0)/1000</f>
        <v>-1.2929999999999999</v>
      </c>
      <c r="H413" s="154">
        <f>VLOOKUP($A413,'BC.116+240'!$B$13:$X$4890,14,0)/1000</f>
        <v>2.738</v>
      </c>
      <c r="I413" s="154">
        <f>VLOOKUP($A413,'BC.116+240'!$B$13:$X$4890,15,0)/1000</f>
        <v>-1.262</v>
      </c>
      <c r="J413" s="154">
        <f>VLOOKUP($A413,'BC.116+240'!$B$13:$X$4890,20,0)/1000</f>
        <v>2.7879999999999998</v>
      </c>
      <c r="K413" s="154">
        <f>VLOOKUP($A413,'BC.116+240'!$B$13:$X$4890,21,0)/1000</f>
        <v>-1.212</v>
      </c>
      <c r="L413" s="152">
        <f t="shared" si="21"/>
        <v>-1333</v>
      </c>
      <c r="M413" s="153">
        <f t="shared" si="22"/>
        <v>-1182</v>
      </c>
      <c r="N413" s="152">
        <f t="shared" si="23"/>
        <v>-1182</v>
      </c>
      <c r="O413" s="152"/>
    </row>
    <row r="414" spans="1:15">
      <c r="A414" s="88">
        <f>'BC.116+240'!B413</f>
        <v>45681</v>
      </c>
      <c r="B414" s="152">
        <f t="shared" si="20"/>
        <v>400</v>
      </c>
      <c r="C414" s="154">
        <f>'BC.116+240'!M413/1000</f>
        <v>3.1259999999999999</v>
      </c>
      <c r="D414" s="154">
        <f>'BC.116+240'!AA413</f>
        <v>4.2549999999999999</v>
      </c>
      <c r="E414" s="155">
        <f>'BC.116+240'!AB413</f>
        <v>2.0219999999999998</v>
      </c>
      <c r="F414" s="154">
        <f>VLOOKUP($A414,'BC.116+240'!$B$13:$X$4890,8,0)/1000</f>
        <v>2.7040000000000002</v>
      </c>
      <c r="G414" s="154">
        <f>VLOOKUP($A414,'BC.116+240'!$B$13:$X$4890,9,0)/1000</f>
        <v>-1.296</v>
      </c>
      <c r="H414" s="154">
        <f>VLOOKUP($A414,'BC.116+240'!$B$13:$X$4890,14,0)/1000</f>
        <v>2.7360000000000002</v>
      </c>
      <c r="I414" s="154">
        <f>VLOOKUP($A414,'BC.116+240'!$B$13:$X$4890,15,0)/1000</f>
        <v>-1.264</v>
      </c>
      <c r="J414" s="154">
        <f>VLOOKUP($A414,'BC.116+240'!$B$13:$X$4890,20,0)/1000</f>
        <v>2.7829999999999999</v>
      </c>
      <c r="K414" s="154">
        <f>VLOOKUP($A414,'BC.116+240'!$B$13:$X$4890,21,0)/1000</f>
        <v>-1.2170000000000001</v>
      </c>
      <c r="L414" s="152">
        <f t="shared" si="21"/>
        <v>-1336</v>
      </c>
      <c r="M414" s="153">
        <f t="shared" si="22"/>
        <v>-1184</v>
      </c>
      <c r="N414" s="152">
        <f t="shared" si="23"/>
        <v>-1187</v>
      </c>
      <c r="O414" s="152"/>
    </row>
    <row r="415" spans="1:15">
      <c r="A415" s="88">
        <f>'BC.116+240'!B414</f>
        <v>45682</v>
      </c>
      <c r="B415" s="152">
        <f t="shared" si="20"/>
        <v>401</v>
      </c>
      <c r="C415" s="154">
        <f>'BC.116+240'!M414/1000</f>
        <v>3.1240000000000001</v>
      </c>
      <c r="D415" s="154">
        <f>'BC.116+240'!AA414</f>
        <v>4.2549999999999999</v>
      </c>
      <c r="E415" s="155">
        <f>'BC.116+240'!AB414</f>
        <v>2.0179999999999998</v>
      </c>
      <c r="F415" s="154">
        <f>VLOOKUP($A415,'BC.116+240'!$B$13:$X$4890,8,0)/1000</f>
        <v>2.702</v>
      </c>
      <c r="G415" s="154">
        <f>VLOOKUP($A415,'BC.116+240'!$B$13:$X$4890,9,0)/1000</f>
        <v>-1.298</v>
      </c>
      <c r="H415" s="154">
        <f>VLOOKUP($A415,'BC.116+240'!$B$13:$X$4890,14,0)/1000</f>
        <v>2.734</v>
      </c>
      <c r="I415" s="154">
        <f>VLOOKUP($A415,'BC.116+240'!$B$13:$X$4890,15,0)/1000</f>
        <v>-1.266</v>
      </c>
      <c r="J415" s="154">
        <f>VLOOKUP($A415,'BC.116+240'!$B$13:$X$4890,20,0)/1000</f>
        <v>2.778</v>
      </c>
      <c r="K415" s="154">
        <f>VLOOKUP($A415,'BC.116+240'!$B$13:$X$4890,21,0)/1000</f>
        <v>-1.222</v>
      </c>
      <c r="L415" s="152">
        <f t="shared" si="21"/>
        <v>-1338</v>
      </c>
      <c r="M415" s="153">
        <f t="shared" si="22"/>
        <v>-1186</v>
      </c>
      <c r="N415" s="152">
        <f t="shared" si="23"/>
        <v>-1192</v>
      </c>
      <c r="O415" s="152"/>
    </row>
    <row r="416" spans="1:15">
      <c r="A416" s="88">
        <f>'BC.116+240'!B415</f>
        <v>45683</v>
      </c>
      <c r="B416" s="152">
        <f t="shared" si="20"/>
        <v>402</v>
      </c>
      <c r="C416" s="154">
        <f>'BC.116+240'!M415/1000</f>
        <v>3.1190000000000002</v>
      </c>
      <c r="D416" s="154">
        <f>'BC.116+240'!AA415</f>
        <v>4.2549999999999999</v>
      </c>
      <c r="E416" s="155">
        <f>'BC.116+240'!AB415</f>
        <v>2.008</v>
      </c>
      <c r="F416" s="154">
        <f>VLOOKUP($A416,'BC.116+240'!$B$13:$X$4890,8,0)/1000</f>
        <v>2.7010000000000001</v>
      </c>
      <c r="G416" s="154">
        <f>VLOOKUP($A416,'BC.116+240'!$B$13:$X$4890,9,0)/1000</f>
        <v>-1.2989999999999999</v>
      </c>
      <c r="H416" s="154">
        <f>VLOOKUP($A416,'BC.116+240'!$B$13:$X$4890,14,0)/1000</f>
        <v>2.7290000000000001</v>
      </c>
      <c r="I416" s="154">
        <f>VLOOKUP($A416,'BC.116+240'!$B$13:$X$4890,15,0)/1000</f>
        <v>-1.2709999999999999</v>
      </c>
      <c r="J416" s="154">
        <f>VLOOKUP($A416,'BC.116+240'!$B$13:$X$4890,20,0)/1000</f>
        <v>2.7730000000000001</v>
      </c>
      <c r="K416" s="154">
        <f>VLOOKUP($A416,'BC.116+240'!$B$13:$X$4890,21,0)/1000</f>
        <v>-1.2270000000000001</v>
      </c>
      <c r="L416" s="152">
        <f t="shared" si="21"/>
        <v>-1339</v>
      </c>
      <c r="M416" s="153">
        <f t="shared" si="22"/>
        <v>-1190.9999999999998</v>
      </c>
      <c r="N416" s="152">
        <f t="shared" si="23"/>
        <v>-1197</v>
      </c>
      <c r="O416" s="152"/>
    </row>
    <row r="417" spans="1:15">
      <c r="A417" s="88">
        <f>'BC.116+240'!B416</f>
        <v>45684</v>
      </c>
      <c r="B417" s="152">
        <f t="shared" si="20"/>
        <v>403</v>
      </c>
      <c r="C417" s="154">
        <f>'BC.116+240'!M416/1000</f>
        <v>3.1139999999999999</v>
      </c>
      <c r="D417" s="154">
        <f>'BC.116+240'!AA416</f>
        <v>4.2549999999999999</v>
      </c>
      <c r="E417" s="155">
        <f>'BC.116+240'!AB416</f>
        <v>1.998</v>
      </c>
      <c r="F417" s="154">
        <f>VLOOKUP($A417,'BC.116+240'!$B$13:$X$4890,8,0)/1000</f>
        <v>2.6989999999999998</v>
      </c>
      <c r="G417" s="154">
        <f>VLOOKUP($A417,'BC.116+240'!$B$13:$X$4890,9,0)/1000</f>
        <v>-1.3009999999999999</v>
      </c>
      <c r="H417" s="154">
        <f>VLOOKUP($A417,'BC.116+240'!$B$13:$X$4890,14,0)/1000</f>
        <v>2.7240000000000002</v>
      </c>
      <c r="I417" s="154">
        <f>VLOOKUP($A417,'BC.116+240'!$B$13:$X$4890,15,0)/1000</f>
        <v>-1.276</v>
      </c>
      <c r="J417" s="154">
        <f>VLOOKUP($A417,'BC.116+240'!$B$13:$X$4890,20,0)/1000</f>
        <v>2.7709999999999999</v>
      </c>
      <c r="K417" s="154">
        <f>VLOOKUP($A417,'BC.116+240'!$B$13:$X$4890,21,0)/1000</f>
        <v>-1.2290000000000001</v>
      </c>
      <c r="L417" s="152">
        <f t="shared" si="21"/>
        <v>-1341</v>
      </c>
      <c r="M417" s="153">
        <f t="shared" si="22"/>
        <v>-1196</v>
      </c>
      <c r="N417" s="152">
        <f t="shared" si="23"/>
        <v>-1199</v>
      </c>
      <c r="O417" s="152"/>
    </row>
    <row r="418" spans="1:15">
      <c r="A418" s="88">
        <f>'BC.116+240'!B417</f>
        <v>45685</v>
      </c>
      <c r="B418" s="152">
        <f t="shared" si="20"/>
        <v>404</v>
      </c>
      <c r="C418" s="154">
        <f>'BC.116+240'!M417/1000</f>
        <v>3.109</v>
      </c>
      <c r="D418" s="154">
        <f>'BC.116+240'!AA417</f>
        <v>4.2549999999999999</v>
      </c>
      <c r="E418" s="155">
        <f>'BC.116+240'!AB417</f>
        <v>1.988</v>
      </c>
      <c r="F418" s="154">
        <f>VLOOKUP($A418,'BC.116+240'!$B$13:$X$4890,8,0)/1000</f>
        <v>2.6970000000000001</v>
      </c>
      <c r="G418" s="154">
        <f>VLOOKUP($A418,'BC.116+240'!$B$13:$X$4890,9,0)/1000</f>
        <v>-1.3029999999999999</v>
      </c>
      <c r="H418" s="154">
        <f>VLOOKUP($A418,'BC.116+240'!$B$13:$X$4890,14,0)/1000</f>
        <v>2.7189999999999999</v>
      </c>
      <c r="I418" s="154">
        <f>VLOOKUP($A418,'BC.116+240'!$B$13:$X$4890,15,0)/1000</f>
        <v>-1.2809999999999999</v>
      </c>
      <c r="J418" s="154">
        <f>VLOOKUP($A418,'BC.116+240'!$B$13:$X$4890,20,0)/1000</f>
        <v>2.7690000000000001</v>
      </c>
      <c r="K418" s="154">
        <f>VLOOKUP($A418,'BC.116+240'!$B$13:$X$4890,21,0)/1000</f>
        <v>-1.2310000000000001</v>
      </c>
      <c r="L418" s="152">
        <f t="shared" si="21"/>
        <v>-1343</v>
      </c>
      <c r="M418" s="153">
        <f t="shared" si="22"/>
        <v>-1200.9999999999998</v>
      </c>
      <c r="N418" s="152">
        <f t="shared" si="23"/>
        <v>-1201</v>
      </c>
      <c r="O418" s="152"/>
    </row>
    <row r="419" spans="1:15">
      <c r="A419" s="88">
        <f>'BC.116+240'!B418</f>
        <v>45686</v>
      </c>
      <c r="B419" s="152">
        <f t="shared" si="20"/>
        <v>405</v>
      </c>
      <c r="C419" s="154">
        <f>'BC.116+240'!M418/1000</f>
        <v>3.109</v>
      </c>
      <c r="D419" s="154">
        <f>'BC.116+240'!AA418</f>
        <v>4.2549999999999999</v>
      </c>
      <c r="E419" s="155">
        <f>'BC.116+240'!AB418</f>
        <v>1.988</v>
      </c>
      <c r="F419" s="154">
        <f>VLOOKUP($A419,'BC.116+240'!$B$13:$X$4890,8,0)/1000</f>
        <v>2.6970000000000001</v>
      </c>
      <c r="G419" s="154">
        <f>VLOOKUP($A419,'BC.116+240'!$B$13:$X$4890,9,0)/1000</f>
        <v>-1.3029999999999999</v>
      </c>
      <c r="H419" s="154">
        <f>VLOOKUP($A419,'BC.116+240'!$B$13:$X$4890,14,0)/1000</f>
        <v>2.7189999999999999</v>
      </c>
      <c r="I419" s="154">
        <f>VLOOKUP($A419,'BC.116+240'!$B$13:$X$4890,15,0)/1000</f>
        <v>-1.2809999999999999</v>
      </c>
      <c r="J419" s="154">
        <f>VLOOKUP($A419,'BC.116+240'!$B$13:$X$4890,20,0)/1000</f>
        <v>2.7690000000000001</v>
      </c>
      <c r="K419" s="154">
        <f>VLOOKUP($A419,'BC.116+240'!$B$13:$X$4890,21,0)/1000</f>
        <v>-1.2310000000000001</v>
      </c>
      <c r="L419" s="152">
        <f t="shared" si="21"/>
        <v>-1343</v>
      </c>
      <c r="M419" s="153">
        <f t="shared" si="22"/>
        <v>-1200.9999999999998</v>
      </c>
      <c r="N419" s="152">
        <f t="shared" si="23"/>
        <v>-1201</v>
      </c>
      <c r="O419" s="152"/>
    </row>
    <row r="420" spans="1:15">
      <c r="A420" s="88">
        <f>'BC.116+240'!B419</f>
        <v>45687</v>
      </c>
      <c r="B420" s="152">
        <f t="shared" si="20"/>
        <v>406</v>
      </c>
      <c r="C420" s="154">
        <f>'BC.116+240'!M419/1000</f>
        <v>3.109</v>
      </c>
      <c r="D420" s="154">
        <f>'BC.116+240'!AA419</f>
        <v>4.2549999999999999</v>
      </c>
      <c r="E420" s="155">
        <f>'BC.116+240'!AB419</f>
        <v>1.988</v>
      </c>
      <c r="F420" s="154">
        <f>VLOOKUP($A420,'BC.116+240'!$B$13:$X$4890,8,0)/1000</f>
        <v>2.6970000000000001</v>
      </c>
      <c r="G420" s="154">
        <f>VLOOKUP($A420,'BC.116+240'!$B$13:$X$4890,9,0)/1000</f>
        <v>-1.3029999999999999</v>
      </c>
      <c r="H420" s="154">
        <f>VLOOKUP($A420,'BC.116+240'!$B$13:$X$4890,14,0)/1000</f>
        <v>2.7189999999999999</v>
      </c>
      <c r="I420" s="154">
        <f>VLOOKUP($A420,'BC.116+240'!$B$13:$X$4890,15,0)/1000</f>
        <v>-1.2809999999999999</v>
      </c>
      <c r="J420" s="154">
        <f>VLOOKUP($A420,'BC.116+240'!$B$13:$X$4890,20,0)/1000</f>
        <v>2.7690000000000001</v>
      </c>
      <c r="K420" s="154">
        <f>VLOOKUP($A420,'BC.116+240'!$B$13:$X$4890,21,0)/1000</f>
        <v>-1.2310000000000001</v>
      </c>
      <c r="L420" s="152">
        <f t="shared" si="21"/>
        <v>-1343</v>
      </c>
      <c r="M420" s="153">
        <f t="shared" si="22"/>
        <v>-1200.9999999999998</v>
      </c>
      <c r="N420" s="152">
        <f t="shared" si="23"/>
        <v>-1201</v>
      </c>
      <c r="O420" s="152"/>
    </row>
    <row r="421" spans="1:15">
      <c r="A421" s="88">
        <f>'BC.116+240'!B420</f>
        <v>45688</v>
      </c>
      <c r="B421" s="152">
        <f t="shared" si="20"/>
        <v>407</v>
      </c>
      <c r="C421" s="154">
        <f>'BC.116+240'!M420/1000</f>
        <v>3.1080000000000001</v>
      </c>
      <c r="D421" s="154">
        <f>'BC.116+240'!AA420</f>
        <v>4.2549999999999999</v>
      </c>
      <c r="E421" s="155">
        <f>'BC.116+240'!AB420</f>
        <v>1.986</v>
      </c>
      <c r="F421" s="154">
        <f>VLOOKUP($A421,'BC.116+240'!$B$13:$X$4890,8,0)/1000</f>
        <v>2.694</v>
      </c>
      <c r="G421" s="154">
        <f>VLOOKUP($A421,'BC.116+240'!$B$13:$X$4890,9,0)/1000</f>
        <v>-1.306</v>
      </c>
      <c r="H421" s="154">
        <f>VLOOKUP($A421,'BC.116+240'!$B$13:$X$4890,14,0)/1000</f>
        <v>2.718</v>
      </c>
      <c r="I421" s="154">
        <f>VLOOKUP($A421,'BC.116+240'!$B$13:$X$4890,15,0)/1000</f>
        <v>-1.282</v>
      </c>
      <c r="J421" s="154">
        <f>VLOOKUP($A421,'BC.116+240'!$B$13:$X$4890,20,0)/1000</f>
        <v>2.7679999999999998</v>
      </c>
      <c r="K421" s="154">
        <f>VLOOKUP($A421,'BC.116+240'!$B$13:$X$4890,21,0)/1000</f>
        <v>-1.232</v>
      </c>
      <c r="L421" s="152">
        <f t="shared" si="21"/>
        <v>-1346</v>
      </c>
      <c r="M421" s="153">
        <f t="shared" si="22"/>
        <v>-1202</v>
      </c>
      <c r="N421" s="152">
        <f t="shared" si="23"/>
        <v>-1202</v>
      </c>
      <c r="O421" s="152"/>
    </row>
    <row r="422" spans="1:15">
      <c r="A422" s="88">
        <f>'BC.116+240'!B421</f>
        <v>45689</v>
      </c>
      <c r="B422" s="152">
        <f t="shared" si="20"/>
        <v>408</v>
      </c>
      <c r="C422" s="154">
        <f>'BC.116+240'!M421/1000</f>
        <v>3.1059999999999999</v>
      </c>
      <c r="D422" s="154">
        <f>'BC.116+240'!AA421</f>
        <v>4.2549999999999999</v>
      </c>
      <c r="E422" s="155">
        <f>'BC.116+240'!AB421</f>
        <v>1.982</v>
      </c>
      <c r="F422" s="154">
        <f>VLOOKUP($A422,'BC.116+240'!$B$13:$X$4890,8,0)/1000</f>
        <v>2.6920000000000002</v>
      </c>
      <c r="G422" s="154">
        <f>VLOOKUP($A422,'BC.116+240'!$B$13:$X$4890,9,0)/1000</f>
        <v>-1.3080000000000001</v>
      </c>
      <c r="H422" s="154">
        <f>VLOOKUP($A422,'BC.116+240'!$B$13:$X$4890,14,0)/1000</f>
        <v>2.7160000000000002</v>
      </c>
      <c r="I422" s="154">
        <f>VLOOKUP($A422,'BC.116+240'!$B$13:$X$4890,15,0)/1000</f>
        <v>-1.284</v>
      </c>
      <c r="J422" s="154">
        <f>VLOOKUP($A422,'BC.116+240'!$B$13:$X$4890,20,0)/1000</f>
        <v>2.7669999999999999</v>
      </c>
      <c r="K422" s="154">
        <f>VLOOKUP($A422,'BC.116+240'!$B$13:$X$4890,21,0)/1000</f>
        <v>-1.2330000000000001</v>
      </c>
      <c r="L422" s="152">
        <f t="shared" si="21"/>
        <v>-1348</v>
      </c>
      <c r="M422" s="153">
        <f t="shared" si="22"/>
        <v>-1204</v>
      </c>
      <c r="N422" s="152">
        <f t="shared" si="23"/>
        <v>-1203</v>
      </c>
      <c r="O422" s="152"/>
    </row>
    <row r="423" spans="1:15">
      <c r="A423" s="88">
        <f>'BC.116+240'!B422</f>
        <v>45690</v>
      </c>
      <c r="B423" s="152">
        <f t="shared" si="20"/>
        <v>409</v>
      </c>
      <c r="C423" s="154">
        <f>'BC.116+240'!M422/1000</f>
        <v>3.3540000000000001</v>
      </c>
      <c r="D423" s="154">
        <f>'BC.116+240'!AA422</f>
        <v>4.5030000000000001</v>
      </c>
      <c r="E423" s="155">
        <f>'BC.116+240'!AB422</f>
        <v>2.2280000000000002</v>
      </c>
      <c r="F423" s="154">
        <f>VLOOKUP($A423,'BC.116+240'!$B$13:$X$4890,8,0)/1000</f>
        <v>2.6890000000000001</v>
      </c>
      <c r="G423" s="154">
        <f>VLOOKUP($A423,'BC.116+240'!$B$13:$X$4890,9,0)/1000</f>
        <v>-1.3109999999999999</v>
      </c>
      <c r="H423" s="154">
        <f>VLOOKUP($A423,'BC.116+240'!$B$13:$X$4890,14,0)/1000</f>
        <v>2.714</v>
      </c>
      <c r="I423" s="154">
        <f>VLOOKUP($A423,'BC.116+240'!$B$13:$X$4890,15,0)/1000</f>
        <v>-1.286</v>
      </c>
      <c r="J423" s="154">
        <f>VLOOKUP($A423,'BC.116+240'!$B$13:$X$4890,20,0)/1000</f>
        <v>2.7650000000000001</v>
      </c>
      <c r="K423" s="154">
        <f>VLOOKUP($A423,'BC.116+240'!$B$13:$X$4890,21,0)/1000</f>
        <v>-1.2350000000000001</v>
      </c>
      <c r="L423" s="152">
        <f t="shared" si="21"/>
        <v>-1351</v>
      </c>
      <c r="M423" s="153">
        <f t="shared" si="22"/>
        <v>-1206</v>
      </c>
      <c r="N423" s="152">
        <f t="shared" si="23"/>
        <v>-1205</v>
      </c>
      <c r="O423" s="152"/>
    </row>
    <row r="424" spans="1:15">
      <c r="A424" s="88">
        <f>'BC.116+240'!B423</f>
        <v>45691</v>
      </c>
      <c r="B424" s="152">
        <f t="shared" si="20"/>
        <v>410</v>
      </c>
      <c r="C424" s="154">
        <f>'BC.116+240'!M423/1000</f>
        <v>3.3519999999999999</v>
      </c>
      <c r="D424" s="154">
        <f>'BC.116+240'!AA423</f>
        <v>4.5030000000000001</v>
      </c>
      <c r="E424" s="155">
        <f>'BC.116+240'!AB423</f>
        <v>2.2240000000000002</v>
      </c>
      <c r="F424" s="154">
        <f>VLOOKUP($A424,'BC.116+240'!$B$13:$X$4890,8,0)/1000</f>
        <v>2.6869999999999998</v>
      </c>
      <c r="G424" s="154">
        <f>VLOOKUP($A424,'BC.116+240'!$B$13:$X$4890,9,0)/1000</f>
        <v>-1.3129999999999999</v>
      </c>
      <c r="H424" s="154">
        <f>VLOOKUP($A424,'BC.116+240'!$B$13:$X$4890,14,0)/1000</f>
        <v>2.7120000000000002</v>
      </c>
      <c r="I424" s="154">
        <f>VLOOKUP($A424,'BC.116+240'!$B$13:$X$4890,15,0)/1000</f>
        <v>-1.288</v>
      </c>
      <c r="J424" s="154">
        <f>VLOOKUP($A424,'BC.116+240'!$B$13:$X$4890,20,0)/1000</f>
        <v>2.7629999999999999</v>
      </c>
      <c r="K424" s="154">
        <f>VLOOKUP($A424,'BC.116+240'!$B$13:$X$4890,21,0)/1000</f>
        <v>-1.2370000000000001</v>
      </c>
      <c r="L424" s="152">
        <f t="shared" si="21"/>
        <v>-1353</v>
      </c>
      <c r="M424" s="153">
        <f t="shared" si="22"/>
        <v>-1208</v>
      </c>
      <c r="N424" s="152">
        <f t="shared" si="23"/>
        <v>-1207</v>
      </c>
      <c r="O424" s="152"/>
    </row>
    <row r="425" spans="1:15">
      <c r="A425" s="88">
        <f>'BC.116+240'!B424</f>
        <v>45692</v>
      </c>
      <c r="B425" s="152">
        <f t="shared" si="20"/>
        <v>411</v>
      </c>
      <c r="C425" s="154">
        <f>'BC.116+240'!M424/1000</f>
        <v>3.35</v>
      </c>
      <c r="D425" s="154">
        <f>'BC.116+240'!AA424</f>
        <v>4.5030000000000001</v>
      </c>
      <c r="E425" s="155">
        <f>'BC.116+240'!AB424</f>
        <v>2.2200000000000002</v>
      </c>
      <c r="F425" s="154">
        <f>VLOOKUP($A425,'BC.116+240'!$B$13:$X$4890,8,0)/1000</f>
        <v>2.6859999999999999</v>
      </c>
      <c r="G425" s="154">
        <f>VLOOKUP($A425,'BC.116+240'!$B$13:$X$4890,9,0)/1000</f>
        <v>-1.3140000000000001</v>
      </c>
      <c r="H425" s="154">
        <f>VLOOKUP($A425,'BC.116+240'!$B$13:$X$4890,14,0)/1000</f>
        <v>2.71</v>
      </c>
      <c r="I425" s="154">
        <f>VLOOKUP($A425,'BC.116+240'!$B$13:$X$4890,15,0)/1000</f>
        <v>-1.29</v>
      </c>
      <c r="J425" s="154">
        <f>VLOOKUP($A425,'BC.116+240'!$B$13:$X$4890,20,0)/1000</f>
        <v>2.762</v>
      </c>
      <c r="K425" s="154">
        <f>VLOOKUP($A425,'BC.116+240'!$B$13:$X$4890,21,0)/1000</f>
        <v>-1.238</v>
      </c>
      <c r="L425" s="152">
        <f t="shared" si="21"/>
        <v>-1354</v>
      </c>
      <c r="M425" s="153">
        <f t="shared" si="22"/>
        <v>-1210</v>
      </c>
      <c r="N425" s="152">
        <f t="shared" si="23"/>
        <v>-1208</v>
      </c>
      <c r="O425" s="152"/>
    </row>
    <row r="426" spans="1:15">
      <c r="A426" s="88">
        <f>'BC.116+240'!B425</f>
        <v>45693</v>
      </c>
      <c r="B426" s="152">
        <f t="shared" si="20"/>
        <v>412</v>
      </c>
      <c r="C426" s="154">
        <f>'BC.116+240'!M425/1000</f>
        <v>3.3479999999999999</v>
      </c>
      <c r="D426" s="154">
        <f>'BC.116+240'!AA425</f>
        <v>4.5030000000000001</v>
      </c>
      <c r="E426" s="155">
        <f>'BC.116+240'!AB425</f>
        <v>2.2160000000000002</v>
      </c>
      <c r="F426" s="154">
        <f>VLOOKUP($A426,'BC.116+240'!$B$13:$X$4890,8,0)/1000</f>
        <v>2.6829999999999998</v>
      </c>
      <c r="G426" s="154">
        <f>VLOOKUP($A426,'BC.116+240'!$B$13:$X$4890,9,0)/1000</f>
        <v>-1.3169999999999999</v>
      </c>
      <c r="H426" s="154">
        <f>VLOOKUP($A426,'BC.116+240'!$B$13:$X$4890,14,0)/1000</f>
        <v>2.7080000000000002</v>
      </c>
      <c r="I426" s="154">
        <f>VLOOKUP($A426,'BC.116+240'!$B$13:$X$4890,15,0)/1000</f>
        <v>-1.292</v>
      </c>
      <c r="J426" s="154">
        <f>VLOOKUP($A426,'BC.116+240'!$B$13:$X$4890,20,0)/1000</f>
        <v>2.76</v>
      </c>
      <c r="K426" s="154">
        <f>VLOOKUP($A426,'BC.116+240'!$B$13:$X$4890,21,0)/1000</f>
        <v>-1.24</v>
      </c>
      <c r="L426" s="152">
        <f t="shared" si="21"/>
        <v>-1357</v>
      </c>
      <c r="M426" s="153">
        <f t="shared" si="22"/>
        <v>-1212</v>
      </c>
      <c r="N426" s="152">
        <f t="shared" si="23"/>
        <v>-1210</v>
      </c>
      <c r="O426" s="152"/>
    </row>
    <row r="427" spans="1:15">
      <c r="A427" s="88">
        <f>'BC.116+240'!B426</f>
        <v>45694</v>
      </c>
      <c r="B427" s="152">
        <f t="shared" si="20"/>
        <v>413</v>
      </c>
      <c r="C427" s="154">
        <f>'BC.116+240'!M426/1000</f>
        <v>3.3460000000000001</v>
      </c>
      <c r="D427" s="154">
        <f>'BC.116+240'!AA426</f>
        <v>4.5030000000000001</v>
      </c>
      <c r="E427" s="155">
        <f>'BC.116+240'!AB426</f>
        <v>2.2120000000000002</v>
      </c>
      <c r="F427" s="154">
        <f>VLOOKUP($A427,'BC.116+240'!$B$13:$X$4890,8,0)/1000</f>
        <v>2.681</v>
      </c>
      <c r="G427" s="154">
        <f>VLOOKUP($A427,'BC.116+240'!$B$13:$X$4890,9,0)/1000</f>
        <v>-1.319</v>
      </c>
      <c r="H427" s="154">
        <f>VLOOKUP($A427,'BC.116+240'!$B$13:$X$4890,14,0)/1000</f>
        <v>2.706</v>
      </c>
      <c r="I427" s="154">
        <f>VLOOKUP($A427,'BC.116+240'!$B$13:$X$4890,15,0)/1000</f>
        <v>-1.294</v>
      </c>
      <c r="J427" s="154">
        <f>VLOOKUP($A427,'BC.116+240'!$B$13:$X$4890,20,0)/1000</f>
        <v>2.7589999999999999</v>
      </c>
      <c r="K427" s="154">
        <f>VLOOKUP($A427,'BC.116+240'!$B$13:$X$4890,21,0)/1000</f>
        <v>-1.2410000000000001</v>
      </c>
      <c r="L427" s="152">
        <f t="shared" si="21"/>
        <v>-1359</v>
      </c>
      <c r="M427" s="153">
        <f t="shared" si="22"/>
        <v>-1214</v>
      </c>
      <c r="N427" s="152">
        <f t="shared" si="23"/>
        <v>-1211</v>
      </c>
      <c r="O427" s="152"/>
    </row>
    <row r="428" spans="1:15">
      <c r="A428" s="88">
        <f>'BC.116+240'!B427</f>
        <v>45695</v>
      </c>
      <c r="B428" s="152">
        <f t="shared" si="20"/>
        <v>414</v>
      </c>
      <c r="C428" s="154">
        <f>'BC.116+240'!M427/1000</f>
        <v>3.6309999999999998</v>
      </c>
      <c r="D428" s="154">
        <f>'BC.116+240'!AA427</f>
        <v>4.7910000000000004</v>
      </c>
      <c r="E428" s="155">
        <f>'BC.116+240'!AB427</f>
        <v>2.492</v>
      </c>
      <c r="F428" s="154">
        <f>VLOOKUP($A428,'BC.116+240'!$B$13:$X$4890,8,0)/1000</f>
        <v>2.68</v>
      </c>
      <c r="G428" s="154">
        <f>VLOOKUP($A428,'BC.116+240'!$B$13:$X$4890,9,0)/1000</f>
        <v>-1.32</v>
      </c>
      <c r="H428" s="154">
        <f>VLOOKUP($A428,'BC.116+240'!$B$13:$X$4890,14,0)/1000</f>
        <v>2.7010000000000001</v>
      </c>
      <c r="I428" s="154">
        <f>VLOOKUP($A428,'BC.116+240'!$B$13:$X$4890,15,0)/1000</f>
        <v>-1.2989999999999999</v>
      </c>
      <c r="J428" s="154">
        <f>VLOOKUP($A428,'BC.116+240'!$B$13:$X$4890,20,0)/1000</f>
        <v>2.7570000000000001</v>
      </c>
      <c r="K428" s="154">
        <f>VLOOKUP($A428,'BC.116+240'!$B$13:$X$4890,21,0)/1000</f>
        <v>-1.2430000000000001</v>
      </c>
      <c r="L428" s="152">
        <f t="shared" si="21"/>
        <v>-1360</v>
      </c>
      <c r="M428" s="153">
        <f t="shared" si="22"/>
        <v>-1218.9999999999998</v>
      </c>
      <c r="N428" s="152">
        <f t="shared" si="23"/>
        <v>-1213</v>
      </c>
      <c r="O428" s="152"/>
    </row>
    <row r="429" spans="1:15">
      <c r="A429" s="88">
        <f>'BC.116+240'!B428</f>
        <v>45696</v>
      </c>
      <c r="B429" s="152">
        <f t="shared" si="20"/>
        <v>415</v>
      </c>
      <c r="C429" s="154">
        <f>'BC.116+240'!M428/1000</f>
        <v>3.6259999999999999</v>
      </c>
      <c r="D429" s="154">
        <f>'BC.116+240'!AA428</f>
        <v>4.7910000000000004</v>
      </c>
      <c r="E429" s="155">
        <f>'BC.116+240'!AB428</f>
        <v>2.4820000000000002</v>
      </c>
      <c r="F429" s="154">
        <f>VLOOKUP($A429,'BC.116+240'!$B$13:$X$4890,8,0)/1000</f>
        <v>2.6779999999999999</v>
      </c>
      <c r="G429" s="154">
        <f>VLOOKUP($A429,'BC.116+240'!$B$13:$X$4890,9,0)/1000</f>
        <v>-1.3220000000000001</v>
      </c>
      <c r="H429" s="154">
        <f>VLOOKUP($A429,'BC.116+240'!$B$13:$X$4890,14,0)/1000</f>
        <v>2.6960000000000002</v>
      </c>
      <c r="I429" s="154">
        <f>VLOOKUP($A429,'BC.116+240'!$B$13:$X$4890,15,0)/1000</f>
        <v>-1.304</v>
      </c>
      <c r="J429" s="154">
        <f>VLOOKUP($A429,'BC.116+240'!$B$13:$X$4890,20,0)/1000</f>
        <v>2.7549999999999999</v>
      </c>
      <c r="K429" s="154">
        <f>VLOOKUP($A429,'BC.116+240'!$B$13:$X$4890,21,0)/1000</f>
        <v>-1.2450000000000001</v>
      </c>
      <c r="L429" s="152">
        <f t="shared" si="21"/>
        <v>-1362</v>
      </c>
      <c r="M429" s="153">
        <f t="shared" si="22"/>
        <v>-1224</v>
      </c>
      <c r="N429" s="152">
        <f t="shared" si="23"/>
        <v>-1215</v>
      </c>
      <c r="O429" s="152"/>
    </row>
    <row r="430" spans="1:15">
      <c r="A430" s="88">
        <f>'BC.116+240'!B429</f>
        <v>45697</v>
      </c>
      <c r="B430" s="152">
        <f t="shared" si="20"/>
        <v>416</v>
      </c>
      <c r="C430" s="154">
        <f>'BC.116+240'!M429/1000</f>
        <v>3.621</v>
      </c>
      <c r="D430" s="154">
        <f>'BC.116+240'!AA429</f>
        <v>4.7910000000000004</v>
      </c>
      <c r="E430" s="155">
        <f>'BC.116+240'!AB429</f>
        <v>2.472</v>
      </c>
      <c r="F430" s="154">
        <f>VLOOKUP($A430,'BC.116+240'!$B$13:$X$4890,8,0)/1000</f>
        <v>2.6760000000000002</v>
      </c>
      <c r="G430" s="154">
        <f>VLOOKUP($A430,'BC.116+240'!$B$13:$X$4890,9,0)/1000</f>
        <v>-1.3240000000000001</v>
      </c>
      <c r="H430" s="154">
        <f>VLOOKUP($A430,'BC.116+240'!$B$13:$X$4890,14,0)/1000</f>
        <v>2.6909999999999998</v>
      </c>
      <c r="I430" s="154">
        <f>VLOOKUP($A430,'BC.116+240'!$B$13:$X$4890,15,0)/1000</f>
        <v>-1.3089999999999999</v>
      </c>
      <c r="J430" s="154">
        <f>VLOOKUP($A430,'BC.116+240'!$B$13:$X$4890,20,0)/1000</f>
        <v>2.7530000000000001</v>
      </c>
      <c r="K430" s="154">
        <f>VLOOKUP($A430,'BC.116+240'!$B$13:$X$4890,21,0)/1000</f>
        <v>-1.2470000000000001</v>
      </c>
      <c r="L430" s="152">
        <f t="shared" si="21"/>
        <v>-1364</v>
      </c>
      <c r="M430" s="153">
        <f t="shared" si="22"/>
        <v>-1228.9999999999998</v>
      </c>
      <c r="N430" s="152">
        <f t="shared" si="23"/>
        <v>-1217</v>
      </c>
      <c r="O430" s="152"/>
    </row>
    <row r="431" spans="1:15">
      <c r="A431" s="88">
        <f>'BC.116+240'!B430</f>
        <v>45698</v>
      </c>
      <c r="B431" s="152">
        <f t="shared" si="20"/>
        <v>417</v>
      </c>
      <c r="C431" s="154">
        <f>'BC.116+240'!M430/1000</f>
        <v>3.621</v>
      </c>
      <c r="D431" s="154">
        <f>'BC.116+240'!AA430</f>
        <v>4.7910000000000004</v>
      </c>
      <c r="E431" s="155">
        <f>'BC.116+240'!AB430</f>
        <v>2.472</v>
      </c>
      <c r="F431" s="154">
        <f>VLOOKUP($A431,'BC.116+240'!$B$13:$X$4890,8,0)/1000</f>
        <v>2.6760000000000002</v>
      </c>
      <c r="G431" s="154">
        <f>VLOOKUP($A431,'BC.116+240'!$B$13:$X$4890,9,0)/1000</f>
        <v>-1.3240000000000001</v>
      </c>
      <c r="H431" s="154">
        <f>VLOOKUP($A431,'BC.116+240'!$B$13:$X$4890,14,0)/1000</f>
        <v>2.6909999999999998</v>
      </c>
      <c r="I431" s="154">
        <f>VLOOKUP($A431,'BC.116+240'!$B$13:$X$4890,15,0)/1000</f>
        <v>-1.3089999999999999</v>
      </c>
      <c r="J431" s="154">
        <f>VLOOKUP($A431,'BC.116+240'!$B$13:$X$4890,20,0)/1000</f>
        <v>2.7530000000000001</v>
      </c>
      <c r="K431" s="154">
        <f>VLOOKUP($A431,'BC.116+240'!$B$13:$X$4890,21,0)/1000</f>
        <v>-1.2470000000000001</v>
      </c>
      <c r="L431" s="152">
        <f t="shared" si="21"/>
        <v>-1364</v>
      </c>
      <c r="M431" s="153">
        <f t="shared" si="22"/>
        <v>-1228.9999999999998</v>
      </c>
      <c r="N431" s="152">
        <f t="shared" si="23"/>
        <v>-1217</v>
      </c>
      <c r="O431" s="152"/>
    </row>
    <row r="432" spans="1:15">
      <c r="A432" s="88">
        <f>'BC.116+240'!B431</f>
        <v>45699</v>
      </c>
      <c r="B432" s="152">
        <f t="shared" si="20"/>
        <v>418</v>
      </c>
      <c r="C432" s="154">
        <f>'BC.116+240'!M431/1000</f>
        <v>3.621</v>
      </c>
      <c r="D432" s="154">
        <f>'BC.116+240'!AA431</f>
        <v>4.7910000000000004</v>
      </c>
      <c r="E432" s="155">
        <f>'BC.116+240'!AB431</f>
        <v>2.472</v>
      </c>
      <c r="F432" s="154">
        <f>VLOOKUP($A432,'BC.116+240'!$B$13:$X$4890,8,0)/1000</f>
        <v>2.6760000000000002</v>
      </c>
      <c r="G432" s="154">
        <f>VLOOKUP($A432,'BC.116+240'!$B$13:$X$4890,9,0)/1000</f>
        <v>-1.3240000000000001</v>
      </c>
      <c r="H432" s="154">
        <f>VLOOKUP($A432,'BC.116+240'!$B$13:$X$4890,14,0)/1000</f>
        <v>2.6909999999999998</v>
      </c>
      <c r="I432" s="154">
        <f>VLOOKUP($A432,'BC.116+240'!$B$13:$X$4890,15,0)/1000</f>
        <v>-1.3089999999999999</v>
      </c>
      <c r="J432" s="154">
        <f>VLOOKUP($A432,'BC.116+240'!$B$13:$X$4890,20,0)/1000</f>
        <v>2.7530000000000001</v>
      </c>
      <c r="K432" s="154">
        <f>VLOOKUP($A432,'BC.116+240'!$B$13:$X$4890,21,0)/1000</f>
        <v>-1.2470000000000001</v>
      </c>
      <c r="L432" s="152">
        <f t="shared" si="21"/>
        <v>-1364</v>
      </c>
      <c r="M432" s="153">
        <f t="shared" si="22"/>
        <v>-1228.9999999999998</v>
      </c>
      <c r="N432" s="152">
        <f t="shared" si="23"/>
        <v>-1217</v>
      </c>
      <c r="O432" s="152"/>
    </row>
    <row r="433" spans="1:15">
      <c r="A433" s="88">
        <f>'BC.116+240'!B432</f>
        <v>45700</v>
      </c>
      <c r="B433" s="152">
        <f t="shared" si="20"/>
        <v>419</v>
      </c>
      <c r="C433" s="154">
        <f>'BC.116+240'!M432/1000</f>
        <v>3.9209999999999998</v>
      </c>
      <c r="D433" s="154">
        <f>'BC.116+240'!AA432</f>
        <v>5.0910000000000002</v>
      </c>
      <c r="E433" s="155">
        <f>'BC.116+240'!AB432</f>
        <v>2.7719999999999998</v>
      </c>
      <c r="F433" s="154">
        <f>VLOOKUP($A433,'BC.116+240'!$B$13:$X$4890,8,0)/1000</f>
        <v>2.6760000000000002</v>
      </c>
      <c r="G433" s="154">
        <f>VLOOKUP($A433,'BC.116+240'!$B$13:$X$4890,9,0)/1000</f>
        <v>-1.3240000000000001</v>
      </c>
      <c r="H433" s="154">
        <f>VLOOKUP($A433,'BC.116+240'!$B$13:$X$4890,14,0)/1000</f>
        <v>2.6909999999999998</v>
      </c>
      <c r="I433" s="154">
        <f>VLOOKUP($A433,'BC.116+240'!$B$13:$X$4890,15,0)/1000</f>
        <v>-1.3089999999999999</v>
      </c>
      <c r="J433" s="154">
        <f>VLOOKUP($A433,'BC.116+240'!$B$13:$X$4890,20,0)/1000</f>
        <v>2.7530000000000001</v>
      </c>
      <c r="K433" s="154">
        <f>VLOOKUP($A433,'BC.116+240'!$B$13:$X$4890,21,0)/1000</f>
        <v>-1.2470000000000001</v>
      </c>
      <c r="L433" s="152">
        <f t="shared" si="21"/>
        <v>-1364</v>
      </c>
      <c r="M433" s="153">
        <f t="shared" si="22"/>
        <v>-1228.9999999999998</v>
      </c>
      <c r="N433" s="152">
        <f t="shared" si="23"/>
        <v>-1217</v>
      </c>
      <c r="O433" s="152"/>
    </row>
    <row r="434" spans="1:15">
      <c r="A434" s="88">
        <f>'BC.116+240'!B433</f>
        <v>45701</v>
      </c>
      <c r="B434" s="152">
        <f t="shared" si="20"/>
        <v>420</v>
      </c>
      <c r="C434" s="154">
        <f>'BC.116+240'!M433/1000</f>
        <v>3.9209999999999998</v>
      </c>
      <c r="D434" s="154">
        <f>'BC.116+240'!AA433</f>
        <v>5.0910000000000002</v>
      </c>
      <c r="E434" s="155">
        <f>'BC.116+240'!AB433</f>
        <v>2.7719999999999998</v>
      </c>
      <c r="F434" s="154">
        <f>VLOOKUP($A434,'BC.116+240'!$B$13:$X$4890,8,0)/1000</f>
        <v>2.6760000000000002</v>
      </c>
      <c r="G434" s="154">
        <f>VLOOKUP($A434,'BC.116+240'!$B$13:$X$4890,9,0)/1000</f>
        <v>-1.3240000000000001</v>
      </c>
      <c r="H434" s="154">
        <f>VLOOKUP($A434,'BC.116+240'!$B$13:$X$4890,14,0)/1000</f>
        <v>2.6909999999999998</v>
      </c>
      <c r="I434" s="154">
        <f>VLOOKUP($A434,'BC.116+240'!$B$13:$X$4890,15,0)/1000</f>
        <v>-1.3089999999999999</v>
      </c>
      <c r="J434" s="154">
        <f>VLOOKUP($A434,'BC.116+240'!$B$13:$X$4890,20,0)/1000</f>
        <v>2.7530000000000001</v>
      </c>
      <c r="K434" s="154">
        <f>VLOOKUP($A434,'BC.116+240'!$B$13:$X$4890,21,0)/1000</f>
        <v>-1.2470000000000001</v>
      </c>
      <c r="L434" s="152">
        <f t="shared" si="21"/>
        <v>-1364</v>
      </c>
      <c r="M434" s="153">
        <f t="shared" si="22"/>
        <v>-1228.9999999999998</v>
      </c>
      <c r="N434" s="152">
        <f t="shared" si="23"/>
        <v>-1217</v>
      </c>
      <c r="O434" s="152"/>
    </row>
    <row r="435" spans="1:15">
      <c r="A435" s="88">
        <f>'BC.116+240'!B434</f>
        <v>45702</v>
      </c>
      <c r="B435" s="152">
        <f t="shared" si="20"/>
        <v>421</v>
      </c>
      <c r="C435" s="154">
        <f>'BC.116+240'!M434/1000</f>
        <v>3.9209999999999998</v>
      </c>
      <c r="D435" s="154">
        <f>'BC.116+240'!AA434</f>
        <v>5.0910000000000002</v>
      </c>
      <c r="E435" s="155">
        <f>'BC.116+240'!AB434</f>
        <v>2.7719999999999998</v>
      </c>
      <c r="F435" s="154">
        <f>VLOOKUP($A435,'BC.116+240'!$B$13:$X$4890,8,0)/1000</f>
        <v>2.6760000000000002</v>
      </c>
      <c r="G435" s="154">
        <f>VLOOKUP($A435,'BC.116+240'!$B$13:$X$4890,9,0)/1000</f>
        <v>-1.3240000000000001</v>
      </c>
      <c r="H435" s="154">
        <f>VLOOKUP($A435,'BC.116+240'!$B$13:$X$4890,14,0)/1000</f>
        <v>2.6909999999999998</v>
      </c>
      <c r="I435" s="154">
        <f>VLOOKUP($A435,'BC.116+240'!$B$13:$X$4890,15,0)/1000</f>
        <v>-1.3089999999999999</v>
      </c>
      <c r="J435" s="154">
        <f>VLOOKUP($A435,'BC.116+240'!$B$13:$X$4890,20,0)/1000</f>
        <v>2.7530000000000001</v>
      </c>
      <c r="K435" s="154">
        <f>VLOOKUP($A435,'BC.116+240'!$B$13:$X$4890,21,0)/1000</f>
        <v>-1.2470000000000001</v>
      </c>
      <c r="L435" s="152">
        <f t="shared" si="21"/>
        <v>-1364</v>
      </c>
      <c r="M435" s="153">
        <f t="shared" si="22"/>
        <v>-1228.9999999999998</v>
      </c>
      <c r="N435" s="152">
        <f t="shared" si="23"/>
        <v>-1217</v>
      </c>
      <c r="O435" s="152"/>
    </row>
    <row r="436" spans="1:15">
      <c r="A436" s="88">
        <f>'BC.116+240'!B435</f>
        <v>45703</v>
      </c>
      <c r="B436" s="152">
        <f t="shared" si="20"/>
        <v>422</v>
      </c>
      <c r="C436" s="154">
        <f>'BC.116+240'!M435/1000</f>
        <v>3.92</v>
      </c>
      <c r="D436" s="154">
        <f>'BC.116+240'!AA435</f>
        <v>5.0910000000000002</v>
      </c>
      <c r="E436" s="155">
        <f>'BC.116+240'!AB435</f>
        <v>2.77</v>
      </c>
      <c r="F436" s="154">
        <f>VLOOKUP($A436,'BC.116+240'!$B$13:$X$4890,8,0)/1000</f>
        <v>2.673</v>
      </c>
      <c r="G436" s="154">
        <f>VLOOKUP($A436,'BC.116+240'!$B$13:$X$4890,9,0)/1000</f>
        <v>-1.327</v>
      </c>
      <c r="H436" s="154">
        <f>VLOOKUP($A436,'BC.116+240'!$B$13:$X$4890,14,0)/1000</f>
        <v>2.69</v>
      </c>
      <c r="I436" s="154">
        <f>VLOOKUP($A436,'BC.116+240'!$B$13:$X$4890,15,0)/1000</f>
        <v>-1.31</v>
      </c>
      <c r="J436" s="154">
        <f>VLOOKUP($A436,'BC.116+240'!$B$13:$X$4890,20,0)/1000</f>
        <v>2.7519999999999998</v>
      </c>
      <c r="K436" s="154">
        <f>VLOOKUP($A436,'BC.116+240'!$B$13:$X$4890,21,0)/1000</f>
        <v>-1.248</v>
      </c>
      <c r="L436" s="152">
        <f t="shared" si="21"/>
        <v>-1367</v>
      </c>
      <c r="M436" s="153">
        <f t="shared" si="22"/>
        <v>-1230</v>
      </c>
      <c r="N436" s="152">
        <f t="shared" si="23"/>
        <v>-1218</v>
      </c>
      <c r="O436" s="152"/>
    </row>
    <row r="437" spans="1:15">
      <c r="A437" s="88">
        <f>'BC.116+240'!B436</f>
        <v>45704</v>
      </c>
      <c r="B437" s="152">
        <f t="shared" ref="B437:B482" si="24">+B436+1</f>
        <v>423</v>
      </c>
      <c r="C437" s="154">
        <f>'BC.116+240'!M436/1000</f>
        <v>3.9180000000000001</v>
      </c>
      <c r="D437" s="154">
        <f>'BC.116+240'!AA436</f>
        <v>5.0910000000000002</v>
      </c>
      <c r="E437" s="155">
        <f>'BC.116+240'!AB436</f>
        <v>2.766</v>
      </c>
      <c r="F437" s="154">
        <f>VLOOKUP($A437,'BC.116+240'!$B$13:$X$4890,8,0)/1000</f>
        <v>2.6709999999999998</v>
      </c>
      <c r="G437" s="154">
        <f>VLOOKUP($A437,'BC.116+240'!$B$13:$X$4890,9,0)/1000</f>
        <v>-1.329</v>
      </c>
      <c r="H437" s="154">
        <f>VLOOKUP($A437,'BC.116+240'!$B$13:$X$4890,14,0)/1000</f>
        <v>2.6880000000000002</v>
      </c>
      <c r="I437" s="154">
        <f>VLOOKUP($A437,'BC.116+240'!$B$13:$X$4890,15,0)/1000</f>
        <v>-1.3120000000000001</v>
      </c>
      <c r="J437" s="154">
        <f>VLOOKUP($A437,'BC.116+240'!$B$13:$X$4890,20,0)/1000</f>
        <v>2.7509999999999999</v>
      </c>
      <c r="K437" s="154">
        <f>VLOOKUP($A437,'BC.116+240'!$B$13:$X$4890,21,0)/1000</f>
        <v>-1.2490000000000001</v>
      </c>
      <c r="L437" s="152">
        <f t="shared" si="21"/>
        <v>-1369</v>
      </c>
      <c r="M437" s="153">
        <f t="shared" si="22"/>
        <v>-1232</v>
      </c>
      <c r="N437" s="152">
        <f t="shared" si="23"/>
        <v>-1219</v>
      </c>
      <c r="O437" s="152"/>
    </row>
    <row r="438" spans="1:15">
      <c r="A438" s="88">
        <f>'BC.116+240'!B437</f>
        <v>45705</v>
      </c>
      <c r="B438" s="152">
        <f t="shared" si="24"/>
        <v>424</v>
      </c>
      <c r="C438" s="154">
        <f>'BC.116+240'!M437/1000</f>
        <v>4.2160000000000002</v>
      </c>
      <c r="D438" s="154">
        <f>'BC.116+240'!AA437</f>
        <v>5.3890000000000002</v>
      </c>
      <c r="E438" s="155">
        <f>'BC.116+240'!AB437</f>
        <v>3.0619999999999998</v>
      </c>
      <c r="F438" s="154">
        <f>VLOOKUP($A438,'BC.116+240'!$B$13:$X$4890,8,0)/1000</f>
        <v>2.6680000000000001</v>
      </c>
      <c r="G438" s="154">
        <f>VLOOKUP($A438,'BC.116+240'!$B$13:$X$4890,9,0)/1000</f>
        <v>-1.3320000000000001</v>
      </c>
      <c r="H438" s="154">
        <f>VLOOKUP($A438,'BC.116+240'!$B$13:$X$4890,14,0)/1000</f>
        <v>2.6859999999999999</v>
      </c>
      <c r="I438" s="154">
        <f>VLOOKUP($A438,'BC.116+240'!$B$13:$X$4890,15,0)/1000</f>
        <v>-1.3140000000000001</v>
      </c>
      <c r="J438" s="154">
        <f>VLOOKUP($A438,'BC.116+240'!$B$13:$X$4890,20,0)/1000</f>
        <v>2.7490000000000001</v>
      </c>
      <c r="K438" s="154">
        <f>VLOOKUP($A438,'BC.116+240'!$B$13:$X$4890,21,0)/1000</f>
        <v>-1.2509999999999999</v>
      </c>
      <c r="L438" s="152">
        <f t="shared" si="21"/>
        <v>-1372</v>
      </c>
      <c r="M438" s="153">
        <f t="shared" si="22"/>
        <v>-1234</v>
      </c>
      <c r="N438" s="152">
        <f t="shared" si="23"/>
        <v>-1220.9999999999998</v>
      </c>
      <c r="O438" s="152"/>
    </row>
    <row r="439" spans="1:15">
      <c r="A439" s="88">
        <f>'BC.116+240'!B438</f>
        <v>45706</v>
      </c>
      <c r="B439" s="152">
        <f t="shared" si="24"/>
        <v>425</v>
      </c>
      <c r="C439" s="154">
        <f>'BC.116+240'!M438/1000</f>
        <v>4.2140000000000004</v>
      </c>
      <c r="D439" s="154">
        <f>'BC.116+240'!AA438</f>
        <v>5.3890000000000002</v>
      </c>
      <c r="E439" s="155">
        <f>'BC.116+240'!AB438</f>
        <v>3.0579999999999998</v>
      </c>
      <c r="F439" s="154">
        <f>VLOOKUP($A439,'BC.116+240'!$B$13:$X$4890,8,0)/1000</f>
        <v>2.6659999999999999</v>
      </c>
      <c r="G439" s="154">
        <f>VLOOKUP($A439,'BC.116+240'!$B$13:$X$4890,9,0)/1000</f>
        <v>-1.3340000000000001</v>
      </c>
      <c r="H439" s="154">
        <f>VLOOKUP($A439,'BC.116+240'!$B$13:$X$4890,14,0)/1000</f>
        <v>2.6840000000000002</v>
      </c>
      <c r="I439" s="154">
        <f>VLOOKUP($A439,'BC.116+240'!$B$13:$X$4890,15,0)/1000</f>
        <v>-1.3160000000000001</v>
      </c>
      <c r="J439" s="154">
        <f>VLOOKUP($A439,'BC.116+240'!$B$13:$X$4890,20,0)/1000</f>
        <v>2.7469999999999999</v>
      </c>
      <c r="K439" s="154">
        <f>VLOOKUP($A439,'BC.116+240'!$B$13:$X$4890,21,0)/1000</f>
        <v>-1.2529999999999999</v>
      </c>
      <c r="L439" s="152">
        <f t="shared" si="21"/>
        <v>-1374</v>
      </c>
      <c r="M439" s="153">
        <f t="shared" si="22"/>
        <v>-1236</v>
      </c>
      <c r="N439" s="152">
        <f t="shared" si="23"/>
        <v>-1222.9999999999998</v>
      </c>
      <c r="O439" s="152"/>
    </row>
    <row r="440" spans="1:15">
      <c r="A440" s="88">
        <f>'BC.116+240'!B439</f>
        <v>45707</v>
      </c>
      <c r="B440" s="152">
        <f t="shared" si="24"/>
        <v>426</v>
      </c>
      <c r="C440" s="154">
        <f>'BC.116+240'!M439/1000</f>
        <v>4.2119999999999997</v>
      </c>
      <c r="D440" s="154">
        <f>'BC.116+240'!AA439</f>
        <v>5.3890000000000002</v>
      </c>
      <c r="E440" s="155">
        <f>'BC.116+240'!AB439</f>
        <v>3.0539999999999998</v>
      </c>
      <c r="F440" s="154">
        <f>VLOOKUP($A440,'BC.116+240'!$B$13:$X$4890,8,0)/1000</f>
        <v>2.665</v>
      </c>
      <c r="G440" s="154">
        <f>VLOOKUP($A440,'BC.116+240'!$B$13:$X$4890,9,0)/1000</f>
        <v>-1.335</v>
      </c>
      <c r="H440" s="154">
        <f>VLOOKUP($A440,'BC.116+240'!$B$13:$X$4890,14,0)/1000</f>
        <v>2.6819999999999999</v>
      </c>
      <c r="I440" s="154">
        <f>VLOOKUP($A440,'BC.116+240'!$B$13:$X$4890,15,0)/1000</f>
        <v>-1.3180000000000001</v>
      </c>
      <c r="J440" s="154">
        <f>VLOOKUP($A440,'BC.116+240'!$B$13:$X$4890,20,0)/1000</f>
        <v>2.746</v>
      </c>
      <c r="K440" s="154">
        <f>VLOOKUP($A440,'BC.116+240'!$B$13:$X$4890,21,0)/1000</f>
        <v>-1.254</v>
      </c>
      <c r="L440" s="152">
        <f t="shared" si="21"/>
        <v>-1375</v>
      </c>
      <c r="M440" s="153">
        <f t="shared" si="22"/>
        <v>-1238</v>
      </c>
      <c r="N440" s="152">
        <f t="shared" si="23"/>
        <v>-1224</v>
      </c>
      <c r="O440" s="152"/>
    </row>
    <row r="441" spans="1:15">
      <c r="A441" s="88">
        <f>'BC.116+240'!B440</f>
        <v>45708</v>
      </c>
      <c r="B441" s="152">
        <f t="shared" si="24"/>
        <v>427</v>
      </c>
      <c r="C441" s="154">
        <f>'BC.116+240'!M440/1000</f>
        <v>4.21</v>
      </c>
      <c r="D441" s="154">
        <f>'BC.116+240'!AA440</f>
        <v>5.3890000000000002</v>
      </c>
      <c r="E441" s="155">
        <f>'BC.116+240'!AB440</f>
        <v>3.05</v>
      </c>
      <c r="F441" s="154">
        <f>VLOOKUP($A441,'BC.116+240'!$B$13:$X$4890,8,0)/1000</f>
        <v>2.6619999999999999</v>
      </c>
      <c r="G441" s="154">
        <f>VLOOKUP($A441,'BC.116+240'!$B$13:$X$4890,9,0)/1000</f>
        <v>-1.3380000000000001</v>
      </c>
      <c r="H441" s="154">
        <f>VLOOKUP($A441,'BC.116+240'!$B$13:$X$4890,14,0)/1000</f>
        <v>2.68</v>
      </c>
      <c r="I441" s="154">
        <f>VLOOKUP($A441,'BC.116+240'!$B$13:$X$4890,15,0)/1000</f>
        <v>-1.32</v>
      </c>
      <c r="J441" s="154">
        <f>VLOOKUP($A441,'BC.116+240'!$B$13:$X$4890,20,0)/1000</f>
        <v>2.7440000000000002</v>
      </c>
      <c r="K441" s="154">
        <f>VLOOKUP($A441,'BC.116+240'!$B$13:$X$4890,21,0)/1000</f>
        <v>-1.256</v>
      </c>
      <c r="L441" s="152">
        <f t="shared" si="21"/>
        <v>-1378</v>
      </c>
      <c r="M441" s="153">
        <f t="shared" si="22"/>
        <v>-1240</v>
      </c>
      <c r="N441" s="152">
        <f t="shared" si="23"/>
        <v>-1226</v>
      </c>
      <c r="O441" s="152"/>
    </row>
    <row r="442" spans="1:15">
      <c r="A442" s="88">
        <f>'BC.116+240'!B441</f>
        <v>45709</v>
      </c>
      <c r="B442" s="152">
        <f t="shared" si="24"/>
        <v>428</v>
      </c>
      <c r="C442" s="154">
        <f>'BC.116+240'!M441/1000</f>
        <v>4.2080000000000002</v>
      </c>
      <c r="D442" s="154">
        <f>'BC.116+240'!AA441</f>
        <v>5.3890000000000002</v>
      </c>
      <c r="E442" s="155">
        <f>'BC.116+240'!AB441</f>
        <v>3.0459999999999998</v>
      </c>
      <c r="F442" s="154">
        <f>VLOOKUP($A442,'BC.116+240'!$B$13:$X$4890,8,0)/1000</f>
        <v>2.66</v>
      </c>
      <c r="G442" s="154">
        <f>VLOOKUP($A442,'BC.116+240'!$B$13:$X$4890,9,0)/1000</f>
        <v>-1.34</v>
      </c>
      <c r="H442" s="154">
        <f>VLOOKUP($A442,'BC.116+240'!$B$13:$X$4890,14,0)/1000</f>
        <v>2.6779999999999999</v>
      </c>
      <c r="I442" s="154">
        <f>VLOOKUP($A442,'BC.116+240'!$B$13:$X$4890,15,0)/1000</f>
        <v>-1.3220000000000001</v>
      </c>
      <c r="J442" s="154">
        <f>VLOOKUP($A442,'BC.116+240'!$B$13:$X$4890,20,0)/1000</f>
        <v>2.7429999999999999</v>
      </c>
      <c r="K442" s="154">
        <f>VLOOKUP($A442,'BC.116+240'!$B$13:$X$4890,21,0)/1000</f>
        <v>-1.2569999999999999</v>
      </c>
      <c r="L442" s="152">
        <f t="shared" si="21"/>
        <v>-1380.0000000000002</v>
      </c>
      <c r="M442" s="153">
        <f t="shared" si="22"/>
        <v>-1242</v>
      </c>
      <c r="N442" s="152">
        <f t="shared" si="23"/>
        <v>-1226.9999999999998</v>
      </c>
      <c r="O442" s="152"/>
    </row>
    <row r="443" spans="1:15">
      <c r="A443" s="88">
        <f>'BC.116+240'!B442</f>
        <v>45710</v>
      </c>
      <c r="B443" s="152">
        <f t="shared" si="24"/>
        <v>429</v>
      </c>
      <c r="C443" s="154">
        <f>'BC.116+240'!M442/1000</f>
        <v>4.5030000000000001</v>
      </c>
      <c r="D443" s="154">
        <f>'BC.116+240'!AA442</f>
        <v>5.6870000000000003</v>
      </c>
      <c r="E443" s="155">
        <f>'BC.116+240'!AB442</f>
        <v>3.3359999999999999</v>
      </c>
      <c r="F443" s="154">
        <f>VLOOKUP($A443,'BC.116+240'!$B$13:$X$4890,8,0)/1000</f>
        <v>2.6589999999999998</v>
      </c>
      <c r="G443" s="154">
        <f>VLOOKUP($A443,'BC.116+240'!$B$13:$X$4890,9,0)/1000</f>
        <v>-1.341</v>
      </c>
      <c r="H443" s="154">
        <f>VLOOKUP($A443,'BC.116+240'!$B$13:$X$4890,14,0)/1000</f>
        <v>2.673</v>
      </c>
      <c r="I443" s="154">
        <f>VLOOKUP($A443,'BC.116+240'!$B$13:$X$4890,15,0)/1000</f>
        <v>-1.327</v>
      </c>
      <c r="J443" s="154">
        <f>VLOOKUP($A443,'BC.116+240'!$B$13:$X$4890,20,0)/1000</f>
        <v>2.7410000000000001</v>
      </c>
      <c r="K443" s="154">
        <f>VLOOKUP($A443,'BC.116+240'!$B$13:$X$4890,21,0)/1000</f>
        <v>-1.2589999999999999</v>
      </c>
      <c r="L443" s="152">
        <f t="shared" si="21"/>
        <v>-1381</v>
      </c>
      <c r="M443" s="153">
        <f t="shared" si="22"/>
        <v>-1247</v>
      </c>
      <c r="N443" s="152">
        <f t="shared" si="23"/>
        <v>-1228.9999999999998</v>
      </c>
      <c r="O443" s="152"/>
    </row>
    <row r="444" spans="1:15">
      <c r="A444" s="88">
        <f>'BC.116+240'!B443</f>
        <v>45711</v>
      </c>
      <c r="B444" s="152">
        <f t="shared" si="24"/>
        <v>430</v>
      </c>
      <c r="C444" s="154">
        <f>'BC.116+240'!M443/1000</f>
        <v>4.4930000000000003</v>
      </c>
      <c r="D444" s="154">
        <f>'BC.116+240'!AA443</f>
        <v>5.6870000000000003</v>
      </c>
      <c r="E444" s="155">
        <f>'BC.116+240'!AB443</f>
        <v>3.3159999999999998</v>
      </c>
      <c r="F444" s="154">
        <f>VLOOKUP($A444,'BC.116+240'!$B$13:$X$4890,8,0)/1000</f>
        <v>2.657</v>
      </c>
      <c r="G444" s="154">
        <f>VLOOKUP($A444,'BC.116+240'!$B$13:$X$4890,9,0)/1000</f>
        <v>-1.343</v>
      </c>
      <c r="H444" s="154">
        <f>VLOOKUP($A444,'BC.116+240'!$B$13:$X$4890,14,0)/1000</f>
        <v>2.6629999999999998</v>
      </c>
      <c r="I444" s="154">
        <f>VLOOKUP($A444,'BC.116+240'!$B$13:$X$4890,15,0)/1000</f>
        <v>-1.337</v>
      </c>
      <c r="J444" s="154">
        <f>VLOOKUP($A444,'BC.116+240'!$B$13:$X$4890,20,0)/1000</f>
        <v>2.7389999999999999</v>
      </c>
      <c r="K444" s="154">
        <f>VLOOKUP($A444,'BC.116+240'!$B$13:$X$4890,21,0)/1000</f>
        <v>-1.2609999999999999</v>
      </c>
      <c r="L444" s="152">
        <f t="shared" si="21"/>
        <v>-1383</v>
      </c>
      <c r="M444" s="153">
        <f t="shared" si="22"/>
        <v>-1257</v>
      </c>
      <c r="N444" s="152">
        <f t="shared" si="23"/>
        <v>-1230.9999999999998</v>
      </c>
      <c r="O444" s="152"/>
    </row>
    <row r="445" spans="1:15">
      <c r="A445" s="88">
        <f>'BC.116+240'!B444</f>
        <v>45712</v>
      </c>
      <c r="B445" s="152">
        <f t="shared" si="24"/>
        <v>431</v>
      </c>
      <c r="C445" s="154">
        <f>'BC.116+240'!M444/1000</f>
        <v>4.4829999999999997</v>
      </c>
      <c r="D445" s="154">
        <f>'BC.116+240'!AA444</f>
        <v>5.6870000000000003</v>
      </c>
      <c r="E445" s="155">
        <f>'BC.116+240'!AB444</f>
        <v>3.2959999999999998</v>
      </c>
      <c r="F445" s="154">
        <f>VLOOKUP($A445,'BC.116+240'!$B$13:$X$4890,8,0)/1000</f>
        <v>2.6549999999999998</v>
      </c>
      <c r="G445" s="154">
        <f>VLOOKUP($A445,'BC.116+240'!$B$13:$X$4890,9,0)/1000</f>
        <v>-1.345</v>
      </c>
      <c r="H445" s="154">
        <f>VLOOKUP($A445,'BC.116+240'!$B$13:$X$4890,14,0)/1000</f>
        <v>2.653</v>
      </c>
      <c r="I445" s="154">
        <f>VLOOKUP($A445,'BC.116+240'!$B$13:$X$4890,15,0)/1000</f>
        <v>-1.347</v>
      </c>
      <c r="J445" s="154">
        <f>VLOOKUP($A445,'BC.116+240'!$B$13:$X$4890,20,0)/1000</f>
        <v>2.7370000000000001</v>
      </c>
      <c r="K445" s="154">
        <f>VLOOKUP($A445,'BC.116+240'!$B$13:$X$4890,21,0)/1000</f>
        <v>-1.2629999999999999</v>
      </c>
      <c r="L445" s="152">
        <f t="shared" si="21"/>
        <v>-1385</v>
      </c>
      <c r="M445" s="153">
        <f t="shared" si="22"/>
        <v>-1267</v>
      </c>
      <c r="N445" s="152">
        <f t="shared" si="23"/>
        <v>-1232.9999999999998</v>
      </c>
      <c r="O445" s="152"/>
    </row>
    <row r="446" spans="1:15">
      <c r="A446" s="88">
        <f>'BC.116+240'!B445</f>
        <v>45713</v>
      </c>
      <c r="B446" s="152">
        <f t="shared" si="24"/>
        <v>432</v>
      </c>
      <c r="C446" s="154">
        <f>'BC.116+240'!M445/1000</f>
        <v>4.4729999999999999</v>
      </c>
      <c r="D446" s="154">
        <f>'BC.116+240'!AA445</f>
        <v>5.6870000000000003</v>
      </c>
      <c r="E446" s="155">
        <f>'BC.116+240'!AB445</f>
        <v>3.2759999999999998</v>
      </c>
      <c r="F446" s="154">
        <f>VLOOKUP($A446,'BC.116+240'!$B$13:$X$4890,8,0)/1000</f>
        <v>2.6549999999999998</v>
      </c>
      <c r="G446" s="154">
        <f>VLOOKUP($A446,'BC.116+240'!$B$13:$X$4890,9,0)/1000</f>
        <v>-1.345</v>
      </c>
      <c r="H446" s="154">
        <f>VLOOKUP($A446,'BC.116+240'!$B$13:$X$4890,14,0)/1000</f>
        <v>2.6429999999999998</v>
      </c>
      <c r="I446" s="154">
        <f>VLOOKUP($A446,'BC.116+240'!$B$13:$X$4890,15,0)/1000</f>
        <v>-1.357</v>
      </c>
      <c r="J446" s="154">
        <f>VLOOKUP($A446,'BC.116+240'!$B$13:$X$4890,20,0)/1000</f>
        <v>2.7370000000000001</v>
      </c>
      <c r="K446" s="154">
        <f>VLOOKUP($A446,'BC.116+240'!$B$13:$X$4890,21,0)/1000</f>
        <v>-1.2629999999999999</v>
      </c>
      <c r="L446" s="152">
        <f t="shared" si="21"/>
        <v>-1385</v>
      </c>
      <c r="M446" s="153">
        <f t="shared" si="22"/>
        <v>-1277</v>
      </c>
      <c r="N446" s="152">
        <f t="shared" si="23"/>
        <v>-1232.9999999999998</v>
      </c>
      <c r="O446" s="152"/>
    </row>
    <row r="447" spans="1:15">
      <c r="A447" s="88">
        <f>'BC.116+240'!B446</f>
        <v>45714</v>
      </c>
      <c r="B447" s="152">
        <f t="shared" si="24"/>
        <v>433</v>
      </c>
      <c r="C447" s="154">
        <f>'BC.116+240'!M446/1000</f>
        <v>4.4630000000000001</v>
      </c>
      <c r="D447" s="154">
        <f>'BC.116+240'!AA446</f>
        <v>5.6870000000000003</v>
      </c>
      <c r="E447" s="155">
        <f>'BC.116+240'!AB446</f>
        <v>3.2559999999999998</v>
      </c>
      <c r="F447" s="154">
        <f>VLOOKUP($A447,'BC.116+240'!$B$13:$X$4890,8,0)/1000</f>
        <v>2.6549999999999998</v>
      </c>
      <c r="G447" s="154">
        <f>VLOOKUP($A447,'BC.116+240'!$B$13:$X$4890,9,0)/1000</f>
        <v>-1.345</v>
      </c>
      <c r="H447" s="154">
        <f>VLOOKUP($A447,'BC.116+240'!$B$13:$X$4890,14,0)/1000</f>
        <v>2.633</v>
      </c>
      <c r="I447" s="154">
        <f>VLOOKUP($A447,'BC.116+240'!$B$13:$X$4890,15,0)/1000</f>
        <v>-1.367</v>
      </c>
      <c r="J447" s="154">
        <f>VLOOKUP($A447,'BC.116+240'!$B$13:$X$4890,20,0)/1000</f>
        <v>2.7370000000000001</v>
      </c>
      <c r="K447" s="154">
        <f>VLOOKUP($A447,'BC.116+240'!$B$13:$X$4890,21,0)/1000</f>
        <v>-1.2629999999999999</v>
      </c>
      <c r="L447" s="152">
        <f t="shared" si="21"/>
        <v>-1385</v>
      </c>
      <c r="M447" s="153">
        <f t="shared" si="22"/>
        <v>-1287</v>
      </c>
      <c r="N447" s="152">
        <f t="shared" si="23"/>
        <v>-1232.9999999999998</v>
      </c>
      <c r="O447" s="152"/>
    </row>
    <row r="448" spans="1:15">
      <c r="A448" s="88">
        <f>'BC.116+240'!B447</f>
        <v>45715</v>
      </c>
      <c r="B448" s="152">
        <f t="shared" si="24"/>
        <v>434</v>
      </c>
      <c r="C448" s="154">
        <f>'BC.116+240'!M447/1000</f>
        <v>4.7530000000000001</v>
      </c>
      <c r="D448" s="154">
        <f>'BC.116+240'!AA447</f>
        <v>5.9860000000000007</v>
      </c>
      <c r="E448" s="155">
        <f>'BC.116+240'!AB447</f>
        <v>3.536</v>
      </c>
      <c r="F448" s="154">
        <f>VLOOKUP($A448,'BC.116+240'!$B$13:$X$4890,8,0)/1000</f>
        <v>2.6549999999999998</v>
      </c>
      <c r="G448" s="154">
        <f>VLOOKUP($A448,'BC.116+240'!$B$13:$X$4890,9,0)/1000</f>
        <v>-1.345</v>
      </c>
      <c r="H448" s="154">
        <f>VLOOKUP($A448,'BC.116+240'!$B$13:$X$4890,14,0)/1000</f>
        <v>2.6230000000000002</v>
      </c>
      <c r="I448" s="154">
        <f>VLOOKUP($A448,'BC.116+240'!$B$13:$X$4890,15,0)/1000</f>
        <v>-1.377</v>
      </c>
      <c r="J448" s="154">
        <f>VLOOKUP($A448,'BC.116+240'!$B$13:$X$4890,20,0)/1000</f>
        <v>2.7360000000000002</v>
      </c>
      <c r="K448" s="154">
        <f>VLOOKUP($A448,'BC.116+240'!$B$13:$X$4890,21,0)/1000</f>
        <v>-1.264</v>
      </c>
      <c r="L448" s="152">
        <f t="shared" si="21"/>
        <v>-1385</v>
      </c>
      <c r="M448" s="153">
        <f t="shared" si="22"/>
        <v>-1297</v>
      </c>
      <c r="N448" s="152">
        <f t="shared" si="23"/>
        <v>-1234</v>
      </c>
      <c r="O448" s="152"/>
    </row>
    <row r="449" spans="1:18">
      <c r="A449" s="88">
        <f>'BC.116+240'!B448</f>
        <v>45716</v>
      </c>
      <c r="B449" s="152">
        <f t="shared" si="24"/>
        <v>435</v>
      </c>
      <c r="C449" s="154">
        <f>'BC.116+240'!M448/1000</f>
        <v>4.7430000000000003</v>
      </c>
      <c r="D449" s="154">
        <f>'BC.116+240'!AA448</f>
        <v>5.9860000000000007</v>
      </c>
      <c r="E449" s="155">
        <f>'BC.116+240'!AB448</f>
        <v>3.516</v>
      </c>
      <c r="F449" s="154">
        <f>VLOOKUP($A449,'BC.116+240'!$B$13:$X$4890,8,0)/1000</f>
        <v>2.6549999999999998</v>
      </c>
      <c r="G449" s="154">
        <f>VLOOKUP($A449,'BC.116+240'!$B$13:$X$4890,9,0)/1000</f>
        <v>-1.345</v>
      </c>
      <c r="H449" s="154">
        <f>VLOOKUP($A449,'BC.116+240'!$B$13:$X$4890,14,0)/1000</f>
        <v>2.613</v>
      </c>
      <c r="I449" s="154">
        <f>VLOOKUP($A449,'BC.116+240'!$B$13:$X$4890,15,0)/1000</f>
        <v>-1.387</v>
      </c>
      <c r="J449" s="154">
        <f>VLOOKUP($A449,'BC.116+240'!$B$13:$X$4890,20,0)/1000</f>
        <v>2.734</v>
      </c>
      <c r="K449" s="154">
        <f>VLOOKUP($A449,'BC.116+240'!$B$13:$X$4890,21,0)/1000</f>
        <v>-1.266</v>
      </c>
      <c r="L449" s="152">
        <f t="shared" si="21"/>
        <v>-1385</v>
      </c>
      <c r="M449" s="153">
        <f t="shared" si="22"/>
        <v>-1307</v>
      </c>
      <c r="N449" s="152">
        <f t="shared" si="23"/>
        <v>-1236</v>
      </c>
      <c r="O449" s="152"/>
      <c r="R449" s="146">
        <v>2</v>
      </c>
    </row>
    <row r="450" spans="1:18">
      <c r="A450" s="88">
        <f>'BC.116+240'!B449</f>
        <v>45717</v>
      </c>
      <c r="B450" s="152">
        <f t="shared" si="24"/>
        <v>436</v>
      </c>
      <c r="C450" s="154">
        <f>'BC.116+240'!M449/1000</f>
        <v>4.7329999999999997</v>
      </c>
      <c r="D450" s="154">
        <f>'BC.116+240'!AA449</f>
        <v>5.9860000000000007</v>
      </c>
      <c r="E450" s="155">
        <f>'BC.116+240'!AB449</f>
        <v>3.496</v>
      </c>
      <c r="F450" s="154">
        <f>VLOOKUP($A450,'BC.116+240'!$B$13:$X$4890,8,0)/1000</f>
        <v>2.6549999999999998</v>
      </c>
      <c r="G450" s="154">
        <f>VLOOKUP($A450,'BC.116+240'!$B$13:$X$4890,9,0)/1000</f>
        <v>-1.345</v>
      </c>
      <c r="H450" s="154">
        <f>VLOOKUP($A450,'BC.116+240'!$B$13:$X$4890,14,0)/1000</f>
        <v>2.6030000000000002</v>
      </c>
      <c r="I450" s="154">
        <f>VLOOKUP($A450,'BC.116+240'!$B$13:$X$4890,15,0)/1000</f>
        <v>-1.397</v>
      </c>
      <c r="J450" s="154">
        <f>VLOOKUP($A450,'BC.116+240'!$B$13:$X$4890,20,0)/1000</f>
        <v>2.7320000000000002</v>
      </c>
      <c r="K450" s="154">
        <f>VLOOKUP($A450,'BC.116+240'!$B$13:$X$4890,21,0)/1000</f>
        <v>-1.268</v>
      </c>
      <c r="L450" s="152">
        <f t="shared" si="21"/>
        <v>-1385</v>
      </c>
      <c r="M450" s="153">
        <f t="shared" si="22"/>
        <v>-1317</v>
      </c>
      <c r="N450" s="152">
        <f t="shared" si="23"/>
        <v>-1238</v>
      </c>
      <c r="O450" s="152"/>
    </row>
    <row r="451" spans="1:18">
      <c r="A451" s="88">
        <f>'BC.116+240'!B450</f>
        <v>45718</v>
      </c>
      <c r="B451" s="152">
        <f t="shared" si="24"/>
        <v>437</v>
      </c>
      <c r="C451" s="154">
        <f>'BC.116+240'!M450/1000</f>
        <v>4.7229999999999999</v>
      </c>
      <c r="D451" s="154">
        <f>'BC.116+240'!AA450</f>
        <v>5.9860000000000007</v>
      </c>
      <c r="E451" s="155">
        <f>'BC.116+240'!AB450</f>
        <v>3.476</v>
      </c>
      <c r="F451" s="154">
        <f>VLOOKUP($A451,'BC.116+240'!$B$13:$X$4890,8,0)/1000</f>
        <v>2.6549999999999998</v>
      </c>
      <c r="G451" s="154">
        <f>VLOOKUP($A451,'BC.116+240'!$B$13:$X$4890,9,0)/1000</f>
        <v>-1.345</v>
      </c>
      <c r="H451" s="154">
        <f>VLOOKUP($A451,'BC.116+240'!$B$13:$X$4890,14,0)/1000</f>
        <v>2.593</v>
      </c>
      <c r="I451" s="154">
        <f>VLOOKUP($A451,'BC.116+240'!$B$13:$X$4890,15,0)/1000</f>
        <v>-1.407</v>
      </c>
      <c r="J451" s="154">
        <f>VLOOKUP($A451,'BC.116+240'!$B$13:$X$4890,20,0)/1000</f>
        <v>2.7320000000000002</v>
      </c>
      <c r="K451" s="154">
        <f>VLOOKUP($A451,'BC.116+240'!$B$13:$X$4890,21,0)/1000</f>
        <v>-1.268</v>
      </c>
      <c r="L451" s="152">
        <f t="shared" si="21"/>
        <v>-1385</v>
      </c>
      <c r="M451" s="153">
        <f t="shared" si="22"/>
        <v>-1327</v>
      </c>
      <c r="N451" s="152">
        <f t="shared" si="23"/>
        <v>-1238</v>
      </c>
      <c r="O451" s="152"/>
    </row>
    <row r="452" spans="1:18">
      <c r="A452" s="88">
        <f>'BC.116+240'!B451</f>
        <v>45719</v>
      </c>
      <c r="B452" s="152">
        <f t="shared" si="24"/>
        <v>438</v>
      </c>
      <c r="C452" s="154">
        <f>'BC.116+240'!M451/1000</f>
        <v>4.7130000000000001</v>
      </c>
      <c r="D452" s="154">
        <f>'BC.116+240'!AA451</f>
        <v>5.9860000000000007</v>
      </c>
      <c r="E452" s="155">
        <f>'BC.116+240'!AB451</f>
        <v>3.456</v>
      </c>
      <c r="F452" s="154">
        <f>VLOOKUP($A452,'BC.116+240'!$B$13:$X$4890,8,0)/1000</f>
        <v>2.6549999999999998</v>
      </c>
      <c r="G452" s="154">
        <f>VLOOKUP($A452,'BC.116+240'!$B$13:$X$4890,9,0)/1000</f>
        <v>-1.345</v>
      </c>
      <c r="H452" s="154">
        <f>VLOOKUP($A452,'BC.116+240'!$B$13:$X$4890,14,0)/1000</f>
        <v>2.5830000000000002</v>
      </c>
      <c r="I452" s="154">
        <f>VLOOKUP($A452,'BC.116+240'!$B$13:$X$4890,15,0)/1000</f>
        <v>-1.417</v>
      </c>
      <c r="J452" s="154">
        <f>VLOOKUP($A452,'BC.116+240'!$B$13:$X$4890,20,0)/1000</f>
        <v>2.7320000000000002</v>
      </c>
      <c r="K452" s="154">
        <f>VLOOKUP($A452,'BC.116+240'!$B$13:$X$4890,21,0)/1000</f>
        <v>-1.268</v>
      </c>
      <c r="L452" s="152">
        <f t="shared" si="21"/>
        <v>-1385</v>
      </c>
      <c r="M452" s="153">
        <f t="shared" si="22"/>
        <v>-1337</v>
      </c>
      <c r="N452" s="152">
        <f t="shared" si="23"/>
        <v>-1238</v>
      </c>
      <c r="O452" s="152"/>
    </row>
    <row r="453" spans="1:18">
      <c r="A453" s="88">
        <f>'BC.116+240'!B452</f>
        <v>45720</v>
      </c>
      <c r="B453" s="152">
        <f t="shared" si="24"/>
        <v>439</v>
      </c>
      <c r="C453" s="154">
        <f>'BC.116+240'!M452/1000</f>
        <v>5.0030000000000001</v>
      </c>
      <c r="D453" s="154">
        <f>'BC.116+240'!AA452</f>
        <v>6.2840000000000007</v>
      </c>
      <c r="E453" s="155">
        <f>'BC.116+240'!AB452</f>
        <v>3.7360000000000002</v>
      </c>
      <c r="F453" s="154">
        <f>VLOOKUP($A453,'BC.116+240'!$B$13:$X$4890,8,0)/1000</f>
        <v>2.6549999999999998</v>
      </c>
      <c r="G453" s="154">
        <f>VLOOKUP($A453,'BC.116+240'!$B$13:$X$4890,9,0)/1000</f>
        <v>-1.345</v>
      </c>
      <c r="H453" s="154">
        <f>VLOOKUP($A453,'BC.116+240'!$B$13:$X$4890,14,0)/1000</f>
        <v>2.573</v>
      </c>
      <c r="I453" s="154">
        <f>VLOOKUP($A453,'BC.116+240'!$B$13:$X$4890,15,0)/1000</f>
        <v>-1.427</v>
      </c>
      <c r="J453" s="154">
        <f>VLOOKUP($A453,'BC.116+240'!$B$13:$X$4890,20,0)/1000</f>
        <v>2.73</v>
      </c>
      <c r="K453" s="154">
        <f>VLOOKUP($A453,'BC.116+240'!$B$13:$X$4890,21,0)/1000</f>
        <v>-1.27</v>
      </c>
      <c r="L453" s="152">
        <f t="shared" si="21"/>
        <v>-1385</v>
      </c>
      <c r="M453" s="153">
        <f t="shared" si="22"/>
        <v>-1347</v>
      </c>
      <c r="N453" s="152">
        <f t="shared" si="23"/>
        <v>-1240</v>
      </c>
      <c r="O453" s="152"/>
    </row>
    <row r="454" spans="1:18">
      <c r="A454" s="88">
        <f>'BC.116+240'!B453</f>
        <v>45721</v>
      </c>
      <c r="B454" s="152">
        <f t="shared" si="24"/>
        <v>440</v>
      </c>
      <c r="C454" s="154">
        <f>'BC.116+240'!M453/1000</f>
        <v>4.9930000000000003</v>
      </c>
      <c r="D454" s="154">
        <f>'BC.116+240'!AA453</f>
        <v>6.2840000000000007</v>
      </c>
      <c r="E454" s="155">
        <f>'BC.116+240'!AB453</f>
        <v>3.7160000000000002</v>
      </c>
      <c r="F454" s="154">
        <f>VLOOKUP($A454,'BC.116+240'!$B$13:$X$4890,8,0)/1000</f>
        <v>2.6520000000000001</v>
      </c>
      <c r="G454" s="154">
        <f>VLOOKUP($A454,'BC.116+240'!$B$13:$X$4890,9,0)/1000</f>
        <v>-1.3480000000000001</v>
      </c>
      <c r="H454" s="154">
        <f>VLOOKUP($A454,'BC.116+240'!$B$13:$X$4890,14,0)/1000</f>
        <v>2.5630000000000002</v>
      </c>
      <c r="I454" s="154">
        <f>VLOOKUP($A454,'BC.116+240'!$B$13:$X$4890,15,0)/1000</f>
        <v>-1.4370000000000001</v>
      </c>
      <c r="J454" s="154">
        <f>VLOOKUP($A454,'BC.116+240'!$B$13:$X$4890,20,0)/1000</f>
        <v>2.73</v>
      </c>
      <c r="K454" s="154">
        <f>VLOOKUP($A454,'BC.116+240'!$B$13:$X$4890,21,0)/1000</f>
        <v>-1.27</v>
      </c>
      <c r="L454" s="152">
        <f t="shared" si="21"/>
        <v>-1388.0000000000002</v>
      </c>
      <c r="M454" s="153">
        <f t="shared" si="22"/>
        <v>-1357</v>
      </c>
      <c r="N454" s="152">
        <f t="shared" si="23"/>
        <v>-1240</v>
      </c>
      <c r="O454" s="152"/>
    </row>
    <row r="455" spans="1:18">
      <c r="A455" s="88">
        <f>'BC.116+240'!B454</f>
        <v>45722</v>
      </c>
      <c r="B455" s="152">
        <f t="shared" si="24"/>
        <v>441</v>
      </c>
      <c r="C455" s="154">
        <f>'BC.116+240'!M454/1000</f>
        <v>4.9829999999999997</v>
      </c>
      <c r="D455" s="154">
        <f>'BC.116+240'!AA454</f>
        <v>6.2840000000000007</v>
      </c>
      <c r="E455" s="155">
        <f>'BC.116+240'!AB454</f>
        <v>3.6960000000000002</v>
      </c>
      <c r="F455" s="154">
        <f>VLOOKUP($A455,'BC.116+240'!$B$13:$X$4890,8,0)/1000</f>
        <v>2.65</v>
      </c>
      <c r="G455" s="154">
        <f>VLOOKUP($A455,'BC.116+240'!$B$13:$X$4890,9,0)/1000</f>
        <v>-1.35</v>
      </c>
      <c r="H455" s="154">
        <f>VLOOKUP($A455,'BC.116+240'!$B$13:$X$4890,14,0)/1000</f>
        <v>2.5529999999999999</v>
      </c>
      <c r="I455" s="154">
        <f>VLOOKUP($A455,'BC.116+240'!$B$13:$X$4890,15,0)/1000</f>
        <v>-1.4470000000000001</v>
      </c>
      <c r="J455" s="154">
        <f>VLOOKUP($A455,'BC.116+240'!$B$13:$X$4890,20,0)/1000</f>
        <v>2.73</v>
      </c>
      <c r="K455" s="154">
        <f>VLOOKUP($A455,'BC.116+240'!$B$13:$X$4890,21,0)/1000</f>
        <v>-1.27</v>
      </c>
      <c r="L455" s="152">
        <f t="shared" si="21"/>
        <v>-1390.0000000000002</v>
      </c>
      <c r="M455" s="153">
        <f t="shared" si="22"/>
        <v>-1367</v>
      </c>
      <c r="N455" s="152">
        <f t="shared" si="23"/>
        <v>-1240</v>
      </c>
      <c r="O455" s="152"/>
    </row>
    <row r="456" spans="1:18">
      <c r="A456" s="88">
        <f>'BC.116+240'!B455</f>
        <v>45723</v>
      </c>
      <c r="B456" s="152">
        <f t="shared" si="24"/>
        <v>442</v>
      </c>
      <c r="C456" s="154">
        <f>'BC.116+240'!M455/1000</f>
        <v>4.9729999999999999</v>
      </c>
      <c r="D456" s="154">
        <f>'BC.116+240'!AA455</f>
        <v>6.2840000000000007</v>
      </c>
      <c r="E456" s="155">
        <f>'BC.116+240'!AB455</f>
        <v>3.6760000000000002</v>
      </c>
      <c r="F456" s="154">
        <f>VLOOKUP($A456,'BC.116+240'!$B$13:$X$4890,8,0)/1000</f>
        <v>2.6469999999999998</v>
      </c>
      <c r="G456" s="154">
        <f>VLOOKUP($A456,'BC.116+240'!$B$13:$X$4890,9,0)/1000</f>
        <v>-1.353</v>
      </c>
      <c r="H456" s="154">
        <f>VLOOKUP($A456,'BC.116+240'!$B$13:$X$4890,14,0)/1000</f>
        <v>2.5430000000000001</v>
      </c>
      <c r="I456" s="154">
        <f>VLOOKUP($A456,'BC.116+240'!$B$13:$X$4890,15,0)/1000</f>
        <v>-1.4570000000000001</v>
      </c>
      <c r="J456" s="154">
        <f>VLOOKUP($A456,'BC.116+240'!$B$13:$X$4890,20,0)/1000</f>
        <v>2.7290000000000001</v>
      </c>
      <c r="K456" s="154">
        <f>VLOOKUP($A456,'BC.116+240'!$B$13:$X$4890,21,0)/1000</f>
        <v>-1.2709999999999999</v>
      </c>
      <c r="L456" s="152">
        <f t="shared" si="21"/>
        <v>-1393</v>
      </c>
      <c r="M456" s="153">
        <f t="shared" si="22"/>
        <v>-1377</v>
      </c>
      <c r="N456" s="152">
        <f t="shared" si="23"/>
        <v>-1240.9999999999998</v>
      </c>
      <c r="O456" s="152"/>
    </row>
    <row r="457" spans="1:18">
      <c r="A457" s="88">
        <f>'BC.116+240'!B456</f>
        <v>45724</v>
      </c>
      <c r="B457" s="152">
        <f t="shared" si="24"/>
        <v>443</v>
      </c>
      <c r="C457" s="154">
        <f>'BC.116+240'!M456/1000</f>
        <v>4.9630000000000001</v>
      </c>
      <c r="D457" s="154">
        <f>'BC.116+240'!AA456</f>
        <v>6.2840000000000007</v>
      </c>
      <c r="E457" s="155">
        <f>'BC.116+240'!AB456</f>
        <v>3.6560000000000001</v>
      </c>
      <c r="F457" s="154">
        <f>VLOOKUP($A457,'BC.116+240'!$B$13:$X$4890,8,0)/1000</f>
        <v>2.645</v>
      </c>
      <c r="G457" s="154">
        <f>VLOOKUP($A457,'BC.116+240'!$B$13:$X$4890,9,0)/1000</f>
        <v>-1.355</v>
      </c>
      <c r="H457" s="154">
        <f>VLOOKUP($A457,'BC.116+240'!$B$13:$X$4890,14,0)/1000</f>
        <v>2.5329999999999999</v>
      </c>
      <c r="I457" s="154">
        <f>VLOOKUP($A457,'BC.116+240'!$B$13:$X$4890,15,0)/1000</f>
        <v>-1.4670000000000001</v>
      </c>
      <c r="J457" s="154">
        <f>VLOOKUP($A457,'BC.116+240'!$B$13:$X$4890,20,0)/1000</f>
        <v>2.7269999999999999</v>
      </c>
      <c r="K457" s="154">
        <f>VLOOKUP($A457,'BC.116+240'!$B$13:$X$4890,21,0)/1000</f>
        <v>-1.2729999999999999</v>
      </c>
      <c r="L457" s="152">
        <f t="shared" si="21"/>
        <v>-1395</v>
      </c>
      <c r="M457" s="153">
        <f t="shared" si="22"/>
        <v>-1387</v>
      </c>
      <c r="N457" s="152">
        <f t="shared" si="23"/>
        <v>-1242.9999999999998</v>
      </c>
      <c r="O457" s="152"/>
    </row>
    <row r="458" spans="1:18">
      <c r="A458" s="88">
        <f>'BC.116+240'!B457</f>
        <v>45725</v>
      </c>
      <c r="B458" s="152">
        <f t="shared" si="24"/>
        <v>444</v>
      </c>
      <c r="C458" s="154">
        <f>'BC.116+240'!M457/1000</f>
        <v>5.2530000000000001</v>
      </c>
      <c r="D458" s="154">
        <f>'BC.116+240'!AA457</f>
        <v>6.5790000000000006</v>
      </c>
      <c r="E458" s="155">
        <f>'BC.116+240'!AB457</f>
        <v>3.9359999999999999</v>
      </c>
      <c r="F458" s="154">
        <f>VLOOKUP($A458,'BC.116+240'!$B$13:$X$4890,8,0)/1000</f>
        <v>2.6440000000000001</v>
      </c>
      <c r="G458" s="154">
        <f>VLOOKUP($A458,'BC.116+240'!$B$13:$X$4890,9,0)/1000</f>
        <v>-1.3560000000000001</v>
      </c>
      <c r="H458" s="154">
        <f>VLOOKUP($A458,'BC.116+240'!$B$13:$X$4890,14,0)/1000</f>
        <v>2.5230000000000001</v>
      </c>
      <c r="I458" s="154">
        <f>VLOOKUP($A458,'BC.116+240'!$B$13:$X$4890,15,0)/1000</f>
        <v>-1.4770000000000001</v>
      </c>
      <c r="J458" s="154">
        <f>VLOOKUP($A458,'BC.116+240'!$B$13:$X$4890,20,0)/1000</f>
        <v>2.722</v>
      </c>
      <c r="K458" s="154">
        <f>VLOOKUP($A458,'BC.116+240'!$B$13:$X$4890,21,0)/1000</f>
        <v>-1.278</v>
      </c>
      <c r="L458" s="152">
        <f t="shared" si="21"/>
        <v>-1396.0000000000002</v>
      </c>
      <c r="M458" s="153">
        <f t="shared" si="22"/>
        <v>-1397</v>
      </c>
      <c r="N458" s="152">
        <f t="shared" si="23"/>
        <v>-1248</v>
      </c>
      <c r="O458" s="152"/>
    </row>
    <row r="459" spans="1:18">
      <c r="A459" s="88">
        <f>'BC.116+240'!B458</f>
        <v>45726</v>
      </c>
      <c r="B459" s="152">
        <f t="shared" si="24"/>
        <v>445</v>
      </c>
      <c r="C459" s="154">
        <f>'BC.116+240'!M458/1000</f>
        <v>5.2430000000000003</v>
      </c>
      <c r="D459" s="154">
        <f>'BC.116+240'!AA458</f>
        <v>6.5790000000000006</v>
      </c>
      <c r="E459" s="155">
        <f>'BC.116+240'!AB458</f>
        <v>3.9159999999999999</v>
      </c>
      <c r="F459" s="154">
        <f>VLOOKUP($A459,'BC.116+240'!$B$13:$X$4890,8,0)/1000</f>
        <v>2.641</v>
      </c>
      <c r="G459" s="154">
        <f>VLOOKUP($A459,'BC.116+240'!$B$13:$X$4890,9,0)/1000</f>
        <v>-1.359</v>
      </c>
      <c r="H459" s="154">
        <f>VLOOKUP($A459,'BC.116+240'!$B$13:$X$4890,14,0)/1000</f>
        <v>2.5129999999999999</v>
      </c>
      <c r="I459" s="154">
        <f>VLOOKUP($A459,'BC.116+240'!$B$13:$X$4890,15,0)/1000</f>
        <v>-1.4870000000000001</v>
      </c>
      <c r="J459" s="154">
        <f>VLOOKUP($A459,'BC.116+240'!$B$13:$X$4890,20,0)/1000</f>
        <v>2.7149999999999999</v>
      </c>
      <c r="K459" s="154">
        <f>VLOOKUP($A459,'BC.116+240'!$B$13:$X$4890,21,0)/1000</f>
        <v>-1.2849999999999999</v>
      </c>
      <c r="L459" s="152">
        <f t="shared" si="21"/>
        <v>-1399</v>
      </c>
      <c r="M459" s="153">
        <f t="shared" si="22"/>
        <v>-1407</v>
      </c>
      <c r="N459" s="152">
        <f t="shared" si="23"/>
        <v>-1255</v>
      </c>
      <c r="O459" s="152"/>
    </row>
    <row r="460" spans="1:18">
      <c r="A460" s="88">
        <f>'BC.116+240'!B459</f>
        <v>45727</v>
      </c>
      <c r="B460" s="152">
        <f t="shared" si="24"/>
        <v>446</v>
      </c>
      <c r="C460" s="154">
        <f>'BC.116+240'!M459/1000</f>
        <v>5.2329999999999997</v>
      </c>
      <c r="D460" s="154">
        <f>'BC.116+240'!AA459</f>
        <v>6.5790000000000006</v>
      </c>
      <c r="E460" s="155">
        <f>'BC.116+240'!AB459</f>
        <v>3.8959999999999999</v>
      </c>
      <c r="F460" s="154">
        <f>VLOOKUP($A460,'BC.116+240'!$B$13:$X$4890,8,0)/1000</f>
        <v>2.6389999999999998</v>
      </c>
      <c r="G460" s="154">
        <f>VLOOKUP($A460,'BC.116+240'!$B$13:$X$4890,9,0)/1000</f>
        <v>-1.361</v>
      </c>
      <c r="H460" s="154">
        <f>VLOOKUP($A460,'BC.116+240'!$B$13:$X$4890,14,0)/1000</f>
        <v>2.5030000000000001</v>
      </c>
      <c r="I460" s="154">
        <f>VLOOKUP($A460,'BC.116+240'!$B$13:$X$4890,15,0)/1000</f>
        <v>-1.4970000000000001</v>
      </c>
      <c r="J460" s="154">
        <f>VLOOKUP($A460,'BC.116+240'!$B$13:$X$4890,20,0)/1000</f>
        <v>2.714</v>
      </c>
      <c r="K460" s="154">
        <f>VLOOKUP($A460,'BC.116+240'!$B$13:$X$4890,21,0)/1000</f>
        <v>-1.286</v>
      </c>
      <c r="L460" s="152">
        <f t="shared" si="21"/>
        <v>-1401</v>
      </c>
      <c r="M460" s="153">
        <f t="shared" si="22"/>
        <v>-1417</v>
      </c>
      <c r="N460" s="152">
        <f t="shared" si="23"/>
        <v>-1256</v>
      </c>
      <c r="O460" s="152"/>
    </row>
    <row r="461" spans="1:18">
      <c r="A461" s="88">
        <f>'BC.116+240'!B460</f>
        <v>45728</v>
      </c>
      <c r="B461" s="152">
        <f t="shared" si="24"/>
        <v>447</v>
      </c>
      <c r="C461" s="154">
        <f>'BC.116+240'!M460/1000</f>
        <v>5.2229999999999999</v>
      </c>
      <c r="D461" s="154">
        <f>'BC.116+240'!AA460</f>
        <v>6.5790000000000006</v>
      </c>
      <c r="E461" s="155">
        <f>'BC.116+240'!AB460</f>
        <v>3.8759999999999999</v>
      </c>
      <c r="F461" s="154">
        <f>VLOOKUP($A461,'BC.116+240'!$B$13:$X$4890,8,0)/1000</f>
        <v>2.6379999999999999</v>
      </c>
      <c r="G461" s="154">
        <f>VLOOKUP($A461,'BC.116+240'!$B$13:$X$4890,9,0)/1000</f>
        <v>-1.3620000000000001</v>
      </c>
      <c r="H461" s="154">
        <f>VLOOKUP($A461,'BC.116+240'!$B$13:$X$4890,14,0)/1000</f>
        <v>2.4929999999999999</v>
      </c>
      <c r="I461" s="154">
        <f>VLOOKUP($A461,'BC.116+240'!$B$13:$X$4890,15,0)/1000</f>
        <v>-1.5069999999999999</v>
      </c>
      <c r="J461" s="154">
        <f>VLOOKUP($A461,'BC.116+240'!$B$13:$X$4890,20,0)/1000</f>
        <v>2.7120000000000002</v>
      </c>
      <c r="K461" s="154">
        <f>VLOOKUP($A461,'BC.116+240'!$B$13:$X$4890,21,0)/1000</f>
        <v>-1.288</v>
      </c>
      <c r="L461" s="152">
        <f t="shared" si="21"/>
        <v>-1402.0000000000002</v>
      </c>
      <c r="M461" s="153">
        <f t="shared" si="22"/>
        <v>-1426.9999999999998</v>
      </c>
      <c r="N461" s="152">
        <f t="shared" si="23"/>
        <v>-1258</v>
      </c>
      <c r="O461" s="152"/>
    </row>
    <row r="462" spans="1:18">
      <c r="A462" s="88">
        <f>'BC.116+240'!B461</f>
        <v>45729</v>
      </c>
      <c r="B462" s="152">
        <f t="shared" si="24"/>
        <v>448</v>
      </c>
      <c r="C462" s="154">
        <f>'BC.116+240'!M461/1000</f>
        <v>5.2130000000000001</v>
      </c>
      <c r="D462" s="154">
        <f>'BC.116+240'!AA461</f>
        <v>6.5790000000000006</v>
      </c>
      <c r="E462" s="155">
        <f>'BC.116+240'!AB461</f>
        <v>3.8559999999999999</v>
      </c>
      <c r="F462" s="154">
        <f>VLOOKUP($A462,'BC.116+240'!$B$13:$X$4890,8,0)/1000</f>
        <v>2.6360000000000001</v>
      </c>
      <c r="G462" s="154">
        <f>VLOOKUP($A462,'BC.116+240'!$B$13:$X$4890,9,0)/1000</f>
        <v>-1.3640000000000001</v>
      </c>
      <c r="H462" s="154">
        <f>VLOOKUP($A462,'BC.116+240'!$B$13:$X$4890,14,0)/1000</f>
        <v>2.4830000000000001</v>
      </c>
      <c r="I462" s="154">
        <f>VLOOKUP($A462,'BC.116+240'!$B$13:$X$4890,15,0)/1000</f>
        <v>-1.5169999999999999</v>
      </c>
      <c r="J462" s="154">
        <f>VLOOKUP($A462,'BC.116+240'!$B$13:$X$4890,20,0)/1000</f>
        <v>2.71</v>
      </c>
      <c r="K462" s="154">
        <f>VLOOKUP($A462,'BC.116+240'!$B$13:$X$4890,21,0)/1000</f>
        <v>-1.29</v>
      </c>
      <c r="L462" s="152">
        <f t="shared" ref="L462:L482" si="25">(G462-$G$14)*1000</f>
        <v>-1404.0000000000002</v>
      </c>
      <c r="M462" s="153">
        <f t="shared" ref="M462:M482" si="26">(I462-$I$14)*1000</f>
        <v>-1436.9999999999998</v>
      </c>
      <c r="N462" s="152">
        <f t="shared" si="23"/>
        <v>-1260</v>
      </c>
      <c r="O462" s="152"/>
    </row>
    <row r="463" spans="1:18">
      <c r="A463" s="88">
        <f>'BC.116+240'!B462</f>
        <v>45730</v>
      </c>
      <c r="B463" s="152">
        <f t="shared" si="24"/>
        <v>449</v>
      </c>
      <c r="C463" s="154">
        <f>'BC.116+240'!M462/1000</f>
        <v>5.2030000000000003</v>
      </c>
      <c r="D463" s="154">
        <f>'BC.116+240'!AA462</f>
        <v>6.5790000000000006</v>
      </c>
      <c r="E463" s="155">
        <f>'BC.116+240'!AB462</f>
        <v>3.8359999999999999</v>
      </c>
      <c r="F463" s="154">
        <f>VLOOKUP($A463,'BC.116+240'!$B$13:$X$4890,8,0)/1000</f>
        <v>2.6339999999999999</v>
      </c>
      <c r="G463" s="154">
        <f>VLOOKUP($A463,'BC.116+240'!$B$13:$X$4890,9,0)/1000</f>
        <v>-1.3660000000000001</v>
      </c>
      <c r="H463" s="154">
        <f>VLOOKUP($A463,'BC.116+240'!$B$13:$X$4890,14,0)/1000</f>
        <v>2.4729999999999999</v>
      </c>
      <c r="I463" s="154">
        <f>VLOOKUP($A463,'BC.116+240'!$B$13:$X$4890,15,0)/1000</f>
        <v>-1.5269999999999999</v>
      </c>
      <c r="J463" s="154">
        <f>VLOOKUP($A463,'BC.116+240'!$B$13:$X$4890,20,0)/1000</f>
        <v>2.7080000000000002</v>
      </c>
      <c r="K463" s="154">
        <f>VLOOKUP($A463,'BC.116+240'!$B$13:$X$4890,21,0)/1000</f>
        <v>-1.292</v>
      </c>
      <c r="L463" s="152">
        <f t="shared" si="25"/>
        <v>-1406.0000000000002</v>
      </c>
      <c r="M463" s="153">
        <f t="shared" si="26"/>
        <v>-1446.9999999999998</v>
      </c>
      <c r="N463" s="152">
        <f t="shared" ref="N463:N482" si="27">(K463-$K$14)*1000</f>
        <v>-1262</v>
      </c>
      <c r="O463" s="152"/>
    </row>
    <row r="464" spans="1:18">
      <c r="A464" s="88">
        <f>'BC.116+240'!B463</f>
        <v>45731</v>
      </c>
      <c r="B464" s="152">
        <f t="shared" si="24"/>
        <v>450</v>
      </c>
      <c r="C464" s="154">
        <f>'BC.116+240'!M463/1000</f>
        <v>5.1929999999999996</v>
      </c>
      <c r="D464" s="154">
        <f>'BC.116+240'!AA463</f>
        <v>6.5790000000000006</v>
      </c>
      <c r="E464" s="155">
        <f>'BC.116+240'!AB463</f>
        <v>3.8159999999999998</v>
      </c>
      <c r="F464" s="154">
        <f>VLOOKUP($A464,'BC.116+240'!$B$13:$X$4890,8,0)/1000</f>
        <v>2.633</v>
      </c>
      <c r="G464" s="154">
        <f>VLOOKUP($A464,'BC.116+240'!$B$13:$X$4890,9,0)/1000</f>
        <v>-1.367</v>
      </c>
      <c r="H464" s="154">
        <f>VLOOKUP($A464,'BC.116+240'!$B$13:$X$4890,14,0)/1000</f>
        <v>2.4630000000000001</v>
      </c>
      <c r="I464" s="154">
        <f>VLOOKUP($A464,'BC.116+240'!$B$13:$X$4890,15,0)/1000</f>
        <v>-1.5369999999999999</v>
      </c>
      <c r="J464" s="154">
        <f>VLOOKUP($A464,'BC.116+240'!$B$13:$X$4890,20,0)/1000</f>
        <v>2.7080000000000002</v>
      </c>
      <c r="K464" s="154">
        <f>VLOOKUP($A464,'BC.116+240'!$B$13:$X$4890,21,0)/1000</f>
        <v>-1.292</v>
      </c>
      <c r="L464" s="152">
        <f t="shared" si="25"/>
        <v>-1407</v>
      </c>
      <c r="M464" s="153">
        <f t="shared" si="26"/>
        <v>-1456.9999999999998</v>
      </c>
      <c r="N464" s="152">
        <f t="shared" si="27"/>
        <v>-1262</v>
      </c>
      <c r="O464" s="152"/>
    </row>
    <row r="465" spans="1:19">
      <c r="A465" s="88">
        <f>'BC.116+240'!B464</f>
        <v>45732</v>
      </c>
      <c r="B465" s="152">
        <f t="shared" si="24"/>
        <v>451</v>
      </c>
      <c r="C465" s="154">
        <f>'BC.116+240'!M464/1000</f>
        <v>5.1829999999999998</v>
      </c>
      <c r="D465" s="154">
        <f>'BC.116+240'!AA464</f>
        <v>6.5790000000000006</v>
      </c>
      <c r="E465" s="155">
        <f>'BC.116+240'!AB464</f>
        <v>3.7959999999999998</v>
      </c>
      <c r="F465" s="154">
        <f>VLOOKUP($A465,'BC.116+240'!$B$13:$X$4890,8,0)/1000</f>
        <v>2.633</v>
      </c>
      <c r="G465" s="154">
        <f>VLOOKUP($A465,'BC.116+240'!$B$13:$X$4890,9,0)/1000</f>
        <v>-1.367</v>
      </c>
      <c r="H465" s="154">
        <f>VLOOKUP($A465,'BC.116+240'!$B$13:$X$4890,14,0)/1000</f>
        <v>2.4529999999999998</v>
      </c>
      <c r="I465" s="154">
        <f>VLOOKUP($A465,'BC.116+240'!$B$13:$X$4890,15,0)/1000</f>
        <v>-1.5469999999999999</v>
      </c>
      <c r="J465" s="154">
        <f>VLOOKUP($A465,'BC.116+240'!$B$13:$X$4890,20,0)/1000</f>
        <v>2.698</v>
      </c>
      <c r="K465" s="154">
        <f>VLOOKUP($A465,'BC.116+240'!$B$13:$X$4890,21,0)/1000</f>
        <v>-1.302</v>
      </c>
      <c r="L465" s="152">
        <f t="shared" si="25"/>
        <v>-1407</v>
      </c>
      <c r="M465" s="153">
        <f t="shared" si="26"/>
        <v>-1466.9999999999998</v>
      </c>
      <c r="N465" s="152">
        <f t="shared" si="27"/>
        <v>-1272</v>
      </c>
      <c r="O465" s="152"/>
    </row>
    <row r="466" spans="1:19">
      <c r="A466" s="88">
        <f>'BC.116+240'!B465</f>
        <v>45733</v>
      </c>
      <c r="B466" s="152">
        <f t="shared" si="24"/>
        <v>452</v>
      </c>
      <c r="C466" s="154">
        <f>'BC.116+240'!M465/1000</f>
        <v>5.173</v>
      </c>
      <c r="D466" s="154">
        <f>'BC.116+240'!AA465</f>
        <v>6.5790000000000006</v>
      </c>
      <c r="E466" s="155">
        <f>'BC.116+240'!AB465</f>
        <v>3.7759999999999998</v>
      </c>
      <c r="F466" s="154">
        <f>VLOOKUP($A466,'BC.116+240'!$B$13:$X$4890,8,0)/1000</f>
        <v>2.6309999999999998</v>
      </c>
      <c r="G466" s="154">
        <f>VLOOKUP($A466,'BC.116+240'!$B$13:$X$4890,9,0)/1000</f>
        <v>-1.369</v>
      </c>
      <c r="H466" s="154">
        <f>VLOOKUP($A466,'BC.116+240'!$B$13:$X$4890,14,0)/1000</f>
        <v>2.4430000000000001</v>
      </c>
      <c r="I466" s="154">
        <f>VLOOKUP($A466,'BC.116+240'!$B$13:$X$4890,15,0)/1000</f>
        <v>-1.5569999999999999</v>
      </c>
      <c r="J466" s="154">
        <f>VLOOKUP($A466,'BC.116+240'!$B$13:$X$4890,20,0)/1000</f>
        <v>2.6960000000000002</v>
      </c>
      <c r="K466" s="154">
        <f>VLOOKUP($A466,'BC.116+240'!$B$13:$X$4890,21,0)/1000</f>
        <v>-1.304</v>
      </c>
      <c r="L466" s="152">
        <f t="shared" si="25"/>
        <v>-1409</v>
      </c>
      <c r="M466" s="153">
        <f t="shared" si="26"/>
        <v>-1476.9999999999998</v>
      </c>
      <c r="N466" s="152">
        <f t="shared" si="27"/>
        <v>-1274</v>
      </c>
      <c r="O466" s="152"/>
    </row>
    <row r="467" spans="1:19">
      <c r="A467" s="88">
        <f>'BC.116+240'!B466</f>
        <v>45734</v>
      </c>
      <c r="B467" s="152">
        <f t="shared" si="24"/>
        <v>453</v>
      </c>
      <c r="C467" s="154">
        <f>'BC.116+240'!M466/1000</f>
        <v>5.1630000000000003</v>
      </c>
      <c r="D467" s="154">
        <f>'BC.116+240'!AA466</f>
        <v>6.5790000000000006</v>
      </c>
      <c r="E467" s="155">
        <f>'BC.116+240'!AB466</f>
        <v>3.7559999999999998</v>
      </c>
      <c r="F467" s="154">
        <f>VLOOKUP($A467,'BC.116+240'!$B$13:$X$4890,8,0)/1000</f>
        <v>2.6280000000000001</v>
      </c>
      <c r="G467" s="154">
        <f>VLOOKUP($A467,'BC.116+240'!$B$13:$X$4890,9,0)/1000</f>
        <v>-1.3720000000000001</v>
      </c>
      <c r="H467" s="154">
        <f>VLOOKUP($A467,'BC.116+240'!$B$13:$X$4890,14,0)/1000</f>
        <v>2.4329999999999998</v>
      </c>
      <c r="I467" s="154">
        <f>VLOOKUP($A467,'BC.116+240'!$B$13:$X$4890,15,0)/1000</f>
        <v>-1.5669999999999999</v>
      </c>
      <c r="J467" s="154">
        <f>VLOOKUP($A467,'BC.116+240'!$B$13:$X$4890,20,0)/1000</f>
        <v>2.6960000000000002</v>
      </c>
      <c r="K467" s="154">
        <f>VLOOKUP($A467,'BC.116+240'!$B$13:$X$4890,21,0)/1000</f>
        <v>-1.304</v>
      </c>
      <c r="L467" s="152">
        <f t="shared" si="25"/>
        <v>-1412.0000000000002</v>
      </c>
      <c r="M467" s="153">
        <f t="shared" si="26"/>
        <v>-1486.9999999999998</v>
      </c>
      <c r="N467" s="152">
        <f t="shared" si="27"/>
        <v>-1274</v>
      </c>
      <c r="O467" s="152"/>
      <c r="R467" s="146">
        <v>2</v>
      </c>
    </row>
    <row r="468" spans="1:19">
      <c r="A468" s="88">
        <f>'BC.116+240'!B467</f>
        <v>45735</v>
      </c>
      <c r="B468" s="152">
        <f t="shared" si="24"/>
        <v>454</v>
      </c>
      <c r="C468" s="154">
        <f>'BC.116+240'!M467/1000</f>
        <v>5.1529999999999996</v>
      </c>
      <c r="D468" s="154">
        <f>'BC.116+240'!AA467</f>
        <v>6.5790000000000006</v>
      </c>
      <c r="E468" s="155">
        <f>'BC.116+240'!AB467</f>
        <v>3.7360000000000002</v>
      </c>
      <c r="F468" s="154">
        <f>VLOOKUP($A468,'BC.116+240'!$B$13:$X$4890,8,0)/1000</f>
        <v>2.5129999999999999</v>
      </c>
      <c r="G468" s="154">
        <f>VLOOKUP($A468,'BC.116+240'!$B$13:$X$4890,9,0)/1000</f>
        <v>-1.4870000000000001</v>
      </c>
      <c r="H468" s="154">
        <f>VLOOKUP($A468,'BC.116+240'!$B$13:$X$4890,14,0)/1000</f>
        <v>2.423</v>
      </c>
      <c r="I468" s="154">
        <f>VLOOKUP($A468,'BC.116+240'!$B$13:$X$4890,15,0)/1000</f>
        <v>-1.577</v>
      </c>
      <c r="J468" s="154">
        <f>VLOOKUP($A468,'BC.116+240'!$B$13:$X$4890,20,0)/1000</f>
        <v>2.6949999999999998</v>
      </c>
      <c r="K468" s="154">
        <f>VLOOKUP($A468,'BC.116+240'!$B$13:$X$4890,21,0)/1000</f>
        <v>-1.3049999999999999</v>
      </c>
      <c r="L468" s="152">
        <f t="shared" si="25"/>
        <v>-1527.0000000000002</v>
      </c>
      <c r="M468" s="153">
        <f t="shared" si="26"/>
        <v>-1497</v>
      </c>
      <c r="N468" s="152">
        <f t="shared" si="27"/>
        <v>-1275</v>
      </c>
      <c r="O468" s="152"/>
    </row>
    <row r="469" spans="1:19">
      <c r="A469" s="88">
        <f>'BC.116+240'!B468</f>
        <v>45736</v>
      </c>
      <c r="B469" s="152">
        <f t="shared" si="24"/>
        <v>455</v>
      </c>
      <c r="C469" s="154">
        <f>'BC.116+240'!M468/1000</f>
        <v>5.1440000000000001</v>
      </c>
      <c r="D469" s="154">
        <f>'BC.116+240'!AA468</f>
        <v>6.5790000000000006</v>
      </c>
      <c r="E469" s="155">
        <f>'BC.116+240'!AB468</f>
        <v>3.718</v>
      </c>
      <c r="F469" s="154">
        <f>VLOOKUP($A469,'BC.116+240'!$B$13:$X$4890,8,0)/1000</f>
        <v>2.5110000000000001</v>
      </c>
      <c r="G469" s="154">
        <f>VLOOKUP($A469,'BC.116+240'!$B$13:$X$4890,9,0)/1000</f>
        <v>-1.4890000000000001</v>
      </c>
      <c r="H469" s="154">
        <f>VLOOKUP($A469,'BC.116+240'!$B$13:$X$4890,14,0)/1000</f>
        <v>2.4140000000000001</v>
      </c>
      <c r="I469" s="154">
        <f>VLOOKUP($A469,'BC.116+240'!$B$13:$X$4890,15,0)/1000</f>
        <v>-1.5860000000000001</v>
      </c>
      <c r="J469" s="154">
        <f>VLOOKUP($A469,'BC.116+240'!$B$13:$X$4890,20,0)/1000</f>
        <v>2.6930000000000001</v>
      </c>
      <c r="K469" s="154">
        <f>VLOOKUP($A469,'BC.116+240'!$B$13:$X$4890,21,0)/1000</f>
        <v>-1.3069999999999999</v>
      </c>
      <c r="L469" s="152">
        <f t="shared" si="25"/>
        <v>-1529.0000000000002</v>
      </c>
      <c r="M469" s="153">
        <f t="shared" si="26"/>
        <v>-1506</v>
      </c>
      <c r="N469" s="152">
        <f t="shared" si="27"/>
        <v>-1277</v>
      </c>
      <c r="O469" s="152"/>
    </row>
    <row r="470" spans="1:19" ht="15.75">
      <c r="A470" s="160">
        <f>'BC.116+240'!B469</f>
        <v>45737</v>
      </c>
      <c r="B470" s="156">
        <f t="shared" si="24"/>
        <v>456</v>
      </c>
      <c r="C470" s="158">
        <f>'BC.116+240'!M469/1000</f>
        <v>5.4340000000000002</v>
      </c>
      <c r="D470" s="158">
        <f>'BC.116+240'!AA469</f>
        <v>6.8770000000000007</v>
      </c>
      <c r="E470" s="159">
        <f>'BC.116+240'!AB469</f>
        <v>3.9980000000000002</v>
      </c>
      <c r="F470" s="158">
        <f>VLOOKUP($A470,'BC.116+240'!$B$13:$X$4890,8,0)/1000</f>
        <v>2.5099999999999998</v>
      </c>
      <c r="G470" s="158">
        <f>VLOOKUP($A470,'BC.116+240'!$B$13:$X$4890,9,0)/1000</f>
        <v>-1.49</v>
      </c>
      <c r="H470" s="158">
        <f>VLOOKUP($A470,'BC.116+240'!$B$13:$X$4890,14,0)/1000</f>
        <v>2.4039999999999999</v>
      </c>
      <c r="I470" s="158">
        <f>VLOOKUP($A470,'BC.116+240'!$B$13:$X$4890,15,0)/1000</f>
        <v>-1.5960000000000001</v>
      </c>
      <c r="J470" s="158">
        <f>VLOOKUP($A470,'BC.116+240'!$B$13:$X$4890,20,0)/1000</f>
        <v>2.6909999999999998</v>
      </c>
      <c r="K470" s="158">
        <f>VLOOKUP($A470,'BC.116+240'!$B$13:$X$4890,21,0)/1000</f>
        <v>-1.3089999999999999</v>
      </c>
      <c r="L470" s="156">
        <f t="shared" si="25"/>
        <v>-1530</v>
      </c>
      <c r="M470" s="157">
        <f t="shared" si="26"/>
        <v>-1516</v>
      </c>
      <c r="N470" s="156">
        <f t="shared" si="27"/>
        <v>-1279</v>
      </c>
      <c r="O470" s="20" t="s">
        <v>0</v>
      </c>
      <c r="P470" s="146">
        <f>C470-M470/1000</f>
        <v>6.95</v>
      </c>
    </row>
    <row r="471" spans="1:19">
      <c r="A471" s="88">
        <f>'BC.116+240'!B470</f>
        <v>45740</v>
      </c>
      <c r="B471" s="152">
        <f t="shared" si="24"/>
        <v>457</v>
      </c>
      <c r="C471" s="154">
        <f>'BC.116+240'!M470/1000</f>
        <v>5.4039999999999999</v>
      </c>
      <c r="D471" s="154">
        <f>'BC.116+240'!AA470</f>
        <v>6.8770000000000007</v>
      </c>
      <c r="E471" s="155">
        <f>'BC.116+240'!AB470</f>
        <v>3.9380000000000002</v>
      </c>
      <c r="F471" s="154">
        <f>VLOOKUP($A471,'BC.116+240'!$B$13:$X$4890,8,0)/1000</f>
        <v>2.4900000000000002</v>
      </c>
      <c r="G471" s="154">
        <f>VLOOKUP($A471,'BC.116+240'!$B$13:$X$4890,9,0)/1000</f>
        <v>-1.51</v>
      </c>
      <c r="H471" s="154">
        <f>VLOOKUP($A471,'BC.116+240'!$B$13:$X$4890,14,0)/1000</f>
        <v>2.3740000000000001</v>
      </c>
      <c r="I471" s="154">
        <f>VLOOKUP($A471,'BC.116+240'!$B$13:$X$4890,15,0)/1000</f>
        <v>-1.6259999999999999</v>
      </c>
      <c r="J471" s="154">
        <f>VLOOKUP($A471,'BC.116+240'!$B$13:$X$4890,20,0)/1000</f>
        <v>2.6659999999999999</v>
      </c>
      <c r="K471" s="154">
        <f>VLOOKUP($A471,'BC.116+240'!$B$13:$X$4890,21,0)/1000</f>
        <v>-1.3340000000000001</v>
      </c>
      <c r="L471" s="152">
        <f t="shared" si="25"/>
        <v>-1550</v>
      </c>
      <c r="M471" s="153">
        <f t="shared" si="26"/>
        <v>-1545.9999999999998</v>
      </c>
      <c r="N471" s="152">
        <f t="shared" si="27"/>
        <v>-1304</v>
      </c>
      <c r="O471" s="152"/>
      <c r="R471" s="146">
        <v>3</v>
      </c>
    </row>
    <row r="472" spans="1:19">
      <c r="A472" s="88">
        <f>'BC.116+240'!B471</f>
        <v>45744</v>
      </c>
      <c r="B472" s="152">
        <f t="shared" si="24"/>
        <v>458</v>
      </c>
      <c r="C472" s="154">
        <f>'BC.116+240'!M471/1000</f>
        <v>5.3639999999999999</v>
      </c>
      <c r="D472" s="154">
        <f>'BC.116+240'!AA471</f>
        <v>6.8770000000000007</v>
      </c>
      <c r="E472" s="155">
        <f>'BC.116+240'!AB471</f>
        <v>3.8580000000000001</v>
      </c>
      <c r="F472" s="154">
        <f>VLOOKUP($A472,'BC.116+240'!$B$13:$X$4890,8,0)/1000</f>
        <v>2.4630000000000001</v>
      </c>
      <c r="G472" s="154">
        <f>VLOOKUP($A472,'BC.116+240'!$B$13:$X$4890,9,0)/1000</f>
        <v>-1.5369999999999999</v>
      </c>
      <c r="H472" s="154">
        <f>VLOOKUP($A472,'BC.116+240'!$B$13:$X$4890,14,0)/1000</f>
        <v>2.3340000000000001</v>
      </c>
      <c r="I472" s="154">
        <f>VLOOKUP($A472,'BC.116+240'!$B$13:$X$4890,15,0)/1000</f>
        <v>-1.6659999999999999</v>
      </c>
      <c r="J472" s="154">
        <f>VLOOKUP($A472,'BC.116+240'!$B$13:$X$4890,20,0)/1000</f>
        <v>2.6309999999999998</v>
      </c>
      <c r="K472" s="154">
        <f>VLOOKUP($A472,'BC.116+240'!$B$13:$X$4890,21,0)/1000</f>
        <v>-1.369</v>
      </c>
      <c r="L472" s="152">
        <f t="shared" si="25"/>
        <v>-1577</v>
      </c>
      <c r="M472" s="153">
        <f t="shared" si="26"/>
        <v>-1585.9999999999998</v>
      </c>
      <c r="N472" s="152">
        <f t="shared" si="27"/>
        <v>-1339</v>
      </c>
      <c r="O472" s="152"/>
      <c r="R472" s="146">
        <v>2</v>
      </c>
    </row>
    <row r="473" spans="1:19">
      <c r="A473" s="88">
        <f>'BC.116+240'!B472</f>
        <v>45747</v>
      </c>
      <c r="B473" s="152">
        <f t="shared" si="24"/>
        <v>459</v>
      </c>
      <c r="C473" s="154">
        <f>'BC.116+240'!M472/1000</f>
        <v>5.3360000000000003</v>
      </c>
      <c r="D473" s="154">
        <f>'BC.116+240'!AA472</f>
        <v>6.8770000000000007</v>
      </c>
      <c r="E473" s="155">
        <f>'BC.116+240'!AB472</f>
        <v>3.802</v>
      </c>
      <c r="F473" s="154">
        <f>VLOOKUP($A473,'BC.116+240'!$B$13:$X$4890,8,0)/1000</f>
        <v>2.4470000000000001</v>
      </c>
      <c r="G473" s="154">
        <f>VLOOKUP($A473,'BC.116+240'!$B$13:$X$4890,9,0)/1000</f>
        <v>-1.5529999999999999</v>
      </c>
      <c r="H473" s="154">
        <f>VLOOKUP($A473,'BC.116+240'!$B$13:$X$4890,14,0)/1000</f>
        <v>2.306</v>
      </c>
      <c r="I473" s="154">
        <f>VLOOKUP($A473,'BC.116+240'!$B$13:$X$4890,15,0)/1000</f>
        <v>-1.694</v>
      </c>
      <c r="J473" s="154">
        <f>VLOOKUP($A473,'BC.116+240'!$B$13:$X$4890,20,0)/1000</f>
        <v>2.609</v>
      </c>
      <c r="K473" s="154">
        <f>VLOOKUP($A473,'BC.116+240'!$B$13:$X$4890,21,0)/1000</f>
        <v>-1.391</v>
      </c>
      <c r="L473" s="152">
        <f t="shared" si="25"/>
        <v>-1593</v>
      </c>
      <c r="M473" s="153">
        <f t="shared" si="26"/>
        <v>-1613.9999999999998</v>
      </c>
      <c r="N473" s="152">
        <f t="shared" si="27"/>
        <v>-1361</v>
      </c>
      <c r="O473" s="152"/>
    </row>
    <row r="474" spans="1:19">
      <c r="A474" s="88">
        <f>'BC.116+240'!B473</f>
        <v>45751</v>
      </c>
      <c r="B474" s="152">
        <f t="shared" si="24"/>
        <v>460</v>
      </c>
      <c r="C474" s="154">
        <f>'BC.116+240'!M473/1000</f>
        <v>5.2969999999999997</v>
      </c>
      <c r="D474" s="154">
        <f>'BC.116+240'!AA473</f>
        <v>6.8770000000000007</v>
      </c>
      <c r="E474" s="155">
        <f>'BC.116+240'!AB473</f>
        <v>3.7240000000000002</v>
      </c>
      <c r="F474" s="154">
        <f>VLOOKUP($A474,'BC.116+240'!$B$13:$X$4890,8,0)/1000</f>
        <v>2.4220000000000002</v>
      </c>
      <c r="G474" s="154">
        <f>VLOOKUP($A474,'BC.116+240'!$B$13:$X$4890,9,0)/1000</f>
        <v>-1.5780000000000001</v>
      </c>
      <c r="H474" s="154">
        <f>VLOOKUP($A474,'BC.116+240'!$B$13:$X$4890,14,0)/1000</f>
        <v>2.2669999999999999</v>
      </c>
      <c r="I474" s="154">
        <f>VLOOKUP($A474,'BC.116+240'!$B$13:$X$4890,15,0)/1000</f>
        <v>-1.7330000000000001</v>
      </c>
      <c r="J474" s="154">
        <f>VLOOKUP($A474,'BC.116+240'!$B$13:$X$4890,20,0)/1000</f>
        <v>2.5790000000000002</v>
      </c>
      <c r="K474" s="154">
        <f>VLOOKUP($A474,'BC.116+240'!$B$13:$X$4890,21,0)/1000</f>
        <v>-1.421</v>
      </c>
      <c r="L474" s="152">
        <f t="shared" si="25"/>
        <v>-1618</v>
      </c>
      <c r="M474" s="153">
        <f t="shared" si="26"/>
        <v>-1653</v>
      </c>
      <c r="N474" s="152">
        <f t="shared" si="27"/>
        <v>-1391</v>
      </c>
      <c r="O474" s="152"/>
    </row>
    <row r="475" spans="1:19">
      <c r="A475" s="88">
        <f>'BC.116+240'!B474</f>
        <v>45754</v>
      </c>
      <c r="B475" s="152">
        <f t="shared" si="24"/>
        <v>461</v>
      </c>
      <c r="C475" s="154">
        <f>'BC.116+240'!M474/1000</f>
        <v>5.2679999999999998</v>
      </c>
      <c r="D475" s="154">
        <f>'BC.116+240'!AA474</f>
        <v>6.8770000000000007</v>
      </c>
      <c r="E475" s="155">
        <f>'BC.116+240'!AB474</f>
        <v>3.6659999999999999</v>
      </c>
      <c r="F475" s="154">
        <f>VLOOKUP($A475,'BC.116+240'!$B$13:$X$4890,8,0)/1000</f>
        <v>2.407</v>
      </c>
      <c r="G475" s="154">
        <f>VLOOKUP($A475,'BC.116+240'!$B$13:$X$4890,9,0)/1000</f>
        <v>-1.593</v>
      </c>
      <c r="H475" s="154">
        <f>VLOOKUP($A475,'BC.116+240'!$B$13:$X$4890,14,0)/1000</f>
        <v>2.238</v>
      </c>
      <c r="I475" s="154">
        <f>VLOOKUP($A475,'BC.116+240'!$B$13:$X$4890,15,0)/1000</f>
        <v>-1.762</v>
      </c>
      <c r="J475" s="154">
        <f>VLOOKUP($A475,'BC.116+240'!$B$13:$X$4890,20,0)/1000</f>
        <v>2.5590000000000002</v>
      </c>
      <c r="K475" s="154">
        <f>VLOOKUP($A475,'BC.116+240'!$B$13:$X$4890,21,0)/1000</f>
        <v>-1.4410000000000001</v>
      </c>
      <c r="L475" s="152">
        <f t="shared" si="25"/>
        <v>-1633</v>
      </c>
      <c r="M475" s="153">
        <f t="shared" si="26"/>
        <v>-1682</v>
      </c>
      <c r="N475" s="152">
        <f t="shared" si="27"/>
        <v>-1411</v>
      </c>
      <c r="O475" s="152"/>
      <c r="R475" s="146">
        <v>1</v>
      </c>
    </row>
    <row r="476" spans="1:19">
      <c r="A476" s="88">
        <f>'BC.116+240'!B475</f>
        <v>45758</v>
      </c>
      <c r="B476" s="152">
        <f t="shared" si="24"/>
        <v>462</v>
      </c>
      <c r="C476" s="154">
        <f>'BC.116+240'!M475/1000</f>
        <v>5.2320000000000002</v>
      </c>
      <c r="D476" s="154">
        <f>'BC.116+240'!AA475</f>
        <v>6.8770000000000007</v>
      </c>
      <c r="E476" s="155">
        <f>'BC.116+240'!AB475</f>
        <v>3.5939999999999999</v>
      </c>
      <c r="F476" s="154">
        <f>VLOOKUP($A476,'BC.116+240'!$B$13:$X$4890,8,0)/1000</f>
        <v>2.383</v>
      </c>
      <c r="G476" s="154">
        <f>VLOOKUP($A476,'BC.116+240'!$B$13:$X$4890,9,0)/1000</f>
        <v>-1.617</v>
      </c>
      <c r="H476" s="154">
        <f>VLOOKUP($A476,'BC.116+240'!$B$13:$X$4890,14,0)/1000</f>
        <v>2.202</v>
      </c>
      <c r="I476" s="154">
        <f>VLOOKUP($A476,'BC.116+240'!$B$13:$X$4890,15,0)/1000</f>
        <v>-1.798</v>
      </c>
      <c r="J476" s="154">
        <f>VLOOKUP($A476,'BC.116+240'!$B$13:$X$4890,20,0)/1000</f>
        <v>2.5310000000000001</v>
      </c>
      <c r="K476" s="154">
        <f>VLOOKUP($A476,'BC.116+240'!$B$13:$X$4890,21,0)/1000</f>
        <v>-1.4690000000000001</v>
      </c>
      <c r="L476" s="152">
        <f t="shared" si="25"/>
        <v>-1657</v>
      </c>
      <c r="M476" s="153">
        <f t="shared" si="26"/>
        <v>-1718</v>
      </c>
      <c r="N476" s="152">
        <f t="shared" si="27"/>
        <v>-1439</v>
      </c>
      <c r="O476" s="152"/>
    </row>
    <row r="477" spans="1:19">
      <c r="A477" s="88">
        <f>'BC.116+240'!B476</f>
        <v>45761</v>
      </c>
      <c r="B477" s="152">
        <f t="shared" si="24"/>
        <v>463</v>
      </c>
      <c r="C477" s="154">
        <f>'BC.116+240'!M476/1000</f>
        <v>5.2039999999999997</v>
      </c>
      <c r="D477" s="154">
        <f>'BC.116+240'!AA476</f>
        <v>6.8770000000000007</v>
      </c>
      <c r="E477" s="155">
        <f>'BC.116+240'!AB476</f>
        <v>3.5379999999999998</v>
      </c>
      <c r="F477" s="154">
        <f>VLOOKUP($A477,'BC.116+240'!$B$13:$X$4890,8,0)/1000</f>
        <v>2.37</v>
      </c>
      <c r="G477" s="154">
        <f>VLOOKUP($A477,'BC.116+240'!$B$13:$X$4890,9,0)/1000</f>
        <v>-1.63</v>
      </c>
      <c r="H477" s="154">
        <f>VLOOKUP($A477,'BC.116+240'!$B$13:$X$4890,14,0)/1000</f>
        <v>2.1739999999999999</v>
      </c>
      <c r="I477" s="154">
        <f>VLOOKUP($A477,'BC.116+240'!$B$13:$X$4890,15,0)/1000</f>
        <v>-1.8260000000000001</v>
      </c>
      <c r="J477" s="154">
        <f>VLOOKUP($A477,'BC.116+240'!$B$13:$X$4890,20,0)/1000</f>
        <v>2.5150000000000001</v>
      </c>
      <c r="K477" s="154">
        <f>VLOOKUP($A477,'BC.116+240'!$B$13:$X$4890,21,0)/1000</f>
        <v>-1.4850000000000001</v>
      </c>
      <c r="L477" s="152">
        <f t="shared" si="25"/>
        <v>-1670</v>
      </c>
      <c r="M477" s="153">
        <f t="shared" si="26"/>
        <v>-1746</v>
      </c>
      <c r="N477" s="152">
        <f t="shared" si="27"/>
        <v>-1455</v>
      </c>
      <c r="O477" s="152"/>
      <c r="S477" s="146">
        <v>0</v>
      </c>
    </row>
    <row r="478" spans="1:19">
      <c r="A478" s="88">
        <f>'BC.116+240'!B477</f>
        <v>45765</v>
      </c>
      <c r="B478" s="152">
        <f t="shared" si="24"/>
        <v>464</v>
      </c>
      <c r="C478" s="154">
        <f>'BC.116+240'!M477/1000</f>
        <v>5.1689999999999996</v>
      </c>
      <c r="D478" s="154">
        <f>'BC.116+240'!AA477</f>
        <v>6.8770000000000007</v>
      </c>
      <c r="E478" s="155">
        <f>'BC.116+240'!AB477</f>
        <v>3.468</v>
      </c>
      <c r="F478" s="154">
        <f>VLOOKUP($A478,'BC.116+240'!$B$13:$X$4890,8,0)/1000</f>
        <v>2.3479999999999999</v>
      </c>
      <c r="G478" s="154">
        <f>VLOOKUP($A478,'BC.116+240'!$B$13:$X$4890,9,0)/1000</f>
        <v>-1.6519999999999999</v>
      </c>
      <c r="H478" s="154">
        <f>VLOOKUP($A478,'BC.116+240'!$B$13:$X$4890,14,0)/1000</f>
        <v>2.1389999999999998</v>
      </c>
      <c r="I478" s="154">
        <f>VLOOKUP($A478,'BC.116+240'!$B$13:$X$4890,15,0)/1000</f>
        <v>-1.861</v>
      </c>
      <c r="J478" s="154">
        <f>VLOOKUP($A478,'BC.116+240'!$B$13:$X$4890,20,0)/1000</f>
        <v>2.4900000000000002</v>
      </c>
      <c r="K478" s="154">
        <f>VLOOKUP($A478,'BC.116+240'!$B$13:$X$4890,21,0)/1000</f>
        <v>-1.51</v>
      </c>
      <c r="L478" s="152">
        <f t="shared" si="25"/>
        <v>-1692</v>
      </c>
      <c r="M478" s="153">
        <f t="shared" si="26"/>
        <v>-1781</v>
      </c>
      <c r="N478" s="152">
        <f t="shared" si="27"/>
        <v>-1480</v>
      </c>
      <c r="O478" s="152"/>
      <c r="R478" s="146">
        <v>1</v>
      </c>
    </row>
    <row r="479" spans="1:19">
      <c r="A479" s="88">
        <f>'BC.116+240'!B478</f>
        <v>45772</v>
      </c>
      <c r="B479" s="152">
        <f t="shared" si="24"/>
        <v>465</v>
      </c>
      <c r="C479" s="154">
        <f>'BC.116+240'!M478/1000</f>
        <v>5.1289999999999996</v>
      </c>
      <c r="D479" s="154">
        <f>'BC.116+240'!AA478</f>
        <v>6.8770000000000007</v>
      </c>
      <c r="E479" s="155">
        <f>'BC.116+240'!AB478</f>
        <v>3.3879999999999999</v>
      </c>
      <c r="F479" s="154">
        <f>VLOOKUP($A479,'BC.116+240'!$B$13:$X$4890,8,0)/1000</f>
        <v>2.3210000000000002</v>
      </c>
      <c r="G479" s="154">
        <f>VLOOKUP($A479,'BC.116+240'!$B$13:$X$4890,9,0)/1000</f>
        <v>-1.679</v>
      </c>
      <c r="H479" s="154">
        <f>VLOOKUP($A479,'BC.116+240'!$B$13:$X$4890,14,0)/1000</f>
        <v>2.0990000000000002</v>
      </c>
      <c r="I479" s="154">
        <f>VLOOKUP($A479,'BC.116+240'!$B$13:$X$4890,15,0)/1000</f>
        <v>-1.901</v>
      </c>
      <c r="J479" s="154">
        <f>VLOOKUP($A479,'BC.116+240'!$B$13:$X$4890,20,0)/1000</f>
        <v>2.4550000000000001</v>
      </c>
      <c r="K479" s="154">
        <f>VLOOKUP($A479,'BC.116+240'!$B$13:$X$4890,21,0)/1000</f>
        <v>-1.5449999999999999</v>
      </c>
      <c r="L479" s="152">
        <f t="shared" si="25"/>
        <v>-1719</v>
      </c>
      <c r="M479" s="153">
        <f t="shared" si="26"/>
        <v>-1821</v>
      </c>
      <c r="N479" s="152">
        <f t="shared" si="27"/>
        <v>-1515</v>
      </c>
      <c r="O479" s="152"/>
    </row>
    <row r="480" spans="1:19">
      <c r="A480" s="88">
        <f>'BC.116+240'!B479</f>
        <v>45779</v>
      </c>
      <c r="B480" s="152">
        <f t="shared" si="24"/>
        <v>466</v>
      </c>
      <c r="C480" s="154">
        <f>'BC.116+240'!M479/1000</f>
        <v>5.0910000000000002</v>
      </c>
      <c r="D480" s="154">
        <f>'BC.116+240'!AA479</f>
        <v>6.8770000000000007</v>
      </c>
      <c r="E480" s="155">
        <f>'BC.116+240'!AB479</f>
        <v>3.3119999999999998</v>
      </c>
      <c r="F480" s="154">
        <f>VLOOKUP($A480,'BC.116+240'!$B$13:$X$4890,8,0)/1000</f>
        <v>2.3010000000000002</v>
      </c>
      <c r="G480" s="154">
        <f>VLOOKUP($A480,'BC.116+240'!$B$13:$X$4890,9,0)/1000</f>
        <v>-1.6990000000000001</v>
      </c>
      <c r="H480" s="154">
        <f>VLOOKUP($A480,'BC.116+240'!$B$13:$X$4890,14,0)/1000</f>
        <v>2.0609999999999999</v>
      </c>
      <c r="I480" s="154">
        <f>VLOOKUP($A480,'BC.116+240'!$B$13:$X$4890,15,0)/1000</f>
        <v>-1.9390000000000001</v>
      </c>
      <c r="J480" s="154">
        <f>VLOOKUP($A480,'BC.116+240'!$B$13:$X$4890,20,0)/1000</f>
        <v>2.42</v>
      </c>
      <c r="K480" s="154">
        <f>VLOOKUP($A480,'BC.116+240'!$B$13:$X$4890,21,0)/1000</f>
        <v>-1.58</v>
      </c>
      <c r="L480" s="152">
        <f t="shared" si="25"/>
        <v>-1739</v>
      </c>
      <c r="M480" s="153">
        <f t="shared" si="26"/>
        <v>-1859</v>
      </c>
      <c r="N480" s="152">
        <f t="shared" si="27"/>
        <v>-1550</v>
      </c>
      <c r="O480" s="152"/>
    </row>
    <row r="481" spans="1:15">
      <c r="A481" s="88">
        <f>'BC.116+240'!B480</f>
        <v>45786</v>
      </c>
      <c r="B481" s="152">
        <f t="shared" si="24"/>
        <v>467</v>
      </c>
      <c r="C481" s="154">
        <f>'BC.116+240'!M480/1000</f>
        <v>5.0549999999999997</v>
      </c>
      <c r="D481" s="154">
        <f>'BC.116+240'!AA480</f>
        <v>6.8770000000000007</v>
      </c>
      <c r="E481" s="155">
        <f>'BC.116+240'!AB480</f>
        <v>3.24</v>
      </c>
      <c r="F481" s="154">
        <f>VLOOKUP($A481,'BC.116+240'!$B$13:$X$4890,8,0)/1000</f>
        <v>2.2829999999999999</v>
      </c>
      <c r="G481" s="154">
        <f>VLOOKUP($A481,'BC.116+240'!$B$13:$X$4890,9,0)/1000</f>
        <v>-1.7170000000000001</v>
      </c>
      <c r="H481" s="154">
        <f>VLOOKUP($A481,'BC.116+240'!$B$13:$X$4890,14,0)/1000</f>
        <v>2.0249999999999999</v>
      </c>
      <c r="I481" s="154">
        <f>VLOOKUP($A481,'BC.116+240'!$B$13:$X$4890,15,0)/1000</f>
        <v>-1.9750000000000001</v>
      </c>
      <c r="J481" s="154">
        <f>VLOOKUP($A481,'BC.116+240'!$B$13:$X$4890,20,0)/1000</f>
        <v>2.39</v>
      </c>
      <c r="K481" s="154">
        <f>VLOOKUP($A481,'BC.116+240'!$B$13:$X$4890,21,0)/1000</f>
        <v>-1.61</v>
      </c>
      <c r="L481" s="152">
        <f t="shared" si="25"/>
        <v>-1757.0000000000002</v>
      </c>
      <c r="M481" s="153">
        <f t="shared" si="26"/>
        <v>-1895</v>
      </c>
      <c r="N481" s="152">
        <f t="shared" si="27"/>
        <v>-1580</v>
      </c>
      <c r="O481" s="152"/>
    </row>
    <row r="482" spans="1:15">
      <c r="A482" s="88">
        <f>'BC.116+240'!B481</f>
        <v>45793</v>
      </c>
      <c r="B482" s="152">
        <f t="shared" si="24"/>
        <v>468</v>
      </c>
      <c r="C482" s="154">
        <f>'BC.116+240'!M481/1000</f>
        <v>5.0220000000000002</v>
      </c>
      <c r="D482" s="154">
        <f>'BC.116+240'!AA481</f>
        <v>6.8770000000000007</v>
      </c>
      <c r="E482" s="155">
        <f>'BC.116+240'!AB481</f>
        <v>3.1739999999999999</v>
      </c>
      <c r="F482" s="154">
        <f>VLOOKUP($A482,'BC.116+240'!$B$13:$X$4890,8,0)/1000</f>
        <v>2.2690000000000001</v>
      </c>
      <c r="G482" s="154">
        <f>VLOOKUP($A482,'BC.116+240'!$B$13:$X$4890,9,0)/1000</f>
        <v>-1.7310000000000001</v>
      </c>
      <c r="H482" s="154">
        <f>VLOOKUP($A482,'BC.116+240'!$B$13:$X$4890,14,0)/1000</f>
        <v>1.992</v>
      </c>
      <c r="I482" s="154">
        <f>VLOOKUP($A482,'BC.116+240'!$B$13:$X$4890,15,0)/1000</f>
        <v>-2.008</v>
      </c>
      <c r="J482" s="154">
        <f>VLOOKUP($A482,'BC.116+240'!$B$13:$X$4890,20,0)/1000</f>
        <v>2.3679999999999999</v>
      </c>
      <c r="K482" s="154">
        <f>VLOOKUP($A482,'BC.116+240'!$B$13:$X$4890,21,0)/1000</f>
        <v>-1.6319999999999999</v>
      </c>
      <c r="L482" s="152">
        <f t="shared" si="25"/>
        <v>-1771.0000000000002</v>
      </c>
      <c r="M482" s="153">
        <f t="shared" si="26"/>
        <v>-1928</v>
      </c>
      <c r="N482" s="152">
        <f t="shared" si="27"/>
        <v>-1601.9999999999998</v>
      </c>
      <c r="O482" s="152"/>
    </row>
    <row r="483" spans="1:15">
      <c r="A483" s="88">
        <f>'BC.116+240'!B482</f>
        <v>45800</v>
      </c>
      <c r="B483" s="152">
        <f t="shared" ref="B483:B492" si="28">+B482+1</f>
        <v>469</v>
      </c>
      <c r="C483" s="154">
        <f>'BC.116+240'!M482/1000</f>
        <v>4.9880000000000004</v>
      </c>
      <c r="D483" s="154">
        <f>'BC.116+240'!AA482</f>
        <v>6.8770000000000007</v>
      </c>
      <c r="E483" s="155">
        <f>'BC.116+240'!AB482</f>
        <v>3.1059999999999999</v>
      </c>
      <c r="F483" s="154">
        <f>VLOOKUP($A483,'BC.116+240'!$B$13:$X$4890,8,0)/1000</f>
        <v>2.2570000000000001</v>
      </c>
      <c r="G483" s="154">
        <f>VLOOKUP($A483,'BC.116+240'!$B$13:$X$4890,9,0)/1000</f>
        <v>-1.7430000000000001</v>
      </c>
      <c r="H483" s="154">
        <f>VLOOKUP($A483,'BC.116+240'!$B$13:$X$4890,14,0)/1000</f>
        <v>1.958</v>
      </c>
      <c r="I483" s="154">
        <f>VLOOKUP($A483,'BC.116+240'!$B$13:$X$4890,15,0)/1000</f>
        <v>-2.0419999999999998</v>
      </c>
      <c r="J483" s="154">
        <f>VLOOKUP($A483,'BC.116+240'!$B$13:$X$4890,20,0)/1000</f>
        <v>2.35</v>
      </c>
      <c r="K483" s="154">
        <f>VLOOKUP($A483,'BC.116+240'!$B$13:$X$4890,21,0)/1000</f>
        <v>-1.65</v>
      </c>
      <c r="L483" s="152">
        <f t="shared" ref="L483:L490" si="29">(G483-$G$14)*1000</f>
        <v>-1783.0000000000002</v>
      </c>
      <c r="M483" s="153">
        <f t="shared" ref="M483:M490" si="30">(I483-$I$14)*1000</f>
        <v>-1961.9999999999998</v>
      </c>
      <c r="N483" s="152">
        <f t="shared" ref="N483:N490" si="31">(K483-$K$14)*1000</f>
        <v>-1619.9999999999998</v>
      </c>
      <c r="O483" s="152"/>
    </row>
    <row r="484" spans="1:15">
      <c r="A484" s="88">
        <f>'BC.116+240'!B483</f>
        <v>45807</v>
      </c>
      <c r="B484" s="152">
        <f t="shared" si="28"/>
        <v>470</v>
      </c>
      <c r="C484" s="154">
        <f>'BC.116+240'!M483/1000</f>
        <v>4.9580000000000002</v>
      </c>
      <c r="D484" s="154">
        <f>'BC.116+240'!AA483</f>
        <v>6.8770000000000007</v>
      </c>
      <c r="E484" s="155">
        <f>'BC.116+240'!AB483</f>
        <v>3.0459999999999998</v>
      </c>
      <c r="F484" s="154">
        <f>VLOOKUP($A484,'BC.116+240'!$B$13:$X$4890,8,0)/1000</f>
        <v>2.2450000000000001</v>
      </c>
      <c r="G484" s="154">
        <f>VLOOKUP($A484,'BC.116+240'!$B$13:$X$4890,9,0)/1000</f>
        <v>-1.7549999999999999</v>
      </c>
      <c r="H484" s="154">
        <f>VLOOKUP($A484,'BC.116+240'!$B$13:$X$4890,14,0)/1000</f>
        <v>1.9279999999999999</v>
      </c>
      <c r="I484" s="154">
        <f>VLOOKUP($A484,'BC.116+240'!$B$13:$X$4890,15,0)/1000</f>
        <v>-2.0720000000000001</v>
      </c>
      <c r="J484" s="154">
        <f>VLOOKUP($A484,'BC.116+240'!$B$13:$X$4890,20,0)/1000</f>
        <v>2.3359999999999999</v>
      </c>
      <c r="K484" s="154">
        <f>VLOOKUP($A484,'BC.116+240'!$B$13:$X$4890,21,0)/1000</f>
        <v>-1.6639999999999999</v>
      </c>
      <c r="L484" s="152">
        <f t="shared" si="29"/>
        <v>-1795</v>
      </c>
      <c r="M484" s="153">
        <f t="shared" si="30"/>
        <v>-1992</v>
      </c>
      <c r="N484" s="152">
        <f t="shared" si="31"/>
        <v>-1634</v>
      </c>
      <c r="O484" s="152"/>
    </row>
    <row r="485" spans="1:15">
      <c r="A485" s="88">
        <f>'BC.116+240'!B484</f>
        <v>45814</v>
      </c>
      <c r="B485" s="152">
        <f t="shared" si="28"/>
        <v>471</v>
      </c>
      <c r="C485" s="154">
        <f>'BC.116+240'!M484/1000</f>
        <v>4.93</v>
      </c>
      <c r="D485" s="154">
        <f>'BC.116+240'!AA484</f>
        <v>6.8770000000000007</v>
      </c>
      <c r="E485" s="155">
        <f>'BC.116+240'!AB484</f>
        <v>2.99</v>
      </c>
      <c r="F485" s="154">
        <f>VLOOKUP($A485,'BC.116+240'!$B$13:$X$4890,8,0)/1000</f>
        <v>2.2330000000000001</v>
      </c>
      <c r="G485" s="154">
        <f>VLOOKUP($A485,'BC.116+240'!$B$13:$X$4890,9,0)/1000</f>
        <v>-1.7669999999999999</v>
      </c>
      <c r="H485" s="154">
        <f>VLOOKUP($A485,'BC.116+240'!$B$13:$X$4890,14,0)/1000</f>
        <v>1.9</v>
      </c>
      <c r="I485" s="154">
        <f>VLOOKUP($A485,'BC.116+240'!$B$13:$X$4890,15,0)/1000</f>
        <v>-2.1</v>
      </c>
      <c r="J485" s="154">
        <f>VLOOKUP($A485,'BC.116+240'!$B$13:$X$4890,20,0)/1000</f>
        <v>2.3239999999999998</v>
      </c>
      <c r="K485" s="154">
        <f>VLOOKUP($A485,'BC.116+240'!$B$13:$X$4890,21,0)/1000</f>
        <v>-1.6759999999999999</v>
      </c>
      <c r="L485" s="152">
        <f t="shared" si="29"/>
        <v>-1807</v>
      </c>
      <c r="M485" s="153">
        <f t="shared" si="30"/>
        <v>-2020</v>
      </c>
      <c r="N485" s="152">
        <f t="shared" si="31"/>
        <v>-1646</v>
      </c>
      <c r="O485" s="152"/>
    </row>
    <row r="486" spans="1:15">
      <c r="A486" s="88">
        <f>'BC.116+240'!B485</f>
        <v>45821</v>
      </c>
      <c r="B486" s="152">
        <f t="shared" si="28"/>
        <v>472</v>
      </c>
      <c r="C486" s="154">
        <f>'BC.116+240'!M485/1000</f>
        <v>4.9029999999999996</v>
      </c>
      <c r="D486" s="154">
        <f>'BC.116+240'!AA485</f>
        <v>6.8770000000000007</v>
      </c>
      <c r="E486" s="155">
        <f>'BC.116+240'!AB485</f>
        <v>2.9359999999999999</v>
      </c>
      <c r="F486" s="154">
        <f>VLOOKUP($A486,'BC.116+240'!$B$13:$X$4890,8,0)/1000</f>
        <v>2.2189999999999999</v>
      </c>
      <c r="G486" s="154">
        <f>VLOOKUP($A486,'BC.116+240'!$B$13:$X$4890,9,0)/1000</f>
        <v>-1.7809999999999999</v>
      </c>
      <c r="H486" s="154">
        <f>VLOOKUP($A486,'BC.116+240'!$B$13:$X$4890,14,0)/1000</f>
        <v>1.873</v>
      </c>
      <c r="I486" s="154">
        <f>VLOOKUP($A486,'BC.116+240'!$B$13:$X$4890,15,0)/1000</f>
        <v>-2.1269999999999998</v>
      </c>
      <c r="J486" s="154">
        <f>VLOOKUP($A486,'BC.116+240'!$B$13:$X$4890,20,0)/1000</f>
        <v>2.3119999999999998</v>
      </c>
      <c r="K486" s="154">
        <f>VLOOKUP($A486,'BC.116+240'!$B$13:$X$4890,21,0)/1000</f>
        <v>-1.6879999999999999</v>
      </c>
      <c r="L486" s="152">
        <f t="shared" si="29"/>
        <v>-1821</v>
      </c>
      <c r="M486" s="153">
        <f t="shared" si="30"/>
        <v>-2046.9999999999998</v>
      </c>
      <c r="N486" s="152">
        <f t="shared" si="31"/>
        <v>-1658</v>
      </c>
      <c r="O486" s="152"/>
    </row>
    <row r="487" spans="1:15">
      <c r="A487" s="88">
        <f>'BC.116+240'!B486</f>
        <v>45828</v>
      </c>
      <c r="B487" s="152">
        <f t="shared" si="28"/>
        <v>473</v>
      </c>
      <c r="C487" s="154">
        <f>'BC.116+240'!M486/1000</f>
        <v>4.8789999999999996</v>
      </c>
      <c r="D487" s="154">
        <f>'BC.116+240'!AA486</f>
        <v>6.8770000000000007</v>
      </c>
      <c r="E487" s="155">
        <f>'BC.116+240'!AB486</f>
        <v>2.8879999999999999</v>
      </c>
      <c r="F487" s="154">
        <f>VLOOKUP($A487,'BC.116+240'!$B$13:$X$4890,8,0)/1000</f>
        <v>2.2069999999999999</v>
      </c>
      <c r="G487" s="154">
        <f>VLOOKUP($A487,'BC.116+240'!$B$13:$X$4890,9,0)/1000</f>
        <v>-1.7929999999999999</v>
      </c>
      <c r="H487" s="154">
        <f>VLOOKUP($A487,'BC.116+240'!$B$13:$X$4890,14,0)/1000</f>
        <v>1.849</v>
      </c>
      <c r="I487" s="154">
        <f>VLOOKUP($A487,'BC.116+240'!$B$13:$X$4890,15,0)/1000</f>
        <v>-2.1509999999999998</v>
      </c>
      <c r="J487" s="154">
        <f>VLOOKUP($A487,'BC.116+240'!$B$13:$X$4890,20,0)/1000</f>
        <v>2.3010000000000002</v>
      </c>
      <c r="K487" s="154">
        <f>VLOOKUP($A487,'BC.116+240'!$B$13:$X$4890,21,0)/1000</f>
        <v>-1.6990000000000001</v>
      </c>
      <c r="L487" s="152">
        <f t="shared" si="29"/>
        <v>-1833</v>
      </c>
      <c r="M487" s="153">
        <f t="shared" si="30"/>
        <v>-2070.9999999999995</v>
      </c>
      <c r="N487" s="152">
        <f t="shared" si="31"/>
        <v>-1669</v>
      </c>
      <c r="O487" s="152"/>
    </row>
    <row r="488" spans="1:15">
      <c r="A488" s="88">
        <f>'BC.116+240'!B487</f>
        <v>45835</v>
      </c>
      <c r="B488" s="152">
        <f t="shared" si="28"/>
        <v>474</v>
      </c>
      <c r="C488" s="154">
        <f>'BC.116+240'!M487/1000</f>
        <v>4.8540000000000001</v>
      </c>
      <c r="D488" s="154">
        <f>'BC.116+240'!AA487</f>
        <v>6.8770000000000007</v>
      </c>
      <c r="E488" s="155">
        <f>'BC.116+240'!AB487</f>
        <v>2.8380000000000001</v>
      </c>
      <c r="F488" s="154">
        <f>VLOOKUP($A488,'BC.116+240'!$B$13:$X$4890,8,0)/1000</f>
        <v>2.1949999999999998</v>
      </c>
      <c r="G488" s="154">
        <f>VLOOKUP($A488,'BC.116+240'!$B$13:$X$4890,9,0)/1000</f>
        <v>-1.8049999999999999</v>
      </c>
      <c r="H488" s="154">
        <f>VLOOKUP($A488,'BC.116+240'!$B$13:$X$4890,14,0)/1000</f>
        <v>1.8240000000000001</v>
      </c>
      <c r="I488" s="154">
        <f>VLOOKUP($A488,'BC.116+240'!$B$13:$X$4890,15,0)/1000</f>
        <v>-2.1760000000000002</v>
      </c>
      <c r="J488" s="154">
        <f>VLOOKUP($A488,'BC.116+240'!$B$13:$X$4890,20,0)/1000</f>
        <v>2.2890000000000001</v>
      </c>
      <c r="K488" s="154">
        <f>VLOOKUP($A488,'BC.116+240'!$B$13:$X$4890,21,0)/1000</f>
        <v>-1.7110000000000001</v>
      </c>
      <c r="L488" s="152">
        <f t="shared" si="29"/>
        <v>-1845</v>
      </c>
      <c r="M488" s="153">
        <f t="shared" si="30"/>
        <v>-2096</v>
      </c>
      <c r="N488" s="152">
        <f t="shared" si="31"/>
        <v>-1681</v>
      </c>
      <c r="O488" s="152"/>
    </row>
    <row r="489" spans="1:15">
      <c r="A489" s="88">
        <f>'BC.116+240'!B488</f>
        <v>45842</v>
      </c>
      <c r="B489" s="152">
        <f t="shared" si="28"/>
        <v>475</v>
      </c>
      <c r="C489" s="154">
        <f>'BC.116+240'!M488/1000</f>
        <v>4.83</v>
      </c>
      <c r="D489" s="154">
        <f>'BC.116+240'!AA488</f>
        <v>6.8770000000000007</v>
      </c>
      <c r="E489" s="155">
        <f>'BC.116+240'!AB488</f>
        <v>2.79</v>
      </c>
      <c r="F489" s="154">
        <f>VLOOKUP($A489,'BC.116+240'!$B$13:$X$4890,8,0)/1000</f>
        <v>2.1840000000000002</v>
      </c>
      <c r="G489" s="154">
        <f>VLOOKUP($A489,'BC.116+240'!$B$13:$X$4890,9,0)/1000</f>
        <v>-1.8160000000000001</v>
      </c>
      <c r="H489" s="154">
        <f>VLOOKUP($A489,'BC.116+240'!$B$13:$X$4890,14,0)/1000</f>
        <v>1.8</v>
      </c>
      <c r="I489" s="154">
        <f>VLOOKUP($A489,'BC.116+240'!$B$13:$X$4890,15,0)/1000</f>
        <v>-2.2000000000000002</v>
      </c>
      <c r="J489" s="154">
        <f>VLOOKUP($A489,'BC.116+240'!$B$13:$X$4890,20,0)/1000</f>
        <v>2.278</v>
      </c>
      <c r="K489" s="154">
        <f>VLOOKUP($A489,'BC.116+240'!$B$13:$X$4890,21,0)/1000</f>
        <v>-1.722</v>
      </c>
      <c r="L489" s="152">
        <f t="shared" si="29"/>
        <v>-1856</v>
      </c>
      <c r="M489" s="153">
        <f t="shared" si="30"/>
        <v>-2120</v>
      </c>
      <c r="N489" s="152">
        <f t="shared" si="31"/>
        <v>-1692</v>
      </c>
      <c r="O489" s="152"/>
    </row>
    <row r="490" spans="1:15">
      <c r="A490" s="88">
        <f>'BC.116+240'!B489</f>
        <v>45849</v>
      </c>
      <c r="B490" s="152">
        <f t="shared" si="28"/>
        <v>476</v>
      </c>
      <c r="C490" s="154">
        <f>'BC.116+240'!M489/1000</f>
        <v>4.8040000000000003</v>
      </c>
      <c r="D490" s="154">
        <f>'BC.116+240'!AA489</f>
        <v>6.8770000000000007</v>
      </c>
      <c r="E490" s="155">
        <f>'BC.116+240'!AB489</f>
        <v>2.738</v>
      </c>
      <c r="F490" s="154">
        <f>VLOOKUP($A490,'BC.116+240'!$B$13:$X$4890,8,0)/1000</f>
        <v>2.1739999999999999</v>
      </c>
      <c r="G490" s="154">
        <f>VLOOKUP($A490,'BC.116+240'!$B$13:$X$4890,9,0)/1000</f>
        <v>-1.8260000000000001</v>
      </c>
      <c r="H490" s="154">
        <f>VLOOKUP($A490,'BC.116+240'!$B$13:$X$4890,14,0)/1000</f>
        <v>1.774</v>
      </c>
      <c r="I490" s="154">
        <f>VLOOKUP($A490,'BC.116+240'!$B$13:$X$4890,15,0)/1000</f>
        <v>-2.226</v>
      </c>
      <c r="J490" s="154">
        <f>VLOOKUP($A490,'BC.116+240'!$B$13:$X$4890,20,0)/1000</f>
        <v>2.2669999999999999</v>
      </c>
      <c r="K490" s="154">
        <f>VLOOKUP($A490,'BC.116+240'!$B$13:$X$4890,21,0)/1000</f>
        <v>-1.7330000000000001</v>
      </c>
      <c r="L490" s="152">
        <f t="shared" si="29"/>
        <v>-1866</v>
      </c>
      <c r="M490" s="153">
        <f t="shared" si="30"/>
        <v>-2146</v>
      </c>
      <c r="N490" s="152">
        <f t="shared" si="31"/>
        <v>-1703</v>
      </c>
      <c r="O490" s="152"/>
    </row>
    <row r="491" spans="1:15">
      <c r="A491" s="88">
        <f>'BC.116+240'!B490</f>
        <v>45856</v>
      </c>
      <c r="B491" s="152">
        <f t="shared" si="28"/>
        <v>477</v>
      </c>
      <c r="C491" s="154">
        <f>'BC.116+240'!M490/1000</f>
        <v>4.78</v>
      </c>
      <c r="D491" s="154">
        <f>'BC.116+240'!AA490</f>
        <v>6.8770000000000007</v>
      </c>
      <c r="E491" s="155">
        <f>'BC.116+240'!AB490</f>
        <v>2.69</v>
      </c>
      <c r="F491" s="154">
        <f>VLOOKUP($A491,'BC.116+240'!$B$13:$X$4890,8,0)/1000</f>
        <v>2.1640000000000001</v>
      </c>
      <c r="G491" s="154">
        <f>VLOOKUP($A491,'BC.116+240'!$B$13:$X$4890,9,0)/1000</f>
        <v>-1.8360000000000001</v>
      </c>
      <c r="H491" s="154">
        <f>VLOOKUP($A491,'BC.116+240'!$B$13:$X$4890,14,0)/1000</f>
        <v>1.75</v>
      </c>
      <c r="I491" s="154">
        <f>VLOOKUP($A491,'BC.116+240'!$B$13:$X$4890,15,0)/1000</f>
        <v>-2.25</v>
      </c>
      <c r="J491" s="154">
        <f>VLOOKUP($A491,'BC.116+240'!$B$13:$X$4890,20,0)/1000</f>
        <v>2.2570000000000001</v>
      </c>
      <c r="K491" s="154">
        <f>VLOOKUP($A491,'BC.116+240'!$B$13:$X$4890,21,0)/1000</f>
        <v>-1.7430000000000001</v>
      </c>
      <c r="L491" s="152">
        <f t="shared" ref="L491" si="32">(G491-$G$14)*1000</f>
        <v>-1876</v>
      </c>
      <c r="M491" s="153">
        <f t="shared" ref="M491" si="33">(I491-$I$14)*1000</f>
        <v>-2170</v>
      </c>
      <c r="N491" s="152">
        <f t="shared" ref="N491" si="34">(K491-$K$14)*1000</f>
        <v>-1713</v>
      </c>
      <c r="O491" s="152"/>
    </row>
    <row r="492" spans="1:15">
      <c r="A492" s="88">
        <f>'BC.116+240'!B491</f>
        <v>45863</v>
      </c>
      <c r="B492" s="152">
        <f t="shared" si="28"/>
        <v>478</v>
      </c>
      <c r="C492" s="154">
        <f>'BC.116+240'!M491/1000</f>
        <v>4.7569999999999997</v>
      </c>
      <c r="D492" s="154">
        <f>'BC.116+240'!AA491</f>
        <v>6.8770000000000007</v>
      </c>
      <c r="E492" s="155">
        <f>'BC.116+240'!AB491</f>
        <v>2.6440000000000001</v>
      </c>
      <c r="F492" s="154">
        <f>VLOOKUP($A492,'BC.116+240'!$B$13:$X$4890,8,0)/1000</f>
        <v>2.1549999999999998</v>
      </c>
      <c r="G492" s="154">
        <f>VLOOKUP($A492,'BC.116+240'!$B$13:$X$4890,9,0)/1000</f>
        <v>-1.845</v>
      </c>
      <c r="H492" s="154">
        <f>VLOOKUP($A492,'BC.116+240'!$B$13:$X$4890,14,0)/1000</f>
        <v>1.7270000000000001</v>
      </c>
      <c r="I492" s="154">
        <f>VLOOKUP($A492,'BC.116+240'!$B$13:$X$4890,15,0)/1000</f>
        <v>-2.2730000000000001</v>
      </c>
      <c r="J492" s="154">
        <f>VLOOKUP($A492,'BC.116+240'!$B$13:$X$4890,20,0)/1000</f>
        <v>2.2480000000000002</v>
      </c>
      <c r="K492" s="154">
        <f>VLOOKUP($A492,'BC.116+240'!$B$13:$X$4890,21,0)/1000</f>
        <v>-1.752</v>
      </c>
      <c r="L492" s="152">
        <f t="shared" ref="L492" si="35">(G492-$G$14)*1000</f>
        <v>-1885</v>
      </c>
      <c r="M492" s="153">
        <f t="shared" ref="M492" si="36">(I492-$I$14)*1000</f>
        <v>-2193</v>
      </c>
      <c r="N492" s="152">
        <f t="shared" ref="N492" si="37">(K492-$K$14)*1000</f>
        <v>-1722</v>
      </c>
      <c r="O492" s="152"/>
    </row>
    <row r="493" spans="1:15">
      <c r="A493" s="88"/>
      <c r="B493" s="152"/>
      <c r="C493" s="154"/>
      <c r="D493" s="154"/>
      <c r="E493" s="155"/>
      <c r="F493" s="154"/>
      <c r="G493" s="154"/>
      <c r="H493" s="154"/>
      <c r="I493" s="154"/>
      <c r="J493" s="154"/>
      <c r="K493" s="154"/>
      <c r="L493" s="152"/>
      <c r="M493" s="153"/>
      <c r="N493" s="152"/>
      <c r="O493" s="152"/>
    </row>
    <row r="494" spans="1:15">
      <c r="A494" s="88"/>
      <c r="B494" s="152"/>
      <c r="C494" s="154"/>
      <c r="D494" s="154"/>
      <c r="E494" s="155"/>
      <c r="F494" s="154"/>
      <c r="G494" s="154"/>
      <c r="H494" s="154"/>
      <c r="I494" s="154"/>
      <c r="J494" s="154"/>
      <c r="K494" s="154"/>
      <c r="L494" s="152"/>
      <c r="M494" s="153"/>
      <c r="N494" s="152"/>
      <c r="O494" s="152"/>
    </row>
    <row r="495" spans="1:15">
      <c r="A495" s="88"/>
      <c r="B495" s="152"/>
      <c r="C495" s="154"/>
      <c r="D495" s="154"/>
      <c r="E495" s="155"/>
      <c r="F495" s="154"/>
      <c r="G495" s="154"/>
      <c r="H495" s="154"/>
      <c r="I495" s="154"/>
      <c r="J495" s="154"/>
      <c r="K495" s="154"/>
      <c r="L495" s="152"/>
      <c r="M495" s="153"/>
      <c r="N495" s="152"/>
      <c r="O495" s="152"/>
    </row>
    <row r="496" spans="1:15">
      <c r="A496" s="88"/>
      <c r="B496" s="152"/>
      <c r="C496" s="154"/>
      <c r="D496" s="154"/>
      <c r="E496" s="155"/>
      <c r="F496" s="154"/>
      <c r="G496" s="154"/>
      <c r="H496" s="154"/>
      <c r="I496" s="154"/>
      <c r="J496" s="154"/>
      <c r="K496" s="154"/>
      <c r="L496" s="152"/>
      <c r="M496" s="153"/>
      <c r="N496" s="152"/>
      <c r="O496" s="152"/>
    </row>
    <row r="497" spans="1:15">
      <c r="A497" s="88"/>
      <c r="B497" s="152"/>
      <c r="C497" s="154"/>
      <c r="D497" s="154"/>
      <c r="E497" s="155"/>
      <c r="F497" s="154"/>
      <c r="G497" s="154"/>
      <c r="H497" s="154"/>
      <c r="I497" s="154"/>
      <c r="J497" s="154"/>
      <c r="K497" s="154"/>
      <c r="L497" s="152"/>
      <c r="M497" s="153"/>
      <c r="N497" s="152"/>
      <c r="O497" s="152"/>
    </row>
    <row r="498" spans="1:15">
      <c r="A498" s="88"/>
      <c r="B498" s="152"/>
      <c r="C498" s="154"/>
      <c r="D498" s="154"/>
      <c r="E498" s="155"/>
      <c r="F498" s="154"/>
      <c r="G498" s="154"/>
      <c r="H498" s="154"/>
      <c r="I498" s="154"/>
      <c r="J498" s="154"/>
      <c r="K498" s="154"/>
      <c r="L498" s="152"/>
      <c r="M498" s="153"/>
      <c r="N498" s="152"/>
      <c r="O498" s="152"/>
    </row>
    <row r="499" spans="1:15">
      <c r="A499" s="88"/>
      <c r="B499" s="152"/>
      <c r="C499" s="154"/>
      <c r="D499" s="154"/>
      <c r="E499" s="155"/>
      <c r="F499" s="154"/>
      <c r="G499" s="154"/>
      <c r="H499" s="154"/>
      <c r="I499" s="154"/>
      <c r="J499" s="154"/>
      <c r="K499" s="154"/>
      <c r="L499" s="152"/>
      <c r="M499" s="153"/>
      <c r="N499" s="152"/>
      <c r="O499" s="152"/>
    </row>
    <row r="500" spans="1:15">
      <c r="A500" s="88"/>
      <c r="B500" s="152"/>
      <c r="C500" s="154"/>
      <c r="D500" s="154"/>
      <c r="E500" s="155"/>
      <c r="F500" s="154"/>
      <c r="G500" s="154"/>
      <c r="H500" s="154"/>
      <c r="I500" s="154"/>
      <c r="J500" s="154"/>
      <c r="K500" s="154"/>
      <c r="L500" s="152"/>
      <c r="M500" s="153"/>
      <c r="N500" s="152"/>
      <c r="O500" s="152"/>
    </row>
    <row r="501" spans="1:15">
      <c r="A501" s="88"/>
      <c r="B501" s="152"/>
      <c r="C501" s="154"/>
      <c r="D501" s="154"/>
      <c r="E501" s="155"/>
      <c r="F501" s="154"/>
      <c r="G501" s="154"/>
      <c r="H501" s="154"/>
      <c r="I501" s="154"/>
      <c r="J501" s="154"/>
      <c r="K501" s="154"/>
      <c r="L501" s="152"/>
      <c r="M501" s="153"/>
      <c r="N501" s="152"/>
      <c r="O501" s="152"/>
    </row>
    <row r="502" spans="1:15">
      <c r="A502" s="88"/>
      <c r="B502" s="152"/>
      <c r="C502" s="154"/>
      <c r="D502" s="154"/>
      <c r="E502" s="155"/>
      <c r="F502" s="154"/>
      <c r="G502" s="154"/>
      <c r="H502" s="154"/>
      <c r="I502" s="154"/>
      <c r="J502" s="154"/>
      <c r="K502" s="154"/>
      <c r="L502" s="152"/>
      <c r="M502" s="153"/>
      <c r="N502" s="152"/>
      <c r="O502" s="152"/>
    </row>
    <row r="503" spans="1:15">
      <c r="A503" s="88"/>
      <c r="B503" s="152"/>
      <c r="C503" s="154"/>
      <c r="D503" s="154"/>
      <c r="E503" s="155"/>
      <c r="F503" s="154"/>
      <c r="G503" s="154"/>
      <c r="H503" s="154"/>
      <c r="I503" s="154"/>
      <c r="J503" s="154"/>
      <c r="K503" s="154"/>
      <c r="L503" s="152"/>
      <c r="M503" s="153"/>
      <c r="N503" s="152"/>
      <c r="O503" s="152"/>
    </row>
    <row r="504" spans="1:15">
      <c r="A504" s="88"/>
      <c r="B504" s="152"/>
      <c r="C504" s="154"/>
      <c r="D504" s="154"/>
      <c r="E504" s="155"/>
      <c r="F504" s="154"/>
      <c r="G504" s="154"/>
      <c r="H504" s="154"/>
      <c r="I504" s="154"/>
      <c r="J504" s="154"/>
      <c r="K504" s="154"/>
      <c r="L504" s="152"/>
      <c r="M504" s="153"/>
      <c r="N504" s="152"/>
      <c r="O504" s="152"/>
    </row>
    <row r="505" spans="1:15">
      <c r="A505" s="88"/>
      <c r="B505" s="152"/>
      <c r="C505" s="154"/>
      <c r="D505" s="154"/>
      <c r="E505" s="155"/>
      <c r="F505" s="154"/>
      <c r="G505" s="154"/>
      <c r="H505" s="154"/>
      <c r="I505" s="154"/>
      <c r="J505" s="154"/>
      <c r="K505" s="154"/>
      <c r="L505" s="152"/>
      <c r="M505" s="153"/>
      <c r="N505" s="152"/>
      <c r="O505" s="152"/>
    </row>
    <row r="506" spans="1:15">
      <c r="A506" s="88"/>
      <c r="B506" s="152"/>
      <c r="C506" s="154"/>
      <c r="D506" s="154"/>
      <c r="E506" s="155"/>
      <c r="F506" s="154"/>
      <c r="G506" s="154"/>
      <c r="H506" s="154"/>
      <c r="I506" s="154"/>
      <c r="J506" s="154"/>
      <c r="K506" s="154"/>
      <c r="L506" s="152"/>
      <c r="M506" s="153"/>
      <c r="N506" s="152"/>
      <c r="O506" s="152"/>
    </row>
    <row r="507" spans="1:15">
      <c r="A507" s="88"/>
      <c r="B507" s="152"/>
      <c r="C507" s="154"/>
      <c r="D507" s="154"/>
      <c r="E507" s="155"/>
      <c r="F507" s="154"/>
      <c r="G507" s="154"/>
      <c r="H507" s="154"/>
      <c r="I507" s="154"/>
      <c r="J507" s="154"/>
      <c r="K507" s="154"/>
      <c r="L507" s="152"/>
      <c r="M507" s="153"/>
      <c r="N507" s="152"/>
      <c r="O507" s="152"/>
    </row>
    <row r="508" spans="1:15">
      <c r="A508" s="88"/>
      <c r="B508" s="152"/>
      <c r="C508" s="154"/>
      <c r="D508" s="154"/>
      <c r="E508" s="155"/>
      <c r="F508" s="154"/>
      <c r="G508" s="154"/>
      <c r="H508" s="154"/>
      <c r="I508" s="154"/>
      <c r="J508" s="154"/>
      <c r="K508" s="154"/>
      <c r="L508" s="152"/>
      <c r="M508" s="153"/>
      <c r="N508" s="152"/>
      <c r="O508" s="152"/>
    </row>
    <row r="509" spans="1:15">
      <c r="A509" s="88"/>
      <c r="B509" s="152"/>
      <c r="C509" s="154"/>
      <c r="D509" s="154"/>
      <c r="E509" s="155"/>
      <c r="F509" s="154"/>
      <c r="G509" s="154"/>
      <c r="H509" s="154"/>
      <c r="I509" s="154"/>
      <c r="J509" s="154"/>
      <c r="K509" s="154"/>
      <c r="L509" s="152"/>
      <c r="M509" s="153"/>
      <c r="N509" s="152"/>
      <c r="O509" s="152"/>
    </row>
    <row r="510" spans="1:15">
      <c r="A510" s="88"/>
      <c r="B510" s="152"/>
      <c r="C510" s="154"/>
      <c r="D510" s="154"/>
      <c r="E510" s="155"/>
      <c r="F510" s="154"/>
      <c r="G510" s="154"/>
      <c r="H510" s="154"/>
      <c r="I510" s="154"/>
      <c r="J510" s="154"/>
      <c r="K510" s="154"/>
      <c r="L510" s="152"/>
      <c r="M510" s="153"/>
      <c r="N510" s="152"/>
      <c r="O510" s="152"/>
    </row>
    <row r="511" spans="1:15">
      <c r="A511" s="88"/>
      <c r="B511" s="152"/>
      <c r="C511" s="154"/>
      <c r="D511" s="154"/>
      <c r="E511" s="155"/>
      <c r="F511" s="154"/>
      <c r="G511" s="154"/>
      <c r="H511" s="154"/>
      <c r="I511" s="154"/>
      <c r="J511" s="154"/>
      <c r="K511" s="154"/>
      <c r="L511" s="152"/>
      <c r="M511" s="153"/>
      <c r="N511" s="152"/>
      <c r="O511" s="152"/>
    </row>
    <row r="512" spans="1:15">
      <c r="A512" s="88"/>
      <c r="B512" s="152"/>
      <c r="C512" s="154"/>
      <c r="D512" s="154"/>
      <c r="E512" s="155"/>
      <c r="F512" s="154"/>
      <c r="G512" s="154"/>
      <c r="H512" s="154"/>
      <c r="I512" s="154"/>
      <c r="J512" s="154"/>
      <c r="K512" s="154"/>
      <c r="L512" s="152"/>
      <c r="M512" s="153"/>
      <c r="N512" s="152"/>
      <c r="O512" s="152"/>
    </row>
    <row r="513" spans="1:15">
      <c r="A513" s="88"/>
      <c r="B513" s="152"/>
      <c r="C513" s="154"/>
      <c r="D513" s="154"/>
      <c r="E513" s="155"/>
      <c r="F513" s="154"/>
      <c r="G513" s="154"/>
      <c r="H513" s="154"/>
      <c r="I513" s="154"/>
      <c r="J513" s="154"/>
      <c r="K513" s="154"/>
      <c r="L513" s="152"/>
      <c r="M513" s="153"/>
      <c r="N513" s="152"/>
      <c r="O513" s="152"/>
    </row>
    <row r="514" spans="1:15">
      <c r="A514" s="88"/>
      <c r="B514" s="152"/>
      <c r="C514" s="154"/>
      <c r="D514" s="154"/>
      <c r="E514" s="155"/>
      <c r="F514" s="154"/>
      <c r="G514" s="154"/>
      <c r="H514" s="154"/>
      <c r="I514" s="154"/>
      <c r="J514" s="154"/>
      <c r="K514" s="154"/>
      <c r="L514" s="152"/>
      <c r="M514" s="153"/>
      <c r="N514" s="152"/>
      <c r="O514" s="152"/>
    </row>
    <row r="515" spans="1:15">
      <c r="A515" s="88"/>
      <c r="B515" s="152"/>
      <c r="C515" s="154"/>
      <c r="D515" s="154"/>
      <c r="E515" s="155"/>
      <c r="F515" s="154"/>
      <c r="G515" s="154"/>
      <c r="H515" s="154"/>
      <c r="I515" s="154"/>
      <c r="J515" s="154"/>
      <c r="K515" s="154"/>
      <c r="L515" s="152"/>
      <c r="M515" s="153"/>
      <c r="N515" s="152"/>
      <c r="O515" s="152"/>
    </row>
    <row r="516" spans="1:15">
      <c r="A516" s="88"/>
      <c r="B516" s="152"/>
      <c r="C516" s="154"/>
      <c r="D516" s="154"/>
      <c r="E516" s="155"/>
      <c r="F516" s="154"/>
      <c r="G516" s="154"/>
      <c r="H516" s="154"/>
      <c r="I516" s="154"/>
      <c r="J516" s="154"/>
      <c r="K516" s="154"/>
      <c r="L516" s="152"/>
      <c r="M516" s="153"/>
      <c r="N516" s="152"/>
      <c r="O516" s="152"/>
    </row>
    <row r="517" spans="1:15">
      <c r="A517" s="88"/>
      <c r="B517" s="152"/>
      <c r="C517" s="154"/>
      <c r="D517" s="154"/>
      <c r="E517" s="155"/>
      <c r="F517" s="154"/>
      <c r="G517" s="154"/>
      <c r="H517" s="154"/>
      <c r="I517" s="154"/>
      <c r="J517" s="154"/>
      <c r="K517" s="154"/>
      <c r="L517" s="152"/>
      <c r="M517" s="153"/>
      <c r="N517" s="152"/>
      <c r="O517" s="152"/>
    </row>
    <row r="518" spans="1:15">
      <c r="A518" s="88"/>
      <c r="B518" s="152"/>
      <c r="C518" s="154"/>
      <c r="D518" s="154"/>
      <c r="E518" s="155"/>
      <c r="F518" s="154"/>
      <c r="G518" s="154"/>
      <c r="H518" s="154"/>
      <c r="I518" s="154"/>
      <c r="J518" s="154"/>
      <c r="K518" s="154"/>
      <c r="L518" s="152"/>
      <c r="M518" s="153"/>
      <c r="N518" s="152"/>
      <c r="O518" s="152"/>
    </row>
    <row r="519" spans="1:15">
      <c r="A519" s="88"/>
      <c r="B519" s="152"/>
      <c r="C519" s="154"/>
      <c r="D519" s="154"/>
      <c r="E519" s="155"/>
      <c r="F519" s="154"/>
      <c r="G519" s="154"/>
      <c r="H519" s="154"/>
      <c r="I519" s="154"/>
      <c r="J519" s="154"/>
      <c r="K519" s="154"/>
      <c r="L519" s="152"/>
      <c r="M519" s="153"/>
      <c r="N519" s="152"/>
      <c r="O519" s="152"/>
    </row>
    <row r="520" spans="1:15">
      <c r="A520" s="88"/>
      <c r="B520" s="152"/>
      <c r="C520" s="154"/>
      <c r="D520" s="154"/>
      <c r="E520" s="155"/>
      <c r="F520" s="154"/>
      <c r="G520" s="154"/>
      <c r="H520" s="154"/>
      <c r="I520" s="154"/>
      <c r="J520" s="154"/>
      <c r="K520" s="154"/>
      <c r="L520" s="152"/>
      <c r="M520" s="153"/>
      <c r="N520" s="152"/>
      <c r="O520" s="152"/>
    </row>
    <row r="521" spans="1:15">
      <c r="A521" s="88"/>
      <c r="B521" s="152"/>
      <c r="C521" s="154"/>
      <c r="D521" s="154"/>
      <c r="E521" s="155"/>
      <c r="F521" s="154"/>
      <c r="G521" s="154"/>
      <c r="H521" s="154"/>
      <c r="I521" s="154"/>
      <c r="J521" s="154"/>
      <c r="K521" s="154"/>
      <c r="L521" s="152"/>
      <c r="M521" s="153"/>
      <c r="N521" s="152"/>
      <c r="O521" s="152"/>
    </row>
    <row r="522" spans="1:15">
      <c r="A522" s="88"/>
      <c r="B522" s="152"/>
      <c r="C522" s="154"/>
      <c r="D522" s="154"/>
      <c r="E522" s="155"/>
      <c r="F522" s="154"/>
      <c r="G522" s="154"/>
      <c r="H522" s="154"/>
      <c r="I522" s="154"/>
      <c r="J522" s="154"/>
      <c r="K522" s="154"/>
      <c r="L522" s="152"/>
      <c r="M522" s="153"/>
      <c r="N522" s="152"/>
      <c r="O522" s="152"/>
    </row>
    <row r="523" spans="1:15">
      <c r="A523" s="88"/>
      <c r="B523" s="152"/>
      <c r="C523" s="154"/>
      <c r="D523" s="154"/>
      <c r="E523" s="155"/>
      <c r="F523" s="154"/>
      <c r="G523" s="154"/>
      <c r="H523" s="154"/>
      <c r="I523" s="154"/>
      <c r="J523" s="154"/>
      <c r="K523" s="154"/>
      <c r="L523" s="152"/>
      <c r="M523" s="153"/>
      <c r="N523" s="152"/>
      <c r="O523" s="152"/>
    </row>
    <row r="524" spans="1:15">
      <c r="A524" s="88"/>
      <c r="B524" s="152"/>
      <c r="C524" s="154"/>
      <c r="D524" s="154"/>
      <c r="E524" s="155"/>
      <c r="F524" s="154"/>
      <c r="G524" s="154"/>
      <c r="H524" s="154"/>
      <c r="I524" s="154"/>
      <c r="J524" s="154"/>
      <c r="K524" s="154"/>
      <c r="L524" s="152"/>
      <c r="M524" s="153"/>
      <c r="N524" s="152"/>
      <c r="O524" s="152"/>
    </row>
    <row r="525" spans="1:15">
      <c r="A525" s="88"/>
      <c r="B525" s="152"/>
      <c r="C525" s="154"/>
      <c r="D525" s="154"/>
      <c r="E525" s="155"/>
      <c r="F525" s="154"/>
      <c r="G525" s="154"/>
      <c r="H525" s="154"/>
      <c r="I525" s="154"/>
      <c r="J525" s="154"/>
      <c r="K525" s="154"/>
      <c r="L525" s="152"/>
      <c r="M525" s="153"/>
      <c r="N525" s="152"/>
      <c r="O525" s="152"/>
    </row>
    <row r="526" spans="1:15">
      <c r="A526" s="88"/>
      <c r="B526" s="152"/>
      <c r="C526" s="154"/>
      <c r="D526" s="154"/>
      <c r="E526" s="155"/>
      <c r="F526" s="154"/>
      <c r="G526" s="154"/>
      <c r="H526" s="154"/>
      <c r="I526" s="154"/>
      <c r="J526" s="154"/>
      <c r="K526" s="154"/>
      <c r="L526" s="152"/>
      <c r="M526" s="153"/>
      <c r="N526" s="152"/>
      <c r="O526" s="152"/>
    </row>
    <row r="527" spans="1:15">
      <c r="A527" s="88"/>
      <c r="B527" s="152"/>
      <c r="C527" s="154"/>
      <c r="D527" s="154"/>
      <c r="E527" s="155"/>
      <c r="F527" s="154"/>
      <c r="G527" s="154"/>
      <c r="H527" s="154"/>
      <c r="I527" s="154"/>
      <c r="J527" s="154"/>
      <c r="K527" s="154"/>
      <c r="L527" s="152"/>
      <c r="M527" s="153"/>
      <c r="N527" s="152"/>
      <c r="O527" s="152"/>
    </row>
    <row r="528" spans="1:15">
      <c r="A528" s="88"/>
      <c r="B528" s="152"/>
      <c r="C528" s="154"/>
      <c r="D528" s="154"/>
      <c r="E528" s="155"/>
      <c r="F528" s="154"/>
      <c r="G528" s="154"/>
      <c r="H528" s="154"/>
      <c r="I528" s="154"/>
      <c r="J528" s="154"/>
      <c r="K528" s="154"/>
      <c r="L528" s="152"/>
      <c r="M528" s="153"/>
      <c r="N528" s="152"/>
      <c r="O528" s="152"/>
    </row>
    <row r="529" spans="1:15">
      <c r="A529" s="88"/>
      <c r="B529" s="152"/>
      <c r="C529" s="154"/>
      <c r="D529" s="154"/>
      <c r="E529" s="155"/>
      <c r="F529" s="154"/>
      <c r="G529" s="154"/>
      <c r="H529" s="154"/>
      <c r="I529" s="154"/>
      <c r="J529" s="154"/>
      <c r="K529" s="154"/>
      <c r="L529" s="152"/>
      <c r="M529" s="153"/>
      <c r="N529" s="152"/>
      <c r="O529" s="152"/>
    </row>
    <row r="530" spans="1:15">
      <c r="A530" s="88"/>
      <c r="B530" s="152"/>
      <c r="C530" s="154"/>
      <c r="D530" s="154"/>
      <c r="E530" s="155"/>
      <c r="F530" s="154"/>
      <c r="G530" s="154"/>
      <c r="H530" s="154"/>
      <c r="I530" s="154"/>
      <c r="J530" s="154"/>
      <c r="K530" s="154"/>
      <c r="L530" s="152"/>
      <c r="M530" s="153"/>
      <c r="N530" s="152"/>
      <c r="O530" s="152"/>
    </row>
    <row r="531" spans="1:15">
      <c r="A531" s="88"/>
      <c r="B531" s="152"/>
      <c r="C531" s="154"/>
      <c r="D531" s="154"/>
      <c r="E531" s="155"/>
      <c r="F531" s="154"/>
      <c r="G531" s="154"/>
      <c r="H531" s="154"/>
      <c r="I531" s="154"/>
      <c r="J531" s="154"/>
      <c r="K531" s="154"/>
      <c r="L531" s="152"/>
      <c r="M531" s="153"/>
      <c r="N531" s="152"/>
      <c r="O531" s="152"/>
    </row>
    <row r="532" spans="1:15">
      <c r="A532" s="88"/>
      <c r="B532" s="152"/>
      <c r="C532" s="154"/>
      <c r="D532" s="154"/>
      <c r="E532" s="155"/>
      <c r="F532" s="154"/>
      <c r="G532" s="154"/>
      <c r="H532" s="154"/>
      <c r="I532" s="154"/>
      <c r="J532" s="154"/>
      <c r="K532" s="154"/>
      <c r="L532" s="152"/>
      <c r="M532" s="153"/>
      <c r="N532" s="152"/>
      <c r="O532" s="152"/>
    </row>
    <row r="533" spans="1:15">
      <c r="A533" s="88"/>
      <c r="B533" s="152"/>
      <c r="C533" s="154"/>
      <c r="D533" s="154"/>
      <c r="E533" s="155"/>
      <c r="F533" s="154"/>
      <c r="G533" s="154"/>
      <c r="H533" s="154"/>
      <c r="I533" s="154"/>
      <c r="J533" s="154"/>
      <c r="K533" s="154"/>
      <c r="L533" s="152"/>
      <c r="M533" s="153"/>
      <c r="N533" s="152"/>
      <c r="O533" s="152"/>
    </row>
    <row r="534" spans="1:15">
      <c r="A534" s="88"/>
      <c r="B534" s="152"/>
      <c r="C534" s="154"/>
      <c r="D534" s="154"/>
      <c r="E534" s="155"/>
      <c r="F534" s="154"/>
      <c r="G534" s="154"/>
      <c r="H534" s="154"/>
      <c r="I534" s="154"/>
      <c r="J534" s="154"/>
      <c r="K534" s="154"/>
      <c r="L534" s="152"/>
      <c r="M534" s="153"/>
      <c r="N534" s="152"/>
      <c r="O534" s="152"/>
    </row>
    <row r="535" spans="1:15">
      <c r="A535" s="88"/>
      <c r="B535" s="152"/>
      <c r="C535" s="154"/>
      <c r="D535" s="154"/>
      <c r="E535" s="155"/>
      <c r="F535" s="154"/>
      <c r="G535" s="154"/>
      <c r="H535" s="154"/>
      <c r="I535" s="154"/>
      <c r="J535" s="154"/>
      <c r="K535" s="154"/>
      <c r="L535" s="152"/>
      <c r="M535" s="153"/>
      <c r="N535" s="152"/>
      <c r="O535" s="152"/>
    </row>
    <row r="536" spans="1:15">
      <c r="A536" s="88"/>
      <c r="B536" s="152"/>
      <c r="C536" s="154"/>
      <c r="D536" s="154"/>
      <c r="E536" s="155"/>
      <c r="F536" s="154"/>
      <c r="G536" s="154"/>
      <c r="H536" s="154"/>
      <c r="I536" s="154"/>
      <c r="J536" s="154"/>
      <c r="K536" s="154"/>
      <c r="L536" s="152"/>
      <c r="M536" s="153"/>
      <c r="N536" s="152"/>
      <c r="O536" s="152"/>
    </row>
    <row r="537" spans="1:15">
      <c r="A537" s="88"/>
      <c r="B537" s="152"/>
      <c r="C537" s="154"/>
      <c r="D537" s="154"/>
      <c r="E537" s="155"/>
      <c r="F537" s="154"/>
      <c r="G537" s="154"/>
      <c r="H537" s="154"/>
      <c r="I537" s="154"/>
      <c r="J537" s="154"/>
      <c r="K537" s="154"/>
      <c r="L537" s="152"/>
      <c r="M537" s="153"/>
      <c r="N537" s="152"/>
      <c r="O537" s="152"/>
    </row>
    <row r="538" spans="1:15">
      <c r="A538" s="88"/>
      <c r="B538" s="152"/>
      <c r="C538" s="154"/>
      <c r="D538" s="154"/>
      <c r="E538" s="155"/>
      <c r="F538" s="154"/>
      <c r="G538" s="154"/>
      <c r="H538" s="154"/>
      <c r="I538" s="154"/>
      <c r="J538" s="154"/>
      <c r="K538" s="154"/>
      <c r="L538" s="152"/>
      <c r="M538" s="153"/>
      <c r="N538" s="152"/>
      <c r="O538" s="152"/>
    </row>
    <row r="539" spans="1:15">
      <c r="A539" s="88"/>
      <c r="B539" s="152"/>
      <c r="C539" s="154"/>
      <c r="D539" s="154"/>
      <c r="E539" s="155"/>
      <c r="F539" s="154"/>
      <c r="G539" s="154"/>
      <c r="H539" s="154"/>
      <c r="I539" s="154"/>
      <c r="J539" s="154"/>
      <c r="K539" s="154"/>
      <c r="L539" s="152"/>
      <c r="M539" s="153"/>
      <c r="N539" s="152"/>
      <c r="O539" s="152"/>
    </row>
    <row r="540" spans="1:15">
      <c r="A540" s="88"/>
      <c r="B540" s="152"/>
      <c r="C540" s="154"/>
      <c r="D540" s="154"/>
      <c r="E540" s="155"/>
      <c r="F540" s="154"/>
      <c r="G540" s="154"/>
      <c r="H540" s="154"/>
      <c r="I540" s="154"/>
      <c r="J540" s="154"/>
      <c r="K540" s="154"/>
      <c r="L540" s="152"/>
      <c r="M540" s="153"/>
      <c r="N540" s="152"/>
      <c r="O540" s="152"/>
    </row>
    <row r="541" spans="1:15">
      <c r="A541" s="88"/>
      <c r="B541" s="152"/>
      <c r="C541" s="154"/>
      <c r="D541" s="154"/>
      <c r="E541" s="155"/>
      <c r="F541" s="154"/>
      <c r="G541" s="154"/>
      <c r="H541" s="154"/>
      <c r="I541" s="154"/>
      <c r="J541" s="154"/>
      <c r="K541" s="154"/>
      <c r="L541" s="152"/>
      <c r="M541" s="153"/>
      <c r="N541" s="152"/>
      <c r="O541" s="152"/>
    </row>
    <row r="542" spans="1:15">
      <c r="A542" s="88"/>
      <c r="B542" s="152"/>
      <c r="C542" s="154"/>
      <c r="D542" s="154"/>
      <c r="E542" s="155"/>
      <c r="F542" s="154"/>
      <c r="G542" s="154"/>
      <c r="H542" s="154"/>
      <c r="I542" s="154"/>
      <c r="J542" s="154"/>
      <c r="K542" s="154"/>
      <c r="L542" s="152"/>
      <c r="M542" s="153"/>
      <c r="N542" s="152"/>
      <c r="O542" s="152"/>
    </row>
    <row r="543" spans="1:15">
      <c r="A543" s="88"/>
      <c r="B543" s="152"/>
      <c r="C543" s="154"/>
      <c r="D543" s="154"/>
      <c r="E543" s="155"/>
      <c r="F543" s="154"/>
      <c r="G543" s="154"/>
      <c r="H543" s="154"/>
      <c r="I543" s="154"/>
      <c r="J543" s="154"/>
      <c r="K543" s="154"/>
      <c r="L543" s="152"/>
      <c r="M543" s="153"/>
      <c r="N543" s="152"/>
      <c r="O543" s="152"/>
    </row>
    <row r="544" spans="1:15">
      <c r="A544" s="88"/>
      <c r="B544" s="152"/>
      <c r="C544" s="154"/>
      <c r="D544" s="154"/>
      <c r="E544" s="155"/>
      <c r="F544" s="154"/>
      <c r="G544" s="154"/>
      <c r="H544" s="154"/>
      <c r="I544" s="154"/>
      <c r="J544" s="154"/>
      <c r="K544" s="154"/>
      <c r="L544" s="152"/>
      <c r="M544" s="153"/>
      <c r="N544" s="152"/>
      <c r="O544" s="152"/>
    </row>
    <row r="545" spans="1:15">
      <c r="A545" s="88"/>
      <c r="B545" s="152"/>
      <c r="C545" s="154"/>
      <c r="D545" s="154"/>
      <c r="E545" s="155"/>
      <c r="F545" s="154"/>
      <c r="G545" s="154"/>
      <c r="H545" s="154"/>
      <c r="I545" s="154"/>
      <c r="J545" s="154"/>
      <c r="K545" s="154"/>
      <c r="L545" s="152"/>
      <c r="M545" s="153"/>
      <c r="N545" s="152"/>
      <c r="O545" s="152"/>
    </row>
    <row r="546" spans="1:15">
      <c r="A546" s="88"/>
      <c r="B546" s="152"/>
      <c r="C546" s="154"/>
      <c r="D546" s="154"/>
      <c r="E546" s="155"/>
      <c r="F546" s="154"/>
      <c r="G546" s="154"/>
      <c r="H546" s="154"/>
      <c r="I546" s="154"/>
      <c r="J546" s="154"/>
      <c r="K546" s="154"/>
      <c r="L546" s="152"/>
      <c r="M546" s="153"/>
      <c r="N546" s="152"/>
      <c r="O546" s="152"/>
    </row>
    <row r="547" spans="1:15">
      <c r="A547" s="88"/>
      <c r="B547" s="152"/>
      <c r="C547" s="154"/>
      <c r="D547" s="154"/>
      <c r="E547" s="155"/>
      <c r="F547" s="154"/>
      <c r="G547" s="154"/>
      <c r="H547" s="154"/>
      <c r="I547" s="154"/>
      <c r="J547" s="154"/>
      <c r="K547" s="154"/>
      <c r="L547" s="152"/>
      <c r="M547" s="153"/>
      <c r="N547" s="152"/>
      <c r="O547" s="152"/>
    </row>
    <row r="548" spans="1:15">
      <c r="A548" s="88"/>
      <c r="B548" s="152"/>
      <c r="C548" s="154"/>
      <c r="D548" s="154"/>
      <c r="E548" s="155"/>
      <c r="F548" s="154"/>
      <c r="G548" s="154"/>
      <c r="H548" s="154"/>
      <c r="I548" s="154"/>
      <c r="J548" s="154"/>
      <c r="K548" s="154"/>
      <c r="L548" s="152"/>
      <c r="M548" s="153"/>
      <c r="N548" s="152"/>
      <c r="O548" s="152"/>
    </row>
    <row r="549" spans="1:15">
      <c r="A549" s="88"/>
      <c r="B549" s="152"/>
      <c r="C549" s="154"/>
      <c r="D549" s="154"/>
      <c r="E549" s="155"/>
      <c r="F549" s="154"/>
      <c r="G549" s="154"/>
      <c r="H549" s="154"/>
      <c r="I549" s="154"/>
      <c r="J549" s="154"/>
      <c r="K549" s="154"/>
      <c r="L549" s="152"/>
      <c r="M549" s="153"/>
      <c r="N549" s="152"/>
      <c r="O549" s="152"/>
    </row>
    <row r="550" spans="1:15">
      <c r="A550" s="88"/>
      <c r="B550" s="152"/>
      <c r="C550" s="154"/>
      <c r="D550" s="154"/>
      <c r="E550" s="155"/>
      <c r="F550" s="154"/>
      <c r="G550" s="154"/>
      <c r="H550" s="154"/>
      <c r="I550" s="154"/>
      <c r="J550" s="154"/>
      <c r="K550" s="154"/>
      <c r="L550" s="152"/>
      <c r="M550" s="153"/>
      <c r="N550" s="152"/>
      <c r="O550" s="152"/>
    </row>
    <row r="551" spans="1:15">
      <c r="A551" s="88"/>
      <c r="B551" s="152"/>
      <c r="C551" s="154"/>
      <c r="D551" s="154"/>
      <c r="E551" s="155"/>
      <c r="F551" s="154"/>
      <c r="G551" s="154"/>
      <c r="H551" s="154"/>
      <c r="I551" s="154"/>
      <c r="J551" s="154"/>
      <c r="K551" s="154"/>
      <c r="L551" s="152"/>
      <c r="M551" s="153"/>
      <c r="N551" s="152"/>
      <c r="O551" s="152"/>
    </row>
    <row r="552" spans="1:15">
      <c r="A552" s="88"/>
      <c r="B552" s="152"/>
      <c r="C552" s="154"/>
      <c r="D552" s="154"/>
      <c r="E552" s="155"/>
      <c r="F552" s="154"/>
      <c r="G552" s="154"/>
      <c r="H552" s="154"/>
      <c r="I552" s="154"/>
      <c r="J552" s="154"/>
      <c r="K552" s="154"/>
      <c r="L552" s="152"/>
      <c r="M552" s="153"/>
      <c r="N552" s="152"/>
      <c r="O552" s="152"/>
    </row>
    <row r="553" spans="1:15">
      <c r="A553" s="88"/>
      <c r="B553" s="152"/>
      <c r="C553" s="154"/>
      <c r="D553" s="154"/>
      <c r="E553" s="155"/>
      <c r="F553" s="154"/>
      <c r="G553" s="154"/>
      <c r="H553" s="154"/>
      <c r="I553" s="154"/>
      <c r="J553" s="154"/>
      <c r="K553" s="154"/>
      <c r="L553" s="152"/>
      <c r="M553" s="153"/>
      <c r="N553" s="152"/>
      <c r="O553" s="152"/>
    </row>
    <row r="554" spans="1:15">
      <c r="A554" s="88"/>
      <c r="B554" s="152"/>
      <c r="C554" s="154"/>
      <c r="D554" s="154"/>
      <c r="E554" s="155"/>
      <c r="F554" s="154"/>
      <c r="G554" s="154"/>
      <c r="H554" s="154"/>
      <c r="I554" s="154"/>
      <c r="J554" s="154"/>
      <c r="K554" s="154"/>
      <c r="L554" s="152"/>
      <c r="M554" s="153"/>
      <c r="N554" s="152"/>
      <c r="O554" s="152"/>
    </row>
    <row r="555" spans="1:15">
      <c r="A555" s="88"/>
      <c r="B555" s="152"/>
      <c r="C555" s="154"/>
      <c r="D555" s="154"/>
      <c r="E555" s="155"/>
      <c r="F555" s="154"/>
      <c r="G555" s="154"/>
      <c r="H555" s="154"/>
      <c r="I555" s="154"/>
      <c r="J555" s="154"/>
      <c r="K555" s="154"/>
      <c r="L555" s="152"/>
      <c r="M555" s="153"/>
      <c r="N555" s="152"/>
      <c r="O555" s="152"/>
    </row>
    <row r="556" spans="1:15">
      <c r="A556" s="88"/>
      <c r="B556" s="152"/>
      <c r="C556" s="154"/>
      <c r="D556" s="154"/>
      <c r="E556" s="155"/>
      <c r="F556" s="154"/>
      <c r="G556" s="154"/>
      <c r="H556" s="154"/>
      <c r="I556" s="154"/>
      <c r="J556" s="154"/>
      <c r="K556" s="154"/>
      <c r="L556" s="152"/>
      <c r="M556" s="153"/>
      <c r="N556" s="152"/>
      <c r="O556" s="152"/>
    </row>
    <row r="557" spans="1:15">
      <c r="A557" s="88"/>
      <c r="B557" s="152"/>
      <c r="C557" s="154"/>
      <c r="D557" s="154"/>
      <c r="E557" s="155"/>
      <c r="F557" s="154"/>
      <c r="G557" s="154"/>
      <c r="H557" s="154"/>
      <c r="I557" s="154"/>
      <c r="J557" s="154"/>
      <c r="K557" s="154"/>
      <c r="L557" s="152"/>
      <c r="M557" s="153"/>
      <c r="N557" s="152"/>
      <c r="O557" s="152"/>
    </row>
    <row r="558" spans="1:15">
      <c r="A558" s="88"/>
      <c r="B558" s="152"/>
      <c r="C558" s="154"/>
      <c r="D558" s="154"/>
      <c r="E558" s="155"/>
      <c r="F558" s="154"/>
      <c r="G558" s="154"/>
      <c r="H558" s="154"/>
      <c r="I558" s="154"/>
      <c r="J558" s="154"/>
      <c r="K558" s="154"/>
      <c r="L558" s="152"/>
      <c r="M558" s="153"/>
      <c r="N558" s="152"/>
      <c r="O558" s="152"/>
    </row>
    <row r="559" spans="1:15">
      <c r="A559" s="88"/>
      <c r="B559" s="152"/>
      <c r="C559" s="154"/>
      <c r="D559" s="154"/>
      <c r="E559" s="155"/>
      <c r="F559" s="154"/>
      <c r="G559" s="154"/>
      <c r="H559" s="154"/>
      <c r="I559" s="154"/>
      <c r="J559" s="154"/>
      <c r="K559" s="154"/>
      <c r="L559" s="152"/>
      <c r="M559" s="153"/>
      <c r="N559" s="152"/>
      <c r="O559" s="152"/>
    </row>
    <row r="560" spans="1:15">
      <c r="A560" s="88"/>
      <c r="B560" s="152"/>
      <c r="C560" s="154"/>
      <c r="D560" s="154"/>
      <c r="E560" s="155"/>
      <c r="F560" s="154"/>
      <c r="G560" s="154"/>
      <c r="H560" s="154"/>
      <c r="I560" s="154"/>
      <c r="J560" s="154"/>
      <c r="K560" s="154"/>
      <c r="L560" s="152"/>
      <c r="M560" s="153"/>
      <c r="N560" s="152"/>
      <c r="O560" s="152"/>
    </row>
    <row r="561" spans="1:15">
      <c r="A561" s="88"/>
      <c r="B561" s="152"/>
      <c r="C561" s="154"/>
      <c r="D561" s="154"/>
      <c r="E561" s="155"/>
      <c r="F561" s="154"/>
      <c r="G561" s="154"/>
      <c r="H561" s="154"/>
      <c r="I561" s="154"/>
      <c r="J561" s="154"/>
      <c r="K561" s="154"/>
      <c r="L561" s="152"/>
      <c r="M561" s="153"/>
      <c r="N561" s="152"/>
      <c r="O561" s="152"/>
    </row>
    <row r="562" spans="1:15">
      <c r="A562" s="88"/>
      <c r="B562" s="152"/>
      <c r="C562" s="154"/>
      <c r="D562" s="154"/>
      <c r="E562" s="155"/>
      <c r="F562" s="154"/>
      <c r="G562" s="154"/>
      <c r="H562" s="154"/>
      <c r="I562" s="154"/>
      <c r="J562" s="154"/>
      <c r="K562" s="154"/>
      <c r="L562" s="152"/>
      <c r="M562" s="153"/>
      <c r="N562" s="152"/>
      <c r="O562" s="152"/>
    </row>
    <row r="563" spans="1:15">
      <c r="A563" s="88"/>
      <c r="B563" s="152"/>
      <c r="C563" s="154"/>
      <c r="D563" s="154"/>
      <c r="E563" s="155"/>
      <c r="F563" s="154"/>
      <c r="G563" s="154"/>
      <c r="H563" s="154"/>
      <c r="I563" s="154"/>
      <c r="J563" s="154"/>
      <c r="K563" s="154"/>
      <c r="L563" s="152"/>
      <c r="M563" s="153"/>
      <c r="N563" s="152"/>
      <c r="O563" s="152"/>
    </row>
    <row r="564" spans="1:15">
      <c r="A564" s="88"/>
      <c r="B564" s="152"/>
      <c r="C564" s="154"/>
      <c r="D564" s="154"/>
      <c r="E564" s="155"/>
      <c r="F564" s="154"/>
      <c r="G564" s="154"/>
      <c r="H564" s="154"/>
      <c r="I564" s="154"/>
      <c r="J564" s="154"/>
      <c r="K564" s="154"/>
      <c r="L564" s="152"/>
      <c r="M564" s="153"/>
      <c r="N564" s="152"/>
      <c r="O564" s="152"/>
    </row>
    <row r="565" spans="1:15">
      <c r="A565" s="88"/>
      <c r="B565" s="152"/>
      <c r="C565" s="154"/>
      <c r="D565" s="154"/>
      <c r="E565" s="155"/>
      <c r="F565" s="154"/>
      <c r="G565" s="154"/>
      <c r="H565" s="154"/>
      <c r="I565" s="154"/>
      <c r="J565" s="154"/>
      <c r="K565" s="154"/>
      <c r="L565" s="152"/>
      <c r="M565" s="153"/>
      <c r="N565" s="152"/>
      <c r="O565" s="152"/>
    </row>
    <row r="566" spans="1:15">
      <c r="A566" s="88"/>
      <c r="B566" s="152"/>
      <c r="C566" s="154"/>
      <c r="D566" s="154"/>
      <c r="E566" s="155"/>
      <c r="F566" s="154"/>
      <c r="G566" s="154"/>
      <c r="H566" s="154"/>
      <c r="I566" s="154"/>
      <c r="J566" s="154"/>
      <c r="K566" s="154"/>
      <c r="L566" s="152"/>
      <c r="M566" s="153"/>
      <c r="N566" s="152"/>
      <c r="O566" s="152"/>
    </row>
    <row r="567" spans="1:15">
      <c r="A567" s="88"/>
      <c r="B567" s="152"/>
      <c r="C567" s="154"/>
      <c r="D567" s="154"/>
      <c r="E567" s="155"/>
      <c r="F567" s="154"/>
      <c r="G567" s="154"/>
      <c r="H567" s="154"/>
      <c r="I567" s="154"/>
      <c r="J567" s="154"/>
      <c r="K567" s="154"/>
      <c r="L567" s="152"/>
      <c r="M567" s="153"/>
      <c r="N567" s="152"/>
      <c r="O567" s="152"/>
    </row>
    <row r="568" spans="1:15">
      <c r="A568" s="88"/>
      <c r="B568" s="152"/>
      <c r="C568" s="154"/>
      <c r="D568" s="154"/>
      <c r="E568" s="155"/>
      <c r="F568" s="154"/>
      <c r="G568" s="154"/>
      <c r="H568" s="154"/>
      <c r="I568" s="154"/>
      <c r="J568" s="154"/>
      <c r="K568" s="154"/>
      <c r="L568" s="152"/>
      <c r="M568" s="153"/>
      <c r="N568" s="152"/>
      <c r="O568" s="152"/>
    </row>
    <row r="569" spans="1:15">
      <c r="A569" s="88"/>
      <c r="B569" s="152"/>
      <c r="C569" s="154"/>
      <c r="D569" s="154"/>
      <c r="E569" s="155"/>
      <c r="F569" s="154"/>
      <c r="G569" s="154"/>
      <c r="H569" s="154"/>
      <c r="I569" s="154"/>
      <c r="J569" s="154"/>
      <c r="K569" s="154"/>
      <c r="L569" s="152"/>
      <c r="M569" s="153"/>
      <c r="N569" s="152"/>
      <c r="O569" s="152"/>
    </row>
    <row r="570" spans="1:15">
      <c r="A570" s="88"/>
      <c r="B570" s="152"/>
      <c r="C570" s="154"/>
      <c r="D570" s="154"/>
      <c r="E570" s="155"/>
      <c r="F570" s="154"/>
      <c r="G570" s="154"/>
      <c r="H570" s="154"/>
      <c r="I570" s="154"/>
      <c r="J570" s="154"/>
      <c r="K570" s="154"/>
      <c r="L570" s="152"/>
      <c r="M570" s="153"/>
      <c r="N570" s="152"/>
      <c r="O570" s="152"/>
    </row>
    <row r="571" spans="1:15">
      <c r="A571" s="88"/>
      <c r="B571" s="152"/>
      <c r="C571" s="154"/>
      <c r="D571" s="154"/>
      <c r="E571" s="155"/>
      <c r="F571" s="154"/>
      <c r="G571" s="154"/>
      <c r="H571" s="154"/>
      <c r="I571" s="154"/>
      <c r="J571" s="154"/>
      <c r="K571" s="154"/>
      <c r="L571" s="152"/>
      <c r="M571" s="153"/>
      <c r="N571" s="152"/>
      <c r="O571" s="152"/>
    </row>
    <row r="572" spans="1:15">
      <c r="A572" s="88"/>
      <c r="B572" s="152"/>
      <c r="C572" s="154"/>
      <c r="D572" s="154"/>
      <c r="E572" s="155"/>
      <c r="F572" s="154"/>
      <c r="G572" s="154"/>
      <c r="H572" s="154"/>
      <c r="I572" s="154"/>
      <c r="J572" s="154"/>
      <c r="K572" s="154"/>
      <c r="L572" s="152"/>
      <c r="M572" s="153"/>
      <c r="N572" s="152"/>
      <c r="O572" s="152"/>
    </row>
    <row r="573" spans="1:15">
      <c r="A573" s="88"/>
      <c r="B573" s="152"/>
      <c r="C573" s="154"/>
      <c r="D573" s="154"/>
      <c r="E573" s="155"/>
      <c r="F573" s="154"/>
      <c r="G573" s="154"/>
      <c r="H573" s="154"/>
      <c r="I573" s="154"/>
      <c r="J573" s="154"/>
      <c r="K573" s="154"/>
      <c r="L573" s="152"/>
      <c r="M573" s="153"/>
      <c r="N573" s="152"/>
      <c r="O573" s="152"/>
    </row>
    <row r="574" spans="1:15">
      <c r="A574" s="88"/>
      <c r="B574" s="152"/>
      <c r="C574" s="154"/>
      <c r="D574" s="154"/>
      <c r="E574" s="155"/>
      <c r="F574" s="154"/>
      <c r="G574" s="154"/>
      <c r="H574" s="154"/>
      <c r="I574" s="154"/>
      <c r="J574" s="154"/>
      <c r="K574" s="154"/>
      <c r="L574" s="152"/>
      <c r="M574" s="153"/>
      <c r="N574" s="152"/>
      <c r="O574" s="152"/>
    </row>
    <row r="575" spans="1:15">
      <c r="A575" s="88"/>
      <c r="B575" s="152"/>
      <c r="C575" s="154"/>
      <c r="D575" s="154"/>
      <c r="E575" s="155"/>
      <c r="F575" s="154"/>
      <c r="G575" s="154"/>
      <c r="H575" s="154"/>
      <c r="I575" s="154"/>
      <c r="J575" s="154"/>
      <c r="K575" s="154"/>
      <c r="L575" s="152"/>
      <c r="M575" s="153"/>
      <c r="N575" s="152"/>
      <c r="O575" s="152"/>
    </row>
    <row r="576" spans="1:15">
      <c r="A576" s="88"/>
      <c r="B576" s="152"/>
      <c r="C576" s="154"/>
      <c r="D576" s="154"/>
      <c r="E576" s="155"/>
      <c r="F576" s="154"/>
      <c r="G576" s="154"/>
      <c r="H576" s="154"/>
      <c r="I576" s="154"/>
      <c r="J576" s="154"/>
      <c r="K576" s="154"/>
      <c r="L576" s="152"/>
      <c r="M576" s="153"/>
      <c r="N576" s="152"/>
      <c r="O576" s="152"/>
    </row>
    <row r="577" spans="1:15">
      <c r="A577" s="88"/>
      <c r="B577" s="152"/>
      <c r="C577" s="154"/>
      <c r="D577" s="154"/>
      <c r="E577" s="155"/>
      <c r="F577" s="154"/>
      <c r="G577" s="154"/>
      <c r="H577" s="154"/>
      <c r="I577" s="154"/>
      <c r="J577" s="154"/>
      <c r="K577" s="154"/>
      <c r="L577" s="152"/>
      <c r="M577" s="153"/>
      <c r="N577" s="152"/>
      <c r="O577" s="152"/>
    </row>
    <row r="578" spans="1:15">
      <c r="A578" s="88"/>
      <c r="B578" s="152"/>
      <c r="C578" s="154"/>
      <c r="D578" s="154"/>
      <c r="E578" s="155"/>
      <c r="F578" s="154"/>
      <c r="G578" s="154"/>
      <c r="H578" s="154"/>
      <c r="I578" s="154"/>
      <c r="J578" s="154"/>
      <c r="K578" s="154"/>
      <c r="L578" s="152"/>
      <c r="M578" s="153"/>
      <c r="N578" s="152"/>
      <c r="O578" s="152"/>
    </row>
    <row r="579" spans="1:15">
      <c r="A579" s="88"/>
      <c r="B579" s="152"/>
      <c r="C579" s="154"/>
      <c r="D579" s="154"/>
      <c r="E579" s="155"/>
      <c r="F579" s="154"/>
      <c r="G579" s="154"/>
      <c r="H579" s="154"/>
      <c r="I579" s="154"/>
      <c r="J579" s="154"/>
      <c r="K579" s="154"/>
      <c r="L579" s="152"/>
      <c r="M579" s="153"/>
      <c r="N579" s="152"/>
      <c r="O579" s="152"/>
    </row>
    <row r="580" spans="1:15">
      <c r="A580" s="88"/>
      <c r="B580" s="152"/>
      <c r="C580" s="154"/>
      <c r="D580" s="154"/>
      <c r="E580" s="155"/>
      <c r="F580" s="154"/>
      <c r="G580" s="154"/>
      <c r="H580" s="154"/>
      <c r="I580" s="154"/>
      <c r="J580" s="154"/>
      <c r="K580" s="154"/>
      <c r="L580" s="152"/>
      <c r="M580" s="153"/>
      <c r="N580" s="152"/>
      <c r="O580" s="152"/>
    </row>
    <row r="581" spans="1:15">
      <c r="A581" s="88"/>
      <c r="B581" s="152"/>
      <c r="C581" s="154"/>
      <c r="D581" s="154"/>
      <c r="E581" s="155"/>
      <c r="F581" s="154"/>
      <c r="G581" s="154"/>
      <c r="H581" s="154"/>
      <c r="I581" s="154"/>
      <c r="J581" s="154"/>
      <c r="K581" s="154"/>
      <c r="L581" s="152"/>
      <c r="M581" s="153"/>
      <c r="N581" s="152"/>
      <c r="O581" s="152"/>
    </row>
    <row r="582" spans="1:15">
      <c r="A582" s="88"/>
      <c r="B582" s="152"/>
      <c r="C582" s="154"/>
      <c r="D582" s="154"/>
      <c r="E582" s="155"/>
      <c r="F582" s="154"/>
      <c r="G582" s="154"/>
      <c r="H582" s="154"/>
      <c r="I582" s="154"/>
      <c r="J582" s="154"/>
      <c r="K582" s="154"/>
      <c r="L582" s="152"/>
      <c r="M582" s="153"/>
      <c r="N582" s="152"/>
      <c r="O582" s="152"/>
    </row>
    <row r="583" spans="1:15">
      <c r="A583" s="88"/>
      <c r="B583" s="152"/>
      <c r="C583" s="154"/>
      <c r="D583" s="154"/>
      <c r="E583" s="155"/>
      <c r="F583" s="154"/>
      <c r="G583" s="154"/>
      <c r="H583" s="154"/>
      <c r="I583" s="154"/>
      <c r="J583" s="154"/>
      <c r="K583" s="154"/>
      <c r="L583" s="152"/>
      <c r="M583" s="153"/>
      <c r="N583" s="152"/>
      <c r="O583" s="152"/>
    </row>
    <row r="584" spans="1:15">
      <c r="A584" s="88"/>
      <c r="B584" s="152"/>
      <c r="C584" s="154"/>
      <c r="D584" s="154"/>
      <c r="E584" s="155"/>
      <c r="F584" s="154"/>
      <c r="G584" s="154"/>
      <c r="H584" s="154"/>
      <c r="I584" s="154"/>
      <c r="J584" s="154"/>
      <c r="K584" s="154"/>
      <c r="L584" s="152"/>
      <c r="M584" s="153"/>
      <c r="N584" s="152"/>
      <c r="O584" s="152"/>
    </row>
    <row r="585" spans="1:15">
      <c r="A585" s="88"/>
      <c r="B585" s="152"/>
      <c r="C585" s="154"/>
      <c r="D585" s="154"/>
      <c r="E585" s="155"/>
      <c r="F585" s="154"/>
      <c r="G585" s="154"/>
      <c r="H585" s="154"/>
      <c r="I585" s="154"/>
      <c r="J585" s="154"/>
      <c r="K585" s="154"/>
      <c r="L585" s="152"/>
      <c r="M585" s="153"/>
      <c r="N585" s="152"/>
      <c r="O585" s="152"/>
    </row>
    <row r="586" spans="1:15">
      <c r="A586" s="88"/>
      <c r="B586" s="152"/>
      <c r="C586" s="154"/>
      <c r="D586" s="154"/>
      <c r="E586" s="155"/>
      <c r="F586" s="154"/>
      <c r="G586" s="154"/>
      <c r="H586" s="154"/>
      <c r="I586" s="154"/>
      <c r="J586" s="154"/>
      <c r="K586" s="154"/>
      <c r="L586" s="152"/>
      <c r="M586" s="153"/>
      <c r="N586" s="152"/>
      <c r="O586" s="152"/>
    </row>
    <row r="587" spans="1:15">
      <c r="A587" s="88"/>
      <c r="B587" s="152"/>
      <c r="C587" s="154"/>
      <c r="D587" s="154"/>
      <c r="E587" s="155"/>
      <c r="F587" s="154"/>
      <c r="G587" s="154"/>
      <c r="H587" s="154"/>
      <c r="I587" s="154"/>
      <c r="J587" s="154"/>
      <c r="K587" s="154"/>
      <c r="L587" s="152"/>
      <c r="M587" s="153"/>
      <c r="N587" s="152"/>
      <c r="O587" s="152"/>
    </row>
    <row r="588" spans="1:15">
      <c r="A588" s="88"/>
      <c r="B588" s="152"/>
      <c r="C588" s="154"/>
      <c r="D588" s="154"/>
      <c r="E588" s="155"/>
      <c r="F588" s="154"/>
      <c r="G588" s="154"/>
      <c r="H588" s="154"/>
      <c r="I588" s="154"/>
      <c r="J588" s="154"/>
      <c r="K588" s="154"/>
      <c r="L588" s="152"/>
      <c r="M588" s="153"/>
      <c r="N588" s="152"/>
      <c r="O588" s="152"/>
    </row>
    <row r="589" spans="1:15">
      <c r="A589" s="88"/>
      <c r="B589" s="152"/>
      <c r="C589" s="154"/>
      <c r="D589" s="154"/>
      <c r="E589" s="155"/>
      <c r="F589" s="154"/>
      <c r="G589" s="154"/>
      <c r="H589" s="154"/>
      <c r="I589" s="154"/>
      <c r="J589" s="154"/>
      <c r="K589" s="154"/>
      <c r="L589" s="152"/>
      <c r="M589" s="153"/>
      <c r="N589" s="152"/>
      <c r="O589" s="152"/>
    </row>
    <row r="590" spans="1:15">
      <c r="A590" s="88"/>
      <c r="B590" s="152"/>
      <c r="C590" s="154"/>
      <c r="D590" s="154"/>
      <c r="E590" s="155"/>
      <c r="F590" s="154"/>
      <c r="G590" s="154"/>
      <c r="H590" s="154"/>
      <c r="I590" s="154"/>
      <c r="J590" s="154"/>
      <c r="K590" s="154"/>
      <c r="L590" s="152"/>
      <c r="M590" s="153"/>
      <c r="N590" s="152"/>
      <c r="O590" s="152"/>
    </row>
    <row r="591" spans="1:15">
      <c r="A591" s="88"/>
      <c r="B591" s="152"/>
      <c r="C591" s="154"/>
      <c r="D591" s="154"/>
      <c r="E591" s="155"/>
      <c r="F591" s="154"/>
      <c r="G591" s="154"/>
      <c r="H591" s="154"/>
      <c r="I591" s="154"/>
      <c r="J591" s="154"/>
      <c r="K591" s="154"/>
      <c r="L591" s="152"/>
      <c r="M591" s="153"/>
      <c r="N591" s="152"/>
      <c r="O591" s="152"/>
    </row>
    <row r="592" spans="1:15">
      <c r="A592" s="88"/>
      <c r="B592" s="152"/>
      <c r="C592" s="154"/>
      <c r="D592" s="154"/>
      <c r="E592" s="155"/>
      <c r="F592" s="154"/>
      <c r="G592" s="154"/>
      <c r="H592" s="154"/>
      <c r="I592" s="154"/>
      <c r="J592" s="154"/>
      <c r="K592" s="154"/>
      <c r="L592" s="152"/>
      <c r="M592" s="153"/>
      <c r="N592" s="152"/>
      <c r="O592" s="152"/>
    </row>
    <row r="593" spans="1:15">
      <c r="A593" s="88"/>
      <c r="B593" s="152"/>
      <c r="C593" s="154"/>
      <c r="D593" s="154"/>
      <c r="E593" s="155"/>
      <c r="F593" s="154"/>
      <c r="G593" s="154"/>
      <c r="H593" s="154"/>
      <c r="I593" s="154"/>
      <c r="J593" s="154"/>
      <c r="K593" s="154"/>
      <c r="L593" s="152"/>
      <c r="M593" s="153"/>
      <c r="N593" s="152"/>
      <c r="O593" s="152"/>
    </row>
    <row r="594" spans="1:15">
      <c r="A594" s="88"/>
      <c r="B594" s="152"/>
      <c r="C594" s="154"/>
      <c r="D594" s="154"/>
      <c r="E594" s="155"/>
      <c r="F594" s="154"/>
      <c r="G594" s="154"/>
      <c r="H594" s="154"/>
      <c r="I594" s="154"/>
      <c r="J594" s="154"/>
      <c r="K594" s="154"/>
      <c r="L594" s="152"/>
      <c r="M594" s="153"/>
      <c r="N594" s="152"/>
      <c r="O594" s="152"/>
    </row>
    <row r="595" spans="1:15">
      <c r="A595" s="88"/>
      <c r="B595" s="152"/>
      <c r="C595" s="154"/>
      <c r="D595" s="154"/>
      <c r="E595" s="155"/>
      <c r="F595" s="154"/>
      <c r="G595" s="154"/>
      <c r="H595" s="154"/>
      <c r="I595" s="154"/>
      <c r="J595" s="154"/>
      <c r="K595" s="154"/>
      <c r="L595" s="152"/>
      <c r="M595" s="153"/>
      <c r="N595" s="152"/>
      <c r="O595" s="152"/>
    </row>
    <row r="596" spans="1:15">
      <c r="A596" s="88"/>
      <c r="B596" s="152"/>
      <c r="C596" s="154"/>
      <c r="D596" s="154"/>
      <c r="E596" s="155"/>
      <c r="F596" s="154"/>
      <c r="G596" s="154"/>
      <c r="H596" s="154"/>
      <c r="I596" s="154"/>
      <c r="J596" s="154"/>
      <c r="K596" s="154"/>
      <c r="L596" s="152"/>
      <c r="M596" s="153"/>
      <c r="N596" s="152"/>
      <c r="O596" s="152"/>
    </row>
    <row r="597" spans="1:15">
      <c r="A597" s="88"/>
      <c r="B597" s="152"/>
      <c r="C597" s="154"/>
      <c r="D597" s="154"/>
      <c r="E597" s="155"/>
      <c r="F597" s="154"/>
      <c r="G597" s="154"/>
      <c r="H597" s="154"/>
      <c r="I597" s="154"/>
      <c r="J597" s="154"/>
      <c r="K597" s="154"/>
      <c r="L597" s="152"/>
      <c r="M597" s="153"/>
      <c r="N597" s="152"/>
      <c r="O597" s="152"/>
    </row>
    <row r="598" spans="1:15">
      <c r="A598" s="88"/>
      <c r="B598" s="152"/>
      <c r="C598" s="154"/>
      <c r="D598" s="154"/>
      <c r="E598" s="155"/>
      <c r="F598" s="154"/>
      <c r="G598" s="154"/>
      <c r="H598" s="154"/>
      <c r="I598" s="154"/>
      <c r="J598" s="154"/>
      <c r="K598" s="154"/>
      <c r="L598" s="152"/>
      <c r="M598" s="153"/>
      <c r="N598" s="152"/>
      <c r="O598" s="152"/>
    </row>
    <row r="599" spans="1:15">
      <c r="A599" s="88"/>
      <c r="B599" s="152"/>
      <c r="C599" s="154"/>
      <c r="D599" s="154"/>
      <c r="E599" s="155"/>
      <c r="F599" s="154"/>
      <c r="G599" s="154"/>
      <c r="H599" s="154"/>
      <c r="I599" s="154"/>
      <c r="J599" s="154"/>
      <c r="K599" s="154"/>
      <c r="L599" s="152"/>
      <c r="M599" s="153"/>
      <c r="N599" s="152"/>
      <c r="O599" s="152"/>
    </row>
    <row r="600" spans="1:15">
      <c r="A600" s="88"/>
      <c r="B600" s="152"/>
      <c r="C600" s="154"/>
      <c r="D600" s="154"/>
      <c r="E600" s="155"/>
      <c r="F600" s="154"/>
      <c r="G600" s="154"/>
      <c r="H600" s="154"/>
      <c r="I600" s="154"/>
      <c r="J600" s="154"/>
      <c r="K600" s="154"/>
      <c r="L600" s="152"/>
      <c r="M600" s="153"/>
      <c r="N600" s="152"/>
      <c r="O600" s="152"/>
    </row>
    <row r="601" spans="1:15">
      <c r="A601" s="88"/>
      <c r="B601" s="152"/>
      <c r="C601" s="154"/>
      <c r="D601" s="154"/>
      <c r="E601" s="155"/>
      <c r="F601" s="154"/>
      <c r="G601" s="154"/>
      <c r="H601" s="154"/>
      <c r="I601" s="154"/>
      <c r="J601" s="154"/>
      <c r="K601" s="154"/>
      <c r="L601" s="152"/>
      <c r="M601" s="153"/>
      <c r="N601" s="152"/>
      <c r="O601" s="152"/>
    </row>
    <row r="602" spans="1:15">
      <c r="A602" s="88"/>
      <c r="B602" s="152"/>
      <c r="C602" s="154"/>
      <c r="D602" s="154"/>
      <c r="E602" s="155"/>
      <c r="F602" s="154"/>
      <c r="G602" s="154"/>
      <c r="H602" s="154"/>
      <c r="I602" s="154"/>
      <c r="J602" s="154"/>
      <c r="K602" s="154"/>
      <c r="L602" s="152"/>
      <c r="M602" s="153"/>
      <c r="N602" s="152"/>
      <c r="O602" s="152"/>
    </row>
    <row r="603" spans="1:15">
      <c r="A603" s="88"/>
      <c r="B603" s="152"/>
      <c r="C603" s="154"/>
      <c r="D603" s="154"/>
      <c r="E603" s="155"/>
      <c r="F603" s="154"/>
      <c r="G603" s="154"/>
      <c r="H603" s="154"/>
      <c r="I603" s="154"/>
      <c r="J603" s="154"/>
      <c r="K603" s="154"/>
      <c r="L603" s="152"/>
      <c r="M603" s="153"/>
      <c r="N603" s="152"/>
      <c r="O603" s="152"/>
    </row>
    <row r="604" spans="1:15">
      <c r="A604" s="88"/>
      <c r="B604" s="152"/>
      <c r="C604" s="154"/>
      <c r="D604" s="154"/>
      <c r="E604" s="155"/>
      <c r="F604" s="154"/>
      <c r="G604" s="154"/>
      <c r="H604" s="154"/>
      <c r="I604" s="154"/>
      <c r="J604" s="154"/>
      <c r="K604" s="154"/>
      <c r="L604" s="152"/>
      <c r="M604" s="153"/>
      <c r="N604" s="152"/>
      <c r="O604" s="152"/>
    </row>
    <row r="605" spans="1:15">
      <c r="A605" s="88"/>
      <c r="B605" s="152"/>
      <c r="C605" s="154"/>
      <c r="D605" s="154"/>
      <c r="E605" s="155"/>
      <c r="F605" s="154"/>
      <c r="G605" s="154"/>
      <c r="H605" s="154"/>
      <c r="I605" s="154"/>
      <c r="J605" s="154"/>
      <c r="K605" s="154"/>
      <c r="L605" s="152"/>
      <c r="M605" s="153"/>
      <c r="N605" s="152"/>
      <c r="O605" s="152"/>
    </row>
    <row r="606" spans="1:15">
      <c r="A606" s="88"/>
      <c r="B606" s="152"/>
      <c r="C606" s="154"/>
      <c r="D606" s="154"/>
      <c r="E606" s="155"/>
      <c r="F606" s="154"/>
      <c r="G606" s="154"/>
      <c r="H606" s="154"/>
      <c r="I606" s="154"/>
      <c r="J606" s="154"/>
      <c r="K606" s="154"/>
      <c r="L606" s="152"/>
      <c r="M606" s="153"/>
      <c r="N606" s="152"/>
      <c r="O606" s="152"/>
    </row>
    <row r="607" spans="1:15">
      <c r="A607" s="88"/>
      <c r="B607" s="152"/>
      <c r="C607" s="154"/>
      <c r="D607" s="154"/>
      <c r="E607" s="155"/>
      <c r="F607" s="154"/>
      <c r="G607" s="154"/>
      <c r="H607" s="154"/>
      <c r="I607" s="154"/>
      <c r="J607" s="154"/>
      <c r="K607" s="154"/>
      <c r="L607" s="152"/>
      <c r="M607" s="153"/>
      <c r="N607" s="152"/>
      <c r="O607" s="152"/>
    </row>
    <row r="608" spans="1:15">
      <c r="A608" s="88"/>
      <c r="B608" s="152"/>
      <c r="C608" s="154"/>
      <c r="D608" s="154"/>
      <c r="E608" s="155"/>
      <c r="F608" s="154"/>
      <c r="G608" s="154"/>
      <c r="H608" s="154"/>
      <c r="I608" s="154"/>
      <c r="J608" s="154"/>
      <c r="K608" s="154"/>
      <c r="L608" s="152"/>
      <c r="M608" s="153"/>
      <c r="N608" s="152"/>
      <c r="O608" s="152"/>
    </row>
    <row r="609" spans="1:15">
      <c r="A609" s="88"/>
      <c r="B609" s="152"/>
      <c r="C609" s="154"/>
      <c r="D609" s="154"/>
      <c r="E609" s="155"/>
      <c r="F609" s="154"/>
      <c r="G609" s="154"/>
      <c r="H609" s="154"/>
      <c r="I609" s="154"/>
      <c r="J609" s="154"/>
      <c r="K609" s="154"/>
      <c r="L609" s="152"/>
      <c r="M609" s="153"/>
      <c r="N609" s="152"/>
      <c r="O609" s="152"/>
    </row>
    <row r="610" spans="1:15">
      <c r="A610" s="88"/>
      <c r="B610" s="152"/>
      <c r="C610" s="154"/>
      <c r="D610" s="154"/>
      <c r="E610" s="155"/>
      <c r="F610" s="154"/>
      <c r="G610" s="154"/>
      <c r="H610" s="154"/>
      <c r="I610" s="154"/>
      <c r="J610" s="154"/>
      <c r="K610" s="154"/>
      <c r="L610" s="152"/>
      <c r="M610" s="153"/>
      <c r="N610" s="152"/>
      <c r="O610" s="152"/>
    </row>
    <row r="611" spans="1:15">
      <c r="A611" s="88"/>
      <c r="B611" s="152"/>
      <c r="C611" s="154"/>
      <c r="D611" s="154"/>
      <c r="E611" s="155"/>
      <c r="F611" s="154"/>
      <c r="G611" s="154"/>
      <c r="H611" s="154"/>
      <c r="I611" s="154"/>
      <c r="J611" s="154"/>
      <c r="K611" s="154"/>
      <c r="L611" s="152"/>
      <c r="M611" s="153"/>
      <c r="N611" s="152"/>
      <c r="O611" s="152"/>
    </row>
    <row r="612" spans="1:15">
      <c r="A612" s="88"/>
      <c r="B612" s="152"/>
      <c r="C612" s="154"/>
      <c r="D612" s="154"/>
      <c r="E612" s="155"/>
      <c r="F612" s="154"/>
      <c r="G612" s="154"/>
      <c r="H612" s="154"/>
      <c r="I612" s="154"/>
      <c r="J612" s="154"/>
      <c r="K612" s="154"/>
      <c r="L612" s="152"/>
      <c r="M612" s="153"/>
      <c r="N612" s="152"/>
      <c r="O612" s="152"/>
    </row>
    <row r="613" spans="1:15">
      <c r="A613" s="88"/>
      <c r="B613" s="152"/>
      <c r="C613" s="154"/>
      <c r="D613" s="154"/>
      <c r="E613" s="155"/>
      <c r="F613" s="154"/>
      <c r="G613" s="154"/>
      <c r="H613" s="154"/>
      <c r="I613" s="154"/>
      <c r="J613" s="154"/>
      <c r="K613" s="154"/>
      <c r="L613" s="152"/>
      <c r="M613" s="153"/>
      <c r="N613" s="152"/>
      <c r="O613" s="152"/>
    </row>
    <row r="614" spans="1:15">
      <c r="A614" s="88"/>
      <c r="B614" s="152"/>
      <c r="C614" s="154"/>
      <c r="D614" s="154"/>
      <c r="E614" s="155"/>
      <c r="F614" s="154"/>
      <c r="G614" s="154"/>
      <c r="H614" s="154"/>
      <c r="I614" s="154"/>
      <c r="J614" s="154"/>
      <c r="K614" s="154"/>
      <c r="L614" s="152"/>
      <c r="M614" s="153"/>
      <c r="N614" s="152"/>
      <c r="O614" s="152"/>
    </row>
    <row r="615" spans="1:15">
      <c r="A615" s="88"/>
      <c r="B615" s="152"/>
      <c r="C615" s="154"/>
      <c r="D615" s="154"/>
      <c r="E615" s="155"/>
      <c r="F615" s="154"/>
      <c r="G615" s="154"/>
      <c r="H615" s="154"/>
      <c r="I615" s="154"/>
      <c r="J615" s="154"/>
      <c r="K615" s="154"/>
      <c r="L615" s="152"/>
      <c r="M615" s="153"/>
      <c r="N615" s="152"/>
      <c r="O615" s="152"/>
    </row>
    <row r="616" spans="1:15">
      <c r="A616" s="88"/>
      <c r="B616" s="152"/>
      <c r="C616" s="154"/>
      <c r="D616" s="154"/>
      <c r="E616" s="155"/>
      <c r="F616" s="154"/>
      <c r="G616" s="154"/>
      <c r="H616" s="154"/>
      <c r="I616" s="154"/>
      <c r="J616" s="154"/>
      <c r="K616" s="154"/>
      <c r="L616" s="152"/>
      <c r="M616" s="153"/>
      <c r="N616" s="152"/>
      <c r="O616" s="152"/>
    </row>
    <row r="617" spans="1:15">
      <c r="A617" s="88"/>
      <c r="B617" s="152"/>
      <c r="C617" s="154"/>
      <c r="D617" s="154"/>
      <c r="E617" s="155"/>
      <c r="F617" s="154"/>
      <c r="G617" s="154"/>
      <c r="H617" s="154"/>
      <c r="I617" s="154"/>
      <c r="J617" s="154"/>
      <c r="K617" s="154"/>
      <c r="L617" s="152"/>
      <c r="M617" s="153"/>
      <c r="N617" s="152"/>
      <c r="O617" s="152"/>
    </row>
    <row r="618" spans="1:15">
      <c r="A618" s="88"/>
      <c r="B618" s="152"/>
      <c r="C618" s="154"/>
      <c r="D618" s="154"/>
      <c r="E618" s="155"/>
      <c r="F618" s="154"/>
      <c r="G618" s="154"/>
      <c r="H618" s="154"/>
      <c r="I618" s="154"/>
      <c r="J618" s="154"/>
      <c r="K618" s="154"/>
      <c r="L618" s="152"/>
      <c r="M618" s="153"/>
      <c r="N618" s="152"/>
      <c r="O618" s="152"/>
    </row>
    <row r="619" spans="1:15">
      <c r="A619" s="88"/>
      <c r="B619" s="152"/>
      <c r="C619" s="154"/>
      <c r="D619" s="154"/>
      <c r="E619" s="155"/>
      <c r="F619" s="154"/>
      <c r="G619" s="154"/>
      <c r="H619" s="154"/>
      <c r="I619" s="154"/>
      <c r="J619" s="154"/>
      <c r="K619" s="154"/>
      <c r="L619" s="152"/>
      <c r="M619" s="153"/>
      <c r="N619" s="152"/>
      <c r="O619" s="152"/>
    </row>
    <row r="620" spans="1:15">
      <c r="A620" s="88"/>
      <c r="B620" s="152"/>
      <c r="C620" s="154"/>
      <c r="D620" s="154"/>
      <c r="E620" s="155"/>
      <c r="F620" s="154"/>
      <c r="G620" s="154"/>
      <c r="H620" s="154"/>
      <c r="I620" s="154"/>
      <c r="J620" s="154"/>
      <c r="K620" s="154"/>
      <c r="L620" s="152"/>
      <c r="M620" s="153"/>
      <c r="N620" s="152"/>
      <c r="O620" s="152"/>
    </row>
    <row r="621" spans="1:15">
      <c r="A621" s="88"/>
      <c r="B621" s="152"/>
      <c r="C621" s="154"/>
      <c r="D621" s="154"/>
      <c r="E621" s="155"/>
      <c r="F621" s="154"/>
      <c r="G621" s="154"/>
      <c r="H621" s="154"/>
      <c r="I621" s="154"/>
      <c r="J621" s="154"/>
      <c r="K621" s="154"/>
      <c r="L621" s="152"/>
      <c r="M621" s="153"/>
      <c r="N621" s="152"/>
      <c r="O621" s="152"/>
    </row>
    <row r="622" spans="1:15">
      <c r="A622" s="88"/>
      <c r="B622" s="152"/>
      <c r="C622" s="154"/>
      <c r="D622" s="154"/>
      <c r="E622" s="155"/>
      <c r="F622" s="154"/>
      <c r="G622" s="154"/>
      <c r="H622" s="154"/>
      <c r="I622" s="154"/>
      <c r="J622" s="154"/>
      <c r="K622" s="154"/>
      <c r="L622" s="152"/>
      <c r="M622" s="153"/>
      <c r="N622" s="152"/>
      <c r="O622" s="152"/>
    </row>
    <row r="623" spans="1:15">
      <c r="A623" s="88"/>
      <c r="B623" s="152"/>
      <c r="C623" s="154"/>
      <c r="D623" s="154"/>
      <c r="E623" s="155"/>
      <c r="F623" s="154"/>
      <c r="G623" s="154"/>
      <c r="H623" s="154"/>
      <c r="I623" s="154"/>
      <c r="J623" s="154"/>
      <c r="K623" s="154"/>
      <c r="L623" s="152"/>
      <c r="M623" s="153"/>
      <c r="N623" s="152"/>
      <c r="O623" s="152"/>
    </row>
    <row r="624" spans="1:15">
      <c r="A624" s="88"/>
      <c r="B624" s="152"/>
      <c r="C624" s="154"/>
      <c r="D624" s="154"/>
      <c r="E624" s="155"/>
      <c r="F624" s="154"/>
      <c r="G624" s="154"/>
      <c r="H624" s="154"/>
      <c r="I624" s="154"/>
      <c r="J624" s="154"/>
      <c r="K624" s="154"/>
      <c r="L624" s="152"/>
      <c r="M624" s="153"/>
      <c r="N624" s="152"/>
      <c r="O624" s="152"/>
    </row>
    <row r="625" spans="1:15">
      <c r="A625" s="88"/>
      <c r="B625" s="152"/>
      <c r="C625" s="154"/>
      <c r="D625" s="154"/>
      <c r="E625" s="155"/>
      <c r="F625" s="154"/>
      <c r="G625" s="154"/>
      <c r="H625" s="154"/>
      <c r="I625" s="154"/>
      <c r="J625" s="154"/>
      <c r="K625" s="154"/>
      <c r="L625" s="152"/>
      <c r="M625" s="153"/>
      <c r="N625" s="152"/>
      <c r="O625" s="152"/>
    </row>
    <row r="626" spans="1:15">
      <c r="A626" s="88"/>
      <c r="B626" s="152"/>
      <c r="C626" s="154"/>
      <c r="D626" s="154"/>
      <c r="E626" s="155"/>
      <c r="F626" s="154"/>
      <c r="G626" s="154"/>
      <c r="H626" s="154"/>
      <c r="I626" s="154"/>
      <c r="J626" s="154"/>
      <c r="K626" s="154"/>
      <c r="L626" s="152"/>
      <c r="M626" s="153"/>
      <c r="N626" s="152"/>
      <c r="O626" s="152"/>
    </row>
    <row r="627" spans="1:15">
      <c r="A627" s="88"/>
      <c r="B627" s="152"/>
      <c r="C627" s="154"/>
      <c r="D627" s="154"/>
      <c r="E627" s="155"/>
      <c r="F627" s="154"/>
      <c r="G627" s="154"/>
      <c r="H627" s="154"/>
      <c r="I627" s="154"/>
      <c r="J627" s="154"/>
      <c r="K627" s="154"/>
      <c r="L627" s="152"/>
      <c r="M627" s="153"/>
      <c r="N627" s="152"/>
      <c r="O627" s="152"/>
    </row>
    <row r="628" spans="1:15">
      <c r="A628" s="88"/>
      <c r="B628" s="152"/>
      <c r="C628" s="154"/>
      <c r="D628" s="154"/>
      <c r="E628" s="155"/>
      <c r="F628" s="154"/>
      <c r="G628" s="154"/>
      <c r="H628" s="154"/>
      <c r="I628" s="154"/>
      <c r="J628" s="154"/>
      <c r="K628" s="154"/>
      <c r="L628" s="152"/>
      <c r="M628" s="153"/>
      <c r="N628" s="152"/>
      <c r="O628" s="152"/>
    </row>
    <row r="629" spans="1:15">
      <c r="A629" s="88"/>
      <c r="B629" s="152"/>
      <c r="C629" s="154"/>
      <c r="D629" s="154"/>
      <c r="E629" s="155"/>
      <c r="F629" s="154"/>
      <c r="G629" s="154"/>
      <c r="H629" s="154"/>
      <c r="I629" s="154"/>
      <c r="J629" s="154"/>
      <c r="K629" s="154"/>
      <c r="L629" s="152"/>
      <c r="M629" s="153"/>
      <c r="N629" s="152"/>
      <c r="O629" s="152"/>
    </row>
    <row r="630" spans="1:15">
      <c r="A630" s="88"/>
      <c r="B630" s="152"/>
      <c r="C630" s="154"/>
      <c r="D630" s="154"/>
      <c r="E630" s="155"/>
      <c r="F630" s="154"/>
      <c r="G630" s="154"/>
      <c r="H630" s="154"/>
      <c r="I630" s="154"/>
      <c r="J630" s="154"/>
      <c r="K630" s="154"/>
      <c r="L630" s="152"/>
      <c r="M630" s="153"/>
      <c r="N630" s="152"/>
      <c r="O630" s="152"/>
    </row>
    <row r="631" spans="1:15">
      <c r="A631" s="88"/>
      <c r="B631" s="152"/>
      <c r="C631" s="154"/>
      <c r="D631" s="154"/>
      <c r="E631" s="155"/>
      <c r="F631" s="154"/>
      <c r="G631" s="154"/>
      <c r="H631" s="154"/>
      <c r="I631" s="154"/>
      <c r="J631" s="154"/>
      <c r="K631" s="154"/>
      <c r="L631" s="152"/>
      <c r="M631" s="153"/>
      <c r="N631" s="152"/>
      <c r="O631" s="152"/>
    </row>
    <row r="632" spans="1:15">
      <c r="A632" s="88"/>
      <c r="B632" s="152"/>
      <c r="C632" s="154"/>
      <c r="D632" s="154"/>
      <c r="E632" s="155"/>
      <c r="F632" s="154"/>
      <c r="G632" s="154"/>
      <c r="H632" s="154"/>
      <c r="I632" s="154"/>
      <c r="J632" s="154"/>
      <c r="K632" s="154"/>
      <c r="L632" s="152"/>
      <c r="M632" s="153"/>
      <c r="N632" s="152"/>
      <c r="O632" s="152"/>
    </row>
    <row r="633" spans="1:15">
      <c r="A633" s="88"/>
      <c r="B633" s="152"/>
      <c r="C633" s="154"/>
      <c r="D633" s="154"/>
      <c r="E633" s="155"/>
      <c r="F633" s="154"/>
      <c r="G633" s="154"/>
      <c r="H633" s="154"/>
      <c r="I633" s="154"/>
      <c r="J633" s="154"/>
      <c r="K633" s="154"/>
      <c r="L633" s="152"/>
      <c r="M633" s="153"/>
      <c r="N633" s="152"/>
      <c r="O633" s="152"/>
    </row>
    <row r="634" spans="1:15">
      <c r="A634" s="88"/>
      <c r="B634" s="152"/>
      <c r="C634" s="154"/>
      <c r="D634" s="154"/>
      <c r="E634" s="155"/>
      <c r="F634" s="154"/>
      <c r="G634" s="154"/>
      <c r="H634" s="154"/>
      <c r="I634" s="154"/>
      <c r="J634" s="154"/>
      <c r="K634" s="154"/>
      <c r="L634" s="152"/>
      <c r="M634" s="153"/>
      <c r="N634" s="152"/>
      <c r="O634" s="152"/>
    </row>
    <row r="635" spans="1:15">
      <c r="A635" s="88"/>
      <c r="B635" s="152"/>
      <c r="C635" s="154"/>
      <c r="D635" s="154"/>
      <c r="E635" s="155"/>
      <c r="F635" s="154"/>
      <c r="G635" s="154"/>
      <c r="H635" s="154"/>
      <c r="I635" s="154"/>
      <c r="J635" s="154"/>
      <c r="K635" s="154"/>
      <c r="L635" s="152"/>
      <c r="M635" s="153"/>
      <c r="N635" s="152"/>
      <c r="O635" s="152"/>
    </row>
    <row r="636" spans="1:15">
      <c r="A636" s="88"/>
      <c r="B636" s="152"/>
      <c r="C636" s="154"/>
      <c r="D636" s="154"/>
      <c r="E636" s="155"/>
      <c r="F636" s="154"/>
      <c r="G636" s="154"/>
      <c r="H636" s="154"/>
      <c r="I636" s="154"/>
      <c r="J636" s="154"/>
      <c r="K636" s="154"/>
      <c r="L636" s="152"/>
      <c r="M636" s="153"/>
      <c r="N636" s="152"/>
      <c r="O636" s="152"/>
    </row>
    <row r="637" spans="1:15">
      <c r="A637" s="88"/>
      <c r="B637" s="152"/>
      <c r="C637" s="154"/>
      <c r="D637" s="154"/>
      <c r="E637" s="155"/>
      <c r="F637" s="154"/>
      <c r="G637" s="154"/>
      <c r="H637" s="154"/>
      <c r="I637" s="154"/>
      <c r="J637" s="154"/>
      <c r="K637" s="154"/>
      <c r="L637" s="152"/>
      <c r="M637" s="153"/>
      <c r="N637" s="152"/>
      <c r="O637" s="152"/>
    </row>
    <row r="638" spans="1:15">
      <c r="A638" s="88"/>
      <c r="B638" s="152"/>
      <c r="C638" s="154"/>
      <c r="D638" s="154"/>
      <c r="E638" s="155"/>
      <c r="F638" s="154"/>
      <c r="G638" s="154"/>
      <c r="H638" s="154"/>
      <c r="I638" s="154"/>
      <c r="J638" s="154"/>
      <c r="K638" s="154"/>
      <c r="L638" s="152"/>
      <c r="M638" s="153"/>
      <c r="N638" s="152"/>
      <c r="O638" s="152"/>
    </row>
    <row r="639" spans="1:15">
      <c r="A639" s="88"/>
      <c r="B639" s="152"/>
      <c r="C639" s="154"/>
      <c r="D639" s="154"/>
      <c r="E639" s="155"/>
      <c r="F639" s="154"/>
      <c r="G639" s="154"/>
      <c r="H639" s="154"/>
      <c r="I639" s="154"/>
      <c r="J639" s="154"/>
      <c r="K639" s="154"/>
      <c r="L639" s="152"/>
      <c r="M639" s="153"/>
      <c r="N639" s="152"/>
      <c r="O639" s="152"/>
    </row>
    <row r="640" spans="1:15">
      <c r="A640" s="88"/>
      <c r="B640" s="152"/>
      <c r="C640" s="154"/>
      <c r="D640" s="154"/>
      <c r="E640" s="155"/>
      <c r="F640" s="154"/>
      <c r="G640" s="154"/>
      <c r="H640" s="154"/>
      <c r="I640" s="154"/>
      <c r="J640" s="154"/>
      <c r="K640" s="154"/>
      <c r="L640" s="152"/>
      <c r="M640" s="153"/>
      <c r="N640" s="152"/>
      <c r="O640" s="152"/>
    </row>
    <row r="641" spans="1:15">
      <c r="A641" s="88"/>
      <c r="B641" s="152"/>
      <c r="C641" s="154"/>
      <c r="D641" s="154"/>
      <c r="E641" s="155"/>
      <c r="F641" s="154"/>
      <c r="G641" s="154"/>
      <c r="H641" s="154"/>
      <c r="I641" s="154"/>
      <c r="J641" s="154"/>
      <c r="K641" s="154"/>
      <c r="L641" s="152"/>
      <c r="M641" s="153"/>
      <c r="N641" s="152"/>
      <c r="O641" s="152"/>
    </row>
    <row r="642" spans="1:15">
      <c r="A642" s="88"/>
      <c r="B642" s="152"/>
      <c r="C642" s="154"/>
      <c r="D642" s="154"/>
      <c r="E642" s="155"/>
      <c r="F642" s="154"/>
      <c r="G642" s="154"/>
      <c r="H642" s="154"/>
      <c r="I642" s="154"/>
      <c r="J642" s="154"/>
      <c r="K642" s="154"/>
      <c r="L642" s="152"/>
      <c r="M642" s="153"/>
      <c r="N642" s="152"/>
      <c r="O642" s="152"/>
    </row>
    <row r="643" spans="1:15">
      <c r="A643" s="88"/>
      <c r="B643" s="152"/>
      <c r="C643" s="154"/>
      <c r="D643" s="154"/>
      <c r="E643" s="155"/>
      <c r="F643" s="154"/>
      <c r="G643" s="154"/>
      <c r="H643" s="154"/>
      <c r="I643" s="154"/>
      <c r="J643" s="154"/>
      <c r="K643" s="154"/>
      <c r="L643" s="152"/>
      <c r="M643" s="153"/>
      <c r="N643" s="152"/>
      <c r="O643" s="152"/>
    </row>
    <row r="644" spans="1:15">
      <c r="A644" s="88"/>
      <c r="B644" s="152"/>
      <c r="C644" s="154"/>
      <c r="D644" s="154"/>
      <c r="E644" s="155"/>
      <c r="F644" s="154"/>
      <c r="G644" s="154"/>
      <c r="H644" s="154"/>
      <c r="I644" s="154"/>
      <c r="J644" s="154"/>
      <c r="K644" s="154"/>
      <c r="L644" s="152"/>
      <c r="M644" s="153"/>
      <c r="N644" s="152"/>
      <c r="O644" s="152"/>
    </row>
    <row r="645" spans="1:15">
      <c r="A645" s="88"/>
      <c r="B645" s="152"/>
      <c r="C645" s="154"/>
      <c r="D645" s="154"/>
      <c r="E645" s="155"/>
      <c r="F645" s="154"/>
      <c r="G645" s="154"/>
      <c r="H645" s="154"/>
      <c r="I645" s="154"/>
      <c r="J645" s="154"/>
      <c r="K645" s="154"/>
      <c r="L645" s="152"/>
      <c r="M645" s="153"/>
      <c r="N645" s="152"/>
      <c r="O645" s="152"/>
    </row>
    <row r="646" spans="1:15">
      <c r="A646" s="88"/>
      <c r="B646" s="152"/>
      <c r="C646" s="154"/>
      <c r="D646" s="154"/>
      <c r="E646" s="155"/>
      <c r="F646" s="154"/>
      <c r="G646" s="154"/>
      <c r="H646" s="154"/>
      <c r="I646" s="154"/>
      <c r="J646" s="154"/>
      <c r="K646" s="154"/>
      <c r="L646" s="152"/>
      <c r="M646" s="153"/>
      <c r="N646" s="152"/>
      <c r="O646" s="152"/>
    </row>
    <row r="647" spans="1:15">
      <c r="A647" s="88"/>
      <c r="B647" s="152"/>
      <c r="C647" s="154"/>
      <c r="D647" s="154"/>
      <c r="E647" s="155"/>
      <c r="F647" s="154"/>
      <c r="G647" s="154"/>
      <c r="H647" s="154"/>
      <c r="I647" s="154"/>
      <c r="J647" s="154"/>
      <c r="K647" s="154"/>
      <c r="L647" s="152"/>
      <c r="M647" s="153"/>
      <c r="N647" s="152"/>
      <c r="O647" s="152"/>
    </row>
    <row r="648" spans="1:15">
      <c r="A648" s="88"/>
      <c r="B648" s="152"/>
      <c r="C648" s="154"/>
      <c r="D648" s="154"/>
      <c r="E648" s="155"/>
      <c r="F648" s="154"/>
      <c r="G648" s="154"/>
      <c r="H648" s="154"/>
      <c r="I648" s="154"/>
      <c r="J648" s="154"/>
      <c r="K648" s="154"/>
      <c r="L648" s="152"/>
      <c r="M648" s="153"/>
      <c r="N648" s="152"/>
      <c r="O648" s="152"/>
    </row>
    <row r="649" spans="1:15">
      <c r="A649" s="88"/>
      <c r="B649" s="152"/>
      <c r="C649" s="154"/>
      <c r="D649" s="154"/>
      <c r="E649" s="155"/>
      <c r="F649" s="154"/>
      <c r="G649" s="154"/>
      <c r="H649" s="154"/>
      <c r="I649" s="154"/>
      <c r="J649" s="154"/>
      <c r="K649" s="154"/>
      <c r="L649" s="152"/>
      <c r="M649" s="153"/>
      <c r="N649" s="152"/>
      <c r="O649" s="152"/>
    </row>
    <row r="650" spans="1:15">
      <c r="A650" s="88"/>
      <c r="B650" s="152"/>
      <c r="C650" s="154"/>
      <c r="D650" s="154"/>
      <c r="E650" s="155"/>
      <c r="F650" s="154"/>
      <c r="G650" s="154"/>
      <c r="H650" s="154"/>
      <c r="I650" s="154"/>
      <c r="J650" s="154"/>
      <c r="K650" s="154"/>
      <c r="L650" s="152"/>
      <c r="M650" s="153"/>
      <c r="N650" s="152"/>
      <c r="O650" s="152"/>
    </row>
    <row r="651" spans="1:15">
      <c r="A651" s="88"/>
      <c r="B651" s="152"/>
      <c r="C651" s="154"/>
      <c r="D651" s="154"/>
      <c r="E651" s="155"/>
      <c r="F651" s="154"/>
      <c r="G651" s="154"/>
      <c r="H651" s="154"/>
      <c r="I651" s="154"/>
      <c r="J651" s="154"/>
      <c r="K651" s="154"/>
      <c r="L651" s="152"/>
      <c r="M651" s="153"/>
      <c r="N651" s="152"/>
      <c r="O651" s="152"/>
    </row>
    <row r="652" spans="1:15">
      <c r="A652" s="88"/>
      <c r="B652" s="152"/>
      <c r="C652" s="154"/>
      <c r="D652" s="154"/>
      <c r="E652" s="155"/>
      <c r="F652" s="154"/>
      <c r="G652" s="154"/>
      <c r="H652" s="154"/>
      <c r="I652" s="154"/>
      <c r="J652" s="154"/>
      <c r="K652" s="154"/>
      <c r="L652" s="152"/>
      <c r="M652" s="153"/>
      <c r="N652" s="152"/>
      <c r="O652" s="152"/>
    </row>
    <row r="653" spans="1:15">
      <c r="A653" s="88"/>
      <c r="B653" s="152"/>
      <c r="C653" s="154"/>
      <c r="D653" s="154"/>
      <c r="E653" s="155"/>
      <c r="F653" s="154"/>
      <c r="G653" s="154"/>
      <c r="H653" s="154"/>
      <c r="I653" s="154"/>
      <c r="J653" s="154"/>
      <c r="K653" s="154"/>
      <c r="L653" s="152"/>
      <c r="M653" s="153"/>
      <c r="N653" s="152"/>
      <c r="O653" s="152"/>
    </row>
    <row r="654" spans="1:15">
      <c r="A654" s="88"/>
      <c r="B654" s="152"/>
      <c r="C654" s="154"/>
      <c r="D654" s="154"/>
      <c r="E654" s="155"/>
      <c r="F654" s="154"/>
      <c r="G654" s="154"/>
      <c r="H654" s="154"/>
      <c r="I654" s="154"/>
      <c r="J654" s="154"/>
      <c r="K654" s="154"/>
      <c r="L654" s="152"/>
      <c r="M654" s="153"/>
      <c r="N654" s="152"/>
      <c r="O654" s="152"/>
    </row>
    <row r="655" spans="1:15">
      <c r="A655" s="88"/>
      <c r="B655" s="152"/>
      <c r="C655" s="154"/>
      <c r="D655" s="154"/>
      <c r="E655" s="155"/>
      <c r="F655" s="154"/>
      <c r="G655" s="154"/>
      <c r="H655" s="154"/>
      <c r="I655" s="154"/>
      <c r="J655" s="154"/>
      <c r="K655" s="154"/>
      <c r="L655" s="152"/>
      <c r="M655" s="153"/>
      <c r="N655" s="152"/>
      <c r="O655" s="152"/>
    </row>
    <row r="656" spans="1:15">
      <c r="A656" s="88"/>
      <c r="B656" s="152"/>
      <c r="C656" s="154"/>
      <c r="D656" s="154"/>
      <c r="E656" s="155"/>
      <c r="F656" s="154"/>
      <c r="G656" s="154"/>
      <c r="H656" s="154"/>
      <c r="I656" s="154"/>
      <c r="J656" s="154"/>
      <c r="K656" s="154"/>
      <c r="L656" s="152"/>
      <c r="M656" s="153"/>
      <c r="N656" s="152"/>
      <c r="O656" s="152"/>
    </row>
    <row r="657" spans="1:15">
      <c r="A657" s="88"/>
      <c r="B657" s="152"/>
      <c r="C657" s="154"/>
      <c r="D657" s="154"/>
      <c r="E657" s="155"/>
      <c r="F657" s="154"/>
      <c r="G657" s="154"/>
      <c r="H657" s="154"/>
      <c r="I657" s="154"/>
      <c r="J657" s="154"/>
      <c r="K657" s="154"/>
      <c r="L657" s="152"/>
      <c r="M657" s="153"/>
      <c r="N657" s="152"/>
      <c r="O657" s="152"/>
    </row>
    <row r="658" spans="1:15">
      <c r="A658" s="88"/>
      <c r="B658" s="152"/>
      <c r="C658" s="154"/>
      <c r="D658" s="154"/>
      <c r="E658" s="155"/>
      <c r="F658" s="154"/>
      <c r="G658" s="154"/>
      <c r="H658" s="154"/>
      <c r="I658" s="154"/>
      <c r="J658" s="154"/>
      <c r="K658" s="154"/>
      <c r="L658" s="152"/>
      <c r="M658" s="153"/>
      <c r="N658" s="152"/>
      <c r="O658" s="152"/>
    </row>
    <row r="659" spans="1:15">
      <c r="A659" s="88"/>
      <c r="B659" s="152"/>
      <c r="C659" s="154"/>
      <c r="D659" s="154"/>
      <c r="E659" s="155"/>
      <c r="F659" s="154"/>
      <c r="G659" s="154"/>
      <c r="H659" s="154"/>
      <c r="I659" s="154"/>
      <c r="J659" s="154"/>
      <c r="K659" s="154"/>
      <c r="L659" s="152"/>
      <c r="M659" s="153"/>
      <c r="N659" s="152"/>
      <c r="O659" s="152"/>
    </row>
    <row r="660" spans="1:15">
      <c r="A660" s="88"/>
      <c r="B660" s="152"/>
      <c r="C660" s="154"/>
      <c r="D660" s="154"/>
      <c r="E660" s="155"/>
      <c r="F660" s="154"/>
      <c r="G660" s="154"/>
      <c r="H660" s="154"/>
      <c r="I660" s="154"/>
      <c r="J660" s="154"/>
      <c r="K660" s="154"/>
      <c r="L660" s="152"/>
      <c r="M660" s="153"/>
      <c r="N660" s="152"/>
      <c r="O660" s="152"/>
    </row>
    <row r="661" spans="1:15">
      <c r="A661" s="88"/>
      <c r="B661" s="152"/>
      <c r="C661" s="154"/>
      <c r="D661" s="154"/>
      <c r="E661" s="155"/>
      <c r="F661" s="154"/>
      <c r="G661" s="154"/>
      <c r="H661" s="154"/>
      <c r="I661" s="154"/>
      <c r="J661" s="154"/>
      <c r="K661" s="154"/>
      <c r="L661" s="152"/>
      <c r="M661" s="153"/>
      <c r="N661" s="152"/>
      <c r="O661" s="152"/>
    </row>
    <row r="662" spans="1:15">
      <c r="A662" s="88"/>
      <c r="B662" s="152"/>
      <c r="C662" s="154"/>
      <c r="D662" s="154"/>
      <c r="E662" s="155"/>
      <c r="F662" s="154"/>
      <c r="G662" s="154"/>
      <c r="H662" s="154"/>
      <c r="I662" s="154"/>
      <c r="J662" s="154"/>
      <c r="K662" s="154"/>
      <c r="L662" s="152"/>
      <c r="M662" s="153"/>
      <c r="N662" s="152"/>
      <c r="O662" s="152"/>
    </row>
    <row r="663" spans="1:15">
      <c r="A663" s="88"/>
      <c r="B663" s="152"/>
      <c r="C663" s="154"/>
      <c r="D663" s="154"/>
      <c r="E663" s="155"/>
      <c r="F663" s="154"/>
      <c r="G663" s="154"/>
      <c r="H663" s="154"/>
      <c r="I663" s="154"/>
      <c r="J663" s="154"/>
      <c r="K663" s="154"/>
      <c r="L663" s="152"/>
      <c r="M663" s="153"/>
      <c r="N663" s="152"/>
      <c r="O663" s="152"/>
    </row>
    <row r="664" spans="1:15">
      <c r="A664" s="88"/>
      <c r="B664" s="152"/>
      <c r="C664" s="154"/>
      <c r="D664" s="154"/>
      <c r="E664" s="155"/>
      <c r="F664" s="154"/>
      <c r="G664" s="154"/>
      <c r="H664" s="154"/>
      <c r="I664" s="154"/>
      <c r="J664" s="154"/>
      <c r="K664" s="154"/>
      <c r="L664" s="152"/>
      <c r="M664" s="153"/>
      <c r="N664" s="152"/>
      <c r="O664" s="152"/>
    </row>
    <row r="665" spans="1:15">
      <c r="A665" s="88"/>
      <c r="B665" s="152"/>
      <c r="C665" s="154"/>
      <c r="D665" s="154"/>
      <c r="E665" s="155"/>
      <c r="F665" s="154"/>
      <c r="G665" s="154"/>
      <c r="H665" s="154"/>
      <c r="I665" s="154"/>
      <c r="J665" s="154"/>
      <c r="K665" s="154"/>
      <c r="L665" s="152"/>
      <c r="M665" s="153"/>
      <c r="N665" s="152"/>
      <c r="O665" s="152"/>
    </row>
    <row r="666" spans="1:15">
      <c r="A666" s="88"/>
      <c r="B666" s="152"/>
      <c r="C666" s="154"/>
      <c r="D666" s="154"/>
      <c r="E666" s="155"/>
      <c r="F666" s="154"/>
      <c r="G666" s="154"/>
      <c r="H666" s="154"/>
      <c r="I666" s="154"/>
      <c r="J666" s="154"/>
      <c r="K666" s="154"/>
      <c r="L666" s="152"/>
      <c r="M666" s="153"/>
      <c r="N666" s="152"/>
      <c r="O666" s="152"/>
    </row>
    <row r="667" spans="1:15">
      <c r="A667" s="88"/>
      <c r="B667" s="152"/>
      <c r="C667" s="154"/>
      <c r="D667" s="154"/>
      <c r="E667" s="155"/>
      <c r="F667" s="154"/>
      <c r="G667" s="154"/>
      <c r="H667" s="154"/>
      <c r="I667" s="154"/>
      <c r="J667" s="154"/>
      <c r="K667" s="154"/>
      <c r="L667" s="152"/>
      <c r="M667" s="153"/>
      <c r="N667" s="152"/>
      <c r="O667" s="152"/>
    </row>
    <row r="668" spans="1:15">
      <c r="A668" s="88"/>
      <c r="B668" s="152"/>
      <c r="C668" s="154"/>
      <c r="D668" s="154"/>
      <c r="E668" s="155"/>
      <c r="F668" s="154"/>
      <c r="G668" s="154"/>
      <c r="H668" s="154"/>
      <c r="I668" s="154"/>
      <c r="J668" s="154"/>
      <c r="K668" s="154"/>
      <c r="L668" s="152"/>
      <c r="M668" s="153"/>
      <c r="N668" s="152"/>
      <c r="O668" s="152"/>
    </row>
    <row r="669" spans="1:15">
      <c r="A669" s="88"/>
      <c r="B669" s="152"/>
      <c r="C669" s="154"/>
      <c r="D669" s="154"/>
      <c r="E669" s="155"/>
      <c r="F669" s="154"/>
      <c r="G669" s="154"/>
      <c r="H669" s="154"/>
      <c r="I669" s="154"/>
      <c r="J669" s="154"/>
      <c r="K669" s="154"/>
      <c r="L669" s="152"/>
      <c r="M669" s="153"/>
      <c r="N669" s="152"/>
      <c r="O669" s="152"/>
    </row>
    <row r="670" spans="1:15">
      <c r="A670" s="88"/>
      <c r="B670" s="152"/>
      <c r="C670" s="154"/>
      <c r="D670" s="154"/>
      <c r="E670" s="155"/>
      <c r="F670" s="154"/>
      <c r="G670" s="154"/>
      <c r="H670" s="154"/>
      <c r="I670" s="154"/>
      <c r="J670" s="154"/>
      <c r="K670" s="154"/>
      <c r="L670" s="152"/>
      <c r="M670" s="153"/>
      <c r="N670" s="152"/>
      <c r="O670" s="152"/>
    </row>
    <row r="671" spans="1:15">
      <c r="A671" s="88"/>
      <c r="B671" s="152"/>
      <c r="C671" s="154"/>
      <c r="D671" s="154"/>
      <c r="E671" s="155"/>
      <c r="F671" s="154"/>
      <c r="G671" s="154"/>
      <c r="H671" s="154"/>
      <c r="I671" s="154"/>
      <c r="J671" s="154"/>
      <c r="K671" s="154"/>
      <c r="L671" s="152"/>
      <c r="M671" s="153"/>
      <c r="N671" s="152"/>
      <c r="O671" s="152"/>
    </row>
    <row r="672" spans="1:15">
      <c r="A672" s="88"/>
      <c r="B672" s="152"/>
      <c r="C672" s="154"/>
      <c r="D672" s="154"/>
      <c r="E672" s="155"/>
      <c r="F672" s="154"/>
      <c r="G672" s="154"/>
      <c r="H672" s="154"/>
      <c r="I672" s="154"/>
      <c r="J672" s="154"/>
      <c r="K672" s="154"/>
      <c r="L672" s="152"/>
      <c r="M672" s="153"/>
      <c r="N672" s="152"/>
      <c r="O672" s="152"/>
    </row>
    <row r="673" spans="1:15">
      <c r="A673" s="88"/>
      <c r="B673" s="152"/>
      <c r="C673" s="154"/>
      <c r="D673" s="154"/>
      <c r="E673" s="155"/>
      <c r="F673" s="154"/>
      <c r="G673" s="154"/>
      <c r="H673" s="154"/>
      <c r="I673" s="154"/>
      <c r="J673" s="154"/>
      <c r="K673" s="154"/>
      <c r="L673" s="152"/>
      <c r="M673" s="153"/>
      <c r="N673" s="152"/>
      <c r="O673" s="152"/>
    </row>
    <row r="674" spans="1:15">
      <c r="A674" s="88"/>
      <c r="B674" s="152"/>
      <c r="C674" s="154"/>
      <c r="D674" s="154"/>
      <c r="E674" s="155"/>
      <c r="F674" s="154"/>
      <c r="G674" s="154"/>
      <c r="H674" s="154"/>
      <c r="I674" s="154"/>
      <c r="J674" s="154"/>
      <c r="K674" s="154"/>
      <c r="L674" s="152"/>
      <c r="M674" s="153"/>
      <c r="N674" s="152"/>
      <c r="O674" s="152"/>
    </row>
    <row r="675" spans="1:15">
      <c r="A675" s="88"/>
      <c r="B675" s="152"/>
      <c r="C675" s="154"/>
      <c r="D675" s="154"/>
      <c r="E675" s="155"/>
      <c r="F675" s="154"/>
      <c r="G675" s="154"/>
      <c r="H675" s="154"/>
      <c r="I675" s="154"/>
      <c r="J675" s="154"/>
      <c r="K675" s="154"/>
      <c r="L675" s="152"/>
      <c r="M675" s="153"/>
      <c r="N675" s="152"/>
      <c r="O675" s="152"/>
    </row>
    <row r="676" spans="1:15">
      <c r="A676" s="88"/>
      <c r="B676" s="152"/>
      <c r="C676" s="154"/>
      <c r="D676" s="154"/>
      <c r="E676" s="155"/>
      <c r="F676" s="154"/>
      <c r="G676" s="154"/>
      <c r="H676" s="154"/>
      <c r="I676" s="154"/>
      <c r="J676" s="154"/>
      <c r="K676" s="154"/>
      <c r="L676" s="152"/>
      <c r="M676" s="153"/>
      <c r="N676" s="152"/>
      <c r="O676" s="152"/>
    </row>
    <row r="677" spans="1:15">
      <c r="A677" s="88"/>
      <c r="B677" s="152"/>
      <c r="C677" s="154"/>
      <c r="D677" s="154"/>
      <c r="E677" s="155"/>
      <c r="F677" s="154"/>
      <c r="G677" s="154"/>
      <c r="H677" s="154"/>
      <c r="I677" s="154"/>
      <c r="J677" s="154"/>
      <c r="K677" s="154"/>
      <c r="L677" s="152"/>
      <c r="M677" s="153"/>
      <c r="N677" s="152"/>
      <c r="O677" s="152"/>
    </row>
    <row r="678" spans="1:15">
      <c r="A678" s="88"/>
      <c r="B678" s="152"/>
      <c r="C678" s="154"/>
      <c r="D678" s="154"/>
      <c r="E678" s="155"/>
      <c r="F678" s="154"/>
      <c r="G678" s="154"/>
      <c r="H678" s="154"/>
      <c r="I678" s="154"/>
      <c r="J678" s="154"/>
      <c r="K678" s="154"/>
      <c r="L678" s="152"/>
      <c r="M678" s="153"/>
      <c r="N678" s="152"/>
      <c r="O678" s="152"/>
    </row>
    <row r="679" spans="1:15">
      <c r="A679" s="88"/>
      <c r="B679" s="152"/>
      <c r="C679" s="154"/>
      <c r="D679" s="154"/>
      <c r="E679" s="155"/>
      <c r="F679" s="154"/>
      <c r="G679" s="154"/>
      <c r="H679" s="154"/>
      <c r="I679" s="154"/>
      <c r="J679" s="154"/>
      <c r="K679" s="154"/>
      <c r="L679" s="152"/>
      <c r="M679" s="153"/>
      <c r="N679" s="152"/>
      <c r="O679" s="152"/>
    </row>
    <row r="680" spans="1:15">
      <c r="A680" s="88"/>
      <c r="B680" s="152"/>
      <c r="C680" s="154"/>
      <c r="D680" s="154"/>
      <c r="E680" s="155"/>
      <c r="F680" s="154"/>
      <c r="G680" s="154"/>
      <c r="H680" s="154"/>
      <c r="I680" s="154"/>
      <c r="J680" s="154"/>
      <c r="K680" s="154"/>
      <c r="L680" s="152"/>
      <c r="M680" s="153"/>
      <c r="N680" s="152"/>
      <c r="O680" s="152"/>
    </row>
    <row r="681" spans="1:15">
      <c r="A681" s="88"/>
      <c r="B681" s="152"/>
      <c r="C681" s="154"/>
      <c r="D681" s="154"/>
      <c r="E681" s="155"/>
      <c r="F681" s="154"/>
      <c r="G681" s="154"/>
      <c r="H681" s="154"/>
      <c r="I681" s="154"/>
      <c r="J681" s="154"/>
      <c r="K681" s="154"/>
      <c r="L681" s="152"/>
      <c r="M681" s="153"/>
      <c r="N681" s="152"/>
      <c r="O681" s="152"/>
    </row>
    <row r="682" spans="1:15">
      <c r="A682" s="88"/>
      <c r="B682" s="152"/>
      <c r="C682" s="154"/>
      <c r="D682" s="154"/>
      <c r="E682" s="155"/>
      <c r="F682" s="154"/>
      <c r="G682" s="154"/>
      <c r="H682" s="154"/>
      <c r="I682" s="154"/>
      <c r="J682" s="154"/>
      <c r="K682" s="154"/>
      <c r="L682" s="152"/>
      <c r="M682" s="153"/>
      <c r="N682" s="152"/>
      <c r="O682" s="152"/>
    </row>
    <row r="683" spans="1:15">
      <c r="A683" s="88"/>
      <c r="B683" s="152"/>
      <c r="C683" s="154"/>
      <c r="D683" s="154"/>
      <c r="E683" s="155"/>
      <c r="F683" s="154"/>
      <c r="G683" s="154"/>
      <c r="H683" s="154"/>
      <c r="I683" s="154"/>
      <c r="J683" s="154"/>
      <c r="K683" s="154"/>
      <c r="L683" s="152"/>
      <c r="M683" s="153"/>
      <c r="N683" s="152"/>
      <c r="O683" s="152"/>
    </row>
    <row r="684" spans="1:15">
      <c r="A684" s="88"/>
      <c r="B684" s="152"/>
      <c r="C684" s="154"/>
      <c r="D684" s="154"/>
      <c r="E684" s="155"/>
      <c r="F684" s="154"/>
      <c r="G684" s="154"/>
      <c r="H684" s="154"/>
      <c r="I684" s="154"/>
      <c r="J684" s="154"/>
      <c r="K684" s="154"/>
      <c r="L684" s="152"/>
      <c r="M684" s="153"/>
      <c r="N684" s="152"/>
      <c r="O684" s="152"/>
    </row>
    <row r="685" spans="1:15">
      <c r="A685" s="88"/>
      <c r="B685" s="152"/>
      <c r="C685" s="154"/>
      <c r="D685" s="154"/>
      <c r="E685" s="155"/>
      <c r="F685" s="154"/>
      <c r="G685" s="154"/>
      <c r="H685" s="154"/>
      <c r="I685" s="154"/>
      <c r="J685" s="154"/>
      <c r="K685" s="154"/>
      <c r="L685" s="152"/>
      <c r="M685" s="153"/>
      <c r="N685" s="152"/>
      <c r="O685" s="152"/>
    </row>
    <row r="686" spans="1:15">
      <c r="A686" s="88"/>
      <c r="B686" s="152"/>
      <c r="C686" s="154"/>
      <c r="D686" s="154"/>
      <c r="E686" s="155"/>
      <c r="F686" s="154"/>
      <c r="G686" s="154"/>
      <c r="H686" s="154"/>
      <c r="I686" s="154"/>
      <c r="J686" s="154"/>
      <c r="K686" s="154"/>
      <c r="L686" s="152"/>
      <c r="M686" s="153"/>
      <c r="N686" s="152"/>
      <c r="O686" s="152"/>
    </row>
    <row r="687" spans="1:15">
      <c r="A687" s="88"/>
      <c r="B687" s="152"/>
      <c r="C687" s="154"/>
      <c r="D687" s="154"/>
      <c r="E687" s="155"/>
      <c r="F687" s="154"/>
      <c r="G687" s="154"/>
      <c r="H687" s="154"/>
      <c r="I687" s="154"/>
      <c r="J687" s="154"/>
      <c r="K687" s="154"/>
      <c r="L687" s="152"/>
      <c r="M687" s="153"/>
      <c r="N687" s="152"/>
      <c r="O687" s="152"/>
    </row>
    <row r="688" spans="1:15">
      <c r="A688" s="88"/>
      <c r="B688" s="152"/>
      <c r="C688" s="154"/>
      <c r="D688" s="154"/>
      <c r="E688" s="155"/>
      <c r="F688" s="154"/>
      <c r="G688" s="154"/>
      <c r="H688" s="154"/>
      <c r="I688" s="154"/>
      <c r="J688" s="154"/>
      <c r="K688" s="154"/>
      <c r="L688" s="152"/>
      <c r="M688" s="153"/>
      <c r="N688" s="152"/>
      <c r="O688" s="152"/>
    </row>
    <row r="689" spans="1:15">
      <c r="A689" s="88"/>
      <c r="B689" s="152"/>
      <c r="C689" s="154"/>
      <c r="D689" s="154"/>
      <c r="E689" s="155"/>
      <c r="F689" s="154"/>
      <c r="G689" s="154"/>
      <c r="H689" s="154"/>
      <c r="I689" s="154"/>
      <c r="J689" s="154"/>
      <c r="K689" s="154"/>
      <c r="L689" s="152"/>
      <c r="M689" s="153"/>
      <c r="N689" s="152"/>
      <c r="O689" s="152"/>
    </row>
    <row r="690" spans="1:15">
      <c r="A690" s="88"/>
      <c r="B690" s="152"/>
      <c r="C690" s="154"/>
      <c r="D690" s="154"/>
      <c r="E690" s="155"/>
      <c r="F690" s="154"/>
      <c r="G690" s="154"/>
      <c r="H690" s="154"/>
      <c r="I690" s="154"/>
      <c r="J690" s="154"/>
      <c r="K690" s="154"/>
      <c r="L690" s="152"/>
      <c r="M690" s="153"/>
      <c r="N690" s="152"/>
      <c r="O690" s="152"/>
    </row>
    <row r="691" spans="1:15">
      <c r="A691" s="88"/>
      <c r="B691" s="152"/>
      <c r="C691" s="154"/>
      <c r="D691" s="154"/>
      <c r="E691" s="155"/>
      <c r="F691" s="154"/>
      <c r="G691" s="154"/>
      <c r="H691" s="154"/>
      <c r="I691" s="154"/>
      <c r="J691" s="154"/>
      <c r="K691" s="154"/>
      <c r="L691" s="152"/>
      <c r="M691" s="153"/>
      <c r="N691" s="152"/>
      <c r="O691" s="152"/>
    </row>
    <row r="692" spans="1:15">
      <c r="A692" s="88"/>
      <c r="B692" s="152"/>
      <c r="C692" s="154"/>
      <c r="D692" s="154"/>
      <c r="E692" s="155"/>
      <c r="F692" s="154"/>
      <c r="G692" s="154"/>
      <c r="H692" s="154"/>
      <c r="I692" s="154"/>
      <c r="J692" s="154"/>
      <c r="K692" s="154"/>
      <c r="L692" s="152"/>
      <c r="M692" s="153"/>
      <c r="N692" s="152"/>
      <c r="O692" s="152"/>
    </row>
    <row r="693" spans="1:15">
      <c r="A693" s="88"/>
      <c r="B693" s="152"/>
      <c r="C693" s="154"/>
      <c r="D693" s="154"/>
      <c r="E693" s="155"/>
      <c r="F693" s="154"/>
      <c r="G693" s="154"/>
      <c r="H693" s="154"/>
      <c r="I693" s="154"/>
      <c r="J693" s="154"/>
      <c r="K693" s="154"/>
      <c r="L693" s="152"/>
      <c r="M693" s="153"/>
      <c r="N693" s="152"/>
      <c r="O693" s="152"/>
    </row>
    <row r="694" spans="1:15">
      <c r="A694" s="88"/>
      <c r="B694" s="152"/>
      <c r="C694" s="154"/>
      <c r="D694" s="154"/>
      <c r="E694" s="155"/>
      <c r="F694" s="154"/>
      <c r="G694" s="154"/>
      <c r="H694" s="154"/>
      <c r="I694" s="154"/>
      <c r="J694" s="154"/>
      <c r="K694" s="154"/>
      <c r="L694" s="152"/>
      <c r="M694" s="153"/>
      <c r="N694" s="152"/>
      <c r="O694" s="152"/>
    </row>
    <row r="695" spans="1:15">
      <c r="A695" s="88"/>
      <c r="B695" s="152"/>
      <c r="C695" s="154"/>
      <c r="D695" s="154"/>
      <c r="E695" s="155"/>
      <c r="F695" s="154"/>
      <c r="G695" s="154"/>
      <c r="H695" s="154"/>
      <c r="I695" s="154"/>
      <c r="J695" s="154"/>
      <c r="K695" s="154"/>
      <c r="L695" s="152"/>
      <c r="M695" s="153"/>
      <c r="N695" s="152"/>
      <c r="O695" s="152"/>
    </row>
    <row r="696" spans="1:15">
      <c r="A696" s="88"/>
      <c r="B696" s="152"/>
      <c r="C696" s="154"/>
      <c r="D696" s="154"/>
      <c r="E696" s="155"/>
      <c r="F696" s="154"/>
      <c r="G696" s="154"/>
      <c r="H696" s="154"/>
      <c r="I696" s="154"/>
      <c r="J696" s="154"/>
      <c r="K696" s="154"/>
      <c r="L696" s="152"/>
      <c r="M696" s="153"/>
      <c r="N696" s="152"/>
      <c r="O696" s="152"/>
    </row>
    <row r="697" spans="1:15">
      <c r="A697" s="88"/>
      <c r="B697" s="152"/>
      <c r="C697" s="154"/>
      <c r="D697" s="154"/>
      <c r="E697" s="155"/>
      <c r="F697" s="154"/>
      <c r="G697" s="154"/>
      <c r="H697" s="154"/>
      <c r="I697" s="154"/>
      <c r="J697" s="154"/>
      <c r="K697" s="154"/>
      <c r="L697" s="152"/>
      <c r="M697" s="153"/>
      <c r="N697" s="152"/>
      <c r="O697" s="152"/>
    </row>
    <row r="698" spans="1:15">
      <c r="A698" s="88"/>
      <c r="B698" s="152"/>
      <c r="C698" s="154"/>
      <c r="D698" s="154"/>
      <c r="E698" s="155"/>
      <c r="F698" s="154"/>
      <c r="G698" s="154"/>
      <c r="H698" s="154"/>
      <c r="I698" s="154"/>
      <c r="J698" s="154"/>
      <c r="K698" s="154"/>
      <c r="L698" s="152"/>
      <c r="M698" s="153"/>
      <c r="N698" s="152"/>
      <c r="O698" s="152"/>
    </row>
    <row r="699" spans="1:15">
      <c r="A699" s="88"/>
      <c r="B699" s="152"/>
      <c r="C699" s="154"/>
      <c r="D699" s="154"/>
      <c r="E699" s="155"/>
      <c r="F699" s="154"/>
      <c r="G699" s="154"/>
      <c r="H699" s="154"/>
      <c r="I699" s="154"/>
      <c r="J699" s="154"/>
      <c r="K699" s="154"/>
      <c r="L699" s="152"/>
      <c r="M699" s="153"/>
      <c r="N699" s="152"/>
      <c r="O699" s="152"/>
    </row>
    <row r="700" spans="1:15">
      <c r="A700" s="88"/>
      <c r="B700" s="152"/>
      <c r="C700" s="154"/>
      <c r="D700" s="154"/>
      <c r="E700" s="155"/>
      <c r="F700" s="154"/>
      <c r="G700" s="154"/>
      <c r="H700" s="154"/>
      <c r="I700" s="154"/>
      <c r="J700" s="154"/>
      <c r="K700" s="154"/>
      <c r="L700" s="152"/>
      <c r="M700" s="153"/>
      <c r="N700" s="152"/>
      <c r="O700" s="152"/>
    </row>
    <row r="701" spans="1:15">
      <c r="A701" s="88"/>
      <c r="B701" s="152"/>
      <c r="C701" s="154"/>
      <c r="D701" s="154"/>
      <c r="E701" s="155"/>
      <c r="F701" s="154"/>
      <c r="G701" s="154"/>
      <c r="H701" s="154"/>
      <c r="I701" s="154"/>
      <c r="J701" s="154"/>
      <c r="K701" s="154"/>
      <c r="L701" s="152"/>
      <c r="M701" s="153"/>
      <c r="N701" s="152"/>
      <c r="O701" s="152"/>
    </row>
    <row r="702" spans="1:15">
      <c r="A702" s="88"/>
      <c r="B702" s="152"/>
      <c r="C702" s="154"/>
      <c r="D702" s="154"/>
      <c r="E702" s="155"/>
      <c r="F702" s="154"/>
      <c r="G702" s="154"/>
      <c r="H702" s="154"/>
      <c r="I702" s="154"/>
      <c r="J702" s="154"/>
      <c r="K702" s="154"/>
      <c r="L702" s="152"/>
      <c r="M702" s="153"/>
      <c r="N702" s="152"/>
      <c r="O702" s="152"/>
    </row>
    <row r="703" spans="1:15">
      <c r="A703" s="88"/>
      <c r="B703" s="152"/>
      <c r="C703" s="154"/>
      <c r="D703" s="154"/>
      <c r="E703" s="155"/>
      <c r="F703" s="154"/>
      <c r="G703" s="154"/>
      <c r="H703" s="154"/>
      <c r="I703" s="154"/>
      <c r="J703" s="154"/>
      <c r="K703" s="154"/>
      <c r="L703" s="152"/>
      <c r="M703" s="153"/>
      <c r="N703" s="152"/>
      <c r="O703" s="152"/>
    </row>
    <row r="704" spans="1:15">
      <c r="A704" s="88"/>
      <c r="B704" s="152"/>
      <c r="C704" s="154"/>
      <c r="D704" s="154"/>
      <c r="E704" s="155"/>
      <c r="F704" s="154"/>
      <c r="G704" s="154"/>
      <c r="H704" s="154"/>
      <c r="I704" s="154"/>
      <c r="J704" s="154"/>
      <c r="K704" s="154"/>
      <c r="L704" s="152"/>
      <c r="M704" s="153"/>
      <c r="N704" s="152"/>
      <c r="O704" s="152"/>
    </row>
    <row r="705" spans="1:15">
      <c r="A705" s="88"/>
      <c r="B705" s="152"/>
      <c r="C705" s="154"/>
      <c r="D705" s="154"/>
      <c r="E705" s="155"/>
      <c r="F705" s="154"/>
      <c r="G705" s="154"/>
      <c r="H705" s="154"/>
      <c r="I705" s="154"/>
      <c r="J705" s="154"/>
      <c r="K705" s="154"/>
      <c r="L705" s="152"/>
      <c r="M705" s="153"/>
      <c r="N705" s="152"/>
      <c r="O705" s="152"/>
    </row>
    <row r="706" spans="1:15">
      <c r="A706" s="88"/>
      <c r="B706" s="152"/>
      <c r="C706" s="154"/>
      <c r="D706" s="154"/>
      <c r="E706" s="155"/>
      <c r="F706" s="154"/>
      <c r="G706" s="154"/>
      <c r="H706" s="154"/>
      <c r="I706" s="154"/>
      <c r="J706" s="154"/>
      <c r="K706" s="154"/>
      <c r="L706" s="152"/>
      <c r="M706" s="153"/>
      <c r="N706" s="152"/>
      <c r="O706" s="152"/>
    </row>
    <row r="707" spans="1:15">
      <c r="A707" s="88"/>
      <c r="B707" s="152"/>
      <c r="C707" s="154"/>
      <c r="D707" s="154"/>
      <c r="E707" s="155"/>
      <c r="F707" s="154"/>
      <c r="G707" s="154"/>
      <c r="H707" s="154"/>
      <c r="I707" s="154"/>
      <c r="J707" s="154"/>
      <c r="K707" s="154"/>
      <c r="L707" s="152"/>
      <c r="M707" s="153"/>
      <c r="N707" s="152"/>
      <c r="O707" s="152"/>
    </row>
    <row r="708" spans="1:15">
      <c r="A708" s="88"/>
      <c r="B708" s="152"/>
      <c r="C708" s="154"/>
      <c r="D708" s="154"/>
      <c r="E708" s="155"/>
      <c r="F708" s="154"/>
      <c r="G708" s="154"/>
      <c r="H708" s="154"/>
      <c r="I708" s="154"/>
      <c r="J708" s="154"/>
      <c r="K708" s="154"/>
      <c r="L708" s="152"/>
      <c r="M708" s="153"/>
      <c r="N708" s="152"/>
      <c r="O708" s="152"/>
    </row>
    <row r="709" spans="1:15">
      <c r="A709" s="88"/>
      <c r="B709" s="152"/>
      <c r="C709" s="154"/>
      <c r="D709" s="154"/>
      <c r="E709" s="155"/>
      <c r="F709" s="154"/>
      <c r="G709" s="154"/>
      <c r="H709" s="154"/>
      <c r="I709" s="154"/>
      <c r="J709" s="154"/>
      <c r="K709" s="154"/>
      <c r="L709" s="152"/>
      <c r="M709" s="153"/>
      <c r="N709" s="152"/>
      <c r="O709" s="152"/>
    </row>
    <row r="710" spans="1:15">
      <c r="A710" s="88"/>
      <c r="B710" s="152"/>
      <c r="C710" s="154"/>
      <c r="D710" s="154"/>
      <c r="E710" s="155"/>
      <c r="F710" s="154"/>
      <c r="G710" s="154"/>
      <c r="H710" s="154"/>
      <c r="I710" s="154"/>
      <c r="J710" s="154"/>
      <c r="K710" s="154"/>
      <c r="L710" s="152"/>
      <c r="M710" s="153"/>
      <c r="N710" s="152"/>
      <c r="O710" s="152"/>
    </row>
    <row r="711" spans="1:15">
      <c r="A711" s="88"/>
      <c r="B711" s="152"/>
      <c r="C711" s="154"/>
      <c r="D711" s="154"/>
      <c r="E711" s="155"/>
      <c r="F711" s="154"/>
      <c r="G711" s="154"/>
      <c r="H711" s="154"/>
      <c r="I711" s="154"/>
      <c r="J711" s="154"/>
      <c r="K711" s="154"/>
      <c r="L711" s="152"/>
      <c r="M711" s="153"/>
      <c r="N711" s="152"/>
      <c r="O711" s="152"/>
    </row>
    <row r="712" spans="1:15">
      <c r="A712" s="88"/>
      <c r="B712" s="152"/>
      <c r="C712" s="154"/>
      <c r="D712" s="154"/>
      <c r="E712" s="155"/>
      <c r="F712" s="154"/>
      <c r="G712" s="154"/>
      <c r="H712" s="154"/>
      <c r="I712" s="154"/>
      <c r="J712" s="154"/>
      <c r="K712" s="154"/>
      <c r="L712" s="152"/>
      <c r="M712" s="153"/>
      <c r="N712" s="152"/>
      <c r="O712" s="152"/>
    </row>
    <row r="713" spans="1:15">
      <c r="A713" s="88"/>
      <c r="B713" s="152"/>
      <c r="C713" s="154"/>
      <c r="D713" s="154"/>
      <c r="E713" s="155"/>
      <c r="F713" s="154"/>
      <c r="G713" s="154"/>
      <c r="H713" s="154"/>
      <c r="I713" s="154"/>
      <c r="J713" s="154"/>
      <c r="K713" s="154"/>
      <c r="L713" s="152"/>
      <c r="M713" s="153"/>
      <c r="N713" s="152"/>
      <c r="O713" s="152"/>
    </row>
    <row r="714" spans="1:15">
      <c r="A714" s="88"/>
      <c r="B714" s="152"/>
      <c r="C714" s="154"/>
      <c r="D714" s="154"/>
      <c r="E714" s="155"/>
      <c r="F714" s="154"/>
      <c r="G714" s="154"/>
      <c r="H714" s="154"/>
      <c r="I714" s="154"/>
      <c r="J714" s="154"/>
      <c r="K714" s="154"/>
      <c r="L714" s="152"/>
      <c r="M714" s="153"/>
      <c r="N714" s="152"/>
      <c r="O714" s="152"/>
    </row>
    <row r="715" spans="1:15">
      <c r="A715" s="88"/>
      <c r="B715" s="152"/>
      <c r="C715" s="154"/>
      <c r="D715" s="154"/>
      <c r="E715" s="155"/>
      <c r="F715" s="154"/>
      <c r="G715" s="154"/>
      <c r="H715" s="154"/>
      <c r="I715" s="154"/>
      <c r="J715" s="154"/>
      <c r="K715" s="154"/>
      <c r="L715" s="152"/>
      <c r="M715" s="153"/>
      <c r="N715" s="152"/>
      <c r="O715" s="152"/>
    </row>
    <row r="716" spans="1:15">
      <c r="A716" s="88"/>
      <c r="B716" s="152"/>
      <c r="C716" s="154"/>
      <c r="D716" s="154"/>
      <c r="E716" s="155"/>
      <c r="F716" s="154"/>
      <c r="G716" s="154"/>
      <c r="H716" s="154"/>
      <c r="I716" s="154"/>
      <c r="J716" s="154"/>
      <c r="K716" s="154"/>
      <c r="L716" s="152"/>
      <c r="M716" s="153"/>
      <c r="N716" s="152"/>
      <c r="O716" s="152"/>
    </row>
    <row r="717" spans="1:15">
      <c r="A717" s="88"/>
      <c r="B717" s="152"/>
      <c r="C717" s="154"/>
      <c r="D717" s="154"/>
      <c r="E717" s="155"/>
      <c r="F717" s="154"/>
      <c r="G717" s="154"/>
      <c r="H717" s="154"/>
      <c r="I717" s="154"/>
      <c r="J717" s="154"/>
      <c r="K717" s="154"/>
      <c r="L717" s="152"/>
      <c r="M717" s="153"/>
      <c r="N717" s="152"/>
      <c r="O717" s="152"/>
    </row>
    <row r="718" spans="1:15">
      <c r="A718" s="88"/>
      <c r="B718" s="152"/>
      <c r="C718" s="154"/>
      <c r="D718" s="154"/>
      <c r="E718" s="155"/>
      <c r="F718" s="154"/>
      <c r="G718" s="154"/>
      <c r="H718" s="154"/>
      <c r="I718" s="154"/>
      <c r="J718" s="154"/>
      <c r="K718" s="154"/>
      <c r="L718" s="152"/>
      <c r="M718" s="153"/>
      <c r="N718" s="152"/>
      <c r="O718" s="152"/>
    </row>
    <row r="719" spans="1:15">
      <c r="A719" s="88"/>
      <c r="B719" s="152"/>
      <c r="C719" s="154"/>
      <c r="D719" s="154"/>
      <c r="E719" s="155"/>
      <c r="F719" s="154"/>
      <c r="G719" s="154"/>
      <c r="H719" s="154"/>
      <c r="I719" s="154"/>
      <c r="J719" s="154"/>
      <c r="K719" s="154"/>
      <c r="L719" s="152"/>
      <c r="M719" s="153"/>
      <c r="N719" s="152"/>
      <c r="O719" s="152"/>
    </row>
    <row r="720" spans="1:15">
      <c r="A720" s="88"/>
      <c r="B720" s="152"/>
      <c r="C720" s="154"/>
      <c r="D720" s="154"/>
      <c r="E720" s="155"/>
      <c r="F720" s="154"/>
      <c r="G720" s="154"/>
      <c r="H720" s="154"/>
      <c r="I720" s="154"/>
      <c r="J720" s="154"/>
      <c r="K720" s="154"/>
      <c r="L720" s="152"/>
      <c r="M720" s="153"/>
      <c r="N720" s="152"/>
      <c r="O720" s="152"/>
    </row>
    <row r="721" spans="1:15">
      <c r="A721" s="88"/>
      <c r="B721" s="152"/>
      <c r="C721" s="154"/>
      <c r="D721" s="154"/>
      <c r="E721" s="155"/>
      <c r="F721" s="154"/>
      <c r="G721" s="154"/>
      <c r="H721" s="154"/>
      <c r="I721" s="154"/>
      <c r="J721" s="154"/>
      <c r="K721" s="154"/>
      <c r="L721" s="152"/>
      <c r="M721" s="153"/>
      <c r="N721" s="152"/>
      <c r="O721" s="152"/>
    </row>
    <row r="722" spans="1:15">
      <c r="A722" s="88"/>
      <c r="B722" s="152"/>
      <c r="C722" s="154"/>
      <c r="D722" s="154"/>
      <c r="E722" s="155"/>
      <c r="F722" s="154"/>
      <c r="G722" s="154"/>
      <c r="H722" s="154"/>
      <c r="I722" s="154"/>
      <c r="J722" s="154"/>
      <c r="K722" s="154"/>
      <c r="L722" s="152"/>
      <c r="M722" s="153"/>
      <c r="N722" s="152"/>
      <c r="O722" s="152"/>
    </row>
    <row r="723" spans="1:15">
      <c r="A723" s="88"/>
      <c r="B723" s="152"/>
      <c r="C723" s="154"/>
      <c r="D723" s="154"/>
      <c r="E723" s="155"/>
      <c r="F723" s="154"/>
      <c r="G723" s="154"/>
      <c r="H723" s="154"/>
      <c r="I723" s="154"/>
      <c r="J723" s="154"/>
      <c r="K723" s="154"/>
      <c r="L723" s="152"/>
      <c r="M723" s="153"/>
      <c r="N723" s="152"/>
      <c r="O723" s="152"/>
    </row>
    <row r="724" spans="1:15">
      <c r="A724" s="88"/>
      <c r="B724" s="152"/>
      <c r="C724" s="154"/>
      <c r="D724" s="154"/>
      <c r="E724" s="155"/>
      <c r="F724" s="154"/>
      <c r="G724" s="154"/>
      <c r="H724" s="154"/>
      <c r="I724" s="154"/>
      <c r="J724" s="154"/>
      <c r="K724" s="154"/>
      <c r="L724" s="152"/>
      <c r="M724" s="153"/>
      <c r="N724" s="152"/>
      <c r="O724" s="152"/>
    </row>
    <row r="725" spans="1:15">
      <c r="A725" s="88"/>
      <c r="B725" s="152"/>
      <c r="C725" s="154"/>
      <c r="D725" s="154"/>
      <c r="E725" s="155"/>
      <c r="F725" s="154"/>
      <c r="G725" s="154"/>
      <c r="H725" s="154"/>
      <c r="I725" s="154"/>
      <c r="J725" s="154"/>
      <c r="K725" s="154"/>
      <c r="L725" s="152"/>
      <c r="M725" s="153"/>
      <c r="N725" s="152"/>
      <c r="O725" s="152"/>
    </row>
    <row r="726" spans="1:15">
      <c r="A726" s="88"/>
      <c r="B726" s="152"/>
      <c r="C726" s="154"/>
      <c r="D726" s="154"/>
      <c r="E726" s="155"/>
      <c r="F726" s="154"/>
      <c r="G726" s="154"/>
      <c r="H726" s="154"/>
      <c r="I726" s="154"/>
      <c r="J726" s="154"/>
      <c r="K726" s="154"/>
      <c r="L726" s="152"/>
      <c r="M726" s="153"/>
      <c r="N726" s="152"/>
      <c r="O726" s="152"/>
    </row>
    <row r="727" spans="1:15">
      <c r="A727" s="88"/>
      <c r="B727" s="152"/>
      <c r="C727" s="154"/>
      <c r="D727" s="154"/>
      <c r="E727" s="155"/>
      <c r="F727" s="154"/>
      <c r="G727" s="154"/>
      <c r="H727" s="154"/>
      <c r="I727" s="154"/>
      <c r="J727" s="154"/>
      <c r="K727" s="154"/>
      <c r="L727" s="152"/>
      <c r="M727" s="153"/>
      <c r="N727" s="152"/>
      <c r="O727" s="152"/>
    </row>
    <row r="728" spans="1:15">
      <c r="A728" s="88"/>
      <c r="B728" s="152"/>
      <c r="C728" s="154"/>
      <c r="D728" s="154"/>
      <c r="E728" s="155"/>
      <c r="F728" s="154"/>
      <c r="G728" s="154"/>
      <c r="H728" s="154"/>
      <c r="I728" s="154"/>
      <c r="J728" s="154"/>
      <c r="K728" s="154"/>
      <c r="L728" s="152"/>
      <c r="M728" s="153"/>
      <c r="N728" s="152"/>
      <c r="O728" s="152"/>
    </row>
    <row r="729" spans="1:15">
      <c r="A729" s="88"/>
      <c r="B729" s="152"/>
      <c r="C729" s="154"/>
      <c r="D729" s="154"/>
      <c r="E729" s="155"/>
      <c r="F729" s="154"/>
      <c r="G729" s="154"/>
      <c r="H729" s="154"/>
      <c r="I729" s="154"/>
      <c r="J729" s="154"/>
      <c r="K729" s="154"/>
      <c r="L729" s="152"/>
      <c r="M729" s="153"/>
      <c r="N729" s="152"/>
      <c r="O729" s="152"/>
    </row>
    <row r="730" spans="1:15">
      <c r="A730" s="88"/>
      <c r="B730" s="152"/>
      <c r="C730" s="154"/>
      <c r="D730" s="154"/>
      <c r="E730" s="155"/>
      <c r="F730" s="154"/>
      <c r="G730" s="154"/>
      <c r="H730" s="154"/>
      <c r="I730" s="154"/>
      <c r="J730" s="154"/>
      <c r="K730" s="154"/>
      <c r="L730" s="152"/>
      <c r="M730" s="153"/>
      <c r="N730" s="152"/>
      <c r="O730" s="152"/>
    </row>
    <row r="731" spans="1:15">
      <c r="A731" s="88"/>
      <c r="B731" s="152"/>
      <c r="C731" s="154"/>
      <c r="D731" s="154"/>
      <c r="E731" s="155"/>
      <c r="F731" s="154"/>
      <c r="G731" s="154"/>
      <c r="H731" s="154"/>
      <c r="I731" s="154"/>
      <c r="J731" s="154"/>
      <c r="K731" s="154"/>
      <c r="L731" s="152"/>
      <c r="M731" s="153"/>
      <c r="N731" s="152"/>
      <c r="O731" s="152"/>
    </row>
    <row r="732" spans="1:15">
      <c r="A732" s="88"/>
      <c r="B732" s="152"/>
      <c r="C732" s="154"/>
      <c r="D732" s="154"/>
      <c r="E732" s="155"/>
      <c r="F732" s="154"/>
      <c r="G732" s="154"/>
      <c r="H732" s="154"/>
      <c r="I732" s="154"/>
      <c r="J732" s="154"/>
      <c r="K732" s="154"/>
      <c r="L732" s="152"/>
      <c r="M732" s="153"/>
      <c r="N732" s="152"/>
      <c r="O732" s="152"/>
    </row>
    <row r="733" spans="1:15">
      <c r="A733" s="88"/>
      <c r="B733" s="152"/>
      <c r="C733" s="154"/>
      <c r="D733" s="154"/>
      <c r="E733" s="155"/>
      <c r="F733" s="154"/>
      <c r="G733" s="154"/>
      <c r="H733" s="154"/>
      <c r="I733" s="154"/>
      <c r="J733" s="154"/>
      <c r="K733" s="154"/>
      <c r="L733" s="152"/>
      <c r="M733" s="153"/>
      <c r="N733" s="152"/>
      <c r="O733" s="152"/>
    </row>
    <row r="734" spans="1:15">
      <c r="A734" s="88"/>
      <c r="B734" s="152"/>
      <c r="C734" s="154"/>
      <c r="D734" s="154"/>
      <c r="E734" s="155"/>
      <c r="F734" s="154"/>
      <c r="G734" s="154"/>
      <c r="H734" s="154"/>
      <c r="I734" s="154"/>
      <c r="J734" s="154"/>
      <c r="K734" s="154"/>
      <c r="L734" s="152"/>
      <c r="M734" s="153"/>
      <c r="N734" s="152"/>
      <c r="O734" s="152"/>
    </row>
    <row r="735" spans="1:15">
      <c r="A735" s="88"/>
      <c r="B735" s="152"/>
      <c r="C735" s="154"/>
      <c r="D735" s="154"/>
      <c r="E735" s="155"/>
      <c r="F735" s="154"/>
      <c r="G735" s="154"/>
      <c r="H735" s="154"/>
      <c r="I735" s="154"/>
      <c r="J735" s="154"/>
      <c r="K735" s="154"/>
      <c r="L735" s="152"/>
      <c r="M735" s="153"/>
      <c r="N735" s="152"/>
      <c r="O735" s="152"/>
    </row>
    <row r="736" spans="1:15">
      <c r="A736" s="88"/>
      <c r="B736" s="152"/>
      <c r="C736" s="154"/>
      <c r="D736" s="154"/>
      <c r="E736" s="155"/>
      <c r="F736" s="154"/>
      <c r="G736" s="154"/>
      <c r="H736" s="154"/>
      <c r="I736" s="154"/>
      <c r="J736" s="154"/>
      <c r="K736" s="154"/>
      <c r="L736" s="152"/>
      <c r="M736" s="153"/>
      <c r="N736" s="152"/>
      <c r="O736" s="152"/>
    </row>
    <row r="737" spans="1:15">
      <c r="A737" s="88"/>
      <c r="B737" s="152"/>
      <c r="C737" s="154"/>
      <c r="D737" s="154"/>
      <c r="E737" s="155"/>
      <c r="F737" s="154"/>
      <c r="G737" s="154"/>
      <c r="H737" s="154"/>
      <c r="I737" s="154"/>
      <c r="J737" s="154"/>
      <c r="K737" s="154"/>
      <c r="L737" s="152"/>
      <c r="M737" s="153"/>
      <c r="N737" s="152"/>
      <c r="O737" s="152"/>
    </row>
    <row r="738" spans="1:15">
      <c r="A738" s="88"/>
      <c r="B738" s="152"/>
      <c r="C738" s="154"/>
      <c r="D738" s="154"/>
      <c r="E738" s="155"/>
      <c r="F738" s="154"/>
      <c r="G738" s="154"/>
      <c r="H738" s="154"/>
      <c r="I738" s="154"/>
      <c r="J738" s="154"/>
      <c r="K738" s="154"/>
      <c r="L738" s="152"/>
      <c r="M738" s="153"/>
      <c r="N738" s="152"/>
      <c r="O738" s="152"/>
    </row>
    <row r="739" spans="1:15">
      <c r="A739" s="88"/>
      <c r="B739" s="152"/>
      <c r="C739" s="154"/>
      <c r="D739" s="154"/>
      <c r="E739" s="155"/>
      <c r="F739" s="154"/>
      <c r="G739" s="154"/>
      <c r="H739" s="154"/>
      <c r="I739" s="154"/>
      <c r="J739" s="154"/>
      <c r="K739" s="154"/>
      <c r="L739" s="152"/>
      <c r="M739" s="153"/>
      <c r="N739" s="152"/>
      <c r="O739" s="152"/>
    </row>
    <row r="740" spans="1:15">
      <c r="A740" s="88"/>
      <c r="B740" s="152"/>
      <c r="C740" s="154"/>
      <c r="D740" s="154"/>
      <c r="E740" s="155"/>
      <c r="F740" s="154"/>
      <c r="G740" s="154"/>
      <c r="H740" s="154"/>
      <c r="I740" s="154"/>
      <c r="J740" s="154"/>
      <c r="K740" s="154"/>
      <c r="L740" s="152"/>
      <c r="M740" s="153"/>
      <c r="N740" s="152"/>
      <c r="O740" s="152"/>
    </row>
    <row r="741" spans="1:15">
      <c r="A741" s="88"/>
      <c r="B741" s="152"/>
      <c r="C741" s="154"/>
      <c r="D741" s="154"/>
      <c r="E741" s="155"/>
      <c r="F741" s="154"/>
      <c r="G741" s="154"/>
      <c r="H741" s="154"/>
      <c r="I741" s="154"/>
      <c r="J741" s="154"/>
      <c r="K741" s="154"/>
      <c r="L741" s="152"/>
      <c r="M741" s="153"/>
      <c r="N741" s="152"/>
      <c r="O741" s="152"/>
    </row>
    <row r="742" spans="1:15">
      <c r="A742" s="88"/>
      <c r="B742" s="152"/>
      <c r="C742" s="154"/>
      <c r="D742" s="154"/>
      <c r="E742" s="155"/>
      <c r="F742" s="154"/>
      <c r="G742" s="154"/>
      <c r="H742" s="154"/>
      <c r="I742" s="154"/>
      <c r="J742" s="154"/>
      <c r="K742" s="154"/>
      <c r="L742" s="152"/>
      <c r="M742" s="153"/>
      <c r="N742" s="152"/>
      <c r="O742" s="152"/>
    </row>
    <row r="743" spans="1:15">
      <c r="A743" s="88"/>
      <c r="B743" s="152"/>
      <c r="C743" s="154"/>
      <c r="D743" s="154"/>
      <c r="E743" s="155"/>
      <c r="F743" s="154"/>
      <c r="G743" s="154"/>
      <c r="H743" s="154"/>
      <c r="I743" s="154"/>
      <c r="J743" s="154"/>
      <c r="K743" s="154"/>
      <c r="L743" s="152"/>
      <c r="M743" s="153"/>
      <c r="N743" s="152"/>
      <c r="O743" s="152"/>
    </row>
    <row r="744" spans="1:15">
      <c r="A744" s="88"/>
      <c r="B744" s="152"/>
      <c r="C744" s="154"/>
      <c r="D744" s="154"/>
      <c r="E744" s="155"/>
      <c r="F744" s="154"/>
      <c r="G744" s="154"/>
      <c r="H744" s="154"/>
      <c r="I744" s="154"/>
      <c r="J744" s="154"/>
      <c r="K744" s="154"/>
      <c r="L744" s="152"/>
      <c r="M744" s="153"/>
      <c r="N744" s="152"/>
      <c r="O744" s="152"/>
    </row>
    <row r="745" spans="1:15">
      <c r="A745" s="88"/>
      <c r="B745" s="152"/>
      <c r="C745" s="154"/>
      <c r="D745" s="154"/>
      <c r="E745" s="155"/>
      <c r="F745" s="154"/>
      <c r="G745" s="154"/>
      <c r="H745" s="154"/>
      <c r="I745" s="154"/>
      <c r="J745" s="154"/>
      <c r="K745" s="154"/>
      <c r="L745" s="152"/>
      <c r="M745" s="153"/>
      <c r="N745" s="152"/>
      <c r="O745" s="152"/>
    </row>
    <row r="746" spans="1:15">
      <c r="A746" s="88"/>
      <c r="B746" s="152"/>
      <c r="C746" s="154"/>
      <c r="D746" s="154"/>
      <c r="E746" s="155"/>
      <c r="F746" s="154"/>
      <c r="G746" s="154"/>
      <c r="H746" s="154"/>
      <c r="I746" s="154"/>
      <c r="J746" s="154"/>
      <c r="K746" s="154"/>
      <c r="L746" s="152"/>
      <c r="M746" s="153"/>
      <c r="N746" s="152"/>
      <c r="O746" s="152"/>
    </row>
    <row r="747" spans="1:15">
      <c r="A747" s="88"/>
      <c r="B747" s="152"/>
      <c r="C747" s="154"/>
      <c r="D747" s="154"/>
      <c r="E747" s="155"/>
      <c r="F747" s="154"/>
      <c r="G747" s="154"/>
      <c r="H747" s="154"/>
      <c r="I747" s="154"/>
      <c r="J747" s="154"/>
      <c r="K747" s="154"/>
      <c r="L747" s="152"/>
      <c r="M747" s="153"/>
      <c r="N747" s="152"/>
      <c r="O747" s="152"/>
    </row>
    <row r="748" spans="1:15">
      <c r="A748" s="88"/>
      <c r="B748" s="152"/>
      <c r="C748" s="154"/>
      <c r="D748" s="154"/>
      <c r="E748" s="155"/>
      <c r="F748" s="154"/>
      <c r="G748" s="154"/>
      <c r="H748" s="154"/>
      <c r="I748" s="154"/>
      <c r="J748" s="154"/>
      <c r="K748" s="154"/>
      <c r="L748" s="152"/>
      <c r="M748" s="153"/>
      <c r="N748" s="152"/>
      <c r="O748" s="152"/>
    </row>
    <row r="749" spans="1:15">
      <c r="A749" s="88"/>
      <c r="B749" s="152"/>
      <c r="C749" s="154"/>
      <c r="D749" s="154"/>
      <c r="E749" s="155"/>
      <c r="F749" s="154"/>
      <c r="G749" s="154"/>
      <c r="H749" s="154"/>
      <c r="I749" s="154"/>
      <c r="J749" s="154"/>
      <c r="K749" s="154"/>
      <c r="L749" s="152"/>
      <c r="M749" s="153"/>
      <c r="N749" s="152"/>
      <c r="O749" s="152"/>
    </row>
    <row r="750" spans="1:15">
      <c r="A750" s="88"/>
      <c r="B750" s="152"/>
      <c r="C750" s="154"/>
      <c r="D750" s="154"/>
      <c r="E750" s="155"/>
      <c r="F750" s="154"/>
      <c r="G750" s="154"/>
      <c r="H750" s="154"/>
      <c r="I750" s="154"/>
      <c r="J750" s="154"/>
      <c r="K750" s="154"/>
      <c r="L750" s="152"/>
      <c r="M750" s="153"/>
      <c r="N750" s="152"/>
      <c r="O750" s="152"/>
    </row>
    <row r="751" spans="1:15">
      <c r="A751" s="88"/>
      <c r="B751" s="152"/>
      <c r="C751" s="154"/>
      <c r="D751" s="154"/>
      <c r="E751" s="155"/>
      <c r="F751" s="154"/>
      <c r="G751" s="154"/>
      <c r="H751" s="154"/>
      <c r="I751" s="154"/>
      <c r="J751" s="154"/>
      <c r="K751" s="154"/>
      <c r="L751" s="152"/>
      <c r="M751" s="153"/>
      <c r="N751" s="152"/>
      <c r="O751" s="152"/>
    </row>
    <row r="752" spans="1:15">
      <c r="A752" s="88"/>
      <c r="B752" s="152"/>
      <c r="C752" s="154"/>
      <c r="D752" s="154"/>
      <c r="E752" s="155"/>
      <c r="F752" s="154"/>
      <c r="G752" s="154"/>
      <c r="H752" s="154"/>
      <c r="I752" s="154"/>
      <c r="J752" s="154"/>
      <c r="K752" s="154"/>
      <c r="L752" s="152"/>
      <c r="M752" s="153"/>
      <c r="N752" s="152"/>
      <c r="O752" s="152"/>
    </row>
    <row r="753" spans="1:15">
      <c r="A753" s="88"/>
      <c r="B753" s="152"/>
      <c r="C753" s="154"/>
      <c r="D753" s="154"/>
      <c r="E753" s="155"/>
      <c r="F753" s="154"/>
      <c r="G753" s="154"/>
      <c r="H753" s="154"/>
      <c r="I753" s="154"/>
      <c r="J753" s="154"/>
      <c r="K753" s="154"/>
      <c r="L753" s="152"/>
      <c r="M753" s="153"/>
      <c r="N753" s="152"/>
      <c r="O753" s="152"/>
    </row>
    <row r="754" spans="1:15">
      <c r="A754" s="88"/>
      <c r="B754" s="152"/>
      <c r="C754" s="154"/>
      <c r="D754" s="154"/>
      <c r="E754" s="155"/>
      <c r="F754" s="154"/>
      <c r="G754" s="154"/>
      <c r="H754" s="154"/>
      <c r="I754" s="154"/>
      <c r="J754" s="154"/>
      <c r="K754" s="154"/>
      <c r="L754" s="152"/>
      <c r="M754" s="153"/>
      <c r="N754" s="152"/>
      <c r="O754" s="152"/>
    </row>
    <row r="755" spans="1:15">
      <c r="A755" s="88"/>
      <c r="B755" s="152"/>
      <c r="C755" s="154"/>
      <c r="D755" s="154"/>
      <c r="E755" s="155"/>
      <c r="F755" s="154"/>
      <c r="G755" s="154"/>
      <c r="H755" s="154"/>
      <c r="I755" s="154"/>
      <c r="J755" s="154"/>
      <c r="K755" s="154"/>
      <c r="L755" s="152"/>
      <c r="M755" s="153"/>
      <c r="N755" s="152"/>
      <c r="O755" s="152"/>
    </row>
    <row r="756" spans="1:15">
      <c r="A756" s="88"/>
      <c r="B756" s="152"/>
      <c r="C756" s="154"/>
      <c r="D756" s="154"/>
      <c r="E756" s="155"/>
      <c r="F756" s="154"/>
      <c r="G756" s="154"/>
      <c r="H756" s="154"/>
      <c r="I756" s="154"/>
      <c r="J756" s="154"/>
      <c r="K756" s="154"/>
      <c r="L756" s="152"/>
      <c r="M756" s="153"/>
      <c r="N756" s="152"/>
      <c r="O756" s="152"/>
    </row>
    <row r="757" spans="1:15">
      <c r="A757" s="88"/>
      <c r="B757" s="152"/>
      <c r="C757" s="154"/>
      <c r="D757" s="154"/>
      <c r="E757" s="155"/>
      <c r="F757" s="154"/>
      <c r="G757" s="154"/>
      <c r="H757" s="154"/>
      <c r="I757" s="154"/>
      <c r="J757" s="154"/>
      <c r="K757" s="154"/>
      <c r="L757" s="152"/>
      <c r="M757" s="153"/>
      <c r="N757" s="152"/>
      <c r="O757" s="152"/>
    </row>
    <row r="758" spans="1:15">
      <c r="A758" s="88"/>
      <c r="B758" s="152"/>
      <c r="C758" s="154"/>
      <c r="D758" s="154"/>
      <c r="E758" s="155"/>
      <c r="F758" s="154"/>
      <c r="G758" s="154"/>
      <c r="H758" s="154"/>
      <c r="I758" s="154"/>
      <c r="J758" s="154"/>
      <c r="K758" s="154"/>
      <c r="L758" s="152"/>
      <c r="M758" s="153"/>
      <c r="N758" s="152"/>
      <c r="O758" s="152"/>
    </row>
    <row r="759" spans="1:15">
      <c r="A759" s="88"/>
      <c r="B759" s="152"/>
      <c r="C759" s="154"/>
      <c r="D759" s="154"/>
      <c r="E759" s="155"/>
      <c r="F759" s="154"/>
      <c r="G759" s="154"/>
      <c r="H759" s="154"/>
      <c r="I759" s="154"/>
      <c r="J759" s="154"/>
      <c r="K759" s="154"/>
      <c r="L759" s="152"/>
      <c r="M759" s="153"/>
      <c r="N759" s="152"/>
      <c r="O759" s="152"/>
    </row>
    <row r="760" spans="1:15">
      <c r="A760" s="88"/>
      <c r="B760" s="152"/>
      <c r="C760" s="154"/>
      <c r="D760" s="154"/>
      <c r="E760" s="155"/>
      <c r="F760" s="154"/>
      <c r="G760" s="154"/>
      <c r="H760" s="154"/>
      <c r="I760" s="154"/>
      <c r="J760" s="154"/>
      <c r="K760" s="154"/>
      <c r="L760" s="152"/>
      <c r="M760" s="153"/>
      <c r="N760" s="152"/>
      <c r="O760" s="152"/>
    </row>
    <row r="761" spans="1:15">
      <c r="A761" s="88"/>
      <c r="B761" s="152"/>
      <c r="C761" s="154"/>
      <c r="D761" s="154"/>
      <c r="E761" s="155"/>
      <c r="F761" s="154"/>
      <c r="G761" s="154"/>
      <c r="H761" s="154"/>
      <c r="I761" s="154"/>
      <c r="J761" s="154"/>
      <c r="K761" s="154"/>
      <c r="L761" s="152"/>
      <c r="M761" s="153"/>
      <c r="N761" s="152"/>
      <c r="O761" s="152"/>
    </row>
    <row r="762" spans="1:15">
      <c r="A762" s="88"/>
      <c r="B762" s="152"/>
      <c r="C762" s="154"/>
      <c r="D762" s="154"/>
      <c r="E762" s="155"/>
      <c r="F762" s="154"/>
      <c r="G762" s="154"/>
      <c r="H762" s="154"/>
      <c r="I762" s="154"/>
      <c r="J762" s="154"/>
      <c r="K762" s="154"/>
      <c r="L762" s="152"/>
      <c r="M762" s="153"/>
      <c r="N762" s="152"/>
      <c r="O762" s="152"/>
    </row>
    <row r="763" spans="1:15">
      <c r="A763" s="88"/>
      <c r="B763" s="152"/>
      <c r="C763" s="154"/>
      <c r="D763" s="154"/>
      <c r="E763" s="155"/>
      <c r="F763" s="154"/>
      <c r="G763" s="154"/>
      <c r="H763" s="154"/>
      <c r="I763" s="154"/>
      <c r="J763" s="154"/>
      <c r="K763" s="154"/>
      <c r="L763" s="152"/>
      <c r="M763" s="153"/>
      <c r="N763" s="152"/>
      <c r="O763" s="152"/>
    </row>
    <row r="764" spans="1:15">
      <c r="A764" s="88"/>
      <c r="B764" s="152"/>
      <c r="C764" s="154"/>
      <c r="D764" s="154"/>
      <c r="E764" s="155"/>
      <c r="F764" s="154"/>
      <c r="G764" s="154"/>
      <c r="H764" s="154"/>
      <c r="I764" s="154"/>
      <c r="J764" s="154"/>
      <c r="K764" s="154"/>
      <c r="L764" s="152"/>
      <c r="M764" s="153"/>
      <c r="N764" s="152"/>
      <c r="O764" s="152"/>
    </row>
    <row r="765" spans="1:15">
      <c r="A765" s="88"/>
      <c r="B765" s="152"/>
      <c r="C765" s="154"/>
      <c r="D765" s="154"/>
      <c r="E765" s="155"/>
      <c r="F765" s="154"/>
      <c r="G765" s="154"/>
      <c r="H765" s="154"/>
      <c r="I765" s="154"/>
      <c r="J765" s="154"/>
      <c r="K765" s="154"/>
      <c r="L765" s="152"/>
      <c r="M765" s="153"/>
      <c r="N765" s="152"/>
      <c r="O765" s="152"/>
    </row>
    <row r="766" spans="1:15">
      <c r="A766" s="88"/>
      <c r="B766" s="152"/>
      <c r="C766" s="154"/>
      <c r="D766" s="154"/>
      <c r="E766" s="155"/>
      <c r="F766" s="154"/>
      <c r="G766" s="154"/>
      <c r="H766" s="154"/>
      <c r="I766" s="154"/>
      <c r="J766" s="154"/>
      <c r="K766" s="154"/>
      <c r="L766" s="152"/>
      <c r="M766" s="153"/>
      <c r="N766" s="152"/>
      <c r="O766" s="152"/>
    </row>
    <row r="767" spans="1:15">
      <c r="A767" s="88"/>
      <c r="B767" s="152"/>
      <c r="C767" s="154"/>
      <c r="D767" s="154"/>
      <c r="E767" s="155"/>
      <c r="F767" s="154"/>
      <c r="G767" s="154"/>
      <c r="H767" s="154"/>
      <c r="I767" s="154"/>
      <c r="J767" s="154"/>
      <c r="K767" s="154"/>
      <c r="L767" s="152"/>
      <c r="M767" s="153"/>
      <c r="N767" s="152"/>
      <c r="O767" s="152"/>
    </row>
    <row r="768" spans="1:15">
      <c r="A768" s="88"/>
      <c r="B768" s="152"/>
      <c r="C768" s="154"/>
      <c r="D768" s="154"/>
      <c r="E768" s="155"/>
      <c r="F768" s="154"/>
      <c r="G768" s="154"/>
      <c r="H768" s="154"/>
      <c r="I768" s="154"/>
      <c r="J768" s="154"/>
      <c r="K768" s="154"/>
      <c r="L768" s="152"/>
      <c r="M768" s="153"/>
      <c r="N768" s="152"/>
      <c r="O768" s="152"/>
    </row>
    <row r="769" spans="1:15">
      <c r="A769" s="88"/>
      <c r="B769" s="152"/>
      <c r="C769" s="154"/>
      <c r="D769" s="154"/>
      <c r="E769" s="155"/>
      <c r="F769" s="154"/>
      <c r="G769" s="154"/>
      <c r="H769" s="154"/>
      <c r="I769" s="154"/>
      <c r="J769" s="154"/>
      <c r="K769" s="154"/>
      <c r="L769" s="152"/>
      <c r="M769" s="153"/>
      <c r="N769" s="152"/>
      <c r="O769" s="152"/>
    </row>
    <row r="770" spans="1:15">
      <c r="A770" s="88"/>
      <c r="B770" s="152"/>
      <c r="C770" s="154"/>
      <c r="D770" s="154"/>
      <c r="E770" s="155"/>
      <c r="F770" s="154"/>
      <c r="G770" s="154"/>
      <c r="H770" s="154"/>
      <c r="I770" s="154"/>
      <c r="J770" s="154"/>
      <c r="K770" s="154"/>
      <c r="L770" s="152"/>
      <c r="M770" s="153"/>
      <c r="N770" s="152"/>
      <c r="O770" s="152"/>
    </row>
    <row r="771" spans="1:15">
      <c r="A771" s="88"/>
      <c r="B771" s="152"/>
      <c r="C771" s="154"/>
      <c r="D771" s="154"/>
      <c r="E771" s="155"/>
      <c r="F771" s="154"/>
      <c r="G771" s="154"/>
      <c r="H771" s="154"/>
      <c r="I771" s="154"/>
      <c r="J771" s="154"/>
      <c r="K771" s="154"/>
      <c r="L771" s="152"/>
      <c r="M771" s="153"/>
      <c r="N771" s="152"/>
      <c r="O771" s="152"/>
    </row>
    <row r="772" spans="1:15">
      <c r="A772" s="88"/>
      <c r="B772" s="152"/>
      <c r="C772" s="154"/>
      <c r="D772" s="154"/>
      <c r="E772" s="155"/>
      <c r="F772" s="154"/>
      <c r="G772" s="154"/>
      <c r="H772" s="154"/>
      <c r="I772" s="154"/>
      <c r="J772" s="154"/>
      <c r="K772" s="154"/>
      <c r="L772" s="152"/>
      <c r="M772" s="153"/>
      <c r="N772" s="152"/>
      <c r="O772" s="152"/>
    </row>
    <row r="773" spans="1:15">
      <c r="A773" s="88"/>
      <c r="B773" s="152"/>
      <c r="C773" s="154"/>
      <c r="D773" s="154"/>
      <c r="E773" s="155"/>
      <c r="F773" s="154"/>
      <c r="G773" s="154"/>
      <c r="H773" s="154"/>
      <c r="I773" s="154"/>
      <c r="J773" s="154"/>
      <c r="K773" s="154"/>
      <c r="L773" s="152"/>
      <c r="M773" s="153"/>
      <c r="N773" s="152"/>
      <c r="O773" s="152"/>
    </row>
    <row r="774" spans="1:15">
      <c r="A774" s="88"/>
      <c r="B774" s="152"/>
      <c r="C774" s="154"/>
      <c r="D774" s="154"/>
      <c r="E774" s="155"/>
      <c r="F774" s="154"/>
      <c r="G774" s="154"/>
      <c r="H774" s="154"/>
      <c r="I774" s="154"/>
      <c r="J774" s="154"/>
      <c r="K774" s="154"/>
      <c r="L774" s="152"/>
      <c r="M774" s="153"/>
      <c r="N774" s="152"/>
      <c r="O774" s="152"/>
    </row>
    <row r="775" spans="1:15">
      <c r="A775" s="88"/>
      <c r="B775" s="152"/>
      <c r="C775" s="154"/>
      <c r="D775" s="154"/>
      <c r="E775" s="155"/>
      <c r="F775" s="154"/>
      <c r="G775" s="154"/>
      <c r="H775" s="154"/>
      <c r="I775" s="154"/>
      <c r="J775" s="154"/>
      <c r="K775" s="154"/>
      <c r="L775" s="152"/>
      <c r="M775" s="153"/>
      <c r="N775" s="152"/>
      <c r="O775" s="152"/>
    </row>
    <row r="776" spans="1:15">
      <c r="A776" s="88"/>
      <c r="B776" s="152"/>
      <c r="C776" s="154"/>
      <c r="D776" s="154"/>
      <c r="E776" s="155"/>
      <c r="F776" s="154"/>
      <c r="G776" s="154"/>
      <c r="H776" s="154"/>
      <c r="I776" s="154"/>
      <c r="J776" s="154"/>
      <c r="K776" s="154"/>
      <c r="L776" s="152"/>
      <c r="M776" s="153"/>
      <c r="N776" s="152"/>
      <c r="O776" s="152"/>
    </row>
    <row r="777" spans="1:15">
      <c r="A777" s="88"/>
      <c r="B777" s="152"/>
      <c r="C777" s="154"/>
      <c r="D777" s="154"/>
      <c r="E777" s="155"/>
      <c r="F777" s="154"/>
      <c r="G777" s="154"/>
      <c r="H777" s="154"/>
      <c r="I777" s="154"/>
      <c r="J777" s="154"/>
      <c r="K777" s="154"/>
      <c r="L777" s="152"/>
      <c r="M777" s="153"/>
      <c r="N777" s="152"/>
      <c r="O777" s="152"/>
    </row>
    <row r="778" spans="1:15">
      <c r="A778" s="88"/>
      <c r="B778" s="152"/>
      <c r="C778" s="154"/>
      <c r="D778" s="154"/>
      <c r="E778" s="155"/>
      <c r="F778" s="154"/>
      <c r="G778" s="154"/>
      <c r="H778" s="154"/>
      <c r="I778" s="154"/>
      <c r="J778" s="154"/>
      <c r="K778" s="154"/>
      <c r="L778" s="152"/>
      <c r="M778" s="153"/>
      <c r="N778" s="152"/>
      <c r="O778" s="152"/>
    </row>
    <row r="779" spans="1:15">
      <c r="A779" s="88"/>
      <c r="B779" s="152"/>
      <c r="C779" s="154"/>
      <c r="D779" s="154"/>
      <c r="E779" s="155"/>
      <c r="F779" s="154"/>
      <c r="G779" s="154"/>
      <c r="H779" s="154"/>
      <c r="I779" s="154"/>
      <c r="J779" s="154"/>
      <c r="K779" s="154"/>
      <c r="L779" s="152"/>
      <c r="M779" s="153"/>
      <c r="N779" s="152"/>
      <c r="O779" s="152"/>
    </row>
    <row r="780" spans="1:15">
      <c r="A780" s="88"/>
      <c r="B780" s="152"/>
      <c r="C780" s="154"/>
      <c r="D780" s="154"/>
      <c r="E780" s="155"/>
      <c r="F780" s="154"/>
      <c r="G780" s="154"/>
      <c r="H780" s="154"/>
      <c r="I780" s="154"/>
      <c r="J780" s="154"/>
      <c r="K780" s="154"/>
      <c r="L780" s="152"/>
      <c r="M780" s="153"/>
      <c r="N780" s="152"/>
      <c r="O780" s="152"/>
    </row>
    <row r="781" spans="1:15">
      <c r="A781" s="88"/>
      <c r="B781" s="152"/>
      <c r="C781" s="154"/>
      <c r="D781" s="154"/>
      <c r="E781" s="155"/>
      <c r="F781" s="154"/>
      <c r="G781" s="154"/>
      <c r="H781" s="154"/>
      <c r="I781" s="154"/>
      <c r="J781" s="154"/>
      <c r="K781" s="154"/>
      <c r="L781" s="152"/>
      <c r="M781" s="153"/>
      <c r="N781" s="152"/>
      <c r="O781" s="152"/>
    </row>
    <row r="782" spans="1:15">
      <c r="A782" s="88"/>
      <c r="B782" s="152"/>
      <c r="C782" s="154"/>
      <c r="D782" s="154"/>
      <c r="E782" s="155"/>
      <c r="F782" s="154"/>
      <c r="G782" s="154"/>
      <c r="H782" s="154"/>
      <c r="I782" s="154"/>
      <c r="J782" s="154"/>
      <c r="K782" s="154"/>
      <c r="L782" s="152"/>
      <c r="M782" s="153"/>
      <c r="N782" s="152"/>
      <c r="O782" s="152"/>
    </row>
    <row r="783" spans="1:15">
      <c r="A783" s="88"/>
      <c r="B783" s="152"/>
      <c r="C783" s="154"/>
      <c r="D783" s="154"/>
      <c r="E783" s="155"/>
      <c r="F783" s="154"/>
      <c r="G783" s="154"/>
      <c r="H783" s="154"/>
      <c r="I783" s="154"/>
      <c r="J783" s="154"/>
      <c r="K783" s="154"/>
      <c r="L783" s="152"/>
      <c r="M783" s="153"/>
      <c r="N783" s="152"/>
      <c r="O783" s="152"/>
    </row>
    <row r="784" spans="1:15">
      <c r="A784" s="88"/>
      <c r="B784" s="152"/>
      <c r="C784" s="154"/>
      <c r="D784" s="154"/>
      <c r="E784" s="155"/>
      <c r="F784" s="154"/>
      <c r="G784" s="154"/>
      <c r="H784" s="154"/>
      <c r="I784" s="154"/>
      <c r="J784" s="154"/>
      <c r="K784" s="154"/>
      <c r="L784" s="152"/>
      <c r="M784" s="153"/>
      <c r="N784" s="152"/>
      <c r="O784" s="152"/>
    </row>
    <row r="785" spans="1:15">
      <c r="A785" s="88"/>
      <c r="B785" s="152"/>
      <c r="C785" s="154"/>
      <c r="D785" s="154"/>
      <c r="E785" s="155"/>
      <c r="F785" s="154"/>
      <c r="G785" s="154"/>
      <c r="H785" s="154"/>
      <c r="I785" s="154"/>
      <c r="J785" s="154"/>
      <c r="K785" s="154"/>
      <c r="L785" s="152"/>
      <c r="M785" s="153"/>
      <c r="N785" s="152"/>
      <c r="O785" s="152"/>
    </row>
    <row r="786" spans="1:15">
      <c r="A786" s="88"/>
      <c r="B786" s="152"/>
      <c r="C786" s="154"/>
      <c r="D786" s="154"/>
      <c r="E786" s="155"/>
      <c r="F786" s="154"/>
      <c r="G786" s="154"/>
      <c r="H786" s="154"/>
      <c r="I786" s="154"/>
      <c r="J786" s="154"/>
      <c r="K786" s="154"/>
      <c r="L786" s="152"/>
      <c r="M786" s="153"/>
      <c r="N786" s="152"/>
      <c r="O786" s="152"/>
    </row>
    <row r="787" spans="1:15">
      <c r="A787" s="88"/>
      <c r="B787" s="152"/>
      <c r="C787" s="154"/>
      <c r="D787" s="154"/>
      <c r="E787" s="155"/>
      <c r="F787" s="154"/>
      <c r="G787" s="154"/>
      <c r="H787" s="154"/>
      <c r="I787" s="154"/>
      <c r="J787" s="154"/>
      <c r="K787" s="154"/>
      <c r="L787" s="152"/>
      <c r="M787" s="153"/>
      <c r="N787" s="152"/>
      <c r="O787" s="152"/>
    </row>
    <row r="788" spans="1:15">
      <c r="A788" s="88"/>
      <c r="B788" s="152"/>
      <c r="C788" s="154"/>
      <c r="D788" s="154"/>
      <c r="E788" s="155"/>
      <c r="F788" s="154"/>
      <c r="G788" s="154"/>
      <c r="H788" s="154"/>
      <c r="I788" s="154"/>
      <c r="J788" s="154"/>
      <c r="K788" s="154"/>
      <c r="L788" s="152"/>
      <c r="M788" s="153"/>
      <c r="N788" s="152"/>
      <c r="O788" s="152"/>
    </row>
    <row r="789" spans="1:15">
      <c r="A789" s="88"/>
      <c r="B789" s="152"/>
      <c r="C789" s="154"/>
      <c r="D789" s="154"/>
      <c r="E789" s="155"/>
      <c r="F789" s="154"/>
      <c r="G789" s="154"/>
      <c r="H789" s="154"/>
      <c r="I789" s="154"/>
      <c r="J789" s="154"/>
      <c r="K789" s="154"/>
      <c r="L789" s="152"/>
      <c r="M789" s="153"/>
      <c r="N789" s="152"/>
      <c r="O789" s="152"/>
    </row>
    <row r="790" spans="1:15">
      <c r="A790" s="88"/>
      <c r="B790" s="152"/>
      <c r="C790" s="154"/>
      <c r="D790" s="154"/>
      <c r="E790" s="155"/>
      <c r="F790" s="154"/>
      <c r="G790" s="154"/>
      <c r="H790" s="154"/>
      <c r="I790" s="154"/>
      <c r="J790" s="154"/>
      <c r="K790" s="154"/>
      <c r="L790" s="152"/>
      <c r="M790" s="153"/>
      <c r="N790" s="152"/>
      <c r="O790" s="152"/>
    </row>
    <row r="791" spans="1:15">
      <c r="A791" s="88"/>
      <c r="B791" s="152"/>
      <c r="C791" s="154"/>
      <c r="D791" s="154"/>
      <c r="E791" s="155"/>
      <c r="F791" s="154"/>
      <c r="G791" s="154"/>
      <c r="H791" s="154"/>
      <c r="I791" s="154"/>
      <c r="J791" s="154"/>
      <c r="K791" s="154"/>
      <c r="L791" s="152"/>
      <c r="M791" s="153"/>
      <c r="N791" s="152"/>
      <c r="O791" s="152"/>
    </row>
    <row r="792" spans="1:15">
      <c r="A792" s="88"/>
      <c r="B792" s="152"/>
      <c r="C792" s="154"/>
      <c r="D792" s="154"/>
      <c r="E792" s="155"/>
      <c r="F792" s="154"/>
      <c r="G792" s="154"/>
      <c r="H792" s="154"/>
      <c r="I792" s="154"/>
      <c r="J792" s="154"/>
      <c r="K792" s="154"/>
      <c r="L792" s="152"/>
      <c r="M792" s="153"/>
      <c r="N792" s="152"/>
      <c r="O792" s="152"/>
    </row>
    <row r="793" spans="1:15">
      <c r="A793" s="88"/>
      <c r="B793" s="152"/>
      <c r="C793" s="154"/>
      <c r="D793" s="154"/>
      <c r="E793" s="155"/>
      <c r="F793" s="154"/>
      <c r="G793" s="154"/>
      <c r="H793" s="154"/>
      <c r="I793" s="154"/>
      <c r="J793" s="154"/>
      <c r="K793" s="154"/>
      <c r="L793" s="152"/>
      <c r="M793" s="153"/>
      <c r="N793" s="152"/>
      <c r="O793" s="152"/>
    </row>
    <row r="794" spans="1:15">
      <c r="A794" s="88"/>
      <c r="B794" s="152"/>
      <c r="C794" s="154"/>
      <c r="D794" s="154"/>
      <c r="E794" s="155"/>
      <c r="F794" s="154"/>
      <c r="G794" s="154"/>
      <c r="H794" s="154"/>
      <c r="I794" s="154"/>
      <c r="J794" s="154"/>
      <c r="K794" s="154"/>
      <c r="L794" s="152"/>
      <c r="M794" s="153"/>
      <c r="N794" s="152"/>
      <c r="O794" s="152"/>
    </row>
    <row r="795" spans="1:15">
      <c r="A795" s="88"/>
      <c r="B795" s="152"/>
      <c r="C795" s="154"/>
      <c r="D795" s="154"/>
      <c r="E795" s="155"/>
      <c r="F795" s="154"/>
      <c r="G795" s="154"/>
      <c r="H795" s="154"/>
      <c r="I795" s="154"/>
      <c r="J795" s="154"/>
      <c r="K795" s="154"/>
      <c r="L795" s="152"/>
      <c r="M795" s="153"/>
      <c r="N795" s="152"/>
      <c r="O795" s="152"/>
    </row>
    <row r="796" spans="1:15">
      <c r="A796" s="88"/>
      <c r="B796" s="152"/>
      <c r="C796" s="154"/>
      <c r="D796" s="154"/>
      <c r="E796" s="155"/>
      <c r="F796" s="154"/>
      <c r="G796" s="154"/>
      <c r="H796" s="154"/>
      <c r="I796" s="154"/>
      <c r="J796" s="154"/>
      <c r="K796" s="154"/>
      <c r="L796" s="152"/>
      <c r="M796" s="153"/>
      <c r="N796" s="152"/>
      <c r="O796" s="152"/>
    </row>
    <row r="797" spans="1:15">
      <c r="A797" s="88"/>
      <c r="B797" s="152"/>
      <c r="C797" s="154"/>
      <c r="D797" s="154"/>
      <c r="E797" s="155"/>
      <c r="F797" s="154"/>
      <c r="G797" s="154"/>
      <c r="H797" s="154"/>
      <c r="I797" s="154"/>
      <c r="J797" s="154"/>
      <c r="K797" s="154"/>
      <c r="L797" s="152"/>
      <c r="M797" s="153"/>
      <c r="N797" s="152"/>
      <c r="O797" s="152"/>
    </row>
    <row r="798" spans="1:15">
      <c r="A798" s="88"/>
      <c r="B798" s="152"/>
      <c r="C798" s="154"/>
      <c r="D798" s="154"/>
      <c r="E798" s="155"/>
      <c r="F798" s="154"/>
      <c r="G798" s="154"/>
      <c r="H798" s="154"/>
      <c r="I798" s="154"/>
      <c r="J798" s="154"/>
      <c r="K798" s="154"/>
      <c r="L798" s="152"/>
      <c r="M798" s="153"/>
      <c r="N798" s="152"/>
      <c r="O798" s="152"/>
    </row>
    <row r="799" spans="1:15">
      <c r="A799" s="88"/>
      <c r="B799" s="152"/>
      <c r="C799" s="154"/>
      <c r="D799" s="154"/>
      <c r="E799" s="155"/>
      <c r="F799" s="154"/>
      <c r="G799" s="154"/>
      <c r="H799" s="154"/>
      <c r="I799" s="154"/>
      <c r="J799" s="154"/>
      <c r="K799" s="154"/>
      <c r="L799" s="152"/>
      <c r="M799" s="153"/>
      <c r="N799" s="152"/>
      <c r="O799" s="152"/>
    </row>
    <row r="800" spans="1:15">
      <c r="A800" s="88"/>
      <c r="B800" s="152"/>
      <c r="C800" s="154"/>
      <c r="D800" s="154"/>
      <c r="E800" s="155"/>
      <c r="F800" s="154"/>
      <c r="G800" s="154"/>
      <c r="H800" s="154"/>
      <c r="I800" s="154"/>
      <c r="J800" s="154"/>
      <c r="K800" s="154"/>
      <c r="L800" s="152"/>
      <c r="M800" s="153"/>
      <c r="N800" s="152"/>
      <c r="O800" s="152"/>
    </row>
    <row r="801" spans="1:15">
      <c r="A801" s="88"/>
      <c r="B801" s="152"/>
      <c r="C801" s="154"/>
      <c r="D801" s="154"/>
      <c r="E801" s="155"/>
      <c r="F801" s="154"/>
      <c r="G801" s="154"/>
      <c r="H801" s="154"/>
      <c r="I801" s="154"/>
      <c r="J801" s="154"/>
      <c r="K801" s="154"/>
      <c r="L801" s="152"/>
      <c r="M801" s="153"/>
      <c r="N801" s="152"/>
      <c r="O801" s="152"/>
    </row>
    <row r="802" spans="1:15">
      <c r="A802" s="88"/>
      <c r="B802" s="152"/>
      <c r="C802" s="154"/>
      <c r="D802" s="154"/>
      <c r="E802" s="155"/>
      <c r="F802" s="154"/>
      <c r="G802" s="154"/>
      <c r="H802" s="154"/>
      <c r="I802" s="154"/>
      <c r="J802" s="154"/>
      <c r="K802" s="154"/>
      <c r="L802" s="152"/>
      <c r="M802" s="153"/>
      <c r="N802" s="152"/>
      <c r="O802" s="152"/>
    </row>
    <row r="803" spans="1:15">
      <c r="A803" s="88"/>
      <c r="B803" s="152"/>
      <c r="C803" s="154"/>
      <c r="D803" s="154"/>
      <c r="E803" s="155"/>
      <c r="F803" s="154"/>
      <c r="G803" s="154"/>
      <c r="H803" s="154"/>
      <c r="I803" s="154"/>
      <c r="J803" s="154"/>
      <c r="K803" s="154"/>
      <c r="L803" s="152"/>
      <c r="M803" s="153"/>
      <c r="N803" s="152"/>
      <c r="O803" s="152"/>
    </row>
    <row r="804" spans="1:15">
      <c r="A804" s="88"/>
      <c r="B804" s="152"/>
      <c r="C804" s="154"/>
      <c r="D804" s="154"/>
      <c r="E804" s="155"/>
      <c r="F804" s="154"/>
      <c r="G804" s="154"/>
      <c r="H804" s="154"/>
      <c r="I804" s="154"/>
      <c r="J804" s="154"/>
      <c r="K804" s="154"/>
      <c r="L804" s="152"/>
      <c r="M804" s="153"/>
      <c r="N804" s="152"/>
      <c r="O804" s="152"/>
    </row>
    <row r="805" spans="1:15">
      <c r="A805" s="88"/>
      <c r="B805" s="152"/>
      <c r="C805" s="154"/>
      <c r="D805" s="154"/>
      <c r="E805" s="155"/>
      <c r="F805" s="154"/>
      <c r="G805" s="154"/>
      <c r="H805" s="154"/>
      <c r="I805" s="154"/>
      <c r="J805" s="154"/>
      <c r="K805" s="154"/>
      <c r="L805" s="152"/>
      <c r="M805" s="153"/>
      <c r="N805" s="152"/>
      <c r="O805" s="152"/>
    </row>
    <row r="806" spans="1:15">
      <c r="A806" s="88"/>
      <c r="B806" s="152"/>
      <c r="C806" s="154"/>
      <c r="D806" s="154"/>
      <c r="E806" s="155"/>
      <c r="F806" s="154"/>
      <c r="G806" s="154"/>
      <c r="H806" s="154"/>
      <c r="I806" s="154"/>
      <c r="J806" s="154"/>
      <c r="K806" s="154"/>
      <c r="L806" s="152"/>
      <c r="M806" s="153"/>
      <c r="N806" s="152"/>
      <c r="O806" s="152"/>
    </row>
    <row r="807" spans="1:15">
      <c r="A807" s="88"/>
      <c r="B807" s="152"/>
      <c r="C807" s="154"/>
      <c r="D807" s="154"/>
      <c r="E807" s="155"/>
      <c r="F807" s="154"/>
      <c r="G807" s="154"/>
      <c r="H807" s="154"/>
      <c r="I807" s="154"/>
      <c r="J807" s="154"/>
      <c r="K807" s="154"/>
      <c r="L807" s="152"/>
      <c r="M807" s="153"/>
      <c r="N807" s="152"/>
      <c r="O807" s="152"/>
    </row>
    <row r="808" spans="1:15">
      <c r="A808" s="88"/>
      <c r="B808" s="152"/>
      <c r="C808" s="154"/>
      <c r="D808" s="154"/>
      <c r="E808" s="155"/>
      <c r="F808" s="154"/>
      <c r="G808" s="154"/>
      <c r="H808" s="154"/>
      <c r="I808" s="154"/>
      <c r="J808" s="154"/>
      <c r="K808" s="154"/>
      <c r="L808" s="152"/>
      <c r="M808" s="153"/>
      <c r="N808" s="152"/>
      <c r="O808" s="152"/>
    </row>
    <row r="809" spans="1:15">
      <c r="A809" s="88"/>
      <c r="B809" s="152"/>
      <c r="C809" s="154"/>
      <c r="D809" s="154"/>
      <c r="E809" s="155"/>
      <c r="F809" s="154"/>
      <c r="G809" s="154"/>
      <c r="H809" s="154"/>
      <c r="I809" s="154"/>
      <c r="J809" s="154"/>
      <c r="K809" s="154"/>
      <c r="L809" s="152"/>
      <c r="M809" s="153"/>
      <c r="N809" s="152"/>
      <c r="O809" s="152"/>
    </row>
    <row r="810" spans="1:15">
      <c r="A810" s="88"/>
      <c r="B810" s="152"/>
      <c r="C810" s="154"/>
      <c r="D810" s="154"/>
      <c r="E810" s="155"/>
      <c r="F810" s="154"/>
      <c r="G810" s="154"/>
      <c r="H810" s="154"/>
      <c r="I810" s="154"/>
      <c r="J810" s="154"/>
      <c r="K810" s="154"/>
      <c r="L810" s="152"/>
      <c r="M810" s="153"/>
      <c r="N810" s="152"/>
      <c r="O810" s="152"/>
    </row>
    <row r="811" spans="1:15">
      <c r="A811" s="88"/>
      <c r="B811" s="152"/>
      <c r="C811" s="154"/>
      <c r="D811" s="154"/>
      <c r="E811" s="155"/>
      <c r="F811" s="154"/>
      <c r="G811" s="154"/>
      <c r="H811" s="154"/>
      <c r="I811" s="154"/>
      <c r="J811" s="154"/>
      <c r="K811" s="154"/>
      <c r="L811" s="152"/>
      <c r="M811" s="153"/>
      <c r="N811" s="152"/>
      <c r="O811" s="152"/>
    </row>
    <row r="812" spans="1:15">
      <c r="A812" s="88"/>
      <c r="B812" s="152"/>
      <c r="C812" s="154"/>
      <c r="D812" s="154"/>
      <c r="E812" s="155"/>
      <c r="F812" s="154"/>
      <c r="G812" s="154"/>
      <c r="H812" s="154"/>
      <c r="I812" s="154"/>
      <c r="J812" s="154"/>
      <c r="K812" s="154"/>
      <c r="L812" s="152"/>
      <c r="M812" s="153"/>
      <c r="N812" s="152"/>
      <c r="O812" s="152"/>
    </row>
    <row r="813" spans="1:15">
      <c r="A813" s="88"/>
      <c r="B813" s="152"/>
      <c r="C813" s="154"/>
      <c r="D813" s="154"/>
      <c r="E813" s="155"/>
      <c r="F813" s="154"/>
      <c r="G813" s="154"/>
      <c r="H813" s="154"/>
      <c r="I813" s="154"/>
      <c r="J813" s="154"/>
      <c r="K813" s="154"/>
      <c r="L813" s="152"/>
      <c r="M813" s="153"/>
      <c r="N813" s="152"/>
      <c r="O813" s="152"/>
    </row>
    <row r="814" spans="1:15">
      <c r="A814" s="88"/>
      <c r="B814" s="152"/>
      <c r="C814" s="154"/>
      <c r="D814" s="154"/>
      <c r="E814" s="155"/>
      <c r="F814" s="154"/>
      <c r="G814" s="154"/>
      <c r="H814" s="154"/>
      <c r="I814" s="154"/>
      <c r="J814" s="154"/>
      <c r="K814" s="154"/>
      <c r="L814" s="152"/>
      <c r="M814" s="153"/>
      <c r="N814" s="152"/>
      <c r="O814" s="152"/>
    </row>
    <row r="815" spans="1:15">
      <c r="A815" s="88"/>
      <c r="B815" s="152"/>
      <c r="C815" s="154"/>
      <c r="D815" s="154"/>
      <c r="E815" s="155"/>
      <c r="F815" s="154"/>
      <c r="G815" s="154"/>
      <c r="H815" s="154"/>
      <c r="I815" s="154"/>
      <c r="J815" s="154"/>
      <c r="K815" s="154"/>
      <c r="L815" s="152"/>
      <c r="M815" s="153"/>
      <c r="N815" s="152"/>
      <c r="O815" s="152"/>
    </row>
    <row r="816" spans="1:15">
      <c r="A816" s="88"/>
      <c r="B816" s="152"/>
      <c r="C816" s="154"/>
      <c r="D816" s="154"/>
      <c r="E816" s="155"/>
      <c r="F816" s="154"/>
      <c r="G816" s="154"/>
      <c r="H816" s="154"/>
      <c r="I816" s="154"/>
      <c r="J816" s="154"/>
      <c r="K816" s="154"/>
      <c r="L816" s="152"/>
      <c r="M816" s="153"/>
      <c r="N816" s="152"/>
      <c r="O816" s="152"/>
    </row>
    <row r="817" spans="1:15">
      <c r="A817" s="88"/>
      <c r="B817" s="152"/>
      <c r="C817" s="154"/>
      <c r="D817" s="154"/>
      <c r="E817" s="155"/>
      <c r="F817" s="154"/>
      <c r="G817" s="154"/>
      <c r="H817" s="154"/>
      <c r="I817" s="154"/>
      <c r="J817" s="154"/>
      <c r="K817" s="154"/>
      <c r="L817" s="152"/>
      <c r="M817" s="153"/>
      <c r="N817" s="152"/>
      <c r="O817" s="152"/>
    </row>
    <row r="818" spans="1:15">
      <c r="A818" s="88"/>
      <c r="B818" s="152"/>
      <c r="C818" s="154"/>
      <c r="D818" s="154"/>
      <c r="E818" s="155"/>
      <c r="F818" s="154"/>
      <c r="G818" s="154"/>
      <c r="H818" s="154"/>
      <c r="I818" s="154"/>
      <c r="J818" s="154"/>
      <c r="K818" s="154"/>
      <c r="L818" s="152"/>
      <c r="M818" s="153"/>
      <c r="N818" s="152"/>
      <c r="O818" s="152"/>
    </row>
    <row r="819" spans="1:15">
      <c r="A819" s="88"/>
      <c r="B819" s="152"/>
      <c r="C819" s="154"/>
      <c r="D819" s="154"/>
      <c r="E819" s="155"/>
      <c r="F819" s="154"/>
      <c r="G819" s="154"/>
      <c r="H819" s="154"/>
      <c r="I819" s="154"/>
      <c r="J819" s="154"/>
      <c r="K819" s="154"/>
      <c r="L819" s="152"/>
      <c r="M819" s="153"/>
      <c r="N819" s="152"/>
      <c r="O819" s="152"/>
    </row>
    <row r="820" spans="1:15">
      <c r="A820" s="88"/>
      <c r="B820" s="152"/>
      <c r="C820" s="154"/>
      <c r="D820" s="154"/>
      <c r="E820" s="155"/>
      <c r="F820" s="154"/>
      <c r="G820" s="154"/>
      <c r="H820" s="154"/>
      <c r="I820" s="154"/>
      <c r="J820" s="154"/>
      <c r="K820" s="154"/>
      <c r="L820" s="152"/>
      <c r="M820" s="153"/>
      <c r="N820" s="152"/>
      <c r="O820" s="152"/>
    </row>
    <row r="821" spans="1:15">
      <c r="A821" s="88"/>
      <c r="B821" s="152"/>
      <c r="C821" s="154"/>
      <c r="D821" s="154"/>
      <c r="E821" s="155"/>
      <c r="F821" s="154"/>
      <c r="G821" s="154"/>
      <c r="H821" s="154"/>
      <c r="I821" s="154"/>
      <c r="J821" s="154"/>
      <c r="K821" s="154"/>
      <c r="L821" s="152"/>
      <c r="M821" s="153"/>
      <c r="N821" s="152"/>
      <c r="O821" s="152"/>
    </row>
    <row r="822" spans="1:15">
      <c r="A822" s="88"/>
      <c r="B822" s="152"/>
      <c r="C822" s="154"/>
      <c r="D822" s="154"/>
      <c r="E822" s="155"/>
      <c r="F822" s="154"/>
      <c r="G822" s="154"/>
      <c r="H822" s="154"/>
      <c r="I822" s="154"/>
      <c r="J822" s="154"/>
      <c r="K822" s="154"/>
      <c r="L822" s="152"/>
      <c r="M822" s="153"/>
      <c r="N822" s="152"/>
      <c r="O822" s="152"/>
    </row>
    <row r="823" spans="1:15">
      <c r="A823" s="88"/>
      <c r="B823" s="152"/>
      <c r="C823" s="154"/>
      <c r="D823" s="154"/>
      <c r="E823" s="155"/>
      <c r="F823" s="154"/>
      <c r="G823" s="154"/>
      <c r="H823" s="154"/>
      <c r="I823" s="154"/>
      <c r="J823" s="154"/>
      <c r="K823" s="154"/>
      <c r="L823" s="152"/>
      <c r="M823" s="153"/>
      <c r="N823" s="152"/>
      <c r="O823" s="152"/>
    </row>
    <row r="824" spans="1:15">
      <c r="A824" s="88"/>
      <c r="B824" s="152"/>
      <c r="C824" s="154"/>
      <c r="D824" s="154"/>
      <c r="E824" s="155"/>
      <c r="F824" s="154"/>
      <c r="G824" s="154"/>
      <c r="H824" s="154"/>
      <c r="I824" s="154"/>
      <c r="J824" s="154"/>
      <c r="K824" s="154"/>
      <c r="L824" s="152"/>
      <c r="M824" s="153"/>
      <c r="N824" s="152"/>
      <c r="O824" s="152"/>
    </row>
    <row r="825" spans="1:15">
      <c r="A825" s="88"/>
      <c r="B825" s="152"/>
      <c r="C825" s="154"/>
      <c r="D825" s="154"/>
      <c r="E825" s="155"/>
      <c r="F825" s="154"/>
      <c r="G825" s="154"/>
      <c r="H825" s="154"/>
      <c r="I825" s="154"/>
      <c r="J825" s="154"/>
      <c r="K825" s="154"/>
      <c r="L825" s="152"/>
      <c r="M825" s="153"/>
      <c r="N825" s="152"/>
      <c r="O825" s="152"/>
    </row>
    <row r="826" spans="1:15">
      <c r="A826" s="88"/>
      <c r="B826" s="152"/>
      <c r="C826" s="154"/>
      <c r="D826" s="154"/>
      <c r="E826" s="155"/>
      <c r="F826" s="154"/>
      <c r="G826" s="154"/>
      <c r="H826" s="154"/>
      <c r="I826" s="154"/>
      <c r="J826" s="154"/>
      <c r="K826" s="154"/>
      <c r="L826" s="152"/>
      <c r="M826" s="153"/>
      <c r="N826" s="152"/>
      <c r="O826" s="152"/>
    </row>
    <row r="827" spans="1:15">
      <c r="A827" s="88"/>
      <c r="B827" s="152"/>
      <c r="C827" s="154"/>
      <c r="D827" s="154"/>
      <c r="E827" s="155"/>
      <c r="F827" s="154"/>
      <c r="G827" s="154"/>
      <c r="H827" s="154"/>
      <c r="I827" s="154"/>
      <c r="J827" s="154"/>
      <c r="K827" s="154"/>
      <c r="L827" s="152"/>
      <c r="M827" s="153"/>
      <c r="N827" s="152"/>
      <c r="O827" s="152"/>
    </row>
    <row r="828" spans="1:15">
      <c r="A828" s="88"/>
      <c r="B828" s="152"/>
      <c r="C828" s="154"/>
      <c r="D828" s="154"/>
      <c r="E828" s="155"/>
      <c r="F828" s="154"/>
      <c r="G828" s="154"/>
      <c r="H828" s="154"/>
      <c r="I828" s="154"/>
      <c r="J828" s="154"/>
      <c r="K828" s="154"/>
      <c r="L828" s="152"/>
      <c r="M828" s="153"/>
      <c r="N828" s="152"/>
      <c r="O828" s="152"/>
    </row>
    <row r="829" spans="1:15">
      <c r="A829" s="88"/>
      <c r="B829" s="152"/>
      <c r="C829" s="154"/>
      <c r="D829" s="154"/>
      <c r="E829" s="155"/>
      <c r="F829" s="154"/>
      <c r="G829" s="154"/>
      <c r="H829" s="154"/>
      <c r="I829" s="154"/>
      <c r="J829" s="154"/>
      <c r="K829" s="154"/>
      <c r="L829" s="152"/>
      <c r="M829" s="153"/>
      <c r="N829" s="152"/>
      <c r="O829" s="152"/>
    </row>
    <row r="830" spans="1:15">
      <c r="A830" s="88"/>
      <c r="B830" s="152"/>
      <c r="C830" s="154"/>
      <c r="D830" s="154"/>
      <c r="E830" s="155"/>
      <c r="F830" s="154"/>
      <c r="G830" s="154"/>
      <c r="H830" s="154"/>
      <c r="I830" s="154"/>
      <c r="J830" s="154"/>
      <c r="K830" s="154"/>
      <c r="L830" s="152"/>
      <c r="M830" s="153"/>
      <c r="N830" s="152"/>
      <c r="O830" s="152"/>
    </row>
    <row r="831" spans="1:15">
      <c r="A831" s="88"/>
      <c r="B831" s="152"/>
      <c r="C831" s="154"/>
      <c r="D831" s="154"/>
      <c r="E831" s="155"/>
      <c r="F831" s="154"/>
      <c r="G831" s="154"/>
      <c r="H831" s="154"/>
      <c r="I831" s="154"/>
      <c r="J831" s="154"/>
      <c r="K831" s="154"/>
      <c r="L831" s="152"/>
      <c r="M831" s="153"/>
      <c r="N831" s="152"/>
      <c r="O831" s="152"/>
    </row>
    <row r="832" spans="1:15">
      <c r="A832" s="88"/>
      <c r="B832" s="152"/>
      <c r="C832" s="154"/>
      <c r="D832" s="154"/>
      <c r="E832" s="155"/>
      <c r="F832" s="154"/>
      <c r="G832" s="154"/>
      <c r="H832" s="154"/>
      <c r="I832" s="154"/>
      <c r="J832" s="154"/>
      <c r="K832" s="154"/>
      <c r="L832" s="152"/>
      <c r="M832" s="153"/>
      <c r="N832" s="152"/>
      <c r="O832" s="152"/>
    </row>
    <row r="833" spans="1:15">
      <c r="A833" s="88"/>
      <c r="B833" s="152"/>
      <c r="C833" s="154"/>
      <c r="D833" s="154"/>
      <c r="E833" s="155"/>
      <c r="F833" s="154"/>
      <c r="G833" s="154"/>
      <c r="H833" s="154"/>
      <c r="I833" s="154"/>
      <c r="J833" s="154"/>
      <c r="K833" s="154"/>
      <c r="L833" s="152"/>
      <c r="M833" s="153"/>
      <c r="N833" s="152"/>
      <c r="O833" s="152"/>
    </row>
    <row r="834" spans="1:15">
      <c r="A834" s="88"/>
      <c r="B834" s="152"/>
      <c r="C834" s="154"/>
      <c r="D834" s="154"/>
      <c r="E834" s="155"/>
      <c r="F834" s="154"/>
      <c r="G834" s="154"/>
      <c r="H834" s="154"/>
      <c r="I834" s="154"/>
      <c r="J834" s="154"/>
      <c r="K834" s="154"/>
      <c r="L834" s="152"/>
      <c r="M834" s="153"/>
      <c r="N834" s="152"/>
      <c r="O834" s="152"/>
    </row>
    <row r="835" spans="1:15">
      <c r="A835" s="88"/>
      <c r="B835" s="152"/>
      <c r="C835" s="154"/>
      <c r="D835" s="154"/>
      <c r="E835" s="155"/>
      <c r="F835" s="154"/>
      <c r="G835" s="154"/>
      <c r="H835" s="154"/>
      <c r="I835" s="154"/>
      <c r="J835" s="154"/>
      <c r="K835" s="154"/>
      <c r="L835" s="152"/>
      <c r="M835" s="153"/>
      <c r="N835" s="152"/>
      <c r="O835" s="152"/>
    </row>
    <row r="836" spans="1:15">
      <c r="A836" s="88"/>
      <c r="B836" s="152"/>
      <c r="C836" s="154"/>
      <c r="D836" s="154"/>
      <c r="E836" s="155"/>
      <c r="F836" s="154"/>
      <c r="G836" s="154"/>
      <c r="H836" s="154"/>
      <c r="I836" s="154"/>
      <c r="J836" s="154"/>
      <c r="K836" s="154"/>
      <c r="L836" s="152"/>
      <c r="M836" s="153"/>
      <c r="N836" s="152"/>
      <c r="O836" s="152"/>
    </row>
    <row r="837" spans="1:15">
      <c r="A837" s="88"/>
      <c r="B837" s="152"/>
      <c r="C837" s="154"/>
      <c r="D837" s="154"/>
      <c r="E837" s="155"/>
      <c r="F837" s="154"/>
      <c r="G837" s="154"/>
      <c r="H837" s="154"/>
      <c r="I837" s="154"/>
      <c r="J837" s="154"/>
      <c r="K837" s="154"/>
      <c r="L837" s="152"/>
      <c r="M837" s="153"/>
      <c r="N837" s="152"/>
      <c r="O837" s="152"/>
    </row>
    <row r="838" spans="1:15">
      <c r="A838" s="88"/>
      <c r="B838" s="152"/>
      <c r="C838" s="154"/>
      <c r="D838" s="154"/>
      <c r="E838" s="155"/>
      <c r="F838" s="154"/>
      <c r="G838" s="154"/>
      <c r="H838" s="154"/>
      <c r="I838" s="154"/>
      <c r="J838" s="154"/>
      <c r="K838" s="154"/>
      <c r="L838" s="152"/>
      <c r="M838" s="153"/>
      <c r="N838" s="152"/>
      <c r="O838" s="152"/>
    </row>
    <row r="839" spans="1:15">
      <c r="A839" s="88"/>
      <c r="B839" s="152"/>
      <c r="C839" s="154"/>
      <c r="D839" s="154"/>
      <c r="E839" s="155"/>
      <c r="F839" s="154"/>
      <c r="G839" s="154"/>
      <c r="H839" s="154"/>
      <c r="I839" s="154"/>
      <c r="J839" s="154"/>
      <c r="K839" s="154"/>
      <c r="L839" s="152"/>
      <c r="M839" s="153"/>
      <c r="N839" s="152"/>
      <c r="O839" s="152"/>
    </row>
    <row r="840" spans="1:15">
      <c r="A840" s="88"/>
      <c r="B840" s="152"/>
      <c r="C840" s="154"/>
      <c r="D840" s="154"/>
      <c r="E840" s="155"/>
      <c r="F840" s="154"/>
      <c r="G840" s="154"/>
      <c r="H840" s="154"/>
      <c r="I840" s="154"/>
      <c r="J840" s="154"/>
      <c r="K840" s="154"/>
      <c r="L840" s="152"/>
      <c r="M840" s="153"/>
      <c r="N840" s="152"/>
      <c r="O840" s="152"/>
    </row>
    <row r="841" spans="1:15">
      <c r="A841" s="88"/>
      <c r="B841" s="152"/>
      <c r="C841" s="154"/>
      <c r="D841" s="154"/>
      <c r="E841" s="155"/>
      <c r="F841" s="154"/>
      <c r="G841" s="154"/>
      <c r="H841" s="154"/>
      <c r="I841" s="154"/>
      <c r="J841" s="154"/>
      <c r="K841" s="154"/>
      <c r="L841" s="152"/>
      <c r="M841" s="153"/>
      <c r="N841" s="152"/>
      <c r="O841" s="152"/>
    </row>
    <row r="842" spans="1:15">
      <c r="A842" s="88"/>
      <c r="B842" s="152"/>
      <c r="C842" s="154"/>
      <c r="D842" s="154"/>
      <c r="E842" s="155"/>
      <c r="F842" s="154"/>
      <c r="G842" s="154"/>
      <c r="H842" s="154"/>
      <c r="I842" s="154"/>
      <c r="J842" s="154"/>
      <c r="K842" s="154"/>
      <c r="L842" s="152"/>
      <c r="M842" s="153"/>
      <c r="N842" s="152"/>
      <c r="O842" s="152"/>
    </row>
    <row r="843" spans="1:15">
      <c r="A843" s="88"/>
      <c r="B843" s="152"/>
      <c r="C843" s="154"/>
      <c r="D843" s="154"/>
      <c r="E843" s="155"/>
      <c r="F843" s="154"/>
      <c r="G843" s="154"/>
      <c r="H843" s="154"/>
      <c r="I843" s="154"/>
      <c r="J843" s="154"/>
      <c r="K843" s="154"/>
      <c r="L843" s="152"/>
      <c r="M843" s="153"/>
      <c r="N843" s="152"/>
      <c r="O843" s="152"/>
    </row>
    <row r="844" spans="1:15">
      <c r="A844" s="88"/>
      <c r="B844" s="152"/>
      <c r="C844" s="154"/>
      <c r="D844" s="154"/>
      <c r="E844" s="155"/>
      <c r="F844" s="154"/>
      <c r="G844" s="154"/>
      <c r="H844" s="154"/>
      <c r="I844" s="154"/>
      <c r="J844" s="154"/>
      <c r="K844" s="154"/>
      <c r="L844" s="152"/>
      <c r="M844" s="153"/>
      <c r="N844" s="152"/>
      <c r="O844" s="152"/>
    </row>
    <row r="845" spans="1:15">
      <c r="A845" s="88"/>
      <c r="B845" s="152"/>
      <c r="C845" s="154"/>
      <c r="D845" s="154"/>
      <c r="E845" s="155"/>
      <c r="F845" s="154"/>
      <c r="G845" s="154"/>
      <c r="H845" s="154"/>
      <c r="I845" s="154"/>
      <c r="J845" s="154"/>
      <c r="K845" s="154"/>
      <c r="L845" s="152"/>
      <c r="M845" s="153"/>
      <c r="N845" s="152"/>
      <c r="O845" s="152"/>
    </row>
    <row r="846" spans="1:15">
      <c r="A846" s="88"/>
      <c r="B846" s="152"/>
      <c r="C846" s="154"/>
      <c r="D846" s="154"/>
      <c r="E846" s="155"/>
      <c r="F846" s="154"/>
      <c r="G846" s="154"/>
      <c r="H846" s="154"/>
      <c r="I846" s="154"/>
      <c r="J846" s="154"/>
      <c r="K846" s="154"/>
      <c r="L846" s="152"/>
      <c r="M846" s="153"/>
      <c r="N846" s="152"/>
      <c r="O846" s="152"/>
    </row>
    <row r="847" spans="1:15">
      <c r="A847" s="88"/>
      <c r="B847" s="152"/>
      <c r="C847" s="154"/>
      <c r="D847" s="154"/>
      <c r="E847" s="155"/>
      <c r="F847" s="154"/>
      <c r="G847" s="154"/>
      <c r="H847" s="154"/>
      <c r="I847" s="154"/>
      <c r="J847" s="154"/>
      <c r="K847" s="154"/>
      <c r="L847" s="152"/>
      <c r="M847" s="153"/>
      <c r="N847" s="152"/>
      <c r="O847" s="152"/>
    </row>
    <row r="848" spans="1:15">
      <c r="A848" s="88"/>
      <c r="B848" s="152"/>
      <c r="C848" s="154"/>
      <c r="D848" s="154"/>
      <c r="E848" s="155"/>
      <c r="F848" s="154"/>
      <c r="G848" s="154"/>
      <c r="H848" s="154"/>
      <c r="I848" s="154"/>
      <c r="J848" s="154"/>
      <c r="K848" s="154"/>
      <c r="L848" s="152"/>
      <c r="M848" s="153"/>
      <c r="N848" s="152"/>
      <c r="O848" s="152"/>
    </row>
    <row r="849" spans="1:15">
      <c r="A849" s="88"/>
      <c r="B849" s="152"/>
      <c r="C849" s="154"/>
      <c r="D849" s="154"/>
      <c r="E849" s="155"/>
      <c r="F849" s="154"/>
      <c r="G849" s="154"/>
      <c r="H849" s="154"/>
      <c r="I849" s="154"/>
      <c r="J849" s="154"/>
      <c r="K849" s="154"/>
      <c r="L849" s="152"/>
      <c r="M849" s="153"/>
      <c r="N849" s="152"/>
      <c r="O849" s="152"/>
    </row>
    <row r="850" spans="1:15">
      <c r="A850" s="88"/>
      <c r="B850" s="152"/>
      <c r="C850" s="154"/>
      <c r="D850" s="154"/>
      <c r="E850" s="155"/>
      <c r="F850" s="154"/>
      <c r="G850" s="154"/>
      <c r="H850" s="154"/>
      <c r="I850" s="154"/>
      <c r="J850" s="154"/>
      <c r="K850" s="154"/>
      <c r="L850" s="152"/>
      <c r="M850" s="153"/>
      <c r="N850" s="152"/>
      <c r="O850" s="152"/>
    </row>
    <row r="851" spans="1:15">
      <c r="A851" s="88"/>
      <c r="B851" s="152"/>
      <c r="C851" s="154"/>
      <c r="D851" s="154"/>
      <c r="E851" s="155"/>
      <c r="F851" s="154"/>
      <c r="G851" s="154"/>
      <c r="H851" s="154"/>
      <c r="I851" s="154"/>
      <c r="J851" s="154"/>
      <c r="K851" s="154"/>
      <c r="L851" s="152"/>
      <c r="M851" s="153"/>
      <c r="N851" s="152"/>
      <c r="O851" s="152"/>
    </row>
    <row r="852" spans="1:15">
      <c r="A852" s="88"/>
      <c r="B852" s="152"/>
      <c r="C852" s="154"/>
      <c r="D852" s="154"/>
      <c r="E852" s="155"/>
      <c r="F852" s="154"/>
      <c r="G852" s="154"/>
      <c r="H852" s="154"/>
      <c r="I852" s="154"/>
      <c r="J852" s="154"/>
      <c r="K852" s="154"/>
      <c r="L852" s="152"/>
      <c r="M852" s="153"/>
      <c r="N852" s="152"/>
      <c r="O852" s="152"/>
    </row>
    <row r="853" spans="1:15">
      <c r="A853" s="88"/>
      <c r="B853" s="152"/>
      <c r="C853" s="154"/>
      <c r="D853" s="154"/>
      <c r="E853" s="155"/>
      <c r="F853" s="154"/>
      <c r="G853" s="154"/>
      <c r="H853" s="154"/>
      <c r="I853" s="154"/>
      <c r="J853" s="154"/>
      <c r="K853" s="154"/>
      <c r="L853" s="152"/>
      <c r="M853" s="153"/>
      <c r="N853" s="152"/>
      <c r="O853" s="152"/>
    </row>
    <row r="854" spans="1:15">
      <c r="A854" s="88"/>
      <c r="B854" s="152"/>
      <c r="C854" s="154"/>
      <c r="D854" s="154"/>
      <c r="E854" s="155"/>
      <c r="F854" s="154"/>
      <c r="G854" s="154"/>
      <c r="H854" s="154"/>
      <c r="I854" s="154"/>
      <c r="J854" s="154"/>
      <c r="K854" s="154"/>
      <c r="L854" s="152"/>
      <c r="M854" s="153"/>
      <c r="N854" s="152"/>
      <c r="O854" s="152"/>
    </row>
    <row r="855" spans="1:15">
      <c r="A855" s="88"/>
      <c r="B855" s="152"/>
      <c r="C855" s="154"/>
      <c r="D855" s="154"/>
      <c r="E855" s="155"/>
      <c r="F855" s="154"/>
      <c r="G855" s="154"/>
      <c r="H855" s="154"/>
      <c r="I855" s="154"/>
      <c r="J855" s="154"/>
      <c r="K855" s="154"/>
      <c r="L855" s="152"/>
      <c r="M855" s="153"/>
      <c r="N855" s="152"/>
      <c r="O855" s="152"/>
    </row>
    <row r="856" spans="1:15">
      <c r="A856" s="88"/>
      <c r="B856" s="152"/>
      <c r="C856" s="154"/>
      <c r="D856" s="154"/>
      <c r="E856" s="155"/>
      <c r="F856" s="154"/>
      <c r="G856" s="154"/>
      <c r="H856" s="154"/>
      <c r="I856" s="154"/>
      <c r="J856" s="154"/>
      <c r="K856" s="154"/>
      <c r="L856" s="152"/>
      <c r="M856" s="153"/>
      <c r="N856" s="152"/>
      <c r="O856" s="152"/>
    </row>
    <row r="857" spans="1:15">
      <c r="A857" s="88"/>
      <c r="B857" s="152"/>
      <c r="C857" s="154"/>
      <c r="D857" s="154"/>
      <c r="E857" s="155"/>
      <c r="F857" s="154"/>
      <c r="G857" s="154"/>
      <c r="H857" s="154"/>
      <c r="I857" s="154"/>
      <c r="J857" s="154"/>
      <c r="K857" s="154"/>
      <c r="L857" s="152"/>
      <c r="M857" s="153"/>
      <c r="N857" s="152"/>
      <c r="O857" s="152"/>
    </row>
    <row r="858" spans="1:15">
      <c r="A858" s="88"/>
      <c r="B858" s="152"/>
      <c r="C858" s="154"/>
      <c r="D858" s="154"/>
      <c r="E858" s="155"/>
      <c r="F858" s="154"/>
      <c r="G858" s="154"/>
      <c r="H858" s="154"/>
      <c r="I858" s="154"/>
      <c r="J858" s="154"/>
      <c r="K858" s="154"/>
      <c r="L858" s="152"/>
      <c r="M858" s="153"/>
      <c r="N858" s="152"/>
      <c r="O858" s="152"/>
    </row>
    <row r="859" spans="1:15">
      <c r="A859" s="88"/>
      <c r="B859" s="152"/>
      <c r="C859" s="154"/>
      <c r="D859" s="154"/>
      <c r="E859" s="155"/>
      <c r="F859" s="154"/>
      <c r="G859" s="154"/>
      <c r="H859" s="154"/>
      <c r="I859" s="154"/>
      <c r="J859" s="154"/>
      <c r="K859" s="154"/>
      <c r="L859" s="152"/>
      <c r="M859" s="153"/>
      <c r="N859" s="152"/>
      <c r="O859" s="152"/>
    </row>
    <row r="860" spans="1:15">
      <c r="A860" s="88"/>
      <c r="B860" s="152"/>
      <c r="C860" s="154"/>
      <c r="D860" s="154"/>
      <c r="E860" s="155"/>
      <c r="F860" s="154"/>
      <c r="G860" s="154"/>
      <c r="H860" s="154"/>
      <c r="I860" s="154"/>
      <c r="J860" s="154"/>
      <c r="K860" s="154"/>
      <c r="L860" s="152"/>
      <c r="M860" s="153"/>
      <c r="N860" s="152"/>
      <c r="O860" s="152"/>
    </row>
    <row r="861" spans="1:15">
      <c r="A861" s="88"/>
      <c r="B861" s="152"/>
      <c r="C861" s="154"/>
      <c r="D861" s="154"/>
      <c r="E861" s="155"/>
      <c r="F861" s="154"/>
      <c r="G861" s="154"/>
      <c r="H861" s="154"/>
      <c r="I861" s="154"/>
      <c r="J861" s="154"/>
      <c r="K861" s="154"/>
      <c r="L861" s="152"/>
      <c r="M861" s="153"/>
      <c r="N861" s="152"/>
      <c r="O861" s="152"/>
    </row>
    <row r="862" spans="1:15">
      <c r="A862" s="88"/>
      <c r="B862" s="152"/>
      <c r="C862" s="154"/>
      <c r="D862" s="154"/>
      <c r="E862" s="155"/>
      <c r="F862" s="154"/>
      <c r="G862" s="154"/>
      <c r="H862" s="154"/>
      <c r="I862" s="154"/>
      <c r="J862" s="154"/>
      <c r="K862" s="154"/>
      <c r="L862" s="152"/>
      <c r="M862" s="153"/>
      <c r="N862" s="152"/>
      <c r="O862" s="152"/>
    </row>
    <row r="863" spans="1:15">
      <c r="A863" s="88"/>
      <c r="B863" s="152"/>
      <c r="C863" s="154"/>
      <c r="D863" s="154"/>
      <c r="E863" s="155"/>
      <c r="F863" s="154"/>
      <c r="G863" s="154"/>
      <c r="H863" s="154"/>
      <c r="I863" s="154"/>
      <c r="J863" s="154"/>
      <c r="K863" s="154"/>
      <c r="L863" s="152"/>
      <c r="M863" s="153"/>
      <c r="N863" s="152"/>
      <c r="O863" s="152"/>
    </row>
    <row r="864" spans="1:15">
      <c r="A864" s="88"/>
      <c r="B864" s="152"/>
      <c r="C864" s="154"/>
      <c r="D864" s="154"/>
      <c r="E864" s="155"/>
      <c r="F864" s="154"/>
      <c r="G864" s="154"/>
      <c r="H864" s="154"/>
      <c r="I864" s="154"/>
      <c r="J864" s="154"/>
      <c r="K864" s="154"/>
      <c r="L864" s="152"/>
      <c r="M864" s="153"/>
      <c r="N864" s="152"/>
      <c r="O864" s="152"/>
    </row>
    <row r="865" spans="1:15">
      <c r="A865" s="88"/>
      <c r="B865" s="152"/>
      <c r="C865" s="154"/>
      <c r="D865" s="154"/>
      <c r="E865" s="155"/>
      <c r="F865" s="154"/>
      <c r="G865" s="154"/>
      <c r="H865" s="154"/>
      <c r="I865" s="154"/>
      <c r="J865" s="154"/>
      <c r="K865" s="154"/>
      <c r="L865" s="152"/>
      <c r="M865" s="153"/>
      <c r="N865" s="152"/>
      <c r="O865" s="152"/>
    </row>
    <row r="866" spans="1:15">
      <c r="A866" s="88"/>
      <c r="B866" s="152"/>
      <c r="C866" s="154"/>
      <c r="D866" s="154"/>
      <c r="E866" s="155"/>
      <c r="F866" s="154"/>
      <c r="G866" s="154"/>
      <c r="H866" s="154"/>
      <c r="I866" s="154"/>
      <c r="J866" s="154"/>
      <c r="K866" s="154"/>
      <c r="L866" s="152"/>
      <c r="M866" s="153"/>
      <c r="N866" s="152"/>
      <c r="O866" s="152"/>
    </row>
    <row r="867" spans="1:15">
      <c r="A867" s="88"/>
      <c r="B867" s="152"/>
      <c r="C867" s="154"/>
      <c r="D867" s="154"/>
      <c r="E867" s="155"/>
      <c r="F867" s="154"/>
      <c r="G867" s="154"/>
      <c r="H867" s="154"/>
      <c r="I867" s="154"/>
      <c r="J867" s="154"/>
      <c r="K867" s="154"/>
      <c r="L867" s="152"/>
      <c r="M867" s="153"/>
      <c r="N867" s="152"/>
      <c r="O867" s="152"/>
    </row>
    <row r="868" spans="1:15">
      <c r="A868" s="88"/>
      <c r="B868" s="152"/>
      <c r="C868" s="154"/>
      <c r="D868" s="154"/>
      <c r="E868" s="155"/>
      <c r="F868" s="154"/>
      <c r="G868" s="154"/>
      <c r="H868" s="154"/>
      <c r="I868" s="154"/>
      <c r="J868" s="154"/>
      <c r="K868" s="154"/>
      <c r="L868" s="152"/>
      <c r="M868" s="153"/>
      <c r="N868" s="152"/>
      <c r="O868" s="152"/>
    </row>
    <row r="869" spans="1:15">
      <c r="A869" s="88"/>
      <c r="B869" s="152"/>
      <c r="C869" s="154"/>
      <c r="D869" s="154"/>
      <c r="E869" s="155"/>
      <c r="F869" s="154"/>
      <c r="G869" s="154"/>
      <c r="H869" s="154"/>
      <c r="I869" s="154"/>
      <c r="J869" s="154"/>
      <c r="K869" s="154"/>
      <c r="L869" s="152"/>
      <c r="M869" s="153"/>
      <c r="N869" s="152"/>
      <c r="O869" s="152"/>
    </row>
    <row r="870" spans="1:15">
      <c r="A870" s="88"/>
      <c r="B870" s="152"/>
      <c r="C870" s="154"/>
      <c r="D870" s="154"/>
      <c r="E870" s="155"/>
      <c r="F870" s="154"/>
      <c r="G870" s="154"/>
      <c r="H870" s="154"/>
      <c r="I870" s="154"/>
      <c r="J870" s="154"/>
      <c r="K870" s="154"/>
      <c r="L870" s="152"/>
      <c r="M870" s="153"/>
      <c r="N870" s="152"/>
      <c r="O870" s="152"/>
    </row>
    <row r="871" spans="1:15">
      <c r="A871" s="88"/>
      <c r="B871" s="152"/>
      <c r="C871" s="154"/>
      <c r="D871" s="154"/>
      <c r="E871" s="155"/>
      <c r="F871" s="154"/>
      <c r="G871" s="154"/>
      <c r="H871" s="154"/>
      <c r="I871" s="154"/>
      <c r="J871" s="154"/>
      <c r="K871" s="154"/>
      <c r="L871" s="152"/>
      <c r="M871" s="153"/>
      <c r="N871" s="152"/>
      <c r="O871" s="152"/>
    </row>
    <row r="872" spans="1:15">
      <c r="A872" s="88"/>
      <c r="B872" s="152"/>
      <c r="C872" s="154"/>
      <c r="D872" s="154"/>
      <c r="E872" s="155"/>
      <c r="F872" s="154"/>
      <c r="G872" s="154"/>
      <c r="H872" s="154"/>
      <c r="I872" s="154"/>
      <c r="J872" s="154"/>
      <c r="K872" s="154"/>
      <c r="L872" s="152"/>
      <c r="M872" s="153"/>
      <c r="N872" s="152"/>
      <c r="O872" s="152"/>
    </row>
    <row r="873" spans="1:15">
      <c r="A873" s="88"/>
      <c r="B873" s="152"/>
      <c r="C873" s="154"/>
      <c r="D873" s="154"/>
      <c r="E873" s="155"/>
      <c r="F873" s="154"/>
      <c r="G873" s="154"/>
      <c r="H873" s="154"/>
      <c r="I873" s="154"/>
      <c r="J873" s="154"/>
      <c r="K873" s="154"/>
      <c r="L873" s="152"/>
      <c r="M873" s="153"/>
      <c r="N873" s="152"/>
      <c r="O873" s="152"/>
    </row>
    <row r="874" spans="1:15">
      <c r="A874" s="88"/>
      <c r="B874" s="152"/>
      <c r="C874" s="154"/>
      <c r="D874" s="154"/>
      <c r="E874" s="155"/>
      <c r="F874" s="154"/>
      <c r="G874" s="154"/>
      <c r="H874" s="154"/>
      <c r="I874" s="154"/>
      <c r="J874" s="154"/>
      <c r="K874" s="154"/>
      <c r="L874" s="152"/>
      <c r="M874" s="153"/>
      <c r="N874" s="152"/>
      <c r="O874" s="152"/>
    </row>
    <row r="875" spans="1:15">
      <c r="A875" s="88"/>
      <c r="B875" s="152"/>
      <c r="C875" s="154"/>
      <c r="D875" s="154"/>
      <c r="E875" s="155"/>
      <c r="F875" s="154"/>
      <c r="G875" s="154"/>
      <c r="H875" s="154"/>
      <c r="I875" s="154"/>
      <c r="J875" s="154"/>
      <c r="K875" s="154"/>
      <c r="L875" s="152"/>
      <c r="M875" s="153"/>
      <c r="N875" s="152"/>
      <c r="O875" s="152"/>
    </row>
    <row r="876" spans="1:15">
      <c r="A876" s="88"/>
      <c r="B876" s="152"/>
      <c r="C876" s="154"/>
      <c r="D876" s="154"/>
      <c r="E876" s="155"/>
      <c r="F876" s="154"/>
      <c r="G876" s="154"/>
      <c r="H876" s="154"/>
      <c r="I876" s="154"/>
      <c r="J876" s="154"/>
      <c r="K876" s="154"/>
      <c r="L876" s="152"/>
      <c r="M876" s="153"/>
      <c r="N876" s="152"/>
      <c r="O876" s="152"/>
    </row>
    <row r="877" spans="1:15">
      <c r="A877" s="88"/>
      <c r="B877" s="152"/>
      <c r="C877" s="154"/>
      <c r="D877" s="154"/>
      <c r="E877" s="155"/>
      <c r="F877" s="154"/>
      <c r="G877" s="154"/>
      <c r="H877" s="154"/>
      <c r="I877" s="154"/>
      <c r="J877" s="154"/>
      <c r="K877" s="154"/>
      <c r="L877" s="152"/>
      <c r="M877" s="153"/>
      <c r="N877" s="152"/>
      <c r="O877" s="152"/>
    </row>
    <row r="878" spans="1:15">
      <c r="A878" s="88"/>
      <c r="B878" s="152"/>
      <c r="C878" s="154"/>
      <c r="D878" s="154"/>
      <c r="E878" s="155"/>
      <c r="F878" s="154"/>
      <c r="G878" s="154"/>
      <c r="H878" s="154"/>
      <c r="I878" s="154"/>
      <c r="J878" s="154"/>
      <c r="K878" s="154"/>
      <c r="L878" s="152"/>
      <c r="M878" s="153"/>
      <c r="N878" s="152"/>
      <c r="O878" s="152"/>
    </row>
    <row r="879" spans="1:15">
      <c r="A879" s="88"/>
      <c r="B879" s="152"/>
      <c r="C879" s="154"/>
      <c r="D879" s="154"/>
      <c r="E879" s="155"/>
      <c r="F879" s="154"/>
      <c r="G879" s="154"/>
      <c r="H879" s="154"/>
      <c r="I879" s="154"/>
      <c r="J879" s="154"/>
      <c r="K879" s="154"/>
      <c r="L879" s="152"/>
      <c r="M879" s="153"/>
      <c r="N879" s="152"/>
      <c r="O879" s="152"/>
    </row>
    <row r="880" spans="1:15">
      <c r="A880" s="88"/>
      <c r="B880" s="152"/>
      <c r="C880" s="154"/>
      <c r="D880" s="154"/>
      <c r="E880" s="155"/>
      <c r="F880" s="154"/>
      <c r="G880" s="154"/>
      <c r="H880" s="154"/>
      <c r="I880" s="154"/>
      <c r="J880" s="154"/>
      <c r="K880" s="154"/>
      <c r="L880" s="152"/>
      <c r="M880" s="153"/>
      <c r="N880" s="152"/>
      <c r="O880" s="152"/>
    </row>
    <row r="881" spans="1:15">
      <c r="A881" s="88"/>
      <c r="B881" s="152"/>
      <c r="C881" s="154"/>
      <c r="D881" s="154"/>
      <c r="E881" s="155"/>
      <c r="F881" s="154"/>
      <c r="G881" s="154"/>
      <c r="H881" s="154"/>
      <c r="I881" s="154"/>
      <c r="J881" s="154"/>
      <c r="K881" s="154"/>
      <c r="L881" s="152"/>
      <c r="M881" s="153"/>
      <c r="N881" s="152"/>
      <c r="O881" s="152"/>
    </row>
    <row r="882" spans="1:15">
      <c r="A882" s="88"/>
      <c r="B882" s="152"/>
      <c r="C882" s="154"/>
      <c r="D882" s="154"/>
      <c r="E882" s="155"/>
      <c r="F882" s="154"/>
      <c r="G882" s="154"/>
      <c r="H882" s="154"/>
      <c r="I882" s="154"/>
      <c r="J882" s="154"/>
      <c r="K882" s="154"/>
      <c r="L882" s="152"/>
      <c r="M882" s="153"/>
      <c r="N882" s="152"/>
      <c r="O882" s="152"/>
    </row>
    <row r="883" spans="1:15">
      <c r="A883" s="88"/>
      <c r="B883" s="152"/>
      <c r="C883" s="154"/>
      <c r="D883" s="154"/>
      <c r="E883" s="155"/>
      <c r="F883" s="154"/>
      <c r="G883" s="154"/>
      <c r="H883" s="154"/>
      <c r="I883" s="154"/>
      <c r="J883" s="154"/>
      <c r="K883" s="154"/>
      <c r="L883" s="152"/>
      <c r="M883" s="153"/>
      <c r="N883" s="152"/>
      <c r="O883" s="152"/>
    </row>
    <row r="884" spans="1:15">
      <c r="A884" s="88"/>
      <c r="B884" s="152"/>
      <c r="C884" s="154"/>
      <c r="D884" s="154"/>
      <c r="E884" s="155"/>
      <c r="F884" s="154"/>
      <c r="G884" s="154"/>
      <c r="H884" s="154"/>
      <c r="I884" s="154"/>
      <c r="J884" s="154"/>
      <c r="K884" s="154"/>
      <c r="L884" s="152"/>
      <c r="M884" s="153"/>
      <c r="N884" s="152"/>
      <c r="O884" s="152"/>
    </row>
    <row r="885" spans="1:15">
      <c r="A885" s="88"/>
      <c r="B885" s="152"/>
      <c r="C885" s="154"/>
      <c r="D885" s="154"/>
      <c r="E885" s="155"/>
      <c r="F885" s="154"/>
      <c r="G885" s="154"/>
      <c r="H885" s="154"/>
      <c r="I885" s="154"/>
      <c r="J885" s="154"/>
      <c r="K885" s="154"/>
      <c r="L885" s="152"/>
      <c r="M885" s="153"/>
      <c r="N885" s="152"/>
      <c r="O885" s="152"/>
    </row>
    <row r="886" spans="1:15">
      <c r="A886" s="88"/>
      <c r="B886" s="152"/>
      <c r="C886" s="154"/>
      <c r="D886" s="154"/>
      <c r="E886" s="155"/>
      <c r="F886" s="154"/>
      <c r="G886" s="154"/>
      <c r="H886" s="154"/>
      <c r="I886" s="154"/>
      <c r="J886" s="154"/>
      <c r="K886" s="154"/>
      <c r="L886" s="152"/>
      <c r="M886" s="153"/>
      <c r="N886" s="152"/>
      <c r="O886" s="152"/>
    </row>
    <row r="887" spans="1:15">
      <c r="A887" s="88"/>
      <c r="B887" s="152"/>
      <c r="C887" s="154"/>
      <c r="D887" s="154"/>
      <c r="E887" s="155"/>
      <c r="F887" s="154"/>
      <c r="G887" s="154"/>
      <c r="H887" s="154"/>
      <c r="I887" s="154"/>
      <c r="J887" s="154"/>
      <c r="K887" s="154"/>
      <c r="L887" s="152"/>
      <c r="M887" s="153"/>
      <c r="N887" s="152"/>
      <c r="O887" s="152"/>
    </row>
    <row r="888" spans="1:15">
      <c r="A888" s="88"/>
      <c r="B888" s="152"/>
      <c r="C888" s="154"/>
      <c r="D888" s="154"/>
      <c r="E888" s="155"/>
      <c r="F888" s="154"/>
      <c r="G888" s="154"/>
      <c r="H888" s="154"/>
      <c r="I888" s="154"/>
      <c r="J888" s="154"/>
      <c r="K888" s="154"/>
      <c r="L888" s="152"/>
      <c r="M888" s="153"/>
      <c r="N888" s="152"/>
      <c r="O888" s="152"/>
    </row>
    <row r="889" spans="1:15">
      <c r="A889" s="88"/>
      <c r="B889" s="152"/>
      <c r="C889" s="154"/>
      <c r="D889" s="154"/>
      <c r="E889" s="155"/>
      <c r="F889" s="154"/>
      <c r="G889" s="154"/>
      <c r="H889" s="154"/>
      <c r="I889" s="154"/>
      <c r="J889" s="154"/>
      <c r="K889" s="154"/>
      <c r="L889" s="152"/>
      <c r="M889" s="153"/>
      <c r="N889" s="152"/>
      <c r="O889" s="152"/>
    </row>
    <row r="890" spans="1:15">
      <c r="A890" s="88"/>
      <c r="B890" s="152"/>
      <c r="C890" s="154"/>
      <c r="D890" s="154"/>
      <c r="E890" s="155"/>
      <c r="F890" s="154"/>
      <c r="G890" s="154"/>
      <c r="H890" s="154"/>
      <c r="I890" s="154"/>
      <c r="J890" s="154"/>
      <c r="K890" s="154"/>
      <c r="L890" s="152"/>
      <c r="M890" s="153"/>
      <c r="N890" s="152"/>
      <c r="O890" s="152"/>
    </row>
    <row r="891" spans="1:15">
      <c r="A891" s="88"/>
      <c r="B891" s="152"/>
      <c r="C891" s="154"/>
      <c r="D891" s="154"/>
      <c r="E891" s="155"/>
      <c r="F891" s="154"/>
      <c r="G891" s="154"/>
      <c r="H891" s="154"/>
      <c r="I891" s="154"/>
      <c r="J891" s="154"/>
      <c r="K891" s="154"/>
      <c r="L891" s="152"/>
      <c r="M891" s="153"/>
      <c r="N891" s="152"/>
      <c r="O891" s="152"/>
    </row>
    <row r="892" spans="1:15">
      <c r="A892" s="88"/>
      <c r="B892" s="152"/>
      <c r="C892" s="154"/>
      <c r="D892" s="154"/>
      <c r="E892" s="155"/>
      <c r="F892" s="154"/>
      <c r="G892" s="154"/>
      <c r="H892" s="154"/>
      <c r="I892" s="154"/>
      <c r="J892" s="154"/>
      <c r="K892" s="154"/>
      <c r="L892" s="152"/>
      <c r="M892" s="153"/>
      <c r="N892" s="152"/>
      <c r="O892" s="152"/>
    </row>
    <row r="893" spans="1:15">
      <c r="A893" s="88"/>
      <c r="B893" s="152"/>
      <c r="C893" s="154"/>
      <c r="D893" s="154"/>
      <c r="E893" s="155"/>
      <c r="F893" s="154"/>
      <c r="G893" s="154"/>
      <c r="H893" s="154"/>
      <c r="I893" s="154"/>
      <c r="J893" s="154"/>
      <c r="K893" s="154"/>
      <c r="L893" s="152"/>
      <c r="M893" s="153"/>
      <c r="N893" s="152"/>
      <c r="O893" s="152"/>
    </row>
    <row r="894" spans="1:15">
      <c r="A894" s="88"/>
      <c r="B894" s="152"/>
      <c r="C894" s="154"/>
      <c r="D894" s="154"/>
      <c r="E894" s="155"/>
      <c r="F894" s="154"/>
      <c r="G894" s="154"/>
      <c r="H894" s="154"/>
      <c r="I894" s="154"/>
      <c r="J894" s="154"/>
      <c r="K894" s="154"/>
      <c r="L894" s="152"/>
      <c r="M894" s="153"/>
      <c r="N894" s="152"/>
      <c r="O894" s="152"/>
    </row>
    <row r="895" spans="1:15">
      <c r="A895" s="88"/>
      <c r="B895" s="152"/>
      <c r="C895" s="154"/>
      <c r="D895" s="154"/>
      <c r="E895" s="155"/>
      <c r="F895" s="154"/>
      <c r="G895" s="154"/>
      <c r="H895" s="154"/>
      <c r="I895" s="154"/>
      <c r="J895" s="154"/>
      <c r="K895" s="154"/>
      <c r="L895" s="152"/>
      <c r="M895" s="153"/>
      <c r="N895" s="152"/>
      <c r="O895" s="152"/>
    </row>
    <row r="896" spans="1:15">
      <c r="A896" s="88"/>
      <c r="B896" s="152"/>
      <c r="C896" s="154"/>
      <c r="D896" s="154"/>
      <c r="E896" s="155"/>
      <c r="F896" s="154"/>
      <c r="G896" s="154"/>
      <c r="H896" s="154"/>
      <c r="I896" s="154"/>
      <c r="J896" s="154"/>
      <c r="K896" s="154"/>
      <c r="L896" s="152"/>
      <c r="M896" s="153"/>
      <c r="N896" s="152"/>
      <c r="O896" s="152"/>
    </row>
    <row r="897" spans="1:15">
      <c r="A897" s="88"/>
      <c r="B897" s="152"/>
      <c r="C897" s="154"/>
      <c r="D897" s="154"/>
      <c r="E897" s="155"/>
      <c r="F897" s="154"/>
      <c r="G897" s="154"/>
      <c r="H897" s="154"/>
      <c r="I897" s="154"/>
      <c r="J897" s="154"/>
      <c r="K897" s="154"/>
      <c r="L897" s="152"/>
      <c r="M897" s="153"/>
      <c r="N897" s="152"/>
      <c r="O897" s="152"/>
    </row>
    <row r="898" spans="1:15">
      <c r="A898" s="88"/>
      <c r="B898" s="152"/>
      <c r="C898" s="154"/>
      <c r="D898" s="154"/>
      <c r="E898" s="155"/>
      <c r="F898" s="154"/>
      <c r="G898" s="154"/>
      <c r="H898" s="154"/>
      <c r="I898" s="154"/>
      <c r="J898" s="154"/>
      <c r="K898" s="154"/>
      <c r="L898" s="152"/>
      <c r="M898" s="153"/>
      <c r="N898" s="152"/>
      <c r="O898" s="152"/>
    </row>
    <row r="899" spans="1:15">
      <c r="A899" s="88"/>
      <c r="B899" s="152"/>
      <c r="C899" s="154"/>
      <c r="D899" s="154"/>
      <c r="E899" s="155"/>
      <c r="F899" s="154"/>
      <c r="G899" s="154"/>
      <c r="H899" s="154"/>
      <c r="I899" s="154"/>
      <c r="J899" s="154"/>
      <c r="K899" s="154"/>
      <c r="L899" s="152"/>
      <c r="M899" s="153"/>
      <c r="N899" s="152"/>
      <c r="O899" s="152"/>
    </row>
    <row r="900" spans="1:15">
      <c r="A900" s="88"/>
      <c r="B900" s="152"/>
      <c r="C900" s="154"/>
      <c r="D900" s="154"/>
      <c r="E900" s="155"/>
      <c r="F900" s="154"/>
      <c r="G900" s="154"/>
      <c r="H900" s="154"/>
      <c r="I900" s="154"/>
      <c r="J900" s="154"/>
      <c r="K900" s="154"/>
      <c r="L900" s="152"/>
      <c r="M900" s="153"/>
      <c r="N900" s="152"/>
      <c r="O900" s="152"/>
    </row>
    <row r="901" spans="1:15">
      <c r="A901" s="88"/>
      <c r="B901" s="152"/>
      <c r="C901" s="154"/>
      <c r="D901" s="154"/>
      <c r="E901" s="155"/>
      <c r="F901" s="154"/>
      <c r="G901" s="154"/>
      <c r="H901" s="154"/>
      <c r="I901" s="154"/>
      <c r="J901" s="154"/>
      <c r="K901" s="154"/>
      <c r="L901" s="152"/>
      <c r="M901" s="153"/>
      <c r="N901" s="152"/>
      <c r="O901" s="152"/>
    </row>
    <row r="902" spans="1:15">
      <c r="A902" s="88"/>
      <c r="B902" s="152"/>
      <c r="C902" s="154"/>
      <c r="D902" s="154"/>
      <c r="E902" s="155"/>
      <c r="F902" s="154"/>
      <c r="G902" s="154"/>
      <c r="H902" s="154"/>
      <c r="I902" s="154"/>
      <c r="J902" s="154"/>
      <c r="K902" s="154"/>
      <c r="L902" s="152"/>
      <c r="M902" s="153"/>
      <c r="N902" s="152"/>
      <c r="O902" s="152"/>
    </row>
    <row r="903" spans="1:15">
      <c r="A903" s="88"/>
      <c r="B903" s="152"/>
      <c r="C903" s="154"/>
      <c r="D903" s="154"/>
      <c r="E903" s="155"/>
      <c r="F903" s="154"/>
      <c r="G903" s="154"/>
      <c r="H903" s="154"/>
      <c r="I903" s="154"/>
      <c r="J903" s="154"/>
      <c r="K903" s="154"/>
      <c r="L903" s="152"/>
      <c r="M903" s="153"/>
      <c r="N903" s="152"/>
      <c r="O903" s="152"/>
    </row>
    <row r="904" spans="1:15">
      <c r="A904" s="88"/>
      <c r="B904" s="152"/>
      <c r="C904" s="154"/>
      <c r="D904" s="154"/>
      <c r="E904" s="155"/>
      <c r="F904" s="154"/>
      <c r="G904" s="154"/>
      <c r="H904" s="154"/>
      <c r="I904" s="154"/>
      <c r="J904" s="154"/>
      <c r="K904" s="154"/>
      <c r="L904" s="152"/>
      <c r="M904" s="153"/>
      <c r="N904" s="152"/>
      <c r="O904" s="152"/>
    </row>
    <row r="905" spans="1:15">
      <c r="A905" s="88"/>
      <c r="B905" s="152"/>
      <c r="C905" s="154"/>
      <c r="D905" s="154"/>
      <c r="E905" s="155"/>
      <c r="F905" s="154"/>
      <c r="G905" s="154"/>
      <c r="H905" s="154"/>
      <c r="I905" s="154"/>
      <c r="J905" s="154"/>
      <c r="K905" s="154"/>
      <c r="L905" s="152"/>
      <c r="M905" s="153"/>
      <c r="N905" s="152"/>
      <c r="O905" s="152"/>
    </row>
    <row r="906" spans="1:15">
      <c r="A906" s="88"/>
      <c r="B906" s="152"/>
      <c r="C906" s="154"/>
      <c r="D906" s="154"/>
      <c r="E906" s="155"/>
      <c r="F906" s="154"/>
      <c r="G906" s="154"/>
      <c r="H906" s="154"/>
      <c r="I906" s="154"/>
      <c r="J906" s="154"/>
      <c r="K906" s="154"/>
      <c r="L906" s="152"/>
      <c r="M906" s="153"/>
      <c r="N906" s="152"/>
      <c r="O906" s="152"/>
    </row>
    <row r="907" spans="1:15">
      <c r="A907" s="88"/>
      <c r="B907" s="152"/>
      <c r="C907" s="154"/>
      <c r="D907" s="154"/>
      <c r="E907" s="155"/>
      <c r="F907" s="154"/>
      <c r="G907" s="154"/>
      <c r="H907" s="154"/>
      <c r="I907" s="154"/>
      <c r="J907" s="154"/>
      <c r="K907" s="154"/>
      <c r="L907" s="152"/>
      <c r="M907" s="153"/>
      <c r="N907" s="152"/>
      <c r="O907" s="152"/>
    </row>
    <row r="908" spans="1:15">
      <c r="A908" s="88"/>
      <c r="B908" s="152"/>
      <c r="C908" s="154"/>
      <c r="D908" s="154"/>
      <c r="E908" s="155"/>
      <c r="F908" s="154"/>
      <c r="G908" s="154"/>
      <c r="H908" s="154"/>
      <c r="I908" s="154"/>
      <c r="J908" s="154"/>
      <c r="K908" s="154"/>
      <c r="L908" s="152"/>
      <c r="M908" s="153"/>
      <c r="N908" s="152"/>
      <c r="O908" s="152"/>
    </row>
    <row r="909" spans="1:15">
      <c r="A909" s="88"/>
      <c r="B909" s="152"/>
      <c r="C909" s="154"/>
      <c r="D909" s="154"/>
      <c r="E909" s="155"/>
      <c r="F909" s="154"/>
      <c r="G909" s="154"/>
      <c r="H909" s="154"/>
      <c r="I909" s="154"/>
      <c r="J909" s="154"/>
      <c r="K909" s="154"/>
      <c r="L909" s="152"/>
      <c r="M909" s="153"/>
      <c r="N909" s="152"/>
      <c r="O909" s="152"/>
    </row>
    <row r="910" spans="1:15">
      <c r="A910" s="88"/>
      <c r="B910" s="152"/>
      <c r="C910" s="154"/>
      <c r="D910" s="154"/>
      <c r="E910" s="155"/>
      <c r="F910" s="154"/>
      <c r="G910" s="154"/>
      <c r="H910" s="154"/>
      <c r="I910" s="154"/>
      <c r="J910" s="154"/>
      <c r="K910" s="154"/>
      <c r="L910" s="152"/>
      <c r="M910" s="153"/>
      <c r="N910" s="152"/>
      <c r="O910" s="152"/>
    </row>
    <row r="911" spans="1:15">
      <c r="A911" s="88"/>
      <c r="B911" s="152"/>
      <c r="C911" s="154"/>
      <c r="D911" s="154"/>
      <c r="E911" s="155"/>
      <c r="F911" s="154"/>
      <c r="G911" s="154"/>
      <c r="H911" s="154"/>
      <c r="I911" s="154"/>
      <c r="J911" s="154"/>
      <c r="K911" s="154"/>
      <c r="L911" s="152"/>
      <c r="M911" s="153"/>
      <c r="N911" s="152"/>
      <c r="O911" s="152"/>
    </row>
    <row r="912" spans="1:15">
      <c r="A912" s="88"/>
      <c r="B912" s="152"/>
      <c r="C912" s="154"/>
      <c r="D912" s="154"/>
      <c r="E912" s="155"/>
      <c r="F912" s="154"/>
      <c r="G912" s="154"/>
      <c r="H912" s="154"/>
      <c r="I912" s="154"/>
      <c r="J912" s="154"/>
      <c r="K912" s="154"/>
      <c r="L912" s="152"/>
      <c r="M912" s="153"/>
      <c r="N912" s="152"/>
      <c r="O912" s="152"/>
    </row>
    <row r="913" spans="1:15">
      <c r="A913" s="88"/>
      <c r="B913" s="152"/>
      <c r="C913" s="154"/>
      <c r="D913" s="154"/>
      <c r="E913" s="155"/>
      <c r="F913" s="154"/>
      <c r="G913" s="154"/>
      <c r="H913" s="154"/>
      <c r="I913" s="154"/>
      <c r="J913" s="154"/>
      <c r="K913" s="154"/>
      <c r="L913" s="152"/>
      <c r="M913" s="153"/>
      <c r="N913" s="152"/>
      <c r="O913" s="152"/>
    </row>
    <row r="914" spans="1:15">
      <c r="A914" s="88"/>
      <c r="B914" s="152"/>
      <c r="C914" s="154"/>
      <c r="D914" s="154"/>
      <c r="E914" s="155"/>
      <c r="F914" s="154"/>
      <c r="G914" s="154"/>
      <c r="H914" s="154"/>
      <c r="I914" s="154"/>
      <c r="J914" s="154"/>
      <c r="K914" s="154"/>
      <c r="L914" s="152"/>
      <c r="M914" s="153"/>
      <c r="N914" s="152"/>
      <c r="O914" s="152"/>
    </row>
    <row r="915" spans="1:15">
      <c r="A915" s="88"/>
      <c r="B915" s="152"/>
      <c r="C915" s="154"/>
      <c r="D915" s="154"/>
      <c r="E915" s="155"/>
      <c r="F915" s="154"/>
      <c r="G915" s="154"/>
      <c r="H915" s="154"/>
      <c r="I915" s="154"/>
      <c r="J915" s="154"/>
      <c r="K915" s="154"/>
      <c r="L915" s="152"/>
      <c r="M915" s="153"/>
      <c r="N915" s="152"/>
      <c r="O915" s="152"/>
    </row>
    <row r="916" spans="1:15">
      <c r="A916" s="88"/>
      <c r="B916" s="152"/>
      <c r="C916" s="154"/>
      <c r="D916" s="154"/>
      <c r="E916" s="155"/>
      <c r="F916" s="154"/>
      <c r="G916" s="154"/>
      <c r="H916" s="154"/>
      <c r="I916" s="154"/>
      <c r="J916" s="154"/>
      <c r="K916" s="154"/>
      <c r="L916" s="152"/>
      <c r="M916" s="153"/>
      <c r="N916" s="152"/>
      <c r="O916" s="152"/>
    </row>
    <row r="917" spans="1:15">
      <c r="A917" s="88"/>
      <c r="B917" s="152"/>
      <c r="C917" s="154"/>
      <c r="D917" s="154"/>
      <c r="E917" s="155"/>
      <c r="F917" s="154"/>
      <c r="G917" s="154"/>
      <c r="H917" s="154"/>
      <c r="I917" s="154"/>
      <c r="J917" s="154"/>
      <c r="K917" s="154"/>
      <c r="L917" s="152"/>
      <c r="M917" s="153"/>
      <c r="N917" s="152"/>
      <c r="O917" s="152"/>
    </row>
    <row r="918" spans="1:15">
      <c r="A918" s="88"/>
      <c r="B918" s="152"/>
      <c r="C918" s="154"/>
      <c r="D918" s="154"/>
      <c r="E918" s="155"/>
      <c r="F918" s="154"/>
      <c r="G918" s="154"/>
      <c r="H918" s="154"/>
      <c r="I918" s="154"/>
      <c r="J918" s="154"/>
      <c r="K918" s="154"/>
      <c r="L918" s="152"/>
      <c r="M918" s="153"/>
      <c r="N918" s="152"/>
      <c r="O918" s="152"/>
    </row>
    <row r="919" spans="1:15">
      <c r="A919" s="88"/>
      <c r="B919" s="152"/>
      <c r="C919" s="154"/>
      <c r="D919" s="154"/>
      <c r="E919" s="155"/>
      <c r="F919" s="154"/>
      <c r="G919" s="154"/>
      <c r="H919" s="154"/>
      <c r="I919" s="154"/>
      <c r="J919" s="154"/>
      <c r="K919" s="154"/>
      <c r="L919" s="152"/>
      <c r="M919" s="153"/>
      <c r="N919" s="152"/>
      <c r="O919" s="152"/>
    </row>
    <row r="920" spans="1:15">
      <c r="A920" s="88"/>
      <c r="B920" s="152"/>
      <c r="C920" s="154"/>
      <c r="D920" s="154"/>
      <c r="E920" s="155"/>
      <c r="F920" s="154"/>
      <c r="G920" s="154"/>
      <c r="H920" s="154"/>
      <c r="I920" s="154"/>
      <c r="J920" s="154"/>
      <c r="K920" s="154"/>
      <c r="L920" s="152"/>
      <c r="M920" s="153"/>
      <c r="N920" s="152"/>
      <c r="O920" s="152"/>
    </row>
    <row r="921" spans="1:15">
      <c r="A921" s="88"/>
      <c r="B921" s="152"/>
      <c r="C921" s="154"/>
      <c r="D921" s="154"/>
      <c r="E921" s="155"/>
      <c r="F921" s="154"/>
      <c r="G921" s="154"/>
      <c r="H921" s="154"/>
      <c r="I921" s="154"/>
      <c r="J921" s="154"/>
      <c r="K921" s="154"/>
      <c r="L921" s="152"/>
      <c r="M921" s="153"/>
      <c r="N921" s="152"/>
      <c r="O921" s="152"/>
    </row>
    <row r="922" spans="1:15">
      <c r="A922" s="88"/>
      <c r="B922" s="152"/>
      <c r="C922" s="154"/>
      <c r="D922" s="154"/>
      <c r="E922" s="155"/>
      <c r="F922" s="154"/>
      <c r="G922" s="154"/>
      <c r="H922" s="154"/>
      <c r="I922" s="154"/>
      <c r="J922" s="154"/>
      <c r="K922" s="154"/>
      <c r="L922" s="152"/>
      <c r="M922" s="153"/>
      <c r="N922" s="152"/>
      <c r="O922" s="152"/>
    </row>
    <row r="923" spans="1:15">
      <c r="A923" s="88"/>
      <c r="B923" s="152"/>
      <c r="C923" s="154"/>
      <c r="D923" s="154"/>
      <c r="E923" s="155"/>
      <c r="F923" s="154"/>
      <c r="G923" s="154"/>
      <c r="H923" s="154"/>
      <c r="I923" s="154"/>
      <c r="J923" s="154"/>
      <c r="K923" s="154"/>
      <c r="L923" s="152"/>
      <c r="M923" s="153"/>
      <c r="N923" s="152"/>
      <c r="O923" s="152"/>
    </row>
    <row r="924" spans="1:15">
      <c r="A924" s="88"/>
      <c r="B924" s="152"/>
      <c r="C924" s="154"/>
      <c r="D924" s="154"/>
      <c r="E924" s="155"/>
      <c r="F924" s="154"/>
      <c r="G924" s="154"/>
      <c r="H924" s="154"/>
      <c r="I924" s="154"/>
      <c r="J924" s="154"/>
      <c r="K924" s="154"/>
      <c r="L924" s="152"/>
      <c r="M924" s="153"/>
      <c r="N924" s="152"/>
      <c r="O924" s="152"/>
    </row>
    <row r="925" spans="1:15">
      <c r="A925" s="88"/>
      <c r="B925" s="152"/>
      <c r="C925" s="154"/>
      <c r="D925" s="154"/>
      <c r="E925" s="155"/>
      <c r="F925" s="154"/>
      <c r="G925" s="154"/>
      <c r="H925" s="154"/>
      <c r="I925" s="154"/>
      <c r="J925" s="154"/>
      <c r="K925" s="154"/>
      <c r="L925" s="152"/>
      <c r="M925" s="153"/>
      <c r="N925" s="152"/>
      <c r="O925" s="152"/>
    </row>
    <row r="926" spans="1:15">
      <c r="A926" s="88"/>
      <c r="B926" s="152"/>
      <c r="C926" s="154"/>
      <c r="D926" s="154"/>
      <c r="E926" s="155"/>
      <c r="F926" s="154"/>
      <c r="G926" s="154"/>
      <c r="H926" s="154"/>
      <c r="I926" s="154"/>
      <c r="J926" s="154"/>
      <c r="K926" s="154"/>
      <c r="L926" s="152"/>
      <c r="M926" s="153"/>
      <c r="N926" s="152"/>
      <c r="O926" s="152"/>
    </row>
    <row r="927" spans="1:15">
      <c r="A927" s="88"/>
      <c r="B927" s="152"/>
      <c r="C927" s="154"/>
      <c r="D927" s="154"/>
      <c r="E927" s="155"/>
      <c r="F927" s="154"/>
      <c r="G927" s="154"/>
      <c r="H927" s="154"/>
      <c r="I927" s="154"/>
      <c r="J927" s="154"/>
      <c r="K927" s="154"/>
      <c r="L927" s="152"/>
      <c r="M927" s="153"/>
      <c r="N927" s="152"/>
      <c r="O927" s="152"/>
    </row>
    <row r="928" spans="1:15">
      <c r="A928" s="88"/>
      <c r="B928" s="152"/>
      <c r="C928" s="154"/>
      <c r="D928" s="154"/>
      <c r="E928" s="155"/>
      <c r="F928" s="154"/>
      <c r="G928" s="154"/>
      <c r="H928" s="154"/>
      <c r="I928" s="154"/>
      <c r="J928" s="154"/>
      <c r="K928" s="154"/>
      <c r="L928" s="152"/>
      <c r="M928" s="153"/>
      <c r="N928" s="152"/>
      <c r="O928" s="152"/>
    </row>
    <row r="929" spans="1:15">
      <c r="A929" s="88"/>
      <c r="B929" s="152"/>
      <c r="C929" s="154"/>
      <c r="D929" s="154"/>
      <c r="E929" s="155"/>
      <c r="F929" s="154"/>
      <c r="G929" s="154"/>
      <c r="H929" s="154"/>
      <c r="I929" s="154"/>
      <c r="J929" s="154"/>
      <c r="K929" s="154"/>
      <c r="L929" s="152"/>
      <c r="M929" s="153"/>
      <c r="N929" s="152"/>
      <c r="O929" s="152"/>
    </row>
    <row r="930" spans="1:15">
      <c r="A930" s="88"/>
      <c r="B930" s="152"/>
      <c r="C930" s="154"/>
      <c r="D930" s="154"/>
      <c r="E930" s="155"/>
      <c r="F930" s="154"/>
      <c r="G930" s="154"/>
      <c r="H930" s="154"/>
      <c r="I930" s="154"/>
      <c r="J930" s="154"/>
      <c r="K930" s="154"/>
      <c r="L930" s="152"/>
      <c r="M930" s="153"/>
      <c r="N930" s="152"/>
      <c r="O930" s="152"/>
    </row>
    <row r="931" spans="1:15">
      <c r="A931" s="88"/>
      <c r="B931" s="152"/>
      <c r="C931" s="154"/>
      <c r="D931" s="154"/>
      <c r="E931" s="155"/>
      <c r="F931" s="154"/>
      <c r="G931" s="154"/>
      <c r="H931" s="154"/>
      <c r="I931" s="154"/>
      <c r="J931" s="154"/>
      <c r="K931" s="154"/>
      <c r="L931" s="152"/>
      <c r="M931" s="153"/>
      <c r="N931" s="152"/>
      <c r="O931" s="152"/>
    </row>
    <row r="932" spans="1:15">
      <c r="A932" s="88"/>
      <c r="B932" s="152"/>
      <c r="C932" s="154"/>
      <c r="D932" s="154"/>
      <c r="E932" s="155"/>
      <c r="F932" s="154"/>
      <c r="G932" s="154"/>
      <c r="H932" s="154"/>
      <c r="I932" s="154"/>
      <c r="J932" s="154"/>
      <c r="K932" s="154"/>
      <c r="L932" s="152"/>
      <c r="M932" s="153"/>
      <c r="N932" s="152"/>
      <c r="O932" s="152"/>
    </row>
    <row r="933" spans="1:15">
      <c r="A933" s="88"/>
      <c r="B933" s="152"/>
      <c r="C933" s="154"/>
      <c r="D933" s="154"/>
      <c r="E933" s="155"/>
      <c r="F933" s="154"/>
      <c r="G933" s="154"/>
      <c r="H933" s="154"/>
      <c r="I933" s="154"/>
      <c r="J933" s="154"/>
      <c r="K933" s="154"/>
      <c r="L933" s="152"/>
      <c r="M933" s="153"/>
      <c r="N933" s="152"/>
      <c r="O933" s="152"/>
    </row>
    <row r="934" spans="1:15">
      <c r="A934" s="88"/>
      <c r="B934" s="152"/>
      <c r="C934" s="154"/>
      <c r="D934" s="154"/>
      <c r="E934" s="155"/>
      <c r="F934" s="154"/>
      <c r="G934" s="154"/>
      <c r="H934" s="154"/>
      <c r="I934" s="154"/>
      <c r="J934" s="154"/>
      <c r="K934" s="154"/>
      <c r="L934" s="152"/>
      <c r="M934" s="153"/>
      <c r="N934" s="152"/>
      <c r="O934" s="152"/>
    </row>
    <row r="935" spans="1:15">
      <c r="A935" s="88"/>
      <c r="B935" s="152"/>
      <c r="C935" s="154"/>
      <c r="D935" s="154"/>
      <c r="E935" s="155"/>
      <c r="F935" s="154"/>
      <c r="G935" s="154"/>
      <c r="H935" s="154"/>
      <c r="I935" s="154"/>
      <c r="J935" s="154"/>
      <c r="K935" s="154"/>
      <c r="L935" s="152"/>
      <c r="M935" s="153"/>
      <c r="N935" s="152"/>
      <c r="O935" s="152"/>
    </row>
    <row r="936" spans="1:15">
      <c r="A936" s="88"/>
      <c r="B936" s="152"/>
      <c r="C936" s="154"/>
      <c r="D936" s="154"/>
      <c r="E936" s="155"/>
      <c r="F936" s="154"/>
      <c r="G936" s="154"/>
      <c r="H936" s="154"/>
      <c r="I936" s="154"/>
      <c r="J936" s="154"/>
      <c r="K936" s="154"/>
      <c r="L936" s="152"/>
      <c r="M936" s="153"/>
      <c r="N936" s="152"/>
      <c r="O936" s="152"/>
    </row>
    <row r="937" spans="1:15">
      <c r="A937" s="88"/>
      <c r="B937" s="152"/>
      <c r="C937" s="154"/>
      <c r="D937" s="154"/>
      <c r="E937" s="155"/>
      <c r="F937" s="154"/>
      <c r="G937" s="154"/>
      <c r="H937" s="154"/>
      <c r="I937" s="154"/>
      <c r="J937" s="154"/>
      <c r="K937" s="154"/>
      <c r="L937" s="152"/>
      <c r="M937" s="153"/>
      <c r="N937" s="152"/>
      <c r="O937" s="152"/>
    </row>
    <row r="938" spans="1:15">
      <c r="A938" s="88"/>
      <c r="B938" s="152"/>
      <c r="C938" s="154"/>
      <c r="D938" s="154"/>
      <c r="E938" s="155"/>
      <c r="F938" s="154"/>
      <c r="G938" s="154"/>
      <c r="H938" s="154"/>
      <c r="I938" s="154"/>
      <c r="J938" s="154"/>
      <c r="K938" s="154"/>
      <c r="L938" s="152"/>
      <c r="M938" s="153"/>
      <c r="N938" s="152"/>
      <c r="O938" s="152"/>
    </row>
    <row r="939" spans="1:15">
      <c r="A939" s="88"/>
      <c r="B939" s="152"/>
      <c r="C939" s="154"/>
      <c r="D939" s="154"/>
      <c r="E939" s="155"/>
      <c r="F939" s="154"/>
      <c r="G939" s="154"/>
      <c r="H939" s="154"/>
      <c r="I939" s="154"/>
      <c r="J939" s="154"/>
      <c r="K939" s="154"/>
      <c r="L939" s="152"/>
      <c r="M939" s="153"/>
      <c r="N939" s="152"/>
      <c r="O939" s="152"/>
    </row>
  </sheetData>
  <mergeCells count="24">
    <mergeCell ref="A5:E5"/>
    <mergeCell ref="F5:J5"/>
    <mergeCell ref="K5:O5"/>
    <mergeCell ref="A1:O1"/>
    <mergeCell ref="A2:O2"/>
    <mergeCell ref="A3:O3"/>
    <mergeCell ref="A4:E4"/>
    <mergeCell ref="F4:J4"/>
    <mergeCell ref="K4:O4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DC41-9C59-4A35-A77E-4CB8EEC6A58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116+240</vt:lpstr>
      <vt:lpstr>BC.116+240</vt:lpstr>
      <vt:lpstr>SL.116+240</vt:lpstr>
      <vt:lpstr>Sheet1</vt:lpstr>
      <vt:lpstr>'116+240'!Print_Area</vt:lpstr>
      <vt:lpstr>'BC.116+240'!Print_Area</vt:lpstr>
      <vt:lpstr>'SL.116+240'!Print_Area</vt:lpstr>
      <vt:lpstr>'116+240'!Print_Titles</vt:lpstr>
      <vt:lpstr>'BC.116+240'!Print_Titles</vt:lpstr>
      <vt:lpstr>'SL.116+240'!Print_Titles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2025-07-11T13:47:10Z</dcterms:created>
  <dcterms:modified xsi:type="dcterms:W3CDTF">2025-07-28T09:39:10Z</dcterms:modified>
</cp:coreProperties>
</file>