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Vba\bketech\NHA THAU HAI DANG\"/>
    </mc:Choice>
  </mc:AlternateContent>
  <xr:revisionPtr revIDLastSave="0" documentId="13_ncr:1_{EB5F4848-3FCF-4356-95BA-FAA94B9BA33A}" xr6:coauthVersionLast="47" xr6:coauthVersionMax="47" xr10:uidLastSave="{00000000-0000-0000-0000-000000000000}"/>
  <bookViews>
    <workbookView xWindow="-8325" yWindow="-16320" windowWidth="29040" windowHeight="15720" firstSheet="12" activeTab="18" xr2:uid="{00000000-000D-0000-FFFF-FFFF00000000}"/>
  </bookViews>
  <sheets>
    <sheet name="QTL-KM117+100" sheetId="6" r:id="rId1"/>
    <sheet name="QTL-KM117+200" sheetId="7" r:id="rId2"/>
    <sheet name="QTL-KM117+300" sheetId="8" r:id="rId3"/>
    <sheet name="QTL-KM117+400" sheetId="9" r:id="rId4"/>
    <sheet name="QTL-KM117+500" sheetId="10" r:id="rId5"/>
    <sheet name="QTL-KM117+600" sheetId="11" r:id="rId6"/>
    <sheet name="QTL-KM117+700" sheetId="12" r:id="rId7"/>
    <sheet name="QTL-KM117+800" sheetId="13" r:id="rId8"/>
    <sheet name="QTL-KM117+900" sheetId="14" r:id="rId9"/>
    <sheet name="QTL-KM118+00" sheetId="15" r:id="rId10"/>
    <sheet name="QTL-KM118+100" sheetId="16" r:id="rId11"/>
    <sheet name="QTL -km118+200" sheetId="17" r:id="rId12"/>
    <sheet name="QTL-KM118+300" sheetId="18" r:id="rId13"/>
    <sheet name="QTL-km118+340" sheetId="19" r:id="rId14"/>
    <sheet name="QTL- Km118+410" sheetId="20" r:id="rId15"/>
    <sheet name="QTLKm118+495" sheetId="21" r:id="rId16"/>
    <sheet name="QTL-KM118+790" sheetId="22" r:id="rId17"/>
    <sheet name="QTL-Km118+890,00" sheetId="23" r:id="rId18"/>
    <sheet name="QTL-Km118+990,00" sheetId="27" r:id="rId19"/>
    <sheet name="QTL-Km119+090" sheetId="28" r:id="rId20"/>
    <sheet name="QTL-Km119+150" sheetId="29" r:id="rId21"/>
    <sheet name="QTC-Km119+220" sheetId="30" r:id="rId22"/>
    <sheet name="QTL-Km119+630" sheetId="31" r:id="rId23"/>
    <sheet name="QTL-Km199+680" sheetId="32" r:id="rId24"/>
    <sheet name="QTL-km119+780" sheetId="33" r:id="rId25"/>
    <sheet name="QTL-KM119+880" sheetId="34" r:id="rId26"/>
    <sheet name="QTL-KM119+980" sheetId="35" r:id="rId27"/>
    <sheet name="QTL-KM120+020" sheetId="36" r:id="rId28"/>
    <sheet name="QTL-KM120+120" sheetId="37" r:id="rId29"/>
    <sheet name="QTL-KM120+220" sheetId="38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7" i="38" l="1"/>
  <c r="O57" i="38"/>
  <c r="K57" i="38"/>
  <c r="J57" i="38"/>
  <c r="F57" i="38"/>
  <c r="E57" i="38"/>
  <c r="P56" i="38"/>
  <c r="O56" i="38"/>
  <c r="K56" i="38"/>
  <c r="J56" i="38"/>
  <c r="F56" i="38"/>
  <c r="E56" i="38"/>
  <c r="P55" i="38"/>
  <c r="O55" i="38"/>
  <c r="K55" i="38"/>
  <c r="J55" i="38"/>
  <c r="F55" i="38"/>
  <c r="E55" i="38"/>
  <c r="P54" i="38"/>
  <c r="O54" i="38"/>
  <c r="K54" i="38"/>
  <c r="J54" i="38"/>
  <c r="F54" i="38"/>
  <c r="E54" i="38"/>
  <c r="P53" i="38"/>
  <c r="O53" i="38"/>
  <c r="K53" i="38"/>
  <c r="J53" i="38"/>
  <c r="F53" i="38"/>
  <c r="E53" i="38"/>
  <c r="P52" i="38"/>
  <c r="O52" i="38"/>
  <c r="K52" i="38"/>
  <c r="J52" i="38"/>
  <c r="F52" i="38"/>
  <c r="E52" i="38"/>
  <c r="P51" i="38"/>
  <c r="O51" i="38"/>
  <c r="K51" i="38"/>
  <c r="J51" i="38"/>
  <c r="F51" i="38"/>
  <c r="E51" i="38"/>
  <c r="P50" i="38"/>
  <c r="O50" i="38"/>
  <c r="K50" i="38"/>
  <c r="J50" i="38"/>
  <c r="F50" i="38"/>
  <c r="E50" i="38"/>
  <c r="P49" i="38"/>
  <c r="O49" i="38"/>
  <c r="K49" i="38"/>
  <c r="J49" i="38"/>
  <c r="F49" i="38"/>
  <c r="E49" i="38"/>
  <c r="P48" i="38"/>
  <c r="O48" i="38"/>
  <c r="K48" i="38"/>
  <c r="J48" i="38"/>
  <c r="F48" i="38"/>
  <c r="E48" i="38"/>
  <c r="P47" i="38"/>
  <c r="O47" i="38"/>
  <c r="K47" i="38"/>
  <c r="J47" i="38"/>
  <c r="F47" i="38"/>
  <c r="E47" i="38"/>
  <c r="P46" i="38"/>
  <c r="O46" i="38"/>
  <c r="K46" i="38"/>
  <c r="J46" i="38"/>
  <c r="F46" i="38"/>
  <c r="E46" i="38"/>
  <c r="P45" i="38"/>
  <c r="O45" i="38"/>
  <c r="K45" i="38"/>
  <c r="J45" i="38"/>
  <c r="F45" i="38"/>
  <c r="E45" i="38"/>
  <c r="P44" i="38"/>
  <c r="O44" i="38"/>
  <c r="K44" i="38"/>
  <c r="J44" i="38"/>
  <c r="F44" i="38"/>
  <c r="E44" i="38"/>
  <c r="P43" i="38"/>
  <c r="O43" i="38"/>
  <c r="K43" i="38"/>
  <c r="J43" i="38"/>
  <c r="F43" i="38"/>
  <c r="E43" i="38"/>
  <c r="P42" i="38"/>
  <c r="O42" i="38"/>
  <c r="K42" i="38"/>
  <c r="J42" i="38"/>
  <c r="F42" i="38"/>
  <c r="E42" i="38"/>
  <c r="P41" i="38"/>
  <c r="O41" i="38"/>
  <c r="K41" i="38"/>
  <c r="J41" i="38"/>
  <c r="F41" i="38"/>
  <c r="E41" i="38"/>
  <c r="P40" i="38"/>
  <c r="O40" i="38"/>
  <c r="K40" i="38"/>
  <c r="J40" i="38"/>
  <c r="F40" i="38"/>
  <c r="E40" i="38"/>
  <c r="P39" i="38"/>
  <c r="O39" i="38"/>
  <c r="K39" i="38"/>
  <c r="J39" i="38"/>
  <c r="F39" i="38"/>
  <c r="E39" i="38"/>
  <c r="P38" i="38"/>
  <c r="O38" i="38"/>
  <c r="K38" i="38"/>
  <c r="J38" i="38"/>
  <c r="F38" i="38"/>
  <c r="E38" i="38"/>
  <c r="P37" i="38"/>
  <c r="O37" i="38"/>
  <c r="K37" i="38"/>
  <c r="J37" i="38"/>
  <c r="F37" i="38"/>
  <c r="E37" i="38"/>
  <c r="P36" i="38"/>
  <c r="O36" i="38"/>
  <c r="K36" i="38"/>
  <c r="J36" i="38"/>
  <c r="F36" i="38"/>
  <c r="E36" i="38"/>
  <c r="P35" i="38"/>
  <c r="O35" i="38"/>
  <c r="K35" i="38"/>
  <c r="J35" i="38"/>
  <c r="F35" i="38"/>
  <c r="E35" i="38"/>
  <c r="P34" i="38"/>
  <c r="O34" i="38"/>
  <c r="K34" i="38"/>
  <c r="J34" i="38"/>
  <c r="F34" i="38"/>
  <c r="E34" i="38"/>
  <c r="P33" i="38"/>
  <c r="O33" i="38"/>
  <c r="K33" i="38"/>
  <c r="J33" i="38"/>
  <c r="F33" i="38"/>
  <c r="E33" i="38"/>
  <c r="P32" i="38"/>
  <c r="O32" i="38"/>
  <c r="K32" i="38"/>
  <c r="J32" i="38"/>
  <c r="F32" i="38"/>
  <c r="E32" i="38"/>
  <c r="P31" i="38"/>
  <c r="O31" i="38"/>
  <c r="K31" i="38"/>
  <c r="J31" i="38"/>
  <c r="F31" i="38"/>
  <c r="E31" i="38"/>
  <c r="P30" i="38"/>
  <c r="O30" i="38"/>
  <c r="K30" i="38"/>
  <c r="J30" i="38"/>
  <c r="F30" i="38"/>
  <c r="E30" i="38"/>
  <c r="P29" i="38"/>
  <c r="O29" i="38"/>
  <c r="K29" i="38"/>
  <c r="J29" i="38"/>
  <c r="F29" i="38"/>
  <c r="E29" i="38"/>
  <c r="P28" i="38"/>
  <c r="O28" i="38"/>
  <c r="K28" i="38"/>
  <c r="J28" i="38"/>
  <c r="F28" i="38"/>
  <c r="E28" i="38"/>
  <c r="P27" i="38"/>
  <c r="O27" i="38"/>
  <c r="K27" i="38"/>
  <c r="J27" i="38"/>
  <c r="F27" i="38"/>
  <c r="E27" i="38"/>
  <c r="P26" i="38"/>
  <c r="O26" i="38"/>
  <c r="K26" i="38"/>
  <c r="J26" i="38"/>
  <c r="F26" i="38"/>
  <c r="E26" i="38"/>
  <c r="P25" i="38"/>
  <c r="O25" i="38"/>
  <c r="K25" i="38"/>
  <c r="J25" i="38"/>
  <c r="F25" i="38"/>
  <c r="E25" i="38"/>
  <c r="P24" i="38"/>
  <c r="O24" i="38"/>
  <c r="K24" i="38"/>
  <c r="J24" i="38"/>
  <c r="F24" i="38"/>
  <c r="E24" i="38"/>
  <c r="P23" i="38"/>
  <c r="O23" i="38"/>
  <c r="K23" i="38"/>
  <c r="J23" i="38"/>
  <c r="F23" i="38"/>
  <c r="E23" i="38"/>
  <c r="P22" i="38"/>
  <c r="O22" i="38"/>
  <c r="K22" i="38"/>
  <c r="J22" i="38"/>
  <c r="F22" i="38"/>
  <c r="E22" i="38"/>
  <c r="P21" i="38"/>
  <c r="O21" i="38"/>
  <c r="K21" i="38"/>
  <c r="J21" i="38"/>
  <c r="F21" i="38"/>
  <c r="E21" i="38"/>
  <c r="P20" i="38"/>
  <c r="O20" i="38"/>
  <c r="K20" i="38"/>
  <c r="J20" i="38"/>
  <c r="F20" i="38"/>
  <c r="E20" i="38"/>
  <c r="P19" i="38"/>
  <c r="O19" i="38"/>
  <c r="K19" i="38"/>
  <c r="J19" i="38"/>
  <c r="F19" i="38"/>
  <c r="E19" i="38"/>
  <c r="P18" i="38"/>
  <c r="O18" i="38"/>
  <c r="K18" i="38"/>
  <c r="J18" i="38"/>
  <c r="F18" i="38"/>
  <c r="E18" i="38"/>
  <c r="P17" i="38"/>
  <c r="O17" i="38"/>
  <c r="K17" i="38"/>
  <c r="J17" i="38"/>
  <c r="F17" i="38"/>
  <c r="E17" i="38"/>
  <c r="P16" i="38"/>
  <c r="O16" i="38"/>
  <c r="K16" i="38"/>
  <c r="J16" i="38"/>
  <c r="F16" i="38"/>
  <c r="E16" i="38"/>
  <c r="O15" i="38"/>
  <c r="J15" i="38"/>
  <c r="E15" i="38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F3" i="38"/>
  <c r="P57" i="37"/>
  <c r="O57" i="37"/>
  <c r="K57" i="37"/>
  <c r="J57" i="37"/>
  <c r="F57" i="37"/>
  <c r="E57" i="37"/>
  <c r="P56" i="37"/>
  <c r="O56" i="37"/>
  <c r="K56" i="37"/>
  <c r="J56" i="37"/>
  <c r="F56" i="37"/>
  <c r="E56" i="37"/>
  <c r="P55" i="37"/>
  <c r="O55" i="37"/>
  <c r="K55" i="37"/>
  <c r="J55" i="37"/>
  <c r="F55" i="37"/>
  <c r="E55" i="37"/>
  <c r="P54" i="37"/>
  <c r="O54" i="37"/>
  <c r="K54" i="37"/>
  <c r="J54" i="37"/>
  <c r="F54" i="37"/>
  <c r="E54" i="37"/>
  <c r="P53" i="37"/>
  <c r="O53" i="37"/>
  <c r="K53" i="37"/>
  <c r="J53" i="37"/>
  <c r="F53" i="37"/>
  <c r="E53" i="37"/>
  <c r="P52" i="37"/>
  <c r="O52" i="37"/>
  <c r="K52" i="37"/>
  <c r="J52" i="37"/>
  <c r="F52" i="37"/>
  <c r="E52" i="37"/>
  <c r="P51" i="37"/>
  <c r="O51" i="37"/>
  <c r="K51" i="37"/>
  <c r="J51" i="37"/>
  <c r="F51" i="37"/>
  <c r="E51" i="37"/>
  <c r="P50" i="37"/>
  <c r="O50" i="37"/>
  <c r="K50" i="37"/>
  <c r="J50" i="37"/>
  <c r="F50" i="37"/>
  <c r="E50" i="37"/>
  <c r="P49" i="37"/>
  <c r="O49" i="37"/>
  <c r="K49" i="37"/>
  <c r="J49" i="37"/>
  <c r="F49" i="37"/>
  <c r="E49" i="37"/>
  <c r="P48" i="37"/>
  <c r="O48" i="37"/>
  <c r="K48" i="37"/>
  <c r="J48" i="37"/>
  <c r="F48" i="37"/>
  <c r="E48" i="37"/>
  <c r="P47" i="37"/>
  <c r="O47" i="37"/>
  <c r="K47" i="37"/>
  <c r="J47" i="37"/>
  <c r="F47" i="37"/>
  <c r="E47" i="37"/>
  <c r="P46" i="37"/>
  <c r="O46" i="37"/>
  <c r="K46" i="37"/>
  <c r="J46" i="37"/>
  <c r="F46" i="37"/>
  <c r="E46" i="37"/>
  <c r="P45" i="37"/>
  <c r="O45" i="37"/>
  <c r="K45" i="37"/>
  <c r="J45" i="37"/>
  <c r="F45" i="37"/>
  <c r="E45" i="37"/>
  <c r="P44" i="37"/>
  <c r="O44" i="37"/>
  <c r="K44" i="37"/>
  <c r="J44" i="37"/>
  <c r="F44" i="37"/>
  <c r="E44" i="37"/>
  <c r="P43" i="37"/>
  <c r="O43" i="37"/>
  <c r="K43" i="37"/>
  <c r="J43" i="37"/>
  <c r="F43" i="37"/>
  <c r="E43" i="37"/>
  <c r="P42" i="37"/>
  <c r="O42" i="37"/>
  <c r="K42" i="37"/>
  <c r="J42" i="37"/>
  <c r="F42" i="37"/>
  <c r="E42" i="37"/>
  <c r="P41" i="37"/>
  <c r="O41" i="37"/>
  <c r="K41" i="37"/>
  <c r="J41" i="37"/>
  <c r="F41" i="37"/>
  <c r="E41" i="37"/>
  <c r="P40" i="37"/>
  <c r="O40" i="37"/>
  <c r="K40" i="37"/>
  <c r="J40" i="37"/>
  <c r="F40" i="37"/>
  <c r="E40" i="37"/>
  <c r="P39" i="37"/>
  <c r="O39" i="37"/>
  <c r="K39" i="37"/>
  <c r="J39" i="37"/>
  <c r="F39" i="37"/>
  <c r="E39" i="37"/>
  <c r="P38" i="37"/>
  <c r="O38" i="37"/>
  <c r="K38" i="37"/>
  <c r="J38" i="37"/>
  <c r="F38" i="37"/>
  <c r="E38" i="37"/>
  <c r="P37" i="37"/>
  <c r="O37" i="37"/>
  <c r="K37" i="37"/>
  <c r="J37" i="37"/>
  <c r="F37" i="37"/>
  <c r="E37" i="37"/>
  <c r="P36" i="37"/>
  <c r="O36" i="37"/>
  <c r="K36" i="37"/>
  <c r="J36" i="37"/>
  <c r="F36" i="37"/>
  <c r="E36" i="37"/>
  <c r="P35" i="37"/>
  <c r="O35" i="37"/>
  <c r="K35" i="37"/>
  <c r="J35" i="37"/>
  <c r="F35" i="37"/>
  <c r="E35" i="37"/>
  <c r="P34" i="37"/>
  <c r="O34" i="37"/>
  <c r="K34" i="37"/>
  <c r="J34" i="37"/>
  <c r="F34" i="37"/>
  <c r="E34" i="37"/>
  <c r="P33" i="37"/>
  <c r="O33" i="37"/>
  <c r="K33" i="37"/>
  <c r="J33" i="37"/>
  <c r="F33" i="37"/>
  <c r="E33" i="37"/>
  <c r="P32" i="37"/>
  <c r="O32" i="37"/>
  <c r="K32" i="37"/>
  <c r="J32" i="37"/>
  <c r="F32" i="37"/>
  <c r="E32" i="37"/>
  <c r="P31" i="37"/>
  <c r="O31" i="37"/>
  <c r="K31" i="37"/>
  <c r="J31" i="37"/>
  <c r="F31" i="37"/>
  <c r="E31" i="37"/>
  <c r="P30" i="37"/>
  <c r="O30" i="37"/>
  <c r="K30" i="37"/>
  <c r="J30" i="37"/>
  <c r="F30" i="37"/>
  <c r="E30" i="37"/>
  <c r="P29" i="37"/>
  <c r="O29" i="37"/>
  <c r="K29" i="37"/>
  <c r="J29" i="37"/>
  <c r="F29" i="37"/>
  <c r="E29" i="37"/>
  <c r="P28" i="37"/>
  <c r="O28" i="37"/>
  <c r="K28" i="37"/>
  <c r="J28" i="37"/>
  <c r="F28" i="37"/>
  <c r="E28" i="37"/>
  <c r="P27" i="37"/>
  <c r="O27" i="37"/>
  <c r="K27" i="37"/>
  <c r="J27" i="37"/>
  <c r="F27" i="37"/>
  <c r="E27" i="37"/>
  <c r="P26" i="37"/>
  <c r="O26" i="37"/>
  <c r="K26" i="37"/>
  <c r="J26" i="37"/>
  <c r="F26" i="37"/>
  <c r="E26" i="37"/>
  <c r="P25" i="37"/>
  <c r="O25" i="37"/>
  <c r="K25" i="37"/>
  <c r="J25" i="37"/>
  <c r="F25" i="37"/>
  <c r="E25" i="37"/>
  <c r="P24" i="37"/>
  <c r="O24" i="37"/>
  <c r="K24" i="37"/>
  <c r="J24" i="37"/>
  <c r="F24" i="37"/>
  <c r="E24" i="37"/>
  <c r="P23" i="37"/>
  <c r="O23" i="37"/>
  <c r="K23" i="37"/>
  <c r="J23" i="37"/>
  <c r="F23" i="37"/>
  <c r="E23" i="37"/>
  <c r="P22" i="37"/>
  <c r="O22" i="37"/>
  <c r="K22" i="37"/>
  <c r="J22" i="37"/>
  <c r="F22" i="37"/>
  <c r="E22" i="37"/>
  <c r="P21" i="37"/>
  <c r="O21" i="37"/>
  <c r="K21" i="37"/>
  <c r="J21" i="37"/>
  <c r="F21" i="37"/>
  <c r="E21" i="37"/>
  <c r="P20" i="37"/>
  <c r="O20" i="37"/>
  <c r="K20" i="37"/>
  <c r="J20" i="37"/>
  <c r="F20" i="37"/>
  <c r="E20" i="37"/>
  <c r="P19" i="37"/>
  <c r="O19" i="37"/>
  <c r="K19" i="37"/>
  <c r="J19" i="37"/>
  <c r="F19" i="37"/>
  <c r="E19" i="37"/>
  <c r="P18" i="37"/>
  <c r="O18" i="37"/>
  <c r="K18" i="37"/>
  <c r="J18" i="37"/>
  <c r="F18" i="37"/>
  <c r="E18" i="37"/>
  <c r="P17" i="37"/>
  <c r="O17" i="37"/>
  <c r="K17" i="37"/>
  <c r="J17" i="37"/>
  <c r="F17" i="37"/>
  <c r="E17" i="37"/>
  <c r="P16" i="37"/>
  <c r="O16" i="37"/>
  <c r="K16" i="37"/>
  <c r="J16" i="37"/>
  <c r="F16" i="37"/>
  <c r="E16" i="37"/>
  <c r="O15" i="37"/>
  <c r="J15" i="37"/>
  <c r="E15" i="37"/>
  <c r="E14" i="37"/>
  <c r="F14" i="37" s="1"/>
  <c r="G14" i="37" s="1"/>
  <c r="H14" i="37" s="1"/>
  <c r="I14" i="37" s="1"/>
  <c r="J14" i="37" s="1"/>
  <c r="K14" i="37" s="1"/>
  <c r="L14" i="37" s="1"/>
  <c r="M14" i="37" s="1"/>
  <c r="N14" i="37" s="1"/>
  <c r="O14" i="37" s="1"/>
  <c r="P14" i="37" s="1"/>
  <c r="Q14" i="37" s="1"/>
  <c r="R14" i="37" s="1"/>
  <c r="C14" i="37"/>
  <c r="D14" i="37" s="1"/>
  <c r="B14" i="37"/>
  <c r="F3" i="37"/>
  <c r="P57" i="36"/>
  <c r="O57" i="36"/>
  <c r="K57" i="36"/>
  <c r="J57" i="36"/>
  <c r="F57" i="36"/>
  <c r="E57" i="36"/>
  <c r="P56" i="36"/>
  <c r="O56" i="36"/>
  <c r="K56" i="36"/>
  <c r="J56" i="36"/>
  <c r="F56" i="36"/>
  <c r="E56" i="36"/>
  <c r="P55" i="36"/>
  <c r="O55" i="36"/>
  <c r="K55" i="36"/>
  <c r="J55" i="36"/>
  <c r="F55" i="36"/>
  <c r="E55" i="36"/>
  <c r="P54" i="36"/>
  <c r="O54" i="36"/>
  <c r="K54" i="36"/>
  <c r="J54" i="36"/>
  <c r="F54" i="36"/>
  <c r="E54" i="36"/>
  <c r="P53" i="36"/>
  <c r="O53" i="36"/>
  <c r="K53" i="36"/>
  <c r="J53" i="36"/>
  <c r="F53" i="36"/>
  <c r="E53" i="36"/>
  <c r="P52" i="36"/>
  <c r="O52" i="36"/>
  <c r="K52" i="36"/>
  <c r="J52" i="36"/>
  <c r="F52" i="36"/>
  <c r="E52" i="36"/>
  <c r="P51" i="36"/>
  <c r="O51" i="36"/>
  <c r="K51" i="36"/>
  <c r="J51" i="36"/>
  <c r="F51" i="36"/>
  <c r="E51" i="36"/>
  <c r="P50" i="36"/>
  <c r="O50" i="36"/>
  <c r="K50" i="36"/>
  <c r="J50" i="36"/>
  <c r="F50" i="36"/>
  <c r="E50" i="36"/>
  <c r="P49" i="36"/>
  <c r="O49" i="36"/>
  <c r="K49" i="36"/>
  <c r="J49" i="36"/>
  <c r="F49" i="36"/>
  <c r="E49" i="36"/>
  <c r="P48" i="36"/>
  <c r="O48" i="36"/>
  <c r="K48" i="36"/>
  <c r="J48" i="36"/>
  <c r="F48" i="36"/>
  <c r="E48" i="36"/>
  <c r="O47" i="36"/>
  <c r="J47" i="36"/>
  <c r="E47" i="36"/>
  <c r="O46" i="36"/>
  <c r="J46" i="36"/>
  <c r="E46" i="36"/>
  <c r="O45" i="36"/>
  <c r="J45" i="36"/>
  <c r="E45" i="36"/>
  <c r="O44" i="36"/>
  <c r="J44" i="36"/>
  <c r="E44" i="36"/>
  <c r="O43" i="36"/>
  <c r="J43" i="36"/>
  <c r="E43" i="36"/>
  <c r="O42" i="36"/>
  <c r="J42" i="36"/>
  <c r="E42" i="36"/>
  <c r="O41" i="36"/>
  <c r="J41" i="36"/>
  <c r="E41" i="36"/>
  <c r="O40" i="36"/>
  <c r="J40" i="36"/>
  <c r="E40" i="36"/>
  <c r="O39" i="36"/>
  <c r="J39" i="36"/>
  <c r="E39" i="36"/>
  <c r="O38" i="36"/>
  <c r="J38" i="36"/>
  <c r="E38" i="36"/>
  <c r="O37" i="36"/>
  <c r="J37" i="36"/>
  <c r="E37" i="36"/>
  <c r="O36" i="36"/>
  <c r="J36" i="36"/>
  <c r="E36" i="36"/>
  <c r="O35" i="36"/>
  <c r="J35" i="36"/>
  <c r="E35" i="36"/>
  <c r="O34" i="36"/>
  <c r="J34" i="36"/>
  <c r="E34" i="36"/>
  <c r="O33" i="36"/>
  <c r="J33" i="36"/>
  <c r="E33" i="36"/>
  <c r="O32" i="36"/>
  <c r="J32" i="36"/>
  <c r="F32" i="36"/>
  <c r="E32" i="36"/>
  <c r="O31" i="36"/>
  <c r="J31" i="36"/>
  <c r="F31" i="36"/>
  <c r="E31" i="36"/>
  <c r="O30" i="36"/>
  <c r="J30" i="36"/>
  <c r="F30" i="36"/>
  <c r="E30" i="36"/>
  <c r="O29" i="36"/>
  <c r="J29" i="36"/>
  <c r="F29" i="36"/>
  <c r="E29" i="36"/>
  <c r="O28" i="36"/>
  <c r="J28" i="36"/>
  <c r="F28" i="36"/>
  <c r="E28" i="36"/>
  <c r="O27" i="36"/>
  <c r="J27" i="36"/>
  <c r="F27" i="36"/>
  <c r="E27" i="36"/>
  <c r="O26" i="36"/>
  <c r="J26" i="36"/>
  <c r="F26" i="36"/>
  <c r="E26" i="36"/>
  <c r="O25" i="36"/>
  <c r="J25" i="36"/>
  <c r="F25" i="36"/>
  <c r="E25" i="36"/>
  <c r="O24" i="36"/>
  <c r="J24" i="36"/>
  <c r="F24" i="36"/>
  <c r="E24" i="36"/>
  <c r="O23" i="36"/>
  <c r="J23" i="36"/>
  <c r="F23" i="36"/>
  <c r="E23" i="36"/>
  <c r="O22" i="36"/>
  <c r="J22" i="36"/>
  <c r="F22" i="36"/>
  <c r="E22" i="36"/>
  <c r="O21" i="36"/>
  <c r="J21" i="36"/>
  <c r="F21" i="36"/>
  <c r="E21" i="36"/>
  <c r="O20" i="36"/>
  <c r="J20" i="36"/>
  <c r="F20" i="36"/>
  <c r="E20" i="36"/>
  <c r="O19" i="36"/>
  <c r="J19" i="36"/>
  <c r="F19" i="36"/>
  <c r="E19" i="36"/>
  <c r="O18" i="36"/>
  <c r="J18" i="36"/>
  <c r="E18" i="36"/>
  <c r="O17" i="36"/>
  <c r="J17" i="36"/>
  <c r="F17" i="36"/>
  <c r="E17" i="36"/>
  <c r="O16" i="36"/>
  <c r="J16" i="36"/>
  <c r="F16" i="36"/>
  <c r="E16" i="36"/>
  <c r="O15" i="36"/>
  <c r="J15" i="36"/>
  <c r="E15" i="36"/>
  <c r="F14" i="36"/>
  <c r="G14" i="36" s="1"/>
  <c r="H14" i="36" s="1"/>
  <c r="I14" i="36" s="1"/>
  <c r="J14" i="36" s="1"/>
  <c r="K14" i="36" s="1"/>
  <c r="L14" i="36" s="1"/>
  <c r="M14" i="36" s="1"/>
  <c r="N14" i="36" s="1"/>
  <c r="O14" i="36" s="1"/>
  <c r="P14" i="36" s="1"/>
  <c r="Q14" i="36" s="1"/>
  <c r="R14" i="36" s="1"/>
  <c r="B14" i="36"/>
  <c r="C14" i="36" s="1"/>
  <c r="D14" i="36" s="1"/>
  <c r="E14" i="36" s="1"/>
  <c r="F3" i="36"/>
  <c r="P143" i="35"/>
  <c r="K143" i="35"/>
  <c r="F143" i="35"/>
  <c r="E143" i="35"/>
  <c r="P142" i="35"/>
  <c r="M142" i="35" s="1"/>
  <c r="K142" i="35"/>
  <c r="H142" i="35" s="1"/>
  <c r="F142" i="35"/>
  <c r="C142" i="35"/>
  <c r="E142" i="35" s="1"/>
  <c r="P141" i="35"/>
  <c r="M141" i="35" s="1"/>
  <c r="K141" i="35"/>
  <c r="H141" i="35" s="1"/>
  <c r="F141" i="35"/>
  <c r="C141" i="35" s="1"/>
  <c r="E141" i="35" s="1"/>
  <c r="P140" i="35"/>
  <c r="M140" i="35"/>
  <c r="K140" i="35"/>
  <c r="H140" i="35"/>
  <c r="F140" i="35"/>
  <c r="E140" i="35"/>
  <c r="C140" i="35"/>
  <c r="P139" i="35"/>
  <c r="M139" i="35"/>
  <c r="K139" i="35"/>
  <c r="H139" i="35" s="1"/>
  <c r="F139" i="35"/>
  <c r="C139" i="35" s="1"/>
  <c r="E139" i="35" s="1"/>
  <c r="P138" i="35"/>
  <c r="M138" i="35" s="1"/>
  <c r="K138" i="35"/>
  <c r="H138" i="35" s="1"/>
  <c r="F138" i="35"/>
  <c r="C138" i="35"/>
  <c r="E138" i="35" s="1"/>
  <c r="P137" i="35"/>
  <c r="M137" i="35" s="1"/>
  <c r="K137" i="35"/>
  <c r="H137" i="35" s="1"/>
  <c r="F137" i="35"/>
  <c r="C137" i="35" s="1"/>
  <c r="E137" i="35" s="1"/>
  <c r="P136" i="35"/>
  <c r="M136" i="35"/>
  <c r="K136" i="35"/>
  <c r="H136" i="35"/>
  <c r="F136" i="35"/>
  <c r="C136" i="35"/>
  <c r="E136" i="35" s="1"/>
  <c r="P135" i="35"/>
  <c r="M135" i="35" s="1"/>
  <c r="K135" i="35"/>
  <c r="H135" i="35" s="1"/>
  <c r="F135" i="35"/>
  <c r="C135" i="35" s="1"/>
  <c r="E135" i="35" s="1"/>
  <c r="P134" i="35"/>
  <c r="M134" i="35" s="1"/>
  <c r="K134" i="35"/>
  <c r="H134" i="35" s="1"/>
  <c r="F134" i="35"/>
  <c r="C134" i="35"/>
  <c r="E134" i="35" s="1"/>
  <c r="P133" i="35"/>
  <c r="M133" i="35"/>
  <c r="K133" i="35"/>
  <c r="H133" i="35" s="1"/>
  <c r="F133" i="35"/>
  <c r="C133" i="35" s="1"/>
  <c r="E133" i="35" s="1"/>
  <c r="P132" i="35"/>
  <c r="M132" i="35"/>
  <c r="K132" i="35"/>
  <c r="H132" i="35"/>
  <c r="F132" i="35"/>
  <c r="E132" i="35"/>
  <c r="C132" i="35"/>
  <c r="P131" i="35"/>
  <c r="M131" i="35" s="1"/>
  <c r="K131" i="35"/>
  <c r="H131" i="35" s="1"/>
  <c r="F131" i="35"/>
  <c r="C131" i="35" s="1"/>
  <c r="E131" i="35" s="1"/>
  <c r="P130" i="35"/>
  <c r="M130" i="35" s="1"/>
  <c r="K130" i="35"/>
  <c r="H130" i="35" s="1"/>
  <c r="F130" i="35"/>
  <c r="C130" i="35"/>
  <c r="E130" i="35" s="1"/>
  <c r="P129" i="35"/>
  <c r="M129" i="35"/>
  <c r="K129" i="35"/>
  <c r="H129" i="35" s="1"/>
  <c r="F129" i="35"/>
  <c r="C129" i="35" s="1"/>
  <c r="E129" i="35" s="1"/>
  <c r="P128" i="35"/>
  <c r="M128" i="35"/>
  <c r="K128" i="35"/>
  <c r="H128" i="35"/>
  <c r="F128" i="35"/>
  <c r="C128" i="35"/>
  <c r="E128" i="35" s="1"/>
  <c r="P127" i="35"/>
  <c r="M127" i="35" s="1"/>
  <c r="K127" i="35"/>
  <c r="H127" i="35" s="1"/>
  <c r="F127" i="35"/>
  <c r="C127" i="35" s="1"/>
  <c r="E127" i="35" s="1"/>
  <c r="P126" i="35"/>
  <c r="M126" i="35" s="1"/>
  <c r="K126" i="35"/>
  <c r="H126" i="35" s="1"/>
  <c r="F126" i="35"/>
  <c r="C126" i="35"/>
  <c r="E126" i="35" s="1"/>
  <c r="P125" i="35"/>
  <c r="M125" i="35"/>
  <c r="K125" i="35"/>
  <c r="H125" i="35" s="1"/>
  <c r="F125" i="35"/>
  <c r="C125" i="35" s="1"/>
  <c r="E125" i="35" s="1"/>
  <c r="P124" i="35"/>
  <c r="M124" i="35"/>
  <c r="K124" i="35"/>
  <c r="H124" i="35"/>
  <c r="F124" i="35"/>
  <c r="E124" i="35"/>
  <c r="C124" i="35"/>
  <c r="P123" i="35"/>
  <c r="M123" i="35" s="1"/>
  <c r="K123" i="35"/>
  <c r="H123" i="35" s="1"/>
  <c r="F123" i="35"/>
  <c r="C123" i="35" s="1"/>
  <c r="E123" i="35" s="1"/>
  <c r="P122" i="35"/>
  <c r="M122" i="35" s="1"/>
  <c r="K122" i="35"/>
  <c r="H122" i="35" s="1"/>
  <c r="F122" i="35"/>
  <c r="C122" i="35"/>
  <c r="E122" i="35" s="1"/>
  <c r="P121" i="35"/>
  <c r="M121" i="35"/>
  <c r="K121" i="35"/>
  <c r="H121" i="35" s="1"/>
  <c r="F121" i="35"/>
  <c r="C121" i="35" s="1"/>
  <c r="E121" i="35" s="1"/>
  <c r="P120" i="35"/>
  <c r="M120" i="35"/>
  <c r="K120" i="35"/>
  <c r="H120" i="35"/>
  <c r="F120" i="35"/>
  <c r="C120" i="35"/>
  <c r="E120" i="35" s="1"/>
  <c r="P119" i="35"/>
  <c r="M119" i="35" s="1"/>
  <c r="K119" i="35"/>
  <c r="H119" i="35" s="1"/>
  <c r="F119" i="35"/>
  <c r="C119" i="35" s="1"/>
  <c r="E119" i="35" s="1"/>
  <c r="P118" i="35"/>
  <c r="M118" i="35" s="1"/>
  <c r="K118" i="35"/>
  <c r="H118" i="35" s="1"/>
  <c r="F118" i="35"/>
  <c r="C118" i="35"/>
  <c r="E118" i="35" s="1"/>
  <c r="P117" i="35"/>
  <c r="M117" i="35"/>
  <c r="K117" i="35"/>
  <c r="H117" i="35" s="1"/>
  <c r="F117" i="35"/>
  <c r="C117" i="35" s="1"/>
  <c r="E117" i="35" s="1"/>
  <c r="P116" i="35"/>
  <c r="M116" i="35"/>
  <c r="K116" i="35"/>
  <c r="H116" i="35"/>
  <c r="F116" i="35"/>
  <c r="C116" i="35"/>
  <c r="E116" i="35" s="1"/>
  <c r="P115" i="35"/>
  <c r="M115" i="35" s="1"/>
  <c r="K115" i="35"/>
  <c r="H115" i="35" s="1"/>
  <c r="F115" i="35"/>
  <c r="C115" i="35" s="1"/>
  <c r="E115" i="35" s="1"/>
  <c r="P114" i="35"/>
  <c r="M114" i="35" s="1"/>
  <c r="K114" i="35"/>
  <c r="H114" i="35" s="1"/>
  <c r="F114" i="35"/>
  <c r="C114" i="35"/>
  <c r="E114" i="35" s="1"/>
  <c r="P113" i="35"/>
  <c r="M113" i="35"/>
  <c r="K113" i="35"/>
  <c r="H113" i="35" s="1"/>
  <c r="F113" i="35"/>
  <c r="C113" i="35" s="1"/>
  <c r="E113" i="35" s="1"/>
  <c r="P112" i="35"/>
  <c r="M112" i="35"/>
  <c r="K112" i="35"/>
  <c r="H112" i="35"/>
  <c r="F112" i="35"/>
  <c r="C112" i="35"/>
  <c r="E112" i="35" s="1"/>
  <c r="P111" i="35"/>
  <c r="M111" i="35" s="1"/>
  <c r="K111" i="35"/>
  <c r="H111" i="35" s="1"/>
  <c r="F111" i="35"/>
  <c r="C111" i="35" s="1"/>
  <c r="E111" i="35" s="1"/>
  <c r="P110" i="35"/>
  <c r="M110" i="35" s="1"/>
  <c r="K110" i="35"/>
  <c r="H110" i="35" s="1"/>
  <c r="F110" i="35"/>
  <c r="C110" i="35"/>
  <c r="E110" i="35" s="1"/>
  <c r="P109" i="35"/>
  <c r="M109" i="35"/>
  <c r="K109" i="35"/>
  <c r="H109" i="35" s="1"/>
  <c r="F109" i="35"/>
  <c r="C109" i="35" s="1"/>
  <c r="E109" i="35" s="1"/>
  <c r="P108" i="35"/>
  <c r="M108" i="35"/>
  <c r="K108" i="35"/>
  <c r="H108" i="35"/>
  <c r="F108" i="35"/>
  <c r="C108" i="35" s="1"/>
  <c r="E108" i="35" s="1"/>
  <c r="P107" i="35"/>
  <c r="M107" i="35" s="1"/>
  <c r="K107" i="35"/>
  <c r="H107" i="35" s="1"/>
  <c r="F107" i="35"/>
  <c r="C107" i="35" s="1"/>
  <c r="E107" i="35" s="1"/>
  <c r="P106" i="35"/>
  <c r="M106" i="35" s="1"/>
  <c r="K106" i="35"/>
  <c r="H106" i="35" s="1"/>
  <c r="F106" i="35"/>
  <c r="C106" i="35"/>
  <c r="E106" i="35" s="1"/>
  <c r="P105" i="35"/>
  <c r="M105" i="35"/>
  <c r="K105" i="35"/>
  <c r="H105" i="35" s="1"/>
  <c r="F105" i="35"/>
  <c r="C105" i="35" s="1"/>
  <c r="E105" i="35" s="1"/>
  <c r="P104" i="35"/>
  <c r="M104" i="35"/>
  <c r="K104" i="35"/>
  <c r="H104" i="35"/>
  <c r="F104" i="35"/>
  <c r="C104" i="35"/>
  <c r="E104" i="35" s="1"/>
  <c r="P103" i="35"/>
  <c r="M103" i="35" s="1"/>
  <c r="K103" i="35"/>
  <c r="H103" i="35" s="1"/>
  <c r="F103" i="35"/>
  <c r="C103" i="35" s="1"/>
  <c r="E103" i="35" s="1"/>
  <c r="P102" i="35"/>
  <c r="M102" i="35" s="1"/>
  <c r="K102" i="35"/>
  <c r="H102" i="35" s="1"/>
  <c r="F102" i="35"/>
  <c r="C102" i="35"/>
  <c r="E102" i="35" s="1"/>
  <c r="P101" i="35"/>
  <c r="M101" i="35"/>
  <c r="K101" i="35"/>
  <c r="H101" i="35" s="1"/>
  <c r="F101" i="35"/>
  <c r="C101" i="35" s="1"/>
  <c r="E101" i="35" s="1"/>
  <c r="P100" i="35"/>
  <c r="M100" i="35"/>
  <c r="K100" i="35"/>
  <c r="H100" i="35"/>
  <c r="F100" i="35"/>
  <c r="E100" i="35"/>
  <c r="C100" i="35"/>
  <c r="P99" i="35"/>
  <c r="M99" i="35" s="1"/>
  <c r="K99" i="35"/>
  <c r="H99" i="35" s="1"/>
  <c r="F99" i="35"/>
  <c r="C99" i="35" s="1"/>
  <c r="E99" i="35" s="1"/>
  <c r="P98" i="35"/>
  <c r="M98" i="35" s="1"/>
  <c r="K98" i="35"/>
  <c r="H98" i="35" s="1"/>
  <c r="F98" i="35"/>
  <c r="C98" i="35"/>
  <c r="E98" i="35" s="1"/>
  <c r="P97" i="35"/>
  <c r="M97" i="35"/>
  <c r="K97" i="35"/>
  <c r="H97" i="35" s="1"/>
  <c r="F97" i="35"/>
  <c r="C97" i="35" s="1"/>
  <c r="E97" i="35" s="1"/>
  <c r="P96" i="35"/>
  <c r="M96" i="35"/>
  <c r="K96" i="35"/>
  <c r="H96" i="35"/>
  <c r="F96" i="35"/>
  <c r="C96" i="35"/>
  <c r="E96" i="35" s="1"/>
  <c r="P95" i="35"/>
  <c r="M95" i="35" s="1"/>
  <c r="K95" i="35"/>
  <c r="H95" i="35" s="1"/>
  <c r="F95" i="35"/>
  <c r="C95" i="35" s="1"/>
  <c r="E95" i="35" s="1"/>
  <c r="P94" i="35"/>
  <c r="M94" i="35" s="1"/>
  <c r="K94" i="35"/>
  <c r="H94" i="35" s="1"/>
  <c r="F94" i="35"/>
  <c r="C94" i="35"/>
  <c r="E94" i="35" s="1"/>
  <c r="P93" i="35"/>
  <c r="M93" i="35"/>
  <c r="K93" i="35"/>
  <c r="H93" i="35" s="1"/>
  <c r="F93" i="35"/>
  <c r="C93" i="35" s="1"/>
  <c r="E93" i="35" s="1"/>
  <c r="P92" i="35"/>
  <c r="M92" i="35"/>
  <c r="K92" i="35"/>
  <c r="H92" i="35"/>
  <c r="F92" i="35"/>
  <c r="E92" i="35"/>
  <c r="C92" i="35"/>
  <c r="P91" i="35"/>
  <c r="M91" i="35" s="1"/>
  <c r="K91" i="35"/>
  <c r="H91" i="35" s="1"/>
  <c r="F91" i="35"/>
  <c r="C91" i="35" s="1"/>
  <c r="E91" i="35" s="1"/>
  <c r="P90" i="35"/>
  <c r="M90" i="35" s="1"/>
  <c r="K90" i="35"/>
  <c r="H90" i="35" s="1"/>
  <c r="F90" i="35"/>
  <c r="C90" i="35"/>
  <c r="E90" i="35" s="1"/>
  <c r="P89" i="35"/>
  <c r="M89" i="35"/>
  <c r="K89" i="35"/>
  <c r="H89" i="35" s="1"/>
  <c r="F89" i="35"/>
  <c r="C89" i="35" s="1"/>
  <c r="E89" i="35" s="1"/>
  <c r="P88" i="35"/>
  <c r="M88" i="35"/>
  <c r="K88" i="35"/>
  <c r="H88" i="35"/>
  <c r="F88" i="35"/>
  <c r="C88" i="35"/>
  <c r="E88" i="35" s="1"/>
  <c r="P87" i="35"/>
  <c r="M87" i="35" s="1"/>
  <c r="K87" i="35"/>
  <c r="H87" i="35" s="1"/>
  <c r="F87" i="35"/>
  <c r="C87" i="35" s="1"/>
  <c r="E87" i="35"/>
  <c r="P86" i="35"/>
  <c r="M86" i="35"/>
  <c r="K86" i="35"/>
  <c r="H86" i="35" s="1"/>
  <c r="F86" i="35"/>
  <c r="C86" i="35" s="1"/>
  <c r="E86" i="35" s="1"/>
  <c r="P85" i="35"/>
  <c r="M85" i="35" s="1"/>
  <c r="K85" i="35"/>
  <c r="H85" i="35" s="1"/>
  <c r="F85" i="35"/>
  <c r="C85" i="35" s="1"/>
  <c r="E85" i="35" s="1"/>
  <c r="P84" i="35"/>
  <c r="M84" i="35"/>
  <c r="K84" i="35"/>
  <c r="H84" i="35" s="1"/>
  <c r="F84" i="35"/>
  <c r="C84" i="35"/>
  <c r="E84" i="35" s="1"/>
  <c r="P83" i="35"/>
  <c r="M83" i="35" s="1"/>
  <c r="K83" i="35"/>
  <c r="H83" i="35" s="1"/>
  <c r="F83" i="35"/>
  <c r="C83" i="35" s="1"/>
  <c r="E83" i="35" s="1"/>
  <c r="P82" i="35"/>
  <c r="M82" i="35"/>
  <c r="K82" i="35"/>
  <c r="H82" i="35" s="1"/>
  <c r="F82" i="35"/>
  <c r="C82" i="35"/>
  <c r="E82" i="35" s="1"/>
  <c r="P81" i="35"/>
  <c r="M81" i="35"/>
  <c r="K81" i="35"/>
  <c r="H81" i="35" s="1"/>
  <c r="F81" i="35"/>
  <c r="C81" i="35" s="1"/>
  <c r="E81" i="35" s="1"/>
  <c r="P80" i="35"/>
  <c r="M80" i="35" s="1"/>
  <c r="K80" i="35"/>
  <c r="H80" i="35"/>
  <c r="F80" i="35"/>
  <c r="C80" i="35"/>
  <c r="E80" i="35" s="1"/>
  <c r="P79" i="35"/>
  <c r="M79" i="35"/>
  <c r="K79" i="35"/>
  <c r="H79" i="35" s="1"/>
  <c r="F79" i="35"/>
  <c r="C79" i="35" s="1"/>
  <c r="E79" i="35"/>
  <c r="P78" i="35"/>
  <c r="M78" i="35"/>
  <c r="K78" i="35"/>
  <c r="H78" i="35" s="1"/>
  <c r="F78" i="35"/>
  <c r="C78" i="35"/>
  <c r="E78" i="35" s="1"/>
  <c r="P77" i="35"/>
  <c r="M77" i="35"/>
  <c r="K77" i="35"/>
  <c r="H77" i="35" s="1"/>
  <c r="F77" i="35"/>
  <c r="C77" i="35" s="1"/>
  <c r="E77" i="35"/>
  <c r="P76" i="35"/>
  <c r="M76" i="35" s="1"/>
  <c r="K76" i="35"/>
  <c r="H76" i="35" s="1"/>
  <c r="F76" i="35"/>
  <c r="C76" i="35"/>
  <c r="E76" i="35" s="1"/>
  <c r="P75" i="35"/>
  <c r="M75" i="35"/>
  <c r="K75" i="35"/>
  <c r="H75" i="35" s="1"/>
  <c r="F75" i="35"/>
  <c r="C75" i="35" s="1"/>
  <c r="E75" i="35" s="1"/>
  <c r="P74" i="35"/>
  <c r="M74" i="35"/>
  <c r="K74" i="35"/>
  <c r="H74" i="35" s="1"/>
  <c r="F74" i="35"/>
  <c r="C74" i="35"/>
  <c r="E74" i="35" s="1"/>
  <c r="P73" i="35"/>
  <c r="M73" i="35"/>
  <c r="K73" i="35"/>
  <c r="H73" i="35" s="1"/>
  <c r="F73" i="35"/>
  <c r="C73" i="35" s="1"/>
  <c r="E73" i="35"/>
  <c r="P72" i="35"/>
  <c r="M72" i="35"/>
  <c r="K72" i="35"/>
  <c r="H72" i="35" s="1"/>
  <c r="F72" i="35"/>
  <c r="C72" i="35" s="1"/>
  <c r="E72" i="35" s="1"/>
  <c r="P71" i="35"/>
  <c r="M71" i="35"/>
  <c r="K71" i="35"/>
  <c r="H71" i="35" s="1"/>
  <c r="F71" i="35"/>
  <c r="C71" i="35" s="1"/>
  <c r="E71" i="35" s="1"/>
  <c r="P70" i="35"/>
  <c r="M70" i="35" s="1"/>
  <c r="K70" i="35"/>
  <c r="H70" i="35" s="1"/>
  <c r="F70" i="35"/>
  <c r="C70" i="35"/>
  <c r="E70" i="35" s="1"/>
  <c r="P69" i="35"/>
  <c r="M69" i="35"/>
  <c r="K69" i="35"/>
  <c r="H69" i="35" s="1"/>
  <c r="F69" i="35"/>
  <c r="C69" i="35" s="1"/>
  <c r="E69" i="35" s="1"/>
  <c r="P68" i="35"/>
  <c r="M68" i="35"/>
  <c r="K68" i="35"/>
  <c r="H68" i="35"/>
  <c r="F68" i="35"/>
  <c r="C68" i="35" s="1"/>
  <c r="E68" i="35" s="1"/>
  <c r="P67" i="35"/>
  <c r="M67" i="35" s="1"/>
  <c r="K67" i="35"/>
  <c r="H67" i="35" s="1"/>
  <c r="F67" i="35"/>
  <c r="C67" i="35" s="1"/>
  <c r="E67" i="35" s="1"/>
  <c r="P66" i="35"/>
  <c r="M66" i="35"/>
  <c r="K66" i="35"/>
  <c r="H66" i="35" s="1"/>
  <c r="F66" i="35"/>
  <c r="C66" i="35"/>
  <c r="E66" i="35" s="1"/>
  <c r="P65" i="35"/>
  <c r="M65" i="35"/>
  <c r="K65" i="35"/>
  <c r="H65" i="35" s="1"/>
  <c r="F65" i="35"/>
  <c r="C65" i="35" s="1"/>
  <c r="E65" i="35" s="1"/>
  <c r="P64" i="35"/>
  <c r="M64" i="35"/>
  <c r="K64" i="35"/>
  <c r="H64" i="35"/>
  <c r="F64" i="35"/>
  <c r="C64" i="35"/>
  <c r="E64" i="35" s="1"/>
  <c r="P63" i="35"/>
  <c r="M63" i="35" s="1"/>
  <c r="K63" i="35"/>
  <c r="H63" i="35" s="1"/>
  <c r="F63" i="35"/>
  <c r="C63" i="35" s="1"/>
  <c r="E63" i="35" s="1"/>
  <c r="P62" i="35"/>
  <c r="M62" i="35" s="1"/>
  <c r="K62" i="35"/>
  <c r="H62" i="35" s="1"/>
  <c r="F62" i="35"/>
  <c r="C62" i="35"/>
  <c r="E62" i="35" s="1"/>
  <c r="P61" i="35"/>
  <c r="M61" i="35"/>
  <c r="K61" i="35"/>
  <c r="H61" i="35" s="1"/>
  <c r="F61" i="35"/>
  <c r="C61" i="35" s="1"/>
  <c r="E61" i="35" s="1"/>
  <c r="P60" i="35"/>
  <c r="M60" i="35"/>
  <c r="K60" i="35"/>
  <c r="H60" i="35"/>
  <c r="F60" i="35"/>
  <c r="C60" i="35" s="1"/>
  <c r="E60" i="35" s="1"/>
  <c r="P59" i="35"/>
  <c r="M59" i="35" s="1"/>
  <c r="K59" i="35"/>
  <c r="H59" i="35" s="1"/>
  <c r="F59" i="35"/>
  <c r="C59" i="35" s="1"/>
  <c r="E59" i="35" s="1"/>
  <c r="P58" i="35"/>
  <c r="M58" i="35"/>
  <c r="K58" i="35"/>
  <c r="H58" i="35" s="1"/>
  <c r="F58" i="35"/>
  <c r="C58" i="35"/>
  <c r="E58" i="35" s="1"/>
  <c r="P57" i="35"/>
  <c r="M57" i="35"/>
  <c r="K57" i="35"/>
  <c r="H57" i="35" s="1"/>
  <c r="F57" i="35"/>
  <c r="C57" i="35" s="1"/>
  <c r="E57" i="35" s="1"/>
  <c r="P56" i="35"/>
  <c r="M56" i="35"/>
  <c r="K56" i="35"/>
  <c r="H56" i="35"/>
  <c r="F56" i="35"/>
  <c r="C56" i="35"/>
  <c r="E56" i="35" s="1"/>
  <c r="P55" i="35"/>
  <c r="M55" i="35" s="1"/>
  <c r="K55" i="35"/>
  <c r="H55" i="35" s="1"/>
  <c r="F55" i="35"/>
  <c r="C55" i="35" s="1"/>
  <c r="E55" i="35" s="1"/>
  <c r="P54" i="35"/>
  <c r="M54" i="35" s="1"/>
  <c r="K54" i="35"/>
  <c r="H54" i="35" s="1"/>
  <c r="F54" i="35"/>
  <c r="C54" i="35"/>
  <c r="E54" i="35" s="1"/>
  <c r="P53" i="35"/>
  <c r="M53" i="35"/>
  <c r="K53" i="35"/>
  <c r="H53" i="35" s="1"/>
  <c r="F53" i="35"/>
  <c r="C53" i="35" s="1"/>
  <c r="E53" i="35" s="1"/>
  <c r="P52" i="35"/>
  <c r="M52" i="35"/>
  <c r="K52" i="35"/>
  <c r="H52" i="35"/>
  <c r="F52" i="35"/>
  <c r="C52" i="35" s="1"/>
  <c r="E52" i="35" s="1"/>
  <c r="P51" i="35"/>
  <c r="M51" i="35" s="1"/>
  <c r="K51" i="35"/>
  <c r="H51" i="35" s="1"/>
  <c r="F51" i="35"/>
  <c r="C51" i="35" s="1"/>
  <c r="E51" i="35" s="1"/>
  <c r="P50" i="35"/>
  <c r="M50" i="35"/>
  <c r="K50" i="35"/>
  <c r="H50" i="35" s="1"/>
  <c r="F50" i="35"/>
  <c r="C50" i="35"/>
  <c r="E50" i="35" s="1"/>
  <c r="P49" i="35"/>
  <c r="M49" i="35"/>
  <c r="K49" i="35"/>
  <c r="H49" i="35" s="1"/>
  <c r="F49" i="35"/>
  <c r="C49" i="35" s="1"/>
  <c r="E49" i="35" s="1"/>
  <c r="P48" i="35"/>
  <c r="M48" i="35"/>
  <c r="K48" i="35"/>
  <c r="H48" i="35"/>
  <c r="F48" i="35"/>
  <c r="C48" i="35"/>
  <c r="E48" i="35" s="1"/>
  <c r="P47" i="35"/>
  <c r="M47" i="35" s="1"/>
  <c r="K47" i="35"/>
  <c r="H47" i="35" s="1"/>
  <c r="F47" i="35"/>
  <c r="C47" i="35" s="1"/>
  <c r="E47" i="35" s="1"/>
  <c r="P46" i="35"/>
  <c r="M46" i="35" s="1"/>
  <c r="K46" i="35"/>
  <c r="H46" i="35" s="1"/>
  <c r="F46" i="35"/>
  <c r="C46" i="35"/>
  <c r="E46" i="35" s="1"/>
  <c r="P45" i="35"/>
  <c r="M45" i="35"/>
  <c r="K45" i="35"/>
  <c r="H45" i="35" s="1"/>
  <c r="F45" i="35"/>
  <c r="C45" i="35" s="1"/>
  <c r="E45" i="35" s="1"/>
  <c r="P44" i="35"/>
  <c r="M44" i="35"/>
  <c r="K44" i="35"/>
  <c r="H44" i="35"/>
  <c r="F44" i="35"/>
  <c r="C44" i="35" s="1"/>
  <c r="E44" i="35" s="1"/>
  <c r="P43" i="35"/>
  <c r="M43" i="35" s="1"/>
  <c r="K43" i="35"/>
  <c r="H43" i="35" s="1"/>
  <c r="F43" i="35"/>
  <c r="C43" i="35" s="1"/>
  <c r="E43" i="35" s="1"/>
  <c r="P42" i="35"/>
  <c r="M42" i="35"/>
  <c r="K42" i="35"/>
  <c r="H42" i="35" s="1"/>
  <c r="F42" i="35"/>
  <c r="C42" i="35"/>
  <c r="E42" i="35" s="1"/>
  <c r="P41" i="35"/>
  <c r="M41" i="35"/>
  <c r="K41" i="35"/>
  <c r="H41" i="35" s="1"/>
  <c r="F41" i="35"/>
  <c r="C41" i="35" s="1"/>
  <c r="E41" i="35" s="1"/>
  <c r="P40" i="35"/>
  <c r="M40" i="35"/>
  <c r="K40" i="35"/>
  <c r="H40" i="35"/>
  <c r="F40" i="35"/>
  <c r="C40" i="35"/>
  <c r="E40" i="35" s="1"/>
  <c r="P39" i="35"/>
  <c r="M39" i="35" s="1"/>
  <c r="K39" i="35"/>
  <c r="H39" i="35" s="1"/>
  <c r="F39" i="35"/>
  <c r="C39" i="35" s="1"/>
  <c r="E39" i="35" s="1"/>
  <c r="P38" i="35"/>
  <c r="M38" i="35" s="1"/>
  <c r="K38" i="35"/>
  <c r="H38" i="35" s="1"/>
  <c r="F38" i="35"/>
  <c r="C38" i="35"/>
  <c r="E38" i="35" s="1"/>
  <c r="P37" i="35"/>
  <c r="M37" i="35"/>
  <c r="K37" i="35"/>
  <c r="H37" i="35" s="1"/>
  <c r="F37" i="35"/>
  <c r="C37" i="35" s="1"/>
  <c r="E37" i="35" s="1"/>
  <c r="P36" i="35"/>
  <c r="M36" i="35"/>
  <c r="K36" i="35"/>
  <c r="H36" i="35"/>
  <c r="F36" i="35"/>
  <c r="C36" i="35" s="1"/>
  <c r="E36" i="35" s="1"/>
  <c r="P35" i="35"/>
  <c r="M35" i="35" s="1"/>
  <c r="K35" i="35"/>
  <c r="H35" i="35" s="1"/>
  <c r="F35" i="35"/>
  <c r="C35" i="35" s="1"/>
  <c r="E35" i="35" s="1"/>
  <c r="P34" i="35"/>
  <c r="M34" i="35"/>
  <c r="K34" i="35"/>
  <c r="H34" i="35" s="1"/>
  <c r="F34" i="35"/>
  <c r="C34" i="35"/>
  <c r="E34" i="35" s="1"/>
  <c r="P33" i="35"/>
  <c r="M33" i="35"/>
  <c r="K33" i="35"/>
  <c r="H33" i="35" s="1"/>
  <c r="F33" i="35"/>
  <c r="C33" i="35" s="1"/>
  <c r="E33" i="35" s="1"/>
  <c r="P32" i="35"/>
  <c r="M32" i="35"/>
  <c r="K32" i="35"/>
  <c r="H32" i="35"/>
  <c r="F32" i="35"/>
  <c r="C32" i="35"/>
  <c r="E32" i="35" s="1"/>
  <c r="P31" i="35"/>
  <c r="M31" i="35" s="1"/>
  <c r="K31" i="35"/>
  <c r="H31" i="35" s="1"/>
  <c r="F31" i="35"/>
  <c r="C31" i="35" s="1"/>
  <c r="E31" i="35" s="1"/>
  <c r="P30" i="35"/>
  <c r="M30" i="35" s="1"/>
  <c r="K30" i="35"/>
  <c r="H30" i="35" s="1"/>
  <c r="F30" i="35"/>
  <c r="C30" i="35"/>
  <c r="E30" i="35" s="1"/>
  <c r="P29" i="35"/>
  <c r="M29" i="35"/>
  <c r="K29" i="35"/>
  <c r="H29" i="35" s="1"/>
  <c r="F29" i="35"/>
  <c r="C29" i="35" s="1"/>
  <c r="E29" i="35" s="1"/>
  <c r="P28" i="35"/>
  <c r="M28" i="35"/>
  <c r="K28" i="35"/>
  <c r="H28" i="35"/>
  <c r="F28" i="35"/>
  <c r="C28" i="35" s="1"/>
  <c r="E28" i="35" s="1"/>
  <c r="P27" i="35"/>
  <c r="M27" i="35" s="1"/>
  <c r="K27" i="35"/>
  <c r="H27" i="35" s="1"/>
  <c r="F27" i="35"/>
  <c r="C27" i="35" s="1"/>
  <c r="E27" i="35" s="1"/>
  <c r="P26" i="35"/>
  <c r="M26" i="35"/>
  <c r="K26" i="35"/>
  <c r="H26" i="35" s="1"/>
  <c r="F26" i="35"/>
  <c r="C26" i="35"/>
  <c r="E26" i="35" s="1"/>
  <c r="P25" i="35"/>
  <c r="M25" i="35"/>
  <c r="K25" i="35"/>
  <c r="H25" i="35" s="1"/>
  <c r="F25" i="35"/>
  <c r="C25" i="35" s="1"/>
  <c r="E25" i="35" s="1"/>
  <c r="B25" i="35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P24" i="35"/>
  <c r="M24" i="35" s="1"/>
  <c r="K24" i="35"/>
  <c r="H24" i="35" s="1"/>
  <c r="F24" i="35"/>
  <c r="C24" i="35"/>
  <c r="E24" i="35" s="1"/>
  <c r="P23" i="35"/>
  <c r="M23" i="35" s="1"/>
  <c r="K23" i="35"/>
  <c r="H23" i="35" s="1"/>
  <c r="F23" i="35"/>
  <c r="C23" i="35" s="1"/>
  <c r="E23" i="35"/>
  <c r="P22" i="35"/>
  <c r="M22" i="35"/>
  <c r="K22" i="35"/>
  <c r="H22" i="35" s="1"/>
  <c r="F22" i="35"/>
  <c r="C22" i="35"/>
  <c r="E22" i="35" s="1"/>
  <c r="P21" i="35"/>
  <c r="M21" i="35" s="1"/>
  <c r="K21" i="35"/>
  <c r="H21" i="35" s="1"/>
  <c r="F21" i="35"/>
  <c r="C21" i="35" s="1"/>
  <c r="E21" i="35"/>
  <c r="P20" i="35"/>
  <c r="M20" i="35" s="1"/>
  <c r="K20" i="35"/>
  <c r="H20" i="35"/>
  <c r="F20" i="35"/>
  <c r="C20" i="35" s="1"/>
  <c r="E20" i="35" s="1"/>
  <c r="P19" i="35"/>
  <c r="M19" i="35" s="1"/>
  <c r="L19" i="35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L79" i="35" s="1"/>
  <c r="L80" i="35" s="1"/>
  <c r="L81" i="35" s="1"/>
  <c r="L82" i="35" s="1"/>
  <c r="L83" i="35" s="1"/>
  <c r="L84" i="35" s="1"/>
  <c r="L85" i="35" s="1"/>
  <c r="L86" i="35" s="1"/>
  <c r="L87" i="35" s="1"/>
  <c r="L88" i="35" s="1"/>
  <c r="L89" i="35" s="1"/>
  <c r="L90" i="35" s="1"/>
  <c r="L91" i="35" s="1"/>
  <c r="L92" i="35" s="1"/>
  <c r="L93" i="35" s="1"/>
  <c r="L94" i="35" s="1"/>
  <c r="L95" i="35" s="1"/>
  <c r="L96" i="35" s="1"/>
  <c r="L97" i="35" s="1"/>
  <c r="L98" i="35" s="1"/>
  <c r="L99" i="35" s="1"/>
  <c r="L100" i="35" s="1"/>
  <c r="L101" i="35" s="1"/>
  <c r="L102" i="35" s="1"/>
  <c r="L103" i="35" s="1"/>
  <c r="L104" i="35" s="1"/>
  <c r="L105" i="35" s="1"/>
  <c r="L106" i="35" s="1"/>
  <c r="L107" i="35" s="1"/>
  <c r="L108" i="35" s="1"/>
  <c r="L109" i="35" s="1"/>
  <c r="L110" i="35" s="1"/>
  <c r="L111" i="35" s="1"/>
  <c r="L112" i="35" s="1"/>
  <c r="L113" i="35" s="1"/>
  <c r="L114" i="35" s="1"/>
  <c r="L115" i="35" s="1"/>
  <c r="L116" i="35" s="1"/>
  <c r="L117" i="35" s="1"/>
  <c r="L118" i="35" s="1"/>
  <c r="L119" i="35" s="1"/>
  <c r="L120" i="35" s="1"/>
  <c r="L121" i="35" s="1"/>
  <c r="L122" i="35" s="1"/>
  <c r="L123" i="35" s="1"/>
  <c r="L124" i="35" s="1"/>
  <c r="L125" i="35" s="1"/>
  <c r="L126" i="35" s="1"/>
  <c r="L127" i="35" s="1"/>
  <c r="L128" i="35" s="1"/>
  <c r="L129" i="35" s="1"/>
  <c r="L130" i="35" s="1"/>
  <c r="L131" i="35" s="1"/>
  <c r="L132" i="35" s="1"/>
  <c r="L133" i="35" s="1"/>
  <c r="L134" i="35" s="1"/>
  <c r="L135" i="35" s="1"/>
  <c r="L136" i="35" s="1"/>
  <c r="L137" i="35" s="1"/>
  <c r="L138" i="35" s="1"/>
  <c r="L139" i="35" s="1"/>
  <c r="L140" i="35" s="1"/>
  <c r="L141" i="35" s="1"/>
  <c r="L142" i="35" s="1"/>
  <c r="L143" i="35" s="1"/>
  <c r="K19" i="35"/>
  <c r="H19" i="35" s="1"/>
  <c r="G19" i="35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5" i="35" s="1"/>
  <c r="G36" i="35" s="1"/>
  <c r="G37" i="35" s="1"/>
  <c r="G38" i="35" s="1"/>
  <c r="G39" i="35" s="1"/>
  <c r="G40" i="35" s="1"/>
  <c r="G41" i="35" s="1"/>
  <c r="G42" i="35" s="1"/>
  <c r="G43" i="35" s="1"/>
  <c r="G44" i="35" s="1"/>
  <c r="G45" i="35" s="1"/>
  <c r="G46" i="35" s="1"/>
  <c r="G47" i="35" s="1"/>
  <c r="G48" i="35" s="1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G68" i="35" s="1"/>
  <c r="G69" i="35" s="1"/>
  <c r="G70" i="35" s="1"/>
  <c r="G71" i="35" s="1"/>
  <c r="G72" i="35" s="1"/>
  <c r="G73" i="35" s="1"/>
  <c r="G74" i="35" s="1"/>
  <c r="G75" i="35" s="1"/>
  <c r="G76" i="35" s="1"/>
  <c r="G77" i="35" s="1"/>
  <c r="G78" i="35" s="1"/>
  <c r="G79" i="35" s="1"/>
  <c r="G80" i="35" s="1"/>
  <c r="G81" i="35" s="1"/>
  <c r="G82" i="35" s="1"/>
  <c r="G83" i="35" s="1"/>
  <c r="G84" i="35" s="1"/>
  <c r="G85" i="35" s="1"/>
  <c r="G86" i="35" s="1"/>
  <c r="G87" i="35" s="1"/>
  <c r="G88" i="35" s="1"/>
  <c r="G89" i="35" s="1"/>
  <c r="G90" i="35" s="1"/>
  <c r="G91" i="35" s="1"/>
  <c r="G92" i="35" s="1"/>
  <c r="G93" i="35" s="1"/>
  <c r="G94" i="35" s="1"/>
  <c r="G95" i="35" s="1"/>
  <c r="G96" i="35" s="1"/>
  <c r="G97" i="35" s="1"/>
  <c r="G98" i="35" s="1"/>
  <c r="G99" i="35" s="1"/>
  <c r="G100" i="35" s="1"/>
  <c r="G101" i="35" s="1"/>
  <c r="G102" i="35" s="1"/>
  <c r="G103" i="35" s="1"/>
  <c r="G104" i="35" s="1"/>
  <c r="G105" i="35" s="1"/>
  <c r="G106" i="35" s="1"/>
  <c r="G107" i="35" s="1"/>
  <c r="G108" i="35" s="1"/>
  <c r="G109" i="35" s="1"/>
  <c r="G110" i="35" s="1"/>
  <c r="G111" i="35" s="1"/>
  <c r="G112" i="35" s="1"/>
  <c r="G113" i="35" s="1"/>
  <c r="G114" i="35" s="1"/>
  <c r="G115" i="35" s="1"/>
  <c r="G116" i="35" s="1"/>
  <c r="G117" i="35" s="1"/>
  <c r="G118" i="35" s="1"/>
  <c r="G119" i="35" s="1"/>
  <c r="G120" i="35" s="1"/>
  <c r="G121" i="35" s="1"/>
  <c r="G122" i="35" s="1"/>
  <c r="G123" i="35" s="1"/>
  <c r="G124" i="35" s="1"/>
  <c r="G125" i="35" s="1"/>
  <c r="G126" i="35" s="1"/>
  <c r="G127" i="35" s="1"/>
  <c r="G128" i="35" s="1"/>
  <c r="G129" i="35" s="1"/>
  <c r="G130" i="35" s="1"/>
  <c r="G131" i="35" s="1"/>
  <c r="G132" i="35" s="1"/>
  <c r="G133" i="35" s="1"/>
  <c r="G134" i="35" s="1"/>
  <c r="G135" i="35" s="1"/>
  <c r="G136" i="35" s="1"/>
  <c r="G137" i="35" s="1"/>
  <c r="G138" i="35" s="1"/>
  <c r="G139" i="35" s="1"/>
  <c r="G140" i="35" s="1"/>
  <c r="G141" i="35" s="1"/>
  <c r="G142" i="35" s="1"/>
  <c r="G143" i="35" s="1"/>
  <c r="F19" i="35"/>
  <c r="C19" i="35" s="1"/>
  <c r="E19" i="35"/>
  <c r="P18" i="35"/>
  <c r="M18" i="35"/>
  <c r="K18" i="35"/>
  <c r="H18" i="35" s="1"/>
  <c r="F18" i="35"/>
  <c r="C18" i="35"/>
  <c r="E18" i="35" s="1"/>
  <c r="P17" i="35"/>
  <c r="M17" i="35" s="1"/>
  <c r="O17" i="35" s="1"/>
  <c r="L17" i="35"/>
  <c r="L18" i="35" s="1"/>
  <c r="K17" i="35"/>
  <c r="H17" i="35"/>
  <c r="J17" i="35" s="1"/>
  <c r="G17" i="35"/>
  <c r="G18" i="35" s="1"/>
  <c r="F17" i="35"/>
  <c r="C17" i="35" s="1"/>
  <c r="E17" i="35" s="1"/>
  <c r="B17" i="35"/>
  <c r="B18" i="35" s="1"/>
  <c r="B19" i="35" s="1"/>
  <c r="B20" i="35" s="1"/>
  <c r="B21" i="35" s="1"/>
  <c r="B22" i="35" s="1"/>
  <c r="B23" i="35" s="1"/>
  <c r="B24" i="35" s="1"/>
  <c r="O16" i="35"/>
  <c r="J16" i="35"/>
  <c r="E16" i="35"/>
  <c r="B15" i="35"/>
  <c r="C15" i="35" s="1"/>
  <c r="D15" i="35" s="1"/>
  <c r="E15" i="35" s="1"/>
  <c r="F15" i="35" s="1"/>
  <c r="G15" i="35" s="1"/>
  <c r="H15" i="35" s="1"/>
  <c r="I15" i="35" s="1"/>
  <c r="J15" i="35" s="1"/>
  <c r="K15" i="35" s="1"/>
  <c r="L15" i="35" s="1"/>
  <c r="M15" i="35" s="1"/>
  <c r="N15" i="35" s="1"/>
  <c r="O15" i="35" s="1"/>
  <c r="P15" i="35" s="1"/>
  <c r="Q15" i="35" s="1"/>
  <c r="R15" i="35" s="1"/>
  <c r="F4" i="35"/>
  <c r="P143" i="34"/>
  <c r="K143" i="34"/>
  <c r="F143" i="34"/>
  <c r="P142" i="34"/>
  <c r="M142" i="34" s="1"/>
  <c r="K142" i="34"/>
  <c r="H142" i="34" s="1"/>
  <c r="F142" i="34"/>
  <c r="C142" i="34" s="1"/>
  <c r="P141" i="34"/>
  <c r="M141" i="34"/>
  <c r="K141" i="34"/>
  <c r="H141" i="34" s="1"/>
  <c r="F141" i="34"/>
  <c r="C141" i="34" s="1"/>
  <c r="P140" i="34"/>
  <c r="M140" i="34" s="1"/>
  <c r="K140" i="34"/>
  <c r="H140" i="34" s="1"/>
  <c r="F140" i="34"/>
  <c r="C140" i="34" s="1"/>
  <c r="P139" i="34"/>
  <c r="M139" i="34"/>
  <c r="K139" i="34"/>
  <c r="H139" i="34" s="1"/>
  <c r="F139" i="34"/>
  <c r="C139" i="34" s="1"/>
  <c r="P138" i="34"/>
  <c r="M138" i="34" s="1"/>
  <c r="K138" i="34"/>
  <c r="H138" i="34" s="1"/>
  <c r="F138" i="34"/>
  <c r="C138" i="34" s="1"/>
  <c r="P137" i="34"/>
  <c r="M137" i="34" s="1"/>
  <c r="K137" i="34"/>
  <c r="H137" i="34" s="1"/>
  <c r="F137" i="34"/>
  <c r="C137" i="34" s="1"/>
  <c r="P136" i="34"/>
  <c r="M136" i="34"/>
  <c r="K136" i="34"/>
  <c r="H136" i="34" s="1"/>
  <c r="F136" i="34"/>
  <c r="C136" i="34"/>
  <c r="P135" i="34"/>
  <c r="M135" i="34" s="1"/>
  <c r="K135" i="34"/>
  <c r="H135" i="34" s="1"/>
  <c r="F135" i="34"/>
  <c r="C135" i="34" s="1"/>
  <c r="P134" i="34"/>
  <c r="M134" i="34" s="1"/>
  <c r="K134" i="34"/>
  <c r="H134" i="34"/>
  <c r="F134" i="34"/>
  <c r="C134" i="34" s="1"/>
  <c r="P133" i="34"/>
  <c r="M133" i="34" s="1"/>
  <c r="K133" i="34"/>
  <c r="H133" i="34" s="1"/>
  <c r="F133" i="34"/>
  <c r="C133" i="34" s="1"/>
  <c r="P132" i="34"/>
  <c r="M132" i="34" s="1"/>
  <c r="K132" i="34"/>
  <c r="H132" i="34" s="1"/>
  <c r="F132" i="34"/>
  <c r="C132" i="34" s="1"/>
  <c r="P131" i="34"/>
  <c r="M131" i="34" s="1"/>
  <c r="K131" i="34"/>
  <c r="H131" i="34" s="1"/>
  <c r="F131" i="34"/>
  <c r="C131" i="34" s="1"/>
  <c r="P130" i="34"/>
  <c r="M130" i="34" s="1"/>
  <c r="K130" i="34"/>
  <c r="H130" i="34" s="1"/>
  <c r="F130" i="34"/>
  <c r="C130" i="34" s="1"/>
  <c r="P129" i="34"/>
  <c r="M129" i="34" s="1"/>
  <c r="K129" i="34"/>
  <c r="H129" i="34" s="1"/>
  <c r="F129" i="34"/>
  <c r="C129" i="34" s="1"/>
  <c r="P128" i="34"/>
  <c r="M128" i="34" s="1"/>
  <c r="K128" i="34"/>
  <c r="H128" i="34" s="1"/>
  <c r="F128" i="34"/>
  <c r="C128" i="34" s="1"/>
  <c r="P127" i="34"/>
  <c r="M127" i="34" s="1"/>
  <c r="K127" i="34"/>
  <c r="H127" i="34" s="1"/>
  <c r="F127" i="34"/>
  <c r="C127" i="34" s="1"/>
  <c r="P126" i="34"/>
  <c r="M126" i="34" s="1"/>
  <c r="K126" i="34"/>
  <c r="H126" i="34" s="1"/>
  <c r="F126" i="34"/>
  <c r="C126" i="34" s="1"/>
  <c r="P125" i="34"/>
  <c r="M125" i="34" s="1"/>
  <c r="K125" i="34"/>
  <c r="H125" i="34" s="1"/>
  <c r="F125" i="34"/>
  <c r="C125" i="34" s="1"/>
  <c r="P124" i="34"/>
  <c r="M124" i="34" s="1"/>
  <c r="K124" i="34"/>
  <c r="H124" i="34" s="1"/>
  <c r="F124" i="34"/>
  <c r="C124" i="34" s="1"/>
  <c r="P123" i="34"/>
  <c r="M123" i="34" s="1"/>
  <c r="K123" i="34"/>
  <c r="H123" i="34" s="1"/>
  <c r="F123" i="34"/>
  <c r="C123" i="34" s="1"/>
  <c r="P122" i="34"/>
  <c r="M122" i="34" s="1"/>
  <c r="K122" i="34"/>
  <c r="H122" i="34" s="1"/>
  <c r="F122" i="34"/>
  <c r="C122" i="34" s="1"/>
  <c r="P121" i="34"/>
  <c r="M121" i="34" s="1"/>
  <c r="K121" i="34"/>
  <c r="H121" i="34" s="1"/>
  <c r="F121" i="34"/>
  <c r="C121" i="34" s="1"/>
  <c r="P120" i="34"/>
  <c r="M120" i="34" s="1"/>
  <c r="K120" i="34"/>
  <c r="H120" i="34" s="1"/>
  <c r="F120" i="34"/>
  <c r="C120" i="34" s="1"/>
  <c r="P119" i="34"/>
  <c r="M119" i="34" s="1"/>
  <c r="K119" i="34"/>
  <c r="H119" i="34" s="1"/>
  <c r="F119" i="34"/>
  <c r="C119" i="34" s="1"/>
  <c r="P118" i="34"/>
  <c r="M118" i="34" s="1"/>
  <c r="K118" i="34"/>
  <c r="H118" i="34" s="1"/>
  <c r="F118" i="34"/>
  <c r="C118" i="34" s="1"/>
  <c r="P117" i="34"/>
  <c r="M117" i="34" s="1"/>
  <c r="K117" i="34"/>
  <c r="H117" i="34" s="1"/>
  <c r="F117" i="34"/>
  <c r="C117" i="34" s="1"/>
  <c r="P116" i="34"/>
  <c r="M116" i="34" s="1"/>
  <c r="K116" i="34"/>
  <c r="H116" i="34" s="1"/>
  <c r="F116" i="34"/>
  <c r="C116" i="34" s="1"/>
  <c r="P115" i="34"/>
  <c r="M115" i="34" s="1"/>
  <c r="K115" i="34"/>
  <c r="H115" i="34" s="1"/>
  <c r="F115" i="34"/>
  <c r="C115" i="34" s="1"/>
  <c r="P114" i="34"/>
  <c r="M114" i="34" s="1"/>
  <c r="K114" i="34"/>
  <c r="H114" i="34" s="1"/>
  <c r="F114" i="34"/>
  <c r="C114" i="34" s="1"/>
  <c r="P113" i="34"/>
  <c r="M113" i="34"/>
  <c r="K113" i="34"/>
  <c r="H113" i="34" s="1"/>
  <c r="F113" i="34"/>
  <c r="C113" i="34"/>
  <c r="P112" i="34"/>
  <c r="M112" i="34" s="1"/>
  <c r="K112" i="34"/>
  <c r="H112" i="34" s="1"/>
  <c r="F112" i="34"/>
  <c r="C112" i="34" s="1"/>
  <c r="P111" i="34"/>
  <c r="M111" i="34" s="1"/>
  <c r="K111" i="34"/>
  <c r="H111" i="34" s="1"/>
  <c r="F111" i="34"/>
  <c r="C111" i="34"/>
  <c r="P110" i="34"/>
  <c r="M110" i="34" s="1"/>
  <c r="K110" i="34"/>
  <c r="H110" i="34" s="1"/>
  <c r="F110" i="34"/>
  <c r="C110" i="34" s="1"/>
  <c r="P109" i="34"/>
  <c r="M109" i="34" s="1"/>
  <c r="K109" i="34"/>
  <c r="H109" i="34" s="1"/>
  <c r="F109" i="34"/>
  <c r="C109" i="34" s="1"/>
  <c r="P108" i="34"/>
  <c r="M108" i="34" s="1"/>
  <c r="K108" i="34"/>
  <c r="H108" i="34"/>
  <c r="F108" i="34"/>
  <c r="C108" i="34" s="1"/>
  <c r="P107" i="34"/>
  <c r="M107" i="34" s="1"/>
  <c r="K107" i="34"/>
  <c r="H107" i="34" s="1"/>
  <c r="F107" i="34"/>
  <c r="C107" i="34" s="1"/>
  <c r="P106" i="34"/>
  <c r="M106" i="34" s="1"/>
  <c r="K106" i="34"/>
  <c r="H106" i="34" s="1"/>
  <c r="F106" i="34"/>
  <c r="C106" i="34" s="1"/>
  <c r="P105" i="34"/>
  <c r="M105" i="34"/>
  <c r="K105" i="34"/>
  <c r="H105" i="34" s="1"/>
  <c r="F105" i="34"/>
  <c r="C105" i="34" s="1"/>
  <c r="P104" i="34"/>
  <c r="M104" i="34" s="1"/>
  <c r="K104" i="34"/>
  <c r="H104" i="34" s="1"/>
  <c r="F104" i="34"/>
  <c r="C104" i="34" s="1"/>
  <c r="P103" i="34"/>
  <c r="M103" i="34" s="1"/>
  <c r="K103" i="34"/>
  <c r="H103" i="34" s="1"/>
  <c r="F103" i="34"/>
  <c r="C103" i="34"/>
  <c r="P102" i="34"/>
  <c r="M102" i="34" s="1"/>
  <c r="K102" i="34"/>
  <c r="H102" i="34" s="1"/>
  <c r="F102" i="34"/>
  <c r="C102" i="34" s="1"/>
  <c r="P101" i="34"/>
  <c r="M101" i="34"/>
  <c r="K101" i="34"/>
  <c r="H101" i="34" s="1"/>
  <c r="F101" i="34"/>
  <c r="C101" i="34" s="1"/>
  <c r="P100" i="34"/>
  <c r="M100" i="34" s="1"/>
  <c r="K100" i="34"/>
  <c r="H100" i="34"/>
  <c r="F100" i="34"/>
  <c r="C100" i="34" s="1"/>
  <c r="P99" i="34"/>
  <c r="M99" i="34" s="1"/>
  <c r="K99" i="34"/>
  <c r="H99" i="34" s="1"/>
  <c r="F99" i="34"/>
  <c r="C99" i="34" s="1"/>
  <c r="P98" i="34"/>
  <c r="M98" i="34" s="1"/>
  <c r="K98" i="34"/>
  <c r="H98" i="34" s="1"/>
  <c r="F98" i="34"/>
  <c r="C98" i="34" s="1"/>
  <c r="P97" i="34"/>
  <c r="M97" i="34"/>
  <c r="K97" i="34"/>
  <c r="H97" i="34" s="1"/>
  <c r="F97" i="34"/>
  <c r="C97" i="34"/>
  <c r="P96" i="34"/>
  <c r="M96" i="34" s="1"/>
  <c r="K96" i="34"/>
  <c r="H96" i="34" s="1"/>
  <c r="F96" i="34"/>
  <c r="C96" i="34" s="1"/>
  <c r="P95" i="34"/>
  <c r="M95" i="34" s="1"/>
  <c r="K95" i="34"/>
  <c r="H95" i="34" s="1"/>
  <c r="F95" i="34"/>
  <c r="C95" i="34"/>
  <c r="P94" i="34"/>
  <c r="M94" i="34" s="1"/>
  <c r="K94" i="34"/>
  <c r="H94" i="34" s="1"/>
  <c r="F94" i="34"/>
  <c r="C94" i="34" s="1"/>
  <c r="P93" i="34"/>
  <c r="M93" i="34" s="1"/>
  <c r="K93" i="34"/>
  <c r="H93" i="34" s="1"/>
  <c r="F93" i="34"/>
  <c r="C93" i="34" s="1"/>
  <c r="P92" i="34"/>
  <c r="M92" i="34" s="1"/>
  <c r="K92" i="34"/>
  <c r="H92" i="34"/>
  <c r="F92" i="34"/>
  <c r="C92" i="34" s="1"/>
  <c r="P91" i="34"/>
  <c r="M91" i="34"/>
  <c r="K91" i="34"/>
  <c r="H91" i="34" s="1"/>
  <c r="F91" i="34"/>
  <c r="C91" i="34"/>
  <c r="P90" i="34"/>
  <c r="M90" i="34" s="1"/>
  <c r="K90" i="34"/>
  <c r="H90" i="34" s="1"/>
  <c r="F90" i="34"/>
  <c r="C90" i="34" s="1"/>
  <c r="P89" i="34"/>
  <c r="M89" i="34"/>
  <c r="K89" i="34"/>
  <c r="H89" i="34" s="1"/>
  <c r="F89" i="34"/>
  <c r="C89" i="34" s="1"/>
  <c r="P88" i="34"/>
  <c r="M88" i="34" s="1"/>
  <c r="K88" i="34"/>
  <c r="H88" i="34" s="1"/>
  <c r="F88" i="34"/>
  <c r="C88" i="34" s="1"/>
  <c r="P87" i="34"/>
  <c r="M87" i="34" s="1"/>
  <c r="K87" i="34"/>
  <c r="H87" i="34" s="1"/>
  <c r="F87" i="34"/>
  <c r="C87" i="34"/>
  <c r="P86" i="34"/>
  <c r="M86" i="34" s="1"/>
  <c r="K86" i="34"/>
  <c r="H86" i="34" s="1"/>
  <c r="F86" i="34"/>
  <c r="C86" i="34" s="1"/>
  <c r="P85" i="34"/>
  <c r="M85" i="34" s="1"/>
  <c r="K85" i="34"/>
  <c r="H85" i="34" s="1"/>
  <c r="F85" i="34"/>
  <c r="C85" i="34" s="1"/>
  <c r="P84" i="34"/>
  <c r="M84" i="34" s="1"/>
  <c r="K84" i="34"/>
  <c r="H84" i="34"/>
  <c r="F84" i="34"/>
  <c r="C84" i="34" s="1"/>
  <c r="P83" i="34"/>
  <c r="M83" i="34" s="1"/>
  <c r="K83" i="34"/>
  <c r="H83" i="34" s="1"/>
  <c r="F83" i="34"/>
  <c r="C83" i="34" s="1"/>
  <c r="P82" i="34"/>
  <c r="M82" i="34" s="1"/>
  <c r="K82" i="34"/>
  <c r="H82" i="34" s="1"/>
  <c r="F82" i="34"/>
  <c r="C82" i="34" s="1"/>
  <c r="P81" i="34"/>
  <c r="M81" i="34"/>
  <c r="K81" i="34"/>
  <c r="H81" i="34" s="1"/>
  <c r="F81" i="34"/>
  <c r="C81" i="34" s="1"/>
  <c r="P80" i="34"/>
  <c r="M80" i="34" s="1"/>
  <c r="K80" i="34"/>
  <c r="H80" i="34" s="1"/>
  <c r="F80" i="34"/>
  <c r="C80" i="34" s="1"/>
  <c r="P79" i="34"/>
  <c r="M79" i="34" s="1"/>
  <c r="K79" i="34"/>
  <c r="H79" i="34" s="1"/>
  <c r="F79" i="34"/>
  <c r="C79" i="34"/>
  <c r="P78" i="34"/>
  <c r="M78" i="34" s="1"/>
  <c r="K78" i="34"/>
  <c r="H78" i="34" s="1"/>
  <c r="F78" i="34"/>
  <c r="C78" i="34" s="1"/>
  <c r="P77" i="34"/>
  <c r="M77" i="34" s="1"/>
  <c r="K77" i="34"/>
  <c r="H77" i="34" s="1"/>
  <c r="F77" i="34"/>
  <c r="C77" i="34" s="1"/>
  <c r="P76" i="34"/>
  <c r="M76" i="34" s="1"/>
  <c r="K76" i="34"/>
  <c r="H76" i="34"/>
  <c r="F76" i="34"/>
  <c r="C76" i="34" s="1"/>
  <c r="P75" i="34"/>
  <c r="M75" i="34" s="1"/>
  <c r="K75" i="34"/>
  <c r="H75" i="34" s="1"/>
  <c r="F75" i="34"/>
  <c r="C75" i="34"/>
  <c r="P74" i="34"/>
  <c r="M74" i="34" s="1"/>
  <c r="K74" i="34"/>
  <c r="H74" i="34" s="1"/>
  <c r="F74" i="34"/>
  <c r="C74" i="34" s="1"/>
  <c r="P73" i="34"/>
  <c r="M73" i="34"/>
  <c r="K73" i="34"/>
  <c r="H73" i="34" s="1"/>
  <c r="F73" i="34"/>
  <c r="C73" i="34" s="1"/>
  <c r="P72" i="34"/>
  <c r="M72" i="34" s="1"/>
  <c r="K72" i="34"/>
  <c r="H72" i="34" s="1"/>
  <c r="F72" i="34"/>
  <c r="C72" i="34" s="1"/>
  <c r="P71" i="34"/>
  <c r="M71" i="34" s="1"/>
  <c r="K71" i="34"/>
  <c r="H71" i="34" s="1"/>
  <c r="F71" i="34"/>
  <c r="C71" i="34"/>
  <c r="P70" i="34"/>
  <c r="M70" i="34" s="1"/>
  <c r="K70" i="34"/>
  <c r="H70" i="34" s="1"/>
  <c r="F70" i="34"/>
  <c r="C70" i="34" s="1"/>
  <c r="P69" i="34"/>
  <c r="M69" i="34"/>
  <c r="K69" i="34"/>
  <c r="H69" i="34" s="1"/>
  <c r="F69" i="34"/>
  <c r="C69" i="34" s="1"/>
  <c r="P68" i="34"/>
  <c r="M68" i="34" s="1"/>
  <c r="K68" i="34"/>
  <c r="H68" i="34"/>
  <c r="F68" i="34"/>
  <c r="C68" i="34" s="1"/>
  <c r="P67" i="34"/>
  <c r="M67" i="34" s="1"/>
  <c r="K67" i="34"/>
  <c r="H67" i="34" s="1"/>
  <c r="F67" i="34"/>
  <c r="C67" i="34" s="1"/>
  <c r="P66" i="34"/>
  <c r="M66" i="34" s="1"/>
  <c r="K66" i="34"/>
  <c r="H66" i="34" s="1"/>
  <c r="F66" i="34"/>
  <c r="C66" i="34" s="1"/>
  <c r="P65" i="34"/>
  <c r="M65" i="34"/>
  <c r="K65" i="34"/>
  <c r="H65" i="34" s="1"/>
  <c r="F65" i="34"/>
  <c r="C65" i="34" s="1"/>
  <c r="P64" i="34"/>
  <c r="M64" i="34" s="1"/>
  <c r="K64" i="34"/>
  <c r="H64" i="34" s="1"/>
  <c r="F64" i="34"/>
  <c r="C64" i="34" s="1"/>
  <c r="P63" i="34"/>
  <c r="M63" i="34" s="1"/>
  <c r="K63" i="34"/>
  <c r="H63" i="34" s="1"/>
  <c r="F63" i="34"/>
  <c r="C63" i="34"/>
  <c r="P62" i="34"/>
  <c r="M62" i="34" s="1"/>
  <c r="K62" i="34"/>
  <c r="H62" i="34" s="1"/>
  <c r="F62" i="34"/>
  <c r="C62" i="34" s="1"/>
  <c r="P61" i="34"/>
  <c r="M61" i="34"/>
  <c r="K61" i="34"/>
  <c r="H61" i="34" s="1"/>
  <c r="F61" i="34"/>
  <c r="C61" i="34" s="1"/>
  <c r="P60" i="34"/>
  <c r="M60" i="34" s="1"/>
  <c r="K60" i="34"/>
  <c r="H60" i="34"/>
  <c r="F60" i="34"/>
  <c r="C60" i="34" s="1"/>
  <c r="P59" i="34"/>
  <c r="M59" i="34" s="1"/>
  <c r="K59" i="34"/>
  <c r="H59" i="34" s="1"/>
  <c r="F59" i="34"/>
  <c r="C59" i="34"/>
  <c r="P58" i="34"/>
  <c r="M58" i="34" s="1"/>
  <c r="K58" i="34"/>
  <c r="H58" i="34" s="1"/>
  <c r="F58" i="34"/>
  <c r="C58" i="34" s="1"/>
  <c r="P57" i="34"/>
  <c r="M57" i="34"/>
  <c r="K57" i="34"/>
  <c r="H57" i="34" s="1"/>
  <c r="F57" i="34"/>
  <c r="C57" i="34" s="1"/>
  <c r="P56" i="34"/>
  <c r="M56" i="34" s="1"/>
  <c r="K56" i="34"/>
  <c r="H56" i="34" s="1"/>
  <c r="F56" i="34"/>
  <c r="C56" i="34" s="1"/>
  <c r="P55" i="34"/>
  <c r="M55" i="34" s="1"/>
  <c r="K55" i="34"/>
  <c r="H55" i="34" s="1"/>
  <c r="F55" i="34"/>
  <c r="C55" i="34"/>
  <c r="P54" i="34"/>
  <c r="M54" i="34" s="1"/>
  <c r="K54" i="34"/>
  <c r="H54" i="34" s="1"/>
  <c r="F54" i="34"/>
  <c r="C54" i="34" s="1"/>
  <c r="P53" i="34"/>
  <c r="M53" i="34"/>
  <c r="K53" i="34"/>
  <c r="H53" i="34" s="1"/>
  <c r="F53" i="34"/>
  <c r="C53" i="34" s="1"/>
  <c r="P52" i="34"/>
  <c r="M52" i="34" s="1"/>
  <c r="K52" i="34"/>
  <c r="H52" i="34"/>
  <c r="F52" i="34"/>
  <c r="C52" i="34" s="1"/>
  <c r="P51" i="34"/>
  <c r="M51" i="34" s="1"/>
  <c r="K51" i="34"/>
  <c r="H51" i="34" s="1"/>
  <c r="F51" i="34"/>
  <c r="C51" i="34" s="1"/>
  <c r="P50" i="34"/>
  <c r="M50" i="34" s="1"/>
  <c r="K50" i="34"/>
  <c r="H50" i="34" s="1"/>
  <c r="F50" i="34"/>
  <c r="C50" i="34" s="1"/>
  <c r="P49" i="34"/>
  <c r="M49" i="34"/>
  <c r="K49" i="34"/>
  <c r="H49" i="34" s="1"/>
  <c r="F49" i="34"/>
  <c r="C49" i="34" s="1"/>
  <c r="P48" i="34"/>
  <c r="M48" i="34" s="1"/>
  <c r="K48" i="34"/>
  <c r="H48" i="34"/>
  <c r="F48" i="34"/>
  <c r="C48" i="34" s="1"/>
  <c r="P47" i="34"/>
  <c r="M47" i="34" s="1"/>
  <c r="K47" i="34"/>
  <c r="H47" i="34" s="1"/>
  <c r="F47" i="34"/>
  <c r="C47" i="34"/>
  <c r="P46" i="34"/>
  <c r="M46" i="34" s="1"/>
  <c r="K46" i="34"/>
  <c r="H46" i="34"/>
  <c r="F46" i="34"/>
  <c r="C46" i="34" s="1"/>
  <c r="P45" i="34"/>
  <c r="M45" i="34" s="1"/>
  <c r="K45" i="34"/>
  <c r="H45" i="34" s="1"/>
  <c r="F45" i="34"/>
  <c r="C45" i="34" s="1"/>
  <c r="P44" i="34"/>
  <c r="M44" i="34" s="1"/>
  <c r="K44" i="34"/>
  <c r="H44" i="34"/>
  <c r="F44" i="34"/>
  <c r="C44" i="34" s="1"/>
  <c r="P43" i="34"/>
  <c r="M43" i="34" s="1"/>
  <c r="K43" i="34"/>
  <c r="H43" i="34" s="1"/>
  <c r="F43" i="34"/>
  <c r="C43" i="34"/>
  <c r="P42" i="34"/>
  <c r="M42" i="34" s="1"/>
  <c r="K42" i="34"/>
  <c r="H42" i="34" s="1"/>
  <c r="F42" i="34"/>
  <c r="C42" i="34" s="1"/>
  <c r="P41" i="34"/>
  <c r="M41" i="34"/>
  <c r="K41" i="34"/>
  <c r="H41" i="34" s="1"/>
  <c r="F41" i="34"/>
  <c r="C41" i="34"/>
  <c r="P40" i="34"/>
  <c r="M40" i="34" s="1"/>
  <c r="K40" i="34"/>
  <c r="H40" i="34" s="1"/>
  <c r="F40" i="34"/>
  <c r="C40" i="34" s="1"/>
  <c r="P39" i="34"/>
  <c r="M39" i="34" s="1"/>
  <c r="K39" i="34"/>
  <c r="H39" i="34" s="1"/>
  <c r="F39" i="34"/>
  <c r="C39" i="34"/>
  <c r="P38" i="34"/>
  <c r="M38" i="34" s="1"/>
  <c r="K38" i="34"/>
  <c r="H38" i="34"/>
  <c r="F38" i="34"/>
  <c r="C38" i="34" s="1"/>
  <c r="P37" i="34"/>
  <c r="M37" i="34" s="1"/>
  <c r="K37" i="34"/>
  <c r="H37" i="34" s="1"/>
  <c r="F37" i="34"/>
  <c r="C37" i="34" s="1"/>
  <c r="P36" i="34"/>
  <c r="M36" i="34" s="1"/>
  <c r="K36" i="34"/>
  <c r="H36" i="34"/>
  <c r="F36" i="34"/>
  <c r="C36" i="34" s="1"/>
  <c r="P35" i="34"/>
  <c r="M35" i="34" s="1"/>
  <c r="K35" i="34"/>
  <c r="H35" i="34" s="1"/>
  <c r="F35" i="34"/>
  <c r="C35" i="34" s="1"/>
  <c r="P34" i="34"/>
  <c r="M34" i="34" s="1"/>
  <c r="K34" i="34"/>
  <c r="H34" i="34" s="1"/>
  <c r="F34" i="34"/>
  <c r="C34" i="34" s="1"/>
  <c r="P33" i="34"/>
  <c r="M33" i="34"/>
  <c r="K33" i="34"/>
  <c r="H33" i="34" s="1"/>
  <c r="F33" i="34"/>
  <c r="C33" i="34"/>
  <c r="P32" i="34"/>
  <c r="M32" i="34" s="1"/>
  <c r="K32" i="34"/>
  <c r="H32" i="34" s="1"/>
  <c r="F32" i="34"/>
  <c r="C32" i="34" s="1"/>
  <c r="P31" i="34"/>
  <c r="M31" i="34" s="1"/>
  <c r="K31" i="34"/>
  <c r="H31" i="34" s="1"/>
  <c r="F31" i="34"/>
  <c r="C31" i="34"/>
  <c r="P30" i="34"/>
  <c r="M30" i="34" s="1"/>
  <c r="K30" i="34"/>
  <c r="H30" i="34" s="1"/>
  <c r="F30" i="34"/>
  <c r="C30" i="34" s="1"/>
  <c r="P29" i="34"/>
  <c r="M29" i="34" s="1"/>
  <c r="K29" i="34"/>
  <c r="H29" i="34" s="1"/>
  <c r="F29" i="34"/>
  <c r="C29" i="34" s="1"/>
  <c r="P28" i="34"/>
  <c r="M28" i="34" s="1"/>
  <c r="K28" i="34"/>
  <c r="H28" i="34"/>
  <c r="F28" i="34"/>
  <c r="C28" i="34" s="1"/>
  <c r="P27" i="34"/>
  <c r="M27" i="34" s="1"/>
  <c r="K27" i="34"/>
  <c r="H27" i="34" s="1"/>
  <c r="F27" i="34"/>
  <c r="C27" i="34"/>
  <c r="P26" i="34"/>
  <c r="M26" i="34" s="1"/>
  <c r="K26" i="34"/>
  <c r="H26" i="34" s="1"/>
  <c r="F26" i="34"/>
  <c r="C26" i="34" s="1"/>
  <c r="P25" i="34"/>
  <c r="M25" i="34"/>
  <c r="K25" i="34"/>
  <c r="H25" i="34" s="1"/>
  <c r="F25" i="34"/>
  <c r="C25" i="34" s="1"/>
  <c r="P24" i="34"/>
  <c r="M24" i="34" s="1"/>
  <c r="K24" i="34"/>
  <c r="H24" i="34" s="1"/>
  <c r="F24" i="34"/>
  <c r="C24" i="34" s="1"/>
  <c r="P23" i="34"/>
  <c r="M23" i="34" s="1"/>
  <c r="K23" i="34"/>
  <c r="H23" i="34" s="1"/>
  <c r="F23" i="34"/>
  <c r="C23" i="34"/>
  <c r="P22" i="34"/>
  <c r="M22" i="34" s="1"/>
  <c r="K22" i="34"/>
  <c r="H22" i="34" s="1"/>
  <c r="F22" i="34"/>
  <c r="C22" i="34" s="1"/>
  <c r="P21" i="34"/>
  <c r="M21" i="34"/>
  <c r="K21" i="34"/>
  <c r="H21" i="34" s="1"/>
  <c r="F21" i="34"/>
  <c r="C21" i="34" s="1"/>
  <c r="P20" i="34"/>
  <c r="M20" i="34" s="1"/>
  <c r="K20" i="34"/>
  <c r="H20" i="34"/>
  <c r="F20" i="34"/>
  <c r="C20" i="34" s="1"/>
  <c r="P19" i="34"/>
  <c r="M19" i="34" s="1"/>
  <c r="K19" i="34"/>
  <c r="H19" i="34" s="1"/>
  <c r="F19" i="34"/>
  <c r="C19" i="34" s="1"/>
  <c r="P18" i="34"/>
  <c r="M18" i="34" s="1"/>
  <c r="K18" i="34"/>
  <c r="H18" i="34"/>
  <c r="F18" i="34"/>
  <c r="C18" i="34" s="1"/>
  <c r="P17" i="34"/>
  <c r="M17" i="34" s="1"/>
  <c r="O17" i="34" s="1"/>
  <c r="L17" i="34"/>
  <c r="L18" i="34" s="1"/>
  <c r="L19" i="34" s="1"/>
  <c r="L20" i="34" s="1"/>
  <c r="L21" i="34" s="1"/>
  <c r="L22" i="34" s="1"/>
  <c r="L23" i="34" s="1"/>
  <c r="L24" i="34" s="1"/>
  <c r="L25" i="34" s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L84" i="34" s="1"/>
  <c r="L85" i="34" s="1"/>
  <c r="L86" i="34" s="1"/>
  <c r="L87" i="34" s="1"/>
  <c r="L88" i="34" s="1"/>
  <c r="L89" i="34" s="1"/>
  <c r="L90" i="34" s="1"/>
  <c r="L91" i="34" s="1"/>
  <c r="L92" i="34" s="1"/>
  <c r="L93" i="34" s="1"/>
  <c r="L94" i="34" s="1"/>
  <c r="L95" i="34" s="1"/>
  <c r="L96" i="34" s="1"/>
  <c r="L97" i="34" s="1"/>
  <c r="L98" i="34" s="1"/>
  <c r="L99" i="34" s="1"/>
  <c r="L100" i="34" s="1"/>
  <c r="L101" i="34" s="1"/>
  <c r="L102" i="34" s="1"/>
  <c r="L103" i="34" s="1"/>
  <c r="L104" i="34" s="1"/>
  <c r="L105" i="34" s="1"/>
  <c r="L106" i="34" s="1"/>
  <c r="L107" i="34" s="1"/>
  <c r="L108" i="34" s="1"/>
  <c r="L109" i="34" s="1"/>
  <c r="L110" i="34" s="1"/>
  <c r="L111" i="34" s="1"/>
  <c r="L112" i="34" s="1"/>
  <c r="L113" i="34" s="1"/>
  <c r="L114" i="34" s="1"/>
  <c r="L115" i="34" s="1"/>
  <c r="L116" i="34" s="1"/>
  <c r="L117" i="34" s="1"/>
  <c r="L118" i="34" s="1"/>
  <c r="L119" i="34" s="1"/>
  <c r="L120" i="34" s="1"/>
  <c r="L121" i="34" s="1"/>
  <c r="L122" i="34" s="1"/>
  <c r="L123" i="34" s="1"/>
  <c r="L124" i="34" s="1"/>
  <c r="L125" i="34" s="1"/>
  <c r="L126" i="34" s="1"/>
  <c r="L127" i="34" s="1"/>
  <c r="L128" i="34" s="1"/>
  <c r="L129" i="34" s="1"/>
  <c r="L130" i="34" s="1"/>
  <c r="L131" i="34" s="1"/>
  <c r="L132" i="34" s="1"/>
  <c r="L133" i="34" s="1"/>
  <c r="L134" i="34" s="1"/>
  <c r="L135" i="34" s="1"/>
  <c r="L136" i="34" s="1"/>
  <c r="L137" i="34" s="1"/>
  <c r="L138" i="34" s="1"/>
  <c r="L139" i="34" s="1"/>
  <c r="L140" i="34" s="1"/>
  <c r="L141" i="34" s="1"/>
  <c r="L142" i="34" s="1"/>
  <c r="L143" i="34" s="1"/>
  <c r="K17" i="34"/>
  <c r="H17" i="34"/>
  <c r="J17" i="34" s="1"/>
  <c r="G17" i="34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7" i="34" s="1"/>
  <c r="G38" i="34" s="1"/>
  <c r="G39" i="34" s="1"/>
  <c r="G40" i="34" s="1"/>
  <c r="G41" i="34" s="1"/>
  <c r="G42" i="34" s="1"/>
  <c r="G43" i="34" s="1"/>
  <c r="G44" i="34" s="1"/>
  <c r="G45" i="34" s="1"/>
  <c r="G46" i="34" s="1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G62" i="34" s="1"/>
  <c r="G63" i="34" s="1"/>
  <c r="G64" i="34" s="1"/>
  <c r="G65" i="34" s="1"/>
  <c r="G66" i="34" s="1"/>
  <c r="G67" i="34" s="1"/>
  <c r="G68" i="34" s="1"/>
  <c r="G69" i="34" s="1"/>
  <c r="G70" i="34" s="1"/>
  <c r="G71" i="34" s="1"/>
  <c r="G72" i="34" s="1"/>
  <c r="G73" i="34" s="1"/>
  <c r="G74" i="34" s="1"/>
  <c r="G75" i="34" s="1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G87" i="34" s="1"/>
  <c r="G88" i="34" s="1"/>
  <c r="G89" i="34" s="1"/>
  <c r="G90" i="34" s="1"/>
  <c r="G91" i="34" s="1"/>
  <c r="G92" i="34" s="1"/>
  <c r="G93" i="34" s="1"/>
  <c r="G94" i="34" s="1"/>
  <c r="G95" i="34" s="1"/>
  <c r="G96" i="34" s="1"/>
  <c r="G97" i="34" s="1"/>
  <c r="G98" i="34" s="1"/>
  <c r="G99" i="34" s="1"/>
  <c r="G100" i="34" s="1"/>
  <c r="G101" i="34" s="1"/>
  <c r="G102" i="34" s="1"/>
  <c r="G103" i="34" s="1"/>
  <c r="G104" i="34" s="1"/>
  <c r="G105" i="34" s="1"/>
  <c r="G106" i="34" s="1"/>
  <c r="G107" i="34" s="1"/>
  <c r="G108" i="34" s="1"/>
  <c r="G109" i="34" s="1"/>
  <c r="G110" i="34" s="1"/>
  <c r="G111" i="34" s="1"/>
  <c r="G112" i="34" s="1"/>
  <c r="G113" i="34" s="1"/>
  <c r="G114" i="34" s="1"/>
  <c r="G115" i="34" s="1"/>
  <c r="G116" i="34" s="1"/>
  <c r="G117" i="34" s="1"/>
  <c r="G118" i="34" s="1"/>
  <c r="G119" i="34" s="1"/>
  <c r="G120" i="34" s="1"/>
  <c r="G121" i="34" s="1"/>
  <c r="G122" i="34" s="1"/>
  <c r="G123" i="34" s="1"/>
  <c r="G124" i="34" s="1"/>
  <c r="G125" i="34" s="1"/>
  <c r="G126" i="34" s="1"/>
  <c r="G127" i="34" s="1"/>
  <c r="G128" i="34" s="1"/>
  <c r="G129" i="34" s="1"/>
  <c r="G130" i="34" s="1"/>
  <c r="G131" i="34" s="1"/>
  <c r="G132" i="34" s="1"/>
  <c r="G133" i="34" s="1"/>
  <c r="G134" i="34" s="1"/>
  <c r="G135" i="34" s="1"/>
  <c r="G136" i="34" s="1"/>
  <c r="G137" i="34" s="1"/>
  <c r="G138" i="34" s="1"/>
  <c r="G139" i="34" s="1"/>
  <c r="G140" i="34" s="1"/>
  <c r="G141" i="34" s="1"/>
  <c r="G142" i="34" s="1"/>
  <c r="G143" i="34" s="1"/>
  <c r="F17" i="34"/>
  <c r="C17" i="34"/>
  <c r="E17" i="34" s="1"/>
  <c r="B17" i="34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O16" i="34"/>
  <c r="J16" i="34"/>
  <c r="E16" i="34"/>
  <c r="B15" i="34"/>
  <c r="C15" i="34" s="1"/>
  <c r="D15" i="34" s="1"/>
  <c r="E15" i="34" s="1"/>
  <c r="F15" i="34" s="1"/>
  <c r="G15" i="34" s="1"/>
  <c r="H15" i="34" s="1"/>
  <c r="I15" i="34" s="1"/>
  <c r="J15" i="34" s="1"/>
  <c r="K15" i="34" s="1"/>
  <c r="L15" i="34" s="1"/>
  <c r="M15" i="34" s="1"/>
  <c r="N15" i="34" s="1"/>
  <c r="O15" i="34" s="1"/>
  <c r="P15" i="34" s="1"/>
  <c r="Q15" i="34" s="1"/>
  <c r="R15" i="34" s="1"/>
  <c r="F4" i="34"/>
  <c r="P143" i="33"/>
  <c r="O143" i="33"/>
  <c r="K143" i="33"/>
  <c r="J143" i="33"/>
  <c r="F143" i="33"/>
  <c r="P142" i="33"/>
  <c r="M142" i="33" s="1"/>
  <c r="O142" i="33" s="1"/>
  <c r="K142" i="33"/>
  <c r="H142" i="33" s="1"/>
  <c r="J142" i="33" s="1"/>
  <c r="F142" i="33"/>
  <c r="C142" i="33" s="1"/>
  <c r="P141" i="33"/>
  <c r="M141" i="33" s="1"/>
  <c r="O141" i="33" s="1"/>
  <c r="K141" i="33"/>
  <c r="H141" i="33" s="1"/>
  <c r="J141" i="33" s="1"/>
  <c r="F141" i="33"/>
  <c r="C141" i="33"/>
  <c r="P140" i="33"/>
  <c r="M140" i="33" s="1"/>
  <c r="O140" i="33" s="1"/>
  <c r="K140" i="33"/>
  <c r="H140" i="33"/>
  <c r="J140" i="33" s="1"/>
  <c r="F140" i="33"/>
  <c r="C140" i="33" s="1"/>
  <c r="P139" i="33"/>
  <c r="M139" i="33" s="1"/>
  <c r="O139" i="33" s="1"/>
  <c r="K139" i="33"/>
  <c r="H139" i="33" s="1"/>
  <c r="J139" i="33" s="1"/>
  <c r="F139" i="33"/>
  <c r="C139" i="33"/>
  <c r="P138" i="33"/>
  <c r="M138" i="33" s="1"/>
  <c r="O138" i="33" s="1"/>
  <c r="K138" i="33"/>
  <c r="H138" i="33" s="1"/>
  <c r="J138" i="33" s="1"/>
  <c r="F138" i="33"/>
  <c r="C138" i="33" s="1"/>
  <c r="P137" i="33"/>
  <c r="M137" i="33" s="1"/>
  <c r="O137" i="33" s="1"/>
  <c r="K137" i="33"/>
  <c r="H137" i="33" s="1"/>
  <c r="J137" i="33" s="1"/>
  <c r="F137" i="33"/>
  <c r="C137" i="33"/>
  <c r="P136" i="33"/>
  <c r="M136" i="33"/>
  <c r="O136" i="33" s="1"/>
  <c r="K136" i="33"/>
  <c r="H136" i="33" s="1"/>
  <c r="J136" i="33" s="1"/>
  <c r="F136" i="33"/>
  <c r="C136" i="33" s="1"/>
  <c r="P135" i="33"/>
  <c r="M135" i="33" s="1"/>
  <c r="O135" i="33" s="1"/>
  <c r="K135" i="33"/>
  <c r="H135" i="33" s="1"/>
  <c r="J135" i="33" s="1"/>
  <c r="F135" i="33"/>
  <c r="C135" i="33" s="1"/>
  <c r="P134" i="33"/>
  <c r="M134" i="33" s="1"/>
  <c r="O134" i="33" s="1"/>
  <c r="K134" i="33"/>
  <c r="H134" i="33" s="1"/>
  <c r="J134" i="33" s="1"/>
  <c r="F134" i="33"/>
  <c r="C134" i="33" s="1"/>
  <c r="P133" i="33"/>
  <c r="M133" i="33" s="1"/>
  <c r="O133" i="33" s="1"/>
  <c r="K133" i="33"/>
  <c r="H133" i="33" s="1"/>
  <c r="J133" i="33" s="1"/>
  <c r="F133" i="33"/>
  <c r="C133" i="33"/>
  <c r="P132" i="33"/>
  <c r="M132" i="33" s="1"/>
  <c r="O132" i="33" s="1"/>
  <c r="K132" i="33"/>
  <c r="H132" i="33"/>
  <c r="J132" i="33" s="1"/>
  <c r="F132" i="33"/>
  <c r="C132" i="33" s="1"/>
  <c r="P131" i="33"/>
  <c r="M131" i="33" s="1"/>
  <c r="O131" i="33" s="1"/>
  <c r="K131" i="33"/>
  <c r="H131" i="33" s="1"/>
  <c r="J131" i="33" s="1"/>
  <c r="F131" i="33"/>
  <c r="C131" i="33"/>
  <c r="P130" i="33"/>
  <c r="M130" i="33" s="1"/>
  <c r="O130" i="33" s="1"/>
  <c r="K130" i="33"/>
  <c r="H130" i="33" s="1"/>
  <c r="J130" i="33" s="1"/>
  <c r="F130" i="33"/>
  <c r="C130" i="33" s="1"/>
  <c r="P129" i="33"/>
  <c r="M129" i="33" s="1"/>
  <c r="O129" i="33" s="1"/>
  <c r="K129" i="33"/>
  <c r="H129" i="33" s="1"/>
  <c r="J129" i="33" s="1"/>
  <c r="F129" i="33"/>
  <c r="C129" i="33"/>
  <c r="P128" i="33"/>
  <c r="M128" i="33"/>
  <c r="O128" i="33" s="1"/>
  <c r="K128" i="33"/>
  <c r="H128" i="33" s="1"/>
  <c r="J128" i="33" s="1"/>
  <c r="F128" i="33"/>
  <c r="C128" i="33" s="1"/>
  <c r="P127" i="33"/>
  <c r="M127" i="33" s="1"/>
  <c r="O127" i="33" s="1"/>
  <c r="K127" i="33"/>
  <c r="H127" i="33" s="1"/>
  <c r="J127" i="33" s="1"/>
  <c r="F127" i="33"/>
  <c r="C127" i="33" s="1"/>
  <c r="P126" i="33"/>
  <c r="M126" i="33" s="1"/>
  <c r="O126" i="33" s="1"/>
  <c r="K126" i="33"/>
  <c r="H126" i="33" s="1"/>
  <c r="J126" i="33" s="1"/>
  <c r="F126" i="33"/>
  <c r="C126" i="33" s="1"/>
  <c r="P125" i="33"/>
  <c r="M125" i="33"/>
  <c r="O125" i="33" s="1"/>
  <c r="K125" i="33"/>
  <c r="H125" i="33" s="1"/>
  <c r="J125" i="33" s="1"/>
  <c r="F125" i="33"/>
  <c r="C125" i="33"/>
  <c r="P124" i="33"/>
  <c r="M124" i="33" s="1"/>
  <c r="O124" i="33" s="1"/>
  <c r="K124" i="33"/>
  <c r="H124" i="33" s="1"/>
  <c r="J124" i="33" s="1"/>
  <c r="F124" i="33"/>
  <c r="C124" i="33" s="1"/>
  <c r="P123" i="33"/>
  <c r="M123" i="33" s="1"/>
  <c r="O123" i="33" s="1"/>
  <c r="K123" i="33"/>
  <c r="H123" i="33" s="1"/>
  <c r="J123" i="33" s="1"/>
  <c r="F123" i="33"/>
  <c r="C123" i="33"/>
  <c r="P122" i="33"/>
  <c r="M122" i="33" s="1"/>
  <c r="O122" i="33" s="1"/>
  <c r="K122" i="33"/>
  <c r="H122" i="33" s="1"/>
  <c r="J122" i="33" s="1"/>
  <c r="F122" i="33"/>
  <c r="C122" i="33" s="1"/>
  <c r="P121" i="33"/>
  <c r="M121" i="33" s="1"/>
  <c r="O121" i="33" s="1"/>
  <c r="K121" i="33"/>
  <c r="H121" i="33" s="1"/>
  <c r="J121" i="33" s="1"/>
  <c r="F121" i="33"/>
  <c r="C121" i="33" s="1"/>
  <c r="P120" i="33"/>
  <c r="M120" i="33" s="1"/>
  <c r="O120" i="33" s="1"/>
  <c r="K120" i="33"/>
  <c r="H120" i="33" s="1"/>
  <c r="J120" i="33" s="1"/>
  <c r="F120" i="33"/>
  <c r="C120" i="33" s="1"/>
  <c r="P119" i="33"/>
  <c r="M119" i="33" s="1"/>
  <c r="O119" i="33" s="1"/>
  <c r="K119" i="33"/>
  <c r="H119" i="33" s="1"/>
  <c r="J119" i="33" s="1"/>
  <c r="F119" i="33"/>
  <c r="C119" i="33" s="1"/>
  <c r="P118" i="33"/>
  <c r="M118" i="33" s="1"/>
  <c r="O118" i="33" s="1"/>
  <c r="K118" i="33"/>
  <c r="H118" i="33" s="1"/>
  <c r="J118" i="33" s="1"/>
  <c r="F118" i="33"/>
  <c r="C118" i="33" s="1"/>
  <c r="P117" i="33"/>
  <c r="M117" i="33" s="1"/>
  <c r="O117" i="33" s="1"/>
  <c r="K117" i="33"/>
  <c r="H117" i="33" s="1"/>
  <c r="J117" i="33" s="1"/>
  <c r="F117" i="33"/>
  <c r="C117" i="33"/>
  <c r="P116" i="33"/>
  <c r="M116" i="33" s="1"/>
  <c r="O116" i="33" s="1"/>
  <c r="K116" i="33"/>
  <c r="H116" i="33"/>
  <c r="J116" i="33" s="1"/>
  <c r="F116" i="33"/>
  <c r="C116" i="33" s="1"/>
  <c r="P115" i="33"/>
  <c r="M115" i="33" s="1"/>
  <c r="O115" i="33" s="1"/>
  <c r="K115" i="33"/>
  <c r="H115" i="33" s="1"/>
  <c r="J115" i="33" s="1"/>
  <c r="F115" i="33"/>
  <c r="C115" i="33"/>
  <c r="P114" i="33"/>
  <c r="M114" i="33" s="1"/>
  <c r="O114" i="33" s="1"/>
  <c r="K114" i="33"/>
  <c r="H114" i="33" s="1"/>
  <c r="J114" i="33" s="1"/>
  <c r="F114" i="33"/>
  <c r="C114" i="33" s="1"/>
  <c r="P113" i="33"/>
  <c r="M113" i="33" s="1"/>
  <c r="O113" i="33" s="1"/>
  <c r="K113" i="33"/>
  <c r="H113" i="33" s="1"/>
  <c r="J113" i="33" s="1"/>
  <c r="F113" i="33"/>
  <c r="C113" i="33" s="1"/>
  <c r="P112" i="33"/>
  <c r="M112" i="33"/>
  <c r="O112" i="33" s="1"/>
  <c r="K112" i="33"/>
  <c r="H112" i="33" s="1"/>
  <c r="J112" i="33" s="1"/>
  <c r="F112" i="33"/>
  <c r="C112" i="33" s="1"/>
  <c r="P111" i="33"/>
  <c r="M111" i="33" s="1"/>
  <c r="O111" i="33" s="1"/>
  <c r="K111" i="33"/>
  <c r="H111" i="33" s="1"/>
  <c r="J111" i="33" s="1"/>
  <c r="F111" i="33"/>
  <c r="C111" i="33"/>
  <c r="P110" i="33"/>
  <c r="M110" i="33" s="1"/>
  <c r="O110" i="33" s="1"/>
  <c r="K110" i="33"/>
  <c r="H110" i="33" s="1"/>
  <c r="J110" i="33" s="1"/>
  <c r="F110" i="33"/>
  <c r="C110" i="33" s="1"/>
  <c r="P109" i="33"/>
  <c r="M109" i="33" s="1"/>
  <c r="O109" i="33" s="1"/>
  <c r="K109" i="33"/>
  <c r="H109" i="33" s="1"/>
  <c r="J109" i="33" s="1"/>
  <c r="F109" i="33"/>
  <c r="C109" i="33"/>
  <c r="P108" i="33"/>
  <c r="M108" i="33" s="1"/>
  <c r="O108" i="33" s="1"/>
  <c r="K108" i="33"/>
  <c r="H108" i="33" s="1"/>
  <c r="J108" i="33" s="1"/>
  <c r="F108" i="33"/>
  <c r="C108" i="33" s="1"/>
  <c r="P107" i="33"/>
  <c r="M107" i="33" s="1"/>
  <c r="O107" i="33" s="1"/>
  <c r="K107" i="33"/>
  <c r="H107" i="33" s="1"/>
  <c r="J107" i="33" s="1"/>
  <c r="F107" i="33"/>
  <c r="C107" i="33"/>
  <c r="P106" i="33"/>
  <c r="M106" i="33" s="1"/>
  <c r="O106" i="33" s="1"/>
  <c r="K106" i="33"/>
  <c r="H106" i="33" s="1"/>
  <c r="J106" i="33" s="1"/>
  <c r="F106" i="33"/>
  <c r="C106" i="33" s="1"/>
  <c r="P105" i="33"/>
  <c r="M105" i="33" s="1"/>
  <c r="O105" i="33" s="1"/>
  <c r="K105" i="33"/>
  <c r="H105" i="33"/>
  <c r="J105" i="33" s="1"/>
  <c r="F105" i="33"/>
  <c r="C105" i="33" s="1"/>
  <c r="P104" i="33"/>
  <c r="M104" i="33" s="1"/>
  <c r="O104" i="33" s="1"/>
  <c r="K104" i="33"/>
  <c r="H104" i="33" s="1"/>
  <c r="J104" i="33" s="1"/>
  <c r="F104" i="33"/>
  <c r="C104" i="33" s="1"/>
  <c r="P103" i="33"/>
  <c r="M103" i="33" s="1"/>
  <c r="O103" i="33"/>
  <c r="K103" i="33"/>
  <c r="H103" i="33" s="1"/>
  <c r="J103" i="33" s="1"/>
  <c r="F103" i="33"/>
  <c r="C103" i="33"/>
  <c r="P102" i="33"/>
  <c r="M102" i="33" s="1"/>
  <c r="O102" i="33" s="1"/>
  <c r="K102" i="33"/>
  <c r="H102" i="33" s="1"/>
  <c r="J102" i="33" s="1"/>
  <c r="F102" i="33"/>
  <c r="C102" i="33" s="1"/>
  <c r="P101" i="33"/>
  <c r="M101" i="33"/>
  <c r="O101" i="33" s="1"/>
  <c r="K101" i="33"/>
  <c r="H101" i="33" s="1"/>
  <c r="J101" i="33" s="1"/>
  <c r="F101" i="33"/>
  <c r="C101" i="33" s="1"/>
  <c r="P100" i="33"/>
  <c r="M100" i="33" s="1"/>
  <c r="O100" i="33" s="1"/>
  <c r="K100" i="33"/>
  <c r="H100" i="33" s="1"/>
  <c r="J100" i="33" s="1"/>
  <c r="F100" i="33"/>
  <c r="C100" i="33" s="1"/>
  <c r="P99" i="33"/>
  <c r="M99" i="33" s="1"/>
  <c r="O99" i="33" s="1"/>
  <c r="K99" i="33"/>
  <c r="H99" i="33" s="1"/>
  <c r="J99" i="33" s="1"/>
  <c r="F99" i="33"/>
  <c r="C99" i="33" s="1"/>
  <c r="P98" i="33"/>
  <c r="M98" i="33" s="1"/>
  <c r="O98" i="33" s="1"/>
  <c r="K98" i="33"/>
  <c r="H98" i="33" s="1"/>
  <c r="J98" i="33" s="1"/>
  <c r="F98" i="33"/>
  <c r="C98" i="33" s="1"/>
  <c r="P97" i="33"/>
  <c r="M97" i="33" s="1"/>
  <c r="O97" i="33" s="1"/>
  <c r="K97" i="33"/>
  <c r="H97" i="33" s="1"/>
  <c r="J97" i="33" s="1"/>
  <c r="F97" i="33"/>
  <c r="C97" i="33"/>
  <c r="P96" i="33"/>
  <c r="M96" i="33" s="1"/>
  <c r="O96" i="33" s="1"/>
  <c r="K96" i="33"/>
  <c r="H96" i="33" s="1"/>
  <c r="J96" i="33" s="1"/>
  <c r="F96" i="33"/>
  <c r="C96" i="33" s="1"/>
  <c r="P95" i="33"/>
  <c r="M95" i="33" s="1"/>
  <c r="O95" i="33"/>
  <c r="K95" i="33"/>
  <c r="H95" i="33" s="1"/>
  <c r="J95" i="33" s="1"/>
  <c r="F95" i="33"/>
  <c r="C95" i="33" s="1"/>
  <c r="P94" i="33"/>
  <c r="M94" i="33" s="1"/>
  <c r="O94" i="33" s="1"/>
  <c r="K94" i="33"/>
  <c r="H94" i="33" s="1"/>
  <c r="J94" i="33" s="1"/>
  <c r="F94" i="33"/>
  <c r="C94" i="33" s="1"/>
  <c r="P93" i="33"/>
  <c r="M93" i="33"/>
  <c r="O93" i="33" s="1"/>
  <c r="K93" i="33"/>
  <c r="H93" i="33" s="1"/>
  <c r="J93" i="33" s="1"/>
  <c r="F93" i="33"/>
  <c r="C93" i="33" s="1"/>
  <c r="P92" i="33"/>
  <c r="M92" i="33" s="1"/>
  <c r="O92" i="33" s="1"/>
  <c r="K92" i="33"/>
  <c r="H92" i="33" s="1"/>
  <c r="J92" i="33" s="1"/>
  <c r="F92" i="33"/>
  <c r="C92" i="33" s="1"/>
  <c r="P91" i="33"/>
  <c r="M91" i="33" s="1"/>
  <c r="O91" i="33" s="1"/>
  <c r="K91" i="33"/>
  <c r="H91" i="33" s="1"/>
  <c r="J91" i="33" s="1"/>
  <c r="F91" i="33"/>
  <c r="C91" i="33" s="1"/>
  <c r="P90" i="33"/>
  <c r="M90" i="33" s="1"/>
  <c r="O90" i="33" s="1"/>
  <c r="K90" i="33"/>
  <c r="H90" i="33" s="1"/>
  <c r="J90" i="33" s="1"/>
  <c r="F90" i="33"/>
  <c r="C90" i="33" s="1"/>
  <c r="P89" i="33"/>
  <c r="M89" i="33" s="1"/>
  <c r="O89" i="33" s="1"/>
  <c r="K89" i="33"/>
  <c r="H89" i="33" s="1"/>
  <c r="J89" i="33" s="1"/>
  <c r="F89" i="33"/>
  <c r="C89" i="33"/>
  <c r="P88" i="33"/>
  <c r="M88" i="33" s="1"/>
  <c r="O88" i="33" s="1"/>
  <c r="K88" i="33"/>
  <c r="H88" i="33" s="1"/>
  <c r="J88" i="33" s="1"/>
  <c r="F88" i="33"/>
  <c r="C88" i="33" s="1"/>
  <c r="P87" i="33"/>
  <c r="M87" i="33" s="1"/>
  <c r="O87" i="33" s="1"/>
  <c r="K87" i="33"/>
  <c r="H87" i="33" s="1"/>
  <c r="J87" i="33" s="1"/>
  <c r="F87" i="33"/>
  <c r="C87" i="33"/>
  <c r="P86" i="33"/>
  <c r="M86" i="33" s="1"/>
  <c r="O86" i="33" s="1"/>
  <c r="K86" i="33"/>
  <c r="H86" i="33" s="1"/>
  <c r="J86" i="33" s="1"/>
  <c r="F86" i="33"/>
  <c r="C86" i="33" s="1"/>
  <c r="P85" i="33"/>
  <c r="M85" i="33" s="1"/>
  <c r="O85" i="33" s="1"/>
  <c r="K85" i="33"/>
  <c r="H85" i="33" s="1"/>
  <c r="J85" i="33" s="1"/>
  <c r="F85" i="33"/>
  <c r="C85" i="33" s="1"/>
  <c r="P84" i="33"/>
  <c r="M84" i="33" s="1"/>
  <c r="O84" i="33" s="1"/>
  <c r="K84" i="33"/>
  <c r="H84" i="33"/>
  <c r="J84" i="33" s="1"/>
  <c r="F84" i="33"/>
  <c r="C84" i="33" s="1"/>
  <c r="P83" i="33"/>
  <c r="M83" i="33" s="1"/>
  <c r="O83" i="33" s="1"/>
  <c r="K83" i="33"/>
  <c r="H83" i="33" s="1"/>
  <c r="J83" i="33" s="1"/>
  <c r="F83" i="33"/>
  <c r="C83" i="33" s="1"/>
  <c r="P82" i="33"/>
  <c r="M82" i="33" s="1"/>
  <c r="O82" i="33" s="1"/>
  <c r="K82" i="33"/>
  <c r="H82" i="33" s="1"/>
  <c r="J82" i="33" s="1"/>
  <c r="F82" i="33"/>
  <c r="C82" i="33" s="1"/>
  <c r="P81" i="33"/>
  <c r="M81" i="33" s="1"/>
  <c r="O81" i="33" s="1"/>
  <c r="K81" i="33"/>
  <c r="H81" i="33"/>
  <c r="J81" i="33" s="1"/>
  <c r="F81" i="33"/>
  <c r="C81" i="33"/>
  <c r="P80" i="33"/>
  <c r="M80" i="33"/>
  <c r="O80" i="33" s="1"/>
  <c r="K80" i="33"/>
  <c r="H80" i="33" s="1"/>
  <c r="J80" i="33" s="1"/>
  <c r="F80" i="33"/>
  <c r="C80" i="33" s="1"/>
  <c r="P79" i="33"/>
  <c r="M79" i="33" s="1"/>
  <c r="O79" i="33"/>
  <c r="K79" i="33"/>
  <c r="H79" i="33" s="1"/>
  <c r="J79" i="33" s="1"/>
  <c r="F79" i="33"/>
  <c r="C79" i="33" s="1"/>
  <c r="P78" i="33"/>
  <c r="M78" i="33" s="1"/>
  <c r="O78" i="33" s="1"/>
  <c r="K78" i="33"/>
  <c r="H78" i="33" s="1"/>
  <c r="J78" i="33" s="1"/>
  <c r="F78" i="33"/>
  <c r="C78" i="33" s="1"/>
  <c r="P77" i="33"/>
  <c r="M77" i="33" s="1"/>
  <c r="O77" i="33" s="1"/>
  <c r="K77" i="33"/>
  <c r="H77" i="33" s="1"/>
  <c r="J77" i="33" s="1"/>
  <c r="F77" i="33"/>
  <c r="C77" i="33"/>
  <c r="P76" i="33"/>
  <c r="M76" i="33" s="1"/>
  <c r="O76" i="33" s="1"/>
  <c r="K76" i="33"/>
  <c r="H76" i="33"/>
  <c r="J76" i="33" s="1"/>
  <c r="F76" i="33"/>
  <c r="C76" i="33" s="1"/>
  <c r="P75" i="33"/>
  <c r="M75" i="33" s="1"/>
  <c r="O75" i="33" s="1"/>
  <c r="K75" i="33"/>
  <c r="H75" i="33" s="1"/>
  <c r="J75" i="33" s="1"/>
  <c r="F75" i="33"/>
  <c r="C75" i="33"/>
  <c r="P74" i="33"/>
  <c r="M74" i="33" s="1"/>
  <c r="O74" i="33" s="1"/>
  <c r="K74" i="33"/>
  <c r="H74" i="33" s="1"/>
  <c r="J74" i="33" s="1"/>
  <c r="F74" i="33"/>
  <c r="C74" i="33" s="1"/>
  <c r="P73" i="33"/>
  <c r="M73" i="33" s="1"/>
  <c r="O73" i="33" s="1"/>
  <c r="K73" i="33"/>
  <c r="J73" i="33"/>
  <c r="H73" i="33"/>
  <c r="F73" i="33"/>
  <c r="C73" i="33" s="1"/>
  <c r="P72" i="33"/>
  <c r="M72" i="33"/>
  <c r="O72" i="33" s="1"/>
  <c r="K72" i="33"/>
  <c r="H72" i="33" s="1"/>
  <c r="J72" i="33" s="1"/>
  <c r="F72" i="33"/>
  <c r="C72" i="33" s="1"/>
  <c r="P71" i="33"/>
  <c r="M71" i="33" s="1"/>
  <c r="O71" i="33" s="1"/>
  <c r="K71" i="33"/>
  <c r="H71" i="33" s="1"/>
  <c r="J71" i="33" s="1"/>
  <c r="F71" i="33"/>
  <c r="C71" i="33" s="1"/>
  <c r="P70" i="33"/>
  <c r="M70" i="33" s="1"/>
  <c r="O70" i="33" s="1"/>
  <c r="K70" i="33"/>
  <c r="H70" i="33" s="1"/>
  <c r="J70" i="33" s="1"/>
  <c r="F70" i="33"/>
  <c r="C70" i="33" s="1"/>
  <c r="P69" i="33"/>
  <c r="M69" i="33"/>
  <c r="O69" i="33" s="1"/>
  <c r="K69" i="33"/>
  <c r="H69" i="33" s="1"/>
  <c r="J69" i="33" s="1"/>
  <c r="F69" i="33"/>
  <c r="C69" i="33"/>
  <c r="P68" i="33"/>
  <c r="M68" i="33" s="1"/>
  <c r="O68" i="33" s="1"/>
  <c r="K68" i="33"/>
  <c r="H68" i="33"/>
  <c r="J68" i="33" s="1"/>
  <c r="F68" i="33"/>
  <c r="C68" i="33" s="1"/>
  <c r="P67" i="33"/>
  <c r="M67" i="33" s="1"/>
  <c r="O67" i="33" s="1"/>
  <c r="K67" i="33"/>
  <c r="H67" i="33" s="1"/>
  <c r="J67" i="33" s="1"/>
  <c r="F67" i="33"/>
  <c r="C67" i="33"/>
  <c r="P66" i="33"/>
  <c r="M66" i="33" s="1"/>
  <c r="O66" i="33" s="1"/>
  <c r="K66" i="33"/>
  <c r="H66" i="33" s="1"/>
  <c r="J66" i="33" s="1"/>
  <c r="F66" i="33"/>
  <c r="C66" i="33" s="1"/>
  <c r="P65" i="33"/>
  <c r="M65" i="33" s="1"/>
  <c r="O65" i="33" s="1"/>
  <c r="K65" i="33"/>
  <c r="H65" i="33" s="1"/>
  <c r="J65" i="33" s="1"/>
  <c r="F65" i="33"/>
  <c r="C65" i="33"/>
  <c r="P64" i="33"/>
  <c r="M64" i="33"/>
  <c r="O64" i="33" s="1"/>
  <c r="K64" i="33"/>
  <c r="H64" i="33" s="1"/>
  <c r="J64" i="33" s="1"/>
  <c r="F64" i="33"/>
  <c r="C64" i="33" s="1"/>
  <c r="P63" i="33"/>
  <c r="M63" i="33" s="1"/>
  <c r="O63" i="33" s="1"/>
  <c r="K63" i="33"/>
  <c r="H63" i="33" s="1"/>
  <c r="J63" i="33" s="1"/>
  <c r="F63" i="33"/>
  <c r="C63" i="33" s="1"/>
  <c r="P62" i="33"/>
  <c r="M62" i="33" s="1"/>
  <c r="O62" i="33" s="1"/>
  <c r="K62" i="33"/>
  <c r="H62" i="33" s="1"/>
  <c r="J62" i="33" s="1"/>
  <c r="F62" i="33"/>
  <c r="C62" i="33" s="1"/>
  <c r="P61" i="33"/>
  <c r="M61" i="33"/>
  <c r="O61" i="33" s="1"/>
  <c r="K61" i="33"/>
  <c r="H61" i="33" s="1"/>
  <c r="J61" i="33" s="1"/>
  <c r="F61" i="33"/>
  <c r="C61" i="33"/>
  <c r="P60" i="33"/>
  <c r="M60" i="33" s="1"/>
  <c r="O60" i="33" s="1"/>
  <c r="K60" i="33"/>
  <c r="H60" i="33" s="1"/>
  <c r="J60" i="33" s="1"/>
  <c r="F60" i="33"/>
  <c r="C60" i="33" s="1"/>
  <c r="P59" i="33"/>
  <c r="M59" i="33" s="1"/>
  <c r="O59" i="33" s="1"/>
  <c r="K59" i="33"/>
  <c r="H59" i="33" s="1"/>
  <c r="J59" i="33" s="1"/>
  <c r="F59" i="33"/>
  <c r="C59" i="33"/>
  <c r="P58" i="33"/>
  <c r="M58" i="33" s="1"/>
  <c r="O58" i="33" s="1"/>
  <c r="K58" i="33"/>
  <c r="H58" i="33" s="1"/>
  <c r="J58" i="33" s="1"/>
  <c r="F58" i="33"/>
  <c r="C58" i="33" s="1"/>
  <c r="P57" i="33"/>
  <c r="M57" i="33" s="1"/>
  <c r="O57" i="33" s="1"/>
  <c r="K57" i="33"/>
  <c r="H57" i="33" s="1"/>
  <c r="J57" i="33" s="1"/>
  <c r="F57" i="33"/>
  <c r="C57" i="33" s="1"/>
  <c r="P56" i="33"/>
  <c r="M56" i="33" s="1"/>
  <c r="O56" i="33" s="1"/>
  <c r="K56" i="33"/>
  <c r="H56" i="33" s="1"/>
  <c r="J56" i="33" s="1"/>
  <c r="F56" i="33"/>
  <c r="C56" i="33" s="1"/>
  <c r="P55" i="33"/>
  <c r="M55" i="33" s="1"/>
  <c r="O55" i="33" s="1"/>
  <c r="K55" i="33"/>
  <c r="H55" i="33" s="1"/>
  <c r="J55" i="33" s="1"/>
  <c r="F55" i="33"/>
  <c r="C55" i="33"/>
  <c r="P54" i="33"/>
  <c r="M54" i="33" s="1"/>
  <c r="O54" i="33" s="1"/>
  <c r="K54" i="33"/>
  <c r="H54" i="33" s="1"/>
  <c r="J54" i="33" s="1"/>
  <c r="F54" i="33"/>
  <c r="C54" i="33" s="1"/>
  <c r="P53" i="33"/>
  <c r="M53" i="33" s="1"/>
  <c r="O53" i="33" s="1"/>
  <c r="K53" i="33"/>
  <c r="H53" i="33" s="1"/>
  <c r="J53" i="33" s="1"/>
  <c r="F53" i="33"/>
  <c r="C53" i="33" s="1"/>
  <c r="P52" i="33"/>
  <c r="M52" i="33" s="1"/>
  <c r="O52" i="33" s="1"/>
  <c r="K52" i="33"/>
  <c r="H52" i="33"/>
  <c r="J52" i="33" s="1"/>
  <c r="F52" i="33"/>
  <c r="C52" i="33" s="1"/>
  <c r="P51" i="33"/>
  <c r="M51" i="33" s="1"/>
  <c r="O51" i="33" s="1"/>
  <c r="K51" i="33"/>
  <c r="H51" i="33" s="1"/>
  <c r="J51" i="33" s="1"/>
  <c r="F51" i="33"/>
  <c r="C51" i="33" s="1"/>
  <c r="P50" i="33"/>
  <c r="M50" i="33" s="1"/>
  <c r="O50" i="33" s="1"/>
  <c r="K50" i="33"/>
  <c r="H50" i="33" s="1"/>
  <c r="J50" i="33" s="1"/>
  <c r="F50" i="33"/>
  <c r="C50" i="33" s="1"/>
  <c r="P49" i="33"/>
  <c r="M49" i="33" s="1"/>
  <c r="O49" i="33" s="1"/>
  <c r="K49" i="33"/>
  <c r="H49" i="33" s="1"/>
  <c r="J49" i="33" s="1"/>
  <c r="F49" i="33"/>
  <c r="C49" i="33" s="1"/>
  <c r="P48" i="33"/>
  <c r="M48" i="33"/>
  <c r="O48" i="33" s="1"/>
  <c r="K48" i="33"/>
  <c r="H48" i="33" s="1"/>
  <c r="J48" i="33" s="1"/>
  <c r="F48" i="33"/>
  <c r="C48" i="33" s="1"/>
  <c r="P47" i="33"/>
  <c r="M47" i="33" s="1"/>
  <c r="O47" i="33"/>
  <c r="K47" i="33"/>
  <c r="H47" i="33" s="1"/>
  <c r="J47" i="33" s="1"/>
  <c r="F47" i="33"/>
  <c r="C47" i="33"/>
  <c r="P46" i="33"/>
  <c r="M46" i="33" s="1"/>
  <c r="O46" i="33" s="1"/>
  <c r="K46" i="33"/>
  <c r="H46" i="33" s="1"/>
  <c r="J46" i="33" s="1"/>
  <c r="F46" i="33"/>
  <c r="C46" i="33" s="1"/>
  <c r="P45" i="33"/>
  <c r="O45" i="33"/>
  <c r="M45" i="33"/>
  <c r="K45" i="33"/>
  <c r="H45" i="33" s="1"/>
  <c r="J45" i="33" s="1"/>
  <c r="F45" i="33"/>
  <c r="C45" i="33"/>
  <c r="P44" i="33"/>
  <c r="M44" i="33" s="1"/>
  <c r="O44" i="33" s="1"/>
  <c r="K44" i="33"/>
  <c r="H44" i="33" s="1"/>
  <c r="J44" i="33" s="1"/>
  <c r="F44" i="33"/>
  <c r="C44" i="33" s="1"/>
  <c r="P43" i="33"/>
  <c r="M43" i="33" s="1"/>
  <c r="O43" i="33" s="1"/>
  <c r="K43" i="33"/>
  <c r="H43" i="33" s="1"/>
  <c r="J43" i="33" s="1"/>
  <c r="F43" i="33"/>
  <c r="C43" i="33"/>
  <c r="P42" i="33"/>
  <c r="M42" i="33" s="1"/>
  <c r="O42" i="33" s="1"/>
  <c r="K42" i="33"/>
  <c r="H42" i="33" s="1"/>
  <c r="J42" i="33" s="1"/>
  <c r="F42" i="33"/>
  <c r="C42" i="33" s="1"/>
  <c r="P41" i="33"/>
  <c r="M41" i="33" s="1"/>
  <c r="O41" i="33" s="1"/>
  <c r="K41" i="33"/>
  <c r="H41" i="33"/>
  <c r="J41" i="33" s="1"/>
  <c r="F41" i="33"/>
  <c r="C41" i="33" s="1"/>
  <c r="P40" i="33"/>
  <c r="M40" i="33" s="1"/>
  <c r="O40" i="33" s="1"/>
  <c r="K40" i="33"/>
  <c r="H40" i="33" s="1"/>
  <c r="J40" i="33" s="1"/>
  <c r="F40" i="33"/>
  <c r="C40" i="33" s="1"/>
  <c r="P39" i="33"/>
  <c r="M39" i="33" s="1"/>
  <c r="O39" i="33"/>
  <c r="K39" i="33"/>
  <c r="H39" i="33" s="1"/>
  <c r="J39" i="33" s="1"/>
  <c r="F39" i="33"/>
  <c r="C39" i="33"/>
  <c r="P38" i="33"/>
  <c r="M38" i="33" s="1"/>
  <c r="O38" i="33" s="1"/>
  <c r="K38" i="33"/>
  <c r="H38" i="33" s="1"/>
  <c r="J38" i="33" s="1"/>
  <c r="F38" i="33"/>
  <c r="C38" i="33" s="1"/>
  <c r="P37" i="33"/>
  <c r="M37" i="33"/>
  <c r="O37" i="33" s="1"/>
  <c r="K37" i="33"/>
  <c r="H37" i="33" s="1"/>
  <c r="J37" i="33" s="1"/>
  <c r="F37" i="33"/>
  <c r="C37" i="33" s="1"/>
  <c r="P36" i="33"/>
  <c r="M36" i="33" s="1"/>
  <c r="O36" i="33" s="1"/>
  <c r="K36" i="33"/>
  <c r="H36" i="33" s="1"/>
  <c r="J36" i="33" s="1"/>
  <c r="F36" i="33"/>
  <c r="C36" i="33" s="1"/>
  <c r="P35" i="33"/>
  <c r="M35" i="33" s="1"/>
  <c r="O35" i="33" s="1"/>
  <c r="K35" i="33"/>
  <c r="H35" i="33" s="1"/>
  <c r="J35" i="33" s="1"/>
  <c r="F35" i="33"/>
  <c r="C35" i="33" s="1"/>
  <c r="P34" i="33"/>
  <c r="M34" i="33" s="1"/>
  <c r="O34" i="33" s="1"/>
  <c r="K34" i="33"/>
  <c r="H34" i="33" s="1"/>
  <c r="J34" i="33" s="1"/>
  <c r="F34" i="33"/>
  <c r="C34" i="33" s="1"/>
  <c r="P33" i="33"/>
  <c r="M33" i="33" s="1"/>
  <c r="O33" i="33" s="1"/>
  <c r="K33" i="33"/>
  <c r="H33" i="33" s="1"/>
  <c r="J33" i="33" s="1"/>
  <c r="F33" i="33"/>
  <c r="C33" i="33"/>
  <c r="P32" i="33"/>
  <c r="M32" i="33" s="1"/>
  <c r="O32" i="33" s="1"/>
  <c r="K32" i="33"/>
  <c r="H32" i="33" s="1"/>
  <c r="J32" i="33" s="1"/>
  <c r="F32" i="33"/>
  <c r="C32" i="33" s="1"/>
  <c r="P31" i="33"/>
  <c r="M31" i="33" s="1"/>
  <c r="O31" i="33"/>
  <c r="K31" i="33"/>
  <c r="H31" i="33" s="1"/>
  <c r="J31" i="33" s="1"/>
  <c r="F31" i="33"/>
  <c r="C31" i="33" s="1"/>
  <c r="P30" i="33"/>
  <c r="M30" i="33" s="1"/>
  <c r="O30" i="33" s="1"/>
  <c r="K30" i="33"/>
  <c r="H30" i="33" s="1"/>
  <c r="J30" i="33" s="1"/>
  <c r="F30" i="33"/>
  <c r="C30" i="33" s="1"/>
  <c r="P29" i="33"/>
  <c r="O29" i="33"/>
  <c r="M29" i="33"/>
  <c r="K29" i="33"/>
  <c r="H29" i="33" s="1"/>
  <c r="J29" i="33" s="1"/>
  <c r="F29" i="33"/>
  <c r="C29" i="33" s="1"/>
  <c r="P28" i="33"/>
  <c r="M28" i="33" s="1"/>
  <c r="O28" i="33" s="1"/>
  <c r="K28" i="33"/>
  <c r="H28" i="33" s="1"/>
  <c r="J28" i="33" s="1"/>
  <c r="F28" i="33"/>
  <c r="C28" i="33" s="1"/>
  <c r="P27" i="33"/>
  <c r="M27" i="33" s="1"/>
  <c r="O27" i="33" s="1"/>
  <c r="K27" i="33"/>
  <c r="H27" i="33" s="1"/>
  <c r="J27" i="33" s="1"/>
  <c r="F27" i="33"/>
  <c r="C27" i="33" s="1"/>
  <c r="P26" i="33"/>
  <c r="M26" i="33" s="1"/>
  <c r="O26" i="33" s="1"/>
  <c r="K26" i="33"/>
  <c r="H26" i="33" s="1"/>
  <c r="J26" i="33" s="1"/>
  <c r="F26" i="33"/>
  <c r="C26" i="33" s="1"/>
  <c r="P25" i="33"/>
  <c r="M25" i="33" s="1"/>
  <c r="O25" i="33" s="1"/>
  <c r="K25" i="33"/>
  <c r="J25" i="33"/>
  <c r="H25" i="33"/>
  <c r="F25" i="33"/>
  <c r="C25" i="33"/>
  <c r="P24" i="33"/>
  <c r="M24" i="33" s="1"/>
  <c r="O24" i="33" s="1"/>
  <c r="K24" i="33"/>
  <c r="H24" i="33" s="1"/>
  <c r="J24" i="33" s="1"/>
  <c r="F24" i="33"/>
  <c r="C24" i="33" s="1"/>
  <c r="P23" i="33"/>
  <c r="M23" i="33" s="1"/>
  <c r="O23" i="33" s="1"/>
  <c r="K23" i="33"/>
  <c r="H23" i="33" s="1"/>
  <c r="J23" i="33" s="1"/>
  <c r="G23" i="33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G36" i="33" s="1"/>
  <c r="G37" i="33" s="1"/>
  <c r="G38" i="33" s="1"/>
  <c r="G39" i="33" s="1"/>
  <c r="G40" i="33" s="1"/>
  <c r="G41" i="33" s="1"/>
  <c r="G42" i="33" s="1"/>
  <c r="G43" i="33" s="1"/>
  <c r="G44" i="33" s="1"/>
  <c r="G45" i="33" s="1"/>
  <c r="G46" i="33" s="1"/>
  <c r="G47" i="33" s="1"/>
  <c r="G48" i="33" s="1"/>
  <c r="G49" i="33" s="1"/>
  <c r="G50" i="33" s="1"/>
  <c r="G51" i="33" s="1"/>
  <c r="G52" i="33" s="1"/>
  <c r="G53" i="33" s="1"/>
  <c r="G54" i="33" s="1"/>
  <c r="G55" i="33" s="1"/>
  <c r="G56" i="33" s="1"/>
  <c r="G57" i="33" s="1"/>
  <c r="G58" i="33" s="1"/>
  <c r="G59" i="33" s="1"/>
  <c r="G60" i="33" s="1"/>
  <c r="G61" i="33" s="1"/>
  <c r="G62" i="33" s="1"/>
  <c r="G63" i="33" s="1"/>
  <c r="G64" i="33" s="1"/>
  <c r="G65" i="33" s="1"/>
  <c r="G66" i="33" s="1"/>
  <c r="G67" i="33" s="1"/>
  <c r="G68" i="33" s="1"/>
  <c r="G69" i="33" s="1"/>
  <c r="G70" i="33" s="1"/>
  <c r="G71" i="33" s="1"/>
  <c r="G72" i="33" s="1"/>
  <c r="G73" i="33" s="1"/>
  <c r="G74" i="33" s="1"/>
  <c r="G75" i="33" s="1"/>
  <c r="G76" i="33" s="1"/>
  <c r="G77" i="33" s="1"/>
  <c r="G78" i="33" s="1"/>
  <c r="G79" i="33" s="1"/>
  <c r="G80" i="33" s="1"/>
  <c r="G81" i="33" s="1"/>
  <c r="G82" i="33" s="1"/>
  <c r="G83" i="33" s="1"/>
  <c r="G84" i="33" s="1"/>
  <c r="G85" i="33" s="1"/>
  <c r="G86" i="33" s="1"/>
  <c r="G87" i="33" s="1"/>
  <c r="G88" i="33" s="1"/>
  <c r="G89" i="33" s="1"/>
  <c r="G90" i="33" s="1"/>
  <c r="G91" i="33" s="1"/>
  <c r="G92" i="33" s="1"/>
  <c r="G93" i="33" s="1"/>
  <c r="G94" i="33" s="1"/>
  <c r="G95" i="33" s="1"/>
  <c r="G96" i="33" s="1"/>
  <c r="G97" i="33" s="1"/>
  <c r="G98" i="33" s="1"/>
  <c r="G99" i="33" s="1"/>
  <c r="G100" i="33" s="1"/>
  <c r="G101" i="33" s="1"/>
  <c r="G102" i="33" s="1"/>
  <c r="G103" i="33" s="1"/>
  <c r="G104" i="33" s="1"/>
  <c r="G105" i="33" s="1"/>
  <c r="G106" i="33" s="1"/>
  <c r="G107" i="33" s="1"/>
  <c r="G108" i="33" s="1"/>
  <c r="G109" i="33" s="1"/>
  <c r="G110" i="33" s="1"/>
  <c r="G111" i="33" s="1"/>
  <c r="G112" i="33" s="1"/>
  <c r="G113" i="33" s="1"/>
  <c r="G114" i="33" s="1"/>
  <c r="G115" i="33" s="1"/>
  <c r="G116" i="33" s="1"/>
  <c r="G117" i="33" s="1"/>
  <c r="G118" i="33" s="1"/>
  <c r="G119" i="33" s="1"/>
  <c r="G120" i="33" s="1"/>
  <c r="G121" i="33" s="1"/>
  <c r="G122" i="33" s="1"/>
  <c r="G123" i="33" s="1"/>
  <c r="G124" i="33" s="1"/>
  <c r="G125" i="33" s="1"/>
  <c r="G126" i="33" s="1"/>
  <c r="G127" i="33" s="1"/>
  <c r="G128" i="33" s="1"/>
  <c r="G129" i="33" s="1"/>
  <c r="G130" i="33" s="1"/>
  <c r="G131" i="33" s="1"/>
  <c r="G132" i="33" s="1"/>
  <c r="G133" i="33" s="1"/>
  <c r="G134" i="33" s="1"/>
  <c r="G135" i="33" s="1"/>
  <c r="G136" i="33" s="1"/>
  <c r="G137" i="33" s="1"/>
  <c r="G138" i="33" s="1"/>
  <c r="G139" i="33" s="1"/>
  <c r="G140" i="33" s="1"/>
  <c r="G141" i="33" s="1"/>
  <c r="G142" i="33" s="1"/>
  <c r="G143" i="33" s="1"/>
  <c r="F23" i="33"/>
  <c r="C23" i="33" s="1"/>
  <c r="P22" i="33"/>
  <c r="M22" i="33" s="1"/>
  <c r="O22" i="33" s="1"/>
  <c r="K22" i="33"/>
  <c r="H22" i="33" s="1"/>
  <c r="J22" i="33" s="1"/>
  <c r="F22" i="33"/>
  <c r="C22" i="33" s="1"/>
  <c r="P21" i="33"/>
  <c r="M21" i="33"/>
  <c r="O21" i="33" s="1"/>
  <c r="K21" i="33"/>
  <c r="H21" i="33" s="1"/>
  <c r="J21" i="33" s="1"/>
  <c r="F21" i="33"/>
  <c r="C21" i="33"/>
  <c r="P20" i="33"/>
  <c r="M20" i="33" s="1"/>
  <c r="O20" i="33" s="1"/>
  <c r="K20" i="33"/>
  <c r="H20" i="33" s="1"/>
  <c r="J20" i="33" s="1"/>
  <c r="F20" i="33"/>
  <c r="C20" i="33" s="1"/>
  <c r="P19" i="33"/>
  <c r="M19" i="33" s="1"/>
  <c r="O19" i="33" s="1"/>
  <c r="L19" i="33"/>
  <c r="L20" i="33" s="1"/>
  <c r="L21" i="33" s="1"/>
  <c r="L22" i="33" s="1"/>
  <c r="L23" i="33" s="1"/>
  <c r="L24" i="33" s="1"/>
  <c r="L25" i="33" s="1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L65" i="33" s="1"/>
  <c r="L66" i="33" s="1"/>
  <c r="L67" i="33" s="1"/>
  <c r="L68" i="33" s="1"/>
  <c r="L69" i="33" s="1"/>
  <c r="L70" i="33" s="1"/>
  <c r="L71" i="33" s="1"/>
  <c r="L72" i="33" s="1"/>
  <c r="L73" i="33" s="1"/>
  <c r="L74" i="33" s="1"/>
  <c r="L75" i="33" s="1"/>
  <c r="L76" i="33" s="1"/>
  <c r="L77" i="33" s="1"/>
  <c r="L78" i="33" s="1"/>
  <c r="L79" i="33" s="1"/>
  <c r="L80" i="33" s="1"/>
  <c r="L81" i="33" s="1"/>
  <c r="L82" i="33" s="1"/>
  <c r="L83" i="33" s="1"/>
  <c r="L84" i="33" s="1"/>
  <c r="L85" i="33" s="1"/>
  <c r="L86" i="33" s="1"/>
  <c r="L87" i="33" s="1"/>
  <c r="L88" i="33" s="1"/>
  <c r="L89" i="33" s="1"/>
  <c r="L90" i="33" s="1"/>
  <c r="L91" i="33" s="1"/>
  <c r="L92" i="33" s="1"/>
  <c r="L93" i="33" s="1"/>
  <c r="L94" i="33" s="1"/>
  <c r="L95" i="33" s="1"/>
  <c r="L96" i="33" s="1"/>
  <c r="L97" i="33" s="1"/>
  <c r="L98" i="33" s="1"/>
  <c r="L99" i="33" s="1"/>
  <c r="L100" i="33" s="1"/>
  <c r="L101" i="33" s="1"/>
  <c r="L102" i="33" s="1"/>
  <c r="L103" i="33" s="1"/>
  <c r="L104" i="33" s="1"/>
  <c r="L105" i="33" s="1"/>
  <c r="L106" i="33" s="1"/>
  <c r="L107" i="33" s="1"/>
  <c r="L108" i="33" s="1"/>
  <c r="L109" i="33" s="1"/>
  <c r="L110" i="33" s="1"/>
  <c r="L111" i="33" s="1"/>
  <c r="L112" i="33" s="1"/>
  <c r="L113" i="33" s="1"/>
  <c r="L114" i="33" s="1"/>
  <c r="L115" i="33" s="1"/>
  <c r="L116" i="33" s="1"/>
  <c r="L117" i="33" s="1"/>
  <c r="L118" i="33" s="1"/>
  <c r="L119" i="33" s="1"/>
  <c r="L120" i="33" s="1"/>
  <c r="L121" i="33" s="1"/>
  <c r="L122" i="33" s="1"/>
  <c r="L123" i="33" s="1"/>
  <c r="L124" i="33" s="1"/>
  <c r="L125" i="33" s="1"/>
  <c r="L126" i="33" s="1"/>
  <c r="L127" i="33" s="1"/>
  <c r="L128" i="33" s="1"/>
  <c r="L129" i="33" s="1"/>
  <c r="L130" i="33" s="1"/>
  <c r="L131" i="33" s="1"/>
  <c r="L132" i="33" s="1"/>
  <c r="L133" i="33" s="1"/>
  <c r="L134" i="33" s="1"/>
  <c r="L135" i="33" s="1"/>
  <c r="L136" i="33" s="1"/>
  <c r="L137" i="33" s="1"/>
  <c r="L138" i="33" s="1"/>
  <c r="L139" i="33" s="1"/>
  <c r="L140" i="33" s="1"/>
  <c r="L141" i="33" s="1"/>
  <c r="L142" i="33" s="1"/>
  <c r="L143" i="33" s="1"/>
  <c r="K19" i="33"/>
  <c r="H19" i="33" s="1"/>
  <c r="J19" i="33" s="1"/>
  <c r="F19" i="33"/>
  <c r="C19" i="33" s="1"/>
  <c r="P18" i="33"/>
  <c r="M18" i="33" s="1"/>
  <c r="O18" i="33" s="1"/>
  <c r="K18" i="33"/>
  <c r="H18" i="33" s="1"/>
  <c r="J18" i="33" s="1"/>
  <c r="F18" i="33"/>
  <c r="C18" i="33" s="1"/>
  <c r="P17" i="33"/>
  <c r="M17" i="33" s="1"/>
  <c r="O17" i="33" s="1"/>
  <c r="L17" i="33"/>
  <c r="L18" i="33" s="1"/>
  <c r="K17" i="33"/>
  <c r="H17" i="33"/>
  <c r="J17" i="33" s="1"/>
  <c r="G17" i="33"/>
  <c r="G18" i="33" s="1"/>
  <c r="G19" i="33" s="1"/>
  <c r="G20" i="33" s="1"/>
  <c r="G21" i="33" s="1"/>
  <c r="G22" i="33" s="1"/>
  <c r="F17" i="33"/>
  <c r="C17" i="33"/>
  <c r="B17" i="33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B97" i="33" s="1"/>
  <c r="B98" i="33" s="1"/>
  <c r="B99" i="33" s="1"/>
  <c r="B100" i="33" s="1"/>
  <c r="B101" i="33" s="1"/>
  <c r="B102" i="33" s="1"/>
  <c r="B103" i="33" s="1"/>
  <c r="B104" i="33" s="1"/>
  <c r="B105" i="33" s="1"/>
  <c r="B106" i="33" s="1"/>
  <c r="B107" i="33" s="1"/>
  <c r="B108" i="33" s="1"/>
  <c r="B109" i="33" s="1"/>
  <c r="B110" i="33" s="1"/>
  <c r="B111" i="33" s="1"/>
  <c r="B112" i="33" s="1"/>
  <c r="B113" i="33" s="1"/>
  <c r="B114" i="33" s="1"/>
  <c r="B115" i="33" s="1"/>
  <c r="B116" i="33" s="1"/>
  <c r="B117" i="33" s="1"/>
  <c r="B118" i="33" s="1"/>
  <c r="B119" i="33" s="1"/>
  <c r="B120" i="33" s="1"/>
  <c r="B121" i="33" s="1"/>
  <c r="B122" i="33" s="1"/>
  <c r="B123" i="33" s="1"/>
  <c r="B124" i="33" s="1"/>
  <c r="B125" i="33" s="1"/>
  <c r="B126" i="33" s="1"/>
  <c r="B127" i="33" s="1"/>
  <c r="B128" i="33" s="1"/>
  <c r="B129" i="33" s="1"/>
  <c r="B130" i="33" s="1"/>
  <c r="B131" i="33" s="1"/>
  <c r="B132" i="33" s="1"/>
  <c r="B133" i="33" s="1"/>
  <c r="B134" i="33" s="1"/>
  <c r="B135" i="33" s="1"/>
  <c r="B136" i="33" s="1"/>
  <c r="B137" i="33" s="1"/>
  <c r="B138" i="33" s="1"/>
  <c r="B139" i="33" s="1"/>
  <c r="B140" i="33" s="1"/>
  <c r="B141" i="33" s="1"/>
  <c r="B142" i="33" s="1"/>
  <c r="B143" i="33" s="1"/>
  <c r="O16" i="33"/>
  <c r="J16" i="33"/>
  <c r="B15" i="33"/>
  <c r="C15" i="33" s="1"/>
  <c r="D15" i="33" s="1"/>
  <c r="E15" i="33" s="1"/>
  <c r="F15" i="33" s="1"/>
  <c r="G15" i="33" s="1"/>
  <c r="H15" i="33" s="1"/>
  <c r="I15" i="33" s="1"/>
  <c r="J15" i="33" s="1"/>
  <c r="K15" i="33" s="1"/>
  <c r="L15" i="33" s="1"/>
  <c r="M15" i="33" s="1"/>
  <c r="N15" i="33" s="1"/>
  <c r="O15" i="33" s="1"/>
  <c r="P15" i="33" s="1"/>
  <c r="Q15" i="33" s="1"/>
  <c r="R15" i="33" s="1"/>
  <c r="F4" i="33"/>
  <c r="P168" i="32"/>
  <c r="K168" i="32"/>
  <c r="F168" i="32"/>
  <c r="P167" i="32"/>
  <c r="M167" i="32" s="1"/>
  <c r="K167" i="32"/>
  <c r="H167" i="32" s="1"/>
  <c r="F167" i="32"/>
  <c r="C167" i="32" s="1"/>
  <c r="P166" i="32"/>
  <c r="M166" i="32"/>
  <c r="K166" i="32"/>
  <c r="H166" i="32" s="1"/>
  <c r="F166" i="32"/>
  <c r="C166" i="32"/>
  <c r="P165" i="32"/>
  <c r="M165" i="32" s="1"/>
  <c r="K165" i="32"/>
  <c r="H165" i="32"/>
  <c r="F165" i="32"/>
  <c r="C165" i="32" s="1"/>
  <c r="P164" i="32"/>
  <c r="M164" i="32" s="1"/>
  <c r="K164" i="32"/>
  <c r="H164" i="32" s="1"/>
  <c r="F164" i="32"/>
  <c r="C164" i="32" s="1"/>
  <c r="P163" i="32"/>
  <c r="M163" i="32" s="1"/>
  <c r="K163" i="32"/>
  <c r="H163" i="32" s="1"/>
  <c r="F163" i="32"/>
  <c r="C163" i="32" s="1"/>
  <c r="P162" i="32"/>
  <c r="M162" i="32" s="1"/>
  <c r="K162" i="32"/>
  <c r="H162" i="32" s="1"/>
  <c r="F162" i="32"/>
  <c r="C162" i="32" s="1"/>
  <c r="P161" i="32"/>
  <c r="M161" i="32" s="1"/>
  <c r="K161" i="32"/>
  <c r="H161" i="32" s="1"/>
  <c r="F161" i="32"/>
  <c r="C161" i="32" s="1"/>
  <c r="P160" i="32"/>
  <c r="M160" i="32"/>
  <c r="K160" i="32"/>
  <c r="H160" i="32" s="1"/>
  <c r="F160" i="32"/>
  <c r="C160" i="32" s="1"/>
  <c r="P159" i="32"/>
  <c r="M159" i="32" s="1"/>
  <c r="K159" i="32"/>
  <c r="H159" i="32" s="1"/>
  <c r="F159" i="32"/>
  <c r="C159" i="32" s="1"/>
  <c r="P158" i="32"/>
  <c r="M158" i="32" s="1"/>
  <c r="K158" i="32"/>
  <c r="H158" i="32" s="1"/>
  <c r="F158" i="32"/>
  <c r="C158" i="32"/>
  <c r="P157" i="32"/>
  <c r="M157" i="32" s="1"/>
  <c r="K157" i="32"/>
  <c r="H157" i="32" s="1"/>
  <c r="F157" i="32"/>
  <c r="C157" i="32" s="1"/>
  <c r="P156" i="32"/>
  <c r="M156" i="32" s="1"/>
  <c r="K156" i="32"/>
  <c r="H156" i="32" s="1"/>
  <c r="F156" i="32"/>
  <c r="C156" i="32"/>
  <c r="P155" i="32"/>
  <c r="M155" i="32" s="1"/>
  <c r="K155" i="32"/>
  <c r="H155" i="32"/>
  <c r="F155" i="32"/>
  <c r="C155" i="32" s="1"/>
  <c r="P154" i="32"/>
  <c r="M154" i="32"/>
  <c r="K154" i="32"/>
  <c r="H154" i="32" s="1"/>
  <c r="F154" i="32"/>
  <c r="C154" i="32" s="1"/>
  <c r="P153" i="32"/>
  <c r="M153" i="32" s="1"/>
  <c r="K153" i="32"/>
  <c r="H153" i="32" s="1"/>
  <c r="F153" i="32"/>
  <c r="C153" i="32" s="1"/>
  <c r="P152" i="32"/>
  <c r="M152" i="32"/>
  <c r="K152" i="32"/>
  <c r="H152" i="32" s="1"/>
  <c r="F152" i="32"/>
  <c r="C152" i="32"/>
  <c r="P151" i="32"/>
  <c r="M151" i="32" s="1"/>
  <c r="K151" i="32"/>
  <c r="H151" i="32"/>
  <c r="F151" i="32"/>
  <c r="C151" i="32" s="1"/>
  <c r="P150" i="32"/>
  <c r="M150" i="32"/>
  <c r="K150" i="32"/>
  <c r="H150" i="32" s="1"/>
  <c r="F150" i="32"/>
  <c r="C150" i="32"/>
  <c r="P149" i="32"/>
  <c r="M149" i="32" s="1"/>
  <c r="K149" i="32"/>
  <c r="H149" i="32" s="1"/>
  <c r="F149" i="32"/>
  <c r="C149" i="32" s="1"/>
  <c r="P148" i="32"/>
  <c r="M148" i="32" s="1"/>
  <c r="K148" i="32"/>
  <c r="H148" i="32" s="1"/>
  <c r="F148" i="32"/>
  <c r="C148" i="32" s="1"/>
  <c r="P147" i="32"/>
  <c r="M147" i="32" s="1"/>
  <c r="K147" i="32"/>
  <c r="H147" i="32"/>
  <c r="F147" i="32"/>
  <c r="C147" i="32" s="1"/>
  <c r="P146" i="32"/>
  <c r="M146" i="32" s="1"/>
  <c r="K146" i="32"/>
  <c r="H146" i="32" s="1"/>
  <c r="F146" i="32"/>
  <c r="C146" i="32"/>
  <c r="P145" i="32"/>
  <c r="M145" i="32" s="1"/>
  <c r="K145" i="32"/>
  <c r="H145" i="32"/>
  <c r="F145" i="32"/>
  <c r="C145" i="32" s="1"/>
  <c r="P144" i="32"/>
  <c r="M144" i="32"/>
  <c r="K144" i="32"/>
  <c r="H144" i="32" s="1"/>
  <c r="F144" i="32"/>
  <c r="C144" i="32"/>
  <c r="P143" i="32"/>
  <c r="M143" i="32" s="1"/>
  <c r="K143" i="32"/>
  <c r="H143" i="32" s="1"/>
  <c r="F143" i="32"/>
  <c r="C143" i="32" s="1"/>
  <c r="P142" i="32"/>
  <c r="M142" i="32" s="1"/>
  <c r="K142" i="32"/>
  <c r="H142" i="32" s="1"/>
  <c r="F142" i="32"/>
  <c r="C142" i="32"/>
  <c r="P141" i="32"/>
  <c r="M141" i="32" s="1"/>
  <c r="K141" i="32"/>
  <c r="H141" i="32"/>
  <c r="F141" i="32"/>
  <c r="C141" i="32" s="1"/>
  <c r="P140" i="32"/>
  <c r="M140" i="32" s="1"/>
  <c r="K140" i="32"/>
  <c r="H140" i="32" s="1"/>
  <c r="F140" i="32"/>
  <c r="C140" i="32" s="1"/>
  <c r="P139" i="32"/>
  <c r="M139" i="32" s="1"/>
  <c r="K139" i="32"/>
  <c r="H139" i="32" s="1"/>
  <c r="F139" i="32"/>
  <c r="C139" i="32" s="1"/>
  <c r="P138" i="32"/>
  <c r="M138" i="32"/>
  <c r="K138" i="32"/>
  <c r="H138" i="32" s="1"/>
  <c r="F138" i="32"/>
  <c r="C138" i="32"/>
  <c r="P137" i="32"/>
  <c r="M137" i="32" s="1"/>
  <c r="K137" i="32"/>
  <c r="H137" i="32" s="1"/>
  <c r="F137" i="32"/>
  <c r="C137" i="32" s="1"/>
  <c r="P136" i="32"/>
  <c r="M136" i="32" s="1"/>
  <c r="K136" i="32"/>
  <c r="H136" i="32" s="1"/>
  <c r="F136" i="32"/>
  <c r="C136" i="32" s="1"/>
  <c r="P135" i="32"/>
  <c r="M135" i="32" s="1"/>
  <c r="K135" i="32"/>
  <c r="H135" i="32"/>
  <c r="F135" i="32"/>
  <c r="C135" i="32" s="1"/>
  <c r="P134" i="32"/>
  <c r="M134" i="32"/>
  <c r="K134" i="32"/>
  <c r="H134" i="32" s="1"/>
  <c r="F134" i="32"/>
  <c r="C134" i="32"/>
  <c r="P133" i="32"/>
  <c r="M133" i="32" s="1"/>
  <c r="K133" i="32"/>
  <c r="H133" i="32"/>
  <c r="F133" i="32"/>
  <c r="C133" i="32"/>
  <c r="P132" i="32"/>
  <c r="M132" i="32" s="1"/>
  <c r="K132" i="32"/>
  <c r="H132" i="32" s="1"/>
  <c r="F132" i="32"/>
  <c r="C132" i="32" s="1"/>
  <c r="P131" i="32"/>
  <c r="M131" i="32" s="1"/>
  <c r="K131" i="32"/>
  <c r="H131" i="32" s="1"/>
  <c r="F131" i="32"/>
  <c r="C131" i="32" s="1"/>
  <c r="P130" i="32"/>
  <c r="M130" i="32" s="1"/>
  <c r="K130" i="32"/>
  <c r="H130" i="32" s="1"/>
  <c r="F130" i="32"/>
  <c r="C130" i="32" s="1"/>
  <c r="P129" i="32"/>
  <c r="M129" i="32" s="1"/>
  <c r="K129" i="32"/>
  <c r="H129" i="32"/>
  <c r="F129" i="32"/>
  <c r="C129" i="32" s="1"/>
  <c r="P128" i="32"/>
  <c r="M128" i="32" s="1"/>
  <c r="K128" i="32"/>
  <c r="H128" i="32" s="1"/>
  <c r="F128" i="32"/>
  <c r="C128" i="32" s="1"/>
  <c r="P127" i="32"/>
  <c r="M127" i="32"/>
  <c r="K127" i="32"/>
  <c r="H127" i="32"/>
  <c r="F127" i="32"/>
  <c r="C127" i="32" s="1"/>
  <c r="P126" i="32"/>
  <c r="M126" i="32" s="1"/>
  <c r="K126" i="32"/>
  <c r="H126" i="32" s="1"/>
  <c r="F126" i="32"/>
  <c r="C126" i="32"/>
  <c r="P125" i="32"/>
  <c r="M125" i="32" s="1"/>
  <c r="K125" i="32"/>
  <c r="H125" i="32"/>
  <c r="F125" i="32"/>
  <c r="C125" i="32" s="1"/>
  <c r="P124" i="32"/>
  <c r="M124" i="32" s="1"/>
  <c r="K124" i="32"/>
  <c r="H124" i="32" s="1"/>
  <c r="F124" i="32"/>
  <c r="C124" i="32" s="1"/>
  <c r="P123" i="32"/>
  <c r="M123" i="32" s="1"/>
  <c r="K123" i="32"/>
  <c r="H123" i="32" s="1"/>
  <c r="F123" i="32"/>
  <c r="C123" i="32" s="1"/>
  <c r="P122" i="32"/>
  <c r="M122" i="32"/>
  <c r="K122" i="32"/>
  <c r="H122" i="32" s="1"/>
  <c r="F122" i="32"/>
  <c r="C122" i="32" s="1"/>
  <c r="P121" i="32"/>
  <c r="M121" i="32" s="1"/>
  <c r="K121" i="32"/>
  <c r="H121" i="32" s="1"/>
  <c r="F121" i="32"/>
  <c r="C121" i="32" s="1"/>
  <c r="P120" i="32"/>
  <c r="M120" i="32"/>
  <c r="K120" i="32"/>
  <c r="H120" i="32" s="1"/>
  <c r="F120" i="32"/>
  <c r="C120" i="32" s="1"/>
  <c r="P119" i="32"/>
  <c r="M119" i="32"/>
  <c r="K119" i="32"/>
  <c r="H119" i="32" s="1"/>
  <c r="F119" i="32"/>
  <c r="C119" i="32" s="1"/>
  <c r="P118" i="32"/>
  <c r="M118" i="32"/>
  <c r="K118" i="32"/>
  <c r="H118" i="32" s="1"/>
  <c r="F118" i="32"/>
  <c r="C118" i="32"/>
  <c r="P117" i="32"/>
  <c r="M117" i="32" s="1"/>
  <c r="K117" i="32"/>
  <c r="H117" i="32"/>
  <c r="F117" i="32"/>
  <c r="C117" i="32"/>
  <c r="P116" i="32"/>
  <c r="M116" i="32" s="1"/>
  <c r="K116" i="32"/>
  <c r="H116" i="32" s="1"/>
  <c r="F116" i="32"/>
  <c r="C116" i="32" s="1"/>
  <c r="P115" i="32"/>
  <c r="M115" i="32" s="1"/>
  <c r="K115" i="32"/>
  <c r="H115" i="32"/>
  <c r="F115" i="32"/>
  <c r="C115" i="32" s="1"/>
  <c r="P114" i="32"/>
  <c r="M114" i="32"/>
  <c r="K114" i="32"/>
  <c r="H114" i="32" s="1"/>
  <c r="F114" i="32"/>
  <c r="C114" i="32"/>
  <c r="P113" i="32"/>
  <c r="M113" i="32" s="1"/>
  <c r="K113" i="32"/>
  <c r="H113" i="32"/>
  <c r="F113" i="32"/>
  <c r="C113" i="32" s="1"/>
  <c r="P112" i="32"/>
  <c r="M112" i="32" s="1"/>
  <c r="K112" i="32"/>
  <c r="H112" i="32" s="1"/>
  <c r="F112" i="32"/>
  <c r="C112" i="32" s="1"/>
  <c r="P111" i="32"/>
  <c r="M111" i="32" s="1"/>
  <c r="K111" i="32"/>
  <c r="H111" i="32"/>
  <c r="F111" i="32"/>
  <c r="C111" i="32" s="1"/>
  <c r="P110" i="32"/>
  <c r="M110" i="32"/>
  <c r="K110" i="32"/>
  <c r="H110" i="32" s="1"/>
  <c r="F110" i="32"/>
  <c r="C110" i="32" s="1"/>
  <c r="P109" i="32"/>
  <c r="M109" i="32" s="1"/>
  <c r="K109" i="32"/>
  <c r="H109" i="32" s="1"/>
  <c r="F109" i="32"/>
  <c r="C109" i="32" s="1"/>
  <c r="P108" i="32"/>
  <c r="M108" i="32" s="1"/>
  <c r="K108" i="32"/>
  <c r="H108" i="32" s="1"/>
  <c r="F108" i="32"/>
  <c r="C108" i="32" s="1"/>
  <c r="P107" i="32"/>
  <c r="M107" i="32" s="1"/>
  <c r="K107" i="32"/>
  <c r="H107" i="32" s="1"/>
  <c r="F107" i="32"/>
  <c r="C107" i="32" s="1"/>
  <c r="P106" i="32"/>
  <c r="M106" i="32"/>
  <c r="K106" i="32"/>
  <c r="H106" i="32" s="1"/>
  <c r="F106" i="32"/>
  <c r="C106" i="32" s="1"/>
  <c r="P105" i="32"/>
  <c r="M105" i="32" s="1"/>
  <c r="K105" i="32"/>
  <c r="H105" i="32" s="1"/>
  <c r="F105" i="32"/>
  <c r="C105" i="32" s="1"/>
  <c r="P104" i="32"/>
  <c r="M104" i="32"/>
  <c r="K104" i="32"/>
  <c r="H104" i="32" s="1"/>
  <c r="F104" i="32"/>
  <c r="C104" i="32"/>
  <c r="P103" i="32"/>
  <c r="M103" i="32" s="1"/>
  <c r="K103" i="32"/>
  <c r="H103" i="32"/>
  <c r="F103" i="32"/>
  <c r="C103" i="32" s="1"/>
  <c r="P102" i="32"/>
  <c r="M102" i="32"/>
  <c r="K102" i="32"/>
  <c r="H102" i="32" s="1"/>
  <c r="F102" i="32"/>
  <c r="C102" i="32"/>
  <c r="P101" i="32"/>
  <c r="M101" i="32" s="1"/>
  <c r="K101" i="32"/>
  <c r="H101" i="32" s="1"/>
  <c r="F101" i="32"/>
  <c r="C101" i="32"/>
  <c r="P100" i="32"/>
  <c r="M100" i="32" s="1"/>
  <c r="K100" i="32"/>
  <c r="H100" i="32" s="1"/>
  <c r="F100" i="32"/>
  <c r="C100" i="32"/>
  <c r="P99" i="32"/>
  <c r="M99" i="32" s="1"/>
  <c r="K99" i="32"/>
  <c r="H99" i="32"/>
  <c r="F99" i="32"/>
  <c r="C99" i="32" s="1"/>
  <c r="P98" i="32"/>
  <c r="M98" i="32"/>
  <c r="K98" i="32"/>
  <c r="H98" i="32" s="1"/>
  <c r="F98" i="32"/>
  <c r="C98" i="32"/>
  <c r="P97" i="32"/>
  <c r="M97" i="32" s="1"/>
  <c r="K97" i="32"/>
  <c r="H97" i="32" s="1"/>
  <c r="F97" i="32"/>
  <c r="C97" i="32" s="1"/>
  <c r="P96" i="32"/>
  <c r="M96" i="32" s="1"/>
  <c r="K96" i="32"/>
  <c r="H96" i="32" s="1"/>
  <c r="F96" i="32"/>
  <c r="C96" i="32" s="1"/>
  <c r="P95" i="32"/>
  <c r="M95" i="32" s="1"/>
  <c r="K95" i="32"/>
  <c r="H95" i="32"/>
  <c r="F95" i="32"/>
  <c r="C95" i="32" s="1"/>
  <c r="P94" i="32"/>
  <c r="M94" i="32" s="1"/>
  <c r="K94" i="32"/>
  <c r="H94" i="32" s="1"/>
  <c r="F94" i="32"/>
  <c r="C94" i="32" s="1"/>
  <c r="P93" i="32"/>
  <c r="M93" i="32" s="1"/>
  <c r="K93" i="32"/>
  <c r="H93" i="32" s="1"/>
  <c r="F93" i="32"/>
  <c r="C93" i="32" s="1"/>
  <c r="P92" i="32"/>
  <c r="M92" i="32"/>
  <c r="K92" i="32"/>
  <c r="H92" i="32" s="1"/>
  <c r="F92" i="32"/>
  <c r="C92" i="32" s="1"/>
  <c r="P91" i="32"/>
  <c r="M91" i="32" s="1"/>
  <c r="K91" i="32"/>
  <c r="H91" i="32"/>
  <c r="F91" i="32"/>
  <c r="C91" i="32" s="1"/>
  <c r="P90" i="32"/>
  <c r="M90" i="32"/>
  <c r="K90" i="32"/>
  <c r="H90" i="32" s="1"/>
  <c r="F90" i="32"/>
  <c r="C90" i="32" s="1"/>
  <c r="P89" i="32"/>
  <c r="M89" i="32" s="1"/>
  <c r="K89" i="32"/>
  <c r="H89" i="32" s="1"/>
  <c r="F89" i="32"/>
  <c r="C89" i="32" s="1"/>
  <c r="P88" i="32"/>
  <c r="M88" i="32"/>
  <c r="K88" i="32"/>
  <c r="H88" i="32" s="1"/>
  <c r="F88" i="32"/>
  <c r="C88" i="32"/>
  <c r="P87" i="32"/>
  <c r="M87" i="32" s="1"/>
  <c r="K87" i="32"/>
  <c r="H87" i="32"/>
  <c r="F87" i="32"/>
  <c r="C87" i="32" s="1"/>
  <c r="P86" i="32"/>
  <c r="M86" i="32"/>
  <c r="K86" i="32"/>
  <c r="H86" i="32" s="1"/>
  <c r="F86" i="32"/>
  <c r="C86" i="32"/>
  <c r="P85" i="32"/>
  <c r="M85" i="32" s="1"/>
  <c r="K85" i="32"/>
  <c r="H85" i="32" s="1"/>
  <c r="F85" i="32"/>
  <c r="C85" i="32"/>
  <c r="P84" i="32"/>
  <c r="M84" i="32"/>
  <c r="K84" i="32"/>
  <c r="H84" i="32" s="1"/>
  <c r="F84" i="32"/>
  <c r="C84" i="32"/>
  <c r="P83" i="32"/>
  <c r="M83" i="32" s="1"/>
  <c r="K83" i="32"/>
  <c r="H83" i="32"/>
  <c r="F83" i="32"/>
  <c r="C83" i="32" s="1"/>
  <c r="P82" i="32"/>
  <c r="M82" i="32"/>
  <c r="K82" i="32"/>
  <c r="H82" i="32" s="1"/>
  <c r="F82" i="32"/>
  <c r="C82" i="32" s="1"/>
  <c r="P81" i="32"/>
  <c r="M81" i="32" s="1"/>
  <c r="K81" i="32"/>
  <c r="H81" i="32" s="1"/>
  <c r="F81" i="32"/>
  <c r="C81" i="32" s="1"/>
  <c r="P80" i="32"/>
  <c r="M80" i="32" s="1"/>
  <c r="K80" i="32"/>
  <c r="H80" i="32" s="1"/>
  <c r="F80" i="32"/>
  <c r="C80" i="32"/>
  <c r="P79" i="32"/>
  <c r="M79" i="32" s="1"/>
  <c r="K79" i="32"/>
  <c r="H79" i="32" s="1"/>
  <c r="F79" i="32"/>
  <c r="C79" i="32" s="1"/>
  <c r="P78" i="32"/>
  <c r="M78" i="32" s="1"/>
  <c r="K78" i="32"/>
  <c r="H78" i="32" s="1"/>
  <c r="F78" i="32"/>
  <c r="C78" i="32" s="1"/>
  <c r="P77" i="32"/>
  <c r="M77" i="32" s="1"/>
  <c r="K77" i="32"/>
  <c r="H77" i="32" s="1"/>
  <c r="F77" i="32"/>
  <c r="C77" i="32" s="1"/>
  <c r="P76" i="32"/>
  <c r="M76" i="32"/>
  <c r="K76" i="32"/>
  <c r="H76" i="32" s="1"/>
  <c r="F76" i="32"/>
  <c r="C76" i="32"/>
  <c r="P75" i="32"/>
  <c r="M75" i="32" s="1"/>
  <c r="K75" i="32"/>
  <c r="H75" i="32"/>
  <c r="F75" i="32"/>
  <c r="C75" i="32" s="1"/>
  <c r="P74" i="32"/>
  <c r="M74" i="32"/>
  <c r="K74" i="32"/>
  <c r="H74" i="32"/>
  <c r="F74" i="32"/>
  <c r="C74" i="32" s="1"/>
  <c r="P73" i="32"/>
  <c r="M73" i="32" s="1"/>
  <c r="K73" i="32"/>
  <c r="H73" i="32"/>
  <c r="F73" i="32"/>
  <c r="C73" i="32" s="1"/>
  <c r="P72" i="32"/>
  <c r="M72" i="32"/>
  <c r="K72" i="32"/>
  <c r="H72" i="32" s="1"/>
  <c r="F72" i="32"/>
  <c r="C72" i="32"/>
  <c r="P71" i="32"/>
  <c r="M71" i="32" s="1"/>
  <c r="K71" i="32"/>
  <c r="H71" i="32"/>
  <c r="F71" i="32"/>
  <c r="C71" i="32" s="1"/>
  <c r="P70" i="32"/>
  <c r="M70" i="32"/>
  <c r="K70" i="32"/>
  <c r="H70" i="32" s="1"/>
  <c r="F70" i="32"/>
  <c r="C70" i="32" s="1"/>
  <c r="P69" i="32"/>
  <c r="M69" i="32" s="1"/>
  <c r="K69" i="32"/>
  <c r="H69" i="32" s="1"/>
  <c r="F69" i="32"/>
  <c r="C69" i="32"/>
  <c r="P68" i="32"/>
  <c r="M68" i="32"/>
  <c r="K68" i="32"/>
  <c r="H68" i="32" s="1"/>
  <c r="F68" i="32"/>
  <c r="C68" i="32"/>
  <c r="P67" i="32"/>
  <c r="M67" i="32" s="1"/>
  <c r="K67" i="32"/>
  <c r="H67" i="32"/>
  <c r="F67" i="32"/>
  <c r="C67" i="32" s="1"/>
  <c r="P66" i="32"/>
  <c r="M66" i="32" s="1"/>
  <c r="K66" i="32"/>
  <c r="H66" i="32" s="1"/>
  <c r="F66" i="32"/>
  <c r="C66" i="32" s="1"/>
  <c r="P65" i="32"/>
  <c r="M65" i="32" s="1"/>
  <c r="K65" i="32"/>
  <c r="H65" i="32" s="1"/>
  <c r="F65" i="32"/>
  <c r="C65" i="32" s="1"/>
  <c r="P64" i="32"/>
  <c r="M64" i="32"/>
  <c r="K64" i="32"/>
  <c r="H64" i="32" s="1"/>
  <c r="F64" i="32"/>
  <c r="C64" i="32"/>
  <c r="P63" i="32"/>
  <c r="M63" i="32" s="1"/>
  <c r="K63" i="32"/>
  <c r="H63" i="32" s="1"/>
  <c r="F63" i="32"/>
  <c r="C63" i="32" s="1"/>
  <c r="P62" i="32"/>
  <c r="M62" i="32" s="1"/>
  <c r="K62" i="32"/>
  <c r="H62" i="32" s="1"/>
  <c r="F62" i="32"/>
  <c r="C62" i="32" s="1"/>
  <c r="P61" i="32"/>
  <c r="M61" i="32" s="1"/>
  <c r="K61" i="32"/>
  <c r="H61" i="32"/>
  <c r="F61" i="32"/>
  <c r="C61" i="32" s="1"/>
  <c r="P60" i="32"/>
  <c r="M60" i="32"/>
  <c r="K60" i="32"/>
  <c r="H60" i="32" s="1"/>
  <c r="F60" i="32"/>
  <c r="C60" i="32"/>
  <c r="P59" i="32"/>
  <c r="M59" i="32" s="1"/>
  <c r="K59" i="32"/>
  <c r="H59" i="32"/>
  <c r="F59" i="32"/>
  <c r="C59" i="32" s="1"/>
  <c r="P58" i="32"/>
  <c r="M58" i="32" s="1"/>
  <c r="K58" i="32"/>
  <c r="H58" i="32"/>
  <c r="F58" i="32"/>
  <c r="C58" i="32"/>
  <c r="P57" i="32"/>
  <c r="M57" i="32" s="1"/>
  <c r="K57" i="32"/>
  <c r="H57" i="32" s="1"/>
  <c r="F57" i="32"/>
  <c r="C57" i="32" s="1"/>
  <c r="P56" i="32"/>
  <c r="M56" i="32"/>
  <c r="K56" i="32"/>
  <c r="H56" i="32" s="1"/>
  <c r="F56" i="32"/>
  <c r="C56" i="32"/>
  <c r="P55" i="32"/>
  <c r="M55" i="32" s="1"/>
  <c r="K55" i="32"/>
  <c r="H55" i="32"/>
  <c r="F55" i="32"/>
  <c r="C55" i="32" s="1"/>
  <c r="P54" i="32"/>
  <c r="M54" i="32" s="1"/>
  <c r="K54" i="32"/>
  <c r="H54" i="32" s="1"/>
  <c r="F54" i="32"/>
  <c r="C54" i="32" s="1"/>
  <c r="P53" i="32"/>
  <c r="M53" i="32" s="1"/>
  <c r="K53" i="32"/>
  <c r="H53" i="32" s="1"/>
  <c r="F53" i="32"/>
  <c r="C53" i="32" s="1"/>
  <c r="P52" i="32"/>
  <c r="M52" i="32"/>
  <c r="K52" i="32"/>
  <c r="H52" i="32" s="1"/>
  <c r="F52" i="32"/>
  <c r="C52" i="32" s="1"/>
  <c r="P51" i="32"/>
  <c r="M51" i="32" s="1"/>
  <c r="K51" i="32"/>
  <c r="H51" i="32" s="1"/>
  <c r="F51" i="32"/>
  <c r="C51" i="32" s="1"/>
  <c r="P50" i="32"/>
  <c r="M50" i="32" s="1"/>
  <c r="K50" i="32"/>
  <c r="H50" i="32" s="1"/>
  <c r="F50" i="32"/>
  <c r="C50" i="32" s="1"/>
  <c r="P49" i="32"/>
  <c r="M49" i="32" s="1"/>
  <c r="K49" i="32"/>
  <c r="H49" i="32"/>
  <c r="F49" i="32"/>
  <c r="C49" i="32" s="1"/>
  <c r="P48" i="32"/>
  <c r="M48" i="32"/>
  <c r="K48" i="32"/>
  <c r="H48" i="32" s="1"/>
  <c r="F48" i="32"/>
  <c r="C48" i="32"/>
  <c r="P47" i="32"/>
  <c r="M47" i="32"/>
  <c r="K47" i="32"/>
  <c r="H47" i="32" s="1"/>
  <c r="F47" i="32"/>
  <c r="C47" i="32" s="1"/>
  <c r="P46" i="32"/>
  <c r="M46" i="32" s="1"/>
  <c r="K46" i="32"/>
  <c r="H46" i="32" s="1"/>
  <c r="F46" i="32"/>
  <c r="C46" i="32"/>
  <c r="P45" i="32"/>
  <c r="M45" i="32" s="1"/>
  <c r="K45" i="32"/>
  <c r="H45" i="32"/>
  <c r="F45" i="32"/>
  <c r="C45" i="32" s="1"/>
  <c r="P44" i="32"/>
  <c r="M44" i="32"/>
  <c r="K44" i="32"/>
  <c r="H44" i="32" s="1"/>
  <c r="F44" i="32"/>
  <c r="C44" i="32"/>
  <c r="P43" i="32"/>
  <c r="M43" i="32" s="1"/>
  <c r="K43" i="32"/>
  <c r="H43" i="32" s="1"/>
  <c r="F43" i="32"/>
  <c r="C43" i="32" s="1"/>
  <c r="P42" i="32"/>
  <c r="M42" i="32" s="1"/>
  <c r="K42" i="32"/>
  <c r="H42" i="32"/>
  <c r="F42" i="32"/>
  <c r="C42" i="32" s="1"/>
  <c r="P41" i="32"/>
  <c r="M41" i="32" s="1"/>
  <c r="K41" i="32"/>
  <c r="H41" i="32"/>
  <c r="F41" i="32"/>
  <c r="C41" i="32" s="1"/>
  <c r="P40" i="32"/>
  <c r="M40" i="32"/>
  <c r="K40" i="32"/>
  <c r="H40" i="32" s="1"/>
  <c r="F40" i="32"/>
  <c r="C40" i="32" s="1"/>
  <c r="P39" i="32"/>
  <c r="M39" i="32" s="1"/>
  <c r="K39" i="32"/>
  <c r="H39" i="32" s="1"/>
  <c r="F39" i="32"/>
  <c r="C39" i="32" s="1"/>
  <c r="P38" i="32"/>
  <c r="M38" i="32" s="1"/>
  <c r="K38" i="32"/>
  <c r="H38" i="32" s="1"/>
  <c r="F38" i="32"/>
  <c r="C38" i="32" s="1"/>
  <c r="P37" i="32"/>
  <c r="M37" i="32" s="1"/>
  <c r="K37" i="32"/>
  <c r="H37" i="32"/>
  <c r="F37" i="32"/>
  <c r="C37" i="32" s="1"/>
  <c r="P36" i="32"/>
  <c r="M36" i="32" s="1"/>
  <c r="K36" i="32"/>
  <c r="H36" i="32" s="1"/>
  <c r="F36" i="32"/>
  <c r="C36" i="32" s="1"/>
  <c r="P35" i="32"/>
  <c r="M35" i="32" s="1"/>
  <c r="K35" i="32"/>
  <c r="H35" i="32" s="1"/>
  <c r="F35" i="32"/>
  <c r="C35" i="32" s="1"/>
  <c r="P34" i="32"/>
  <c r="M34" i="32" s="1"/>
  <c r="K34" i="32"/>
  <c r="H34" i="32" s="1"/>
  <c r="F34" i="32"/>
  <c r="C34" i="32"/>
  <c r="P33" i="32"/>
  <c r="M33" i="32" s="1"/>
  <c r="K33" i="32"/>
  <c r="H33" i="32"/>
  <c r="F33" i="32"/>
  <c r="C33" i="32" s="1"/>
  <c r="P32" i="32"/>
  <c r="M32" i="32" s="1"/>
  <c r="K32" i="32"/>
  <c r="H32" i="32"/>
  <c r="F32" i="32"/>
  <c r="C32" i="32" s="1"/>
  <c r="P31" i="32"/>
  <c r="M31" i="32" s="1"/>
  <c r="K31" i="32"/>
  <c r="H31" i="32" s="1"/>
  <c r="F31" i="32"/>
  <c r="C31" i="32" s="1"/>
  <c r="P30" i="32"/>
  <c r="M30" i="32"/>
  <c r="K30" i="32"/>
  <c r="H30" i="32"/>
  <c r="F30" i="32"/>
  <c r="C30" i="32" s="1"/>
  <c r="P29" i="32"/>
  <c r="M29" i="32"/>
  <c r="K29" i="32"/>
  <c r="H29" i="32"/>
  <c r="F29" i="32"/>
  <c r="C29" i="32" s="1"/>
  <c r="P28" i="32"/>
  <c r="M28" i="32" s="1"/>
  <c r="K28" i="32"/>
  <c r="H28" i="32" s="1"/>
  <c r="F28" i="32"/>
  <c r="C28" i="32" s="1"/>
  <c r="P27" i="32"/>
  <c r="M27" i="32"/>
  <c r="K27" i="32"/>
  <c r="H27" i="32" s="1"/>
  <c r="F27" i="32"/>
  <c r="C27" i="32" s="1"/>
  <c r="P26" i="32"/>
  <c r="M26" i="32"/>
  <c r="K26" i="32"/>
  <c r="H26" i="32"/>
  <c r="F26" i="32"/>
  <c r="C26" i="32" s="1"/>
  <c r="P25" i="32"/>
  <c r="M25" i="32"/>
  <c r="K25" i="32"/>
  <c r="H25" i="32" s="1"/>
  <c r="F25" i="32"/>
  <c r="C25" i="32" s="1"/>
  <c r="P24" i="32"/>
  <c r="M24" i="32" s="1"/>
  <c r="K24" i="32"/>
  <c r="H24" i="32" s="1"/>
  <c r="F24" i="32"/>
  <c r="C24" i="32" s="1"/>
  <c r="P23" i="32"/>
  <c r="M23" i="32"/>
  <c r="K23" i="32"/>
  <c r="H23" i="32" s="1"/>
  <c r="F23" i="32"/>
  <c r="C23" i="32"/>
  <c r="P22" i="32"/>
  <c r="M22" i="32"/>
  <c r="L22" i="32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L36" i="32" s="1"/>
  <c r="L37" i="32" s="1"/>
  <c r="L38" i="32" s="1"/>
  <c r="L39" i="32" s="1"/>
  <c r="L40" i="32" s="1"/>
  <c r="L41" i="32" s="1"/>
  <c r="L42" i="32" s="1"/>
  <c r="L43" i="32" s="1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54" i="32" s="1"/>
  <c r="L55" i="32" s="1"/>
  <c r="L56" i="32" s="1"/>
  <c r="L57" i="32" s="1"/>
  <c r="L58" i="32" s="1"/>
  <c r="L59" i="32" s="1"/>
  <c r="L60" i="32" s="1"/>
  <c r="L61" i="32" s="1"/>
  <c r="L62" i="32" s="1"/>
  <c r="L63" i="32" s="1"/>
  <c r="L64" i="32" s="1"/>
  <c r="L65" i="32" s="1"/>
  <c r="L66" i="32" s="1"/>
  <c r="L67" i="32" s="1"/>
  <c r="L68" i="32" s="1"/>
  <c r="L69" i="32" s="1"/>
  <c r="L70" i="32" s="1"/>
  <c r="L71" i="32" s="1"/>
  <c r="L72" i="32" s="1"/>
  <c r="L73" i="32" s="1"/>
  <c r="L74" i="32" s="1"/>
  <c r="L75" i="32" s="1"/>
  <c r="L76" i="32" s="1"/>
  <c r="L77" i="32" s="1"/>
  <c r="L78" i="32" s="1"/>
  <c r="L79" i="32" s="1"/>
  <c r="L80" i="32" s="1"/>
  <c r="L81" i="32" s="1"/>
  <c r="L82" i="32" s="1"/>
  <c r="L83" i="32" s="1"/>
  <c r="L84" i="32" s="1"/>
  <c r="L85" i="32" s="1"/>
  <c r="L86" i="32" s="1"/>
  <c r="L87" i="32" s="1"/>
  <c r="L88" i="32" s="1"/>
  <c r="L89" i="32" s="1"/>
  <c r="L90" i="32" s="1"/>
  <c r="L91" i="32" s="1"/>
  <c r="L92" i="32" s="1"/>
  <c r="L93" i="32" s="1"/>
  <c r="L94" i="32" s="1"/>
  <c r="L95" i="32" s="1"/>
  <c r="L96" i="32" s="1"/>
  <c r="L97" i="32" s="1"/>
  <c r="L98" i="32" s="1"/>
  <c r="L99" i="32" s="1"/>
  <c r="L100" i="32" s="1"/>
  <c r="L101" i="32" s="1"/>
  <c r="L102" i="32" s="1"/>
  <c r="L103" i="32" s="1"/>
  <c r="L104" i="32" s="1"/>
  <c r="L105" i="32" s="1"/>
  <c r="L106" i="32" s="1"/>
  <c r="L107" i="32" s="1"/>
  <c r="L108" i="32" s="1"/>
  <c r="L109" i="32" s="1"/>
  <c r="L110" i="32" s="1"/>
  <c r="L111" i="32" s="1"/>
  <c r="L112" i="32" s="1"/>
  <c r="L113" i="32" s="1"/>
  <c r="L114" i="32" s="1"/>
  <c r="L115" i="32" s="1"/>
  <c r="L116" i="32" s="1"/>
  <c r="L117" i="32" s="1"/>
  <c r="L118" i="32" s="1"/>
  <c r="L119" i="32" s="1"/>
  <c r="L120" i="32" s="1"/>
  <c r="L121" i="32" s="1"/>
  <c r="L122" i="32" s="1"/>
  <c r="L123" i="32" s="1"/>
  <c r="L124" i="32" s="1"/>
  <c r="L125" i="32" s="1"/>
  <c r="L126" i="32" s="1"/>
  <c r="L127" i="32" s="1"/>
  <c r="L128" i="32" s="1"/>
  <c r="L129" i="32" s="1"/>
  <c r="L130" i="32" s="1"/>
  <c r="L131" i="32" s="1"/>
  <c r="L132" i="32" s="1"/>
  <c r="L133" i="32" s="1"/>
  <c r="L134" i="32" s="1"/>
  <c r="L135" i="32" s="1"/>
  <c r="L136" i="32" s="1"/>
  <c r="L137" i="32" s="1"/>
  <c r="L138" i="32" s="1"/>
  <c r="L139" i="32" s="1"/>
  <c r="L140" i="32" s="1"/>
  <c r="L141" i="32" s="1"/>
  <c r="L142" i="32" s="1"/>
  <c r="L143" i="32" s="1"/>
  <c r="L144" i="32" s="1"/>
  <c r="L145" i="32" s="1"/>
  <c r="L146" i="32" s="1"/>
  <c r="L147" i="32" s="1"/>
  <c r="L148" i="32" s="1"/>
  <c r="L149" i="32" s="1"/>
  <c r="L150" i="32" s="1"/>
  <c r="L151" i="32" s="1"/>
  <c r="L152" i="32" s="1"/>
  <c r="L153" i="32" s="1"/>
  <c r="L154" i="32" s="1"/>
  <c r="L155" i="32" s="1"/>
  <c r="L156" i="32" s="1"/>
  <c r="L157" i="32" s="1"/>
  <c r="L158" i="32" s="1"/>
  <c r="L159" i="32" s="1"/>
  <c r="L160" i="32" s="1"/>
  <c r="L161" i="32" s="1"/>
  <c r="L162" i="32" s="1"/>
  <c r="L163" i="32" s="1"/>
  <c r="L164" i="32" s="1"/>
  <c r="L165" i="32" s="1"/>
  <c r="L166" i="32" s="1"/>
  <c r="L167" i="32" s="1"/>
  <c r="L168" i="32" s="1"/>
  <c r="K22" i="32"/>
  <c r="H22" i="32"/>
  <c r="G22" i="32"/>
  <c r="G23" i="32" s="1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G36" i="32" s="1"/>
  <c r="G37" i="32" s="1"/>
  <c r="G38" i="32" s="1"/>
  <c r="G39" i="32" s="1"/>
  <c r="G40" i="32" s="1"/>
  <c r="G41" i="32" s="1"/>
  <c r="G42" i="32" s="1"/>
  <c r="G43" i="32" s="1"/>
  <c r="G44" i="32" s="1"/>
  <c r="G45" i="32" s="1"/>
  <c r="G46" i="32" s="1"/>
  <c r="G47" i="32" s="1"/>
  <c r="G48" i="32" s="1"/>
  <c r="G49" i="32" s="1"/>
  <c r="G50" i="32" s="1"/>
  <c r="G51" i="32" s="1"/>
  <c r="G52" i="32" s="1"/>
  <c r="G53" i="32" s="1"/>
  <c r="G54" i="32" s="1"/>
  <c r="G55" i="32" s="1"/>
  <c r="G56" i="32" s="1"/>
  <c r="G57" i="32" s="1"/>
  <c r="G58" i="32" s="1"/>
  <c r="G59" i="32" s="1"/>
  <c r="G60" i="32" s="1"/>
  <c r="G61" i="32" s="1"/>
  <c r="G62" i="32" s="1"/>
  <c r="G63" i="32" s="1"/>
  <c r="G64" i="32" s="1"/>
  <c r="G65" i="32" s="1"/>
  <c r="G66" i="32" s="1"/>
  <c r="G67" i="32" s="1"/>
  <c r="G68" i="32" s="1"/>
  <c r="G69" i="32" s="1"/>
  <c r="G70" i="32" s="1"/>
  <c r="G71" i="32" s="1"/>
  <c r="G72" i="32" s="1"/>
  <c r="G73" i="32" s="1"/>
  <c r="G74" i="32" s="1"/>
  <c r="G75" i="32" s="1"/>
  <c r="G76" i="32" s="1"/>
  <c r="G77" i="32" s="1"/>
  <c r="G78" i="32" s="1"/>
  <c r="G79" i="32" s="1"/>
  <c r="G80" i="32" s="1"/>
  <c r="G81" i="32" s="1"/>
  <c r="G82" i="32" s="1"/>
  <c r="G83" i="32" s="1"/>
  <c r="G84" i="32" s="1"/>
  <c r="G85" i="32" s="1"/>
  <c r="G86" i="32" s="1"/>
  <c r="G87" i="32" s="1"/>
  <c r="G88" i="32" s="1"/>
  <c r="G89" i="32" s="1"/>
  <c r="G90" i="32" s="1"/>
  <c r="G91" i="32" s="1"/>
  <c r="G92" i="32" s="1"/>
  <c r="G93" i="32" s="1"/>
  <c r="G94" i="32" s="1"/>
  <c r="G95" i="32" s="1"/>
  <c r="G96" i="32" s="1"/>
  <c r="G97" i="32" s="1"/>
  <c r="G98" i="32" s="1"/>
  <c r="G99" i="32" s="1"/>
  <c r="G100" i="32" s="1"/>
  <c r="G101" i="32" s="1"/>
  <c r="G102" i="32" s="1"/>
  <c r="G103" i="32" s="1"/>
  <c r="G104" i="32" s="1"/>
  <c r="G105" i="32" s="1"/>
  <c r="G106" i="32" s="1"/>
  <c r="G107" i="32" s="1"/>
  <c r="G108" i="32" s="1"/>
  <c r="G109" i="32" s="1"/>
  <c r="G110" i="32" s="1"/>
  <c r="G111" i="32" s="1"/>
  <c r="G112" i="32" s="1"/>
  <c r="G113" i="32" s="1"/>
  <c r="G114" i="32" s="1"/>
  <c r="G115" i="32" s="1"/>
  <c r="G116" i="32" s="1"/>
  <c r="G117" i="32" s="1"/>
  <c r="G118" i="32" s="1"/>
  <c r="G119" i="32" s="1"/>
  <c r="G120" i="32" s="1"/>
  <c r="G121" i="32" s="1"/>
  <c r="G122" i="32" s="1"/>
  <c r="G123" i="32" s="1"/>
  <c r="G124" i="32" s="1"/>
  <c r="G125" i="32" s="1"/>
  <c r="G126" i="32" s="1"/>
  <c r="G127" i="32" s="1"/>
  <c r="G128" i="32" s="1"/>
  <c r="G129" i="32" s="1"/>
  <c r="G130" i="32" s="1"/>
  <c r="G131" i="32" s="1"/>
  <c r="G132" i="32" s="1"/>
  <c r="G133" i="32" s="1"/>
  <c r="G134" i="32" s="1"/>
  <c r="G135" i="32" s="1"/>
  <c r="G136" i="32" s="1"/>
  <c r="G137" i="32" s="1"/>
  <c r="G138" i="32" s="1"/>
  <c r="G139" i="32" s="1"/>
  <c r="G140" i="32" s="1"/>
  <c r="G141" i="32" s="1"/>
  <c r="G142" i="32" s="1"/>
  <c r="G143" i="32" s="1"/>
  <c r="G144" i="32" s="1"/>
  <c r="G145" i="32" s="1"/>
  <c r="G146" i="32" s="1"/>
  <c r="G147" i="32" s="1"/>
  <c r="G148" i="32" s="1"/>
  <c r="G149" i="32" s="1"/>
  <c r="G150" i="32" s="1"/>
  <c r="G151" i="32" s="1"/>
  <c r="G152" i="32" s="1"/>
  <c r="G153" i="32" s="1"/>
  <c r="G154" i="32" s="1"/>
  <c r="G155" i="32" s="1"/>
  <c r="G156" i="32" s="1"/>
  <c r="G157" i="32" s="1"/>
  <c r="G158" i="32" s="1"/>
  <c r="G159" i="32" s="1"/>
  <c r="G160" i="32" s="1"/>
  <c r="G161" i="32" s="1"/>
  <c r="G162" i="32" s="1"/>
  <c r="G163" i="32" s="1"/>
  <c r="G164" i="32" s="1"/>
  <c r="G165" i="32" s="1"/>
  <c r="G166" i="32" s="1"/>
  <c r="G167" i="32" s="1"/>
  <c r="G168" i="32" s="1"/>
  <c r="F22" i="32"/>
  <c r="C22" i="32" s="1"/>
  <c r="B22" i="32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20" i="32"/>
  <c r="C20" i="32" s="1"/>
  <c r="D20" i="32" s="1"/>
  <c r="E20" i="32" s="1"/>
  <c r="F20" i="32" s="1"/>
  <c r="G20" i="32" s="1"/>
  <c r="H20" i="32" s="1"/>
  <c r="I20" i="32" s="1"/>
  <c r="J20" i="32" s="1"/>
  <c r="K20" i="32" s="1"/>
  <c r="L20" i="32" s="1"/>
  <c r="M20" i="32" s="1"/>
  <c r="N20" i="32" s="1"/>
  <c r="O20" i="32" s="1"/>
  <c r="P20" i="32" s="1"/>
  <c r="Q20" i="32" s="1"/>
  <c r="R20" i="32" s="1"/>
  <c r="F9" i="32"/>
  <c r="A3" i="32"/>
  <c r="P168" i="31"/>
  <c r="K168" i="31"/>
  <c r="F168" i="31"/>
  <c r="P167" i="31"/>
  <c r="M167" i="31" s="1"/>
  <c r="K167" i="31"/>
  <c r="H167" i="31"/>
  <c r="F167" i="31"/>
  <c r="C167" i="31" s="1"/>
  <c r="P166" i="31"/>
  <c r="M166" i="31"/>
  <c r="K166" i="31"/>
  <c r="H166" i="31" s="1"/>
  <c r="F166" i="31"/>
  <c r="C166" i="31"/>
  <c r="P165" i="31"/>
  <c r="M165" i="31" s="1"/>
  <c r="K165" i="31"/>
  <c r="H165" i="31" s="1"/>
  <c r="F165" i="31"/>
  <c r="C165" i="31" s="1"/>
  <c r="P164" i="31"/>
  <c r="M164" i="31" s="1"/>
  <c r="K164" i="31"/>
  <c r="H164" i="31"/>
  <c r="F164" i="31"/>
  <c r="C164" i="31" s="1"/>
  <c r="P163" i="31"/>
  <c r="M163" i="31" s="1"/>
  <c r="K163" i="31"/>
  <c r="H163" i="31" s="1"/>
  <c r="F163" i="31"/>
  <c r="C163" i="31"/>
  <c r="P162" i="31"/>
  <c r="M162" i="31" s="1"/>
  <c r="K162" i="31"/>
  <c r="H162" i="31" s="1"/>
  <c r="F162" i="31"/>
  <c r="C162" i="31" s="1"/>
  <c r="P161" i="31"/>
  <c r="M161" i="31" s="1"/>
  <c r="K161" i="31"/>
  <c r="H161" i="31"/>
  <c r="F161" i="31"/>
  <c r="C161" i="31" s="1"/>
  <c r="P160" i="31"/>
  <c r="M160" i="31" s="1"/>
  <c r="K160" i="31"/>
  <c r="H160" i="31" s="1"/>
  <c r="F160" i="31"/>
  <c r="C160" i="31"/>
  <c r="P159" i="31"/>
  <c r="M159" i="31" s="1"/>
  <c r="K159" i="31"/>
  <c r="H159" i="31" s="1"/>
  <c r="F159" i="31"/>
  <c r="C159" i="31"/>
  <c r="P158" i="31"/>
  <c r="M158" i="31" s="1"/>
  <c r="K158" i="31"/>
  <c r="H158" i="31" s="1"/>
  <c r="F158" i="31"/>
  <c r="C158" i="31" s="1"/>
  <c r="P157" i="31"/>
  <c r="M157" i="31" s="1"/>
  <c r="K157" i="31"/>
  <c r="H157" i="31" s="1"/>
  <c r="F157" i="31"/>
  <c r="C157" i="31" s="1"/>
  <c r="P156" i="31"/>
  <c r="M156" i="31"/>
  <c r="K156" i="31"/>
  <c r="H156" i="31" s="1"/>
  <c r="F156" i="31"/>
  <c r="C156" i="31"/>
  <c r="P155" i="31"/>
  <c r="M155" i="31" s="1"/>
  <c r="K155" i="31"/>
  <c r="H155" i="31"/>
  <c r="F155" i="31"/>
  <c r="C155" i="31" s="1"/>
  <c r="P154" i="31"/>
  <c r="M154" i="31" s="1"/>
  <c r="K154" i="31"/>
  <c r="H154" i="31" s="1"/>
  <c r="F154" i="31"/>
  <c r="C154" i="31" s="1"/>
  <c r="P153" i="31"/>
  <c r="M153" i="31"/>
  <c r="K153" i="31"/>
  <c r="H153" i="31" s="1"/>
  <c r="F153" i="31"/>
  <c r="C153" i="31" s="1"/>
  <c r="P152" i="31"/>
  <c r="M152" i="31" s="1"/>
  <c r="K152" i="31"/>
  <c r="H152" i="31"/>
  <c r="F152" i="31"/>
  <c r="C152" i="31" s="1"/>
  <c r="P151" i="31"/>
  <c r="M151" i="31" s="1"/>
  <c r="K151" i="31"/>
  <c r="H151" i="31" s="1"/>
  <c r="F151" i="31"/>
  <c r="C151" i="31" s="1"/>
  <c r="P150" i="31"/>
  <c r="M150" i="31"/>
  <c r="K150" i="31"/>
  <c r="H150" i="31" s="1"/>
  <c r="F150" i="31"/>
  <c r="C150" i="31" s="1"/>
  <c r="P149" i="31"/>
  <c r="M149" i="31" s="1"/>
  <c r="K149" i="31"/>
  <c r="H149" i="31"/>
  <c r="F149" i="31"/>
  <c r="C149" i="31" s="1"/>
  <c r="P148" i="31"/>
  <c r="M148" i="31" s="1"/>
  <c r="K148" i="31"/>
  <c r="H148" i="31"/>
  <c r="F148" i="31"/>
  <c r="C148" i="31" s="1"/>
  <c r="P147" i="31"/>
  <c r="M147" i="31" s="1"/>
  <c r="K147" i="31"/>
  <c r="H147" i="31" s="1"/>
  <c r="F147" i="31"/>
  <c r="C147" i="31" s="1"/>
  <c r="P146" i="31"/>
  <c r="M146" i="31" s="1"/>
  <c r="K146" i="31"/>
  <c r="H146" i="31" s="1"/>
  <c r="F146" i="31"/>
  <c r="C146" i="31"/>
  <c r="P145" i="31"/>
  <c r="M145" i="31" s="1"/>
  <c r="K145" i="31"/>
  <c r="H145" i="31" s="1"/>
  <c r="F145" i="31"/>
  <c r="C145" i="31" s="1"/>
  <c r="P144" i="31"/>
  <c r="M144" i="31"/>
  <c r="K144" i="31"/>
  <c r="H144" i="31" s="1"/>
  <c r="F144" i="31"/>
  <c r="C144" i="31" s="1"/>
  <c r="P143" i="31"/>
  <c r="M143" i="31" s="1"/>
  <c r="K143" i="31"/>
  <c r="H143" i="31" s="1"/>
  <c r="F143" i="31"/>
  <c r="C143" i="31"/>
  <c r="P142" i="31"/>
  <c r="M142" i="31" s="1"/>
  <c r="K142" i="31"/>
  <c r="H142" i="31" s="1"/>
  <c r="F142" i="31"/>
  <c r="C142" i="31" s="1"/>
  <c r="P141" i="31"/>
  <c r="M141" i="31"/>
  <c r="K141" i="31"/>
  <c r="H141" i="31" s="1"/>
  <c r="F141" i="31"/>
  <c r="C141" i="31" s="1"/>
  <c r="P140" i="31"/>
  <c r="M140" i="31" s="1"/>
  <c r="K140" i="31"/>
  <c r="H140" i="31"/>
  <c r="F140" i="31"/>
  <c r="C140" i="31"/>
  <c r="P139" i="31"/>
  <c r="M139" i="31" s="1"/>
  <c r="K139" i="31"/>
  <c r="H139" i="31" s="1"/>
  <c r="F139" i="31"/>
  <c r="C139" i="31" s="1"/>
  <c r="P138" i="31"/>
  <c r="M138" i="31"/>
  <c r="K138" i="31"/>
  <c r="H138" i="31" s="1"/>
  <c r="F138" i="31"/>
  <c r="C138" i="31" s="1"/>
  <c r="P137" i="31"/>
  <c r="M137" i="31" s="1"/>
  <c r="K137" i="31"/>
  <c r="H137" i="31"/>
  <c r="F137" i="31"/>
  <c r="C137" i="31" s="1"/>
  <c r="P136" i="31"/>
  <c r="M136" i="31" s="1"/>
  <c r="K136" i="31"/>
  <c r="H136" i="31" s="1"/>
  <c r="F136" i="31"/>
  <c r="C136" i="31" s="1"/>
  <c r="P135" i="31"/>
  <c r="M135" i="31" s="1"/>
  <c r="K135" i="31"/>
  <c r="H135" i="31"/>
  <c r="F135" i="31"/>
  <c r="C135" i="31" s="1"/>
  <c r="P134" i="31"/>
  <c r="M134" i="31" s="1"/>
  <c r="K134" i="31"/>
  <c r="H134" i="31" s="1"/>
  <c r="F134" i="31"/>
  <c r="C134" i="31"/>
  <c r="P133" i="31"/>
  <c r="M133" i="31" s="1"/>
  <c r="K133" i="31"/>
  <c r="H133" i="31" s="1"/>
  <c r="F133" i="31"/>
  <c r="C133" i="31" s="1"/>
  <c r="P132" i="31"/>
  <c r="M132" i="31" s="1"/>
  <c r="K132" i="31"/>
  <c r="H132" i="31"/>
  <c r="F132" i="31"/>
  <c r="C132" i="31"/>
  <c r="P131" i="31"/>
  <c r="M131" i="31" s="1"/>
  <c r="K131" i="31"/>
  <c r="H131" i="31"/>
  <c r="F131" i="31"/>
  <c r="C131" i="31"/>
  <c r="P130" i="31"/>
  <c r="M130" i="31" s="1"/>
  <c r="K130" i="31"/>
  <c r="H130" i="31" s="1"/>
  <c r="F130" i="31"/>
  <c r="C130" i="31"/>
  <c r="P129" i="31"/>
  <c r="M129" i="31" s="1"/>
  <c r="K129" i="31"/>
  <c r="H129" i="31"/>
  <c r="F129" i="31"/>
  <c r="C129" i="31" s="1"/>
  <c r="P128" i="31"/>
  <c r="M128" i="31" s="1"/>
  <c r="K128" i="31"/>
  <c r="H128" i="31" s="1"/>
  <c r="F128" i="31"/>
  <c r="C128" i="31"/>
  <c r="P127" i="31"/>
  <c r="M127" i="31" s="1"/>
  <c r="K127" i="31"/>
  <c r="H127" i="31"/>
  <c r="F127" i="31"/>
  <c r="C127" i="31" s="1"/>
  <c r="P126" i="31"/>
  <c r="M126" i="31" s="1"/>
  <c r="K126" i="31"/>
  <c r="H126" i="31" s="1"/>
  <c r="F126" i="31"/>
  <c r="C126" i="31" s="1"/>
  <c r="P125" i="31"/>
  <c r="M125" i="31" s="1"/>
  <c r="K125" i="31"/>
  <c r="H125" i="31" s="1"/>
  <c r="F125" i="31"/>
  <c r="C125" i="31" s="1"/>
  <c r="P124" i="31"/>
  <c r="M124" i="31"/>
  <c r="K124" i="31"/>
  <c r="H124" i="31"/>
  <c r="F124" i="31"/>
  <c r="C124" i="31"/>
  <c r="P123" i="31"/>
  <c r="M123" i="31" s="1"/>
  <c r="K123" i="31"/>
  <c r="H123" i="31"/>
  <c r="F123" i="31"/>
  <c r="C123" i="31" s="1"/>
  <c r="P122" i="31"/>
  <c r="M122" i="31"/>
  <c r="K122" i="31"/>
  <c r="H122" i="31" s="1"/>
  <c r="F122" i="31"/>
  <c r="C122" i="31" s="1"/>
  <c r="P121" i="31"/>
  <c r="M121" i="31"/>
  <c r="K121" i="31"/>
  <c r="H121" i="31"/>
  <c r="F121" i="31"/>
  <c r="C121" i="31" s="1"/>
  <c r="P120" i="31"/>
  <c r="M120" i="31" s="1"/>
  <c r="K120" i="31"/>
  <c r="H120" i="31"/>
  <c r="F120" i="31"/>
  <c r="C120" i="31" s="1"/>
  <c r="P119" i="31"/>
  <c r="M119" i="31" s="1"/>
  <c r="K119" i="31"/>
  <c r="H119" i="31"/>
  <c r="F119" i="31"/>
  <c r="C119" i="31" s="1"/>
  <c r="P118" i="31"/>
  <c r="M118" i="31"/>
  <c r="K118" i="31"/>
  <c r="H118" i="31" s="1"/>
  <c r="F118" i="31"/>
  <c r="C118" i="31" s="1"/>
  <c r="P117" i="31"/>
  <c r="M117" i="31" s="1"/>
  <c r="K117" i="31"/>
  <c r="H117" i="31"/>
  <c r="F117" i="31"/>
  <c r="C117" i="31" s="1"/>
  <c r="P116" i="31"/>
  <c r="M116" i="31" s="1"/>
  <c r="K116" i="31"/>
  <c r="H116" i="31"/>
  <c r="F116" i="31"/>
  <c r="C116" i="31" s="1"/>
  <c r="P115" i="31"/>
  <c r="M115" i="31" s="1"/>
  <c r="K115" i="31"/>
  <c r="H115" i="31" s="1"/>
  <c r="F115" i="31"/>
  <c r="C115" i="31"/>
  <c r="P114" i="31"/>
  <c r="M114" i="31" s="1"/>
  <c r="K114" i="31"/>
  <c r="H114" i="31" s="1"/>
  <c r="F114" i="31"/>
  <c r="C114" i="31"/>
  <c r="P113" i="31"/>
  <c r="M113" i="31" s="1"/>
  <c r="K113" i="31"/>
  <c r="H113" i="31"/>
  <c r="F113" i="31"/>
  <c r="C113" i="31" s="1"/>
  <c r="P112" i="31"/>
  <c r="M112" i="31"/>
  <c r="K112" i="31"/>
  <c r="H112" i="31" s="1"/>
  <c r="F112" i="31"/>
  <c r="C112" i="31" s="1"/>
  <c r="P111" i="31"/>
  <c r="M111" i="31" s="1"/>
  <c r="K111" i="31"/>
  <c r="H111" i="31" s="1"/>
  <c r="F111" i="31"/>
  <c r="C111" i="31"/>
  <c r="P110" i="31"/>
  <c r="M110" i="31" s="1"/>
  <c r="K110" i="31"/>
  <c r="H110" i="31" s="1"/>
  <c r="F110" i="31"/>
  <c r="C110" i="31" s="1"/>
  <c r="P109" i="31"/>
  <c r="M109" i="31"/>
  <c r="K109" i="31"/>
  <c r="H109" i="31" s="1"/>
  <c r="F109" i="31"/>
  <c r="C109" i="31" s="1"/>
  <c r="P108" i="31"/>
  <c r="M108" i="31"/>
  <c r="K108" i="31"/>
  <c r="H108" i="31" s="1"/>
  <c r="F108" i="31"/>
  <c r="C108" i="31"/>
  <c r="P107" i="31"/>
  <c r="M107" i="31" s="1"/>
  <c r="K107" i="31"/>
  <c r="H107" i="31"/>
  <c r="F107" i="31"/>
  <c r="C107" i="31"/>
  <c r="P106" i="31"/>
  <c r="M106" i="31"/>
  <c r="K106" i="31"/>
  <c r="H106" i="31" s="1"/>
  <c r="F106" i="31"/>
  <c r="C106" i="31" s="1"/>
  <c r="P105" i="31"/>
  <c r="M105" i="31"/>
  <c r="K105" i="31"/>
  <c r="H105" i="31" s="1"/>
  <c r="F105" i="31"/>
  <c r="C105" i="31" s="1"/>
  <c r="P104" i="31"/>
  <c r="M104" i="31" s="1"/>
  <c r="K104" i="31"/>
  <c r="H104" i="31"/>
  <c r="F104" i="31"/>
  <c r="C104" i="31" s="1"/>
  <c r="P103" i="31"/>
  <c r="M103" i="31" s="1"/>
  <c r="K103" i="31"/>
  <c r="H103" i="31"/>
  <c r="F103" i="31"/>
  <c r="C103" i="31" s="1"/>
  <c r="P102" i="31"/>
  <c r="M102" i="31"/>
  <c r="K102" i="31"/>
  <c r="H102" i="31" s="1"/>
  <c r="F102" i="31"/>
  <c r="C102" i="31"/>
  <c r="P101" i="31"/>
  <c r="M101" i="31" s="1"/>
  <c r="K101" i="31"/>
  <c r="H101" i="31" s="1"/>
  <c r="F101" i="31"/>
  <c r="C101" i="31" s="1"/>
  <c r="P100" i="31"/>
  <c r="M100" i="31" s="1"/>
  <c r="K100" i="31"/>
  <c r="H100" i="31"/>
  <c r="F100" i="31"/>
  <c r="C100" i="31" s="1"/>
  <c r="P99" i="31"/>
  <c r="M99" i="31" s="1"/>
  <c r="K99" i="31"/>
  <c r="H99" i="31" s="1"/>
  <c r="F99" i="31"/>
  <c r="C99" i="31"/>
  <c r="P98" i="31"/>
  <c r="M98" i="31" s="1"/>
  <c r="K98" i="31"/>
  <c r="H98" i="31" s="1"/>
  <c r="F98" i="31"/>
  <c r="C98" i="31"/>
  <c r="P97" i="31"/>
  <c r="M97" i="31" s="1"/>
  <c r="K97" i="31"/>
  <c r="H97" i="31"/>
  <c r="F97" i="31"/>
  <c r="C97" i="31" s="1"/>
  <c r="P96" i="31"/>
  <c r="M96" i="31" s="1"/>
  <c r="K96" i="31"/>
  <c r="H96" i="31" s="1"/>
  <c r="F96" i="31"/>
  <c r="C96" i="31"/>
  <c r="P95" i="31"/>
  <c r="M95" i="31" s="1"/>
  <c r="K95" i="31"/>
  <c r="H95" i="31"/>
  <c r="F95" i="31"/>
  <c r="C95" i="31" s="1"/>
  <c r="P94" i="31"/>
  <c r="M94" i="31" s="1"/>
  <c r="K94" i="31"/>
  <c r="H94" i="31" s="1"/>
  <c r="F94" i="31"/>
  <c r="C94" i="31" s="1"/>
  <c r="P93" i="31"/>
  <c r="M93" i="31" s="1"/>
  <c r="K93" i="31"/>
  <c r="H93" i="31" s="1"/>
  <c r="F93" i="31"/>
  <c r="C93" i="31" s="1"/>
  <c r="P92" i="31"/>
  <c r="M92" i="31"/>
  <c r="K92" i="31"/>
  <c r="H92" i="31" s="1"/>
  <c r="F92" i="31"/>
  <c r="C92" i="31" s="1"/>
  <c r="P91" i="31"/>
  <c r="M91" i="31" s="1"/>
  <c r="K91" i="31"/>
  <c r="H91" i="31"/>
  <c r="F91" i="31"/>
  <c r="C91" i="31" s="1"/>
  <c r="P90" i="31"/>
  <c r="M90" i="31" s="1"/>
  <c r="K90" i="31"/>
  <c r="H90" i="31" s="1"/>
  <c r="F90" i="31"/>
  <c r="C90" i="31" s="1"/>
  <c r="P89" i="31"/>
  <c r="M89" i="31"/>
  <c r="K89" i="31"/>
  <c r="H89" i="31"/>
  <c r="F89" i="31"/>
  <c r="C89" i="31" s="1"/>
  <c r="P88" i="31"/>
  <c r="M88" i="31" s="1"/>
  <c r="K88" i="31"/>
  <c r="H88" i="31"/>
  <c r="F88" i="31"/>
  <c r="C88" i="31" s="1"/>
  <c r="P87" i="31"/>
  <c r="M87" i="31" s="1"/>
  <c r="K87" i="31"/>
  <c r="H87" i="31"/>
  <c r="F87" i="31"/>
  <c r="C87" i="31" s="1"/>
  <c r="P86" i="31"/>
  <c r="M86" i="31"/>
  <c r="K86" i="31"/>
  <c r="H86" i="31" s="1"/>
  <c r="F86" i="31"/>
  <c r="C86" i="31" s="1"/>
  <c r="P85" i="31"/>
  <c r="M85" i="31" s="1"/>
  <c r="K85" i="31"/>
  <c r="H85" i="31"/>
  <c r="F85" i="31"/>
  <c r="C85" i="31" s="1"/>
  <c r="P84" i="31"/>
  <c r="M84" i="31" s="1"/>
  <c r="K84" i="31"/>
  <c r="H84" i="31"/>
  <c r="F84" i="31"/>
  <c r="C84" i="31" s="1"/>
  <c r="P83" i="31"/>
  <c r="M83" i="31" s="1"/>
  <c r="K83" i="31"/>
  <c r="H83" i="31" s="1"/>
  <c r="F83" i="31"/>
  <c r="C83" i="31" s="1"/>
  <c r="P82" i="31"/>
  <c r="M82" i="31" s="1"/>
  <c r="K82" i="31"/>
  <c r="H82" i="31" s="1"/>
  <c r="F82" i="31"/>
  <c r="C82" i="31"/>
  <c r="P81" i="31"/>
  <c r="M81" i="31" s="1"/>
  <c r="K81" i="31"/>
  <c r="H81" i="31" s="1"/>
  <c r="F81" i="31"/>
  <c r="C81" i="31" s="1"/>
  <c r="P80" i="31"/>
  <c r="M80" i="31"/>
  <c r="K80" i="31"/>
  <c r="H80" i="31" s="1"/>
  <c r="F80" i="31"/>
  <c r="C80" i="31" s="1"/>
  <c r="P79" i="31"/>
  <c r="M79" i="31" s="1"/>
  <c r="K79" i="31"/>
  <c r="H79" i="31"/>
  <c r="F79" i="31"/>
  <c r="C79" i="31"/>
  <c r="P78" i="31"/>
  <c r="M78" i="31" s="1"/>
  <c r="K78" i="31"/>
  <c r="H78" i="31" s="1"/>
  <c r="F78" i="31"/>
  <c r="C78" i="31" s="1"/>
  <c r="P77" i="31"/>
  <c r="M77" i="31"/>
  <c r="K77" i="31"/>
  <c r="H77" i="31" s="1"/>
  <c r="F77" i="31"/>
  <c r="C77" i="31" s="1"/>
  <c r="P76" i="31"/>
  <c r="M76" i="31" s="1"/>
  <c r="K76" i="31"/>
  <c r="H76" i="31"/>
  <c r="F76" i="31"/>
  <c r="C76" i="31"/>
  <c r="P75" i="31"/>
  <c r="M75" i="31" s="1"/>
  <c r="K75" i="31"/>
  <c r="H75" i="31" s="1"/>
  <c r="F75" i="31"/>
  <c r="C75" i="31" s="1"/>
  <c r="P74" i="31"/>
  <c r="M74" i="31"/>
  <c r="K74" i="31"/>
  <c r="H74" i="31" s="1"/>
  <c r="F74" i="31"/>
  <c r="C74" i="31" s="1"/>
  <c r="P73" i="31"/>
  <c r="M73" i="31"/>
  <c r="K73" i="31"/>
  <c r="H73" i="31"/>
  <c r="F73" i="31"/>
  <c r="C73" i="31" s="1"/>
  <c r="P72" i="31"/>
  <c r="M72" i="31" s="1"/>
  <c r="K72" i="31"/>
  <c r="H72" i="31" s="1"/>
  <c r="F72" i="31"/>
  <c r="C72" i="31" s="1"/>
  <c r="P71" i="31"/>
  <c r="M71" i="31" s="1"/>
  <c r="K71" i="31"/>
  <c r="H71" i="31"/>
  <c r="F71" i="31"/>
  <c r="C71" i="31" s="1"/>
  <c r="P70" i="31"/>
  <c r="M70" i="31"/>
  <c r="K70" i="31"/>
  <c r="H70" i="31" s="1"/>
  <c r="F70" i="31"/>
  <c r="C70" i="31"/>
  <c r="P69" i="31"/>
  <c r="M69" i="31" s="1"/>
  <c r="K69" i="31"/>
  <c r="H69" i="31"/>
  <c r="F69" i="31"/>
  <c r="C69" i="31" s="1"/>
  <c r="P68" i="31"/>
  <c r="M68" i="31" s="1"/>
  <c r="K68" i="31"/>
  <c r="H68" i="31"/>
  <c r="F68" i="31"/>
  <c r="C68" i="31" s="1"/>
  <c r="P67" i="31"/>
  <c r="M67" i="31" s="1"/>
  <c r="K67" i="31"/>
  <c r="H67" i="31" s="1"/>
  <c r="F67" i="31"/>
  <c r="C67" i="31"/>
  <c r="P66" i="31"/>
  <c r="M66" i="31" s="1"/>
  <c r="K66" i="31"/>
  <c r="H66" i="31" s="1"/>
  <c r="F66" i="31"/>
  <c r="C66" i="31"/>
  <c r="P65" i="31"/>
  <c r="M65" i="31" s="1"/>
  <c r="K65" i="31"/>
  <c r="H65" i="31"/>
  <c r="F65" i="31"/>
  <c r="C65" i="31" s="1"/>
  <c r="P64" i="31"/>
  <c r="M64" i="31" s="1"/>
  <c r="K64" i="31"/>
  <c r="H64" i="31" s="1"/>
  <c r="F64" i="31"/>
  <c r="C64" i="31"/>
  <c r="P63" i="31"/>
  <c r="M63" i="31" s="1"/>
  <c r="K63" i="31"/>
  <c r="H63" i="31" s="1"/>
  <c r="F63" i="31"/>
  <c r="C63" i="31"/>
  <c r="P62" i="31"/>
  <c r="M62" i="31" s="1"/>
  <c r="K62" i="31"/>
  <c r="H62" i="31" s="1"/>
  <c r="F62" i="31"/>
  <c r="C62" i="31" s="1"/>
  <c r="P61" i="31"/>
  <c r="M61" i="31" s="1"/>
  <c r="K61" i="31"/>
  <c r="H61" i="31" s="1"/>
  <c r="F61" i="31"/>
  <c r="C61" i="31" s="1"/>
  <c r="P60" i="31"/>
  <c r="M60" i="31"/>
  <c r="K60" i="31"/>
  <c r="H60" i="31" s="1"/>
  <c r="F60" i="31"/>
  <c r="C60" i="31"/>
  <c r="P59" i="31"/>
  <c r="M59" i="31" s="1"/>
  <c r="K59" i="31"/>
  <c r="H59" i="31"/>
  <c r="F59" i="31"/>
  <c r="C59" i="31" s="1"/>
  <c r="P58" i="31"/>
  <c r="M58" i="31" s="1"/>
  <c r="K58" i="31"/>
  <c r="H58" i="31" s="1"/>
  <c r="F58" i="31"/>
  <c r="C58" i="31" s="1"/>
  <c r="P57" i="31"/>
  <c r="M57" i="31"/>
  <c r="K57" i="31"/>
  <c r="H57" i="31" s="1"/>
  <c r="F57" i="31"/>
  <c r="C57" i="31" s="1"/>
  <c r="P56" i="31"/>
  <c r="M56" i="31" s="1"/>
  <c r="K56" i="31"/>
  <c r="H56" i="31"/>
  <c r="F56" i="31"/>
  <c r="C56" i="31" s="1"/>
  <c r="P55" i="31"/>
  <c r="M55" i="31" s="1"/>
  <c r="K55" i="31"/>
  <c r="H55" i="31"/>
  <c r="F55" i="31"/>
  <c r="C55" i="31" s="1"/>
  <c r="P54" i="31"/>
  <c r="M54" i="31"/>
  <c r="K54" i="31"/>
  <c r="H54" i="31" s="1"/>
  <c r="F54" i="31"/>
  <c r="C54" i="31" s="1"/>
  <c r="P53" i="31"/>
  <c r="M53" i="31" s="1"/>
  <c r="K53" i="31"/>
  <c r="H53" i="31"/>
  <c r="F53" i="31"/>
  <c r="C53" i="31" s="1"/>
  <c r="P52" i="31"/>
  <c r="M52" i="31" s="1"/>
  <c r="K52" i="31"/>
  <c r="H52" i="31"/>
  <c r="F52" i="31"/>
  <c r="C52" i="31" s="1"/>
  <c r="P51" i="31"/>
  <c r="M51" i="31" s="1"/>
  <c r="K51" i="31"/>
  <c r="H51" i="31" s="1"/>
  <c r="F51" i="31"/>
  <c r="C51" i="31" s="1"/>
  <c r="P50" i="31"/>
  <c r="M50" i="31" s="1"/>
  <c r="K50" i="31"/>
  <c r="H50" i="31" s="1"/>
  <c r="F50" i="31"/>
  <c r="C50" i="31"/>
  <c r="P49" i="31"/>
  <c r="M49" i="31" s="1"/>
  <c r="K49" i="31"/>
  <c r="H49" i="31"/>
  <c r="F49" i="31"/>
  <c r="C49" i="31" s="1"/>
  <c r="P48" i="31"/>
  <c r="M48" i="31"/>
  <c r="K48" i="31"/>
  <c r="H48" i="31" s="1"/>
  <c r="F48" i="31"/>
  <c r="C48" i="31" s="1"/>
  <c r="P47" i="31"/>
  <c r="M47" i="31" s="1"/>
  <c r="K47" i="31"/>
  <c r="H47" i="31"/>
  <c r="F47" i="31"/>
  <c r="C47" i="31"/>
  <c r="P46" i="31"/>
  <c r="M46" i="31" s="1"/>
  <c r="K46" i="31"/>
  <c r="H46" i="31" s="1"/>
  <c r="F46" i="31"/>
  <c r="C46" i="31" s="1"/>
  <c r="P45" i="31"/>
  <c r="M45" i="31"/>
  <c r="K45" i="31"/>
  <c r="H45" i="31" s="1"/>
  <c r="F45" i="31"/>
  <c r="C45" i="31" s="1"/>
  <c r="P44" i="31"/>
  <c r="M44" i="31"/>
  <c r="K44" i="31"/>
  <c r="H44" i="31"/>
  <c r="F44" i="31"/>
  <c r="C44" i="31"/>
  <c r="P43" i="31"/>
  <c r="M43" i="31" s="1"/>
  <c r="K43" i="31"/>
  <c r="H43" i="31"/>
  <c r="F43" i="31"/>
  <c r="C43" i="31" s="1"/>
  <c r="P42" i="31"/>
  <c r="M42" i="31"/>
  <c r="K42" i="31"/>
  <c r="H42" i="31" s="1"/>
  <c r="F42" i="31"/>
  <c r="C42" i="31" s="1"/>
  <c r="P41" i="31"/>
  <c r="M41" i="31" s="1"/>
  <c r="K41" i="31"/>
  <c r="H41" i="31"/>
  <c r="F41" i="31"/>
  <c r="C41" i="31" s="1"/>
  <c r="P40" i="31"/>
  <c r="M40" i="31" s="1"/>
  <c r="K40" i="31"/>
  <c r="H40" i="31"/>
  <c r="F40" i="31"/>
  <c r="C40" i="31" s="1"/>
  <c r="P39" i="31"/>
  <c r="M39" i="31" s="1"/>
  <c r="K39" i="31"/>
  <c r="H39" i="31"/>
  <c r="F39" i="31"/>
  <c r="C39" i="31" s="1"/>
  <c r="P38" i="31"/>
  <c r="M38" i="31" s="1"/>
  <c r="K38" i="31"/>
  <c r="H38" i="31" s="1"/>
  <c r="F38" i="31"/>
  <c r="C38" i="31"/>
  <c r="P37" i="31"/>
  <c r="M37" i="31" s="1"/>
  <c r="K37" i="31"/>
  <c r="H37" i="31" s="1"/>
  <c r="F37" i="31"/>
  <c r="C37" i="31" s="1"/>
  <c r="P36" i="31"/>
  <c r="M36" i="31"/>
  <c r="K36" i="31"/>
  <c r="H36" i="31"/>
  <c r="F36" i="31"/>
  <c r="C36" i="31" s="1"/>
  <c r="P35" i="31"/>
  <c r="M35" i="31" s="1"/>
  <c r="K35" i="31"/>
  <c r="H35" i="31" s="1"/>
  <c r="F35" i="31"/>
  <c r="C35" i="31"/>
  <c r="P34" i="31"/>
  <c r="M34" i="31" s="1"/>
  <c r="K34" i="31"/>
  <c r="H34" i="31" s="1"/>
  <c r="F34" i="31"/>
  <c r="C34" i="31" s="1"/>
  <c r="P33" i="31"/>
  <c r="M33" i="31"/>
  <c r="K33" i="31"/>
  <c r="H33" i="31"/>
  <c r="F33" i="31"/>
  <c r="C33" i="31" s="1"/>
  <c r="P32" i="31"/>
  <c r="M32" i="31"/>
  <c r="K32" i="31"/>
  <c r="H32" i="31" s="1"/>
  <c r="F32" i="31"/>
  <c r="C32" i="31"/>
  <c r="P31" i="31"/>
  <c r="M31" i="31" s="1"/>
  <c r="K31" i="31"/>
  <c r="H31" i="31" s="1"/>
  <c r="F31" i="31"/>
  <c r="C31" i="31" s="1"/>
  <c r="P30" i="31"/>
  <c r="M30" i="31" s="1"/>
  <c r="K30" i="31"/>
  <c r="H30" i="31" s="1"/>
  <c r="F30" i="31"/>
  <c r="C30" i="31" s="1"/>
  <c r="P29" i="31"/>
  <c r="M29" i="31"/>
  <c r="K29" i="31"/>
  <c r="H29" i="31" s="1"/>
  <c r="F29" i="31"/>
  <c r="C29" i="31" s="1"/>
  <c r="P28" i="31"/>
  <c r="M28" i="31"/>
  <c r="K28" i="31"/>
  <c r="H28" i="31" s="1"/>
  <c r="F28" i="31"/>
  <c r="C28" i="31" s="1"/>
  <c r="P27" i="31"/>
  <c r="M27" i="31" s="1"/>
  <c r="K27" i="31"/>
  <c r="H27" i="31"/>
  <c r="F27" i="31"/>
  <c r="C27" i="31" s="1"/>
  <c r="P26" i="31"/>
  <c r="M26" i="31" s="1"/>
  <c r="K26" i="31"/>
  <c r="H26" i="31" s="1"/>
  <c r="F26" i="31"/>
  <c r="C26" i="31" s="1"/>
  <c r="P25" i="31"/>
  <c r="M25" i="31"/>
  <c r="K25" i="31"/>
  <c r="H25" i="31" s="1"/>
  <c r="F25" i="31"/>
  <c r="C25" i="31" s="1"/>
  <c r="P24" i="31"/>
  <c r="M24" i="31" s="1"/>
  <c r="K24" i="31"/>
  <c r="H24" i="31"/>
  <c r="F24" i="31"/>
  <c r="C24" i="31" s="1"/>
  <c r="P23" i="31"/>
  <c r="M23" i="31" s="1"/>
  <c r="K23" i="31"/>
  <c r="H23" i="31" s="1"/>
  <c r="F23" i="31"/>
  <c r="C23" i="31" s="1"/>
  <c r="P22" i="31"/>
  <c r="M22" i="31" s="1"/>
  <c r="L22" i="31"/>
  <c r="L23" i="31" s="1"/>
  <c r="L24" i="31" s="1"/>
  <c r="L25" i="31" s="1"/>
  <c r="L26" i="31" s="1"/>
  <c r="L27" i="31" s="1"/>
  <c r="L28" i="31" s="1"/>
  <c r="L29" i="31" s="1"/>
  <c r="L30" i="31" s="1"/>
  <c r="L31" i="31" s="1"/>
  <c r="L32" i="31" s="1"/>
  <c r="L33" i="31" s="1"/>
  <c r="L34" i="31" s="1"/>
  <c r="L35" i="31" s="1"/>
  <c r="L36" i="31" s="1"/>
  <c r="L37" i="31" s="1"/>
  <c r="L38" i="31" s="1"/>
  <c r="L39" i="31" s="1"/>
  <c r="L40" i="31" s="1"/>
  <c r="L41" i="31" s="1"/>
  <c r="L42" i="31" s="1"/>
  <c r="L43" i="31" s="1"/>
  <c r="L44" i="31" s="1"/>
  <c r="L45" i="31" s="1"/>
  <c r="L46" i="31" s="1"/>
  <c r="L47" i="31" s="1"/>
  <c r="L48" i="31" s="1"/>
  <c r="L49" i="31" s="1"/>
  <c r="L50" i="31" s="1"/>
  <c r="L51" i="31" s="1"/>
  <c r="L52" i="31" s="1"/>
  <c r="L53" i="31" s="1"/>
  <c r="L54" i="31" s="1"/>
  <c r="L55" i="31" s="1"/>
  <c r="L56" i="31" s="1"/>
  <c r="L57" i="31" s="1"/>
  <c r="L58" i="31" s="1"/>
  <c r="L59" i="31" s="1"/>
  <c r="L60" i="31" s="1"/>
  <c r="L61" i="31" s="1"/>
  <c r="L62" i="31" s="1"/>
  <c r="L63" i="31" s="1"/>
  <c r="L64" i="31" s="1"/>
  <c r="L65" i="31" s="1"/>
  <c r="L66" i="31" s="1"/>
  <c r="L67" i="31" s="1"/>
  <c r="L68" i="31" s="1"/>
  <c r="L69" i="31" s="1"/>
  <c r="L70" i="31" s="1"/>
  <c r="L71" i="31" s="1"/>
  <c r="L72" i="31" s="1"/>
  <c r="L73" i="31" s="1"/>
  <c r="L74" i="31" s="1"/>
  <c r="L75" i="31" s="1"/>
  <c r="L76" i="31" s="1"/>
  <c r="L77" i="31" s="1"/>
  <c r="L78" i="31" s="1"/>
  <c r="L79" i="31" s="1"/>
  <c r="L80" i="31" s="1"/>
  <c r="L81" i="31" s="1"/>
  <c r="L82" i="31" s="1"/>
  <c r="L83" i="31" s="1"/>
  <c r="L84" i="31" s="1"/>
  <c r="L85" i="31" s="1"/>
  <c r="L86" i="31" s="1"/>
  <c r="L87" i="31" s="1"/>
  <c r="L88" i="31" s="1"/>
  <c r="L89" i="31" s="1"/>
  <c r="L90" i="31" s="1"/>
  <c r="L91" i="31" s="1"/>
  <c r="L92" i="31" s="1"/>
  <c r="L93" i="31" s="1"/>
  <c r="L94" i="31" s="1"/>
  <c r="L95" i="31" s="1"/>
  <c r="L96" i="31" s="1"/>
  <c r="L97" i="31" s="1"/>
  <c r="L98" i="31" s="1"/>
  <c r="L99" i="31" s="1"/>
  <c r="L100" i="31" s="1"/>
  <c r="L101" i="31" s="1"/>
  <c r="L102" i="31" s="1"/>
  <c r="L103" i="31" s="1"/>
  <c r="L104" i="31" s="1"/>
  <c r="L105" i="31" s="1"/>
  <c r="L106" i="31" s="1"/>
  <c r="L107" i="31" s="1"/>
  <c r="L108" i="31" s="1"/>
  <c r="L109" i="31" s="1"/>
  <c r="L110" i="31" s="1"/>
  <c r="L111" i="31" s="1"/>
  <c r="L112" i="31" s="1"/>
  <c r="L113" i="31" s="1"/>
  <c r="L114" i="31" s="1"/>
  <c r="L115" i="31" s="1"/>
  <c r="L116" i="31" s="1"/>
  <c r="L117" i="31" s="1"/>
  <c r="L118" i="31" s="1"/>
  <c r="L119" i="31" s="1"/>
  <c r="L120" i="31" s="1"/>
  <c r="L121" i="31" s="1"/>
  <c r="L122" i="31" s="1"/>
  <c r="L123" i="31" s="1"/>
  <c r="L124" i="31" s="1"/>
  <c r="L125" i="31" s="1"/>
  <c r="L126" i="31" s="1"/>
  <c r="L127" i="31" s="1"/>
  <c r="L128" i="31" s="1"/>
  <c r="L129" i="31" s="1"/>
  <c r="L130" i="31" s="1"/>
  <c r="L131" i="31" s="1"/>
  <c r="L132" i="31" s="1"/>
  <c r="L133" i="31" s="1"/>
  <c r="L134" i="31" s="1"/>
  <c r="L135" i="31" s="1"/>
  <c r="L136" i="31" s="1"/>
  <c r="L137" i="31" s="1"/>
  <c r="L138" i="31" s="1"/>
  <c r="L139" i="31" s="1"/>
  <c r="L140" i="31" s="1"/>
  <c r="L141" i="31" s="1"/>
  <c r="L142" i="31" s="1"/>
  <c r="L143" i="31" s="1"/>
  <c r="L144" i="31" s="1"/>
  <c r="L145" i="31" s="1"/>
  <c r="L146" i="31" s="1"/>
  <c r="L147" i="31" s="1"/>
  <c r="L148" i="31" s="1"/>
  <c r="L149" i="31" s="1"/>
  <c r="L150" i="31" s="1"/>
  <c r="L151" i="31" s="1"/>
  <c r="L152" i="31" s="1"/>
  <c r="L153" i="31" s="1"/>
  <c r="L154" i="31" s="1"/>
  <c r="L155" i="31" s="1"/>
  <c r="L156" i="31" s="1"/>
  <c r="L157" i="31" s="1"/>
  <c r="L158" i="31" s="1"/>
  <c r="L159" i="31" s="1"/>
  <c r="L160" i="31" s="1"/>
  <c r="L161" i="31" s="1"/>
  <c r="L162" i="31" s="1"/>
  <c r="L163" i="31" s="1"/>
  <c r="L164" i="31" s="1"/>
  <c r="L165" i="31" s="1"/>
  <c r="L166" i="31" s="1"/>
  <c r="L167" i="31" s="1"/>
  <c r="L168" i="31" s="1"/>
  <c r="K22" i="31"/>
  <c r="H22" i="31" s="1"/>
  <c r="G22" i="3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0" i="31" s="1"/>
  <c r="G71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G144" i="31" s="1"/>
  <c r="G145" i="31" s="1"/>
  <c r="G146" i="31" s="1"/>
  <c r="G147" i="31" s="1"/>
  <c r="G148" i="31" s="1"/>
  <c r="G149" i="31" s="1"/>
  <c r="G150" i="31" s="1"/>
  <c r="G151" i="31" s="1"/>
  <c r="G152" i="31" s="1"/>
  <c r="G153" i="31" s="1"/>
  <c r="G154" i="31" s="1"/>
  <c r="G155" i="31" s="1"/>
  <c r="G156" i="31" s="1"/>
  <c r="G157" i="31" s="1"/>
  <c r="G158" i="31" s="1"/>
  <c r="G159" i="31" s="1"/>
  <c r="G160" i="31" s="1"/>
  <c r="G161" i="31" s="1"/>
  <c r="G162" i="31" s="1"/>
  <c r="G163" i="31" s="1"/>
  <c r="G164" i="31" s="1"/>
  <c r="G165" i="31" s="1"/>
  <c r="G166" i="31" s="1"/>
  <c r="G167" i="31" s="1"/>
  <c r="G168" i="31" s="1"/>
  <c r="F22" i="31"/>
  <c r="C22" i="31"/>
  <c r="B22" i="3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B105" i="31" s="1"/>
  <c r="B106" i="31" s="1"/>
  <c r="B107" i="31" s="1"/>
  <c r="B108" i="31" s="1"/>
  <c r="B109" i="31" s="1"/>
  <c r="B110" i="31" s="1"/>
  <c r="B111" i="31" s="1"/>
  <c r="B112" i="31" s="1"/>
  <c r="B113" i="31" s="1"/>
  <c r="B114" i="31" s="1"/>
  <c r="B115" i="31" s="1"/>
  <c r="B116" i="31" s="1"/>
  <c r="B117" i="31" s="1"/>
  <c r="B118" i="31" s="1"/>
  <c r="B119" i="31" s="1"/>
  <c r="B120" i="31" s="1"/>
  <c r="B121" i="31" s="1"/>
  <c r="B122" i="31" s="1"/>
  <c r="B123" i="31" s="1"/>
  <c r="B124" i="31" s="1"/>
  <c r="B125" i="31" s="1"/>
  <c r="B126" i="31" s="1"/>
  <c r="B127" i="31" s="1"/>
  <c r="B128" i="31" s="1"/>
  <c r="B129" i="31" s="1"/>
  <c r="B130" i="31" s="1"/>
  <c r="B131" i="31" s="1"/>
  <c r="B132" i="31" s="1"/>
  <c r="B133" i="31" s="1"/>
  <c r="B134" i="31" s="1"/>
  <c r="B135" i="31" s="1"/>
  <c r="B136" i="31" s="1"/>
  <c r="B137" i="31" s="1"/>
  <c r="B138" i="31" s="1"/>
  <c r="B139" i="31" s="1"/>
  <c r="B140" i="31" s="1"/>
  <c r="B141" i="31" s="1"/>
  <c r="B142" i="31" s="1"/>
  <c r="B143" i="31" s="1"/>
  <c r="B144" i="31" s="1"/>
  <c r="B145" i="31" s="1"/>
  <c r="B146" i="31" s="1"/>
  <c r="B147" i="31" s="1"/>
  <c r="B148" i="31" s="1"/>
  <c r="B149" i="31" s="1"/>
  <c r="B150" i="31" s="1"/>
  <c r="B151" i="31" s="1"/>
  <c r="B152" i="31" s="1"/>
  <c r="B153" i="31" s="1"/>
  <c r="B154" i="31" s="1"/>
  <c r="B155" i="31" s="1"/>
  <c r="B156" i="31" s="1"/>
  <c r="B157" i="31" s="1"/>
  <c r="B158" i="31" s="1"/>
  <c r="B159" i="31" s="1"/>
  <c r="B160" i="31" s="1"/>
  <c r="B161" i="31" s="1"/>
  <c r="B162" i="31" s="1"/>
  <c r="B163" i="31" s="1"/>
  <c r="B164" i="31" s="1"/>
  <c r="B165" i="31" s="1"/>
  <c r="B166" i="31" s="1"/>
  <c r="B167" i="31" s="1"/>
  <c r="B168" i="31" s="1"/>
  <c r="B20" i="31"/>
  <c r="C20" i="31" s="1"/>
  <c r="D20" i="31" s="1"/>
  <c r="E20" i="31" s="1"/>
  <c r="F20" i="31" s="1"/>
  <c r="G20" i="31" s="1"/>
  <c r="H20" i="31" s="1"/>
  <c r="I20" i="31" s="1"/>
  <c r="J20" i="31" s="1"/>
  <c r="K20" i="31" s="1"/>
  <c r="L20" i="31" s="1"/>
  <c r="M20" i="31" s="1"/>
  <c r="N20" i="31" s="1"/>
  <c r="O20" i="31" s="1"/>
  <c r="P20" i="31" s="1"/>
  <c r="Q20" i="31" s="1"/>
  <c r="R20" i="31" s="1"/>
  <c r="F9" i="31"/>
  <c r="A3" i="31"/>
  <c r="P171" i="30"/>
  <c r="K171" i="30"/>
  <c r="F171" i="30"/>
  <c r="P170" i="30"/>
  <c r="M170" i="30"/>
  <c r="K170" i="30"/>
  <c r="H170" i="30"/>
  <c r="F170" i="30"/>
  <c r="C170" i="30"/>
  <c r="P169" i="30"/>
  <c r="M169" i="30" s="1"/>
  <c r="K169" i="30"/>
  <c r="H169" i="30"/>
  <c r="F169" i="30"/>
  <c r="C169" i="30"/>
  <c r="P168" i="30"/>
  <c r="M168" i="30"/>
  <c r="K168" i="30"/>
  <c r="H168" i="30" s="1"/>
  <c r="F168" i="30"/>
  <c r="C168" i="30"/>
  <c r="P167" i="30"/>
  <c r="M167" i="30"/>
  <c r="K167" i="30"/>
  <c r="H167" i="30"/>
  <c r="F167" i="30"/>
  <c r="C167" i="30" s="1"/>
  <c r="P166" i="30"/>
  <c r="M166" i="30"/>
  <c r="K166" i="30"/>
  <c r="H166" i="30"/>
  <c r="F166" i="30"/>
  <c r="C166" i="30"/>
  <c r="P165" i="30"/>
  <c r="M165" i="30" s="1"/>
  <c r="K165" i="30"/>
  <c r="H165" i="30"/>
  <c r="F165" i="30"/>
  <c r="C165" i="30"/>
  <c r="P164" i="30"/>
  <c r="M164" i="30"/>
  <c r="K164" i="30"/>
  <c r="H164" i="30" s="1"/>
  <c r="F164" i="30"/>
  <c r="C164" i="30"/>
  <c r="P163" i="30"/>
  <c r="M163" i="30"/>
  <c r="K163" i="30"/>
  <c r="H163" i="30"/>
  <c r="F163" i="30"/>
  <c r="C163" i="30" s="1"/>
  <c r="P162" i="30"/>
  <c r="M162" i="30"/>
  <c r="K162" i="30"/>
  <c r="H162" i="30"/>
  <c r="F162" i="30"/>
  <c r="C162" i="30"/>
  <c r="P161" i="30"/>
  <c r="M161" i="30" s="1"/>
  <c r="K161" i="30"/>
  <c r="H161" i="30"/>
  <c r="F161" i="30"/>
  <c r="C161" i="30"/>
  <c r="P160" i="30"/>
  <c r="M160" i="30"/>
  <c r="K160" i="30"/>
  <c r="H160" i="30" s="1"/>
  <c r="F160" i="30"/>
  <c r="C160" i="30"/>
  <c r="P159" i="30"/>
  <c r="M159" i="30"/>
  <c r="K159" i="30"/>
  <c r="H159" i="30"/>
  <c r="F159" i="30"/>
  <c r="C159" i="30" s="1"/>
  <c r="P158" i="30"/>
  <c r="M158" i="30"/>
  <c r="K158" i="30"/>
  <c r="H158" i="30"/>
  <c r="F158" i="30"/>
  <c r="C158" i="30"/>
  <c r="P157" i="30"/>
  <c r="M157" i="30" s="1"/>
  <c r="K157" i="30"/>
  <c r="H157" i="30"/>
  <c r="F157" i="30"/>
  <c r="C157" i="30"/>
  <c r="P156" i="30"/>
  <c r="M156" i="30"/>
  <c r="K156" i="30"/>
  <c r="H156" i="30" s="1"/>
  <c r="F156" i="30"/>
  <c r="C156" i="30"/>
  <c r="P155" i="30"/>
  <c r="M155" i="30"/>
  <c r="K155" i="30"/>
  <c r="H155" i="30"/>
  <c r="F155" i="30"/>
  <c r="C155" i="30" s="1"/>
  <c r="P154" i="30"/>
  <c r="M154" i="30"/>
  <c r="K154" i="30"/>
  <c r="H154" i="30"/>
  <c r="F154" i="30"/>
  <c r="C154" i="30"/>
  <c r="P153" i="30"/>
  <c r="M153" i="30" s="1"/>
  <c r="K153" i="30"/>
  <c r="H153" i="30"/>
  <c r="F153" i="30"/>
  <c r="C153" i="30"/>
  <c r="P152" i="30"/>
  <c r="M152" i="30"/>
  <c r="K152" i="30"/>
  <c r="H152" i="30" s="1"/>
  <c r="F152" i="30"/>
  <c r="C152" i="30"/>
  <c r="P151" i="30"/>
  <c r="M151" i="30"/>
  <c r="K151" i="30"/>
  <c r="H151" i="30"/>
  <c r="F151" i="30"/>
  <c r="C151" i="30" s="1"/>
  <c r="P150" i="30"/>
  <c r="M150" i="30"/>
  <c r="K150" i="30"/>
  <c r="H150" i="30"/>
  <c r="F150" i="30"/>
  <c r="C150" i="30"/>
  <c r="P149" i="30"/>
  <c r="M149" i="30" s="1"/>
  <c r="K149" i="30"/>
  <c r="H149" i="30"/>
  <c r="F149" i="30"/>
  <c r="C149" i="30"/>
  <c r="P148" i="30"/>
  <c r="M148" i="30"/>
  <c r="K148" i="30"/>
  <c r="H148" i="30" s="1"/>
  <c r="F148" i="30"/>
  <c r="C148" i="30"/>
  <c r="P147" i="30"/>
  <c r="M147" i="30"/>
  <c r="K147" i="30"/>
  <c r="H147" i="30"/>
  <c r="F147" i="30"/>
  <c r="C147" i="30" s="1"/>
  <c r="P146" i="30"/>
  <c r="M146" i="30"/>
  <c r="K146" i="30"/>
  <c r="H146" i="30"/>
  <c r="F146" i="30"/>
  <c r="C146" i="30"/>
  <c r="P145" i="30"/>
  <c r="M145" i="30" s="1"/>
  <c r="K145" i="30"/>
  <c r="H145" i="30"/>
  <c r="F145" i="30"/>
  <c r="C145" i="30"/>
  <c r="P144" i="30"/>
  <c r="M144" i="30"/>
  <c r="K144" i="30"/>
  <c r="H144" i="30" s="1"/>
  <c r="F144" i="30"/>
  <c r="C144" i="30"/>
  <c r="P143" i="30"/>
  <c r="M143" i="30"/>
  <c r="K143" i="30"/>
  <c r="H143" i="30"/>
  <c r="F143" i="30"/>
  <c r="C143" i="30" s="1"/>
  <c r="P142" i="30"/>
  <c r="M142" i="30"/>
  <c r="K142" i="30"/>
  <c r="H142" i="30"/>
  <c r="F142" i="30"/>
  <c r="C142" i="30"/>
  <c r="P141" i="30"/>
  <c r="M141" i="30" s="1"/>
  <c r="K141" i="30"/>
  <c r="H141" i="30"/>
  <c r="F141" i="30"/>
  <c r="C141" i="30"/>
  <c r="P140" i="30"/>
  <c r="M140" i="30"/>
  <c r="K140" i="30"/>
  <c r="H140" i="30" s="1"/>
  <c r="F140" i="30"/>
  <c r="C140" i="30"/>
  <c r="P139" i="30"/>
  <c r="M139" i="30"/>
  <c r="K139" i="30"/>
  <c r="H139" i="30"/>
  <c r="F139" i="30"/>
  <c r="C139" i="30" s="1"/>
  <c r="P138" i="30"/>
  <c r="M138" i="30"/>
  <c r="K138" i="30"/>
  <c r="H138" i="30"/>
  <c r="F138" i="30"/>
  <c r="C138" i="30"/>
  <c r="P137" i="30"/>
  <c r="M137" i="30" s="1"/>
  <c r="K137" i="30"/>
  <c r="H137" i="30"/>
  <c r="F137" i="30"/>
  <c r="C137" i="30"/>
  <c r="P136" i="30"/>
  <c r="M136" i="30"/>
  <c r="K136" i="30"/>
  <c r="H136" i="30" s="1"/>
  <c r="F136" i="30"/>
  <c r="C136" i="30"/>
  <c r="P135" i="30"/>
  <c r="M135" i="30"/>
  <c r="K135" i="30"/>
  <c r="H135" i="30"/>
  <c r="F135" i="30"/>
  <c r="C135" i="30" s="1"/>
  <c r="P134" i="30"/>
  <c r="M134" i="30"/>
  <c r="K134" i="30"/>
  <c r="H134" i="30"/>
  <c r="F134" i="30"/>
  <c r="C134" i="30"/>
  <c r="P133" i="30"/>
  <c r="M133" i="30" s="1"/>
  <c r="K133" i="30"/>
  <c r="H133" i="30"/>
  <c r="F133" i="30"/>
  <c r="C133" i="30"/>
  <c r="P132" i="30"/>
  <c r="M132" i="30"/>
  <c r="K132" i="30"/>
  <c r="H132" i="30" s="1"/>
  <c r="F132" i="30"/>
  <c r="C132" i="30"/>
  <c r="P131" i="30"/>
  <c r="M131" i="30"/>
  <c r="K131" i="30"/>
  <c r="H131" i="30"/>
  <c r="F131" i="30"/>
  <c r="C131" i="30" s="1"/>
  <c r="P130" i="30"/>
  <c r="M130" i="30"/>
  <c r="K130" i="30"/>
  <c r="H130" i="30"/>
  <c r="F130" i="30"/>
  <c r="C130" i="30"/>
  <c r="P129" i="30"/>
  <c r="M129" i="30" s="1"/>
  <c r="K129" i="30"/>
  <c r="H129" i="30"/>
  <c r="F129" i="30"/>
  <c r="C129" i="30"/>
  <c r="P128" i="30"/>
  <c r="M128" i="30"/>
  <c r="K128" i="30"/>
  <c r="H128" i="30" s="1"/>
  <c r="F128" i="30"/>
  <c r="C128" i="30"/>
  <c r="P127" i="30"/>
  <c r="M127" i="30"/>
  <c r="K127" i="30"/>
  <c r="H127" i="30"/>
  <c r="F127" i="30"/>
  <c r="C127" i="30" s="1"/>
  <c r="P126" i="30"/>
  <c r="M126" i="30"/>
  <c r="K126" i="30"/>
  <c r="H126" i="30"/>
  <c r="F126" i="30"/>
  <c r="C126" i="30"/>
  <c r="P125" i="30"/>
  <c r="M125" i="30" s="1"/>
  <c r="K125" i="30"/>
  <c r="H125" i="30"/>
  <c r="F125" i="30"/>
  <c r="C125" i="30"/>
  <c r="P124" i="30"/>
  <c r="M124" i="30"/>
  <c r="K124" i="30"/>
  <c r="H124" i="30" s="1"/>
  <c r="F124" i="30"/>
  <c r="C124" i="30"/>
  <c r="P123" i="30"/>
  <c r="M123" i="30"/>
  <c r="K123" i="30"/>
  <c r="H123" i="30"/>
  <c r="F123" i="30"/>
  <c r="C123" i="30" s="1"/>
  <c r="P122" i="30"/>
  <c r="M122" i="30"/>
  <c r="K122" i="30"/>
  <c r="H122" i="30"/>
  <c r="F122" i="30"/>
  <c r="C122" i="30"/>
  <c r="P121" i="30"/>
  <c r="M121" i="30" s="1"/>
  <c r="K121" i="30"/>
  <c r="H121" i="30"/>
  <c r="F121" i="30"/>
  <c r="C121" i="30"/>
  <c r="P120" i="30"/>
  <c r="M120" i="30"/>
  <c r="K120" i="30"/>
  <c r="H120" i="30" s="1"/>
  <c r="F120" i="30"/>
  <c r="C120" i="30"/>
  <c r="P119" i="30"/>
  <c r="M119" i="30"/>
  <c r="K119" i="30"/>
  <c r="H119" i="30"/>
  <c r="F119" i="30"/>
  <c r="C119" i="30" s="1"/>
  <c r="P118" i="30"/>
  <c r="M118" i="30"/>
  <c r="K118" i="30"/>
  <c r="H118" i="30"/>
  <c r="F118" i="30"/>
  <c r="C118" i="30"/>
  <c r="P117" i="30"/>
  <c r="M117" i="30" s="1"/>
  <c r="K117" i="30"/>
  <c r="H117" i="30"/>
  <c r="F117" i="30"/>
  <c r="C117" i="30"/>
  <c r="P116" i="30"/>
  <c r="M116" i="30"/>
  <c r="K116" i="30"/>
  <c r="H116" i="30" s="1"/>
  <c r="F116" i="30"/>
  <c r="C116" i="30"/>
  <c r="P115" i="30"/>
  <c r="M115" i="30"/>
  <c r="K115" i="30"/>
  <c r="H115" i="30"/>
  <c r="F115" i="30"/>
  <c r="C115" i="30" s="1"/>
  <c r="P114" i="30"/>
  <c r="M114" i="30"/>
  <c r="K114" i="30"/>
  <c r="H114" i="30"/>
  <c r="F114" i="30"/>
  <c r="C114" i="30"/>
  <c r="P113" i="30"/>
  <c r="M113" i="30" s="1"/>
  <c r="K113" i="30"/>
  <c r="H113" i="30"/>
  <c r="F113" i="30"/>
  <c r="C113" i="30"/>
  <c r="P112" i="30"/>
  <c r="M112" i="30"/>
  <c r="K112" i="30"/>
  <c r="H112" i="30" s="1"/>
  <c r="F112" i="30"/>
  <c r="C112" i="30"/>
  <c r="P111" i="30"/>
  <c r="M111" i="30"/>
  <c r="K111" i="30"/>
  <c r="H111" i="30"/>
  <c r="F111" i="30"/>
  <c r="C111" i="30" s="1"/>
  <c r="P110" i="30"/>
  <c r="M110" i="30"/>
  <c r="K110" i="30"/>
  <c r="H110" i="30"/>
  <c r="F110" i="30"/>
  <c r="C110" i="30"/>
  <c r="P109" i="30"/>
  <c r="M109" i="30" s="1"/>
  <c r="K109" i="30"/>
  <c r="H109" i="30"/>
  <c r="F109" i="30"/>
  <c r="C109" i="30"/>
  <c r="P108" i="30"/>
  <c r="M108" i="30"/>
  <c r="K108" i="30"/>
  <c r="H108" i="30" s="1"/>
  <c r="F108" i="30"/>
  <c r="C108" i="30"/>
  <c r="P107" i="30"/>
  <c r="M107" i="30"/>
  <c r="K107" i="30"/>
  <c r="H107" i="30"/>
  <c r="F107" i="30"/>
  <c r="C107" i="30" s="1"/>
  <c r="P106" i="30"/>
  <c r="M106" i="30"/>
  <c r="K106" i="30"/>
  <c r="H106" i="30"/>
  <c r="F106" i="30"/>
  <c r="C106" i="30"/>
  <c r="P105" i="30"/>
  <c r="M105" i="30" s="1"/>
  <c r="K105" i="30"/>
  <c r="H105" i="30"/>
  <c r="F105" i="30"/>
  <c r="C105" i="30"/>
  <c r="P104" i="30"/>
  <c r="M104" i="30"/>
  <c r="K104" i="30"/>
  <c r="H104" i="30" s="1"/>
  <c r="F104" i="30"/>
  <c r="C104" i="30"/>
  <c r="P103" i="30"/>
  <c r="M103" i="30"/>
  <c r="K103" i="30"/>
  <c r="H103" i="30"/>
  <c r="F103" i="30"/>
  <c r="C103" i="30" s="1"/>
  <c r="P102" i="30"/>
  <c r="M102" i="30"/>
  <c r="K102" i="30"/>
  <c r="H102" i="30"/>
  <c r="F102" i="30"/>
  <c r="C102" i="30"/>
  <c r="P101" i="30"/>
  <c r="M101" i="30" s="1"/>
  <c r="K101" i="30"/>
  <c r="H101" i="30"/>
  <c r="F101" i="30"/>
  <c r="C101" i="30"/>
  <c r="P100" i="30"/>
  <c r="M100" i="30"/>
  <c r="K100" i="30"/>
  <c r="H100" i="30" s="1"/>
  <c r="F100" i="30"/>
  <c r="C100" i="30"/>
  <c r="P99" i="30"/>
  <c r="M99" i="30"/>
  <c r="K99" i="30"/>
  <c r="H99" i="30"/>
  <c r="F99" i="30"/>
  <c r="C99" i="30" s="1"/>
  <c r="P98" i="30"/>
  <c r="M98" i="30"/>
  <c r="K98" i="30"/>
  <c r="H98" i="30"/>
  <c r="F98" i="30"/>
  <c r="C98" i="30"/>
  <c r="P97" i="30"/>
  <c r="M97" i="30" s="1"/>
  <c r="K97" i="30"/>
  <c r="H97" i="30"/>
  <c r="F97" i="30"/>
  <c r="C97" i="30"/>
  <c r="P96" i="30"/>
  <c r="M96" i="30"/>
  <c r="K96" i="30"/>
  <c r="H96" i="30" s="1"/>
  <c r="F96" i="30"/>
  <c r="C96" i="30"/>
  <c r="P95" i="30"/>
  <c r="M95" i="30"/>
  <c r="K95" i="30"/>
  <c r="H95" i="30"/>
  <c r="F95" i="30"/>
  <c r="C95" i="30" s="1"/>
  <c r="P94" i="30"/>
  <c r="M94" i="30"/>
  <c r="K94" i="30"/>
  <c r="H94" i="30"/>
  <c r="F94" i="30"/>
  <c r="C94" i="30"/>
  <c r="P93" i="30"/>
  <c r="M93" i="30" s="1"/>
  <c r="K93" i="30"/>
  <c r="H93" i="30"/>
  <c r="F93" i="30"/>
  <c r="C93" i="30"/>
  <c r="P92" i="30"/>
  <c r="M92" i="30"/>
  <c r="K92" i="30"/>
  <c r="H92" i="30" s="1"/>
  <c r="F92" i="30"/>
  <c r="C92" i="30"/>
  <c r="P91" i="30"/>
  <c r="M91" i="30"/>
  <c r="K91" i="30"/>
  <c r="H91" i="30"/>
  <c r="F91" i="30"/>
  <c r="C91" i="30" s="1"/>
  <c r="P90" i="30"/>
  <c r="M90" i="30"/>
  <c r="K90" i="30"/>
  <c r="H90" i="30"/>
  <c r="F90" i="30"/>
  <c r="C90" i="30"/>
  <c r="P89" i="30"/>
  <c r="M89" i="30" s="1"/>
  <c r="K89" i="30"/>
  <c r="H89" i="30"/>
  <c r="F89" i="30"/>
  <c r="C89" i="30"/>
  <c r="P88" i="30"/>
  <c r="M88" i="30"/>
  <c r="K88" i="30"/>
  <c r="H88" i="30" s="1"/>
  <c r="F88" i="30"/>
  <c r="C88" i="30"/>
  <c r="P87" i="30"/>
  <c r="M87" i="30"/>
  <c r="K87" i="30"/>
  <c r="H87" i="30"/>
  <c r="F87" i="30"/>
  <c r="C87" i="30" s="1"/>
  <c r="P86" i="30"/>
  <c r="M86" i="30"/>
  <c r="K86" i="30"/>
  <c r="H86" i="30"/>
  <c r="F86" i="30"/>
  <c r="C86" i="30"/>
  <c r="P85" i="30"/>
  <c r="M85" i="30" s="1"/>
  <c r="K85" i="30"/>
  <c r="H85" i="30"/>
  <c r="F85" i="30"/>
  <c r="C85" i="30"/>
  <c r="P84" i="30"/>
  <c r="M84" i="30"/>
  <c r="K84" i="30"/>
  <c r="H84" i="30" s="1"/>
  <c r="F84" i="30"/>
  <c r="C84" i="30"/>
  <c r="P83" i="30"/>
  <c r="M83" i="30"/>
  <c r="K83" i="30"/>
  <c r="H83" i="30"/>
  <c r="F83" i="30"/>
  <c r="C83" i="30" s="1"/>
  <c r="P82" i="30"/>
  <c r="M82" i="30"/>
  <c r="K82" i="30"/>
  <c r="H82" i="30"/>
  <c r="F82" i="30"/>
  <c r="C82" i="30"/>
  <c r="P81" i="30"/>
  <c r="M81" i="30" s="1"/>
  <c r="K81" i="30"/>
  <c r="H81" i="30"/>
  <c r="F81" i="30"/>
  <c r="C81" i="30"/>
  <c r="P80" i="30"/>
  <c r="M80" i="30"/>
  <c r="K80" i="30"/>
  <c r="H80" i="30" s="1"/>
  <c r="F80" i="30"/>
  <c r="C80" i="30"/>
  <c r="P79" i="30"/>
  <c r="M79" i="30"/>
  <c r="K79" i="30"/>
  <c r="H79" i="30"/>
  <c r="F79" i="30"/>
  <c r="C79" i="30" s="1"/>
  <c r="P78" i="30"/>
  <c r="M78" i="30"/>
  <c r="K78" i="30"/>
  <c r="H78" i="30"/>
  <c r="F78" i="30"/>
  <c r="C78" i="30"/>
  <c r="P77" i="30"/>
  <c r="M77" i="30" s="1"/>
  <c r="K77" i="30"/>
  <c r="H77" i="30"/>
  <c r="F77" i="30"/>
  <c r="C77" i="30"/>
  <c r="P76" i="30"/>
  <c r="M76" i="30"/>
  <c r="K76" i="30"/>
  <c r="H76" i="30" s="1"/>
  <c r="F76" i="30"/>
  <c r="C76" i="30"/>
  <c r="P75" i="30"/>
  <c r="M75" i="30"/>
  <c r="K75" i="30"/>
  <c r="H75" i="30"/>
  <c r="F75" i="30"/>
  <c r="C75" i="30" s="1"/>
  <c r="P74" i="30"/>
  <c r="M74" i="30"/>
  <c r="K74" i="30"/>
  <c r="H74" i="30"/>
  <c r="F74" i="30"/>
  <c r="C74" i="30"/>
  <c r="P73" i="30"/>
  <c r="M73" i="30" s="1"/>
  <c r="K73" i="30"/>
  <c r="H73" i="30"/>
  <c r="F73" i="30"/>
  <c r="C73" i="30"/>
  <c r="P72" i="30"/>
  <c r="M72" i="30"/>
  <c r="K72" i="30"/>
  <c r="H72" i="30" s="1"/>
  <c r="F72" i="30"/>
  <c r="C72" i="30"/>
  <c r="P71" i="30"/>
  <c r="M71" i="30"/>
  <c r="K71" i="30"/>
  <c r="H71" i="30"/>
  <c r="F71" i="30"/>
  <c r="C71" i="30" s="1"/>
  <c r="P70" i="30"/>
  <c r="M70" i="30"/>
  <c r="K70" i="30"/>
  <c r="H70" i="30"/>
  <c r="F70" i="30"/>
  <c r="C70" i="30"/>
  <c r="P69" i="30"/>
  <c r="M69" i="30" s="1"/>
  <c r="K69" i="30"/>
  <c r="H69" i="30"/>
  <c r="F69" i="30"/>
  <c r="C69" i="30"/>
  <c r="P68" i="30"/>
  <c r="M68" i="30"/>
  <c r="K68" i="30"/>
  <c r="H68" i="30" s="1"/>
  <c r="F68" i="30"/>
  <c r="C68" i="30"/>
  <c r="P67" i="30"/>
  <c r="M67" i="30"/>
  <c r="K67" i="30"/>
  <c r="H67" i="30"/>
  <c r="F67" i="30"/>
  <c r="C67" i="30" s="1"/>
  <c r="P66" i="30"/>
  <c r="M66" i="30"/>
  <c r="K66" i="30"/>
  <c r="H66" i="30"/>
  <c r="F66" i="30"/>
  <c r="C66" i="30"/>
  <c r="P65" i="30"/>
  <c r="M65" i="30" s="1"/>
  <c r="K65" i="30"/>
  <c r="H65" i="30"/>
  <c r="F65" i="30"/>
  <c r="C65" i="30"/>
  <c r="P64" i="30"/>
  <c r="M64" i="30"/>
  <c r="K64" i="30"/>
  <c r="H64" i="30" s="1"/>
  <c r="F64" i="30"/>
  <c r="C64" i="30"/>
  <c r="P63" i="30"/>
  <c r="M63" i="30"/>
  <c r="K63" i="30"/>
  <c r="H63" i="30"/>
  <c r="F63" i="30"/>
  <c r="C63" i="30" s="1"/>
  <c r="P62" i="30"/>
  <c r="M62" i="30"/>
  <c r="K62" i="30"/>
  <c r="H62" i="30"/>
  <c r="F62" i="30"/>
  <c r="C62" i="30"/>
  <c r="P61" i="30"/>
  <c r="M61" i="30" s="1"/>
  <c r="K61" i="30"/>
  <c r="H61" i="30"/>
  <c r="F61" i="30"/>
  <c r="C61" i="30"/>
  <c r="P60" i="30"/>
  <c r="M60" i="30"/>
  <c r="K60" i="30"/>
  <c r="H60" i="30" s="1"/>
  <c r="F60" i="30"/>
  <c r="C60" i="30"/>
  <c r="P59" i="30"/>
  <c r="M59" i="30"/>
  <c r="K59" i="30"/>
  <c r="H59" i="30"/>
  <c r="F59" i="30"/>
  <c r="C59" i="30" s="1"/>
  <c r="P58" i="30"/>
  <c r="M58" i="30"/>
  <c r="K58" i="30"/>
  <c r="H58" i="30"/>
  <c r="F58" i="30"/>
  <c r="C58" i="30"/>
  <c r="P57" i="30"/>
  <c r="M57" i="30" s="1"/>
  <c r="K57" i="30"/>
  <c r="H57" i="30"/>
  <c r="F57" i="30"/>
  <c r="C57" i="30"/>
  <c r="P56" i="30"/>
  <c r="M56" i="30"/>
  <c r="K56" i="30"/>
  <c r="H56" i="30" s="1"/>
  <c r="F56" i="30"/>
  <c r="C56" i="30"/>
  <c r="P55" i="30"/>
  <c r="M55" i="30"/>
  <c r="K55" i="30"/>
  <c r="H55" i="30"/>
  <c r="F55" i="30"/>
  <c r="C55" i="30" s="1"/>
  <c r="P54" i="30"/>
  <c r="M54" i="30"/>
  <c r="K54" i="30"/>
  <c r="H54" i="30"/>
  <c r="F54" i="30"/>
  <c r="C54" i="30"/>
  <c r="P53" i="30"/>
  <c r="M53" i="30" s="1"/>
  <c r="K53" i="30"/>
  <c r="H53" i="30"/>
  <c r="F53" i="30"/>
  <c r="C53" i="30"/>
  <c r="P52" i="30"/>
  <c r="M52" i="30"/>
  <c r="K52" i="30"/>
  <c r="H52" i="30" s="1"/>
  <c r="F52" i="30"/>
  <c r="C52" i="30"/>
  <c r="P51" i="30"/>
  <c r="M51" i="30"/>
  <c r="K51" i="30"/>
  <c r="H51" i="30"/>
  <c r="F51" i="30"/>
  <c r="C51" i="30" s="1"/>
  <c r="P50" i="30"/>
  <c r="M50" i="30"/>
  <c r="K50" i="30"/>
  <c r="H50" i="30"/>
  <c r="F50" i="30"/>
  <c r="C50" i="30"/>
  <c r="P49" i="30"/>
  <c r="M49" i="30" s="1"/>
  <c r="K49" i="30"/>
  <c r="H49" i="30"/>
  <c r="F49" i="30"/>
  <c r="C49" i="30"/>
  <c r="P48" i="30"/>
  <c r="M48" i="30"/>
  <c r="K48" i="30"/>
  <c r="H48" i="30" s="1"/>
  <c r="F48" i="30"/>
  <c r="C48" i="30"/>
  <c r="P47" i="30"/>
  <c r="M47" i="30"/>
  <c r="K47" i="30"/>
  <c r="H47" i="30"/>
  <c r="F47" i="30"/>
  <c r="C47" i="30" s="1"/>
  <c r="P46" i="30"/>
  <c r="M46" i="30"/>
  <c r="K46" i="30"/>
  <c r="H46" i="30"/>
  <c r="F46" i="30"/>
  <c r="C46" i="30"/>
  <c r="P45" i="30"/>
  <c r="M45" i="30" s="1"/>
  <c r="K45" i="30"/>
  <c r="H45" i="30"/>
  <c r="F45" i="30"/>
  <c r="C45" i="30"/>
  <c r="P44" i="30"/>
  <c r="M44" i="30"/>
  <c r="K44" i="30"/>
  <c r="H44" i="30" s="1"/>
  <c r="F44" i="30"/>
  <c r="C44" i="30"/>
  <c r="P43" i="30"/>
  <c r="M43" i="30"/>
  <c r="K43" i="30"/>
  <c r="H43" i="30"/>
  <c r="F43" i="30"/>
  <c r="C43" i="30" s="1"/>
  <c r="P42" i="30"/>
  <c r="M42" i="30"/>
  <c r="K42" i="30"/>
  <c r="H42" i="30"/>
  <c r="F42" i="30"/>
  <c r="C42" i="30"/>
  <c r="P41" i="30"/>
  <c r="M41" i="30" s="1"/>
  <c r="K41" i="30"/>
  <c r="H41" i="30"/>
  <c r="F41" i="30"/>
  <c r="C41" i="30"/>
  <c r="P40" i="30"/>
  <c r="M40" i="30"/>
  <c r="K40" i="30"/>
  <c r="H40" i="30" s="1"/>
  <c r="F40" i="30"/>
  <c r="C40" i="30"/>
  <c r="P39" i="30"/>
  <c r="M39" i="30"/>
  <c r="K39" i="30"/>
  <c r="H39" i="30"/>
  <c r="F39" i="30"/>
  <c r="C39" i="30" s="1"/>
  <c r="P38" i="30"/>
  <c r="M38" i="30"/>
  <c r="K38" i="30"/>
  <c r="H38" i="30"/>
  <c r="F38" i="30"/>
  <c r="C38" i="30"/>
  <c r="P37" i="30"/>
  <c r="M37" i="30" s="1"/>
  <c r="K37" i="30"/>
  <c r="H37" i="30"/>
  <c r="F37" i="30"/>
  <c r="C37" i="30"/>
  <c r="P36" i="30"/>
  <c r="M36" i="30"/>
  <c r="K36" i="30"/>
  <c r="H36" i="30" s="1"/>
  <c r="F36" i="30"/>
  <c r="C36" i="30"/>
  <c r="P35" i="30"/>
  <c r="M35" i="30"/>
  <c r="K35" i="30"/>
  <c r="H35" i="30"/>
  <c r="F35" i="30"/>
  <c r="C35" i="30" s="1"/>
  <c r="P34" i="30"/>
  <c r="M34" i="30"/>
  <c r="K34" i="30"/>
  <c r="H34" i="30"/>
  <c r="F34" i="30"/>
  <c r="C34" i="30"/>
  <c r="P33" i="30"/>
  <c r="M33" i="30" s="1"/>
  <c r="K33" i="30"/>
  <c r="H33" i="30"/>
  <c r="F33" i="30"/>
  <c r="C33" i="30"/>
  <c r="P32" i="30"/>
  <c r="M32" i="30"/>
  <c r="K32" i="30"/>
  <c r="H32" i="30" s="1"/>
  <c r="F32" i="30"/>
  <c r="C32" i="30"/>
  <c r="P31" i="30"/>
  <c r="M31" i="30"/>
  <c r="K31" i="30"/>
  <c r="H31" i="30"/>
  <c r="F31" i="30"/>
  <c r="C31" i="30" s="1"/>
  <c r="P30" i="30"/>
  <c r="M30" i="30"/>
  <c r="K30" i="30"/>
  <c r="H30" i="30"/>
  <c r="F30" i="30"/>
  <c r="C30" i="30"/>
  <c r="P29" i="30"/>
  <c r="M29" i="30" s="1"/>
  <c r="K29" i="30"/>
  <c r="H29" i="30"/>
  <c r="F29" i="30"/>
  <c r="C29" i="30"/>
  <c r="P28" i="30"/>
  <c r="M28" i="30"/>
  <c r="K28" i="30"/>
  <c r="H28" i="30" s="1"/>
  <c r="F28" i="30"/>
  <c r="C28" i="30"/>
  <c r="P27" i="30"/>
  <c r="M27" i="30"/>
  <c r="K27" i="30"/>
  <c r="H27" i="30"/>
  <c r="F27" i="30"/>
  <c r="C27" i="30" s="1"/>
  <c r="P26" i="30"/>
  <c r="M26" i="30"/>
  <c r="K26" i="30"/>
  <c r="H26" i="30"/>
  <c r="F26" i="30"/>
  <c r="C26" i="30"/>
  <c r="P25" i="30"/>
  <c r="M25" i="30" s="1"/>
  <c r="K25" i="30"/>
  <c r="H25" i="30"/>
  <c r="F25" i="30"/>
  <c r="C25" i="30"/>
  <c r="P24" i="30"/>
  <c r="M24" i="30"/>
  <c r="K24" i="30"/>
  <c r="H24" i="30" s="1"/>
  <c r="F24" i="30"/>
  <c r="C24" i="30"/>
  <c r="P23" i="30"/>
  <c r="M23" i="30"/>
  <c r="L23" i="30"/>
  <c r="L24" i="30" s="1"/>
  <c r="L25" i="30" s="1"/>
  <c r="L26" i="30" s="1"/>
  <c r="L27" i="30" s="1"/>
  <c r="L28" i="30" s="1"/>
  <c r="L29" i="30" s="1"/>
  <c r="L30" i="30" s="1"/>
  <c r="L31" i="30" s="1"/>
  <c r="L32" i="30" s="1"/>
  <c r="L33" i="30" s="1"/>
  <c r="L34" i="30" s="1"/>
  <c r="L35" i="30" s="1"/>
  <c r="L36" i="30" s="1"/>
  <c r="L37" i="30" s="1"/>
  <c r="L38" i="30" s="1"/>
  <c r="L39" i="30" s="1"/>
  <c r="L40" i="30" s="1"/>
  <c r="L41" i="30" s="1"/>
  <c r="L42" i="30" s="1"/>
  <c r="L43" i="30" s="1"/>
  <c r="L44" i="30" s="1"/>
  <c r="L45" i="30" s="1"/>
  <c r="L46" i="30" s="1"/>
  <c r="L47" i="30" s="1"/>
  <c r="L48" i="30" s="1"/>
  <c r="L49" i="30" s="1"/>
  <c r="L50" i="30" s="1"/>
  <c r="L51" i="30" s="1"/>
  <c r="L52" i="30" s="1"/>
  <c r="L53" i="30" s="1"/>
  <c r="L54" i="30" s="1"/>
  <c r="L55" i="30" s="1"/>
  <c r="L56" i="30" s="1"/>
  <c r="L57" i="30" s="1"/>
  <c r="L58" i="30" s="1"/>
  <c r="L59" i="30" s="1"/>
  <c r="L60" i="30" s="1"/>
  <c r="L61" i="30" s="1"/>
  <c r="L62" i="30" s="1"/>
  <c r="L63" i="30" s="1"/>
  <c r="L64" i="30" s="1"/>
  <c r="L65" i="30" s="1"/>
  <c r="L66" i="30" s="1"/>
  <c r="L67" i="30" s="1"/>
  <c r="L68" i="30" s="1"/>
  <c r="L69" i="30" s="1"/>
  <c r="L70" i="30" s="1"/>
  <c r="L71" i="30" s="1"/>
  <c r="L72" i="30" s="1"/>
  <c r="L73" i="30" s="1"/>
  <c r="L74" i="30" s="1"/>
  <c r="L75" i="30" s="1"/>
  <c r="L76" i="30" s="1"/>
  <c r="L77" i="30" s="1"/>
  <c r="L78" i="30" s="1"/>
  <c r="L79" i="30" s="1"/>
  <c r="L80" i="30" s="1"/>
  <c r="L81" i="30" s="1"/>
  <c r="L82" i="30" s="1"/>
  <c r="L83" i="30" s="1"/>
  <c r="L84" i="30" s="1"/>
  <c r="L85" i="30" s="1"/>
  <c r="L86" i="30" s="1"/>
  <c r="K23" i="30"/>
  <c r="H23" i="30"/>
  <c r="F23" i="30"/>
  <c r="C23" i="30" s="1"/>
  <c r="P22" i="30"/>
  <c r="M22" i="30"/>
  <c r="L22" i="30"/>
  <c r="K22" i="30"/>
  <c r="H22" i="30"/>
  <c r="G22" i="30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s="1"/>
  <c r="G34" i="30" s="1"/>
  <c r="G35" i="30" s="1"/>
  <c r="G36" i="30" s="1"/>
  <c r="G37" i="30" s="1"/>
  <c r="G38" i="30" s="1"/>
  <c r="G39" i="30" s="1"/>
  <c r="G40" i="30" s="1"/>
  <c r="G41" i="30" s="1"/>
  <c r="G42" i="30" s="1"/>
  <c r="G43" i="30" s="1"/>
  <c r="G44" i="30" s="1"/>
  <c r="G45" i="30" s="1"/>
  <c r="G46" i="30" s="1"/>
  <c r="G47" i="30" s="1"/>
  <c r="G48" i="30" s="1"/>
  <c r="G49" i="30" s="1"/>
  <c r="G50" i="30" s="1"/>
  <c r="G51" i="30" s="1"/>
  <c r="G52" i="30" s="1"/>
  <c r="G53" i="30" s="1"/>
  <c r="G54" i="30" s="1"/>
  <c r="G55" i="30" s="1"/>
  <c r="G56" i="30" s="1"/>
  <c r="G57" i="30" s="1"/>
  <c r="G58" i="30" s="1"/>
  <c r="G59" i="30" s="1"/>
  <c r="G60" i="30" s="1"/>
  <c r="G61" i="30" s="1"/>
  <c r="G62" i="30" s="1"/>
  <c r="G63" i="30" s="1"/>
  <c r="G64" i="30" s="1"/>
  <c r="G65" i="30" s="1"/>
  <c r="G66" i="30" s="1"/>
  <c r="G67" i="30" s="1"/>
  <c r="G68" i="30" s="1"/>
  <c r="G69" i="30" s="1"/>
  <c r="G70" i="30" s="1"/>
  <c r="G71" i="30" s="1"/>
  <c r="G72" i="30" s="1"/>
  <c r="G73" i="30" s="1"/>
  <c r="G74" i="30" s="1"/>
  <c r="G75" i="30" s="1"/>
  <c r="G76" i="30" s="1"/>
  <c r="G77" i="30" s="1"/>
  <c r="G78" i="30" s="1"/>
  <c r="G79" i="30" s="1"/>
  <c r="G80" i="30" s="1"/>
  <c r="G81" i="30" s="1"/>
  <c r="G82" i="30" s="1"/>
  <c r="G83" i="30" s="1"/>
  <c r="G84" i="30" s="1"/>
  <c r="G85" i="30" s="1"/>
  <c r="G86" i="30" s="1"/>
  <c r="G87" i="30" s="1"/>
  <c r="G88" i="30" s="1"/>
  <c r="G89" i="30" s="1"/>
  <c r="G90" i="30" s="1"/>
  <c r="G91" i="30" s="1"/>
  <c r="G92" i="30" s="1"/>
  <c r="G93" i="30" s="1"/>
  <c r="G94" i="30" s="1"/>
  <c r="G95" i="30" s="1"/>
  <c r="G96" i="30" s="1"/>
  <c r="G97" i="30" s="1"/>
  <c r="G98" i="30" s="1"/>
  <c r="G99" i="30" s="1"/>
  <c r="G100" i="30" s="1"/>
  <c r="G101" i="30" s="1"/>
  <c r="G102" i="30" s="1"/>
  <c r="G103" i="30" s="1"/>
  <c r="G104" i="30" s="1"/>
  <c r="G105" i="30" s="1"/>
  <c r="G106" i="30" s="1"/>
  <c r="G107" i="30" s="1"/>
  <c r="G108" i="30" s="1"/>
  <c r="G109" i="30" s="1"/>
  <c r="G110" i="30" s="1"/>
  <c r="G111" i="30" s="1"/>
  <c r="G112" i="30" s="1"/>
  <c r="G113" i="30" s="1"/>
  <c r="G114" i="30" s="1"/>
  <c r="G115" i="30" s="1"/>
  <c r="G116" i="30" s="1"/>
  <c r="G117" i="30" s="1"/>
  <c r="G118" i="30" s="1"/>
  <c r="G119" i="30" s="1"/>
  <c r="G120" i="30" s="1"/>
  <c r="G121" i="30" s="1"/>
  <c r="G122" i="30" s="1"/>
  <c r="G123" i="30" s="1"/>
  <c r="G124" i="30" s="1"/>
  <c r="G125" i="30" s="1"/>
  <c r="G126" i="30" s="1"/>
  <c r="G127" i="30" s="1"/>
  <c r="G128" i="30" s="1"/>
  <c r="G129" i="30" s="1"/>
  <c r="G130" i="30" s="1"/>
  <c r="G131" i="30" s="1"/>
  <c r="G132" i="30" s="1"/>
  <c r="G133" i="30" s="1"/>
  <c r="G134" i="30" s="1"/>
  <c r="G135" i="30" s="1"/>
  <c r="G136" i="30" s="1"/>
  <c r="G137" i="30" s="1"/>
  <c r="G138" i="30" s="1"/>
  <c r="G139" i="30" s="1"/>
  <c r="G140" i="30" s="1"/>
  <c r="G141" i="30" s="1"/>
  <c r="G142" i="30" s="1"/>
  <c r="G143" i="30" s="1"/>
  <c r="G144" i="30" s="1"/>
  <c r="G145" i="30" s="1"/>
  <c r="G146" i="30" s="1"/>
  <c r="G147" i="30" s="1"/>
  <c r="G148" i="30" s="1"/>
  <c r="G149" i="30" s="1"/>
  <c r="G150" i="30" s="1"/>
  <c r="G151" i="30" s="1"/>
  <c r="G152" i="30" s="1"/>
  <c r="G153" i="30" s="1"/>
  <c r="G154" i="30" s="1"/>
  <c r="G155" i="30" s="1"/>
  <c r="G156" i="30" s="1"/>
  <c r="G157" i="30" s="1"/>
  <c r="G158" i="30" s="1"/>
  <c r="G159" i="30" s="1"/>
  <c r="G160" i="30" s="1"/>
  <c r="G161" i="30" s="1"/>
  <c r="G162" i="30" s="1"/>
  <c r="G163" i="30" s="1"/>
  <c r="G164" i="30" s="1"/>
  <c r="G165" i="30" s="1"/>
  <c r="G166" i="30" s="1"/>
  <c r="G167" i="30" s="1"/>
  <c r="G168" i="30" s="1"/>
  <c r="G169" i="30" s="1"/>
  <c r="G170" i="30" s="1"/>
  <c r="G171" i="30" s="1"/>
  <c r="F22" i="30"/>
  <c r="C22" i="30"/>
  <c r="B22" i="30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P21" i="30"/>
  <c r="K21" i="30"/>
  <c r="B20" i="30"/>
  <c r="C20" i="30" s="1"/>
  <c r="D20" i="30" s="1"/>
  <c r="E20" i="30" s="1"/>
  <c r="F20" i="30" s="1"/>
  <c r="G20" i="30" s="1"/>
  <c r="H20" i="30" s="1"/>
  <c r="I20" i="30" s="1"/>
  <c r="J20" i="30" s="1"/>
  <c r="K20" i="30" s="1"/>
  <c r="L20" i="30" s="1"/>
  <c r="M20" i="30" s="1"/>
  <c r="N20" i="30" s="1"/>
  <c r="O20" i="30" s="1"/>
  <c r="P20" i="30" s="1"/>
  <c r="Q20" i="30" s="1"/>
  <c r="R20" i="30" s="1"/>
  <c r="F9" i="30"/>
  <c r="A3" i="30"/>
  <c r="P171" i="29"/>
  <c r="K171" i="29"/>
  <c r="F171" i="29"/>
  <c r="P170" i="29"/>
  <c r="M170" i="29"/>
  <c r="K170" i="29"/>
  <c r="H170" i="29"/>
  <c r="F170" i="29"/>
  <c r="C170" i="29"/>
  <c r="P169" i="29"/>
  <c r="M169" i="29" s="1"/>
  <c r="K169" i="29"/>
  <c r="H169" i="29"/>
  <c r="F169" i="29"/>
  <c r="C169" i="29"/>
  <c r="P168" i="29"/>
  <c r="M168" i="29"/>
  <c r="K168" i="29"/>
  <c r="H168" i="29" s="1"/>
  <c r="F168" i="29"/>
  <c r="C168" i="29"/>
  <c r="P167" i="29"/>
  <c r="M167" i="29"/>
  <c r="K167" i="29"/>
  <c r="H167" i="29"/>
  <c r="F167" i="29"/>
  <c r="C167" i="29" s="1"/>
  <c r="P166" i="29"/>
  <c r="M166" i="29"/>
  <c r="K166" i="29"/>
  <c r="H166" i="29"/>
  <c r="F166" i="29"/>
  <c r="C166" i="29"/>
  <c r="P165" i="29"/>
  <c r="M165" i="29" s="1"/>
  <c r="K165" i="29"/>
  <c r="H165" i="29"/>
  <c r="F165" i="29"/>
  <c r="C165" i="29"/>
  <c r="P164" i="29"/>
  <c r="M164" i="29"/>
  <c r="K164" i="29"/>
  <c r="H164" i="29" s="1"/>
  <c r="F164" i="29"/>
  <c r="C164" i="29"/>
  <c r="P163" i="29"/>
  <c r="M163" i="29"/>
  <c r="K163" i="29"/>
  <c r="H163" i="29"/>
  <c r="F163" i="29"/>
  <c r="C163" i="29" s="1"/>
  <c r="P162" i="29"/>
  <c r="M162" i="29"/>
  <c r="K162" i="29"/>
  <c r="H162" i="29"/>
  <c r="F162" i="29"/>
  <c r="C162" i="29"/>
  <c r="P161" i="29"/>
  <c r="M161" i="29" s="1"/>
  <c r="K161" i="29"/>
  <c r="H161" i="29"/>
  <c r="F161" i="29"/>
  <c r="C161" i="29"/>
  <c r="P160" i="29"/>
  <c r="M160" i="29"/>
  <c r="K160" i="29"/>
  <c r="H160" i="29" s="1"/>
  <c r="F160" i="29"/>
  <c r="C160" i="29"/>
  <c r="P159" i="29"/>
  <c r="M159" i="29"/>
  <c r="K159" i="29"/>
  <c r="H159" i="29"/>
  <c r="F159" i="29"/>
  <c r="C159" i="29" s="1"/>
  <c r="P158" i="29"/>
  <c r="M158" i="29"/>
  <c r="K158" i="29"/>
  <c r="H158" i="29"/>
  <c r="F158" i="29"/>
  <c r="C158" i="29"/>
  <c r="P157" i="29"/>
  <c r="M157" i="29" s="1"/>
  <c r="K157" i="29"/>
  <c r="H157" i="29"/>
  <c r="F157" i="29"/>
  <c r="C157" i="29"/>
  <c r="P156" i="29"/>
  <c r="M156" i="29"/>
  <c r="K156" i="29"/>
  <c r="H156" i="29" s="1"/>
  <c r="F156" i="29"/>
  <c r="C156" i="29"/>
  <c r="P155" i="29"/>
  <c r="M155" i="29"/>
  <c r="K155" i="29"/>
  <c r="H155" i="29"/>
  <c r="F155" i="29"/>
  <c r="C155" i="29" s="1"/>
  <c r="P154" i="29"/>
  <c r="M154" i="29"/>
  <c r="K154" i="29"/>
  <c r="H154" i="29"/>
  <c r="F154" i="29"/>
  <c r="C154" i="29"/>
  <c r="P153" i="29"/>
  <c r="M153" i="29" s="1"/>
  <c r="K153" i="29"/>
  <c r="H153" i="29"/>
  <c r="F153" i="29"/>
  <c r="C153" i="29"/>
  <c r="P152" i="29"/>
  <c r="M152" i="29"/>
  <c r="K152" i="29"/>
  <c r="H152" i="29" s="1"/>
  <c r="F152" i="29"/>
  <c r="C152" i="29"/>
  <c r="P151" i="29"/>
  <c r="M151" i="29"/>
  <c r="K151" i="29"/>
  <c r="H151" i="29"/>
  <c r="F151" i="29"/>
  <c r="C151" i="29" s="1"/>
  <c r="P150" i="29"/>
  <c r="M150" i="29"/>
  <c r="K150" i="29"/>
  <c r="H150" i="29"/>
  <c r="F150" i="29"/>
  <c r="C150" i="29"/>
  <c r="P149" i="29"/>
  <c r="M149" i="29" s="1"/>
  <c r="K149" i="29"/>
  <c r="H149" i="29"/>
  <c r="F149" i="29"/>
  <c r="C149" i="29"/>
  <c r="P148" i="29"/>
  <c r="M148" i="29"/>
  <c r="K148" i="29"/>
  <c r="H148" i="29" s="1"/>
  <c r="F148" i="29"/>
  <c r="C148" i="29"/>
  <c r="P147" i="29"/>
  <c r="M147" i="29"/>
  <c r="K147" i="29"/>
  <c r="H147" i="29"/>
  <c r="F147" i="29"/>
  <c r="C147" i="29" s="1"/>
  <c r="P146" i="29"/>
  <c r="M146" i="29"/>
  <c r="K146" i="29"/>
  <c r="H146" i="29"/>
  <c r="F146" i="29"/>
  <c r="C146" i="29"/>
  <c r="P145" i="29"/>
  <c r="M145" i="29" s="1"/>
  <c r="K145" i="29"/>
  <c r="H145" i="29"/>
  <c r="F145" i="29"/>
  <c r="C145" i="29"/>
  <c r="P144" i="29"/>
  <c r="M144" i="29"/>
  <c r="K144" i="29"/>
  <c r="H144" i="29" s="1"/>
  <c r="F144" i="29"/>
  <c r="C144" i="29"/>
  <c r="P143" i="29"/>
  <c r="M143" i="29"/>
  <c r="K143" i="29"/>
  <c r="H143" i="29"/>
  <c r="F143" i="29"/>
  <c r="C143" i="29" s="1"/>
  <c r="P142" i="29"/>
  <c r="M142" i="29"/>
  <c r="K142" i="29"/>
  <c r="H142" i="29"/>
  <c r="F142" i="29"/>
  <c r="C142" i="29"/>
  <c r="P141" i="29"/>
  <c r="M141" i="29" s="1"/>
  <c r="K141" i="29"/>
  <c r="H141" i="29"/>
  <c r="F141" i="29"/>
  <c r="C141" i="29"/>
  <c r="P140" i="29"/>
  <c r="M140" i="29"/>
  <c r="K140" i="29"/>
  <c r="H140" i="29" s="1"/>
  <c r="F140" i="29"/>
  <c r="C140" i="29"/>
  <c r="P139" i="29"/>
  <c r="M139" i="29"/>
  <c r="K139" i="29"/>
  <c r="H139" i="29"/>
  <c r="F139" i="29"/>
  <c r="C139" i="29" s="1"/>
  <c r="P138" i="29"/>
  <c r="M138" i="29"/>
  <c r="K138" i="29"/>
  <c r="H138" i="29"/>
  <c r="F138" i="29"/>
  <c r="C138" i="29"/>
  <c r="P137" i="29"/>
  <c r="M137" i="29" s="1"/>
  <c r="K137" i="29"/>
  <c r="H137" i="29"/>
  <c r="F137" i="29"/>
  <c r="C137" i="29"/>
  <c r="P136" i="29"/>
  <c r="M136" i="29"/>
  <c r="K136" i="29"/>
  <c r="H136" i="29" s="1"/>
  <c r="F136" i="29"/>
  <c r="C136" i="29"/>
  <c r="P135" i="29"/>
  <c r="M135" i="29"/>
  <c r="K135" i="29"/>
  <c r="H135" i="29"/>
  <c r="F135" i="29"/>
  <c r="C135" i="29" s="1"/>
  <c r="P134" i="29"/>
  <c r="M134" i="29"/>
  <c r="K134" i="29"/>
  <c r="H134" i="29"/>
  <c r="F134" i="29"/>
  <c r="C134" i="29"/>
  <c r="P133" i="29"/>
  <c r="M133" i="29" s="1"/>
  <c r="K133" i="29"/>
  <c r="H133" i="29"/>
  <c r="F133" i="29"/>
  <c r="C133" i="29"/>
  <c r="P132" i="29"/>
  <c r="M132" i="29"/>
  <c r="K132" i="29"/>
  <c r="H132" i="29" s="1"/>
  <c r="F132" i="29"/>
  <c r="C132" i="29"/>
  <c r="P131" i="29"/>
  <c r="M131" i="29"/>
  <c r="K131" i="29"/>
  <c r="H131" i="29"/>
  <c r="F131" i="29"/>
  <c r="C131" i="29" s="1"/>
  <c r="P130" i="29"/>
  <c r="M130" i="29"/>
  <c r="K130" i="29"/>
  <c r="H130" i="29"/>
  <c r="F130" i="29"/>
  <c r="C130" i="29"/>
  <c r="P129" i="29"/>
  <c r="M129" i="29" s="1"/>
  <c r="K129" i="29"/>
  <c r="H129" i="29"/>
  <c r="F129" i="29"/>
  <c r="C129" i="29"/>
  <c r="P128" i="29"/>
  <c r="M128" i="29"/>
  <c r="K128" i="29"/>
  <c r="H128" i="29" s="1"/>
  <c r="F128" i="29"/>
  <c r="C128" i="29"/>
  <c r="P127" i="29"/>
  <c r="M127" i="29"/>
  <c r="K127" i="29"/>
  <c r="H127" i="29"/>
  <c r="F127" i="29"/>
  <c r="C127" i="29" s="1"/>
  <c r="P126" i="29"/>
  <c r="M126" i="29"/>
  <c r="K126" i="29"/>
  <c r="H126" i="29"/>
  <c r="F126" i="29"/>
  <c r="C126" i="29"/>
  <c r="P125" i="29"/>
  <c r="M125" i="29" s="1"/>
  <c r="K125" i="29"/>
  <c r="H125" i="29"/>
  <c r="F125" i="29"/>
  <c r="C125" i="29"/>
  <c r="P124" i="29"/>
  <c r="M124" i="29"/>
  <c r="K124" i="29"/>
  <c r="H124" i="29" s="1"/>
  <c r="F124" i="29"/>
  <c r="C124" i="29"/>
  <c r="P123" i="29"/>
  <c r="M123" i="29"/>
  <c r="K123" i="29"/>
  <c r="H123" i="29"/>
  <c r="F123" i="29"/>
  <c r="C123" i="29" s="1"/>
  <c r="P122" i="29"/>
  <c r="M122" i="29"/>
  <c r="K122" i="29"/>
  <c r="H122" i="29"/>
  <c r="F122" i="29"/>
  <c r="C122" i="29"/>
  <c r="P121" i="29"/>
  <c r="M121" i="29" s="1"/>
  <c r="K121" i="29"/>
  <c r="H121" i="29"/>
  <c r="F121" i="29"/>
  <c r="C121" i="29"/>
  <c r="P120" i="29"/>
  <c r="M120" i="29"/>
  <c r="K120" i="29"/>
  <c r="H120" i="29" s="1"/>
  <c r="F120" i="29"/>
  <c r="C120" i="29"/>
  <c r="P119" i="29"/>
  <c r="M119" i="29"/>
  <c r="K119" i="29"/>
  <c r="H119" i="29"/>
  <c r="F119" i="29"/>
  <c r="C119" i="29" s="1"/>
  <c r="P118" i="29"/>
  <c r="M118" i="29"/>
  <c r="K118" i="29"/>
  <c r="H118" i="29"/>
  <c r="F118" i="29"/>
  <c r="C118" i="29"/>
  <c r="P117" i="29"/>
  <c r="M117" i="29" s="1"/>
  <c r="K117" i="29"/>
  <c r="H117" i="29"/>
  <c r="F117" i="29"/>
  <c r="C117" i="29"/>
  <c r="P116" i="29"/>
  <c r="M116" i="29"/>
  <c r="K116" i="29"/>
  <c r="H116" i="29" s="1"/>
  <c r="F116" i="29"/>
  <c r="C116" i="29"/>
  <c r="P115" i="29"/>
  <c r="M115" i="29"/>
  <c r="K115" i="29"/>
  <c r="H115" i="29"/>
  <c r="F115" i="29"/>
  <c r="C115" i="29" s="1"/>
  <c r="P114" i="29"/>
  <c r="M114" i="29"/>
  <c r="K114" i="29"/>
  <c r="H114" i="29"/>
  <c r="F114" i="29"/>
  <c r="C114" i="29"/>
  <c r="P113" i="29"/>
  <c r="M113" i="29" s="1"/>
  <c r="K113" i="29"/>
  <c r="H113" i="29"/>
  <c r="F113" i="29"/>
  <c r="C113" i="29"/>
  <c r="P112" i="29"/>
  <c r="M112" i="29"/>
  <c r="K112" i="29"/>
  <c r="H112" i="29" s="1"/>
  <c r="F112" i="29"/>
  <c r="C112" i="29"/>
  <c r="P111" i="29"/>
  <c r="M111" i="29"/>
  <c r="K111" i="29"/>
  <c r="H111" i="29"/>
  <c r="F111" i="29"/>
  <c r="C111" i="29" s="1"/>
  <c r="P110" i="29"/>
  <c r="M110" i="29"/>
  <c r="K110" i="29"/>
  <c r="H110" i="29"/>
  <c r="F110" i="29"/>
  <c r="C110" i="29"/>
  <c r="P109" i="29"/>
  <c r="M109" i="29" s="1"/>
  <c r="K109" i="29"/>
  <c r="H109" i="29"/>
  <c r="F109" i="29"/>
  <c r="C109" i="29"/>
  <c r="P108" i="29"/>
  <c r="M108" i="29"/>
  <c r="K108" i="29"/>
  <c r="H108" i="29" s="1"/>
  <c r="F108" i="29"/>
  <c r="C108" i="29"/>
  <c r="P107" i="29"/>
  <c r="M107" i="29"/>
  <c r="K107" i="29"/>
  <c r="H107" i="29"/>
  <c r="F107" i="29"/>
  <c r="C107" i="29" s="1"/>
  <c r="P106" i="29"/>
  <c r="M106" i="29"/>
  <c r="K106" i="29"/>
  <c r="H106" i="29"/>
  <c r="F106" i="29"/>
  <c r="C106" i="29"/>
  <c r="P105" i="29"/>
  <c r="M105" i="29" s="1"/>
  <c r="K105" i="29"/>
  <c r="H105" i="29"/>
  <c r="F105" i="29"/>
  <c r="C105" i="29"/>
  <c r="P104" i="29"/>
  <c r="M104" i="29"/>
  <c r="K104" i="29"/>
  <c r="H104" i="29" s="1"/>
  <c r="F104" i="29"/>
  <c r="C104" i="29"/>
  <c r="P103" i="29"/>
  <c r="M103" i="29"/>
  <c r="K103" i="29"/>
  <c r="H103" i="29"/>
  <c r="F103" i="29"/>
  <c r="C103" i="29" s="1"/>
  <c r="P102" i="29"/>
  <c r="M102" i="29"/>
  <c r="K102" i="29"/>
  <c r="H102" i="29"/>
  <c r="F102" i="29"/>
  <c r="C102" i="29"/>
  <c r="P101" i="29"/>
  <c r="M101" i="29" s="1"/>
  <c r="K101" i="29"/>
  <c r="H101" i="29"/>
  <c r="F101" i="29"/>
  <c r="C101" i="29"/>
  <c r="P100" i="29"/>
  <c r="M100" i="29"/>
  <c r="K100" i="29"/>
  <c r="H100" i="29" s="1"/>
  <c r="F100" i="29"/>
  <c r="C100" i="29"/>
  <c r="P99" i="29"/>
  <c r="M99" i="29"/>
  <c r="K99" i="29"/>
  <c r="H99" i="29"/>
  <c r="F99" i="29"/>
  <c r="C99" i="29" s="1"/>
  <c r="P98" i="29"/>
  <c r="M98" i="29"/>
  <c r="K98" i="29"/>
  <c r="H98" i="29"/>
  <c r="F98" i="29"/>
  <c r="C98" i="29"/>
  <c r="P97" i="29"/>
  <c r="M97" i="29" s="1"/>
  <c r="K97" i="29"/>
  <c r="H97" i="29"/>
  <c r="F97" i="29"/>
  <c r="C97" i="29"/>
  <c r="P96" i="29"/>
  <c r="M96" i="29"/>
  <c r="K96" i="29"/>
  <c r="H96" i="29" s="1"/>
  <c r="F96" i="29"/>
  <c r="C96" i="29"/>
  <c r="P95" i="29"/>
  <c r="M95" i="29"/>
  <c r="K95" i="29"/>
  <c r="H95" i="29"/>
  <c r="F95" i="29"/>
  <c r="C95" i="29" s="1"/>
  <c r="P94" i="29"/>
  <c r="M94" i="29"/>
  <c r="K94" i="29"/>
  <c r="H94" i="29"/>
  <c r="F94" i="29"/>
  <c r="C94" i="29"/>
  <c r="P93" i="29"/>
  <c r="M93" i="29" s="1"/>
  <c r="K93" i="29"/>
  <c r="H93" i="29"/>
  <c r="F93" i="29"/>
  <c r="C93" i="29"/>
  <c r="P92" i="29"/>
  <c r="M92" i="29"/>
  <c r="K92" i="29"/>
  <c r="H92" i="29" s="1"/>
  <c r="F92" i="29"/>
  <c r="C92" i="29"/>
  <c r="P91" i="29"/>
  <c r="M91" i="29"/>
  <c r="K91" i="29"/>
  <c r="H91" i="29"/>
  <c r="F91" i="29"/>
  <c r="C91" i="29" s="1"/>
  <c r="P90" i="29"/>
  <c r="M90" i="29"/>
  <c r="K90" i="29"/>
  <c r="H90" i="29"/>
  <c r="F90" i="29"/>
  <c r="C90" i="29"/>
  <c r="P89" i="29"/>
  <c r="M89" i="29" s="1"/>
  <c r="K89" i="29"/>
  <c r="H89" i="29"/>
  <c r="F89" i="29"/>
  <c r="C89" i="29"/>
  <c r="P88" i="29"/>
  <c r="M88" i="29"/>
  <c r="K88" i="29"/>
  <c r="H88" i="29" s="1"/>
  <c r="F88" i="29"/>
  <c r="C88" i="29"/>
  <c r="P87" i="29"/>
  <c r="M87" i="29"/>
  <c r="K87" i="29"/>
  <c r="H87" i="29"/>
  <c r="F87" i="29"/>
  <c r="C87" i="29" s="1"/>
  <c r="P86" i="29"/>
  <c r="M86" i="29"/>
  <c r="K86" i="29"/>
  <c r="H86" i="29"/>
  <c r="F86" i="29"/>
  <c r="C86" i="29"/>
  <c r="P85" i="29"/>
  <c r="M85" i="29" s="1"/>
  <c r="K85" i="29"/>
  <c r="H85" i="29"/>
  <c r="F85" i="29"/>
  <c r="C85" i="29"/>
  <c r="P84" i="29"/>
  <c r="M84" i="29"/>
  <c r="K84" i="29"/>
  <c r="H84" i="29" s="1"/>
  <c r="F84" i="29"/>
  <c r="C84" i="29"/>
  <c r="P83" i="29"/>
  <c r="M83" i="29"/>
  <c r="K83" i="29"/>
  <c r="H83" i="29"/>
  <c r="F83" i="29"/>
  <c r="C83" i="29" s="1"/>
  <c r="P82" i="29"/>
  <c r="M82" i="29"/>
  <c r="K82" i="29"/>
  <c r="H82" i="29"/>
  <c r="F82" i="29"/>
  <c r="C82" i="29"/>
  <c r="P81" i="29"/>
  <c r="M81" i="29" s="1"/>
  <c r="K81" i="29"/>
  <c r="H81" i="29"/>
  <c r="F81" i="29"/>
  <c r="C81" i="29"/>
  <c r="P80" i="29"/>
  <c r="M80" i="29"/>
  <c r="K80" i="29"/>
  <c r="H80" i="29" s="1"/>
  <c r="F80" i="29"/>
  <c r="C80" i="29"/>
  <c r="P79" i="29"/>
  <c r="M79" i="29"/>
  <c r="K79" i="29"/>
  <c r="H79" i="29"/>
  <c r="F79" i="29"/>
  <c r="C79" i="29" s="1"/>
  <c r="P78" i="29"/>
  <c r="M78" i="29"/>
  <c r="K78" i="29"/>
  <c r="H78" i="29"/>
  <c r="F78" i="29"/>
  <c r="C78" i="29"/>
  <c r="P77" i="29"/>
  <c r="M77" i="29" s="1"/>
  <c r="K77" i="29"/>
  <c r="H77" i="29"/>
  <c r="F77" i="29"/>
  <c r="C77" i="29"/>
  <c r="P76" i="29"/>
  <c r="M76" i="29"/>
  <c r="K76" i="29"/>
  <c r="H76" i="29" s="1"/>
  <c r="F76" i="29"/>
  <c r="C76" i="29"/>
  <c r="P75" i="29"/>
  <c r="M75" i="29"/>
  <c r="K75" i="29"/>
  <c r="H75" i="29"/>
  <c r="F75" i="29"/>
  <c r="C75" i="29" s="1"/>
  <c r="P74" i="29"/>
  <c r="M74" i="29"/>
  <c r="K74" i="29"/>
  <c r="H74" i="29"/>
  <c r="F74" i="29"/>
  <c r="C74" i="29"/>
  <c r="P73" i="29"/>
  <c r="M73" i="29" s="1"/>
  <c r="K73" i="29"/>
  <c r="H73" i="29"/>
  <c r="F73" i="29"/>
  <c r="C73" i="29"/>
  <c r="P72" i="29"/>
  <c r="M72" i="29"/>
  <c r="K72" i="29"/>
  <c r="H72" i="29" s="1"/>
  <c r="F72" i="29"/>
  <c r="C72" i="29"/>
  <c r="P71" i="29"/>
  <c r="M71" i="29"/>
  <c r="K71" i="29"/>
  <c r="H71" i="29"/>
  <c r="F71" i="29"/>
  <c r="C71" i="29" s="1"/>
  <c r="P70" i="29"/>
  <c r="M70" i="29"/>
  <c r="K70" i="29"/>
  <c r="H70" i="29"/>
  <c r="F70" i="29"/>
  <c r="C70" i="29"/>
  <c r="P69" i="29"/>
  <c r="M69" i="29" s="1"/>
  <c r="K69" i="29"/>
  <c r="H69" i="29"/>
  <c r="F69" i="29"/>
  <c r="C69" i="29"/>
  <c r="P68" i="29"/>
  <c r="M68" i="29"/>
  <c r="K68" i="29"/>
  <c r="H68" i="29" s="1"/>
  <c r="F68" i="29"/>
  <c r="C68" i="29"/>
  <c r="P67" i="29"/>
  <c r="M67" i="29"/>
  <c r="K67" i="29"/>
  <c r="H67" i="29"/>
  <c r="F67" i="29"/>
  <c r="C67" i="29" s="1"/>
  <c r="P66" i="29"/>
  <c r="M66" i="29"/>
  <c r="K66" i="29"/>
  <c r="H66" i="29"/>
  <c r="F66" i="29"/>
  <c r="C66" i="29"/>
  <c r="P65" i="29"/>
  <c r="M65" i="29" s="1"/>
  <c r="K65" i="29"/>
  <c r="H65" i="29"/>
  <c r="F65" i="29"/>
  <c r="C65" i="29"/>
  <c r="P64" i="29"/>
  <c r="M64" i="29"/>
  <c r="K64" i="29"/>
  <c r="H64" i="29" s="1"/>
  <c r="F64" i="29"/>
  <c r="C64" i="29"/>
  <c r="P63" i="29"/>
  <c r="M63" i="29"/>
  <c r="K63" i="29"/>
  <c r="H63" i="29"/>
  <c r="F63" i="29"/>
  <c r="C63" i="29" s="1"/>
  <c r="P62" i="29"/>
  <c r="M62" i="29"/>
  <c r="K62" i="29"/>
  <c r="H62" i="29"/>
  <c r="F62" i="29"/>
  <c r="C62" i="29"/>
  <c r="P61" i="29"/>
  <c r="M61" i="29" s="1"/>
  <c r="K61" i="29"/>
  <c r="H61" i="29"/>
  <c r="F61" i="29"/>
  <c r="C61" i="29"/>
  <c r="P60" i="29"/>
  <c r="M60" i="29"/>
  <c r="K60" i="29"/>
  <c r="H60" i="29" s="1"/>
  <c r="F60" i="29"/>
  <c r="C60" i="29"/>
  <c r="P59" i="29"/>
  <c r="M59" i="29"/>
  <c r="K59" i="29"/>
  <c r="H59" i="29"/>
  <c r="F59" i="29"/>
  <c r="C59" i="29" s="1"/>
  <c r="P58" i="29"/>
  <c r="M58" i="29"/>
  <c r="K58" i="29"/>
  <c r="H58" i="29"/>
  <c r="F58" i="29"/>
  <c r="C58" i="29"/>
  <c r="P57" i="29"/>
  <c r="M57" i="29" s="1"/>
  <c r="K57" i="29"/>
  <c r="H57" i="29"/>
  <c r="F57" i="29"/>
  <c r="C57" i="29"/>
  <c r="P56" i="29"/>
  <c r="M56" i="29"/>
  <c r="K56" i="29"/>
  <c r="H56" i="29" s="1"/>
  <c r="F56" i="29"/>
  <c r="C56" i="29"/>
  <c r="P55" i="29"/>
  <c r="M55" i="29"/>
  <c r="K55" i="29"/>
  <c r="H55" i="29"/>
  <c r="F55" i="29"/>
  <c r="C55" i="29" s="1"/>
  <c r="P54" i="29"/>
  <c r="M54" i="29"/>
  <c r="K54" i="29"/>
  <c r="H54" i="29"/>
  <c r="F54" i="29"/>
  <c r="C54" i="29"/>
  <c r="P53" i="29"/>
  <c r="M53" i="29" s="1"/>
  <c r="K53" i="29"/>
  <c r="H53" i="29"/>
  <c r="F53" i="29"/>
  <c r="C53" i="29"/>
  <c r="P52" i="29"/>
  <c r="M52" i="29"/>
  <c r="K52" i="29"/>
  <c r="H52" i="29" s="1"/>
  <c r="F52" i="29"/>
  <c r="C52" i="29"/>
  <c r="P51" i="29"/>
  <c r="M51" i="29"/>
  <c r="K51" i="29"/>
  <c r="H51" i="29"/>
  <c r="F51" i="29"/>
  <c r="C51" i="29" s="1"/>
  <c r="P50" i="29"/>
  <c r="M50" i="29"/>
  <c r="K50" i="29"/>
  <c r="H50" i="29"/>
  <c r="F50" i="29"/>
  <c r="C50" i="29"/>
  <c r="P49" i="29"/>
  <c r="M49" i="29" s="1"/>
  <c r="K49" i="29"/>
  <c r="H49" i="29"/>
  <c r="F49" i="29"/>
  <c r="C49" i="29"/>
  <c r="P48" i="29"/>
  <c r="M48" i="29"/>
  <c r="K48" i="29"/>
  <c r="H48" i="29" s="1"/>
  <c r="F48" i="29"/>
  <c r="C48" i="29"/>
  <c r="P47" i="29"/>
  <c r="M47" i="29"/>
  <c r="K47" i="29"/>
  <c r="H47" i="29"/>
  <c r="F47" i="29"/>
  <c r="C47" i="29" s="1"/>
  <c r="P46" i="29"/>
  <c r="M46" i="29"/>
  <c r="K46" i="29"/>
  <c r="H46" i="29"/>
  <c r="F46" i="29"/>
  <c r="C46" i="29"/>
  <c r="P45" i="29"/>
  <c r="M45" i="29" s="1"/>
  <c r="K45" i="29"/>
  <c r="H45" i="29"/>
  <c r="F45" i="29"/>
  <c r="C45" i="29"/>
  <c r="P44" i="29"/>
  <c r="M44" i="29"/>
  <c r="K44" i="29"/>
  <c r="H44" i="29" s="1"/>
  <c r="F44" i="29"/>
  <c r="C44" i="29"/>
  <c r="P43" i="29"/>
  <c r="M43" i="29"/>
  <c r="K43" i="29"/>
  <c r="H43" i="29"/>
  <c r="F43" i="29"/>
  <c r="C43" i="29" s="1"/>
  <c r="P42" i="29"/>
  <c r="M42" i="29"/>
  <c r="K42" i="29"/>
  <c r="H42" i="29"/>
  <c r="F42" i="29"/>
  <c r="C42" i="29"/>
  <c r="P41" i="29"/>
  <c r="M41" i="29" s="1"/>
  <c r="K41" i="29"/>
  <c r="H41" i="29"/>
  <c r="F41" i="29"/>
  <c r="C41" i="29"/>
  <c r="P40" i="29"/>
  <c r="M40" i="29"/>
  <c r="K40" i="29"/>
  <c r="H40" i="29" s="1"/>
  <c r="F40" i="29"/>
  <c r="C40" i="29"/>
  <c r="P39" i="29"/>
  <c r="M39" i="29"/>
  <c r="K39" i="29"/>
  <c r="H39" i="29"/>
  <c r="F39" i="29"/>
  <c r="C39" i="29" s="1"/>
  <c r="P38" i="29"/>
  <c r="M38" i="29"/>
  <c r="K38" i="29"/>
  <c r="H38" i="29"/>
  <c r="F38" i="29"/>
  <c r="C38" i="29"/>
  <c r="P37" i="29"/>
  <c r="M37" i="29" s="1"/>
  <c r="K37" i="29"/>
  <c r="H37" i="29"/>
  <c r="F37" i="29"/>
  <c r="C37" i="29"/>
  <c r="P36" i="29"/>
  <c r="M36" i="29"/>
  <c r="K36" i="29"/>
  <c r="H36" i="29" s="1"/>
  <c r="F36" i="29"/>
  <c r="C36" i="29"/>
  <c r="P35" i="29"/>
  <c r="M35" i="29"/>
  <c r="K35" i="29"/>
  <c r="H35" i="29"/>
  <c r="F35" i="29"/>
  <c r="C35" i="29" s="1"/>
  <c r="P34" i="29"/>
  <c r="M34" i="29"/>
  <c r="K34" i="29"/>
  <c r="H34" i="29"/>
  <c r="F34" i="29"/>
  <c r="C34" i="29"/>
  <c r="P33" i="29"/>
  <c r="M33" i="29" s="1"/>
  <c r="K33" i="29"/>
  <c r="H33" i="29"/>
  <c r="F33" i="29"/>
  <c r="C33" i="29"/>
  <c r="P32" i="29"/>
  <c r="M32" i="29"/>
  <c r="K32" i="29"/>
  <c r="H32" i="29" s="1"/>
  <c r="F32" i="29"/>
  <c r="C32" i="29"/>
  <c r="P31" i="29"/>
  <c r="M31" i="29"/>
  <c r="K31" i="29"/>
  <c r="H31" i="29"/>
  <c r="F31" i="29"/>
  <c r="C31" i="29" s="1"/>
  <c r="P30" i="29"/>
  <c r="M30" i="29"/>
  <c r="K30" i="29"/>
  <c r="H30" i="29"/>
  <c r="F30" i="29"/>
  <c r="C30" i="29"/>
  <c r="P29" i="29"/>
  <c r="M29" i="29" s="1"/>
  <c r="K29" i="29"/>
  <c r="H29" i="29"/>
  <c r="F29" i="29"/>
  <c r="C29" i="29"/>
  <c r="P28" i="29"/>
  <c r="M28" i="29"/>
  <c r="K28" i="29"/>
  <c r="H28" i="29" s="1"/>
  <c r="F28" i="29"/>
  <c r="C28" i="29"/>
  <c r="P27" i="29"/>
  <c r="M27" i="29"/>
  <c r="K27" i="29"/>
  <c r="H27" i="29"/>
  <c r="F27" i="29"/>
  <c r="C27" i="29" s="1"/>
  <c r="P26" i="29"/>
  <c r="M26" i="29"/>
  <c r="K26" i="29"/>
  <c r="H26" i="29"/>
  <c r="F26" i="29"/>
  <c r="C26" i="29"/>
  <c r="P25" i="29"/>
  <c r="M25" i="29" s="1"/>
  <c r="K25" i="29"/>
  <c r="H25" i="29"/>
  <c r="F25" i="29"/>
  <c r="C25" i="29"/>
  <c r="P24" i="29"/>
  <c r="M24" i="29"/>
  <c r="K24" i="29"/>
  <c r="H24" i="29" s="1"/>
  <c r="F24" i="29"/>
  <c r="C24" i="29"/>
  <c r="P23" i="29"/>
  <c r="M23" i="29"/>
  <c r="L23" i="29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L73" i="29" s="1"/>
  <c r="L74" i="29" s="1"/>
  <c r="L75" i="29" s="1"/>
  <c r="L76" i="29" s="1"/>
  <c r="L77" i="29" s="1"/>
  <c r="L78" i="29" s="1"/>
  <c r="L79" i="29" s="1"/>
  <c r="L80" i="29" s="1"/>
  <c r="L81" i="29" s="1"/>
  <c r="L82" i="29" s="1"/>
  <c r="L83" i="29" s="1"/>
  <c r="L84" i="29" s="1"/>
  <c r="L85" i="29" s="1"/>
  <c r="L86" i="29" s="1"/>
  <c r="L87" i="29" s="1"/>
  <c r="L88" i="29" s="1"/>
  <c r="L89" i="29" s="1"/>
  <c r="L90" i="29" s="1"/>
  <c r="L91" i="29" s="1"/>
  <c r="L92" i="29" s="1"/>
  <c r="L93" i="29" s="1"/>
  <c r="L94" i="29" s="1"/>
  <c r="L95" i="29" s="1"/>
  <c r="L96" i="29" s="1"/>
  <c r="L97" i="29" s="1"/>
  <c r="L98" i="29" s="1"/>
  <c r="L99" i="29" s="1"/>
  <c r="L100" i="29" s="1"/>
  <c r="L101" i="29" s="1"/>
  <c r="L102" i="29" s="1"/>
  <c r="L103" i="29" s="1"/>
  <c r="L104" i="29" s="1"/>
  <c r="L105" i="29" s="1"/>
  <c r="L106" i="29" s="1"/>
  <c r="L107" i="29" s="1"/>
  <c r="L108" i="29" s="1"/>
  <c r="L109" i="29" s="1"/>
  <c r="L110" i="29" s="1"/>
  <c r="L111" i="29" s="1"/>
  <c r="L112" i="29" s="1"/>
  <c r="L113" i="29" s="1"/>
  <c r="L114" i="29" s="1"/>
  <c r="L115" i="29" s="1"/>
  <c r="L116" i="29" s="1"/>
  <c r="L117" i="29" s="1"/>
  <c r="L118" i="29" s="1"/>
  <c r="L119" i="29" s="1"/>
  <c r="L120" i="29" s="1"/>
  <c r="L121" i="29" s="1"/>
  <c r="L122" i="29" s="1"/>
  <c r="L123" i="29" s="1"/>
  <c r="L124" i="29" s="1"/>
  <c r="L125" i="29" s="1"/>
  <c r="L126" i="29" s="1"/>
  <c r="L127" i="29" s="1"/>
  <c r="L128" i="29" s="1"/>
  <c r="L129" i="29" s="1"/>
  <c r="L130" i="29" s="1"/>
  <c r="L131" i="29" s="1"/>
  <c r="L132" i="29" s="1"/>
  <c r="L133" i="29" s="1"/>
  <c r="L134" i="29" s="1"/>
  <c r="L135" i="29" s="1"/>
  <c r="L136" i="29" s="1"/>
  <c r="L137" i="29" s="1"/>
  <c r="L138" i="29" s="1"/>
  <c r="L139" i="29" s="1"/>
  <c r="L140" i="29" s="1"/>
  <c r="L141" i="29" s="1"/>
  <c r="L142" i="29" s="1"/>
  <c r="L143" i="29" s="1"/>
  <c r="L144" i="29" s="1"/>
  <c r="L145" i="29" s="1"/>
  <c r="L146" i="29" s="1"/>
  <c r="L147" i="29" s="1"/>
  <c r="L148" i="29" s="1"/>
  <c r="L149" i="29" s="1"/>
  <c r="L150" i="29" s="1"/>
  <c r="L151" i="29" s="1"/>
  <c r="L152" i="29" s="1"/>
  <c r="L153" i="29" s="1"/>
  <c r="L154" i="29" s="1"/>
  <c r="L155" i="29" s="1"/>
  <c r="L156" i="29" s="1"/>
  <c r="L157" i="29" s="1"/>
  <c r="L158" i="29" s="1"/>
  <c r="L159" i="29" s="1"/>
  <c r="L160" i="29" s="1"/>
  <c r="L161" i="29" s="1"/>
  <c r="L162" i="29" s="1"/>
  <c r="L163" i="29" s="1"/>
  <c r="L164" i="29" s="1"/>
  <c r="L165" i="29" s="1"/>
  <c r="L166" i="29" s="1"/>
  <c r="L167" i="29" s="1"/>
  <c r="L168" i="29" s="1"/>
  <c r="L169" i="29" s="1"/>
  <c r="L170" i="29" s="1"/>
  <c r="L171" i="29" s="1"/>
  <c r="K23" i="29"/>
  <c r="H23" i="29"/>
  <c r="F23" i="29"/>
  <c r="C23" i="29" s="1"/>
  <c r="P22" i="29"/>
  <c r="M22" i="29"/>
  <c r="L22" i="29"/>
  <c r="K22" i="29"/>
  <c r="H22" i="29"/>
  <c r="G22" i="29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G70" i="29" s="1"/>
  <c r="G71" i="29" s="1"/>
  <c r="G72" i="29" s="1"/>
  <c r="G73" i="29" s="1"/>
  <c r="G74" i="29" s="1"/>
  <c r="G75" i="29" s="1"/>
  <c r="G76" i="29" s="1"/>
  <c r="G77" i="29" s="1"/>
  <c r="G78" i="29" s="1"/>
  <c r="G79" i="29" s="1"/>
  <c r="G80" i="29" s="1"/>
  <c r="G81" i="29" s="1"/>
  <c r="G82" i="29" s="1"/>
  <c r="G83" i="29" s="1"/>
  <c r="G84" i="29" s="1"/>
  <c r="G85" i="29" s="1"/>
  <c r="G86" i="29" s="1"/>
  <c r="G87" i="29" s="1"/>
  <c r="G88" i="29" s="1"/>
  <c r="G89" i="29" s="1"/>
  <c r="G90" i="29" s="1"/>
  <c r="G91" i="29" s="1"/>
  <c r="G92" i="29" s="1"/>
  <c r="G93" i="29" s="1"/>
  <c r="G94" i="29" s="1"/>
  <c r="G95" i="29" s="1"/>
  <c r="G96" i="29" s="1"/>
  <c r="G97" i="29" s="1"/>
  <c r="G98" i="29" s="1"/>
  <c r="G99" i="29" s="1"/>
  <c r="G100" i="29" s="1"/>
  <c r="G101" i="29" s="1"/>
  <c r="G102" i="29" s="1"/>
  <c r="G103" i="29" s="1"/>
  <c r="G104" i="29" s="1"/>
  <c r="G105" i="29" s="1"/>
  <c r="G106" i="29" s="1"/>
  <c r="G107" i="29" s="1"/>
  <c r="G108" i="29" s="1"/>
  <c r="G109" i="29" s="1"/>
  <c r="G110" i="29" s="1"/>
  <c r="G111" i="29" s="1"/>
  <c r="G112" i="29" s="1"/>
  <c r="G113" i="29" s="1"/>
  <c r="G114" i="29" s="1"/>
  <c r="G115" i="29" s="1"/>
  <c r="G116" i="29" s="1"/>
  <c r="G117" i="29" s="1"/>
  <c r="G118" i="29" s="1"/>
  <c r="G119" i="29" s="1"/>
  <c r="G120" i="29" s="1"/>
  <c r="G121" i="29" s="1"/>
  <c r="G122" i="29" s="1"/>
  <c r="G123" i="29" s="1"/>
  <c r="G124" i="29" s="1"/>
  <c r="G125" i="29" s="1"/>
  <c r="G126" i="29" s="1"/>
  <c r="G127" i="29" s="1"/>
  <c r="G128" i="29" s="1"/>
  <c r="G129" i="29" s="1"/>
  <c r="G130" i="29" s="1"/>
  <c r="G131" i="29" s="1"/>
  <c r="G132" i="29" s="1"/>
  <c r="G133" i="29" s="1"/>
  <c r="G134" i="29" s="1"/>
  <c r="G135" i="29" s="1"/>
  <c r="G136" i="29" s="1"/>
  <c r="G137" i="29" s="1"/>
  <c r="G138" i="29" s="1"/>
  <c r="G139" i="29" s="1"/>
  <c r="G140" i="29" s="1"/>
  <c r="G141" i="29" s="1"/>
  <c r="G142" i="29" s="1"/>
  <c r="G143" i="29" s="1"/>
  <c r="G144" i="29" s="1"/>
  <c r="G145" i="29" s="1"/>
  <c r="G146" i="29" s="1"/>
  <c r="G147" i="29" s="1"/>
  <c r="G148" i="29" s="1"/>
  <c r="G149" i="29" s="1"/>
  <c r="G150" i="29" s="1"/>
  <c r="G151" i="29" s="1"/>
  <c r="G152" i="29" s="1"/>
  <c r="G153" i="29" s="1"/>
  <c r="G154" i="29" s="1"/>
  <c r="G155" i="29" s="1"/>
  <c r="G156" i="29" s="1"/>
  <c r="G157" i="29" s="1"/>
  <c r="G158" i="29" s="1"/>
  <c r="G159" i="29" s="1"/>
  <c r="G160" i="29" s="1"/>
  <c r="G161" i="29" s="1"/>
  <c r="G162" i="29" s="1"/>
  <c r="G163" i="29" s="1"/>
  <c r="G164" i="29" s="1"/>
  <c r="G165" i="29" s="1"/>
  <c r="G166" i="29" s="1"/>
  <c r="G167" i="29" s="1"/>
  <c r="G168" i="29" s="1"/>
  <c r="G169" i="29" s="1"/>
  <c r="G170" i="29" s="1"/>
  <c r="G171" i="29" s="1"/>
  <c r="F22" i="29"/>
  <c r="C22" i="29"/>
  <c r="B22" i="29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B111" i="29" s="1"/>
  <c r="B112" i="29" s="1"/>
  <c r="B113" i="29" s="1"/>
  <c r="B114" i="29" s="1"/>
  <c r="B115" i="29" s="1"/>
  <c r="B116" i="29" s="1"/>
  <c r="B117" i="29" s="1"/>
  <c r="B118" i="29" s="1"/>
  <c r="B119" i="29" s="1"/>
  <c r="B120" i="29" s="1"/>
  <c r="B121" i="29" s="1"/>
  <c r="B122" i="29" s="1"/>
  <c r="B123" i="29" s="1"/>
  <c r="B124" i="29" s="1"/>
  <c r="B125" i="29" s="1"/>
  <c r="B126" i="29" s="1"/>
  <c r="B127" i="29" s="1"/>
  <c r="B128" i="29" s="1"/>
  <c r="B129" i="29" s="1"/>
  <c r="B130" i="29" s="1"/>
  <c r="B131" i="29" s="1"/>
  <c r="B132" i="29" s="1"/>
  <c r="B133" i="29" s="1"/>
  <c r="B134" i="29" s="1"/>
  <c r="B135" i="29" s="1"/>
  <c r="B136" i="29" s="1"/>
  <c r="B137" i="29" s="1"/>
  <c r="B138" i="29" s="1"/>
  <c r="B139" i="29" s="1"/>
  <c r="B140" i="29" s="1"/>
  <c r="B141" i="29" s="1"/>
  <c r="B142" i="29" s="1"/>
  <c r="B143" i="29" s="1"/>
  <c r="B144" i="29" s="1"/>
  <c r="B145" i="29" s="1"/>
  <c r="B146" i="29" s="1"/>
  <c r="B147" i="29" s="1"/>
  <c r="B148" i="29" s="1"/>
  <c r="B149" i="29" s="1"/>
  <c r="B150" i="29" s="1"/>
  <c r="B151" i="29" s="1"/>
  <c r="B152" i="29" s="1"/>
  <c r="B153" i="29" s="1"/>
  <c r="B154" i="29" s="1"/>
  <c r="B155" i="29" s="1"/>
  <c r="B156" i="29" s="1"/>
  <c r="B157" i="29" s="1"/>
  <c r="B158" i="29" s="1"/>
  <c r="B159" i="29" s="1"/>
  <c r="B160" i="29" s="1"/>
  <c r="B161" i="29" s="1"/>
  <c r="B162" i="29" s="1"/>
  <c r="B163" i="29" s="1"/>
  <c r="B164" i="29" s="1"/>
  <c r="B165" i="29" s="1"/>
  <c r="B166" i="29" s="1"/>
  <c r="B167" i="29" s="1"/>
  <c r="B168" i="29" s="1"/>
  <c r="B169" i="29" s="1"/>
  <c r="B170" i="29" s="1"/>
  <c r="B171" i="29" s="1"/>
  <c r="B20" i="29"/>
  <c r="C20" i="29" s="1"/>
  <c r="D20" i="29" s="1"/>
  <c r="E20" i="29" s="1"/>
  <c r="F20" i="29" s="1"/>
  <c r="G20" i="29" s="1"/>
  <c r="H20" i="29" s="1"/>
  <c r="I20" i="29" s="1"/>
  <c r="J20" i="29" s="1"/>
  <c r="K20" i="29" s="1"/>
  <c r="L20" i="29" s="1"/>
  <c r="M20" i="29" s="1"/>
  <c r="N20" i="29" s="1"/>
  <c r="O20" i="29" s="1"/>
  <c r="P20" i="29" s="1"/>
  <c r="Q20" i="29" s="1"/>
  <c r="R20" i="29" s="1"/>
  <c r="F9" i="29"/>
  <c r="A3" i="29"/>
  <c r="P171" i="28"/>
  <c r="K171" i="28"/>
  <c r="F171" i="28"/>
  <c r="P170" i="28"/>
  <c r="M170" i="28" s="1"/>
  <c r="K170" i="28"/>
  <c r="H170" i="28" s="1"/>
  <c r="F170" i="28"/>
  <c r="C170" i="28" s="1"/>
  <c r="P169" i="28"/>
  <c r="M169" i="28"/>
  <c r="K169" i="28"/>
  <c r="H169" i="28"/>
  <c r="F169" i="28"/>
  <c r="C169" i="28" s="1"/>
  <c r="P168" i="28"/>
  <c r="M168" i="28"/>
  <c r="K168" i="28"/>
  <c r="H168" i="28" s="1"/>
  <c r="F168" i="28"/>
  <c r="C168" i="28" s="1"/>
  <c r="P167" i="28"/>
  <c r="M167" i="28" s="1"/>
  <c r="K167" i="28"/>
  <c r="H167" i="28" s="1"/>
  <c r="F167" i="28"/>
  <c r="C167" i="28" s="1"/>
  <c r="P166" i="28"/>
  <c r="M166" i="28"/>
  <c r="K166" i="28"/>
  <c r="H166" i="28" s="1"/>
  <c r="F166" i="28"/>
  <c r="C166" i="28" s="1"/>
  <c r="P165" i="28"/>
  <c r="M165" i="28"/>
  <c r="K165" i="28"/>
  <c r="H165" i="28"/>
  <c r="F165" i="28"/>
  <c r="C165" i="28" s="1"/>
  <c r="P164" i="28"/>
  <c r="M164" i="28" s="1"/>
  <c r="K164" i="28"/>
  <c r="H164" i="28"/>
  <c r="F164" i="28"/>
  <c r="C164" i="28" s="1"/>
  <c r="P163" i="28"/>
  <c r="M163" i="28" s="1"/>
  <c r="K163" i="28"/>
  <c r="H163" i="28" s="1"/>
  <c r="F163" i="28"/>
  <c r="C163" i="28" s="1"/>
  <c r="P162" i="28"/>
  <c r="M162" i="28"/>
  <c r="K162" i="28"/>
  <c r="H162" i="28" s="1"/>
  <c r="F162" i="28"/>
  <c r="C162" i="28"/>
  <c r="P161" i="28"/>
  <c r="M161" i="28" s="1"/>
  <c r="K161" i="28"/>
  <c r="H161" i="28"/>
  <c r="F161" i="28"/>
  <c r="C161" i="28" s="1"/>
  <c r="P160" i="28"/>
  <c r="M160" i="28" s="1"/>
  <c r="K160" i="28"/>
  <c r="H160" i="28" s="1"/>
  <c r="F160" i="28"/>
  <c r="C160" i="28" s="1"/>
  <c r="P159" i="28"/>
  <c r="M159" i="28" s="1"/>
  <c r="K159" i="28"/>
  <c r="H159" i="28" s="1"/>
  <c r="F159" i="28"/>
  <c r="C159" i="28"/>
  <c r="P158" i="28"/>
  <c r="M158" i="28" s="1"/>
  <c r="K158" i="28"/>
  <c r="H158" i="28" s="1"/>
  <c r="F158" i="28"/>
  <c r="C158" i="28"/>
  <c r="P157" i="28"/>
  <c r="M157" i="28"/>
  <c r="K157" i="28"/>
  <c r="H157" i="28" s="1"/>
  <c r="F157" i="28"/>
  <c r="C157" i="28" s="1"/>
  <c r="P156" i="28"/>
  <c r="M156" i="28" s="1"/>
  <c r="K156" i="28"/>
  <c r="H156" i="28" s="1"/>
  <c r="F156" i="28"/>
  <c r="C156" i="28"/>
  <c r="P155" i="28"/>
  <c r="M155" i="28" s="1"/>
  <c r="K155" i="28"/>
  <c r="H155" i="28"/>
  <c r="F155" i="28"/>
  <c r="C155" i="28"/>
  <c r="P154" i="28"/>
  <c r="M154" i="28" s="1"/>
  <c r="K154" i="28"/>
  <c r="H154" i="28" s="1"/>
  <c r="F154" i="28"/>
  <c r="C154" i="28" s="1"/>
  <c r="P153" i="28"/>
  <c r="M153" i="28" s="1"/>
  <c r="K153" i="28"/>
  <c r="H153" i="28" s="1"/>
  <c r="F153" i="28"/>
  <c r="C153" i="28" s="1"/>
  <c r="P152" i="28"/>
  <c r="M152" i="28" s="1"/>
  <c r="K152" i="28"/>
  <c r="H152" i="28"/>
  <c r="F152" i="28"/>
  <c r="C152" i="28"/>
  <c r="P151" i="28"/>
  <c r="M151" i="28" s="1"/>
  <c r="K151" i="28"/>
  <c r="H151" i="28"/>
  <c r="F151" i="28"/>
  <c r="C151" i="28" s="1"/>
  <c r="P150" i="28"/>
  <c r="M150" i="28" s="1"/>
  <c r="K150" i="28"/>
  <c r="H150" i="28" s="1"/>
  <c r="F150" i="28"/>
  <c r="C150" i="28" s="1"/>
  <c r="P149" i="28"/>
  <c r="M149" i="28" s="1"/>
  <c r="K149" i="28"/>
  <c r="H149" i="28" s="1"/>
  <c r="F149" i="28"/>
  <c r="C149" i="28" s="1"/>
  <c r="P148" i="28"/>
  <c r="M148" i="28" s="1"/>
  <c r="K148" i="28"/>
  <c r="H148" i="28"/>
  <c r="F148" i="28"/>
  <c r="C148" i="28" s="1"/>
  <c r="P147" i="28"/>
  <c r="M147" i="28" s="1"/>
  <c r="K147" i="28"/>
  <c r="H147" i="28"/>
  <c r="F147" i="28"/>
  <c r="C147" i="28" s="1"/>
  <c r="P146" i="28"/>
  <c r="M146" i="28" s="1"/>
  <c r="K146" i="28"/>
  <c r="H146" i="28" s="1"/>
  <c r="F146" i="28"/>
  <c r="C146" i="28"/>
  <c r="P145" i="28"/>
  <c r="M145" i="28" s="1"/>
  <c r="K145" i="28"/>
  <c r="H145" i="28"/>
  <c r="F145" i="28"/>
  <c r="C145" i="28" s="1"/>
  <c r="P144" i="28"/>
  <c r="M144" i="28" s="1"/>
  <c r="K144" i="28"/>
  <c r="H144" i="28"/>
  <c r="F144" i="28"/>
  <c r="C144" i="28" s="1"/>
  <c r="P143" i="28"/>
  <c r="M143" i="28" s="1"/>
  <c r="K143" i="28"/>
  <c r="H143" i="28" s="1"/>
  <c r="F143" i="28"/>
  <c r="C143" i="28" s="1"/>
  <c r="P142" i="28"/>
  <c r="M142" i="28" s="1"/>
  <c r="K142" i="28"/>
  <c r="H142" i="28" s="1"/>
  <c r="F142" i="28"/>
  <c r="C142" i="28" s="1"/>
  <c r="P141" i="28"/>
  <c r="M141" i="28"/>
  <c r="K141" i="28"/>
  <c r="H141" i="28"/>
  <c r="F141" i="28"/>
  <c r="C141" i="28" s="1"/>
  <c r="P140" i="28"/>
  <c r="M140" i="28"/>
  <c r="K140" i="28"/>
  <c r="H140" i="28" s="1"/>
  <c r="F140" i="28"/>
  <c r="C140" i="28" s="1"/>
  <c r="P139" i="28"/>
  <c r="M139" i="28" s="1"/>
  <c r="K139" i="28"/>
  <c r="H139" i="28" s="1"/>
  <c r="F139" i="28"/>
  <c r="C139" i="28" s="1"/>
  <c r="P138" i="28"/>
  <c r="M138" i="28"/>
  <c r="K138" i="28"/>
  <c r="H138" i="28" s="1"/>
  <c r="F138" i="28"/>
  <c r="C138" i="28" s="1"/>
  <c r="P137" i="28"/>
  <c r="M137" i="28"/>
  <c r="K137" i="28"/>
  <c r="H137" i="28" s="1"/>
  <c r="F137" i="28"/>
  <c r="C137" i="28" s="1"/>
  <c r="P136" i="28"/>
  <c r="M136" i="28"/>
  <c r="K136" i="28"/>
  <c r="H136" i="28" s="1"/>
  <c r="F136" i="28"/>
  <c r="C136" i="28" s="1"/>
  <c r="P135" i="28"/>
  <c r="M135" i="28" s="1"/>
  <c r="K135" i="28"/>
  <c r="H135" i="28" s="1"/>
  <c r="F135" i="28"/>
  <c r="C135" i="28" s="1"/>
  <c r="P134" i="28"/>
  <c r="M134" i="28"/>
  <c r="K134" i="28"/>
  <c r="H134" i="28" s="1"/>
  <c r="F134" i="28"/>
  <c r="C134" i="28"/>
  <c r="P133" i="28"/>
  <c r="M133" i="28"/>
  <c r="K133" i="28"/>
  <c r="H133" i="28" s="1"/>
  <c r="F133" i="28"/>
  <c r="C133" i="28" s="1"/>
  <c r="P132" i="28"/>
  <c r="M132" i="28" s="1"/>
  <c r="K132" i="28"/>
  <c r="H132" i="28" s="1"/>
  <c r="F132" i="28"/>
  <c r="C132" i="28" s="1"/>
  <c r="P131" i="28"/>
  <c r="M131" i="28" s="1"/>
  <c r="K131" i="28"/>
  <c r="H131" i="28" s="1"/>
  <c r="F131" i="28"/>
  <c r="C131" i="28"/>
  <c r="P130" i="28"/>
  <c r="M130" i="28"/>
  <c r="K130" i="28"/>
  <c r="H130" i="28" s="1"/>
  <c r="F130" i="28"/>
  <c r="C130" i="28"/>
  <c r="P129" i="28"/>
  <c r="M129" i="28" s="1"/>
  <c r="K129" i="28"/>
  <c r="H129" i="28" s="1"/>
  <c r="F129" i="28"/>
  <c r="C129" i="28" s="1"/>
  <c r="P128" i="28"/>
  <c r="M128" i="28" s="1"/>
  <c r="K128" i="28"/>
  <c r="H128" i="28" s="1"/>
  <c r="F128" i="28"/>
  <c r="C128" i="28"/>
  <c r="P127" i="28"/>
  <c r="M127" i="28" s="1"/>
  <c r="K127" i="28"/>
  <c r="H127" i="28" s="1"/>
  <c r="F127" i="28"/>
  <c r="C127" i="28"/>
  <c r="P126" i="28"/>
  <c r="M126" i="28" s="1"/>
  <c r="K126" i="28"/>
  <c r="H126" i="28" s="1"/>
  <c r="F126" i="28"/>
  <c r="C126" i="28"/>
  <c r="P125" i="28"/>
  <c r="M125" i="28" s="1"/>
  <c r="K125" i="28"/>
  <c r="H125" i="28" s="1"/>
  <c r="F125" i="28"/>
  <c r="C125" i="28" s="1"/>
  <c r="P124" i="28"/>
  <c r="M124" i="28" s="1"/>
  <c r="K124" i="28"/>
  <c r="H124" i="28" s="1"/>
  <c r="F124" i="28"/>
  <c r="C124" i="28"/>
  <c r="P123" i="28"/>
  <c r="M123" i="28" s="1"/>
  <c r="K123" i="28"/>
  <c r="H123" i="28"/>
  <c r="F123" i="28"/>
  <c r="C123" i="28"/>
  <c r="P122" i="28"/>
  <c r="M122" i="28" s="1"/>
  <c r="K122" i="28"/>
  <c r="H122" i="28" s="1"/>
  <c r="F122" i="28"/>
  <c r="C122" i="28" s="1"/>
  <c r="P121" i="28"/>
  <c r="M121" i="28" s="1"/>
  <c r="K121" i="28"/>
  <c r="H121" i="28" s="1"/>
  <c r="F121" i="28"/>
  <c r="C121" i="28" s="1"/>
  <c r="P120" i="28"/>
  <c r="M120" i="28" s="1"/>
  <c r="K120" i="28"/>
  <c r="H120" i="28"/>
  <c r="F120" i="28"/>
  <c r="C120" i="28"/>
  <c r="P119" i="28"/>
  <c r="M119" i="28" s="1"/>
  <c r="K119" i="28"/>
  <c r="H119" i="28"/>
  <c r="F119" i="28"/>
  <c r="C119" i="28" s="1"/>
  <c r="P118" i="28"/>
  <c r="M118" i="28" s="1"/>
  <c r="K118" i="28"/>
  <c r="H118" i="28" s="1"/>
  <c r="F118" i="28"/>
  <c r="C118" i="28" s="1"/>
  <c r="P117" i="28"/>
  <c r="M117" i="28" s="1"/>
  <c r="K117" i="28"/>
  <c r="H117" i="28"/>
  <c r="F117" i="28"/>
  <c r="C117" i="28" s="1"/>
  <c r="P116" i="28"/>
  <c r="M116" i="28" s="1"/>
  <c r="K116" i="28"/>
  <c r="H116" i="28"/>
  <c r="F116" i="28"/>
  <c r="C116" i="28" s="1"/>
  <c r="P115" i="28"/>
  <c r="M115" i="28" s="1"/>
  <c r="K115" i="28"/>
  <c r="H115" i="28"/>
  <c r="F115" i="28"/>
  <c r="C115" i="28" s="1"/>
  <c r="P114" i="28"/>
  <c r="M114" i="28" s="1"/>
  <c r="K114" i="28"/>
  <c r="H114" i="28" s="1"/>
  <c r="F114" i="28"/>
  <c r="C114" i="28" s="1"/>
  <c r="P113" i="28"/>
  <c r="M113" i="28" s="1"/>
  <c r="K113" i="28"/>
  <c r="H113" i="28"/>
  <c r="F113" i="28"/>
  <c r="C113" i="28" s="1"/>
  <c r="P112" i="28"/>
  <c r="M112" i="28"/>
  <c r="K112" i="28"/>
  <c r="H112" i="28"/>
  <c r="F112" i="28"/>
  <c r="C112" i="28" s="1"/>
  <c r="P111" i="28"/>
  <c r="M111" i="28" s="1"/>
  <c r="K111" i="28"/>
  <c r="H111" i="28" s="1"/>
  <c r="F111" i="28"/>
  <c r="C111" i="28" s="1"/>
  <c r="P110" i="28"/>
  <c r="M110" i="28" s="1"/>
  <c r="K110" i="28"/>
  <c r="H110" i="28" s="1"/>
  <c r="F110" i="28"/>
  <c r="C110" i="28" s="1"/>
  <c r="P109" i="28"/>
  <c r="M109" i="28"/>
  <c r="K109" i="28"/>
  <c r="H109" i="28"/>
  <c r="F109" i="28"/>
  <c r="C109" i="28" s="1"/>
  <c r="P108" i="28"/>
  <c r="M108" i="28"/>
  <c r="K108" i="28"/>
  <c r="H108" i="28" s="1"/>
  <c r="F108" i="28"/>
  <c r="C108" i="28" s="1"/>
  <c r="P107" i="28"/>
  <c r="M107" i="28" s="1"/>
  <c r="K107" i="28"/>
  <c r="H107" i="28" s="1"/>
  <c r="F107" i="28"/>
  <c r="C107" i="28" s="1"/>
  <c r="P106" i="28"/>
  <c r="M106" i="28"/>
  <c r="K106" i="28"/>
  <c r="H106" i="28" s="1"/>
  <c r="F106" i="28"/>
  <c r="C106" i="28" s="1"/>
  <c r="P105" i="28"/>
  <c r="M105" i="28"/>
  <c r="K105" i="28"/>
  <c r="H105" i="28" s="1"/>
  <c r="F105" i="28"/>
  <c r="C105" i="28" s="1"/>
  <c r="P104" i="28"/>
  <c r="M104" i="28"/>
  <c r="K104" i="28"/>
  <c r="H104" i="28" s="1"/>
  <c r="F104" i="28"/>
  <c r="C104" i="28" s="1"/>
  <c r="P103" i="28"/>
  <c r="M103" i="28" s="1"/>
  <c r="K103" i="28"/>
  <c r="H103" i="28" s="1"/>
  <c r="F103" i="28"/>
  <c r="C103" i="28" s="1"/>
  <c r="P102" i="28"/>
  <c r="M102" i="28"/>
  <c r="K102" i="28"/>
  <c r="H102" i="28" s="1"/>
  <c r="F102" i="28"/>
  <c r="C102" i="28"/>
  <c r="P101" i="28"/>
  <c r="M101" i="28"/>
  <c r="K101" i="28"/>
  <c r="H101" i="28" s="1"/>
  <c r="F101" i="28"/>
  <c r="C101" i="28" s="1"/>
  <c r="P100" i="28"/>
  <c r="M100" i="28" s="1"/>
  <c r="K100" i="28"/>
  <c r="H100" i="28" s="1"/>
  <c r="F100" i="28"/>
  <c r="C100" i="28" s="1"/>
  <c r="P99" i="28"/>
  <c r="M99" i="28" s="1"/>
  <c r="K99" i="28"/>
  <c r="H99" i="28"/>
  <c r="F99" i="28"/>
  <c r="C99" i="28" s="1"/>
  <c r="P98" i="28"/>
  <c r="M98" i="28" s="1"/>
  <c r="K98" i="28"/>
  <c r="H98" i="28" s="1"/>
  <c r="F98" i="28"/>
  <c r="C98" i="28" s="1"/>
  <c r="P97" i="28"/>
  <c r="M97" i="28" s="1"/>
  <c r="K97" i="28"/>
  <c r="H97" i="28" s="1"/>
  <c r="F97" i="28"/>
  <c r="C97" i="28" s="1"/>
  <c r="P96" i="28"/>
  <c r="M96" i="28"/>
  <c r="K96" i="28"/>
  <c r="H96" i="28" s="1"/>
  <c r="F96" i="28"/>
  <c r="C96" i="28" s="1"/>
  <c r="P95" i="28"/>
  <c r="M95" i="28" s="1"/>
  <c r="K95" i="28"/>
  <c r="H95" i="28" s="1"/>
  <c r="F95" i="28"/>
  <c r="C95" i="28" s="1"/>
  <c r="P94" i="28"/>
  <c r="M94" i="28" s="1"/>
  <c r="K94" i="28"/>
  <c r="H94" i="28" s="1"/>
  <c r="F94" i="28"/>
  <c r="C94" i="28" s="1"/>
  <c r="P93" i="28"/>
  <c r="M93" i="28" s="1"/>
  <c r="K93" i="28"/>
  <c r="H93" i="28" s="1"/>
  <c r="F93" i="28"/>
  <c r="C93" i="28" s="1"/>
  <c r="P92" i="28"/>
  <c r="M92" i="28" s="1"/>
  <c r="K92" i="28"/>
  <c r="H92" i="28"/>
  <c r="F92" i="28"/>
  <c r="C92" i="28" s="1"/>
  <c r="P91" i="28"/>
  <c r="M91" i="28" s="1"/>
  <c r="K91" i="28"/>
  <c r="H91" i="28"/>
  <c r="F91" i="28"/>
  <c r="C91" i="28" s="1"/>
  <c r="P90" i="28"/>
  <c r="M90" i="28"/>
  <c r="K90" i="28"/>
  <c r="H90" i="28" s="1"/>
  <c r="F90" i="28"/>
  <c r="C90" i="28" s="1"/>
  <c r="P89" i="28"/>
  <c r="M89" i="28"/>
  <c r="K89" i="28"/>
  <c r="H89" i="28" s="1"/>
  <c r="F89" i="28"/>
  <c r="C89" i="28" s="1"/>
  <c r="P88" i="28"/>
  <c r="M88" i="28" s="1"/>
  <c r="K88" i="28"/>
  <c r="H88" i="28" s="1"/>
  <c r="F88" i="28"/>
  <c r="C88" i="28"/>
  <c r="P87" i="28"/>
  <c r="M87" i="28" s="1"/>
  <c r="K87" i="28"/>
  <c r="H87" i="28"/>
  <c r="F87" i="28"/>
  <c r="C87" i="28"/>
  <c r="P86" i="28"/>
  <c r="M86" i="28" s="1"/>
  <c r="K86" i="28"/>
  <c r="H86" i="28" s="1"/>
  <c r="F86" i="28"/>
  <c r="C86" i="28" s="1"/>
  <c r="P85" i="28"/>
  <c r="M85" i="28"/>
  <c r="K85" i="28"/>
  <c r="H85" i="28"/>
  <c r="F85" i="28"/>
  <c r="C85" i="28" s="1"/>
  <c r="P84" i="28"/>
  <c r="M84" i="28"/>
  <c r="K84" i="28"/>
  <c r="H84" i="28" s="1"/>
  <c r="F84" i="28"/>
  <c r="C84" i="28" s="1"/>
  <c r="P83" i="28"/>
  <c r="M83" i="28" s="1"/>
  <c r="K83" i="28"/>
  <c r="H83" i="28" s="1"/>
  <c r="F83" i="28"/>
  <c r="C83" i="28"/>
  <c r="P82" i="28"/>
  <c r="M82" i="28" s="1"/>
  <c r="K82" i="28"/>
  <c r="H82" i="28" s="1"/>
  <c r="F82" i="28"/>
  <c r="C82" i="28"/>
  <c r="P81" i="28"/>
  <c r="M81" i="28" s="1"/>
  <c r="K81" i="28"/>
  <c r="H81" i="28" s="1"/>
  <c r="F81" i="28"/>
  <c r="C81" i="28" s="1"/>
  <c r="P80" i="28"/>
  <c r="M80" i="28"/>
  <c r="K80" i="28"/>
  <c r="H80" i="28"/>
  <c r="F80" i="28"/>
  <c r="C80" i="28" s="1"/>
  <c r="P79" i="28"/>
  <c r="M79" i="28" s="1"/>
  <c r="K79" i="28"/>
  <c r="H79" i="28" s="1"/>
  <c r="F79" i="28"/>
  <c r="C79" i="28" s="1"/>
  <c r="P78" i="28"/>
  <c r="M78" i="28" s="1"/>
  <c r="K78" i="28"/>
  <c r="H78" i="28" s="1"/>
  <c r="F78" i="28"/>
  <c r="C78" i="28"/>
  <c r="P77" i="28"/>
  <c r="M77" i="28" s="1"/>
  <c r="K77" i="28"/>
  <c r="H77" i="28" s="1"/>
  <c r="F77" i="28"/>
  <c r="C77" i="28" s="1"/>
  <c r="P76" i="28"/>
  <c r="M76" i="28" s="1"/>
  <c r="K76" i="28"/>
  <c r="H76" i="28" s="1"/>
  <c r="F76" i="28"/>
  <c r="C76" i="28" s="1"/>
  <c r="P75" i="28"/>
  <c r="M75" i="28" s="1"/>
  <c r="K75" i="28"/>
  <c r="H75" i="28"/>
  <c r="F75" i="28"/>
  <c r="C75" i="28"/>
  <c r="P74" i="28"/>
  <c r="M74" i="28" s="1"/>
  <c r="K74" i="28"/>
  <c r="H74" i="28" s="1"/>
  <c r="F74" i="28"/>
  <c r="C74" i="28" s="1"/>
  <c r="P73" i="28"/>
  <c r="M73" i="28" s="1"/>
  <c r="K73" i="28"/>
  <c r="H73" i="28" s="1"/>
  <c r="F73" i="28"/>
  <c r="C73" i="28" s="1"/>
  <c r="P72" i="28"/>
  <c r="M72" i="28" s="1"/>
  <c r="K72" i="28"/>
  <c r="H72" i="28" s="1"/>
  <c r="F72" i="28"/>
  <c r="C72" i="28" s="1"/>
  <c r="P71" i="28"/>
  <c r="M71" i="28" s="1"/>
  <c r="K71" i="28"/>
  <c r="H71" i="28" s="1"/>
  <c r="F71" i="28"/>
  <c r="C71" i="28"/>
  <c r="P70" i="28"/>
  <c r="M70" i="28" s="1"/>
  <c r="K70" i="28"/>
  <c r="H70" i="28" s="1"/>
  <c r="F70" i="28"/>
  <c r="C70" i="28"/>
  <c r="P69" i="28"/>
  <c r="M69" i="28" s="1"/>
  <c r="K69" i="28"/>
  <c r="H69" i="28"/>
  <c r="F69" i="28"/>
  <c r="C69" i="28" s="1"/>
  <c r="P68" i="28"/>
  <c r="M68" i="28" s="1"/>
  <c r="K68" i="28"/>
  <c r="H68" i="28"/>
  <c r="F68" i="28"/>
  <c r="C68" i="28" s="1"/>
  <c r="P67" i="28"/>
  <c r="M67" i="28" s="1"/>
  <c r="K67" i="28"/>
  <c r="H67" i="28" s="1"/>
  <c r="F67" i="28"/>
  <c r="C67" i="28" s="1"/>
  <c r="P66" i="28"/>
  <c r="M66" i="28"/>
  <c r="K66" i="28"/>
  <c r="H66" i="28" s="1"/>
  <c r="F66" i="28"/>
  <c r="C66" i="28"/>
  <c r="P65" i="28"/>
  <c r="M65" i="28"/>
  <c r="K65" i="28"/>
  <c r="H65" i="28" s="1"/>
  <c r="F65" i="28"/>
  <c r="C65" i="28" s="1"/>
  <c r="P64" i="28"/>
  <c r="M64" i="28" s="1"/>
  <c r="K64" i="28"/>
  <c r="H64" i="28"/>
  <c r="F64" i="28"/>
  <c r="C64" i="28"/>
  <c r="P63" i="28"/>
  <c r="M63" i="28" s="1"/>
  <c r="K63" i="28"/>
  <c r="H63" i="28"/>
  <c r="F63" i="28"/>
  <c r="C63" i="28" s="1"/>
  <c r="P62" i="28"/>
  <c r="M62" i="28" s="1"/>
  <c r="K62" i="28"/>
  <c r="H62" i="28" s="1"/>
  <c r="F62" i="28"/>
  <c r="C62" i="28" s="1"/>
  <c r="P61" i="28"/>
  <c r="M61" i="28"/>
  <c r="K61" i="28"/>
  <c r="H61" i="28" s="1"/>
  <c r="F61" i="28"/>
  <c r="C61" i="28" s="1"/>
  <c r="P60" i="28"/>
  <c r="M60" i="28"/>
  <c r="K60" i="28"/>
  <c r="H60" i="28" s="1"/>
  <c r="F60" i="28"/>
  <c r="C60" i="28" s="1"/>
  <c r="P59" i="28"/>
  <c r="M59" i="28" s="1"/>
  <c r="K59" i="28"/>
  <c r="H59" i="28" s="1"/>
  <c r="F59" i="28"/>
  <c r="C59" i="28" s="1"/>
  <c r="P58" i="28"/>
  <c r="M58" i="28"/>
  <c r="K58" i="28"/>
  <c r="H58" i="28" s="1"/>
  <c r="F58" i="28"/>
  <c r="C58" i="28"/>
  <c r="P57" i="28"/>
  <c r="M57" i="28"/>
  <c r="K57" i="28"/>
  <c r="H57" i="28" s="1"/>
  <c r="F57" i="28"/>
  <c r="C57" i="28" s="1"/>
  <c r="P56" i="28"/>
  <c r="M56" i="28" s="1"/>
  <c r="K56" i="28"/>
  <c r="H56" i="28"/>
  <c r="F56" i="28"/>
  <c r="C56" i="28"/>
  <c r="P55" i="28"/>
  <c r="M55" i="28" s="1"/>
  <c r="K55" i="28"/>
  <c r="H55" i="28"/>
  <c r="F55" i="28"/>
  <c r="C55" i="28" s="1"/>
  <c r="P54" i="28"/>
  <c r="M54" i="28" s="1"/>
  <c r="K54" i="28"/>
  <c r="H54" i="28" s="1"/>
  <c r="F54" i="28"/>
  <c r="C54" i="28" s="1"/>
  <c r="P53" i="28"/>
  <c r="M53" i="28"/>
  <c r="K53" i="28"/>
  <c r="H53" i="28" s="1"/>
  <c r="F53" i="28"/>
  <c r="C53" i="28" s="1"/>
  <c r="P52" i="28"/>
  <c r="M52" i="28"/>
  <c r="K52" i="28"/>
  <c r="H52" i="28" s="1"/>
  <c r="F52" i="28"/>
  <c r="C52" i="28" s="1"/>
  <c r="P51" i="28"/>
  <c r="M51" i="28" s="1"/>
  <c r="K51" i="28"/>
  <c r="H51" i="28" s="1"/>
  <c r="F51" i="28"/>
  <c r="C51" i="28" s="1"/>
  <c r="P50" i="28"/>
  <c r="M50" i="28"/>
  <c r="K50" i="28"/>
  <c r="H50" i="28" s="1"/>
  <c r="F50" i="28"/>
  <c r="C50" i="28"/>
  <c r="P49" i="28"/>
  <c r="M49" i="28"/>
  <c r="K49" i="28"/>
  <c r="H49" i="28" s="1"/>
  <c r="F49" i="28"/>
  <c r="C49" i="28" s="1"/>
  <c r="P48" i="28"/>
  <c r="M48" i="28" s="1"/>
  <c r="K48" i="28"/>
  <c r="H48" i="28" s="1"/>
  <c r="F48" i="28"/>
  <c r="C48" i="28" s="1"/>
  <c r="P47" i="28"/>
  <c r="M47" i="28" s="1"/>
  <c r="K47" i="28"/>
  <c r="H47" i="28" s="1"/>
  <c r="F47" i="28"/>
  <c r="C47" i="28"/>
  <c r="P46" i="28"/>
  <c r="M46" i="28" s="1"/>
  <c r="K46" i="28"/>
  <c r="H46" i="28" s="1"/>
  <c r="F46" i="28"/>
  <c r="C46" i="28" s="1"/>
  <c r="P45" i="28"/>
  <c r="M45" i="28" s="1"/>
  <c r="K45" i="28"/>
  <c r="H45" i="28"/>
  <c r="F45" i="28"/>
  <c r="C45" i="28" s="1"/>
  <c r="P44" i="28"/>
  <c r="M44" i="28" s="1"/>
  <c r="K44" i="28"/>
  <c r="H44" i="28"/>
  <c r="F44" i="28"/>
  <c r="C44" i="28" s="1"/>
  <c r="P43" i="28"/>
  <c r="M43" i="28" s="1"/>
  <c r="K43" i="28"/>
  <c r="H43" i="28"/>
  <c r="F43" i="28"/>
  <c r="C43" i="28" s="1"/>
  <c r="P42" i="28"/>
  <c r="M42" i="28" s="1"/>
  <c r="K42" i="28"/>
  <c r="H42" i="28" s="1"/>
  <c r="F42" i="28"/>
  <c r="C42" i="28" s="1"/>
  <c r="P41" i="28"/>
  <c r="M41" i="28" s="1"/>
  <c r="K41" i="28"/>
  <c r="H41" i="28"/>
  <c r="F41" i="28"/>
  <c r="C41" i="28" s="1"/>
  <c r="P40" i="28"/>
  <c r="M40" i="28"/>
  <c r="K40" i="28"/>
  <c r="H40" i="28"/>
  <c r="F40" i="28"/>
  <c r="C40" i="28" s="1"/>
  <c r="P39" i="28"/>
  <c r="M39" i="28" s="1"/>
  <c r="K39" i="28"/>
  <c r="H39" i="28" s="1"/>
  <c r="F39" i="28"/>
  <c r="C39" i="28" s="1"/>
  <c r="P38" i="28"/>
  <c r="M38" i="28" s="1"/>
  <c r="K38" i="28"/>
  <c r="H38" i="28" s="1"/>
  <c r="F38" i="28"/>
  <c r="C38" i="28"/>
  <c r="P37" i="28"/>
  <c r="M37" i="28" s="1"/>
  <c r="K37" i="28"/>
  <c r="H37" i="28" s="1"/>
  <c r="F37" i="28"/>
  <c r="C37" i="28" s="1"/>
  <c r="P36" i="28"/>
  <c r="M36" i="28" s="1"/>
  <c r="K36" i="28"/>
  <c r="H36" i="28"/>
  <c r="F36" i="28"/>
  <c r="C36" i="28" s="1"/>
  <c r="P35" i="28"/>
  <c r="M35" i="28" s="1"/>
  <c r="K35" i="28"/>
  <c r="H35" i="28"/>
  <c r="F35" i="28"/>
  <c r="C35" i="28" s="1"/>
  <c r="P34" i="28"/>
  <c r="M34" i="28" s="1"/>
  <c r="K34" i="28"/>
  <c r="H34" i="28" s="1"/>
  <c r="F34" i="28"/>
  <c r="C34" i="28"/>
  <c r="P33" i="28"/>
  <c r="M33" i="28"/>
  <c r="K33" i="28"/>
  <c r="H33" i="28" s="1"/>
  <c r="F33" i="28"/>
  <c r="C33" i="28" s="1"/>
  <c r="P32" i="28"/>
  <c r="M32" i="28" s="1"/>
  <c r="K32" i="28"/>
  <c r="H32" i="28" s="1"/>
  <c r="F32" i="28"/>
  <c r="C32" i="28" s="1"/>
  <c r="P31" i="28"/>
  <c r="M31" i="28" s="1"/>
  <c r="K31" i="28"/>
  <c r="H31" i="28" s="1"/>
  <c r="F31" i="28"/>
  <c r="C31" i="28" s="1"/>
  <c r="P30" i="28"/>
  <c r="M30" i="28" s="1"/>
  <c r="K30" i="28"/>
  <c r="H30" i="28" s="1"/>
  <c r="F30" i="28"/>
  <c r="C30" i="28"/>
  <c r="P29" i="28"/>
  <c r="M29" i="28" s="1"/>
  <c r="K29" i="28"/>
  <c r="H29" i="28" s="1"/>
  <c r="F29" i="28"/>
  <c r="C29" i="28" s="1"/>
  <c r="P28" i="28"/>
  <c r="M28" i="28" s="1"/>
  <c r="K28" i="28"/>
  <c r="H28" i="28"/>
  <c r="F28" i="28"/>
  <c r="C28" i="28" s="1"/>
  <c r="P27" i="28"/>
  <c r="M27" i="28" s="1"/>
  <c r="K27" i="28"/>
  <c r="H27" i="28" s="1"/>
  <c r="F27" i="28"/>
  <c r="C27" i="28" s="1"/>
  <c r="P26" i="28"/>
  <c r="M26" i="28" s="1"/>
  <c r="K26" i="28"/>
  <c r="H26" i="28" s="1"/>
  <c r="F26" i="28"/>
  <c r="C26" i="28" s="1"/>
  <c r="P25" i="28"/>
  <c r="M25" i="28" s="1"/>
  <c r="K25" i="28"/>
  <c r="H25" i="28" s="1"/>
  <c r="F25" i="28"/>
  <c r="C25" i="28" s="1"/>
  <c r="P24" i="28"/>
  <c r="M24" i="28"/>
  <c r="K24" i="28"/>
  <c r="H24" i="28" s="1"/>
  <c r="F24" i="28"/>
  <c r="C24" i="28"/>
  <c r="P23" i="28"/>
  <c r="M23" i="28" s="1"/>
  <c r="K23" i="28"/>
  <c r="H23" i="28"/>
  <c r="F23" i="28"/>
  <c r="C23" i="28" s="1"/>
  <c r="P22" i="28"/>
  <c r="M22" i="28"/>
  <c r="L22" i="28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L57" i="28" s="1"/>
  <c r="L58" i="28" s="1"/>
  <c r="L59" i="28" s="1"/>
  <c r="L60" i="28" s="1"/>
  <c r="L61" i="28" s="1"/>
  <c r="L62" i="28" s="1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L75" i="28" s="1"/>
  <c r="L76" i="28" s="1"/>
  <c r="L77" i="28" s="1"/>
  <c r="L78" i="28" s="1"/>
  <c r="L79" i="28" s="1"/>
  <c r="L80" i="28" s="1"/>
  <c r="L81" i="28" s="1"/>
  <c r="L82" i="28" s="1"/>
  <c r="L83" i="28" s="1"/>
  <c r="L84" i="28" s="1"/>
  <c r="L85" i="28" s="1"/>
  <c r="L86" i="28" s="1"/>
  <c r="L87" i="28" s="1"/>
  <c r="L88" i="28" s="1"/>
  <c r="L89" i="28" s="1"/>
  <c r="L90" i="28" s="1"/>
  <c r="L91" i="28" s="1"/>
  <c r="L92" i="28" s="1"/>
  <c r="L93" i="28" s="1"/>
  <c r="L94" i="28" s="1"/>
  <c r="L95" i="28" s="1"/>
  <c r="L96" i="28" s="1"/>
  <c r="L97" i="28" s="1"/>
  <c r="L98" i="28" s="1"/>
  <c r="L99" i="28" s="1"/>
  <c r="L100" i="28" s="1"/>
  <c r="L101" i="28" s="1"/>
  <c r="L102" i="28" s="1"/>
  <c r="L103" i="28" s="1"/>
  <c r="L104" i="28" s="1"/>
  <c r="L105" i="28" s="1"/>
  <c r="L106" i="28" s="1"/>
  <c r="L107" i="28" s="1"/>
  <c r="L108" i="28" s="1"/>
  <c r="L109" i="28" s="1"/>
  <c r="L110" i="28" s="1"/>
  <c r="L111" i="28" s="1"/>
  <c r="L112" i="28" s="1"/>
  <c r="L113" i="28" s="1"/>
  <c r="L114" i="28" s="1"/>
  <c r="L115" i="28" s="1"/>
  <c r="L116" i="28" s="1"/>
  <c r="L117" i="28" s="1"/>
  <c r="L118" i="28" s="1"/>
  <c r="L119" i="28" s="1"/>
  <c r="L120" i="28" s="1"/>
  <c r="L121" i="28" s="1"/>
  <c r="L122" i="28" s="1"/>
  <c r="L123" i="28" s="1"/>
  <c r="L124" i="28" s="1"/>
  <c r="L125" i="28" s="1"/>
  <c r="L126" i="28" s="1"/>
  <c r="L127" i="28" s="1"/>
  <c r="L128" i="28" s="1"/>
  <c r="L129" i="28" s="1"/>
  <c r="L130" i="28" s="1"/>
  <c r="L131" i="28" s="1"/>
  <c r="L132" i="28" s="1"/>
  <c r="L133" i="28" s="1"/>
  <c r="L134" i="28" s="1"/>
  <c r="L135" i="28" s="1"/>
  <c r="L136" i="28" s="1"/>
  <c r="L137" i="28" s="1"/>
  <c r="L138" i="28" s="1"/>
  <c r="L139" i="28" s="1"/>
  <c r="L140" i="28" s="1"/>
  <c r="L141" i="28" s="1"/>
  <c r="L142" i="28" s="1"/>
  <c r="L143" i="28" s="1"/>
  <c r="L144" i="28" s="1"/>
  <c r="L145" i="28" s="1"/>
  <c r="L146" i="28" s="1"/>
  <c r="L147" i="28" s="1"/>
  <c r="L148" i="28" s="1"/>
  <c r="L149" i="28" s="1"/>
  <c r="L150" i="28" s="1"/>
  <c r="L151" i="28" s="1"/>
  <c r="L152" i="28" s="1"/>
  <c r="L153" i="28" s="1"/>
  <c r="L154" i="28" s="1"/>
  <c r="L155" i="28" s="1"/>
  <c r="L156" i="28" s="1"/>
  <c r="L157" i="28" s="1"/>
  <c r="L158" i="28" s="1"/>
  <c r="L159" i="28" s="1"/>
  <c r="L160" i="28" s="1"/>
  <c r="L161" i="28" s="1"/>
  <c r="L162" i="28" s="1"/>
  <c r="L163" i="28" s="1"/>
  <c r="L164" i="28" s="1"/>
  <c r="L165" i="28" s="1"/>
  <c r="L166" i="28" s="1"/>
  <c r="L167" i="28" s="1"/>
  <c r="L168" i="28" s="1"/>
  <c r="L169" i="28" s="1"/>
  <c r="L170" i="28" s="1"/>
  <c r="L171" i="28" s="1"/>
  <c r="K22" i="28"/>
  <c r="H22" i="28" s="1"/>
  <c r="G22" i="28"/>
  <c r="G23" i="28" s="1"/>
  <c r="G24" i="28" s="1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G35" i="28" s="1"/>
  <c r="G36" i="28" s="1"/>
  <c r="G37" i="28" s="1"/>
  <c r="G38" i="28" s="1"/>
  <c r="G39" i="28" s="1"/>
  <c r="G40" i="28" s="1"/>
  <c r="G41" i="28" s="1"/>
  <c r="G42" i="28" s="1"/>
  <c r="G43" i="28" s="1"/>
  <c r="G44" i="28" s="1"/>
  <c r="G45" i="28" s="1"/>
  <c r="G46" i="28" s="1"/>
  <c r="G47" i="28" s="1"/>
  <c r="G48" i="28" s="1"/>
  <c r="G49" i="28" s="1"/>
  <c r="G50" i="28" s="1"/>
  <c r="G51" i="28" s="1"/>
  <c r="G52" i="28" s="1"/>
  <c r="G53" i="28" s="1"/>
  <c r="G54" i="28" s="1"/>
  <c r="G55" i="28" s="1"/>
  <c r="G56" i="28" s="1"/>
  <c r="G57" i="28" s="1"/>
  <c r="G58" i="28" s="1"/>
  <c r="G59" i="28" s="1"/>
  <c r="G60" i="28" s="1"/>
  <c r="G61" i="28" s="1"/>
  <c r="G62" i="28" s="1"/>
  <c r="G63" i="28" s="1"/>
  <c r="G64" i="28" s="1"/>
  <c r="G65" i="28" s="1"/>
  <c r="G66" i="28" s="1"/>
  <c r="G67" i="28" s="1"/>
  <c r="G68" i="28" s="1"/>
  <c r="G69" i="28" s="1"/>
  <c r="G70" i="28" s="1"/>
  <c r="G71" i="28" s="1"/>
  <c r="G72" i="28" s="1"/>
  <c r="G73" i="28" s="1"/>
  <c r="G74" i="28" s="1"/>
  <c r="G75" i="28" s="1"/>
  <c r="G76" i="28" s="1"/>
  <c r="G77" i="28" s="1"/>
  <c r="G78" i="28" s="1"/>
  <c r="G79" i="28" s="1"/>
  <c r="G80" i="28" s="1"/>
  <c r="G81" i="28" s="1"/>
  <c r="G82" i="28" s="1"/>
  <c r="G83" i="28" s="1"/>
  <c r="G84" i="28" s="1"/>
  <c r="G85" i="28" s="1"/>
  <c r="G86" i="28" s="1"/>
  <c r="G87" i="28" s="1"/>
  <c r="G88" i="28" s="1"/>
  <c r="G89" i="28" s="1"/>
  <c r="G90" i="28" s="1"/>
  <c r="G91" i="28" s="1"/>
  <c r="G92" i="28" s="1"/>
  <c r="G93" i="28" s="1"/>
  <c r="G94" i="28" s="1"/>
  <c r="G95" i="28" s="1"/>
  <c r="G96" i="28" s="1"/>
  <c r="G97" i="28" s="1"/>
  <c r="G98" i="28" s="1"/>
  <c r="G99" i="28" s="1"/>
  <c r="G100" i="28" s="1"/>
  <c r="G101" i="28" s="1"/>
  <c r="G102" i="28" s="1"/>
  <c r="G103" i="28" s="1"/>
  <c r="G104" i="28" s="1"/>
  <c r="G105" i="28" s="1"/>
  <c r="G106" i="28" s="1"/>
  <c r="G107" i="28" s="1"/>
  <c r="G108" i="28" s="1"/>
  <c r="G109" i="28" s="1"/>
  <c r="G110" i="28" s="1"/>
  <c r="G111" i="28" s="1"/>
  <c r="G112" i="28" s="1"/>
  <c r="G113" i="28" s="1"/>
  <c r="G114" i="28" s="1"/>
  <c r="G115" i="28" s="1"/>
  <c r="G116" i="28" s="1"/>
  <c r="G117" i="28" s="1"/>
  <c r="G118" i="28" s="1"/>
  <c r="G119" i="28" s="1"/>
  <c r="G120" i="28" s="1"/>
  <c r="G121" i="28" s="1"/>
  <c r="G122" i="28" s="1"/>
  <c r="G123" i="28" s="1"/>
  <c r="G124" i="28" s="1"/>
  <c r="G125" i="28" s="1"/>
  <c r="G126" i="28" s="1"/>
  <c r="G127" i="28" s="1"/>
  <c r="G128" i="28" s="1"/>
  <c r="G129" i="28" s="1"/>
  <c r="G130" i="28" s="1"/>
  <c r="G131" i="28" s="1"/>
  <c r="G132" i="28" s="1"/>
  <c r="G133" i="28" s="1"/>
  <c r="G134" i="28" s="1"/>
  <c r="G135" i="28" s="1"/>
  <c r="G136" i="28" s="1"/>
  <c r="G137" i="28" s="1"/>
  <c r="G138" i="28" s="1"/>
  <c r="G139" i="28" s="1"/>
  <c r="G140" i="28" s="1"/>
  <c r="G141" i="28" s="1"/>
  <c r="G142" i="28" s="1"/>
  <c r="G143" i="28" s="1"/>
  <c r="G144" i="28" s="1"/>
  <c r="G145" i="28" s="1"/>
  <c r="G146" i="28" s="1"/>
  <c r="G147" i="28" s="1"/>
  <c r="G148" i="28" s="1"/>
  <c r="G149" i="28" s="1"/>
  <c r="G150" i="28" s="1"/>
  <c r="G151" i="28" s="1"/>
  <c r="G152" i="28" s="1"/>
  <c r="G153" i="28" s="1"/>
  <c r="G154" i="28" s="1"/>
  <c r="G155" i="28" s="1"/>
  <c r="G156" i="28" s="1"/>
  <c r="G157" i="28" s="1"/>
  <c r="G158" i="28" s="1"/>
  <c r="G159" i="28" s="1"/>
  <c r="G160" i="28" s="1"/>
  <c r="G161" i="28" s="1"/>
  <c r="G162" i="28" s="1"/>
  <c r="G163" i="28" s="1"/>
  <c r="G164" i="28" s="1"/>
  <c r="G165" i="28" s="1"/>
  <c r="G166" i="28" s="1"/>
  <c r="G167" i="28" s="1"/>
  <c r="G168" i="28" s="1"/>
  <c r="G169" i="28" s="1"/>
  <c r="G170" i="28" s="1"/>
  <c r="G171" i="28" s="1"/>
  <c r="B22" i="28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B136" i="28" s="1"/>
  <c r="B137" i="28" s="1"/>
  <c r="B138" i="28" s="1"/>
  <c r="B139" i="28" s="1"/>
  <c r="B140" i="28" s="1"/>
  <c r="B141" i="28" s="1"/>
  <c r="B142" i="28" s="1"/>
  <c r="B143" i="28" s="1"/>
  <c r="B144" i="28" s="1"/>
  <c r="B145" i="28" s="1"/>
  <c r="B146" i="28" s="1"/>
  <c r="B147" i="28" s="1"/>
  <c r="B148" i="28" s="1"/>
  <c r="B149" i="28" s="1"/>
  <c r="B150" i="28" s="1"/>
  <c r="B151" i="28" s="1"/>
  <c r="B152" i="28" s="1"/>
  <c r="B153" i="28" s="1"/>
  <c r="B154" i="28" s="1"/>
  <c r="B155" i="28" s="1"/>
  <c r="B156" i="28" s="1"/>
  <c r="B157" i="28" s="1"/>
  <c r="B158" i="28" s="1"/>
  <c r="B159" i="28" s="1"/>
  <c r="B160" i="28" s="1"/>
  <c r="B161" i="28" s="1"/>
  <c r="B162" i="28" s="1"/>
  <c r="B163" i="28" s="1"/>
  <c r="B164" i="28" s="1"/>
  <c r="B165" i="28" s="1"/>
  <c r="B166" i="28" s="1"/>
  <c r="B167" i="28" s="1"/>
  <c r="B168" i="28" s="1"/>
  <c r="B169" i="28" s="1"/>
  <c r="B170" i="28" s="1"/>
  <c r="B171" i="28" s="1"/>
  <c r="B20" i="28"/>
  <c r="C20" i="28" s="1"/>
  <c r="D20" i="28" s="1"/>
  <c r="E20" i="28" s="1"/>
  <c r="F20" i="28" s="1"/>
  <c r="G20" i="28" s="1"/>
  <c r="H20" i="28" s="1"/>
  <c r="I20" i="28" s="1"/>
  <c r="J20" i="28" s="1"/>
  <c r="K20" i="28" s="1"/>
  <c r="L20" i="28" s="1"/>
  <c r="M20" i="28" s="1"/>
  <c r="N20" i="28" s="1"/>
  <c r="O20" i="28" s="1"/>
  <c r="P20" i="28" s="1"/>
  <c r="Q20" i="28" s="1"/>
  <c r="R20" i="28" s="1"/>
  <c r="F9" i="28"/>
  <c r="A3" i="28"/>
  <c r="P205" i="27"/>
  <c r="K205" i="27"/>
  <c r="F205" i="27"/>
  <c r="A205" i="27"/>
  <c r="P204" i="27"/>
  <c r="M204" i="27" s="1"/>
  <c r="K204" i="27"/>
  <c r="H204" i="27" s="1"/>
  <c r="F204" i="27"/>
  <c r="C204" i="27" s="1"/>
  <c r="A204" i="27"/>
  <c r="P203" i="27"/>
  <c r="M203" i="27" s="1"/>
  <c r="K203" i="27"/>
  <c r="H203" i="27" s="1"/>
  <c r="F203" i="27"/>
  <c r="C203" i="27" s="1"/>
  <c r="A203" i="27"/>
  <c r="P202" i="27"/>
  <c r="M202" i="27"/>
  <c r="K202" i="27"/>
  <c r="H202" i="27" s="1"/>
  <c r="F202" i="27"/>
  <c r="C202" i="27" s="1"/>
  <c r="A202" i="27"/>
  <c r="P201" i="27"/>
  <c r="M201" i="27" s="1"/>
  <c r="K201" i="27"/>
  <c r="H201" i="27" s="1"/>
  <c r="F201" i="27"/>
  <c r="C201" i="27"/>
  <c r="A201" i="27"/>
  <c r="P200" i="27"/>
  <c r="M200" i="27"/>
  <c r="K200" i="27"/>
  <c r="H200" i="27" s="1"/>
  <c r="F200" i="27"/>
  <c r="C200" i="27" s="1"/>
  <c r="A200" i="27"/>
  <c r="P199" i="27"/>
  <c r="M199" i="27" s="1"/>
  <c r="K199" i="27"/>
  <c r="H199" i="27" s="1"/>
  <c r="F199" i="27"/>
  <c r="C199" i="27"/>
  <c r="A199" i="27"/>
  <c r="P198" i="27"/>
  <c r="M198" i="27" s="1"/>
  <c r="K198" i="27"/>
  <c r="H198" i="27" s="1"/>
  <c r="F198" i="27"/>
  <c r="C198" i="27" s="1"/>
  <c r="A198" i="27"/>
  <c r="P197" i="27"/>
  <c r="M197" i="27" s="1"/>
  <c r="K197" i="27"/>
  <c r="H197" i="27" s="1"/>
  <c r="F197" i="27"/>
  <c r="C197" i="27"/>
  <c r="A197" i="27"/>
  <c r="P196" i="27"/>
  <c r="M196" i="27"/>
  <c r="K196" i="27"/>
  <c r="H196" i="27" s="1"/>
  <c r="F196" i="27"/>
  <c r="C196" i="27" s="1"/>
  <c r="A196" i="27"/>
  <c r="P195" i="27"/>
  <c r="M195" i="27" s="1"/>
  <c r="K195" i="27"/>
  <c r="H195" i="27" s="1"/>
  <c r="F195" i="27"/>
  <c r="C195" i="27" s="1"/>
  <c r="A195" i="27"/>
  <c r="P194" i="27"/>
  <c r="M194" i="27" s="1"/>
  <c r="K194" i="27"/>
  <c r="H194" i="27" s="1"/>
  <c r="F194" i="27"/>
  <c r="C194" i="27" s="1"/>
  <c r="A194" i="27"/>
  <c r="P193" i="27"/>
  <c r="M193" i="27" s="1"/>
  <c r="K193" i="27"/>
  <c r="H193" i="27"/>
  <c r="F193" i="27"/>
  <c r="C193" i="27" s="1"/>
  <c r="A193" i="27"/>
  <c r="P192" i="27"/>
  <c r="M192" i="27" s="1"/>
  <c r="K192" i="27"/>
  <c r="H192" i="27" s="1"/>
  <c r="F192" i="27"/>
  <c r="C192" i="27" s="1"/>
  <c r="A192" i="27"/>
  <c r="P191" i="27"/>
  <c r="M191" i="27" s="1"/>
  <c r="K191" i="27"/>
  <c r="H191" i="27" s="1"/>
  <c r="F191" i="27"/>
  <c r="C191" i="27" s="1"/>
  <c r="A191" i="27"/>
  <c r="P190" i="27"/>
  <c r="M190" i="27" s="1"/>
  <c r="K190" i="27"/>
  <c r="H190" i="27" s="1"/>
  <c r="F190" i="27"/>
  <c r="C190" i="27" s="1"/>
  <c r="A190" i="27"/>
  <c r="P189" i="27"/>
  <c r="M189" i="27" s="1"/>
  <c r="K189" i="27"/>
  <c r="H189" i="27"/>
  <c r="F189" i="27"/>
  <c r="C189" i="27" s="1"/>
  <c r="A189" i="27"/>
  <c r="P188" i="27"/>
  <c r="M188" i="27" s="1"/>
  <c r="K188" i="27"/>
  <c r="H188" i="27" s="1"/>
  <c r="F188" i="27"/>
  <c r="C188" i="27" s="1"/>
  <c r="A188" i="27"/>
  <c r="P187" i="27"/>
  <c r="M187" i="27" s="1"/>
  <c r="K187" i="27"/>
  <c r="H187" i="27" s="1"/>
  <c r="F187" i="27"/>
  <c r="C187" i="27" s="1"/>
  <c r="A187" i="27"/>
  <c r="P186" i="27"/>
  <c r="M186" i="27" s="1"/>
  <c r="K186" i="27"/>
  <c r="H186" i="27" s="1"/>
  <c r="F186" i="27"/>
  <c r="C186" i="27" s="1"/>
  <c r="A186" i="27"/>
  <c r="P185" i="27"/>
  <c r="M185" i="27" s="1"/>
  <c r="K185" i="27"/>
  <c r="H185" i="27" s="1"/>
  <c r="F185" i="27"/>
  <c r="C185" i="27" s="1"/>
  <c r="A185" i="27"/>
  <c r="P184" i="27"/>
  <c r="M184" i="27" s="1"/>
  <c r="K184" i="27"/>
  <c r="H184" i="27" s="1"/>
  <c r="F184" i="27"/>
  <c r="C184" i="27" s="1"/>
  <c r="A184" i="27"/>
  <c r="P183" i="27"/>
  <c r="M183" i="27" s="1"/>
  <c r="K183" i="27"/>
  <c r="H183" i="27" s="1"/>
  <c r="F183" i="27"/>
  <c r="C183" i="27" s="1"/>
  <c r="A183" i="27"/>
  <c r="P182" i="27"/>
  <c r="M182" i="27" s="1"/>
  <c r="K182" i="27"/>
  <c r="H182" i="27" s="1"/>
  <c r="F182" i="27"/>
  <c r="C182" i="27" s="1"/>
  <c r="A182" i="27"/>
  <c r="P181" i="27"/>
  <c r="M181" i="27" s="1"/>
  <c r="K181" i="27"/>
  <c r="H181" i="27" s="1"/>
  <c r="F181" i="27"/>
  <c r="C181" i="27" s="1"/>
  <c r="A181" i="27"/>
  <c r="P180" i="27"/>
  <c r="M180" i="27" s="1"/>
  <c r="K180" i="27"/>
  <c r="H180" i="27" s="1"/>
  <c r="F180" i="27"/>
  <c r="C180" i="27" s="1"/>
  <c r="A180" i="27"/>
  <c r="P179" i="27"/>
  <c r="M179" i="27" s="1"/>
  <c r="K179" i="27"/>
  <c r="H179" i="27"/>
  <c r="F179" i="27"/>
  <c r="C179" i="27" s="1"/>
  <c r="A179" i="27"/>
  <c r="P178" i="27"/>
  <c r="M178" i="27" s="1"/>
  <c r="K178" i="27"/>
  <c r="H178" i="27" s="1"/>
  <c r="F178" i="27"/>
  <c r="C178" i="27" s="1"/>
  <c r="A178" i="27"/>
  <c r="P177" i="27"/>
  <c r="M177" i="27" s="1"/>
  <c r="K177" i="27"/>
  <c r="H177" i="27"/>
  <c r="F177" i="27"/>
  <c r="C177" i="27" s="1"/>
  <c r="A177" i="27"/>
  <c r="P176" i="27"/>
  <c r="M176" i="27" s="1"/>
  <c r="K176" i="27"/>
  <c r="H176" i="27" s="1"/>
  <c r="F176" i="27"/>
  <c r="C176" i="27" s="1"/>
  <c r="A176" i="27"/>
  <c r="P175" i="27"/>
  <c r="M175" i="27" s="1"/>
  <c r="K175" i="27"/>
  <c r="H175" i="27" s="1"/>
  <c r="F175" i="27"/>
  <c r="C175" i="27" s="1"/>
  <c r="A175" i="27"/>
  <c r="P174" i="27"/>
  <c r="M174" i="27" s="1"/>
  <c r="K174" i="27"/>
  <c r="H174" i="27" s="1"/>
  <c r="F174" i="27"/>
  <c r="C174" i="27" s="1"/>
  <c r="A174" i="27"/>
  <c r="P173" i="27"/>
  <c r="M173" i="27" s="1"/>
  <c r="K173" i="27"/>
  <c r="H173" i="27" s="1"/>
  <c r="F173" i="27"/>
  <c r="C173" i="27" s="1"/>
  <c r="A173" i="27"/>
  <c r="P172" i="27"/>
  <c r="M172" i="27" s="1"/>
  <c r="K172" i="27"/>
  <c r="H172" i="27" s="1"/>
  <c r="F172" i="27"/>
  <c r="C172" i="27" s="1"/>
  <c r="A172" i="27"/>
  <c r="P171" i="27"/>
  <c r="M171" i="27" s="1"/>
  <c r="K171" i="27"/>
  <c r="H171" i="27" s="1"/>
  <c r="F171" i="27"/>
  <c r="C171" i="27" s="1"/>
  <c r="A171" i="27"/>
  <c r="P170" i="27"/>
  <c r="M170" i="27" s="1"/>
  <c r="K170" i="27"/>
  <c r="H170" i="27" s="1"/>
  <c r="F170" i="27"/>
  <c r="C170" i="27" s="1"/>
  <c r="A170" i="27"/>
  <c r="P169" i="27"/>
  <c r="M169" i="27" s="1"/>
  <c r="K169" i="27"/>
  <c r="H169" i="27" s="1"/>
  <c r="F169" i="27"/>
  <c r="C169" i="27" s="1"/>
  <c r="A169" i="27"/>
  <c r="P168" i="27"/>
  <c r="M168" i="27" s="1"/>
  <c r="K168" i="27"/>
  <c r="H168" i="27"/>
  <c r="F168" i="27"/>
  <c r="C168" i="27" s="1"/>
  <c r="A168" i="27"/>
  <c r="P167" i="27"/>
  <c r="M167" i="27" s="1"/>
  <c r="K167" i="27"/>
  <c r="H167" i="27"/>
  <c r="F167" i="27"/>
  <c r="C167" i="27" s="1"/>
  <c r="A167" i="27"/>
  <c r="P166" i="27"/>
  <c r="M166" i="27" s="1"/>
  <c r="K166" i="27"/>
  <c r="H166" i="27" s="1"/>
  <c r="F166" i="27"/>
  <c r="C166" i="27" s="1"/>
  <c r="A166" i="27"/>
  <c r="P165" i="27"/>
  <c r="M165" i="27" s="1"/>
  <c r="K165" i="27"/>
  <c r="H165" i="27" s="1"/>
  <c r="F165" i="27"/>
  <c r="C165" i="27" s="1"/>
  <c r="A165" i="27"/>
  <c r="P164" i="27"/>
  <c r="M164" i="27" s="1"/>
  <c r="K164" i="27"/>
  <c r="H164" i="27" s="1"/>
  <c r="F164" i="27"/>
  <c r="C164" i="27" s="1"/>
  <c r="A164" i="27"/>
  <c r="P163" i="27"/>
  <c r="M163" i="27" s="1"/>
  <c r="K163" i="27"/>
  <c r="H163" i="27" s="1"/>
  <c r="F163" i="27"/>
  <c r="C163" i="27" s="1"/>
  <c r="A163" i="27"/>
  <c r="P162" i="27"/>
  <c r="M162" i="27" s="1"/>
  <c r="K162" i="27"/>
  <c r="H162" i="27"/>
  <c r="F162" i="27"/>
  <c r="C162" i="27" s="1"/>
  <c r="A162" i="27"/>
  <c r="P161" i="27"/>
  <c r="M161" i="27" s="1"/>
  <c r="K161" i="27"/>
  <c r="H161" i="27"/>
  <c r="F161" i="27"/>
  <c r="C161" i="27" s="1"/>
  <c r="A161" i="27"/>
  <c r="P160" i="27"/>
  <c r="M160" i="27" s="1"/>
  <c r="K160" i="27"/>
  <c r="H160" i="27"/>
  <c r="F160" i="27"/>
  <c r="C160" i="27" s="1"/>
  <c r="A160" i="27"/>
  <c r="P159" i="27"/>
  <c r="M159" i="27" s="1"/>
  <c r="K159" i="27"/>
  <c r="H159" i="27" s="1"/>
  <c r="F159" i="27"/>
  <c r="C159" i="27" s="1"/>
  <c r="A159" i="27"/>
  <c r="P158" i="27"/>
  <c r="M158" i="27" s="1"/>
  <c r="K158" i="27"/>
  <c r="H158" i="27" s="1"/>
  <c r="F158" i="27"/>
  <c r="C158" i="27" s="1"/>
  <c r="A158" i="27"/>
  <c r="P157" i="27"/>
  <c r="M157" i="27" s="1"/>
  <c r="K157" i="27"/>
  <c r="H157" i="27" s="1"/>
  <c r="F157" i="27"/>
  <c r="C157" i="27" s="1"/>
  <c r="A157" i="27"/>
  <c r="P156" i="27"/>
  <c r="M156" i="27"/>
  <c r="K156" i="27"/>
  <c r="H156" i="27"/>
  <c r="F156" i="27"/>
  <c r="C156" i="27" s="1"/>
  <c r="A156" i="27"/>
  <c r="P155" i="27"/>
  <c r="M155" i="27" s="1"/>
  <c r="K155" i="27"/>
  <c r="H155" i="27" s="1"/>
  <c r="F155" i="27"/>
  <c r="C155" i="27" s="1"/>
  <c r="A155" i="27"/>
  <c r="P154" i="27"/>
  <c r="M154" i="27" s="1"/>
  <c r="K154" i="27"/>
  <c r="H154" i="27" s="1"/>
  <c r="F154" i="27"/>
  <c r="C154" i="27" s="1"/>
  <c r="A154" i="27"/>
  <c r="P153" i="27"/>
  <c r="M153" i="27" s="1"/>
  <c r="K153" i="27"/>
  <c r="H153" i="27" s="1"/>
  <c r="F153" i="27"/>
  <c r="C153" i="27" s="1"/>
  <c r="A153" i="27"/>
  <c r="P152" i="27"/>
  <c r="M152" i="27"/>
  <c r="K152" i="27"/>
  <c r="H152" i="27" s="1"/>
  <c r="F152" i="27"/>
  <c r="C152" i="27" s="1"/>
  <c r="A152" i="27"/>
  <c r="P151" i="27"/>
  <c r="M151" i="27"/>
  <c r="K151" i="27"/>
  <c r="H151" i="27" s="1"/>
  <c r="F151" i="27"/>
  <c r="C151" i="27" s="1"/>
  <c r="A151" i="27"/>
  <c r="P150" i="27"/>
  <c r="M150" i="27" s="1"/>
  <c r="K150" i="27"/>
  <c r="H150" i="27" s="1"/>
  <c r="F150" i="27"/>
  <c r="C150" i="27" s="1"/>
  <c r="A150" i="27"/>
  <c r="P149" i="27"/>
  <c r="M149" i="27" s="1"/>
  <c r="K149" i="27"/>
  <c r="H149" i="27" s="1"/>
  <c r="F149" i="27"/>
  <c r="C149" i="27" s="1"/>
  <c r="A149" i="27"/>
  <c r="P148" i="27"/>
  <c r="M148" i="27" s="1"/>
  <c r="K148" i="27"/>
  <c r="H148" i="27" s="1"/>
  <c r="F148" i="27"/>
  <c r="C148" i="27" s="1"/>
  <c r="A148" i="27"/>
  <c r="P147" i="27"/>
  <c r="M147" i="27" s="1"/>
  <c r="K147" i="27"/>
  <c r="H147" i="27"/>
  <c r="F147" i="27"/>
  <c r="C147" i="27" s="1"/>
  <c r="A147" i="27"/>
  <c r="P146" i="27"/>
  <c r="M146" i="27" s="1"/>
  <c r="K146" i="27"/>
  <c r="H146" i="27" s="1"/>
  <c r="F146" i="27"/>
  <c r="C146" i="27" s="1"/>
  <c r="A146" i="27"/>
  <c r="P145" i="27"/>
  <c r="M145" i="27" s="1"/>
  <c r="K145" i="27"/>
  <c r="H145" i="27" s="1"/>
  <c r="F145" i="27"/>
  <c r="C145" i="27" s="1"/>
  <c r="A145" i="27"/>
  <c r="P144" i="27"/>
  <c r="M144" i="27" s="1"/>
  <c r="K144" i="27"/>
  <c r="H144" i="27"/>
  <c r="F144" i="27"/>
  <c r="C144" i="27" s="1"/>
  <c r="A144" i="27"/>
  <c r="P143" i="27"/>
  <c r="M143" i="27" s="1"/>
  <c r="K143" i="27"/>
  <c r="H143" i="27"/>
  <c r="F143" i="27"/>
  <c r="C143" i="27" s="1"/>
  <c r="A143" i="27"/>
  <c r="P142" i="27"/>
  <c r="M142" i="27" s="1"/>
  <c r="K142" i="27"/>
  <c r="H142" i="27" s="1"/>
  <c r="F142" i="27"/>
  <c r="C142" i="27" s="1"/>
  <c r="A142" i="27"/>
  <c r="P141" i="27"/>
  <c r="M141" i="27" s="1"/>
  <c r="K141" i="27"/>
  <c r="H141" i="27" s="1"/>
  <c r="F141" i="27"/>
  <c r="C141" i="27" s="1"/>
  <c r="A141" i="27"/>
  <c r="P140" i="27"/>
  <c r="M140" i="27" s="1"/>
  <c r="K140" i="27"/>
  <c r="H140" i="27" s="1"/>
  <c r="F140" i="27"/>
  <c r="C140" i="27" s="1"/>
  <c r="A140" i="27"/>
  <c r="P139" i="27"/>
  <c r="M139" i="27" s="1"/>
  <c r="K139" i="27"/>
  <c r="H139" i="27" s="1"/>
  <c r="F139" i="27"/>
  <c r="C139" i="27" s="1"/>
  <c r="A139" i="27"/>
  <c r="P138" i="27"/>
  <c r="M138" i="27" s="1"/>
  <c r="K138" i="27"/>
  <c r="H138" i="27" s="1"/>
  <c r="F138" i="27"/>
  <c r="C138" i="27" s="1"/>
  <c r="A138" i="27"/>
  <c r="P137" i="27"/>
  <c r="M137" i="27" s="1"/>
  <c r="K137" i="27"/>
  <c r="H137" i="27" s="1"/>
  <c r="F137" i="27"/>
  <c r="C137" i="27" s="1"/>
  <c r="A137" i="27"/>
  <c r="P136" i="27"/>
  <c r="M136" i="27" s="1"/>
  <c r="K136" i="27"/>
  <c r="H136" i="27" s="1"/>
  <c r="F136" i="27"/>
  <c r="C136" i="27" s="1"/>
  <c r="A136" i="27"/>
  <c r="P135" i="27"/>
  <c r="M135" i="27" s="1"/>
  <c r="K135" i="27"/>
  <c r="H135" i="27" s="1"/>
  <c r="F135" i="27"/>
  <c r="C135" i="27" s="1"/>
  <c r="A135" i="27"/>
  <c r="P134" i="27"/>
  <c r="M134" i="27" s="1"/>
  <c r="K134" i="27"/>
  <c r="H134" i="27" s="1"/>
  <c r="F134" i="27"/>
  <c r="C134" i="27" s="1"/>
  <c r="A134" i="27"/>
  <c r="P133" i="27"/>
  <c r="M133" i="27" s="1"/>
  <c r="K133" i="27"/>
  <c r="H133" i="27" s="1"/>
  <c r="F133" i="27"/>
  <c r="C133" i="27" s="1"/>
  <c r="A133" i="27"/>
  <c r="P132" i="27"/>
  <c r="M132" i="27" s="1"/>
  <c r="K132" i="27"/>
  <c r="H132" i="27" s="1"/>
  <c r="F132" i="27"/>
  <c r="C132" i="27" s="1"/>
  <c r="A132" i="27"/>
  <c r="P131" i="27"/>
  <c r="M131" i="27" s="1"/>
  <c r="K131" i="27"/>
  <c r="H131" i="27" s="1"/>
  <c r="F131" i="27"/>
  <c r="C131" i="27" s="1"/>
  <c r="A131" i="27"/>
  <c r="P130" i="27"/>
  <c r="M130" i="27" s="1"/>
  <c r="K130" i="27"/>
  <c r="H130" i="27" s="1"/>
  <c r="F130" i="27"/>
  <c r="C130" i="27" s="1"/>
  <c r="A130" i="27"/>
  <c r="P129" i="27"/>
  <c r="M129" i="27" s="1"/>
  <c r="K129" i="27"/>
  <c r="H129" i="27" s="1"/>
  <c r="F129" i="27"/>
  <c r="C129" i="27" s="1"/>
  <c r="A129" i="27"/>
  <c r="P128" i="27"/>
  <c r="M128" i="27" s="1"/>
  <c r="K128" i="27"/>
  <c r="H128" i="27" s="1"/>
  <c r="F128" i="27"/>
  <c r="C128" i="27" s="1"/>
  <c r="A128" i="27"/>
  <c r="P127" i="27"/>
  <c r="M127" i="27" s="1"/>
  <c r="K127" i="27"/>
  <c r="H127" i="27" s="1"/>
  <c r="F127" i="27"/>
  <c r="C127" i="27" s="1"/>
  <c r="A127" i="27"/>
  <c r="P126" i="27"/>
  <c r="M126" i="27" s="1"/>
  <c r="K126" i="27"/>
  <c r="H126" i="27" s="1"/>
  <c r="F126" i="27"/>
  <c r="C126" i="27" s="1"/>
  <c r="A126" i="27"/>
  <c r="P125" i="27"/>
  <c r="M125" i="27" s="1"/>
  <c r="K125" i="27"/>
  <c r="H125" i="27" s="1"/>
  <c r="F125" i="27"/>
  <c r="C125" i="27" s="1"/>
  <c r="A125" i="27"/>
  <c r="P124" i="27"/>
  <c r="M124" i="27" s="1"/>
  <c r="K124" i="27"/>
  <c r="H124" i="27" s="1"/>
  <c r="F124" i="27"/>
  <c r="C124" i="27" s="1"/>
  <c r="A124" i="27"/>
  <c r="P123" i="27"/>
  <c r="M123" i="27" s="1"/>
  <c r="K123" i="27"/>
  <c r="H123" i="27" s="1"/>
  <c r="F123" i="27"/>
  <c r="C123" i="27" s="1"/>
  <c r="A123" i="27"/>
  <c r="P122" i="27"/>
  <c r="M122" i="27" s="1"/>
  <c r="K122" i="27"/>
  <c r="H122" i="27" s="1"/>
  <c r="F122" i="27"/>
  <c r="C122" i="27" s="1"/>
  <c r="A122" i="27"/>
  <c r="P121" i="27"/>
  <c r="M121" i="27" s="1"/>
  <c r="K121" i="27"/>
  <c r="H121" i="27" s="1"/>
  <c r="F121" i="27"/>
  <c r="C121" i="27" s="1"/>
  <c r="A121" i="27"/>
  <c r="P120" i="27"/>
  <c r="M120" i="27"/>
  <c r="K120" i="27"/>
  <c r="H120" i="27" s="1"/>
  <c r="F120" i="27"/>
  <c r="C120" i="27" s="1"/>
  <c r="A120" i="27"/>
  <c r="T119" i="27"/>
  <c r="P119" i="27"/>
  <c r="M119" i="27" s="1"/>
  <c r="K119" i="27"/>
  <c r="H119" i="27"/>
  <c r="F119" i="27"/>
  <c r="C119" i="27" s="1"/>
  <c r="A119" i="27"/>
  <c r="S119" i="27" s="1"/>
  <c r="P118" i="27"/>
  <c r="M118" i="27" s="1"/>
  <c r="K118" i="27"/>
  <c r="H118" i="27"/>
  <c r="F118" i="27"/>
  <c r="C118" i="27" s="1"/>
  <c r="A118" i="27"/>
  <c r="P117" i="27"/>
  <c r="M117" i="27" s="1"/>
  <c r="K117" i="27"/>
  <c r="H117" i="27" s="1"/>
  <c r="F117" i="27"/>
  <c r="C117" i="27" s="1"/>
  <c r="A117" i="27"/>
  <c r="P116" i="27"/>
  <c r="M116" i="27" s="1"/>
  <c r="K116" i="27"/>
  <c r="H116" i="27"/>
  <c r="F116" i="27"/>
  <c r="C116" i="27"/>
  <c r="A116" i="27"/>
  <c r="P115" i="27"/>
  <c r="M115" i="27" s="1"/>
  <c r="K115" i="27"/>
  <c r="H115" i="27" s="1"/>
  <c r="F115" i="27"/>
  <c r="C115" i="27" s="1"/>
  <c r="A115" i="27"/>
  <c r="P114" i="27"/>
  <c r="M114" i="27" s="1"/>
  <c r="K114" i="27"/>
  <c r="H114" i="27"/>
  <c r="F114" i="27"/>
  <c r="C114" i="27" s="1"/>
  <c r="A114" i="27"/>
  <c r="P113" i="27"/>
  <c r="M113" i="27" s="1"/>
  <c r="K113" i="27"/>
  <c r="H113" i="27"/>
  <c r="F113" i="27"/>
  <c r="C113" i="27" s="1"/>
  <c r="A113" i="27"/>
  <c r="P112" i="27"/>
  <c r="M112" i="27" s="1"/>
  <c r="K112" i="27"/>
  <c r="H112" i="27" s="1"/>
  <c r="F112" i="27"/>
  <c r="C112" i="27" s="1"/>
  <c r="A112" i="27"/>
  <c r="P111" i="27"/>
  <c r="M111" i="27" s="1"/>
  <c r="K111" i="27"/>
  <c r="H111" i="27" s="1"/>
  <c r="F111" i="27"/>
  <c r="C111" i="27" s="1"/>
  <c r="A111" i="27"/>
  <c r="P110" i="27"/>
  <c r="M110" i="27" s="1"/>
  <c r="K110" i="27"/>
  <c r="H110" i="27" s="1"/>
  <c r="F110" i="27"/>
  <c r="C110" i="27" s="1"/>
  <c r="A110" i="27"/>
  <c r="P109" i="27"/>
  <c r="M109" i="27" s="1"/>
  <c r="K109" i="27"/>
  <c r="H109" i="27" s="1"/>
  <c r="F109" i="27"/>
  <c r="C109" i="27" s="1"/>
  <c r="A109" i="27"/>
  <c r="P108" i="27"/>
  <c r="M108" i="27" s="1"/>
  <c r="K108" i="27"/>
  <c r="H108" i="27" s="1"/>
  <c r="F108" i="27"/>
  <c r="C108" i="27" s="1"/>
  <c r="A108" i="27"/>
  <c r="P107" i="27"/>
  <c r="M107" i="27" s="1"/>
  <c r="K107" i="27"/>
  <c r="H107" i="27" s="1"/>
  <c r="F107" i="27"/>
  <c r="C107" i="27" s="1"/>
  <c r="A107" i="27"/>
  <c r="P106" i="27"/>
  <c r="M106" i="27" s="1"/>
  <c r="K106" i="27"/>
  <c r="H106" i="27"/>
  <c r="F106" i="27"/>
  <c r="C106" i="27" s="1"/>
  <c r="A106" i="27"/>
  <c r="P105" i="27"/>
  <c r="M105" i="27" s="1"/>
  <c r="K105" i="27"/>
  <c r="H105" i="27" s="1"/>
  <c r="F105" i="27"/>
  <c r="C105" i="27" s="1"/>
  <c r="A105" i="27"/>
  <c r="P104" i="27"/>
  <c r="M104" i="27" s="1"/>
  <c r="K104" i="27"/>
  <c r="H104" i="27" s="1"/>
  <c r="F104" i="27"/>
  <c r="C104" i="27" s="1"/>
  <c r="A104" i="27"/>
  <c r="P103" i="27"/>
  <c r="M103" i="27" s="1"/>
  <c r="K103" i="27"/>
  <c r="H103" i="27" s="1"/>
  <c r="F103" i="27"/>
  <c r="C103" i="27" s="1"/>
  <c r="A103" i="27"/>
  <c r="P102" i="27"/>
  <c r="M102" i="27" s="1"/>
  <c r="K102" i="27"/>
  <c r="H102" i="27" s="1"/>
  <c r="F102" i="27"/>
  <c r="C102" i="27" s="1"/>
  <c r="A102" i="27"/>
  <c r="P101" i="27"/>
  <c r="M101" i="27" s="1"/>
  <c r="K101" i="27"/>
  <c r="H101" i="27" s="1"/>
  <c r="F101" i="27"/>
  <c r="C101" i="27" s="1"/>
  <c r="A101" i="27"/>
  <c r="P100" i="27"/>
  <c r="M100" i="27" s="1"/>
  <c r="K100" i="27"/>
  <c r="H100" i="27"/>
  <c r="F100" i="27"/>
  <c r="C100" i="27" s="1"/>
  <c r="A100" i="27"/>
  <c r="T99" i="27"/>
  <c r="P99" i="27"/>
  <c r="M99" i="27" s="1"/>
  <c r="K99" i="27"/>
  <c r="H99" i="27" s="1"/>
  <c r="F99" i="27"/>
  <c r="C99" i="27" s="1"/>
  <c r="A99" i="27"/>
  <c r="S99" i="27" s="1"/>
  <c r="T98" i="27"/>
  <c r="P98" i="27"/>
  <c r="M98" i="27" s="1"/>
  <c r="K98" i="27"/>
  <c r="H98" i="27" s="1"/>
  <c r="F98" i="27"/>
  <c r="C98" i="27" s="1"/>
  <c r="A98" i="27"/>
  <c r="S98" i="27" s="1"/>
  <c r="T97" i="27"/>
  <c r="P97" i="27"/>
  <c r="M97" i="27" s="1"/>
  <c r="K97" i="27"/>
  <c r="H97" i="27"/>
  <c r="F97" i="27"/>
  <c r="C97" i="27" s="1"/>
  <c r="A97" i="27"/>
  <c r="S97" i="27" s="1"/>
  <c r="T96" i="27"/>
  <c r="P96" i="27"/>
  <c r="M96" i="27" s="1"/>
  <c r="K96" i="27"/>
  <c r="H96" i="27" s="1"/>
  <c r="F96" i="27"/>
  <c r="C96" i="27" s="1"/>
  <c r="A96" i="27"/>
  <c r="S96" i="27" s="1"/>
  <c r="T95" i="27"/>
  <c r="P95" i="27"/>
  <c r="M95" i="27" s="1"/>
  <c r="K95" i="27"/>
  <c r="H95" i="27" s="1"/>
  <c r="F95" i="27"/>
  <c r="C95" i="27" s="1"/>
  <c r="A95" i="27"/>
  <c r="S95" i="27" s="1"/>
  <c r="T94" i="27"/>
  <c r="P94" i="27"/>
  <c r="M94" i="27" s="1"/>
  <c r="K94" i="27"/>
  <c r="H94" i="27" s="1"/>
  <c r="F94" i="27"/>
  <c r="C94" i="27" s="1"/>
  <c r="A94" i="27"/>
  <c r="S94" i="27" s="1"/>
  <c r="T93" i="27"/>
  <c r="P93" i="27"/>
  <c r="M93" i="27" s="1"/>
  <c r="K93" i="27"/>
  <c r="H93" i="27" s="1"/>
  <c r="F93" i="27"/>
  <c r="C93" i="27" s="1"/>
  <c r="A93" i="27"/>
  <c r="S93" i="27" s="1"/>
  <c r="T92" i="27"/>
  <c r="P92" i="27"/>
  <c r="M92" i="27" s="1"/>
  <c r="K92" i="27"/>
  <c r="H92" i="27" s="1"/>
  <c r="F92" i="27"/>
  <c r="C92" i="27" s="1"/>
  <c r="A92" i="27"/>
  <c r="S92" i="27" s="1"/>
  <c r="T91" i="27"/>
  <c r="P91" i="27"/>
  <c r="M91" i="27" s="1"/>
  <c r="K91" i="27"/>
  <c r="H91" i="27" s="1"/>
  <c r="F91" i="27"/>
  <c r="C91" i="27" s="1"/>
  <c r="A91" i="27"/>
  <c r="S91" i="27" s="1"/>
  <c r="T90" i="27"/>
  <c r="P90" i="27"/>
  <c r="M90" i="27" s="1"/>
  <c r="K90" i="27"/>
  <c r="H90" i="27" s="1"/>
  <c r="F90" i="27"/>
  <c r="C90" i="27" s="1"/>
  <c r="A90" i="27"/>
  <c r="S90" i="27" s="1"/>
  <c r="T89" i="27"/>
  <c r="P89" i="27"/>
  <c r="M89" i="27" s="1"/>
  <c r="K89" i="27"/>
  <c r="H89" i="27" s="1"/>
  <c r="F89" i="27"/>
  <c r="C89" i="27" s="1"/>
  <c r="A89" i="27"/>
  <c r="S89" i="27" s="1"/>
  <c r="T88" i="27"/>
  <c r="P88" i="27"/>
  <c r="M88" i="27" s="1"/>
  <c r="K88" i="27"/>
  <c r="H88" i="27"/>
  <c r="F88" i="27"/>
  <c r="C88" i="27" s="1"/>
  <c r="A88" i="27"/>
  <c r="S88" i="27" s="1"/>
  <c r="T87" i="27"/>
  <c r="P87" i="27"/>
  <c r="M87" i="27" s="1"/>
  <c r="K87" i="27"/>
  <c r="H87" i="27" s="1"/>
  <c r="F87" i="27"/>
  <c r="C87" i="27" s="1"/>
  <c r="A87" i="27"/>
  <c r="S87" i="27" s="1"/>
  <c r="T86" i="27"/>
  <c r="P86" i="27"/>
  <c r="M86" i="27" s="1"/>
  <c r="K86" i="27"/>
  <c r="H86" i="27" s="1"/>
  <c r="F86" i="27"/>
  <c r="C86" i="27" s="1"/>
  <c r="A86" i="27"/>
  <c r="S86" i="27" s="1"/>
  <c r="T85" i="27"/>
  <c r="P85" i="27"/>
  <c r="M85" i="27" s="1"/>
  <c r="K85" i="27"/>
  <c r="H85" i="27" s="1"/>
  <c r="F85" i="27"/>
  <c r="C85" i="27" s="1"/>
  <c r="A85" i="27"/>
  <c r="S85" i="27" s="1"/>
  <c r="T84" i="27"/>
  <c r="P84" i="27"/>
  <c r="M84" i="27"/>
  <c r="K84" i="27"/>
  <c r="H84" i="27"/>
  <c r="F84" i="27"/>
  <c r="C84" i="27" s="1"/>
  <c r="A84" i="27"/>
  <c r="S84" i="27" s="1"/>
  <c r="T83" i="27"/>
  <c r="P83" i="27"/>
  <c r="M83" i="27" s="1"/>
  <c r="K83" i="27"/>
  <c r="H83" i="27"/>
  <c r="F83" i="27"/>
  <c r="C83" i="27" s="1"/>
  <c r="A83" i="27"/>
  <c r="S83" i="27" s="1"/>
  <c r="T82" i="27"/>
  <c r="P82" i="27"/>
  <c r="M82" i="27"/>
  <c r="K82" i="27"/>
  <c r="H82" i="27"/>
  <c r="F82" i="27"/>
  <c r="C82" i="27" s="1"/>
  <c r="A82" i="27"/>
  <c r="S82" i="27" s="1"/>
  <c r="T81" i="27"/>
  <c r="P81" i="27"/>
  <c r="M81" i="27" s="1"/>
  <c r="K81" i="27"/>
  <c r="H81" i="27"/>
  <c r="F81" i="27"/>
  <c r="C81" i="27" s="1"/>
  <c r="A81" i="27"/>
  <c r="S81" i="27" s="1"/>
  <c r="T80" i="27"/>
  <c r="P80" i="27"/>
  <c r="M80" i="27"/>
  <c r="K80" i="27"/>
  <c r="H80" i="27" s="1"/>
  <c r="F80" i="27"/>
  <c r="C80" i="27" s="1"/>
  <c r="A80" i="27"/>
  <c r="S80" i="27" s="1"/>
  <c r="T79" i="27"/>
  <c r="P79" i="27"/>
  <c r="M79" i="27" s="1"/>
  <c r="K79" i="27"/>
  <c r="H79" i="27" s="1"/>
  <c r="F79" i="27"/>
  <c r="C79" i="27" s="1"/>
  <c r="A79" i="27"/>
  <c r="S79" i="27" s="1"/>
  <c r="T78" i="27"/>
  <c r="P78" i="27"/>
  <c r="M78" i="27" s="1"/>
  <c r="K78" i="27"/>
  <c r="H78" i="27" s="1"/>
  <c r="F78" i="27"/>
  <c r="C78" i="27" s="1"/>
  <c r="T77" i="27"/>
  <c r="P77" i="27"/>
  <c r="M77" i="27" s="1"/>
  <c r="K77" i="27"/>
  <c r="H77" i="27" s="1"/>
  <c r="F77" i="27"/>
  <c r="C77" i="27" s="1"/>
  <c r="T76" i="27"/>
  <c r="P76" i="27"/>
  <c r="M76" i="27" s="1"/>
  <c r="K76" i="27"/>
  <c r="H76" i="27" s="1"/>
  <c r="F76" i="27"/>
  <c r="C76" i="27" s="1"/>
  <c r="T75" i="27"/>
  <c r="P75" i="27"/>
  <c r="M75" i="27" s="1"/>
  <c r="K75" i="27"/>
  <c r="H75" i="27" s="1"/>
  <c r="F75" i="27"/>
  <c r="C75" i="27" s="1"/>
  <c r="T74" i="27"/>
  <c r="P74" i="27"/>
  <c r="M74" i="27" s="1"/>
  <c r="K74" i="27"/>
  <c r="H74" i="27"/>
  <c r="F74" i="27"/>
  <c r="C74" i="27" s="1"/>
  <c r="T73" i="27"/>
  <c r="P73" i="27"/>
  <c r="M73" i="27" s="1"/>
  <c r="K73" i="27"/>
  <c r="H73" i="27"/>
  <c r="F73" i="27"/>
  <c r="C73" i="27" s="1"/>
  <c r="T72" i="27"/>
  <c r="P72" i="27"/>
  <c r="M72" i="27" s="1"/>
  <c r="K72" i="27"/>
  <c r="H72" i="27" s="1"/>
  <c r="F72" i="27"/>
  <c r="C72" i="27" s="1"/>
  <c r="T71" i="27"/>
  <c r="P71" i="27"/>
  <c r="M71" i="27" s="1"/>
  <c r="K71" i="27"/>
  <c r="H71" i="27"/>
  <c r="F71" i="27"/>
  <c r="C71" i="27" s="1"/>
  <c r="T70" i="27"/>
  <c r="P70" i="27"/>
  <c r="M70" i="27" s="1"/>
  <c r="K70" i="27"/>
  <c r="H70" i="27"/>
  <c r="F70" i="27"/>
  <c r="C70" i="27" s="1"/>
  <c r="T69" i="27"/>
  <c r="P69" i="27"/>
  <c r="M69" i="27" s="1"/>
  <c r="K69" i="27"/>
  <c r="H69" i="27"/>
  <c r="F69" i="27"/>
  <c r="C69" i="27" s="1"/>
  <c r="T68" i="27"/>
  <c r="P68" i="27"/>
  <c r="M68" i="27" s="1"/>
  <c r="K68" i="27"/>
  <c r="H68" i="27"/>
  <c r="F68" i="27"/>
  <c r="C68" i="27" s="1"/>
  <c r="P67" i="27"/>
  <c r="M67" i="27" s="1"/>
  <c r="K67" i="27"/>
  <c r="H67" i="27" s="1"/>
  <c r="F67" i="27"/>
  <c r="C67" i="27" s="1"/>
  <c r="T66" i="27"/>
  <c r="P66" i="27"/>
  <c r="M66" i="27"/>
  <c r="K66" i="27"/>
  <c r="H66" i="27" s="1"/>
  <c r="F66" i="27"/>
  <c r="C66" i="27" s="1"/>
  <c r="T65" i="27"/>
  <c r="P65" i="27"/>
  <c r="M65" i="27" s="1"/>
  <c r="K65" i="27"/>
  <c r="H65" i="27" s="1"/>
  <c r="F65" i="27"/>
  <c r="C65" i="27"/>
  <c r="T64" i="27"/>
  <c r="P64" i="27"/>
  <c r="M64" i="27" s="1"/>
  <c r="K64" i="27"/>
  <c r="H64" i="27" s="1"/>
  <c r="F64" i="27"/>
  <c r="C64" i="27" s="1"/>
  <c r="T63" i="27"/>
  <c r="P63" i="27"/>
  <c r="M63" i="27" s="1"/>
  <c r="K63" i="27"/>
  <c r="H63" i="27" s="1"/>
  <c r="F63" i="27"/>
  <c r="C63" i="27" s="1"/>
  <c r="T62" i="27"/>
  <c r="P62" i="27"/>
  <c r="M62" i="27" s="1"/>
  <c r="K62" i="27"/>
  <c r="H62" i="27" s="1"/>
  <c r="F62" i="27"/>
  <c r="C62" i="27" s="1"/>
  <c r="T61" i="27"/>
  <c r="P61" i="27"/>
  <c r="M61" i="27" s="1"/>
  <c r="K61" i="27"/>
  <c r="H61" i="27" s="1"/>
  <c r="F61" i="27"/>
  <c r="C61" i="27" s="1"/>
  <c r="T60" i="27"/>
  <c r="P60" i="27"/>
  <c r="M60" i="27"/>
  <c r="K60" i="27"/>
  <c r="H60" i="27" s="1"/>
  <c r="F60" i="27"/>
  <c r="C60" i="27" s="1"/>
  <c r="T59" i="27"/>
  <c r="P59" i="27"/>
  <c r="M59" i="27" s="1"/>
  <c r="K59" i="27"/>
  <c r="H59" i="27" s="1"/>
  <c r="F59" i="27"/>
  <c r="C59" i="27" s="1"/>
  <c r="T58" i="27"/>
  <c r="P58" i="27"/>
  <c r="M58" i="27" s="1"/>
  <c r="K58" i="27"/>
  <c r="H58" i="27" s="1"/>
  <c r="F58" i="27"/>
  <c r="C58" i="27" s="1"/>
  <c r="T57" i="27"/>
  <c r="P57" i="27"/>
  <c r="M57" i="27" s="1"/>
  <c r="K57" i="27"/>
  <c r="H57" i="27"/>
  <c r="F57" i="27"/>
  <c r="C57" i="27" s="1"/>
  <c r="T56" i="27"/>
  <c r="P56" i="27"/>
  <c r="M56" i="27" s="1"/>
  <c r="K56" i="27"/>
  <c r="H56" i="27"/>
  <c r="F56" i="27"/>
  <c r="C56" i="27" s="1"/>
  <c r="T55" i="27"/>
  <c r="P55" i="27"/>
  <c r="M55" i="27" s="1"/>
  <c r="K55" i="27"/>
  <c r="H55" i="27"/>
  <c r="F55" i="27"/>
  <c r="C55" i="27" s="1"/>
  <c r="T54" i="27"/>
  <c r="P54" i="27"/>
  <c r="M54" i="27" s="1"/>
  <c r="K54" i="27"/>
  <c r="H54" i="27" s="1"/>
  <c r="F54" i="27"/>
  <c r="C54" i="27" s="1"/>
  <c r="T53" i="27"/>
  <c r="P53" i="27"/>
  <c r="M53" i="27" s="1"/>
  <c r="K53" i="27"/>
  <c r="H53" i="27" s="1"/>
  <c r="F53" i="27"/>
  <c r="C53" i="27" s="1"/>
  <c r="T52" i="27"/>
  <c r="P52" i="27"/>
  <c r="M52" i="27"/>
  <c r="K52" i="27"/>
  <c r="H52" i="27" s="1"/>
  <c r="F52" i="27"/>
  <c r="C52" i="27" s="1"/>
  <c r="T51" i="27"/>
  <c r="P51" i="27"/>
  <c r="M51" i="27" s="1"/>
  <c r="K51" i="27"/>
  <c r="H51" i="27" s="1"/>
  <c r="F51" i="27"/>
  <c r="C51" i="27" s="1"/>
  <c r="T50" i="27"/>
  <c r="P50" i="27"/>
  <c r="M50" i="27" s="1"/>
  <c r="K50" i="27"/>
  <c r="H50" i="27" s="1"/>
  <c r="F50" i="27"/>
  <c r="C50" i="27" s="1"/>
  <c r="T49" i="27"/>
  <c r="P49" i="27"/>
  <c r="M49" i="27" s="1"/>
  <c r="K49" i="27"/>
  <c r="H49" i="27" s="1"/>
  <c r="F49" i="27"/>
  <c r="C49" i="27" s="1"/>
  <c r="T48" i="27"/>
  <c r="P48" i="27"/>
  <c r="M48" i="27" s="1"/>
  <c r="K48" i="27"/>
  <c r="H48" i="27" s="1"/>
  <c r="F48" i="27"/>
  <c r="C48" i="27" s="1"/>
  <c r="T47" i="27"/>
  <c r="P47" i="27"/>
  <c r="M47" i="27" s="1"/>
  <c r="K47" i="27"/>
  <c r="H47" i="27"/>
  <c r="F47" i="27"/>
  <c r="C47" i="27" s="1"/>
  <c r="T46" i="27"/>
  <c r="P46" i="27"/>
  <c r="M46" i="27" s="1"/>
  <c r="K46" i="27"/>
  <c r="H46" i="27" s="1"/>
  <c r="F46" i="27"/>
  <c r="C46" i="27" s="1"/>
  <c r="T45" i="27"/>
  <c r="P45" i="27"/>
  <c r="M45" i="27" s="1"/>
  <c r="K45" i="27"/>
  <c r="H45" i="27" s="1"/>
  <c r="F45" i="27"/>
  <c r="C45" i="27" s="1"/>
  <c r="T44" i="27"/>
  <c r="P44" i="27"/>
  <c r="M44" i="27" s="1"/>
  <c r="K44" i="27"/>
  <c r="H44" i="27" s="1"/>
  <c r="F44" i="27"/>
  <c r="C44" i="27" s="1"/>
  <c r="T43" i="27"/>
  <c r="P43" i="27"/>
  <c r="M43" i="27" s="1"/>
  <c r="K43" i="27"/>
  <c r="H43" i="27" s="1"/>
  <c r="F43" i="27"/>
  <c r="C43" i="27" s="1"/>
  <c r="P42" i="27"/>
  <c r="M42" i="27" s="1"/>
  <c r="K42" i="27"/>
  <c r="H42" i="27" s="1"/>
  <c r="F42" i="27"/>
  <c r="C42" i="27" s="1"/>
  <c r="T41" i="27"/>
  <c r="P41" i="27"/>
  <c r="M41" i="27"/>
  <c r="K41" i="27"/>
  <c r="H41" i="27" s="1"/>
  <c r="F41" i="27"/>
  <c r="C41" i="27" s="1"/>
  <c r="T40" i="27"/>
  <c r="P40" i="27"/>
  <c r="M40" i="27" s="1"/>
  <c r="K40" i="27"/>
  <c r="H40" i="27" s="1"/>
  <c r="F40" i="27"/>
  <c r="C40" i="27" s="1"/>
  <c r="T39" i="27"/>
  <c r="P39" i="27"/>
  <c r="M39" i="27" s="1"/>
  <c r="K39" i="27"/>
  <c r="H39" i="27" s="1"/>
  <c r="F39" i="27"/>
  <c r="C39" i="27"/>
  <c r="T38" i="27"/>
  <c r="P38" i="27"/>
  <c r="M38" i="27" s="1"/>
  <c r="K38" i="27"/>
  <c r="H38" i="27" s="1"/>
  <c r="F38" i="27"/>
  <c r="C38" i="27" s="1"/>
  <c r="T37" i="27"/>
  <c r="P37" i="27"/>
  <c r="M37" i="27" s="1"/>
  <c r="K37" i="27"/>
  <c r="H37" i="27"/>
  <c r="F37" i="27"/>
  <c r="C37" i="27"/>
  <c r="T36" i="27"/>
  <c r="P36" i="27"/>
  <c r="M36" i="27" s="1"/>
  <c r="K36" i="27"/>
  <c r="H36" i="27" s="1"/>
  <c r="F36" i="27"/>
  <c r="C36" i="27" s="1"/>
  <c r="T35" i="27"/>
  <c r="P35" i="27"/>
  <c r="M35" i="27" s="1"/>
  <c r="K35" i="27"/>
  <c r="H35" i="27"/>
  <c r="F35" i="27"/>
  <c r="C35" i="27" s="1"/>
  <c r="T34" i="27"/>
  <c r="P34" i="27"/>
  <c r="M34" i="27" s="1"/>
  <c r="K34" i="27"/>
  <c r="H34" i="27" s="1"/>
  <c r="F34" i="27"/>
  <c r="C34" i="27" s="1"/>
  <c r="T33" i="27"/>
  <c r="P33" i="27"/>
  <c r="M33" i="27" s="1"/>
  <c r="K33" i="27"/>
  <c r="H33" i="27" s="1"/>
  <c r="F33" i="27"/>
  <c r="C33" i="27"/>
  <c r="T32" i="27"/>
  <c r="P32" i="27"/>
  <c r="M32" i="27" s="1"/>
  <c r="K32" i="27"/>
  <c r="H32" i="27" s="1"/>
  <c r="F32" i="27"/>
  <c r="C32" i="27" s="1"/>
  <c r="T31" i="27"/>
  <c r="P31" i="27"/>
  <c r="M31" i="27" s="1"/>
  <c r="K31" i="27"/>
  <c r="H31" i="27" s="1"/>
  <c r="F31" i="27"/>
  <c r="C31" i="27" s="1"/>
  <c r="T30" i="27"/>
  <c r="P30" i="27"/>
  <c r="M30" i="27" s="1"/>
  <c r="K30" i="27"/>
  <c r="H30" i="27"/>
  <c r="F30" i="27"/>
  <c r="C30" i="27" s="1"/>
  <c r="T29" i="27"/>
  <c r="P29" i="27"/>
  <c r="M29" i="27" s="1"/>
  <c r="K29" i="27"/>
  <c r="H29" i="27" s="1"/>
  <c r="F29" i="27"/>
  <c r="C29" i="27" s="1"/>
  <c r="T28" i="27"/>
  <c r="P28" i="27"/>
  <c r="M28" i="27" s="1"/>
  <c r="K28" i="27"/>
  <c r="H28" i="27" s="1"/>
  <c r="F28" i="27"/>
  <c r="C28" i="27" s="1"/>
  <c r="T27" i="27"/>
  <c r="P27" i="27"/>
  <c r="M27" i="27" s="1"/>
  <c r="K27" i="27"/>
  <c r="H27" i="27" s="1"/>
  <c r="F27" i="27"/>
  <c r="C27" i="27" s="1"/>
  <c r="T26" i="27"/>
  <c r="P26" i="27"/>
  <c r="M26" i="27" s="1"/>
  <c r="K26" i="27"/>
  <c r="H26" i="27" s="1"/>
  <c r="F26" i="27"/>
  <c r="C26" i="27" s="1"/>
  <c r="T25" i="27"/>
  <c r="P25" i="27"/>
  <c r="M25" i="27" s="1"/>
  <c r="K25" i="27"/>
  <c r="H25" i="27"/>
  <c r="F25" i="27"/>
  <c r="C25" i="27" s="1"/>
  <c r="T24" i="27"/>
  <c r="P24" i="27"/>
  <c r="M24" i="27" s="1"/>
  <c r="K24" i="27"/>
  <c r="H24" i="27" s="1"/>
  <c r="F24" i="27"/>
  <c r="C24" i="27"/>
  <c r="T23" i="27"/>
  <c r="P23" i="27"/>
  <c r="M23" i="27" s="1"/>
  <c r="K23" i="27"/>
  <c r="H23" i="27" s="1"/>
  <c r="F23" i="27"/>
  <c r="C23" i="27" s="1"/>
  <c r="T22" i="27"/>
  <c r="P22" i="27"/>
  <c r="M22" i="27" s="1"/>
  <c r="K22" i="27"/>
  <c r="H22" i="27" s="1"/>
  <c r="F22" i="27"/>
  <c r="C22" i="27"/>
  <c r="T21" i="27"/>
  <c r="B20" i="27"/>
  <c r="C20" i="27" s="1"/>
  <c r="D20" i="27" s="1"/>
  <c r="E20" i="27" s="1"/>
  <c r="F20" i="27" s="1"/>
  <c r="G20" i="27" s="1"/>
  <c r="H20" i="27" s="1"/>
  <c r="I20" i="27" s="1"/>
  <c r="J20" i="27" s="1"/>
  <c r="K20" i="27" s="1"/>
  <c r="L20" i="27" s="1"/>
  <c r="M20" i="27" s="1"/>
  <c r="N20" i="27" s="1"/>
  <c r="O20" i="27" s="1"/>
  <c r="P20" i="27" s="1"/>
  <c r="Q20" i="27" s="1"/>
  <c r="R20" i="27" s="1"/>
  <c r="S20" i="27" s="1"/>
  <c r="T20" i="27" s="1"/>
  <c r="A3" i="27"/>
  <c r="P205" i="23"/>
  <c r="K205" i="23"/>
  <c r="F205" i="23"/>
  <c r="P204" i="23"/>
  <c r="M204" i="23" s="1"/>
  <c r="K204" i="23"/>
  <c r="H204" i="23" s="1"/>
  <c r="F204" i="23"/>
  <c r="C204" i="23" s="1"/>
  <c r="P203" i="23"/>
  <c r="M203" i="23"/>
  <c r="K203" i="23"/>
  <c r="H203" i="23" s="1"/>
  <c r="F203" i="23"/>
  <c r="C203" i="23" s="1"/>
  <c r="P202" i="23"/>
  <c r="M202" i="23" s="1"/>
  <c r="K202" i="23"/>
  <c r="H202" i="23" s="1"/>
  <c r="F202" i="23"/>
  <c r="C202" i="23" s="1"/>
  <c r="P201" i="23"/>
  <c r="M201" i="23"/>
  <c r="K201" i="23"/>
  <c r="H201" i="23" s="1"/>
  <c r="F201" i="23"/>
  <c r="C201" i="23"/>
  <c r="P200" i="23"/>
  <c r="M200" i="23" s="1"/>
  <c r="K200" i="23"/>
  <c r="H200" i="23" s="1"/>
  <c r="F200" i="23"/>
  <c r="C200" i="23" s="1"/>
  <c r="P199" i="23"/>
  <c r="M199" i="23"/>
  <c r="K199" i="23"/>
  <c r="H199" i="23" s="1"/>
  <c r="F199" i="23"/>
  <c r="C199" i="23"/>
  <c r="P198" i="23"/>
  <c r="M198" i="23" s="1"/>
  <c r="K198" i="23"/>
  <c r="H198" i="23" s="1"/>
  <c r="F198" i="23"/>
  <c r="C198" i="23" s="1"/>
  <c r="P197" i="23"/>
  <c r="M197" i="23" s="1"/>
  <c r="K197" i="23"/>
  <c r="H197" i="23" s="1"/>
  <c r="F197" i="23"/>
  <c r="C197" i="23"/>
  <c r="P196" i="23"/>
  <c r="M196" i="23" s="1"/>
  <c r="K196" i="23"/>
  <c r="H196" i="23" s="1"/>
  <c r="F196" i="23"/>
  <c r="C196" i="23" s="1"/>
  <c r="P195" i="23"/>
  <c r="M195" i="23" s="1"/>
  <c r="K195" i="23"/>
  <c r="H195" i="23" s="1"/>
  <c r="F195" i="23"/>
  <c r="C195" i="23" s="1"/>
  <c r="P194" i="23"/>
  <c r="M194" i="23" s="1"/>
  <c r="K194" i="23"/>
  <c r="H194" i="23" s="1"/>
  <c r="F194" i="23"/>
  <c r="C194" i="23" s="1"/>
  <c r="P193" i="23"/>
  <c r="M193" i="23" s="1"/>
  <c r="K193" i="23"/>
  <c r="H193" i="23" s="1"/>
  <c r="F193" i="23"/>
  <c r="C193" i="23" s="1"/>
  <c r="P192" i="23"/>
  <c r="M192" i="23" s="1"/>
  <c r="K192" i="23"/>
  <c r="H192" i="23" s="1"/>
  <c r="F192" i="23"/>
  <c r="C192" i="23" s="1"/>
  <c r="P191" i="23"/>
  <c r="M191" i="23" s="1"/>
  <c r="K191" i="23"/>
  <c r="H191" i="23" s="1"/>
  <c r="F191" i="23"/>
  <c r="C191" i="23"/>
  <c r="P190" i="23"/>
  <c r="M190" i="23" s="1"/>
  <c r="K190" i="23"/>
  <c r="H190" i="23"/>
  <c r="F190" i="23"/>
  <c r="C190" i="23" s="1"/>
  <c r="P189" i="23"/>
  <c r="M189" i="23" s="1"/>
  <c r="K189" i="23"/>
  <c r="H189" i="23" s="1"/>
  <c r="F189" i="23"/>
  <c r="C189" i="23"/>
  <c r="P188" i="23"/>
  <c r="M188" i="23" s="1"/>
  <c r="K188" i="23"/>
  <c r="H188" i="23" s="1"/>
  <c r="F188" i="23"/>
  <c r="C188" i="23" s="1"/>
  <c r="P187" i="23"/>
  <c r="M187" i="23" s="1"/>
  <c r="K187" i="23"/>
  <c r="H187" i="23" s="1"/>
  <c r="F187" i="23"/>
  <c r="C187" i="23"/>
  <c r="P186" i="23"/>
  <c r="M186" i="23" s="1"/>
  <c r="K186" i="23"/>
  <c r="H186" i="23"/>
  <c r="F186" i="23"/>
  <c r="C186" i="23" s="1"/>
  <c r="P185" i="23"/>
  <c r="M185" i="23" s="1"/>
  <c r="K185" i="23"/>
  <c r="H185" i="23" s="1"/>
  <c r="F185" i="23"/>
  <c r="C185" i="23"/>
  <c r="P184" i="23"/>
  <c r="M184" i="23" s="1"/>
  <c r="K184" i="23"/>
  <c r="H184" i="23"/>
  <c r="F184" i="23"/>
  <c r="C184" i="23" s="1"/>
  <c r="P183" i="23"/>
  <c r="M183" i="23" s="1"/>
  <c r="K183" i="23"/>
  <c r="H183" i="23" s="1"/>
  <c r="F183" i="23"/>
  <c r="C183" i="23"/>
  <c r="P182" i="23"/>
  <c r="M182" i="23" s="1"/>
  <c r="K182" i="23"/>
  <c r="H182" i="23"/>
  <c r="F182" i="23"/>
  <c r="C182" i="23" s="1"/>
  <c r="P181" i="23"/>
  <c r="M181" i="23"/>
  <c r="K181" i="23"/>
  <c r="H181" i="23" s="1"/>
  <c r="F181" i="23"/>
  <c r="C181" i="23" s="1"/>
  <c r="P180" i="23"/>
  <c r="M180" i="23" s="1"/>
  <c r="K180" i="23"/>
  <c r="H180" i="23" s="1"/>
  <c r="F180" i="23"/>
  <c r="C180" i="23" s="1"/>
  <c r="P179" i="23"/>
  <c r="M179" i="23"/>
  <c r="K179" i="23"/>
  <c r="H179" i="23" s="1"/>
  <c r="F179" i="23"/>
  <c r="C179" i="23"/>
  <c r="P178" i="23"/>
  <c r="M178" i="23" s="1"/>
  <c r="K178" i="23"/>
  <c r="H178" i="23" s="1"/>
  <c r="F178" i="23"/>
  <c r="C178" i="23" s="1"/>
  <c r="P177" i="23"/>
  <c r="M177" i="23"/>
  <c r="K177" i="23"/>
  <c r="H177" i="23" s="1"/>
  <c r="F177" i="23"/>
  <c r="C177" i="23"/>
  <c r="P176" i="23"/>
  <c r="M176" i="23" s="1"/>
  <c r="K176" i="23"/>
  <c r="H176" i="23" s="1"/>
  <c r="F176" i="23"/>
  <c r="C176" i="23" s="1"/>
  <c r="P175" i="23"/>
  <c r="M175" i="23"/>
  <c r="K175" i="23"/>
  <c r="H175" i="23"/>
  <c r="F175" i="23"/>
  <c r="C175" i="23" s="1"/>
  <c r="P174" i="23"/>
  <c r="M174" i="23" s="1"/>
  <c r="K174" i="23"/>
  <c r="H174" i="23"/>
  <c r="F174" i="23"/>
  <c r="C174" i="23" s="1"/>
  <c r="P173" i="23"/>
  <c r="M173" i="23" s="1"/>
  <c r="K173" i="23"/>
  <c r="H173" i="23" s="1"/>
  <c r="F173" i="23"/>
  <c r="C173" i="23" s="1"/>
  <c r="P172" i="23"/>
  <c r="M172" i="23" s="1"/>
  <c r="K172" i="23"/>
  <c r="H172" i="23" s="1"/>
  <c r="F172" i="23"/>
  <c r="C172" i="23" s="1"/>
  <c r="P171" i="23"/>
  <c r="M171" i="23" s="1"/>
  <c r="K171" i="23"/>
  <c r="H171" i="23" s="1"/>
  <c r="F171" i="23"/>
  <c r="C171" i="23" s="1"/>
  <c r="P170" i="23"/>
  <c r="M170" i="23" s="1"/>
  <c r="K170" i="23"/>
  <c r="H170" i="23"/>
  <c r="F170" i="23"/>
  <c r="C170" i="23" s="1"/>
  <c r="P169" i="23"/>
  <c r="M169" i="23" s="1"/>
  <c r="K169" i="23"/>
  <c r="H169" i="23" s="1"/>
  <c r="F169" i="23"/>
  <c r="C169" i="23"/>
  <c r="P168" i="23"/>
  <c r="M168" i="23" s="1"/>
  <c r="K168" i="23"/>
  <c r="H168" i="23" s="1"/>
  <c r="F168" i="23"/>
  <c r="C168" i="23" s="1"/>
  <c r="P167" i="23"/>
  <c r="M167" i="23"/>
  <c r="K167" i="23"/>
  <c r="H167" i="23" s="1"/>
  <c r="F167" i="23"/>
  <c r="C167" i="23" s="1"/>
  <c r="P166" i="23"/>
  <c r="M166" i="23" s="1"/>
  <c r="K166" i="23"/>
  <c r="H166" i="23" s="1"/>
  <c r="F166" i="23"/>
  <c r="C166" i="23"/>
  <c r="P165" i="23"/>
  <c r="M165" i="23" s="1"/>
  <c r="K165" i="23"/>
  <c r="H165" i="23" s="1"/>
  <c r="F165" i="23"/>
  <c r="C165" i="23"/>
  <c r="P164" i="23"/>
  <c r="M164" i="23" s="1"/>
  <c r="K164" i="23"/>
  <c r="H164" i="23" s="1"/>
  <c r="F164" i="23"/>
  <c r="C164" i="23" s="1"/>
  <c r="P163" i="23"/>
  <c r="M163" i="23"/>
  <c r="K163" i="23"/>
  <c r="H163" i="23" s="1"/>
  <c r="F163" i="23"/>
  <c r="C163" i="23" s="1"/>
  <c r="P162" i="23"/>
  <c r="M162" i="23" s="1"/>
  <c r="K162" i="23"/>
  <c r="H162" i="23" s="1"/>
  <c r="F162" i="23"/>
  <c r="C162" i="23" s="1"/>
  <c r="P161" i="23"/>
  <c r="M161" i="23" s="1"/>
  <c r="K161" i="23"/>
  <c r="H161" i="23" s="1"/>
  <c r="F161" i="23"/>
  <c r="C161" i="23"/>
  <c r="P160" i="23"/>
  <c r="M160" i="23" s="1"/>
  <c r="K160" i="23"/>
  <c r="H160" i="23" s="1"/>
  <c r="F160" i="23"/>
  <c r="C160" i="23" s="1"/>
  <c r="P159" i="23"/>
  <c r="M159" i="23"/>
  <c r="K159" i="23"/>
  <c r="H159" i="23" s="1"/>
  <c r="F159" i="23"/>
  <c r="C159" i="23" s="1"/>
  <c r="P158" i="23"/>
  <c r="M158" i="23" s="1"/>
  <c r="K158" i="23"/>
  <c r="H158" i="23" s="1"/>
  <c r="F158" i="23"/>
  <c r="C158" i="23" s="1"/>
  <c r="P157" i="23"/>
  <c r="M157" i="23"/>
  <c r="K157" i="23"/>
  <c r="H157" i="23" s="1"/>
  <c r="F157" i="23"/>
  <c r="C157" i="23"/>
  <c r="P156" i="23"/>
  <c r="M156" i="23" s="1"/>
  <c r="K156" i="23"/>
  <c r="H156" i="23" s="1"/>
  <c r="F156" i="23"/>
  <c r="C156" i="23" s="1"/>
  <c r="P155" i="23"/>
  <c r="M155" i="23"/>
  <c r="K155" i="23"/>
  <c r="H155" i="23" s="1"/>
  <c r="F155" i="23"/>
  <c r="C155" i="23" s="1"/>
  <c r="P154" i="23"/>
  <c r="M154" i="23" s="1"/>
  <c r="K154" i="23"/>
  <c r="H154" i="23" s="1"/>
  <c r="F154" i="23"/>
  <c r="C154" i="23" s="1"/>
  <c r="P153" i="23"/>
  <c r="M153" i="23" s="1"/>
  <c r="K153" i="23"/>
  <c r="H153" i="23" s="1"/>
  <c r="F153" i="23"/>
  <c r="C153" i="23"/>
  <c r="P152" i="23"/>
  <c r="M152" i="23" s="1"/>
  <c r="K152" i="23"/>
  <c r="H152" i="23" s="1"/>
  <c r="F152" i="23"/>
  <c r="C152" i="23" s="1"/>
  <c r="P151" i="23"/>
  <c r="M151" i="23"/>
  <c r="K151" i="23"/>
  <c r="H151" i="23" s="1"/>
  <c r="F151" i="23"/>
  <c r="C151" i="23"/>
  <c r="P150" i="23"/>
  <c r="M150" i="23" s="1"/>
  <c r="K150" i="23"/>
  <c r="H150" i="23" s="1"/>
  <c r="F150" i="23"/>
  <c r="C150" i="23" s="1"/>
  <c r="P149" i="23"/>
  <c r="M149" i="23"/>
  <c r="K149" i="23"/>
  <c r="H149" i="23" s="1"/>
  <c r="F149" i="23"/>
  <c r="C149" i="23"/>
  <c r="P148" i="23"/>
  <c r="M148" i="23" s="1"/>
  <c r="K148" i="23"/>
  <c r="H148" i="23" s="1"/>
  <c r="F148" i="23"/>
  <c r="C148" i="23" s="1"/>
  <c r="P147" i="23"/>
  <c r="M147" i="23"/>
  <c r="K147" i="23"/>
  <c r="H147" i="23"/>
  <c r="F147" i="23"/>
  <c r="C147" i="23" s="1"/>
  <c r="P146" i="23"/>
  <c r="M146" i="23" s="1"/>
  <c r="K146" i="23"/>
  <c r="H146" i="23"/>
  <c r="F146" i="23"/>
  <c r="C146" i="23" s="1"/>
  <c r="P145" i="23"/>
  <c r="M145" i="23" s="1"/>
  <c r="K145" i="23"/>
  <c r="H145" i="23" s="1"/>
  <c r="F145" i="23"/>
  <c r="C145" i="23" s="1"/>
  <c r="P144" i="23"/>
  <c r="M144" i="23" s="1"/>
  <c r="K144" i="23"/>
  <c r="H144" i="23" s="1"/>
  <c r="F144" i="23"/>
  <c r="C144" i="23" s="1"/>
  <c r="P143" i="23"/>
  <c r="M143" i="23" s="1"/>
  <c r="K143" i="23"/>
  <c r="H143" i="23" s="1"/>
  <c r="F143" i="23"/>
  <c r="C143" i="23" s="1"/>
  <c r="P142" i="23"/>
  <c r="M142" i="23" s="1"/>
  <c r="K142" i="23"/>
  <c r="H142" i="23" s="1"/>
  <c r="F142" i="23"/>
  <c r="C142" i="23" s="1"/>
  <c r="P141" i="23"/>
  <c r="M141" i="23" s="1"/>
  <c r="K141" i="23"/>
  <c r="H141" i="23" s="1"/>
  <c r="F141" i="23"/>
  <c r="C141" i="23" s="1"/>
  <c r="P140" i="23"/>
  <c r="M140" i="23" s="1"/>
  <c r="K140" i="23"/>
  <c r="H140" i="23" s="1"/>
  <c r="F140" i="23"/>
  <c r="C140" i="23" s="1"/>
  <c r="P139" i="23"/>
  <c r="M139" i="23"/>
  <c r="K139" i="23"/>
  <c r="H139" i="23" s="1"/>
  <c r="F139" i="23"/>
  <c r="C139" i="23" s="1"/>
  <c r="P138" i="23"/>
  <c r="M138" i="23" s="1"/>
  <c r="K138" i="23"/>
  <c r="H138" i="23"/>
  <c r="F138" i="23"/>
  <c r="C138" i="23"/>
  <c r="P137" i="23"/>
  <c r="M137" i="23" s="1"/>
  <c r="K137" i="23"/>
  <c r="H137" i="23" s="1"/>
  <c r="F137" i="23"/>
  <c r="C137" i="23"/>
  <c r="P136" i="23"/>
  <c r="M136" i="23" s="1"/>
  <c r="K136" i="23"/>
  <c r="H136" i="23" s="1"/>
  <c r="F136" i="23"/>
  <c r="C136" i="23" s="1"/>
  <c r="P135" i="23"/>
  <c r="M135" i="23" s="1"/>
  <c r="K135" i="23"/>
  <c r="H135" i="23" s="1"/>
  <c r="F135" i="23"/>
  <c r="C135" i="23" s="1"/>
  <c r="P134" i="23"/>
  <c r="M134" i="23" s="1"/>
  <c r="K134" i="23"/>
  <c r="H134" i="23"/>
  <c r="F134" i="23"/>
  <c r="C134" i="23" s="1"/>
  <c r="P133" i="23"/>
  <c r="M133" i="23" s="1"/>
  <c r="K133" i="23"/>
  <c r="H133" i="23" s="1"/>
  <c r="F133" i="23"/>
  <c r="C133" i="23" s="1"/>
  <c r="P132" i="23"/>
  <c r="M132" i="23" s="1"/>
  <c r="K132" i="23"/>
  <c r="H132" i="23" s="1"/>
  <c r="F132" i="23"/>
  <c r="C132" i="23" s="1"/>
  <c r="P131" i="23"/>
  <c r="M131" i="23" s="1"/>
  <c r="K131" i="23"/>
  <c r="H131" i="23" s="1"/>
  <c r="F131" i="23"/>
  <c r="C131" i="23" s="1"/>
  <c r="P130" i="23"/>
  <c r="M130" i="23" s="1"/>
  <c r="K130" i="23"/>
  <c r="H130" i="23" s="1"/>
  <c r="F130" i="23"/>
  <c r="C130" i="23"/>
  <c r="P129" i="23"/>
  <c r="M129" i="23" s="1"/>
  <c r="K129" i="23"/>
  <c r="H129" i="23" s="1"/>
  <c r="F129" i="23"/>
  <c r="C129" i="23" s="1"/>
  <c r="P128" i="23"/>
  <c r="M128" i="23" s="1"/>
  <c r="K128" i="23"/>
  <c r="H128" i="23" s="1"/>
  <c r="F128" i="23"/>
  <c r="C128" i="23" s="1"/>
  <c r="P127" i="23"/>
  <c r="M127" i="23" s="1"/>
  <c r="K127" i="23"/>
  <c r="H127" i="23" s="1"/>
  <c r="F127" i="23"/>
  <c r="C127" i="23" s="1"/>
  <c r="P126" i="23"/>
  <c r="M126" i="23" s="1"/>
  <c r="K126" i="23"/>
  <c r="H126" i="23"/>
  <c r="F126" i="23"/>
  <c r="C126" i="23" s="1"/>
  <c r="P125" i="23"/>
  <c r="M125" i="23" s="1"/>
  <c r="K125" i="23"/>
  <c r="H125" i="23" s="1"/>
  <c r="F125" i="23"/>
  <c r="C125" i="23" s="1"/>
  <c r="P124" i="23"/>
  <c r="M124" i="23" s="1"/>
  <c r="K124" i="23"/>
  <c r="H124" i="23" s="1"/>
  <c r="F124" i="23"/>
  <c r="C124" i="23" s="1"/>
  <c r="P123" i="23"/>
  <c r="M123" i="23"/>
  <c r="K123" i="23"/>
  <c r="H123" i="23" s="1"/>
  <c r="F123" i="23"/>
  <c r="C123" i="23" s="1"/>
  <c r="P122" i="23"/>
  <c r="M122" i="23" s="1"/>
  <c r="K122" i="23"/>
  <c r="H122" i="23" s="1"/>
  <c r="F122" i="23"/>
  <c r="C122" i="23" s="1"/>
  <c r="P121" i="23"/>
  <c r="M121" i="23"/>
  <c r="K121" i="23"/>
  <c r="H121" i="23" s="1"/>
  <c r="F121" i="23"/>
  <c r="C121" i="23"/>
  <c r="P120" i="23"/>
  <c r="M120" i="23" s="1"/>
  <c r="K120" i="23"/>
  <c r="H120" i="23" s="1"/>
  <c r="F120" i="23"/>
  <c r="C120" i="23" s="1"/>
  <c r="P119" i="23"/>
  <c r="M119" i="23" s="1"/>
  <c r="K119" i="23"/>
  <c r="H119" i="23" s="1"/>
  <c r="F119" i="23"/>
  <c r="C119" i="23"/>
  <c r="P118" i="23"/>
  <c r="M118" i="23" s="1"/>
  <c r="K118" i="23"/>
  <c r="H118" i="23"/>
  <c r="F118" i="23"/>
  <c r="C118" i="23" s="1"/>
  <c r="P117" i="23"/>
  <c r="M117" i="23" s="1"/>
  <c r="K117" i="23"/>
  <c r="H117" i="23" s="1"/>
  <c r="F117" i="23"/>
  <c r="C117" i="23"/>
  <c r="P116" i="23"/>
  <c r="M116" i="23" s="1"/>
  <c r="K116" i="23"/>
  <c r="H116" i="23" s="1"/>
  <c r="F116" i="23"/>
  <c r="C116" i="23" s="1"/>
  <c r="P115" i="23"/>
  <c r="M115" i="23" s="1"/>
  <c r="K115" i="23"/>
  <c r="H115" i="23" s="1"/>
  <c r="F115" i="23"/>
  <c r="C115" i="23" s="1"/>
  <c r="P114" i="23"/>
  <c r="M114" i="23" s="1"/>
  <c r="K114" i="23"/>
  <c r="H114" i="23" s="1"/>
  <c r="F114" i="23"/>
  <c r="C114" i="23" s="1"/>
  <c r="P113" i="23"/>
  <c r="M113" i="23" s="1"/>
  <c r="K113" i="23"/>
  <c r="H113" i="23" s="1"/>
  <c r="F113" i="23"/>
  <c r="C113" i="23"/>
  <c r="P112" i="23"/>
  <c r="M112" i="23" s="1"/>
  <c r="K112" i="23"/>
  <c r="H112" i="23" s="1"/>
  <c r="F112" i="23"/>
  <c r="C112" i="23" s="1"/>
  <c r="P111" i="23"/>
  <c r="M111" i="23" s="1"/>
  <c r="K111" i="23"/>
  <c r="H111" i="23" s="1"/>
  <c r="F111" i="23"/>
  <c r="C111" i="23"/>
  <c r="P110" i="23"/>
  <c r="M110" i="23" s="1"/>
  <c r="K110" i="23"/>
  <c r="H110" i="23"/>
  <c r="F110" i="23"/>
  <c r="C110" i="23" s="1"/>
  <c r="P109" i="23"/>
  <c r="M109" i="23" s="1"/>
  <c r="K109" i="23"/>
  <c r="H109" i="23" s="1"/>
  <c r="F109" i="23"/>
  <c r="C109" i="23" s="1"/>
  <c r="P108" i="23"/>
  <c r="M108" i="23" s="1"/>
  <c r="K108" i="23"/>
  <c r="H108" i="23" s="1"/>
  <c r="F108" i="23"/>
  <c r="C108" i="23" s="1"/>
  <c r="P107" i="23"/>
  <c r="M107" i="23" s="1"/>
  <c r="K107" i="23"/>
  <c r="H107" i="23" s="1"/>
  <c r="F107" i="23"/>
  <c r="C107" i="23" s="1"/>
  <c r="P106" i="23"/>
  <c r="M106" i="23" s="1"/>
  <c r="K106" i="23"/>
  <c r="H106" i="23" s="1"/>
  <c r="F106" i="23"/>
  <c r="C106" i="23" s="1"/>
  <c r="P105" i="23"/>
  <c r="M105" i="23" s="1"/>
  <c r="K105" i="23"/>
  <c r="H105" i="23" s="1"/>
  <c r="F105" i="23"/>
  <c r="C105" i="23" s="1"/>
  <c r="P104" i="23"/>
  <c r="M104" i="23" s="1"/>
  <c r="K104" i="23"/>
  <c r="H104" i="23" s="1"/>
  <c r="F104" i="23"/>
  <c r="C104" i="23" s="1"/>
  <c r="P103" i="23"/>
  <c r="M103" i="23"/>
  <c r="K103" i="23"/>
  <c r="H103" i="23" s="1"/>
  <c r="F103" i="23"/>
  <c r="C103" i="23" s="1"/>
  <c r="P102" i="23"/>
  <c r="M102" i="23" s="1"/>
  <c r="K102" i="23"/>
  <c r="H102" i="23" s="1"/>
  <c r="F102" i="23"/>
  <c r="C102" i="23" s="1"/>
  <c r="P101" i="23"/>
  <c r="M101" i="23"/>
  <c r="K101" i="23"/>
  <c r="H101" i="23" s="1"/>
  <c r="F101" i="23"/>
  <c r="C101" i="23"/>
  <c r="T100" i="23"/>
  <c r="S100" i="23"/>
  <c r="P100" i="23"/>
  <c r="M100" i="23" s="1"/>
  <c r="K100" i="23"/>
  <c r="H100" i="23"/>
  <c r="F100" i="23"/>
  <c r="C100" i="23" s="1"/>
  <c r="T99" i="23"/>
  <c r="S99" i="23"/>
  <c r="P99" i="23"/>
  <c r="M99" i="23" s="1"/>
  <c r="K99" i="23"/>
  <c r="H99" i="23" s="1"/>
  <c r="F99" i="23"/>
  <c r="C99" i="23" s="1"/>
  <c r="T98" i="23"/>
  <c r="S98" i="23"/>
  <c r="P98" i="23"/>
  <c r="M98" i="23" s="1"/>
  <c r="K98" i="23"/>
  <c r="H98" i="23" s="1"/>
  <c r="F98" i="23"/>
  <c r="C98" i="23" s="1"/>
  <c r="T97" i="23"/>
  <c r="S97" i="23"/>
  <c r="P97" i="23"/>
  <c r="M97" i="23" s="1"/>
  <c r="K97" i="23"/>
  <c r="H97" i="23" s="1"/>
  <c r="F97" i="23"/>
  <c r="C97" i="23" s="1"/>
  <c r="T96" i="23"/>
  <c r="S96" i="23"/>
  <c r="P96" i="23"/>
  <c r="M96" i="23" s="1"/>
  <c r="K96" i="23"/>
  <c r="H96" i="23"/>
  <c r="F96" i="23"/>
  <c r="C96" i="23" s="1"/>
  <c r="T95" i="23"/>
  <c r="S95" i="23"/>
  <c r="P95" i="23"/>
  <c r="M95" i="23" s="1"/>
  <c r="K95" i="23"/>
  <c r="H95" i="23" s="1"/>
  <c r="F95" i="23"/>
  <c r="C95" i="23"/>
  <c r="T94" i="23"/>
  <c r="S94" i="23"/>
  <c r="P94" i="23"/>
  <c r="M94" i="23" s="1"/>
  <c r="K94" i="23"/>
  <c r="H94" i="23" s="1"/>
  <c r="F94" i="23"/>
  <c r="C94" i="23" s="1"/>
  <c r="T93" i="23"/>
  <c r="S93" i="23"/>
  <c r="P93" i="23"/>
  <c r="M93" i="23" s="1"/>
  <c r="K93" i="23"/>
  <c r="H93" i="23" s="1"/>
  <c r="F93" i="23"/>
  <c r="C93" i="23" s="1"/>
  <c r="T92" i="23"/>
  <c r="S92" i="23"/>
  <c r="P92" i="23"/>
  <c r="M92" i="23" s="1"/>
  <c r="K92" i="23"/>
  <c r="H92" i="23" s="1"/>
  <c r="F92" i="23"/>
  <c r="C92" i="23" s="1"/>
  <c r="T91" i="23"/>
  <c r="S91" i="23"/>
  <c r="P91" i="23"/>
  <c r="M91" i="23" s="1"/>
  <c r="K91" i="23"/>
  <c r="H91" i="23" s="1"/>
  <c r="F91" i="23"/>
  <c r="C91" i="23" s="1"/>
  <c r="T90" i="23"/>
  <c r="S90" i="23"/>
  <c r="P90" i="23"/>
  <c r="M90" i="23" s="1"/>
  <c r="K90" i="23"/>
  <c r="H90" i="23" s="1"/>
  <c r="F90" i="23"/>
  <c r="C90" i="23" s="1"/>
  <c r="T89" i="23"/>
  <c r="S89" i="23"/>
  <c r="P89" i="23"/>
  <c r="M89" i="23" s="1"/>
  <c r="K89" i="23"/>
  <c r="H89" i="23" s="1"/>
  <c r="F89" i="23"/>
  <c r="C89" i="23"/>
  <c r="T88" i="23"/>
  <c r="S88" i="23"/>
  <c r="P88" i="23"/>
  <c r="M88" i="23" s="1"/>
  <c r="K88" i="23"/>
  <c r="H88" i="23"/>
  <c r="F88" i="23"/>
  <c r="C88" i="23" s="1"/>
  <c r="T87" i="23"/>
  <c r="S87" i="23"/>
  <c r="P87" i="23"/>
  <c r="M87" i="23" s="1"/>
  <c r="K87" i="23"/>
  <c r="H87" i="23" s="1"/>
  <c r="F87" i="23"/>
  <c r="C87" i="23"/>
  <c r="T86" i="23"/>
  <c r="S86" i="23"/>
  <c r="P86" i="23"/>
  <c r="M86" i="23" s="1"/>
  <c r="K86" i="23"/>
  <c r="H86" i="23" s="1"/>
  <c r="F86" i="23"/>
  <c r="C86" i="23" s="1"/>
  <c r="T85" i="23"/>
  <c r="S85" i="23"/>
  <c r="P85" i="23"/>
  <c r="M85" i="23" s="1"/>
  <c r="K85" i="23"/>
  <c r="H85" i="23" s="1"/>
  <c r="F85" i="23"/>
  <c r="C85" i="23" s="1"/>
  <c r="T84" i="23"/>
  <c r="S84" i="23"/>
  <c r="P84" i="23"/>
  <c r="M84" i="23" s="1"/>
  <c r="K84" i="23"/>
  <c r="H84" i="23" s="1"/>
  <c r="F84" i="23"/>
  <c r="C84" i="23" s="1"/>
  <c r="T83" i="23"/>
  <c r="S83" i="23"/>
  <c r="P83" i="23"/>
  <c r="M83" i="23"/>
  <c r="K83" i="23"/>
  <c r="H83" i="23" s="1"/>
  <c r="F83" i="23"/>
  <c r="C83" i="23" s="1"/>
  <c r="T82" i="23"/>
  <c r="S82" i="23"/>
  <c r="P82" i="23"/>
  <c r="M82" i="23" s="1"/>
  <c r="K82" i="23"/>
  <c r="H82" i="23" s="1"/>
  <c r="F82" i="23"/>
  <c r="C82" i="23" s="1"/>
  <c r="T81" i="23"/>
  <c r="S81" i="23"/>
  <c r="P81" i="23"/>
  <c r="M81" i="23" s="1"/>
  <c r="K81" i="23"/>
  <c r="H81" i="23" s="1"/>
  <c r="F81" i="23"/>
  <c r="C81" i="23" s="1"/>
  <c r="T80" i="23"/>
  <c r="S80" i="23"/>
  <c r="P80" i="23"/>
  <c r="M80" i="23" s="1"/>
  <c r="K80" i="23"/>
  <c r="H80" i="23" s="1"/>
  <c r="F80" i="23"/>
  <c r="C80" i="23" s="1"/>
  <c r="T79" i="23"/>
  <c r="S79" i="23"/>
  <c r="P79" i="23"/>
  <c r="M79" i="23" s="1"/>
  <c r="K79" i="23"/>
  <c r="H79" i="23" s="1"/>
  <c r="F79" i="23"/>
  <c r="C79" i="23" s="1"/>
  <c r="T78" i="23"/>
  <c r="P78" i="23"/>
  <c r="M78" i="23" s="1"/>
  <c r="K78" i="23"/>
  <c r="H78" i="23" s="1"/>
  <c r="F78" i="23"/>
  <c r="C78" i="23" s="1"/>
  <c r="A78" i="23"/>
  <c r="A78" i="27" s="1"/>
  <c r="S78" i="27" s="1"/>
  <c r="T77" i="23"/>
  <c r="P77" i="23"/>
  <c r="M77" i="23" s="1"/>
  <c r="K77" i="23"/>
  <c r="H77" i="23" s="1"/>
  <c r="F77" i="23"/>
  <c r="C77" i="23" s="1"/>
  <c r="A77" i="23"/>
  <c r="A77" i="27" s="1"/>
  <c r="S77" i="27" s="1"/>
  <c r="T76" i="23"/>
  <c r="P76" i="23"/>
  <c r="M76" i="23"/>
  <c r="K76" i="23"/>
  <c r="H76" i="23" s="1"/>
  <c r="F76" i="23"/>
  <c r="C76" i="23" s="1"/>
  <c r="A76" i="23"/>
  <c r="A76" i="27" s="1"/>
  <c r="S76" i="27" s="1"/>
  <c r="T75" i="23"/>
  <c r="P75" i="23"/>
  <c r="M75" i="23" s="1"/>
  <c r="K75" i="23"/>
  <c r="H75" i="23" s="1"/>
  <c r="F75" i="23"/>
  <c r="C75" i="23" s="1"/>
  <c r="A75" i="23"/>
  <c r="A75" i="27" s="1"/>
  <c r="S75" i="27" s="1"/>
  <c r="T74" i="23"/>
  <c r="P74" i="23"/>
  <c r="M74" i="23"/>
  <c r="K74" i="23"/>
  <c r="H74" i="23" s="1"/>
  <c r="F74" i="23"/>
  <c r="C74" i="23" s="1"/>
  <c r="A74" i="23"/>
  <c r="A74" i="27" s="1"/>
  <c r="S74" i="27" s="1"/>
  <c r="T73" i="23"/>
  <c r="P73" i="23"/>
  <c r="M73" i="23" s="1"/>
  <c r="K73" i="23"/>
  <c r="H73" i="23"/>
  <c r="F73" i="23"/>
  <c r="C73" i="23" s="1"/>
  <c r="A73" i="23"/>
  <c r="A73" i="27" s="1"/>
  <c r="S73" i="27" s="1"/>
  <c r="T72" i="23"/>
  <c r="P72" i="23"/>
  <c r="M72" i="23"/>
  <c r="K72" i="23"/>
  <c r="H72" i="23" s="1"/>
  <c r="F72" i="23"/>
  <c r="C72" i="23" s="1"/>
  <c r="A72" i="23"/>
  <c r="A72" i="27" s="1"/>
  <c r="S72" i="27" s="1"/>
  <c r="T71" i="23"/>
  <c r="P71" i="23"/>
  <c r="M71" i="23" s="1"/>
  <c r="K71" i="23"/>
  <c r="H71" i="23"/>
  <c r="F71" i="23"/>
  <c r="C71" i="23" s="1"/>
  <c r="A71" i="23"/>
  <c r="A71" i="27" s="1"/>
  <c r="S71" i="27" s="1"/>
  <c r="T70" i="23"/>
  <c r="P70" i="23"/>
  <c r="M70" i="23" s="1"/>
  <c r="K70" i="23"/>
  <c r="H70" i="23"/>
  <c r="F70" i="23"/>
  <c r="C70" i="23" s="1"/>
  <c r="A70" i="23"/>
  <c r="A70" i="27" s="1"/>
  <c r="S70" i="27" s="1"/>
  <c r="T69" i="23"/>
  <c r="P69" i="23"/>
  <c r="M69" i="23" s="1"/>
  <c r="K69" i="23"/>
  <c r="H69" i="23" s="1"/>
  <c r="F69" i="23"/>
  <c r="C69" i="23" s="1"/>
  <c r="A69" i="23"/>
  <c r="A69" i="27" s="1"/>
  <c r="S69" i="27" s="1"/>
  <c r="T68" i="23"/>
  <c r="P68" i="23"/>
  <c r="M68" i="23" s="1"/>
  <c r="K68" i="23"/>
  <c r="H68" i="23"/>
  <c r="F68" i="23"/>
  <c r="C68" i="23" s="1"/>
  <c r="A68" i="23"/>
  <c r="A68" i="27" s="1"/>
  <c r="S68" i="27" s="1"/>
  <c r="P67" i="23"/>
  <c r="M67" i="23" s="1"/>
  <c r="K67" i="23"/>
  <c r="H67" i="23" s="1"/>
  <c r="F67" i="23"/>
  <c r="C67" i="23" s="1"/>
  <c r="A67" i="23"/>
  <c r="A67" i="27" s="1"/>
  <c r="T66" i="23"/>
  <c r="P66" i="23"/>
  <c r="M66" i="23" s="1"/>
  <c r="K66" i="23"/>
  <c r="H66" i="23" s="1"/>
  <c r="F66" i="23"/>
  <c r="C66" i="23"/>
  <c r="A66" i="23"/>
  <c r="A66" i="27" s="1"/>
  <c r="S66" i="27" s="1"/>
  <c r="T65" i="23"/>
  <c r="P65" i="23"/>
  <c r="M65" i="23" s="1"/>
  <c r="K65" i="23"/>
  <c r="H65" i="23" s="1"/>
  <c r="F65" i="23"/>
  <c r="C65" i="23"/>
  <c r="A65" i="23"/>
  <c r="A65" i="27" s="1"/>
  <c r="S65" i="27" s="1"/>
  <c r="T64" i="23"/>
  <c r="P64" i="23"/>
  <c r="M64" i="23" s="1"/>
  <c r="K64" i="23"/>
  <c r="H64" i="23" s="1"/>
  <c r="F64" i="23"/>
  <c r="C64" i="23"/>
  <c r="A64" i="23"/>
  <c r="A64" i="27" s="1"/>
  <c r="S64" i="27" s="1"/>
  <c r="T63" i="23"/>
  <c r="P63" i="23"/>
  <c r="M63" i="23"/>
  <c r="K63" i="23"/>
  <c r="H63" i="23" s="1"/>
  <c r="F63" i="23"/>
  <c r="C63" i="23"/>
  <c r="A63" i="23"/>
  <c r="A63" i="27" s="1"/>
  <c r="S63" i="27" s="1"/>
  <c r="T62" i="23"/>
  <c r="P62" i="23"/>
  <c r="M62" i="23" s="1"/>
  <c r="K62" i="23"/>
  <c r="H62" i="23" s="1"/>
  <c r="F62" i="23"/>
  <c r="C62" i="23" s="1"/>
  <c r="A62" i="23"/>
  <c r="A62" i="27" s="1"/>
  <c r="S62" i="27" s="1"/>
  <c r="T61" i="23"/>
  <c r="P61" i="23"/>
  <c r="M61" i="23" s="1"/>
  <c r="K61" i="23"/>
  <c r="H61" i="23" s="1"/>
  <c r="F61" i="23"/>
  <c r="C61" i="23"/>
  <c r="A61" i="23"/>
  <c r="A61" i="27" s="1"/>
  <c r="S61" i="27" s="1"/>
  <c r="T60" i="23"/>
  <c r="P60" i="23"/>
  <c r="M60" i="23" s="1"/>
  <c r="K60" i="23"/>
  <c r="H60" i="23" s="1"/>
  <c r="F60" i="23"/>
  <c r="C60" i="23" s="1"/>
  <c r="A60" i="23"/>
  <c r="A60" i="27" s="1"/>
  <c r="S60" i="27" s="1"/>
  <c r="T59" i="23"/>
  <c r="P59" i="23"/>
  <c r="M59" i="23" s="1"/>
  <c r="K59" i="23"/>
  <c r="H59" i="23" s="1"/>
  <c r="F59" i="23"/>
  <c r="C59" i="23" s="1"/>
  <c r="A59" i="23"/>
  <c r="A59" i="27" s="1"/>
  <c r="S59" i="27" s="1"/>
  <c r="T58" i="23"/>
  <c r="P58" i="23"/>
  <c r="M58" i="23" s="1"/>
  <c r="K58" i="23"/>
  <c r="H58" i="23" s="1"/>
  <c r="F58" i="23"/>
  <c r="C58" i="23"/>
  <c r="A58" i="23"/>
  <c r="A58" i="27" s="1"/>
  <c r="S58" i="27" s="1"/>
  <c r="T57" i="23"/>
  <c r="P57" i="23"/>
  <c r="M57" i="23"/>
  <c r="K57" i="23"/>
  <c r="H57" i="23" s="1"/>
  <c r="F57" i="23"/>
  <c r="C57" i="23" s="1"/>
  <c r="A57" i="23"/>
  <c r="A57" i="27" s="1"/>
  <c r="S57" i="27" s="1"/>
  <c r="T56" i="23"/>
  <c r="P56" i="23"/>
  <c r="M56" i="23"/>
  <c r="K56" i="23"/>
  <c r="H56" i="23" s="1"/>
  <c r="F56" i="23"/>
  <c r="C56" i="23" s="1"/>
  <c r="A56" i="23"/>
  <c r="A56" i="27" s="1"/>
  <c r="S56" i="27" s="1"/>
  <c r="T55" i="23"/>
  <c r="P55" i="23"/>
  <c r="M55" i="23" s="1"/>
  <c r="K55" i="23"/>
  <c r="H55" i="23" s="1"/>
  <c r="F55" i="23"/>
  <c r="C55" i="23"/>
  <c r="A55" i="23"/>
  <c r="A55" i="27" s="1"/>
  <c r="S55" i="27" s="1"/>
  <c r="T54" i="23"/>
  <c r="P54" i="23"/>
  <c r="M54" i="23"/>
  <c r="K54" i="23"/>
  <c r="H54" i="23" s="1"/>
  <c r="F54" i="23"/>
  <c r="C54" i="23"/>
  <c r="A54" i="23"/>
  <c r="A54" i="27" s="1"/>
  <c r="S54" i="27" s="1"/>
  <c r="T53" i="23"/>
  <c r="P53" i="23"/>
  <c r="M53" i="23"/>
  <c r="K53" i="23"/>
  <c r="H53" i="23" s="1"/>
  <c r="F53" i="23"/>
  <c r="C53" i="23"/>
  <c r="A53" i="23"/>
  <c r="A53" i="27" s="1"/>
  <c r="S53" i="27" s="1"/>
  <c r="T52" i="23"/>
  <c r="P52" i="23"/>
  <c r="M52" i="23" s="1"/>
  <c r="K52" i="23"/>
  <c r="H52" i="23" s="1"/>
  <c r="F52" i="23"/>
  <c r="C52" i="23" s="1"/>
  <c r="A52" i="23"/>
  <c r="A52" i="27" s="1"/>
  <c r="S52" i="27" s="1"/>
  <c r="T51" i="23"/>
  <c r="P51" i="23"/>
  <c r="M51" i="23" s="1"/>
  <c r="K51" i="23"/>
  <c r="H51" i="23" s="1"/>
  <c r="F51" i="23"/>
  <c r="C51" i="23"/>
  <c r="A51" i="23"/>
  <c r="A51" i="27" s="1"/>
  <c r="S51" i="27" s="1"/>
  <c r="T50" i="23"/>
  <c r="P50" i="23"/>
  <c r="M50" i="23"/>
  <c r="K50" i="23"/>
  <c r="H50" i="23" s="1"/>
  <c r="F50" i="23"/>
  <c r="C50" i="23"/>
  <c r="A50" i="23"/>
  <c r="A50" i="27" s="1"/>
  <c r="S50" i="27" s="1"/>
  <c r="T49" i="23"/>
  <c r="P49" i="23"/>
  <c r="M49" i="23"/>
  <c r="K49" i="23"/>
  <c r="H49" i="23" s="1"/>
  <c r="F49" i="23"/>
  <c r="C49" i="23" s="1"/>
  <c r="A49" i="23"/>
  <c r="A49" i="27" s="1"/>
  <c r="S49" i="27" s="1"/>
  <c r="T48" i="23"/>
  <c r="P48" i="23"/>
  <c r="M48" i="23"/>
  <c r="K48" i="23"/>
  <c r="H48" i="23" s="1"/>
  <c r="F48" i="23"/>
  <c r="C48" i="23" s="1"/>
  <c r="A48" i="23"/>
  <c r="A48" i="27" s="1"/>
  <c r="S48" i="27" s="1"/>
  <c r="T47" i="23"/>
  <c r="P47" i="23"/>
  <c r="M47" i="23" s="1"/>
  <c r="K47" i="23"/>
  <c r="H47" i="23" s="1"/>
  <c r="F47" i="23"/>
  <c r="C47" i="23"/>
  <c r="A47" i="23"/>
  <c r="A47" i="27" s="1"/>
  <c r="S47" i="27" s="1"/>
  <c r="T46" i="23"/>
  <c r="P46" i="23"/>
  <c r="M46" i="23"/>
  <c r="K46" i="23"/>
  <c r="H46" i="23" s="1"/>
  <c r="F46" i="23"/>
  <c r="C46" i="23"/>
  <c r="A46" i="23"/>
  <c r="A46" i="27" s="1"/>
  <c r="S46" i="27" s="1"/>
  <c r="T45" i="23"/>
  <c r="P45" i="23"/>
  <c r="M45" i="23"/>
  <c r="K45" i="23"/>
  <c r="H45" i="23" s="1"/>
  <c r="F45" i="23"/>
  <c r="C45" i="23" s="1"/>
  <c r="A45" i="23"/>
  <c r="A45" i="27" s="1"/>
  <c r="S45" i="27" s="1"/>
  <c r="T44" i="23"/>
  <c r="P44" i="23"/>
  <c r="M44" i="23" s="1"/>
  <c r="K44" i="23"/>
  <c r="H44" i="23" s="1"/>
  <c r="F44" i="23"/>
  <c r="C44" i="23" s="1"/>
  <c r="A44" i="23"/>
  <c r="A44" i="27" s="1"/>
  <c r="S44" i="27" s="1"/>
  <c r="T43" i="23"/>
  <c r="P43" i="23"/>
  <c r="M43" i="23" s="1"/>
  <c r="K43" i="23"/>
  <c r="H43" i="23" s="1"/>
  <c r="F43" i="23"/>
  <c r="C43" i="23"/>
  <c r="A43" i="23"/>
  <c r="A43" i="27" s="1"/>
  <c r="S43" i="27" s="1"/>
  <c r="P42" i="23"/>
  <c r="M42" i="23"/>
  <c r="K42" i="23"/>
  <c r="H42" i="23" s="1"/>
  <c r="F42" i="23"/>
  <c r="C42" i="23" s="1"/>
  <c r="A42" i="23"/>
  <c r="A42" i="27" s="1"/>
  <c r="T41" i="23"/>
  <c r="P41" i="23"/>
  <c r="M41" i="23" s="1"/>
  <c r="K41" i="23"/>
  <c r="H41" i="23" s="1"/>
  <c r="F41" i="23"/>
  <c r="C41" i="23" s="1"/>
  <c r="A41" i="23"/>
  <c r="A41" i="27" s="1"/>
  <c r="S41" i="27" s="1"/>
  <c r="T40" i="23"/>
  <c r="P40" i="23"/>
  <c r="M40" i="23" s="1"/>
  <c r="K40" i="23"/>
  <c r="H40" i="23" s="1"/>
  <c r="F40" i="23"/>
  <c r="C40" i="23"/>
  <c r="A40" i="23"/>
  <c r="A40" i="27" s="1"/>
  <c r="S40" i="27" s="1"/>
  <c r="T39" i="23"/>
  <c r="P39" i="23"/>
  <c r="M39" i="23"/>
  <c r="K39" i="23"/>
  <c r="H39" i="23" s="1"/>
  <c r="F39" i="23"/>
  <c r="C39" i="23"/>
  <c r="A39" i="23"/>
  <c r="A39" i="27" s="1"/>
  <c r="S39" i="27" s="1"/>
  <c r="T38" i="23"/>
  <c r="P38" i="23"/>
  <c r="M38" i="23"/>
  <c r="K38" i="23"/>
  <c r="H38" i="23" s="1"/>
  <c r="F38" i="23"/>
  <c r="C38" i="23" s="1"/>
  <c r="A38" i="23"/>
  <c r="A38" i="27" s="1"/>
  <c r="S38" i="27" s="1"/>
  <c r="T37" i="23"/>
  <c r="P37" i="23"/>
  <c r="M37" i="23" s="1"/>
  <c r="K37" i="23"/>
  <c r="H37" i="23" s="1"/>
  <c r="F37" i="23"/>
  <c r="C37" i="23" s="1"/>
  <c r="A37" i="23"/>
  <c r="A37" i="27" s="1"/>
  <c r="S37" i="27" s="1"/>
  <c r="T36" i="23"/>
  <c r="P36" i="23"/>
  <c r="M36" i="23" s="1"/>
  <c r="K36" i="23"/>
  <c r="H36" i="23" s="1"/>
  <c r="F36" i="23"/>
  <c r="C36" i="23"/>
  <c r="A36" i="23"/>
  <c r="A36" i="27" s="1"/>
  <c r="S36" i="27" s="1"/>
  <c r="T35" i="23"/>
  <c r="P35" i="23"/>
  <c r="M35" i="23"/>
  <c r="K35" i="23"/>
  <c r="H35" i="23" s="1"/>
  <c r="F35" i="23"/>
  <c r="C35" i="23"/>
  <c r="A35" i="23"/>
  <c r="A35" i="27" s="1"/>
  <c r="S35" i="27" s="1"/>
  <c r="T34" i="23"/>
  <c r="P34" i="23"/>
  <c r="M34" i="23"/>
  <c r="K34" i="23"/>
  <c r="H34" i="23" s="1"/>
  <c r="F34" i="23"/>
  <c r="C34" i="23" s="1"/>
  <c r="A34" i="23"/>
  <c r="A34" i="27" s="1"/>
  <c r="S34" i="27" s="1"/>
  <c r="T33" i="23"/>
  <c r="P33" i="23"/>
  <c r="M33" i="23"/>
  <c r="K33" i="23"/>
  <c r="H33" i="23" s="1"/>
  <c r="F33" i="23"/>
  <c r="C33" i="23" s="1"/>
  <c r="A33" i="23"/>
  <c r="A33" i="27" s="1"/>
  <c r="S33" i="27" s="1"/>
  <c r="T32" i="23"/>
  <c r="P32" i="23"/>
  <c r="M32" i="23" s="1"/>
  <c r="K32" i="23"/>
  <c r="H32" i="23" s="1"/>
  <c r="F32" i="23"/>
  <c r="C32" i="23"/>
  <c r="A32" i="23"/>
  <c r="A32" i="27" s="1"/>
  <c r="S32" i="27" s="1"/>
  <c r="T31" i="23"/>
  <c r="P31" i="23"/>
  <c r="M31" i="23"/>
  <c r="K31" i="23"/>
  <c r="H31" i="23" s="1"/>
  <c r="F31" i="23"/>
  <c r="C31" i="23"/>
  <c r="A31" i="23"/>
  <c r="A31" i="27" s="1"/>
  <c r="S31" i="27" s="1"/>
  <c r="T30" i="23"/>
  <c r="P30" i="23"/>
  <c r="M30" i="23" s="1"/>
  <c r="K30" i="23"/>
  <c r="H30" i="23"/>
  <c r="F30" i="23"/>
  <c r="C30" i="23" s="1"/>
  <c r="A30" i="23"/>
  <c r="A30" i="27" s="1"/>
  <c r="T29" i="23"/>
  <c r="P29" i="23"/>
  <c r="M29" i="23" s="1"/>
  <c r="K29" i="23"/>
  <c r="H29" i="23" s="1"/>
  <c r="F29" i="23"/>
  <c r="C29" i="23"/>
  <c r="A29" i="23"/>
  <c r="A29" i="27" s="1"/>
  <c r="T28" i="23"/>
  <c r="P28" i="23"/>
  <c r="M28" i="23" s="1"/>
  <c r="K28" i="23"/>
  <c r="H28" i="23" s="1"/>
  <c r="F28" i="23"/>
  <c r="C28" i="23" s="1"/>
  <c r="A28" i="23"/>
  <c r="A28" i="27" s="1"/>
  <c r="T27" i="23"/>
  <c r="P27" i="23"/>
  <c r="M27" i="23"/>
  <c r="K27" i="23"/>
  <c r="H27" i="23" s="1"/>
  <c r="F27" i="23"/>
  <c r="C27" i="23" s="1"/>
  <c r="A27" i="23"/>
  <c r="A27" i="27" s="1"/>
  <c r="Q27" i="27" s="1"/>
  <c r="T26" i="23"/>
  <c r="P26" i="23"/>
  <c r="M26" i="23" s="1"/>
  <c r="K26" i="23"/>
  <c r="H26" i="23"/>
  <c r="F26" i="23"/>
  <c r="C26" i="23" s="1"/>
  <c r="A26" i="23"/>
  <c r="A26" i="27" s="1"/>
  <c r="T25" i="23"/>
  <c r="P25" i="23"/>
  <c r="M25" i="23"/>
  <c r="K25" i="23"/>
  <c r="H25" i="23" s="1"/>
  <c r="F25" i="23"/>
  <c r="C25" i="23"/>
  <c r="A25" i="23"/>
  <c r="A25" i="27" s="1"/>
  <c r="T24" i="23"/>
  <c r="P24" i="23"/>
  <c r="M24" i="23" s="1"/>
  <c r="K24" i="23"/>
  <c r="H24" i="23"/>
  <c r="F24" i="23"/>
  <c r="C24" i="23" s="1"/>
  <c r="A24" i="23"/>
  <c r="A24" i="27" s="1"/>
  <c r="S24" i="27" s="1"/>
  <c r="T23" i="23"/>
  <c r="P23" i="23"/>
  <c r="M23" i="23"/>
  <c r="K23" i="23"/>
  <c r="H23" i="23"/>
  <c r="F23" i="23"/>
  <c r="C23" i="23"/>
  <c r="A23" i="23"/>
  <c r="A23" i="27" s="1"/>
  <c r="T22" i="23"/>
  <c r="P22" i="23"/>
  <c r="M22" i="23" s="1"/>
  <c r="K22" i="23"/>
  <c r="H22" i="23" s="1"/>
  <c r="F22" i="23"/>
  <c r="C22" i="23"/>
  <c r="A22" i="23"/>
  <c r="A22" i="27" s="1"/>
  <c r="T21" i="23"/>
  <c r="A21" i="23"/>
  <c r="A21" i="27" s="1"/>
  <c r="B20" i="23"/>
  <c r="C20" i="23" s="1"/>
  <c r="D20" i="23" s="1"/>
  <c r="E20" i="23" s="1"/>
  <c r="F20" i="23" s="1"/>
  <c r="G20" i="23" s="1"/>
  <c r="H20" i="23" s="1"/>
  <c r="I20" i="23" s="1"/>
  <c r="J20" i="23" s="1"/>
  <c r="K20" i="23" s="1"/>
  <c r="L20" i="23" s="1"/>
  <c r="M20" i="23" s="1"/>
  <c r="N20" i="23" s="1"/>
  <c r="O20" i="23" s="1"/>
  <c r="P20" i="23" s="1"/>
  <c r="Q20" i="23" s="1"/>
  <c r="R20" i="23" s="1"/>
  <c r="S20" i="23" s="1"/>
  <c r="T20" i="23" s="1"/>
  <c r="A3" i="23"/>
  <c r="P23" i="22"/>
  <c r="M23" i="22" s="1"/>
  <c r="O23" i="22" s="1"/>
  <c r="K23" i="22"/>
  <c r="H23" i="22" s="1"/>
  <c r="J23" i="22" s="1"/>
  <c r="F23" i="22"/>
  <c r="C23" i="22" s="1"/>
  <c r="E23" i="22" s="1"/>
  <c r="P22" i="22"/>
  <c r="M22" i="22" s="1"/>
  <c r="O22" i="22" s="1"/>
  <c r="K22" i="22"/>
  <c r="H22" i="22" s="1"/>
  <c r="J22" i="22" s="1"/>
  <c r="F22" i="22"/>
  <c r="C22" i="22" s="1"/>
  <c r="E22" i="22" s="1"/>
  <c r="P21" i="22"/>
  <c r="M21" i="22" s="1"/>
  <c r="O21" i="22" s="1"/>
  <c r="K21" i="22"/>
  <c r="H21" i="22" s="1"/>
  <c r="J21" i="22" s="1"/>
  <c r="F21" i="22"/>
  <c r="C21" i="22" s="1"/>
  <c r="E21" i="22" s="1"/>
  <c r="P20" i="22"/>
  <c r="M20" i="22" s="1"/>
  <c r="O20" i="22" s="1"/>
  <c r="K20" i="22"/>
  <c r="H20" i="22" s="1"/>
  <c r="J20" i="22" s="1"/>
  <c r="F20" i="22"/>
  <c r="C20" i="22" s="1"/>
  <c r="E20" i="22" s="1"/>
  <c r="P19" i="22"/>
  <c r="M19" i="22" s="1"/>
  <c r="O19" i="22" s="1"/>
  <c r="K19" i="22"/>
  <c r="H19" i="22" s="1"/>
  <c r="J19" i="22" s="1"/>
  <c r="F19" i="22"/>
  <c r="C19" i="22" s="1"/>
  <c r="E19" i="22" s="1"/>
  <c r="P18" i="22"/>
  <c r="M18" i="22" s="1"/>
  <c r="O18" i="22" s="1"/>
  <c r="K18" i="22"/>
  <c r="H18" i="22" s="1"/>
  <c r="J18" i="22" s="1"/>
  <c r="F18" i="22"/>
  <c r="C18" i="22"/>
  <c r="E18" i="22" s="1"/>
  <c r="P17" i="22"/>
  <c r="M17" i="22"/>
  <c r="O17" i="22" s="1"/>
  <c r="L17" i="22"/>
  <c r="L18" i="22" s="1"/>
  <c r="L19" i="22" s="1"/>
  <c r="L20" i="22" s="1"/>
  <c r="L21" i="22" s="1"/>
  <c r="L22" i="22" s="1"/>
  <c r="L23" i="22" s="1"/>
  <c r="K17" i="22"/>
  <c r="H17" i="22" s="1"/>
  <c r="J17" i="22" s="1"/>
  <c r="G17" i="22"/>
  <c r="G18" i="22" s="1"/>
  <c r="G19" i="22" s="1"/>
  <c r="G20" i="22" s="1"/>
  <c r="G21" i="22" s="1"/>
  <c r="G22" i="22" s="1"/>
  <c r="G23" i="22" s="1"/>
  <c r="F17" i="22"/>
  <c r="C17" i="22"/>
  <c r="E17" i="22" s="1"/>
  <c r="B17" i="22"/>
  <c r="B18" i="22" s="1"/>
  <c r="B19" i="22" s="1"/>
  <c r="B20" i="22" s="1"/>
  <c r="B21" i="22" s="1"/>
  <c r="B22" i="22" s="1"/>
  <c r="B23" i="22" s="1"/>
  <c r="O16" i="22"/>
  <c r="J16" i="22"/>
  <c r="E16" i="22"/>
  <c r="B15" i="22"/>
  <c r="C15" i="22" s="1"/>
  <c r="D15" i="22" s="1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F4" i="22"/>
  <c r="P148" i="21"/>
  <c r="M148" i="21" s="1"/>
  <c r="O148" i="21" s="1"/>
  <c r="K148" i="21"/>
  <c r="J148" i="21"/>
  <c r="F148" i="21"/>
  <c r="E148" i="21"/>
  <c r="P147" i="21"/>
  <c r="M147" i="21" s="1"/>
  <c r="O147" i="21" s="1"/>
  <c r="K147" i="21"/>
  <c r="H147" i="21"/>
  <c r="J147" i="21" s="1"/>
  <c r="F147" i="21"/>
  <c r="C147" i="21" s="1"/>
  <c r="E147" i="21" s="1"/>
  <c r="P146" i="21"/>
  <c r="M146" i="21"/>
  <c r="O146" i="21" s="1"/>
  <c r="K146" i="21"/>
  <c r="H146" i="21" s="1"/>
  <c r="J146" i="21" s="1"/>
  <c r="F146" i="21"/>
  <c r="C146" i="21"/>
  <c r="E146" i="21" s="1"/>
  <c r="P145" i="21"/>
  <c r="M145" i="21" s="1"/>
  <c r="O145" i="21" s="1"/>
  <c r="K145" i="21"/>
  <c r="H145" i="21"/>
  <c r="J145" i="21" s="1"/>
  <c r="F145" i="21"/>
  <c r="C145" i="21" s="1"/>
  <c r="E145" i="21" s="1"/>
  <c r="P144" i="21"/>
  <c r="M144" i="21"/>
  <c r="O144" i="21" s="1"/>
  <c r="K144" i="21"/>
  <c r="H144" i="21" s="1"/>
  <c r="J144" i="21" s="1"/>
  <c r="F144" i="21"/>
  <c r="C144" i="21"/>
  <c r="E144" i="21" s="1"/>
  <c r="P143" i="21"/>
  <c r="M143" i="21" s="1"/>
  <c r="O143" i="21" s="1"/>
  <c r="K143" i="21"/>
  <c r="H143" i="21"/>
  <c r="J143" i="21" s="1"/>
  <c r="F143" i="21"/>
  <c r="C143" i="21" s="1"/>
  <c r="E143" i="21" s="1"/>
  <c r="P142" i="21"/>
  <c r="M142" i="21"/>
  <c r="O142" i="21" s="1"/>
  <c r="K142" i="21"/>
  <c r="H142" i="21" s="1"/>
  <c r="J142" i="21" s="1"/>
  <c r="F142" i="21"/>
  <c r="C142" i="21"/>
  <c r="E142" i="21" s="1"/>
  <c r="P141" i="21"/>
  <c r="M141" i="21" s="1"/>
  <c r="O141" i="21" s="1"/>
  <c r="K141" i="21"/>
  <c r="H141" i="21"/>
  <c r="J141" i="21" s="1"/>
  <c r="F141" i="21"/>
  <c r="C141" i="21" s="1"/>
  <c r="E141" i="21" s="1"/>
  <c r="P140" i="21"/>
  <c r="M140" i="21"/>
  <c r="O140" i="21" s="1"/>
  <c r="K140" i="21"/>
  <c r="H140" i="21" s="1"/>
  <c r="J140" i="21" s="1"/>
  <c r="F140" i="21"/>
  <c r="C140" i="21"/>
  <c r="E140" i="21" s="1"/>
  <c r="P139" i="21"/>
  <c r="M139" i="21" s="1"/>
  <c r="O139" i="21" s="1"/>
  <c r="K139" i="21"/>
  <c r="H139" i="21"/>
  <c r="J139" i="21" s="1"/>
  <c r="F139" i="21"/>
  <c r="C139" i="21" s="1"/>
  <c r="E139" i="21" s="1"/>
  <c r="P138" i="21"/>
  <c r="M138" i="21"/>
  <c r="O138" i="21" s="1"/>
  <c r="K138" i="21"/>
  <c r="H138" i="21" s="1"/>
  <c r="J138" i="21" s="1"/>
  <c r="F138" i="21"/>
  <c r="C138" i="21"/>
  <c r="E138" i="21" s="1"/>
  <c r="P137" i="21"/>
  <c r="M137" i="21" s="1"/>
  <c r="O137" i="21" s="1"/>
  <c r="K137" i="21"/>
  <c r="H137" i="21"/>
  <c r="J137" i="21" s="1"/>
  <c r="F137" i="21"/>
  <c r="C137" i="21" s="1"/>
  <c r="E137" i="21" s="1"/>
  <c r="P136" i="21"/>
  <c r="M136" i="21"/>
  <c r="O136" i="21" s="1"/>
  <c r="K136" i="21"/>
  <c r="H136" i="21" s="1"/>
  <c r="J136" i="21" s="1"/>
  <c r="F136" i="21"/>
  <c r="C136" i="21"/>
  <c r="E136" i="21" s="1"/>
  <c r="P135" i="21"/>
  <c r="M135" i="21" s="1"/>
  <c r="O135" i="21" s="1"/>
  <c r="K135" i="21"/>
  <c r="H135" i="21"/>
  <c r="J135" i="21" s="1"/>
  <c r="F135" i="21"/>
  <c r="C135" i="21" s="1"/>
  <c r="E135" i="21" s="1"/>
  <c r="P134" i="21"/>
  <c r="M134" i="21"/>
  <c r="O134" i="21" s="1"/>
  <c r="K134" i="21"/>
  <c r="H134" i="21" s="1"/>
  <c r="J134" i="21" s="1"/>
  <c r="F134" i="21"/>
  <c r="C134" i="21"/>
  <c r="E134" i="21" s="1"/>
  <c r="P133" i="21"/>
  <c r="M133" i="21" s="1"/>
  <c r="O133" i="21" s="1"/>
  <c r="K133" i="21"/>
  <c r="H133" i="21"/>
  <c r="J133" i="21" s="1"/>
  <c r="F133" i="21"/>
  <c r="C133" i="21" s="1"/>
  <c r="E133" i="21" s="1"/>
  <c r="P132" i="21"/>
  <c r="M132" i="21"/>
  <c r="O132" i="21" s="1"/>
  <c r="K132" i="21"/>
  <c r="H132" i="21" s="1"/>
  <c r="J132" i="21" s="1"/>
  <c r="F132" i="21"/>
  <c r="C132" i="21"/>
  <c r="E132" i="21" s="1"/>
  <c r="P131" i="21"/>
  <c r="M131" i="21" s="1"/>
  <c r="O131" i="21" s="1"/>
  <c r="K131" i="21"/>
  <c r="H131" i="21"/>
  <c r="J131" i="21" s="1"/>
  <c r="F131" i="21"/>
  <c r="C131" i="21" s="1"/>
  <c r="E131" i="21" s="1"/>
  <c r="P130" i="21"/>
  <c r="M130" i="21"/>
  <c r="O130" i="21" s="1"/>
  <c r="K130" i="21"/>
  <c r="H130" i="21" s="1"/>
  <c r="J130" i="21" s="1"/>
  <c r="F130" i="21"/>
  <c r="C130" i="21"/>
  <c r="E130" i="21" s="1"/>
  <c r="P129" i="21"/>
  <c r="M129" i="21" s="1"/>
  <c r="O129" i="21" s="1"/>
  <c r="K129" i="21"/>
  <c r="H129" i="21"/>
  <c r="J129" i="21" s="1"/>
  <c r="F129" i="21"/>
  <c r="C129" i="21" s="1"/>
  <c r="E129" i="21" s="1"/>
  <c r="P128" i="21"/>
  <c r="M128" i="21"/>
  <c r="O128" i="21" s="1"/>
  <c r="K128" i="21"/>
  <c r="H128" i="21" s="1"/>
  <c r="J128" i="21" s="1"/>
  <c r="F128" i="21"/>
  <c r="C128" i="21"/>
  <c r="E128" i="21" s="1"/>
  <c r="P127" i="21"/>
  <c r="M127" i="21" s="1"/>
  <c r="O127" i="21" s="1"/>
  <c r="K127" i="21"/>
  <c r="H127" i="21"/>
  <c r="J127" i="21" s="1"/>
  <c r="F127" i="21"/>
  <c r="C127" i="21" s="1"/>
  <c r="E127" i="21" s="1"/>
  <c r="P126" i="21"/>
  <c r="M126" i="21"/>
  <c r="O126" i="21" s="1"/>
  <c r="K126" i="21"/>
  <c r="H126" i="21" s="1"/>
  <c r="J126" i="21" s="1"/>
  <c r="F126" i="21"/>
  <c r="C126" i="21"/>
  <c r="E126" i="21" s="1"/>
  <c r="P125" i="21"/>
  <c r="M125" i="21" s="1"/>
  <c r="O125" i="21" s="1"/>
  <c r="K125" i="21"/>
  <c r="H125" i="21"/>
  <c r="J125" i="21" s="1"/>
  <c r="F125" i="21"/>
  <c r="C125" i="21" s="1"/>
  <c r="E125" i="21" s="1"/>
  <c r="P124" i="21"/>
  <c r="M124" i="21"/>
  <c r="O124" i="21" s="1"/>
  <c r="K124" i="21"/>
  <c r="H124" i="21" s="1"/>
  <c r="J124" i="21" s="1"/>
  <c r="F124" i="21"/>
  <c r="C124" i="21"/>
  <c r="E124" i="21" s="1"/>
  <c r="P123" i="21"/>
  <c r="M123" i="21" s="1"/>
  <c r="O123" i="21" s="1"/>
  <c r="K123" i="21"/>
  <c r="H123" i="21"/>
  <c r="J123" i="21" s="1"/>
  <c r="F123" i="21"/>
  <c r="C123" i="21" s="1"/>
  <c r="E123" i="21" s="1"/>
  <c r="P122" i="21"/>
  <c r="M122" i="21"/>
  <c r="O122" i="21" s="1"/>
  <c r="K122" i="21"/>
  <c r="H122" i="21" s="1"/>
  <c r="J122" i="21" s="1"/>
  <c r="F122" i="21"/>
  <c r="C122" i="21"/>
  <c r="E122" i="21" s="1"/>
  <c r="P121" i="21"/>
  <c r="M121" i="21" s="1"/>
  <c r="O121" i="21" s="1"/>
  <c r="K121" i="21"/>
  <c r="H121" i="21"/>
  <c r="J121" i="21" s="1"/>
  <c r="F121" i="21"/>
  <c r="C121" i="21" s="1"/>
  <c r="E121" i="21" s="1"/>
  <c r="P120" i="21"/>
  <c r="M120" i="21"/>
  <c r="O120" i="21" s="1"/>
  <c r="K120" i="21"/>
  <c r="H120" i="21" s="1"/>
  <c r="J120" i="21" s="1"/>
  <c r="F120" i="21"/>
  <c r="C120" i="21"/>
  <c r="E120" i="21" s="1"/>
  <c r="P119" i="21"/>
  <c r="M119" i="21" s="1"/>
  <c r="O119" i="21" s="1"/>
  <c r="K119" i="21"/>
  <c r="H119" i="21"/>
  <c r="J119" i="21" s="1"/>
  <c r="F119" i="21"/>
  <c r="C119" i="21" s="1"/>
  <c r="E119" i="21" s="1"/>
  <c r="P118" i="21"/>
  <c r="M118" i="21"/>
  <c r="O118" i="21" s="1"/>
  <c r="K118" i="21"/>
  <c r="H118" i="21" s="1"/>
  <c r="J118" i="21" s="1"/>
  <c r="F118" i="21"/>
  <c r="C118" i="21"/>
  <c r="E118" i="21" s="1"/>
  <c r="P117" i="21"/>
  <c r="M117" i="21" s="1"/>
  <c r="O117" i="21" s="1"/>
  <c r="K117" i="21"/>
  <c r="H117" i="21"/>
  <c r="J117" i="21" s="1"/>
  <c r="F117" i="21"/>
  <c r="C117" i="21" s="1"/>
  <c r="E117" i="21" s="1"/>
  <c r="P116" i="21"/>
  <c r="M116" i="21"/>
  <c r="O116" i="21" s="1"/>
  <c r="K116" i="21"/>
  <c r="H116" i="21" s="1"/>
  <c r="J116" i="21" s="1"/>
  <c r="F116" i="21"/>
  <c r="C116" i="21"/>
  <c r="E116" i="21" s="1"/>
  <c r="P115" i="21"/>
  <c r="M115" i="21" s="1"/>
  <c r="O115" i="21" s="1"/>
  <c r="K115" i="21"/>
  <c r="H115" i="21"/>
  <c r="J115" i="21" s="1"/>
  <c r="F115" i="21"/>
  <c r="C115" i="21" s="1"/>
  <c r="E115" i="21" s="1"/>
  <c r="P114" i="21"/>
  <c r="M114" i="21"/>
  <c r="O114" i="21" s="1"/>
  <c r="K114" i="21"/>
  <c r="H114" i="21" s="1"/>
  <c r="J114" i="21" s="1"/>
  <c r="F114" i="21"/>
  <c r="C114" i="21"/>
  <c r="E114" i="21" s="1"/>
  <c r="P113" i="21"/>
  <c r="M113" i="21" s="1"/>
  <c r="O113" i="21" s="1"/>
  <c r="K113" i="21"/>
  <c r="H113" i="21"/>
  <c r="J113" i="21" s="1"/>
  <c r="F113" i="21"/>
  <c r="C113" i="21" s="1"/>
  <c r="E113" i="21" s="1"/>
  <c r="P112" i="21"/>
  <c r="M112" i="21"/>
  <c r="O112" i="21" s="1"/>
  <c r="K112" i="21"/>
  <c r="H112" i="21" s="1"/>
  <c r="J112" i="21" s="1"/>
  <c r="F112" i="21"/>
  <c r="C112" i="21"/>
  <c r="E112" i="21" s="1"/>
  <c r="P111" i="21"/>
  <c r="M111" i="21" s="1"/>
  <c r="O111" i="21" s="1"/>
  <c r="K111" i="21"/>
  <c r="H111" i="21"/>
  <c r="J111" i="21" s="1"/>
  <c r="F111" i="21"/>
  <c r="C111" i="21" s="1"/>
  <c r="E111" i="21" s="1"/>
  <c r="P110" i="21"/>
  <c r="M110" i="21"/>
  <c r="O110" i="21" s="1"/>
  <c r="K110" i="21"/>
  <c r="H110" i="21" s="1"/>
  <c r="J110" i="21" s="1"/>
  <c r="F110" i="21"/>
  <c r="C110" i="21"/>
  <c r="E110" i="21" s="1"/>
  <c r="P109" i="21"/>
  <c r="M109" i="21" s="1"/>
  <c r="O109" i="21" s="1"/>
  <c r="K109" i="21"/>
  <c r="H109" i="21"/>
  <c r="J109" i="21" s="1"/>
  <c r="F109" i="21"/>
  <c r="C109" i="21" s="1"/>
  <c r="E109" i="21" s="1"/>
  <c r="P108" i="21"/>
  <c r="M108" i="21"/>
  <c r="O108" i="21" s="1"/>
  <c r="K108" i="21"/>
  <c r="H108" i="21" s="1"/>
  <c r="J108" i="21" s="1"/>
  <c r="F108" i="21"/>
  <c r="C108" i="21"/>
  <c r="E108" i="21" s="1"/>
  <c r="P107" i="21"/>
  <c r="M107" i="21" s="1"/>
  <c r="O107" i="21" s="1"/>
  <c r="K107" i="21"/>
  <c r="H107" i="21"/>
  <c r="J107" i="21" s="1"/>
  <c r="F107" i="21"/>
  <c r="C107" i="21" s="1"/>
  <c r="E107" i="21" s="1"/>
  <c r="P106" i="21"/>
  <c r="M106" i="21"/>
  <c r="O106" i="21" s="1"/>
  <c r="K106" i="21"/>
  <c r="H106" i="21" s="1"/>
  <c r="J106" i="21" s="1"/>
  <c r="F106" i="21"/>
  <c r="C106" i="21"/>
  <c r="E106" i="21" s="1"/>
  <c r="P105" i="21"/>
  <c r="M105" i="21" s="1"/>
  <c r="O105" i="21" s="1"/>
  <c r="K105" i="21"/>
  <c r="H105" i="21"/>
  <c r="J105" i="21" s="1"/>
  <c r="F105" i="21"/>
  <c r="C105" i="21" s="1"/>
  <c r="E105" i="21" s="1"/>
  <c r="P104" i="21"/>
  <c r="M104" i="21"/>
  <c r="O104" i="21" s="1"/>
  <c r="K104" i="21"/>
  <c r="H104" i="21" s="1"/>
  <c r="J104" i="21" s="1"/>
  <c r="F104" i="21"/>
  <c r="C104" i="21"/>
  <c r="E104" i="21" s="1"/>
  <c r="P103" i="21"/>
  <c r="M103" i="21" s="1"/>
  <c r="O103" i="21" s="1"/>
  <c r="K103" i="21"/>
  <c r="H103" i="21"/>
  <c r="J103" i="21" s="1"/>
  <c r="F103" i="21"/>
  <c r="C103" i="21" s="1"/>
  <c r="E103" i="21" s="1"/>
  <c r="P102" i="21"/>
  <c r="M102" i="21"/>
  <c r="O102" i="21" s="1"/>
  <c r="K102" i="21"/>
  <c r="H102" i="21" s="1"/>
  <c r="J102" i="21" s="1"/>
  <c r="F102" i="21"/>
  <c r="C102" i="21"/>
  <c r="E102" i="21" s="1"/>
  <c r="P101" i="21"/>
  <c r="M101" i="21" s="1"/>
  <c r="O101" i="21" s="1"/>
  <c r="K101" i="21"/>
  <c r="H101" i="21"/>
  <c r="J101" i="21" s="1"/>
  <c r="F101" i="21"/>
  <c r="C101" i="21" s="1"/>
  <c r="E101" i="21" s="1"/>
  <c r="P100" i="21"/>
  <c r="M100" i="21"/>
  <c r="O100" i="21" s="1"/>
  <c r="K100" i="21"/>
  <c r="H100" i="21" s="1"/>
  <c r="J100" i="21" s="1"/>
  <c r="F100" i="21"/>
  <c r="C100" i="21"/>
  <c r="E100" i="21" s="1"/>
  <c r="P99" i="21"/>
  <c r="M99" i="21" s="1"/>
  <c r="O99" i="21" s="1"/>
  <c r="K99" i="21"/>
  <c r="H99" i="21"/>
  <c r="J99" i="21" s="1"/>
  <c r="F99" i="21"/>
  <c r="C99" i="21" s="1"/>
  <c r="E99" i="21" s="1"/>
  <c r="P98" i="21"/>
  <c r="M98" i="21"/>
  <c r="O98" i="21" s="1"/>
  <c r="K98" i="21"/>
  <c r="H98" i="21" s="1"/>
  <c r="J98" i="21" s="1"/>
  <c r="F98" i="21"/>
  <c r="C98" i="21"/>
  <c r="E98" i="21" s="1"/>
  <c r="P97" i="21"/>
  <c r="M97" i="21" s="1"/>
  <c r="O97" i="21" s="1"/>
  <c r="K97" i="21"/>
  <c r="H97" i="21"/>
  <c r="J97" i="21" s="1"/>
  <c r="F97" i="21"/>
  <c r="C97" i="21" s="1"/>
  <c r="E97" i="21" s="1"/>
  <c r="P96" i="21"/>
  <c r="M96" i="21"/>
  <c r="O96" i="21" s="1"/>
  <c r="K96" i="21"/>
  <c r="H96" i="21" s="1"/>
  <c r="J96" i="21" s="1"/>
  <c r="F96" i="21"/>
  <c r="C96" i="21"/>
  <c r="E96" i="21" s="1"/>
  <c r="P95" i="21"/>
  <c r="M95" i="21" s="1"/>
  <c r="O95" i="21" s="1"/>
  <c r="K95" i="21"/>
  <c r="H95" i="21"/>
  <c r="J95" i="21" s="1"/>
  <c r="F95" i="21"/>
  <c r="C95" i="21" s="1"/>
  <c r="E95" i="21" s="1"/>
  <c r="P94" i="21"/>
  <c r="M94" i="21" s="1"/>
  <c r="O94" i="21" s="1"/>
  <c r="K94" i="21"/>
  <c r="H94" i="21" s="1"/>
  <c r="J94" i="21" s="1"/>
  <c r="F94" i="21"/>
  <c r="C94" i="21"/>
  <c r="E94" i="21" s="1"/>
  <c r="P93" i="21"/>
  <c r="M93" i="21" s="1"/>
  <c r="O93" i="21" s="1"/>
  <c r="K93" i="21"/>
  <c r="H93" i="21" s="1"/>
  <c r="J93" i="21" s="1"/>
  <c r="F93" i="21"/>
  <c r="C93" i="21" s="1"/>
  <c r="E93" i="21" s="1"/>
  <c r="P92" i="21"/>
  <c r="M92" i="21"/>
  <c r="O92" i="21" s="1"/>
  <c r="K92" i="21"/>
  <c r="H92" i="21" s="1"/>
  <c r="J92" i="21" s="1"/>
  <c r="F92" i="21"/>
  <c r="C92" i="21" s="1"/>
  <c r="E92" i="21" s="1"/>
  <c r="P91" i="21"/>
  <c r="M91" i="21" s="1"/>
  <c r="O91" i="21" s="1"/>
  <c r="K91" i="21"/>
  <c r="H91" i="21"/>
  <c r="J91" i="21" s="1"/>
  <c r="F91" i="21"/>
  <c r="C91" i="21" s="1"/>
  <c r="E91" i="21" s="1"/>
  <c r="P90" i="21"/>
  <c r="M90" i="21"/>
  <c r="O90" i="21" s="1"/>
  <c r="K90" i="21"/>
  <c r="H90" i="21" s="1"/>
  <c r="J90" i="21" s="1"/>
  <c r="F90" i="21"/>
  <c r="C90" i="21" s="1"/>
  <c r="E90" i="21" s="1"/>
  <c r="P89" i="21"/>
  <c r="M89" i="21" s="1"/>
  <c r="O89" i="21" s="1"/>
  <c r="K89" i="21"/>
  <c r="H89" i="21" s="1"/>
  <c r="J89" i="21" s="1"/>
  <c r="F89" i="21"/>
  <c r="C89" i="21" s="1"/>
  <c r="E89" i="21" s="1"/>
  <c r="P88" i="21"/>
  <c r="M88" i="21" s="1"/>
  <c r="O88" i="21" s="1"/>
  <c r="K88" i="21"/>
  <c r="H88" i="21" s="1"/>
  <c r="J88" i="21" s="1"/>
  <c r="F88" i="21"/>
  <c r="C88" i="21"/>
  <c r="E88" i="21" s="1"/>
  <c r="P87" i="21"/>
  <c r="M87" i="21" s="1"/>
  <c r="O87" i="21" s="1"/>
  <c r="K87" i="21"/>
  <c r="H87" i="21" s="1"/>
  <c r="J87" i="21" s="1"/>
  <c r="F87" i="21"/>
  <c r="C87" i="21" s="1"/>
  <c r="E87" i="21" s="1"/>
  <c r="P86" i="21"/>
  <c r="M86" i="21"/>
  <c r="O86" i="21" s="1"/>
  <c r="K86" i="21"/>
  <c r="H86" i="21" s="1"/>
  <c r="J86" i="21" s="1"/>
  <c r="F86" i="21"/>
  <c r="C86" i="21"/>
  <c r="E86" i="21" s="1"/>
  <c r="P85" i="21"/>
  <c r="M85" i="21" s="1"/>
  <c r="O85" i="21" s="1"/>
  <c r="K85" i="21"/>
  <c r="H85" i="21" s="1"/>
  <c r="J85" i="21" s="1"/>
  <c r="F85" i="21"/>
  <c r="C85" i="21" s="1"/>
  <c r="E85" i="21" s="1"/>
  <c r="P84" i="21"/>
  <c r="M84" i="21" s="1"/>
  <c r="O84" i="21" s="1"/>
  <c r="K84" i="21"/>
  <c r="H84" i="21" s="1"/>
  <c r="J84" i="21" s="1"/>
  <c r="F84" i="21"/>
  <c r="C84" i="21" s="1"/>
  <c r="E84" i="21" s="1"/>
  <c r="P83" i="21"/>
  <c r="M83" i="21" s="1"/>
  <c r="O83" i="21" s="1"/>
  <c r="K83" i="21"/>
  <c r="H83" i="21"/>
  <c r="J83" i="21" s="1"/>
  <c r="F83" i="21"/>
  <c r="C83" i="21" s="1"/>
  <c r="E83" i="21" s="1"/>
  <c r="P82" i="21"/>
  <c r="M82" i="21"/>
  <c r="O82" i="21" s="1"/>
  <c r="K82" i="21"/>
  <c r="H82" i="21" s="1"/>
  <c r="J82" i="21" s="1"/>
  <c r="F82" i="21"/>
  <c r="C82" i="21" s="1"/>
  <c r="E82" i="21" s="1"/>
  <c r="P81" i="21"/>
  <c r="M81" i="21" s="1"/>
  <c r="O81" i="21" s="1"/>
  <c r="K81" i="21"/>
  <c r="H81" i="21" s="1"/>
  <c r="J81" i="21" s="1"/>
  <c r="F81" i="21"/>
  <c r="C81" i="21" s="1"/>
  <c r="E81" i="21" s="1"/>
  <c r="P80" i="21"/>
  <c r="M80" i="21" s="1"/>
  <c r="O80" i="21" s="1"/>
  <c r="K80" i="21"/>
  <c r="H80" i="21" s="1"/>
  <c r="J80" i="21" s="1"/>
  <c r="F80" i="21"/>
  <c r="C80" i="21"/>
  <c r="E80" i="21" s="1"/>
  <c r="P79" i="21"/>
  <c r="M79" i="21" s="1"/>
  <c r="O79" i="21" s="1"/>
  <c r="K79" i="21"/>
  <c r="H79" i="21"/>
  <c r="J79" i="21" s="1"/>
  <c r="F79" i="21"/>
  <c r="C79" i="21" s="1"/>
  <c r="E79" i="21" s="1"/>
  <c r="P78" i="21"/>
  <c r="M78" i="21" s="1"/>
  <c r="O78" i="21" s="1"/>
  <c r="K78" i="21"/>
  <c r="H78" i="21" s="1"/>
  <c r="J78" i="21" s="1"/>
  <c r="F78" i="21"/>
  <c r="C78" i="21" s="1"/>
  <c r="E78" i="21" s="1"/>
  <c r="P77" i="21"/>
  <c r="M77" i="21" s="1"/>
  <c r="O77" i="21" s="1"/>
  <c r="K77" i="21"/>
  <c r="H77" i="21" s="1"/>
  <c r="J77" i="21" s="1"/>
  <c r="F77" i="21"/>
  <c r="C77" i="21" s="1"/>
  <c r="E77" i="21" s="1"/>
  <c r="P76" i="21"/>
  <c r="M76" i="21"/>
  <c r="O76" i="21" s="1"/>
  <c r="K76" i="21"/>
  <c r="H76" i="21" s="1"/>
  <c r="J76" i="21" s="1"/>
  <c r="F76" i="21"/>
  <c r="C76" i="21"/>
  <c r="E76" i="21" s="1"/>
  <c r="P75" i="21"/>
  <c r="M75" i="21" s="1"/>
  <c r="O75" i="21" s="1"/>
  <c r="K75" i="21"/>
  <c r="H75" i="21" s="1"/>
  <c r="J75" i="21" s="1"/>
  <c r="F75" i="21"/>
  <c r="C75" i="21" s="1"/>
  <c r="E75" i="21"/>
  <c r="P74" i="21"/>
  <c r="M74" i="21"/>
  <c r="O74" i="21" s="1"/>
  <c r="K74" i="21"/>
  <c r="H74" i="21" s="1"/>
  <c r="J74" i="21" s="1"/>
  <c r="F74" i="21"/>
  <c r="C74" i="21"/>
  <c r="E74" i="21" s="1"/>
  <c r="P73" i="21"/>
  <c r="M73" i="21" s="1"/>
  <c r="O73" i="21" s="1"/>
  <c r="K73" i="21"/>
  <c r="H73" i="21"/>
  <c r="J73" i="21" s="1"/>
  <c r="F73" i="21"/>
  <c r="C73" i="21" s="1"/>
  <c r="E73" i="21" s="1"/>
  <c r="P72" i="21"/>
  <c r="M72" i="21"/>
  <c r="O72" i="21" s="1"/>
  <c r="K72" i="21"/>
  <c r="H72" i="21" s="1"/>
  <c r="J72" i="21" s="1"/>
  <c r="F72" i="21"/>
  <c r="C72" i="21"/>
  <c r="E72" i="21" s="1"/>
  <c r="P71" i="21"/>
  <c r="M71" i="21" s="1"/>
  <c r="O71" i="21" s="1"/>
  <c r="K71" i="21"/>
  <c r="H71" i="21" s="1"/>
  <c r="J71" i="21" s="1"/>
  <c r="F71" i="21"/>
  <c r="C71" i="21" s="1"/>
  <c r="E71" i="21"/>
  <c r="P70" i="21"/>
  <c r="M70" i="21"/>
  <c r="O70" i="21" s="1"/>
  <c r="K70" i="21"/>
  <c r="H70" i="21" s="1"/>
  <c r="J70" i="21" s="1"/>
  <c r="F70" i="21"/>
  <c r="C70" i="21" s="1"/>
  <c r="E70" i="21" s="1"/>
  <c r="P69" i="21"/>
  <c r="M69" i="21" s="1"/>
  <c r="O69" i="21"/>
  <c r="K69" i="21"/>
  <c r="H69" i="21" s="1"/>
  <c r="J69" i="21" s="1"/>
  <c r="F69" i="21"/>
  <c r="C69" i="21" s="1"/>
  <c r="E69" i="21"/>
  <c r="P68" i="21"/>
  <c r="M68" i="21" s="1"/>
  <c r="O68" i="21" s="1"/>
  <c r="K68" i="21"/>
  <c r="H68" i="21" s="1"/>
  <c r="J68" i="21" s="1"/>
  <c r="F68" i="21"/>
  <c r="C68" i="21" s="1"/>
  <c r="E68" i="21" s="1"/>
  <c r="P67" i="21"/>
  <c r="M67" i="21" s="1"/>
  <c r="O67" i="21"/>
  <c r="K67" i="21"/>
  <c r="H67" i="21" s="1"/>
  <c r="J67" i="21" s="1"/>
  <c r="F67" i="21"/>
  <c r="C67" i="21" s="1"/>
  <c r="E67" i="21" s="1"/>
  <c r="P66" i="21"/>
  <c r="M66" i="21" s="1"/>
  <c r="O66" i="21" s="1"/>
  <c r="K66" i="21"/>
  <c r="H66" i="21" s="1"/>
  <c r="J66" i="21" s="1"/>
  <c r="F66" i="21"/>
  <c r="C66" i="21" s="1"/>
  <c r="E66" i="21" s="1"/>
  <c r="P65" i="21"/>
  <c r="M65" i="21" s="1"/>
  <c r="O65" i="21" s="1"/>
  <c r="K65" i="21"/>
  <c r="H65" i="21" s="1"/>
  <c r="J65" i="21" s="1"/>
  <c r="F65" i="21"/>
  <c r="C65" i="21" s="1"/>
  <c r="E65" i="21" s="1"/>
  <c r="P64" i="21"/>
  <c r="M64" i="21"/>
  <c r="O64" i="21" s="1"/>
  <c r="K64" i="21"/>
  <c r="H64" i="21" s="1"/>
  <c r="J64" i="21" s="1"/>
  <c r="F64" i="21"/>
  <c r="C64" i="21" s="1"/>
  <c r="E64" i="21" s="1"/>
  <c r="P63" i="21"/>
  <c r="M63" i="21" s="1"/>
  <c r="O63" i="21" s="1"/>
  <c r="K63" i="21"/>
  <c r="H63" i="21" s="1"/>
  <c r="J63" i="21" s="1"/>
  <c r="F63" i="21"/>
  <c r="C63" i="21" s="1"/>
  <c r="E63" i="21" s="1"/>
  <c r="P62" i="21"/>
  <c r="M62" i="21" s="1"/>
  <c r="O62" i="21" s="1"/>
  <c r="K62" i="21"/>
  <c r="H62" i="21" s="1"/>
  <c r="J62" i="21"/>
  <c r="F62" i="21"/>
  <c r="C62" i="21" s="1"/>
  <c r="E62" i="21" s="1"/>
  <c r="P61" i="21"/>
  <c r="M61" i="21" s="1"/>
  <c r="O61" i="21" s="1"/>
  <c r="K61" i="21"/>
  <c r="H61" i="21" s="1"/>
  <c r="J61" i="21" s="1"/>
  <c r="F61" i="21"/>
  <c r="C61" i="21" s="1"/>
  <c r="E61" i="21" s="1"/>
  <c r="P60" i="21"/>
  <c r="M60" i="21" s="1"/>
  <c r="O60" i="21" s="1"/>
  <c r="K60" i="21"/>
  <c r="H60" i="21" s="1"/>
  <c r="J60" i="21" s="1"/>
  <c r="F60" i="21"/>
  <c r="C60" i="21" s="1"/>
  <c r="E60" i="21" s="1"/>
  <c r="P59" i="21"/>
  <c r="M59" i="21" s="1"/>
  <c r="O59" i="21" s="1"/>
  <c r="K59" i="21"/>
  <c r="H59" i="21"/>
  <c r="J59" i="21" s="1"/>
  <c r="F59" i="21"/>
  <c r="C59" i="21" s="1"/>
  <c r="E59" i="21" s="1"/>
  <c r="P58" i="21"/>
  <c r="M58" i="21"/>
  <c r="O58" i="21" s="1"/>
  <c r="K58" i="21"/>
  <c r="H58" i="21" s="1"/>
  <c r="J58" i="21" s="1"/>
  <c r="F58" i="21"/>
  <c r="C58" i="21" s="1"/>
  <c r="E58" i="21" s="1"/>
  <c r="P57" i="21"/>
  <c r="M57" i="21" s="1"/>
  <c r="O57" i="21" s="1"/>
  <c r="K57" i="21"/>
  <c r="H57" i="21"/>
  <c r="J57" i="21" s="1"/>
  <c r="F57" i="21"/>
  <c r="C57" i="21" s="1"/>
  <c r="E57" i="21" s="1"/>
  <c r="P56" i="21"/>
  <c r="M56" i="21"/>
  <c r="O56" i="21" s="1"/>
  <c r="K56" i="21"/>
  <c r="H56" i="21" s="1"/>
  <c r="J56" i="21" s="1"/>
  <c r="F56" i="21"/>
  <c r="C56" i="21" s="1"/>
  <c r="E56" i="21" s="1"/>
  <c r="P55" i="21"/>
  <c r="M55" i="21" s="1"/>
  <c r="O55" i="21" s="1"/>
  <c r="K55" i="21"/>
  <c r="H55" i="21" s="1"/>
  <c r="J55" i="21" s="1"/>
  <c r="F55" i="21"/>
  <c r="C55" i="21" s="1"/>
  <c r="E55" i="21" s="1"/>
  <c r="P54" i="21"/>
  <c r="M54" i="21" s="1"/>
  <c r="O54" i="21" s="1"/>
  <c r="K54" i="21"/>
  <c r="H54" i="21" s="1"/>
  <c r="J54" i="21" s="1"/>
  <c r="F54" i="21"/>
  <c r="C54" i="21"/>
  <c r="E54" i="21" s="1"/>
  <c r="P53" i="21"/>
  <c r="M53" i="21" s="1"/>
  <c r="O53" i="21" s="1"/>
  <c r="K53" i="21"/>
  <c r="H53" i="21"/>
  <c r="J53" i="21" s="1"/>
  <c r="F53" i="21"/>
  <c r="C53" i="21" s="1"/>
  <c r="E53" i="21" s="1"/>
  <c r="P52" i="21"/>
  <c r="M52" i="21" s="1"/>
  <c r="O52" i="21" s="1"/>
  <c r="K52" i="21"/>
  <c r="H52" i="21" s="1"/>
  <c r="J52" i="21" s="1"/>
  <c r="F52" i="21"/>
  <c r="C52" i="21"/>
  <c r="E52" i="21" s="1"/>
  <c r="P51" i="21"/>
  <c r="M51" i="21" s="1"/>
  <c r="O51" i="21" s="1"/>
  <c r="K51" i="21"/>
  <c r="H51" i="21"/>
  <c r="J51" i="21" s="1"/>
  <c r="F51" i="21"/>
  <c r="C51" i="21" s="1"/>
  <c r="E51" i="21" s="1"/>
  <c r="P50" i="21"/>
  <c r="M50" i="21" s="1"/>
  <c r="O50" i="21" s="1"/>
  <c r="K50" i="21"/>
  <c r="H50" i="21" s="1"/>
  <c r="J50" i="21" s="1"/>
  <c r="F50" i="21"/>
  <c r="C50" i="21" s="1"/>
  <c r="E50" i="21" s="1"/>
  <c r="P49" i="21"/>
  <c r="M49" i="21" s="1"/>
  <c r="O49" i="21" s="1"/>
  <c r="K49" i="21"/>
  <c r="H49" i="21" s="1"/>
  <c r="J49" i="21" s="1"/>
  <c r="F49" i="21"/>
  <c r="C49" i="21" s="1"/>
  <c r="E49" i="21" s="1"/>
  <c r="P48" i="21"/>
  <c r="M48" i="21"/>
  <c r="O48" i="21" s="1"/>
  <c r="K48" i="21"/>
  <c r="H48" i="21" s="1"/>
  <c r="J48" i="21" s="1"/>
  <c r="F48" i="21"/>
  <c r="C48" i="21"/>
  <c r="E48" i="21" s="1"/>
  <c r="P47" i="21"/>
  <c r="M47" i="21" s="1"/>
  <c r="O47" i="21" s="1"/>
  <c r="K47" i="21"/>
  <c r="H47" i="21" s="1"/>
  <c r="J47" i="21" s="1"/>
  <c r="F47" i="21"/>
  <c r="C47" i="21" s="1"/>
  <c r="E47" i="21" s="1"/>
  <c r="P46" i="21"/>
  <c r="M46" i="21"/>
  <c r="O46" i="21" s="1"/>
  <c r="K46" i="21"/>
  <c r="H46" i="21" s="1"/>
  <c r="J46" i="21" s="1"/>
  <c r="F46" i="21"/>
  <c r="C46" i="21"/>
  <c r="E46" i="21" s="1"/>
  <c r="P45" i="21"/>
  <c r="M45" i="21" s="1"/>
  <c r="O45" i="21" s="1"/>
  <c r="K45" i="21"/>
  <c r="H45" i="21" s="1"/>
  <c r="J45" i="21" s="1"/>
  <c r="F45" i="21"/>
  <c r="C45" i="21" s="1"/>
  <c r="E45" i="21" s="1"/>
  <c r="P44" i="21"/>
  <c r="M44" i="21" s="1"/>
  <c r="O44" i="21" s="1"/>
  <c r="K44" i="21"/>
  <c r="H44" i="21" s="1"/>
  <c r="J44" i="21" s="1"/>
  <c r="F44" i="21"/>
  <c r="C44" i="21" s="1"/>
  <c r="E44" i="21" s="1"/>
  <c r="P43" i="21"/>
  <c r="M43" i="21" s="1"/>
  <c r="O43" i="21" s="1"/>
  <c r="K43" i="21"/>
  <c r="H43" i="21"/>
  <c r="J43" i="21" s="1"/>
  <c r="F43" i="21"/>
  <c r="C43" i="21" s="1"/>
  <c r="E43" i="21" s="1"/>
  <c r="P42" i="21"/>
  <c r="M42" i="21"/>
  <c r="O42" i="21" s="1"/>
  <c r="K42" i="21"/>
  <c r="H42" i="21" s="1"/>
  <c r="J42" i="21" s="1"/>
  <c r="F42" i="21"/>
  <c r="C42" i="21" s="1"/>
  <c r="E42" i="21" s="1"/>
  <c r="P41" i="21"/>
  <c r="M41" i="21" s="1"/>
  <c r="O41" i="21" s="1"/>
  <c r="K41" i="21"/>
  <c r="H41" i="21"/>
  <c r="J41" i="21" s="1"/>
  <c r="F41" i="21"/>
  <c r="C41" i="21" s="1"/>
  <c r="E41" i="21" s="1"/>
  <c r="P40" i="21"/>
  <c r="M40" i="21"/>
  <c r="O40" i="21" s="1"/>
  <c r="K40" i="21"/>
  <c r="H40" i="21" s="1"/>
  <c r="J40" i="21" s="1"/>
  <c r="F40" i="21"/>
  <c r="C40" i="21" s="1"/>
  <c r="E40" i="21" s="1"/>
  <c r="P39" i="21"/>
  <c r="M39" i="21" s="1"/>
  <c r="O39" i="21" s="1"/>
  <c r="K39" i="21"/>
  <c r="H39" i="21" s="1"/>
  <c r="J39" i="21" s="1"/>
  <c r="F39" i="21"/>
  <c r="C39" i="21" s="1"/>
  <c r="E39" i="21" s="1"/>
  <c r="P38" i="21"/>
  <c r="M38" i="21" s="1"/>
  <c r="O38" i="21" s="1"/>
  <c r="K38" i="21"/>
  <c r="H38" i="21" s="1"/>
  <c r="J38" i="21" s="1"/>
  <c r="F38" i="21"/>
  <c r="C38" i="21"/>
  <c r="E38" i="21" s="1"/>
  <c r="P37" i="21"/>
  <c r="M37" i="21" s="1"/>
  <c r="O37" i="21" s="1"/>
  <c r="K37" i="21"/>
  <c r="H37" i="21"/>
  <c r="J37" i="21" s="1"/>
  <c r="F37" i="21"/>
  <c r="C37" i="21" s="1"/>
  <c r="E37" i="21" s="1"/>
  <c r="P36" i="21"/>
  <c r="M36" i="21" s="1"/>
  <c r="O36" i="21" s="1"/>
  <c r="K36" i="21"/>
  <c r="H36" i="21" s="1"/>
  <c r="J36" i="21" s="1"/>
  <c r="F36" i="21"/>
  <c r="C36" i="21"/>
  <c r="E36" i="21" s="1"/>
  <c r="P35" i="21"/>
  <c r="M35" i="21" s="1"/>
  <c r="O35" i="21" s="1"/>
  <c r="K35" i="21"/>
  <c r="H35" i="21"/>
  <c r="J35" i="21" s="1"/>
  <c r="F35" i="21"/>
  <c r="C35" i="21" s="1"/>
  <c r="E35" i="21" s="1"/>
  <c r="P34" i="21"/>
  <c r="M34" i="21" s="1"/>
  <c r="O34" i="21" s="1"/>
  <c r="K34" i="21"/>
  <c r="H34" i="21" s="1"/>
  <c r="J34" i="21" s="1"/>
  <c r="F34" i="21"/>
  <c r="C34" i="21" s="1"/>
  <c r="E34" i="21" s="1"/>
  <c r="P33" i="21"/>
  <c r="M33" i="21" s="1"/>
  <c r="O33" i="21" s="1"/>
  <c r="K33" i="21"/>
  <c r="H33" i="21" s="1"/>
  <c r="J33" i="21" s="1"/>
  <c r="F33" i="21"/>
  <c r="C33" i="21" s="1"/>
  <c r="E33" i="21" s="1"/>
  <c r="P32" i="21"/>
  <c r="M32" i="21"/>
  <c r="O32" i="21" s="1"/>
  <c r="K32" i="21"/>
  <c r="H32" i="21" s="1"/>
  <c r="J32" i="21" s="1"/>
  <c r="F32" i="21"/>
  <c r="C32" i="21"/>
  <c r="E32" i="21" s="1"/>
  <c r="P31" i="21"/>
  <c r="M31" i="21" s="1"/>
  <c r="O31" i="21" s="1"/>
  <c r="K31" i="21"/>
  <c r="H31" i="21" s="1"/>
  <c r="J31" i="21" s="1"/>
  <c r="F31" i="21"/>
  <c r="C31" i="21" s="1"/>
  <c r="E31" i="21" s="1"/>
  <c r="P30" i="21"/>
  <c r="M30" i="21"/>
  <c r="O30" i="21" s="1"/>
  <c r="K30" i="21"/>
  <c r="H30" i="21" s="1"/>
  <c r="J30" i="21" s="1"/>
  <c r="F30" i="21"/>
  <c r="C30" i="21"/>
  <c r="E30" i="21" s="1"/>
  <c r="P29" i="21"/>
  <c r="M29" i="21" s="1"/>
  <c r="O29" i="21" s="1"/>
  <c r="K29" i="21"/>
  <c r="H29" i="21" s="1"/>
  <c r="J29" i="21" s="1"/>
  <c r="F29" i="21"/>
  <c r="C29" i="21" s="1"/>
  <c r="E29" i="21" s="1"/>
  <c r="P28" i="21"/>
  <c r="M28" i="21" s="1"/>
  <c r="O28" i="21" s="1"/>
  <c r="K28" i="21"/>
  <c r="H28" i="21" s="1"/>
  <c r="J28" i="21" s="1"/>
  <c r="F28" i="21"/>
  <c r="C28" i="21" s="1"/>
  <c r="E28" i="21" s="1"/>
  <c r="P27" i="21"/>
  <c r="M27" i="21" s="1"/>
  <c r="O27" i="21" s="1"/>
  <c r="K27" i="21"/>
  <c r="H27" i="21"/>
  <c r="J27" i="21" s="1"/>
  <c r="F27" i="21"/>
  <c r="C27" i="21" s="1"/>
  <c r="E27" i="21" s="1"/>
  <c r="P26" i="21"/>
  <c r="M26" i="21"/>
  <c r="O26" i="21" s="1"/>
  <c r="K26" i="21"/>
  <c r="H26" i="21" s="1"/>
  <c r="J26" i="21" s="1"/>
  <c r="F26" i="21"/>
  <c r="C26" i="21" s="1"/>
  <c r="E26" i="21" s="1"/>
  <c r="P25" i="21"/>
  <c r="M25" i="21" s="1"/>
  <c r="O25" i="21" s="1"/>
  <c r="K25" i="21"/>
  <c r="H25" i="21"/>
  <c r="J25" i="21" s="1"/>
  <c r="F25" i="21"/>
  <c r="C25" i="21" s="1"/>
  <c r="E25" i="21" s="1"/>
  <c r="P24" i="21"/>
  <c r="M24" i="21"/>
  <c r="O24" i="21" s="1"/>
  <c r="K24" i="21"/>
  <c r="H24" i="21" s="1"/>
  <c r="J24" i="21" s="1"/>
  <c r="F24" i="21"/>
  <c r="C24" i="21" s="1"/>
  <c r="E24" i="21" s="1"/>
  <c r="P23" i="21"/>
  <c r="M23" i="21" s="1"/>
  <c r="O23" i="21" s="1"/>
  <c r="K23" i="21"/>
  <c r="H23" i="21" s="1"/>
  <c r="J23" i="21" s="1"/>
  <c r="F23" i="21"/>
  <c r="C23" i="21" s="1"/>
  <c r="E23" i="21" s="1"/>
  <c r="P22" i="21"/>
  <c r="M22" i="21" s="1"/>
  <c r="O22" i="21" s="1"/>
  <c r="K22" i="21"/>
  <c r="H22" i="21" s="1"/>
  <c r="J22" i="21" s="1"/>
  <c r="F22" i="21"/>
  <c r="C22" i="21"/>
  <c r="E22" i="21" s="1"/>
  <c r="P21" i="21"/>
  <c r="M21" i="21" s="1"/>
  <c r="O21" i="21" s="1"/>
  <c r="K21" i="21"/>
  <c r="H21" i="21"/>
  <c r="J21" i="21" s="1"/>
  <c r="F21" i="21"/>
  <c r="C21" i="21" s="1"/>
  <c r="E21" i="21" s="1"/>
  <c r="P20" i="21"/>
  <c r="M20" i="21" s="1"/>
  <c r="O20" i="21" s="1"/>
  <c r="K20" i="21"/>
  <c r="H20" i="21" s="1"/>
  <c r="J20" i="21" s="1"/>
  <c r="F20" i="21"/>
  <c r="C20" i="21" s="1"/>
  <c r="E20" i="21" s="1"/>
  <c r="P19" i="21"/>
  <c r="M19" i="21" s="1"/>
  <c r="O19" i="21" s="1"/>
  <c r="L19" i="21"/>
  <c r="L20" i="21" s="1"/>
  <c r="L21" i="21" s="1"/>
  <c r="L22" i="21" s="1"/>
  <c r="L23" i="21" s="1"/>
  <c r="L24" i="21" s="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75" i="21" s="1"/>
  <c r="L76" i="21" s="1"/>
  <c r="L77" i="21" s="1"/>
  <c r="L78" i="21" s="1"/>
  <c r="L79" i="21" s="1"/>
  <c r="L80" i="21" s="1"/>
  <c r="L81" i="21" s="1"/>
  <c r="L82" i="21" s="1"/>
  <c r="L83" i="21" s="1"/>
  <c r="L84" i="21" s="1"/>
  <c r="L85" i="21" s="1"/>
  <c r="L86" i="21" s="1"/>
  <c r="L87" i="21" s="1"/>
  <c r="L88" i="21" s="1"/>
  <c r="L89" i="21" s="1"/>
  <c r="L90" i="21" s="1"/>
  <c r="L91" i="21" s="1"/>
  <c r="L92" i="21" s="1"/>
  <c r="L93" i="21" s="1"/>
  <c r="L94" i="21" s="1"/>
  <c r="L95" i="21" s="1"/>
  <c r="L96" i="21" s="1"/>
  <c r="L97" i="21" s="1"/>
  <c r="L98" i="21" s="1"/>
  <c r="L99" i="21" s="1"/>
  <c r="L100" i="21" s="1"/>
  <c r="L101" i="21" s="1"/>
  <c r="L102" i="21" s="1"/>
  <c r="L103" i="21" s="1"/>
  <c r="L104" i="21" s="1"/>
  <c r="L105" i="21" s="1"/>
  <c r="L106" i="21" s="1"/>
  <c r="L107" i="21" s="1"/>
  <c r="L108" i="21" s="1"/>
  <c r="L109" i="21" s="1"/>
  <c r="L110" i="21" s="1"/>
  <c r="L111" i="21" s="1"/>
  <c r="L112" i="21" s="1"/>
  <c r="L113" i="21" s="1"/>
  <c r="L114" i="21" s="1"/>
  <c r="L115" i="21" s="1"/>
  <c r="L116" i="21" s="1"/>
  <c r="L117" i="21" s="1"/>
  <c r="L118" i="21" s="1"/>
  <c r="L119" i="21" s="1"/>
  <c r="L120" i="21" s="1"/>
  <c r="L121" i="21" s="1"/>
  <c r="L122" i="21" s="1"/>
  <c r="L123" i="21" s="1"/>
  <c r="L124" i="21" s="1"/>
  <c r="L125" i="21" s="1"/>
  <c r="L126" i="21" s="1"/>
  <c r="L127" i="21" s="1"/>
  <c r="L128" i="21" s="1"/>
  <c r="L129" i="21" s="1"/>
  <c r="L130" i="21" s="1"/>
  <c r="L131" i="21" s="1"/>
  <c r="L132" i="21" s="1"/>
  <c r="L133" i="21" s="1"/>
  <c r="L134" i="21" s="1"/>
  <c r="L135" i="21" s="1"/>
  <c r="L136" i="21" s="1"/>
  <c r="L137" i="21" s="1"/>
  <c r="L138" i="21" s="1"/>
  <c r="L139" i="21" s="1"/>
  <c r="L140" i="21" s="1"/>
  <c r="L141" i="21" s="1"/>
  <c r="L142" i="21" s="1"/>
  <c r="L143" i="21" s="1"/>
  <c r="L144" i="21" s="1"/>
  <c r="L145" i="21" s="1"/>
  <c r="L146" i="21" s="1"/>
  <c r="L147" i="21" s="1"/>
  <c r="L148" i="21" s="1"/>
  <c r="K19" i="21"/>
  <c r="H19" i="21" s="1"/>
  <c r="J19" i="21" s="1"/>
  <c r="F19" i="21"/>
  <c r="C19" i="21" s="1"/>
  <c r="E19" i="21" s="1"/>
  <c r="P18" i="21"/>
  <c r="M18" i="21" s="1"/>
  <c r="O18" i="21" s="1"/>
  <c r="K18" i="21"/>
  <c r="H18" i="21" s="1"/>
  <c r="J18" i="21" s="1"/>
  <c r="G18" i="21"/>
  <c r="G19" i="21" s="1"/>
  <c r="G20" i="21" s="1"/>
  <c r="G21" i="21" s="1"/>
  <c r="G22" i="21" s="1"/>
  <c r="G23" i="21" s="1"/>
  <c r="G24" i="21" s="1"/>
  <c r="G25" i="21" s="1"/>
  <c r="G26" i="21" s="1"/>
  <c r="G27" i="21" s="1"/>
  <c r="G28" i="21" s="1"/>
  <c r="G29" i="21" s="1"/>
  <c r="G30" i="21" s="1"/>
  <c r="G31" i="21" s="1"/>
  <c r="G32" i="21" s="1"/>
  <c r="G33" i="21" s="1"/>
  <c r="G34" i="21" s="1"/>
  <c r="G35" i="21" s="1"/>
  <c r="G36" i="21" s="1"/>
  <c r="G37" i="21" s="1"/>
  <c r="G38" i="21" s="1"/>
  <c r="G39" i="21" s="1"/>
  <c r="G40" i="21" s="1"/>
  <c r="G41" i="21" s="1"/>
  <c r="G42" i="21" s="1"/>
  <c r="G43" i="21" s="1"/>
  <c r="G44" i="21" s="1"/>
  <c r="G45" i="21" s="1"/>
  <c r="G46" i="21" s="1"/>
  <c r="G47" i="21" s="1"/>
  <c r="G48" i="21" s="1"/>
  <c r="G49" i="21" s="1"/>
  <c r="G50" i="21" s="1"/>
  <c r="G51" i="21" s="1"/>
  <c r="G52" i="21" s="1"/>
  <c r="G53" i="21" s="1"/>
  <c r="G54" i="21" s="1"/>
  <c r="G55" i="21" s="1"/>
  <c r="G56" i="21" s="1"/>
  <c r="G57" i="21" s="1"/>
  <c r="G58" i="21" s="1"/>
  <c r="G59" i="21" s="1"/>
  <c r="G60" i="21" s="1"/>
  <c r="G61" i="21" s="1"/>
  <c r="G62" i="21" s="1"/>
  <c r="G63" i="21" s="1"/>
  <c r="G64" i="21" s="1"/>
  <c r="G65" i="21" s="1"/>
  <c r="G66" i="21" s="1"/>
  <c r="G67" i="21" s="1"/>
  <c r="G68" i="21" s="1"/>
  <c r="G69" i="21" s="1"/>
  <c r="G70" i="21" s="1"/>
  <c r="G71" i="21" s="1"/>
  <c r="G72" i="21" s="1"/>
  <c r="G73" i="21" s="1"/>
  <c r="G74" i="21" s="1"/>
  <c r="G75" i="21" s="1"/>
  <c r="G76" i="21" s="1"/>
  <c r="G77" i="21" s="1"/>
  <c r="G78" i="21" s="1"/>
  <c r="G79" i="21" s="1"/>
  <c r="G80" i="21" s="1"/>
  <c r="G81" i="21" s="1"/>
  <c r="G82" i="21" s="1"/>
  <c r="G83" i="21" s="1"/>
  <c r="G84" i="21" s="1"/>
  <c r="G85" i="21" s="1"/>
  <c r="G86" i="21" s="1"/>
  <c r="G87" i="21" s="1"/>
  <c r="G88" i="21" s="1"/>
  <c r="G89" i="21" s="1"/>
  <c r="G90" i="21" s="1"/>
  <c r="G91" i="21" s="1"/>
  <c r="G92" i="21" s="1"/>
  <c r="G93" i="21" s="1"/>
  <c r="G94" i="21" s="1"/>
  <c r="G95" i="21" s="1"/>
  <c r="G96" i="21" s="1"/>
  <c r="G97" i="21" s="1"/>
  <c r="G98" i="21" s="1"/>
  <c r="G99" i="21" s="1"/>
  <c r="G100" i="21" s="1"/>
  <c r="G101" i="21" s="1"/>
  <c r="G102" i="21" s="1"/>
  <c r="G103" i="21" s="1"/>
  <c r="G104" i="21" s="1"/>
  <c r="G105" i="21" s="1"/>
  <c r="G106" i="21" s="1"/>
  <c r="G107" i="21" s="1"/>
  <c r="G108" i="21" s="1"/>
  <c r="G109" i="21" s="1"/>
  <c r="G110" i="21" s="1"/>
  <c r="G111" i="21" s="1"/>
  <c r="G112" i="21" s="1"/>
  <c r="G113" i="21" s="1"/>
  <c r="G114" i="21" s="1"/>
  <c r="G115" i="21" s="1"/>
  <c r="G116" i="21" s="1"/>
  <c r="G117" i="21" s="1"/>
  <c r="G118" i="21" s="1"/>
  <c r="G119" i="21" s="1"/>
  <c r="G120" i="21" s="1"/>
  <c r="G121" i="21" s="1"/>
  <c r="G122" i="21" s="1"/>
  <c r="G123" i="21" s="1"/>
  <c r="G124" i="21" s="1"/>
  <c r="G125" i="21" s="1"/>
  <c r="G126" i="21" s="1"/>
  <c r="G127" i="21" s="1"/>
  <c r="G128" i="21" s="1"/>
  <c r="G129" i="21" s="1"/>
  <c r="G130" i="21" s="1"/>
  <c r="G131" i="21" s="1"/>
  <c r="G132" i="21" s="1"/>
  <c r="G133" i="21" s="1"/>
  <c r="G134" i="21" s="1"/>
  <c r="G135" i="21" s="1"/>
  <c r="G136" i="21" s="1"/>
  <c r="G137" i="21" s="1"/>
  <c r="G138" i="21" s="1"/>
  <c r="G139" i="21" s="1"/>
  <c r="G140" i="21" s="1"/>
  <c r="G141" i="21" s="1"/>
  <c r="G142" i="21" s="1"/>
  <c r="G143" i="21" s="1"/>
  <c r="G144" i="21" s="1"/>
  <c r="G145" i="21" s="1"/>
  <c r="G146" i="21" s="1"/>
  <c r="G147" i="21" s="1"/>
  <c r="G148" i="21" s="1"/>
  <c r="F18" i="21"/>
  <c r="C18" i="21" s="1"/>
  <c r="E18" i="21" s="1"/>
  <c r="P17" i="21"/>
  <c r="M17" i="21" s="1"/>
  <c r="O17" i="21" s="1"/>
  <c r="L17" i="21"/>
  <c r="L18" i="21" s="1"/>
  <c r="K17" i="21"/>
  <c r="H17" i="21" s="1"/>
  <c r="J17" i="21" s="1"/>
  <c r="G17" i="21"/>
  <c r="F17" i="21"/>
  <c r="C17" i="21" s="1"/>
  <c r="E17" i="21" s="1"/>
  <c r="B17" i="2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O16" i="21"/>
  <c r="J16" i="21"/>
  <c r="E16" i="21"/>
  <c r="C15" i="21"/>
  <c r="D15" i="21" s="1"/>
  <c r="E15" i="21" s="1"/>
  <c r="F15" i="21" s="1"/>
  <c r="G15" i="21" s="1"/>
  <c r="H15" i="21" s="1"/>
  <c r="I15" i="21" s="1"/>
  <c r="J15" i="21" s="1"/>
  <c r="K15" i="21" s="1"/>
  <c r="L15" i="21" s="1"/>
  <c r="M15" i="21" s="1"/>
  <c r="N15" i="21" s="1"/>
  <c r="O15" i="21" s="1"/>
  <c r="P15" i="21" s="1"/>
  <c r="Q15" i="21" s="1"/>
  <c r="R15" i="21" s="1"/>
  <c r="B15" i="21"/>
  <c r="F4" i="21"/>
  <c r="P153" i="20"/>
  <c r="O153" i="20"/>
  <c r="K153" i="20"/>
  <c r="J153" i="20"/>
  <c r="F153" i="20"/>
  <c r="P152" i="20"/>
  <c r="M152" i="20"/>
  <c r="O152" i="20" s="1"/>
  <c r="K152" i="20"/>
  <c r="H152" i="20" s="1"/>
  <c r="J152" i="20" s="1"/>
  <c r="F152" i="20"/>
  <c r="C152" i="20" s="1"/>
  <c r="P151" i="20"/>
  <c r="M151" i="20"/>
  <c r="O151" i="20" s="1"/>
  <c r="K151" i="20"/>
  <c r="H151" i="20" s="1"/>
  <c r="J151" i="20" s="1"/>
  <c r="F151" i="20"/>
  <c r="C151" i="20"/>
  <c r="P150" i="20"/>
  <c r="M150" i="20"/>
  <c r="O150" i="20" s="1"/>
  <c r="K150" i="20"/>
  <c r="H150" i="20" s="1"/>
  <c r="J150" i="20" s="1"/>
  <c r="F150" i="20"/>
  <c r="C150" i="20" s="1"/>
  <c r="P149" i="20"/>
  <c r="M149" i="20"/>
  <c r="O149" i="20" s="1"/>
  <c r="K149" i="20"/>
  <c r="H149" i="20" s="1"/>
  <c r="J149" i="20" s="1"/>
  <c r="F149" i="20"/>
  <c r="C149" i="20" s="1"/>
  <c r="P148" i="20"/>
  <c r="M148" i="20" s="1"/>
  <c r="O148" i="20" s="1"/>
  <c r="K148" i="20"/>
  <c r="H148" i="20" s="1"/>
  <c r="J148" i="20" s="1"/>
  <c r="F148" i="20"/>
  <c r="C148" i="20"/>
  <c r="P147" i="20"/>
  <c r="M147" i="20" s="1"/>
  <c r="O147" i="20" s="1"/>
  <c r="K147" i="20"/>
  <c r="H147" i="20" s="1"/>
  <c r="J147" i="20" s="1"/>
  <c r="F147" i="20"/>
  <c r="C147" i="20" s="1"/>
  <c r="P146" i="20"/>
  <c r="M146" i="20" s="1"/>
  <c r="O146" i="20" s="1"/>
  <c r="K146" i="20"/>
  <c r="H146" i="20"/>
  <c r="J146" i="20" s="1"/>
  <c r="F146" i="20"/>
  <c r="C146" i="20" s="1"/>
  <c r="P145" i="20"/>
  <c r="M145" i="20" s="1"/>
  <c r="O145" i="20" s="1"/>
  <c r="K145" i="20"/>
  <c r="H145" i="20"/>
  <c r="J145" i="20" s="1"/>
  <c r="F145" i="20"/>
  <c r="C145" i="20" s="1"/>
  <c r="P144" i="20"/>
  <c r="M144" i="20"/>
  <c r="O144" i="20" s="1"/>
  <c r="K144" i="20"/>
  <c r="H144" i="20" s="1"/>
  <c r="J144" i="20" s="1"/>
  <c r="F144" i="20"/>
  <c r="C144" i="20" s="1"/>
  <c r="P143" i="20"/>
  <c r="M143" i="20"/>
  <c r="O143" i="20" s="1"/>
  <c r="K143" i="20"/>
  <c r="H143" i="20" s="1"/>
  <c r="J143" i="20" s="1"/>
  <c r="F143" i="20"/>
  <c r="C143" i="20" s="1"/>
  <c r="P142" i="20"/>
  <c r="M142" i="20"/>
  <c r="O142" i="20" s="1"/>
  <c r="K142" i="20"/>
  <c r="H142" i="20" s="1"/>
  <c r="J142" i="20" s="1"/>
  <c r="F142" i="20"/>
  <c r="C142" i="20"/>
  <c r="P141" i="20"/>
  <c r="M141" i="20"/>
  <c r="O141" i="20" s="1"/>
  <c r="K141" i="20"/>
  <c r="H141" i="20" s="1"/>
  <c r="J141" i="20" s="1"/>
  <c r="F141" i="20"/>
  <c r="C141" i="20" s="1"/>
  <c r="P140" i="20"/>
  <c r="M140" i="20" s="1"/>
  <c r="O140" i="20" s="1"/>
  <c r="K140" i="20"/>
  <c r="H140" i="20" s="1"/>
  <c r="J140" i="20" s="1"/>
  <c r="F140" i="20"/>
  <c r="C140" i="20"/>
  <c r="P139" i="20"/>
  <c r="M139" i="20" s="1"/>
  <c r="O139" i="20" s="1"/>
  <c r="K139" i="20"/>
  <c r="H139" i="20" s="1"/>
  <c r="J139" i="20" s="1"/>
  <c r="F139" i="20"/>
  <c r="C139" i="20" s="1"/>
  <c r="P138" i="20"/>
  <c r="M138" i="20" s="1"/>
  <c r="O138" i="20" s="1"/>
  <c r="K138" i="20"/>
  <c r="H138" i="20"/>
  <c r="J138" i="20" s="1"/>
  <c r="F138" i="20"/>
  <c r="C138" i="20" s="1"/>
  <c r="P137" i="20"/>
  <c r="M137" i="20" s="1"/>
  <c r="O137" i="20" s="1"/>
  <c r="K137" i="20"/>
  <c r="H137" i="20"/>
  <c r="J137" i="20" s="1"/>
  <c r="F137" i="20"/>
  <c r="C137" i="20" s="1"/>
  <c r="P136" i="20"/>
  <c r="M136" i="20"/>
  <c r="O136" i="20" s="1"/>
  <c r="K136" i="20"/>
  <c r="H136" i="20" s="1"/>
  <c r="J136" i="20" s="1"/>
  <c r="F136" i="20"/>
  <c r="C136" i="20" s="1"/>
  <c r="P135" i="20"/>
  <c r="M135" i="20"/>
  <c r="O135" i="20" s="1"/>
  <c r="K135" i="20"/>
  <c r="H135" i="20" s="1"/>
  <c r="J135" i="20" s="1"/>
  <c r="F135" i="20"/>
  <c r="C135" i="20" s="1"/>
  <c r="P134" i="20"/>
  <c r="M134" i="20"/>
  <c r="O134" i="20" s="1"/>
  <c r="K134" i="20"/>
  <c r="H134" i="20" s="1"/>
  <c r="J134" i="20" s="1"/>
  <c r="F134" i="20"/>
  <c r="C134" i="20"/>
  <c r="P133" i="20"/>
  <c r="M133" i="20"/>
  <c r="O133" i="20" s="1"/>
  <c r="K133" i="20"/>
  <c r="H133" i="20" s="1"/>
  <c r="J133" i="20" s="1"/>
  <c r="F133" i="20"/>
  <c r="C133" i="20" s="1"/>
  <c r="P132" i="20"/>
  <c r="M132" i="20" s="1"/>
  <c r="O132" i="20" s="1"/>
  <c r="K132" i="20"/>
  <c r="H132" i="20" s="1"/>
  <c r="J132" i="20" s="1"/>
  <c r="F132" i="20"/>
  <c r="C132" i="20"/>
  <c r="P131" i="20"/>
  <c r="M131" i="20" s="1"/>
  <c r="O131" i="20" s="1"/>
  <c r="K131" i="20"/>
  <c r="H131" i="20" s="1"/>
  <c r="J131" i="20" s="1"/>
  <c r="F131" i="20"/>
  <c r="C131" i="20" s="1"/>
  <c r="P130" i="20"/>
  <c r="M130" i="20" s="1"/>
  <c r="O130" i="20" s="1"/>
  <c r="K130" i="20"/>
  <c r="H130" i="20"/>
  <c r="J130" i="20" s="1"/>
  <c r="F130" i="20"/>
  <c r="C130" i="20" s="1"/>
  <c r="P129" i="20"/>
  <c r="M129" i="20" s="1"/>
  <c r="O129" i="20" s="1"/>
  <c r="K129" i="20"/>
  <c r="H129" i="20"/>
  <c r="J129" i="20" s="1"/>
  <c r="F129" i="20"/>
  <c r="C129" i="20" s="1"/>
  <c r="P128" i="20"/>
  <c r="M128" i="20"/>
  <c r="O128" i="20" s="1"/>
  <c r="K128" i="20"/>
  <c r="H128" i="20" s="1"/>
  <c r="J128" i="20" s="1"/>
  <c r="F128" i="20"/>
  <c r="C128" i="20" s="1"/>
  <c r="P127" i="20"/>
  <c r="M127" i="20"/>
  <c r="O127" i="20" s="1"/>
  <c r="K127" i="20"/>
  <c r="H127" i="20" s="1"/>
  <c r="J127" i="20" s="1"/>
  <c r="F127" i="20"/>
  <c r="C127" i="20" s="1"/>
  <c r="P126" i="20"/>
  <c r="M126" i="20"/>
  <c r="O126" i="20" s="1"/>
  <c r="K126" i="20"/>
  <c r="H126" i="20" s="1"/>
  <c r="J126" i="20" s="1"/>
  <c r="F126" i="20"/>
  <c r="C126" i="20"/>
  <c r="P125" i="20"/>
  <c r="M125" i="20"/>
  <c r="O125" i="20" s="1"/>
  <c r="K125" i="20"/>
  <c r="H125" i="20" s="1"/>
  <c r="J125" i="20" s="1"/>
  <c r="F125" i="20"/>
  <c r="C125" i="20" s="1"/>
  <c r="P124" i="20"/>
  <c r="M124" i="20" s="1"/>
  <c r="O124" i="20" s="1"/>
  <c r="K124" i="20"/>
  <c r="H124" i="20" s="1"/>
  <c r="J124" i="20" s="1"/>
  <c r="F124" i="20"/>
  <c r="C124" i="20"/>
  <c r="P123" i="20"/>
  <c r="M123" i="20" s="1"/>
  <c r="O123" i="20" s="1"/>
  <c r="K123" i="20"/>
  <c r="H123" i="20" s="1"/>
  <c r="J123" i="20" s="1"/>
  <c r="F123" i="20"/>
  <c r="C123" i="20" s="1"/>
  <c r="P122" i="20"/>
  <c r="M122" i="20" s="1"/>
  <c r="O122" i="20" s="1"/>
  <c r="K122" i="20"/>
  <c r="H122" i="20"/>
  <c r="J122" i="20" s="1"/>
  <c r="F122" i="20"/>
  <c r="C122" i="20" s="1"/>
  <c r="P121" i="20"/>
  <c r="M121" i="20" s="1"/>
  <c r="O121" i="20" s="1"/>
  <c r="K121" i="20"/>
  <c r="H121" i="20"/>
  <c r="J121" i="20" s="1"/>
  <c r="F121" i="20"/>
  <c r="C121" i="20" s="1"/>
  <c r="P120" i="20"/>
  <c r="M120" i="20"/>
  <c r="O120" i="20" s="1"/>
  <c r="K120" i="20"/>
  <c r="H120" i="20" s="1"/>
  <c r="J120" i="20" s="1"/>
  <c r="F120" i="20"/>
  <c r="C120" i="20" s="1"/>
  <c r="P119" i="20"/>
  <c r="M119" i="20"/>
  <c r="O119" i="20" s="1"/>
  <c r="K119" i="20"/>
  <c r="H119" i="20" s="1"/>
  <c r="J119" i="20" s="1"/>
  <c r="F119" i="20"/>
  <c r="C119" i="20" s="1"/>
  <c r="P118" i="20"/>
  <c r="M118" i="20"/>
  <c r="O118" i="20" s="1"/>
  <c r="K118" i="20"/>
  <c r="H118" i="20" s="1"/>
  <c r="J118" i="20" s="1"/>
  <c r="F118" i="20"/>
  <c r="C118" i="20"/>
  <c r="P117" i="20"/>
  <c r="M117" i="20"/>
  <c r="O117" i="20" s="1"/>
  <c r="K117" i="20"/>
  <c r="H117" i="20" s="1"/>
  <c r="J117" i="20" s="1"/>
  <c r="F117" i="20"/>
  <c r="C117" i="20" s="1"/>
  <c r="P116" i="20"/>
  <c r="M116" i="20" s="1"/>
  <c r="O116" i="20" s="1"/>
  <c r="K116" i="20"/>
  <c r="H116" i="20" s="1"/>
  <c r="J116" i="20" s="1"/>
  <c r="F116" i="20"/>
  <c r="C116" i="20"/>
  <c r="P115" i="20"/>
  <c r="M115" i="20" s="1"/>
  <c r="O115" i="20" s="1"/>
  <c r="K115" i="20"/>
  <c r="H115" i="20" s="1"/>
  <c r="J115" i="20" s="1"/>
  <c r="F115" i="20"/>
  <c r="C115" i="20" s="1"/>
  <c r="P114" i="20"/>
  <c r="M114" i="20" s="1"/>
  <c r="O114" i="20" s="1"/>
  <c r="K114" i="20"/>
  <c r="H114" i="20"/>
  <c r="J114" i="20" s="1"/>
  <c r="F114" i="20"/>
  <c r="C114" i="20" s="1"/>
  <c r="P113" i="20"/>
  <c r="M113" i="20" s="1"/>
  <c r="O113" i="20" s="1"/>
  <c r="K113" i="20"/>
  <c r="H113" i="20"/>
  <c r="J113" i="20" s="1"/>
  <c r="F113" i="20"/>
  <c r="C113" i="20" s="1"/>
  <c r="P112" i="20"/>
  <c r="M112" i="20"/>
  <c r="O112" i="20" s="1"/>
  <c r="K112" i="20"/>
  <c r="H112" i="20" s="1"/>
  <c r="J112" i="20" s="1"/>
  <c r="F112" i="20"/>
  <c r="C112" i="20" s="1"/>
  <c r="P111" i="20"/>
  <c r="M111" i="20"/>
  <c r="O111" i="20" s="1"/>
  <c r="K111" i="20"/>
  <c r="H111" i="20" s="1"/>
  <c r="J111" i="20" s="1"/>
  <c r="F111" i="20"/>
  <c r="C111" i="20" s="1"/>
  <c r="P110" i="20"/>
  <c r="M110" i="20"/>
  <c r="O110" i="20" s="1"/>
  <c r="K110" i="20"/>
  <c r="H110" i="20" s="1"/>
  <c r="J110" i="20" s="1"/>
  <c r="F110" i="20"/>
  <c r="C110" i="20"/>
  <c r="P109" i="20"/>
  <c r="M109" i="20"/>
  <c r="O109" i="20" s="1"/>
  <c r="K109" i="20"/>
  <c r="H109" i="20" s="1"/>
  <c r="J109" i="20" s="1"/>
  <c r="F109" i="20"/>
  <c r="C109" i="20" s="1"/>
  <c r="P108" i="20"/>
  <c r="M108" i="20" s="1"/>
  <c r="O108" i="20" s="1"/>
  <c r="K108" i="20"/>
  <c r="H108" i="20" s="1"/>
  <c r="J108" i="20" s="1"/>
  <c r="F108" i="20"/>
  <c r="C108" i="20"/>
  <c r="P107" i="20"/>
  <c r="M107" i="20" s="1"/>
  <c r="O107" i="20" s="1"/>
  <c r="K107" i="20"/>
  <c r="H107" i="20" s="1"/>
  <c r="J107" i="20" s="1"/>
  <c r="F107" i="20"/>
  <c r="C107" i="20" s="1"/>
  <c r="P106" i="20"/>
  <c r="M106" i="20" s="1"/>
  <c r="O106" i="20" s="1"/>
  <c r="K106" i="20"/>
  <c r="H106" i="20"/>
  <c r="J106" i="20" s="1"/>
  <c r="F106" i="20"/>
  <c r="C106" i="20" s="1"/>
  <c r="P105" i="20"/>
  <c r="M105" i="20" s="1"/>
  <c r="O105" i="20" s="1"/>
  <c r="K105" i="20"/>
  <c r="H105" i="20"/>
  <c r="J105" i="20" s="1"/>
  <c r="F105" i="20"/>
  <c r="C105" i="20" s="1"/>
  <c r="P104" i="20"/>
  <c r="M104" i="20"/>
  <c r="O104" i="20" s="1"/>
  <c r="K104" i="20"/>
  <c r="H104" i="20" s="1"/>
  <c r="J104" i="20" s="1"/>
  <c r="F104" i="20"/>
  <c r="C104" i="20" s="1"/>
  <c r="P103" i="20"/>
  <c r="M103" i="20"/>
  <c r="O103" i="20" s="1"/>
  <c r="K103" i="20"/>
  <c r="H103" i="20" s="1"/>
  <c r="J103" i="20" s="1"/>
  <c r="F103" i="20"/>
  <c r="C103" i="20" s="1"/>
  <c r="P102" i="20"/>
  <c r="M102" i="20"/>
  <c r="O102" i="20" s="1"/>
  <c r="K102" i="20"/>
  <c r="H102" i="20" s="1"/>
  <c r="J102" i="20" s="1"/>
  <c r="F102" i="20"/>
  <c r="C102" i="20"/>
  <c r="P101" i="20"/>
  <c r="M101" i="20"/>
  <c r="O101" i="20" s="1"/>
  <c r="K101" i="20"/>
  <c r="H101" i="20" s="1"/>
  <c r="J101" i="20" s="1"/>
  <c r="F101" i="20"/>
  <c r="C101" i="20" s="1"/>
  <c r="P100" i="20"/>
  <c r="M100" i="20" s="1"/>
  <c r="O100" i="20" s="1"/>
  <c r="K100" i="20"/>
  <c r="H100" i="20" s="1"/>
  <c r="J100" i="20" s="1"/>
  <c r="F100" i="20"/>
  <c r="C100" i="20"/>
  <c r="P99" i="20"/>
  <c r="M99" i="20" s="1"/>
  <c r="O99" i="20" s="1"/>
  <c r="K99" i="20"/>
  <c r="H99" i="20" s="1"/>
  <c r="J99" i="20" s="1"/>
  <c r="F99" i="20"/>
  <c r="C99" i="20" s="1"/>
  <c r="P98" i="20"/>
  <c r="M98" i="20" s="1"/>
  <c r="O98" i="20" s="1"/>
  <c r="K98" i="20"/>
  <c r="H98" i="20"/>
  <c r="J98" i="20" s="1"/>
  <c r="F98" i="20"/>
  <c r="C98" i="20" s="1"/>
  <c r="P97" i="20"/>
  <c r="M97" i="20" s="1"/>
  <c r="O97" i="20" s="1"/>
  <c r="K97" i="20"/>
  <c r="H97" i="20"/>
  <c r="J97" i="20" s="1"/>
  <c r="F97" i="20"/>
  <c r="C97" i="20" s="1"/>
  <c r="P96" i="20"/>
  <c r="M96" i="20"/>
  <c r="O96" i="20" s="1"/>
  <c r="K96" i="20"/>
  <c r="H96" i="20" s="1"/>
  <c r="J96" i="20" s="1"/>
  <c r="F96" i="20"/>
  <c r="C96" i="20" s="1"/>
  <c r="P95" i="20"/>
  <c r="M95" i="20"/>
  <c r="O95" i="20" s="1"/>
  <c r="K95" i="20"/>
  <c r="H95" i="20" s="1"/>
  <c r="J95" i="20" s="1"/>
  <c r="F95" i="20"/>
  <c r="C95" i="20" s="1"/>
  <c r="P94" i="20"/>
  <c r="M94" i="20"/>
  <c r="O94" i="20" s="1"/>
  <c r="K94" i="20"/>
  <c r="H94" i="20" s="1"/>
  <c r="J94" i="20" s="1"/>
  <c r="F94" i="20"/>
  <c r="C94" i="20"/>
  <c r="P93" i="20"/>
  <c r="M93" i="20"/>
  <c r="O93" i="20" s="1"/>
  <c r="K93" i="20"/>
  <c r="H93" i="20" s="1"/>
  <c r="J93" i="20" s="1"/>
  <c r="F93" i="20"/>
  <c r="C93" i="20" s="1"/>
  <c r="P92" i="20"/>
  <c r="M92" i="20" s="1"/>
  <c r="O92" i="20" s="1"/>
  <c r="K92" i="20"/>
  <c r="H92" i="20" s="1"/>
  <c r="J92" i="20" s="1"/>
  <c r="F92" i="20"/>
  <c r="C92" i="20"/>
  <c r="P91" i="20"/>
  <c r="M91" i="20" s="1"/>
  <c r="O91" i="20" s="1"/>
  <c r="K91" i="20"/>
  <c r="H91" i="20" s="1"/>
  <c r="J91" i="20" s="1"/>
  <c r="F91" i="20"/>
  <c r="C91" i="20" s="1"/>
  <c r="P90" i="20"/>
  <c r="M90" i="20" s="1"/>
  <c r="O90" i="20" s="1"/>
  <c r="K90" i="20"/>
  <c r="H90" i="20"/>
  <c r="J90" i="20" s="1"/>
  <c r="F90" i="20"/>
  <c r="C90" i="20" s="1"/>
  <c r="P89" i="20"/>
  <c r="M89" i="20" s="1"/>
  <c r="O89" i="20" s="1"/>
  <c r="K89" i="20"/>
  <c r="H89" i="20"/>
  <c r="J89" i="20" s="1"/>
  <c r="F89" i="20"/>
  <c r="C89" i="20" s="1"/>
  <c r="P88" i="20"/>
  <c r="M88" i="20"/>
  <c r="O88" i="20" s="1"/>
  <c r="K88" i="20"/>
  <c r="H88" i="20" s="1"/>
  <c r="J88" i="20" s="1"/>
  <c r="F88" i="20"/>
  <c r="C88" i="20" s="1"/>
  <c r="P87" i="20"/>
  <c r="M87" i="20"/>
  <c r="O87" i="20" s="1"/>
  <c r="K87" i="20"/>
  <c r="H87" i="20" s="1"/>
  <c r="J87" i="20" s="1"/>
  <c r="F87" i="20"/>
  <c r="C87" i="20" s="1"/>
  <c r="P86" i="20"/>
  <c r="M86" i="20"/>
  <c r="O86" i="20" s="1"/>
  <c r="K86" i="20"/>
  <c r="H86" i="20" s="1"/>
  <c r="J86" i="20" s="1"/>
  <c r="F86" i="20"/>
  <c r="C86" i="20"/>
  <c r="P85" i="20"/>
  <c r="M85" i="20"/>
  <c r="O85" i="20" s="1"/>
  <c r="K85" i="20"/>
  <c r="H85" i="20" s="1"/>
  <c r="J85" i="20" s="1"/>
  <c r="F85" i="20"/>
  <c r="C85" i="20" s="1"/>
  <c r="P84" i="20"/>
  <c r="M84" i="20" s="1"/>
  <c r="O84" i="20" s="1"/>
  <c r="K84" i="20"/>
  <c r="H84" i="20" s="1"/>
  <c r="J84" i="20" s="1"/>
  <c r="F84" i="20"/>
  <c r="C84" i="20"/>
  <c r="P83" i="20"/>
  <c r="M83" i="20" s="1"/>
  <c r="O83" i="20" s="1"/>
  <c r="K83" i="20"/>
  <c r="H83" i="20" s="1"/>
  <c r="J83" i="20" s="1"/>
  <c r="F83" i="20"/>
  <c r="C83" i="20" s="1"/>
  <c r="P82" i="20"/>
  <c r="M82" i="20" s="1"/>
  <c r="O82" i="20" s="1"/>
  <c r="K82" i="20"/>
  <c r="H82" i="20"/>
  <c r="J82" i="20" s="1"/>
  <c r="F82" i="20"/>
  <c r="C82" i="20" s="1"/>
  <c r="P81" i="20"/>
  <c r="M81" i="20" s="1"/>
  <c r="O81" i="20" s="1"/>
  <c r="K81" i="20"/>
  <c r="H81" i="20"/>
  <c r="J81" i="20" s="1"/>
  <c r="F81" i="20"/>
  <c r="C81" i="20" s="1"/>
  <c r="P80" i="20"/>
  <c r="M80" i="20"/>
  <c r="O80" i="20" s="1"/>
  <c r="K80" i="20"/>
  <c r="H80" i="20" s="1"/>
  <c r="J80" i="20" s="1"/>
  <c r="F80" i="20"/>
  <c r="C80" i="20" s="1"/>
  <c r="P79" i="20"/>
  <c r="M79" i="20"/>
  <c r="O79" i="20" s="1"/>
  <c r="K79" i="20"/>
  <c r="H79" i="20" s="1"/>
  <c r="J79" i="20" s="1"/>
  <c r="F79" i="20"/>
  <c r="C79" i="20" s="1"/>
  <c r="P78" i="20"/>
  <c r="M78" i="20"/>
  <c r="O78" i="20" s="1"/>
  <c r="K78" i="20"/>
  <c r="H78" i="20" s="1"/>
  <c r="J78" i="20" s="1"/>
  <c r="F78" i="20"/>
  <c r="C78" i="20"/>
  <c r="P77" i="20"/>
  <c r="M77" i="20"/>
  <c r="O77" i="20" s="1"/>
  <c r="K77" i="20"/>
  <c r="H77" i="20" s="1"/>
  <c r="J77" i="20" s="1"/>
  <c r="F77" i="20"/>
  <c r="C77" i="20" s="1"/>
  <c r="P76" i="20"/>
  <c r="M76" i="20" s="1"/>
  <c r="O76" i="20" s="1"/>
  <c r="K76" i="20"/>
  <c r="H76" i="20" s="1"/>
  <c r="J76" i="20" s="1"/>
  <c r="F76" i="20"/>
  <c r="C76" i="20"/>
  <c r="P75" i="20"/>
  <c r="M75" i="20" s="1"/>
  <c r="O75" i="20" s="1"/>
  <c r="K75" i="20"/>
  <c r="H75" i="20" s="1"/>
  <c r="J75" i="20" s="1"/>
  <c r="F75" i="20"/>
  <c r="C75" i="20" s="1"/>
  <c r="P74" i="20"/>
  <c r="M74" i="20" s="1"/>
  <c r="O74" i="20" s="1"/>
  <c r="K74" i="20"/>
  <c r="H74" i="20"/>
  <c r="J74" i="20" s="1"/>
  <c r="F74" i="20"/>
  <c r="C74" i="20" s="1"/>
  <c r="P73" i="20"/>
  <c r="M73" i="20" s="1"/>
  <c r="O73" i="20" s="1"/>
  <c r="K73" i="20"/>
  <c r="H73" i="20"/>
  <c r="J73" i="20" s="1"/>
  <c r="F73" i="20"/>
  <c r="C73" i="20" s="1"/>
  <c r="P72" i="20"/>
  <c r="M72" i="20"/>
  <c r="O72" i="20" s="1"/>
  <c r="K72" i="20"/>
  <c r="H72" i="20" s="1"/>
  <c r="J72" i="20" s="1"/>
  <c r="F72" i="20"/>
  <c r="C72" i="20" s="1"/>
  <c r="P71" i="20"/>
  <c r="M71" i="20"/>
  <c r="O71" i="20" s="1"/>
  <c r="K71" i="20"/>
  <c r="H71" i="20" s="1"/>
  <c r="J71" i="20" s="1"/>
  <c r="F71" i="20"/>
  <c r="C71" i="20" s="1"/>
  <c r="P70" i="20"/>
  <c r="M70" i="20"/>
  <c r="O70" i="20" s="1"/>
  <c r="K70" i="20"/>
  <c r="H70" i="20" s="1"/>
  <c r="J70" i="20" s="1"/>
  <c r="F70" i="20"/>
  <c r="C70" i="20"/>
  <c r="P69" i="20"/>
  <c r="M69" i="20"/>
  <c r="O69" i="20" s="1"/>
  <c r="K69" i="20"/>
  <c r="H69" i="20" s="1"/>
  <c r="J69" i="20" s="1"/>
  <c r="F69" i="20"/>
  <c r="C69" i="20" s="1"/>
  <c r="P68" i="20"/>
  <c r="M68" i="20" s="1"/>
  <c r="O68" i="20" s="1"/>
  <c r="K68" i="20"/>
  <c r="H68" i="20" s="1"/>
  <c r="J68" i="20" s="1"/>
  <c r="F68" i="20"/>
  <c r="C68" i="20"/>
  <c r="P67" i="20"/>
  <c r="M67" i="20" s="1"/>
  <c r="O67" i="20" s="1"/>
  <c r="K67" i="20"/>
  <c r="H67" i="20" s="1"/>
  <c r="J67" i="20" s="1"/>
  <c r="F67" i="20"/>
  <c r="C67" i="20" s="1"/>
  <c r="P66" i="20"/>
  <c r="M66" i="20" s="1"/>
  <c r="O66" i="20" s="1"/>
  <c r="K66" i="20"/>
  <c r="H66" i="20"/>
  <c r="J66" i="20" s="1"/>
  <c r="F66" i="20"/>
  <c r="C66" i="20" s="1"/>
  <c r="P65" i="20"/>
  <c r="M65" i="20" s="1"/>
  <c r="O65" i="20" s="1"/>
  <c r="K65" i="20"/>
  <c r="H65" i="20"/>
  <c r="J65" i="20" s="1"/>
  <c r="F65" i="20"/>
  <c r="C65" i="20" s="1"/>
  <c r="P64" i="20"/>
  <c r="M64" i="20"/>
  <c r="O64" i="20" s="1"/>
  <c r="K64" i="20"/>
  <c r="H64" i="20" s="1"/>
  <c r="J64" i="20"/>
  <c r="F64" i="20"/>
  <c r="C64" i="20" s="1"/>
  <c r="P63" i="20"/>
  <c r="M63" i="20"/>
  <c r="O63" i="20" s="1"/>
  <c r="K63" i="20"/>
  <c r="H63" i="20" s="1"/>
  <c r="J63" i="20" s="1"/>
  <c r="F63" i="20"/>
  <c r="C63" i="20"/>
  <c r="P62" i="20"/>
  <c r="M62" i="20" s="1"/>
  <c r="O62" i="20" s="1"/>
  <c r="K62" i="20"/>
  <c r="H62" i="20" s="1"/>
  <c r="J62" i="20" s="1"/>
  <c r="F62" i="20"/>
  <c r="C62" i="20" s="1"/>
  <c r="P61" i="20"/>
  <c r="M61" i="20"/>
  <c r="O61" i="20" s="1"/>
  <c r="K61" i="20"/>
  <c r="H61" i="20" s="1"/>
  <c r="J61" i="20" s="1"/>
  <c r="F61" i="20"/>
  <c r="C61" i="20"/>
  <c r="P60" i="20"/>
  <c r="M60" i="20" s="1"/>
  <c r="O60" i="20" s="1"/>
  <c r="K60" i="20"/>
  <c r="H60" i="20" s="1"/>
  <c r="J60" i="20" s="1"/>
  <c r="F60" i="20"/>
  <c r="C60" i="20"/>
  <c r="P59" i="20"/>
  <c r="M59" i="20" s="1"/>
  <c r="O59" i="20" s="1"/>
  <c r="K59" i="20"/>
  <c r="H59" i="20"/>
  <c r="J59" i="20" s="1"/>
  <c r="F59" i="20"/>
  <c r="C59" i="20" s="1"/>
  <c r="P58" i="20"/>
  <c r="M58" i="20" s="1"/>
  <c r="O58" i="20" s="1"/>
  <c r="K58" i="20"/>
  <c r="H58" i="20"/>
  <c r="J58" i="20" s="1"/>
  <c r="F58" i="20"/>
  <c r="C58" i="20" s="1"/>
  <c r="P57" i="20"/>
  <c r="M57" i="20" s="1"/>
  <c r="O57" i="20" s="1"/>
  <c r="K57" i="20"/>
  <c r="H57" i="20" s="1"/>
  <c r="J57" i="20" s="1"/>
  <c r="F57" i="20"/>
  <c r="C57" i="20" s="1"/>
  <c r="P56" i="20"/>
  <c r="M56" i="20"/>
  <c r="O56" i="20" s="1"/>
  <c r="K56" i="20"/>
  <c r="H56" i="20" s="1"/>
  <c r="J56" i="20" s="1"/>
  <c r="F56" i="20"/>
  <c r="C56" i="20" s="1"/>
  <c r="P55" i="20"/>
  <c r="M55" i="20" s="1"/>
  <c r="O55" i="20" s="1"/>
  <c r="K55" i="20"/>
  <c r="H55" i="20" s="1"/>
  <c r="J55" i="20" s="1"/>
  <c r="F55" i="20"/>
  <c r="C55" i="20"/>
  <c r="P54" i="20"/>
  <c r="M54" i="20" s="1"/>
  <c r="O54" i="20" s="1"/>
  <c r="K54" i="20"/>
  <c r="H54" i="20" s="1"/>
  <c r="J54" i="20" s="1"/>
  <c r="F54" i="20"/>
  <c r="C54" i="20"/>
  <c r="P53" i="20"/>
  <c r="M53" i="20"/>
  <c r="O53" i="20" s="1"/>
  <c r="K53" i="20"/>
  <c r="H53" i="20" s="1"/>
  <c r="J53" i="20" s="1"/>
  <c r="F53" i="20"/>
  <c r="C53" i="20"/>
  <c r="P52" i="20"/>
  <c r="M52" i="20" s="1"/>
  <c r="O52" i="20" s="1"/>
  <c r="K52" i="20"/>
  <c r="H52" i="20"/>
  <c r="J52" i="20" s="1"/>
  <c r="F52" i="20"/>
  <c r="C52" i="20" s="1"/>
  <c r="P51" i="20"/>
  <c r="M51" i="20" s="1"/>
  <c r="O51" i="20" s="1"/>
  <c r="K51" i="20"/>
  <c r="H51" i="20" s="1"/>
  <c r="J51" i="20" s="1"/>
  <c r="F51" i="20"/>
  <c r="C51" i="20" s="1"/>
  <c r="P50" i="20"/>
  <c r="M50" i="20" s="1"/>
  <c r="O50" i="20" s="1"/>
  <c r="K50" i="20"/>
  <c r="H50" i="20" s="1"/>
  <c r="J50" i="20" s="1"/>
  <c r="F50" i="20"/>
  <c r="C50" i="20" s="1"/>
  <c r="P49" i="20"/>
  <c r="M49" i="20" s="1"/>
  <c r="O49" i="20" s="1"/>
  <c r="K49" i="20"/>
  <c r="H49" i="20"/>
  <c r="J49" i="20" s="1"/>
  <c r="F49" i="20"/>
  <c r="C49" i="20" s="1"/>
  <c r="P48" i="20"/>
  <c r="M48" i="20" s="1"/>
  <c r="O48" i="20" s="1"/>
  <c r="K48" i="20"/>
  <c r="H48" i="20" s="1"/>
  <c r="J48" i="20"/>
  <c r="F48" i="20"/>
  <c r="C48" i="20" s="1"/>
  <c r="P47" i="20"/>
  <c r="M47" i="20"/>
  <c r="O47" i="20" s="1"/>
  <c r="K47" i="20"/>
  <c r="H47" i="20" s="1"/>
  <c r="J47" i="20" s="1"/>
  <c r="F47" i="20"/>
  <c r="C47" i="20" s="1"/>
  <c r="P46" i="20"/>
  <c r="M46" i="20" s="1"/>
  <c r="O46" i="20" s="1"/>
  <c r="K46" i="20"/>
  <c r="H46" i="20" s="1"/>
  <c r="J46" i="20" s="1"/>
  <c r="F46" i="20"/>
  <c r="C46" i="20"/>
  <c r="P45" i="20"/>
  <c r="M45" i="20" s="1"/>
  <c r="O45" i="20" s="1"/>
  <c r="K45" i="20"/>
  <c r="H45" i="20" s="1"/>
  <c r="J45" i="20" s="1"/>
  <c r="F45" i="20"/>
  <c r="C45" i="20"/>
  <c r="P44" i="20"/>
  <c r="M44" i="20" s="1"/>
  <c r="O44" i="20" s="1"/>
  <c r="K44" i="20"/>
  <c r="H44" i="20"/>
  <c r="J44" i="20" s="1"/>
  <c r="F44" i="20"/>
  <c r="C44" i="20"/>
  <c r="P43" i="20"/>
  <c r="M43" i="20" s="1"/>
  <c r="O43" i="20" s="1"/>
  <c r="K43" i="20"/>
  <c r="H43" i="20"/>
  <c r="J43" i="20" s="1"/>
  <c r="F43" i="20"/>
  <c r="C43" i="20" s="1"/>
  <c r="P42" i="20"/>
  <c r="M42" i="20" s="1"/>
  <c r="O42" i="20" s="1"/>
  <c r="K42" i="20"/>
  <c r="H42" i="20" s="1"/>
  <c r="J42" i="20" s="1"/>
  <c r="F42" i="20"/>
  <c r="C42" i="20" s="1"/>
  <c r="P41" i="20"/>
  <c r="M41" i="20" s="1"/>
  <c r="O41" i="20" s="1"/>
  <c r="K41" i="20"/>
  <c r="H41" i="20"/>
  <c r="J41" i="20" s="1"/>
  <c r="F41" i="20"/>
  <c r="C41" i="20" s="1"/>
  <c r="P40" i="20"/>
  <c r="M40" i="20"/>
  <c r="O40" i="20" s="1"/>
  <c r="K40" i="20"/>
  <c r="H40" i="20" s="1"/>
  <c r="J40" i="20" s="1"/>
  <c r="F40" i="20"/>
  <c r="C40" i="20" s="1"/>
  <c r="P39" i="20"/>
  <c r="M39" i="20"/>
  <c r="O39" i="20" s="1"/>
  <c r="K39" i="20"/>
  <c r="H39" i="20" s="1"/>
  <c r="J39" i="20" s="1"/>
  <c r="F39" i="20"/>
  <c r="C39" i="20" s="1"/>
  <c r="P38" i="20"/>
  <c r="M38" i="20" s="1"/>
  <c r="O38" i="20" s="1"/>
  <c r="K38" i="20"/>
  <c r="H38" i="20" s="1"/>
  <c r="J38" i="20" s="1"/>
  <c r="F38" i="20"/>
  <c r="C38" i="20"/>
  <c r="P37" i="20"/>
  <c r="M37" i="20" s="1"/>
  <c r="O37" i="20" s="1"/>
  <c r="K37" i="20"/>
  <c r="H37" i="20" s="1"/>
  <c r="J37" i="20" s="1"/>
  <c r="F37" i="20"/>
  <c r="C37" i="20"/>
  <c r="P36" i="20"/>
  <c r="M36" i="20" s="1"/>
  <c r="O36" i="20" s="1"/>
  <c r="K36" i="20"/>
  <c r="H36" i="20"/>
  <c r="J36" i="20" s="1"/>
  <c r="F36" i="20"/>
  <c r="C36" i="20"/>
  <c r="P35" i="20"/>
  <c r="M35" i="20" s="1"/>
  <c r="O35" i="20" s="1"/>
  <c r="K35" i="20"/>
  <c r="H35" i="20" s="1"/>
  <c r="J35" i="20" s="1"/>
  <c r="F35" i="20"/>
  <c r="C35" i="20" s="1"/>
  <c r="P34" i="20"/>
  <c r="M34" i="20" s="1"/>
  <c r="O34" i="20" s="1"/>
  <c r="K34" i="20"/>
  <c r="H34" i="20" s="1"/>
  <c r="J34" i="20" s="1"/>
  <c r="F34" i="20"/>
  <c r="C34" i="20" s="1"/>
  <c r="P33" i="20"/>
  <c r="M33" i="20" s="1"/>
  <c r="O33" i="20" s="1"/>
  <c r="K33" i="20"/>
  <c r="H33" i="20"/>
  <c r="J33" i="20" s="1"/>
  <c r="F33" i="20"/>
  <c r="C33" i="20" s="1"/>
  <c r="P32" i="20"/>
  <c r="M32" i="20"/>
  <c r="O32" i="20" s="1"/>
  <c r="K32" i="20"/>
  <c r="H32" i="20" s="1"/>
  <c r="J32" i="20" s="1"/>
  <c r="F32" i="20"/>
  <c r="C32" i="20" s="1"/>
  <c r="P31" i="20"/>
  <c r="M31" i="20"/>
  <c r="O31" i="20" s="1"/>
  <c r="K31" i="20"/>
  <c r="H31" i="20" s="1"/>
  <c r="J31" i="20" s="1"/>
  <c r="F31" i="20"/>
  <c r="C31" i="20" s="1"/>
  <c r="P30" i="20"/>
  <c r="M30" i="20" s="1"/>
  <c r="O30" i="20" s="1"/>
  <c r="K30" i="20"/>
  <c r="H30" i="20" s="1"/>
  <c r="J30" i="20" s="1"/>
  <c r="F30" i="20"/>
  <c r="C30" i="20"/>
  <c r="P29" i="20"/>
  <c r="M29" i="20" s="1"/>
  <c r="O29" i="20" s="1"/>
  <c r="K29" i="20"/>
  <c r="H29" i="20" s="1"/>
  <c r="J29" i="20" s="1"/>
  <c r="F29" i="20"/>
  <c r="C29" i="20"/>
  <c r="P28" i="20"/>
  <c r="M28" i="20" s="1"/>
  <c r="O28" i="20" s="1"/>
  <c r="K28" i="20"/>
  <c r="H28" i="20"/>
  <c r="J28" i="20" s="1"/>
  <c r="F28" i="20"/>
  <c r="C28" i="20"/>
  <c r="P27" i="20"/>
  <c r="M27" i="20" s="1"/>
  <c r="O27" i="20" s="1"/>
  <c r="K27" i="20"/>
  <c r="H27" i="20"/>
  <c r="J27" i="20" s="1"/>
  <c r="F27" i="20"/>
  <c r="C27" i="20" s="1"/>
  <c r="P26" i="20"/>
  <c r="M26" i="20" s="1"/>
  <c r="O26" i="20" s="1"/>
  <c r="L26" i="20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L82" i="20" s="1"/>
  <c r="L83" i="20" s="1"/>
  <c r="L84" i="20" s="1"/>
  <c r="L85" i="20" s="1"/>
  <c r="L86" i="20" s="1"/>
  <c r="L87" i="20" s="1"/>
  <c r="L88" i="20" s="1"/>
  <c r="L89" i="20" s="1"/>
  <c r="L90" i="20" s="1"/>
  <c r="L91" i="20" s="1"/>
  <c r="L92" i="20" s="1"/>
  <c r="L93" i="20" s="1"/>
  <c r="L94" i="20" s="1"/>
  <c r="L95" i="20" s="1"/>
  <c r="L96" i="20" s="1"/>
  <c r="L97" i="20" s="1"/>
  <c r="L98" i="20" s="1"/>
  <c r="L99" i="20" s="1"/>
  <c r="L100" i="20" s="1"/>
  <c r="L101" i="20" s="1"/>
  <c r="L102" i="20" s="1"/>
  <c r="L103" i="20" s="1"/>
  <c r="L104" i="20" s="1"/>
  <c r="L105" i="20" s="1"/>
  <c r="L106" i="20" s="1"/>
  <c r="L107" i="20" s="1"/>
  <c r="L108" i="20" s="1"/>
  <c r="L109" i="20" s="1"/>
  <c r="L110" i="20" s="1"/>
  <c r="L111" i="20" s="1"/>
  <c r="L112" i="20" s="1"/>
  <c r="L113" i="20" s="1"/>
  <c r="L114" i="20" s="1"/>
  <c r="L115" i="20" s="1"/>
  <c r="L116" i="20" s="1"/>
  <c r="L117" i="20" s="1"/>
  <c r="L118" i="20" s="1"/>
  <c r="L119" i="20" s="1"/>
  <c r="L120" i="20" s="1"/>
  <c r="L121" i="20" s="1"/>
  <c r="L122" i="20" s="1"/>
  <c r="L123" i="20" s="1"/>
  <c r="L124" i="20" s="1"/>
  <c r="L125" i="20" s="1"/>
  <c r="L126" i="20" s="1"/>
  <c r="L127" i="20" s="1"/>
  <c r="L128" i="20" s="1"/>
  <c r="L129" i="20" s="1"/>
  <c r="L130" i="20" s="1"/>
  <c r="L131" i="20" s="1"/>
  <c r="L132" i="20" s="1"/>
  <c r="L133" i="20" s="1"/>
  <c r="L134" i="20" s="1"/>
  <c r="L135" i="20" s="1"/>
  <c r="L136" i="20" s="1"/>
  <c r="L137" i="20" s="1"/>
  <c r="L138" i="20" s="1"/>
  <c r="L139" i="20" s="1"/>
  <c r="L140" i="20" s="1"/>
  <c r="L141" i="20" s="1"/>
  <c r="L142" i="20" s="1"/>
  <c r="L143" i="20" s="1"/>
  <c r="L144" i="20" s="1"/>
  <c r="L145" i="20" s="1"/>
  <c r="L146" i="20" s="1"/>
  <c r="L147" i="20" s="1"/>
  <c r="L148" i="20" s="1"/>
  <c r="L149" i="20" s="1"/>
  <c r="L150" i="20" s="1"/>
  <c r="L151" i="20" s="1"/>
  <c r="L152" i="20" s="1"/>
  <c r="L153" i="20" s="1"/>
  <c r="K26" i="20"/>
  <c r="H26" i="20"/>
  <c r="J26" i="20" s="1"/>
  <c r="F26" i="20"/>
  <c r="C26" i="20" s="1"/>
  <c r="P25" i="20"/>
  <c r="M25" i="20" s="1"/>
  <c r="O25" i="20" s="1"/>
  <c r="K25" i="20"/>
  <c r="H25" i="20"/>
  <c r="J25" i="20" s="1"/>
  <c r="F25" i="20"/>
  <c r="C25" i="20" s="1"/>
  <c r="P24" i="20"/>
  <c r="M24" i="20"/>
  <c r="O24" i="20" s="1"/>
  <c r="K24" i="20"/>
  <c r="H24" i="20" s="1"/>
  <c r="J24" i="20" s="1"/>
  <c r="F24" i="20"/>
  <c r="C24" i="20" s="1"/>
  <c r="P23" i="20"/>
  <c r="M23" i="20" s="1"/>
  <c r="O23" i="20" s="1"/>
  <c r="K23" i="20"/>
  <c r="H23" i="20" s="1"/>
  <c r="J23" i="20" s="1"/>
  <c r="F23" i="20"/>
  <c r="C23" i="20" s="1"/>
  <c r="P22" i="20"/>
  <c r="M22" i="20"/>
  <c r="O22" i="20" s="1"/>
  <c r="L22" i="20"/>
  <c r="L23" i="20" s="1"/>
  <c r="L24" i="20" s="1"/>
  <c r="L25" i="20" s="1"/>
  <c r="K22" i="20"/>
  <c r="H22" i="20" s="1"/>
  <c r="J22" i="20" s="1"/>
  <c r="G22" i="20"/>
  <c r="G23" i="20" s="1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74" i="20" s="1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G96" i="20" s="1"/>
  <c r="G97" i="20" s="1"/>
  <c r="G98" i="20" s="1"/>
  <c r="G99" i="20" s="1"/>
  <c r="G100" i="20" s="1"/>
  <c r="G101" i="20" s="1"/>
  <c r="G102" i="20" s="1"/>
  <c r="G103" i="20" s="1"/>
  <c r="G104" i="20" s="1"/>
  <c r="G105" i="20" s="1"/>
  <c r="G106" i="20" s="1"/>
  <c r="G107" i="20" s="1"/>
  <c r="G108" i="20" s="1"/>
  <c r="G109" i="20" s="1"/>
  <c r="G110" i="20" s="1"/>
  <c r="G111" i="20" s="1"/>
  <c r="G112" i="20" s="1"/>
  <c r="G113" i="20" s="1"/>
  <c r="G114" i="20" s="1"/>
  <c r="G115" i="20" s="1"/>
  <c r="G116" i="20" s="1"/>
  <c r="G117" i="20" s="1"/>
  <c r="G118" i="20" s="1"/>
  <c r="G119" i="20" s="1"/>
  <c r="G120" i="20" s="1"/>
  <c r="G121" i="20" s="1"/>
  <c r="G122" i="20" s="1"/>
  <c r="G123" i="20" s="1"/>
  <c r="G124" i="20" s="1"/>
  <c r="G125" i="20" s="1"/>
  <c r="G126" i="20" s="1"/>
  <c r="G127" i="20" s="1"/>
  <c r="G128" i="20" s="1"/>
  <c r="G129" i="20" s="1"/>
  <c r="G130" i="20" s="1"/>
  <c r="G131" i="20" s="1"/>
  <c r="G132" i="20" s="1"/>
  <c r="G133" i="20" s="1"/>
  <c r="G134" i="20" s="1"/>
  <c r="G135" i="20" s="1"/>
  <c r="G136" i="20" s="1"/>
  <c r="G137" i="20" s="1"/>
  <c r="G138" i="20" s="1"/>
  <c r="G139" i="20" s="1"/>
  <c r="G140" i="20" s="1"/>
  <c r="G141" i="20" s="1"/>
  <c r="G142" i="20" s="1"/>
  <c r="G143" i="20" s="1"/>
  <c r="G144" i="20" s="1"/>
  <c r="G145" i="20" s="1"/>
  <c r="G146" i="20" s="1"/>
  <c r="G147" i="20" s="1"/>
  <c r="G148" i="20" s="1"/>
  <c r="G149" i="20" s="1"/>
  <c r="G150" i="20" s="1"/>
  <c r="G151" i="20" s="1"/>
  <c r="G152" i="20" s="1"/>
  <c r="G153" i="20" s="1"/>
  <c r="F22" i="20"/>
  <c r="C22" i="20" s="1"/>
  <c r="B22" i="20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O21" i="20"/>
  <c r="J21" i="20"/>
  <c r="B20" i="20"/>
  <c r="C20" i="20" s="1"/>
  <c r="D20" i="20" s="1"/>
  <c r="E20" i="20" s="1"/>
  <c r="F20" i="20" s="1"/>
  <c r="G20" i="20" s="1"/>
  <c r="H20" i="20" s="1"/>
  <c r="I20" i="20" s="1"/>
  <c r="J20" i="20" s="1"/>
  <c r="K20" i="20" s="1"/>
  <c r="L20" i="20" s="1"/>
  <c r="M20" i="20" s="1"/>
  <c r="N20" i="20" s="1"/>
  <c r="O20" i="20" s="1"/>
  <c r="P20" i="20" s="1"/>
  <c r="Q20" i="20" s="1"/>
  <c r="R20" i="20" s="1"/>
  <c r="F9" i="20"/>
  <c r="A3" i="20"/>
  <c r="L100" i="19"/>
  <c r="G100" i="19"/>
  <c r="L99" i="19"/>
  <c r="G99" i="19"/>
  <c r="L98" i="19"/>
  <c r="G98" i="19"/>
  <c r="P96" i="19"/>
  <c r="O96" i="19"/>
  <c r="K96" i="19"/>
  <c r="J96" i="19"/>
  <c r="F96" i="19"/>
  <c r="P95" i="19"/>
  <c r="M95" i="19" s="1"/>
  <c r="O95" i="19" s="1"/>
  <c r="K95" i="19"/>
  <c r="H95" i="19" s="1"/>
  <c r="J95" i="19" s="1"/>
  <c r="F95" i="19"/>
  <c r="C95" i="19"/>
  <c r="P94" i="19"/>
  <c r="M94" i="19" s="1"/>
  <c r="O94" i="19" s="1"/>
  <c r="K94" i="19"/>
  <c r="J94" i="19"/>
  <c r="H94" i="19"/>
  <c r="F94" i="19"/>
  <c r="C94" i="19" s="1"/>
  <c r="P93" i="19"/>
  <c r="M93" i="19" s="1"/>
  <c r="O93" i="19" s="1"/>
  <c r="K93" i="19"/>
  <c r="H93" i="19"/>
  <c r="J93" i="19" s="1"/>
  <c r="F93" i="19"/>
  <c r="C93" i="19" s="1"/>
  <c r="P92" i="19"/>
  <c r="O92" i="19"/>
  <c r="M92" i="19"/>
  <c r="K92" i="19"/>
  <c r="H92" i="19" s="1"/>
  <c r="J92" i="19" s="1"/>
  <c r="F92" i="19"/>
  <c r="C92" i="19" s="1"/>
  <c r="P91" i="19"/>
  <c r="M91" i="19"/>
  <c r="O91" i="19" s="1"/>
  <c r="K91" i="19"/>
  <c r="H91" i="19" s="1"/>
  <c r="J91" i="19" s="1"/>
  <c r="F91" i="19"/>
  <c r="C91" i="19" s="1"/>
  <c r="P90" i="19"/>
  <c r="M90" i="19" s="1"/>
  <c r="O90" i="19" s="1"/>
  <c r="K90" i="19"/>
  <c r="H90" i="19" s="1"/>
  <c r="J90" i="19" s="1"/>
  <c r="F90" i="19"/>
  <c r="C90" i="19" s="1"/>
  <c r="P89" i="19"/>
  <c r="M89" i="19" s="1"/>
  <c r="O89" i="19" s="1"/>
  <c r="K89" i="19"/>
  <c r="H89" i="19" s="1"/>
  <c r="J89" i="19" s="1"/>
  <c r="F89" i="19"/>
  <c r="C89" i="19" s="1"/>
  <c r="P88" i="19"/>
  <c r="M88" i="19"/>
  <c r="O88" i="19" s="1"/>
  <c r="K88" i="19"/>
  <c r="H88" i="19" s="1"/>
  <c r="J88" i="19" s="1"/>
  <c r="F88" i="19"/>
  <c r="C88" i="19"/>
  <c r="P87" i="19"/>
  <c r="M87" i="19"/>
  <c r="O87" i="19" s="1"/>
  <c r="K87" i="19"/>
  <c r="H87" i="19" s="1"/>
  <c r="J87" i="19" s="1"/>
  <c r="F87" i="19"/>
  <c r="C87" i="19"/>
  <c r="P86" i="19"/>
  <c r="M86" i="19" s="1"/>
  <c r="O86" i="19" s="1"/>
  <c r="K86" i="19"/>
  <c r="H86" i="19" s="1"/>
  <c r="J86" i="19" s="1"/>
  <c r="F86" i="19"/>
  <c r="C86" i="19" s="1"/>
  <c r="P85" i="19"/>
  <c r="M85" i="19" s="1"/>
  <c r="O85" i="19" s="1"/>
  <c r="K85" i="19"/>
  <c r="H85" i="19"/>
  <c r="J85" i="19" s="1"/>
  <c r="F85" i="19"/>
  <c r="C85" i="19" s="1"/>
  <c r="P84" i="19"/>
  <c r="M84" i="19" s="1"/>
  <c r="O84" i="19" s="1"/>
  <c r="K84" i="19"/>
  <c r="H84" i="19" s="1"/>
  <c r="J84" i="19" s="1"/>
  <c r="F84" i="19"/>
  <c r="C84" i="19" s="1"/>
  <c r="P83" i="19"/>
  <c r="M83" i="19"/>
  <c r="O83" i="19" s="1"/>
  <c r="K83" i="19"/>
  <c r="H83" i="19" s="1"/>
  <c r="J83" i="19" s="1"/>
  <c r="F83" i="19"/>
  <c r="C83" i="19" s="1"/>
  <c r="P82" i="19"/>
  <c r="M82" i="19" s="1"/>
  <c r="O82" i="19" s="1"/>
  <c r="K82" i="19"/>
  <c r="H82" i="19" s="1"/>
  <c r="J82" i="19" s="1"/>
  <c r="F82" i="19"/>
  <c r="C82" i="19" s="1"/>
  <c r="P81" i="19"/>
  <c r="M81" i="19" s="1"/>
  <c r="O81" i="19" s="1"/>
  <c r="K81" i="19"/>
  <c r="H81" i="19" s="1"/>
  <c r="J81" i="19" s="1"/>
  <c r="F81" i="19"/>
  <c r="C81" i="19" s="1"/>
  <c r="P80" i="19"/>
  <c r="M80" i="19" s="1"/>
  <c r="O80" i="19" s="1"/>
  <c r="K80" i="19"/>
  <c r="H80" i="19" s="1"/>
  <c r="J80" i="19" s="1"/>
  <c r="F80" i="19"/>
  <c r="C80" i="19"/>
  <c r="P79" i="19"/>
  <c r="M79" i="19"/>
  <c r="O79" i="19" s="1"/>
  <c r="K79" i="19"/>
  <c r="H79" i="19" s="1"/>
  <c r="J79" i="19" s="1"/>
  <c r="F79" i="19"/>
  <c r="C79" i="19"/>
  <c r="P78" i="19"/>
  <c r="M78" i="19" s="1"/>
  <c r="O78" i="19" s="1"/>
  <c r="K78" i="19"/>
  <c r="H78" i="19" s="1"/>
  <c r="J78" i="19" s="1"/>
  <c r="F78" i="19"/>
  <c r="C78" i="19" s="1"/>
  <c r="P77" i="19"/>
  <c r="M77" i="19" s="1"/>
  <c r="O77" i="19" s="1"/>
  <c r="K77" i="19"/>
  <c r="H77" i="19"/>
  <c r="J77" i="19" s="1"/>
  <c r="F77" i="19"/>
  <c r="C77" i="19" s="1"/>
  <c r="P76" i="19"/>
  <c r="M76" i="19" s="1"/>
  <c r="O76" i="19" s="1"/>
  <c r="K76" i="19"/>
  <c r="H76" i="19" s="1"/>
  <c r="J76" i="19" s="1"/>
  <c r="F76" i="19"/>
  <c r="C76" i="19" s="1"/>
  <c r="P75" i="19"/>
  <c r="M75" i="19"/>
  <c r="O75" i="19" s="1"/>
  <c r="K75" i="19"/>
  <c r="H75" i="19" s="1"/>
  <c r="J75" i="19" s="1"/>
  <c r="F75" i="19"/>
  <c r="C75" i="19" s="1"/>
  <c r="P74" i="19"/>
  <c r="M74" i="19" s="1"/>
  <c r="O74" i="19" s="1"/>
  <c r="K74" i="19"/>
  <c r="H74" i="19" s="1"/>
  <c r="J74" i="19" s="1"/>
  <c r="F74" i="19"/>
  <c r="C74" i="19" s="1"/>
  <c r="P73" i="19"/>
  <c r="M73" i="19" s="1"/>
  <c r="O73" i="19" s="1"/>
  <c r="K73" i="19"/>
  <c r="H73" i="19" s="1"/>
  <c r="J73" i="19" s="1"/>
  <c r="F73" i="19"/>
  <c r="C73" i="19" s="1"/>
  <c r="P72" i="19"/>
  <c r="M72" i="19" s="1"/>
  <c r="O72" i="19" s="1"/>
  <c r="K72" i="19"/>
  <c r="H72" i="19" s="1"/>
  <c r="J72" i="19" s="1"/>
  <c r="F72" i="19"/>
  <c r="C72" i="19"/>
  <c r="P71" i="19"/>
  <c r="M71" i="19"/>
  <c r="O71" i="19" s="1"/>
  <c r="K71" i="19"/>
  <c r="H71" i="19" s="1"/>
  <c r="J71" i="19" s="1"/>
  <c r="F71" i="19"/>
  <c r="C71" i="19"/>
  <c r="P70" i="19"/>
  <c r="M70" i="19" s="1"/>
  <c r="O70" i="19" s="1"/>
  <c r="K70" i="19"/>
  <c r="H70" i="19" s="1"/>
  <c r="J70" i="19" s="1"/>
  <c r="F70" i="19"/>
  <c r="C70" i="19" s="1"/>
  <c r="P69" i="19"/>
  <c r="M69" i="19" s="1"/>
  <c r="O69" i="19" s="1"/>
  <c r="K69" i="19"/>
  <c r="H69" i="19"/>
  <c r="J69" i="19" s="1"/>
  <c r="F69" i="19"/>
  <c r="C69" i="19" s="1"/>
  <c r="P68" i="19"/>
  <c r="M68" i="19" s="1"/>
  <c r="O68" i="19" s="1"/>
  <c r="K68" i="19"/>
  <c r="H68" i="19" s="1"/>
  <c r="J68" i="19" s="1"/>
  <c r="F68" i="19"/>
  <c r="C68" i="19" s="1"/>
  <c r="P67" i="19"/>
  <c r="M67" i="19"/>
  <c r="O67" i="19" s="1"/>
  <c r="K67" i="19"/>
  <c r="H67" i="19" s="1"/>
  <c r="J67" i="19" s="1"/>
  <c r="F67" i="19"/>
  <c r="C67" i="19" s="1"/>
  <c r="P66" i="19"/>
  <c r="M66" i="19" s="1"/>
  <c r="O66" i="19" s="1"/>
  <c r="K66" i="19"/>
  <c r="H66" i="19" s="1"/>
  <c r="J66" i="19" s="1"/>
  <c r="F66" i="19"/>
  <c r="C66" i="19" s="1"/>
  <c r="P65" i="19"/>
  <c r="M65" i="19" s="1"/>
  <c r="O65" i="19" s="1"/>
  <c r="K65" i="19"/>
  <c r="H65" i="19" s="1"/>
  <c r="J65" i="19" s="1"/>
  <c r="F65" i="19"/>
  <c r="C65" i="19" s="1"/>
  <c r="P64" i="19"/>
  <c r="M64" i="19" s="1"/>
  <c r="O64" i="19" s="1"/>
  <c r="K64" i="19"/>
  <c r="H64" i="19" s="1"/>
  <c r="J64" i="19" s="1"/>
  <c r="F64" i="19"/>
  <c r="C64" i="19"/>
  <c r="P63" i="19"/>
  <c r="M63" i="19"/>
  <c r="O63" i="19" s="1"/>
  <c r="K63" i="19"/>
  <c r="H63" i="19" s="1"/>
  <c r="J63" i="19" s="1"/>
  <c r="F63" i="19"/>
  <c r="C63" i="19"/>
  <c r="P62" i="19"/>
  <c r="M62" i="19" s="1"/>
  <c r="O62" i="19" s="1"/>
  <c r="K62" i="19"/>
  <c r="H62" i="19" s="1"/>
  <c r="J62" i="19" s="1"/>
  <c r="F62" i="19"/>
  <c r="C62" i="19" s="1"/>
  <c r="P61" i="19"/>
  <c r="M61" i="19" s="1"/>
  <c r="O61" i="19" s="1"/>
  <c r="K61" i="19"/>
  <c r="H61" i="19"/>
  <c r="J61" i="19" s="1"/>
  <c r="F61" i="19"/>
  <c r="C61" i="19" s="1"/>
  <c r="P60" i="19"/>
  <c r="M60" i="19" s="1"/>
  <c r="O60" i="19" s="1"/>
  <c r="K60" i="19"/>
  <c r="H60" i="19" s="1"/>
  <c r="J60" i="19" s="1"/>
  <c r="F60" i="19"/>
  <c r="C60" i="19" s="1"/>
  <c r="P59" i="19"/>
  <c r="M59" i="19"/>
  <c r="O59" i="19" s="1"/>
  <c r="K59" i="19"/>
  <c r="H59" i="19" s="1"/>
  <c r="J59" i="19" s="1"/>
  <c r="F59" i="19"/>
  <c r="C59" i="19" s="1"/>
  <c r="P58" i="19"/>
  <c r="M58" i="19" s="1"/>
  <c r="O58" i="19" s="1"/>
  <c r="K58" i="19"/>
  <c r="H58" i="19" s="1"/>
  <c r="J58" i="19" s="1"/>
  <c r="F58" i="19"/>
  <c r="C58" i="19" s="1"/>
  <c r="P57" i="19"/>
  <c r="M57" i="19" s="1"/>
  <c r="O57" i="19" s="1"/>
  <c r="K57" i="19"/>
  <c r="H57" i="19" s="1"/>
  <c r="J57" i="19" s="1"/>
  <c r="F57" i="19"/>
  <c r="C57" i="19" s="1"/>
  <c r="P56" i="19"/>
  <c r="M56" i="19" s="1"/>
  <c r="O56" i="19" s="1"/>
  <c r="K56" i="19"/>
  <c r="H56" i="19" s="1"/>
  <c r="J56" i="19" s="1"/>
  <c r="F56" i="19"/>
  <c r="C56" i="19"/>
  <c r="P55" i="19"/>
  <c r="M55" i="19"/>
  <c r="O55" i="19" s="1"/>
  <c r="K55" i="19"/>
  <c r="H55" i="19" s="1"/>
  <c r="J55" i="19" s="1"/>
  <c r="F55" i="19"/>
  <c r="C55" i="19"/>
  <c r="P54" i="19"/>
  <c r="M54" i="19" s="1"/>
  <c r="O54" i="19" s="1"/>
  <c r="K54" i="19"/>
  <c r="H54" i="19" s="1"/>
  <c r="J54" i="19" s="1"/>
  <c r="F54" i="19"/>
  <c r="C54" i="19" s="1"/>
  <c r="P53" i="19"/>
  <c r="M53" i="19" s="1"/>
  <c r="O53" i="19" s="1"/>
  <c r="K53" i="19"/>
  <c r="H53" i="19"/>
  <c r="J53" i="19" s="1"/>
  <c r="F53" i="19"/>
  <c r="C53" i="19" s="1"/>
  <c r="P52" i="19"/>
  <c r="M52" i="19" s="1"/>
  <c r="O52" i="19" s="1"/>
  <c r="K52" i="19"/>
  <c r="H52" i="19" s="1"/>
  <c r="J52" i="19" s="1"/>
  <c r="F52" i="19"/>
  <c r="C52" i="19"/>
  <c r="P51" i="19"/>
  <c r="M51" i="19" s="1"/>
  <c r="O51" i="19" s="1"/>
  <c r="K51" i="19"/>
  <c r="H51" i="19"/>
  <c r="J51" i="19" s="1"/>
  <c r="F51" i="19"/>
  <c r="C51" i="19"/>
  <c r="P50" i="19"/>
  <c r="M50" i="19" s="1"/>
  <c r="O50" i="19" s="1"/>
  <c r="K50" i="19"/>
  <c r="H50" i="19" s="1"/>
  <c r="J50" i="19" s="1"/>
  <c r="F50" i="19"/>
  <c r="C50" i="19" s="1"/>
  <c r="P49" i="19"/>
  <c r="M49" i="19"/>
  <c r="O49" i="19" s="1"/>
  <c r="K49" i="19"/>
  <c r="H49" i="19"/>
  <c r="J49" i="19" s="1"/>
  <c r="F49" i="19"/>
  <c r="C49" i="19" s="1"/>
  <c r="P48" i="19"/>
  <c r="M48" i="19" s="1"/>
  <c r="O48" i="19" s="1"/>
  <c r="K48" i="19"/>
  <c r="H48" i="19" s="1"/>
  <c r="J48" i="19" s="1"/>
  <c r="F48" i="19"/>
  <c r="C48" i="19"/>
  <c r="P47" i="19"/>
  <c r="M47" i="19"/>
  <c r="O47" i="19" s="1"/>
  <c r="K47" i="19"/>
  <c r="H47" i="19"/>
  <c r="J47" i="19" s="1"/>
  <c r="F47" i="19"/>
  <c r="C47" i="19" s="1"/>
  <c r="P46" i="19"/>
  <c r="M46" i="19" s="1"/>
  <c r="O46" i="19" s="1"/>
  <c r="K46" i="19"/>
  <c r="H46" i="19" s="1"/>
  <c r="J46" i="19" s="1"/>
  <c r="F46" i="19"/>
  <c r="C46" i="19" s="1"/>
  <c r="P45" i="19"/>
  <c r="M45" i="19"/>
  <c r="O45" i="19" s="1"/>
  <c r="K45" i="19"/>
  <c r="H45" i="19" s="1"/>
  <c r="J45" i="19" s="1"/>
  <c r="F45" i="19"/>
  <c r="C45" i="19" s="1"/>
  <c r="P44" i="19"/>
  <c r="M44" i="19" s="1"/>
  <c r="O44" i="19" s="1"/>
  <c r="K44" i="19"/>
  <c r="H44" i="19" s="1"/>
  <c r="J44" i="19" s="1"/>
  <c r="F44" i="19"/>
  <c r="C44" i="19" s="1"/>
  <c r="P43" i="19"/>
  <c r="M43" i="19" s="1"/>
  <c r="O43" i="19" s="1"/>
  <c r="K43" i="19"/>
  <c r="H43" i="19"/>
  <c r="J43" i="19" s="1"/>
  <c r="F43" i="19"/>
  <c r="C43" i="19" s="1"/>
  <c r="P42" i="19"/>
  <c r="M42" i="19" s="1"/>
  <c r="O42" i="19" s="1"/>
  <c r="K42" i="19"/>
  <c r="H42" i="19" s="1"/>
  <c r="J42" i="19"/>
  <c r="F42" i="19"/>
  <c r="C42" i="19" s="1"/>
  <c r="P41" i="19"/>
  <c r="M41" i="19"/>
  <c r="O41" i="19" s="1"/>
  <c r="K41" i="19"/>
  <c r="H41" i="19" s="1"/>
  <c r="J41" i="19" s="1"/>
  <c r="F41" i="19"/>
  <c r="C41" i="19" s="1"/>
  <c r="P40" i="19"/>
  <c r="M40" i="19" s="1"/>
  <c r="O40" i="19" s="1"/>
  <c r="K40" i="19"/>
  <c r="H40" i="19" s="1"/>
  <c r="J40" i="19" s="1"/>
  <c r="F40" i="19"/>
  <c r="C40" i="19" s="1"/>
  <c r="P39" i="19"/>
  <c r="M39" i="19"/>
  <c r="O39" i="19" s="1"/>
  <c r="K39" i="19"/>
  <c r="H39" i="19"/>
  <c r="J39" i="19" s="1"/>
  <c r="F39" i="19"/>
  <c r="C39" i="19"/>
  <c r="P38" i="19"/>
  <c r="M38" i="19" s="1"/>
  <c r="O38" i="19" s="1"/>
  <c r="K38" i="19"/>
  <c r="H38" i="19" s="1"/>
  <c r="J38" i="19"/>
  <c r="F38" i="19"/>
  <c r="C38" i="19" s="1"/>
  <c r="P37" i="19"/>
  <c r="M37" i="19"/>
  <c r="O37" i="19" s="1"/>
  <c r="K37" i="19"/>
  <c r="H37" i="19"/>
  <c r="J37" i="19" s="1"/>
  <c r="F37" i="19"/>
  <c r="C37" i="19" s="1"/>
  <c r="P36" i="19"/>
  <c r="M36" i="19" s="1"/>
  <c r="O36" i="19" s="1"/>
  <c r="K36" i="19"/>
  <c r="H36" i="19" s="1"/>
  <c r="J36" i="19" s="1"/>
  <c r="F36" i="19"/>
  <c r="C36" i="19" s="1"/>
  <c r="P35" i="19"/>
  <c r="M35" i="19" s="1"/>
  <c r="O35" i="19" s="1"/>
  <c r="K35" i="19"/>
  <c r="H35" i="19" s="1"/>
  <c r="J35" i="19" s="1"/>
  <c r="F35" i="19"/>
  <c r="C35" i="19"/>
  <c r="P34" i="19"/>
  <c r="M34" i="19" s="1"/>
  <c r="O34" i="19" s="1"/>
  <c r="K34" i="19"/>
  <c r="H34" i="19" s="1"/>
  <c r="J34" i="19"/>
  <c r="F34" i="19"/>
  <c r="C34" i="19" s="1"/>
  <c r="P33" i="19"/>
  <c r="M33" i="19" s="1"/>
  <c r="O33" i="19" s="1"/>
  <c r="K33" i="19"/>
  <c r="H33" i="19"/>
  <c r="J33" i="19" s="1"/>
  <c r="F33" i="19"/>
  <c r="C33" i="19" s="1"/>
  <c r="P32" i="19"/>
  <c r="M32" i="19" s="1"/>
  <c r="O32" i="19" s="1"/>
  <c r="K32" i="19"/>
  <c r="H32" i="19" s="1"/>
  <c r="J32" i="19" s="1"/>
  <c r="F32" i="19"/>
  <c r="C32" i="19"/>
  <c r="P31" i="19"/>
  <c r="M31" i="19" s="1"/>
  <c r="O31" i="19" s="1"/>
  <c r="K31" i="19"/>
  <c r="H31" i="19"/>
  <c r="J31" i="19" s="1"/>
  <c r="F31" i="19"/>
  <c r="C31" i="19"/>
  <c r="P30" i="19"/>
  <c r="M30" i="19" s="1"/>
  <c r="O30" i="19" s="1"/>
  <c r="K30" i="19"/>
  <c r="H30" i="19" s="1"/>
  <c r="J30" i="19" s="1"/>
  <c r="F30" i="19"/>
  <c r="C30" i="19" s="1"/>
  <c r="P29" i="19"/>
  <c r="M29" i="19"/>
  <c r="O29" i="19" s="1"/>
  <c r="K29" i="19"/>
  <c r="H29" i="19" s="1"/>
  <c r="J29" i="19" s="1"/>
  <c r="F29" i="19"/>
  <c r="C29" i="19" s="1"/>
  <c r="P28" i="19"/>
  <c r="M28" i="19" s="1"/>
  <c r="O28" i="19" s="1"/>
  <c r="K28" i="19"/>
  <c r="H28" i="19" s="1"/>
  <c r="J28" i="19" s="1"/>
  <c r="F28" i="19"/>
  <c r="C28" i="19"/>
  <c r="P27" i="19"/>
  <c r="M27" i="19"/>
  <c r="O27" i="19" s="1"/>
  <c r="K27" i="19"/>
  <c r="H27" i="19"/>
  <c r="J27" i="19" s="1"/>
  <c r="F27" i="19"/>
  <c r="C27" i="19" s="1"/>
  <c r="P26" i="19"/>
  <c r="M26" i="19" s="1"/>
  <c r="O26" i="19" s="1"/>
  <c r="K26" i="19"/>
  <c r="H26" i="19" s="1"/>
  <c r="J26" i="19" s="1"/>
  <c r="F26" i="19"/>
  <c r="C26" i="19" s="1"/>
  <c r="P25" i="19"/>
  <c r="M25" i="19"/>
  <c r="O25" i="19" s="1"/>
  <c r="L25" i="19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L85" i="19" s="1"/>
  <c r="L86" i="19" s="1"/>
  <c r="L87" i="19" s="1"/>
  <c r="L88" i="19" s="1"/>
  <c r="L89" i="19" s="1"/>
  <c r="L90" i="19" s="1"/>
  <c r="L91" i="19" s="1"/>
  <c r="L92" i="19" s="1"/>
  <c r="L93" i="19" s="1"/>
  <c r="L94" i="19" s="1"/>
  <c r="L95" i="19" s="1"/>
  <c r="L96" i="19" s="1"/>
  <c r="K25" i="19"/>
  <c r="H25" i="19"/>
  <c r="J25" i="19" s="1"/>
  <c r="F25" i="19"/>
  <c r="C25" i="19" s="1"/>
  <c r="P24" i="19"/>
  <c r="M24" i="19" s="1"/>
  <c r="O24" i="19" s="1"/>
  <c r="K24" i="19"/>
  <c r="H24" i="19" s="1"/>
  <c r="J24" i="19" s="1"/>
  <c r="F24" i="19"/>
  <c r="C24" i="19"/>
  <c r="P23" i="19"/>
  <c r="M23" i="19" s="1"/>
  <c r="O23" i="19" s="1"/>
  <c r="K23" i="19"/>
  <c r="H23" i="19"/>
  <c r="J23" i="19" s="1"/>
  <c r="F23" i="19"/>
  <c r="C23" i="19"/>
  <c r="E23" i="19" s="1"/>
  <c r="P22" i="19"/>
  <c r="O22" i="19"/>
  <c r="M22" i="19"/>
  <c r="L22" i="19"/>
  <c r="L23" i="19" s="1"/>
  <c r="L24" i="19" s="1"/>
  <c r="K22" i="19"/>
  <c r="H22" i="19" s="1"/>
  <c r="J22" i="19" s="1"/>
  <c r="G22" i="19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G91" i="19" s="1"/>
  <c r="G92" i="19" s="1"/>
  <c r="G93" i="19" s="1"/>
  <c r="G94" i="19" s="1"/>
  <c r="G95" i="19" s="1"/>
  <c r="G96" i="19" s="1"/>
  <c r="F22" i="19"/>
  <c r="C22" i="19" s="1"/>
  <c r="E22" i="19" s="1"/>
  <c r="O21" i="19"/>
  <c r="J21" i="19"/>
  <c r="B20" i="19"/>
  <c r="C20" i="19" s="1"/>
  <c r="D20" i="19" s="1"/>
  <c r="E20" i="19" s="1"/>
  <c r="F20" i="19" s="1"/>
  <c r="G20" i="19" s="1"/>
  <c r="H20" i="19" s="1"/>
  <c r="I20" i="19" s="1"/>
  <c r="J20" i="19" s="1"/>
  <c r="K20" i="19" s="1"/>
  <c r="L20" i="19" s="1"/>
  <c r="M20" i="19" s="1"/>
  <c r="N20" i="19" s="1"/>
  <c r="O20" i="19" s="1"/>
  <c r="P20" i="19" s="1"/>
  <c r="Q20" i="19" s="1"/>
  <c r="R20" i="19" s="1"/>
  <c r="F9" i="19"/>
  <c r="A3" i="19"/>
  <c r="L100" i="18"/>
  <c r="G100" i="18"/>
  <c r="L99" i="18"/>
  <c r="G99" i="18"/>
  <c r="L98" i="18"/>
  <c r="G98" i="18"/>
  <c r="L97" i="18"/>
  <c r="G97" i="18"/>
  <c r="P96" i="18"/>
  <c r="O96" i="18"/>
  <c r="K96" i="18"/>
  <c r="J96" i="18"/>
  <c r="F96" i="18"/>
  <c r="E96" i="18"/>
  <c r="P95" i="18"/>
  <c r="M95" i="18"/>
  <c r="O95" i="18" s="1"/>
  <c r="K95" i="18"/>
  <c r="H95" i="18" s="1"/>
  <c r="J95" i="18" s="1"/>
  <c r="F95" i="18"/>
  <c r="C95" i="18" s="1"/>
  <c r="E95" i="18" s="1"/>
  <c r="P94" i="18"/>
  <c r="M94" i="18" s="1"/>
  <c r="O94" i="18" s="1"/>
  <c r="K94" i="18"/>
  <c r="H94" i="18" s="1"/>
  <c r="J94" i="18" s="1"/>
  <c r="F94" i="18"/>
  <c r="C94" i="18" s="1"/>
  <c r="E94" i="18" s="1"/>
  <c r="P93" i="18"/>
  <c r="M93" i="18" s="1"/>
  <c r="O93" i="18" s="1"/>
  <c r="K93" i="18"/>
  <c r="H93" i="18" s="1"/>
  <c r="J93" i="18" s="1"/>
  <c r="F93" i="18"/>
  <c r="C93" i="18" s="1"/>
  <c r="E93" i="18" s="1"/>
  <c r="P92" i="18"/>
  <c r="M92" i="18"/>
  <c r="O92" i="18" s="1"/>
  <c r="K92" i="18"/>
  <c r="H92" i="18"/>
  <c r="J92" i="18" s="1"/>
  <c r="F92" i="18"/>
  <c r="C92" i="18" s="1"/>
  <c r="E92" i="18" s="1"/>
  <c r="P91" i="18"/>
  <c r="M91" i="18" s="1"/>
  <c r="O91" i="18" s="1"/>
  <c r="K91" i="18"/>
  <c r="J91" i="18"/>
  <c r="H91" i="18"/>
  <c r="F91" i="18"/>
  <c r="C91" i="18" s="1"/>
  <c r="E91" i="18" s="1"/>
  <c r="P90" i="18"/>
  <c r="M90" i="18" s="1"/>
  <c r="O90" i="18" s="1"/>
  <c r="K90" i="18"/>
  <c r="H90" i="18" s="1"/>
  <c r="J90" i="18" s="1"/>
  <c r="F90" i="18"/>
  <c r="C90" i="18" s="1"/>
  <c r="E90" i="18" s="1"/>
  <c r="P89" i="18"/>
  <c r="M89" i="18"/>
  <c r="O89" i="18" s="1"/>
  <c r="K89" i="18"/>
  <c r="H89" i="18" s="1"/>
  <c r="J89" i="18" s="1"/>
  <c r="F89" i="18"/>
  <c r="C89" i="18" s="1"/>
  <c r="E89" i="18" s="1"/>
  <c r="P88" i="18"/>
  <c r="M88" i="18" s="1"/>
  <c r="O88" i="18" s="1"/>
  <c r="K88" i="18"/>
  <c r="H88" i="18"/>
  <c r="J88" i="18" s="1"/>
  <c r="F88" i="18"/>
  <c r="C88" i="18" s="1"/>
  <c r="E88" i="18" s="1"/>
  <c r="P87" i="18"/>
  <c r="M87" i="18" s="1"/>
  <c r="O87" i="18" s="1"/>
  <c r="K87" i="18"/>
  <c r="H87" i="18" s="1"/>
  <c r="J87" i="18" s="1"/>
  <c r="F87" i="18"/>
  <c r="C87" i="18"/>
  <c r="E87" i="18" s="1"/>
  <c r="P86" i="18"/>
  <c r="M86" i="18" s="1"/>
  <c r="O86" i="18" s="1"/>
  <c r="K86" i="18"/>
  <c r="H86" i="18" s="1"/>
  <c r="J86" i="18" s="1"/>
  <c r="F86" i="18"/>
  <c r="C86" i="18" s="1"/>
  <c r="E86" i="18" s="1"/>
  <c r="P85" i="18"/>
  <c r="M85" i="18" s="1"/>
  <c r="O85" i="18" s="1"/>
  <c r="K85" i="18"/>
  <c r="H85" i="18"/>
  <c r="J85" i="18" s="1"/>
  <c r="F85" i="18"/>
  <c r="C85" i="18" s="1"/>
  <c r="E85" i="18" s="1"/>
  <c r="P84" i="18"/>
  <c r="M84" i="18"/>
  <c r="O84" i="18" s="1"/>
  <c r="K84" i="18"/>
  <c r="H84" i="18"/>
  <c r="J84" i="18" s="1"/>
  <c r="F84" i="18"/>
  <c r="C84" i="18"/>
  <c r="E84" i="18" s="1"/>
  <c r="P83" i="18"/>
  <c r="M83" i="18" s="1"/>
  <c r="O83" i="18" s="1"/>
  <c r="K83" i="18"/>
  <c r="H83" i="18" s="1"/>
  <c r="J83" i="18" s="1"/>
  <c r="F83" i="18"/>
  <c r="C83" i="18" s="1"/>
  <c r="E83" i="18" s="1"/>
  <c r="P82" i="18"/>
  <c r="M82" i="18" s="1"/>
  <c r="O82" i="18" s="1"/>
  <c r="K82" i="18"/>
  <c r="H82" i="18" s="1"/>
  <c r="J82" i="18" s="1"/>
  <c r="F82" i="18"/>
  <c r="C82" i="18" s="1"/>
  <c r="E82" i="18" s="1"/>
  <c r="P81" i="18"/>
  <c r="M81" i="18"/>
  <c r="O81" i="18" s="1"/>
  <c r="K81" i="18"/>
  <c r="H81" i="18" s="1"/>
  <c r="J81" i="18" s="1"/>
  <c r="F81" i="18"/>
  <c r="C81" i="18"/>
  <c r="E81" i="18" s="1"/>
  <c r="P80" i="18"/>
  <c r="O80" i="18"/>
  <c r="M80" i="18"/>
  <c r="K80" i="18"/>
  <c r="H80" i="18"/>
  <c r="J80" i="18" s="1"/>
  <c r="F80" i="18"/>
  <c r="C80" i="18"/>
  <c r="E80" i="18" s="1"/>
  <c r="P79" i="18"/>
  <c r="M79" i="18" s="1"/>
  <c r="O79" i="18" s="1"/>
  <c r="K79" i="18"/>
  <c r="H79" i="18" s="1"/>
  <c r="J79" i="18" s="1"/>
  <c r="F79" i="18"/>
  <c r="C79" i="18" s="1"/>
  <c r="E79" i="18" s="1"/>
  <c r="P78" i="18"/>
  <c r="M78" i="18" s="1"/>
  <c r="O78" i="18" s="1"/>
  <c r="K78" i="18"/>
  <c r="H78" i="18" s="1"/>
  <c r="J78" i="18" s="1"/>
  <c r="F78" i="18"/>
  <c r="C78" i="18" s="1"/>
  <c r="E78" i="18" s="1"/>
  <c r="P77" i="18"/>
  <c r="M77" i="18" s="1"/>
  <c r="O77" i="18" s="1"/>
  <c r="K77" i="18"/>
  <c r="H77" i="18"/>
  <c r="J77" i="18" s="1"/>
  <c r="F77" i="18"/>
  <c r="C77" i="18" s="1"/>
  <c r="E77" i="18" s="1"/>
  <c r="P76" i="18"/>
  <c r="M76" i="18" s="1"/>
  <c r="O76" i="18" s="1"/>
  <c r="K76" i="18"/>
  <c r="H76" i="18" s="1"/>
  <c r="J76" i="18" s="1"/>
  <c r="F76" i="18"/>
  <c r="C76" i="18" s="1"/>
  <c r="E76" i="18" s="1"/>
  <c r="P75" i="18"/>
  <c r="M75" i="18"/>
  <c r="O75" i="18" s="1"/>
  <c r="K75" i="18"/>
  <c r="H75" i="18" s="1"/>
  <c r="J75" i="18" s="1"/>
  <c r="F75" i="18"/>
  <c r="C75" i="18" s="1"/>
  <c r="E75" i="18" s="1"/>
  <c r="P74" i="18"/>
  <c r="M74" i="18" s="1"/>
  <c r="O74" i="18" s="1"/>
  <c r="K74" i="18"/>
  <c r="H74" i="18" s="1"/>
  <c r="J74" i="18"/>
  <c r="F74" i="18"/>
  <c r="C74" i="18" s="1"/>
  <c r="E74" i="18" s="1"/>
  <c r="P73" i="18"/>
  <c r="O73" i="18"/>
  <c r="M73" i="18"/>
  <c r="K73" i="18"/>
  <c r="H73" i="18" s="1"/>
  <c r="J73" i="18" s="1"/>
  <c r="F73" i="18"/>
  <c r="C73" i="18" s="1"/>
  <c r="E73" i="18" s="1"/>
  <c r="P72" i="18"/>
  <c r="M72" i="18" s="1"/>
  <c r="O72" i="18" s="1"/>
  <c r="K72" i="18"/>
  <c r="H72" i="18" s="1"/>
  <c r="J72" i="18" s="1"/>
  <c r="F72" i="18"/>
  <c r="C72" i="18" s="1"/>
  <c r="E72" i="18" s="1"/>
  <c r="P71" i="18"/>
  <c r="M71" i="18" s="1"/>
  <c r="O71" i="18" s="1"/>
  <c r="K71" i="18"/>
  <c r="H71" i="18" s="1"/>
  <c r="J71" i="18" s="1"/>
  <c r="F71" i="18"/>
  <c r="C71" i="18" s="1"/>
  <c r="E71" i="18" s="1"/>
  <c r="P70" i="18"/>
  <c r="M70" i="18" s="1"/>
  <c r="O70" i="18" s="1"/>
  <c r="K70" i="18"/>
  <c r="H70" i="18"/>
  <c r="J70" i="18" s="1"/>
  <c r="F70" i="18"/>
  <c r="E70" i="18"/>
  <c r="C70" i="18"/>
  <c r="P69" i="18"/>
  <c r="M69" i="18"/>
  <c r="O69" i="18" s="1"/>
  <c r="K69" i="18"/>
  <c r="H69" i="18" s="1"/>
  <c r="J69" i="18" s="1"/>
  <c r="F69" i="18"/>
  <c r="C69" i="18" s="1"/>
  <c r="E69" i="18" s="1"/>
  <c r="P68" i="18"/>
  <c r="M68" i="18" s="1"/>
  <c r="O68" i="18" s="1"/>
  <c r="K68" i="18"/>
  <c r="H68" i="18" s="1"/>
  <c r="J68" i="18" s="1"/>
  <c r="F68" i="18"/>
  <c r="C68" i="18" s="1"/>
  <c r="E68" i="18" s="1"/>
  <c r="P67" i="18"/>
  <c r="M67" i="18" s="1"/>
  <c r="O67" i="18" s="1"/>
  <c r="K67" i="18"/>
  <c r="H67" i="18" s="1"/>
  <c r="J67" i="18" s="1"/>
  <c r="F67" i="18"/>
  <c r="C67" i="18" s="1"/>
  <c r="E67" i="18" s="1"/>
  <c r="P66" i="18"/>
  <c r="M66" i="18" s="1"/>
  <c r="O66" i="18" s="1"/>
  <c r="K66" i="18"/>
  <c r="H66" i="18" s="1"/>
  <c r="J66" i="18" s="1"/>
  <c r="F66" i="18"/>
  <c r="C66" i="18" s="1"/>
  <c r="E66" i="18" s="1"/>
  <c r="P65" i="18"/>
  <c r="M65" i="18" s="1"/>
  <c r="O65" i="18" s="1"/>
  <c r="K65" i="18"/>
  <c r="H65" i="18" s="1"/>
  <c r="J65" i="18" s="1"/>
  <c r="F65" i="18"/>
  <c r="C65" i="18" s="1"/>
  <c r="E65" i="18" s="1"/>
  <c r="P64" i="18"/>
  <c r="M64" i="18" s="1"/>
  <c r="O64" i="18" s="1"/>
  <c r="K64" i="18"/>
  <c r="H64" i="18" s="1"/>
  <c r="J64" i="18" s="1"/>
  <c r="F64" i="18"/>
  <c r="C64" i="18"/>
  <c r="E64" i="18" s="1"/>
  <c r="P63" i="18"/>
  <c r="M63" i="18" s="1"/>
  <c r="O63" i="18"/>
  <c r="K63" i="18"/>
  <c r="H63" i="18" s="1"/>
  <c r="J63" i="18" s="1"/>
  <c r="F63" i="18"/>
  <c r="C63" i="18" s="1"/>
  <c r="E63" i="18" s="1"/>
  <c r="P62" i="18"/>
  <c r="M62" i="18" s="1"/>
  <c r="O62" i="18" s="1"/>
  <c r="K62" i="18"/>
  <c r="H62" i="18"/>
  <c r="J62" i="18" s="1"/>
  <c r="F62" i="18"/>
  <c r="C62" i="18" s="1"/>
  <c r="E62" i="18" s="1"/>
  <c r="P61" i="18"/>
  <c r="M61" i="18"/>
  <c r="O61" i="18" s="1"/>
  <c r="K61" i="18"/>
  <c r="H61" i="18" s="1"/>
  <c r="J61" i="18" s="1"/>
  <c r="F61" i="18"/>
  <c r="C61" i="18" s="1"/>
  <c r="E61" i="18" s="1"/>
  <c r="P60" i="18"/>
  <c r="M60" i="18" s="1"/>
  <c r="O60" i="18" s="1"/>
  <c r="K60" i="18"/>
  <c r="H60" i="18" s="1"/>
  <c r="J60" i="18" s="1"/>
  <c r="F60" i="18"/>
  <c r="C60" i="18" s="1"/>
  <c r="E60" i="18" s="1"/>
  <c r="P59" i="18"/>
  <c r="M59" i="18" s="1"/>
  <c r="O59" i="18" s="1"/>
  <c r="K59" i="18"/>
  <c r="H59" i="18" s="1"/>
  <c r="J59" i="18" s="1"/>
  <c r="F59" i="18"/>
  <c r="C59" i="18" s="1"/>
  <c r="E59" i="18" s="1"/>
  <c r="P58" i="18"/>
  <c r="M58" i="18" s="1"/>
  <c r="O58" i="18" s="1"/>
  <c r="K58" i="18"/>
  <c r="H58" i="18" s="1"/>
  <c r="J58" i="18" s="1"/>
  <c r="F58" i="18"/>
  <c r="C58" i="18" s="1"/>
  <c r="E58" i="18" s="1"/>
  <c r="P57" i="18"/>
  <c r="M57" i="18" s="1"/>
  <c r="O57" i="18" s="1"/>
  <c r="K57" i="18"/>
  <c r="H57" i="18" s="1"/>
  <c r="J57" i="18" s="1"/>
  <c r="F57" i="18"/>
  <c r="C57" i="18" s="1"/>
  <c r="E57" i="18" s="1"/>
  <c r="P56" i="18"/>
  <c r="M56" i="18" s="1"/>
  <c r="O56" i="18" s="1"/>
  <c r="K56" i="18"/>
  <c r="H56" i="18" s="1"/>
  <c r="J56" i="18" s="1"/>
  <c r="F56" i="18"/>
  <c r="C56" i="18"/>
  <c r="E56" i="18" s="1"/>
  <c r="P55" i="18"/>
  <c r="M55" i="18" s="1"/>
  <c r="O55" i="18"/>
  <c r="K55" i="18"/>
  <c r="H55" i="18" s="1"/>
  <c r="J55" i="18" s="1"/>
  <c r="F55" i="18"/>
  <c r="C55" i="18" s="1"/>
  <c r="E55" i="18" s="1"/>
  <c r="P54" i="18"/>
  <c r="M54" i="18" s="1"/>
  <c r="O54" i="18" s="1"/>
  <c r="K54" i="18"/>
  <c r="H54" i="18"/>
  <c r="J54" i="18" s="1"/>
  <c r="F54" i="18"/>
  <c r="C54" i="18" s="1"/>
  <c r="E54" i="18" s="1"/>
  <c r="P53" i="18"/>
  <c r="M53" i="18"/>
  <c r="O53" i="18" s="1"/>
  <c r="K53" i="18"/>
  <c r="H53" i="18" s="1"/>
  <c r="J53" i="18" s="1"/>
  <c r="F53" i="18"/>
  <c r="C53" i="18" s="1"/>
  <c r="E53" i="18" s="1"/>
  <c r="P52" i="18"/>
  <c r="M52" i="18" s="1"/>
  <c r="O52" i="18" s="1"/>
  <c r="K52" i="18"/>
  <c r="H52" i="18" s="1"/>
  <c r="J52" i="18" s="1"/>
  <c r="F52" i="18"/>
  <c r="C52" i="18" s="1"/>
  <c r="E52" i="18" s="1"/>
  <c r="P51" i="18"/>
  <c r="M51" i="18" s="1"/>
  <c r="O51" i="18" s="1"/>
  <c r="K51" i="18"/>
  <c r="H51" i="18" s="1"/>
  <c r="J51" i="18" s="1"/>
  <c r="F51" i="18"/>
  <c r="C51" i="18" s="1"/>
  <c r="E51" i="18" s="1"/>
  <c r="P50" i="18"/>
  <c r="M50" i="18" s="1"/>
  <c r="O50" i="18" s="1"/>
  <c r="K50" i="18"/>
  <c r="H50" i="18" s="1"/>
  <c r="J50" i="18" s="1"/>
  <c r="F50" i="18"/>
  <c r="C50" i="18" s="1"/>
  <c r="E50" i="18" s="1"/>
  <c r="P49" i="18"/>
  <c r="M49" i="18" s="1"/>
  <c r="O49" i="18" s="1"/>
  <c r="K49" i="18"/>
  <c r="H49" i="18" s="1"/>
  <c r="J49" i="18" s="1"/>
  <c r="F49" i="18"/>
  <c r="C49" i="18"/>
  <c r="E49" i="18" s="1"/>
  <c r="P48" i="18"/>
  <c r="M48" i="18" s="1"/>
  <c r="O48" i="18" s="1"/>
  <c r="K48" i="18"/>
  <c r="H48" i="18" s="1"/>
  <c r="J48" i="18" s="1"/>
  <c r="F48" i="18"/>
  <c r="C48" i="18"/>
  <c r="E48" i="18" s="1"/>
  <c r="P47" i="18"/>
  <c r="M47" i="18" s="1"/>
  <c r="O47" i="18"/>
  <c r="K47" i="18"/>
  <c r="H47" i="18"/>
  <c r="J47" i="18" s="1"/>
  <c r="F47" i="18"/>
  <c r="C47" i="18" s="1"/>
  <c r="E47" i="18" s="1"/>
  <c r="P46" i="18"/>
  <c r="M46" i="18" s="1"/>
  <c r="O46" i="18" s="1"/>
  <c r="K46" i="18"/>
  <c r="H46" i="18"/>
  <c r="J46" i="18" s="1"/>
  <c r="F46" i="18"/>
  <c r="C46" i="18" s="1"/>
  <c r="E46" i="18" s="1"/>
  <c r="P45" i="18"/>
  <c r="M45" i="18"/>
  <c r="O45" i="18" s="1"/>
  <c r="K45" i="18"/>
  <c r="H45" i="18" s="1"/>
  <c r="J45" i="18" s="1"/>
  <c r="F45" i="18"/>
  <c r="C45" i="18" s="1"/>
  <c r="E45" i="18" s="1"/>
  <c r="P44" i="18"/>
  <c r="M44" i="18" s="1"/>
  <c r="O44" i="18" s="1"/>
  <c r="K44" i="18"/>
  <c r="H44" i="18" s="1"/>
  <c r="J44" i="18" s="1"/>
  <c r="F44" i="18"/>
  <c r="C44" i="18" s="1"/>
  <c r="E44" i="18" s="1"/>
  <c r="P43" i="18"/>
  <c r="M43" i="18" s="1"/>
  <c r="O43" i="18" s="1"/>
  <c r="K43" i="18"/>
  <c r="H43" i="18" s="1"/>
  <c r="J43" i="18" s="1"/>
  <c r="F43" i="18"/>
  <c r="C43" i="18" s="1"/>
  <c r="E43" i="18" s="1"/>
  <c r="P42" i="18"/>
  <c r="M42" i="18" s="1"/>
  <c r="O42" i="18" s="1"/>
  <c r="K42" i="18"/>
  <c r="H42" i="18" s="1"/>
  <c r="J42" i="18" s="1"/>
  <c r="F42" i="18"/>
  <c r="C42" i="18" s="1"/>
  <c r="E42" i="18" s="1"/>
  <c r="P41" i="18"/>
  <c r="M41" i="18" s="1"/>
  <c r="O41" i="18" s="1"/>
  <c r="K41" i="18"/>
  <c r="H41" i="18" s="1"/>
  <c r="J41" i="18" s="1"/>
  <c r="F41" i="18"/>
  <c r="C41" i="18"/>
  <c r="E41" i="18" s="1"/>
  <c r="P40" i="18"/>
  <c r="M40" i="18" s="1"/>
  <c r="O40" i="18" s="1"/>
  <c r="K40" i="18"/>
  <c r="H40" i="18" s="1"/>
  <c r="J40" i="18" s="1"/>
  <c r="F40" i="18"/>
  <c r="C40" i="18"/>
  <c r="E40" i="18" s="1"/>
  <c r="P39" i="18"/>
  <c r="M39" i="18" s="1"/>
  <c r="O39" i="18"/>
  <c r="K39" i="18"/>
  <c r="H39" i="18"/>
  <c r="J39" i="18" s="1"/>
  <c r="F39" i="18"/>
  <c r="C39" i="18" s="1"/>
  <c r="E39" i="18" s="1"/>
  <c r="P38" i="18"/>
  <c r="M38" i="18" s="1"/>
  <c r="O38" i="18" s="1"/>
  <c r="K38" i="18"/>
  <c r="H38" i="18"/>
  <c r="J38" i="18" s="1"/>
  <c r="F38" i="18"/>
  <c r="C38" i="18" s="1"/>
  <c r="E38" i="18" s="1"/>
  <c r="P37" i="18"/>
  <c r="M37" i="18"/>
  <c r="O37" i="18" s="1"/>
  <c r="K37" i="18"/>
  <c r="H37" i="18" s="1"/>
  <c r="J37" i="18" s="1"/>
  <c r="F37" i="18"/>
  <c r="C37" i="18" s="1"/>
  <c r="E37" i="18" s="1"/>
  <c r="P36" i="18"/>
  <c r="M36" i="18" s="1"/>
  <c r="O36" i="18" s="1"/>
  <c r="K36" i="18"/>
  <c r="H36" i="18" s="1"/>
  <c r="J36" i="18" s="1"/>
  <c r="F36" i="18"/>
  <c r="C36" i="18" s="1"/>
  <c r="E36" i="18" s="1"/>
  <c r="P35" i="18"/>
  <c r="M35" i="18" s="1"/>
  <c r="O35" i="18" s="1"/>
  <c r="K35" i="18"/>
  <c r="H35" i="18" s="1"/>
  <c r="J35" i="18" s="1"/>
  <c r="F35" i="18"/>
  <c r="C35" i="18" s="1"/>
  <c r="E35" i="18" s="1"/>
  <c r="P34" i="18"/>
  <c r="M34" i="18" s="1"/>
  <c r="O34" i="18" s="1"/>
  <c r="K34" i="18"/>
  <c r="H34" i="18" s="1"/>
  <c r="J34" i="18" s="1"/>
  <c r="F34" i="18"/>
  <c r="C34" i="18" s="1"/>
  <c r="E34" i="18" s="1"/>
  <c r="P33" i="18"/>
  <c r="M33" i="18" s="1"/>
  <c r="O33" i="18" s="1"/>
  <c r="K33" i="18"/>
  <c r="H33" i="18" s="1"/>
  <c r="J33" i="18" s="1"/>
  <c r="F33" i="18"/>
  <c r="C33" i="18"/>
  <c r="E33" i="18" s="1"/>
  <c r="P32" i="18"/>
  <c r="M32" i="18" s="1"/>
  <c r="O32" i="18" s="1"/>
  <c r="K32" i="18"/>
  <c r="H32" i="18" s="1"/>
  <c r="J32" i="18" s="1"/>
  <c r="F32" i="18"/>
  <c r="C32" i="18" s="1"/>
  <c r="E32" i="18" s="1"/>
  <c r="P31" i="18"/>
  <c r="M31" i="18" s="1"/>
  <c r="O31" i="18" s="1"/>
  <c r="K31" i="18"/>
  <c r="H31" i="18"/>
  <c r="J31" i="18" s="1"/>
  <c r="F31" i="18"/>
  <c r="C31" i="18" s="1"/>
  <c r="E31" i="18" s="1"/>
  <c r="P30" i="18"/>
  <c r="O30" i="18"/>
  <c r="M30" i="18"/>
  <c r="K30" i="18"/>
  <c r="J30" i="18"/>
  <c r="H30" i="18"/>
  <c r="F30" i="18"/>
  <c r="C30" i="18" s="1"/>
  <c r="E30" i="18" s="1"/>
  <c r="P29" i="18"/>
  <c r="M29" i="18" s="1"/>
  <c r="O29" i="18" s="1"/>
  <c r="K29" i="18"/>
  <c r="H29" i="18" s="1"/>
  <c r="J29" i="18" s="1"/>
  <c r="F29" i="18"/>
  <c r="C29" i="18" s="1"/>
  <c r="E29" i="18" s="1"/>
  <c r="P28" i="18"/>
  <c r="M28" i="18" s="1"/>
  <c r="O28" i="18" s="1"/>
  <c r="K28" i="18"/>
  <c r="H28" i="18" s="1"/>
  <c r="J28" i="18" s="1"/>
  <c r="F28" i="18"/>
  <c r="C28" i="18" s="1"/>
  <c r="E28" i="18" s="1"/>
  <c r="P27" i="18"/>
  <c r="M27" i="18"/>
  <c r="O27" i="18" s="1"/>
  <c r="K27" i="18"/>
  <c r="H27" i="18" s="1"/>
  <c r="J27" i="18" s="1"/>
  <c r="F27" i="18"/>
  <c r="C27" i="18"/>
  <c r="E27" i="18" s="1"/>
  <c r="P26" i="18"/>
  <c r="M26" i="18" s="1"/>
  <c r="O26" i="18" s="1"/>
  <c r="K26" i="18"/>
  <c r="J26" i="18"/>
  <c r="H26" i="18"/>
  <c r="F26" i="18"/>
  <c r="E26" i="18"/>
  <c r="C26" i="18"/>
  <c r="P25" i="18"/>
  <c r="M25" i="18" s="1"/>
  <c r="O25" i="18" s="1"/>
  <c r="K25" i="18"/>
  <c r="H25" i="18" s="1"/>
  <c r="J25" i="18" s="1"/>
  <c r="F25" i="18"/>
  <c r="C25" i="18" s="1"/>
  <c r="E25" i="18" s="1"/>
  <c r="P24" i="18"/>
  <c r="M24" i="18" s="1"/>
  <c r="O24" i="18" s="1"/>
  <c r="K24" i="18"/>
  <c r="H24" i="18" s="1"/>
  <c r="J24" i="18" s="1"/>
  <c r="F24" i="18"/>
  <c r="C24" i="18" s="1"/>
  <c r="E24" i="18" s="1"/>
  <c r="P23" i="18"/>
  <c r="M23" i="18" s="1"/>
  <c r="O23" i="18" s="1"/>
  <c r="K23" i="18"/>
  <c r="H23" i="18"/>
  <c r="J23" i="18" s="1"/>
  <c r="F23" i="18"/>
  <c r="C23" i="18" s="1"/>
  <c r="E23" i="18" s="1"/>
  <c r="P22" i="18"/>
  <c r="M22" i="18" s="1"/>
  <c r="O22" i="18" s="1"/>
  <c r="L22" i="18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L64" i="18" s="1"/>
  <c r="L65" i="18" s="1"/>
  <c r="L66" i="18" s="1"/>
  <c r="L67" i="18" s="1"/>
  <c r="L68" i="18" s="1"/>
  <c r="L69" i="18" s="1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L84" i="18" s="1"/>
  <c r="L85" i="18" s="1"/>
  <c r="L86" i="18" s="1"/>
  <c r="L87" i="18" s="1"/>
  <c r="L88" i="18" s="1"/>
  <c r="L89" i="18" s="1"/>
  <c r="L90" i="18" s="1"/>
  <c r="L91" i="18" s="1"/>
  <c r="L92" i="18" s="1"/>
  <c r="L93" i="18" s="1"/>
  <c r="L94" i="18" s="1"/>
  <c r="L95" i="18" s="1"/>
  <c r="L96" i="18" s="1"/>
  <c r="K22" i="18"/>
  <c r="H22" i="18" s="1"/>
  <c r="J22" i="18" s="1"/>
  <c r="G22" i="18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G86" i="18" s="1"/>
  <c r="G87" i="18" s="1"/>
  <c r="G88" i="18" s="1"/>
  <c r="G89" i="18" s="1"/>
  <c r="G90" i="18" s="1"/>
  <c r="G91" i="18" s="1"/>
  <c r="G92" i="18" s="1"/>
  <c r="G93" i="18" s="1"/>
  <c r="G94" i="18" s="1"/>
  <c r="G95" i="18" s="1"/>
  <c r="G96" i="18" s="1"/>
  <c r="F22" i="18"/>
  <c r="C22" i="18" s="1"/>
  <c r="E22" i="18" s="1"/>
  <c r="O21" i="18"/>
  <c r="J21" i="18"/>
  <c r="E21" i="18"/>
  <c r="B20" i="18"/>
  <c r="C20" i="18" s="1"/>
  <c r="D20" i="18" s="1"/>
  <c r="E20" i="18" s="1"/>
  <c r="F20" i="18" s="1"/>
  <c r="G20" i="18" s="1"/>
  <c r="H20" i="18" s="1"/>
  <c r="I20" i="18" s="1"/>
  <c r="J20" i="18" s="1"/>
  <c r="K20" i="18" s="1"/>
  <c r="L20" i="18" s="1"/>
  <c r="M20" i="18" s="1"/>
  <c r="N20" i="18" s="1"/>
  <c r="O20" i="18" s="1"/>
  <c r="P20" i="18" s="1"/>
  <c r="Q20" i="18" s="1"/>
  <c r="R20" i="18" s="1"/>
  <c r="F9" i="18"/>
  <c r="A3" i="18"/>
  <c r="L100" i="17"/>
  <c r="G100" i="17"/>
  <c r="L99" i="17"/>
  <c r="G99" i="17"/>
  <c r="L98" i="17"/>
  <c r="G98" i="17"/>
  <c r="L97" i="17"/>
  <c r="G97" i="17"/>
  <c r="P96" i="17"/>
  <c r="O96" i="17"/>
  <c r="K96" i="17"/>
  <c r="J96" i="17"/>
  <c r="F96" i="17"/>
  <c r="E96" i="17"/>
  <c r="P95" i="17"/>
  <c r="M95" i="17" s="1"/>
  <c r="O95" i="17" s="1"/>
  <c r="K95" i="17"/>
  <c r="H95" i="17" s="1"/>
  <c r="J95" i="17" s="1"/>
  <c r="F95" i="17"/>
  <c r="C95" i="17"/>
  <c r="E95" i="17" s="1"/>
  <c r="P94" i="17"/>
  <c r="M94" i="17" s="1"/>
  <c r="O94" i="17" s="1"/>
  <c r="K94" i="17"/>
  <c r="H94" i="17"/>
  <c r="J94" i="17" s="1"/>
  <c r="F94" i="17"/>
  <c r="C94" i="17"/>
  <c r="E94" i="17" s="1"/>
  <c r="P93" i="17"/>
  <c r="M93" i="17"/>
  <c r="O93" i="17" s="1"/>
  <c r="K93" i="17"/>
  <c r="H93" i="17" s="1"/>
  <c r="J93" i="17" s="1"/>
  <c r="F93" i="17"/>
  <c r="C93" i="17" s="1"/>
  <c r="E93" i="17" s="1"/>
  <c r="P92" i="17"/>
  <c r="M92" i="17" s="1"/>
  <c r="O92" i="17" s="1"/>
  <c r="K92" i="17"/>
  <c r="H92" i="17" s="1"/>
  <c r="J92" i="17" s="1"/>
  <c r="F92" i="17"/>
  <c r="C92" i="17" s="1"/>
  <c r="E92" i="17" s="1"/>
  <c r="P91" i="17"/>
  <c r="M91" i="17" s="1"/>
  <c r="O91" i="17" s="1"/>
  <c r="K91" i="17"/>
  <c r="H91" i="17"/>
  <c r="J91" i="17" s="1"/>
  <c r="F91" i="17"/>
  <c r="C91" i="17" s="1"/>
  <c r="E91" i="17" s="1"/>
  <c r="P90" i="17"/>
  <c r="M90" i="17" s="1"/>
  <c r="O90" i="17" s="1"/>
  <c r="K90" i="17"/>
  <c r="H90" i="17" s="1"/>
  <c r="J90" i="17" s="1"/>
  <c r="F90" i="17"/>
  <c r="C90" i="17"/>
  <c r="E90" i="17" s="1"/>
  <c r="P89" i="17"/>
  <c r="M89" i="17" s="1"/>
  <c r="O89" i="17" s="1"/>
  <c r="K89" i="17"/>
  <c r="H89" i="17"/>
  <c r="J89" i="17" s="1"/>
  <c r="F89" i="17"/>
  <c r="C89" i="17" s="1"/>
  <c r="E89" i="17" s="1"/>
  <c r="P88" i="17"/>
  <c r="M88" i="17"/>
  <c r="O88" i="17" s="1"/>
  <c r="K88" i="17"/>
  <c r="H88" i="17" s="1"/>
  <c r="J88" i="17" s="1"/>
  <c r="F88" i="17"/>
  <c r="C88" i="17" s="1"/>
  <c r="E88" i="17" s="1"/>
  <c r="P87" i="17"/>
  <c r="M87" i="17" s="1"/>
  <c r="O87" i="17" s="1"/>
  <c r="K87" i="17"/>
  <c r="H87" i="17" s="1"/>
  <c r="J87" i="17" s="1"/>
  <c r="F87" i="17"/>
  <c r="C87" i="17"/>
  <c r="E87" i="17" s="1"/>
  <c r="P86" i="17"/>
  <c r="M86" i="17" s="1"/>
  <c r="O86" i="17" s="1"/>
  <c r="K86" i="17"/>
  <c r="J86" i="17"/>
  <c r="H86" i="17"/>
  <c r="F86" i="17"/>
  <c r="C86" i="17" s="1"/>
  <c r="E86" i="17" s="1"/>
  <c r="P85" i="17"/>
  <c r="M85" i="17" s="1"/>
  <c r="O85" i="17" s="1"/>
  <c r="K85" i="17"/>
  <c r="H85" i="17" s="1"/>
  <c r="J85" i="17" s="1"/>
  <c r="F85" i="17"/>
  <c r="C85" i="17" s="1"/>
  <c r="E85" i="17" s="1"/>
  <c r="P84" i="17"/>
  <c r="M84" i="17" s="1"/>
  <c r="O84" i="17" s="1"/>
  <c r="K84" i="17"/>
  <c r="H84" i="17"/>
  <c r="J84" i="17" s="1"/>
  <c r="F84" i="17"/>
  <c r="C84" i="17" s="1"/>
  <c r="E84" i="17" s="1"/>
  <c r="P83" i="17"/>
  <c r="M83" i="17" s="1"/>
  <c r="O83" i="17" s="1"/>
  <c r="K83" i="17"/>
  <c r="H83" i="17" s="1"/>
  <c r="J83" i="17" s="1"/>
  <c r="F83" i="17"/>
  <c r="C83" i="17" s="1"/>
  <c r="E83" i="17" s="1"/>
  <c r="P82" i="17"/>
  <c r="M82" i="17"/>
  <c r="O82" i="17" s="1"/>
  <c r="K82" i="17"/>
  <c r="H82" i="17" s="1"/>
  <c r="J82" i="17" s="1"/>
  <c r="F82" i="17"/>
  <c r="C82" i="17" s="1"/>
  <c r="E82" i="17" s="1"/>
  <c r="P81" i="17"/>
  <c r="M81" i="17" s="1"/>
  <c r="O81" i="17" s="1"/>
  <c r="K81" i="17"/>
  <c r="H81" i="17" s="1"/>
  <c r="J81" i="17" s="1"/>
  <c r="F81" i="17"/>
  <c r="C81" i="17" s="1"/>
  <c r="E81" i="17" s="1"/>
  <c r="P80" i="17"/>
  <c r="M80" i="17"/>
  <c r="O80" i="17" s="1"/>
  <c r="K80" i="17"/>
  <c r="H80" i="17" s="1"/>
  <c r="J80" i="17" s="1"/>
  <c r="F80" i="17"/>
  <c r="C80" i="17" s="1"/>
  <c r="E80" i="17" s="1"/>
  <c r="P79" i="17"/>
  <c r="M79" i="17"/>
  <c r="O79" i="17" s="1"/>
  <c r="K79" i="17"/>
  <c r="H79" i="17" s="1"/>
  <c r="J79" i="17" s="1"/>
  <c r="F79" i="17"/>
  <c r="C79" i="17" s="1"/>
  <c r="E79" i="17" s="1"/>
  <c r="P78" i="17"/>
  <c r="M78" i="17" s="1"/>
  <c r="O78" i="17" s="1"/>
  <c r="K78" i="17"/>
  <c r="H78" i="17"/>
  <c r="J78" i="17" s="1"/>
  <c r="F78" i="17"/>
  <c r="C78" i="17" s="1"/>
  <c r="E78" i="17" s="1"/>
  <c r="P77" i="17"/>
  <c r="M77" i="17"/>
  <c r="O77" i="17" s="1"/>
  <c r="K77" i="17"/>
  <c r="H77" i="17" s="1"/>
  <c r="J77" i="17" s="1"/>
  <c r="F77" i="17"/>
  <c r="C77" i="17" s="1"/>
  <c r="E77" i="17" s="1"/>
  <c r="P76" i="17"/>
  <c r="M76" i="17" s="1"/>
  <c r="O76" i="17" s="1"/>
  <c r="K76" i="17"/>
  <c r="H76" i="17"/>
  <c r="J76" i="17" s="1"/>
  <c r="F76" i="17"/>
  <c r="C76" i="17" s="1"/>
  <c r="E76" i="17" s="1"/>
  <c r="P75" i="17"/>
  <c r="M75" i="17" s="1"/>
  <c r="O75" i="17" s="1"/>
  <c r="K75" i="17"/>
  <c r="H75" i="17" s="1"/>
  <c r="J75" i="17" s="1"/>
  <c r="F75" i="17"/>
  <c r="C75" i="17" s="1"/>
  <c r="E75" i="17" s="1"/>
  <c r="P74" i="17"/>
  <c r="M74" i="17"/>
  <c r="O74" i="17" s="1"/>
  <c r="K74" i="17"/>
  <c r="H74" i="17" s="1"/>
  <c r="J74" i="17" s="1"/>
  <c r="F74" i="17"/>
  <c r="E74" i="17"/>
  <c r="C74" i="17"/>
  <c r="P73" i="17"/>
  <c r="M73" i="17" s="1"/>
  <c r="O73" i="17" s="1"/>
  <c r="K73" i="17"/>
  <c r="H73" i="17"/>
  <c r="J73" i="17" s="1"/>
  <c r="F73" i="17"/>
  <c r="C73" i="17" s="1"/>
  <c r="E73" i="17" s="1"/>
  <c r="P72" i="17"/>
  <c r="M72" i="17" s="1"/>
  <c r="O72" i="17" s="1"/>
  <c r="K72" i="17"/>
  <c r="H72" i="17" s="1"/>
  <c r="J72" i="17" s="1"/>
  <c r="F72" i="17"/>
  <c r="C72" i="17" s="1"/>
  <c r="E72" i="17" s="1"/>
  <c r="P71" i="17"/>
  <c r="M71" i="17"/>
  <c r="O71" i="17" s="1"/>
  <c r="K71" i="17"/>
  <c r="H71" i="17" s="1"/>
  <c r="J71" i="17" s="1"/>
  <c r="F71" i="17"/>
  <c r="C71" i="17" s="1"/>
  <c r="E71" i="17" s="1"/>
  <c r="P70" i="17"/>
  <c r="M70" i="17" s="1"/>
  <c r="O70" i="17" s="1"/>
  <c r="K70" i="17"/>
  <c r="H70" i="17" s="1"/>
  <c r="J70" i="17" s="1"/>
  <c r="F70" i="17"/>
  <c r="C70" i="17" s="1"/>
  <c r="E70" i="17" s="1"/>
  <c r="P69" i="17"/>
  <c r="M69" i="17"/>
  <c r="O69" i="17" s="1"/>
  <c r="K69" i="17"/>
  <c r="H69" i="17" s="1"/>
  <c r="J69" i="17" s="1"/>
  <c r="F69" i="17"/>
  <c r="C69" i="17" s="1"/>
  <c r="E69" i="17" s="1"/>
  <c r="P68" i="17"/>
  <c r="M68" i="17" s="1"/>
  <c r="O68" i="17" s="1"/>
  <c r="K68" i="17"/>
  <c r="H68" i="17" s="1"/>
  <c r="J68" i="17" s="1"/>
  <c r="F68" i="17"/>
  <c r="C68" i="17" s="1"/>
  <c r="E68" i="17" s="1"/>
  <c r="P67" i="17"/>
  <c r="M67" i="17" s="1"/>
  <c r="O67" i="17" s="1"/>
  <c r="K67" i="17"/>
  <c r="H67" i="17" s="1"/>
  <c r="J67" i="17" s="1"/>
  <c r="F67" i="17"/>
  <c r="C67" i="17" s="1"/>
  <c r="E67" i="17" s="1"/>
  <c r="P66" i="17"/>
  <c r="O66" i="17"/>
  <c r="M66" i="17"/>
  <c r="K66" i="17"/>
  <c r="H66" i="17" s="1"/>
  <c r="J66" i="17" s="1"/>
  <c r="F66" i="17"/>
  <c r="C66" i="17" s="1"/>
  <c r="E66" i="17" s="1"/>
  <c r="P65" i="17"/>
  <c r="M65" i="17" s="1"/>
  <c r="O65" i="17" s="1"/>
  <c r="K65" i="17"/>
  <c r="H65" i="17"/>
  <c r="J65" i="17" s="1"/>
  <c r="F65" i="17"/>
  <c r="C65" i="17" s="1"/>
  <c r="E65" i="17" s="1"/>
  <c r="P64" i="17"/>
  <c r="M64" i="17" s="1"/>
  <c r="O64" i="17" s="1"/>
  <c r="K64" i="17"/>
  <c r="H64" i="17" s="1"/>
  <c r="J64" i="17" s="1"/>
  <c r="F64" i="17"/>
  <c r="C64" i="17" s="1"/>
  <c r="E64" i="17" s="1"/>
  <c r="P63" i="17"/>
  <c r="M63" i="17"/>
  <c r="O63" i="17" s="1"/>
  <c r="K63" i="17"/>
  <c r="H63" i="17" s="1"/>
  <c r="J63" i="17" s="1"/>
  <c r="F63" i="17"/>
  <c r="C63" i="17" s="1"/>
  <c r="E63" i="17" s="1"/>
  <c r="P62" i="17"/>
  <c r="M62" i="17"/>
  <c r="O62" i="17" s="1"/>
  <c r="K62" i="17"/>
  <c r="H62" i="17" s="1"/>
  <c r="J62" i="17" s="1"/>
  <c r="F62" i="17"/>
  <c r="C62" i="17"/>
  <c r="E62" i="17" s="1"/>
  <c r="P61" i="17"/>
  <c r="M61" i="17"/>
  <c r="O61" i="17" s="1"/>
  <c r="K61" i="17"/>
  <c r="H61" i="17" s="1"/>
  <c r="J61" i="17" s="1"/>
  <c r="F61" i="17"/>
  <c r="C61" i="17" s="1"/>
  <c r="E61" i="17" s="1"/>
  <c r="P60" i="17"/>
  <c r="M60" i="17" s="1"/>
  <c r="O60" i="17" s="1"/>
  <c r="K60" i="17"/>
  <c r="H60" i="17" s="1"/>
  <c r="J60" i="17" s="1"/>
  <c r="F60" i="17"/>
  <c r="C60" i="17" s="1"/>
  <c r="E60" i="17" s="1"/>
  <c r="P59" i="17"/>
  <c r="M59" i="17" s="1"/>
  <c r="O59" i="17" s="1"/>
  <c r="K59" i="17"/>
  <c r="H59" i="17" s="1"/>
  <c r="J59" i="17" s="1"/>
  <c r="F59" i="17"/>
  <c r="C59" i="17" s="1"/>
  <c r="E59" i="17" s="1"/>
  <c r="P58" i="17"/>
  <c r="O58" i="17"/>
  <c r="M58" i="17"/>
  <c r="K58" i="17"/>
  <c r="H58" i="17"/>
  <c r="J58" i="17" s="1"/>
  <c r="F58" i="17"/>
  <c r="C58" i="17" s="1"/>
  <c r="E58" i="17" s="1"/>
  <c r="P57" i="17"/>
  <c r="M57" i="17" s="1"/>
  <c r="O57" i="17" s="1"/>
  <c r="K57" i="17"/>
  <c r="H57" i="17"/>
  <c r="J57" i="17" s="1"/>
  <c r="F57" i="17"/>
  <c r="C57" i="17" s="1"/>
  <c r="E57" i="17" s="1"/>
  <c r="P56" i="17"/>
  <c r="M56" i="17" s="1"/>
  <c r="O56" i="17" s="1"/>
  <c r="K56" i="17"/>
  <c r="H56" i="17" s="1"/>
  <c r="J56" i="17" s="1"/>
  <c r="F56" i="17"/>
  <c r="C56" i="17"/>
  <c r="E56" i="17" s="1"/>
  <c r="P55" i="17"/>
  <c r="M55" i="17"/>
  <c r="O55" i="17" s="1"/>
  <c r="K55" i="17"/>
  <c r="H55" i="17" s="1"/>
  <c r="J55" i="17" s="1"/>
  <c r="F55" i="17"/>
  <c r="C55" i="17" s="1"/>
  <c r="E55" i="17" s="1"/>
  <c r="P54" i="17"/>
  <c r="M54" i="17"/>
  <c r="O54" i="17" s="1"/>
  <c r="K54" i="17"/>
  <c r="H54" i="17" s="1"/>
  <c r="J54" i="17" s="1"/>
  <c r="F54" i="17"/>
  <c r="C54" i="17" s="1"/>
  <c r="E54" i="17" s="1"/>
  <c r="P53" i="17"/>
  <c r="M53" i="17"/>
  <c r="O53" i="17" s="1"/>
  <c r="K53" i="17"/>
  <c r="H53" i="17" s="1"/>
  <c r="J53" i="17" s="1"/>
  <c r="F53" i="17"/>
  <c r="C53" i="17" s="1"/>
  <c r="E53" i="17" s="1"/>
  <c r="P52" i="17"/>
  <c r="M52" i="17" s="1"/>
  <c r="O52" i="17" s="1"/>
  <c r="K52" i="17"/>
  <c r="H52" i="17" s="1"/>
  <c r="J52" i="17" s="1"/>
  <c r="F52" i="17"/>
  <c r="C52" i="17" s="1"/>
  <c r="E52" i="17" s="1"/>
  <c r="P51" i="17"/>
  <c r="M51" i="17" s="1"/>
  <c r="O51" i="17" s="1"/>
  <c r="K51" i="17"/>
  <c r="H51" i="17" s="1"/>
  <c r="J51" i="17" s="1"/>
  <c r="F51" i="17"/>
  <c r="C51" i="17" s="1"/>
  <c r="E51" i="17" s="1"/>
  <c r="P50" i="17"/>
  <c r="M50" i="17" s="1"/>
  <c r="O50" i="17" s="1"/>
  <c r="K50" i="17"/>
  <c r="H50" i="17"/>
  <c r="J50" i="17" s="1"/>
  <c r="F50" i="17"/>
  <c r="C50" i="17" s="1"/>
  <c r="E50" i="17" s="1"/>
  <c r="P49" i="17"/>
  <c r="M49" i="17" s="1"/>
  <c r="O49" i="17" s="1"/>
  <c r="K49" i="17"/>
  <c r="H49" i="17"/>
  <c r="J49" i="17" s="1"/>
  <c r="F49" i="17"/>
  <c r="C49" i="17" s="1"/>
  <c r="E49" i="17" s="1"/>
  <c r="P48" i="17"/>
  <c r="M48" i="17" s="1"/>
  <c r="O48" i="17" s="1"/>
  <c r="K48" i="17"/>
  <c r="H48" i="17" s="1"/>
  <c r="J48" i="17" s="1"/>
  <c r="F48" i="17"/>
  <c r="C48" i="17"/>
  <c r="E48" i="17" s="1"/>
  <c r="P47" i="17"/>
  <c r="M47" i="17"/>
  <c r="O47" i="17" s="1"/>
  <c r="K47" i="17"/>
  <c r="H47" i="17" s="1"/>
  <c r="J47" i="17" s="1"/>
  <c r="F47" i="17"/>
  <c r="C47" i="17" s="1"/>
  <c r="E47" i="17" s="1"/>
  <c r="P46" i="17"/>
  <c r="M46" i="17"/>
  <c r="O46" i="17" s="1"/>
  <c r="K46" i="17"/>
  <c r="H46" i="17" s="1"/>
  <c r="J46" i="17" s="1"/>
  <c r="F46" i="17"/>
  <c r="C46" i="17" s="1"/>
  <c r="E46" i="17" s="1"/>
  <c r="P45" i="17"/>
  <c r="M45" i="17"/>
  <c r="O45" i="17" s="1"/>
  <c r="K45" i="17"/>
  <c r="H45" i="17" s="1"/>
  <c r="J45" i="17" s="1"/>
  <c r="F45" i="17"/>
  <c r="C45" i="17"/>
  <c r="E45" i="17" s="1"/>
  <c r="P44" i="17"/>
  <c r="M44" i="17" s="1"/>
  <c r="O44" i="17" s="1"/>
  <c r="K44" i="17"/>
  <c r="H44" i="17" s="1"/>
  <c r="J44" i="17" s="1"/>
  <c r="F44" i="17"/>
  <c r="C44" i="17" s="1"/>
  <c r="E44" i="17" s="1"/>
  <c r="P43" i="17"/>
  <c r="M43" i="17" s="1"/>
  <c r="O43" i="17" s="1"/>
  <c r="K43" i="17"/>
  <c r="H43" i="17"/>
  <c r="J43" i="17" s="1"/>
  <c r="F43" i="17"/>
  <c r="C43" i="17" s="1"/>
  <c r="E43" i="17" s="1"/>
  <c r="P42" i="17"/>
  <c r="M42" i="17" s="1"/>
  <c r="O42" i="17" s="1"/>
  <c r="K42" i="17"/>
  <c r="H42" i="17" s="1"/>
  <c r="J42" i="17" s="1"/>
  <c r="F42" i="17"/>
  <c r="C42" i="17"/>
  <c r="E42" i="17" s="1"/>
  <c r="P41" i="17"/>
  <c r="M41" i="17" s="1"/>
  <c r="O41" i="17" s="1"/>
  <c r="K41" i="17"/>
  <c r="H41" i="17"/>
  <c r="J41" i="17" s="1"/>
  <c r="F41" i="17"/>
  <c r="C41" i="17" s="1"/>
  <c r="E41" i="17" s="1"/>
  <c r="P40" i="17"/>
  <c r="M40" i="17"/>
  <c r="O40" i="17" s="1"/>
  <c r="K40" i="17"/>
  <c r="H40" i="17" s="1"/>
  <c r="J40" i="17" s="1"/>
  <c r="F40" i="17"/>
  <c r="C40" i="17" s="1"/>
  <c r="E40" i="17" s="1"/>
  <c r="P39" i="17"/>
  <c r="M39" i="17"/>
  <c r="O39" i="17" s="1"/>
  <c r="K39" i="17"/>
  <c r="H39" i="17" s="1"/>
  <c r="J39" i="17" s="1"/>
  <c r="F39" i="17"/>
  <c r="C39" i="17"/>
  <c r="E39" i="17" s="1"/>
  <c r="P38" i="17"/>
  <c r="M38" i="17" s="1"/>
  <c r="O38" i="17" s="1"/>
  <c r="K38" i="17"/>
  <c r="H38" i="17" s="1"/>
  <c r="J38" i="17" s="1"/>
  <c r="F38" i="17"/>
  <c r="C38" i="17" s="1"/>
  <c r="E38" i="17" s="1"/>
  <c r="P37" i="17"/>
  <c r="M37" i="17"/>
  <c r="O37" i="17" s="1"/>
  <c r="K37" i="17"/>
  <c r="H37" i="17" s="1"/>
  <c r="J37" i="17" s="1"/>
  <c r="F37" i="17"/>
  <c r="C37" i="17" s="1"/>
  <c r="E37" i="17" s="1"/>
  <c r="P36" i="17"/>
  <c r="M36" i="17" s="1"/>
  <c r="O36" i="17" s="1"/>
  <c r="K36" i="17"/>
  <c r="J36" i="17"/>
  <c r="H36" i="17"/>
  <c r="F36" i="17"/>
  <c r="C36" i="17" s="1"/>
  <c r="E36" i="17" s="1"/>
  <c r="P35" i="17"/>
  <c r="M35" i="17" s="1"/>
  <c r="O35" i="17" s="1"/>
  <c r="K35" i="17"/>
  <c r="H35" i="17" s="1"/>
  <c r="J35" i="17" s="1"/>
  <c r="F35" i="17"/>
  <c r="C35" i="17" s="1"/>
  <c r="E35" i="17" s="1"/>
  <c r="P34" i="17"/>
  <c r="M34" i="17" s="1"/>
  <c r="O34" i="17" s="1"/>
  <c r="K34" i="17"/>
  <c r="H34" i="17" s="1"/>
  <c r="J34" i="17" s="1"/>
  <c r="F34" i="17"/>
  <c r="C34" i="17" s="1"/>
  <c r="E34" i="17" s="1"/>
  <c r="P33" i="17"/>
  <c r="M33" i="17" s="1"/>
  <c r="O33" i="17" s="1"/>
  <c r="K33" i="17"/>
  <c r="H33" i="17"/>
  <c r="J33" i="17" s="1"/>
  <c r="F33" i="17"/>
  <c r="C33" i="17" s="1"/>
  <c r="E33" i="17" s="1"/>
  <c r="P32" i="17"/>
  <c r="M32" i="17"/>
  <c r="O32" i="17" s="1"/>
  <c r="K32" i="17"/>
  <c r="H32" i="17" s="1"/>
  <c r="J32" i="17" s="1"/>
  <c r="F32" i="17"/>
  <c r="C32" i="17"/>
  <c r="E32" i="17" s="1"/>
  <c r="P31" i="17"/>
  <c r="M31" i="17"/>
  <c r="O31" i="17" s="1"/>
  <c r="K31" i="17"/>
  <c r="H31" i="17" s="1"/>
  <c r="J31" i="17" s="1"/>
  <c r="F31" i="17"/>
  <c r="C31" i="17" s="1"/>
  <c r="E31" i="17" s="1"/>
  <c r="P30" i="17"/>
  <c r="M30" i="17" s="1"/>
  <c r="O30" i="17" s="1"/>
  <c r="K30" i="17"/>
  <c r="J30" i="17"/>
  <c r="H30" i="17"/>
  <c r="F30" i="17"/>
  <c r="C30" i="17" s="1"/>
  <c r="E30" i="17" s="1"/>
  <c r="P29" i="17"/>
  <c r="M29" i="17"/>
  <c r="O29" i="17" s="1"/>
  <c r="K29" i="17"/>
  <c r="H29" i="17" s="1"/>
  <c r="J29" i="17" s="1"/>
  <c r="F29" i="17"/>
  <c r="C29" i="17" s="1"/>
  <c r="E29" i="17" s="1"/>
  <c r="P28" i="17"/>
  <c r="M28" i="17" s="1"/>
  <c r="O28" i="17" s="1"/>
  <c r="K28" i="17"/>
  <c r="H28" i="17"/>
  <c r="J28" i="17" s="1"/>
  <c r="F28" i="17"/>
  <c r="C28" i="17" s="1"/>
  <c r="E28" i="17" s="1"/>
  <c r="P27" i="17"/>
  <c r="M27" i="17" s="1"/>
  <c r="O27" i="17" s="1"/>
  <c r="K27" i="17"/>
  <c r="H27" i="17" s="1"/>
  <c r="J27" i="17" s="1"/>
  <c r="F27" i="17"/>
  <c r="C27" i="17" s="1"/>
  <c r="E27" i="17" s="1"/>
  <c r="P26" i="17"/>
  <c r="M26" i="17"/>
  <c r="O26" i="17" s="1"/>
  <c r="K26" i="17"/>
  <c r="H26" i="17" s="1"/>
  <c r="J26" i="17" s="1"/>
  <c r="F26" i="17"/>
  <c r="C26" i="17" s="1"/>
  <c r="E26" i="17" s="1"/>
  <c r="P25" i="17"/>
  <c r="M25" i="17" s="1"/>
  <c r="O25" i="17" s="1"/>
  <c r="K25" i="17"/>
  <c r="H25" i="17"/>
  <c r="J25" i="17" s="1"/>
  <c r="F25" i="17"/>
  <c r="C25" i="17" s="1"/>
  <c r="E25" i="17" s="1"/>
  <c r="P24" i="17"/>
  <c r="M24" i="17" s="1"/>
  <c r="O24" i="17" s="1"/>
  <c r="K24" i="17"/>
  <c r="H24" i="17" s="1"/>
  <c r="J24" i="17" s="1"/>
  <c r="F24" i="17"/>
  <c r="C24" i="17"/>
  <c r="E24" i="17" s="1"/>
  <c r="P23" i="17"/>
  <c r="M23" i="17"/>
  <c r="O23" i="17" s="1"/>
  <c r="K23" i="17"/>
  <c r="H23" i="17" s="1"/>
  <c r="J23" i="17" s="1"/>
  <c r="F23" i="17"/>
  <c r="C23" i="17" s="1"/>
  <c r="E23" i="17" s="1"/>
  <c r="P22" i="17"/>
  <c r="M22" i="17" s="1"/>
  <c r="O22" i="17" s="1"/>
  <c r="L22" i="17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L64" i="17" s="1"/>
  <c r="L65" i="17" s="1"/>
  <c r="L66" i="17" s="1"/>
  <c r="L67" i="17" s="1"/>
  <c r="L68" i="17" s="1"/>
  <c r="L69" i="17" s="1"/>
  <c r="L70" i="17" s="1"/>
  <c r="L71" i="17" s="1"/>
  <c r="L72" i="17" s="1"/>
  <c r="L73" i="17" s="1"/>
  <c r="L74" i="17" s="1"/>
  <c r="L75" i="17" s="1"/>
  <c r="L76" i="17" s="1"/>
  <c r="L77" i="17" s="1"/>
  <c r="L78" i="17" s="1"/>
  <c r="L79" i="17" s="1"/>
  <c r="L80" i="17" s="1"/>
  <c r="L81" i="17" s="1"/>
  <c r="L82" i="17" s="1"/>
  <c r="L83" i="17" s="1"/>
  <c r="L84" i="17" s="1"/>
  <c r="L85" i="17" s="1"/>
  <c r="L86" i="17" s="1"/>
  <c r="L87" i="17" s="1"/>
  <c r="L88" i="17" s="1"/>
  <c r="L89" i="17" s="1"/>
  <c r="L90" i="17" s="1"/>
  <c r="L91" i="17" s="1"/>
  <c r="L92" i="17" s="1"/>
  <c r="L93" i="17" s="1"/>
  <c r="L94" i="17" s="1"/>
  <c r="L95" i="17" s="1"/>
  <c r="L96" i="17" s="1"/>
  <c r="K22" i="17"/>
  <c r="H22" i="17"/>
  <c r="J22" i="17" s="1"/>
  <c r="G22" i="17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F22" i="17"/>
  <c r="C22" i="17" s="1"/>
  <c r="E22" i="17" s="1"/>
  <c r="O21" i="17"/>
  <c r="J21" i="17"/>
  <c r="E21" i="17"/>
  <c r="B20" i="17"/>
  <c r="C20" i="17" s="1"/>
  <c r="D20" i="17" s="1"/>
  <c r="E20" i="17" s="1"/>
  <c r="F20" i="17" s="1"/>
  <c r="G20" i="17" s="1"/>
  <c r="H20" i="17" s="1"/>
  <c r="I20" i="17" s="1"/>
  <c r="J20" i="17" s="1"/>
  <c r="K20" i="17" s="1"/>
  <c r="L20" i="17" s="1"/>
  <c r="M20" i="17" s="1"/>
  <c r="N20" i="17" s="1"/>
  <c r="O20" i="17" s="1"/>
  <c r="P20" i="17" s="1"/>
  <c r="Q20" i="17" s="1"/>
  <c r="R20" i="17" s="1"/>
  <c r="F9" i="17"/>
  <c r="A3" i="17"/>
  <c r="P89" i="16"/>
  <c r="M89" i="16" s="1"/>
  <c r="O89" i="16" s="1"/>
  <c r="K89" i="16"/>
  <c r="H89" i="16"/>
  <c r="J89" i="16" s="1"/>
  <c r="F89" i="16"/>
  <c r="C89" i="16" s="1"/>
  <c r="E89" i="16" s="1"/>
  <c r="P88" i="16"/>
  <c r="O88" i="16"/>
  <c r="M88" i="16"/>
  <c r="K88" i="16"/>
  <c r="H88" i="16" s="1"/>
  <c r="J88" i="16" s="1"/>
  <c r="F88" i="16"/>
  <c r="E88" i="16"/>
  <c r="C88" i="16"/>
  <c r="P87" i="16"/>
  <c r="M87" i="16" s="1"/>
  <c r="O87" i="16" s="1"/>
  <c r="K87" i="16"/>
  <c r="H87" i="16"/>
  <c r="J87" i="16" s="1"/>
  <c r="F87" i="16"/>
  <c r="C87" i="16" s="1"/>
  <c r="E87" i="16" s="1"/>
  <c r="P86" i="16"/>
  <c r="O86" i="16"/>
  <c r="M86" i="16"/>
  <c r="K86" i="16"/>
  <c r="H86" i="16" s="1"/>
  <c r="J86" i="16" s="1"/>
  <c r="F86" i="16"/>
  <c r="E86" i="16"/>
  <c r="C86" i="16"/>
  <c r="P85" i="16"/>
  <c r="M85" i="16"/>
  <c r="O85" i="16" s="1"/>
  <c r="K85" i="16"/>
  <c r="H85" i="16" s="1"/>
  <c r="J85" i="16" s="1"/>
  <c r="F85" i="16"/>
  <c r="C85" i="16"/>
  <c r="E85" i="16" s="1"/>
  <c r="P84" i="16"/>
  <c r="M84" i="16" s="1"/>
  <c r="O84" i="16" s="1"/>
  <c r="K84" i="16"/>
  <c r="J84" i="16"/>
  <c r="H84" i="16"/>
  <c r="F84" i="16"/>
  <c r="C84" i="16" s="1"/>
  <c r="E84" i="16" s="1"/>
  <c r="P83" i="16"/>
  <c r="M83" i="16"/>
  <c r="O83" i="16" s="1"/>
  <c r="K83" i="16"/>
  <c r="H83" i="16" s="1"/>
  <c r="J83" i="16" s="1"/>
  <c r="F83" i="16"/>
  <c r="C83" i="16"/>
  <c r="E83" i="16" s="1"/>
  <c r="P82" i="16"/>
  <c r="M82" i="16" s="1"/>
  <c r="O82" i="16" s="1"/>
  <c r="K82" i="16"/>
  <c r="J82" i="16"/>
  <c r="H82" i="16"/>
  <c r="F82" i="16"/>
  <c r="C82" i="16" s="1"/>
  <c r="E82" i="16" s="1"/>
  <c r="P81" i="16"/>
  <c r="M81" i="16" s="1"/>
  <c r="O81" i="16" s="1"/>
  <c r="K81" i="16"/>
  <c r="H81" i="16"/>
  <c r="J81" i="16" s="1"/>
  <c r="F81" i="16"/>
  <c r="C81" i="16" s="1"/>
  <c r="E81" i="16" s="1"/>
  <c r="P80" i="16"/>
  <c r="O80" i="16"/>
  <c r="M80" i="16"/>
  <c r="K80" i="16"/>
  <c r="H80" i="16" s="1"/>
  <c r="J80" i="16" s="1"/>
  <c r="F80" i="16"/>
  <c r="E80" i="16"/>
  <c r="C80" i="16"/>
  <c r="P79" i="16"/>
  <c r="M79" i="16" s="1"/>
  <c r="O79" i="16" s="1"/>
  <c r="K79" i="16"/>
  <c r="H79" i="16"/>
  <c r="J79" i="16" s="1"/>
  <c r="F79" i="16"/>
  <c r="C79" i="16" s="1"/>
  <c r="E79" i="16" s="1"/>
  <c r="P78" i="16"/>
  <c r="O78" i="16"/>
  <c r="M78" i="16"/>
  <c r="K78" i="16"/>
  <c r="H78" i="16" s="1"/>
  <c r="J78" i="16" s="1"/>
  <c r="F78" i="16"/>
  <c r="E78" i="16"/>
  <c r="C78" i="16"/>
  <c r="P77" i="16"/>
  <c r="M77" i="16"/>
  <c r="O77" i="16" s="1"/>
  <c r="K77" i="16"/>
  <c r="H77" i="16" s="1"/>
  <c r="J77" i="16" s="1"/>
  <c r="F77" i="16"/>
  <c r="C77" i="16"/>
  <c r="E77" i="16" s="1"/>
  <c r="P76" i="16"/>
  <c r="M76" i="16" s="1"/>
  <c r="O76" i="16" s="1"/>
  <c r="K76" i="16"/>
  <c r="J76" i="16"/>
  <c r="H76" i="16"/>
  <c r="F76" i="16"/>
  <c r="C76" i="16" s="1"/>
  <c r="E76" i="16" s="1"/>
  <c r="P75" i="16"/>
  <c r="M75" i="16"/>
  <c r="O75" i="16" s="1"/>
  <c r="K75" i="16"/>
  <c r="H75" i="16" s="1"/>
  <c r="J75" i="16" s="1"/>
  <c r="F75" i="16"/>
  <c r="C75" i="16"/>
  <c r="E75" i="16" s="1"/>
  <c r="P74" i="16"/>
  <c r="M74" i="16" s="1"/>
  <c r="O74" i="16" s="1"/>
  <c r="K74" i="16"/>
  <c r="J74" i="16"/>
  <c r="H74" i="16"/>
  <c r="F74" i="16"/>
  <c r="C74" i="16" s="1"/>
  <c r="E74" i="16" s="1"/>
  <c r="P73" i="16"/>
  <c r="M73" i="16" s="1"/>
  <c r="O73" i="16" s="1"/>
  <c r="K73" i="16"/>
  <c r="H73" i="16"/>
  <c r="J73" i="16" s="1"/>
  <c r="F73" i="16"/>
  <c r="C73" i="16" s="1"/>
  <c r="E73" i="16" s="1"/>
  <c r="P72" i="16"/>
  <c r="O72" i="16"/>
  <c r="M72" i="16"/>
  <c r="K72" i="16"/>
  <c r="H72" i="16" s="1"/>
  <c r="J72" i="16" s="1"/>
  <c r="F72" i="16"/>
  <c r="E72" i="16"/>
  <c r="C72" i="16"/>
  <c r="P71" i="16"/>
  <c r="M71" i="16" s="1"/>
  <c r="O71" i="16" s="1"/>
  <c r="K71" i="16"/>
  <c r="H71" i="16"/>
  <c r="J71" i="16" s="1"/>
  <c r="F71" i="16"/>
  <c r="C71" i="16" s="1"/>
  <c r="E71" i="16" s="1"/>
  <c r="P70" i="16"/>
  <c r="O70" i="16"/>
  <c r="M70" i="16"/>
  <c r="K70" i="16"/>
  <c r="H70" i="16" s="1"/>
  <c r="J70" i="16" s="1"/>
  <c r="F70" i="16"/>
  <c r="E70" i="16"/>
  <c r="C70" i="16"/>
  <c r="P69" i="16"/>
  <c r="M69" i="16"/>
  <c r="O69" i="16" s="1"/>
  <c r="K69" i="16"/>
  <c r="H69" i="16" s="1"/>
  <c r="J69" i="16" s="1"/>
  <c r="F69" i="16"/>
  <c r="C69" i="16"/>
  <c r="E69" i="16" s="1"/>
  <c r="P68" i="16"/>
  <c r="M68" i="16" s="1"/>
  <c r="O68" i="16" s="1"/>
  <c r="K68" i="16"/>
  <c r="J68" i="16"/>
  <c r="H68" i="16"/>
  <c r="F68" i="16"/>
  <c r="C68" i="16" s="1"/>
  <c r="E68" i="16" s="1"/>
  <c r="P67" i="16"/>
  <c r="M67" i="16"/>
  <c r="O67" i="16" s="1"/>
  <c r="K67" i="16"/>
  <c r="H67" i="16" s="1"/>
  <c r="J67" i="16" s="1"/>
  <c r="F67" i="16"/>
  <c r="C67" i="16"/>
  <c r="E67" i="16" s="1"/>
  <c r="P66" i="16"/>
  <c r="M66" i="16" s="1"/>
  <c r="O66" i="16" s="1"/>
  <c r="K66" i="16"/>
  <c r="J66" i="16"/>
  <c r="H66" i="16"/>
  <c r="F66" i="16"/>
  <c r="C66" i="16" s="1"/>
  <c r="E66" i="16" s="1"/>
  <c r="P65" i="16"/>
  <c r="M65" i="16" s="1"/>
  <c r="O65" i="16" s="1"/>
  <c r="K65" i="16"/>
  <c r="H65" i="16"/>
  <c r="J65" i="16" s="1"/>
  <c r="F65" i="16"/>
  <c r="C65" i="16" s="1"/>
  <c r="E65" i="16" s="1"/>
  <c r="P64" i="16"/>
  <c r="O64" i="16"/>
  <c r="M64" i="16"/>
  <c r="K64" i="16"/>
  <c r="H64" i="16" s="1"/>
  <c r="J64" i="16" s="1"/>
  <c r="F64" i="16"/>
  <c r="E64" i="16"/>
  <c r="C64" i="16"/>
  <c r="P63" i="16"/>
  <c r="M63" i="16" s="1"/>
  <c r="O63" i="16" s="1"/>
  <c r="K63" i="16"/>
  <c r="H63" i="16"/>
  <c r="J63" i="16" s="1"/>
  <c r="F63" i="16"/>
  <c r="C63" i="16" s="1"/>
  <c r="E63" i="16" s="1"/>
  <c r="P62" i="16"/>
  <c r="O62" i="16"/>
  <c r="M62" i="16"/>
  <c r="K62" i="16"/>
  <c r="H62" i="16" s="1"/>
  <c r="J62" i="16" s="1"/>
  <c r="F62" i="16"/>
  <c r="E62" i="16"/>
  <c r="C62" i="16"/>
  <c r="P61" i="16"/>
  <c r="M61" i="16"/>
  <c r="O61" i="16" s="1"/>
  <c r="K61" i="16"/>
  <c r="H61" i="16" s="1"/>
  <c r="J61" i="16" s="1"/>
  <c r="F61" i="16"/>
  <c r="C61" i="16"/>
  <c r="E61" i="16" s="1"/>
  <c r="P60" i="16"/>
  <c r="O60" i="16"/>
  <c r="M60" i="16"/>
  <c r="K60" i="16"/>
  <c r="J60" i="16"/>
  <c r="H60" i="16"/>
  <c r="F60" i="16"/>
  <c r="E60" i="16"/>
  <c r="C60" i="16"/>
  <c r="P59" i="16"/>
  <c r="M59" i="16"/>
  <c r="O59" i="16" s="1"/>
  <c r="K59" i="16"/>
  <c r="H59" i="16" s="1"/>
  <c r="J59" i="16" s="1"/>
  <c r="F59" i="16"/>
  <c r="C59" i="16"/>
  <c r="E59" i="16" s="1"/>
  <c r="P58" i="16"/>
  <c r="M58" i="16" s="1"/>
  <c r="O58" i="16" s="1"/>
  <c r="K58" i="16"/>
  <c r="J58" i="16"/>
  <c r="H58" i="16"/>
  <c r="F58" i="16"/>
  <c r="C58" i="16" s="1"/>
  <c r="E58" i="16" s="1"/>
  <c r="P57" i="16"/>
  <c r="M57" i="16" s="1"/>
  <c r="O57" i="16" s="1"/>
  <c r="K57" i="16"/>
  <c r="H57" i="16"/>
  <c r="J57" i="16" s="1"/>
  <c r="F57" i="16"/>
  <c r="C57" i="16" s="1"/>
  <c r="E57" i="16" s="1"/>
  <c r="P56" i="16"/>
  <c r="O56" i="16"/>
  <c r="M56" i="16"/>
  <c r="K56" i="16"/>
  <c r="H56" i="16" s="1"/>
  <c r="J56" i="16" s="1"/>
  <c r="F56" i="16"/>
  <c r="E56" i="16"/>
  <c r="C56" i="16"/>
  <c r="P55" i="16"/>
  <c r="M55" i="16" s="1"/>
  <c r="O55" i="16" s="1"/>
  <c r="K55" i="16"/>
  <c r="H55" i="16"/>
  <c r="J55" i="16" s="1"/>
  <c r="F55" i="16"/>
  <c r="C55" i="16" s="1"/>
  <c r="E55" i="16" s="1"/>
  <c r="P54" i="16"/>
  <c r="O54" i="16"/>
  <c r="M54" i="16"/>
  <c r="K54" i="16"/>
  <c r="H54" i="16" s="1"/>
  <c r="J54" i="16" s="1"/>
  <c r="F54" i="16"/>
  <c r="E54" i="16"/>
  <c r="C54" i="16"/>
  <c r="P53" i="16"/>
  <c r="M53" i="16"/>
  <c r="O53" i="16" s="1"/>
  <c r="K53" i="16"/>
  <c r="H53" i="16" s="1"/>
  <c r="J53" i="16" s="1"/>
  <c r="F53" i="16"/>
  <c r="C53" i="16"/>
  <c r="E53" i="16" s="1"/>
  <c r="P52" i="16"/>
  <c r="M52" i="16" s="1"/>
  <c r="O52" i="16" s="1"/>
  <c r="K52" i="16"/>
  <c r="J52" i="16"/>
  <c r="H52" i="16"/>
  <c r="F52" i="16"/>
  <c r="C52" i="16" s="1"/>
  <c r="E52" i="16" s="1"/>
  <c r="P51" i="16"/>
  <c r="M51" i="16"/>
  <c r="O51" i="16" s="1"/>
  <c r="K51" i="16"/>
  <c r="H51" i="16" s="1"/>
  <c r="J51" i="16" s="1"/>
  <c r="F51" i="16"/>
  <c r="C51" i="16"/>
  <c r="E51" i="16" s="1"/>
  <c r="P50" i="16"/>
  <c r="M50" i="16" s="1"/>
  <c r="O50" i="16" s="1"/>
  <c r="K50" i="16"/>
  <c r="J50" i="16"/>
  <c r="H50" i="16"/>
  <c r="F50" i="16"/>
  <c r="C50" i="16" s="1"/>
  <c r="E50" i="16" s="1"/>
  <c r="P49" i="16"/>
  <c r="M49" i="16" s="1"/>
  <c r="O49" i="16" s="1"/>
  <c r="K49" i="16"/>
  <c r="H49" i="16"/>
  <c r="J49" i="16" s="1"/>
  <c r="F49" i="16"/>
  <c r="C49" i="16" s="1"/>
  <c r="E49" i="16" s="1"/>
  <c r="P48" i="16"/>
  <c r="O48" i="16"/>
  <c r="M48" i="16"/>
  <c r="K48" i="16"/>
  <c r="H48" i="16" s="1"/>
  <c r="J48" i="16" s="1"/>
  <c r="F48" i="16"/>
  <c r="E48" i="16"/>
  <c r="C48" i="16"/>
  <c r="P47" i="16"/>
  <c r="M47" i="16" s="1"/>
  <c r="O47" i="16" s="1"/>
  <c r="K47" i="16"/>
  <c r="H47" i="16"/>
  <c r="J47" i="16" s="1"/>
  <c r="F47" i="16"/>
  <c r="C47" i="16" s="1"/>
  <c r="E47" i="16" s="1"/>
  <c r="P46" i="16"/>
  <c r="O46" i="16"/>
  <c r="M46" i="16"/>
  <c r="K46" i="16"/>
  <c r="H46" i="16" s="1"/>
  <c r="J46" i="16" s="1"/>
  <c r="F46" i="16"/>
  <c r="E46" i="16"/>
  <c r="C46" i="16"/>
  <c r="P45" i="16"/>
  <c r="M45" i="16"/>
  <c r="O45" i="16" s="1"/>
  <c r="K45" i="16"/>
  <c r="H45" i="16" s="1"/>
  <c r="J45" i="16" s="1"/>
  <c r="F45" i="16"/>
  <c r="C45" i="16"/>
  <c r="E45" i="16" s="1"/>
  <c r="P44" i="16"/>
  <c r="M44" i="16" s="1"/>
  <c r="O44" i="16" s="1"/>
  <c r="K44" i="16"/>
  <c r="J44" i="16"/>
  <c r="H44" i="16"/>
  <c r="F44" i="16"/>
  <c r="C44" i="16" s="1"/>
  <c r="E44" i="16" s="1"/>
  <c r="P43" i="16"/>
  <c r="M43" i="16"/>
  <c r="O43" i="16" s="1"/>
  <c r="K43" i="16"/>
  <c r="H43" i="16" s="1"/>
  <c r="J43" i="16" s="1"/>
  <c r="F43" i="16"/>
  <c r="C43" i="16"/>
  <c r="E43" i="16" s="1"/>
  <c r="P42" i="16"/>
  <c r="M42" i="16" s="1"/>
  <c r="O42" i="16" s="1"/>
  <c r="K42" i="16"/>
  <c r="J42" i="16"/>
  <c r="H42" i="16"/>
  <c r="F42" i="16"/>
  <c r="C42" i="16" s="1"/>
  <c r="E42" i="16" s="1"/>
  <c r="P41" i="16"/>
  <c r="M41" i="16" s="1"/>
  <c r="O41" i="16" s="1"/>
  <c r="K41" i="16"/>
  <c r="H41" i="16"/>
  <c r="J41" i="16" s="1"/>
  <c r="F41" i="16"/>
  <c r="C41" i="16" s="1"/>
  <c r="E41" i="16" s="1"/>
  <c r="P40" i="16"/>
  <c r="O40" i="16"/>
  <c r="M40" i="16"/>
  <c r="K40" i="16"/>
  <c r="H40" i="16" s="1"/>
  <c r="J40" i="16" s="1"/>
  <c r="F40" i="16"/>
  <c r="E40" i="16"/>
  <c r="C40" i="16"/>
  <c r="P39" i="16"/>
  <c r="M39" i="16" s="1"/>
  <c r="O39" i="16" s="1"/>
  <c r="K39" i="16"/>
  <c r="H39" i="16"/>
  <c r="J39" i="16" s="1"/>
  <c r="F39" i="16"/>
  <c r="C39" i="16" s="1"/>
  <c r="E39" i="16" s="1"/>
  <c r="P38" i="16"/>
  <c r="O38" i="16"/>
  <c r="M38" i="16"/>
  <c r="K38" i="16"/>
  <c r="H38" i="16" s="1"/>
  <c r="J38" i="16" s="1"/>
  <c r="F38" i="16"/>
  <c r="E38" i="16"/>
  <c r="C38" i="16"/>
  <c r="P37" i="16"/>
  <c r="M37" i="16"/>
  <c r="O37" i="16" s="1"/>
  <c r="K37" i="16"/>
  <c r="H37" i="16" s="1"/>
  <c r="J37" i="16" s="1"/>
  <c r="F37" i="16"/>
  <c r="C37" i="16"/>
  <c r="E37" i="16" s="1"/>
  <c r="P36" i="16"/>
  <c r="M36" i="16" s="1"/>
  <c r="O36" i="16" s="1"/>
  <c r="K36" i="16"/>
  <c r="J36" i="16"/>
  <c r="H36" i="16"/>
  <c r="F36" i="16"/>
  <c r="C36" i="16" s="1"/>
  <c r="E36" i="16" s="1"/>
  <c r="P35" i="16"/>
  <c r="M35" i="16"/>
  <c r="O35" i="16" s="1"/>
  <c r="K35" i="16"/>
  <c r="H35" i="16" s="1"/>
  <c r="J35" i="16" s="1"/>
  <c r="F35" i="16"/>
  <c r="C35" i="16"/>
  <c r="E35" i="16" s="1"/>
  <c r="P34" i="16"/>
  <c r="M34" i="16" s="1"/>
  <c r="O34" i="16" s="1"/>
  <c r="K34" i="16"/>
  <c r="J34" i="16"/>
  <c r="H34" i="16"/>
  <c r="F34" i="16"/>
  <c r="C34" i="16" s="1"/>
  <c r="E34" i="16" s="1"/>
  <c r="P33" i="16"/>
  <c r="M33" i="16" s="1"/>
  <c r="O33" i="16" s="1"/>
  <c r="K33" i="16"/>
  <c r="H33" i="16"/>
  <c r="J33" i="16" s="1"/>
  <c r="F33" i="16"/>
  <c r="C33" i="16" s="1"/>
  <c r="E33" i="16" s="1"/>
  <c r="P32" i="16"/>
  <c r="O32" i="16"/>
  <c r="M32" i="16"/>
  <c r="K32" i="16"/>
  <c r="H32" i="16" s="1"/>
  <c r="J32" i="16" s="1"/>
  <c r="F32" i="16"/>
  <c r="E32" i="16"/>
  <c r="C32" i="16"/>
  <c r="P31" i="16"/>
  <c r="M31" i="16" s="1"/>
  <c r="O31" i="16" s="1"/>
  <c r="K31" i="16"/>
  <c r="H31" i="16"/>
  <c r="J31" i="16" s="1"/>
  <c r="F31" i="16"/>
  <c r="C31" i="16" s="1"/>
  <c r="E31" i="16" s="1"/>
  <c r="P30" i="16"/>
  <c r="O30" i="16"/>
  <c r="M30" i="16"/>
  <c r="K30" i="16"/>
  <c r="H30" i="16" s="1"/>
  <c r="J30" i="16" s="1"/>
  <c r="F30" i="16"/>
  <c r="E30" i="16"/>
  <c r="C30" i="16"/>
  <c r="P29" i="16"/>
  <c r="M29" i="16"/>
  <c r="O29" i="16" s="1"/>
  <c r="K29" i="16"/>
  <c r="H29" i="16" s="1"/>
  <c r="J29" i="16" s="1"/>
  <c r="F29" i="16"/>
  <c r="C29" i="16"/>
  <c r="E29" i="16" s="1"/>
  <c r="P28" i="16"/>
  <c r="M28" i="16" s="1"/>
  <c r="O28" i="16" s="1"/>
  <c r="K28" i="16"/>
  <c r="J28" i="16"/>
  <c r="H28" i="16"/>
  <c r="F28" i="16"/>
  <c r="C28" i="16" s="1"/>
  <c r="E28" i="16" s="1"/>
  <c r="P27" i="16"/>
  <c r="M27" i="16"/>
  <c r="O27" i="16" s="1"/>
  <c r="K27" i="16"/>
  <c r="H27" i="16" s="1"/>
  <c r="J27" i="16" s="1"/>
  <c r="F27" i="16"/>
  <c r="C27" i="16"/>
  <c r="E27" i="16" s="1"/>
  <c r="P26" i="16"/>
  <c r="M26" i="16" s="1"/>
  <c r="O26" i="16" s="1"/>
  <c r="K26" i="16"/>
  <c r="J26" i="16"/>
  <c r="H26" i="16"/>
  <c r="F26" i="16"/>
  <c r="C26" i="16" s="1"/>
  <c r="E26" i="16" s="1"/>
  <c r="P25" i="16"/>
  <c r="M25" i="16" s="1"/>
  <c r="O25" i="16" s="1"/>
  <c r="K25" i="16"/>
  <c r="H25" i="16"/>
  <c r="J25" i="16" s="1"/>
  <c r="F25" i="16"/>
  <c r="C25" i="16" s="1"/>
  <c r="E25" i="16" s="1"/>
  <c r="P24" i="16"/>
  <c r="O24" i="16"/>
  <c r="M24" i="16"/>
  <c r="K24" i="16"/>
  <c r="H24" i="16" s="1"/>
  <c r="J24" i="16" s="1"/>
  <c r="F24" i="16"/>
  <c r="E24" i="16"/>
  <c r="C24" i="16"/>
  <c r="P23" i="16"/>
  <c r="M23" i="16" s="1"/>
  <c r="O23" i="16" s="1"/>
  <c r="K23" i="16"/>
  <c r="H23" i="16"/>
  <c r="J23" i="16" s="1"/>
  <c r="F23" i="16"/>
  <c r="C23" i="16" s="1"/>
  <c r="E23" i="16" s="1"/>
  <c r="P22" i="16"/>
  <c r="O22" i="16"/>
  <c r="M22" i="16"/>
  <c r="L22" i="16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L84" i="16" s="1"/>
  <c r="L85" i="16" s="1"/>
  <c r="L86" i="16" s="1"/>
  <c r="L87" i="16" s="1"/>
  <c r="L88" i="16" s="1"/>
  <c r="L89" i="16" s="1"/>
  <c r="K22" i="16"/>
  <c r="H22" i="16" s="1"/>
  <c r="J22" i="16" s="1"/>
  <c r="G22" i="16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F22" i="16"/>
  <c r="E22" i="16"/>
  <c r="C22" i="16"/>
  <c r="O21" i="16"/>
  <c r="J21" i="16"/>
  <c r="E21" i="16"/>
  <c r="C20" i="16"/>
  <c r="D20" i="16" s="1"/>
  <c r="E20" i="16" s="1"/>
  <c r="F20" i="16" s="1"/>
  <c r="G20" i="16" s="1"/>
  <c r="H20" i="16" s="1"/>
  <c r="I20" i="16" s="1"/>
  <c r="J20" i="16" s="1"/>
  <c r="K20" i="16" s="1"/>
  <c r="L20" i="16" s="1"/>
  <c r="M20" i="16" s="1"/>
  <c r="N20" i="16" s="1"/>
  <c r="O20" i="16" s="1"/>
  <c r="P20" i="16" s="1"/>
  <c r="Q20" i="16" s="1"/>
  <c r="R20" i="16" s="1"/>
  <c r="B20" i="16"/>
  <c r="F9" i="16"/>
  <c r="A3" i="16"/>
  <c r="P89" i="15"/>
  <c r="M89" i="15"/>
  <c r="O89" i="15" s="1"/>
  <c r="K89" i="15"/>
  <c r="H89" i="15" s="1"/>
  <c r="J89" i="15" s="1"/>
  <c r="F89" i="15"/>
  <c r="C89" i="15"/>
  <c r="E89" i="15" s="1"/>
  <c r="P88" i="15"/>
  <c r="M88" i="15" s="1"/>
  <c r="O88" i="15" s="1"/>
  <c r="K88" i="15"/>
  <c r="H88" i="15" s="1"/>
  <c r="J88" i="15" s="1"/>
  <c r="F88" i="15"/>
  <c r="C88" i="15" s="1"/>
  <c r="E88" i="15" s="1"/>
  <c r="P87" i="15"/>
  <c r="M87" i="15" s="1"/>
  <c r="O87" i="15" s="1"/>
  <c r="K87" i="15"/>
  <c r="H87" i="15"/>
  <c r="J87" i="15" s="1"/>
  <c r="F87" i="15"/>
  <c r="C87" i="15" s="1"/>
  <c r="E87" i="15" s="1"/>
  <c r="P86" i="15"/>
  <c r="O86" i="15"/>
  <c r="M86" i="15"/>
  <c r="K86" i="15"/>
  <c r="J86" i="15"/>
  <c r="H86" i="15"/>
  <c r="F86" i="15"/>
  <c r="E86" i="15"/>
  <c r="C86" i="15"/>
  <c r="P85" i="15"/>
  <c r="M85" i="15" s="1"/>
  <c r="O85" i="15" s="1"/>
  <c r="K85" i="15"/>
  <c r="H85" i="15"/>
  <c r="J85" i="15" s="1"/>
  <c r="F85" i="15"/>
  <c r="C85" i="15" s="1"/>
  <c r="E85" i="15" s="1"/>
  <c r="P84" i="15"/>
  <c r="M84" i="15" s="1"/>
  <c r="O84" i="15" s="1"/>
  <c r="K84" i="15"/>
  <c r="H84" i="15" s="1"/>
  <c r="J84" i="15" s="1"/>
  <c r="F84" i="15"/>
  <c r="C84" i="15" s="1"/>
  <c r="E84" i="15" s="1"/>
  <c r="P83" i="15"/>
  <c r="M83" i="15"/>
  <c r="O83" i="15" s="1"/>
  <c r="K83" i="15"/>
  <c r="H83" i="15" s="1"/>
  <c r="J83" i="15" s="1"/>
  <c r="F83" i="15"/>
  <c r="C83" i="15"/>
  <c r="E83" i="15" s="1"/>
  <c r="P82" i="15"/>
  <c r="O82" i="15"/>
  <c r="M82" i="15"/>
  <c r="K82" i="15"/>
  <c r="J82" i="15"/>
  <c r="H82" i="15"/>
  <c r="F82" i="15"/>
  <c r="E82" i="15"/>
  <c r="C82" i="15"/>
  <c r="P81" i="15"/>
  <c r="M81" i="15"/>
  <c r="O81" i="15" s="1"/>
  <c r="K81" i="15"/>
  <c r="H81" i="15" s="1"/>
  <c r="J81" i="15" s="1"/>
  <c r="F81" i="15"/>
  <c r="C81" i="15"/>
  <c r="E81" i="15" s="1"/>
  <c r="P80" i="15"/>
  <c r="M80" i="15" s="1"/>
  <c r="O80" i="15" s="1"/>
  <c r="K80" i="15"/>
  <c r="H80" i="15" s="1"/>
  <c r="J80" i="15" s="1"/>
  <c r="F80" i="15"/>
  <c r="C80" i="15" s="1"/>
  <c r="E80" i="15" s="1"/>
  <c r="P79" i="15"/>
  <c r="M79" i="15" s="1"/>
  <c r="O79" i="15" s="1"/>
  <c r="K79" i="15"/>
  <c r="H79" i="15"/>
  <c r="J79" i="15" s="1"/>
  <c r="F79" i="15"/>
  <c r="C79" i="15" s="1"/>
  <c r="E79" i="15" s="1"/>
  <c r="P78" i="15"/>
  <c r="O78" i="15"/>
  <c r="M78" i="15"/>
  <c r="K78" i="15"/>
  <c r="J78" i="15"/>
  <c r="H78" i="15"/>
  <c r="F78" i="15"/>
  <c r="E78" i="15"/>
  <c r="C78" i="15"/>
  <c r="P77" i="15"/>
  <c r="M77" i="15" s="1"/>
  <c r="O77" i="15" s="1"/>
  <c r="K77" i="15"/>
  <c r="H77" i="15"/>
  <c r="J77" i="15" s="1"/>
  <c r="F77" i="15"/>
  <c r="C77" i="15" s="1"/>
  <c r="E77" i="15" s="1"/>
  <c r="P76" i="15"/>
  <c r="M76" i="15" s="1"/>
  <c r="O76" i="15" s="1"/>
  <c r="K76" i="15"/>
  <c r="H76" i="15" s="1"/>
  <c r="J76" i="15" s="1"/>
  <c r="F76" i="15"/>
  <c r="C76" i="15" s="1"/>
  <c r="E76" i="15" s="1"/>
  <c r="P75" i="15"/>
  <c r="M75" i="15"/>
  <c r="O75" i="15" s="1"/>
  <c r="K75" i="15"/>
  <c r="H75" i="15" s="1"/>
  <c r="J75" i="15" s="1"/>
  <c r="F75" i="15"/>
  <c r="C75" i="15"/>
  <c r="E75" i="15" s="1"/>
  <c r="P74" i="15"/>
  <c r="O74" i="15"/>
  <c r="M74" i="15"/>
  <c r="K74" i="15"/>
  <c r="J74" i="15"/>
  <c r="H74" i="15"/>
  <c r="F74" i="15"/>
  <c r="E74" i="15"/>
  <c r="C74" i="15"/>
  <c r="P73" i="15"/>
  <c r="M73" i="15"/>
  <c r="O73" i="15" s="1"/>
  <c r="K73" i="15"/>
  <c r="H73" i="15" s="1"/>
  <c r="J73" i="15" s="1"/>
  <c r="F73" i="15"/>
  <c r="C73" i="15"/>
  <c r="E73" i="15" s="1"/>
  <c r="P72" i="15"/>
  <c r="M72" i="15" s="1"/>
  <c r="O72" i="15" s="1"/>
  <c r="K72" i="15"/>
  <c r="H72" i="15" s="1"/>
  <c r="J72" i="15" s="1"/>
  <c r="F72" i="15"/>
  <c r="C72" i="15" s="1"/>
  <c r="E72" i="15" s="1"/>
  <c r="P71" i="15"/>
  <c r="M71" i="15" s="1"/>
  <c r="O71" i="15" s="1"/>
  <c r="K71" i="15"/>
  <c r="H71" i="15"/>
  <c r="J71" i="15" s="1"/>
  <c r="F71" i="15"/>
  <c r="C71" i="15" s="1"/>
  <c r="E71" i="15" s="1"/>
  <c r="P70" i="15"/>
  <c r="O70" i="15"/>
  <c r="M70" i="15"/>
  <c r="K70" i="15"/>
  <c r="J70" i="15"/>
  <c r="H70" i="15"/>
  <c r="F70" i="15"/>
  <c r="E70" i="15"/>
  <c r="C70" i="15"/>
  <c r="P69" i="15"/>
  <c r="M69" i="15" s="1"/>
  <c r="O69" i="15" s="1"/>
  <c r="K69" i="15"/>
  <c r="H69" i="15"/>
  <c r="J69" i="15" s="1"/>
  <c r="F69" i="15"/>
  <c r="C69" i="15" s="1"/>
  <c r="E69" i="15" s="1"/>
  <c r="P68" i="15"/>
  <c r="M68" i="15" s="1"/>
  <c r="O68" i="15" s="1"/>
  <c r="K68" i="15"/>
  <c r="H68" i="15" s="1"/>
  <c r="J68" i="15" s="1"/>
  <c r="F68" i="15"/>
  <c r="C68" i="15" s="1"/>
  <c r="E68" i="15" s="1"/>
  <c r="P67" i="15"/>
  <c r="M67" i="15"/>
  <c r="O67" i="15" s="1"/>
  <c r="K67" i="15"/>
  <c r="H67" i="15" s="1"/>
  <c r="J67" i="15" s="1"/>
  <c r="F67" i="15"/>
  <c r="C67" i="15"/>
  <c r="E67" i="15" s="1"/>
  <c r="P66" i="15"/>
  <c r="O66" i="15"/>
  <c r="M66" i="15"/>
  <c r="K66" i="15"/>
  <c r="J66" i="15"/>
  <c r="H66" i="15"/>
  <c r="F66" i="15"/>
  <c r="E66" i="15"/>
  <c r="C66" i="15"/>
  <c r="P65" i="15"/>
  <c r="M65" i="15"/>
  <c r="O65" i="15" s="1"/>
  <c r="K65" i="15"/>
  <c r="H65" i="15" s="1"/>
  <c r="J65" i="15" s="1"/>
  <c r="F65" i="15"/>
  <c r="C65" i="15"/>
  <c r="E65" i="15" s="1"/>
  <c r="P64" i="15"/>
  <c r="M64" i="15" s="1"/>
  <c r="O64" i="15" s="1"/>
  <c r="K64" i="15"/>
  <c r="H64" i="15" s="1"/>
  <c r="J64" i="15" s="1"/>
  <c r="F64" i="15"/>
  <c r="C64" i="15" s="1"/>
  <c r="E64" i="15" s="1"/>
  <c r="P63" i="15"/>
  <c r="M63" i="15" s="1"/>
  <c r="O63" i="15" s="1"/>
  <c r="K63" i="15"/>
  <c r="H63" i="15"/>
  <c r="J63" i="15" s="1"/>
  <c r="F63" i="15"/>
  <c r="C63" i="15" s="1"/>
  <c r="E63" i="15" s="1"/>
  <c r="P62" i="15"/>
  <c r="M62" i="15"/>
  <c r="O62" i="15" s="1"/>
  <c r="K62" i="15"/>
  <c r="J62" i="15"/>
  <c r="H62" i="15"/>
  <c r="F62" i="15"/>
  <c r="C62" i="15"/>
  <c r="E62" i="15" s="1"/>
  <c r="P61" i="15"/>
  <c r="M61" i="15" s="1"/>
  <c r="O61" i="15" s="1"/>
  <c r="K61" i="15"/>
  <c r="H61" i="15"/>
  <c r="J61" i="15" s="1"/>
  <c r="F61" i="15"/>
  <c r="C61" i="15" s="1"/>
  <c r="E61" i="15" s="1"/>
  <c r="P60" i="15"/>
  <c r="M60" i="15" s="1"/>
  <c r="O60" i="15" s="1"/>
  <c r="K60" i="15"/>
  <c r="H60" i="15" s="1"/>
  <c r="J60" i="15" s="1"/>
  <c r="F60" i="15"/>
  <c r="C60" i="15" s="1"/>
  <c r="E60" i="15" s="1"/>
  <c r="P59" i="15"/>
  <c r="M59" i="15"/>
  <c r="O59" i="15" s="1"/>
  <c r="K59" i="15"/>
  <c r="H59" i="15" s="1"/>
  <c r="J59" i="15" s="1"/>
  <c r="F59" i="15"/>
  <c r="C59" i="15"/>
  <c r="E59" i="15" s="1"/>
  <c r="P58" i="15"/>
  <c r="O58" i="15"/>
  <c r="M58" i="15"/>
  <c r="K58" i="15"/>
  <c r="H58" i="15"/>
  <c r="J58" i="15" s="1"/>
  <c r="F58" i="15"/>
  <c r="E58" i="15"/>
  <c r="C58" i="15"/>
  <c r="P57" i="15"/>
  <c r="M57" i="15"/>
  <c r="O57" i="15" s="1"/>
  <c r="K57" i="15"/>
  <c r="H57" i="15" s="1"/>
  <c r="J57" i="15" s="1"/>
  <c r="F57" i="15"/>
  <c r="C57" i="15"/>
  <c r="E57" i="15" s="1"/>
  <c r="P56" i="15"/>
  <c r="M56" i="15" s="1"/>
  <c r="O56" i="15" s="1"/>
  <c r="K56" i="15"/>
  <c r="H56" i="15" s="1"/>
  <c r="J56" i="15" s="1"/>
  <c r="F56" i="15"/>
  <c r="C56" i="15" s="1"/>
  <c r="E56" i="15" s="1"/>
  <c r="P55" i="15"/>
  <c r="M55" i="15" s="1"/>
  <c r="O55" i="15" s="1"/>
  <c r="K55" i="15"/>
  <c r="H55" i="15"/>
  <c r="J55" i="15" s="1"/>
  <c r="F55" i="15"/>
  <c r="C55" i="15" s="1"/>
  <c r="E55" i="15" s="1"/>
  <c r="P54" i="15"/>
  <c r="M54" i="15"/>
  <c r="O54" i="15" s="1"/>
  <c r="K54" i="15"/>
  <c r="J54" i="15"/>
  <c r="H54" i="15"/>
  <c r="F54" i="15"/>
  <c r="C54" i="15"/>
  <c r="E54" i="15" s="1"/>
  <c r="P53" i="15"/>
  <c r="M53" i="15" s="1"/>
  <c r="O53" i="15" s="1"/>
  <c r="K53" i="15"/>
  <c r="H53" i="15"/>
  <c r="J53" i="15" s="1"/>
  <c r="F53" i="15"/>
  <c r="C53" i="15" s="1"/>
  <c r="E53" i="15" s="1"/>
  <c r="P52" i="15"/>
  <c r="M52" i="15" s="1"/>
  <c r="O52" i="15" s="1"/>
  <c r="K52" i="15"/>
  <c r="H52" i="15" s="1"/>
  <c r="J52" i="15" s="1"/>
  <c r="F52" i="15"/>
  <c r="C52" i="15" s="1"/>
  <c r="E52" i="15" s="1"/>
  <c r="P51" i="15"/>
  <c r="M51" i="15"/>
  <c r="O51" i="15" s="1"/>
  <c r="K51" i="15"/>
  <c r="H51" i="15" s="1"/>
  <c r="J51" i="15" s="1"/>
  <c r="F51" i="15"/>
  <c r="C51" i="15"/>
  <c r="E51" i="15" s="1"/>
  <c r="P50" i="15"/>
  <c r="O50" i="15"/>
  <c r="M50" i="15"/>
  <c r="K50" i="15"/>
  <c r="H50" i="15"/>
  <c r="J50" i="15" s="1"/>
  <c r="F50" i="15"/>
  <c r="E50" i="15"/>
  <c r="C50" i="15"/>
  <c r="P49" i="15"/>
  <c r="M49" i="15"/>
  <c r="O49" i="15" s="1"/>
  <c r="K49" i="15"/>
  <c r="H49" i="15" s="1"/>
  <c r="J49" i="15" s="1"/>
  <c r="F49" i="15"/>
  <c r="C49" i="15"/>
  <c r="E49" i="15" s="1"/>
  <c r="P48" i="15"/>
  <c r="M48" i="15" s="1"/>
  <c r="O48" i="15" s="1"/>
  <c r="K48" i="15"/>
  <c r="H48" i="15" s="1"/>
  <c r="J48" i="15" s="1"/>
  <c r="F48" i="15"/>
  <c r="C48" i="15" s="1"/>
  <c r="E48" i="15" s="1"/>
  <c r="P47" i="15"/>
  <c r="M47" i="15" s="1"/>
  <c r="O47" i="15" s="1"/>
  <c r="K47" i="15"/>
  <c r="H47" i="15"/>
  <c r="J47" i="15" s="1"/>
  <c r="F47" i="15"/>
  <c r="C47" i="15" s="1"/>
  <c r="E47" i="15" s="1"/>
  <c r="P46" i="15"/>
  <c r="M46" i="15"/>
  <c r="O46" i="15" s="1"/>
  <c r="K46" i="15"/>
  <c r="J46" i="15"/>
  <c r="H46" i="15"/>
  <c r="F46" i="15"/>
  <c r="C46" i="15"/>
  <c r="E46" i="15" s="1"/>
  <c r="P45" i="15"/>
  <c r="M45" i="15" s="1"/>
  <c r="O45" i="15" s="1"/>
  <c r="K45" i="15"/>
  <c r="H45" i="15"/>
  <c r="J45" i="15" s="1"/>
  <c r="F45" i="15"/>
  <c r="C45" i="15" s="1"/>
  <c r="E45" i="15" s="1"/>
  <c r="P44" i="15"/>
  <c r="M44" i="15" s="1"/>
  <c r="O44" i="15" s="1"/>
  <c r="K44" i="15"/>
  <c r="H44" i="15" s="1"/>
  <c r="J44" i="15" s="1"/>
  <c r="F44" i="15"/>
  <c r="C44" i="15" s="1"/>
  <c r="E44" i="15" s="1"/>
  <c r="P43" i="15"/>
  <c r="M43" i="15"/>
  <c r="O43" i="15" s="1"/>
  <c r="K43" i="15"/>
  <c r="H43" i="15" s="1"/>
  <c r="J43" i="15" s="1"/>
  <c r="F43" i="15"/>
  <c r="C43" i="15"/>
  <c r="E43" i="15" s="1"/>
  <c r="P42" i="15"/>
  <c r="O42" i="15"/>
  <c r="M42" i="15"/>
  <c r="K42" i="15"/>
  <c r="H42" i="15"/>
  <c r="J42" i="15" s="1"/>
  <c r="F42" i="15"/>
  <c r="E42" i="15"/>
  <c r="C42" i="15"/>
  <c r="P41" i="15"/>
  <c r="M41" i="15"/>
  <c r="O41" i="15" s="1"/>
  <c r="K41" i="15"/>
  <c r="H41" i="15" s="1"/>
  <c r="J41" i="15" s="1"/>
  <c r="F41" i="15"/>
  <c r="C41" i="15"/>
  <c r="E41" i="15" s="1"/>
  <c r="P40" i="15"/>
  <c r="M40" i="15" s="1"/>
  <c r="O40" i="15" s="1"/>
  <c r="K40" i="15"/>
  <c r="H40" i="15" s="1"/>
  <c r="J40" i="15" s="1"/>
  <c r="F40" i="15"/>
  <c r="C40" i="15" s="1"/>
  <c r="E40" i="15" s="1"/>
  <c r="P39" i="15"/>
  <c r="M39" i="15" s="1"/>
  <c r="O39" i="15" s="1"/>
  <c r="K39" i="15"/>
  <c r="H39" i="15"/>
  <c r="J39" i="15" s="1"/>
  <c r="F39" i="15"/>
  <c r="C39" i="15" s="1"/>
  <c r="E39" i="15" s="1"/>
  <c r="P38" i="15"/>
  <c r="M38" i="15"/>
  <c r="O38" i="15" s="1"/>
  <c r="K38" i="15"/>
  <c r="J38" i="15"/>
  <c r="H38" i="15"/>
  <c r="F38" i="15"/>
  <c r="C38" i="15"/>
  <c r="E38" i="15" s="1"/>
  <c r="P37" i="15"/>
  <c r="M37" i="15" s="1"/>
  <c r="O37" i="15" s="1"/>
  <c r="K37" i="15"/>
  <c r="H37" i="15"/>
  <c r="J37" i="15" s="1"/>
  <c r="F37" i="15"/>
  <c r="C37" i="15" s="1"/>
  <c r="E37" i="15" s="1"/>
  <c r="P36" i="15"/>
  <c r="M36" i="15" s="1"/>
  <c r="O36" i="15" s="1"/>
  <c r="K36" i="15"/>
  <c r="H36" i="15" s="1"/>
  <c r="J36" i="15" s="1"/>
  <c r="F36" i="15"/>
  <c r="C36" i="15" s="1"/>
  <c r="E36" i="15" s="1"/>
  <c r="P35" i="15"/>
  <c r="M35" i="15"/>
  <c r="O35" i="15" s="1"/>
  <c r="K35" i="15"/>
  <c r="H35" i="15" s="1"/>
  <c r="J35" i="15" s="1"/>
  <c r="F35" i="15"/>
  <c r="C35" i="15"/>
  <c r="E35" i="15" s="1"/>
  <c r="P34" i="15"/>
  <c r="O34" i="15"/>
  <c r="M34" i="15"/>
  <c r="K34" i="15"/>
  <c r="H34" i="15"/>
  <c r="J34" i="15" s="1"/>
  <c r="F34" i="15"/>
  <c r="E34" i="15"/>
  <c r="C34" i="15"/>
  <c r="P33" i="15"/>
  <c r="M33" i="15"/>
  <c r="O33" i="15" s="1"/>
  <c r="K33" i="15"/>
  <c r="H33" i="15" s="1"/>
  <c r="J33" i="15" s="1"/>
  <c r="F33" i="15"/>
  <c r="C33" i="15"/>
  <c r="E33" i="15" s="1"/>
  <c r="P32" i="15"/>
  <c r="M32" i="15" s="1"/>
  <c r="O32" i="15" s="1"/>
  <c r="K32" i="15"/>
  <c r="H32" i="15" s="1"/>
  <c r="J32" i="15" s="1"/>
  <c r="F32" i="15"/>
  <c r="C32" i="15" s="1"/>
  <c r="E32" i="15" s="1"/>
  <c r="P31" i="15"/>
  <c r="M31" i="15" s="1"/>
  <c r="O31" i="15" s="1"/>
  <c r="K31" i="15"/>
  <c r="H31" i="15"/>
  <c r="J31" i="15" s="1"/>
  <c r="F31" i="15"/>
  <c r="C31" i="15" s="1"/>
  <c r="E31" i="15" s="1"/>
  <c r="P30" i="15"/>
  <c r="M30" i="15"/>
  <c r="O30" i="15" s="1"/>
  <c r="K30" i="15"/>
  <c r="J30" i="15"/>
  <c r="H30" i="15"/>
  <c r="F30" i="15"/>
  <c r="C30" i="15"/>
  <c r="E30" i="15" s="1"/>
  <c r="P29" i="15"/>
  <c r="M29" i="15" s="1"/>
  <c r="O29" i="15" s="1"/>
  <c r="K29" i="15"/>
  <c r="H29" i="15"/>
  <c r="J29" i="15" s="1"/>
  <c r="F29" i="15"/>
  <c r="C29" i="15" s="1"/>
  <c r="E29" i="15" s="1"/>
  <c r="P28" i="15"/>
  <c r="M28" i="15" s="1"/>
  <c r="O28" i="15" s="1"/>
  <c r="K28" i="15"/>
  <c r="H28" i="15" s="1"/>
  <c r="J28" i="15" s="1"/>
  <c r="F28" i="15"/>
  <c r="C28" i="15" s="1"/>
  <c r="E28" i="15" s="1"/>
  <c r="P27" i="15"/>
  <c r="M27" i="15"/>
  <c r="O27" i="15" s="1"/>
  <c r="K27" i="15"/>
  <c r="H27" i="15" s="1"/>
  <c r="J27" i="15" s="1"/>
  <c r="F27" i="15"/>
  <c r="C27" i="15"/>
  <c r="E27" i="15" s="1"/>
  <c r="P26" i="15"/>
  <c r="O26" i="15"/>
  <c r="M26" i="15"/>
  <c r="K26" i="15"/>
  <c r="H26" i="15"/>
  <c r="J26" i="15" s="1"/>
  <c r="F26" i="15"/>
  <c r="E26" i="15"/>
  <c r="C26" i="15"/>
  <c r="P25" i="15"/>
  <c r="M25" i="15"/>
  <c r="O25" i="15" s="1"/>
  <c r="K25" i="15"/>
  <c r="H25" i="15" s="1"/>
  <c r="J25" i="15" s="1"/>
  <c r="F25" i="15"/>
  <c r="C25" i="15"/>
  <c r="E25" i="15" s="1"/>
  <c r="P24" i="15"/>
  <c r="M24" i="15" s="1"/>
  <c r="O24" i="15" s="1"/>
  <c r="K24" i="15"/>
  <c r="H24" i="15" s="1"/>
  <c r="J24" i="15" s="1"/>
  <c r="F24" i="15"/>
  <c r="C24" i="15" s="1"/>
  <c r="E24" i="15" s="1"/>
  <c r="P23" i="15"/>
  <c r="M23" i="15" s="1"/>
  <c r="O23" i="15" s="1"/>
  <c r="K23" i="15"/>
  <c r="H23" i="15"/>
  <c r="J23" i="15" s="1"/>
  <c r="F23" i="15"/>
  <c r="C23" i="15" s="1"/>
  <c r="E23" i="15" s="1"/>
  <c r="P22" i="15"/>
  <c r="M22" i="15"/>
  <c r="O22" i="15" s="1"/>
  <c r="L22" i="15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K22" i="15"/>
  <c r="J22" i="15"/>
  <c r="H22" i="15"/>
  <c r="G22" i="15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F22" i="15"/>
  <c r="C22" i="15"/>
  <c r="E22" i="15" s="1"/>
  <c r="O21" i="15"/>
  <c r="J21" i="15"/>
  <c r="E21" i="15"/>
  <c r="C20" i="15"/>
  <c r="D20" i="15" s="1"/>
  <c r="E20" i="15" s="1"/>
  <c r="F20" i="15" s="1"/>
  <c r="G20" i="15" s="1"/>
  <c r="H20" i="15" s="1"/>
  <c r="I20" i="15" s="1"/>
  <c r="J20" i="15" s="1"/>
  <c r="K20" i="15" s="1"/>
  <c r="L20" i="15" s="1"/>
  <c r="M20" i="15" s="1"/>
  <c r="N20" i="15" s="1"/>
  <c r="O20" i="15" s="1"/>
  <c r="P20" i="15" s="1"/>
  <c r="Q20" i="15" s="1"/>
  <c r="R20" i="15" s="1"/>
  <c r="B20" i="15"/>
  <c r="F9" i="15"/>
  <c r="A3" i="15"/>
  <c r="P89" i="14"/>
  <c r="M89" i="14"/>
  <c r="O89" i="14" s="1"/>
  <c r="K89" i="14"/>
  <c r="H89" i="14" s="1"/>
  <c r="J89" i="14" s="1"/>
  <c r="F89" i="14"/>
  <c r="C89" i="14"/>
  <c r="E89" i="14" s="1"/>
  <c r="P88" i="14"/>
  <c r="M88" i="14" s="1"/>
  <c r="O88" i="14" s="1"/>
  <c r="K88" i="14"/>
  <c r="H88" i="14"/>
  <c r="J88" i="14" s="1"/>
  <c r="F88" i="14"/>
  <c r="C88" i="14" s="1"/>
  <c r="E88" i="14" s="1"/>
  <c r="P87" i="14"/>
  <c r="M87" i="14"/>
  <c r="O87" i="14" s="1"/>
  <c r="K87" i="14"/>
  <c r="H87" i="14" s="1"/>
  <c r="J87" i="14" s="1"/>
  <c r="F87" i="14"/>
  <c r="C87" i="14"/>
  <c r="E87" i="14" s="1"/>
  <c r="P86" i="14"/>
  <c r="M86" i="14" s="1"/>
  <c r="O86" i="14" s="1"/>
  <c r="K86" i="14"/>
  <c r="J86" i="14"/>
  <c r="H86" i="14"/>
  <c r="F86" i="14"/>
  <c r="C86" i="14" s="1"/>
  <c r="E86" i="14" s="1"/>
  <c r="P85" i="14"/>
  <c r="M85" i="14" s="1"/>
  <c r="O85" i="14" s="1"/>
  <c r="K85" i="14"/>
  <c r="H85" i="14"/>
  <c r="J85" i="14" s="1"/>
  <c r="F85" i="14"/>
  <c r="C85" i="14" s="1"/>
  <c r="E85" i="14" s="1"/>
  <c r="P84" i="14"/>
  <c r="M84" i="14"/>
  <c r="O84" i="14" s="1"/>
  <c r="K84" i="14"/>
  <c r="H84" i="14" s="1"/>
  <c r="J84" i="14" s="1"/>
  <c r="F84" i="14"/>
  <c r="C84" i="14"/>
  <c r="E84" i="14" s="1"/>
  <c r="P83" i="14"/>
  <c r="M83" i="14" s="1"/>
  <c r="O83" i="14" s="1"/>
  <c r="K83" i="14"/>
  <c r="H83" i="14"/>
  <c r="J83" i="14" s="1"/>
  <c r="F83" i="14"/>
  <c r="C83" i="14" s="1"/>
  <c r="E83" i="14" s="1"/>
  <c r="P82" i="14"/>
  <c r="O82" i="14"/>
  <c r="M82" i="14"/>
  <c r="K82" i="14"/>
  <c r="H82" i="14" s="1"/>
  <c r="J82" i="14" s="1"/>
  <c r="F82" i="14"/>
  <c r="E82" i="14"/>
  <c r="C82" i="14"/>
  <c r="P81" i="14"/>
  <c r="M81" i="14"/>
  <c r="O81" i="14" s="1"/>
  <c r="K81" i="14"/>
  <c r="H81" i="14" s="1"/>
  <c r="J81" i="14" s="1"/>
  <c r="F81" i="14"/>
  <c r="C81" i="14"/>
  <c r="E81" i="14" s="1"/>
  <c r="P80" i="14"/>
  <c r="M80" i="14" s="1"/>
  <c r="O80" i="14" s="1"/>
  <c r="K80" i="14"/>
  <c r="H80" i="14"/>
  <c r="J80" i="14" s="1"/>
  <c r="F80" i="14"/>
  <c r="C80" i="14" s="1"/>
  <c r="E80" i="14" s="1"/>
  <c r="P79" i="14"/>
  <c r="M79" i="14"/>
  <c r="O79" i="14" s="1"/>
  <c r="K79" i="14"/>
  <c r="H79" i="14" s="1"/>
  <c r="J79" i="14" s="1"/>
  <c r="F79" i="14"/>
  <c r="C79" i="14"/>
  <c r="E79" i="14" s="1"/>
  <c r="P78" i="14"/>
  <c r="M78" i="14" s="1"/>
  <c r="O78" i="14" s="1"/>
  <c r="K78" i="14"/>
  <c r="J78" i="14"/>
  <c r="H78" i="14"/>
  <c r="F78" i="14"/>
  <c r="C78" i="14" s="1"/>
  <c r="E78" i="14" s="1"/>
  <c r="P77" i="14"/>
  <c r="M77" i="14" s="1"/>
  <c r="O77" i="14" s="1"/>
  <c r="K77" i="14"/>
  <c r="H77" i="14"/>
  <c r="J77" i="14" s="1"/>
  <c r="F77" i="14"/>
  <c r="C77" i="14" s="1"/>
  <c r="E77" i="14" s="1"/>
  <c r="P76" i="14"/>
  <c r="M76" i="14"/>
  <c r="O76" i="14" s="1"/>
  <c r="K76" i="14"/>
  <c r="H76" i="14" s="1"/>
  <c r="J76" i="14" s="1"/>
  <c r="F76" i="14"/>
  <c r="C76" i="14"/>
  <c r="E76" i="14" s="1"/>
  <c r="P75" i="14"/>
  <c r="M75" i="14" s="1"/>
  <c r="O75" i="14" s="1"/>
  <c r="K75" i="14"/>
  <c r="H75" i="14"/>
  <c r="J75" i="14" s="1"/>
  <c r="F75" i="14"/>
  <c r="C75" i="14" s="1"/>
  <c r="E75" i="14" s="1"/>
  <c r="P74" i="14"/>
  <c r="O74" i="14"/>
  <c r="M74" i="14"/>
  <c r="K74" i="14"/>
  <c r="H74" i="14" s="1"/>
  <c r="J74" i="14" s="1"/>
  <c r="F74" i="14"/>
  <c r="E74" i="14"/>
  <c r="C74" i="14"/>
  <c r="P73" i="14"/>
  <c r="M73" i="14"/>
  <c r="O73" i="14" s="1"/>
  <c r="K73" i="14"/>
  <c r="H73" i="14" s="1"/>
  <c r="J73" i="14" s="1"/>
  <c r="F73" i="14"/>
  <c r="C73" i="14"/>
  <c r="E73" i="14" s="1"/>
  <c r="P72" i="14"/>
  <c r="M72" i="14" s="1"/>
  <c r="O72" i="14" s="1"/>
  <c r="K72" i="14"/>
  <c r="H72" i="14"/>
  <c r="J72" i="14" s="1"/>
  <c r="F72" i="14"/>
  <c r="C72" i="14" s="1"/>
  <c r="E72" i="14" s="1"/>
  <c r="P71" i="14"/>
  <c r="M71" i="14"/>
  <c r="O71" i="14" s="1"/>
  <c r="K71" i="14"/>
  <c r="H71" i="14" s="1"/>
  <c r="J71" i="14" s="1"/>
  <c r="F71" i="14"/>
  <c r="C71" i="14"/>
  <c r="E71" i="14" s="1"/>
  <c r="P70" i="14"/>
  <c r="M70" i="14" s="1"/>
  <c r="O70" i="14" s="1"/>
  <c r="K70" i="14"/>
  <c r="J70" i="14"/>
  <c r="H70" i="14"/>
  <c r="F70" i="14"/>
  <c r="C70" i="14" s="1"/>
  <c r="E70" i="14" s="1"/>
  <c r="P69" i="14"/>
  <c r="M69" i="14" s="1"/>
  <c r="O69" i="14" s="1"/>
  <c r="K69" i="14"/>
  <c r="H69" i="14"/>
  <c r="J69" i="14" s="1"/>
  <c r="F69" i="14"/>
  <c r="C69" i="14" s="1"/>
  <c r="E69" i="14" s="1"/>
  <c r="P68" i="14"/>
  <c r="M68" i="14"/>
  <c r="O68" i="14" s="1"/>
  <c r="K68" i="14"/>
  <c r="H68" i="14" s="1"/>
  <c r="J68" i="14" s="1"/>
  <c r="F68" i="14"/>
  <c r="C68" i="14"/>
  <c r="E68" i="14" s="1"/>
  <c r="P67" i="14"/>
  <c r="M67" i="14" s="1"/>
  <c r="O67" i="14" s="1"/>
  <c r="K67" i="14"/>
  <c r="H67" i="14"/>
  <c r="J67" i="14" s="1"/>
  <c r="F67" i="14"/>
  <c r="C67" i="14" s="1"/>
  <c r="E67" i="14" s="1"/>
  <c r="P66" i="14"/>
  <c r="O66" i="14"/>
  <c r="M66" i="14"/>
  <c r="K66" i="14"/>
  <c r="H66" i="14" s="1"/>
  <c r="J66" i="14" s="1"/>
  <c r="F66" i="14"/>
  <c r="E66" i="14"/>
  <c r="C66" i="14"/>
  <c r="P65" i="14"/>
  <c r="M65" i="14"/>
  <c r="O65" i="14" s="1"/>
  <c r="K65" i="14"/>
  <c r="H65" i="14" s="1"/>
  <c r="J65" i="14" s="1"/>
  <c r="F65" i="14"/>
  <c r="C65" i="14"/>
  <c r="E65" i="14" s="1"/>
  <c r="P64" i="14"/>
  <c r="M64" i="14" s="1"/>
  <c r="O64" i="14" s="1"/>
  <c r="K64" i="14"/>
  <c r="H64" i="14"/>
  <c r="J64" i="14" s="1"/>
  <c r="F64" i="14"/>
  <c r="C64" i="14" s="1"/>
  <c r="E64" i="14" s="1"/>
  <c r="P63" i="14"/>
  <c r="M63" i="14"/>
  <c r="O63" i="14" s="1"/>
  <c r="K63" i="14"/>
  <c r="H63" i="14" s="1"/>
  <c r="J63" i="14" s="1"/>
  <c r="F63" i="14"/>
  <c r="C63" i="14"/>
  <c r="E63" i="14" s="1"/>
  <c r="P62" i="14"/>
  <c r="M62" i="14" s="1"/>
  <c r="O62" i="14" s="1"/>
  <c r="K62" i="14"/>
  <c r="J62" i="14"/>
  <c r="H62" i="14"/>
  <c r="F62" i="14"/>
  <c r="C62" i="14" s="1"/>
  <c r="E62" i="14" s="1"/>
  <c r="P61" i="14"/>
  <c r="M61" i="14" s="1"/>
  <c r="O61" i="14" s="1"/>
  <c r="K61" i="14"/>
  <c r="H61" i="14"/>
  <c r="J61" i="14" s="1"/>
  <c r="F61" i="14"/>
  <c r="C61" i="14" s="1"/>
  <c r="E61" i="14" s="1"/>
  <c r="P60" i="14"/>
  <c r="M60" i="14"/>
  <c r="O60" i="14" s="1"/>
  <c r="K60" i="14"/>
  <c r="H60" i="14" s="1"/>
  <c r="J60" i="14" s="1"/>
  <c r="F60" i="14"/>
  <c r="C60" i="14"/>
  <c r="E60" i="14" s="1"/>
  <c r="P59" i="14"/>
  <c r="M59" i="14" s="1"/>
  <c r="O59" i="14" s="1"/>
  <c r="K59" i="14"/>
  <c r="H59" i="14"/>
  <c r="J59" i="14" s="1"/>
  <c r="F59" i="14"/>
  <c r="C59" i="14" s="1"/>
  <c r="E59" i="14" s="1"/>
  <c r="P58" i="14"/>
  <c r="O58" i="14"/>
  <c r="M58" i="14"/>
  <c r="K58" i="14"/>
  <c r="H58" i="14" s="1"/>
  <c r="J58" i="14" s="1"/>
  <c r="F58" i="14"/>
  <c r="E58" i="14"/>
  <c r="C58" i="14"/>
  <c r="P57" i="14"/>
  <c r="M57" i="14"/>
  <c r="O57" i="14" s="1"/>
  <c r="K57" i="14"/>
  <c r="H57" i="14" s="1"/>
  <c r="J57" i="14" s="1"/>
  <c r="F57" i="14"/>
  <c r="C57" i="14"/>
  <c r="E57" i="14" s="1"/>
  <c r="P56" i="14"/>
  <c r="M56" i="14" s="1"/>
  <c r="O56" i="14" s="1"/>
  <c r="K56" i="14"/>
  <c r="H56" i="14"/>
  <c r="J56" i="14" s="1"/>
  <c r="F56" i="14"/>
  <c r="C56" i="14" s="1"/>
  <c r="E56" i="14" s="1"/>
  <c r="P55" i="14"/>
  <c r="M55" i="14"/>
  <c r="O55" i="14" s="1"/>
  <c r="K55" i="14"/>
  <c r="H55" i="14" s="1"/>
  <c r="J55" i="14" s="1"/>
  <c r="F55" i="14"/>
  <c r="C55" i="14"/>
  <c r="E55" i="14" s="1"/>
  <c r="P54" i="14"/>
  <c r="M54" i="14" s="1"/>
  <c r="O54" i="14" s="1"/>
  <c r="K54" i="14"/>
  <c r="J54" i="14"/>
  <c r="H54" i="14"/>
  <c r="F54" i="14"/>
  <c r="C54" i="14" s="1"/>
  <c r="E54" i="14" s="1"/>
  <c r="P53" i="14"/>
  <c r="M53" i="14" s="1"/>
  <c r="O53" i="14" s="1"/>
  <c r="K53" i="14"/>
  <c r="H53" i="14"/>
  <c r="J53" i="14" s="1"/>
  <c r="F53" i="14"/>
  <c r="C53" i="14" s="1"/>
  <c r="E53" i="14" s="1"/>
  <c r="P52" i="14"/>
  <c r="M52" i="14"/>
  <c r="O52" i="14" s="1"/>
  <c r="K52" i="14"/>
  <c r="H52" i="14" s="1"/>
  <c r="J52" i="14" s="1"/>
  <c r="F52" i="14"/>
  <c r="C52" i="14"/>
  <c r="E52" i="14" s="1"/>
  <c r="P51" i="14"/>
  <c r="M51" i="14" s="1"/>
  <c r="O51" i="14" s="1"/>
  <c r="K51" i="14"/>
  <c r="H51" i="14"/>
  <c r="J51" i="14" s="1"/>
  <c r="F51" i="14"/>
  <c r="C51" i="14" s="1"/>
  <c r="E51" i="14" s="1"/>
  <c r="P50" i="14"/>
  <c r="O50" i="14"/>
  <c r="M50" i="14"/>
  <c r="K50" i="14"/>
  <c r="H50" i="14" s="1"/>
  <c r="J50" i="14" s="1"/>
  <c r="F50" i="14"/>
  <c r="E50" i="14"/>
  <c r="C50" i="14"/>
  <c r="P49" i="14"/>
  <c r="M49" i="14"/>
  <c r="O49" i="14" s="1"/>
  <c r="K49" i="14"/>
  <c r="H49" i="14" s="1"/>
  <c r="J49" i="14" s="1"/>
  <c r="F49" i="14"/>
  <c r="C49" i="14"/>
  <c r="E49" i="14" s="1"/>
  <c r="P48" i="14"/>
  <c r="M48" i="14" s="1"/>
  <c r="O48" i="14" s="1"/>
  <c r="K48" i="14"/>
  <c r="H48" i="14"/>
  <c r="J48" i="14" s="1"/>
  <c r="F48" i="14"/>
  <c r="C48" i="14" s="1"/>
  <c r="E48" i="14" s="1"/>
  <c r="P47" i="14"/>
  <c r="M47" i="14"/>
  <c r="O47" i="14" s="1"/>
  <c r="K47" i="14"/>
  <c r="H47" i="14" s="1"/>
  <c r="J47" i="14" s="1"/>
  <c r="F47" i="14"/>
  <c r="C47" i="14"/>
  <c r="E47" i="14" s="1"/>
  <c r="P46" i="14"/>
  <c r="M46" i="14" s="1"/>
  <c r="O46" i="14" s="1"/>
  <c r="K46" i="14"/>
  <c r="J46" i="14"/>
  <c r="H46" i="14"/>
  <c r="F46" i="14"/>
  <c r="C46" i="14" s="1"/>
  <c r="E46" i="14" s="1"/>
  <c r="P45" i="14"/>
  <c r="M45" i="14" s="1"/>
  <c r="O45" i="14" s="1"/>
  <c r="K45" i="14"/>
  <c r="H45" i="14"/>
  <c r="J45" i="14" s="1"/>
  <c r="F45" i="14"/>
  <c r="C45" i="14" s="1"/>
  <c r="E45" i="14" s="1"/>
  <c r="P44" i="14"/>
  <c r="O44" i="14"/>
  <c r="M44" i="14"/>
  <c r="K44" i="14"/>
  <c r="H44" i="14" s="1"/>
  <c r="J44" i="14" s="1"/>
  <c r="F44" i="14"/>
  <c r="E44" i="14"/>
  <c r="C44" i="14"/>
  <c r="P43" i="14"/>
  <c r="M43" i="14" s="1"/>
  <c r="O43" i="14" s="1"/>
  <c r="K43" i="14"/>
  <c r="H43" i="14"/>
  <c r="J43" i="14" s="1"/>
  <c r="F43" i="14"/>
  <c r="C43" i="14" s="1"/>
  <c r="E43" i="14" s="1"/>
  <c r="P42" i="14"/>
  <c r="O42" i="14"/>
  <c r="M42" i="14"/>
  <c r="K42" i="14"/>
  <c r="H42" i="14" s="1"/>
  <c r="J42" i="14" s="1"/>
  <c r="F42" i="14"/>
  <c r="E42" i="14"/>
  <c r="C42" i="14"/>
  <c r="P41" i="14"/>
  <c r="M41" i="14"/>
  <c r="O41" i="14" s="1"/>
  <c r="K41" i="14"/>
  <c r="H41" i="14" s="1"/>
  <c r="J41" i="14" s="1"/>
  <c r="F41" i="14"/>
  <c r="C41" i="14"/>
  <c r="E41" i="14" s="1"/>
  <c r="P40" i="14"/>
  <c r="M40" i="14" s="1"/>
  <c r="O40" i="14" s="1"/>
  <c r="K40" i="14"/>
  <c r="J40" i="14"/>
  <c r="H40" i="14"/>
  <c r="F40" i="14"/>
  <c r="C40" i="14" s="1"/>
  <c r="E40" i="14" s="1"/>
  <c r="P39" i="14"/>
  <c r="M39" i="14"/>
  <c r="O39" i="14" s="1"/>
  <c r="K39" i="14"/>
  <c r="H39" i="14" s="1"/>
  <c r="J39" i="14" s="1"/>
  <c r="F39" i="14"/>
  <c r="C39" i="14"/>
  <c r="E39" i="14" s="1"/>
  <c r="P38" i="14"/>
  <c r="M38" i="14" s="1"/>
  <c r="O38" i="14" s="1"/>
  <c r="K38" i="14"/>
  <c r="H38" i="14"/>
  <c r="J38" i="14" s="1"/>
  <c r="F38" i="14"/>
  <c r="C38" i="14" s="1"/>
  <c r="E38" i="14" s="1"/>
  <c r="P37" i="14"/>
  <c r="M37" i="14" s="1"/>
  <c r="O37" i="14" s="1"/>
  <c r="K37" i="14"/>
  <c r="H37" i="14"/>
  <c r="J37" i="14" s="1"/>
  <c r="F37" i="14"/>
  <c r="C37" i="14" s="1"/>
  <c r="E37" i="14" s="1"/>
  <c r="P36" i="14"/>
  <c r="O36" i="14"/>
  <c r="M36" i="14"/>
  <c r="K36" i="14"/>
  <c r="H36" i="14" s="1"/>
  <c r="J36" i="14" s="1"/>
  <c r="F36" i="14"/>
  <c r="E36" i="14"/>
  <c r="C36" i="14"/>
  <c r="P35" i="14"/>
  <c r="M35" i="14" s="1"/>
  <c r="O35" i="14" s="1"/>
  <c r="K35" i="14"/>
  <c r="H35" i="14"/>
  <c r="J35" i="14" s="1"/>
  <c r="F35" i="14"/>
  <c r="C35" i="14" s="1"/>
  <c r="E35" i="14" s="1"/>
  <c r="P34" i="14"/>
  <c r="M34" i="14"/>
  <c r="O34" i="14" s="1"/>
  <c r="K34" i="14"/>
  <c r="H34" i="14" s="1"/>
  <c r="J34" i="14" s="1"/>
  <c r="F34" i="14"/>
  <c r="C34" i="14"/>
  <c r="E34" i="14" s="1"/>
  <c r="P33" i="14"/>
  <c r="M33" i="14"/>
  <c r="O33" i="14" s="1"/>
  <c r="K33" i="14"/>
  <c r="H33" i="14" s="1"/>
  <c r="J33" i="14" s="1"/>
  <c r="F33" i="14"/>
  <c r="C33" i="14"/>
  <c r="E33" i="14" s="1"/>
  <c r="P32" i="14"/>
  <c r="M32" i="14" s="1"/>
  <c r="O32" i="14" s="1"/>
  <c r="K32" i="14"/>
  <c r="J32" i="14"/>
  <c r="H32" i="14"/>
  <c r="F32" i="14"/>
  <c r="C32" i="14" s="1"/>
  <c r="E32" i="14" s="1"/>
  <c r="P31" i="14"/>
  <c r="M31" i="14"/>
  <c r="O31" i="14" s="1"/>
  <c r="K31" i="14"/>
  <c r="H31" i="14" s="1"/>
  <c r="J31" i="14" s="1"/>
  <c r="F31" i="14"/>
  <c r="C31" i="14"/>
  <c r="E31" i="14" s="1"/>
  <c r="P30" i="14"/>
  <c r="M30" i="14" s="1"/>
  <c r="O30" i="14" s="1"/>
  <c r="K30" i="14"/>
  <c r="H30" i="14"/>
  <c r="J30" i="14" s="1"/>
  <c r="F30" i="14"/>
  <c r="C30" i="14" s="1"/>
  <c r="E30" i="14" s="1"/>
  <c r="P29" i="14"/>
  <c r="M29" i="14" s="1"/>
  <c r="O29" i="14" s="1"/>
  <c r="K29" i="14"/>
  <c r="H29" i="14"/>
  <c r="J29" i="14" s="1"/>
  <c r="F29" i="14"/>
  <c r="C29" i="14" s="1"/>
  <c r="E29" i="14" s="1"/>
  <c r="P28" i="14"/>
  <c r="O28" i="14"/>
  <c r="M28" i="14"/>
  <c r="K28" i="14"/>
  <c r="H28" i="14" s="1"/>
  <c r="J28" i="14" s="1"/>
  <c r="F28" i="14"/>
  <c r="E28" i="14"/>
  <c r="C28" i="14"/>
  <c r="P27" i="14"/>
  <c r="M27" i="14" s="1"/>
  <c r="O27" i="14" s="1"/>
  <c r="K27" i="14"/>
  <c r="H27" i="14"/>
  <c r="J27" i="14" s="1"/>
  <c r="F27" i="14"/>
  <c r="C27" i="14" s="1"/>
  <c r="E27" i="14" s="1"/>
  <c r="P26" i="14"/>
  <c r="M26" i="14"/>
  <c r="O26" i="14" s="1"/>
  <c r="K26" i="14"/>
  <c r="H26" i="14" s="1"/>
  <c r="J26" i="14" s="1"/>
  <c r="F26" i="14"/>
  <c r="C26" i="14"/>
  <c r="E26" i="14" s="1"/>
  <c r="P25" i="14"/>
  <c r="M25" i="14"/>
  <c r="O25" i="14" s="1"/>
  <c r="K25" i="14"/>
  <c r="H25" i="14" s="1"/>
  <c r="J25" i="14" s="1"/>
  <c r="F25" i="14"/>
  <c r="C25" i="14"/>
  <c r="E25" i="14" s="1"/>
  <c r="P24" i="14"/>
  <c r="M24" i="14" s="1"/>
  <c r="O24" i="14" s="1"/>
  <c r="K24" i="14"/>
  <c r="J24" i="14"/>
  <c r="H24" i="14"/>
  <c r="F24" i="14"/>
  <c r="C24" i="14" s="1"/>
  <c r="E24" i="14" s="1"/>
  <c r="P23" i="14"/>
  <c r="M23" i="14"/>
  <c r="O23" i="14" s="1"/>
  <c r="K23" i="14"/>
  <c r="H23" i="14" s="1"/>
  <c r="J23" i="14" s="1"/>
  <c r="F23" i="14"/>
  <c r="C23" i="14"/>
  <c r="E23" i="14" s="1"/>
  <c r="P22" i="14"/>
  <c r="M22" i="14" s="1"/>
  <c r="O22" i="14" s="1"/>
  <c r="L22" i="14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L84" i="14" s="1"/>
  <c r="L85" i="14" s="1"/>
  <c r="L86" i="14" s="1"/>
  <c r="L87" i="14" s="1"/>
  <c r="L88" i="14" s="1"/>
  <c r="L89" i="14" s="1"/>
  <c r="K22" i="14"/>
  <c r="H22" i="14"/>
  <c r="J22" i="14" s="1"/>
  <c r="G22" i="14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F22" i="14"/>
  <c r="C22" i="14" s="1"/>
  <c r="E22" i="14" s="1"/>
  <c r="O21" i="14"/>
  <c r="J21" i="14"/>
  <c r="E21" i="14"/>
  <c r="B20" i="14"/>
  <c r="C20" i="14" s="1"/>
  <c r="D20" i="14" s="1"/>
  <c r="E20" i="14" s="1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P20" i="14" s="1"/>
  <c r="Q20" i="14" s="1"/>
  <c r="R20" i="14" s="1"/>
  <c r="F9" i="14"/>
  <c r="A3" i="14"/>
  <c r="P89" i="13"/>
  <c r="M89" i="13" s="1"/>
  <c r="O89" i="13" s="1"/>
  <c r="K89" i="13"/>
  <c r="H89" i="13"/>
  <c r="J89" i="13" s="1"/>
  <c r="F89" i="13"/>
  <c r="C89" i="13" s="1"/>
  <c r="E89" i="13" s="1"/>
  <c r="P88" i="13"/>
  <c r="M88" i="13"/>
  <c r="O88" i="13" s="1"/>
  <c r="K88" i="13"/>
  <c r="H88" i="13" s="1"/>
  <c r="J88" i="13" s="1"/>
  <c r="F88" i="13"/>
  <c r="C88" i="13"/>
  <c r="E88" i="13" s="1"/>
  <c r="P87" i="13"/>
  <c r="M87" i="13"/>
  <c r="O87" i="13" s="1"/>
  <c r="K87" i="13"/>
  <c r="H87" i="13" s="1"/>
  <c r="J87" i="13" s="1"/>
  <c r="F87" i="13"/>
  <c r="C87" i="13"/>
  <c r="E87" i="13" s="1"/>
  <c r="P86" i="13"/>
  <c r="O86" i="13"/>
  <c r="M86" i="13"/>
  <c r="K86" i="13"/>
  <c r="J86" i="13"/>
  <c r="H86" i="13"/>
  <c r="F86" i="13"/>
  <c r="E86" i="13"/>
  <c r="C86" i="13"/>
  <c r="P85" i="13"/>
  <c r="M85" i="13"/>
  <c r="O85" i="13" s="1"/>
  <c r="K85" i="13"/>
  <c r="H85" i="13" s="1"/>
  <c r="J85" i="13" s="1"/>
  <c r="F85" i="13"/>
  <c r="C85" i="13"/>
  <c r="E85" i="13" s="1"/>
  <c r="P84" i="13"/>
  <c r="M84" i="13" s="1"/>
  <c r="O84" i="13" s="1"/>
  <c r="K84" i="13"/>
  <c r="H84" i="13"/>
  <c r="J84" i="13" s="1"/>
  <c r="F84" i="13"/>
  <c r="C84" i="13" s="1"/>
  <c r="E84" i="13" s="1"/>
  <c r="P83" i="13"/>
  <c r="M83" i="13" s="1"/>
  <c r="O83" i="13" s="1"/>
  <c r="K83" i="13"/>
  <c r="H83" i="13"/>
  <c r="J83" i="13" s="1"/>
  <c r="F83" i="13"/>
  <c r="C83" i="13" s="1"/>
  <c r="E83" i="13" s="1"/>
  <c r="P82" i="13"/>
  <c r="O82" i="13"/>
  <c r="M82" i="13"/>
  <c r="K82" i="13"/>
  <c r="H82" i="13" s="1"/>
  <c r="J82" i="13" s="1"/>
  <c r="F82" i="13"/>
  <c r="E82" i="13"/>
  <c r="C82" i="13"/>
  <c r="P81" i="13"/>
  <c r="M81" i="13" s="1"/>
  <c r="O81" i="13" s="1"/>
  <c r="K81" i="13"/>
  <c r="H81" i="13"/>
  <c r="J81" i="13" s="1"/>
  <c r="F81" i="13"/>
  <c r="C81" i="13" s="1"/>
  <c r="E81" i="13" s="1"/>
  <c r="P80" i="13"/>
  <c r="M80" i="13"/>
  <c r="O80" i="13" s="1"/>
  <c r="K80" i="13"/>
  <c r="H80" i="13" s="1"/>
  <c r="J80" i="13" s="1"/>
  <c r="F80" i="13"/>
  <c r="C80" i="13"/>
  <c r="E80" i="13" s="1"/>
  <c r="P79" i="13"/>
  <c r="M79" i="13"/>
  <c r="O79" i="13" s="1"/>
  <c r="K79" i="13"/>
  <c r="H79" i="13" s="1"/>
  <c r="J79" i="13" s="1"/>
  <c r="F79" i="13"/>
  <c r="C79" i="13"/>
  <c r="E79" i="13" s="1"/>
  <c r="P78" i="13"/>
  <c r="O78" i="13"/>
  <c r="M78" i="13"/>
  <c r="K78" i="13"/>
  <c r="J78" i="13"/>
  <c r="H78" i="13"/>
  <c r="F78" i="13"/>
  <c r="E78" i="13"/>
  <c r="C78" i="13"/>
  <c r="P77" i="13"/>
  <c r="M77" i="13"/>
  <c r="O77" i="13" s="1"/>
  <c r="K77" i="13"/>
  <c r="H77" i="13" s="1"/>
  <c r="J77" i="13" s="1"/>
  <c r="F77" i="13"/>
  <c r="C77" i="13"/>
  <c r="E77" i="13" s="1"/>
  <c r="P76" i="13"/>
  <c r="M76" i="13" s="1"/>
  <c r="O76" i="13" s="1"/>
  <c r="K76" i="13"/>
  <c r="H76" i="13"/>
  <c r="J76" i="13" s="1"/>
  <c r="F76" i="13"/>
  <c r="C76" i="13" s="1"/>
  <c r="E76" i="13" s="1"/>
  <c r="P75" i="13"/>
  <c r="M75" i="13" s="1"/>
  <c r="O75" i="13" s="1"/>
  <c r="K75" i="13"/>
  <c r="H75" i="13"/>
  <c r="J75" i="13" s="1"/>
  <c r="F75" i="13"/>
  <c r="C75" i="13" s="1"/>
  <c r="E75" i="13" s="1"/>
  <c r="P74" i="13"/>
  <c r="O74" i="13"/>
  <c r="M74" i="13"/>
  <c r="K74" i="13"/>
  <c r="H74" i="13" s="1"/>
  <c r="J74" i="13" s="1"/>
  <c r="F74" i="13"/>
  <c r="E74" i="13"/>
  <c r="C74" i="13"/>
  <c r="P73" i="13"/>
  <c r="M73" i="13" s="1"/>
  <c r="O73" i="13" s="1"/>
  <c r="K73" i="13"/>
  <c r="H73" i="13"/>
  <c r="J73" i="13" s="1"/>
  <c r="F73" i="13"/>
  <c r="C73" i="13" s="1"/>
  <c r="E73" i="13" s="1"/>
  <c r="P72" i="13"/>
  <c r="M72" i="13"/>
  <c r="O72" i="13" s="1"/>
  <c r="K72" i="13"/>
  <c r="H72" i="13" s="1"/>
  <c r="J72" i="13" s="1"/>
  <c r="F72" i="13"/>
  <c r="C72" i="13"/>
  <c r="E72" i="13" s="1"/>
  <c r="P71" i="13"/>
  <c r="M71" i="13"/>
  <c r="O71" i="13" s="1"/>
  <c r="K71" i="13"/>
  <c r="H71" i="13" s="1"/>
  <c r="J71" i="13" s="1"/>
  <c r="F71" i="13"/>
  <c r="C71" i="13"/>
  <c r="E71" i="13" s="1"/>
  <c r="P70" i="13"/>
  <c r="O70" i="13"/>
  <c r="M70" i="13"/>
  <c r="K70" i="13"/>
  <c r="J70" i="13"/>
  <c r="H70" i="13"/>
  <c r="F70" i="13"/>
  <c r="E70" i="13"/>
  <c r="C70" i="13"/>
  <c r="P69" i="13"/>
  <c r="M69" i="13"/>
  <c r="O69" i="13" s="1"/>
  <c r="K69" i="13"/>
  <c r="H69" i="13" s="1"/>
  <c r="J69" i="13" s="1"/>
  <c r="F69" i="13"/>
  <c r="C69" i="13"/>
  <c r="E69" i="13" s="1"/>
  <c r="P68" i="13"/>
  <c r="M68" i="13" s="1"/>
  <c r="O68" i="13" s="1"/>
  <c r="K68" i="13"/>
  <c r="H68" i="13"/>
  <c r="J68" i="13" s="1"/>
  <c r="F68" i="13"/>
  <c r="C68" i="13" s="1"/>
  <c r="E68" i="13" s="1"/>
  <c r="P67" i="13"/>
  <c r="M67" i="13" s="1"/>
  <c r="O67" i="13" s="1"/>
  <c r="K67" i="13"/>
  <c r="H67" i="13"/>
  <c r="J67" i="13" s="1"/>
  <c r="F67" i="13"/>
  <c r="C67" i="13" s="1"/>
  <c r="E67" i="13" s="1"/>
  <c r="P66" i="13"/>
  <c r="O66" i="13"/>
  <c r="M66" i="13"/>
  <c r="K66" i="13"/>
  <c r="J66" i="13"/>
  <c r="H66" i="13"/>
  <c r="F66" i="13"/>
  <c r="E66" i="13"/>
  <c r="C66" i="13"/>
  <c r="P65" i="13"/>
  <c r="M65" i="13" s="1"/>
  <c r="O65" i="13" s="1"/>
  <c r="K65" i="13"/>
  <c r="H65" i="13"/>
  <c r="J65" i="13" s="1"/>
  <c r="F65" i="13"/>
  <c r="C65" i="13" s="1"/>
  <c r="E65" i="13" s="1"/>
  <c r="P64" i="13"/>
  <c r="M64" i="13"/>
  <c r="O64" i="13" s="1"/>
  <c r="K64" i="13"/>
  <c r="H64" i="13" s="1"/>
  <c r="J64" i="13" s="1"/>
  <c r="F64" i="13"/>
  <c r="C64" i="13"/>
  <c r="E64" i="13" s="1"/>
  <c r="P63" i="13"/>
  <c r="M63" i="13"/>
  <c r="O63" i="13" s="1"/>
  <c r="K63" i="13"/>
  <c r="H63" i="13" s="1"/>
  <c r="J63" i="13" s="1"/>
  <c r="F63" i="13"/>
  <c r="C63" i="13"/>
  <c r="E63" i="13" s="1"/>
  <c r="P62" i="13"/>
  <c r="M62" i="13" s="1"/>
  <c r="O62" i="13" s="1"/>
  <c r="K62" i="13"/>
  <c r="J62" i="13"/>
  <c r="H62" i="13"/>
  <c r="F62" i="13"/>
  <c r="C62" i="13" s="1"/>
  <c r="E62" i="13" s="1"/>
  <c r="P61" i="13"/>
  <c r="M61" i="13"/>
  <c r="O61" i="13" s="1"/>
  <c r="K61" i="13"/>
  <c r="H61" i="13" s="1"/>
  <c r="J61" i="13" s="1"/>
  <c r="F61" i="13"/>
  <c r="C61" i="13"/>
  <c r="E61" i="13" s="1"/>
  <c r="P60" i="13"/>
  <c r="M60" i="13" s="1"/>
  <c r="O60" i="13" s="1"/>
  <c r="K60" i="13"/>
  <c r="H60" i="13"/>
  <c r="J60" i="13" s="1"/>
  <c r="F60" i="13"/>
  <c r="C60" i="13" s="1"/>
  <c r="E60" i="13" s="1"/>
  <c r="P59" i="13"/>
  <c r="M59" i="13" s="1"/>
  <c r="O59" i="13" s="1"/>
  <c r="K59" i="13"/>
  <c r="H59" i="13"/>
  <c r="J59" i="13" s="1"/>
  <c r="F59" i="13"/>
  <c r="C59" i="13" s="1"/>
  <c r="E59" i="13" s="1"/>
  <c r="P58" i="13"/>
  <c r="O58" i="13"/>
  <c r="M58" i="13"/>
  <c r="K58" i="13"/>
  <c r="H58" i="13" s="1"/>
  <c r="J58" i="13" s="1"/>
  <c r="F58" i="13"/>
  <c r="E58" i="13"/>
  <c r="C58" i="13"/>
  <c r="P57" i="13"/>
  <c r="M57" i="13" s="1"/>
  <c r="O57" i="13" s="1"/>
  <c r="K57" i="13"/>
  <c r="H57" i="13"/>
  <c r="J57" i="13" s="1"/>
  <c r="F57" i="13"/>
  <c r="C57" i="13" s="1"/>
  <c r="E57" i="13" s="1"/>
  <c r="P56" i="13"/>
  <c r="M56" i="13"/>
  <c r="O56" i="13" s="1"/>
  <c r="K56" i="13"/>
  <c r="H56" i="13" s="1"/>
  <c r="J56" i="13" s="1"/>
  <c r="F56" i="13"/>
  <c r="C56" i="13"/>
  <c r="E56" i="13" s="1"/>
  <c r="P55" i="13"/>
  <c r="M55" i="13"/>
  <c r="O55" i="13" s="1"/>
  <c r="K55" i="13"/>
  <c r="H55" i="13" s="1"/>
  <c r="J55" i="13" s="1"/>
  <c r="F55" i="13"/>
  <c r="C55" i="13"/>
  <c r="E55" i="13" s="1"/>
  <c r="P54" i="13"/>
  <c r="M54" i="13" s="1"/>
  <c r="O54" i="13" s="1"/>
  <c r="K54" i="13"/>
  <c r="J54" i="13"/>
  <c r="H54" i="13"/>
  <c r="F54" i="13"/>
  <c r="C54" i="13" s="1"/>
  <c r="E54" i="13" s="1"/>
  <c r="P53" i="13"/>
  <c r="M53" i="13"/>
  <c r="O53" i="13" s="1"/>
  <c r="K53" i="13"/>
  <c r="H53" i="13" s="1"/>
  <c r="J53" i="13" s="1"/>
  <c r="F53" i="13"/>
  <c r="C53" i="13"/>
  <c r="E53" i="13" s="1"/>
  <c r="P52" i="13"/>
  <c r="M52" i="13" s="1"/>
  <c r="O52" i="13" s="1"/>
  <c r="K52" i="13"/>
  <c r="H52" i="13"/>
  <c r="J52" i="13" s="1"/>
  <c r="F52" i="13"/>
  <c r="C52" i="13" s="1"/>
  <c r="E52" i="13" s="1"/>
  <c r="P51" i="13"/>
  <c r="M51" i="13" s="1"/>
  <c r="O51" i="13" s="1"/>
  <c r="K51" i="13"/>
  <c r="H51" i="13"/>
  <c r="J51" i="13" s="1"/>
  <c r="F51" i="13"/>
  <c r="C51" i="13" s="1"/>
  <c r="E51" i="13" s="1"/>
  <c r="P50" i="13"/>
  <c r="O50" i="13"/>
  <c r="M50" i="13"/>
  <c r="K50" i="13"/>
  <c r="H50" i="13" s="1"/>
  <c r="J50" i="13" s="1"/>
  <c r="F50" i="13"/>
  <c r="E50" i="13"/>
  <c r="C50" i="13"/>
  <c r="P49" i="13"/>
  <c r="M49" i="13" s="1"/>
  <c r="O49" i="13" s="1"/>
  <c r="K49" i="13"/>
  <c r="H49" i="13"/>
  <c r="J49" i="13" s="1"/>
  <c r="F49" i="13"/>
  <c r="C49" i="13" s="1"/>
  <c r="E49" i="13" s="1"/>
  <c r="P48" i="13"/>
  <c r="M48" i="13"/>
  <c r="O48" i="13" s="1"/>
  <c r="K48" i="13"/>
  <c r="H48" i="13" s="1"/>
  <c r="J48" i="13" s="1"/>
  <c r="F48" i="13"/>
  <c r="C48" i="13"/>
  <c r="E48" i="13" s="1"/>
  <c r="P47" i="13"/>
  <c r="M47" i="13"/>
  <c r="O47" i="13" s="1"/>
  <c r="K47" i="13"/>
  <c r="H47" i="13" s="1"/>
  <c r="J47" i="13" s="1"/>
  <c r="F47" i="13"/>
  <c r="C47" i="13"/>
  <c r="E47" i="13" s="1"/>
  <c r="P46" i="13"/>
  <c r="M46" i="13" s="1"/>
  <c r="O46" i="13" s="1"/>
  <c r="K46" i="13"/>
  <c r="J46" i="13"/>
  <c r="H46" i="13"/>
  <c r="F46" i="13"/>
  <c r="C46" i="13" s="1"/>
  <c r="E46" i="13" s="1"/>
  <c r="P45" i="13"/>
  <c r="M45" i="13"/>
  <c r="O45" i="13" s="1"/>
  <c r="K45" i="13"/>
  <c r="H45" i="13" s="1"/>
  <c r="J45" i="13" s="1"/>
  <c r="F45" i="13"/>
  <c r="C45" i="13"/>
  <c r="E45" i="13" s="1"/>
  <c r="P44" i="13"/>
  <c r="M44" i="13" s="1"/>
  <c r="O44" i="13" s="1"/>
  <c r="K44" i="13"/>
  <c r="H44" i="13"/>
  <c r="J44" i="13" s="1"/>
  <c r="F44" i="13"/>
  <c r="C44" i="13" s="1"/>
  <c r="E44" i="13" s="1"/>
  <c r="P43" i="13"/>
  <c r="M43" i="13" s="1"/>
  <c r="O43" i="13" s="1"/>
  <c r="K43" i="13"/>
  <c r="H43" i="13"/>
  <c r="J43" i="13" s="1"/>
  <c r="F43" i="13"/>
  <c r="C43" i="13" s="1"/>
  <c r="E43" i="13" s="1"/>
  <c r="P42" i="13"/>
  <c r="O42" i="13"/>
  <c r="M42" i="13"/>
  <c r="K42" i="13"/>
  <c r="H42" i="13" s="1"/>
  <c r="J42" i="13" s="1"/>
  <c r="F42" i="13"/>
  <c r="E42" i="13"/>
  <c r="C42" i="13"/>
  <c r="P41" i="13"/>
  <c r="M41" i="13" s="1"/>
  <c r="O41" i="13" s="1"/>
  <c r="K41" i="13"/>
  <c r="H41" i="13"/>
  <c r="J41" i="13" s="1"/>
  <c r="F41" i="13"/>
  <c r="C41" i="13" s="1"/>
  <c r="E41" i="13" s="1"/>
  <c r="P40" i="13"/>
  <c r="M40" i="13"/>
  <c r="O40" i="13" s="1"/>
  <c r="K40" i="13"/>
  <c r="H40" i="13" s="1"/>
  <c r="J40" i="13" s="1"/>
  <c r="F40" i="13"/>
  <c r="C40" i="13"/>
  <c r="E40" i="13" s="1"/>
  <c r="P39" i="13"/>
  <c r="M39" i="13"/>
  <c r="O39" i="13" s="1"/>
  <c r="K39" i="13"/>
  <c r="H39" i="13" s="1"/>
  <c r="J39" i="13" s="1"/>
  <c r="F39" i="13"/>
  <c r="C39" i="13"/>
  <c r="E39" i="13" s="1"/>
  <c r="P38" i="13"/>
  <c r="M38" i="13" s="1"/>
  <c r="O38" i="13" s="1"/>
  <c r="K38" i="13"/>
  <c r="J38" i="13"/>
  <c r="H38" i="13"/>
  <c r="F38" i="13"/>
  <c r="C38" i="13" s="1"/>
  <c r="E38" i="13" s="1"/>
  <c r="P37" i="13"/>
  <c r="M37" i="13"/>
  <c r="O37" i="13" s="1"/>
  <c r="K37" i="13"/>
  <c r="H37" i="13" s="1"/>
  <c r="J37" i="13" s="1"/>
  <c r="F37" i="13"/>
  <c r="C37" i="13"/>
  <c r="E37" i="13" s="1"/>
  <c r="P36" i="13"/>
  <c r="M36" i="13" s="1"/>
  <c r="O36" i="13" s="1"/>
  <c r="K36" i="13"/>
  <c r="J36" i="13"/>
  <c r="H36" i="13"/>
  <c r="F36" i="13"/>
  <c r="C36" i="13" s="1"/>
  <c r="E36" i="13" s="1"/>
  <c r="P35" i="13"/>
  <c r="M35" i="13" s="1"/>
  <c r="O35" i="13" s="1"/>
  <c r="K35" i="13"/>
  <c r="H35" i="13"/>
  <c r="J35" i="13" s="1"/>
  <c r="F35" i="13"/>
  <c r="C35" i="13" s="1"/>
  <c r="E35" i="13" s="1"/>
  <c r="P34" i="13"/>
  <c r="O34" i="13"/>
  <c r="M34" i="13"/>
  <c r="K34" i="13"/>
  <c r="H34" i="13" s="1"/>
  <c r="J34" i="13" s="1"/>
  <c r="F34" i="13"/>
  <c r="E34" i="13"/>
  <c r="C34" i="13"/>
  <c r="P33" i="13"/>
  <c r="M33" i="13" s="1"/>
  <c r="O33" i="13" s="1"/>
  <c r="K33" i="13"/>
  <c r="H33" i="13"/>
  <c r="J33" i="13" s="1"/>
  <c r="F33" i="13"/>
  <c r="C33" i="13" s="1"/>
  <c r="E33" i="13" s="1"/>
  <c r="P32" i="13"/>
  <c r="O32" i="13"/>
  <c r="M32" i="13"/>
  <c r="K32" i="13"/>
  <c r="H32" i="13" s="1"/>
  <c r="J32" i="13" s="1"/>
  <c r="F32" i="13"/>
  <c r="E32" i="13"/>
  <c r="C32" i="13"/>
  <c r="P31" i="13"/>
  <c r="M31" i="13"/>
  <c r="O31" i="13" s="1"/>
  <c r="K31" i="13"/>
  <c r="H31" i="13" s="1"/>
  <c r="J31" i="13" s="1"/>
  <c r="F31" i="13"/>
  <c r="C31" i="13"/>
  <c r="E31" i="13" s="1"/>
  <c r="P30" i="13"/>
  <c r="O30" i="13"/>
  <c r="M30" i="13"/>
  <c r="K30" i="13"/>
  <c r="J30" i="13"/>
  <c r="H30" i="13"/>
  <c r="F30" i="13"/>
  <c r="C30" i="13" s="1"/>
  <c r="E30" i="13" s="1"/>
  <c r="P29" i="13"/>
  <c r="M29" i="13"/>
  <c r="O29" i="13" s="1"/>
  <c r="K29" i="13"/>
  <c r="H29" i="13" s="1"/>
  <c r="J29" i="13" s="1"/>
  <c r="F29" i="13"/>
  <c r="C29" i="13"/>
  <c r="E29" i="13" s="1"/>
  <c r="P28" i="13"/>
  <c r="M28" i="13" s="1"/>
  <c r="O28" i="13" s="1"/>
  <c r="K28" i="13"/>
  <c r="J28" i="13"/>
  <c r="H28" i="13"/>
  <c r="F28" i="13"/>
  <c r="C28" i="13" s="1"/>
  <c r="E28" i="13" s="1"/>
  <c r="P27" i="13"/>
  <c r="M27" i="13" s="1"/>
  <c r="O27" i="13" s="1"/>
  <c r="K27" i="13"/>
  <c r="H27" i="13"/>
  <c r="J27" i="13" s="1"/>
  <c r="F27" i="13"/>
  <c r="C27" i="13" s="1"/>
  <c r="E27" i="13" s="1"/>
  <c r="P26" i="13"/>
  <c r="O26" i="13"/>
  <c r="M26" i="13"/>
  <c r="K26" i="13"/>
  <c r="H26" i="13" s="1"/>
  <c r="J26" i="13" s="1"/>
  <c r="F26" i="13"/>
  <c r="E26" i="13"/>
  <c r="C26" i="13"/>
  <c r="P25" i="13"/>
  <c r="M25" i="13" s="1"/>
  <c r="O25" i="13" s="1"/>
  <c r="K25" i="13"/>
  <c r="H25" i="13"/>
  <c r="J25" i="13" s="1"/>
  <c r="F25" i="13"/>
  <c r="C25" i="13" s="1"/>
  <c r="E25" i="13" s="1"/>
  <c r="P24" i="13"/>
  <c r="O24" i="13"/>
  <c r="M24" i="13"/>
  <c r="K24" i="13"/>
  <c r="H24" i="13" s="1"/>
  <c r="J24" i="13" s="1"/>
  <c r="F24" i="13"/>
  <c r="E24" i="13"/>
  <c r="C24" i="13"/>
  <c r="P23" i="13"/>
  <c r="M23" i="13"/>
  <c r="O23" i="13" s="1"/>
  <c r="K23" i="13"/>
  <c r="H23" i="13" s="1"/>
  <c r="J23" i="13" s="1"/>
  <c r="F23" i="13"/>
  <c r="C23" i="13"/>
  <c r="E23" i="13" s="1"/>
  <c r="P22" i="13"/>
  <c r="M22" i="13" s="1"/>
  <c r="O22" i="13" s="1"/>
  <c r="L22" i="13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L84" i="13" s="1"/>
  <c r="L85" i="13" s="1"/>
  <c r="L86" i="13" s="1"/>
  <c r="L87" i="13" s="1"/>
  <c r="L88" i="13" s="1"/>
  <c r="L89" i="13" s="1"/>
  <c r="K22" i="13"/>
  <c r="J22" i="13"/>
  <c r="H22" i="13"/>
  <c r="G22" i="13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F22" i="13"/>
  <c r="C22" i="13" s="1"/>
  <c r="E22" i="13" s="1"/>
  <c r="O21" i="13"/>
  <c r="J21" i="13"/>
  <c r="E21" i="13"/>
  <c r="C20" i="13"/>
  <c r="D20" i="13" s="1"/>
  <c r="E20" i="13" s="1"/>
  <c r="F20" i="13" s="1"/>
  <c r="G20" i="13" s="1"/>
  <c r="H20" i="13" s="1"/>
  <c r="I20" i="13" s="1"/>
  <c r="J20" i="13" s="1"/>
  <c r="K20" i="13" s="1"/>
  <c r="L20" i="13" s="1"/>
  <c r="M20" i="13" s="1"/>
  <c r="N20" i="13" s="1"/>
  <c r="O20" i="13" s="1"/>
  <c r="P20" i="13" s="1"/>
  <c r="Q20" i="13" s="1"/>
  <c r="R20" i="13" s="1"/>
  <c r="B20" i="13"/>
  <c r="F9" i="13"/>
  <c r="A3" i="13"/>
  <c r="P67" i="12"/>
  <c r="M67" i="12" s="1"/>
  <c r="O67" i="12" s="1"/>
  <c r="K67" i="12"/>
  <c r="J67" i="12"/>
  <c r="H67" i="12"/>
  <c r="F67" i="12"/>
  <c r="C67" i="12" s="1"/>
  <c r="E67" i="12" s="1"/>
  <c r="P66" i="12"/>
  <c r="O66" i="12"/>
  <c r="M66" i="12"/>
  <c r="K66" i="12"/>
  <c r="H66" i="12"/>
  <c r="J66" i="12" s="1"/>
  <c r="F66" i="12"/>
  <c r="C66" i="12" s="1"/>
  <c r="E66" i="12" s="1"/>
  <c r="P65" i="12"/>
  <c r="M65" i="12"/>
  <c r="O65" i="12" s="1"/>
  <c r="K65" i="12"/>
  <c r="H65" i="12" s="1"/>
  <c r="J65" i="12" s="1"/>
  <c r="F65" i="12"/>
  <c r="C65" i="12" s="1"/>
  <c r="E65" i="12" s="1"/>
  <c r="P64" i="12"/>
  <c r="O64" i="12"/>
  <c r="M64" i="12"/>
  <c r="K64" i="12"/>
  <c r="H64" i="12" s="1"/>
  <c r="J64" i="12" s="1"/>
  <c r="F64" i="12"/>
  <c r="E64" i="12"/>
  <c r="C64" i="12"/>
  <c r="P63" i="12"/>
  <c r="M63" i="12"/>
  <c r="O63" i="12" s="1"/>
  <c r="K63" i="12"/>
  <c r="H63" i="12" s="1"/>
  <c r="J63" i="12" s="1"/>
  <c r="F63" i="12"/>
  <c r="C63" i="12"/>
  <c r="E63" i="12" s="1"/>
  <c r="P62" i="12"/>
  <c r="M62" i="12" s="1"/>
  <c r="O62" i="12" s="1"/>
  <c r="K62" i="12"/>
  <c r="H62" i="12" s="1"/>
  <c r="J62" i="12" s="1"/>
  <c r="F62" i="12"/>
  <c r="E62" i="12"/>
  <c r="C62" i="12"/>
  <c r="P61" i="12"/>
  <c r="M61" i="12" s="1"/>
  <c r="O61" i="12" s="1"/>
  <c r="K61" i="12"/>
  <c r="J61" i="12"/>
  <c r="H61" i="12"/>
  <c r="F61" i="12"/>
  <c r="C61" i="12"/>
  <c r="E61" i="12" s="1"/>
  <c r="P60" i="12"/>
  <c r="M60" i="12" s="1"/>
  <c r="O60" i="12" s="1"/>
  <c r="K60" i="12"/>
  <c r="H60" i="12"/>
  <c r="J60" i="12" s="1"/>
  <c r="F60" i="12"/>
  <c r="C60" i="12" s="1"/>
  <c r="E60" i="12" s="1"/>
  <c r="P59" i="12"/>
  <c r="M59" i="12" s="1"/>
  <c r="O59" i="12" s="1"/>
  <c r="K59" i="12"/>
  <c r="J59" i="12"/>
  <c r="H59" i="12"/>
  <c r="F59" i="12"/>
  <c r="C59" i="12" s="1"/>
  <c r="E59" i="12" s="1"/>
  <c r="P58" i="12"/>
  <c r="O58" i="12"/>
  <c r="M58" i="12"/>
  <c r="K58" i="12"/>
  <c r="H58" i="12"/>
  <c r="J58" i="12" s="1"/>
  <c r="F58" i="12"/>
  <c r="C58" i="12" s="1"/>
  <c r="E58" i="12" s="1"/>
  <c r="P57" i="12"/>
  <c r="M57" i="12"/>
  <c r="O57" i="12" s="1"/>
  <c r="K57" i="12"/>
  <c r="H57" i="12" s="1"/>
  <c r="J57" i="12" s="1"/>
  <c r="F57" i="12"/>
  <c r="C57" i="12" s="1"/>
  <c r="E57" i="12" s="1"/>
  <c r="P56" i="12"/>
  <c r="O56" i="12"/>
  <c r="M56" i="12"/>
  <c r="K56" i="12"/>
  <c r="H56" i="12" s="1"/>
  <c r="J56" i="12" s="1"/>
  <c r="F56" i="12"/>
  <c r="E56" i="12"/>
  <c r="C56" i="12"/>
  <c r="P55" i="12"/>
  <c r="M55" i="12"/>
  <c r="O55" i="12" s="1"/>
  <c r="K55" i="12"/>
  <c r="H55" i="12" s="1"/>
  <c r="J55" i="12" s="1"/>
  <c r="F55" i="12"/>
  <c r="C55" i="12"/>
  <c r="E55" i="12" s="1"/>
  <c r="P54" i="12"/>
  <c r="M54" i="12" s="1"/>
  <c r="O54" i="12" s="1"/>
  <c r="K54" i="12"/>
  <c r="H54" i="12" s="1"/>
  <c r="J54" i="12" s="1"/>
  <c r="F54" i="12"/>
  <c r="E54" i="12"/>
  <c r="C54" i="12"/>
  <c r="P53" i="12"/>
  <c r="M53" i="12" s="1"/>
  <c r="O53" i="12" s="1"/>
  <c r="K53" i="12"/>
  <c r="J53" i="12"/>
  <c r="H53" i="12"/>
  <c r="F53" i="12"/>
  <c r="C53" i="12"/>
  <c r="E53" i="12" s="1"/>
  <c r="P52" i="12"/>
  <c r="M52" i="12" s="1"/>
  <c r="O52" i="12" s="1"/>
  <c r="K52" i="12"/>
  <c r="H52" i="12"/>
  <c r="J52" i="12" s="1"/>
  <c r="F52" i="12"/>
  <c r="C52" i="12" s="1"/>
  <c r="E52" i="12" s="1"/>
  <c r="P51" i="12"/>
  <c r="M51" i="12" s="1"/>
  <c r="O51" i="12" s="1"/>
  <c r="K51" i="12"/>
  <c r="J51" i="12"/>
  <c r="H51" i="12"/>
  <c r="F51" i="12"/>
  <c r="C51" i="12" s="1"/>
  <c r="E51" i="12" s="1"/>
  <c r="P50" i="12"/>
  <c r="O50" i="12"/>
  <c r="M50" i="12"/>
  <c r="K50" i="12"/>
  <c r="H50" i="12"/>
  <c r="J50" i="12" s="1"/>
  <c r="F50" i="12"/>
  <c r="C50" i="12" s="1"/>
  <c r="E50" i="12" s="1"/>
  <c r="P49" i="12"/>
  <c r="M49" i="12"/>
  <c r="O49" i="12" s="1"/>
  <c r="K49" i="12"/>
  <c r="H49" i="12" s="1"/>
  <c r="J49" i="12" s="1"/>
  <c r="F49" i="12"/>
  <c r="C49" i="12" s="1"/>
  <c r="E49" i="12" s="1"/>
  <c r="P48" i="12"/>
  <c r="O48" i="12"/>
  <c r="M48" i="12"/>
  <c r="K48" i="12"/>
  <c r="H48" i="12" s="1"/>
  <c r="J48" i="12" s="1"/>
  <c r="F48" i="12"/>
  <c r="E48" i="12"/>
  <c r="C48" i="12"/>
  <c r="P47" i="12"/>
  <c r="M47" i="12"/>
  <c r="O47" i="12" s="1"/>
  <c r="K47" i="12"/>
  <c r="H47" i="12" s="1"/>
  <c r="J47" i="12" s="1"/>
  <c r="F47" i="12"/>
  <c r="C47" i="12"/>
  <c r="E47" i="12" s="1"/>
  <c r="P46" i="12"/>
  <c r="M46" i="12" s="1"/>
  <c r="O46" i="12" s="1"/>
  <c r="K46" i="12"/>
  <c r="H46" i="12" s="1"/>
  <c r="J46" i="12" s="1"/>
  <c r="F46" i="12"/>
  <c r="E46" i="12"/>
  <c r="C46" i="12"/>
  <c r="P45" i="12"/>
  <c r="M45" i="12" s="1"/>
  <c r="O45" i="12" s="1"/>
  <c r="K45" i="12"/>
  <c r="J45" i="12"/>
  <c r="H45" i="12"/>
  <c r="F45" i="12"/>
  <c r="C45" i="12"/>
  <c r="E45" i="12" s="1"/>
  <c r="P44" i="12"/>
  <c r="M44" i="12" s="1"/>
  <c r="O44" i="12" s="1"/>
  <c r="K44" i="12"/>
  <c r="H44" i="12"/>
  <c r="J44" i="12" s="1"/>
  <c r="F44" i="12"/>
  <c r="C44" i="12" s="1"/>
  <c r="E44" i="12" s="1"/>
  <c r="P43" i="12"/>
  <c r="M43" i="12" s="1"/>
  <c r="O43" i="12" s="1"/>
  <c r="K43" i="12"/>
  <c r="J43" i="12"/>
  <c r="H43" i="12"/>
  <c r="F43" i="12"/>
  <c r="C43" i="12" s="1"/>
  <c r="E43" i="12" s="1"/>
  <c r="P42" i="12"/>
  <c r="O42" i="12"/>
  <c r="M42" i="12"/>
  <c r="K42" i="12"/>
  <c r="H42" i="12"/>
  <c r="J42" i="12" s="1"/>
  <c r="F42" i="12"/>
  <c r="C42" i="12" s="1"/>
  <c r="E42" i="12" s="1"/>
  <c r="P41" i="12"/>
  <c r="M41" i="12"/>
  <c r="O41" i="12" s="1"/>
  <c r="K41" i="12"/>
  <c r="H41" i="12" s="1"/>
  <c r="J41" i="12" s="1"/>
  <c r="F41" i="12"/>
  <c r="C41" i="12" s="1"/>
  <c r="E41" i="12" s="1"/>
  <c r="P40" i="12"/>
  <c r="O40" i="12"/>
  <c r="M40" i="12"/>
  <c r="K40" i="12"/>
  <c r="H40" i="12" s="1"/>
  <c r="J40" i="12" s="1"/>
  <c r="F40" i="12"/>
  <c r="E40" i="12"/>
  <c r="C40" i="12"/>
  <c r="P39" i="12"/>
  <c r="M39" i="12"/>
  <c r="O39" i="12" s="1"/>
  <c r="K39" i="12"/>
  <c r="H39" i="12" s="1"/>
  <c r="J39" i="12" s="1"/>
  <c r="F39" i="12"/>
  <c r="C39" i="12"/>
  <c r="E39" i="12" s="1"/>
  <c r="P38" i="12"/>
  <c r="M38" i="12" s="1"/>
  <c r="O38" i="12" s="1"/>
  <c r="K38" i="12"/>
  <c r="H38" i="12" s="1"/>
  <c r="J38" i="12" s="1"/>
  <c r="F38" i="12"/>
  <c r="E38" i="12"/>
  <c r="C38" i="12"/>
  <c r="P37" i="12"/>
  <c r="M37" i="12" s="1"/>
  <c r="O37" i="12" s="1"/>
  <c r="K37" i="12"/>
  <c r="J37" i="12"/>
  <c r="H37" i="12"/>
  <c r="F37" i="12"/>
  <c r="C37" i="12"/>
  <c r="E37" i="12" s="1"/>
  <c r="P36" i="12"/>
  <c r="M36" i="12" s="1"/>
  <c r="O36" i="12" s="1"/>
  <c r="K36" i="12"/>
  <c r="H36" i="12"/>
  <c r="J36" i="12" s="1"/>
  <c r="F36" i="12"/>
  <c r="C36" i="12" s="1"/>
  <c r="E36" i="12" s="1"/>
  <c r="P35" i="12"/>
  <c r="M35" i="12" s="1"/>
  <c r="O35" i="12" s="1"/>
  <c r="K35" i="12"/>
  <c r="H35" i="12"/>
  <c r="J35" i="12" s="1"/>
  <c r="F35" i="12"/>
  <c r="C35" i="12" s="1"/>
  <c r="E35" i="12" s="1"/>
  <c r="P34" i="12"/>
  <c r="O34" i="12"/>
  <c r="M34" i="12"/>
  <c r="K34" i="12"/>
  <c r="H34" i="12"/>
  <c r="J34" i="12" s="1"/>
  <c r="F34" i="12"/>
  <c r="C34" i="12" s="1"/>
  <c r="E34" i="12" s="1"/>
  <c r="P33" i="12"/>
  <c r="M33" i="12"/>
  <c r="O33" i="12" s="1"/>
  <c r="K33" i="12"/>
  <c r="H33" i="12" s="1"/>
  <c r="J33" i="12" s="1"/>
  <c r="F33" i="12"/>
  <c r="C33" i="12" s="1"/>
  <c r="E33" i="12" s="1"/>
  <c r="P32" i="12"/>
  <c r="M32" i="12"/>
  <c r="O32" i="12" s="1"/>
  <c r="K32" i="12"/>
  <c r="H32" i="12" s="1"/>
  <c r="J32" i="12" s="1"/>
  <c r="F32" i="12"/>
  <c r="E32" i="12"/>
  <c r="C32" i="12"/>
  <c r="P31" i="12"/>
  <c r="M31" i="12"/>
  <c r="O31" i="12" s="1"/>
  <c r="K31" i="12"/>
  <c r="H31" i="12" s="1"/>
  <c r="J31" i="12" s="1"/>
  <c r="F31" i="12"/>
  <c r="C31" i="12"/>
  <c r="E31" i="12" s="1"/>
  <c r="P30" i="12"/>
  <c r="M30" i="12" s="1"/>
  <c r="O30" i="12" s="1"/>
  <c r="K30" i="12"/>
  <c r="H30" i="12" s="1"/>
  <c r="J30" i="12" s="1"/>
  <c r="F30" i="12"/>
  <c r="C30" i="12"/>
  <c r="E30" i="12" s="1"/>
  <c r="P29" i="12"/>
  <c r="M29" i="12" s="1"/>
  <c r="O29" i="12" s="1"/>
  <c r="K29" i="12"/>
  <c r="J29" i="12"/>
  <c r="H29" i="12"/>
  <c r="F29" i="12"/>
  <c r="C29" i="12"/>
  <c r="E29" i="12" s="1"/>
  <c r="P28" i="12"/>
  <c r="M28" i="12" s="1"/>
  <c r="O28" i="12" s="1"/>
  <c r="K28" i="12"/>
  <c r="H28" i="12"/>
  <c r="J28" i="12" s="1"/>
  <c r="F28" i="12"/>
  <c r="C28" i="12" s="1"/>
  <c r="E28" i="12" s="1"/>
  <c r="P27" i="12"/>
  <c r="M27" i="12" s="1"/>
  <c r="O27" i="12" s="1"/>
  <c r="K27" i="12"/>
  <c r="H27" i="12"/>
  <c r="J27" i="12" s="1"/>
  <c r="F27" i="12"/>
  <c r="C27" i="12" s="1"/>
  <c r="E27" i="12" s="1"/>
  <c r="P26" i="12"/>
  <c r="O26" i="12"/>
  <c r="M26" i="12"/>
  <c r="K26" i="12"/>
  <c r="H26" i="12"/>
  <c r="J26" i="12" s="1"/>
  <c r="F26" i="12"/>
  <c r="C26" i="12" s="1"/>
  <c r="E26" i="12" s="1"/>
  <c r="P25" i="12"/>
  <c r="M25" i="12"/>
  <c r="O25" i="12" s="1"/>
  <c r="K25" i="12"/>
  <c r="H25" i="12" s="1"/>
  <c r="J25" i="12" s="1"/>
  <c r="F25" i="12"/>
  <c r="C25" i="12" s="1"/>
  <c r="E25" i="12" s="1"/>
  <c r="P24" i="12"/>
  <c r="M24" i="12"/>
  <c r="O24" i="12" s="1"/>
  <c r="K24" i="12"/>
  <c r="H24" i="12" s="1"/>
  <c r="J24" i="12" s="1"/>
  <c r="F24" i="12"/>
  <c r="E24" i="12"/>
  <c r="C24" i="12"/>
  <c r="P23" i="12"/>
  <c r="M23" i="12"/>
  <c r="O23" i="12" s="1"/>
  <c r="K23" i="12"/>
  <c r="H23" i="12" s="1"/>
  <c r="J23" i="12" s="1"/>
  <c r="F23" i="12"/>
  <c r="C23" i="12"/>
  <c r="E23" i="12" s="1"/>
  <c r="P22" i="12"/>
  <c r="M22" i="12" s="1"/>
  <c r="O22" i="12" s="1"/>
  <c r="K22" i="12"/>
  <c r="H22" i="12" s="1"/>
  <c r="J22" i="12" s="1"/>
  <c r="F22" i="12"/>
  <c r="C22" i="12"/>
  <c r="E22" i="12" s="1"/>
  <c r="P21" i="12"/>
  <c r="M21" i="12" s="1"/>
  <c r="O21" i="12" s="1"/>
  <c r="K21" i="12"/>
  <c r="J21" i="12"/>
  <c r="H21" i="12"/>
  <c r="F21" i="12"/>
  <c r="C21" i="12"/>
  <c r="E21" i="12" s="1"/>
  <c r="P20" i="12"/>
  <c r="M20" i="12" s="1"/>
  <c r="O20" i="12" s="1"/>
  <c r="K20" i="12"/>
  <c r="H20" i="12"/>
  <c r="J20" i="12" s="1"/>
  <c r="F20" i="12"/>
  <c r="C20" i="12" s="1"/>
  <c r="E20" i="12" s="1"/>
  <c r="P19" i="12"/>
  <c r="M19" i="12" s="1"/>
  <c r="O19" i="12" s="1"/>
  <c r="K19" i="12"/>
  <c r="H19" i="12"/>
  <c r="J19" i="12" s="1"/>
  <c r="F19" i="12"/>
  <c r="C19" i="12" s="1"/>
  <c r="E19" i="12" s="1"/>
  <c r="P18" i="12"/>
  <c r="O18" i="12"/>
  <c r="M18" i="12"/>
  <c r="K18" i="12"/>
  <c r="H18" i="12"/>
  <c r="J18" i="12" s="1"/>
  <c r="F18" i="12"/>
  <c r="C18" i="12" s="1"/>
  <c r="E18" i="12" s="1"/>
  <c r="P17" i="12"/>
  <c r="M17" i="12"/>
  <c r="O17" i="12" s="1"/>
  <c r="K17" i="12"/>
  <c r="H17" i="12" s="1"/>
  <c r="J17" i="12" s="1"/>
  <c r="F17" i="12"/>
  <c r="C17" i="12" s="1"/>
  <c r="E17" i="12" s="1"/>
  <c r="P16" i="12"/>
  <c r="M16" i="12"/>
  <c r="O16" i="12" s="1"/>
  <c r="K16" i="12"/>
  <c r="H16" i="12" s="1"/>
  <c r="J16" i="12" s="1"/>
  <c r="F16" i="12"/>
  <c r="E16" i="12"/>
  <c r="C16" i="12"/>
  <c r="O15" i="12"/>
  <c r="J15" i="12"/>
  <c r="E15" i="12"/>
  <c r="C14" i="12"/>
  <c r="D14" i="12" s="1"/>
  <c r="E14" i="12" s="1"/>
  <c r="F14" i="12" s="1"/>
  <c r="G14" i="12" s="1"/>
  <c r="H14" i="12" s="1"/>
  <c r="I14" i="12" s="1"/>
  <c r="J14" i="12" s="1"/>
  <c r="K14" i="12" s="1"/>
  <c r="L14" i="12" s="1"/>
  <c r="M14" i="12" s="1"/>
  <c r="N14" i="12" s="1"/>
  <c r="O14" i="12" s="1"/>
  <c r="P14" i="12" s="1"/>
  <c r="Q14" i="12" s="1"/>
  <c r="R14" i="12" s="1"/>
  <c r="B14" i="12"/>
  <c r="F3" i="12"/>
  <c r="P59" i="11"/>
  <c r="O59" i="11"/>
  <c r="M59" i="11"/>
  <c r="K59" i="11"/>
  <c r="H59" i="11"/>
  <c r="J59" i="11" s="1"/>
  <c r="F59" i="11"/>
  <c r="E59" i="11"/>
  <c r="C59" i="11"/>
  <c r="P58" i="11"/>
  <c r="M58" i="11"/>
  <c r="O58" i="11" s="1"/>
  <c r="K58" i="11"/>
  <c r="H58" i="11" s="1"/>
  <c r="J58" i="11" s="1"/>
  <c r="F58" i="11"/>
  <c r="C58" i="11" s="1"/>
  <c r="E58" i="11" s="1"/>
  <c r="P57" i="11"/>
  <c r="M57" i="11"/>
  <c r="O57" i="11" s="1"/>
  <c r="K57" i="11"/>
  <c r="H57" i="11" s="1"/>
  <c r="J57" i="11" s="1"/>
  <c r="F57" i="11"/>
  <c r="E57" i="11"/>
  <c r="C57" i="11"/>
  <c r="P56" i="11"/>
  <c r="M56" i="11"/>
  <c r="O56" i="11" s="1"/>
  <c r="K56" i="11"/>
  <c r="H56" i="11" s="1"/>
  <c r="J56" i="11" s="1"/>
  <c r="F56" i="11"/>
  <c r="C56" i="11"/>
  <c r="E56" i="11" s="1"/>
  <c r="P55" i="11"/>
  <c r="M55" i="11" s="1"/>
  <c r="O55" i="11" s="1"/>
  <c r="K55" i="11"/>
  <c r="H55" i="11" s="1"/>
  <c r="J55" i="11" s="1"/>
  <c r="F55" i="11"/>
  <c r="C55" i="11"/>
  <c r="E55" i="11" s="1"/>
  <c r="P54" i="11"/>
  <c r="M54" i="11" s="1"/>
  <c r="O54" i="11" s="1"/>
  <c r="K54" i="11"/>
  <c r="J54" i="11"/>
  <c r="H54" i="11"/>
  <c r="F54" i="11"/>
  <c r="C54" i="11"/>
  <c r="E54" i="11" s="1"/>
  <c r="P53" i="11"/>
  <c r="M53" i="11" s="1"/>
  <c r="O53" i="11" s="1"/>
  <c r="K53" i="11"/>
  <c r="H53" i="11"/>
  <c r="J53" i="11" s="1"/>
  <c r="F53" i="11"/>
  <c r="C53" i="11" s="1"/>
  <c r="E53" i="11" s="1"/>
  <c r="P52" i="11"/>
  <c r="M52" i="11" s="1"/>
  <c r="O52" i="11" s="1"/>
  <c r="K52" i="11"/>
  <c r="H52" i="11"/>
  <c r="J52" i="11" s="1"/>
  <c r="F52" i="11"/>
  <c r="C52" i="11" s="1"/>
  <c r="E52" i="11" s="1"/>
  <c r="P51" i="11"/>
  <c r="O51" i="11"/>
  <c r="M51" i="11"/>
  <c r="K51" i="11"/>
  <c r="H51" i="11"/>
  <c r="J51" i="11" s="1"/>
  <c r="F51" i="11"/>
  <c r="C51" i="11" s="1"/>
  <c r="E51" i="11" s="1"/>
  <c r="P50" i="11"/>
  <c r="M50" i="11"/>
  <c r="O50" i="11" s="1"/>
  <c r="K50" i="11"/>
  <c r="H50" i="11" s="1"/>
  <c r="J50" i="11" s="1"/>
  <c r="F50" i="11"/>
  <c r="C50" i="11" s="1"/>
  <c r="E50" i="11" s="1"/>
  <c r="P49" i="11"/>
  <c r="M49" i="11"/>
  <c r="O49" i="11" s="1"/>
  <c r="K49" i="11"/>
  <c r="H49" i="11" s="1"/>
  <c r="J49" i="11" s="1"/>
  <c r="F49" i="11"/>
  <c r="E49" i="11"/>
  <c r="C49" i="11"/>
  <c r="P48" i="11"/>
  <c r="M48" i="11"/>
  <c r="O48" i="11" s="1"/>
  <c r="K48" i="11"/>
  <c r="H48" i="11" s="1"/>
  <c r="J48" i="11" s="1"/>
  <c r="F48" i="11"/>
  <c r="C48" i="11"/>
  <c r="E48" i="11" s="1"/>
  <c r="P47" i="11"/>
  <c r="M47" i="11" s="1"/>
  <c r="O47" i="11" s="1"/>
  <c r="K47" i="11"/>
  <c r="H47" i="11" s="1"/>
  <c r="J47" i="11" s="1"/>
  <c r="F47" i="11"/>
  <c r="C47" i="11"/>
  <c r="E47" i="11" s="1"/>
  <c r="P46" i="11"/>
  <c r="M46" i="11" s="1"/>
  <c r="O46" i="11" s="1"/>
  <c r="K46" i="11"/>
  <c r="J46" i="11"/>
  <c r="H46" i="11"/>
  <c r="F46" i="11"/>
  <c r="C46" i="11"/>
  <c r="E46" i="11" s="1"/>
  <c r="P45" i="11"/>
  <c r="M45" i="11" s="1"/>
  <c r="O45" i="11" s="1"/>
  <c r="K45" i="11"/>
  <c r="H45" i="11"/>
  <c r="J45" i="11" s="1"/>
  <c r="F45" i="11"/>
  <c r="C45" i="11" s="1"/>
  <c r="E45" i="11" s="1"/>
  <c r="P44" i="11"/>
  <c r="M44" i="11" s="1"/>
  <c r="O44" i="11" s="1"/>
  <c r="K44" i="11"/>
  <c r="H44" i="11"/>
  <c r="J44" i="11" s="1"/>
  <c r="F44" i="11"/>
  <c r="C44" i="11" s="1"/>
  <c r="E44" i="11" s="1"/>
  <c r="P43" i="11"/>
  <c r="O43" i="11"/>
  <c r="M43" i="11"/>
  <c r="K43" i="11"/>
  <c r="H43" i="11"/>
  <c r="J43" i="11" s="1"/>
  <c r="F43" i="11"/>
  <c r="C43" i="11" s="1"/>
  <c r="E43" i="11" s="1"/>
  <c r="P42" i="11"/>
  <c r="M42" i="11"/>
  <c r="O42" i="11" s="1"/>
  <c r="K42" i="11"/>
  <c r="H42" i="11" s="1"/>
  <c r="J42" i="11" s="1"/>
  <c r="F42" i="11"/>
  <c r="C42" i="11" s="1"/>
  <c r="E42" i="11" s="1"/>
  <c r="P41" i="11"/>
  <c r="M41" i="11"/>
  <c r="O41" i="11" s="1"/>
  <c r="K41" i="11"/>
  <c r="H41" i="11" s="1"/>
  <c r="J41" i="11" s="1"/>
  <c r="F41" i="11"/>
  <c r="E41" i="11"/>
  <c r="C41" i="11"/>
  <c r="P40" i="11"/>
  <c r="M40" i="11"/>
  <c r="O40" i="11" s="1"/>
  <c r="K40" i="11"/>
  <c r="H40" i="11" s="1"/>
  <c r="J40" i="11" s="1"/>
  <c r="F40" i="11"/>
  <c r="C40" i="11"/>
  <c r="E40" i="11" s="1"/>
  <c r="P39" i="11"/>
  <c r="M39" i="11" s="1"/>
  <c r="O39" i="11" s="1"/>
  <c r="K39" i="11"/>
  <c r="H39" i="11" s="1"/>
  <c r="J39" i="11" s="1"/>
  <c r="F39" i="11"/>
  <c r="C39" i="11"/>
  <c r="E39" i="11" s="1"/>
  <c r="P38" i="11"/>
  <c r="M38" i="11" s="1"/>
  <c r="O38" i="11" s="1"/>
  <c r="K38" i="11"/>
  <c r="J38" i="11"/>
  <c r="H38" i="11"/>
  <c r="F38" i="11"/>
  <c r="C38" i="11"/>
  <c r="E38" i="11" s="1"/>
  <c r="P37" i="11"/>
  <c r="M37" i="11" s="1"/>
  <c r="O37" i="11" s="1"/>
  <c r="K37" i="11"/>
  <c r="H37" i="11"/>
  <c r="J37" i="11" s="1"/>
  <c r="F37" i="11"/>
  <c r="C37" i="11" s="1"/>
  <c r="E37" i="11"/>
  <c r="P36" i="11"/>
  <c r="M36" i="11" s="1"/>
  <c r="O36" i="11" s="1"/>
  <c r="K36" i="11"/>
  <c r="H36" i="11"/>
  <c r="J36" i="11" s="1"/>
  <c r="F36" i="11"/>
  <c r="C36" i="11" s="1"/>
  <c r="E36" i="11" s="1"/>
  <c r="P35" i="11"/>
  <c r="M35" i="11" s="1"/>
  <c r="O35" i="11" s="1"/>
  <c r="K35" i="11"/>
  <c r="H35" i="11"/>
  <c r="J35" i="11" s="1"/>
  <c r="F35" i="11"/>
  <c r="C35" i="11" s="1"/>
  <c r="E35" i="11" s="1"/>
  <c r="P34" i="11"/>
  <c r="M34" i="11"/>
  <c r="O34" i="11" s="1"/>
  <c r="K34" i="11"/>
  <c r="H34" i="11" s="1"/>
  <c r="J34" i="11"/>
  <c r="F34" i="11"/>
  <c r="C34" i="11" s="1"/>
  <c r="E34" i="11" s="1"/>
  <c r="P33" i="11"/>
  <c r="M33" i="11"/>
  <c r="O33" i="11" s="1"/>
  <c r="K33" i="11"/>
  <c r="H33" i="11" s="1"/>
  <c r="J33" i="11" s="1"/>
  <c r="F33" i="11"/>
  <c r="C33" i="11" s="1"/>
  <c r="E33" i="11" s="1"/>
  <c r="P32" i="11"/>
  <c r="M32" i="11"/>
  <c r="O32" i="11" s="1"/>
  <c r="K32" i="11"/>
  <c r="H32" i="11" s="1"/>
  <c r="J32" i="11" s="1"/>
  <c r="F32" i="11"/>
  <c r="C32" i="11"/>
  <c r="E32" i="11" s="1"/>
  <c r="P31" i="11"/>
  <c r="M31" i="11" s="1"/>
  <c r="O31" i="11"/>
  <c r="K31" i="11"/>
  <c r="H31" i="11" s="1"/>
  <c r="J31" i="11" s="1"/>
  <c r="F31" i="11"/>
  <c r="C31" i="11"/>
  <c r="E31" i="11" s="1"/>
  <c r="P30" i="11"/>
  <c r="M30" i="11" s="1"/>
  <c r="O30" i="11" s="1"/>
  <c r="K30" i="11"/>
  <c r="H30" i="11" s="1"/>
  <c r="J30" i="11" s="1"/>
  <c r="F30" i="11"/>
  <c r="C30" i="11"/>
  <c r="E30" i="11" s="1"/>
  <c r="P29" i="11"/>
  <c r="M29" i="11" s="1"/>
  <c r="O29" i="11" s="1"/>
  <c r="K29" i="11"/>
  <c r="H29" i="11"/>
  <c r="J29" i="11" s="1"/>
  <c r="F29" i="11"/>
  <c r="C29" i="11" s="1"/>
  <c r="E29" i="11"/>
  <c r="P28" i="11"/>
  <c r="M28" i="11" s="1"/>
  <c r="O28" i="11" s="1"/>
  <c r="K28" i="11"/>
  <c r="H28" i="11"/>
  <c r="J28" i="11" s="1"/>
  <c r="F28" i="11"/>
  <c r="C28" i="11" s="1"/>
  <c r="E28" i="11" s="1"/>
  <c r="P27" i="11"/>
  <c r="M27" i="11" s="1"/>
  <c r="O27" i="11" s="1"/>
  <c r="K27" i="11"/>
  <c r="H27" i="11"/>
  <c r="J27" i="11" s="1"/>
  <c r="F27" i="11"/>
  <c r="C27" i="11" s="1"/>
  <c r="E27" i="11" s="1"/>
  <c r="P26" i="11"/>
  <c r="M26" i="11"/>
  <c r="O26" i="11" s="1"/>
  <c r="K26" i="11"/>
  <c r="H26" i="11" s="1"/>
  <c r="J26" i="11"/>
  <c r="F26" i="11"/>
  <c r="C26" i="11" s="1"/>
  <c r="E26" i="11" s="1"/>
  <c r="P25" i="11"/>
  <c r="M25" i="11"/>
  <c r="O25" i="11" s="1"/>
  <c r="K25" i="11"/>
  <c r="H25" i="11" s="1"/>
  <c r="J25" i="11" s="1"/>
  <c r="F25" i="11"/>
  <c r="C25" i="11" s="1"/>
  <c r="E25" i="11" s="1"/>
  <c r="P24" i="11"/>
  <c r="M24" i="11"/>
  <c r="O24" i="11" s="1"/>
  <c r="K24" i="11"/>
  <c r="H24" i="11" s="1"/>
  <c r="J24" i="11" s="1"/>
  <c r="F24" i="11"/>
  <c r="C24" i="11"/>
  <c r="E24" i="11" s="1"/>
  <c r="P23" i="11"/>
  <c r="M23" i="11" s="1"/>
  <c r="O23" i="11"/>
  <c r="K23" i="11"/>
  <c r="H23" i="11" s="1"/>
  <c r="J23" i="11" s="1"/>
  <c r="F23" i="11"/>
  <c r="C23" i="11"/>
  <c r="E23" i="11" s="1"/>
  <c r="P22" i="11"/>
  <c r="M22" i="11" s="1"/>
  <c r="O22" i="11" s="1"/>
  <c r="K22" i="11"/>
  <c r="H22" i="11" s="1"/>
  <c r="J22" i="11" s="1"/>
  <c r="F22" i="11"/>
  <c r="C22" i="11"/>
  <c r="E22" i="11" s="1"/>
  <c r="P21" i="11"/>
  <c r="M21" i="11" s="1"/>
  <c r="O21" i="11" s="1"/>
  <c r="K21" i="11"/>
  <c r="H21" i="11"/>
  <c r="J21" i="11" s="1"/>
  <c r="F21" i="11"/>
  <c r="C21" i="11" s="1"/>
  <c r="E21" i="11"/>
  <c r="P20" i="11"/>
  <c r="M20" i="11" s="1"/>
  <c r="O20" i="11" s="1"/>
  <c r="K20" i="11"/>
  <c r="H20" i="11"/>
  <c r="J20" i="11" s="1"/>
  <c r="F20" i="11"/>
  <c r="C20" i="11" s="1"/>
  <c r="E20" i="11" s="1"/>
  <c r="P19" i="11"/>
  <c r="M19" i="11" s="1"/>
  <c r="O19" i="11" s="1"/>
  <c r="K19" i="11"/>
  <c r="H19" i="11"/>
  <c r="J19" i="11" s="1"/>
  <c r="F19" i="11"/>
  <c r="C19" i="11" s="1"/>
  <c r="E19" i="11" s="1"/>
  <c r="P18" i="11"/>
  <c r="M18" i="11"/>
  <c r="O18" i="11" s="1"/>
  <c r="K18" i="11"/>
  <c r="H18" i="11" s="1"/>
  <c r="J18" i="11"/>
  <c r="F18" i="11"/>
  <c r="C18" i="11" s="1"/>
  <c r="E18" i="11" s="1"/>
  <c r="P17" i="11"/>
  <c r="M17" i="11"/>
  <c r="O17" i="11" s="1"/>
  <c r="K17" i="11"/>
  <c r="H17" i="11" s="1"/>
  <c r="J17" i="11" s="1"/>
  <c r="F17" i="11"/>
  <c r="C17" i="11" s="1"/>
  <c r="E17" i="11" s="1"/>
  <c r="P16" i="11"/>
  <c r="M16" i="11"/>
  <c r="O16" i="11" s="1"/>
  <c r="K16" i="11"/>
  <c r="H16" i="11" s="1"/>
  <c r="J16" i="11" s="1"/>
  <c r="F16" i="11"/>
  <c r="C16" i="11"/>
  <c r="E16" i="11" s="1"/>
  <c r="O15" i="11"/>
  <c r="J15" i="11"/>
  <c r="E15" i="11"/>
  <c r="B14" i="11"/>
  <c r="C14" i="11" s="1"/>
  <c r="D14" i="11" s="1"/>
  <c r="E14" i="11" s="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F3" i="11"/>
  <c r="P67" i="10"/>
  <c r="O67" i="10"/>
  <c r="K67" i="10"/>
  <c r="H67" i="10"/>
  <c r="J67" i="10" s="1"/>
  <c r="F67" i="10"/>
  <c r="E67" i="10"/>
  <c r="C67" i="10"/>
  <c r="P66" i="10"/>
  <c r="M66" i="10"/>
  <c r="O66" i="10" s="1"/>
  <c r="K66" i="10"/>
  <c r="H66" i="10" s="1"/>
  <c r="J66" i="10"/>
  <c r="F66" i="10"/>
  <c r="C66" i="10" s="1"/>
  <c r="E66" i="10" s="1"/>
  <c r="P65" i="10"/>
  <c r="M65" i="10"/>
  <c r="O65" i="10" s="1"/>
  <c r="K65" i="10"/>
  <c r="H65" i="10" s="1"/>
  <c r="J65" i="10" s="1"/>
  <c r="F65" i="10"/>
  <c r="C65" i="10" s="1"/>
  <c r="E65" i="10" s="1"/>
  <c r="P64" i="10"/>
  <c r="M64" i="10"/>
  <c r="O64" i="10" s="1"/>
  <c r="K64" i="10"/>
  <c r="J64" i="10"/>
  <c r="H64" i="10"/>
  <c r="F64" i="10"/>
  <c r="C64" i="10"/>
  <c r="E64" i="10" s="1"/>
  <c r="P63" i="10"/>
  <c r="M63" i="10" s="1"/>
  <c r="O63" i="10" s="1"/>
  <c r="K63" i="10"/>
  <c r="H63" i="10" s="1"/>
  <c r="J63" i="10" s="1"/>
  <c r="F63" i="10"/>
  <c r="C63" i="10"/>
  <c r="E63" i="10" s="1"/>
  <c r="P62" i="10"/>
  <c r="M62" i="10" s="1"/>
  <c r="O62" i="10" s="1"/>
  <c r="K62" i="10"/>
  <c r="H62" i="10" s="1"/>
  <c r="J62" i="10" s="1"/>
  <c r="F62" i="10"/>
  <c r="C62" i="10"/>
  <c r="E62" i="10" s="1"/>
  <c r="P61" i="10"/>
  <c r="O61" i="10"/>
  <c r="M61" i="10"/>
  <c r="K61" i="10"/>
  <c r="H61" i="10"/>
  <c r="J61" i="10" s="1"/>
  <c r="F61" i="10"/>
  <c r="C61" i="10" s="1"/>
  <c r="E61" i="10"/>
  <c r="P60" i="10"/>
  <c r="M60" i="10" s="1"/>
  <c r="O60" i="10" s="1"/>
  <c r="K60" i="10"/>
  <c r="H60" i="10"/>
  <c r="J60" i="10" s="1"/>
  <c r="F60" i="10"/>
  <c r="C60" i="10" s="1"/>
  <c r="E60" i="10" s="1"/>
  <c r="P59" i="10"/>
  <c r="M59" i="10" s="1"/>
  <c r="O59" i="10" s="1"/>
  <c r="K59" i="10"/>
  <c r="H59" i="10"/>
  <c r="J59" i="10" s="1"/>
  <c r="F59" i="10"/>
  <c r="E59" i="10"/>
  <c r="C59" i="10"/>
  <c r="P58" i="10"/>
  <c r="M58" i="10"/>
  <c r="O58" i="10" s="1"/>
  <c r="K58" i="10"/>
  <c r="H58" i="10" s="1"/>
  <c r="J58" i="10" s="1"/>
  <c r="F58" i="10"/>
  <c r="C58" i="10" s="1"/>
  <c r="E58" i="10" s="1"/>
  <c r="P57" i="10"/>
  <c r="M57" i="10"/>
  <c r="O57" i="10" s="1"/>
  <c r="K57" i="10"/>
  <c r="H57" i="10" s="1"/>
  <c r="J57" i="10" s="1"/>
  <c r="F57" i="10"/>
  <c r="C57" i="10" s="1"/>
  <c r="E57" i="10" s="1"/>
  <c r="P56" i="10"/>
  <c r="M56" i="10"/>
  <c r="O56" i="10" s="1"/>
  <c r="K56" i="10"/>
  <c r="J56" i="10"/>
  <c r="H56" i="10"/>
  <c r="F56" i="10"/>
  <c r="C56" i="10"/>
  <c r="E56" i="10" s="1"/>
  <c r="P55" i="10"/>
  <c r="M55" i="10" s="1"/>
  <c r="O55" i="10"/>
  <c r="K55" i="10"/>
  <c r="H55" i="10" s="1"/>
  <c r="J55" i="10" s="1"/>
  <c r="F55" i="10"/>
  <c r="C55" i="10"/>
  <c r="E55" i="10" s="1"/>
  <c r="P54" i="10"/>
  <c r="M54" i="10" s="1"/>
  <c r="O54" i="10" s="1"/>
  <c r="K54" i="10"/>
  <c r="H54" i="10" s="1"/>
  <c r="J54" i="10" s="1"/>
  <c r="F54" i="10"/>
  <c r="C54" i="10"/>
  <c r="E54" i="10" s="1"/>
  <c r="P53" i="10"/>
  <c r="O53" i="10"/>
  <c r="M53" i="10"/>
  <c r="K53" i="10"/>
  <c r="H53" i="10"/>
  <c r="J53" i="10" s="1"/>
  <c r="F53" i="10"/>
  <c r="C53" i="10" s="1"/>
  <c r="E53" i="10" s="1"/>
  <c r="P52" i="10"/>
  <c r="M52" i="10" s="1"/>
  <c r="O52" i="10" s="1"/>
  <c r="K52" i="10"/>
  <c r="H52" i="10"/>
  <c r="J52" i="10" s="1"/>
  <c r="F52" i="10"/>
  <c r="C52" i="10" s="1"/>
  <c r="E52" i="10" s="1"/>
  <c r="P51" i="10"/>
  <c r="M51" i="10" s="1"/>
  <c r="O51" i="10" s="1"/>
  <c r="K51" i="10"/>
  <c r="H51" i="10"/>
  <c r="J51" i="10" s="1"/>
  <c r="F51" i="10"/>
  <c r="E51" i="10"/>
  <c r="C51" i="10"/>
  <c r="P50" i="10"/>
  <c r="M50" i="10"/>
  <c r="O50" i="10" s="1"/>
  <c r="K50" i="10"/>
  <c r="H50" i="10" s="1"/>
  <c r="J50" i="10"/>
  <c r="F50" i="10"/>
  <c r="C50" i="10" s="1"/>
  <c r="E50" i="10" s="1"/>
  <c r="P49" i="10"/>
  <c r="M49" i="10"/>
  <c r="O49" i="10" s="1"/>
  <c r="K49" i="10"/>
  <c r="H49" i="10" s="1"/>
  <c r="J49" i="10" s="1"/>
  <c r="F49" i="10"/>
  <c r="C49" i="10" s="1"/>
  <c r="E49" i="10" s="1"/>
  <c r="P48" i="10"/>
  <c r="M48" i="10"/>
  <c r="O48" i="10" s="1"/>
  <c r="K48" i="10"/>
  <c r="J48" i="10"/>
  <c r="H48" i="10"/>
  <c r="F48" i="10"/>
  <c r="C48" i="10"/>
  <c r="E48" i="10" s="1"/>
  <c r="P47" i="10"/>
  <c r="M47" i="10" s="1"/>
  <c r="O47" i="10" s="1"/>
  <c r="K47" i="10"/>
  <c r="H47" i="10" s="1"/>
  <c r="J47" i="10" s="1"/>
  <c r="F47" i="10"/>
  <c r="C47" i="10"/>
  <c r="E47" i="10" s="1"/>
  <c r="P46" i="10"/>
  <c r="M46" i="10" s="1"/>
  <c r="O46" i="10" s="1"/>
  <c r="K46" i="10"/>
  <c r="H46" i="10" s="1"/>
  <c r="J46" i="10" s="1"/>
  <c r="F46" i="10"/>
  <c r="C46" i="10"/>
  <c r="E46" i="10" s="1"/>
  <c r="P45" i="10"/>
  <c r="O45" i="10"/>
  <c r="M45" i="10"/>
  <c r="K45" i="10"/>
  <c r="H45" i="10"/>
  <c r="J45" i="10" s="1"/>
  <c r="F45" i="10"/>
  <c r="C45" i="10" s="1"/>
  <c r="E45" i="10"/>
  <c r="P44" i="10"/>
  <c r="M44" i="10" s="1"/>
  <c r="O44" i="10" s="1"/>
  <c r="K44" i="10"/>
  <c r="H44" i="10"/>
  <c r="J44" i="10" s="1"/>
  <c r="F44" i="10"/>
  <c r="C44" i="10" s="1"/>
  <c r="E44" i="10" s="1"/>
  <c r="P43" i="10"/>
  <c r="M43" i="10" s="1"/>
  <c r="O43" i="10" s="1"/>
  <c r="K43" i="10"/>
  <c r="H43" i="10"/>
  <c r="J43" i="10" s="1"/>
  <c r="F43" i="10"/>
  <c r="E43" i="10"/>
  <c r="C43" i="10"/>
  <c r="P42" i="10"/>
  <c r="M42" i="10"/>
  <c r="O42" i="10" s="1"/>
  <c r="K42" i="10"/>
  <c r="H42" i="10" s="1"/>
  <c r="J42" i="10" s="1"/>
  <c r="F42" i="10"/>
  <c r="C42" i="10" s="1"/>
  <c r="E42" i="10" s="1"/>
  <c r="P41" i="10"/>
  <c r="M41" i="10"/>
  <c r="O41" i="10" s="1"/>
  <c r="K41" i="10"/>
  <c r="H41" i="10" s="1"/>
  <c r="J41" i="10" s="1"/>
  <c r="F41" i="10"/>
  <c r="C41" i="10" s="1"/>
  <c r="E41" i="10" s="1"/>
  <c r="P40" i="10"/>
  <c r="M40" i="10"/>
  <c r="O40" i="10" s="1"/>
  <c r="K40" i="10"/>
  <c r="J40" i="10"/>
  <c r="H40" i="10"/>
  <c r="F40" i="10"/>
  <c r="C40" i="10"/>
  <c r="E40" i="10" s="1"/>
  <c r="P39" i="10"/>
  <c r="M39" i="10" s="1"/>
  <c r="O39" i="10"/>
  <c r="K39" i="10"/>
  <c r="H39" i="10" s="1"/>
  <c r="J39" i="10" s="1"/>
  <c r="F39" i="10"/>
  <c r="C39" i="10"/>
  <c r="E39" i="10" s="1"/>
  <c r="P38" i="10"/>
  <c r="M38" i="10" s="1"/>
  <c r="O38" i="10" s="1"/>
  <c r="K38" i="10"/>
  <c r="H38" i="10" s="1"/>
  <c r="J38" i="10" s="1"/>
  <c r="F38" i="10"/>
  <c r="C38" i="10"/>
  <c r="E38" i="10" s="1"/>
  <c r="P37" i="10"/>
  <c r="O37" i="10"/>
  <c r="M37" i="10"/>
  <c r="K37" i="10"/>
  <c r="H37" i="10"/>
  <c r="J37" i="10" s="1"/>
  <c r="F37" i="10"/>
  <c r="C37" i="10" s="1"/>
  <c r="E37" i="10" s="1"/>
  <c r="P36" i="10"/>
  <c r="M36" i="10" s="1"/>
  <c r="O36" i="10" s="1"/>
  <c r="K36" i="10"/>
  <c r="H36" i="10"/>
  <c r="J36" i="10" s="1"/>
  <c r="F36" i="10"/>
  <c r="C36" i="10" s="1"/>
  <c r="E36" i="10" s="1"/>
  <c r="P35" i="10"/>
  <c r="M35" i="10" s="1"/>
  <c r="O35" i="10" s="1"/>
  <c r="K35" i="10"/>
  <c r="H35" i="10"/>
  <c r="J35" i="10" s="1"/>
  <c r="F35" i="10"/>
  <c r="E35" i="10"/>
  <c r="C35" i="10"/>
  <c r="P34" i="10"/>
  <c r="M34" i="10"/>
  <c r="O34" i="10" s="1"/>
  <c r="K34" i="10"/>
  <c r="H34" i="10" s="1"/>
  <c r="J34" i="10"/>
  <c r="F34" i="10"/>
  <c r="C34" i="10" s="1"/>
  <c r="E34" i="10" s="1"/>
  <c r="P33" i="10"/>
  <c r="M33" i="10"/>
  <c r="O33" i="10" s="1"/>
  <c r="K33" i="10"/>
  <c r="H33" i="10" s="1"/>
  <c r="J33" i="10" s="1"/>
  <c r="F33" i="10"/>
  <c r="C33" i="10" s="1"/>
  <c r="E33" i="10" s="1"/>
  <c r="P32" i="10"/>
  <c r="M32" i="10"/>
  <c r="O32" i="10" s="1"/>
  <c r="K32" i="10"/>
  <c r="J32" i="10"/>
  <c r="H32" i="10"/>
  <c r="F32" i="10"/>
  <c r="C32" i="10"/>
  <c r="E32" i="10" s="1"/>
  <c r="P31" i="10"/>
  <c r="M31" i="10" s="1"/>
  <c r="O31" i="10" s="1"/>
  <c r="K31" i="10"/>
  <c r="H31" i="10" s="1"/>
  <c r="J31" i="10" s="1"/>
  <c r="F31" i="10"/>
  <c r="C31" i="10"/>
  <c r="E31" i="10" s="1"/>
  <c r="P30" i="10"/>
  <c r="M30" i="10" s="1"/>
  <c r="O30" i="10" s="1"/>
  <c r="K30" i="10"/>
  <c r="H30" i="10" s="1"/>
  <c r="J30" i="10" s="1"/>
  <c r="F30" i="10"/>
  <c r="C30" i="10"/>
  <c r="E30" i="10" s="1"/>
  <c r="P29" i="10"/>
  <c r="O29" i="10"/>
  <c r="M29" i="10"/>
  <c r="K29" i="10"/>
  <c r="H29" i="10"/>
  <c r="J29" i="10" s="1"/>
  <c r="F29" i="10"/>
  <c r="C29" i="10" s="1"/>
  <c r="E29" i="10"/>
  <c r="P28" i="10"/>
  <c r="M28" i="10" s="1"/>
  <c r="O28" i="10" s="1"/>
  <c r="K28" i="10"/>
  <c r="H28" i="10"/>
  <c r="J28" i="10" s="1"/>
  <c r="F28" i="10"/>
  <c r="C28" i="10" s="1"/>
  <c r="E28" i="10" s="1"/>
  <c r="P27" i="10"/>
  <c r="M27" i="10" s="1"/>
  <c r="O27" i="10" s="1"/>
  <c r="K27" i="10"/>
  <c r="H27" i="10"/>
  <c r="J27" i="10" s="1"/>
  <c r="F27" i="10"/>
  <c r="E27" i="10"/>
  <c r="C27" i="10"/>
  <c r="P26" i="10"/>
  <c r="M26" i="10"/>
  <c r="O26" i="10" s="1"/>
  <c r="K26" i="10"/>
  <c r="H26" i="10" s="1"/>
  <c r="J26" i="10" s="1"/>
  <c r="F26" i="10"/>
  <c r="C26" i="10" s="1"/>
  <c r="E26" i="10" s="1"/>
  <c r="P25" i="10"/>
  <c r="M25" i="10"/>
  <c r="O25" i="10" s="1"/>
  <c r="K25" i="10"/>
  <c r="H25" i="10" s="1"/>
  <c r="J25" i="10" s="1"/>
  <c r="F25" i="10"/>
  <c r="C25" i="10" s="1"/>
  <c r="E25" i="10" s="1"/>
  <c r="P24" i="10"/>
  <c r="M24" i="10"/>
  <c r="O24" i="10" s="1"/>
  <c r="K24" i="10"/>
  <c r="J24" i="10"/>
  <c r="H24" i="10"/>
  <c r="F24" i="10"/>
  <c r="C24" i="10"/>
  <c r="E24" i="10" s="1"/>
  <c r="P23" i="10"/>
  <c r="M23" i="10" s="1"/>
  <c r="O23" i="10"/>
  <c r="K23" i="10"/>
  <c r="H23" i="10" s="1"/>
  <c r="J23" i="10" s="1"/>
  <c r="F23" i="10"/>
  <c r="E23" i="10"/>
  <c r="C23" i="10"/>
  <c r="P22" i="10"/>
  <c r="M22" i="10" s="1"/>
  <c r="O22" i="10" s="1"/>
  <c r="K22" i="10"/>
  <c r="H22" i="10" s="1"/>
  <c r="J22" i="10" s="1"/>
  <c r="F22" i="10"/>
  <c r="C22" i="10"/>
  <c r="E22" i="10" s="1"/>
  <c r="P21" i="10"/>
  <c r="O21" i="10"/>
  <c r="M21" i="10"/>
  <c r="K21" i="10"/>
  <c r="H21" i="10"/>
  <c r="J21" i="10" s="1"/>
  <c r="F21" i="10"/>
  <c r="C21" i="10" s="1"/>
  <c r="E21" i="10"/>
  <c r="P20" i="10"/>
  <c r="M20" i="10" s="1"/>
  <c r="O20" i="10" s="1"/>
  <c r="K20" i="10"/>
  <c r="J20" i="10"/>
  <c r="H20" i="10"/>
  <c r="F20" i="10"/>
  <c r="C20" i="10" s="1"/>
  <c r="E20" i="10" s="1"/>
  <c r="P19" i="10"/>
  <c r="M19" i="10" s="1"/>
  <c r="O19" i="10" s="1"/>
  <c r="K19" i="10"/>
  <c r="H19" i="10"/>
  <c r="J19" i="10" s="1"/>
  <c r="F19" i="10"/>
  <c r="E19" i="10"/>
  <c r="C19" i="10"/>
  <c r="P18" i="10"/>
  <c r="M18" i="10"/>
  <c r="O18" i="10" s="1"/>
  <c r="K18" i="10"/>
  <c r="H18" i="10" s="1"/>
  <c r="J18" i="10" s="1"/>
  <c r="F18" i="10"/>
  <c r="C18" i="10" s="1"/>
  <c r="E18" i="10" s="1"/>
  <c r="P17" i="10"/>
  <c r="M17" i="10"/>
  <c r="O17" i="10" s="1"/>
  <c r="K17" i="10"/>
  <c r="H17" i="10" s="1"/>
  <c r="J17" i="10" s="1"/>
  <c r="F17" i="10"/>
  <c r="C17" i="10" s="1"/>
  <c r="E17" i="10" s="1"/>
  <c r="P16" i="10"/>
  <c r="M16" i="10"/>
  <c r="O16" i="10" s="1"/>
  <c r="K16" i="10"/>
  <c r="J16" i="10"/>
  <c r="H16" i="10"/>
  <c r="F16" i="10"/>
  <c r="C16" i="10"/>
  <c r="E16" i="10" s="1"/>
  <c r="O15" i="10"/>
  <c r="J15" i="10"/>
  <c r="E15" i="10"/>
  <c r="B14" i="10"/>
  <c r="C14" i="10" s="1"/>
  <c r="D14" i="10" s="1"/>
  <c r="E14" i="10" s="1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F3" i="10"/>
  <c r="P62" i="9"/>
  <c r="M62" i="9"/>
  <c r="O62" i="9" s="1"/>
  <c r="K62" i="9"/>
  <c r="H62" i="9" s="1"/>
  <c r="J62" i="9" s="1"/>
  <c r="F62" i="9"/>
  <c r="E62" i="9"/>
  <c r="P61" i="9"/>
  <c r="M61" i="9"/>
  <c r="O61" i="9" s="1"/>
  <c r="K61" i="9"/>
  <c r="H61" i="9" s="1"/>
  <c r="J61" i="9" s="1"/>
  <c r="F61" i="9"/>
  <c r="C61" i="9" s="1"/>
  <c r="E61" i="9" s="1"/>
  <c r="P60" i="9"/>
  <c r="M60" i="9"/>
  <c r="O60" i="9" s="1"/>
  <c r="K60" i="9"/>
  <c r="H60" i="9" s="1"/>
  <c r="J60" i="9" s="1"/>
  <c r="F60" i="9"/>
  <c r="C60" i="9" s="1"/>
  <c r="E60" i="9" s="1"/>
  <c r="P59" i="9"/>
  <c r="M59" i="9"/>
  <c r="O59" i="9" s="1"/>
  <c r="K59" i="9"/>
  <c r="J59" i="9"/>
  <c r="H59" i="9"/>
  <c r="F59" i="9"/>
  <c r="C59" i="9"/>
  <c r="E59" i="9" s="1"/>
  <c r="P58" i="9"/>
  <c r="M58" i="9" s="1"/>
  <c r="O58" i="9" s="1"/>
  <c r="K58" i="9"/>
  <c r="H58" i="9" s="1"/>
  <c r="J58" i="9" s="1"/>
  <c r="F58" i="9"/>
  <c r="C58" i="9"/>
  <c r="E58" i="9" s="1"/>
  <c r="P57" i="9"/>
  <c r="M57" i="9" s="1"/>
  <c r="O57" i="9" s="1"/>
  <c r="K57" i="9"/>
  <c r="H57" i="9" s="1"/>
  <c r="J57" i="9" s="1"/>
  <c r="F57" i="9"/>
  <c r="C57" i="9"/>
  <c r="E57" i="9" s="1"/>
  <c r="P56" i="9"/>
  <c r="O56" i="9"/>
  <c r="M56" i="9"/>
  <c r="K56" i="9"/>
  <c r="H56" i="9"/>
  <c r="J56" i="9" s="1"/>
  <c r="F56" i="9"/>
  <c r="C56" i="9" s="1"/>
  <c r="E56" i="9"/>
  <c r="P55" i="9"/>
  <c r="M55" i="9" s="1"/>
  <c r="O55" i="9" s="1"/>
  <c r="K55" i="9"/>
  <c r="H55" i="9"/>
  <c r="J55" i="9" s="1"/>
  <c r="F55" i="9"/>
  <c r="C55" i="9" s="1"/>
  <c r="E55" i="9" s="1"/>
  <c r="P54" i="9"/>
  <c r="M54" i="9" s="1"/>
  <c r="O54" i="9" s="1"/>
  <c r="K54" i="9"/>
  <c r="H54" i="9"/>
  <c r="J54" i="9" s="1"/>
  <c r="F54" i="9"/>
  <c r="E54" i="9"/>
  <c r="C54" i="9"/>
  <c r="P53" i="9"/>
  <c r="M53" i="9"/>
  <c r="O53" i="9" s="1"/>
  <c r="K53" i="9"/>
  <c r="H53" i="9" s="1"/>
  <c r="J53" i="9" s="1"/>
  <c r="F53" i="9"/>
  <c r="C53" i="9" s="1"/>
  <c r="E53" i="9" s="1"/>
  <c r="P52" i="9"/>
  <c r="M52" i="9"/>
  <c r="O52" i="9" s="1"/>
  <c r="K52" i="9"/>
  <c r="H52" i="9" s="1"/>
  <c r="J52" i="9" s="1"/>
  <c r="F52" i="9"/>
  <c r="C52" i="9" s="1"/>
  <c r="E52" i="9" s="1"/>
  <c r="P51" i="9"/>
  <c r="M51" i="9"/>
  <c r="O51" i="9" s="1"/>
  <c r="K51" i="9"/>
  <c r="J51" i="9"/>
  <c r="H51" i="9"/>
  <c r="F51" i="9"/>
  <c r="C51" i="9"/>
  <c r="E51" i="9" s="1"/>
  <c r="P50" i="9"/>
  <c r="M50" i="9" s="1"/>
  <c r="O50" i="9" s="1"/>
  <c r="K50" i="9"/>
  <c r="H50" i="9" s="1"/>
  <c r="J50" i="9" s="1"/>
  <c r="F50" i="9"/>
  <c r="C50" i="9"/>
  <c r="E50" i="9" s="1"/>
  <c r="P49" i="9"/>
  <c r="M49" i="9" s="1"/>
  <c r="O49" i="9" s="1"/>
  <c r="K49" i="9"/>
  <c r="H49" i="9" s="1"/>
  <c r="J49" i="9" s="1"/>
  <c r="F49" i="9"/>
  <c r="C49" i="9"/>
  <c r="E49" i="9" s="1"/>
  <c r="P48" i="9"/>
  <c r="O48" i="9"/>
  <c r="M48" i="9"/>
  <c r="K48" i="9"/>
  <c r="H48" i="9"/>
  <c r="J48" i="9" s="1"/>
  <c r="F48" i="9"/>
  <c r="C48" i="9" s="1"/>
  <c r="E48" i="9" s="1"/>
  <c r="P47" i="9"/>
  <c r="M47" i="9" s="1"/>
  <c r="O47" i="9" s="1"/>
  <c r="K47" i="9"/>
  <c r="H47" i="9"/>
  <c r="J47" i="9" s="1"/>
  <c r="F47" i="9"/>
  <c r="C47" i="9" s="1"/>
  <c r="E47" i="9" s="1"/>
  <c r="P46" i="9"/>
  <c r="M46" i="9" s="1"/>
  <c r="O46" i="9" s="1"/>
  <c r="K46" i="9"/>
  <c r="H46" i="9"/>
  <c r="J46" i="9" s="1"/>
  <c r="F46" i="9"/>
  <c r="E46" i="9"/>
  <c r="C46" i="9"/>
  <c r="P45" i="9"/>
  <c r="M45" i="9"/>
  <c r="O45" i="9" s="1"/>
  <c r="K45" i="9"/>
  <c r="H45" i="9" s="1"/>
  <c r="J45" i="9"/>
  <c r="F45" i="9"/>
  <c r="C45" i="9" s="1"/>
  <c r="E45" i="9" s="1"/>
  <c r="P44" i="9"/>
  <c r="M44" i="9"/>
  <c r="O44" i="9" s="1"/>
  <c r="K44" i="9"/>
  <c r="H44" i="9" s="1"/>
  <c r="J44" i="9" s="1"/>
  <c r="F44" i="9"/>
  <c r="C44" i="9" s="1"/>
  <c r="E44" i="9" s="1"/>
  <c r="P43" i="9"/>
  <c r="M43" i="9"/>
  <c r="O43" i="9" s="1"/>
  <c r="K43" i="9"/>
  <c r="J43" i="9"/>
  <c r="H43" i="9"/>
  <c r="F43" i="9"/>
  <c r="C43" i="9"/>
  <c r="E43" i="9" s="1"/>
  <c r="P42" i="9"/>
  <c r="M42" i="9" s="1"/>
  <c r="O42" i="9" s="1"/>
  <c r="K42" i="9"/>
  <c r="H42" i="9" s="1"/>
  <c r="J42" i="9" s="1"/>
  <c r="F42" i="9"/>
  <c r="C42" i="9"/>
  <c r="E42" i="9" s="1"/>
  <c r="P41" i="9"/>
  <c r="M41" i="9" s="1"/>
  <c r="O41" i="9" s="1"/>
  <c r="K41" i="9"/>
  <c r="H41" i="9" s="1"/>
  <c r="J41" i="9" s="1"/>
  <c r="F41" i="9"/>
  <c r="C41" i="9"/>
  <c r="E41" i="9" s="1"/>
  <c r="P40" i="9"/>
  <c r="O40" i="9"/>
  <c r="M40" i="9"/>
  <c r="K40" i="9"/>
  <c r="H40" i="9"/>
  <c r="J40" i="9" s="1"/>
  <c r="F40" i="9"/>
  <c r="C40" i="9" s="1"/>
  <c r="E40" i="9" s="1"/>
  <c r="P39" i="9"/>
  <c r="M39" i="9" s="1"/>
  <c r="O39" i="9" s="1"/>
  <c r="K39" i="9"/>
  <c r="H39" i="9"/>
  <c r="J39" i="9" s="1"/>
  <c r="F39" i="9"/>
  <c r="C39" i="9" s="1"/>
  <c r="E39" i="9" s="1"/>
  <c r="P38" i="9"/>
  <c r="M38" i="9" s="1"/>
  <c r="O38" i="9" s="1"/>
  <c r="K38" i="9"/>
  <c r="H38" i="9"/>
  <c r="J38" i="9" s="1"/>
  <c r="F38" i="9"/>
  <c r="E38" i="9"/>
  <c r="C38" i="9"/>
  <c r="P37" i="9"/>
  <c r="M37" i="9"/>
  <c r="O37" i="9" s="1"/>
  <c r="K37" i="9"/>
  <c r="H37" i="9" s="1"/>
  <c r="J37" i="9" s="1"/>
  <c r="F37" i="9"/>
  <c r="C37" i="9" s="1"/>
  <c r="E37" i="9" s="1"/>
  <c r="P36" i="9"/>
  <c r="M36" i="9"/>
  <c r="O36" i="9" s="1"/>
  <c r="K36" i="9"/>
  <c r="H36" i="9" s="1"/>
  <c r="J36" i="9" s="1"/>
  <c r="F36" i="9"/>
  <c r="C36" i="9" s="1"/>
  <c r="E36" i="9" s="1"/>
  <c r="P35" i="9"/>
  <c r="M35" i="9"/>
  <c r="O35" i="9" s="1"/>
  <c r="K35" i="9"/>
  <c r="J35" i="9"/>
  <c r="H35" i="9"/>
  <c r="F35" i="9"/>
  <c r="C35" i="9"/>
  <c r="E35" i="9" s="1"/>
  <c r="P34" i="9"/>
  <c r="M34" i="9" s="1"/>
  <c r="O34" i="9"/>
  <c r="K34" i="9"/>
  <c r="H34" i="9" s="1"/>
  <c r="J34" i="9" s="1"/>
  <c r="F34" i="9"/>
  <c r="C34" i="9"/>
  <c r="E34" i="9" s="1"/>
  <c r="P33" i="9"/>
  <c r="M33" i="9" s="1"/>
  <c r="O33" i="9" s="1"/>
  <c r="K33" i="9"/>
  <c r="H33" i="9" s="1"/>
  <c r="J33" i="9" s="1"/>
  <c r="F33" i="9"/>
  <c r="C33" i="9"/>
  <c r="E33" i="9" s="1"/>
  <c r="P32" i="9"/>
  <c r="O32" i="9"/>
  <c r="M32" i="9"/>
  <c r="K32" i="9"/>
  <c r="H32" i="9"/>
  <c r="J32" i="9" s="1"/>
  <c r="F32" i="9"/>
  <c r="C32" i="9" s="1"/>
  <c r="E32" i="9" s="1"/>
  <c r="P31" i="9"/>
  <c r="M31" i="9" s="1"/>
  <c r="O31" i="9" s="1"/>
  <c r="K31" i="9"/>
  <c r="H31" i="9"/>
  <c r="J31" i="9" s="1"/>
  <c r="F31" i="9"/>
  <c r="C31" i="9" s="1"/>
  <c r="E31" i="9" s="1"/>
  <c r="P30" i="9"/>
  <c r="M30" i="9" s="1"/>
  <c r="O30" i="9" s="1"/>
  <c r="K30" i="9"/>
  <c r="H30" i="9"/>
  <c r="J30" i="9" s="1"/>
  <c r="F30" i="9"/>
  <c r="E30" i="9"/>
  <c r="C30" i="9"/>
  <c r="P29" i="9"/>
  <c r="M29" i="9"/>
  <c r="O29" i="9" s="1"/>
  <c r="K29" i="9"/>
  <c r="H29" i="9" s="1"/>
  <c r="J29" i="9" s="1"/>
  <c r="F29" i="9"/>
  <c r="C29" i="9" s="1"/>
  <c r="E29" i="9" s="1"/>
  <c r="P28" i="9"/>
  <c r="M28" i="9"/>
  <c r="O28" i="9" s="1"/>
  <c r="K28" i="9"/>
  <c r="H28" i="9" s="1"/>
  <c r="J28" i="9" s="1"/>
  <c r="F28" i="9"/>
  <c r="C28" i="9" s="1"/>
  <c r="E28" i="9" s="1"/>
  <c r="P27" i="9"/>
  <c r="M27" i="9"/>
  <c r="O27" i="9" s="1"/>
  <c r="K27" i="9"/>
  <c r="J27" i="9"/>
  <c r="H27" i="9"/>
  <c r="F27" i="9"/>
  <c r="C27" i="9"/>
  <c r="E27" i="9" s="1"/>
  <c r="P26" i="9"/>
  <c r="M26" i="9" s="1"/>
  <c r="O26" i="9" s="1"/>
  <c r="K26" i="9"/>
  <c r="H26" i="9" s="1"/>
  <c r="J26" i="9" s="1"/>
  <c r="F26" i="9"/>
  <c r="C26" i="9"/>
  <c r="E26" i="9" s="1"/>
  <c r="P25" i="9"/>
  <c r="M25" i="9" s="1"/>
  <c r="O25" i="9" s="1"/>
  <c r="K25" i="9"/>
  <c r="H25" i="9" s="1"/>
  <c r="J25" i="9" s="1"/>
  <c r="F25" i="9"/>
  <c r="C25" i="9"/>
  <c r="E25" i="9" s="1"/>
  <c r="P24" i="9"/>
  <c r="O24" i="9"/>
  <c r="M24" i="9"/>
  <c r="K24" i="9"/>
  <c r="H24" i="9"/>
  <c r="J24" i="9" s="1"/>
  <c r="F24" i="9"/>
  <c r="C24" i="9" s="1"/>
  <c r="E24" i="9"/>
  <c r="P23" i="9"/>
  <c r="M23" i="9" s="1"/>
  <c r="O23" i="9" s="1"/>
  <c r="K23" i="9"/>
  <c r="H23" i="9"/>
  <c r="J23" i="9" s="1"/>
  <c r="F23" i="9"/>
  <c r="C23" i="9" s="1"/>
  <c r="E23" i="9" s="1"/>
  <c r="P22" i="9"/>
  <c r="M22" i="9" s="1"/>
  <c r="O22" i="9" s="1"/>
  <c r="K22" i="9"/>
  <c r="H22" i="9"/>
  <c r="J22" i="9" s="1"/>
  <c r="F22" i="9"/>
  <c r="E22" i="9"/>
  <c r="C22" i="9"/>
  <c r="P21" i="9"/>
  <c r="M21" i="9"/>
  <c r="O21" i="9" s="1"/>
  <c r="K21" i="9"/>
  <c r="H21" i="9" s="1"/>
  <c r="J21" i="9" s="1"/>
  <c r="F21" i="9"/>
  <c r="C21" i="9" s="1"/>
  <c r="E21" i="9" s="1"/>
  <c r="P20" i="9"/>
  <c r="M20" i="9"/>
  <c r="O20" i="9" s="1"/>
  <c r="K20" i="9"/>
  <c r="H20" i="9" s="1"/>
  <c r="J20" i="9" s="1"/>
  <c r="F20" i="9"/>
  <c r="C20" i="9" s="1"/>
  <c r="E20" i="9" s="1"/>
  <c r="P19" i="9"/>
  <c r="M19" i="9"/>
  <c r="O19" i="9" s="1"/>
  <c r="K19" i="9"/>
  <c r="J19" i="9"/>
  <c r="H19" i="9"/>
  <c r="F19" i="9"/>
  <c r="C19" i="9"/>
  <c r="E19" i="9" s="1"/>
  <c r="P18" i="9"/>
  <c r="M18" i="9" s="1"/>
  <c r="O18" i="9" s="1"/>
  <c r="K18" i="9"/>
  <c r="H18" i="9" s="1"/>
  <c r="J18" i="9" s="1"/>
  <c r="F18" i="9"/>
  <c r="C18" i="9"/>
  <c r="E18" i="9" s="1"/>
  <c r="P17" i="9"/>
  <c r="M17" i="9" s="1"/>
  <c r="O17" i="9" s="1"/>
  <c r="K17" i="9"/>
  <c r="H17" i="9" s="1"/>
  <c r="J17" i="9" s="1"/>
  <c r="F17" i="9"/>
  <c r="C17" i="9"/>
  <c r="E17" i="9" s="1"/>
  <c r="P16" i="9"/>
  <c r="O16" i="9"/>
  <c r="M16" i="9"/>
  <c r="K16" i="9"/>
  <c r="H16" i="9"/>
  <c r="J16" i="9" s="1"/>
  <c r="F16" i="9"/>
  <c r="C16" i="9" s="1"/>
  <c r="E16" i="9" s="1"/>
  <c r="O15" i="9"/>
  <c r="J15" i="9"/>
  <c r="E15" i="9"/>
  <c r="B14" i="9"/>
  <c r="C14" i="9" s="1"/>
  <c r="D14" i="9" s="1"/>
  <c r="E14" i="9" s="1"/>
  <c r="F14" i="9" s="1"/>
  <c r="G14" i="9" s="1"/>
  <c r="H14" i="9" s="1"/>
  <c r="I14" i="9" s="1"/>
  <c r="J14" i="9" s="1"/>
  <c r="K14" i="9" s="1"/>
  <c r="L14" i="9" s="1"/>
  <c r="M14" i="9" s="1"/>
  <c r="N14" i="9" s="1"/>
  <c r="O14" i="9" s="1"/>
  <c r="P14" i="9" s="1"/>
  <c r="Q14" i="9" s="1"/>
  <c r="R14" i="9" s="1"/>
  <c r="F3" i="9"/>
  <c r="P62" i="8"/>
  <c r="M62" i="8" s="1"/>
  <c r="O62" i="8" s="1"/>
  <c r="K62" i="8"/>
  <c r="J62" i="8"/>
  <c r="F62" i="8"/>
  <c r="E62" i="8"/>
  <c r="P61" i="8"/>
  <c r="M61" i="8"/>
  <c r="O61" i="8" s="1"/>
  <c r="K61" i="8"/>
  <c r="J61" i="8"/>
  <c r="H61" i="8"/>
  <c r="F61" i="8"/>
  <c r="C61" i="8"/>
  <c r="E61" i="8" s="1"/>
  <c r="P60" i="8"/>
  <c r="M60" i="8" s="1"/>
  <c r="O60" i="8"/>
  <c r="K60" i="8"/>
  <c r="H60" i="8" s="1"/>
  <c r="J60" i="8" s="1"/>
  <c r="F60" i="8"/>
  <c r="E60" i="8"/>
  <c r="C60" i="8"/>
  <c r="P59" i="8"/>
  <c r="M59" i="8" s="1"/>
  <c r="O59" i="8" s="1"/>
  <c r="K59" i="8"/>
  <c r="H59" i="8" s="1"/>
  <c r="J59" i="8" s="1"/>
  <c r="F59" i="8"/>
  <c r="C59" i="8"/>
  <c r="E59" i="8" s="1"/>
  <c r="P58" i="8"/>
  <c r="O58" i="8"/>
  <c r="M58" i="8"/>
  <c r="K58" i="8"/>
  <c r="H58" i="8"/>
  <c r="J58" i="8" s="1"/>
  <c r="F58" i="8"/>
  <c r="C58" i="8" s="1"/>
  <c r="E58" i="8" s="1"/>
  <c r="P57" i="8"/>
  <c r="M57" i="8" s="1"/>
  <c r="O57" i="8" s="1"/>
  <c r="K57" i="8"/>
  <c r="J57" i="8"/>
  <c r="H57" i="8"/>
  <c r="F57" i="8"/>
  <c r="C57" i="8" s="1"/>
  <c r="E57" i="8" s="1"/>
  <c r="P56" i="8"/>
  <c r="M56" i="8" s="1"/>
  <c r="O56" i="8" s="1"/>
  <c r="K56" i="8"/>
  <c r="H56" i="8"/>
  <c r="J56" i="8" s="1"/>
  <c r="F56" i="8"/>
  <c r="E56" i="8"/>
  <c r="C56" i="8"/>
  <c r="P55" i="8"/>
  <c r="M55" i="8"/>
  <c r="O55" i="8" s="1"/>
  <c r="K55" i="8"/>
  <c r="H55" i="8" s="1"/>
  <c r="J55" i="8" s="1"/>
  <c r="F55" i="8"/>
  <c r="C55" i="8" s="1"/>
  <c r="E55" i="8" s="1"/>
  <c r="P54" i="8"/>
  <c r="O54" i="8"/>
  <c r="M54" i="8"/>
  <c r="K54" i="8"/>
  <c r="H54" i="8" s="1"/>
  <c r="J54" i="8" s="1"/>
  <c r="F54" i="8"/>
  <c r="C54" i="8" s="1"/>
  <c r="E54" i="8" s="1"/>
  <c r="P53" i="8"/>
  <c r="M53" i="8"/>
  <c r="O53" i="8" s="1"/>
  <c r="K53" i="8"/>
  <c r="J53" i="8"/>
  <c r="H53" i="8"/>
  <c r="F53" i="8"/>
  <c r="C53" i="8"/>
  <c r="E53" i="8" s="1"/>
  <c r="P52" i="8"/>
  <c r="M52" i="8" s="1"/>
  <c r="O52" i="8"/>
  <c r="K52" i="8"/>
  <c r="H52" i="8" s="1"/>
  <c r="J52" i="8" s="1"/>
  <c r="F52" i="8"/>
  <c r="E52" i="8"/>
  <c r="C52" i="8"/>
  <c r="P51" i="8"/>
  <c r="M51" i="8" s="1"/>
  <c r="O51" i="8" s="1"/>
  <c r="K51" i="8"/>
  <c r="H51" i="8" s="1"/>
  <c r="J51" i="8" s="1"/>
  <c r="F51" i="8"/>
  <c r="C51" i="8"/>
  <c r="E51" i="8" s="1"/>
  <c r="P50" i="8"/>
  <c r="O50" i="8"/>
  <c r="M50" i="8"/>
  <c r="K50" i="8"/>
  <c r="H50" i="8"/>
  <c r="J50" i="8" s="1"/>
  <c r="F50" i="8"/>
  <c r="C50" i="8" s="1"/>
  <c r="E50" i="8" s="1"/>
  <c r="P49" i="8"/>
  <c r="M49" i="8" s="1"/>
  <c r="O49" i="8" s="1"/>
  <c r="K49" i="8"/>
  <c r="J49" i="8"/>
  <c r="H49" i="8"/>
  <c r="F49" i="8"/>
  <c r="C49" i="8" s="1"/>
  <c r="E49" i="8" s="1"/>
  <c r="P48" i="8"/>
  <c r="M48" i="8" s="1"/>
  <c r="O48" i="8" s="1"/>
  <c r="K48" i="8"/>
  <c r="H48" i="8"/>
  <c r="J48" i="8" s="1"/>
  <c r="F48" i="8"/>
  <c r="E48" i="8"/>
  <c r="C48" i="8"/>
  <c r="P47" i="8"/>
  <c r="M47" i="8"/>
  <c r="O47" i="8" s="1"/>
  <c r="K47" i="8"/>
  <c r="H47" i="8" s="1"/>
  <c r="J47" i="8" s="1"/>
  <c r="F47" i="8"/>
  <c r="C47" i="8" s="1"/>
  <c r="E47" i="8" s="1"/>
  <c r="P46" i="8"/>
  <c r="O46" i="8"/>
  <c r="M46" i="8"/>
  <c r="K46" i="8"/>
  <c r="H46" i="8" s="1"/>
  <c r="J46" i="8" s="1"/>
  <c r="F46" i="8"/>
  <c r="C46" i="8" s="1"/>
  <c r="E46" i="8" s="1"/>
  <c r="P45" i="8"/>
  <c r="M45" i="8"/>
  <c r="O45" i="8" s="1"/>
  <c r="K45" i="8"/>
  <c r="J45" i="8"/>
  <c r="H45" i="8"/>
  <c r="F45" i="8"/>
  <c r="C45" i="8"/>
  <c r="E45" i="8" s="1"/>
  <c r="P44" i="8"/>
  <c r="M44" i="8" s="1"/>
  <c r="O44" i="8"/>
  <c r="K44" i="8"/>
  <c r="H44" i="8" s="1"/>
  <c r="J44" i="8" s="1"/>
  <c r="F44" i="8"/>
  <c r="E44" i="8"/>
  <c r="C44" i="8"/>
  <c r="P43" i="8"/>
  <c r="M43" i="8" s="1"/>
  <c r="O43" i="8" s="1"/>
  <c r="K43" i="8"/>
  <c r="H43" i="8" s="1"/>
  <c r="J43" i="8" s="1"/>
  <c r="F43" i="8"/>
  <c r="C43" i="8"/>
  <c r="E43" i="8" s="1"/>
  <c r="P42" i="8"/>
  <c r="O42" i="8"/>
  <c r="M42" i="8"/>
  <c r="K42" i="8"/>
  <c r="H42" i="8"/>
  <c r="J42" i="8" s="1"/>
  <c r="F42" i="8"/>
  <c r="C42" i="8" s="1"/>
  <c r="E42" i="8"/>
  <c r="P41" i="8"/>
  <c r="M41" i="8" s="1"/>
  <c r="O41" i="8" s="1"/>
  <c r="K41" i="8"/>
  <c r="J41" i="8"/>
  <c r="H41" i="8"/>
  <c r="F41" i="8"/>
  <c r="C41" i="8" s="1"/>
  <c r="E41" i="8" s="1"/>
  <c r="P40" i="8"/>
  <c r="M40" i="8" s="1"/>
  <c r="O40" i="8" s="1"/>
  <c r="K40" i="8"/>
  <c r="H40" i="8"/>
  <c r="J40" i="8" s="1"/>
  <c r="F40" i="8"/>
  <c r="E40" i="8"/>
  <c r="C40" i="8"/>
  <c r="P39" i="8"/>
  <c r="M39" i="8"/>
  <c r="O39" i="8" s="1"/>
  <c r="K39" i="8"/>
  <c r="H39" i="8" s="1"/>
  <c r="J39" i="8"/>
  <c r="F39" i="8"/>
  <c r="C39" i="8" s="1"/>
  <c r="E39" i="8" s="1"/>
  <c r="P38" i="8"/>
  <c r="O38" i="8"/>
  <c r="M38" i="8"/>
  <c r="K38" i="8"/>
  <c r="H38" i="8" s="1"/>
  <c r="J38" i="8" s="1"/>
  <c r="F38" i="8"/>
  <c r="C38" i="8" s="1"/>
  <c r="E38" i="8" s="1"/>
  <c r="P37" i="8"/>
  <c r="M37" i="8"/>
  <c r="O37" i="8" s="1"/>
  <c r="K37" i="8"/>
  <c r="J37" i="8"/>
  <c r="H37" i="8"/>
  <c r="F37" i="8"/>
  <c r="C37" i="8"/>
  <c r="E37" i="8" s="1"/>
  <c r="P36" i="8"/>
  <c r="M36" i="8" s="1"/>
  <c r="O36" i="8" s="1"/>
  <c r="K36" i="8"/>
  <c r="H36" i="8" s="1"/>
  <c r="J36" i="8" s="1"/>
  <c r="F36" i="8"/>
  <c r="E36" i="8"/>
  <c r="C36" i="8"/>
  <c r="P35" i="8"/>
  <c r="M35" i="8" s="1"/>
  <c r="O35" i="8" s="1"/>
  <c r="K35" i="8"/>
  <c r="H35" i="8" s="1"/>
  <c r="J35" i="8" s="1"/>
  <c r="F35" i="8"/>
  <c r="C35" i="8"/>
  <c r="E35" i="8" s="1"/>
  <c r="P34" i="8"/>
  <c r="O34" i="8"/>
  <c r="M34" i="8"/>
  <c r="K34" i="8"/>
  <c r="H34" i="8"/>
  <c r="J34" i="8" s="1"/>
  <c r="F34" i="8"/>
  <c r="C34" i="8" s="1"/>
  <c r="E34" i="8" s="1"/>
  <c r="P33" i="8"/>
  <c r="M33" i="8" s="1"/>
  <c r="O33" i="8" s="1"/>
  <c r="K33" i="8"/>
  <c r="J33" i="8"/>
  <c r="H33" i="8"/>
  <c r="F33" i="8"/>
  <c r="C33" i="8" s="1"/>
  <c r="E33" i="8" s="1"/>
  <c r="P32" i="8"/>
  <c r="M32" i="8" s="1"/>
  <c r="O32" i="8" s="1"/>
  <c r="K32" i="8"/>
  <c r="H32" i="8"/>
  <c r="J32" i="8" s="1"/>
  <c r="F32" i="8"/>
  <c r="E32" i="8"/>
  <c r="C32" i="8"/>
  <c r="P31" i="8"/>
  <c r="M31" i="8"/>
  <c r="O31" i="8" s="1"/>
  <c r="K31" i="8"/>
  <c r="H31" i="8" s="1"/>
  <c r="J31" i="8"/>
  <c r="F31" i="8"/>
  <c r="C31" i="8" s="1"/>
  <c r="E31" i="8" s="1"/>
  <c r="P30" i="8"/>
  <c r="O30" i="8"/>
  <c r="M30" i="8"/>
  <c r="K30" i="8"/>
  <c r="H30" i="8" s="1"/>
  <c r="J30" i="8" s="1"/>
  <c r="F30" i="8"/>
  <c r="C30" i="8" s="1"/>
  <c r="E30" i="8" s="1"/>
  <c r="P29" i="8"/>
  <c r="M29" i="8"/>
  <c r="O29" i="8" s="1"/>
  <c r="K29" i="8"/>
  <c r="J29" i="8"/>
  <c r="H29" i="8"/>
  <c r="F29" i="8"/>
  <c r="C29" i="8"/>
  <c r="E29" i="8" s="1"/>
  <c r="P28" i="8"/>
  <c r="M28" i="8" s="1"/>
  <c r="O28" i="8" s="1"/>
  <c r="K28" i="8"/>
  <c r="H28" i="8" s="1"/>
  <c r="J28" i="8" s="1"/>
  <c r="F28" i="8"/>
  <c r="E28" i="8"/>
  <c r="C28" i="8"/>
  <c r="P27" i="8"/>
  <c r="M27" i="8" s="1"/>
  <c r="O27" i="8" s="1"/>
  <c r="K27" i="8"/>
  <c r="H27" i="8" s="1"/>
  <c r="J27" i="8" s="1"/>
  <c r="F27" i="8"/>
  <c r="C27" i="8"/>
  <c r="E27" i="8" s="1"/>
  <c r="P26" i="8"/>
  <c r="O26" i="8"/>
  <c r="M26" i="8"/>
  <c r="K26" i="8"/>
  <c r="H26" i="8"/>
  <c r="J26" i="8" s="1"/>
  <c r="F26" i="8"/>
  <c r="C26" i="8" s="1"/>
  <c r="E26" i="8" s="1"/>
  <c r="P25" i="8"/>
  <c r="M25" i="8" s="1"/>
  <c r="O25" i="8" s="1"/>
  <c r="K25" i="8"/>
  <c r="J25" i="8"/>
  <c r="H25" i="8"/>
  <c r="F25" i="8"/>
  <c r="C25" i="8" s="1"/>
  <c r="E25" i="8" s="1"/>
  <c r="P24" i="8"/>
  <c r="M24" i="8" s="1"/>
  <c r="O24" i="8" s="1"/>
  <c r="K24" i="8"/>
  <c r="H24" i="8"/>
  <c r="J24" i="8" s="1"/>
  <c r="F24" i="8"/>
  <c r="E24" i="8"/>
  <c r="C24" i="8"/>
  <c r="P23" i="8"/>
  <c r="M23" i="8"/>
  <c r="O23" i="8" s="1"/>
  <c r="K23" i="8"/>
  <c r="H23" i="8" s="1"/>
  <c r="J23" i="8"/>
  <c r="F23" i="8"/>
  <c r="C23" i="8" s="1"/>
  <c r="E23" i="8" s="1"/>
  <c r="P22" i="8"/>
  <c r="O22" i="8"/>
  <c r="M22" i="8"/>
  <c r="K22" i="8"/>
  <c r="H22" i="8" s="1"/>
  <c r="J22" i="8" s="1"/>
  <c r="F22" i="8"/>
  <c r="C22" i="8" s="1"/>
  <c r="E22" i="8" s="1"/>
  <c r="P21" i="8"/>
  <c r="M21" i="8"/>
  <c r="O21" i="8" s="1"/>
  <c r="K21" i="8"/>
  <c r="J21" i="8"/>
  <c r="H21" i="8"/>
  <c r="F21" i="8"/>
  <c r="C21" i="8"/>
  <c r="E21" i="8" s="1"/>
  <c r="P20" i="8"/>
  <c r="M20" i="8" s="1"/>
  <c r="O20" i="8"/>
  <c r="K20" i="8"/>
  <c r="H20" i="8" s="1"/>
  <c r="J20" i="8" s="1"/>
  <c r="F20" i="8"/>
  <c r="E20" i="8"/>
  <c r="C20" i="8"/>
  <c r="P19" i="8"/>
  <c r="M19" i="8" s="1"/>
  <c r="O19" i="8" s="1"/>
  <c r="K19" i="8"/>
  <c r="H19" i="8" s="1"/>
  <c r="J19" i="8" s="1"/>
  <c r="F19" i="8"/>
  <c r="C19" i="8"/>
  <c r="E19" i="8" s="1"/>
  <c r="P18" i="8"/>
  <c r="O18" i="8"/>
  <c r="M18" i="8"/>
  <c r="K18" i="8"/>
  <c r="H18" i="8"/>
  <c r="J18" i="8" s="1"/>
  <c r="F18" i="8"/>
  <c r="C18" i="8" s="1"/>
  <c r="E18" i="8"/>
  <c r="P17" i="8"/>
  <c r="M17" i="8" s="1"/>
  <c r="O17" i="8" s="1"/>
  <c r="K17" i="8"/>
  <c r="J17" i="8"/>
  <c r="H17" i="8"/>
  <c r="F17" i="8"/>
  <c r="C17" i="8" s="1"/>
  <c r="E17" i="8" s="1"/>
  <c r="P16" i="8"/>
  <c r="M16" i="8" s="1"/>
  <c r="O16" i="8" s="1"/>
  <c r="K16" i="8"/>
  <c r="H16" i="8"/>
  <c r="J16" i="8" s="1"/>
  <c r="F16" i="8"/>
  <c r="E16" i="8"/>
  <c r="C16" i="8"/>
  <c r="O15" i="8"/>
  <c r="J15" i="8"/>
  <c r="E15" i="8"/>
  <c r="C14" i="8"/>
  <c r="D14" i="8" s="1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B14" i="8"/>
  <c r="F3" i="8"/>
  <c r="P62" i="7"/>
  <c r="O62" i="7"/>
  <c r="M62" i="7"/>
  <c r="K62" i="7"/>
  <c r="J62" i="7"/>
  <c r="F62" i="7"/>
  <c r="C62" i="7"/>
  <c r="E62" i="7" s="1"/>
  <c r="P61" i="7"/>
  <c r="O61" i="7"/>
  <c r="M61" i="7"/>
  <c r="K61" i="7"/>
  <c r="H61" i="7"/>
  <c r="J61" i="7" s="1"/>
  <c r="F61" i="7"/>
  <c r="C61" i="7" s="1"/>
  <c r="E61" i="7"/>
  <c r="P60" i="7"/>
  <c r="M60" i="7" s="1"/>
  <c r="O60" i="7" s="1"/>
  <c r="K60" i="7"/>
  <c r="J60" i="7"/>
  <c r="H60" i="7"/>
  <c r="F60" i="7"/>
  <c r="C60" i="7" s="1"/>
  <c r="E60" i="7" s="1"/>
  <c r="P59" i="7"/>
  <c r="M59" i="7" s="1"/>
  <c r="O59" i="7" s="1"/>
  <c r="K59" i="7"/>
  <c r="H59" i="7"/>
  <c r="J59" i="7" s="1"/>
  <c r="F59" i="7"/>
  <c r="E59" i="7"/>
  <c r="C59" i="7"/>
  <c r="P58" i="7"/>
  <c r="M58" i="7"/>
  <c r="O58" i="7" s="1"/>
  <c r="K58" i="7"/>
  <c r="H58" i="7" s="1"/>
  <c r="J58" i="7"/>
  <c r="F58" i="7"/>
  <c r="C58" i="7" s="1"/>
  <c r="E58" i="7" s="1"/>
  <c r="P57" i="7"/>
  <c r="O57" i="7"/>
  <c r="M57" i="7"/>
  <c r="K57" i="7"/>
  <c r="H57" i="7" s="1"/>
  <c r="J57" i="7" s="1"/>
  <c r="F57" i="7"/>
  <c r="C57" i="7" s="1"/>
  <c r="E57" i="7" s="1"/>
  <c r="P56" i="7"/>
  <c r="M56" i="7"/>
  <c r="O56" i="7" s="1"/>
  <c r="K56" i="7"/>
  <c r="J56" i="7"/>
  <c r="H56" i="7"/>
  <c r="F56" i="7"/>
  <c r="C56" i="7"/>
  <c r="E56" i="7" s="1"/>
  <c r="P55" i="7"/>
  <c r="M55" i="7" s="1"/>
  <c r="O55" i="7" s="1"/>
  <c r="K55" i="7"/>
  <c r="H55" i="7" s="1"/>
  <c r="J55" i="7" s="1"/>
  <c r="F55" i="7"/>
  <c r="E55" i="7"/>
  <c r="C55" i="7"/>
  <c r="P54" i="7"/>
  <c r="M54" i="7" s="1"/>
  <c r="O54" i="7" s="1"/>
  <c r="K54" i="7"/>
  <c r="H54" i="7" s="1"/>
  <c r="J54" i="7" s="1"/>
  <c r="F54" i="7"/>
  <c r="C54" i="7"/>
  <c r="E54" i="7" s="1"/>
  <c r="P53" i="7"/>
  <c r="O53" i="7"/>
  <c r="M53" i="7"/>
  <c r="K53" i="7"/>
  <c r="H53" i="7"/>
  <c r="J53" i="7" s="1"/>
  <c r="F53" i="7"/>
  <c r="C53" i="7" s="1"/>
  <c r="E53" i="7" s="1"/>
  <c r="P52" i="7"/>
  <c r="M52" i="7" s="1"/>
  <c r="O52" i="7" s="1"/>
  <c r="K52" i="7"/>
  <c r="J52" i="7"/>
  <c r="H52" i="7"/>
  <c r="F52" i="7"/>
  <c r="C52" i="7" s="1"/>
  <c r="E52" i="7" s="1"/>
  <c r="P51" i="7"/>
  <c r="M51" i="7" s="1"/>
  <c r="O51" i="7" s="1"/>
  <c r="K51" i="7"/>
  <c r="H51" i="7"/>
  <c r="J51" i="7" s="1"/>
  <c r="F51" i="7"/>
  <c r="E51" i="7"/>
  <c r="C51" i="7"/>
  <c r="P50" i="7"/>
  <c r="M50" i="7"/>
  <c r="O50" i="7" s="1"/>
  <c r="K50" i="7"/>
  <c r="H50" i="7" s="1"/>
  <c r="J50" i="7"/>
  <c r="F50" i="7"/>
  <c r="C50" i="7" s="1"/>
  <c r="E50" i="7" s="1"/>
  <c r="P49" i="7"/>
  <c r="O49" i="7"/>
  <c r="M49" i="7"/>
  <c r="K49" i="7"/>
  <c r="H49" i="7" s="1"/>
  <c r="J49" i="7" s="1"/>
  <c r="F49" i="7"/>
  <c r="C49" i="7" s="1"/>
  <c r="E49" i="7" s="1"/>
  <c r="P48" i="7"/>
  <c r="M48" i="7"/>
  <c r="O48" i="7" s="1"/>
  <c r="K48" i="7"/>
  <c r="J48" i="7"/>
  <c r="H48" i="7"/>
  <c r="F48" i="7"/>
  <c r="C48" i="7"/>
  <c r="E48" i="7" s="1"/>
  <c r="P47" i="7"/>
  <c r="M47" i="7" s="1"/>
  <c r="O47" i="7" s="1"/>
  <c r="K47" i="7"/>
  <c r="H47" i="7" s="1"/>
  <c r="J47" i="7" s="1"/>
  <c r="F47" i="7"/>
  <c r="E47" i="7"/>
  <c r="C47" i="7"/>
  <c r="P46" i="7"/>
  <c r="M46" i="7" s="1"/>
  <c r="O46" i="7" s="1"/>
  <c r="K46" i="7"/>
  <c r="H46" i="7" s="1"/>
  <c r="J46" i="7" s="1"/>
  <c r="F46" i="7"/>
  <c r="C46" i="7"/>
  <c r="E46" i="7" s="1"/>
  <c r="P45" i="7"/>
  <c r="O45" i="7"/>
  <c r="M45" i="7"/>
  <c r="K45" i="7"/>
  <c r="H45" i="7"/>
  <c r="J45" i="7" s="1"/>
  <c r="F45" i="7"/>
  <c r="C45" i="7" s="1"/>
  <c r="E45" i="7" s="1"/>
  <c r="P44" i="7"/>
  <c r="M44" i="7" s="1"/>
  <c r="O44" i="7" s="1"/>
  <c r="K44" i="7"/>
  <c r="J44" i="7"/>
  <c r="H44" i="7"/>
  <c r="F44" i="7"/>
  <c r="C44" i="7" s="1"/>
  <c r="E44" i="7" s="1"/>
  <c r="P43" i="7"/>
  <c r="M43" i="7" s="1"/>
  <c r="O43" i="7" s="1"/>
  <c r="K43" i="7"/>
  <c r="H43" i="7"/>
  <c r="J43" i="7" s="1"/>
  <c r="F43" i="7"/>
  <c r="E43" i="7"/>
  <c r="C43" i="7"/>
  <c r="P42" i="7"/>
  <c r="M42" i="7"/>
  <c r="O42" i="7" s="1"/>
  <c r="K42" i="7"/>
  <c r="H42" i="7" s="1"/>
  <c r="J42" i="7"/>
  <c r="F42" i="7"/>
  <c r="C42" i="7" s="1"/>
  <c r="E42" i="7" s="1"/>
  <c r="P41" i="7"/>
  <c r="O41" i="7"/>
  <c r="M41" i="7"/>
  <c r="K41" i="7"/>
  <c r="H41" i="7" s="1"/>
  <c r="J41" i="7" s="1"/>
  <c r="F41" i="7"/>
  <c r="C41" i="7" s="1"/>
  <c r="E41" i="7" s="1"/>
  <c r="P40" i="7"/>
  <c r="M40" i="7"/>
  <c r="O40" i="7" s="1"/>
  <c r="K40" i="7"/>
  <c r="J40" i="7"/>
  <c r="H40" i="7"/>
  <c r="F40" i="7"/>
  <c r="C40" i="7"/>
  <c r="E40" i="7" s="1"/>
  <c r="P39" i="7"/>
  <c r="M39" i="7" s="1"/>
  <c r="O39" i="7"/>
  <c r="K39" i="7"/>
  <c r="H39" i="7" s="1"/>
  <c r="J39" i="7" s="1"/>
  <c r="F39" i="7"/>
  <c r="E39" i="7"/>
  <c r="C39" i="7"/>
  <c r="P38" i="7"/>
  <c r="M38" i="7" s="1"/>
  <c r="O38" i="7" s="1"/>
  <c r="K38" i="7"/>
  <c r="H38" i="7" s="1"/>
  <c r="J38" i="7" s="1"/>
  <c r="F38" i="7"/>
  <c r="C38" i="7"/>
  <c r="E38" i="7" s="1"/>
  <c r="P37" i="7"/>
  <c r="O37" i="7"/>
  <c r="M37" i="7"/>
  <c r="K37" i="7"/>
  <c r="H37" i="7"/>
  <c r="J37" i="7" s="1"/>
  <c r="F37" i="7"/>
  <c r="C37" i="7" s="1"/>
  <c r="E37" i="7"/>
  <c r="P36" i="7"/>
  <c r="M36" i="7" s="1"/>
  <c r="O36" i="7" s="1"/>
  <c r="K36" i="7"/>
  <c r="J36" i="7"/>
  <c r="H36" i="7"/>
  <c r="F36" i="7"/>
  <c r="C36" i="7" s="1"/>
  <c r="E36" i="7" s="1"/>
  <c r="P35" i="7"/>
  <c r="M35" i="7" s="1"/>
  <c r="O35" i="7" s="1"/>
  <c r="K35" i="7"/>
  <c r="H35" i="7"/>
  <c r="J35" i="7" s="1"/>
  <c r="F35" i="7"/>
  <c r="E35" i="7"/>
  <c r="C35" i="7"/>
  <c r="P34" i="7"/>
  <c r="M34" i="7"/>
  <c r="O34" i="7" s="1"/>
  <c r="K34" i="7"/>
  <c r="H34" i="7" s="1"/>
  <c r="J34" i="7" s="1"/>
  <c r="F34" i="7"/>
  <c r="C34" i="7" s="1"/>
  <c r="E34" i="7" s="1"/>
  <c r="P33" i="7"/>
  <c r="O33" i="7"/>
  <c r="M33" i="7"/>
  <c r="K33" i="7"/>
  <c r="H33" i="7" s="1"/>
  <c r="J33" i="7" s="1"/>
  <c r="F33" i="7"/>
  <c r="C33" i="7" s="1"/>
  <c r="E33" i="7" s="1"/>
  <c r="P32" i="7"/>
  <c r="M32" i="7"/>
  <c r="O32" i="7" s="1"/>
  <c r="K32" i="7"/>
  <c r="H32" i="7" s="1"/>
  <c r="J32" i="7" s="1"/>
  <c r="F32" i="7"/>
  <c r="C32" i="7"/>
  <c r="E32" i="7" s="1"/>
  <c r="P31" i="7"/>
  <c r="M31" i="7" s="1"/>
  <c r="O31" i="7" s="1"/>
  <c r="K31" i="7"/>
  <c r="H31" i="7" s="1"/>
  <c r="J31" i="7" s="1"/>
  <c r="F31" i="7"/>
  <c r="E31" i="7"/>
  <c r="C31" i="7"/>
  <c r="P30" i="7"/>
  <c r="M30" i="7" s="1"/>
  <c r="O30" i="7" s="1"/>
  <c r="K30" i="7"/>
  <c r="H30" i="7"/>
  <c r="J30" i="7" s="1"/>
  <c r="F30" i="7"/>
  <c r="C30" i="7"/>
  <c r="E30" i="7" s="1"/>
  <c r="P29" i="7"/>
  <c r="M29" i="7" s="1"/>
  <c r="O29" i="7" s="1"/>
  <c r="K29" i="7"/>
  <c r="H29" i="7"/>
  <c r="J29" i="7" s="1"/>
  <c r="F29" i="7"/>
  <c r="C29" i="7" s="1"/>
  <c r="E29" i="7"/>
  <c r="P28" i="7"/>
  <c r="M28" i="7" s="1"/>
  <c r="O28" i="7" s="1"/>
  <c r="K28" i="7"/>
  <c r="J28" i="7"/>
  <c r="H28" i="7"/>
  <c r="F28" i="7"/>
  <c r="C28" i="7" s="1"/>
  <c r="E28" i="7" s="1"/>
  <c r="P27" i="7"/>
  <c r="M27" i="7"/>
  <c r="O27" i="7" s="1"/>
  <c r="K27" i="7"/>
  <c r="H27" i="7"/>
  <c r="J27" i="7" s="1"/>
  <c r="F27" i="7"/>
  <c r="C27" i="7" s="1"/>
  <c r="E27" i="7" s="1"/>
  <c r="P26" i="7"/>
  <c r="M26" i="7"/>
  <c r="O26" i="7" s="1"/>
  <c r="K26" i="7"/>
  <c r="H26" i="7" s="1"/>
  <c r="J26" i="7"/>
  <c r="F26" i="7"/>
  <c r="C26" i="7" s="1"/>
  <c r="E26" i="7" s="1"/>
  <c r="P25" i="7"/>
  <c r="O25" i="7"/>
  <c r="M25" i="7"/>
  <c r="K25" i="7"/>
  <c r="H25" i="7" s="1"/>
  <c r="J25" i="7" s="1"/>
  <c r="F25" i="7"/>
  <c r="C25" i="7"/>
  <c r="E25" i="7" s="1"/>
  <c r="P24" i="7"/>
  <c r="M24" i="7"/>
  <c r="O24" i="7" s="1"/>
  <c r="K24" i="7"/>
  <c r="H24" i="7" s="1"/>
  <c r="J24" i="7" s="1"/>
  <c r="F24" i="7"/>
  <c r="C24" i="7"/>
  <c r="E24" i="7" s="1"/>
  <c r="P23" i="7"/>
  <c r="M23" i="7" s="1"/>
  <c r="O23" i="7"/>
  <c r="K23" i="7"/>
  <c r="H23" i="7" s="1"/>
  <c r="J23" i="7" s="1"/>
  <c r="F23" i="7"/>
  <c r="E23" i="7"/>
  <c r="C23" i="7"/>
  <c r="P22" i="7"/>
  <c r="M22" i="7" s="1"/>
  <c r="O22" i="7" s="1"/>
  <c r="K22" i="7"/>
  <c r="H22" i="7"/>
  <c r="J22" i="7" s="1"/>
  <c r="F22" i="7"/>
  <c r="C22" i="7"/>
  <c r="E22" i="7" s="1"/>
  <c r="P21" i="7"/>
  <c r="M21" i="7" s="1"/>
  <c r="O21" i="7" s="1"/>
  <c r="K21" i="7"/>
  <c r="H21" i="7"/>
  <c r="J21" i="7" s="1"/>
  <c r="F21" i="7"/>
  <c r="C21" i="7" s="1"/>
  <c r="E21" i="7" s="1"/>
  <c r="P20" i="7"/>
  <c r="M20" i="7" s="1"/>
  <c r="O20" i="7" s="1"/>
  <c r="K20" i="7"/>
  <c r="J20" i="7"/>
  <c r="H20" i="7"/>
  <c r="F20" i="7"/>
  <c r="C20" i="7" s="1"/>
  <c r="E20" i="7" s="1"/>
  <c r="P19" i="7"/>
  <c r="M19" i="7"/>
  <c r="O19" i="7" s="1"/>
  <c r="K19" i="7"/>
  <c r="H19" i="7"/>
  <c r="J19" i="7" s="1"/>
  <c r="F19" i="7"/>
  <c r="C19" i="7" s="1"/>
  <c r="E19" i="7" s="1"/>
  <c r="P18" i="7"/>
  <c r="M18" i="7"/>
  <c r="O18" i="7" s="1"/>
  <c r="K18" i="7"/>
  <c r="H18" i="7" s="1"/>
  <c r="J18" i="7"/>
  <c r="F18" i="7"/>
  <c r="C18" i="7" s="1"/>
  <c r="E18" i="7" s="1"/>
  <c r="P17" i="7"/>
  <c r="O17" i="7"/>
  <c r="M17" i="7"/>
  <c r="K17" i="7"/>
  <c r="H17" i="7" s="1"/>
  <c r="J17" i="7" s="1"/>
  <c r="F17" i="7"/>
  <c r="C17" i="7"/>
  <c r="E17" i="7" s="1"/>
  <c r="P16" i="7"/>
  <c r="M16" i="7"/>
  <c r="O16" i="7" s="1"/>
  <c r="K16" i="7"/>
  <c r="H16" i="7" s="1"/>
  <c r="J16" i="7" s="1"/>
  <c r="F16" i="7"/>
  <c r="C16" i="7"/>
  <c r="E16" i="7" s="1"/>
  <c r="O15" i="7"/>
  <c r="J15" i="7"/>
  <c r="E15" i="7"/>
  <c r="D14" i="7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B14" i="7"/>
  <c r="C14" i="7" s="1"/>
  <c r="F3" i="7"/>
  <c r="P17" i="6"/>
  <c r="M17" i="6"/>
  <c r="O17" i="6" s="1"/>
  <c r="K17" i="6"/>
  <c r="H17" i="6" s="1"/>
  <c r="J17" i="6"/>
  <c r="F17" i="6"/>
  <c r="C17" i="6" s="1"/>
  <c r="E17" i="6" s="1"/>
  <c r="P16" i="6"/>
  <c r="O16" i="6"/>
  <c r="M16" i="6"/>
  <c r="K16" i="6"/>
  <c r="H16" i="6" s="1"/>
  <c r="J16" i="6" s="1"/>
  <c r="F16" i="6"/>
  <c r="C16" i="6" s="1"/>
  <c r="O15" i="6"/>
  <c r="J15" i="6"/>
  <c r="E15" i="6"/>
  <c r="B14" i="6"/>
  <c r="C14" i="6" s="1"/>
  <c r="D14" i="6" s="1"/>
  <c r="E14" i="6" s="1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F3" i="6"/>
  <c r="S65" i="23" l="1"/>
  <c r="S58" i="23"/>
  <c r="S34" i="23"/>
  <c r="S35" i="23"/>
  <c r="S36" i="23"/>
  <c r="S37" i="23"/>
  <c r="S38" i="23"/>
  <c r="S39" i="23"/>
  <c r="S40" i="23"/>
  <c r="S41" i="23"/>
  <c r="S54" i="23"/>
  <c r="S55" i="23"/>
  <c r="S56" i="23"/>
  <c r="S57" i="23"/>
  <c r="B26" i="23"/>
  <c r="B26" i="27" s="1"/>
  <c r="S64" i="23"/>
  <c r="S62" i="23"/>
  <c r="S63" i="23"/>
  <c r="Q21" i="23"/>
  <c r="Q22" i="23"/>
  <c r="S24" i="23"/>
  <c r="Q25" i="23"/>
  <c r="Q26" i="23"/>
  <c r="Q28" i="23"/>
  <c r="Q30" i="23"/>
  <c r="S32" i="23"/>
  <c r="S60" i="23"/>
  <c r="S61" i="23"/>
  <c r="S22" i="23"/>
  <c r="S26" i="23"/>
  <c r="Q27" i="23"/>
  <c r="S28" i="23"/>
  <c r="Q29" i="23"/>
  <c r="S30" i="23"/>
  <c r="S59" i="23"/>
  <c r="F9" i="23"/>
  <c r="S66" i="23"/>
  <c r="S26" i="27"/>
  <c r="Q26" i="27"/>
  <c r="S23" i="27"/>
  <c r="Q23" i="27"/>
  <c r="S43" i="23"/>
  <c r="S45" i="23"/>
  <c r="S47" i="23"/>
  <c r="S49" i="23"/>
  <c r="S51" i="23"/>
  <c r="S53" i="23"/>
  <c r="B83" i="23"/>
  <c r="B91" i="23"/>
  <c r="B99" i="23"/>
  <c r="B103" i="23"/>
  <c r="B111" i="23"/>
  <c r="B119" i="23"/>
  <c r="B127" i="23"/>
  <c r="B135" i="23"/>
  <c r="B143" i="23"/>
  <c r="B151" i="23"/>
  <c r="B159" i="23"/>
  <c r="B167" i="23"/>
  <c r="B175" i="23"/>
  <c r="B183" i="23"/>
  <c r="B191" i="23"/>
  <c r="B199" i="23"/>
  <c r="S27" i="27"/>
  <c r="S21" i="23"/>
  <c r="B23" i="23"/>
  <c r="S28" i="27"/>
  <c r="Q28" i="27"/>
  <c r="S29" i="23"/>
  <c r="B31" i="23"/>
  <c r="B33" i="23"/>
  <c r="B35" i="23"/>
  <c r="B37" i="23"/>
  <c r="B39" i="23"/>
  <c r="B41" i="23"/>
  <c r="B68" i="23"/>
  <c r="B70" i="23"/>
  <c r="B72" i="23"/>
  <c r="B74" i="23"/>
  <c r="B76" i="23"/>
  <c r="B78" i="23"/>
  <c r="B86" i="23"/>
  <c r="B94" i="23"/>
  <c r="B104" i="23"/>
  <c r="B112" i="23"/>
  <c r="B120" i="23"/>
  <c r="B128" i="23"/>
  <c r="B136" i="23"/>
  <c r="B144" i="23"/>
  <c r="B152" i="23"/>
  <c r="B160" i="23"/>
  <c r="B168" i="23"/>
  <c r="B176" i="23"/>
  <c r="B184" i="23"/>
  <c r="B192" i="23"/>
  <c r="B200" i="23"/>
  <c r="Q23" i="23"/>
  <c r="S25" i="27"/>
  <c r="Q25" i="27"/>
  <c r="B28" i="23"/>
  <c r="S31" i="23"/>
  <c r="S33" i="23"/>
  <c r="S68" i="23"/>
  <c r="S70" i="23"/>
  <c r="S72" i="23"/>
  <c r="S74" i="23"/>
  <c r="S76" i="23"/>
  <c r="S78" i="23"/>
  <c r="B81" i="23"/>
  <c r="B89" i="23"/>
  <c r="B97" i="23"/>
  <c r="B105" i="23"/>
  <c r="B113" i="23"/>
  <c r="B121" i="23"/>
  <c r="B129" i="23"/>
  <c r="B137" i="23"/>
  <c r="B145" i="23"/>
  <c r="B153" i="23"/>
  <c r="B161" i="23"/>
  <c r="B169" i="23"/>
  <c r="B177" i="23"/>
  <c r="B185" i="23"/>
  <c r="B193" i="23"/>
  <c r="B201" i="23"/>
  <c r="S22" i="27"/>
  <c r="Q22" i="27"/>
  <c r="S23" i="23"/>
  <c r="B25" i="23"/>
  <c r="S30" i="27"/>
  <c r="Q30" i="27"/>
  <c r="B44" i="23"/>
  <c r="B46" i="23"/>
  <c r="B48" i="23"/>
  <c r="B50" i="23"/>
  <c r="B52" i="23"/>
  <c r="B54" i="23"/>
  <c r="B56" i="23"/>
  <c r="B58" i="23"/>
  <c r="B60" i="23"/>
  <c r="B62" i="23"/>
  <c r="B64" i="23"/>
  <c r="B66" i="23"/>
  <c r="B84" i="23"/>
  <c r="B92" i="23"/>
  <c r="B100" i="23"/>
  <c r="B106" i="23"/>
  <c r="B114" i="23"/>
  <c r="B122" i="23"/>
  <c r="B130" i="23"/>
  <c r="B138" i="23"/>
  <c r="B146" i="23"/>
  <c r="B154" i="23"/>
  <c r="B162" i="23"/>
  <c r="B170" i="23"/>
  <c r="B178" i="23"/>
  <c r="B186" i="23"/>
  <c r="B194" i="23"/>
  <c r="B202" i="23"/>
  <c r="S21" i="27"/>
  <c r="Q21" i="27"/>
  <c r="F9" i="27"/>
  <c r="B22" i="23"/>
  <c r="B30" i="23"/>
  <c r="S44" i="23"/>
  <c r="S46" i="23"/>
  <c r="S48" i="23"/>
  <c r="S50" i="23"/>
  <c r="S52" i="23"/>
  <c r="B79" i="23"/>
  <c r="B87" i="23"/>
  <c r="B95" i="23"/>
  <c r="B107" i="23"/>
  <c r="B115" i="23"/>
  <c r="B123" i="23"/>
  <c r="B131" i="23"/>
  <c r="B139" i="23"/>
  <c r="B147" i="23"/>
  <c r="B155" i="23"/>
  <c r="B163" i="23"/>
  <c r="B171" i="23"/>
  <c r="B179" i="23"/>
  <c r="B187" i="23"/>
  <c r="B195" i="23"/>
  <c r="B203" i="23"/>
  <c r="B21" i="23"/>
  <c r="S25" i="23"/>
  <c r="B27" i="23"/>
  <c r="B32" i="23"/>
  <c r="B34" i="23"/>
  <c r="B36" i="23"/>
  <c r="B38" i="23"/>
  <c r="B40" i="23"/>
  <c r="B42" i="23"/>
  <c r="B69" i="23"/>
  <c r="B71" i="23"/>
  <c r="B73" i="23"/>
  <c r="B75" i="23"/>
  <c r="B77" i="23"/>
  <c r="B82" i="23"/>
  <c r="B90" i="23"/>
  <c r="B98" i="23"/>
  <c r="B108" i="23"/>
  <c r="B116" i="23"/>
  <c r="B124" i="23"/>
  <c r="B132" i="23"/>
  <c r="B140" i="23"/>
  <c r="B148" i="23"/>
  <c r="B156" i="23"/>
  <c r="B164" i="23"/>
  <c r="B172" i="23"/>
  <c r="B180" i="23"/>
  <c r="B188" i="23"/>
  <c r="B196" i="23"/>
  <c r="B204" i="23"/>
  <c r="B24" i="23"/>
  <c r="S29" i="27"/>
  <c r="Q29" i="27"/>
  <c r="S69" i="23"/>
  <c r="S71" i="23"/>
  <c r="S73" i="23"/>
  <c r="S75" i="23"/>
  <c r="S77" i="23"/>
  <c r="B85" i="23"/>
  <c r="B93" i="23"/>
  <c r="B101" i="23"/>
  <c r="B109" i="23"/>
  <c r="B117" i="23"/>
  <c r="B125" i="23"/>
  <c r="B133" i="23"/>
  <c r="B141" i="23"/>
  <c r="B149" i="23"/>
  <c r="B157" i="23"/>
  <c r="B165" i="23"/>
  <c r="B173" i="23"/>
  <c r="B181" i="23"/>
  <c r="B189" i="23"/>
  <c r="B197" i="23"/>
  <c r="B205" i="23"/>
  <c r="Q24" i="23"/>
  <c r="S27" i="23"/>
  <c r="B29" i="23"/>
  <c r="B43" i="23"/>
  <c r="B45" i="23"/>
  <c r="B47" i="23"/>
  <c r="B49" i="23"/>
  <c r="B51" i="23"/>
  <c r="B53" i="23"/>
  <c r="B55" i="23"/>
  <c r="B57" i="23"/>
  <c r="B59" i="23"/>
  <c r="B61" i="23"/>
  <c r="B63" i="23"/>
  <c r="B65" i="23"/>
  <c r="B67" i="23"/>
  <c r="B80" i="23"/>
  <c r="B88" i="23"/>
  <c r="B96" i="23"/>
  <c r="B102" i="23"/>
  <c r="B110" i="23"/>
  <c r="B118" i="23"/>
  <c r="B126" i="23"/>
  <c r="B134" i="23"/>
  <c r="B142" i="23"/>
  <c r="B150" i="23"/>
  <c r="B158" i="23"/>
  <c r="B166" i="23"/>
  <c r="B174" i="23"/>
  <c r="B182" i="23"/>
  <c r="B190" i="23"/>
  <c r="B198" i="23"/>
  <c r="Q24" i="27"/>
  <c r="L87" i="30"/>
  <c r="B88" i="30"/>
  <c r="L26" i="23" l="1"/>
  <c r="L26" i="27" s="1"/>
  <c r="G26" i="23"/>
  <c r="G26" i="27" s="1"/>
  <c r="B174" i="27"/>
  <c r="L174" i="23"/>
  <c r="L174" i="27" s="1"/>
  <c r="G174" i="23"/>
  <c r="G174" i="27" s="1"/>
  <c r="B110" i="27"/>
  <c r="L110" i="23"/>
  <c r="L110" i="27" s="1"/>
  <c r="G110" i="23"/>
  <c r="G110" i="27" s="1"/>
  <c r="L61" i="23"/>
  <c r="L61" i="27" s="1"/>
  <c r="G61" i="23"/>
  <c r="G61" i="27" s="1"/>
  <c r="B61" i="27"/>
  <c r="L45" i="23"/>
  <c r="L45" i="27" s="1"/>
  <c r="G45" i="23"/>
  <c r="G45" i="27" s="1"/>
  <c r="B45" i="27"/>
  <c r="B173" i="27"/>
  <c r="L173" i="23"/>
  <c r="L173" i="27" s="1"/>
  <c r="G173" i="23"/>
  <c r="G173" i="27" s="1"/>
  <c r="B109" i="27"/>
  <c r="L109" i="23"/>
  <c r="L109" i="27" s="1"/>
  <c r="G109" i="23"/>
  <c r="G109" i="27" s="1"/>
  <c r="B196" i="27"/>
  <c r="L196" i="23"/>
  <c r="L196" i="27" s="1"/>
  <c r="G196" i="23"/>
  <c r="G196" i="27" s="1"/>
  <c r="B132" i="27"/>
  <c r="L132" i="23"/>
  <c r="L132" i="27" s="1"/>
  <c r="G132" i="23"/>
  <c r="G132" i="27" s="1"/>
  <c r="B75" i="27"/>
  <c r="L75" i="23"/>
  <c r="L75" i="27" s="1"/>
  <c r="G75" i="23"/>
  <c r="G75" i="27" s="1"/>
  <c r="B34" i="27"/>
  <c r="L34" i="23"/>
  <c r="L34" i="27" s="1"/>
  <c r="G34" i="23"/>
  <c r="G34" i="27" s="1"/>
  <c r="B187" i="27"/>
  <c r="G187" i="23"/>
  <c r="G187" i="27" s="1"/>
  <c r="L187" i="23"/>
  <c r="L187" i="27" s="1"/>
  <c r="B123" i="27"/>
  <c r="G123" i="23"/>
  <c r="G123" i="27" s="1"/>
  <c r="L123" i="23"/>
  <c r="L123" i="27" s="1"/>
  <c r="B186" i="27"/>
  <c r="G186" i="23"/>
  <c r="G186" i="27" s="1"/>
  <c r="L186" i="23"/>
  <c r="L186" i="27" s="1"/>
  <c r="G122" i="23"/>
  <c r="G122" i="27" s="1"/>
  <c r="B122" i="27"/>
  <c r="L122" i="23"/>
  <c r="L122" i="27" s="1"/>
  <c r="B62" i="27"/>
  <c r="G62" i="23"/>
  <c r="G62" i="27" s="1"/>
  <c r="L62" i="23"/>
  <c r="L62" i="27" s="1"/>
  <c r="B46" i="27"/>
  <c r="G46" i="23"/>
  <c r="G46" i="27" s="1"/>
  <c r="L46" i="23"/>
  <c r="L46" i="27" s="1"/>
  <c r="B145" i="27"/>
  <c r="G145" i="23"/>
  <c r="G145" i="27" s="1"/>
  <c r="L145" i="23"/>
  <c r="L145" i="27" s="1"/>
  <c r="B81" i="27"/>
  <c r="G81" i="23"/>
  <c r="G81" i="27" s="1"/>
  <c r="L81" i="23"/>
  <c r="L81" i="27" s="1"/>
  <c r="B176" i="27"/>
  <c r="L176" i="23"/>
  <c r="L176" i="27" s="1"/>
  <c r="G176" i="23"/>
  <c r="G176" i="27" s="1"/>
  <c r="B112" i="27"/>
  <c r="L112" i="23"/>
  <c r="L112" i="27" s="1"/>
  <c r="G112" i="23"/>
  <c r="G112" i="27" s="1"/>
  <c r="B70" i="27"/>
  <c r="L70" i="23"/>
  <c r="L70" i="27" s="1"/>
  <c r="G70" i="23"/>
  <c r="G70" i="27" s="1"/>
  <c r="B151" i="27"/>
  <c r="L151" i="23"/>
  <c r="L151" i="27" s="1"/>
  <c r="G151" i="23"/>
  <c r="G151" i="27" s="1"/>
  <c r="B91" i="27"/>
  <c r="L91" i="23"/>
  <c r="L91" i="27" s="1"/>
  <c r="G91" i="23"/>
  <c r="G91" i="27" s="1"/>
  <c r="B166" i="27"/>
  <c r="L166" i="23"/>
  <c r="L166" i="27" s="1"/>
  <c r="G166" i="23"/>
  <c r="G166" i="27" s="1"/>
  <c r="B102" i="27"/>
  <c r="L102" i="23"/>
  <c r="L102" i="27" s="1"/>
  <c r="G102" i="23"/>
  <c r="G102" i="27" s="1"/>
  <c r="L59" i="23"/>
  <c r="L59" i="27" s="1"/>
  <c r="B59" i="27"/>
  <c r="G59" i="23"/>
  <c r="G59" i="27" s="1"/>
  <c r="B43" i="27"/>
  <c r="L43" i="23"/>
  <c r="L43" i="27" s="1"/>
  <c r="G43" i="23"/>
  <c r="G43" i="27" s="1"/>
  <c r="B165" i="27"/>
  <c r="L165" i="23"/>
  <c r="L165" i="27" s="1"/>
  <c r="G165" i="23"/>
  <c r="G165" i="27" s="1"/>
  <c r="B101" i="27"/>
  <c r="L101" i="23"/>
  <c r="L101" i="27" s="1"/>
  <c r="G101" i="23"/>
  <c r="G101" i="27" s="1"/>
  <c r="B188" i="27"/>
  <c r="L188" i="23"/>
  <c r="L188" i="27" s="1"/>
  <c r="G188" i="23"/>
  <c r="G188" i="27" s="1"/>
  <c r="B124" i="27"/>
  <c r="L124" i="23"/>
  <c r="L124" i="27" s="1"/>
  <c r="G124" i="23"/>
  <c r="G124" i="27" s="1"/>
  <c r="B73" i="27"/>
  <c r="L73" i="23"/>
  <c r="L73" i="27" s="1"/>
  <c r="G73" i="23"/>
  <c r="G73" i="27" s="1"/>
  <c r="B32" i="27"/>
  <c r="L32" i="23"/>
  <c r="L32" i="27" s="1"/>
  <c r="G32" i="23"/>
  <c r="G32" i="27" s="1"/>
  <c r="B179" i="27"/>
  <c r="G179" i="23"/>
  <c r="G179" i="27" s="1"/>
  <c r="L179" i="23"/>
  <c r="L179" i="27" s="1"/>
  <c r="G115" i="23"/>
  <c r="G115" i="27" s="1"/>
  <c r="B115" i="27"/>
  <c r="L115" i="23"/>
  <c r="L115" i="27" s="1"/>
  <c r="B178" i="27"/>
  <c r="G178" i="23"/>
  <c r="G178" i="27" s="1"/>
  <c r="L178" i="23"/>
  <c r="L178" i="27" s="1"/>
  <c r="B114" i="27"/>
  <c r="G114" i="23"/>
  <c r="G114" i="27" s="1"/>
  <c r="L114" i="23"/>
  <c r="L114" i="27" s="1"/>
  <c r="B60" i="27"/>
  <c r="G60" i="23"/>
  <c r="G60" i="27" s="1"/>
  <c r="L60" i="23"/>
  <c r="L60" i="27" s="1"/>
  <c r="B44" i="27"/>
  <c r="G44" i="23"/>
  <c r="G44" i="27" s="1"/>
  <c r="L44" i="23"/>
  <c r="L44" i="27" s="1"/>
  <c r="B201" i="27"/>
  <c r="G201" i="23"/>
  <c r="G201" i="27" s="1"/>
  <c r="L201" i="23"/>
  <c r="L201" i="27" s="1"/>
  <c r="B137" i="27"/>
  <c r="G137" i="23"/>
  <c r="G137" i="27" s="1"/>
  <c r="L137" i="23"/>
  <c r="L137" i="27" s="1"/>
  <c r="B28" i="27"/>
  <c r="G28" i="23"/>
  <c r="G28" i="27" s="1"/>
  <c r="L28" i="23"/>
  <c r="L28" i="27" s="1"/>
  <c r="B168" i="27"/>
  <c r="L168" i="23"/>
  <c r="L168" i="27" s="1"/>
  <c r="G168" i="23"/>
  <c r="G168" i="27" s="1"/>
  <c r="B104" i="27"/>
  <c r="L104" i="23"/>
  <c r="L104" i="27" s="1"/>
  <c r="G104" i="23"/>
  <c r="G104" i="27" s="1"/>
  <c r="B68" i="27"/>
  <c r="L68" i="23"/>
  <c r="L68" i="27" s="1"/>
  <c r="G68" i="23"/>
  <c r="G68" i="27" s="1"/>
  <c r="B143" i="27"/>
  <c r="L143" i="23"/>
  <c r="L143" i="27" s="1"/>
  <c r="G143" i="23"/>
  <c r="G143" i="27" s="1"/>
  <c r="B83" i="27"/>
  <c r="L83" i="23"/>
  <c r="L83" i="27" s="1"/>
  <c r="G83" i="23"/>
  <c r="G83" i="27" s="1"/>
  <c r="B158" i="27"/>
  <c r="L158" i="23"/>
  <c r="L158" i="27" s="1"/>
  <c r="G158" i="23"/>
  <c r="G158" i="27" s="1"/>
  <c r="B96" i="27"/>
  <c r="L96" i="23"/>
  <c r="L96" i="27" s="1"/>
  <c r="G96" i="23"/>
  <c r="G96" i="27" s="1"/>
  <c r="L57" i="23"/>
  <c r="L57" i="27" s="1"/>
  <c r="G57" i="23"/>
  <c r="G57" i="27" s="1"/>
  <c r="B57" i="27"/>
  <c r="B29" i="27"/>
  <c r="L29" i="23"/>
  <c r="L29" i="27" s="1"/>
  <c r="G29" i="23"/>
  <c r="G29" i="27" s="1"/>
  <c r="B157" i="27"/>
  <c r="L157" i="23"/>
  <c r="L157" i="27" s="1"/>
  <c r="G157" i="23"/>
  <c r="G157" i="27" s="1"/>
  <c r="B93" i="27"/>
  <c r="L93" i="23"/>
  <c r="L93" i="27" s="1"/>
  <c r="G93" i="23"/>
  <c r="G93" i="27" s="1"/>
  <c r="B180" i="27"/>
  <c r="L180" i="23"/>
  <c r="L180" i="27" s="1"/>
  <c r="G180" i="23"/>
  <c r="G180" i="27" s="1"/>
  <c r="B116" i="27"/>
  <c r="L116" i="23"/>
  <c r="L116" i="27" s="1"/>
  <c r="G116" i="23"/>
  <c r="G116" i="27" s="1"/>
  <c r="B71" i="27"/>
  <c r="L71" i="23"/>
  <c r="L71" i="27" s="1"/>
  <c r="G71" i="23"/>
  <c r="G71" i="27" s="1"/>
  <c r="B27" i="27"/>
  <c r="L27" i="23"/>
  <c r="L27" i="27" s="1"/>
  <c r="G27" i="23"/>
  <c r="G27" i="27" s="1"/>
  <c r="B171" i="27"/>
  <c r="G171" i="23"/>
  <c r="G171" i="27" s="1"/>
  <c r="L171" i="23"/>
  <c r="L171" i="27" s="1"/>
  <c r="G107" i="23"/>
  <c r="G107" i="27" s="1"/>
  <c r="L107" i="23"/>
  <c r="L107" i="27" s="1"/>
  <c r="B107" i="27"/>
  <c r="B170" i="27"/>
  <c r="G170" i="23"/>
  <c r="G170" i="27" s="1"/>
  <c r="L170" i="23"/>
  <c r="L170" i="27" s="1"/>
  <c r="B106" i="27"/>
  <c r="G106" i="23"/>
  <c r="G106" i="27" s="1"/>
  <c r="L106" i="23"/>
  <c r="L106" i="27" s="1"/>
  <c r="B58" i="27"/>
  <c r="G58" i="23"/>
  <c r="G58" i="27" s="1"/>
  <c r="L58" i="23"/>
  <c r="L58" i="27" s="1"/>
  <c r="B193" i="27"/>
  <c r="G193" i="23"/>
  <c r="G193" i="27" s="1"/>
  <c r="L193" i="23"/>
  <c r="L193" i="27" s="1"/>
  <c r="B129" i="27"/>
  <c r="G129" i="23"/>
  <c r="G129" i="27" s="1"/>
  <c r="L129" i="23"/>
  <c r="L129" i="27" s="1"/>
  <c r="B160" i="27"/>
  <c r="L160" i="23"/>
  <c r="L160" i="27" s="1"/>
  <c r="G160" i="23"/>
  <c r="G160" i="27" s="1"/>
  <c r="B94" i="27"/>
  <c r="L94" i="23"/>
  <c r="L94" i="27" s="1"/>
  <c r="G94" i="23"/>
  <c r="G94" i="27" s="1"/>
  <c r="B41" i="27"/>
  <c r="L41" i="23"/>
  <c r="L41" i="27" s="1"/>
  <c r="G41" i="23"/>
  <c r="G41" i="27" s="1"/>
  <c r="B199" i="27"/>
  <c r="L199" i="23"/>
  <c r="L199" i="27" s="1"/>
  <c r="G199" i="23"/>
  <c r="G199" i="27" s="1"/>
  <c r="B135" i="27"/>
  <c r="L135" i="23"/>
  <c r="L135" i="27" s="1"/>
  <c r="G135" i="23"/>
  <c r="G135" i="27" s="1"/>
  <c r="L150" i="23"/>
  <c r="L150" i="27" s="1"/>
  <c r="G150" i="23"/>
  <c r="G150" i="27" s="1"/>
  <c r="B150" i="27"/>
  <c r="B88" i="27"/>
  <c r="L88" i="23"/>
  <c r="L88" i="27" s="1"/>
  <c r="G88" i="23"/>
  <c r="G88" i="27" s="1"/>
  <c r="L55" i="23"/>
  <c r="L55" i="27" s="1"/>
  <c r="B55" i="27"/>
  <c r="G55" i="23"/>
  <c r="G55" i="27" s="1"/>
  <c r="B149" i="27"/>
  <c r="L149" i="23"/>
  <c r="L149" i="27" s="1"/>
  <c r="G149" i="23"/>
  <c r="G149" i="27" s="1"/>
  <c r="B85" i="27"/>
  <c r="L85" i="23"/>
  <c r="L85" i="27" s="1"/>
  <c r="G85" i="23"/>
  <c r="G85" i="27" s="1"/>
  <c r="B172" i="27"/>
  <c r="L172" i="23"/>
  <c r="L172" i="27" s="1"/>
  <c r="G172" i="23"/>
  <c r="G172" i="27" s="1"/>
  <c r="B108" i="27"/>
  <c r="L108" i="23"/>
  <c r="L108" i="27" s="1"/>
  <c r="G108" i="23"/>
  <c r="G108" i="27" s="1"/>
  <c r="B69" i="27"/>
  <c r="L69" i="23"/>
  <c r="L69" i="27" s="1"/>
  <c r="G69" i="23"/>
  <c r="G69" i="27" s="1"/>
  <c r="B163" i="27"/>
  <c r="G163" i="23"/>
  <c r="G163" i="27" s="1"/>
  <c r="L163" i="23"/>
  <c r="L163" i="27" s="1"/>
  <c r="B95" i="27"/>
  <c r="G95" i="23"/>
  <c r="G95" i="27" s="1"/>
  <c r="L95" i="23"/>
  <c r="L95" i="27" s="1"/>
  <c r="B30" i="27"/>
  <c r="G30" i="23"/>
  <c r="G30" i="27" s="1"/>
  <c r="L30" i="23"/>
  <c r="L30" i="27" s="1"/>
  <c r="B162" i="27"/>
  <c r="G162" i="23"/>
  <c r="G162" i="27" s="1"/>
  <c r="L162" i="23"/>
  <c r="L162" i="27" s="1"/>
  <c r="B100" i="27"/>
  <c r="G100" i="23"/>
  <c r="G100" i="27" s="1"/>
  <c r="L100" i="23"/>
  <c r="L100" i="27" s="1"/>
  <c r="B56" i="27"/>
  <c r="G56" i="23"/>
  <c r="G56" i="27" s="1"/>
  <c r="L56" i="23"/>
  <c r="L56" i="27" s="1"/>
  <c r="B185" i="27"/>
  <c r="G185" i="23"/>
  <c r="G185" i="27" s="1"/>
  <c r="L185" i="23"/>
  <c r="L185" i="27" s="1"/>
  <c r="B121" i="27"/>
  <c r="G121" i="23"/>
  <c r="G121" i="27" s="1"/>
  <c r="L121" i="23"/>
  <c r="L121" i="27" s="1"/>
  <c r="B152" i="27"/>
  <c r="L152" i="23"/>
  <c r="L152" i="27" s="1"/>
  <c r="G152" i="23"/>
  <c r="G152" i="27" s="1"/>
  <c r="B86" i="27"/>
  <c r="L86" i="23"/>
  <c r="L86" i="27" s="1"/>
  <c r="G86" i="23"/>
  <c r="G86" i="27" s="1"/>
  <c r="B39" i="27"/>
  <c r="L39" i="23"/>
  <c r="L39" i="27" s="1"/>
  <c r="G39" i="23"/>
  <c r="G39" i="27" s="1"/>
  <c r="B23" i="27"/>
  <c r="L23" i="23"/>
  <c r="L23" i="27" s="1"/>
  <c r="G23" i="23"/>
  <c r="G23" i="27" s="1"/>
  <c r="L191" i="23"/>
  <c r="L191" i="27" s="1"/>
  <c r="B191" i="27"/>
  <c r="G191" i="23"/>
  <c r="G191" i="27" s="1"/>
  <c r="B127" i="27"/>
  <c r="L127" i="23"/>
  <c r="L127" i="27" s="1"/>
  <c r="G127" i="23"/>
  <c r="G127" i="27" s="1"/>
  <c r="L142" i="23"/>
  <c r="L142" i="27" s="1"/>
  <c r="G142" i="23"/>
  <c r="G142" i="27" s="1"/>
  <c r="B142" i="27"/>
  <c r="B80" i="27"/>
  <c r="L80" i="23"/>
  <c r="L80" i="27" s="1"/>
  <c r="G80" i="23"/>
  <c r="G80" i="27" s="1"/>
  <c r="L53" i="23"/>
  <c r="L53" i="27" s="1"/>
  <c r="G53" i="23"/>
  <c r="G53" i="27" s="1"/>
  <c r="B53" i="27"/>
  <c r="B205" i="27"/>
  <c r="L205" i="23"/>
  <c r="L205" i="27" s="1"/>
  <c r="G205" i="23"/>
  <c r="G205" i="27" s="1"/>
  <c r="B141" i="27"/>
  <c r="L141" i="23"/>
  <c r="L141" i="27" s="1"/>
  <c r="G141" i="23"/>
  <c r="G141" i="27" s="1"/>
  <c r="B24" i="27"/>
  <c r="L24" i="23"/>
  <c r="L24" i="27" s="1"/>
  <c r="G24" i="23"/>
  <c r="G24" i="27" s="1"/>
  <c r="B164" i="27"/>
  <c r="L164" i="23"/>
  <c r="L164" i="27" s="1"/>
  <c r="G164" i="23"/>
  <c r="G164" i="27" s="1"/>
  <c r="B98" i="27"/>
  <c r="L98" i="23"/>
  <c r="L98" i="27" s="1"/>
  <c r="G98" i="23"/>
  <c r="G98" i="27" s="1"/>
  <c r="B42" i="27"/>
  <c r="L42" i="23"/>
  <c r="L42" i="27" s="1"/>
  <c r="G42" i="23"/>
  <c r="G42" i="27" s="1"/>
  <c r="B21" i="27"/>
  <c r="L21" i="23"/>
  <c r="L21" i="27" s="1"/>
  <c r="G21" i="23"/>
  <c r="G21" i="27" s="1"/>
  <c r="B155" i="27"/>
  <c r="G155" i="23"/>
  <c r="G155" i="27" s="1"/>
  <c r="L155" i="23"/>
  <c r="L155" i="27" s="1"/>
  <c r="B87" i="27"/>
  <c r="G87" i="23"/>
  <c r="G87" i="27" s="1"/>
  <c r="L87" i="23"/>
  <c r="L87" i="27" s="1"/>
  <c r="B22" i="27"/>
  <c r="G22" i="23"/>
  <c r="G22" i="27" s="1"/>
  <c r="L22" i="23"/>
  <c r="L22" i="27" s="1"/>
  <c r="G154" i="23"/>
  <c r="G154" i="27" s="1"/>
  <c r="L154" i="23"/>
  <c r="L154" i="27" s="1"/>
  <c r="B154" i="27"/>
  <c r="B92" i="27"/>
  <c r="G92" i="23"/>
  <c r="G92" i="27" s="1"/>
  <c r="L92" i="23"/>
  <c r="L92" i="27" s="1"/>
  <c r="B54" i="27"/>
  <c r="G54" i="23"/>
  <c r="G54" i="27" s="1"/>
  <c r="L54" i="23"/>
  <c r="L54" i="27" s="1"/>
  <c r="B177" i="27"/>
  <c r="G177" i="23"/>
  <c r="G177" i="27" s="1"/>
  <c r="L177" i="23"/>
  <c r="L177" i="27" s="1"/>
  <c r="B113" i="27"/>
  <c r="G113" i="23"/>
  <c r="G113" i="27" s="1"/>
  <c r="L113" i="23"/>
  <c r="L113" i="27" s="1"/>
  <c r="B144" i="27"/>
  <c r="L144" i="23"/>
  <c r="L144" i="27" s="1"/>
  <c r="G144" i="23"/>
  <c r="G144" i="27" s="1"/>
  <c r="B78" i="27"/>
  <c r="L78" i="23"/>
  <c r="L78" i="27" s="1"/>
  <c r="G78" i="23"/>
  <c r="G78" i="27" s="1"/>
  <c r="B37" i="27"/>
  <c r="L37" i="23"/>
  <c r="L37" i="27" s="1"/>
  <c r="G37" i="23"/>
  <c r="G37" i="27" s="1"/>
  <c r="B183" i="27"/>
  <c r="L183" i="23"/>
  <c r="L183" i="27" s="1"/>
  <c r="G183" i="23"/>
  <c r="G183" i="27" s="1"/>
  <c r="L119" i="23"/>
  <c r="L119" i="27" s="1"/>
  <c r="G119" i="23"/>
  <c r="G119" i="27" s="1"/>
  <c r="B119" i="27"/>
  <c r="B198" i="27"/>
  <c r="L198" i="23"/>
  <c r="L198" i="27" s="1"/>
  <c r="G198" i="23"/>
  <c r="G198" i="27" s="1"/>
  <c r="L134" i="23"/>
  <c r="L134" i="27" s="1"/>
  <c r="G134" i="23"/>
  <c r="G134" i="27" s="1"/>
  <c r="B134" i="27"/>
  <c r="L67" i="23"/>
  <c r="L67" i="27" s="1"/>
  <c r="B67" i="27"/>
  <c r="G67" i="23"/>
  <c r="G67" i="27" s="1"/>
  <c r="B51" i="27"/>
  <c r="L51" i="23"/>
  <c r="L51" i="27" s="1"/>
  <c r="G51" i="23"/>
  <c r="G51" i="27" s="1"/>
  <c r="B197" i="27"/>
  <c r="L197" i="23"/>
  <c r="L197" i="27" s="1"/>
  <c r="G197" i="23"/>
  <c r="G197" i="27" s="1"/>
  <c r="B133" i="27"/>
  <c r="L133" i="23"/>
  <c r="L133" i="27" s="1"/>
  <c r="G133" i="23"/>
  <c r="G133" i="27" s="1"/>
  <c r="B156" i="27"/>
  <c r="L156" i="23"/>
  <c r="L156" i="27" s="1"/>
  <c r="G156" i="23"/>
  <c r="G156" i="27" s="1"/>
  <c r="B90" i="27"/>
  <c r="L90" i="23"/>
  <c r="L90" i="27" s="1"/>
  <c r="G90" i="23"/>
  <c r="G90" i="27" s="1"/>
  <c r="B40" i="27"/>
  <c r="L40" i="23"/>
  <c r="L40" i="27" s="1"/>
  <c r="G40" i="23"/>
  <c r="G40" i="27" s="1"/>
  <c r="B147" i="27"/>
  <c r="G147" i="23"/>
  <c r="G147" i="27" s="1"/>
  <c r="L147" i="23"/>
  <c r="L147" i="27" s="1"/>
  <c r="B79" i="27"/>
  <c r="G79" i="23"/>
  <c r="G79" i="27" s="1"/>
  <c r="L79" i="23"/>
  <c r="L79" i="27" s="1"/>
  <c r="G146" i="23"/>
  <c r="G146" i="27" s="1"/>
  <c r="B146" i="27"/>
  <c r="L146" i="23"/>
  <c r="L146" i="27" s="1"/>
  <c r="B84" i="27"/>
  <c r="G84" i="23"/>
  <c r="G84" i="27" s="1"/>
  <c r="L84" i="23"/>
  <c r="L84" i="27" s="1"/>
  <c r="B52" i="27"/>
  <c r="G52" i="23"/>
  <c r="G52" i="27" s="1"/>
  <c r="L52" i="23"/>
  <c r="L52" i="27" s="1"/>
  <c r="B25" i="27"/>
  <c r="G25" i="23"/>
  <c r="G25" i="27" s="1"/>
  <c r="L25" i="23"/>
  <c r="L25" i="27" s="1"/>
  <c r="B169" i="27"/>
  <c r="G169" i="23"/>
  <c r="G169" i="27" s="1"/>
  <c r="L169" i="23"/>
  <c r="L169" i="27" s="1"/>
  <c r="B105" i="27"/>
  <c r="G105" i="23"/>
  <c r="G105" i="27" s="1"/>
  <c r="L105" i="23"/>
  <c r="L105" i="27" s="1"/>
  <c r="B200" i="27"/>
  <c r="L200" i="23"/>
  <c r="L200" i="27" s="1"/>
  <c r="G200" i="23"/>
  <c r="G200" i="27" s="1"/>
  <c r="B136" i="27"/>
  <c r="L136" i="23"/>
  <c r="L136" i="27" s="1"/>
  <c r="G136" i="23"/>
  <c r="G136" i="27" s="1"/>
  <c r="B76" i="27"/>
  <c r="L76" i="23"/>
  <c r="L76" i="27" s="1"/>
  <c r="G76" i="23"/>
  <c r="G76" i="27" s="1"/>
  <c r="B35" i="27"/>
  <c r="L35" i="23"/>
  <c r="L35" i="27" s="1"/>
  <c r="G35" i="23"/>
  <c r="G35" i="27" s="1"/>
  <c r="L175" i="23"/>
  <c r="L175" i="27" s="1"/>
  <c r="B175" i="27"/>
  <c r="G175" i="23"/>
  <c r="G175" i="27" s="1"/>
  <c r="L111" i="23"/>
  <c r="L111" i="27" s="1"/>
  <c r="B111" i="27"/>
  <c r="G111" i="23"/>
  <c r="G111" i="27" s="1"/>
  <c r="L88" i="30"/>
  <c r="B89" i="30"/>
  <c r="B190" i="27"/>
  <c r="L190" i="23"/>
  <c r="L190" i="27" s="1"/>
  <c r="G190" i="23"/>
  <c r="G190" i="27" s="1"/>
  <c r="L126" i="23"/>
  <c r="L126" i="27" s="1"/>
  <c r="G126" i="23"/>
  <c r="G126" i="27" s="1"/>
  <c r="B126" i="27"/>
  <c r="B65" i="27"/>
  <c r="L65" i="23"/>
  <c r="L65" i="27" s="1"/>
  <c r="G65" i="23"/>
  <c r="G65" i="27" s="1"/>
  <c r="L49" i="23"/>
  <c r="L49" i="27" s="1"/>
  <c r="G49" i="23"/>
  <c r="G49" i="27" s="1"/>
  <c r="B49" i="27"/>
  <c r="B189" i="27"/>
  <c r="L189" i="23"/>
  <c r="L189" i="27" s="1"/>
  <c r="G189" i="23"/>
  <c r="G189" i="27" s="1"/>
  <c r="B125" i="27"/>
  <c r="L125" i="23"/>
  <c r="L125" i="27" s="1"/>
  <c r="G125" i="23"/>
  <c r="G125" i="27" s="1"/>
  <c r="B148" i="27"/>
  <c r="L148" i="23"/>
  <c r="L148" i="27" s="1"/>
  <c r="G148" i="23"/>
  <c r="G148" i="27" s="1"/>
  <c r="B82" i="27"/>
  <c r="L82" i="23"/>
  <c r="L82" i="27" s="1"/>
  <c r="G82" i="23"/>
  <c r="G82" i="27" s="1"/>
  <c r="B38" i="27"/>
  <c r="L38" i="23"/>
  <c r="L38" i="27" s="1"/>
  <c r="G38" i="23"/>
  <c r="G38" i="27" s="1"/>
  <c r="B203" i="27"/>
  <c r="G203" i="23"/>
  <c r="G203" i="27" s="1"/>
  <c r="L203" i="23"/>
  <c r="L203" i="27" s="1"/>
  <c r="B139" i="27"/>
  <c r="G139" i="23"/>
  <c r="G139" i="27" s="1"/>
  <c r="L139" i="23"/>
  <c r="L139" i="27" s="1"/>
  <c r="B202" i="27"/>
  <c r="G202" i="23"/>
  <c r="G202" i="27" s="1"/>
  <c r="L202" i="23"/>
  <c r="L202" i="27" s="1"/>
  <c r="G138" i="23"/>
  <c r="G138" i="27" s="1"/>
  <c r="B138" i="27"/>
  <c r="L138" i="23"/>
  <c r="L138" i="27" s="1"/>
  <c r="B66" i="27"/>
  <c r="G66" i="23"/>
  <c r="G66" i="27" s="1"/>
  <c r="L66" i="23"/>
  <c r="L66" i="27" s="1"/>
  <c r="B50" i="27"/>
  <c r="G50" i="23"/>
  <c r="G50" i="27" s="1"/>
  <c r="L50" i="23"/>
  <c r="L50" i="27" s="1"/>
  <c r="B161" i="27"/>
  <c r="G161" i="23"/>
  <c r="G161" i="27" s="1"/>
  <c r="L161" i="23"/>
  <c r="L161" i="27" s="1"/>
  <c r="B97" i="27"/>
  <c r="G97" i="23"/>
  <c r="G97" i="27" s="1"/>
  <c r="L97" i="23"/>
  <c r="L97" i="27" s="1"/>
  <c r="B192" i="27"/>
  <c r="L192" i="23"/>
  <c r="L192" i="27" s="1"/>
  <c r="G192" i="23"/>
  <c r="G192" i="27" s="1"/>
  <c r="B128" i="27"/>
  <c r="L128" i="23"/>
  <c r="L128" i="27" s="1"/>
  <c r="G128" i="23"/>
  <c r="G128" i="27" s="1"/>
  <c r="B74" i="27"/>
  <c r="L74" i="23"/>
  <c r="L74" i="27" s="1"/>
  <c r="G74" i="23"/>
  <c r="G74" i="27" s="1"/>
  <c r="B33" i="27"/>
  <c r="L33" i="23"/>
  <c r="L33" i="27" s="1"/>
  <c r="G33" i="23"/>
  <c r="G33" i="27" s="1"/>
  <c r="B167" i="27"/>
  <c r="L167" i="23"/>
  <c r="L167" i="27" s="1"/>
  <c r="G167" i="23"/>
  <c r="G167" i="27" s="1"/>
  <c r="L103" i="23"/>
  <c r="L103" i="27" s="1"/>
  <c r="B103" i="27"/>
  <c r="G103" i="23"/>
  <c r="G103" i="27" s="1"/>
  <c r="B182" i="27"/>
  <c r="L182" i="23"/>
  <c r="L182" i="27" s="1"/>
  <c r="G182" i="23"/>
  <c r="G182" i="27" s="1"/>
  <c r="B118" i="27"/>
  <c r="L118" i="23"/>
  <c r="L118" i="27" s="1"/>
  <c r="G118" i="23"/>
  <c r="G118" i="27" s="1"/>
  <c r="L63" i="23"/>
  <c r="L63" i="27" s="1"/>
  <c r="B63" i="27"/>
  <c r="G63" i="23"/>
  <c r="G63" i="27" s="1"/>
  <c r="B47" i="27"/>
  <c r="L47" i="23"/>
  <c r="L47" i="27" s="1"/>
  <c r="G47" i="23"/>
  <c r="G47" i="27" s="1"/>
  <c r="B181" i="27"/>
  <c r="L181" i="23"/>
  <c r="L181" i="27" s="1"/>
  <c r="G181" i="23"/>
  <c r="G181" i="27" s="1"/>
  <c r="B117" i="27"/>
  <c r="L117" i="23"/>
  <c r="L117" i="27" s="1"/>
  <c r="G117" i="23"/>
  <c r="G117" i="27" s="1"/>
  <c r="B204" i="27"/>
  <c r="L204" i="23"/>
  <c r="L204" i="27" s="1"/>
  <c r="G204" i="23"/>
  <c r="G204" i="27" s="1"/>
  <c r="B140" i="27"/>
  <c r="L140" i="23"/>
  <c r="L140" i="27" s="1"/>
  <c r="G140" i="23"/>
  <c r="G140" i="27" s="1"/>
  <c r="B77" i="27"/>
  <c r="L77" i="23"/>
  <c r="L77" i="27" s="1"/>
  <c r="G77" i="23"/>
  <c r="G77" i="27" s="1"/>
  <c r="B36" i="27"/>
  <c r="L36" i="23"/>
  <c r="L36" i="27" s="1"/>
  <c r="G36" i="23"/>
  <c r="G36" i="27" s="1"/>
  <c r="B195" i="27"/>
  <c r="G195" i="23"/>
  <c r="G195" i="27" s="1"/>
  <c r="L195" i="23"/>
  <c r="L195" i="27" s="1"/>
  <c r="B131" i="27"/>
  <c r="G131" i="23"/>
  <c r="G131" i="27" s="1"/>
  <c r="L131" i="23"/>
  <c r="L131" i="27" s="1"/>
  <c r="B194" i="27"/>
  <c r="G194" i="23"/>
  <c r="G194" i="27" s="1"/>
  <c r="L194" i="23"/>
  <c r="L194" i="27" s="1"/>
  <c r="G130" i="23"/>
  <c r="G130" i="27" s="1"/>
  <c r="B130" i="27"/>
  <c r="L130" i="23"/>
  <c r="L130" i="27" s="1"/>
  <c r="B64" i="27"/>
  <c r="G64" i="23"/>
  <c r="G64" i="27" s="1"/>
  <c r="L64" i="23"/>
  <c r="L64" i="27" s="1"/>
  <c r="B48" i="27"/>
  <c r="G48" i="23"/>
  <c r="G48" i="27" s="1"/>
  <c r="L48" i="23"/>
  <c r="L48" i="27" s="1"/>
  <c r="B153" i="27"/>
  <c r="G153" i="23"/>
  <c r="G153" i="27" s="1"/>
  <c r="L153" i="23"/>
  <c r="L153" i="27" s="1"/>
  <c r="B89" i="27"/>
  <c r="G89" i="23"/>
  <c r="G89" i="27" s="1"/>
  <c r="L89" i="23"/>
  <c r="L89" i="27" s="1"/>
  <c r="B184" i="27"/>
  <c r="L184" i="23"/>
  <c r="L184" i="27" s="1"/>
  <c r="G184" i="23"/>
  <c r="G184" i="27" s="1"/>
  <c r="B120" i="27"/>
  <c r="L120" i="23"/>
  <c r="L120" i="27" s="1"/>
  <c r="G120" i="23"/>
  <c r="G120" i="27" s="1"/>
  <c r="B72" i="27"/>
  <c r="L72" i="23"/>
  <c r="L72" i="27" s="1"/>
  <c r="G72" i="23"/>
  <c r="G72" i="27" s="1"/>
  <c r="B31" i="27"/>
  <c r="L31" i="23"/>
  <c r="L31" i="27" s="1"/>
  <c r="G31" i="23"/>
  <c r="G31" i="27" s="1"/>
  <c r="B159" i="27"/>
  <c r="L159" i="23"/>
  <c r="L159" i="27" s="1"/>
  <c r="G159" i="23"/>
  <c r="G159" i="27" s="1"/>
  <c r="B99" i="27"/>
  <c r="L99" i="23"/>
  <c r="L99" i="27" s="1"/>
  <c r="G99" i="23"/>
  <c r="G99" i="27" s="1"/>
  <c r="L89" i="30" l="1"/>
  <c r="B90" i="30"/>
  <c r="B91" i="30" l="1"/>
  <c r="L90" i="30"/>
  <c r="B92" i="30" l="1"/>
  <c r="L91" i="30"/>
  <c r="B93" i="30" l="1"/>
  <c r="L92" i="30"/>
  <c r="B94" i="30" l="1"/>
  <c r="L93" i="30"/>
  <c r="B95" i="30" l="1"/>
  <c r="L94" i="30"/>
  <c r="L95" i="30" l="1"/>
  <c r="B96" i="30"/>
  <c r="L96" i="30" l="1"/>
  <c r="B97" i="30"/>
  <c r="L97" i="30" l="1"/>
  <c r="B98" i="30"/>
  <c r="B99" i="30" l="1"/>
  <c r="L98" i="30"/>
  <c r="B100" i="30" l="1"/>
  <c r="L99" i="30"/>
  <c r="B101" i="30" l="1"/>
  <c r="L100" i="30"/>
  <c r="B102" i="30" l="1"/>
  <c r="L101" i="30"/>
  <c r="B103" i="30" l="1"/>
  <c r="L102" i="30"/>
  <c r="L103" i="30" l="1"/>
  <c r="B104" i="30"/>
  <c r="L104" i="30" l="1"/>
  <c r="B105" i="30"/>
  <c r="L105" i="30" l="1"/>
  <c r="B106" i="30"/>
  <c r="B107" i="30" l="1"/>
  <c r="L106" i="30"/>
  <c r="B108" i="30" l="1"/>
  <c r="L107" i="30"/>
  <c r="B109" i="30" l="1"/>
  <c r="L108" i="30"/>
  <c r="B110" i="30" l="1"/>
  <c r="L109" i="30"/>
  <c r="B111" i="30" l="1"/>
  <c r="L110" i="30"/>
  <c r="L111" i="30" l="1"/>
  <c r="B112" i="30"/>
  <c r="L112" i="30" l="1"/>
  <c r="B113" i="30"/>
  <c r="L113" i="30" l="1"/>
  <c r="B114" i="30"/>
  <c r="B115" i="30" l="1"/>
  <c r="L114" i="30"/>
  <c r="B116" i="30" l="1"/>
  <c r="L115" i="30"/>
  <c r="B117" i="30" l="1"/>
  <c r="L116" i="30"/>
  <c r="B118" i="30" l="1"/>
  <c r="L117" i="30"/>
  <c r="B119" i="30" l="1"/>
  <c r="L118" i="30"/>
  <c r="L119" i="30" l="1"/>
  <c r="B120" i="30"/>
  <c r="L120" i="30" l="1"/>
  <c r="B121" i="30"/>
  <c r="L121" i="30" l="1"/>
  <c r="B122" i="30"/>
  <c r="B123" i="30" l="1"/>
  <c r="L122" i="30"/>
  <c r="B124" i="30" l="1"/>
  <c r="L123" i="30"/>
  <c r="B125" i="30" l="1"/>
  <c r="L124" i="30"/>
  <c r="B126" i="30" l="1"/>
  <c r="L125" i="30"/>
  <c r="B127" i="30" l="1"/>
  <c r="L126" i="30"/>
  <c r="L127" i="30" l="1"/>
  <c r="B128" i="30"/>
  <c r="L128" i="30" l="1"/>
  <c r="B129" i="30"/>
  <c r="L129" i="30" l="1"/>
  <c r="B130" i="30"/>
  <c r="B131" i="30" l="1"/>
  <c r="L130" i="30"/>
  <c r="B132" i="30" l="1"/>
  <c r="L131" i="30"/>
  <c r="B133" i="30" l="1"/>
  <c r="L132" i="30"/>
  <c r="B134" i="30" l="1"/>
  <c r="L133" i="30"/>
  <c r="B135" i="30" l="1"/>
  <c r="L134" i="30"/>
  <c r="L135" i="30" l="1"/>
  <c r="B136" i="30"/>
  <c r="L136" i="30" l="1"/>
  <c r="B137" i="30"/>
  <c r="L137" i="30" l="1"/>
  <c r="B138" i="30"/>
  <c r="B139" i="30" l="1"/>
  <c r="L138" i="30"/>
  <c r="B140" i="30" l="1"/>
  <c r="L139" i="30"/>
  <c r="B141" i="30" l="1"/>
  <c r="L140" i="30"/>
  <c r="B142" i="30" l="1"/>
  <c r="L141" i="30"/>
  <c r="B143" i="30" l="1"/>
  <c r="L142" i="30"/>
  <c r="L143" i="30" l="1"/>
  <c r="B144" i="30"/>
  <c r="L144" i="30" l="1"/>
  <c r="B145" i="30"/>
  <c r="L145" i="30" l="1"/>
  <c r="B146" i="30"/>
  <c r="B147" i="30" l="1"/>
  <c r="L146" i="30"/>
  <c r="B148" i="30" l="1"/>
  <c r="L147" i="30"/>
  <c r="B149" i="30" l="1"/>
  <c r="L148" i="30"/>
  <c r="B150" i="30" l="1"/>
  <c r="L149" i="30"/>
  <c r="B151" i="30" l="1"/>
  <c r="L150" i="30"/>
  <c r="L151" i="30" l="1"/>
  <c r="B152" i="30"/>
  <c r="L152" i="30" l="1"/>
  <c r="B153" i="30"/>
  <c r="L153" i="30" l="1"/>
  <c r="B154" i="30"/>
  <c r="B155" i="30" l="1"/>
  <c r="L154" i="30"/>
  <c r="B156" i="30" l="1"/>
  <c r="L155" i="30"/>
  <c r="B157" i="30" l="1"/>
  <c r="L156" i="30"/>
  <c r="B158" i="30" l="1"/>
  <c r="L157" i="30"/>
  <c r="B159" i="30" l="1"/>
  <c r="L158" i="30"/>
  <c r="L159" i="30" l="1"/>
  <c r="B160" i="30"/>
  <c r="L160" i="30" l="1"/>
  <c r="B161" i="30"/>
  <c r="L161" i="30" l="1"/>
  <c r="B162" i="30"/>
  <c r="B163" i="30" l="1"/>
  <c r="L162" i="30"/>
  <c r="B164" i="30" l="1"/>
  <c r="L163" i="30"/>
  <c r="B165" i="30" l="1"/>
  <c r="L164" i="30"/>
  <c r="B166" i="30" l="1"/>
  <c r="L165" i="30"/>
  <c r="B167" i="30" l="1"/>
  <c r="L166" i="30"/>
  <c r="L167" i="30" l="1"/>
  <c r="B168" i="30"/>
  <c r="L168" i="30" l="1"/>
  <c r="B169" i="30"/>
  <c r="L169" i="30" l="1"/>
  <c r="B170" i="30"/>
  <c r="B171" i="30" l="1"/>
  <c r="L171" i="30" s="1"/>
  <c r="L17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C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D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E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F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0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1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2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3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6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A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B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C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D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E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F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sharedStrings.xml><?xml version="1.0" encoding="utf-8"?>
<sst xmlns="http://schemas.openxmlformats.org/spreadsheetml/2006/main" count="1804" uniqueCount="131">
  <si>
    <t>BẢNG SỐ LIỆU QUAN TRẮC THIẾT BỊ ĐO LÚN MẶT</t>
  </si>
  <si>
    <t>I. SỐ ĐỌC BAN ĐẦU</t>
  </si>
  <si>
    <t>Vùng
(Đường)</t>
  </si>
  <si>
    <t>Bàn quan trắc lún</t>
  </si>
  <si>
    <t>Ngày lắp đặt</t>
  </si>
  <si>
    <t>Tọa độ</t>
  </si>
  <si>
    <t>Mốc tọa độ tham chiếu</t>
  </si>
  <si>
    <t>Cao trình MĐTN</t>
  </si>
  <si>
    <t>Cao trình đắp</t>
  </si>
  <si>
    <t>Cao trình 
đỉnh ống</t>
  </si>
  <si>
    <t>Cao trình 
tấm đế</t>
  </si>
  <si>
    <t>X [m]</t>
  </si>
  <si>
    <t>Y [m]</t>
  </si>
  <si>
    <t>VÙNG 2A (ĐƯỜNG N1)</t>
  </si>
  <si>
    <t>SSP2-4</t>
  </si>
  <si>
    <t>CS3</t>
  </si>
  <si>
    <t>SSP2-5</t>
  </si>
  <si>
    <t>SSP2-6</t>
  </si>
  <si>
    <t>II. SỐ LIỆU QUAN TRẮC</t>
  </si>
  <si>
    <t>Ngày 
quan trắc</t>
  </si>
  <si>
    <t>ĐỘ LÚN TRÁI</t>
  </si>
  <si>
    <t>ĐỘ LÚN TIM</t>
  </si>
  <si>
    <t>ĐỘ LÚN PHẢI</t>
  </si>
  <si>
    <t>Thời gian tích lũy</t>
  </si>
  <si>
    <t>Cao độ bàn đo lún</t>
  </si>
  <si>
    <t>Độ lún</t>
  </si>
  <si>
    <t>[mm]</t>
  </si>
  <si>
    <t>[m.m]</t>
  </si>
  <si>
    <t>[Ngày]</t>
  </si>
  <si>
    <t>[kPa]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</si>
  <si>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</si>
  <si>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</si>
  <si>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</si>
  <si>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>Cao độ đắp</t>
  </si>
  <si>
    <t>Chiều cao đắp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</si>
  <si>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</si>
  <si>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</si>
  <si>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</si>
  <si>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</si>
  <si>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</si>
  <si>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</si>
  <si>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</si>
  <si>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</si>
  <si>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</si>
  <si>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</si>
  <si>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</si>
  <si>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</si>
  <si>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</si>
  <si>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</si>
  <si>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</si>
  <si>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</si>
  <si>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</si>
  <si>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</si>
  <si>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>DỰ ÁN THÀNH PHẦN ĐOẠN HẬU GIANG - CÀ MAU</t>
  </si>
  <si>
    <t>THUỘC DỰ ÁN XÂY DỰNG CÔNG TRÌNH ĐƯỜNG BỘ CAO TỐC BẮC - NAM PHÍA ĐÔNG GIAI ĐOẠN 2021 - 2025</t>
  </si>
  <si>
    <t>CHỦ ĐẦU TƯ</t>
  </si>
  <si>
    <t>NHÀ THẦU</t>
  </si>
  <si>
    <t>BAN QUẢN LÝ DỰ ÁN MỸ THUẬN</t>
  </si>
  <si>
    <t>LIÊN DANH CC1 - HẢI ĐĂNG - VẠN CƯỜNG - 492 - 
BẮC TRUNG NAM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</si>
  <si>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</si>
  <si>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</si>
  <si>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</si>
  <si>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</si>
  <si>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</si>
  <si>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</si>
  <si>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</si>
  <si>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</si>
  <si>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</si>
  <si>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</si>
  <si>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</si>
  <si>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</si>
  <si>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</si>
  <si>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</si>
  <si>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</si>
  <si>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</si>
  <si>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</si>
  <si>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</si>
  <si>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</si>
  <si>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</si>
  <si>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</si>
  <si>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</si>
  <si>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</si>
  <si>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</si>
  <si>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</si>
  <si>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</si>
  <si>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</si>
  <si>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</si>
  <si>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</si>
  <si>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</si>
  <si>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>Chuẩn</t>
  </si>
  <si>
    <t>GĐ1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</si>
  <si>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</si>
  <si>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</si>
  <si>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</si>
  <si>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</si>
  <si>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</si>
  <si>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</si>
  <si>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 xml:space="preserve"> 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</si>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</sst>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[$-409]dd\-mmm\-yy"/>
    <numFmt numFmtId="166" formatCode="dd/mm/yyyy"/>
    <numFmt numFmtId="167" formatCode="#,##0.00_ "/>
    <numFmt numFmtId="168" formatCode="\+0.000"/>
    <numFmt numFmtId="169" formatCode="#,##0.000"/>
    <numFmt numFmtId="170" formatCode="0.0"/>
  </numFmts>
  <fonts count="11" x14ac:knownFonts="1">
    <font>
      <sz val="10"/>
      <color rgb="FF000000"/>
      <name val="Calibri"/>
      <scheme val="minor"/>
    </font>
    <font>
      <sz val="10"/>
      <name val="Calibri"/>
    </font>
    <font>
      <sz val="10"/>
      <color theme="1"/>
      <name val="Times New Roman"/>
    </font>
    <font>
      <b/>
      <sz val="10"/>
      <color theme="1"/>
      <name val="Times New Roman"/>
    </font>
    <font>
      <i/>
      <sz val="10"/>
      <color theme="1"/>
      <name val="Times New Roman"/>
    </font>
    <font>
      <sz val="10"/>
      <color rgb="FFFF0000"/>
      <name val="Times New Roman"/>
    </font>
    <font>
      <sz val="10"/>
      <color rgb="FF000000"/>
      <name val="Times New Roman"/>
    </font>
    <font>
      <sz val="11"/>
      <color rgb="FFFF0000"/>
      <name val="Calibri"/>
    </font>
    <font>
      <sz val="10"/>
      <color theme="1"/>
      <name val="Calibri"/>
      <scheme val="minor"/>
    </font>
    <font>
      <i/>
      <sz val="10"/>
      <color rgb="FFFF0000"/>
      <name val="Times New Roman"/>
    </font>
    <font>
      <sz val="10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DFEC"/>
        <bgColor rgb="FFE5DFEC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64" fontId="0" fillId="0" borderId="0"/>
  </cellStyleXfs>
  <cellXfs count="166">
    <xf numFmtId="164" fontId="0" fillId="0" borderId="0" xfId="0" applyNumberFormat="1" applyFont="1" applyAlignment="1"/>
    <xf numFmtId="164" fontId="3" fillId="0" borderId="6" xfId="0" applyNumberFormat="1" applyFont="1" applyBorder="1" applyAlignment="1">
      <alignment horizontal="left"/>
    </xf>
    <xf numFmtId="164" fontId="2" fillId="0" borderId="0" xfId="0" applyNumberFormat="1" applyFont="1"/>
    <xf numFmtId="164" fontId="5" fillId="0" borderId="0" xfId="0" applyNumberFormat="1" applyFont="1" applyAlignment="1">
      <alignment horizontal="center"/>
    </xf>
    <xf numFmtId="164" fontId="2" fillId="0" borderId="7" xfId="0" applyNumberFormat="1" applyFont="1" applyBorder="1"/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21" xfId="0" applyNumberFormat="1" applyFont="1" applyBorder="1" applyAlignment="1">
      <alignment horizontal="center"/>
    </xf>
    <xf numFmtId="168" fontId="2" fillId="0" borderId="21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8" fontId="2" fillId="0" borderId="26" xfId="0" applyNumberFormat="1" applyFont="1" applyBorder="1" applyAlignment="1">
      <alignment horizontal="center"/>
    </xf>
    <xf numFmtId="164" fontId="2" fillId="0" borderId="30" xfId="0" applyNumberFormat="1" applyFont="1" applyBorder="1" applyAlignment="1">
      <alignment horizontal="center"/>
    </xf>
    <xf numFmtId="168" fontId="2" fillId="0" borderId="30" xfId="0" applyNumberFormat="1" applyFont="1" applyBorder="1" applyAlignment="1">
      <alignment horizontal="center"/>
    </xf>
    <xf numFmtId="164" fontId="2" fillId="0" borderId="6" xfId="0" applyNumberFormat="1" applyFont="1" applyBorder="1"/>
    <xf numFmtId="1" fontId="2" fillId="0" borderId="37" xfId="0" applyNumberFormat="1" applyFont="1" applyBorder="1" applyAlignment="1">
      <alignment horizontal="center"/>
    </xf>
    <xf numFmtId="164" fontId="2" fillId="0" borderId="37" xfId="0" applyNumberFormat="1" applyFont="1" applyBorder="1" applyAlignment="1">
      <alignment horizontal="center"/>
    </xf>
    <xf numFmtId="164" fontId="6" fillId="0" borderId="37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 vertical="center" wrapText="1"/>
    </xf>
    <xf numFmtId="164" fontId="2" fillId="3" borderId="39" xfId="0" applyNumberFormat="1" applyFont="1" applyFill="1" applyBorder="1" applyAlignment="1">
      <alignment horizontal="center" vertical="center" wrapText="1"/>
    </xf>
    <xf numFmtId="1" fontId="2" fillId="3" borderId="40" xfId="0" applyNumberFormat="1" applyFont="1" applyFill="1" applyBorder="1" applyAlignment="1">
      <alignment horizontal="center"/>
    </xf>
    <xf numFmtId="1" fontId="6" fillId="3" borderId="41" xfId="0" applyNumberFormat="1" applyFont="1" applyFill="1" applyBorder="1" applyAlignment="1">
      <alignment horizontal="center"/>
    </xf>
    <xf numFmtId="166" fontId="2" fillId="0" borderId="37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/>
    </xf>
    <xf numFmtId="1" fontId="6" fillId="0" borderId="37" xfId="0" applyNumberFormat="1" applyFont="1" applyBorder="1" applyAlignment="1">
      <alignment horizontal="center" vertical="center"/>
    </xf>
    <xf numFmtId="170" fontId="5" fillId="0" borderId="37" xfId="0" applyNumberFormat="1" applyFon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1" fontId="8" fillId="0" borderId="0" xfId="0" applyNumberFormat="1" applyFont="1"/>
    <xf numFmtId="165" fontId="4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70" fontId="2" fillId="0" borderId="37" xfId="0" applyNumberFormat="1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64" fontId="6" fillId="0" borderId="37" xfId="0" applyNumberFormat="1" applyFont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5" fontId="5" fillId="0" borderId="8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/>
    </xf>
    <xf numFmtId="0" fontId="8" fillId="0" borderId="0" xfId="0" applyNumberFormat="1" applyFont="1" applyAlignment="1"/>
    <xf numFmtId="14" fontId="2" fillId="0" borderId="9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70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" fontId="2" fillId="0" borderId="0" xfId="0" applyNumberFormat="1" applyFont="1"/>
    <xf numFmtId="164" fontId="2" fillId="4" borderId="19" xfId="0" applyNumberFormat="1" applyFont="1" applyFill="1" applyBorder="1"/>
    <xf numFmtId="2" fontId="2" fillId="4" borderId="19" xfId="0" applyNumberFormat="1" applyFont="1" applyFill="1" applyBorder="1"/>
    <xf numFmtId="166" fontId="2" fillId="0" borderId="37" xfId="0" applyNumberFormat="1" applyFont="1" applyBorder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5" fontId="2" fillId="5" borderId="19" xfId="0" applyNumberFormat="1" applyFont="1" applyFill="1" applyBorder="1" applyAlignment="1">
      <alignment horizontal="center"/>
    </xf>
    <xf numFmtId="2" fontId="2" fillId="5" borderId="19" xfId="0" applyNumberFormat="1" applyFont="1" applyFill="1" applyBorder="1" applyAlignment="1">
      <alignment horizontal="center"/>
    </xf>
    <xf numFmtId="164" fontId="2" fillId="5" borderId="19" xfId="0" applyNumberFormat="1" applyFont="1" applyFill="1" applyBorder="1" applyAlignment="1">
      <alignment horizontal="center"/>
    </xf>
    <xf numFmtId="4" fontId="2" fillId="5" borderId="19" xfId="0" applyNumberFormat="1" applyFont="1" applyFill="1" applyBorder="1" applyAlignment="1">
      <alignment horizontal="center"/>
    </xf>
    <xf numFmtId="166" fontId="2" fillId="0" borderId="9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5" fontId="2" fillId="0" borderId="0" xfId="0" applyNumberFormat="1" applyFont="1"/>
    <xf numFmtId="4" fontId="2" fillId="0" borderId="0" xfId="0" applyNumberFormat="1" applyFont="1"/>
    <xf numFmtId="164" fontId="2" fillId="3" borderId="42" xfId="0" applyNumberFormat="1" applyFont="1" applyFill="1" applyBorder="1" applyAlignment="1">
      <alignment horizontal="center" vertical="center" wrapText="1"/>
    </xf>
    <xf numFmtId="1" fontId="2" fillId="3" borderId="43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5" fontId="2" fillId="5" borderId="19" xfId="0" applyNumberFormat="1" applyFont="1" applyFill="1" applyBorder="1"/>
    <xf numFmtId="2" fontId="2" fillId="5" borderId="19" xfId="0" applyNumberFormat="1" applyFont="1" applyFill="1" applyBorder="1"/>
    <xf numFmtId="164" fontId="2" fillId="5" borderId="19" xfId="0" applyNumberFormat="1" applyFont="1" applyFill="1" applyBorder="1"/>
    <xf numFmtId="4" fontId="2" fillId="5" borderId="19" xfId="0" applyNumberFormat="1" applyFont="1" applyFill="1" applyBorder="1"/>
    <xf numFmtId="170" fontId="2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4" fontId="3" fillId="0" borderId="44" xfId="0" applyNumberFormat="1" applyFont="1" applyBorder="1" applyAlignment="1">
      <alignment horizontal="center" vertical="center" wrapText="1"/>
    </xf>
    <xf numFmtId="14" fontId="2" fillId="0" borderId="37" xfId="0" applyNumberFormat="1" applyFont="1" applyBorder="1" applyAlignment="1">
      <alignment horizontal="center" vertical="center"/>
    </xf>
    <xf numFmtId="168" fontId="2" fillId="0" borderId="30" xfId="0" applyNumberFormat="1" applyFont="1" applyBorder="1" applyAlignment="1">
      <alignment horizontal="center"/>
    </xf>
    <xf numFmtId="0" fontId="1" fillId="0" borderId="31" xfId="0" applyNumberFormat="1" applyFont="1" applyBorder="1"/>
    <xf numFmtId="168" fontId="5" fillId="0" borderId="30" xfId="0" applyNumberFormat="1" applyFont="1" applyBorder="1" applyAlignment="1">
      <alignment horizontal="center"/>
    </xf>
    <xf numFmtId="169" fontId="2" fillId="0" borderId="30" xfId="0" applyNumberFormat="1" applyFont="1" applyBorder="1" applyAlignment="1">
      <alignment horizontal="center"/>
    </xf>
    <xf numFmtId="15" fontId="5" fillId="0" borderId="30" xfId="0" applyNumberFormat="1" applyFont="1" applyBorder="1" applyAlignment="1">
      <alignment horizontal="center"/>
    </xf>
    <xf numFmtId="0" fontId="1" fillId="0" borderId="32" xfId="0" applyNumberFormat="1" applyFont="1" applyBorder="1"/>
    <xf numFmtId="0" fontId="1" fillId="0" borderId="33" xfId="0" applyNumberFormat="1" applyFont="1" applyBorder="1"/>
    <xf numFmtId="164" fontId="3" fillId="0" borderId="2" xfId="0" applyNumberFormat="1" applyFont="1" applyBorder="1" applyAlignment="1">
      <alignment horizontal="center"/>
    </xf>
    <xf numFmtId="0" fontId="1" fillId="0" borderId="5" xfId="0" applyNumberFormat="1" applyFont="1" applyBorder="1"/>
    <xf numFmtId="164" fontId="2" fillId="0" borderId="12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/>
    <xf numFmtId="164" fontId="6" fillId="0" borderId="12" xfId="0" applyNumberFormat="1" applyFont="1" applyBorder="1" applyAlignment="1">
      <alignment horizontal="center" vertical="center" wrapText="1"/>
    </xf>
    <xf numFmtId="0" fontId="1" fillId="0" borderId="35" xfId="0" applyNumberFormat="1" applyFont="1" applyBorder="1"/>
    <xf numFmtId="164" fontId="2" fillId="0" borderId="34" xfId="0" applyNumberFormat="1" applyFont="1" applyBorder="1" applyAlignment="1">
      <alignment horizontal="center" vertical="center" wrapText="1"/>
    </xf>
    <xf numFmtId="0" fontId="1" fillId="0" borderId="36" xfId="0" applyNumberFormat="1" applyFont="1" applyBorder="1"/>
    <xf numFmtId="0" fontId="1" fillId="0" borderId="38" xfId="0" applyNumberFormat="1" applyFont="1" applyBorder="1"/>
    <xf numFmtId="164" fontId="2" fillId="0" borderId="2" xfId="0" applyNumberFormat="1" applyFont="1" applyBorder="1" applyAlignment="1">
      <alignment horizontal="center" vertical="center"/>
    </xf>
    <xf numFmtId="0" fontId="1" fillId="0" borderId="1" xfId="0" applyNumberFormat="1" applyFont="1" applyBorder="1"/>
    <xf numFmtId="169" fontId="2" fillId="0" borderId="21" xfId="0" applyNumberFormat="1" applyFont="1" applyBorder="1" applyAlignment="1">
      <alignment horizontal="center"/>
    </xf>
    <xf numFmtId="0" fontId="1" fillId="0" borderId="22" xfId="0" applyNumberFormat="1" applyFont="1" applyBorder="1"/>
    <xf numFmtId="15" fontId="3" fillId="0" borderId="21" xfId="0" applyNumberFormat="1" applyFont="1" applyBorder="1" applyAlignment="1">
      <alignment horizontal="center"/>
    </xf>
    <xf numFmtId="0" fontId="1" fillId="0" borderId="23" xfId="0" applyNumberFormat="1" applyFont="1" applyBorder="1"/>
    <xf numFmtId="0" fontId="1" fillId="0" borderId="24" xfId="0" applyNumberFormat="1" applyFont="1" applyBorder="1"/>
    <xf numFmtId="169" fontId="2" fillId="0" borderId="26" xfId="0" applyNumberFormat="1" applyFont="1" applyBorder="1" applyAlignment="1">
      <alignment horizontal="center"/>
    </xf>
    <xf numFmtId="0" fontId="1" fillId="0" borderId="27" xfId="0" applyNumberFormat="1" applyFont="1" applyBorder="1"/>
    <xf numFmtId="15" fontId="2" fillId="0" borderId="26" xfId="0" applyNumberFormat="1" applyFont="1" applyBorder="1" applyAlignment="1">
      <alignment horizontal="center"/>
    </xf>
    <xf numFmtId="0" fontId="1" fillId="0" borderId="18" xfId="0" applyNumberFormat="1" applyFont="1" applyBorder="1"/>
    <xf numFmtId="0" fontId="1" fillId="0" borderId="28" xfId="0" applyNumberFormat="1" applyFont="1" applyBorder="1"/>
    <xf numFmtId="167" fontId="3" fillId="0" borderId="6" xfId="0" applyNumberFormat="1" applyFont="1" applyBorder="1" applyAlignment="1">
      <alignment horizontal="center" vertical="center"/>
    </xf>
    <xf numFmtId="164" fontId="0" fillId="0" borderId="0" xfId="0" applyNumberFormat="1" applyFont="1" applyAlignment="1"/>
    <xf numFmtId="0" fontId="1" fillId="0" borderId="7" xfId="0" applyNumberFormat="1" applyFont="1" applyBorder="1"/>
    <xf numFmtId="164" fontId="2" fillId="0" borderId="11" xfId="0" applyNumberFormat="1" applyFont="1" applyBorder="1" applyAlignment="1">
      <alignment horizontal="center" vertical="center" wrapText="1"/>
    </xf>
    <xf numFmtId="0" fontId="1" fillId="0" borderId="8" xfId="0" applyNumberFormat="1" applyFont="1" applyBorder="1"/>
    <xf numFmtId="164" fontId="2" fillId="0" borderId="4" xfId="0" applyNumberFormat="1" applyFont="1" applyBorder="1" applyAlignment="1">
      <alignment horizontal="center" vertical="center" wrapText="1"/>
    </xf>
    <xf numFmtId="0" fontId="1" fillId="0" borderId="3" xfId="0" applyNumberFormat="1" applyFont="1" applyBorder="1"/>
    <xf numFmtId="0" fontId="1" fillId="0" borderId="17" xfId="0" applyNumberFormat="1" applyFont="1" applyBorder="1"/>
    <xf numFmtId="0" fontId="1" fillId="0" borderId="15" xfId="0" applyNumberFormat="1" applyFont="1" applyBorder="1"/>
    <xf numFmtId="0" fontId="1" fillId="0" borderId="13" xfId="0" applyNumberFormat="1" applyFont="1" applyBorder="1"/>
    <xf numFmtId="0" fontId="1" fillId="0" borderId="9" xfId="0" applyNumberFormat="1" applyFont="1" applyBorder="1"/>
    <xf numFmtId="164" fontId="4" fillId="0" borderId="2" xfId="0" applyNumberFormat="1" applyFont="1" applyBorder="1" applyAlignment="1">
      <alignment horizontal="center" vertical="center"/>
    </xf>
    <xf numFmtId="0" fontId="1" fillId="0" borderId="14" xfId="0" applyNumberFormat="1" applyFont="1" applyBorder="1"/>
    <xf numFmtId="0" fontId="1" fillId="0" borderId="10" xfId="0" applyNumberFormat="1" applyFont="1" applyBorder="1"/>
    <xf numFmtId="164" fontId="2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8" fontId="2" fillId="0" borderId="21" xfId="0" applyNumberFormat="1" applyFont="1" applyBorder="1" applyAlignment="1">
      <alignment horizontal="center"/>
    </xf>
    <xf numFmtId="168" fontId="5" fillId="0" borderId="21" xfId="0" applyNumberFormat="1" applyFont="1" applyBorder="1" applyAlignment="1">
      <alignment horizontal="center"/>
    </xf>
    <xf numFmtId="164" fontId="5" fillId="0" borderId="26" xfId="0" applyNumberFormat="1" applyFont="1" applyBorder="1" applyAlignment="1">
      <alignment horizontal="left"/>
    </xf>
    <xf numFmtId="168" fontId="2" fillId="0" borderId="26" xfId="0" applyNumberFormat="1" applyFont="1" applyBorder="1" applyAlignment="1">
      <alignment horizontal="center"/>
    </xf>
    <xf numFmtId="168" fontId="5" fillId="0" borderId="26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 vertical="center" wrapText="1"/>
    </xf>
    <xf numFmtId="0" fontId="1" fillId="0" borderId="25" xfId="0" applyNumberFormat="1" applyFont="1" applyBorder="1"/>
    <xf numFmtId="0" fontId="1" fillId="0" borderId="29" xfId="0" applyNumberFormat="1" applyFont="1" applyBorder="1"/>
    <xf numFmtId="164" fontId="5" fillId="0" borderId="20" xfId="0" applyNumberFormat="1" applyFont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left"/>
    </xf>
    <xf numFmtId="15" fontId="2" fillId="0" borderId="21" xfId="0" applyNumberFormat="1" applyFont="1" applyBorder="1" applyAlignment="1">
      <alignment horizontal="center"/>
    </xf>
    <xf numFmtId="164" fontId="5" fillId="0" borderId="30" xfId="0" applyNumberFormat="1" applyFont="1" applyBorder="1" applyAlignment="1">
      <alignment horizontal="left"/>
    </xf>
    <xf numFmtId="15" fontId="2" fillId="0" borderId="30" xfId="0" applyNumberFormat="1" applyFont="1" applyBorder="1" applyAlignment="1">
      <alignment horizontal="center"/>
    </xf>
    <xf numFmtId="0" fontId="2" fillId="0" borderId="5" xfId="0" applyNumberFormat="1" applyFont="1" applyBorder="1"/>
    <xf numFmtId="165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outlinePr summaryBelow="0" summaryRight="0"/>
  </sheetPr>
  <dimension ref="A1:R25"/>
  <sheetViews>
    <sheetView workbookViewId="0">
      <selection activeCell="M17" sqref="M17"/>
    </sheetView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(25/07/25)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30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31</v>
      </c>
      <c r="R10" s="112" t="s">
        <v>32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45863</v>
      </c>
      <c r="B15" s="22">
        <v>1</v>
      </c>
      <c r="C15" s="23">
        <v>1821</v>
      </c>
      <c r="D15" s="24">
        <v>-559</v>
      </c>
      <c r="E15" s="25">
        <f>C15-D15</f>
        <v>2380</v>
      </c>
      <c r="F15" s="26">
        <v>0</v>
      </c>
      <c r="G15" s="22">
        <v>1</v>
      </c>
      <c r="H15" s="25">
        <v>1766</v>
      </c>
      <c r="I15" s="27">
        <v>-619</v>
      </c>
      <c r="J15" s="28">
        <f t="shared" ref="J15:J17" si="1">H15-I15</f>
        <v>2385</v>
      </c>
      <c r="K15" s="22">
        <v>0</v>
      </c>
      <c r="L15" s="22">
        <v>1</v>
      </c>
      <c r="M15" s="23">
        <v>1811</v>
      </c>
      <c r="N15" s="24">
        <v>-449</v>
      </c>
      <c r="O15" s="28">
        <f t="shared" ref="O15:O17" si="2">M15-N15</f>
        <v>2260</v>
      </c>
      <c r="P15" s="22">
        <v>0</v>
      </c>
      <c r="Q15" s="29"/>
      <c r="R15" s="30"/>
    </row>
    <row r="16" spans="1:18" x14ac:dyDescent="0.25">
      <c r="A16" s="21">
        <v>45864</v>
      </c>
      <c r="B16" s="22">
        <v>1</v>
      </c>
      <c r="C16" s="25">
        <f t="shared" ref="C16:C17" si="3">$C$15-F16</f>
        <v>1810</v>
      </c>
      <c r="D16" s="24">
        <v>-570</v>
      </c>
      <c r="E16" s="25">
        <v>2380</v>
      </c>
      <c r="F16" s="22">
        <f t="shared" ref="F16:F17" si="4">$D$15-D16</f>
        <v>11</v>
      </c>
      <c r="G16" s="22">
        <v>1</v>
      </c>
      <c r="H16" s="25">
        <f t="shared" ref="H16:H17" si="5">$H$15-K16</f>
        <v>1745</v>
      </c>
      <c r="I16" s="27">
        <v>-640</v>
      </c>
      <c r="J16" s="28">
        <f t="shared" si="1"/>
        <v>2385</v>
      </c>
      <c r="K16" s="22">
        <f t="shared" ref="K16:K17" si="6">$I$15-I16</f>
        <v>21</v>
      </c>
      <c r="L16" s="22">
        <v>1</v>
      </c>
      <c r="M16" s="25">
        <f t="shared" ref="M16:M17" si="7">$M$15-P16</f>
        <v>1803</v>
      </c>
      <c r="N16" s="24">
        <v>-457</v>
      </c>
      <c r="O16" s="28">
        <f t="shared" si="2"/>
        <v>2260</v>
      </c>
      <c r="P16" s="22">
        <f t="shared" ref="P16:P17" si="8">$N$15-N16</f>
        <v>8</v>
      </c>
      <c r="Q16" s="29"/>
      <c r="R16" s="30"/>
    </row>
    <row r="17" spans="1:18" x14ac:dyDescent="0.25">
      <c r="A17" s="21">
        <v>45865</v>
      </c>
      <c r="B17" s="22">
        <v>1</v>
      </c>
      <c r="C17" s="25">
        <f t="shared" si="3"/>
        <v>1791</v>
      </c>
      <c r="D17" s="24">
        <v>-589</v>
      </c>
      <c r="E17" s="25">
        <f>C17-D17</f>
        <v>2380</v>
      </c>
      <c r="F17" s="22">
        <f t="shared" si="4"/>
        <v>30</v>
      </c>
      <c r="G17" s="22">
        <v>1</v>
      </c>
      <c r="H17" s="25">
        <f t="shared" si="5"/>
        <v>1721</v>
      </c>
      <c r="I17" s="27">
        <v>-664</v>
      </c>
      <c r="J17" s="28">
        <f t="shared" si="1"/>
        <v>2385</v>
      </c>
      <c r="K17" s="22">
        <f t="shared" si="6"/>
        <v>45</v>
      </c>
      <c r="L17" s="22">
        <v>1</v>
      </c>
      <c r="M17" s="25">
        <f t="shared" si="7"/>
        <v>1795</v>
      </c>
      <c r="N17" s="24">
        <v>-465</v>
      </c>
      <c r="O17" s="28">
        <f t="shared" si="2"/>
        <v>2260</v>
      </c>
      <c r="P17" s="22">
        <f t="shared" si="8"/>
        <v>16</v>
      </c>
      <c r="Q17" s="29"/>
      <c r="R17" s="30"/>
    </row>
    <row r="18" spans="1:18" x14ac:dyDescent="0.25">
      <c r="A18" s="21"/>
      <c r="B18" s="22"/>
      <c r="C18" s="23"/>
      <c r="D18" s="24"/>
      <c r="E18" s="25"/>
      <c r="F18" s="22"/>
      <c r="G18" s="22"/>
      <c r="H18" s="25"/>
      <c r="I18" s="27"/>
      <c r="J18" s="28"/>
      <c r="K18" s="22"/>
      <c r="L18" s="22"/>
      <c r="M18" s="23"/>
      <c r="N18" s="24"/>
      <c r="O18" s="28"/>
      <c r="P18" s="22"/>
      <c r="Q18" s="29"/>
      <c r="R18" s="30"/>
    </row>
    <row r="19" spans="1:18" x14ac:dyDescent="0.25">
      <c r="A19" s="21"/>
      <c r="B19" s="22"/>
      <c r="C19" s="23"/>
      <c r="D19" s="24"/>
      <c r="E19" s="25"/>
      <c r="F19" s="22"/>
      <c r="G19" s="22"/>
      <c r="H19" s="25"/>
      <c r="I19" s="27"/>
      <c r="J19" s="28"/>
      <c r="K19" s="22"/>
      <c r="L19" s="22"/>
      <c r="M19" s="23"/>
      <c r="N19" s="24"/>
      <c r="O19" s="28"/>
      <c r="P19" s="22"/>
      <c r="Q19" s="29"/>
      <c r="R19" s="30"/>
    </row>
    <row r="20" spans="1:18" x14ac:dyDescent="0.25">
      <c r="A20" s="21"/>
      <c r="B20" s="22"/>
      <c r="C20" s="23"/>
      <c r="D20" s="24"/>
      <c r="E20" s="25"/>
      <c r="F20" s="22"/>
      <c r="G20" s="22"/>
      <c r="H20" s="25"/>
      <c r="I20" s="27"/>
      <c r="J20" s="28"/>
      <c r="K20" s="22"/>
      <c r="L20" s="22"/>
      <c r="M20" s="23"/>
      <c r="N20" s="24"/>
      <c r="O20" s="28"/>
      <c r="P20" s="22"/>
      <c r="Q20" s="29"/>
      <c r="R20" s="30"/>
    </row>
    <row r="21" spans="1:18" x14ac:dyDescent="0.25">
      <c r="A21" s="21"/>
      <c r="B21" s="22"/>
      <c r="C21" s="23"/>
      <c r="D21" s="24"/>
      <c r="E21" s="25"/>
      <c r="F21" s="22"/>
      <c r="G21" s="22"/>
      <c r="H21" s="25"/>
      <c r="I21" s="27"/>
      <c r="J21" s="28"/>
      <c r="K21" s="22"/>
      <c r="L21" s="22"/>
      <c r="M21" s="23"/>
      <c r="N21" s="24"/>
      <c r="O21" s="28"/>
      <c r="P21" s="22"/>
      <c r="Q21" s="29"/>
      <c r="R21" s="30"/>
    </row>
    <row r="22" spans="1:18" x14ac:dyDescent="0.25">
      <c r="A22" s="21"/>
      <c r="B22" s="22"/>
      <c r="C22" s="23"/>
      <c r="D22" s="24"/>
      <c r="E22" s="25"/>
      <c r="F22" s="22"/>
      <c r="G22" s="22"/>
      <c r="H22" s="25"/>
      <c r="I22" s="27"/>
      <c r="J22" s="28"/>
      <c r="K22" s="22"/>
      <c r="L22" s="22"/>
      <c r="M22" s="23"/>
      <c r="N22" s="24"/>
      <c r="O22" s="28"/>
      <c r="P22" s="22"/>
      <c r="Q22" s="29"/>
      <c r="R22" s="30"/>
    </row>
    <row r="23" spans="1:18" x14ac:dyDescent="0.25">
      <c r="A23" s="21"/>
      <c r="B23" s="22"/>
      <c r="C23" s="23"/>
      <c r="D23" s="24"/>
      <c r="E23" s="25"/>
      <c r="F23" s="22"/>
      <c r="G23" s="22"/>
      <c r="H23" s="25"/>
      <c r="I23" s="27"/>
      <c r="J23" s="28"/>
      <c r="K23" s="22"/>
      <c r="L23" s="22"/>
      <c r="M23" s="23"/>
      <c r="N23" s="24"/>
      <c r="O23" s="28"/>
      <c r="P23" s="22"/>
      <c r="Q23" s="29"/>
      <c r="R23" s="30"/>
    </row>
    <row r="24" spans="1:18" x14ac:dyDescent="0.25">
      <c r="A24" s="21"/>
      <c r="B24" s="22"/>
      <c r="C24" s="23"/>
      <c r="D24" s="24"/>
      <c r="E24" s="25"/>
      <c r="F24" s="22"/>
      <c r="G24" s="22"/>
      <c r="H24" s="25"/>
      <c r="I24" s="27"/>
      <c r="J24" s="28"/>
      <c r="K24" s="22"/>
      <c r="L24" s="22"/>
      <c r="M24" s="23"/>
      <c r="N24" s="24"/>
      <c r="O24" s="28"/>
      <c r="P24" s="22"/>
      <c r="Q24" s="29"/>
      <c r="R24" s="30"/>
    </row>
    <row r="25" spans="1:18" x14ac:dyDescent="0.25">
      <c r="A25" s="21"/>
      <c r="B25" s="22"/>
      <c r="C25" s="23"/>
      <c r="D25" s="24"/>
      <c r="E25" s="25"/>
      <c r="F25" s="22"/>
      <c r="G25" s="22"/>
      <c r="H25" s="25"/>
      <c r="I25" s="27"/>
      <c r="J25" s="28"/>
      <c r="K25" s="22"/>
      <c r="L25" s="22"/>
      <c r="M25" s="23"/>
      <c r="N25" s="24"/>
      <c r="O25" s="28"/>
      <c r="P25" s="22"/>
      <c r="Q25" s="29"/>
      <c r="R25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25">
    <cfRule type="cellIs" dxfId="29" priority="1" operator="lessThan">
      <formula>60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outlinePr summaryBelow="0" summaryRight="0"/>
  </sheetPr>
  <dimension ref="A1:R63"/>
  <sheetViews>
    <sheetView topLeftCell="A43" workbookViewId="0">
      <selection sqref="A1:R1"/>
    </sheetView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(10/06/25)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35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36</v>
      </c>
      <c r="R10" s="112" t="s">
        <v>37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45818</v>
      </c>
      <c r="B15" s="22">
        <v>1</v>
      </c>
      <c r="C15" s="23">
        <v>1380</v>
      </c>
      <c r="D15" s="24">
        <v>-1193</v>
      </c>
      <c r="E15" s="25">
        <f t="shared" ref="E15:E62" si="1">C15-D15</f>
        <v>2573</v>
      </c>
      <c r="F15" s="26">
        <v>0</v>
      </c>
      <c r="G15" s="22">
        <v>1</v>
      </c>
      <c r="H15" s="25">
        <v>1460</v>
      </c>
      <c r="I15" s="27">
        <v>-910</v>
      </c>
      <c r="J15" s="28">
        <f t="shared" ref="J15:J62" si="2">H15-I15</f>
        <v>2370</v>
      </c>
      <c r="K15" s="22">
        <v>0</v>
      </c>
      <c r="L15" s="22">
        <v>1</v>
      </c>
      <c r="M15" s="23">
        <v>1490</v>
      </c>
      <c r="N15" s="24">
        <v>-851</v>
      </c>
      <c r="O15" s="28">
        <f t="shared" ref="O15:O62" si="3">M15-N15</f>
        <v>2341</v>
      </c>
      <c r="P15" s="22">
        <v>0</v>
      </c>
      <c r="Q15" s="29"/>
      <c r="R15" s="30"/>
    </row>
    <row r="16" spans="1:18" x14ac:dyDescent="0.25">
      <c r="A16" s="21">
        <v>45819</v>
      </c>
      <c r="B16" s="22">
        <v>1</v>
      </c>
      <c r="C16" s="25">
        <f t="shared" ref="C16:C62" si="4">$C$15-F16</f>
        <v>1377</v>
      </c>
      <c r="D16" s="24">
        <v>-1196</v>
      </c>
      <c r="E16" s="25">
        <f t="shared" si="1"/>
        <v>2573</v>
      </c>
      <c r="F16" s="22">
        <f t="shared" ref="F16:F62" si="5">$D$15-D16</f>
        <v>3</v>
      </c>
      <c r="G16" s="22">
        <v>1</v>
      </c>
      <c r="H16" s="25">
        <f t="shared" ref="H16:H61" si="6">$H$15-K16</f>
        <v>1455</v>
      </c>
      <c r="I16" s="27">
        <v>-915</v>
      </c>
      <c r="J16" s="28">
        <f t="shared" si="2"/>
        <v>2370</v>
      </c>
      <c r="K16" s="22">
        <f t="shared" ref="K16:K62" si="7">$I$15-I16</f>
        <v>5</v>
      </c>
      <c r="L16" s="22">
        <v>1</v>
      </c>
      <c r="M16" s="25">
        <f t="shared" ref="M16:M62" si="8">$M$15-P16</f>
        <v>1484</v>
      </c>
      <c r="N16" s="24">
        <v>-857</v>
      </c>
      <c r="O16" s="28">
        <f t="shared" si="3"/>
        <v>2341</v>
      </c>
      <c r="P16" s="22">
        <f t="shared" ref="P16:P62" si="9">$N$15-N16</f>
        <v>6</v>
      </c>
      <c r="Q16" s="29"/>
      <c r="R16" s="30"/>
    </row>
    <row r="17" spans="1:18" x14ac:dyDescent="0.25">
      <c r="A17" s="21">
        <v>45820</v>
      </c>
      <c r="B17" s="22">
        <v>1</v>
      </c>
      <c r="C17" s="25">
        <f t="shared" si="4"/>
        <v>1374</v>
      </c>
      <c r="D17" s="24">
        <v>-1199</v>
      </c>
      <c r="E17" s="25">
        <f t="shared" si="1"/>
        <v>2573</v>
      </c>
      <c r="F17" s="22">
        <f t="shared" si="5"/>
        <v>6</v>
      </c>
      <c r="G17" s="22">
        <v>1</v>
      </c>
      <c r="H17" s="25">
        <f t="shared" si="6"/>
        <v>1450</v>
      </c>
      <c r="I17" s="27">
        <v>-920</v>
      </c>
      <c r="J17" s="28">
        <f t="shared" si="2"/>
        <v>2370</v>
      </c>
      <c r="K17" s="22">
        <f t="shared" si="7"/>
        <v>10</v>
      </c>
      <c r="L17" s="22">
        <v>1</v>
      </c>
      <c r="M17" s="25">
        <f t="shared" si="8"/>
        <v>1478</v>
      </c>
      <c r="N17" s="24">
        <v>-863</v>
      </c>
      <c r="O17" s="28">
        <f t="shared" si="3"/>
        <v>2341</v>
      </c>
      <c r="P17" s="22">
        <f t="shared" si="9"/>
        <v>12</v>
      </c>
      <c r="Q17" s="29"/>
      <c r="R17" s="30"/>
    </row>
    <row r="18" spans="1:18" x14ac:dyDescent="0.25">
      <c r="A18" s="21">
        <v>45821</v>
      </c>
      <c r="B18" s="22">
        <v>1</v>
      </c>
      <c r="C18" s="25">
        <f t="shared" si="4"/>
        <v>1371</v>
      </c>
      <c r="D18" s="24">
        <v>-1202</v>
      </c>
      <c r="E18" s="25">
        <f t="shared" si="1"/>
        <v>2573</v>
      </c>
      <c r="F18" s="22">
        <f t="shared" si="5"/>
        <v>9</v>
      </c>
      <c r="G18" s="22">
        <v>1</v>
      </c>
      <c r="H18" s="25">
        <f t="shared" si="6"/>
        <v>1445</v>
      </c>
      <c r="I18" s="27">
        <v>-925</v>
      </c>
      <c r="J18" s="28">
        <f t="shared" si="2"/>
        <v>2370</v>
      </c>
      <c r="K18" s="22">
        <f t="shared" si="7"/>
        <v>15</v>
      </c>
      <c r="L18" s="22">
        <v>1</v>
      </c>
      <c r="M18" s="25">
        <f t="shared" si="8"/>
        <v>1472</v>
      </c>
      <c r="N18" s="24">
        <v>-869</v>
      </c>
      <c r="O18" s="28">
        <f t="shared" si="3"/>
        <v>2341</v>
      </c>
      <c r="P18" s="22">
        <f t="shared" si="9"/>
        <v>18</v>
      </c>
      <c r="Q18" s="29"/>
      <c r="R18" s="30"/>
    </row>
    <row r="19" spans="1:18" x14ac:dyDescent="0.25">
      <c r="A19" s="21">
        <v>45822</v>
      </c>
      <c r="B19" s="22">
        <v>1</v>
      </c>
      <c r="C19" s="25">
        <f t="shared" si="4"/>
        <v>1368</v>
      </c>
      <c r="D19" s="24">
        <v>-1205</v>
      </c>
      <c r="E19" s="25">
        <f t="shared" si="1"/>
        <v>2573</v>
      </c>
      <c r="F19" s="22">
        <f t="shared" si="5"/>
        <v>12</v>
      </c>
      <c r="G19" s="22">
        <v>1</v>
      </c>
      <c r="H19" s="25">
        <f t="shared" si="6"/>
        <v>1440</v>
      </c>
      <c r="I19" s="27">
        <v>-930</v>
      </c>
      <c r="J19" s="28">
        <f t="shared" si="2"/>
        <v>2370</v>
      </c>
      <c r="K19" s="22">
        <f t="shared" si="7"/>
        <v>20</v>
      </c>
      <c r="L19" s="22">
        <v>1</v>
      </c>
      <c r="M19" s="25">
        <f t="shared" si="8"/>
        <v>1466</v>
      </c>
      <c r="N19" s="24">
        <v>-875</v>
      </c>
      <c r="O19" s="28">
        <f t="shared" si="3"/>
        <v>2341</v>
      </c>
      <c r="P19" s="22">
        <f t="shared" si="9"/>
        <v>24</v>
      </c>
      <c r="Q19" s="29"/>
      <c r="R19" s="30"/>
    </row>
    <row r="20" spans="1:18" x14ac:dyDescent="0.25">
      <c r="A20" s="21">
        <v>45823</v>
      </c>
      <c r="B20" s="22">
        <v>1</v>
      </c>
      <c r="C20" s="25">
        <f t="shared" si="4"/>
        <v>1368</v>
      </c>
      <c r="D20" s="24">
        <v>-1205</v>
      </c>
      <c r="E20" s="25">
        <f t="shared" si="1"/>
        <v>2573</v>
      </c>
      <c r="F20" s="22">
        <f t="shared" si="5"/>
        <v>12</v>
      </c>
      <c r="G20" s="22">
        <v>1</v>
      </c>
      <c r="H20" s="25">
        <f t="shared" si="6"/>
        <v>1436</v>
      </c>
      <c r="I20" s="27">
        <v>-934</v>
      </c>
      <c r="J20" s="28">
        <f t="shared" si="2"/>
        <v>2370</v>
      </c>
      <c r="K20" s="22">
        <f t="shared" si="7"/>
        <v>24</v>
      </c>
      <c r="L20" s="22">
        <v>1</v>
      </c>
      <c r="M20" s="25">
        <f t="shared" si="8"/>
        <v>1461</v>
      </c>
      <c r="N20" s="24">
        <v>-880</v>
      </c>
      <c r="O20" s="28">
        <f t="shared" si="3"/>
        <v>2341</v>
      </c>
      <c r="P20" s="22">
        <f t="shared" si="9"/>
        <v>29</v>
      </c>
      <c r="Q20" s="29"/>
      <c r="R20" s="30"/>
    </row>
    <row r="21" spans="1:18" x14ac:dyDescent="0.25">
      <c r="A21" s="21">
        <v>45824</v>
      </c>
      <c r="B21" s="22">
        <v>1</v>
      </c>
      <c r="C21" s="25">
        <f t="shared" si="4"/>
        <v>1359</v>
      </c>
      <c r="D21" s="24">
        <v>-1214</v>
      </c>
      <c r="E21" s="25">
        <f t="shared" si="1"/>
        <v>2573</v>
      </c>
      <c r="F21" s="22">
        <f t="shared" si="5"/>
        <v>21</v>
      </c>
      <c r="G21" s="22">
        <v>1</v>
      </c>
      <c r="H21" s="25">
        <f t="shared" si="6"/>
        <v>1422</v>
      </c>
      <c r="I21" s="27">
        <v>-948</v>
      </c>
      <c r="J21" s="28">
        <f t="shared" si="2"/>
        <v>2370</v>
      </c>
      <c r="K21" s="22">
        <f t="shared" si="7"/>
        <v>38</v>
      </c>
      <c r="L21" s="22">
        <v>1</v>
      </c>
      <c r="M21" s="25">
        <f t="shared" si="8"/>
        <v>1456</v>
      </c>
      <c r="N21" s="24">
        <v>-885</v>
      </c>
      <c r="O21" s="28">
        <f t="shared" si="3"/>
        <v>2341</v>
      </c>
      <c r="P21" s="22">
        <f t="shared" si="9"/>
        <v>34</v>
      </c>
      <c r="Q21" s="29"/>
      <c r="R21" s="30"/>
    </row>
    <row r="22" spans="1:18" x14ac:dyDescent="0.25">
      <c r="A22" s="21">
        <v>45825</v>
      </c>
      <c r="B22" s="22">
        <v>1</v>
      </c>
      <c r="C22" s="25">
        <f t="shared" si="4"/>
        <v>1350</v>
      </c>
      <c r="D22" s="24">
        <v>-1223</v>
      </c>
      <c r="E22" s="25">
        <f t="shared" si="1"/>
        <v>2573</v>
      </c>
      <c r="F22" s="22">
        <f t="shared" si="5"/>
        <v>30</v>
      </c>
      <c r="G22" s="22">
        <v>1</v>
      </c>
      <c r="H22" s="25">
        <f t="shared" si="6"/>
        <v>1410</v>
      </c>
      <c r="I22" s="27">
        <v>-960</v>
      </c>
      <c r="J22" s="28">
        <f t="shared" si="2"/>
        <v>2370</v>
      </c>
      <c r="K22" s="22">
        <f t="shared" si="7"/>
        <v>50</v>
      </c>
      <c r="L22" s="22">
        <v>1</v>
      </c>
      <c r="M22" s="25">
        <f t="shared" si="8"/>
        <v>1451</v>
      </c>
      <c r="N22" s="24">
        <v>-890</v>
      </c>
      <c r="O22" s="28">
        <f t="shared" si="3"/>
        <v>2341</v>
      </c>
      <c r="P22" s="22">
        <f t="shared" si="9"/>
        <v>39</v>
      </c>
      <c r="Q22" s="29"/>
      <c r="R22" s="30"/>
    </row>
    <row r="23" spans="1:18" x14ac:dyDescent="0.25">
      <c r="A23" s="21">
        <v>45826</v>
      </c>
      <c r="B23" s="22">
        <v>1</v>
      </c>
      <c r="C23" s="25">
        <f t="shared" si="4"/>
        <v>1341</v>
      </c>
      <c r="D23" s="24">
        <v>-1232</v>
      </c>
      <c r="E23" s="25">
        <f t="shared" si="1"/>
        <v>2573</v>
      </c>
      <c r="F23" s="22">
        <f t="shared" si="5"/>
        <v>39</v>
      </c>
      <c r="G23" s="22">
        <v>1</v>
      </c>
      <c r="H23" s="25">
        <f t="shared" si="6"/>
        <v>1400</v>
      </c>
      <c r="I23" s="27">
        <v>-970</v>
      </c>
      <c r="J23" s="28">
        <f t="shared" si="2"/>
        <v>2370</v>
      </c>
      <c r="K23" s="22">
        <f t="shared" si="7"/>
        <v>60</v>
      </c>
      <c r="L23" s="22">
        <v>1</v>
      </c>
      <c r="M23" s="25">
        <f t="shared" si="8"/>
        <v>1446</v>
      </c>
      <c r="N23" s="24">
        <v>-895</v>
      </c>
      <c r="O23" s="28">
        <f t="shared" si="3"/>
        <v>2341</v>
      </c>
      <c r="P23" s="22">
        <f t="shared" si="9"/>
        <v>44</v>
      </c>
      <c r="Q23" s="29"/>
      <c r="R23" s="30"/>
    </row>
    <row r="24" spans="1:18" x14ac:dyDescent="0.25">
      <c r="A24" s="21">
        <v>45827</v>
      </c>
      <c r="B24" s="22">
        <v>1</v>
      </c>
      <c r="C24" s="25">
        <f t="shared" si="4"/>
        <v>1332</v>
      </c>
      <c r="D24" s="24">
        <v>-1241</v>
      </c>
      <c r="E24" s="25">
        <f t="shared" si="1"/>
        <v>2573</v>
      </c>
      <c r="F24" s="22">
        <f t="shared" si="5"/>
        <v>48</v>
      </c>
      <c r="G24" s="22">
        <v>1</v>
      </c>
      <c r="H24" s="25">
        <f t="shared" si="6"/>
        <v>1390</v>
      </c>
      <c r="I24" s="27">
        <v>-980</v>
      </c>
      <c r="J24" s="28">
        <f t="shared" si="2"/>
        <v>2370</v>
      </c>
      <c r="K24" s="22">
        <f t="shared" si="7"/>
        <v>70</v>
      </c>
      <c r="L24" s="22">
        <v>1</v>
      </c>
      <c r="M24" s="25">
        <f t="shared" si="8"/>
        <v>1441</v>
      </c>
      <c r="N24" s="24">
        <v>-900</v>
      </c>
      <c r="O24" s="28">
        <f t="shared" si="3"/>
        <v>2341</v>
      </c>
      <c r="P24" s="22">
        <f t="shared" si="9"/>
        <v>49</v>
      </c>
      <c r="Q24" s="29"/>
      <c r="R24" s="30"/>
    </row>
    <row r="25" spans="1:18" x14ac:dyDescent="0.25">
      <c r="A25" s="21">
        <v>45828</v>
      </c>
      <c r="B25" s="22">
        <v>1</v>
      </c>
      <c r="C25" s="25">
        <f t="shared" si="4"/>
        <v>1323</v>
      </c>
      <c r="D25" s="24">
        <v>-1250</v>
      </c>
      <c r="E25" s="25">
        <f t="shared" si="1"/>
        <v>2573</v>
      </c>
      <c r="F25" s="22">
        <f t="shared" si="5"/>
        <v>57</v>
      </c>
      <c r="G25" s="22">
        <v>1</v>
      </c>
      <c r="H25" s="25">
        <f t="shared" si="6"/>
        <v>1380</v>
      </c>
      <c r="I25" s="27">
        <v>-990</v>
      </c>
      <c r="J25" s="28">
        <f t="shared" si="2"/>
        <v>2370</v>
      </c>
      <c r="K25" s="22">
        <f t="shared" si="7"/>
        <v>80</v>
      </c>
      <c r="L25" s="22">
        <v>1</v>
      </c>
      <c r="M25" s="25">
        <f t="shared" si="8"/>
        <v>1436</v>
      </c>
      <c r="N25" s="24">
        <v>-905</v>
      </c>
      <c r="O25" s="28">
        <f t="shared" si="3"/>
        <v>2341</v>
      </c>
      <c r="P25" s="22">
        <f t="shared" si="9"/>
        <v>54</v>
      </c>
      <c r="Q25" s="29"/>
      <c r="R25" s="30"/>
    </row>
    <row r="26" spans="1:18" x14ac:dyDescent="0.25">
      <c r="A26" s="21">
        <v>45829</v>
      </c>
      <c r="B26" s="22">
        <v>1</v>
      </c>
      <c r="C26" s="25">
        <f t="shared" si="4"/>
        <v>1314</v>
      </c>
      <c r="D26" s="24">
        <v>-1259</v>
      </c>
      <c r="E26" s="25">
        <f t="shared" si="1"/>
        <v>2573</v>
      </c>
      <c r="F26" s="22">
        <f t="shared" si="5"/>
        <v>66</v>
      </c>
      <c r="G26" s="22">
        <v>1</v>
      </c>
      <c r="H26" s="25">
        <f t="shared" si="6"/>
        <v>1350</v>
      </c>
      <c r="I26" s="27">
        <v>-1020</v>
      </c>
      <c r="J26" s="28">
        <f t="shared" si="2"/>
        <v>2370</v>
      </c>
      <c r="K26" s="22">
        <f t="shared" si="7"/>
        <v>110</v>
      </c>
      <c r="L26" s="22">
        <v>1</v>
      </c>
      <c r="M26" s="25">
        <f t="shared" si="8"/>
        <v>1431</v>
      </c>
      <c r="N26" s="24">
        <v>-910</v>
      </c>
      <c r="O26" s="28">
        <f t="shared" si="3"/>
        <v>2341</v>
      </c>
      <c r="P26" s="22">
        <f t="shared" si="9"/>
        <v>59</v>
      </c>
      <c r="Q26" s="29"/>
      <c r="R26" s="30"/>
    </row>
    <row r="27" spans="1:18" x14ac:dyDescent="0.25">
      <c r="A27" s="21">
        <v>45830</v>
      </c>
      <c r="B27" s="22">
        <v>1</v>
      </c>
      <c r="C27" s="25">
        <f t="shared" si="4"/>
        <v>1283</v>
      </c>
      <c r="D27" s="24">
        <v>-1290</v>
      </c>
      <c r="E27" s="25">
        <f t="shared" si="1"/>
        <v>2573</v>
      </c>
      <c r="F27" s="22">
        <f t="shared" si="5"/>
        <v>97</v>
      </c>
      <c r="G27" s="22">
        <v>1</v>
      </c>
      <c r="H27" s="25">
        <f t="shared" si="6"/>
        <v>1320</v>
      </c>
      <c r="I27" s="27">
        <v>-1050</v>
      </c>
      <c r="J27" s="28">
        <f t="shared" si="2"/>
        <v>2370</v>
      </c>
      <c r="K27" s="22">
        <f t="shared" si="7"/>
        <v>140</v>
      </c>
      <c r="L27" s="22">
        <v>1</v>
      </c>
      <c r="M27" s="25">
        <f t="shared" si="8"/>
        <v>1416</v>
      </c>
      <c r="N27" s="24">
        <v>-925</v>
      </c>
      <c r="O27" s="28">
        <f t="shared" si="3"/>
        <v>2341</v>
      </c>
      <c r="P27" s="22">
        <f t="shared" si="9"/>
        <v>74</v>
      </c>
      <c r="Q27" s="29"/>
      <c r="R27" s="30"/>
    </row>
    <row r="28" spans="1:18" x14ac:dyDescent="0.25">
      <c r="A28" s="21">
        <v>45831</v>
      </c>
      <c r="B28" s="22">
        <v>1</v>
      </c>
      <c r="C28" s="25">
        <f t="shared" si="4"/>
        <v>1252</v>
      </c>
      <c r="D28" s="24">
        <v>-1321</v>
      </c>
      <c r="E28" s="25">
        <f t="shared" si="1"/>
        <v>2573</v>
      </c>
      <c r="F28" s="22">
        <f t="shared" si="5"/>
        <v>128</v>
      </c>
      <c r="G28" s="22">
        <v>1</v>
      </c>
      <c r="H28" s="25">
        <f t="shared" si="6"/>
        <v>1290</v>
      </c>
      <c r="I28" s="27">
        <v>-1080</v>
      </c>
      <c r="J28" s="28">
        <f t="shared" si="2"/>
        <v>2370</v>
      </c>
      <c r="K28" s="22">
        <f t="shared" si="7"/>
        <v>170</v>
      </c>
      <c r="L28" s="22">
        <v>1</v>
      </c>
      <c r="M28" s="25">
        <f t="shared" si="8"/>
        <v>1401</v>
      </c>
      <c r="N28" s="24">
        <v>-940</v>
      </c>
      <c r="O28" s="28">
        <f t="shared" si="3"/>
        <v>2341</v>
      </c>
      <c r="P28" s="22">
        <f t="shared" si="9"/>
        <v>89</v>
      </c>
      <c r="Q28" s="29"/>
      <c r="R28" s="30"/>
    </row>
    <row r="29" spans="1:18" x14ac:dyDescent="0.25">
      <c r="A29" s="21">
        <v>45832</v>
      </c>
      <c r="B29" s="22">
        <v>1</v>
      </c>
      <c r="C29" s="25">
        <f t="shared" si="4"/>
        <v>1221</v>
      </c>
      <c r="D29" s="24">
        <v>-1352</v>
      </c>
      <c r="E29" s="25">
        <f t="shared" si="1"/>
        <v>2573</v>
      </c>
      <c r="F29" s="22">
        <f t="shared" si="5"/>
        <v>159</v>
      </c>
      <c r="G29" s="22">
        <v>1</v>
      </c>
      <c r="H29" s="25">
        <f t="shared" si="6"/>
        <v>1260</v>
      </c>
      <c r="I29" s="27">
        <v>-1110</v>
      </c>
      <c r="J29" s="28">
        <f t="shared" si="2"/>
        <v>2370</v>
      </c>
      <c r="K29" s="22">
        <f t="shared" si="7"/>
        <v>200</v>
      </c>
      <c r="L29" s="22">
        <v>1</v>
      </c>
      <c r="M29" s="25">
        <f t="shared" si="8"/>
        <v>1386</v>
      </c>
      <c r="N29" s="24">
        <v>-955</v>
      </c>
      <c r="O29" s="28">
        <f t="shared" si="3"/>
        <v>2341</v>
      </c>
      <c r="P29" s="22">
        <f t="shared" si="9"/>
        <v>104</v>
      </c>
      <c r="Q29" s="29"/>
      <c r="R29" s="30"/>
    </row>
    <row r="30" spans="1:18" x14ac:dyDescent="0.25">
      <c r="A30" s="21">
        <v>45833</v>
      </c>
      <c r="B30" s="22">
        <v>1</v>
      </c>
      <c r="C30" s="25">
        <f t="shared" si="4"/>
        <v>1205</v>
      </c>
      <c r="D30" s="24">
        <v>-1368</v>
      </c>
      <c r="E30" s="25">
        <f t="shared" si="1"/>
        <v>2573</v>
      </c>
      <c r="F30" s="22">
        <f t="shared" si="5"/>
        <v>175</v>
      </c>
      <c r="G30" s="22">
        <v>1</v>
      </c>
      <c r="H30" s="25">
        <f t="shared" si="6"/>
        <v>1226</v>
      </c>
      <c r="I30" s="27">
        <v>-1144</v>
      </c>
      <c r="J30" s="28">
        <f t="shared" si="2"/>
        <v>2370</v>
      </c>
      <c r="K30" s="22">
        <f t="shared" si="7"/>
        <v>234</v>
      </c>
      <c r="L30" s="22">
        <v>1</v>
      </c>
      <c r="M30" s="25">
        <f t="shared" si="8"/>
        <v>1356</v>
      </c>
      <c r="N30" s="24">
        <v>-985</v>
      </c>
      <c r="O30" s="28">
        <f t="shared" si="3"/>
        <v>2341</v>
      </c>
      <c r="P30" s="22">
        <f t="shared" si="9"/>
        <v>134</v>
      </c>
      <c r="Q30" s="29"/>
      <c r="R30" s="30"/>
    </row>
    <row r="31" spans="1:18" x14ac:dyDescent="0.25">
      <c r="A31" s="21">
        <v>45834</v>
      </c>
      <c r="B31" s="22">
        <v>1</v>
      </c>
      <c r="C31" s="25">
        <f t="shared" si="4"/>
        <v>1189</v>
      </c>
      <c r="D31" s="24">
        <v>-1384</v>
      </c>
      <c r="E31" s="25">
        <f t="shared" si="1"/>
        <v>2573</v>
      </c>
      <c r="F31" s="22">
        <f t="shared" si="5"/>
        <v>191</v>
      </c>
      <c r="G31" s="22">
        <v>1</v>
      </c>
      <c r="H31" s="25">
        <f t="shared" si="6"/>
        <v>1192</v>
      </c>
      <c r="I31" s="27">
        <v>-1178</v>
      </c>
      <c r="J31" s="28">
        <f t="shared" si="2"/>
        <v>2370</v>
      </c>
      <c r="K31" s="22">
        <f t="shared" si="7"/>
        <v>268</v>
      </c>
      <c r="L31" s="22">
        <v>1</v>
      </c>
      <c r="M31" s="25">
        <f t="shared" si="8"/>
        <v>1341</v>
      </c>
      <c r="N31" s="24">
        <v>-1000</v>
      </c>
      <c r="O31" s="28">
        <f t="shared" si="3"/>
        <v>2341</v>
      </c>
      <c r="P31" s="22">
        <f t="shared" si="9"/>
        <v>149</v>
      </c>
      <c r="Q31" s="29"/>
      <c r="R31" s="30"/>
    </row>
    <row r="32" spans="1:18" x14ac:dyDescent="0.25">
      <c r="A32" s="21">
        <v>45835</v>
      </c>
      <c r="B32" s="22">
        <v>1</v>
      </c>
      <c r="C32" s="25">
        <f t="shared" si="4"/>
        <v>1188</v>
      </c>
      <c r="D32" s="24">
        <v>-1385</v>
      </c>
      <c r="E32" s="25">
        <f t="shared" si="1"/>
        <v>2573</v>
      </c>
      <c r="F32" s="22">
        <f t="shared" si="5"/>
        <v>192</v>
      </c>
      <c r="G32" s="22">
        <v>1</v>
      </c>
      <c r="H32" s="25">
        <f t="shared" si="6"/>
        <v>1191</v>
      </c>
      <c r="I32" s="27">
        <v>-1179</v>
      </c>
      <c r="J32" s="28">
        <f t="shared" si="2"/>
        <v>2370</v>
      </c>
      <c r="K32" s="22">
        <f t="shared" si="7"/>
        <v>269</v>
      </c>
      <c r="L32" s="22">
        <v>1</v>
      </c>
      <c r="M32" s="25">
        <f t="shared" si="8"/>
        <v>1328</v>
      </c>
      <c r="N32" s="24">
        <v>-1013</v>
      </c>
      <c r="O32" s="28">
        <f t="shared" si="3"/>
        <v>2341</v>
      </c>
      <c r="P32" s="22">
        <f t="shared" si="9"/>
        <v>162</v>
      </c>
      <c r="Q32" s="29"/>
      <c r="R32" s="30"/>
    </row>
    <row r="33" spans="1:18" x14ac:dyDescent="0.25">
      <c r="A33" s="21">
        <v>45836</v>
      </c>
      <c r="B33" s="22">
        <v>1</v>
      </c>
      <c r="C33" s="25">
        <f t="shared" si="4"/>
        <v>1187</v>
      </c>
      <c r="D33" s="24">
        <v>-1386</v>
      </c>
      <c r="E33" s="25">
        <f t="shared" si="1"/>
        <v>2573</v>
      </c>
      <c r="F33" s="22">
        <f t="shared" si="5"/>
        <v>193</v>
      </c>
      <c r="G33" s="22">
        <v>1</v>
      </c>
      <c r="H33" s="25">
        <f t="shared" si="6"/>
        <v>1190</v>
      </c>
      <c r="I33" s="27">
        <v>-1180</v>
      </c>
      <c r="J33" s="28">
        <f t="shared" si="2"/>
        <v>2370</v>
      </c>
      <c r="K33" s="22">
        <f t="shared" si="7"/>
        <v>270</v>
      </c>
      <c r="L33" s="22">
        <v>1</v>
      </c>
      <c r="M33" s="25">
        <f t="shared" si="8"/>
        <v>1327</v>
      </c>
      <c r="N33" s="24">
        <v>-1014</v>
      </c>
      <c r="O33" s="28">
        <f t="shared" si="3"/>
        <v>2341</v>
      </c>
      <c r="P33" s="22">
        <f t="shared" si="9"/>
        <v>163</v>
      </c>
      <c r="Q33" s="29"/>
      <c r="R33" s="30"/>
    </row>
    <row r="34" spans="1:18" x14ac:dyDescent="0.25">
      <c r="A34" s="21">
        <v>45837</v>
      </c>
      <c r="B34" s="22">
        <v>1</v>
      </c>
      <c r="C34" s="25">
        <f t="shared" si="4"/>
        <v>1186</v>
      </c>
      <c r="D34" s="24">
        <v>-1387</v>
      </c>
      <c r="E34" s="25">
        <f t="shared" si="1"/>
        <v>2573</v>
      </c>
      <c r="F34" s="22">
        <f t="shared" si="5"/>
        <v>194</v>
      </c>
      <c r="G34" s="22">
        <v>1</v>
      </c>
      <c r="H34" s="25">
        <f t="shared" si="6"/>
        <v>1189</v>
      </c>
      <c r="I34" s="27">
        <v>-1181</v>
      </c>
      <c r="J34" s="28">
        <f t="shared" si="2"/>
        <v>2370</v>
      </c>
      <c r="K34" s="22">
        <f t="shared" si="7"/>
        <v>271</v>
      </c>
      <c r="L34" s="22">
        <v>1</v>
      </c>
      <c r="M34" s="25">
        <f t="shared" si="8"/>
        <v>1326</v>
      </c>
      <c r="N34" s="24">
        <v>-1015</v>
      </c>
      <c r="O34" s="28">
        <f t="shared" si="3"/>
        <v>2341</v>
      </c>
      <c r="P34" s="22">
        <f t="shared" si="9"/>
        <v>164</v>
      </c>
      <c r="Q34" s="29"/>
      <c r="R34" s="30"/>
    </row>
    <row r="35" spans="1:18" x14ac:dyDescent="0.25">
      <c r="A35" s="21">
        <v>45838</v>
      </c>
      <c r="B35" s="22">
        <v>1</v>
      </c>
      <c r="C35" s="25">
        <f t="shared" si="4"/>
        <v>1185</v>
      </c>
      <c r="D35" s="24">
        <v>-1388</v>
      </c>
      <c r="E35" s="25">
        <f t="shared" si="1"/>
        <v>2573</v>
      </c>
      <c r="F35" s="22">
        <f t="shared" si="5"/>
        <v>195</v>
      </c>
      <c r="G35" s="22">
        <v>1</v>
      </c>
      <c r="H35" s="25">
        <f t="shared" si="6"/>
        <v>1188</v>
      </c>
      <c r="I35" s="27">
        <v>-1182</v>
      </c>
      <c r="J35" s="28">
        <f t="shared" si="2"/>
        <v>2370</v>
      </c>
      <c r="K35" s="22">
        <f t="shared" si="7"/>
        <v>272</v>
      </c>
      <c r="L35" s="22">
        <v>1</v>
      </c>
      <c r="M35" s="25">
        <f t="shared" si="8"/>
        <v>1325</v>
      </c>
      <c r="N35" s="24">
        <v>-1016</v>
      </c>
      <c r="O35" s="28">
        <f t="shared" si="3"/>
        <v>2341</v>
      </c>
      <c r="P35" s="22">
        <f t="shared" si="9"/>
        <v>165</v>
      </c>
      <c r="Q35" s="29"/>
      <c r="R35" s="30"/>
    </row>
    <row r="36" spans="1:18" x14ac:dyDescent="0.25">
      <c r="A36" s="21">
        <v>45839</v>
      </c>
      <c r="B36" s="22">
        <v>1</v>
      </c>
      <c r="C36" s="25">
        <f t="shared" si="4"/>
        <v>1184</v>
      </c>
      <c r="D36" s="24">
        <v>-1389</v>
      </c>
      <c r="E36" s="25">
        <f t="shared" si="1"/>
        <v>2573</v>
      </c>
      <c r="F36" s="22">
        <f t="shared" si="5"/>
        <v>196</v>
      </c>
      <c r="G36" s="22">
        <v>1</v>
      </c>
      <c r="H36" s="25">
        <f t="shared" si="6"/>
        <v>1187</v>
      </c>
      <c r="I36" s="27">
        <v>-1183</v>
      </c>
      <c r="J36" s="28">
        <f t="shared" si="2"/>
        <v>2370</v>
      </c>
      <c r="K36" s="22">
        <f t="shared" si="7"/>
        <v>273</v>
      </c>
      <c r="L36" s="22">
        <v>1</v>
      </c>
      <c r="M36" s="25">
        <f t="shared" si="8"/>
        <v>1324</v>
      </c>
      <c r="N36" s="24">
        <v>-1017</v>
      </c>
      <c r="O36" s="28">
        <f t="shared" si="3"/>
        <v>2341</v>
      </c>
      <c r="P36" s="22">
        <f t="shared" si="9"/>
        <v>166</v>
      </c>
      <c r="Q36" s="29"/>
      <c r="R36" s="30"/>
    </row>
    <row r="37" spans="1:18" x14ac:dyDescent="0.25">
      <c r="A37" s="21">
        <v>45840</v>
      </c>
      <c r="B37" s="22">
        <v>1</v>
      </c>
      <c r="C37" s="25">
        <f t="shared" si="4"/>
        <v>1183</v>
      </c>
      <c r="D37" s="24">
        <v>-1390</v>
      </c>
      <c r="E37" s="25">
        <f t="shared" si="1"/>
        <v>2573</v>
      </c>
      <c r="F37" s="22">
        <f t="shared" si="5"/>
        <v>197</v>
      </c>
      <c r="G37" s="22">
        <v>1</v>
      </c>
      <c r="H37" s="25">
        <f t="shared" si="6"/>
        <v>1186</v>
      </c>
      <c r="I37" s="27">
        <v>-1184</v>
      </c>
      <c r="J37" s="28">
        <f t="shared" si="2"/>
        <v>2370</v>
      </c>
      <c r="K37" s="22">
        <f t="shared" si="7"/>
        <v>274</v>
      </c>
      <c r="L37" s="22">
        <v>1</v>
      </c>
      <c r="M37" s="25">
        <f t="shared" si="8"/>
        <v>1323</v>
      </c>
      <c r="N37" s="24">
        <v>-1018</v>
      </c>
      <c r="O37" s="28">
        <f t="shared" si="3"/>
        <v>2341</v>
      </c>
      <c r="P37" s="22">
        <f t="shared" si="9"/>
        <v>167</v>
      </c>
      <c r="Q37" s="29"/>
      <c r="R37" s="30"/>
    </row>
    <row r="38" spans="1:18" x14ac:dyDescent="0.25">
      <c r="A38" s="21">
        <v>45841</v>
      </c>
      <c r="B38" s="22">
        <v>1</v>
      </c>
      <c r="C38" s="25">
        <f t="shared" si="4"/>
        <v>1182</v>
      </c>
      <c r="D38" s="24">
        <v>-1391</v>
      </c>
      <c r="E38" s="25">
        <f t="shared" si="1"/>
        <v>2573</v>
      </c>
      <c r="F38" s="22">
        <f t="shared" si="5"/>
        <v>198</v>
      </c>
      <c r="G38" s="22">
        <v>1</v>
      </c>
      <c r="H38" s="25">
        <f t="shared" si="6"/>
        <v>1185</v>
      </c>
      <c r="I38" s="27">
        <v>-1185</v>
      </c>
      <c r="J38" s="28">
        <f t="shared" si="2"/>
        <v>2370</v>
      </c>
      <c r="K38" s="22">
        <f t="shared" si="7"/>
        <v>275</v>
      </c>
      <c r="L38" s="22">
        <v>1</v>
      </c>
      <c r="M38" s="25">
        <f t="shared" si="8"/>
        <v>1322</v>
      </c>
      <c r="N38" s="24">
        <v>-1019</v>
      </c>
      <c r="O38" s="28">
        <f t="shared" si="3"/>
        <v>2341</v>
      </c>
      <c r="P38" s="22">
        <f t="shared" si="9"/>
        <v>168</v>
      </c>
      <c r="Q38" s="29"/>
      <c r="R38" s="30"/>
    </row>
    <row r="39" spans="1:18" x14ac:dyDescent="0.25">
      <c r="A39" s="21">
        <v>45842</v>
      </c>
      <c r="B39" s="22">
        <v>1</v>
      </c>
      <c r="C39" s="25">
        <f t="shared" si="4"/>
        <v>1181</v>
      </c>
      <c r="D39" s="24">
        <v>-1392</v>
      </c>
      <c r="E39" s="25">
        <f t="shared" si="1"/>
        <v>2573</v>
      </c>
      <c r="F39" s="22">
        <f t="shared" si="5"/>
        <v>199</v>
      </c>
      <c r="G39" s="22">
        <v>1</v>
      </c>
      <c r="H39" s="25">
        <f t="shared" si="6"/>
        <v>1184</v>
      </c>
      <c r="I39" s="27">
        <v>-1186</v>
      </c>
      <c r="J39" s="28">
        <f t="shared" si="2"/>
        <v>2370</v>
      </c>
      <c r="K39" s="22">
        <f t="shared" si="7"/>
        <v>276</v>
      </c>
      <c r="L39" s="22">
        <v>1</v>
      </c>
      <c r="M39" s="25">
        <f t="shared" si="8"/>
        <v>1321</v>
      </c>
      <c r="N39" s="24">
        <v>-1020</v>
      </c>
      <c r="O39" s="28">
        <f t="shared" si="3"/>
        <v>2341</v>
      </c>
      <c r="P39" s="22">
        <f t="shared" si="9"/>
        <v>169</v>
      </c>
      <c r="Q39" s="29"/>
      <c r="R39" s="30"/>
    </row>
    <row r="40" spans="1:18" x14ac:dyDescent="0.25">
      <c r="A40" s="21">
        <v>45843</v>
      </c>
      <c r="B40" s="22">
        <v>1</v>
      </c>
      <c r="C40" s="25">
        <f t="shared" si="4"/>
        <v>1180</v>
      </c>
      <c r="D40" s="24">
        <v>-1393</v>
      </c>
      <c r="E40" s="25">
        <f t="shared" si="1"/>
        <v>2573</v>
      </c>
      <c r="F40" s="22">
        <f t="shared" si="5"/>
        <v>200</v>
      </c>
      <c r="G40" s="22">
        <v>1</v>
      </c>
      <c r="H40" s="25">
        <f t="shared" si="6"/>
        <v>1183</v>
      </c>
      <c r="I40" s="27">
        <v>-1187</v>
      </c>
      <c r="J40" s="28">
        <f t="shared" si="2"/>
        <v>2370</v>
      </c>
      <c r="K40" s="22">
        <f t="shared" si="7"/>
        <v>277</v>
      </c>
      <c r="L40" s="22">
        <v>1</v>
      </c>
      <c r="M40" s="25">
        <f t="shared" si="8"/>
        <v>1320</v>
      </c>
      <c r="N40" s="24">
        <v>-1021</v>
      </c>
      <c r="O40" s="28">
        <f t="shared" si="3"/>
        <v>2341</v>
      </c>
      <c r="P40" s="22">
        <f t="shared" si="9"/>
        <v>170</v>
      </c>
      <c r="Q40" s="29"/>
      <c r="R40" s="30"/>
    </row>
    <row r="41" spans="1:18" x14ac:dyDescent="0.25">
      <c r="A41" s="21">
        <v>45844</v>
      </c>
      <c r="B41" s="22">
        <v>1</v>
      </c>
      <c r="C41" s="25">
        <f t="shared" si="4"/>
        <v>1179</v>
      </c>
      <c r="D41" s="24">
        <v>-1394</v>
      </c>
      <c r="E41" s="25">
        <f t="shared" si="1"/>
        <v>2573</v>
      </c>
      <c r="F41" s="22">
        <f t="shared" si="5"/>
        <v>201</v>
      </c>
      <c r="G41" s="22">
        <v>1</v>
      </c>
      <c r="H41" s="25">
        <f t="shared" si="6"/>
        <v>1182</v>
      </c>
      <c r="I41" s="27">
        <v>-1188</v>
      </c>
      <c r="J41" s="28">
        <f t="shared" si="2"/>
        <v>2370</v>
      </c>
      <c r="K41" s="22">
        <f t="shared" si="7"/>
        <v>278</v>
      </c>
      <c r="L41" s="22">
        <v>1</v>
      </c>
      <c r="M41" s="25">
        <f t="shared" si="8"/>
        <v>1319</v>
      </c>
      <c r="N41" s="24">
        <v>-1022</v>
      </c>
      <c r="O41" s="28">
        <f t="shared" si="3"/>
        <v>2341</v>
      </c>
      <c r="P41" s="22">
        <f t="shared" si="9"/>
        <v>171</v>
      </c>
      <c r="Q41" s="29"/>
      <c r="R41" s="30"/>
    </row>
    <row r="42" spans="1:18" x14ac:dyDescent="0.25">
      <c r="A42" s="21">
        <v>45845</v>
      </c>
      <c r="B42" s="22">
        <v>1</v>
      </c>
      <c r="C42" s="25">
        <f t="shared" si="4"/>
        <v>1178</v>
      </c>
      <c r="D42" s="24">
        <v>-1395</v>
      </c>
      <c r="E42" s="25">
        <f t="shared" si="1"/>
        <v>2573</v>
      </c>
      <c r="F42" s="22">
        <f t="shared" si="5"/>
        <v>202</v>
      </c>
      <c r="G42" s="22">
        <v>1</v>
      </c>
      <c r="H42" s="25">
        <f t="shared" si="6"/>
        <v>1181</v>
      </c>
      <c r="I42" s="27">
        <v>-1189</v>
      </c>
      <c r="J42" s="28">
        <f t="shared" si="2"/>
        <v>2370</v>
      </c>
      <c r="K42" s="22">
        <f t="shared" si="7"/>
        <v>279</v>
      </c>
      <c r="L42" s="22">
        <v>1</v>
      </c>
      <c r="M42" s="25">
        <f t="shared" si="8"/>
        <v>1319</v>
      </c>
      <c r="N42" s="24">
        <v>-1022</v>
      </c>
      <c r="O42" s="28">
        <f t="shared" si="3"/>
        <v>2341</v>
      </c>
      <c r="P42" s="22">
        <f t="shared" si="9"/>
        <v>171</v>
      </c>
      <c r="Q42" s="29"/>
      <c r="R42" s="30"/>
    </row>
    <row r="43" spans="1:18" x14ac:dyDescent="0.25">
      <c r="A43" s="21">
        <v>45846</v>
      </c>
      <c r="B43" s="22">
        <v>1</v>
      </c>
      <c r="C43" s="25">
        <f t="shared" si="4"/>
        <v>1177</v>
      </c>
      <c r="D43" s="24">
        <v>-1396</v>
      </c>
      <c r="E43" s="25">
        <f t="shared" si="1"/>
        <v>2573</v>
      </c>
      <c r="F43" s="22">
        <f t="shared" si="5"/>
        <v>203</v>
      </c>
      <c r="G43" s="22">
        <v>1</v>
      </c>
      <c r="H43" s="25">
        <f t="shared" si="6"/>
        <v>1180</v>
      </c>
      <c r="I43" s="27">
        <v>-1190</v>
      </c>
      <c r="J43" s="28">
        <f t="shared" si="2"/>
        <v>2370</v>
      </c>
      <c r="K43" s="22">
        <f t="shared" si="7"/>
        <v>280</v>
      </c>
      <c r="L43" s="22">
        <v>1</v>
      </c>
      <c r="M43" s="25">
        <f t="shared" si="8"/>
        <v>1319</v>
      </c>
      <c r="N43" s="24">
        <v>-1022</v>
      </c>
      <c r="O43" s="28">
        <f t="shared" si="3"/>
        <v>2341</v>
      </c>
      <c r="P43" s="22">
        <f t="shared" si="9"/>
        <v>171</v>
      </c>
      <c r="Q43" s="29"/>
      <c r="R43" s="30"/>
    </row>
    <row r="44" spans="1:18" x14ac:dyDescent="0.25">
      <c r="A44" s="21">
        <v>45847</v>
      </c>
      <c r="B44" s="22">
        <v>1</v>
      </c>
      <c r="C44" s="25">
        <f t="shared" si="4"/>
        <v>1176</v>
      </c>
      <c r="D44" s="24">
        <v>-1397</v>
      </c>
      <c r="E44" s="25">
        <f t="shared" si="1"/>
        <v>2573</v>
      </c>
      <c r="F44" s="22">
        <f t="shared" si="5"/>
        <v>204</v>
      </c>
      <c r="G44" s="22">
        <v>1</v>
      </c>
      <c r="H44" s="25">
        <f t="shared" si="6"/>
        <v>1179</v>
      </c>
      <c r="I44" s="27">
        <v>-1191</v>
      </c>
      <c r="J44" s="28">
        <f t="shared" si="2"/>
        <v>2370</v>
      </c>
      <c r="K44" s="22">
        <f t="shared" si="7"/>
        <v>281</v>
      </c>
      <c r="L44" s="22">
        <v>1</v>
      </c>
      <c r="M44" s="25">
        <f t="shared" si="8"/>
        <v>1319</v>
      </c>
      <c r="N44" s="24">
        <v>-1022</v>
      </c>
      <c r="O44" s="28">
        <f t="shared" si="3"/>
        <v>2341</v>
      </c>
      <c r="P44" s="22">
        <f t="shared" si="9"/>
        <v>171</v>
      </c>
      <c r="Q44" s="29"/>
      <c r="R44" s="30"/>
    </row>
    <row r="45" spans="1:18" x14ac:dyDescent="0.25">
      <c r="A45" s="21">
        <v>45848</v>
      </c>
      <c r="B45" s="22">
        <v>1</v>
      </c>
      <c r="C45" s="25">
        <f t="shared" si="4"/>
        <v>1175</v>
      </c>
      <c r="D45" s="24">
        <v>-1398</v>
      </c>
      <c r="E45" s="25">
        <f t="shared" si="1"/>
        <v>2573</v>
      </c>
      <c r="F45" s="22">
        <f t="shared" si="5"/>
        <v>205</v>
      </c>
      <c r="G45" s="22">
        <v>1</v>
      </c>
      <c r="H45" s="25">
        <f t="shared" si="6"/>
        <v>1178</v>
      </c>
      <c r="I45" s="27">
        <v>-1192</v>
      </c>
      <c r="J45" s="28">
        <f t="shared" si="2"/>
        <v>2370</v>
      </c>
      <c r="K45" s="22">
        <f t="shared" si="7"/>
        <v>282</v>
      </c>
      <c r="L45" s="22">
        <v>1</v>
      </c>
      <c r="M45" s="25">
        <f t="shared" si="8"/>
        <v>1319</v>
      </c>
      <c r="N45" s="24">
        <v>-1022</v>
      </c>
      <c r="O45" s="28">
        <f t="shared" si="3"/>
        <v>2341</v>
      </c>
      <c r="P45" s="22">
        <f t="shared" si="9"/>
        <v>171</v>
      </c>
      <c r="Q45" s="29"/>
      <c r="R45" s="30"/>
    </row>
    <row r="46" spans="1:18" x14ac:dyDescent="0.25">
      <c r="A46" s="21">
        <v>45849</v>
      </c>
      <c r="B46" s="22">
        <v>1</v>
      </c>
      <c r="C46" s="25">
        <f t="shared" si="4"/>
        <v>1174</v>
      </c>
      <c r="D46" s="24">
        <v>-1399</v>
      </c>
      <c r="E46" s="25">
        <f t="shared" si="1"/>
        <v>2573</v>
      </c>
      <c r="F46" s="22">
        <f t="shared" si="5"/>
        <v>206</v>
      </c>
      <c r="G46" s="22">
        <v>1</v>
      </c>
      <c r="H46" s="25">
        <f t="shared" si="6"/>
        <v>1177</v>
      </c>
      <c r="I46" s="27">
        <v>-1193</v>
      </c>
      <c r="J46" s="28">
        <f t="shared" si="2"/>
        <v>2370</v>
      </c>
      <c r="K46" s="22">
        <f t="shared" si="7"/>
        <v>283</v>
      </c>
      <c r="L46" s="22">
        <v>1</v>
      </c>
      <c r="M46" s="25">
        <f t="shared" si="8"/>
        <v>1319</v>
      </c>
      <c r="N46" s="24">
        <v>-1022</v>
      </c>
      <c r="O46" s="28">
        <f t="shared" si="3"/>
        <v>2341</v>
      </c>
      <c r="P46" s="22">
        <f t="shared" si="9"/>
        <v>171</v>
      </c>
      <c r="Q46" s="29"/>
      <c r="R46" s="30"/>
    </row>
    <row r="47" spans="1:18" x14ac:dyDescent="0.25">
      <c r="A47" s="21">
        <v>45850</v>
      </c>
      <c r="B47" s="22">
        <v>1</v>
      </c>
      <c r="C47" s="25">
        <f t="shared" si="4"/>
        <v>1173</v>
      </c>
      <c r="D47" s="24">
        <v>-1400</v>
      </c>
      <c r="E47" s="25">
        <f t="shared" si="1"/>
        <v>2573</v>
      </c>
      <c r="F47" s="22">
        <f t="shared" si="5"/>
        <v>207</v>
      </c>
      <c r="G47" s="22">
        <v>1</v>
      </c>
      <c r="H47" s="25">
        <f t="shared" si="6"/>
        <v>1176</v>
      </c>
      <c r="I47" s="27">
        <v>-1194</v>
      </c>
      <c r="J47" s="28">
        <f t="shared" si="2"/>
        <v>2370</v>
      </c>
      <c r="K47" s="22">
        <f t="shared" si="7"/>
        <v>284</v>
      </c>
      <c r="L47" s="22">
        <v>1</v>
      </c>
      <c r="M47" s="25">
        <f t="shared" si="8"/>
        <v>1319</v>
      </c>
      <c r="N47" s="24">
        <v>-1022</v>
      </c>
      <c r="O47" s="28">
        <f t="shared" si="3"/>
        <v>2341</v>
      </c>
      <c r="P47" s="22">
        <f t="shared" si="9"/>
        <v>171</v>
      </c>
      <c r="Q47" s="29"/>
      <c r="R47" s="30"/>
    </row>
    <row r="48" spans="1:18" x14ac:dyDescent="0.25">
      <c r="A48" s="21">
        <v>45851</v>
      </c>
      <c r="B48" s="22">
        <v>1</v>
      </c>
      <c r="C48" s="25">
        <f t="shared" si="4"/>
        <v>1173</v>
      </c>
      <c r="D48" s="24">
        <v>-1400</v>
      </c>
      <c r="E48" s="25">
        <f t="shared" si="1"/>
        <v>2573</v>
      </c>
      <c r="F48" s="22">
        <f t="shared" si="5"/>
        <v>207</v>
      </c>
      <c r="G48" s="22">
        <v>1</v>
      </c>
      <c r="H48" s="25">
        <f t="shared" si="6"/>
        <v>1175</v>
      </c>
      <c r="I48" s="27">
        <v>-1195</v>
      </c>
      <c r="J48" s="28">
        <f t="shared" si="2"/>
        <v>2370</v>
      </c>
      <c r="K48" s="22">
        <f t="shared" si="7"/>
        <v>285</v>
      </c>
      <c r="L48" s="22">
        <v>1</v>
      </c>
      <c r="M48" s="25">
        <f t="shared" si="8"/>
        <v>1319</v>
      </c>
      <c r="N48" s="24">
        <v>-1022</v>
      </c>
      <c r="O48" s="28">
        <f t="shared" si="3"/>
        <v>2341</v>
      </c>
      <c r="P48" s="22">
        <f t="shared" si="9"/>
        <v>171</v>
      </c>
      <c r="Q48" s="29"/>
      <c r="R48" s="30"/>
    </row>
    <row r="49" spans="1:18" x14ac:dyDescent="0.25">
      <c r="A49" s="21">
        <v>45852</v>
      </c>
      <c r="B49" s="22">
        <v>1</v>
      </c>
      <c r="C49" s="25">
        <f t="shared" si="4"/>
        <v>1173</v>
      </c>
      <c r="D49" s="24">
        <v>-1400</v>
      </c>
      <c r="E49" s="25">
        <f t="shared" si="1"/>
        <v>2573</v>
      </c>
      <c r="F49" s="22">
        <f t="shared" si="5"/>
        <v>207</v>
      </c>
      <c r="G49" s="22">
        <v>1</v>
      </c>
      <c r="H49" s="25">
        <f t="shared" si="6"/>
        <v>1174</v>
      </c>
      <c r="I49" s="27">
        <v>-1196</v>
      </c>
      <c r="J49" s="28">
        <f t="shared" si="2"/>
        <v>2370</v>
      </c>
      <c r="K49" s="22">
        <f t="shared" si="7"/>
        <v>286</v>
      </c>
      <c r="L49" s="22">
        <v>1</v>
      </c>
      <c r="M49" s="25">
        <f t="shared" si="8"/>
        <v>1319</v>
      </c>
      <c r="N49" s="24">
        <v>-1022</v>
      </c>
      <c r="O49" s="28">
        <f t="shared" si="3"/>
        <v>2341</v>
      </c>
      <c r="P49" s="22">
        <f t="shared" si="9"/>
        <v>171</v>
      </c>
      <c r="Q49" s="29"/>
      <c r="R49" s="30"/>
    </row>
    <row r="50" spans="1:18" x14ac:dyDescent="0.25">
      <c r="A50" s="21">
        <v>45853</v>
      </c>
      <c r="B50" s="22">
        <v>1</v>
      </c>
      <c r="C50" s="25">
        <f t="shared" si="4"/>
        <v>1173</v>
      </c>
      <c r="D50" s="24">
        <v>-1400</v>
      </c>
      <c r="E50" s="25">
        <f t="shared" si="1"/>
        <v>2573</v>
      </c>
      <c r="F50" s="22">
        <f t="shared" si="5"/>
        <v>207</v>
      </c>
      <c r="G50" s="22">
        <v>1</v>
      </c>
      <c r="H50" s="25">
        <f t="shared" si="6"/>
        <v>1174</v>
      </c>
      <c r="I50" s="27">
        <v>-1196</v>
      </c>
      <c r="J50" s="28">
        <f t="shared" si="2"/>
        <v>2370</v>
      </c>
      <c r="K50" s="22">
        <f t="shared" si="7"/>
        <v>286</v>
      </c>
      <c r="L50" s="22">
        <v>1</v>
      </c>
      <c r="M50" s="25">
        <f t="shared" si="8"/>
        <v>1319</v>
      </c>
      <c r="N50" s="24">
        <v>-1022</v>
      </c>
      <c r="O50" s="28">
        <f t="shared" si="3"/>
        <v>2341</v>
      </c>
      <c r="P50" s="22">
        <f t="shared" si="9"/>
        <v>171</v>
      </c>
      <c r="Q50" s="29"/>
      <c r="R50" s="30"/>
    </row>
    <row r="51" spans="1:18" x14ac:dyDescent="0.25">
      <c r="A51" s="21">
        <v>45854</v>
      </c>
      <c r="B51" s="22">
        <v>1</v>
      </c>
      <c r="C51" s="25">
        <f t="shared" si="4"/>
        <v>1173</v>
      </c>
      <c r="D51" s="24">
        <v>-1400</v>
      </c>
      <c r="E51" s="25">
        <f t="shared" si="1"/>
        <v>2573</v>
      </c>
      <c r="F51" s="22">
        <f t="shared" si="5"/>
        <v>207</v>
      </c>
      <c r="G51" s="22">
        <v>1</v>
      </c>
      <c r="H51" s="25">
        <f t="shared" si="6"/>
        <v>1174</v>
      </c>
      <c r="I51" s="27">
        <v>-1196</v>
      </c>
      <c r="J51" s="28">
        <f t="shared" si="2"/>
        <v>2370</v>
      </c>
      <c r="K51" s="22">
        <f t="shared" si="7"/>
        <v>286</v>
      </c>
      <c r="L51" s="22">
        <v>1</v>
      </c>
      <c r="M51" s="25">
        <f t="shared" si="8"/>
        <v>1319</v>
      </c>
      <c r="N51" s="24">
        <v>-1022</v>
      </c>
      <c r="O51" s="28">
        <f t="shared" si="3"/>
        <v>2341</v>
      </c>
      <c r="P51" s="22">
        <f t="shared" si="9"/>
        <v>171</v>
      </c>
      <c r="Q51" s="29"/>
      <c r="R51" s="30"/>
    </row>
    <row r="52" spans="1:18" x14ac:dyDescent="0.25">
      <c r="A52" s="21">
        <v>45855</v>
      </c>
      <c r="B52" s="22">
        <v>1</v>
      </c>
      <c r="C52" s="25">
        <f t="shared" si="4"/>
        <v>1170</v>
      </c>
      <c r="D52" s="24">
        <v>-1403</v>
      </c>
      <c r="E52" s="25">
        <f t="shared" si="1"/>
        <v>2573</v>
      </c>
      <c r="F52" s="22">
        <f t="shared" si="5"/>
        <v>210</v>
      </c>
      <c r="G52" s="22">
        <v>1</v>
      </c>
      <c r="H52" s="25">
        <f t="shared" si="6"/>
        <v>1169</v>
      </c>
      <c r="I52" s="27">
        <v>-1201</v>
      </c>
      <c r="J52" s="28">
        <f t="shared" si="2"/>
        <v>2370</v>
      </c>
      <c r="K52" s="22">
        <f t="shared" si="7"/>
        <v>291</v>
      </c>
      <c r="L52" s="22">
        <v>1</v>
      </c>
      <c r="M52" s="25">
        <f t="shared" si="8"/>
        <v>1319</v>
      </c>
      <c r="N52" s="24">
        <v>-1022</v>
      </c>
      <c r="O52" s="28">
        <f t="shared" si="3"/>
        <v>2341</v>
      </c>
      <c r="P52" s="22">
        <f t="shared" si="9"/>
        <v>171</v>
      </c>
      <c r="Q52" s="29"/>
      <c r="R52" s="30"/>
    </row>
    <row r="53" spans="1:18" x14ac:dyDescent="0.25">
      <c r="A53" s="21">
        <v>45856</v>
      </c>
      <c r="B53" s="22">
        <v>1</v>
      </c>
      <c r="C53" s="25">
        <f t="shared" si="4"/>
        <v>1165</v>
      </c>
      <c r="D53" s="24">
        <v>-1408</v>
      </c>
      <c r="E53" s="25">
        <f t="shared" si="1"/>
        <v>2573</v>
      </c>
      <c r="F53" s="22">
        <f t="shared" si="5"/>
        <v>215</v>
      </c>
      <c r="G53" s="22">
        <v>1</v>
      </c>
      <c r="H53" s="25">
        <f t="shared" si="6"/>
        <v>1164</v>
      </c>
      <c r="I53" s="27">
        <v>-1206</v>
      </c>
      <c r="J53" s="28">
        <f t="shared" si="2"/>
        <v>2370</v>
      </c>
      <c r="K53" s="22">
        <f t="shared" si="7"/>
        <v>296</v>
      </c>
      <c r="L53" s="22">
        <v>1</v>
      </c>
      <c r="M53" s="25">
        <f t="shared" si="8"/>
        <v>1316</v>
      </c>
      <c r="N53" s="24">
        <v>-1025</v>
      </c>
      <c r="O53" s="28">
        <f t="shared" si="3"/>
        <v>2341</v>
      </c>
      <c r="P53" s="22">
        <f t="shared" si="9"/>
        <v>174</v>
      </c>
      <c r="Q53" s="29"/>
      <c r="R53" s="30"/>
    </row>
    <row r="54" spans="1:18" x14ac:dyDescent="0.25">
      <c r="A54" s="21">
        <v>45857</v>
      </c>
      <c r="B54" s="22">
        <v>1</v>
      </c>
      <c r="C54" s="25">
        <f t="shared" si="4"/>
        <v>1160</v>
      </c>
      <c r="D54" s="24">
        <v>-1413</v>
      </c>
      <c r="E54" s="25">
        <f t="shared" si="1"/>
        <v>2573</v>
      </c>
      <c r="F54" s="22">
        <f t="shared" si="5"/>
        <v>220</v>
      </c>
      <c r="G54" s="22">
        <v>1</v>
      </c>
      <c r="H54" s="25">
        <f t="shared" si="6"/>
        <v>1159</v>
      </c>
      <c r="I54" s="27">
        <v>-1211</v>
      </c>
      <c r="J54" s="28">
        <f t="shared" si="2"/>
        <v>2370</v>
      </c>
      <c r="K54" s="22">
        <f t="shared" si="7"/>
        <v>301</v>
      </c>
      <c r="L54" s="22">
        <v>1</v>
      </c>
      <c r="M54" s="25">
        <f t="shared" si="8"/>
        <v>1312</v>
      </c>
      <c r="N54" s="24">
        <v>-1029</v>
      </c>
      <c r="O54" s="28">
        <f t="shared" si="3"/>
        <v>2341</v>
      </c>
      <c r="P54" s="22">
        <f t="shared" si="9"/>
        <v>178</v>
      </c>
      <c r="Q54" s="29"/>
      <c r="R54" s="30"/>
    </row>
    <row r="55" spans="1:18" x14ac:dyDescent="0.25">
      <c r="A55" s="21">
        <v>45858</v>
      </c>
      <c r="B55" s="22">
        <v>1</v>
      </c>
      <c r="C55" s="25">
        <f t="shared" si="4"/>
        <v>1155</v>
      </c>
      <c r="D55" s="24">
        <v>-1418</v>
      </c>
      <c r="E55" s="25">
        <f t="shared" si="1"/>
        <v>2573</v>
      </c>
      <c r="F55" s="22">
        <f t="shared" si="5"/>
        <v>225</v>
      </c>
      <c r="G55" s="22">
        <v>1</v>
      </c>
      <c r="H55" s="25">
        <f t="shared" si="6"/>
        <v>1154</v>
      </c>
      <c r="I55" s="27">
        <v>-1216</v>
      </c>
      <c r="J55" s="28">
        <f t="shared" si="2"/>
        <v>2370</v>
      </c>
      <c r="K55" s="22">
        <f t="shared" si="7"/>
        <v>306</v>
      </c>
      <c r="L55" s="22">
        <v>1</v>
      </c>
      <c r="M55" s="25">
        <f t="shared" si="8"/>
        <v>1308</v>
      </c>
      <c r="N55" s="24">
        <v>-1033</v>
      </c>
      <c r="O55" s="28">
        <f t="shared" si="3"/>
        <v>2341</v>
      </c>
      <c r="P55" s="22">
        <f t="shared" si="9"/>
        <v>182</v>
      </c>
      <c r="Q55" s="29"/>
      <c r="R55" s="30"/>
    </row>
    <row r="56" spans="1:18" x14ac:dyDescent="0.25">
      <c r="A56" s="21">
        <v>45859</v>
      </c>
      <c r="B56" s="22">
        <v>1</v>
      </c>
      <c r="C56" s="25">
        <f t="shared" si="4"/>
        <v>1150</v>
      </c>
      <c r="D56" s="24">
        <v>-1423</v>
      </c>
      <c r="E56" s="25">
        <f t="shared" si="1"/>
        <v>2573</v>
      </c>
      <c r="F56" s="22">
        <f t="shared" si="5"/>
        <v>230</v>
      </c>
      <c r="G56" s="22">
        <v>1</v>
      </c>
      <c r="H56" s="25">
        <f t="shared" si="6"/>
        <v>1149</v>
      </c>
      <c r="I56" s="27">
        <v>-1221</v>
      </c>
      <c r="J56" s="28">
        <f t="shared" si="2"/>
        <v>2370</v>
      </c>
      <c r="K56" s="22">
        <f t="shared" si="7"/>
        <v>311</v>
      </c>
      <c r="L56" s="22">
        <v>1</v>
      </c>
      <c r="M56" s="25">
        <f t="shared" si="8"/>
        <v>1304</v>
      </c>
      <c r="N56" s="24">
        <v>-1037</v>
      </c>
      <c r="O56" s="28">
        <f t="shared" si="3"/>
        <v>2341</v>
      </c>
      <c r="P56" s="22">
        <f t="shared" si="9"/>
        <v>186</v>
      </c>
      <c r="Q56" s="29"/>
      <c r="R56" s="30"/>
    </row>
    <row r="57" spans="1:18" x14ac:dyDescent="0.25">
      <c r="A57" s="21">
        <v>45860</v>
      </c>
      <c r="B57" s="22">
        <v>1</v>
      </c>
      <c r="C57" s="25">
        <f t="shared" si="4"/>
        <v>1145</v>
      </c>
      <c r="D57" s="24">
        <v>-1428</v>
      </c>
      <c r="E57" s="25">
        <f t="shared" si="1"/>
        <v>2573</v>
      </c>
      <c r="F57" s="22">
        <f t="shared" si="5"/>
        <v>235</v>
      </c>
      <c r="G57" s="22">
        <v>1</v>
      </c>
      <c r="H57" s="25">
        <f t="shared" si="6"/>
        <v>1144</v>
      </c>
      <c r="I57" s="27">
        <v>-1226</v>
      </c>
      <c r="J57" s="28">
        <f t="shared" si="2"/>
        <v>2370</v>
      </c>
      <c r="K57" s="22">
        <f t="shared" si="7"/>
        <v>316</v>
      </c>
      <c r="L57" s="22">
        <v>1</v>
      </c>
      <c r="M57" s="25">
        <f t="shared" si="8"/>
        <v>1300</v>
      </c>
      <c r="N57" s="24">
        <v>-1041</v>
      </c>
      <c r="O57" s="28">
        <f t="shared" si="3"/>
        <v>2341</v>
      </c>
      <c r="P57" s="22">
        <f t="shared" si="9"/>
        <v>190</v>
      </c>
      <c r="Q57" s="29"/>
      <c r="R57" s="30"/>
    </row>
    <row r="58" spans="1:18" x14ac:dyDescent="0.25">
      <c r="A58" s="21">
        <v>45861</v>
      </c>
      <c r="B58" s="22">
        <v>1</v>
      </c>
      <c r="C58" s="25">
        <f t="shared" si="4"/>
        <v>1140</v>
      </c>
      <c r="D58" s="24">
        <v>-1433</v>
      </c>
      <c r="E58" s="25">
        <f t="shared" si="1"/>
        <v>2573</v>
      </c>
      <c r="F58" s="22">
        <f t="shared" si="5"/>
        <v>240</v>
      </c>
      <c r="G58" s="22">
        <v>1</v>
      </c>
      <c r="H58" s="25">
        <f t="shared" si="6"/>
        <v>1139</v>
      </c>
      <c r="I58" s="27">
        <v>-1231</v>
      </c>
      <c r="J58" s="28">
        <f t="shared" si="2"/>
        <v>2370</v>
      </c>
      <c r="K58" s="22">
        <f t="shared" si="7"/>
        <v>321</v>
      </c>
      <c r="L58" s="22">
        <v>1</v>
      </c>
      <c r="M58" s="25">
        <f t="shared" si="8"/>
        <v>1296</v>
      </c>
      <c r="N58" s="24">
        <v>-1045</v>
      </c>
      <c r="O58" s="28">
        <f t="shared" si="3"/>
        <v>2341</v>
      </c>
      <c r="P58" s="22">
        <f t="shared" si="9"/>
        <v>194</v>
      </c>
      <c r="Q58" s="29"/>
      <c r="R58" s="30"/>
    </row>
    <row r="59" spans="1:18" x14ac:dyDescent="0.25">
      <c r="A59" s="21">
        <v>45862</v>
      </c>
      <c r="B59" s="22">
        <v>1</v>
      </c>
      <c r="C59" s="25">
        <f t="shared" si="4"/>
        <v>1135</v>
      </c>
      <c r="D59" s="24">
        <v>-1438</v>
      </c>
      <c r="E59" s="25">
        <f t="shared" si="1"/>
        <v>2573</v>
      </c>
      <c r="F59" s="22">
        <f t="shared" si="5"/>
        <v>245</v>
      </c>
      <c r="G59" s="22">
        <v>1</v>
      </c>
      <c r="H59" s="25">
        <f t="shared" si="6"/>
        <v>1134</v>
      </c>
      <c r="I59" s="27">
        <v>-1236</v>
      </c>
      <c r="J59" s="28">
        <f t="shared" si="2"/>
        <v>2370</v>
      </c>
      <c r="K59" s="22">
        <f t="shared" si="7"/>
        <v>326</v>
      </c>
      <c r="L59" s="22">
        <v>1</v>
      </c>
      <c r="M59" s="25">
        <f t="shared" si="8"/>
        <v>1292</v>
      </c>
      <c r="N59" s="24">
        <v>-1049</v>
      </c>
      <c r="O59" s="28">
        <f t="shared" si="3"/>
        <v>2341</v>
      </c>
      <c r="P59" s="22">
        <f t="shared" si="9"/>
        <v>198</v>
      </c>
      <c r="Q59" s="29"/>
      <c r="R59" s="30"/>
    </row>
    <row r="60" spans="1:18" x14ac:dyDescent="0.25">
      <c r="A60" s="21">
        <v>45863</v>
      </c>
      <c r="B60" s="22">
        <v>1</v>
      </c>
      <c r="C60" s="25">
        <f t="shared" si="4"/>
        <v>1130</v>
      </c>
      <c r="D60" s="24">
        <v>-1443</v>
      </c>
      <c r="E60" s="25">
        <f t="shared" si="1"/>
        <v>2573</v>
      </c>
      <c r="F60" s="22">
        <f t="shared" si="5"/>
        <v>250</v>
      </c>
      <c r="G60" s="22">
        <v>1</v>
      </c>
      <c r="H60" s="25">
        <f t="shared" si="6"/>
        <v>1129</v>
      </c>
      <c r="I60" s="27">
        <v>-1241</v>
      </c>
      <c r="J60" s="28">
        <f t="shared" si="2"/>
        <v>2370</v>
      </c>
      <c r="K60" s="22">
        <f t="shared" si="7"/>
        <v>331</v>
      </c>
      <c r="L60" s="22">
        <v>1</v>
      </c>
      <c r="M60" s="25">
        <f t="shared" si="8"/>
        <v>1288</v>
      </c>
      <c r="N60" s="24">
        <v>-1053</v>
      </c>
      <c r="O60" s="28">
        <f t="shared" si="3"/>
        <v>2341</v>
      </c>
      <c r="P60" s="22">
        <f t="shared" si="9"/>
        <v>202</v>
      </c>
      <c r="Q60" s="29"/>
      <c r="R60" s="30"/>
    </row>
    <row r="61" spans="1:18" x14ac:dyDescent="0.25">
      <c r="A61" s="21">
        <v>45864</v>
      </c>
      <c r="B61" s="22">
        <v>1</v>
      </c>
      <c r="C61" s="25">
        <f t="shared" si="4"/>
        <v>1125</v>
      </c>
      <c r="D61" s="24">
        <v>-1448</v>
      </c>
      <c r="E61" s="25">
        <f t="shared" si="1"/>
        <v>2573</v>
      </c>
      <c r="F61" s="22">
        <f t="shared" si="5"/>
        <v>255</v>
      </c>
      <c r="G61" s="22">
        <v>1</v>
      </c>
      <c r="H61" s="25">
        <f t="shared" si="6"/>
        <v>1124</v>
      </c>
      <c r="I61" s="27">
        <v>-1246</v>
      </c>
      <c r="J61" s="28">
        <f t="shared" si="2"/>
        <v>2370</v>
      </c>
      <c r="K61" s="22">
        <f t="shared" si="7"/>
        <v>336</v>
      </c>
      <c r="L61" s="22">
        <v>1</v>
      </c>
      <c r="M61" s="25">
        <f t="shared" si="8"/>
        <v>1284</v>
      </c>
      <c r="N61" s="24">
        <v>-1057</v>
      </c>
      <c r="O61" s="28">
        <f t="shared" si="3"/>
        <v>2341</v>
      </c>
      <c r="P61" s="22">
        <f t="shared" si="9"/>
        <v>206</v>
      </c>
      <c r="Q61" s="29"/>
      <c r="R61" s="30"/>
    </row>
    <row r="62" spans="1:18" x14ac:dyDescent="0.25">
      <c r="A62" s="21">
        <v>45865</v>
      </c>
      <c r="B62" s="22">
        <v>1</v>
      </c>
      <c r="C62" s="25">
        <f t="shared" si="4"/>
        <v>1120</v>
      </c>
      <c r="D62" s="24">
        <v>-1453</v>
      </c>
      <c r="E62" s="25">
        <f t="shared" si="1"/>
        <v>2573</v>
      </c>
      <c r="F62" s="22">
        <f t="shared" si="5"/>
        <v>260</v>
      </c>
      <c r="G62" s="22">
        <v>1</v>
      </c>
      <c r="H62" s="25">
        <v>1075</v>
      </c>
      <c r="I62" s="27">
        <v>-1251</v>
      </c>
      <c r="J62" s="28">
        <f t="shared" si="2"/>
        <v>2326</v>
      </c>
      <c r="K62" s="22">
        <f t="shared" si="7"/>
        <v>341</v>
      </c>
      <c r="L62" s="22">
        <v>1</v>
      </c>
      <c r="M62" s="25">
        <f t="shared" si="8"/>
        <v>1280</v>
      </c>
      <c r="N62" s="24">
        <v>-1061</v>
      </c>
      <c r="O62" s="28">
        <f t="shared" si="3"/>
        <v>2341</v>
      </c>
      <c r="P62" s="22">
        <f t="shared" si="9"/>
        <v>210</v>
      </c>
      <c r="Q62" s="29"/>
      <c r="R62" s="30"/>
    </row>
    <row r="63" spans="1:18" x14ac:dyDescent="0.25">
      <c r="A63" s="21"/>
      <c r="B63" s="22"/>
      <c r="C63" s="23"/>
      <c r="D63" s="24"/>
      <c r="E63" s="25"/>
      <c r="F63" s="22"/>
      <c r="G63" s="22"/>
      <c r="H63" s="25"/>
      <c r="I63" s="27"/>
      <c r="J63" s="28"/>
      <c r="K63" s="22"/>
      <c r="L63" s="22"/>
      <c r="M63" s="23"/>
      <c r="N63" s="24"/>
      <c r="O63" s="28"/>
      <c r="P63" s="22"/>
      <c r="Q63" s="29"/>
      <c r="R63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3">
    <cfRule type="cellIs" dxfId="28" priority="1" operator="less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outlinePr summaryBelow="0" summaryRight="0"/>
  </sheetPr>
  <dimension ref="A1:R67"/>
  <sheetViews>
    <sheetView topLeftCell="A37" workbookViewId="0">
      <selection sqref="A1:R1"/>
    </sheetView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(10/06/25)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38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39</v>
      </c>
      <c r="R10" s="112" t="s">
        <v>40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45818</v>
      </c>
      <c r="B15" s="22">
        <v>1</v>
      </c>
      <c r="C15" s="23">
        <v>1585</v>
      </c>
      <c r="D15" s="24">
        <v>-204</v>
      </c>
      <c r="E15" s="25">
        <f t="shared" ref="E15:E62" si="1">C15-D15</f>
        <v>1789</v>
      </c>
      <c r="F15" s="26">
        <v>0</v>
      </c>
      <c r="G15" s="22">
        <v>1</v>
      </c>
      <c r="H15" s="25">
        <v>1460</v>
      </c>
      <c r="I15" s="27">
        <v>-310</v>
      </c>
      <c r="J15" s="28">
        <f t="shared" ref="J15:J62" si="2">H15-I15</f>
        <v>1770</v>
      </c>
      <c r="K15" s="22">
        <v>0</v>
      </c>
      <c r="L15" s="22">
        <v>1</v>
      </c>
      <c r="M15" s="23">
        <v>1510</v>
      </c>
      <c r="N15" s="24">
        <v>-417</v>
      </c>
      <c r="O15" s="28">
        <f t="shared" ref="O15:O62" si="3">M15-N15</f>
        <v>1927</v>
      </c>
      <c r="P15" s="22">
        <v>0</v>
      </c>
      <c r="Q15" s="29"/>
      <c r="R15" s="30"/>
    </row>
    <row r="16" spans="1:18" x14ac:dyDescent="0.25">
      <c r="A16" s="21">
        <v>45819</v>
      </c>
      <c r="B16" s="22">
        <v>1</v>
      </c>
      <c r="C16" s="25">
        <f t="shared" ref="C16:C61" si="4">$C$15-F16</f>
        <v>1584</v>
      </c>
      <c r="D16" s="24">
        <v>-205</v>
      </c>
      <c r="E16" s="25">
        <f t="shared" si="1"/>
        <v>1789</v>
      </c>
      <c r="F16" s="22">
        <f t="shared" ref="F16:F62" si="5">$D$15-D16</f>
        <v>1</v>
      </c>
      <c r="G16" s="22">
        <v>1</v>
      </c>
      <c r="H16" s="25">
        <f t="shared" ref="H16:H61" si="6">$H$15-K16</f>
        <v>1459</v>
      </c>
      <c r="I16" s="27">
        <v>-311</v>
      </c>
      <c r="J16" s="28">
        <f t="shared" si="2"/>
        <v>1770</v>
      </c>
      <c r="K16" s="22">
        <f t="shared" ref="K16:K62" si="7">$I$15-I16</f>
        <v>1</v>
      </c>
      <c r="L16" s="22">
        <v>1</v>
      </c>
      <c r="M16" s="25">
        <f t="shared" ref="M16:M62" si="8">$M$15-P16</f>
        <v>1509</v>
      </c>
      <c r="N16" s="24">
        <v>-418</v>
      </c>
      <c r="O16" s="28">
        <f t="shared" si="3"/>
        <v>1927</v>
      </c>
      <c r="P16" s="22">
        <f t="shared" ref="P16:P62" si="9">$N$15-N16</f>
        <v>1</v>
      </c>
      <c r="Q16" s="29"/>
      <c r="R16" s="30"/>
    </row>
    <row r="17" spans="1:18" x14ac:dyDescent="0.25">
      <c r="A17" s="21">
        <v>45820</v>
      </c>
      <c r="B17" s="22">
        <v>1</v>
      </c>
      <c r="C17" s="25">
        <f t="shared" si="4"/>
        <v>1583</v>
      </c>
      <c r="D17" s="24">
        <v>-206</v>
      </c>
      <c r="E17" s="25">
        <f t="shared" si="1"/>
        <v>1789</v>
      </c>
      <c r="F17" s="22">
        <f t="shared" si="5"/>
        <v>2</v>
      </c>
      <c r="G17" s="22">
        <v>1</v>
      </c>
      <c r="H17" s="25">
        <f t="shared" si="6"/>
        <v>1458</v>
      </c>
      <c r="I17" s="27">
        <v>-312</v>
      </c>
      <c r="J17" s="28">
        <f t="shared" si="2"/>
        <v>1770</v>
      </c>
      <c r="K17" s="22">
        <f t="shared" si="7"/>
        <v>2</v>
      </c>
      <c r="L17" s="22">
        <v>1</v>
      </c>
      <c r="M17" s="25">
        <f t="shared" si="8"/>
        <v>1508</v>
      </c>
      <c r="N17" s="24">
        <v>-419</v>
      </c>
      <c r="O17" s="28">
        <f t="shared" si="3"/>
        <v>1927</v>
      </c>
      <c r="P17" s="22">
        <f t="shared" si="9"/>
        <v>2</v>
      </c>
      <c r="Q17" s="29"/>
      <c r="R17" s="30"/>
    </row>
    <row r="18" spans="1:18" x14ac:dyDescent="0.25">
      <c r="A18" s="21">
        <v>45821</v>
      </c>
      <c r="B18" s="22">
        <v>1</v>
      </c>
      <c r="C18" s="25">
        <f t="shared" si="4"/>
        <v>1582</v>
      </c>
      <c r="D18" s="24">
        <v>-207</v>
      </c>
      <c r="E18" s="25">
        <f t="shared" si="1"/>
        <v>1789</v>
      </c>
      <c r="F18" s="22">
        <f t="shared" si="5"/>
        <v>3</v>
      </c>
      <c r="G18" s="22">
        <v>1</v>
      </c>
      <c r="H18" s="25">
        <f t="shared" si="6"/>
        <v>1457</v>
      </c>
      <c r="I18" s="27">
        <v>-313</v>
      </c>
      <c r="J18" s="28">
        <f t="shared" si="2"/>
        <v>1770</v>
      </c>
      <c r="K18" s="22">
        <f t="shared" si="7"/>
        <v>3</v>
      </c>
      <c r="L18" s="22">
        <v>1</v>
      </c>
      <c r="M18" s="25">
        <f t="shared" si="8"/>
        <v>1507</v>
      </c>
      <c r="N18" s="24">
        <v>-420</v>
      </c>
      <c r="O18" s="28">
        <f t="shared" si="3"/>
        <v>1927</v>
      </c>
      <c r="P18" s="22">
        <f t="shared" si="9"/>
        <v>3</v>
      </c>
      <c r="Q18" s="29"/>
      <c r="R18" s="30"/>
    </row>
    <row r="19" spans="1:18" x14ac:dyDescent="0.25">
      <c r="A19" s="21">
        <v>45822</v>
      </c>
      <c r="B19" s="22">
        <v>1</v>
      </c>
      <c r="C19" s="25">
        <f t="shared" si="4"/>
        <v>1581</v>
      </c>
      <c r="D19" s="24">
        <v>-208</v>
      </c>
      <c r="E19" s="25">
        <f t="shared" si="1"/>
        <v>1789</v>
      </c>
      <c r="F19" s="22">
        <f t="shared" si="5"/>
        <v>4</v>
      </c>
      <c r="G19" s="22">
        <v>1</v>
      </c>
      <c r="H19" s="25">
        <f t="shared" si="6"/>
        <v>1445</v>
      </c>
      <c r="I19" s="27">
        <v>-325</v>
      </c>
      <c r="J19" s="28">
        <f t="shared" si="2"/>
        <v>1770</v>
      </c>
      <c r="K19" s="22">
        <f t="shared" si="7"/>
        <v>15</v>
      </c>
      <c r="L19" s="22">
        <v>1</v>
      </c>
      <c r="M19" s="25">
        <f t="shared" si="8"/>
        <v>1507</v>
      </c>
      <c r="N19" s="24">
        <v>-420</v>
      </c>
      <c r="O19" s="28">
        <f t="shared" si="3"/>
        <v>1927</v>
      </c>
      <c r="P19" s="22">
        <f t="shared" si="9"/>
        <v>3</v>
      </c>
      <c r="Q19" s="29"/>
      <c r="R19" s="30"/>
    </row>
    <row r="20" spans="1:18" x14ac:dyDescent="0.25">
      <c r="A20" s="21">
        <v>45823</v>
      </c>
      <c r="B20" s="22">
        <v>1</v>
      </c>
      <c r="C20" s="25">
        <f t="shared" si="4"/>
        <v>1574</v>
      </c>
      <c r="D20" s="24">
        <v>-215</v>
      </c>
      <c r="E20" s="25">
        <f t="shared" si="1"/>
        <v>1789</v>
      </c>
      <c r="F20" s="22">
        <f t="shared" si="5"/>
        <v>11</v>
      </c>
      <c r="G20" s="22">
        <v>1</v>
      </c>
      <c r="H20" s="25">
        <f t="shared" si="6"/>
        <v>1433</v>
      </c>
      <c r="I20" s="27">
        <v>-337</v>
      </c>
      <c r="J20" s="28">
        <f t="shared" si="2"/>
        <v>1770</v>
      </c>
      <c r="K20" s="22">
        <f t="shared" si="7"/>
        <v>27</v>
      </c>
      <c r="L20" s="22">
        <v>1</v>
      </c>
      <c r="M20" s="25">
        <f t="shared" si="8"/>
        <v>1505</v>
      </c>
      <c r="N20" s="24">
        <v>-422</v>
      </c>
      <c r="O20" s="28">
        <f t="shared" si="3"/>
        <v>1927</v>
      </c>
      <c r="P20" s="22">
        <f t="shared" si="9"/>
        <v>5</v>
      </c>
      <c r="Q20" s="29"/>
      <c r="R20" s="30"/>
    </row>
    <row r="21" spans="1:18" x14ac:dyDescent="0.25">
      <c r="A21" s="21">
        <v>45824</v>
      </c>
      <c r="B21" s="22">
        <v>1</v>
      </c>
      <c r="C21" s="25">
        <f t="shared" si="4"/>
        <v>1567</v>
      </c>
      <c r="D21" s="24">
        <v>-222</v>
      </c>
      <c r="E21" s="25">
        <f t="shared" si="1"/>
        <v>1789</v>
      </c>
      <c r="F21" s="22">
        <f t="shared" si="5"/>
        <v>18</v>
      </c>
      <c r="G21" s="22">
        <v>1</v>
      </c>
      <c r="H21" s="25">
        <f t="shared" si="6"/>
        <v>1421</v>
      </c>
      <c r="I21" s="27">
        <v>-349</v>
      </c>
      <c r="J21" s="28">
        <f t="shared" si="2"/>
        <v>1770</v>
      </c>
      <c r="K21" s="22">
        <f t="shared" si="7"/>
        <v>39</v>
      </c>
      <c r="L21" s="22">
        <v>1</v>
      </c>
      <c r="M21" s="25">
        <f t="shared" si="8"/>
        <v>1500</v>
      </c>
      <c r="N21" s="24">
        <v>-427</v>
      </c>
      <c r="O21" s="28">
        <f t="shared" si="3"/>
        <v>1927</v>
      </c>
      <c r="P21" s="22">
        <f t="shared" si="9"/>
        <v>10</v>
      </c>
      <c r="Q21" s="29"/>
      <c r="R21" s="30"/>
    </row>
    <row r="22" spans="1:18" x14ac:dyDescent="0.25">
      <c r="A22" s="21">
        <v>45825</v>
      </c>
      <c r="B22" s="22">
        <v>1</v>
      </c>
      <c r="C22" s="25">
        <f t="shared" si="4"/>
        <v>1560</v>
      </c>
      <c r="D22" s="24">
        <v>-229</v>
      </c>
      <c r="E22" s="25">
        <f t="shared" si="1"/>
        <v>1789</v>
      </c>
      <c r="F22" s="22">
        <f t="shared" si="5"/>
        <v>25</v>
      </c>
      <c r="G22" s="22">
        <v>1</v>
      </c>
      <c r="H22" s="25">
        <f t="shared" si="6"/>
        <v>1409</v>
      </c>
      <c r="I22" s="27">
        <v>-361</v>
      </c>
      <c r="J22" s="28">
        <f t="shared" si="2"/>
        <v>1770</v>
      </c>
      <c r="K22" s="22">
        <f t="shared" si="7"/>
        <v>51</v>
      </c>
      <c r="L22" s="22">
        <v>1</v>
      </c>
      <c r="M22" s="25">
        <f t="shared" si="8"/>
        <v>1495</v>
      </c>
      <c r="N22" s="24">
        <v>-432</v>
      </c>
      <c r="O22" s="28">
        <f t="shared" si="3"/>
        <v>1927</v>
      </c>
      <c r="P22" s="22">
        <f t="shared" si="9"/>
        <v>15</v>
      </c>
      <c r="Q22" s="29"/>
      <c r="R22" s="30"/>
    </row>
    <row r="23" spans="1:18" x14ac:dyDescent="0.25">
      <c r="A23" s="21">
        <v>45826</v>
      </c>
      <c r="B23" s="22">
        <v>1</v>
      </c>
      <c r="C23" s="25">
        <f t="shared" si="4"/>
        <v>1553</v>
      </c>
      <c r="D23" s="24">
        <v>-236</v>
      </c>
      <c r="E23" s="25">
        <f t="shared" si="1"/>
        <v>1789</v>
      </c>
      <c r="F23" s="22">
        <f t="shared" si="5"/>
        <v>32</v>
      </c>
      <c r="G23" s="22">
        <v>1</v>
      </c>
      <c r="H23" s="25">
        <f t="shared" si="6"/>
        <v>1397</v>
      </c>
      <c r="I23" s="27">
        <v>-373</v>
      </c>
      <c r="J23" s="28">
        <f t="shared" si="2"/>
        <v>1770</v>
      </c>
      <c r="K23" s="22">
        <f t="shared" si="7"/>
        <v>63</v>
      </c>
      <c r="L23" s="22">
        <v>1</v>
      </c>
      <c r="M23" s="25">
        <f t="shared" si="8"/>
        <v>1490</v>
      </c>
      <c r="N23" s="24">
        <v>-437</v>
      </c>
      <c r="O23" s="28">
        <f t="shared" si="3"/>
        <v>1927</v>
      </c>
      <c r="P23" s="22">
        <f t="shared" si="9"/>
        <v>20</v>
      </c>
      <c r="Q23" s="29"/>
      <c r="R23" s="30"/>
    </row>
    <row r="24" spans="1:18" x14ac:dyDescent="0.25">
      <c r="A24" s="21">
        <v>45827</v>
      </c>
      <c r="B24" s="22">
        <v>1</v>
      </c>
      <c r="C24" s="25">
        <f t="shared" si="4"/>
        <v>1546</v>
      </c>
      <c r="D24" s="24">
        <v>-243</v>
      </c>
      <c r="E24" s="25">
        <f t="shared" si="1"/>
        <v>1789</v>
      </c>
      <c r="F24" s="22">
        <f t="shared" si="5"/>
        <v>39</v>
      </c>
      <c r="G24" s="22">
        <v>1</v>
      </c>
      <c r="H24" s="25">
        <f t="shared" si="6"/>
        <v>1390</v>
      </c>
      <c r="I24" s="27">
        <v>-380</v>
      </c>
      <c r="J24" s="28">
        <f t="shared" si="2"/>
        <v>1770</v>
      </c>
      <c r="K24" s="22">
        <f t="shared" si="7"/>
        <v>70</v>
      </c>
      <c r="L24" s="22">
        <v>1</v>
      </c>
      <c r="M24" s="25">
        <f t="shared" si="8"/>
        <v>1485</v>
      </c>
      <c r="N24" s="24">
        <v>-442</v>
      </c>
      <c r="O24" s="28">
        <f t="shared" si="3"/>
        <v>1927</v>
      </c>
      <c r="P24" s="22">
        <f t="shared" si="9"/>
        <v>25</v>
      </c>
      <c r="Q24" s="29"/>
      <c r="R24" s="30"/>
    </row>
    <row r="25" spans="1:18" x14ac:dyDescent="0.25">
      <c r="A25" s="21">
        <v>45828</v>
      </c>
      <c r="B25" s="22">
        <v>1</v>
      </c>
      <c r="C25" s="25">
        <f t="shared" si="4"/>
        <v>1539</v>
      </c>
      <c r="D25" s="24">
        <v>-250</v>
      </c>
      <c r="E25" s="25">
        <f t="shared" si="1"/>
        <v>1789</v>
      </c>
      <c r="F25" s="22">
        <f t="shared" si="5"/>
        <v>46</v>
      </c>
      <c r="G25" s="22">
        <v>1</v>
      </c>
      <c r="H25" s="25">
        <f t="shared" si="6"/>
        <v>1385</v>
      </c>
      <c r="I25" s="27">
        <v>-385</v>
      </c>
      <c r="J25" s="28">
        <f t="shared" si="2"/>
        <v>1770</v>
      </c>
      <c r="K25" s="22">
        <f t="shared" si="7"/>
        <v>75</v>
      </c>
      <c r="L25" s="22">
        <v>1</v>
      </c>
      <c r="M25" s="25">
        <f t="shared" si="8"/>
        <v>1480</v>
      </c>
      <c r="N25" s="24">
        <v>-447</v>
      </c>
      <c r="O25" s="28">
        <f t="shared" si="3"/>
        <v>1927</v>
      </c>
      <c r="P25" s="22">
        <f t="shared" si="9"/>
        <v>30</v>
      </c>
      <c r="Q25" s="29"/>
      <c r="R25" s="30"/>
    </row>
    <row r="26" spans="1:18" x14ac:dyDescent="0.25">
      <c r="A26" s="21">
        <v>45829</v>
      </c>
      <c r="B26" s="22">
        <v>1</v>
      </c>
      <c r="C26" s="25">
        <f t="shared" si="4"/>
        <v>1535</v>
      </c>
      <c r="D26" s="24">
        <v>-254</v>
      </c>
      <c r="E26" s="25">
        <f t="shared" si="1"/>
        <v>1789</v>
      </c>
      <c r="F26" s="22">
        <f t="shared" si="5"/>
        <v>50</v>
      </c>
      <c r="G26" s="22">
        <v>1</v>
      </c>
      <c r="H26" s="25">
        <f t="shared" si="6"/>
        <v>1380</v>
      </c>
      <c r="I26" s="27">
        <v>-390</v>
      </c>
      <c r="J26" s="28">
        <f t="shared" si="2"/>
        <v>1770</v>
      </c>
      <c r="K26" s="22">
        <f t="shared" si="7"/>
        <v>80</v>
      </c>
      <c r="L26" s="22">
        <v>1</v>
      </c>
      <c r="M26" s="25">
        <f t="shared" si="8"/>
        <v>1475</v>
      </c>
      <c r="N26" s="24">
        <v>-452</v>
      </c>
      <c r="O26" s="28">
        <f t="shared" si="3"/>
        <v>1927</v>
      </c>
      <c r="P26" s="22">
        <f t="shared" si="9"/>
        <v>35</v>
      </c>
      <c r="Q26" s="29"/>
      <c r="R26" s="30"/>
    </row>
    <row r="27" spans="1:18" x14ac:dyDescent="0.25">
      <c r="A27" s="21">
        <v>45830</v>
      </c>
      <c r="B27" s="22">
        <v>1</v>
      </c>
      <c r="C27" s="25">
        <f t="shared" si="4"/>
        <v>1519</v>
      </c>
      <c r="D27" s="24">
        <v>-270</v>
      </c>
      <c r="E27" s="25">
        <f t="shared" si="1"/>
        <v>1789</v>
      </c>
      <c r="F27" s="22">
        <f t="shared" si="5"/>
        <v>66</v>
      </c>
      <c r="G27" s="22">
        <v>1</v>
      </c>
      <c r="H27" s="25">
        <f t="shared" si="6"/>
        <v>1355</v>
      </c>
      <c r="I27" s="27">
        <v>-415</v>
      </c>
      <c r="J27" s="28">
        <f t="shared" si="2"/>
        <v>1770</v>
      </c>
      <c r="K27" s="22">
        <f t="shared" si="7"/>
        <v>105</v>
      </c>
      <c r="L27" s="22">
        <v>1</v>
      </c>
      <c r="M27" s="25">
        <f t="shared" si="8"/>
        <v>1462</v>
      </c>
      <c r="N27" s="24">
        <v>-465</v>
      </c>
      <c r="O27" s="28">
        <f t="shared" si="3"/>
        <v>1927</v>
      </c>
      <c r="P27" s="22">
        <f t="shared" si="9"/>
        <v>48</v>
      </c>
      <c r="Q27" s="29"/>
      <c r="R27" s="30"/>
    </row>
    <row r="28" spans="1:18" x14ac:dyDescent="0.25">
      <c r="A28" s="21">
        <v>45831</v>
      </c>
      <c r="B28" s="22">
        <v>1</v>
      </c>
      <c r="C28" s="25">
        <f t="shared" si="4"/>
        <v>1503</v>
      </c>
      <c r="D28" s="24">
        <v>-286</v>
      </c>
      <c r="E28" s="25">
        <f t="shared" si="1"/>
        <v>1789</v>
      </c>
      <c r="F28" s="22">
        <f t="shared" si="5"/>
        <v>82</v>
      </c>
      <c r="G28" s="22">
        <v>1</v>
      </c>
      <c r="H28" s="25">
        <f t="shared" si="6"/>
        <v>1330</v>
      </c>
      <c r="I28" s="27">
        <v>-440</v>
      </c>
      <c r="J28" s="28">
        <f t="shared" si="2"/>
        <v>1770</v>
      </c>
      <c r="K28" s="22">
        <f t="shared" si="7"/>
        <v>130</v>
      </c>
      <c r="L28" s="22">
        <v>1</v>
      </c>
      <c r="M28" s="25">
        <f t="shared" si="8"/>
        <v>1449</v>
      </c>
      <c r="N28" s="24">
        <v>-478</v>
      </c>
      <c r="O28" s="28">
        <f t="shared" si="3"/>
        <v>1927</v>
      </c>
      <c r="P28" s="22">
        <f t="shared" si="9"/>
        <v>61</v>
      </c>
      <c r="Q28" s="29"/>
      <c r="R28" s="30"/>
    </row>
    <row r="29" spans="1:18" x14ac:dyDescent="0.25">
      <c r="A29" s="21">
        <v>45832</v>
      </c>
      <c r="B29" s="22">
        <v>1</v>
      </c>
      <c r="C29" s="25">
        <f t="shared" si="4"/>
        <v>1487</v>
      </c>
      <c r="D29" s="24">
        <v>-302</v>
      </c>
      <c r="E29" s="25">
        <f t="shared" si="1"/>
        <v>1789</v>
      </c>
      <c r="F29" s="22">
        <f t="shared" si="5"/>
        <v>98</v>
      </c>
      <c r="G29" s="22">
        <v>1</v>
      </c>
      <c r="H29" s="25">
        <f t="shared" si="6"/>
        <v>1305</v>
      </c>
      <c r="I29" s="27">
        <v>-465</v>
      </c>
      <c r="J29" s="28">
        <f t="shared" si="2"/>
        <v>1770</v>
      </c>
      <c r="K29" s="22">
        <f t="shared" si="7"/>
        <v>155</v>
      </c>
      <c r="L29" s="22">
        <v>1</v>
      </c>
      <c r="M29" s="25">
        <f t="shared" si="8"/>
        <v>1436</v>
      </c>
      <c r="N29" s="24">
        <v>-491</v>
      </c>
      <c r="O29" s="28">
        <f t="shared" si="3"/>
        <v>1927</v>
      </c>
      <c r="P29" s="22">
        <f t="shared" si="9"/>
        <v>74</v>
      </c>
      <c r="Q29" s="29"/>
      <c r="R29" s="30"/>
    </row>
    <row r="30" spans="1:18" x14ac:dyDescent="0.25">
      <c r="A30" s="21">
        <v>45833</v>
      </c>
      <c r="B30" s="22">
        <v>1</v>
      </c>
      <c r="C30" s="25">
        <f t="shared" si="4"/>
        <v>1471</v>
      </c>
      <c r="D30" s="24">
        <v>-318</v>
      </c>
      <c r="E30" s="25">
        <f t="shared" si="1"/>
        <v>1789</v>
      </c>
      <c r="F30" s="22">
        <f t="shared" si="5"/>
        <v>114</v>
      </c>
      <c r="G30" s="22">
        <v>1</v>
      </c>
      <c r="H30" s="25">
        <f t="shared" si="6"/>
        <v>1280</v>
      </c>
      <c r="I30" s="27">
        <v>-490</v>
      </c>
      <c r="J30" s="28">
        <f t="shared" si="2"/>
        <v>1770</v>
      </c>
      <c r="K30" s="22">
        <f t="shared" si="7"/>
        <v>180</v>
      </c>
      <c r="L30" s="22">
        <v>1</v>
      </c>
      <c r="M30" s="25">
        <f t="shared" si="8"/>
        <v>1423</v>
      </c>
      <c r="N30" s="24">
        <v>-504</v>
      </c>
      <c r="O30" s="28">
        <f t="shared" si="3"/>
        <v>1927</v>
      </c>
      <c r="P30" s="22">
        <f t="shared" si="9"/>
        <v>87</v>
      </c>
      <c r="Q30" s="29"/>
      <c r="R30" s="30"/>
    </row>
    <row r="31" spans="1:18" x14ac:dyDescent="0.25">
      <c r="A31" s="21">
        <v>45834</v>
      </c>
      <c r="B31" s="22">
        <v>1</v>
      </c>
      <c r="C31" s="25">
        <f t="shared" si="4"/>
        <v>1453</v>
      </c>
      <c r="D31" s="24">
        <v>-336</v>
      </c>
      <c r="E31" s="25">
        <f t="shared" si="1"/>
        <v>1789</v>
      </c>
      <c r="F31" s="22">
        <f t="shared" si="5"/>
        <v>132</v>
      </c>
      <c r="G31" s="22">
        <v>1</v>
      </c>
      <c r="H31" s="25">
        <f t="shared" si="6"/>
        <v>1259</v>
      </c>
      <c r="I31" s="27">
        <v>-511</v>
      </c>
      <c r="J31" s="28">
        <f t="shared" si="2"/>
        <v>1770</v>
      </c>
      <c r="K31" s="22">
        <f t="shared" si="7"/>
        <v>201</v>
      </c>
      <c r="L31" s="22">
        <v>1</v>
      </c>
      <c r="M31" s="25">
        <f t="shared" si="8"/>
        <v>1410</v>
      </c>
      <c r="N31" s="24">
        <v>-517</v>
      </c>
      <c r="O31" s="28">
        <f t="shared" si="3"/>
        <v>1927</v>
      </c>
      <c r="P31" s="22">
        <f t="shared" si="9"/>
        <v>100</v>
      </c>
      <c r="Q31" s="29"/>
      <c r="R31" s="30"/>
    </row>
    <row r="32" spans="1:18" x14ac:dyDescent="0.25">
      <c r="A32" s="21">
        <v>45835</v>
      </c>
      <c r="B32" s="22">
        <v>1</v>
      </c>
      <c r="C32" s="25">
        <f t="shared" si="4"/>
        <v>1451</v>
      </c>
      <c r="D32" s="24">
        <v>-338</v>
      </c>
      <c r="E32" s="25">
        <f t="shared" si="1"/>
        <v>1789</v>
      </c>
      <c r="F32" s="22">
        <f t="shared" si="5"/>
        <v>134</v>
      </c>
      <c r="G32" s="22">
        <v>1</v>
      </c>
      <c r="H32" s="25">
        <f t="shared" si="6"/>
        <v>1257</v>
      </c>
      <c r="I32" s="27">
        <v>-513</v>
      </c>
      <c r="J32" s="28">
        <f t="shared" si="2"/>
        <v>1770</v>
      </c>
      <c r="K32" s="22">
        <f t="shared" si="7"/>
        <v>203</v>
      </c>
      <c r="L32" s="22">
        <v>1</v>
      </c>
      <c r="M32" s="25">
        <f t="shared" si="8"/>
        <v>1409</v>
      </c>
      <c r="N32" s="24">
        <v>-518</v>
      </c>
      <c r="O32" s="28">
        <f t="shared" si="3"/>
        <v>1927</v>
      </c>
      <c r="P32" s="22">
        <f t="shared" si="9"/>
        <v>101</v>
      </c>
      <c r="Q32" s="29"/>
      <c r="R32" s="30"/>
    </row>
    <row r="33" spans="1:18" x14ac:dyDescent="0.25">
      <c r="A33" s="21">
        <v>45836</v>
      </c>
      <c r="B33" s="22">
        <v>1</v>
      </c>
      <c r="C33" s="25">
        <f t="shared" si="4"/>
        <v>1449</v>
      </c>
      <c r="D33" s="24">
        <v>-340</v>
      </c>
      <c r="E33" s="25">
        <f t="shared" si="1"/>
        <v>1789</v>
      </c>
      <c r="F33" s="22">
        <f t="shared" si="5"/>
        <v>136</v>
      </c>
      <c r="G33" s="22">
        <v>1</v>
      </c>
      <c r="H33" s="25">
        <f t="shared" si="6"/>
        <v>1255</v>
      </c>
      <c r="I33" s="27">
        <v>-515</v>
      </c>
      <c r="J33" s="28">
        <f t="shared" si="2"/>
        <v>1770</v>
      </c>
      <c r="K33" s="22">
        <f t="shared" si="7"/>
        <v>205</v>
      </c>
      <c r="L33" s="22">
        <v>1</v>
      </c>
      <c r="M33" s="25">
        <f t="shared" si="8"/>
        <v>1408</v>
      </c>
      <c r="N33" s="24">
        <v>-519</v>
      </c>
      <c r="O33" s="28">
        <f t="shared" si="3"/>
        <v>1927</v>
      </c>
      <c r="P33" s="22">
        <f t="shared" si="9"/>
        <v>102</v>
      </c>
      <c r="Q33" s="29"/>
      <c r="R33" s="30"/>
    </row>
    <row r="34" spans="1:18" x14ac:dyDescent="0.25">
      <c r="A34" s="21">
        <v>45837</v>
      </c>
      <c r="B34" s="22">
        <v>1</v>
      </c>
      <c r="C34" s="25">
        <f t="shared" si="4"/>
        <v>1447</v>
      </c>
      <c r="D34" s="24">
        <v>-342</v>
      </c>
      <c r="E34" s="25">
        <f t="shared" si="1"/>
        <v>1789</v>
      </c>
      <c r="F34" s="22">
        <f t="shared" si="5"/>
        <v>138</v>
      </c>
      <c r="G34" s="22">
        <v>1</v>
      </c>
      <c r="H34" s="25">
        <f t="shared" si="6"/>
        <v>1253</v>
      </c>
      <c r="I34" s="27">
        <v>-517</v>
      </c>
      <c r="J34" s="28">
        <f t="shared" si="2"/>
        <v>1770</v>
      </c>
      <c r="K34" s="22">
        <f t="shared" si="7"/>
        <v>207</v>
      </c>
      <c r="L34" s="22">
        <v>1</v>
      </c>
      <c r="M34" s="25">
        <f t="shared" si="8"/>
        <v>1407</v>
      </c>
      <c r="N34" s="24">
        <v>-520</v>
      </c>
      <c r="O34" s="28">
        <f t="shared" si="3"/>
        <v>1927</v>
      </c>
      <c r="P34" s="22">
        <f t="shared" si="9"/>
        <v>103</v>
      </c>
      <c r="Q34" s="29"/>
      <c r="R34" s="30"/>
    </row>
    <row r="35" spans="1:18" x14ac:dyDescent="0.25">
      <c r="A35" s="21">
        <v>45838</v>
      </c>
      <c r="B35" s="22">
        <v>1</v>
      </c>
      <c r="C35" s="25">
        <f t="shared" si="4"/>
        <v>1445</v>
      </c>
      <c r="D35" s="24">
        <v>-344</v>
      </c>
      <c r="E35" s="25">
        <f t="shared" si="1"/>
        <v>1789</v>
      </c>
      <c r="F35" s="22">
        <f t="shared" si="5"/>
        <v>140</v>
      </c>
      <c r="G35" s="22">
        <v>1</v>
      </c>
      <c r="H35" s="25">
        <f t="shared" si="6"/>
        <v>1251</v>
      </c>
      <c r="I35" s="27">
        <v>-519</v>
      </c>
      <c r="J35" s="28">
        <f t="shared" si="2"/>
        <v>1770</v>
      </c>
      <c r="K35" s="22">
        <f t="shared" si="7"/>
        <v>209</v>
      </c>
      <c r="L35" s="22">
        <v>1</v>
      </c>
      <c r="M35" s="25">
        <f t="shared" si="8"/>
        <v>1406</v>
      </c>
      <c r="N35" s="24">
        <v>-521</v>
      </c>
      <c r="O35" s="28">
        <f t="shared" si="3"/>
        <v>1927</v>
      </c>
      <c r="P35" s="22">
        <f t="shared" si="9"/>
        <v>104</v>
      </c>
      <c r="Q35" s="29"/>
      <c r="R35" s="30"/>
    </row>
    <row r="36" spans="1:18" x14ac:dyDescent="0.25">
      <c r="A36" s="21">
        <v>45839</v>
      </c>
      <c r="B36" s="22">
        <v>1</v>
      </c>
      <c r="C36" s="25">
        <f t="shared" si="4"/>
        <v>1443</v>
      </c>
      <c r="D36" s="24">
        <v>-346</v>
      </c>
      <c r="E36" s="25">
        <f t="shared" si="1"/>
        <v>1789</v>
      </c>
      <c r="F36" s="22">
        <f t="shared" si="5"/>
        <v>142</v>
      </c>
      <c r="G36" s="22">
        <v>1</v>
      </c>
      <c r="H36" s="25">
        <f t="shared" si="6"/>
        <v>1249</v>
      </c>
      <c r="I36" s="27">
        <v>-521</v>
      </c>
      <c r="J36" s="28">
        <f t="shared" si="2"/>
        <v>1770</v>
      </c>
      <c r="K36" s="22">
        <f t="shared" si="7"/>
        <v>211</v>
      </c>
      <c r="L36" s="22">
        <v>1</v>
      </c>
      <c r="M36" s="25">
        <f t="shared" si="8"/>
        <v>1405</v>
      </c>
      <c r="N36" s="24">
        <v>-522</v>
      </c>
      <c r="O36" s="28">
        <f t="shared" si="3"/>
        <v>1927</v>
      </c>
      <c r="P36" s="22">
        <f t="shared" si="9"/>
        <v>105</v>
      </c>
      <c r="Q36" s="29"/>
      <c r="R36" s="30"/>
    </row>
    <row r="37" spans="1:18" x14ac:dyDescent="0.25">
      <c r="A37" s="21">
        <v>45840</v>
      </c>
      <c r="B37" s="22">
        <v>1</v>
      </c>
      <c r="C37" s="25">
        <f t="shared" si="4"/>
        <v>1441</v>
      </c>
      <c r="D37" s="24">
        <v>-348</v>
      </c>
      <c r="E37" s="25">
        <f t="shared" si="1"/>
        <v>1789</v>
      </c>
      <c r="F37" s="22">
        <f t="shared" si="5"/>
        <v>144</v>
      </c>
      <c r="G37" s="22">
        <v>1</v>
      </c>
      <c r="H37" s="25">
        <f t="shared" si="6"/>
        <v>1247</v>
      </c>
      <c r="I37" s="27">
        <v>-523</v>
      </c>
      <c r="J37" s="28">
        <f t="shared" si="2"/>
        <v>1770</v>
      </c>
      <c r="K37" s="22">
        <f t="shared" si="7"/>
        <v>213</v>
      </c>
      <c r="L37" s="22">
        <v>1</v>
      </c>
      <c r="M37" s="25">
        <f t="shared" si="8"/>
        <v>1404</v>
      </c>
      <c r="N37" s="24">
        <v>-523</v>
      </c>
      <c r="O37" s="28">
        <f t="shared" si="3"/>
        <v>1927</v>
      </c>
      <c r="P37" s="22">
        <f t="shared" si="9"/>
        <v>106</v>
      </c>
      <c r="Q37" s="29"/>
      <c r="R37" s="30"/>
    </row>
    <row r="38" spans="1:18" x14ac:dyDescent="0.25">
      <c r="A38" s="21">
        <v>45841</v>
      </c>
      <c r="B38" s="22">
        <v>1</v>
      </c>
      <c r="C38" s="25">
        <f t="shared" si="4"/>
        <v>1439</v>
      </c>
      <c r="D38" s="24">
        <v>-350</v>
      </c>
      <c r="E38" s="25">
        <f t="shared" si="1"/>
        <v>1789</v>
      </c>
      <c r="F38" s="22">
        <f t="shared" si="5"/>
        <v>146</v>
      </c>
      <c r="G38" s="22">
        <v>1</v>
      </c>
      <c r="H38" s="25">
        <f t="shared" si="6"/>
        <v>1245</v>
      </c>
      <c r="I38" s="27">
        <v>-525</v>
      </c>
      <c r="J38" s="28">
        <f t="shared" si="2"/>
        <v>1770</v>
      </c>
      <c r="K38" s="22">
        <f t="shared" si="7"/>
        <v>215</v>
      </c>
      <c r="L38" s="22">
        <v>1</v>
      </c>
      <c r="M38" s="25">
        <f t="shared" si="8"/>
        <v>1403</v>
      </c>
      <c r="N38" s="24">
        <v>-524</v>
      </c>
      <c r="O38" s="28">
        <f t="shared" si="3"/>
        <v>1927</v>
      </c>
      <c r="P38" s="22">
        <f t="shared" si="9"/>
        <v>107</v>
      </c>
      <c r="Q38" s="29"/>
      <c r="R38" s="30"/>
    </row>
    <row r="39" spans="1:18" x14ac:dyDescent="0.25">
      <c r="A39" s="21">
        <v>45842</v>
      </c>
      <c r="B39" s="22">
        <v>1</v>
      </c>
      <c r="C39" s="25">
        <f t="shared" si="4"/>
        <v>1437</v>
      </c>
      <c r="D39" s="24">
        <v>-352</v>
      </c>
      <c r="E39" s="25">
        <f t="shared" si="1"/>
        <v>1789</v>
      </c>
      <c r="F39" s="22">
        <f t="shared" si="5"/>
        <v>148</v>
      </c>
      <c r="G39" s="22">
        <v>1</v>
      </c>
      <c r="H39" s="25">
        <f t="shared" si="6"/>
        <v>1243</v>
      </c>
      <c r="I39" s="27">
        <v>-527</v>
      </c>
      <c r="J39" s="28">
        <f t="shared" si="2"/>
        <v>1770</v>
      </c>
      <c r="K39" s="22">
        <f t="shared" si="7"/>
        <v>217</v>
      </c>
      <c r="L39" s="22">
        <v>1</v>
      </c>
      <c r="M39" s="25">
        <f t="shared" si="8"/>
        <v>1402</v>
      </c>
      <c r="N39" s="24">
        <v>-525</v>
      </c>
      <c r="O39" s="28">
        <f t="shared" si="3"/>
        <v>1927</v>
      </c>
      <c r="P39" s="22">
        <f t="shared" si="9"/>
        <v>108</v>
      </c>
      <c r="Q39" s="29"/>
      <c r="R39" s="30"/>
    </row>
    <row r="40" spans="1:18" x14ac:dyDescent="0.25">
      <c r="A40" s="21">
        <v>45843</v>
      </c>
      <c r="B40" s="22">
        <v>1</v>
      </c>
      <c r="C40" s="25">
        <f t="shared" si="4"/>
        <v>1435</v>
      </c>
      <c r="D40" s="24">
        <v>-354</v>
      </c>
      <c r="E40" s="25">
        <f t="shared" si="1"/>
        <v>1789</v>
      </c>
      <c r="F40" s="22">
        <f t="shared" si="5"/>
        <v>150</v>
      </c>
      <c r="G40" s="22">
        <v>1</v>
      </c>
      <c r="H40" s="25">
        <f t="shared" si="6"/>
        <v>1241</v>
      </c>
      <c r="I40" s="27">
        <v>-529</v>
      </c>
      <c r="J40" s="28">
        <f t="shared" si="2"/>
        <v>1770</v>
      </c>
      <c r="K40" s="22">
        <f t="shared" si="7"/>
        <v>219</v>
      </c>
      <c r="L40" s="22">
        <v>1</v>
      </c>
      <c r="M40" s="25">
        <f t="shared" si="8"/>
        <v>1401</v>
      </c>
      <c r="N40" s="24">
        <v>-526</v>
      </c>
      <c r="O40" s="28">
        <f t="shared" si="3"/>
        <v>1927</v>
      </c>
      <c r="P40" s="22">
        <f t="shared" si="9"/>
        <v>109</v>
      </c>
      <c r="Q40" s="29"/>
      <c r="R40" s="30"/>
    </row>
    <row r="41" spans="1:18" x14ac:dyDescent="0.25">
      <c r="A41" s="21">
        <v>45844</v>
      </c>
      <c r="B41" s="22">
        <v>1</v>
      </c>
      <c r="C41" s="25">
        <f t="shared" si="4"/>
        <v>1433</v>
      </c>
      <c r="D41" s="24">
        <v>-356</v>
      </c>
      <c r="E41" s="25">
        <f t="shared" si="1"/>
        <v>1789</v>
      </c>
      <c r="F41" s="22">
        <f t="shared" si="5"/>
        <v>152</v>
      </c>
      <c r="G41" s="22">
        <v>1</v>
      </c>
      <c r="H41" s="25">
        <f t="shared" si="6"/>
        <v>1239</v>
      </c>
      <c r="I41" s="27">
        <v>-531</v>
      </c>
      <c r="J41" s="28">
        <f t="shared" si="2"/>
        <v>1770</v>
      </c>
      <c r="K41" s="22">
        <f t="shared" si="7"/>
        <v>221</v>
      </c>
      <c r="L41" s="22">
        <v>1</v>
      </c>
      <c r="M41" s="25">
        <f t="shared" si="8"/>
        <v>1400</v>
      </c>
      <c r="N41" s="24">
        <v>-527</v>
      </c>
      <c r="O41" s="28">
        <f t="shared" si="3"/>
        <v>1927</v>
      </c>
      <c r="P41" s="22">
        <f t="shared" si="9"/>
        <v>110</v>
      </c>
      <c r="Q41" s="29"/>
      <c r="R41" s="30"/>
    </row>
    <row r="42" spans="1:18" x14ac:dyDescent="0.25">
      <c r="A42" s="21">
        <v>45845</v>
      </c>
      <c r="B42" s="22">
        <v>1</v>
      </c>
      <c r="C42" s="25">
        <f t="shared" si="4"/>
        <v>1431</v>
      </c>
      <c r="D42" s="24">
        <v>-358</v>
      </c>
      <c r="E42" s="25">
        <f t="shared" si="1"/>
        <v>1789</v>
      </c>
      <c r="F42" s="22">
        <f t="shared" si="5"/>
        <v>154</v>
      </c>
      <c r="G42" s="22">
        <v>1</v>
      </c>
      <c r="H42" s="25">
        <f t="shared" si="6"/>
        <v>1237</v>
      </c>
      <c r="I42" s="27">
        <v>-533</v>
      </c>
      <c r="J42" s="28">
        <f t="shared" si="2"/>
        <v>1770</v>
      </c>
      <c r="K42" s="22">
        <f t="shared" si="7"/>
        <v>223</v>
      </c>
      <c r="L42" s="22">
        <v>1</v>
      </c>
      <c r="M42" s="25">
        <f t="shared" si="8"/>
        <v>1399</v>
      </c>
      <c r="N42" s="24">
        <v>-528</v>
      </c>
      <c r="O42" s="28">
        <f t="shared" si="3"/>
        <v>1927</v>
      </c>
      <c r="P42" s="22">
        <f t="shared" si="9"/>
        <v>111</v>
      </c>
      <c r="Q42" s="29"/>
      <c r="R42" s="30"/>
    </row>
    <row r="43" spans="1:18" x14ac:dyDescent="0.25">
      <c r="A43" s="21">
        <v>45846</v>
      </c>
      <c r="B43" s="22">
        <v>1</v>
      </c>
      <c r="C43" s="25">
        <f t="shared" si="4"/>
        <v>1429</v>
      </c>
      <c r="D43" s="24">
        <v>-360</v>
      </c>
      <c r="E43" s="25">
        <f t="shared" si="1"/>
        <v>1789</v>
      </c>
      <c r="F43" s="22">
        <f t="shared" si="5"/>
        <v>156</v>
      </c>
      <c r="G43" s="22">
        <v>1</v>
      </c>
      <c r="H43" s="25">
        <f t="shared" si="6"/>
        <v>1235</v>
      </c>
      <c r="I43" s="27">
        <v>-535</v>
      </c>
      <c r="J43" s="28">
        <f t="shared" si="2"/>
        <v>1770</v>
      </c>
      <c r="K43" s="22">
        <f t="shared" si="7"/>
        <v>225</v>
      </c>
      <c r="L43" s="22">
        <v>1</v>
      </c>
      <c r="M43" s="25">
        <f t="shared" si="8"/>
        <v>1398</v>
      </c>
      <c r="N43" s="24">
        <v>-529</v>
      </c>
      <c r="O43" s="28">
        <f t="shared" si="3"/>
        <v>1927</v>
      </c>
      <c r="P43" s="22">
        <f t="shared" si="9"/>
        <v>112</v>
      </c>
      <c r="Q43" s="29"/>
      <c r="R43" s="30"/>
    </row>
    <row r="44" spans="1:18" x14ac:dyDescent="0.25">
      <c r="A44" s="21">
        <v>45847</v>
      </c>
      <c r="B44" s="22">
        <v>1</v>
      </c>
      <c r="C44" s="25">
        <f t="shared" si="4"/>
        <v>1427</v>
      </c>
      <c r="D44" s="24">
        <v>-362</v>
      </c>
      <c r="E44" s="25">
        <f t="shared" si="1"/>
        <v>1789</v>
      </c>
      <c r="F44" s="22">
        <f t="shared" si="5"/>
        <v>158</v>
      </c>
      <c r="G44" s="22">
        <v>1</v>
      </c>
      <c r="H44" s="25">
        <f t="shared" si="6"/>
        <v>1233</v>
      </c>
      <c r="I44" s="27">
        <v>-537</v>
      </c>
      <c r="J44" s="28">
        <f t="shared" si="2"/>
        <v>1770</v>
      </c>
      <c r="K44" s="22">
        <f t="shared" si="7"/>
        <v>227</v>
      </c>
      <c r="L44" s="22">
        <v>1</v>
      </c>
      <c r="M44" s="25">
        <f t="shared" si="8"/>
        <v>1397</v>
      </c>
      <c r="N44" s="24">
        <v>-530</v>
      </c>
      <c r="O44" s="28">
        <f t="shared" si="3"/>
        <v>1927</v>
      </c>
      <c r="P44" s="22">
        <f t="shared" si="9"/>
        <v>113</v>
      </c>
      <c r="Q44" s="29"/>
      <c r="R44" s="30"/>
    </row>
    <row r="45" spans="1:18" x14ac:dyDescent="0.25">
      <c r="A45" s="21">
        <v>45848</v>
      </c>
      <c r="B45" s="22">
        <v>1</v>
      </c>
      <c r="C45" s="25">
        <f t="shared" si="4"/>
        <v>1425</v>
      </c>
      <c r="D45" s="24">
        <v>-364</v>
      </c>
      <c r="E45" s="25">
        <f t="shared" si="1"/>
        <v>1789</v>
      </c>
      <c r="F45" s="22">
        <f t="shared" si="5"/>
        <v>160</v>
      </c>
      <c r="G45" s="22">
        <v>1</v>
      </c>
      <c r="H45" s="25">
        <f t="shared" si="6"/>
        <v>1231</v>
      </c>
      <c r="I45" s="27">
        <v>-539</v>
      </c>
      <c r="J45" s="28">
        <f t="shared" si="2"/>
        <v>1770</v>
      </c>
      <c r="K45" s="22">
        <f t="shared" si="7"/>
        <v>229</v>
      </c>
      <c r="L45" s="22">
        <v>1</v>
      </c>
      <c r="M45" s="25">
        <f t="shared" si="8"/>
        <v>1396</v>
      </c>
      <c r="N45" s="24">
        <v>-531</v>
      </c>
      <c r="O45" s="28">
        <f t="shared" si="3"/>
        <v>1927</v>
      </c>
      <c r="P45" s="22">
        <f t="shared" si="9"/>
        <v>114</v>
      </c>
      <c r="Q45" s="29"/>
      <c r="R45" s="30"/>
    </row>
    <row r="46" spans="1:18" x14ac:dyDescent="0.25">
      <c r="A46" s="21">
        <v>45849</v>
      </c>
      <c r="B46" s="22">
        <v>1</v>
      </c>
      <c r="C46" s="25">
        <f t="shared" si="4"/>
        <v>1423</v>
      </c>
      <c r="D46" s="24">
        <v>-366</v>
      </c>
      <c r="E46" s="25">
        <f t="shared" si="1"/>
        <v>1789</v>
      </c>
      <c r="F46" s="22">
        <f t="shared" si="5"/>
        <v>162</v>
      </c>
      <c r="G46" s="22">
        <v>1</v>
      </c>
      <c r="H46" s="25">
        <f t="shared" si="6"/>
        <v>1229</v>
      </c>
      <c r="I46" s="27">
        <v>-541</v>
      </c>
      <c r="J46" s="28">
        <f t="shared" si="2"/>
        <v>1770</v>
      </c>
      <c r="K46" s="22">
        <f t="shared" si="7"/>
        <v>231</v>
      </c>
      <c r="L46" s="22">
        <v>1</v>
      </c>
      <c r="M46" s="25">
        <f t="shared" si="8"/>
        <v>1395</v>
      </c>
      <c r="N46" s="24">
        <v>-532</v>
      </c>
      <c r="O46" s="28">
        <f t="shared" si="3"/>
        <v>1927</v>
      </c>
      <c r="P46" s="22">
        <f t="shared" si="9"/>
        <v>115</v>
      </c>
      <c r="Q46" s="29"/>
      <c r="R46" s="30"/>
    </row>
    <row r="47" spans="1:18" x14ac:dyDescent="0.25">
      <c r="A47" s="21">
        <v>45850</v>
      </c>
      <c r="B47" s="22">
        <v>1</v>
      </c>
      <c r="C47" s="25">
        <f t="shared" si="4"/>
        <v>1421</v>
      </c>
      <c r="D47" s="24">
        <v>-368</v>
      </c>
      <c r="E47" s="25">
        <f t="shared" si="1"/>
        <v>1789</v>
      </c>
      <c r="F47" s="22">
        <f t="shared" si="5"/>
        <v>164</v>
      </c>
      <c r="G47" s="22">
        <v>1</v>
      </c>
      <c r="H47" s="25">
        <f t="shared" si="6"/>
        <v>1227</v>
      </c>
      <c r="I47" s="27">
        <v>-543</v>
      </c>
      <c r="J47" s="28">
        <f t="shared" si="2"/>
        <v>1770</v>
      </c>
      <c r="K47" s="22">
        <f t="shared" si="7"/>
        <v>233</v>
      </c>
      <c r="L47" s="22">
        <v>1</v>
      </c>
      <c r="M47" s="25">
        <f t="shared" si="8"/>
        <v>1394</v>
      </c>
      <c r="N47" s="24">
        <v>-533</v>
      </c>
      <c r="O47" s="28">
        <f t="shared" si="3"/>
        <v>1927</v>
      </c>
      <c r="P47" s="22">
        <f t="shared" si="9"/>
        <v>116</v>
      </c>
      <c r="Q47" s="29"/>
      <c r="R47" s="30"/>
    </row>
    <row r="48" spans="1:18" x14ac:dyDescent="0.25">
      <c r="A48" s="21">
        <v>45851</v>
      </c>
      <c r="B48" s="22">
        <v>1</v>
      </c>
      <c r="C48" s="25">
        <f t="shared" si="4"/>
        <v>1419</v>
      </c>
      <c r="D48" s="24">
        <v>-370</v>
      </c>
      <c r="E48" s="25">
        <f t="shared" si="1"/>
        <v>1789</v>
      </c>
      <c r="F48" s="22">
        <f t="shared" si="5"/>
        <v>166</v>
      </c>
      <c r="G48" s="22">
        <v>1</v>
      </c>
      <c r="H48" s="25">
        <f t="shared" si="6"/>
        <v>1225</v>
      </c>
      <c r="I48" s="27">
        <v>-545</v>
      </c>
      <c r="J48" s="28">
        <f t="shared" si="2"/>
        <v>1770</v>
      </c>
      <c r="K48" s="22">
        <f t="shared" si="7"/>
        <v>235</v>
      </c>
      <c r="L48" s="22">
        <v>1</v>
      </c>
      <c r="M48" s="25">
        <f t="shared" si="8"/>
        <v>1394</v>
      </c>
      <c r="N48" s="24">
        <v>-533</v>
      </c>
      <c r="O48" s="28">
        <f t="shared" si="3"/>
        <v>1927</v>
      </c>
      <c r="P48" s="22">
        <f t="shared" si="9"/>
        <v>116</v>
      </c>
      <c r="Q48" s="29"/>
      <c r="R48" s="30"/>
    </row>
    <row r="49" spans="1:18" x14ac:dyDescent="0.25">
      <c r="A49" s="21">
        <v>45852</v>
      </c>
      <c r="B49" s="22">
        <v>1</v>
      </c>
      <c r="C49" s="25">
        <f t="shared" si="4"/>
        <v>1419</v>
      </c>
      <c r="D49" s="24">
        <v>-370</v>
      </c>
      <c r="E49" s="25">
        <f t="shared" si="1"/>
        <v>1789</v>
      </c>
      <c r="F49" s="22">
        <f t="shared" si="5"/>
        <v>166</v>
      </c>
      <c r="G49" s="22">
        <v>1</v>
      </c>
      <c r="H49" s="25">
        <f t="shared" si="6"/>
        <v>1225</v>
      </c>
      <c r="I49" s="27">
        <v>-545</v>
      </c>
      <c r="J49" s="28">
        <f t="shared" si="2"/>
        <v>1770</v>
      </c>
      <c r="K49" s="22">
        <f t="shared" si="7"/>
        <v>235</v>
      </c>
      <c r="L49" s="22">
        <v>1</v>
      </c>
      <c r="M49" s="25">
        <f t="shared" si="8"/>
        <v>1394</v>
      </c>
      <c r="N49" s="24">
        <v>-533</v>
      </c>
      <c r="O49" s="28">
        <f t="shared" si="3"/>
        <v>1927</v>
      </c>
      <c r="P49" s="22">
        <f t="shared" si="9"/>
        <v>116</v>
      </c>
      <c r="Q49" s="29"/>
      <c r="R49" s="30"/>
    </row>
    <row r="50" spans="1:18" x14ac:dyDescent="0.25">
      <c r="A50" s="21">
        <v>45853</v>
      </c>
      <c r="B50" s="22">
        <v>1</v>
      </c>
      <c r="C50" s="25">
        <f t="shared" si="4"/>
        <v>1419</v>
      </c>
      <c r="D50" s="24">
        <v>-370</v>
      </c>
      <c r="E50" s="25">
        <f t="shared" si="1"/>
        <v>1789</v>
      </c>
      <c r="F50" s="22">
        <f t="shared" si="5"/>
        <v>166</v>
      </c>
      <c r="G50" s="22">
        <v>1</v>
      </c>
      <c r="H50" s="25">
        <f t="shared" si="6"/>
        <v>1218</v>
      </c>
      <c r="I50" s="27">
        <v>-552</v>
      </c>
      <c r="J50" s="28">
        <f t="shared" si="2"/>
        <v>1770</v>
      </c>
      <c r="K50" s="22">
        <f t="shared" si="7"/>
        <v>242</v>
      </c>
      <c r="L50" s="22">
        <v>1</v>
      </c>
      <c r="M50" s="25">
        <f t="shared" si="8"/>
        <v>1394</v>
      </c>
      <c r="N50" s="24">
        <v>-533</v>
      </c>
      <c r="O50" s="28">
        <f t="shared" si="3"/>
        <v>1927</v>
      </c>
      <c r="P50" s="22">
        <f t="shared" si="9"/>
        <v>116</v>
      </c>
      <c r="Q50" s="29"/>
      <c r="R50" s="30"/>
    </row>
    <row r="51" spans="1:18" x14ac:dyDescent="0.25">
      <c r="A51" s="21">
        <v>45854</v>
      </c>
      <c r="B51" s="22">
        <v>1</v>
      </c>
      <c r="C51" s="25">
        <f t="shared" si="4"/>
        <v>1419</v>
      </c>
      <c r="D51" s="24">
        <v>-370</v>
      </c>
      <c r="E51" s="25">
        <f t="shared" si="1"/>
        <v>1789</v>
      </c>
      <c r="F51" s="22">
        <f t="shared" si="5"/>
        <v>166</v>
      </c>
      <c r="G51" s="22">
        <v>1</v>
      </c>
      <c r="H51" s="25">
        <f t="shared" si="6"/>
        <v>1216</v>
      </c>
      <c r="I51" s="27">
        <v>-554</v>
      </c>
      <c r="J51" s="28">
        <f t="shared" si="2"/>
        <v>1770</v>
      </c>
      <c r="K51" s="22">
        <f t="shared" si="7"/>
        <v>244</v>
      </c>
      <c r="L51" s="22">
        <v>1</v>
      </c>
      <c r="M51" s="25">
        <f t="shared" si="8"/>
        <v>1394</v>
      </c>
      <c r="N51" s="24">
        <v>-533</v>
      </c>
      <c r="O51" s="28">
        <f t="shared" si="3"/>
        <v>1927</v>
      </c>
      <c r="P51" s="22">
        <f t="shared" si="9"/>
        <v>116</v>
      </c>
      <c r="Q51" s="29"/>
      <c r="R51" s="30"/>
    </row>
    <row r="52" spans="1:18" x14ac:dyDescent="0.25">
      <c r="A52" s="21">
        <v>45855</v>
      </c>
      <c r="B52" s="22">
        <v>1</v>
      </c>
      <c r="C52" s="25">
        <f t="shared" si="4"/>
        <v>1419</v>
      </c>
      <c r="D52" s="24">
        <v>-370</v>
      </c>
      <c r="E52" s="25">
        <f t="shared" si="1"/>
        <v>1789</v>
      </c>
      <c r="F52" s="22">
        <f t="shared" si="5"/>
        <v>166</v>
      </c>
      <c r="G52" s="22">
        <v>1</v>
      </c>
      <c r="H52" s="25">
        <f t="shared" si="6"/>
        <v>1214</v>
      </c>
      <c r="I52" s="27">
        <v>-556</v>
      </c>
      <c r="J52" s="28">
        <f t="shared" si="2"/>
        <v>1770</v>
      </c>
      <c r="K52" s="22">
        <f t="shared" si="7"/>
        <v>246</v>
      </c>
      <c r="L52" s="22">
        <v>1</v>
      </c>
      <c r="M52" s="25">
        <f t="shared" si="8"/>
        <v>1394</v>
      </c>
      <c r="N52" s="24">
        <v>-533</v>
      </c>
      <c r="O52" s="28">
        <f t="shared" si="3"/>
        <v>1927</v>
      </c>
      <c r="P52" s="22">
        <f t="shared" si="9"/>
        <v>116</v>
      </c>
      <c r="Q52" s="29"/>
      <c r="R52" s="30"/>
    </row>
    <row r="53" spans="1:18" x14ac:dyDescent="0.25">
      <c r="A53" s="21">
        <v>45856</v>
      </c>
      <c r="B53" s="22">
        <v>1</v>
      </c>
      <c r="C53" s="25">
        <f t="shared" si="4"/>
        <v>1419</v>
      </c>
      <c r="D53" s="24">
        <v>-370</v>
      </c>
      <c r="E53" s="25">
        <f t="shared" si="1"/>
        <v>1789</v>
      </c>
      <c r="F53" s="22">
        <f t="shared" si="5"/>
        <v>166</v>
      </c>
      <c r="G53" s="22">
        <v>1</v>
      </c>
      <c r="H53" s="25">
        <f t="shared" si="6"/>
        <v>1212</v>
      </c>
      <c r="I53" s="27">
        <v>-558</v>
      </c>
      <c r="J53" s="28">
        <f t="shared" si="2"/>
        <v>1770</v>
      </c>
      <c r="K53" s="22">
        <f t="shared" si="7"/>
        <v>248</v>
      </c>
      <c r="L53" s="22">
        <v>1</v>
      </c>
      <c r="M53" s="25">
        <f t="shared" si="8"/>
        <v>1394</v>
      </c>
      <c r="N53" s="24">
        <v>-533</v>
      </c>
      <c r="O53" s="28">
        <f t="shared" si="3"/>
        <v>1927</v>
      </c>
      <c r="P53" s="22">
        <f t="shared" si="9"/>
        <v>116</v>
      </c>
      <c r="Q53" s="29"/>
      <c r="R53" s="30"/>
    </row>
    <row r="54" spans="1:18" x14ac:dyDescent="0.25">
      <c r="A54" s="21">
        <v>45857</v>
      </c>
      <c r="B54" s="22">
        <v>1</v>
      </c>
      <c r="C54" s="25">
        <f t="shared" si="4"/>
        <v>1419</v>
      </c>
      <c r="D54" s="24">
        <v>-370</v>
      </c>
      <c r="E54" s="25">
        <f t="shared" si="1"/>
        <v>1789</v>
      </c>
      <c r="F54" s="22">
        <f t="shared" si="5"/>
        <v>166</v>
      </c>
      <c r="G54" s="22">
        <v>1</v>
      </c>
      <c r="H54" s="25">
        <f t="shared" si="6"/>
        <v>1210</v>
      </c>
      <c r="I54" s="27">
        <v>-560</v>
      </c>
      <c r="J54" s="28">
        <f t="shared" si="2"/>
        <v>1770</v>
      </c>
      <c r="K54" s="22">
        <f t="shared" si="7"/>
        <v>250</v>
      </c>
      <c r="L54" s="22">
        <v>1</v>
      </c>
      <c r="M54" s="25">
        <f t="shared" si="8"/>
        <v>1394</v>
      </c>
      <c r="N54" s="24">
        <v>-533</v>
      </c>
      <c r="O54" s="28">
        <f t="shared" si="3"/>
        <v>1927</v>
      </c>
      <c r="P54" s="22">
        <f t="shared" si="9"/>
        <v>116</v>
      </c>
      <c r="Q54" s="29"/>
      <c r="R54" s="30"/>
    </row>
    <row r="55" spans="1:18" x14ac:dyDescent="0.25">
      <c r="A55" s="21">
        <v>45858</v>
      </c>
      <c r="B55" s="22">
        <v>1</v>
      </c>
      <c r="C55" s="25">
        <f t="shared" si="4"/>
        <v>1419</v>
      </c>
      <c r="D55" s="24">
        <v>-370</v>
      </c>
      <c r="E55" s="25">
        <f t="shared" si="1"/>
        <v>1789</v>
      </c>
      <c r="F55" s="22">
        <f t="shared" si="5"/>
        <v>166</v>
      </c>
      <c r="G55" s="22">
        <v>1</v>
      </c>
      <c r="H55" s="25">
        <f t="shared" si="6"/>
        <v>1208</v>
      </c>
      <c r="I55" s="27">
        <v>-562</v>
      </c>
      <c r="J55" s="28">
        <f t="shared" si="2"/>
        <v>1770</v>
      </c>
      <c r="K55" s="22">
        <f t="shared" si="7"/>
        <v>252</v>
      </c>
      <c r="L55" s="22">
        <v>1</v>
      </c>
      <c r="M55" s="25">
        <f t="shared" si="8"/>
        <v>1388</v>
      </c>
      <c r="N55" s="24">
        <v>-539</v>
      </c>
      <c r="O55" s="28">
        <f t="shared" si="3"/>
        <v>1927</v>
      </c>
      <c r="P55" s="22">
        <f t="shared" si="9"/>
        <v>122</v>
      </c>
      <c r="Q55" s="29"/>
      <c r="R55" s="30"/>
    </row>
    <row r="56" spans="1:18" x14ac:dyDescent="0.25">
      <c r="A56" s="21">
        <v>45859</v>
      </c>
      <c r="B56" s="22">
        <v>1</v>
      </c>
      <c r="C56" s="25">
        <f t="shared" si="4"/>
        <v>1419</v>
      </c>
      <c r="D56" s="24">
        <v>-370</v>
      </c>
      <c r="E56" s="25">
        <f t="shared" si="1"/>
        <v>1789</v>
      </c>
      <c r="F56" s="22">
        <f t="shared" si="5"/>
        <v>166</v>
      </c>
      <c r="G56" s="22">
        <v>1</v>
      </c>
      <c r="H56" s="25">
        <f t="shared" si="6"/>
        <v>1206</v>
      </c>
      <c r="I56" s="27">
        <v>-564</v>
      </c>
      <c r="J56" s="28">
        <f t="shared" si="2"/>
        <v>1770</v>
      </c>
      <c r="K56" s="22">
        <f t="shared" si="7"/>
        <v>254</v>
      </c>
      <c r="L56" s="22">
        <v>1</v>
      </c>
      <c r="M56" s="25">
        <f t="shared" si="8"/>
        <v>1385</v>
      </c>
      <c r="N56" s="24">
        <v>-542</v>
      </c>
      <c r="O56" s="28">
        <f t="shared" si="3"/>
        <v>1927</v>
      </c>
      <c r="P56" s="22">
        <f t="shared" si="9"/>
        <v>125</v>
      </c>
      <c r="Q56" s="29"/>
      <c r="R56" s="30"/>
    </row>
    <row r="57" spans="1:18" x14ac:dyDescent="0.25">
      <c r="A57" s="21">
        <v>45860</v>
      </c>
      <c r="B57" s="22">
        <v>1</v>
      </c>
      <c r="C57" s="25">
        <f t="shared" si="4"/>
        <v>1417</v>
      </c>
      <c r="D57" s="24">
        <v>-372</v>
      </c>
      <c r="E57" s="25">
        <f t="shared" si="1"/>
        <v>1789</v>
      </c>
      <c r="F57" s="22">
        <f t="shared" si="5"/>
        <v>168</v>
      </c>
      <c r="G57" s="22">
        <v>1</v>
      </c>
      <c r="H57" s="25">
        <f t="shared" si="6"/>
        <v>1204</v>
      </c>
      <c r="I57" s="27">
        <v>-566</v>
      </c>
      <c r="J57" s="28">
        <f t="shared" si="2"/>
        <v>1770</v>
      </c>
      <c r="K57" s="22">
        <f t="shared" si="7"/>
        <v>256</v>
      </c>
      <c r="L57" s="22">
        <v>1</v>
      </c>
      <c r="M57" s="25">
        <f t="shared" si="8"/>
        <v>1382</v>
      </c>
      <c r="N57" s="24">
        <v>-545</v>
      </c>
      <c r="O57" s="28">
        <f t="shared" si="3"/>
        <v>1927</v>
      </c>
      <c r="P57" s="22">
        <f t="shared" si="9"/>
        <v>128</v>
      </c>
      <c r="Q57" s="29"/>
      <c r="R57" s="30"/>
    </row>
    <row r="58" spans="1:18" x14ac:dyDescent="0.25">
      <c r="A58" s="21">
        <v>45861</v>
      </c>
      <c r="B58" s="22">
        <v>1</v>
      </c>
      <c r="C58" s="25">
        <f t="shared" si="4"/>
        <v>1413</v>
      </c>
      <c r="D58" s="24">
        <v>-376</v>
      </c>
      <c r="E58" s="25">
        <f t="shared" si="1"/>
        <v>1789</v>
      </c>
      <c r="F58" s="22">
        <f t="shared" si="5"/>
        <v>172</v>
      </c>
      <c r="G58" s="22">
        <v>1</v>
      </c>
      <c r="H58" s="25">
        <f t="shared" si="6"/>
        <v>1202</v>
      </c>
      <c r="I58" s="27">
        <v>-568</v>
      </c>
      <c r="J58" s="28">
        <f t="shared" si="2"/>
        <v>1770</v>
      </c>
      <c r="K58" s="22">
        <f t="shared" si="7"/>
        <v>258</v>
      </c>
      <c r="L58" s="22">
        <v>1</v>
      </c>
      <c r="M58" s="25">
        <f t="shared" si="8"/>
        <v>1379</v>
      </c>
      <c r="N58" s="24">
        <v>-548</v>
      </c>
      <c r="O58" s="28">
        <f t="shared" si="3"/>
        <v>1927</v>
      </c>
      <c r="P58" s="22">
        <f t="shared" si="9"/>
        <v>131</v>
      </c>
      <c r="Q58" s="29"/>
      <c r="R58" s="30"/>
    </row>
    <row r="59" spans="1:18" x14ac:dyDescent="0.25">
      <c r="A59" s="21">
        <v>45862</v>
      </c>
      <c r="B59" s="22">
        <v>1</v>
      </c>
      <c r="C59" s="25">
        <f t="shared" si="4"/>
        <v>1409</v>
      </c>
      <c r="D59" s="24">
        <v>-380</v>
      </c>
      <c r="E59" s="25">
        <f t="shared" si="1"/>
        <v>1789</v>
      </c>
      <c r="F59" s="22">
        <f t="shared" si="5"/>
        <v>176</v>
      </c>
      <c r="G59" s="22">
        <v>1</v>
      </c>
      <c r="H59" s="25">
        <f t="shared" si="6"/>
        <v>1200</v>
      </c>
      <c r="I59" s="27">
        <v>-570</v>
      </c>
      <c r="J59" s="28">
        <f t="shared" si="2"/>
        <v>1770</v>
      </c>
      <c r="K59" s="22">
        <f t="shared" si="7"/>
        <v>260</v>
      </c>
      <c r="L59" s="22">
        <v>1</v>
      </c>
      <c r="M59" s="25">
        <f t="shared" si="8"/>
        <v>1376</v>
      </c>
      <c r="N59" s="24">
        <v>-551</v>
      </c>
      <c r="O59" s="28">
        <f t="shared" si="3"/>
        <v>1927</v>
      </c>
      <c r="P59" s="22">
        <f t="shared" si="9"/>
        <v>134</v>
      </c>
      <c r="Q59" s="29"/>
      <c r="R59" s="30"/>
    </row>
    <row r="60" spans="1:18" x14ac:dyDescent="0.25">
      <c r="A60" s="21">
        <v>45863</v>
      </c>
      <c r="B60" s="22">
        <v>1</v>
      </c>
      <c r="C60" s="25">
        <f t="shared" si="4"/>
        <v>1405</v>
      </c>
      <c r="D60" s="24">
        <v>-384</v>
      </c>
      <c r="E60" s="25">
        <f t="shared" si="1"/>
        <v>1789</v>
      </c>
      <c r="F60" s="22">
        <f t="shared" si="5"/>
        <v>180</v>
      </c>
      <c r="G60" s="22">
        <v>1</v>
      </c>
      <c r="H60" s="25">
        <f t="shared" si="6"/>
        <v>1198</v>
      </c>
      <c r="I60" s="27">
        <v>-572</v>
      </c>
      <c r="J60" s="28">
        <f t="shared" si="2"/>
        <v>1770</v>
      </c>
      <c r="K60" s="22">
        <f t="shared" si="7"/>
        <v>262</v>
      </c>
      <c r="L60" s="22">
        <v>1</v>
      </c>
      <c r="M60" s="25">
        <f t="shared" si="8"/>
        <v>1373</v>
      </c>
      <c r="N60" s="24">
        <v>-554</v>
      </c>
      <c r="O60" s="28">
        <f t="shared" si="3"/>
        <v>1927</v>
      </c>
      <c r="P60" s="22">
        <f t="shared" si="9"/>
        <v>137</v>
      </c>
      <c r="Q60" s="29"/>
      <c r="R60" s="30"/>
    </row>
    <row r="61" spans="1:18" x14ac:dyDescent="0.25">
      <c r="A61" s="21">
        <v>45864</v>
      </c>
      <c r="B61" s="22">
        <v>1</v>
      </c>
      <c r="C61" s="25">
        <f t="shared" si="4"/>
        <v>1401</v>
      </c>
      <c r="D61" s="24">
        <v>-388</v>
      </c>
      <c r="E61" s="25">
        <f t="shared" si="1"/>
        <v>1789</v>
      </c>
      <c r="F61" s="22">
        <f t="shared" si="5"/>
        <v>184</v>
      </c>
      <c r="G61" s="22">
        <v>1</v>
      </c>
      <c r="H61" s="25">
        <f t="shared" si="6"/>
        <v>1196</v>
      </c>
      <c r="I61" s="27">
        <v>-574</v>
      </c>
      <c r="J61" s="28">
        <f t="shared" si="2"/>
        <v>1770</v>
      </c>
      <c r="K61" s="22">
        <f t="shared" si="7"/>
        <v>264</v>
      </c>
      <c r="L61" s="22">
        <v>1</v>
      </c>
      <c r="M61" s="25">
        <f t="shared" si="8"/>
        <v>1370</v>
      </c>
      <c r="N61" s="24">
        <v>-557</v>
      </c>
      <c r="O61" s="28">
        <f t="shared" si="3"/>
        <v>1927</v>
      </c>
      <c r="P61" s="22">
        <f t="shared" si="9"/>
        <v>140</v>
      </c>
      <c r="Q61" s="29"/>
      <c r="R61" s="30"/>
    </row>
    <row r="62" spans="1:18" x14ac:dyDescent="0.25">
      <c r="A62" s="21">
        <v>45865</v>
      </c>
      <c r="B62" s="22">
        <v>1</v>
      </c>
      <c r="C62" s="23">
        <v>1370</v>
      </c>
      <c r="D62" s="24">
        <v>-392</v>
      </c>
      <c r="E62" s="25">
        <f t="shared" si="1"/>
        <v>1762</v>
      </c>
      <c r="F62" s="22">
        <f t="shared" si="5"/>
        <v>188</v>
      </c>
      <c r="G62" s="22">
        <v>1</v>
      </c>
      <c r="H62" s="25">
        <v>1200</v>
      </c>
      <c r="I62" s="27">
        <v>-576</v>
      </c>
      <c r="J62" s="28">
        <f t="shared" si="2"/>
        <v>1776</v>
      </c>
      <c r="K62" s="22">
        <f t="shared" si="7"/>
        <v>266</v>
      </c>
      <c r="L62" s="22">
        <v>1</v>
      </c>
      <c r="M62" s="25">
        <f t="shared" si="8"/>
        <v>1367</v>
      </c>
      <c r="N62" s="24">
        <v>-560</v>
      </c>
      <c r="O62" s="28">
        <f t="shared" si="3"/>
        <v>1927</v>
      </c>
      <c r="P62" s="22">
        <f t="shared" si="9"/>
        <v>143</v>
      </c>
      <c r="Q62" s="29"/>
      <c r="R62" s="30"/>
    </row>
    <row r="63" spans="1:18" x14ac:dyDescent="0.25">
      <c r="A63" s="21"/>
      <c r="B63" s="22"/>
      <c r="C63" s="23"/>
      <c r="D63" s="24"/>
      <c r="E63" s="25"/>
      <c r="F63" s="22"/>
      <c r="G63" s="22"/>
      <c r="H63" s="25"/>
      <c r="I63" s="27"/>
      <c r="J63" s="28"/>
      <c r="K63" s="22"/>
      <c r="L63" s="22"/>
      <c r="M63" s="23"/>
      <c r="N63" s="24"/>
      <c r="O63" s="28"/>
      <c r="P63" s="22"/>
      <c r="Q63" s="29"/>
      <c r="R63" s="30"/>
    </row>
    <row r="64" spans="1:18" x14ac:dyDescent="0.25">
      <c r="A64" s="21"/>
      <c r="B64" s="22"/>
      <c r="C64" s="23"/>
      <c r="D64" s="24"/>
      <c r="E64" s="25"/>
      <c r="F64" s="22"/>
      <c r="G64" s="22"/>
      <c r="H64" s="25"/>
      <c r="I64" s="27"/>
      <c r="J64" s="28"/>
      <c r="K64" s="22"/>
      <c r="L64" s="22"/>
      <c r="M64" s="23"/>
      <c r="N64" s="24"/>
      <c r="O64" s="28"/>
      <c r="P64" s="22"/>
      <c r="Q64" s="29"/>
      <c r="R64" s="30"/>
    </row>
    <row r="65" spans="1:18" x14ac:dyDescent="0.25">
      <c r="A65" s="21"/>
      <c r="B65" s="22"/>
      <c r="C65" s="23"/>
      <c r="D65" s="24"/>
      <c r="E65" s="25"/>
      <c r="F65" s="22"/>
      <c r="G65" s="22"/>
      <c r="H65" s="25"/>
      <c r="I65" s="27"/>
      <c r="J65" s="28"/>
      <c r="K65" s="22"/>
      <c r="L65" s="22"/>
      <c r="M65" s="23"/>
      <c r="N65" s="24"/>
      <c r="O65" s="28"/>
      <c r="P65" s="22"/>
      <c r="Q65" s="29"/>
      <c r="R65" s="30"/>
    </row>
    <row r="66" spans="1:18" x14ac:dyDescent="0.25">
      <c r="A66" s="21"/>
      <c r="B66" s="22"/>
      <c r="C66" s="23"/>
      <c r="D66" s="24"/>
      <c r="E66" s="25"/>
      <c r="F66" s="22"/>
      <c r="G66" s="22"/>
      <c r="H66" s="25"/>
      <c r="I66" s="27"/>
      <c r="J66" s="28"/>
      <c r="K66" s="22"/>
      <c r="L66" s="22"/>
      <c r="M66" s="23"/>
      <c r="N66" s="24"/>
      <c r="O66" s="28"/>
      <c r="P66" s="22"/>
      <c r="Q66" s="29"/>
      <c r="R66" s="30"/>
    </row>
    <row r="67" spans="1:18" ht="12.75" x14ac:dyDescent="0.2">
      <c r="F67" s="31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6">
    <cfRule type="cellIs" dxfId="27" priority="1" operator="lessThan">
      <formula>60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outlinePr summaryBelow="0" summaryRight="0"/>
  </sheetPr>
  <dimension ref="A1:R62"/>
  <sheetViews>
    <sheetView workbookViewId="0"/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(10/06/25)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41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42</v>
      </c>
      <c r="R10" s="112" t="s">
        <v>43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45818</v>
      </c>
      <c r="B15" s="22">
        <v>1</v>
      </c>
      <c r="C15" s="23">
        <v>1585</v>
      </c>
      <c r="D15" s="24">
        <v>-616</v>
      </c>
      <c r="E15" s="25">
        <f t="shared" ref="E15:E62" si="1">C15-D15</f>
        <v>2201</v>
      </c>
      <c r="F15" s="26">
        <v>0</v>
      </c>
      <c r="G15" s="22">
        <v>1</v>
      </c>
      <c r="H15" s="25">
        <v>1460</v>
      </c>
      <c r="I15" s="27">
        <v>-1165</v>
      </c>
      <c r="J15" s="28">
        <f t="shared" ref="J15:J62" si="2">H15-I15</f>
        <v>2625</v>
      </c>
      <c r="K15" s="22">
        <v>0</v>
      </c>
      <c r="L15" s="22">
        <v>1</v>
      </c>
      <c r="M15" s="23">
        <v>1570</v>
      </c>
      <c r="N15" s="24">
        <v>-909</v>
      </c>
      <c r="O15" s="28">
        <f t="shared" ref="O15:O62" si="3">M15-N15</f>
        <v>2479</v>
      </c>
      <c r="P15" s="22">
        <v>0</v>
      </c>
      <c r="Q15" s="29"/>
      <c r="R15" s="30"/>
    </row>
    <row r="16" spans="1:18" x14ac:dyDescent="0.25">
      <c r="A16" s="21">
        <v>45819</v>
      </c>
      <c r="B16" s="22">
        <v>1</v>
      </c>
      <c r="C16" s="25">
        <f t="shared" ref="C16:C61" si="4">$C$15-F16</f>
        <v>1581</v>
      </c>
      <c r="D16" s="24">
        <v>-620</v>
      </c>
      <c r="E16" s="25">
        <f t="shared" si="1"/>
        <v>2201</v>
      </c>
      <c r="F16" s="22">
        <f t="shared" ref="F16:F62" si="5">$D$15-D16</f>
        <v>4</v>
      </c>
      <c r="G16" s="22">
        <v>1</v>
      </c>
      <c r="H16" s="25">
        <f t="shared" ref="H16:H62" si="6">$H$15-K16</f>
        <v>1456</v>
      </c>
      <c r="I16" s="27">
        <v>-1169</v>
      </c>
      <c r="J16" s="28">
        <f t="shared" si="2"/>
        <v>2625</v>
      </c>
      <c r="K16" s="22">
        <f t="shared" ref="K16:K62" si="7">$I$15-I16</f>
        <v>4</v>
      </c>
      <c r="L16" s="22">
        <v>1</v>
      </c>
      <c r="M16" s="25">
        <f t="shared" ref="M16:M62" si="8">$M$15-P16</f>
        <v>1567</v>
      </c>
      <c r="N16" s="24">
        <v>-912</v>
      </c>
      <c r="O16" s="28">
        <f t="shared" si="3"/>
        <v>2479</v>
      </c>
      <c r="P16" s="22">
        <f t="shared" ref="P16:P62" si="9">$N$15-N16</f>
        <v>3</v>
      </c>
      <c r="Q16" s="29"/>
      <c r="R16" s="30"/>
    </row>
    <row r="17" spans="1:18" x14ac:dyDescent="0.25">
      <c r="A17" s="21">
        <v>45820</v>
      </c>
      <c r="B17" s="22">
        <v>1</v>
      </c>
      <c r="C17" s="25">
        <f t="shared" si="4"/>
        <v>1577</v>
      </c>
      <c r="D17" s="24">
        <v>-624</v>
      </c>
      <c r="E17" s="25">
        <f t="shared" si="1"/>
        <v>2201</v>
      </c>
      <c r="F17" s="22">
        <f t="shared" si="5"/>
        <v>8</v>
      </c>
      <c r="G17" s="22">
        <v>1</v>
      </c>
      <c r="H17" s="25">
        <f t="shared" si="6"/>
        <v>1452</v>
      </c>
      <c r="I17" s="27">
        <v>-1173</v>
      </c>
      <c r="J17" s="28">
        <f t="shared" si="2"/>
        <v>2625</v>
      </c>
      <c r="K17" s="22">
        <f t="shared" si="7"/>
        <v>8</v>
      </c>
      <c r="L17" s="22">
        <v>1</v>
      </c>
      <c r="M17" s="25">
        <f t="shared" si="8"/>
        <v>1564</v>
      </c>
      <c r="N17" s="24">
        <v>-915</v>
      </c>
      <c r="O17" s="28">
        <f t="shared" si="3"/>
        <v>2479</v>
      </c>
      <c r="P17" s="22">
        <f t="shared" si="9"/>
        <v>6</v>
      </c>
      <c r="Q17" s="29"/>
      <c r="R17" s="30"/>
    </row>
    <row r="18" spans="1:18" x14ac:dyDescent="0.25">
      <c r="A18" s="21">
        <v>45821</v>
      </c>
      <c r="B18" s="22">
        <v>1</v>
      </c>
      <c r="C18" s="25">
        <f t="shared" si="4"/>
        <v>1573</v>
      </c>
      <c r="D18" s="24">
        <v>-628</v>
      </c>
      <c r="E18" s="25">
        <f t="shared" si="1"/>
        <v>2201</v>
      </c>
      <c r="F18" s="22">
        <f t="shared" si="5"/>
        <v>12</v>
      </c>
      <c r="G18" s="22">
        <v>1</v>
      </c>
      <c r="H18" s="25">
        <f t="shared" si="6"/>
        <v>1448</v>
      </c>
      <c r="I18" s="27">
        <v>-1177</v>
      </c>
      <c r="J18" s="28">
        <f t="shared" si="2"/>
        <v>2625</v>
      </c>
      <c r="K18" s="22">
        <f t="shared" si="7"/>
        <v>12</v>
      </c>
      <c r="L18" s="22">
        <v>1</v>
      </c>
      <c r="M18" s="25">
        <f t="shared" si="8"/>
        <v>1561</v>
      </c>
      <c r="N18" s="24">
        <v>-918</v>
      </c>
      <c r="O18" s="28">
        <f t="shared" si="3"/>
        <v>2479</v>
      </c>
      <c r="P18" s="22">
        <f t="shared" si="9"/>
        <v>9</v>
      </c>
      <c r="Q18" s="29"/>
      <c r="R18" s="30"/>
    </row>
    <row r="19" spans="1:18" x14ac:dyDescent="0.25">
      <c r="A19" s="21">
        <v>45822</v>
      </c>
      <c r="B19" s="22">
        <v>1</v>
      </c>
      <c r="C19" s="25">
        <f t="shared" si="4"/>
        <v>1569</v>
      </c>
      <c r="D19" s="24">
        <v>-632</v>
      </c>
      <c r="E19" s="25">
        <f t="shared" si="1"/>
        <v>2201</v>
      </c>
      <c r="F19" s="22">
        <f t="shared" si="5"/>
        <v>16</v>
      </c>
      <c r="G19" s="22">
        <v>1</v>
      </c>
      <c r="H19" s="25">
        <f t="shared" si="6"/>
        <v>1444</v>
      </c>
      <c r="I19" s="27">
        <v>-1181</v>
      </c>
      <c r="J19" s="28">
        <f t="shared" si="2"/>
        <v>2625</v>
      </c>
      <c r="K19" s="22">
        <f t="shared" si="7"/>
        <v>16</v>
      </c>
      <c r="L19" s="22">
        <v>1</v>
      </c>
      <c r="M19" s="25">
        <f t="shared" si="8"/>
        <v>1558</v>
      </c>
      <c r="N19" s="24">
        <v>-921</v>
      </c>
      <c r="O19" s="28">
        <f t="shared" si="3"/>
        <v>2479</v>
      </c>
      <c r="P19" s="22">
        <f t="shared" si="9"/>
        <v>12</v>
      </c>
      <c r="Q19" s="29"/>
      <c r="R19" s="30"/>
    </row>
    <row r="20" spans="1:18" x14ac:dyDescent="0.25">
      <c r="A20" s="21">
        <v>45823</v>
      </c>
      <c r="B20" s="22">
        <v>1</v>
      </c>
      <c r="C20" s="25">
        <f t="shared" si="4"/>
        <v>1565</v>
      </c>
      <c r="D20" s="24">
        <v>-636</v>
      </c>
      <c r="E20" s="25">
        <f t="shared" si="1"/>
        <v>2201</v>
      </c>
      <c r="F20" s="22">
        <f t="shared" si="5"/>
        <v>20</v>
      </c>
      <c r="G20" s="22">
        <v>1</v>
      </c>
      <c r="H20" s="25">
        <f t="shared" si="6"/>
        <v>1439</v>
      </c>
      <c r="I20" s="27">
        <v>-1186</v>
      </c>
      <c r="J20" s="28">
        <f t="shared" si="2"/>
        <v>2625</v>
      </c>
      <c r="K20" s="22">
        <f t="shared" si="7"/>
        <v>21</v>
      </c>
      <c r="L20" s="22">
        <v>1</v>
      </c>
      <c r="M20" s="25">
        <f t="shared" si="8"/>
        <v>1555</v>
      </c>
      <c r="N20" s="24">
        <v>-924</v>
      </c>
      <c r="O20" s="28">
        <f t="shared" si="3"/>
        <v>2479</v>
      </c>
      <c r="P20" s="22">
        <f t="shared" si="9"/>
        <v>15</v>
      </c>
      <c r="Q20" s="29"/>
      <c r="R20" s="30"/>
    </row>
    <row r="21" spans="1:18" x14ac:dyDescent="0.25">
      <c r="A21" s="21">
        <v>45824</v>
      </c>
      <c r="B21" s="22">
        <v>1</v>
      </c>
      <c r="C21" s="25">
        <f t="shared" si="4"/>
        <v>1561</v>
      </c>
      <c r="D21" s="24">
        <v>-640</v>
      </c>
      <c r="E21" s="25">
        <f t="shared" si="1"/>
        <v>2201</v>
      </c>
      <c r="F21" s="22">
        <f t="shared" si="5"/>
        <v>24</v>
      </c>
      <c r="G21" s="22">
        <v>1</v>
      </c>
      <c r="H21" s="25">
        <f t="shared" si="6"/>
        <v>1435</v>
      </c>
      <c r="I21" s="27">
        <v>-1190</v>
      </c>
      <c r="J21" s="28">
        <f t="shared" si="2"/>
        <v>2625</v>
      </c>
      <c r="K21" s="22">
        <f t="shared" si="7"/>
        <v>25</v>
      </c>
      <c r="L21" s="22">
        <v>1</v>
      </c>
      <c r="M21" s="25">
        <f t="shared" si="8"/>
        <v>1539</v>
      </c>
      <c r="N21" s="24">
        <v>-940</v>
      </c>
      <c r="O21" s="28">
        <f t="shared" si="3"/>
        <v>2479</v>
      </c>
      <c r="P21" s="22">
        <f t="shared" si="9"/>
        <v>31</v>
      </c>
      <c r="Q21" s="29"/>
      <c r="R21" s="30"/>
    </row>
    <row r="22" spans="1:18" x14ac:dyDescent="0.25">
      <c r="A22" s="21">
        <v>45825</v>
      </c>
      <c r="B22" s="22">
        <v>1</v>
      </c>
      <c r="C22" s="25">
        <f t="shared" si="4"/>
        <v>1540</v>
      </c>
      <c r="D22" s="24">
        <v>-661</v>
      </c>
      <c r="E22" s="25">
        <f t="shared" si="1"/>
        <v>2201</v>
      </c>
      <c r="F22" s="22">
        <f t="shared" si="5"/>
        <v>45</v>
      </c>
      <c r="G22" s="22">
        <v>1</v>
      </c>
      <c r="H22" s="25">
        <f t="shared" si="6"/>
        <v>1420</v>
      </c>
      <c r="I22" s="27">
        <v>-1205</v>
      </c>
      <c r="J22" s="28">
        <f t="shared" si="2"/>
        <v>2625</v>
      </c>
      <c r="K22" s="22">
        <f t="shared" si="7"/>
        <v>40</v>
      </c>
      <c r="L22" s="22">
        <v>1</v>
      </c>
      <c r="M22" s="25">
        <f t="shared" si="8"/>
        <v>1523</v>
      </c>
      <c r="N22" s="24">
        <v>-956</v>
      </c>
      <c r="O22" s="28">
        <f t="shared" si="3"/>
        <v>2479</v>
      </c>
      <c r="P22" s="22">
        <f t="shared" si="9"/>
        <v>47</v>
      </c>
      <c r="Q22" s="29"/>
      <c r="R22" s="30"/>
    </row>
    <row r="23" spans="1:18" x14ac:dyDescent="0.25">
      <c r="A23" s="21">
        <v>45826</v>
      </c>
      <c r="B23" s="22">
        <v>1</v>
      </c>
      <c r="C23" s="25">
        <f t="shared" si="4"/>
        <v>1519</v>
      </c>
      <c r="D23" s="24">
        <v>-682</v>
      </c>
      <c r="E23" s="25">
        <f t="shared" si="1"/>
        <v>2201</v>
      </c>
      <c r="F23" s="22">
        <f t="shared" si="5"/>
        <v>66</v>
      </c>
      <c r="G23" s="22">
        <v>1</v>
      </c>
      <c r="H23" s="25">
        <f t="shared" si="6"/>
        <v>1385</v>
      </c>
      <c r="I23" s="27">
        <v>-1240</v>
      </c>
      <c r="J23" s="28">
        <f t="shared" si="2"/>
        <v>2625</v>
      </c>
      <c r="K23" s="22">
        <f t="shared" si="7"/>
        <v>75</v>
      </c>
      <c r="L23" s="22">
        <v>1</v>
      </c>
      <c r="M23" s="25">
        <f t="shared" si="8"/>
        <v>1507</v>
      </c>
      <c r="N23" s="24">
        <v>-972</v>
      </c>
      <c r="O23" s="28">
        <f t="shared" si="3"/>
        <v>2479</v>
      </c>
      <c r="P23" s="22">
        <f t="shared" si="9"/>
        <v>63</v>
      </c>
      <c r="Q23" s="29"/>
      <c r="R23" s="30"/>
    </row>
    <row r="24" spans="1:18" x14ac:dyDescent="0.25">
      <c r="A24" s="21">
        <v>45827</v>
      </c>
      <c r="B24" s="22">
        <v>1</v>
      </c>
      <c r="C24" s="25">
        <f t="shared" si="4"/>
        <v>1498</v>
      </c>
      <c r="D24" s="24">
        <v>-703</v>
      </c>
      <c r="E24" s="25">
        <f t="shared" si="1"/>
        <v>2201</v>
      </c>
      <c r="F24" s="22">
        <f t="shared" si="5"/>
        <v>87</v>
      </c>
      <c r="G24" s="22">
        <v>1</v>
      </c>
      <c r="H24" s="25">
        <f t="shared" si="6"/>
        <v>1350</v>
      </c>
      <c r="I24" s="27">
        <v>-1275</v>
      </c>
      <c r="J24" s="28">
        <f t="shared" si="2"/>
        <v>2625</v>
      </c>
      <c r="K24" s="22">
        <f t="shared" si="7"/>
        <v>110</v>
      </c>
      <c r="L24" s="22">
        <v>1</v>
      </c>
      <c r="M24" s="25">
        <f t="shared" si="8"/>
        <v>1491</v>
      </c>
      <c r="N24" s="24">
        <v>-988</v>
      </c>
      <c r="O24" s="28">
        <f t="shared" si="3"/>
        <v>2479</v>
      </c>
      <c r="P24" s="22">
        <f t="shared" si="9"/>
        <v>79</v>
      </c>
      <c r="Q24" s="29"/>
      <c r="R24" s="30"/>
    </row>
    <row r="25" spans="1:18" x14ac:dyDescent="0.25">
      <c r="A25" s="21">
        <v>45828</v>
      </c>
      <c r="B25" s="22">
        <v>1</v>
      </c>
      <c r="C25" s="25">
        <f t="shared" si="4"/>
        <v>1477</v>
      </c>
      <c r="D25" s="24">
        <v>-724</v>
      </c>
      <c r="E25" s="25">
        <f t="shared" si="1"/>
        <v>2201</v>
      </c>
      <c r="F25" s="22">
        <f t="shared" si="5"/>
        <v>108</v>
      </c>
      <c r="G25" s="22">
        <v>1</v>
      </c>
      <c r="H25" s="25">
        <f t="shared" si="6"/>
        <v>1315</v>
      </c>
      <c r="I25" s="27">
        <v>-1310</v>
      </c>
      <c r="J25" s="28">
        <f t="shared" si="2"/>
        <v>2625</v>
      </c>
      <c r="K25" s="22">
        <f t="shared" si="7"/>
        <v>145</v>
      </c>
      <c r="L25" s="22">
        <v>1</v>
      </c>
      <c r="M25" s="25">
        <f t="shared" si="8"/>
        <v>1489</v>
      </c>
      <c r="N25" s="24">
        <v>-990</v>
      </c>
      <c r="O25" s="28">
        <f t="shared" si="3"/>
        <v>2479</v>
      </c>
      <c r="P25" s="22">
        <f t="shared" si="9"/>
        <v>81</v>
      </c>
      <c r="Q25" s="29"/>
      <c r="R25" s="30"/>
    </row>
    <row r="26" spans="1:18" x14ac:dyDescent="0.25">
      <c r="A26" s="21">
        <v>45829</v>
      </c>
      <c r="B26" s="22">
        <v>1</v>
      </c>
      <c r="C26" s="25">
        <f t="shared" si="4"/>
        <v>1468</v>
      </c>
      <c r="D26" s="24">
        <v>-733</v>
      </c>
      <c r="E26" s="25">
        <f t="shared" si="1"/>
        <v>2201</v>
      </c>
      <c r="F26" s="22">
        <f t="shared" si="5"/>
        <v>117</v>
      </c>
      <c r="G26" s="22">
        <v>1</v>
      </c>
      <c r="H26" s="25">
        <f t="shared" si="6"/>
        <v>1280</v>
      </c>
      <c r="I26" s="27">
        <v>-1345</v>
      </c>
      <c r="J26" s="28">
        <f t="shared" si="2"/>
        <v>2625</v>
      </c>
      <c r="K26" s="22">
        <f t="shared" si="7"/>
        <v>180</v>
      </c>
      <c r="L26" s="22">
        <v>1</v>
      </c>
      <c r="M26" s="25">
        <f t="shared" si="8"/>
        <v>1474</v>
      </c>
      <c r="N26" s="24">
        <v>-1005</v>
      </c>
      <c r="O26" s="28">
        <f t="shared" si="3"/>
        <v>2479</v>
      </c>
      <c r="P26" s="22">
        <f t="shared" si="9"/>
        <v>96</v>
      </c>
      <c r="Q26" s="29"/>
      <c r="R26" s="30"/>
    </row>
    <row r="27" spans="1:18" x14ac:dyDescent="0.25">
      <c r="A27" s="21">
        <v>45830</v>
      </c>
      <c r="B27" s="22">
        <v>1</v>
      </c>
      <c r="C27" s="25">
        <f t="shared" si="4"/>
        <v>1451</v>
      </c>
      <c r="D27" s="24">
        <v>-750</v>
      </c>
      <c r="E27" s="25">
        <f t="shared" si="1"/>
        <v>2201</v>
      </c>
      <c r="F27" s="22">
        <f t="shared" si="5"/>
        <v>134</v>
      </c>
      <c r="G27" s="22">
        <v>1</v>
      </c>
      <c r="H27" s="25">
        <f t="shared" si="6"/>
        <v>1260</v>
      </c>
      <c r="I27" s="27">
        <v>-1365</v>
      </c>
      <c r="J27" s="28">
        <f t="shared" si="2"/>
        <v>2625</v>
      </c>
      <c r="K27" s="22">
        <f t="shared" si="7"/>
        <v>200</v>
      </c>
      <c r="L27" s="22">
        <v>1</v>
      </c>
      <c r="M27" s="25">
        <f t="shared" si="8"/>
        <v>1467</v>
      </c>
      <c r="N27" s="24">
        <v>-1012</v>
      </c>
      <c r="O27" s="28">
        <f t="shared" si="3"/>
        <v>2479</v>
      </c>
      <c r="P27" s="22">
        <f t="shared" si="9"/>
        <v>103</v>
      </c>
      <c r="Q27" s="29"/>
      <c r="R27" s="30"/>
    </row>
    <row r="28" spans="1:18" x14ac:dyDescent="0.25">
      <c r="A28" s="21">
        <v>45831</v>
      </c>
      <c r="B28" s="22">
        <v>1</v>
      </c>
      <c r="C28" s="25">
        <f t="shared" si="4"/>
        <v>1434</v>
      </c>
      <c r="D28" s="24">
        <v>-767</v>
      </c>
      <c r="E28" s="25">
        <f t="shared" si="1"/>
        <v>2201</v>
      </c>
      <c r="F28" s="22">
        <f t="shared" si="5"/>
        <v>151</v>
      </c>
      <c r="G28" s="22">
        <v>1</v>
      </c>
      <c r="H28" s="25">
        <f t="shared" si="6"/>
        <v>1240</v>
      </c>
      <c r="I28" s="27">
        <v>-1385</v>
      </c>
      <c r="J28" s="28">
        <f t="shared" si="2"/>
        <v>2625</v>
      </c>
      <c r="K28" s="22">
        <f t="shared" si="7"/>
        <v>220</v>
      </c>
      <c r="L28" s="22">
        <v>1</v>
      </c>
      <c r="M28" s="25">
        <f t="shared" si="8"/>
        <v>1460</v>
      </c>
      <c r="N28" s="24">
        <v>-1019</v>
      </c>
      <c r="O28" s="28">
        <f t="shared" si="3"/>
        <v>2479</v>
      </c>
      <c r="P28" s="22">
        <f t="shared" si="9"/>
        <v>110</v>
      </c>
      <c r="Q28" s="29"/>
      <c r="R28" s="30"/>
    </row>
    <row r="29" spans="1:18" x14ac:dyDescent="0.25">
      <c r="A29" s="21">
        <v>45832</v>
      </c>
      <c r="B29" s="22">
        <v>1</v>
      </c>
      <c r="C29" s="25">
        <f t="shared" si="4"/>
        <v>1417</v>
      </c>
      <c r="D29" s="24">
        <v>-784</v>
      </c>
      <c r="E29" s="25">
        <f t="shared" si="1"/>
        <v>2201</v>
      </c>
      <c r="F29" s="22">
        <f t="shared" si="5"/>
        <v>168</v>
      </c>
      <c r="G29" s="22">
        <v>1</v>
      </c>
      <c r="H29" s="25">
        <f t="shared" si="6"/>
        <v>1220</v>
      </c>
      <c r="I29" s="27">
        <v>-1405</v>
      </c>
      <c r="J29" s="28">
        <f t="shared" si="2"/>
        <v>2625</v>
      </c>
      <c r="K29" s="22">
        <f t="shared" si="7"/>
        <v>240</v>
      </c>
      <c r="L29" s="22">
        <v>1</v>
      </c>
      <c r="M29" s="25">
        <f t="shared" si="8"/>
        <v>1453</v>
      </c>
      <c r="N29" s="24">
        <v>-1026</v>
      </c>
      <c r="O29" s="28">
        <f t="shared" si="3"/>
        <v>2479</v>
      </c>
      <c r="P29" s="22">
        <f t="shared" si="9"/>
        <v>117</v>
      </c>
      <c r="Q29" s="29"/>
      <c r="R29" s="30"/>
    </row>
    <row r="30" spans="1:18" x14ac:dyDescent="0.25">
      <c r="A30" s="21">
        <v>45833</v>
      </c>
      <c r="B30" s="22">
        <v>1</v>
      </c>
      <c r="C30" s="25">
        <f t="shared" si="4"/>
        <v>1400</v>
      </c>
      <c r="D30" s="24">
        <v>-801</v>
      </c>
      <c r="E30" s="25">
        <f t="shared" si="1"/>
        <v>2201</v>
      </c>
      <c r="F30" s="22">
        <f t="shared" si="5"/>
        <v>185</v>
      </c>
      <c r="G30" s="22">
        <v>1</v>
      </c>
      <c r="H30" s="25">
        <f t="shared" si="6"/>
        <v>1200</v>
      </c>
      <c r="I30" s="27">
        <v>-1425</v>
      </c>
      <c r="J30" s="28">
        <f t="shared" si="2"/>
        <v>2625</v>
      </c>
      <c r="K30" s="22">
        <f t="shared" si="7"/>
        <v>260</v>
      </c>
      <c r="L30" s="22">
        <v>1</v>
      </c>
      <c r="M30" s="25">
        <f t="shared" si="8"/>
        <v>1446</v>
      </c>
      <c r="N30" s="24">
        <v>-1033</v>
      </c>
      <c r="O30" s="28">
        <f t="shared" si="3"/>
        <v>2479</v>
      </c>
      <c r="P30" s="22">
        <f t="shared" si="9"/>
        <v>124</v>
      </c>
      <c r="Q30" s="29"/>
      <c r="R30" s="30"/>
    </row>
    <row r="31" spans="1:18" x14ac:dyDescent="0.25">
      <c r="A31" s="21">
        <v>45834</v>
      </c>
      <c r="B31" s="22">
        <v>1</v>
      </c>
      <c r="C31" s="25">
        <f t="shared" si="4"/>
        <v>1392</v>
      </c>
      <c r="D31" s="24">
        <v>-809</v>
      </c>
      <c r="E31" s="25">
        <f t="shared" si="1"/>
        <v>2201</v>
      </c>
      <c r="F31" s="22">
        <f t="shared" si="5"/>
        <v>193</v>
      </c>
      <c r="G31" s="22">
        <v>1</v>
      </c>
      <c r="H31" s="25">
        <f t="shared" si="6"/>
        <v>1184</v>
      </c>
      <c r="I31" s="27">
        <v>-1441</v>
      </c>
      <c r="J31" s="28">
        <f t="shared" si="2"/>
        <v>2625</v>
      </c>
      <c r="K31" s="22">
        <f t="shared" si="7"/>
        <v>276</v>
      </c>
      <c r="L31" s="22">
        <v>1</v>
      </c>
      <c r="M31" s="25">
        <f t="shared" si="8"/>
        <v>1418</v>
      </c>
      <c r="N31" s="24">
        <v>-1061</v>
      </c>
      <c r="O31" s="28">
        <f t="shared" si="3"/>
        <v>2479</v>
      </c>
      <c r="P31" s="22">
        <f t="shared" si="9"/>
        <v>152</v>
      </c>
      <c r="Q31" s="29"/>
      <c r="R31" s="30"/>
    </row>
    <row r="32" spans="1:18" x14ac:dyDescent="0.25">
      <c r="A32" s="21">
        <v>45835</v>
      </c>
      <c r="B32" s="22">
        <v>1</v>
      </c>
      <c r="C32" s="25">
        <f t="shared" si="4"/>
        <v>1391</v>
      </c>
      <c r="D32" s="24">
        <v>-810</v>
      </c>
      <c r="E32" s="25">
        <f t="shared" si="1"/>
        <v>2201</v>
      </c>
      <c r="F32" s="22">
        <f t="shared" si="5"/>
        <v>194</v>
      </c>
      <c r="G32" s="22">
        <v>1</v>
      </c>
      <c r="H32" s="25">
        <f t="shared" si="6"/>
        <v>1183</v>
      </c>
      <c r="I32" s="27">
        <v>-1442</v>
      </c>
      <c r="J32" s="28">
        <f t="shared" si="2"/>
        <v>2625</v>
      </c>
      <c r="K32" s="22">
        <f t="shared" si="7"/>
        <v>277</v>
      </c>
      <c r="L32" s="22">
        <v>1</v>
      </c>
      <c r="M32" s="25">
        <f t="shared" si="8"/>
        <v>1417</v>
      </c>
      <c r="N32" s="24">
        <v>-1062</v>
      </c>
      <c r="O32" s="28">
        <f t="shared" si="3"/>
        <v>2479</v>
      </c>
      <c r="P32" s="22">
        <f t="shared" si="9"/>
        <v>153</v>
      </c>
      <c r="Q32" s="29"/>
      <c r="R32" s="30"/>
    </row>
    <row r="33" spans="1:18" x14ac:dyDescent="0.25">
      <c r="A33" s="21">
        <v>45836</v>
      </c>
      <c r="B33" s="22">
        <v>1</v>
      </c>
      <c r="C33" s="25">
        <f t="shared" si="4"/>
        <v>1390</v>
      </c>
      <c r="D33" s="24">
        <v>-811</v>
      </c>
      <c r="E33" s="25">
        <f t="shared" si="1"/>
        <v>2201</v>
      </c>
      <c r="F33" s="22">
        <f t="shared" si="5"/>
        <v>195</v>
      </c>
      <c r="G33" s="22">
        <v>1</v>
      </c>
      <c r="H33" s="25">
        <f t="shared" si="6"/>
        <v>1182</v>
      </c>
      <c r="I33" s="27">
        <v>-1443</v>
      </c>
      <c r="J33" s="28">
        <f t="shared" si="2"/>
        <v>2625</v>
      </c>
      <c r="K33" s="22">
        <f t="shared" si="7"/>
        <v>278</v>
      </c>
      <c r="L33" s="22">
        <v>1</v>
      </c>
      <c r="M33" s="25">
        <f t="shared" si="8"/>
        <v>1416</v>
      </c>
      <c r="N33" s="24">
        <v>-1063</v>
      </c>
      <c r="O33" s="28">
        <f t="shared" si="3"/>
        <v>2479</v>
      </c>
      <c r="P33" s="22">
        <f t="shared" si="9"/>
        <v>154</v>
      </c>
      <c r="Q33" s="29"/>
      <c r="R33" s="30"/>
    </row>
    <row r="34" spans="1:18" x14ac:dyDescent="0.25">
      <c r="A34" s="21">
        <v>45837</v>
      </c>
      <c r="B34" s="22">
        <v>1</v>
      </c>
      <c r="C34" s="25">
        <f t="shared" si="4"/>
        <v>1389</v>
      </c>
      <c r="D34" s="24">
        <v>-812</v>
      </c>
      <c r="E34" s="25">
        <f t="shared" si="1"/>
        <v>2201</v>
      </c>
      <c r="F34" s="22">
        <f t="shared" si="5"/>
        <v>196</v>
      </c>
      <c r="G34" s="22">
        <v>1</v>
      </c>
      <c r="H34" s="25">
        <f t="shared" si="6"/>
        <v>1181</v>
      </c>
      <c r="I34" s="27">
        <v>-1444</v>
      </c>
      <c r="J34" s="28">
        <f t="shared" si="2"/>
        <v>2625</v>
      </c>
      <c r="K34" s="22">
        <f t="shared" si="7"/>
        <v>279</v>
      </c>
      <c r="L34" s="22">
        <v>1</v>
      </c>
      <c r="M34" s="25">
        <f t="shared" si="8"/>
        <v>1415</v>
      </c>
      <c r="N34" s="24">
        <v>-1064</v>
      </c>
      <c r="O34" s="28">
        <f t="shared" si="3"/>
        <v>2479</v>
      </c>
      <c r="P34" s="22">
        <f t="shared" si="9"/>
        <v>155</v>
      </c>
      <c r="Q34" s="29"/>
      <c r="R34" s="30"/>
    </row>
    <row r="35" spans="1:18" x14ac:dyDescent="0.25">
      <c r="A35" s="21">
        <v>45838</v>
      </c>
      <c r="B35" s="22">
        <v>1</v>
      </c>
      <c r="C35" s="25">
        <f t="shared" si="4"/>
        <v>1388</v>
      </c>
      <c r="D35" s="24">
        <v>-813</v>
      </c>
      <c r="E35" s="25">
        <f t="shared" si="1"/>
        <v>2201</v>
      </c>
      <c r="F35" s="22">
        <f t="shared" si="5"/>
        <v>197</v>
      </c>
      <c r="G35" s="22">
        <v>1</v>
      </c>
      <c r="H35" s="25">
        <f t="shared" si="6"/>
        <v>1180</v>
      </c>
      <c r="I35" s="27">
        <v>-1445</v>
      </c>
      <c r="J35" s="28">
        <f t="shared" si="2"/>
        <v>2625</v>
      </c>
      <c r="K35" s="22">
        <f t="shared" si="7"/>
        <v>280</v>
      </c>
      <c r="L35" s="22">
        <v>1</v>
      </c>
      <c r="M35" s="25">
        <f t="shared" si="8"/>
        <v>1414</v>
      </c>
      <c r="N35" s="24">
        <v>-1065</v>
      </c>
      <c r="O35" s="28">
        <f t="shared" si="3"/>
        <v>2479</v>
      </c>
      <c r="P35" s="22">
        <f t="shared" si="9"/>
        <v>156</v>
      </c>
      <c r="Q35" s="29"/>
      <c r="R35" s="30"/>
    </row>
    <row r="36" spans="1:18" x14ac:dyDescent="0.25">
      <c r="A36" s="21">
        <v>45839</v>
      </c>
      <c r="B36" s="22">
        <v>1</v>
      </c>
      <c r="C36" s="25">
        <f t="shared" si="4"/>
        <v>1387</v>
      </c>
      <c r="D36" s="24">
        <v>-814</v>
      </c>
      <c r="E36" s="25">
        <f t="shared" si="1"/>
        <v>2201</v>
      </c>
      <c r="F36" s="22">
        <f t="shared" si="5"/>
        <v>198</v>
      </c>
      <c r="G36" s="22">
        <v>1</v>
      </c>
      <c r="H36" s="25">
        <f t="shared" si="6"/>
        <v>1179</v>
      </c>
      <c r="I36" s="27">
        <v>-1446</v>
      </c>
      <c r="J36" s="28">
        <f t="shared" si="2"/>
        <v>2625</v>
      </c>
      <c r="K36" s="22">
        <f t="shared" si="7"/>
        <v>281</v>
      </c>
      <c r="L36" s="22">
        <v>1</v>
      </c>
      <c r="M36" s="25">
        <f t="shared" si="8"/>
        <v>1413</v>
      </c>
      <c r="N36" s="24">
        <v>-1066</v>
      </c>
      <c r="O36" s="28">
        <f t="shared" si="3"/>
        <v>2479</v>
      </c>
      <c r="P36" s="22">
        <f t="shared" si="9"/>
        <v>157</v>
      </c>
      <c r="Q36" s="29"/>
      <c r="R36" s="30"/>
    </row>
    <row r="37" spans="1:18" x14ac:dyDescent="0.25">
      <c r="A37" s="21">
        <v>45840</v>
      </c>
      <c r="B37" s="22">
        <v>1</v>
      </c>
      <c r="C37" s="25">
        <f t="shared" si="4"/>
        <v>1386</v>
      </c>
      <c r="D37" s="24">
        <v>-815</v>
      </c>
      <c r="E37" s="25">
        <f t="shared" si="1"/>
        <v>2201</v>
      </c>
      <c r="F37" s="22">
        <f t="shared" si="5"/>
        <v>199</v>
      </c>
      <c r="G37" s="22">
        <v>1</v>
      </c>
      <c r="H37" s="25">
        <f t="shared" si="6"/>
        <v>1178</v>
      </c>
      <c r="I37" s="27">
        <v>-1447</v>
      </c>
      <c r="J37" s="28">
        <f t="shared" si="2"/>
        <v>2625</v>
      </c>
      <c r="K37" s="22">
        <f t="shared" si="7"/>
        <v>282</v>
      </c>
      <c r="L37" s="22">
        <v>1</v>
      </c>
      <c r="M37" s="25">
        <f t="shared" si="8"/>
        <v>1412</v>
      </c>
      <c r="N37" s="24">
        <v>-1067</v>
      </c>
      <c r="O37" s="28">
        <f t="shared" si="3"/>
        <v>2479</v>
      </c>
      <c r="P37" s="22">
        <f t="shared" si="9"/>
        <v>158</v>
      </c>
      <c r="Q37" s="29"/>
      <c r="R37" s="30"/>
    </row>
    <row r="38" spans="1:18" x14ac:dyDescent="0.25">
      <c r="A38" s="21">
        <v>45841</v>
      </c>
      <c r="B38" s="22">
        <v>1</v>
      </c>
      <c r="C38" s="25">
        <f t="shared" si="4"/>
        <v>1385</v>
      </c>
      <c r="D38" s="24">
        <v>-816</v>
      </c>
      <c r="E38" s="25">
        <f t="shared" si="1"/>
        <v>2201</v>
      </c>
      <c r="F38" s="22">
        <f t="shared" si="5"/>
        <v>200</v>
      </c>
      <c r="G38" s="22">
        <v>1</v>
      </c>
      <c r="H38" s="25">
        <f t="shared" si="6"/>
        <v>1177</v>
      </c>
      <c r="I38" s="27">
        <v>-1448</v>
      </c>
      <c r="J38" s="28">
        <f t="shared" si="2"/>
        <v>2625</v>
      </c>
      <c r="K38" s="22">
        <f t="shared" si="7"/>
        <v>283</v>
      </c>
      <c r="L38" s="22">
        <v>1</v>
      </c>
      <c r="M38" s="25">
        <f t="shared" si="8"/>
        <v>1411</v>
      </c>
      <c r="N38" s="24">
        <v>-1068</v>
      </c>
      <c r="O38" s="28">
        <f t="shared" si="3"/>
        <v>2479</v>
      </c>
      <c r="P38" s="22">
        <f t="shared" si="9"/>
        <v>159</v>
      </c>
      <c r="Q38" s="29"/>
      <c r="R38" s="30"/>
    </row>
    <row r="39" spans="1:18" x14ac:dyDescent="0.25">
      <c r="A39" s="21">
        <v>45842</v>
      </c>
      <c r="B39" s="22">
        <v>1</v>
      </c>
      <c r="C39" s="25">
        <f t="shared" si="4"/>
        <v>1384</v>
      </c>
      <c r="D39" s="24">
        <v>-817</v>
      </c>
      <c r="E39" s="25">
        <f t="shared" si="1"/>
        <v>2201</v>
      </c>
      <c r="F39" s="22">
        <f t="shared" si="5"/>
        <v>201</v>
      </c>
      <c r="G39" s="22">
        <v>1</v>
      </c>
      <c r="H39" s="25">
        <f t="shared" si="6"/>
        <v>1176</v>
      </c>
      <c r="I39" s="27">
        <v>-1449</v>
      </c>
      <c r="J39" s="28">
        <f t="shared" si="2"/>
        <v>2625</v>
      </c>
      <c r="K39" s="22">
        <f t="shared" si="7"/>
        <v>284</v>
      </c>
      <c r="L39" s="22">
        <v>1</v>
      </c>
      <c r="M39" s="25">
        <f t="shared" si="8"/>
        <v>1410</v>
      </c>
      <c r="N39" s="24">
        <v>-1069</v>
      </c>
      <c r="O39" s="28">
        <f t="shared" si="3"/>
        <v>2479</v>
      </c>
      <c r="P39" s="22">
        <f t="shared" si="9"/>
        <v>160</v>
      </c>
      <c r="Q39" s="29"/>
      <c r="R39" s="30"/>
    </row>
    <row r="40" spans="1:18" x14ac:dyDescent="0.25">
      <c r="A40" s="21">
        <v>45843</v>
      </c>
      <c r="B40" s="22">
        <v>1</v>
      </c>
      <c r="C40" s="25">
        <f t="shared" si="4"/>
        <v>1383</v>
      </c>
      <c r="D40" s="24">
        <v>-818</v>
      </c>
      <c r="E40" s="25">
        <f t="shared" si="1"/>
        <v>2201</v>
      </c>
      <c r="F40" s="22">
        <f t="shared" si="5"/>
        <v>202</v>
      </c>
      <c r="G40" s="22">
        <v>1</v>
      </c>
      <c r="H40" s="25">
        <f t="shared" si="6"/>
        <v>1175</v>
      </c>
      <c r="I40" s="27">
        <v>-1450</v>
      </c>
      <c r="J40" s="28">
        <f t="shared" si="2"/>
        <v>2625</v>
      </c>
      <c r="K40" s="22">
        <f t="shared" si="7"/>
        <v>285</v>
      </c>
      <c r="L40" s="22">
        <v>1</v>
      </c>
      <c r="M40" s="25">
        <f t="shared" si="8"/>
        <v>1409</v>
      </c>
      <c r="N40" s="24">
        <v>-1070</v>
      </c>
      <c r="O40" s="28">
        <f t="shared" si="3"/>
        <v>2479</v>
      </c>
      <c r="P40" s="22">
        <f t="shared" si="9"/>
        <v>161</v>
      </c>
      <c r="Q40" s="29"/>
      <c r="R40" s="30"/>
    </row>
    <row r="41" spans="1:18" x14ac:dyDescent="0.25">
      <c r="A41" s="21">
        <v>45844</v>
      </c>
      <c r="B41" s="22">
        <v>1</v>
      </c>
      <c r="C41" s="25">
        <f t="shared" si="4"/>
        <v>1382</v>
      </c>
      <c r="D41" s="24">
        <v>-819</v>
      </c>
      <c r="E41" s="25">
        <f t="shared" si="1"/>
        <v>2201</v>
      </c>
      <c r="F41" s="22">
        <f t="shared" si="5"/>
        <v>203</v>
      </c>
      <c r="G41" s="22">
        <v>1</v>
      </c>
      <c r="H41" s="25">
        <f t="shared" si="6"/>
        <v>1174</v>
      </c>
      <c r="I41" s="27">
        <v>-1451</v>
      </c>
      <c r="J41" s="28">
        <f t="shared" si="2"/>
        <v>2625</v>
      </c>
      <c r="K41" s="22">
        <f t="shared" si="7"/>
        <v>286</v>
      </c>
      <c r="L41" s="22">
        <v>1</v>
      </c>
      <c r="M41" s="25">
        <f t="shared" si="8"/>
        <v>1409</v>
      </c>
      <c r="N41" s="24">
        <v>-1070</v>
      </c>
      <c r="O41" s="28">
        <f t="shared" si="3"/>
        <v>2479</v>
      </c>
      <c r="P41" s="22">
        <f t="shared" si="9"/>
        <v>161</v>
      </c>
      <c r="Q41" s="29"/>
      <c r="R41" s="30"/>
    </row>
    <row r="42" spans="1:18" x14ac:dyDescent="0.25">
      <c r="A42" s="21">
        <v>45845</v>
      </c>
      <c r="B42" s="22">
        <v>1</v>
      </c>
      <c r="C42" s="25">
        <f t="shared" si="4"/>
        <v>1381</v>
      </c>
      <c r="D42" s="24">
        <v>-820</v>
      </c>
      <c r="E42" s="25">
        <f t="shared" si="1"/>
        <v>2201</v>
      </c>
      <c r="F42" s="22">
        <f t="shared" si="5"/>
        <v>204</v>
      </c>
      <c r="G42" s="22">
        <v>1</v>
      </c>
      <c r="H42" s="25">
        <f t="shared" si="6"/>
        <v>1173</v>
      </c>
      <c r="I42" s="27">
        <v>-1452</v>
      </c>
      <c r="J42" s="28">
        <f t="shared" si="2"/>
        <v>2625</v>
      </c>
      <c r="K42" s="22">
        <f t="shared" si="7"/>
        <v>287</v>
      </c>
      <c r="L42" s="22">
        <v>1</v>
      </c>
      <c r="M42" s="25">
        <f t="shared" si="8"/>
        <v>1409</v>
      </c>
      <c r="N42" s="24">
        <v>-1070</v>
      </c>
      <c r="O42" s="28">
        <f t="shared" si="3"/>
        <v>2479</v>
      </c>
      <c r="P42" s="22">
        <f t="shared" si="9"/>
        <v>161</v>
      </c>
      <c r="Q42" s="29"/>
      <c r="R42" s="30"/>
    </row>
    <row r="43" spans="1:18" x14ac:dyDescent="0.25">
      <c r="A43" s="21">
        <v>45846</v>
      </c>
      <c r="B43" s="22">
        <v>1</v>
      </c>
      <c r="C43" s="25">
        <f t="shared" si="4"/>
        <v>1380</v>
      </c>
      <c r="D43" s="24">
        <v>-821</v>
      </c>
      <c r="E43" s="25">
        <f t="shared" si="1"/>
        <v>2201</v>
      </c>
      <c r="F43" s="22">
        <f t="shared" si="5"/>
        <v>205</v>
      </c>
      <c r="G43" s="22">
        <v>1</v>
      </c>
      <c r="H43" s="25">
        <f t="shared" si="6"/>
        <v>1172</v>
      </c>
      <c r="I43" s="27">
        <v>-1453</v>
      </c>
      <c r="J43" s="28">
        <f t="shared" si="2"/>
        <v>2625</v>
      </c>
      <c r="K43" s="22">
        <f t="shared" si="7"/>
        <v>288</v>
      </c>
      <c r="L43" s="22">
        <v>1</v>
      </c>
      <c r="M43" s="25">
        <f t="shared" si="8"/>
        <v>1409</v>
      </c>
      <c r="N43" s="24">
        <v>-1070</v>
      </c>
      <c r="O43" s="28">
        <f t="shared" si="3"/>
        <v>2479</v>
      </c>
      <c r="P43" s="22">
        <f t="shared" si="9"/>
        <v>161</v>
      </c>
      <c r="Q43" s="29"/>
      <c r="R43" s="30"/>
    </row>
    <row r="44" spans="1:18" x14ac:dyDescent="0.25">
      <c r="A44" s="21">
        <v>45847</v>
      </c>
      <c r="B44" s="22">
        <v>1</v>
      </c>
      <c r="C44" s="25">
        <f t="shared" si="4"/>
        <v>1379</v>
      </c>
      <c r="D44" s="24">
        <v>-822</v>
      </c>
      <c r="E44" s="25">
        <f t="shared" si="1"/>
        <v>2201</v>
      </c>
      <c r="F44" s="22">
        <f t="shared" si="5"/>
        <v>206</v>
      </c>
      <c r="G44" s="22">
        <v>1</v>
      </c>
      <c r="H44" s="25">
        <f t="shared" si="6"/>
        <v>1171</v>
      </c>
      <c r="I44" s="27">
        <v>-1454</v>
      </c>
      <c r="J44" s="28">
        <f t="shared" si="2"/>
        <v>2625</v>
      </c>
      <c r="K44" s="22">
        <f t="shared" si="7"/>
        <v>289</v>
      </c>
      <c r="L44" s="22">
        <v>1</v>
      </c>
      <c r="M44" s="25">
        <f t="shared" si="8"/>
        <v>1409</v>
      </c>
      <c r="N44" s="24">
        <v>-1070</v>
      </c>
      <c r="O44" s="28">
        <f t="shared" si="3"/>
        <v>2479</v>
      </c>
      <c r="P44" s="22">
        <f t="shared" si="9"/>
        <v>161</v>
      </c>
      <c r="Q44" s="29"/>
      <c r="R44" s="30"/>
    </row>
    <row r="45" spans="1:18" x14ac:dyDescent="0.25">
      <c r="A45" s="21">
        <v>45848</v>
      </c>
      <c r="B45" s="22">
        <v>1</v>
      </c>
      <c r="C45" s="25">
        <f t="shared" si="4"/>
        <v>1378</v>
      </c>
      <c r="D45" s="24">
        <v>-823</v>
      </c>
      <c r="E45" s="25">
        <f t="shared" si="1"/>
        <v>2201</v>
      </c>
      <c r="F45" s="22">
        <f t="shared" si="5"/>
        <v>207</v>
      </c>
      <c r="G45" s="22">
        <v>1</v>
      </c>
      <c r="H45" s="25">
        <f t="shared" si="6"/>
        <v>1170</v>
      </c>
      <c r="I45" s="27">
        <v>-1455</v>
      </c>
      <c r="J45" s="28">
        <f t="shared" si="2"/>
        <v>2625</v>
      </c>
      <c r="K45" s="22">
        <f t="shared" si="7"/>
        <v>290</v>
      </c>
      <c r="L45" s="22">
        <v>1</v>
      </c>
      <c r="M45" s="25">
        <f t="shared" si="8"/>
        <v>1409</v>
      </c>
      <c r="N45" s="24">
        <v>-1070</v>
      </c>
      <c r="O45" s="28">
        <f t="shared" si="3"/>
        <v>2479</v>
      </c>
      <c r="P45" s="22">
        <f t="shared" si="9"/>
        <v>161</v>
      </c>
      <c r="Q45" s="29"/>
      <c r="R45" s="30"/>
    </row>
    <row r="46" spans="1:18" x14ac:dyDescent="0.25">
      <c r="A46" s="21">
        <v>45849</v>
      </c>
      <c r="B46" s="22">
        <v>1</v>
      </c>
      <c r="C46" s="25">
        <f t="shared" si="4"/>
        <v>1377</v>
      </c>
      <c r="D46" s="24">
        <v>-824</v>
      </c>
      <c r="E46" s="25">
        <f t="shared" si="1"/>
        <v>2201</v>
      </c>
      <c r="F46" s="22">
        <f t="shared" si="5"/>
        <v>208</v>
      </c>
      <c r="G46" s="22">
        <v>1</v>
      </c>
      <c r="H46" s="25">
        <f t="shared" si="6"/>
        <v>1169</v>
      </c>
      <c r="I46" s="27">
        <v>-1456</v>
      </c>
      <c r="J46" s="28">
        <f t="shared" si="2"/>
        <v>2625</v>
      </c>
      <c r="K46" s="22">
        <f t="shared" si="7"/>
        <v>291</v>
      </c>
      <c r="L46" s="22">
        <v>1</v>
      </c>
      <c r="M46" s="25">
        <f t="shared" si="8"/>
        <v>1409</v>
      </c>
      <c r="N46" s="24">
        <v>-1070</v>
      </c>
      <c r="O46" s="28">
        <f t="shared" si="3"/>
        <v>2479</v>
      </c>
      <c r="P46" s="22">
        <f t="shared" si="9"/>
        <v>161</v>
      </c>
      <c r="Q46" s="29"/>
      <c r="R46" s="30"/>
    </row>
    <row r="47" spans="1:18" x14ac:dyDescent="0.25">
      <c r="A47" s="21">
        <v>45850</v>
      </c>
      <c r="B47" s="22">
        <v>1</v>
      </c>
      <c r="C47" s="25">
        <f t="shared" si="4"/>
        <v>1376</v>
      </c>
      <c r="D47" s="24">
        <v>-825</v>
      </c>
      <c r="E47" s="25">
        <f t="shared" si="1"/>
        <v>2201</v>
      </c>
      <c r="F47" s="22">
        <f t="shared" si="5"/>
        <v>209</v>
      </c>
      <c r="G47" s="22">
        <v>1</v>
      </c>
      <c r="H47" s="25">
        <f t="shared" si="6"/>
        <v>1168</v>
      </c>
      <c r="I47" s="27">
        <v>-1457</v>
      </c>
      <c r="J47" s="28">
        <f t="shared" si="2"/>
        <v>2625</v>
      </c>
      <c r="K47" s="22">
        <f t="shared" si="7"/>
        <v>292</v>
      </c>
      <c r="L47" s="22">
        <v>1</v>
      </c>
      <c r="M47" s="25">
        <f t="shared" si="8"/>
        <v>1409</v>
      </c>
      <c r="N47" s="24">
        <v>-1070</v>
      </c>
      <c r="O47" s="28">
        <f t="shared" si="3"/>
        <v>2479</v>
      </c>
      <c r="P47" s="22">
        <f t="shared" si="9"/>
        <v>161</v>
      </c>
      <c r="Q47" s="29"/>
      <c r="R47" s="30"/>
    </row>
    <row r="48" spans="1:18" x14ac:dyDescent="0.25">
      <c r="A48" s="21">
        <v>45851</v>
      </c>
      <c r="B48" s="22">
        <v>1</v>
      </c>
      <c r="C48" s="25">
        <f t="shared" si="4"/>
        <v>1375</v>
      </c>
      <c r="D48" s="24">
        <v>-826</v>
      </c>
      <c r="E48" s="25">
        <f t="shared" si="1"/>
        <v>2201</v>
      </c>
      <c r="F48" s="22">
        <f t="shared" si="5"/>
        <v>210</v>
      </c>
      <c r="G48" s="22">
        <v>1</v>
      </c>
      <c r="H48" s="25">
        <f t="shared" si="6"/>
        <v>1167</v>
      </c>
      <c r="I48" s="27">
        <v>-1458</v>
      </c>
      <c r="J48" s="28">
        <f t="shared" si="2"/>
        <v>2625</v>
      </c>
      <c r="K48" s="22">
        <f t="shared" si="7"/>
        <v>293</v>
      </c>
      <c r="L48" s="22">
        <v>1</v>
      </c>
      <c r="M48" s="25">
        <f t="shared" si="8"/>
        <v>1409</v>
      </c>
      <c r="N48" s="24">
        <v>-1070</v>
      </c>
      <c r="O48" s="28">
        <f t="shared" si="3"/>
        <v>2479</v>
      </c>
      <c r="P48" s="22">
        <f t="shared" si="9"/>
        <v>161</v>
      </c>
      <c r="Q48" s="29"/>
      <c r="R48" s="30"/>
    </row>
    <row r="49" spans="1:18" x14ac:dyDescent="0.25">
      <c r="A49" s="21">
        <v>45852</v>
      </c>
      <c r="B49" s="22">
        <v>1</v>
      </c>
      <c r="C49" s="25">
        <f t="shared" si="4"/>
        <v>1374</v>
      </c>
      <c r="D49" s="24">
        <v>-827</v>
      </c>
      <c r="E49" s="25">
        <f t="shared" si="1"/>
        <v>2201</v>
      </c>
      <c r="F49" s="22">
        <f t="shared" si="5"/>
        <v>211</v>
      </c>
      <c r="G49" s="22">
        <v>1</v>
      </c>
      <c r="H49" s="25">
        <f t="shared" si="6"/>
        <v>1166</v>
      </c>
      <c r="I49" s="27">
        <v>-1459</v>
      </c>
      <c r="J49" s="28">
        <f t="shared" si="2"/>
        <v>2625</v>
      </c>
      <c r="K49" s="22">
        <f t="shared" si="7"/>
        <v>294</v>
      </c>
      <c r="L49" s="22">
        <v>1</v>
      </c>
      <c r="M49" s="25">
        <f t="shared" si="8"/>
        <v>1409</v>
      </c>
      <c r="N49" s="24">
        <v>-1070</v>
      </c>
      <c r="O49" s="28">
        <f t="shared" si="3"/>
        <v>2479</v>
      </c>
      <c r="P49" s="22">
        <f t="shared" si="9"/>
        <v>161</v>
      </c>
      <c r="Q49" s="29"/>
      <c r="R49" s="30"/>
    </row>
    <row r="50" spans="1:18" x14ac:dyDescent="0.25">
      <c r="A50" s="21">
        <v>45853</v>
      </c>
      <c r="B50" s="22">
        <v>1</v>
      </c>
      <c r="C50" s="25">
        <f t="shared" si="4"/>
        <v>1373</v>
      </c>
      <c r="D50" s="24">
        <v>-828</v>
      </c>
      <c r="E50" s="25">
        <f t="shared" si="1"/>
        <v>2201</v>
      </c>
      <c r="F50" s="22">
        <f t="shared" si="5"/>
        <v>212</v>
      </c>
      <c r="G50" s="22">
        <v>1</v>
      </c>
      <c r="H50" s="25">
        <f t="shared" si="6"/>
        <v>1165</v>
      </c>
      <c r="I50" s="27">
        <v>-1460</v>
      </c>
      <c r="J50" s="28">
        <f t="shared" si="2"/>
        <v>2625</v>
      </c>
      <c r="K50" s="22">
        <f t="shared" si="7"/>
        <v>295</v>
      </c>
      <c r="L50" s="22">
        <v>1</v>
      </c>
      <c r="M50" s="25">
        <f t="shared" si="8"/>
        <v>1409</v>
      </c>
      <c r="N50" s="24">
        <v>-1070</v>
      </c>
      <c r="O50" s="28">
        <f t="shared" si="3"/>
        <v>2479</v>
      </c>
      <c r="P50" s="22">
        <f t="shared" si="9"/>
        <v>161</v>
      </c>
      <c r="Q50" s="29"/>
      <c r="R50" s="30"/>
    </row>
    <row r="51" spans="1:18" x14ac:dyDescent="0.25">
      <c r="A51" s="21">
        <v>45854</v>
      </c>
      <c r="B51" s="22">
        <v>1</v>
      </c>
      <c r="C51" s="25">
        <f t="shared" si="4"/>
        <v>1372</v>
      </c>
      <c r="D51" s="24">
        <v>-829</v>
      </c>
      <c r="E51" s="25">
        <f t="shared" si="1"/>
        <v>2201</v>
      </c>
      <c r="F51" s="22">
        <f t="shared" si="5"/>
        <v>213</v>
      </c>
      <c r="G51" s="22">
        <v>1</v>
      </c>
      <c r="H51" s="25">
        <f t="shared" si="6"/>
        <v>1164</v>
      </c>
      <c r="I51" s="27">
        <v>-1461</v>
      </c>
      <c r="J51" s="28">
        <f t="shared" si="2"/>
        <v>2625</v>
      </c>
      <c r="K51" s="22">
        <f t="shared" si="7"/>
        <v>296</v>
      </c>
      <c r="L51" s="22">
        <v>1</v>
      </c>
      <c r="M51" s="25">
        <f t="shared" si="8"/>
        <v>1405</v>
      </c>
      <c r="N51" s="24">
        <v>-1074</v>
      </c>
      <c r="O51" s="28">
        <f t="shared" si="3"/>
        <v>2479</v>
      </c>
      <c r="P51" s="22">
        <f t="shared" si="9"/>
        <v>165</v>
      </c>
      <c r="Q51" s="29"/>
      <c r="R51" s="30"/>
    </row>
    <row r="52" spans="1:18" x14ac:dyDescent="0.25">
      <c r="A52" s="21">
        <v>45855</v>
      </c>
      <c r="B52" s="22">
        <v>1</v>
      </c>
      <c r="C52" s="25">
        <f t="shared" si="4"/>
        <v>1371</v>
      </c>
      <c r="D52" s="24">
        <v>-830</v>
      </c>
      <c r="E52" s="25">
        <f t="shared" si="1"/>
        <v>2201</v>
      </c>
      <c r="F52" s="22">
        <f t="shared" si="5"/>
        <v>214</v>
      </c>
      <c r="G52" s="22">
        <v>1</v>
      </c>
      <c r="H52" s="25">
        <f t="shared" si="6"/>
        <v>1164</v>
      </c>
      <c r="I52" s="27">
        <v>-1461</v>
      </c>
      <c r="J52" s="28">
        <f t="shared" si="2"/>
        <v>2625</v>
      </c>
      <c r="K52" s="22">
        <f t="shared" si="7"/>
        <v>296</v>
      </c>
      <c r="L52" s="22">
        <v>1</v>
      </c>
      <c r="M52" s="25">
        <f t="shared" si="8"/>
        <v>1402</v>
      </c>
      <c r="N52" s="24">
        <v>-1077</v>
      </c>
      <c r="O52" s="28">
        <f t="shared" si="3"/>
        <v>2479</v>
      </c>
      <c r="P52" s="22">
        <f t="shared" si="9"/>
        <v>168</v>
      </c>
      <c r="Q52" s="29"/>
      <c r="R52" s="30"/>
    </row>
    <row r="53" spans="1:18" x14ac:dyDescent="0.25">
      <c r="A53" s="21">
        <v>45856</v>
      </c>
      <c r="B53" s="22">
        <v>1</v>
      </c>
      <c r="C53" s="25">
        <f t="shared" si="4"/>
        <v>1370</v>
      </c>
      <c r="D53" s="24">
        <v>-831</v>
      </c>
      <c r="E53" s="25">
        <f t="shared" si="1"/>
        <v>2201</v>
      </c>
      <c r="F53" s="22">
        <f t="shared" si="5"/>
        <v>215</v>
      </c>
      <c r="G53" s="22">
        <v>1</v>
      </c>
      <c r="H53" s="25">
        <f t="shared" si="6"/>
        <v>1164</v>
      </c>
      <c r="I53" s="27">
        <v>-1461</v>
      </c>
      <c r="J53" s="28">
        <f t="shared" si="2"/>
        <v>2625</v>
      </c>
      <c r="K53" s="22">
        <f t="shared" si="7"/>
        <v>296</v>
      </c>
      <c r="L53" s="22">
        <v>1</v>
      </c>
      <c r="M53" s="25">
        <f t="shared" si="8"/>
        <v>1399</v>
      </c>
      <c r="N53" s="24">
        <v>-1080</v>
      </c>
      <c r="O53" s="28">
        <f t="shared" si="3"/>
        <v>2479</v>
      </c>
      <c r="P53" s="22">
        <f t="shared" si="9"/>
        <v>171</v>
      </c>
      <c r="Q53" s="29"/>
      <c r="R53" s="30"/>
    </row>
    <row r="54" spans="1:18" x14ac:dyDescent="0.25">
      <c r="A54" s="21">
        <v>45857</v>
      </c>
      <c r="B54" s="22">
        <v>1</v>
      </c>
      <c r="C54" s="25">
        <f t="shared" si="4"/>
        <v>1368</v>
      </c>
      <c r="D54" s="24">
        <v>-833</v>
      </c>
      <c r="E54" s="25">
        <f t="shared" si="1"/>
        <v>2201</v>
      </c>
      <c r="F54" s="22">
        <f t="shared" si="5"/>
        <v>217</v>
      </c>
      <c r="G54" s="22">
        <v>1</v>
      </c>
      <c r="H54" s="25">
        <f t="shared" si="6"/>
        <v>1164</v>
      </c>
      <c r="I54" s="27">
        <v>-1461</v>
      </c>
      <c r="J54" s="28">
        <f t="shared" si="2"/>
        <v>2625</v>
      </c>
      <c r="K54" s="22">
        <f t="shared" si="7"/>
        <v>296</v>
      </c>
      <c r="L54" s="22">
        <v>1</v>
      </c>
      <c r="M54" s="25">
        <f t="shared" si="8"/>
        <v>1396</v>
      </c>
      <c r="N54" s="24">
        <v>-1083</v>
      </c>
      <c r="O54" s="28">
        <f t="shared" si="3"/>
        <v>2479</v>
      </c>
      <c r="P54" s="22">
        <f t="shared" si="9"/>
        <v>174</v>
      </c>
      <c r="Q54" s="29"/>
      <c r="R54" s="30"/>
    </row>
    <row r="55" spans="1:18" x14ac:dyDescent="0.25">
      <c r="A55" s="21">
        <v>45858</v>
      </c>
      <c r="B55" s="22">
        <v>1</v>
      </c>
      <c r="C55" s="25">
        <f t="shared" si="4"/>
        <v>1368</v>
      </c>
      <c r="D55" s="24">
        <v>-833</v>
      </c>
      <c r="E55" s="25">
        <f t="shared" si="1"/>
        <v>2201</v>
      </c>
      <c r="F55" s="22">
        <f t="shared" si="5"/>
        <v>217</v>
      </c>
      <c r="G55" s="22">
        <v>1</v>
      </c>
      <c r="H55" s="25">
        <f t="shared" si="6"/>
        <v>1164</v>
      </c>
      <c r="I55" s="27">
        <v>-1461</v>
      </c>
      <c r="J55" s="28">
        <f t="shared" si="2"/>
        <v>2625</v>
      </c>
      <c r="K55" s="22">
        <f t="shared" si="7"/>
        <v>296</v>
      </c>
      <c r="L55" s="22">
        <v>1</v>
      </c>
      <c r="M55" s="25">
        <f t="shared" si="8"/>
        <v>1393</v>
      </c>
      <c r="N55" s="24">
        <v>-1086</v>
      </c>
      <c r="O55" s="28">
        <f t="shared" si="3"/>
        <v>2479</v>
      </c>
      <c r="P55" s="22">
        <f t="shared" si="9"/>
        <v>177</v>
      </c>
      <c r="Q55" s="29"/>
      <c r="R55" s="30"/>
    </row>
    <row r="56" spans="1:18" x14ac:dyDescent="0.25">
      <c r="A56" s="21">
        <v>45859</v>
      </c>
      <c r="B56" s="22">
        <v>1</v>
      </c>
      <c r="C56" s="25">
        <f t="shared" si="4"/>
        <v>1368</v>
      </c>
      <c r="D56" s="24">
        <v>-833</v>
      </c>
      <c r="E56" s="25">
        <f t="shared" si="1"/>
        <v>2201</v>
      </c>
      <c r="F56" s="22">
        <f t="shared" si="5"/>
        <v>217</v>
      </c>
      <c r="G56" s="22">
        <v>1</v>
      </c>
      <c r="H56" s="25">
        <f t="shared" si="6"/>
        <v>1155</v>
      </c>
      <c r="I56" s="27">
        <v>-1470</v>
      </c>
      <c r="J56" s="28">
        <f t="shared" si="2"/>
        <v>2625</v>
      </c>
      <c r="K56" s="22">
        <f t="shared" si="7"/>
        <v>305</v>
      </c>
      <c r="L56" s="22">
        <v>1</v>
      </c>
      <c r="M56" s="25">
        <f t="shared" si="8"/>
        <v>1390</v>
      </c>
      <c r="N56" s="24">
        <v>-1089</v>
      </c>
      <c r="O56" s="28">
        <f t="shared" si="3"/>
        <v>2479</v>
      </c>
      <c r="P56" s="22">
        <f t="shared" si="9"/>
        <v>180</v>
      </c>
      <c r="Q56" s="29"/>
      <c r="R56" s="30"/>
    </row>
    <row r="57" spans="1:18" x14ac:dyDescent="0.25">
      <c r="A57" s="21">
        <v>45860</v>
      </c>
      <c r="B57" s="22">
        <v>1</v>
      </c>
      <c r="C57" s="25">
        <f t="shared" si="4"/>
        <v>1368</v>
      </c>
      <c r="D57" s="24">
        <v>-833</v>
      </c>
      <c r="E57" s="25">
        <f t="shared" si="1"/>
        <v>2201</v>
      </c>
      <c r="F57" s="22">
        <f t="shared" si="5"/>
        <v>217</v>
      </c>
      <c r="G57" s="22">
        <v>1</v>
      </c>
      <c r="H57" s="25">
        <f t="shared" si="6"/>
        <v>1149</v>
      </c>
      <c r="I57" s="27">
        <v>-1476</v>
      </c>
      <c r="J57" s="28">
        <f t="shared" si="2"/>
        <v>2625</v>
      </c>
      <c r="K57" s="22">
        <f t="shared" si="7"/>
        <v>311</v>
      </c>
      <c r="L57" s="22">
        <v>1</v>
      </c>
      <c r="M57" s="25">
        <f t="shared" si="8"/>
        <v>1387</v>
      </c>
      <c r="N57" s="24">
        <v>-1092</v>
      </c>
      <c r="O57" s="28">
        <f t="shared" si="3"/>
        <v>2479</v>
      </c>
      <c r="P57" s="22">
        <f t="shared" si="9"/>
        <v>183</v>
      </c>
      <c r="Q57" s="29"/>
      <c r="R57" s="30"/>
    </row>
    <row r="58" spans="1:18" x14ac:dyDescent="0.25">
      <c r="A58" s="21">
        <v>45861</v>
      </c>
      <c r="B58" s="22">
        <v>1</v>
      </c>
      <c r="C58" s="25">
        <f t="shared" si="4"/>
        <v>1367</v>
      </c>
      <c r="D58" s="24">
        <v>-834</v>
      </c>
      <c r="E58" s="25">
        <f t="shared" si="1"/>
        <v>2201</v>
      </c>
      <c r="F58" s="22">
        <f t="shared" si="5"/>
        <v>218</v>
      </c>
      <c r="G58" s="22">
        <v>1</v>
      </c>
      <c r="H58" s="25">
        <f t="shared" si="6"/>
        <v>1143</v>
      </c>
      <c r="I58" s="27">
        <v>-1482</v>
      </c>
      <c r="J58" s="28">
        <f t="shared" si="2"/>
        <v>2625</v>
      </c>
      <c r="K58" s="22">
        <f t="shared" si="7"/>
        <v>317</v>
      </c>
      <c r="L58" s="22">
        <v>1</v>
      </c>
      <c r="M58" s="25">
        <f t="shared" si="8"/>
        <v>1384</v>
      </c>
      <c r="N58" s="24">
        <v>-1095</v>
      </c>
      <c r="O58" s="28">
        <f t="shared" si="3"/>
        <v>2479</v>
      </c>
      <c r="P58" s="22">
        <f t="shared" si="9"/>
        <v>186</v>
      </c>
      <c r="Q58" s="29"/>
      <c r="R58" s="30"/>
    </row>
    <row r="59" spans="1:18" x14ac:dyDescent="0.25">
      <c r="A59" s="21">
        <v>45862</v>
      </c>
      <c r="B59" s="22">
        <v>1</v>
      </c>
      <c r="C59" s="25">
        <f t="shared" si="4"/>
        <v>1366</v>
      </c>
      <c r="D59" s="24">
        <v>-835</v>
      </c>
      <c r="E59" s="25">
        <f t="shared" si="1"/>
        <v>2201</v>
      </c>
      <c r="F59" s="22">
        <f t="shared" si="5"/>
        <v>219</v>
      </c>
      <c r="G59" s="22">
        <v>1</v>
      </c>
      <c r="H59" s="25">
        <f t="shared" si="6"/>
        <v>1137</v>
      </c>
      <c r="I59" s="27">
        <v>-1488</v>
      </c>
      <c r="J59" s="28">
        <f t="shared" si="2"/>
        <v>2625</v>
      </c>
      <c r="K59" s="22">
        <f t="shared" si="7"/>
        <v>323</v>
      </c>
      <c r="L59" s="22">
        <v>1</v>
      </c>
      <c r="M59" s="25">
        <f t="shared" si="8"/>
        <v>1381</v>
      </c>
      <c r="N59" s="24">
        <v>-1098</v>
      </c>
      <c r="O59" s="28">
        <f t="shared" si="3"/>
        <v>2479</v>
      </c>
      <c r="P59" s="22">
        <f t="shared" si="9"/>
        <v>189</v>
      </c>
      <c r="Q59" s="29"/>
      <c r="R59" s="30"/>
    </row>
    <row r="60" spans="1:18" x14ac:dyDescent="0.25">
      <c r="A60" s="21">
        <v>45863</v>
      </c>
      <c r="B60" s="22">
        <v>1</v>
      </c>
      <c r="C60" s="25">
        <f t="shared" si="4"/>
        <v>1365</v>
      </c>
      <c r="D60" s="24">
        <v>-836</v>
      </c>
      <c r="E60" s="25">
        <f t="shared" si="1"/>
        <v>2201</v>
      </c>
      <c r="F60" s="22">
        <f t="shared" si="5"/>
        <v>220</v>
      </c>
      <c r="G60" s="22">
        <v>1</v>
      </c>
      <c r="H60" s="25">
        <f t="shared" si="6"/>
        <v>1131</v>
      </c>
      <c r="I60" s="27">
        <v>-1494</v>
      </c>
      <c r="J60" s="28">
        <f t="shared" si="2"/>
        <v>2625</v>
      </c>
      <c r="K60" s="22">
        <f t="shared" si="7"/>
        <v>329</v>
      </c>
      <c r="L60" s="22">
        <v>1</v>
      </c>
      <c r="M60" s="25">
        <f t="shared" si="8"/>
        <v>1378</v>
      </c>
      <c r="N60" s="24">
        <v>-1101</v>
      </c>
      <c r="O60" s="28">
        <f t="shared" si="3"/>
        <v>2479</v>
      </c>
      <c r="P60" s="22">
        <f t="shared" si="9"/>
        <v>192</v>
      </c>
      <c r="Q60" s="29"/>
      <c r="R60" s="30"/>
    </row>
    <row r="61" spans="1:18" x14ac:dyDescent="0.25">
      <c r="A61" s="21">
        <v>45864</v>
      </c>
      <c r="B61" s="22">
        <v>1</v>
      </c>
      <c r="C61" s="25">
        <f t="shared" si="4"/>
        <v>1364</v>
      </c>
      <c r="D61" s="24">
        <v>-837</v>
      </c>
      <c r="E61" s="25">
        <f t="shared" si="1"/>
        <v>2201</v>
      </c>
      <c r="F61" s="22">
        <f t="shared" si="5"/>
        <v>221</v>
      </c>
      <c r="G61" s="22">
        <v>1</v>
      </c>
      <c r="H61" s="25">
        <f t="shared" si="6"/>
        <v>1125</v>
      </c>
      <c r="I61" s="27">
        <v>-1500</v>
      </c>
      <c r="J61" s="28">
        <f t="shared" si="2"/>
        <v>2625</v>
      </c>
      <c r="K61" s="22">
        <f t="shared" si="7"/>
        <v>335</v>
      </c>
      <c r="L61" s="22">
        <v>1</v>
      </c>
      <c r="M61" s="25">
        <f t="shared" si="8"/>
        <v>1375</v>
      </c>
      <c r="N61" s="24">
        <v>-1104</v>
      </c>
      <c r="O61" s="28">
        <f t="shared" si="3"/>
        <v>2479</v>
      </c>
      <c r="P61" s="22">
        <f t="shared" si="9"/>
        <v>195</v>
      </c>
      <c r="Q61" s="29"/>
      <c r="R61" s="30"/>
    </row>
    <row r="62" spans="1:18" x14ac:dyDescent="0.25">
      <c r="A62" s="21">
        <v>45865</v>
      </c>
      <c r="B62" s="22">
        <v>1</v>
      </c>
      <c r="C62" s="23">
        <v>1200</v>
      </c>
      <c r="D62" s="24">
        <v>-838</v>
      </c>
      <c r="E62" s="25">
        <f t="shared" si="1"/>
        <v>2038</v>
      </c>
      <c r="F62" s="22">
        <f t="shared" si="5"/>
        <v>222</v>
      </c>
      <c r="G62" s="22">
        <v>1</v>
      </c>
      <c r="H62" s="25">
        <f t="shared" si="6"/>
        <v>1119</v>
      </c>
      <c r="I62" s="27">
        <v>-1506</v>
      </c>
      <c r="J62" s="28">
        <f t="shared" si="2"/>
        <v>2625</v>
      </c>
      <c r="K62" s="22">
        <f t="shared" si="7"/>
        <v>341</v>
      </c>
      <c r="L62" s="22">
        <v>1</v>
      </c>
      <c r="M62" s="25">
        <f t="shared" si="8"/>
        <v>1372</v>
      </c>
      <c r="N62" s="24">
        <v>-1107</v>
      </c>
      <c r="O62" s="28">
        <f t="shared" si="3"/>
        <v>2479</v>
      </c>
      <c r="P62" s="22">
        <f t="shared" si="9"/>
        <v>198</v>
      </c>
      <c r="Q62" s="29"/>
      <c r="R62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2">
    <cfRule type="cellIs" dxfId="26" priority="1" operator="lessThan">
      <formula>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outlinePr summaryBelow="0" summaryRight="0"/>
  </sheetPr>
  <dimension ref="A1:R67"/>
  <sheetViews>
    <sheetView workbookViewId="0"/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(05/06/25)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44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45</v>
      </c>
      <c r="R10" s="112" t="s">
        <v>46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45813</v>
      </c>
      <c r="B15" s="22">
        <v>1</v>
      </c>
      <c r="C15" s="23">
        <v>1585</v>
      </c>
      <c r="D15" s="24">
        <v>-818</v>
      </c>
      <c r="E15" s="25">
        <f t="shared" ref="E15:E67" si="1">C15-D15</f>
        <v>2403</v>
      </c>
      <c r="F15" s="26">
        <v>0</v>
      </c>
      <c r="G15" s="22">
        <v>1</v>
      </c>
      <c r="H15" s="25">
        <v>1460</v>
      </c>
      <c r="I15" s="27">
        <v>-527</v>
      </c>
      <c r="J15" s="28">
        <f t="shared" ref="J15:J67" si="2">H15-I15</f>
        <v>1987</v>
      </c>
      <c r="K15" s="22">
        <v>0</v>
      </c>
      <c r="L15" s="22">
        <v>1</v>
      </c>
      <c r="M15" s="23">
        <v>1330</v>
      </c>
      <c r="N15" s="24">
        <v>-535</v>
      </c>
      <c r="O15" s="28">
        <f t="shared" ref="O15:O67" si="3">M15-N15</f>
        <v>1865</v>
      </c>
      <c r="P15" s="22">
        <v>0</v>
      </c>
      <c r="Q15" s="29"/>
      <c r="R15" s="30"/>
    </row>
    <row r="16" spans="1:18" x14ac:dyDescent="0.25">
      <c r="A16" s="21">
        <v>45814</v>
      </c>
      <c r="B16" s="22">
        <v>1</v>
      </c>
      <c r="C16" s="25">
        <f t="shared" ref="C16:C67" si="4">$C$15-F16</f>
        <v>1573</v>
      </c>
      <c r="D16" s="24">
        <v>-830</v>
      </c>
      <c r="E16" s="25">
        <f t="shared" si="1"/>
        <v>2403</v>
      </c>
      <c r="F16" s="22">
        <f t="shared" ref="F16:F67" si="5">$D$15-D16</f>
        <v>12</v>
      </c>
      <c r="G16" s="22">
        <v>1</v>
      </c>
      <c r="H16" s="25">
        <f t="shared" ref="H16:H67" si="6">$H$15-K16</f>
        <v>1445</v>
      </c>
      <c r="I16" s="27">
        <v>-542</v>
      </c>
      <c r="J16" s="28">
        <f t="shared" si="2"/>
        <v>1987</v>
      </c>
      <c r="K16" s="22">
        <f t="shared" ref="K16:K67" si="7">$I$15-I16</f>
        <v>15</v>
      </c>
      <c r="L16" s="22">
        <v>1</v>
      </c>
      <c r="M16" s="25">
        <f t="shared" ref="M16:M66" si="8">$M$15-P16</f>
        <v>1318</v>
      </c>
      <c r="N16" s="24">
        <v>-547</v>
      </c>
      <c r="O16" s="28">
        <f t="shared" si="3"/>
        <v>1865</v>
      </c>
      <c r="P16" s="22">
        <f t="shared" ref="P16:P67" si="9">$N$15-N16</f>
        <v>12</v>
      </c>
      <c r="Q16" s="29"/>
      <c r="R16" s="30"/>
    </row>
    <row r="17" spans="1:18" x14ac:dyDescent="0.25">
      <c r="A17" s="21">
        <v>45815</v>
      </c>
      <c r="B17" s="22">
        <v>1</v>
      </c>
      <c r="C17" s="25">
        <f t="shared" si="4"/>
        <v>1561</v>
      </c>
      <c r="D17" s="24">
        <v>-842</v>
      </c>
      <c r="E17" s="25">
        <f t="shared" si="1"/>
        <v>2403</v>
      </c>
      <c r="F17" s="22">
        <f t="shared" si="5"/>
        <v>24</v>
      </c>
      <c r="G17" s="22">
        <v>1</v>
      </c>
      <c r="H17" s="25">
        <f t="shared" si="6"/>
        <v>1430</v>
      </c>
      <c r="I17" s="27">
        <v>-557</v>
      </c>
      <c r="J17" s="28">
        <f t="shared" si="2"/>
        <v>1987</v>
      </c>
      <c r="K17" s="22">
        <f t="shared" si="7"/>
        <v>30</v>
      </c>
      <c r="L17" s="22">
        <v>1</v>
      </c>
      <c r="M17" s="25">
        <f t="shared" si="8"/>
        <v>1306</v>
      </c>
      <c r="N17" s="24">
        <v>-559</v>
      </c>
      <c r="O17" s="28">
        <f t="shared" si="3"/>
        <v>1865</v>
      </c>
      <c r="P17" s="22">
        <f t="shared" si="9"/>
        <v>24</v>
      </c>
      <c r="Q17" s="29"/>
      <c r="R17" s="30"/>
    </row>
    <row r="18" spans="1:18" x14ac:dyDescent="0.25">
      <c r="A18" s="21">
        <v>45816</v>
      </c>
      <c r="B18" s="22">
        <v>1</v>
      </c>
      <c r="C18" s="25">
        <f t="shared" si="4"/>
        <v>1549</v>
      </c>
      <c r="D18" s="24">
        <v>-854</v>
      </c>
      <c r="E18" s="25">
        <f t="shared" si="1"/>
        <v>2403</v>
      </c>
      <c r="F18" s="22">
        <f t="shared" si="5"/>
        <v>36</v>
      </c>
      <c r="G18" s="22">
        <v>1</v>
      </c>
      <c r="H18" s="25">
        <f t="shared" si="6"/>
        <v>1415</v>
      </c>
      <c r="I18" s="27">
        <v>-572</v>
      </c>
      <c r="J18" s="28">
        <f t="shared" si="2"/>
        <v>1987</v>
      </c>
      <c r="K18" s="22">
        <f t="shared" si="7"/>
        <v>45</v>
      </c>
      <c r="L18" s="22">
        <v>1</v>
      </c>
      <c r="M18" s="25">
        <f t="shared" si="8"/>
        <v>1294</v>
      </c>
      <c r="N18" s="24">
        <v>-571</v>
      </c>
      <c r="O18" s="28">
        <f t="shared" si="3"/>
        <v>1865</v>
      </c>
      <c r="P18" s="22">
        <f t="shared" si="9"/>
        <v>36</v>
      </c>
      <c r="Q18" s="29"/>
      <c r="R18" s="30"/>
    </row>
    <row r="19" spans="1:18" x14ac:dyDescent="0.25">
      <c r="A19" s="21">
        <v>45817</v>
      </c>
      <c r="B19" s="22">
        <v>1</v>
      </c>
      <c r="C19" s="25">
        <f t="shared" si="4"/>
        <v>1537</v>
      </c>
      <c r="D19" s="24">
        <v>-866</v>
      </c>
      <c r="E19" s="25">
        <f t="shared" si="1"/>
        <v>2403</v>
      </c>
      <c r="F19" s="22">
        <f t="shared" si="5"/>
        <v>48</v>
      </c>
      <c r="G19" s="22">
        <v>1</v>
      </c>
      <c r="H19" s="25">
        <f t="shared" si="6"/>
        <v>1400</v>
      </c>
      <c r="I19" s="27">
        <v>-587</v>
      </c>
      <c r="J19" s="28">
        <f t="shared" si="2"/>
        <v>1987</v>
      </c>
      <c r="K19" s="22">
        <f t="shared" si="7"/>
        <v>60</v>
      </c>
      <c r="L19" s="22">
        <v>1</v>
      </c>
      <c r="M19" s="25">
        <f t="shared" si="8"/>
        <v>1282</v>
      </c>
      <c r="N19" s="24">
        <v>-583</v>
      </c>
      <c r="O19" s="28">
        <f t="shared" si="3"/>
        <v>1865</v>
      </c>
      <c r="P19" s="22">
        <f t="shared" si="9"/>
        <v>48</v>
      </c>
      <c r="Q19" s="29"/>
      <c r="R19" s="30"/>
    </row>
    <row r="20" spans="1:18" x14ac:dyDescent="0.25">
      <c r="A20" s="21">
        <v>45818</v>
      </c>
      <c r="B20" s="22">
        <v>1</v>
      </c>
      <c r="C20" s="25">
        <f t="shared" si="4"/>
        <v>1525</v>
      </c>
      <c r="D20" s="24">
        <v>-878</v>
      </c>
      <c r="E20" s="25">
        <f t="shared" si="1"/>
        <v>2403</v>
      </c>
      <c r="F20" s="22">
        <f t="shared" si="5"/>
        <v>60</v>
      </c>
      <c r="G20" s="22">
        <v>1</v>
      </c>
      <c r="H20" s="25">
        <f t="shared" si="6"/>
        <v>1377</v>
      </c>
      <c r="I20" s="27">
        <v>-610</v>
      </c>
      <c r="J20" s="28">
        <f t="shared" si="2"/>
        <v>1987</v>
      </c>
      <c r="K20" s="22">
        <f t="shared" si="7"/>
        <v>83</v>
      </c>
      <c r="L20" s="22">
        <v>1</v>
      </c>
      <c r="M20" s="25">
        <f t="shared" si="8"/>
        <v>1270</v>
      </c>
      <c r="N20" s="24">
        <v>-595</v>
      </c>
      <c r="O20" s="28">
        <f t="shared" si="3"/>
        <v>1865</v>
      </c>
      <c r="P20" s="22">
        <f t="shared" si="9"/>
        <v>60</v>
      </c>
      <c r="Q20" s="29"/>
      <c r="R20" s="30"/>
    </row>
    <row r="21" spans="1:18" x14ac:dyDescent="0.25">
      <c r="A21" s="21">
        <v>45819</v>
      </c>
      <c r="B21" s="22">
        <v>1</v>
      </c>
      <c r="C21" s="25">
        <f t="shared" si="4"/>
        <v>1513</v>
      </c>
      <c r="D21" s="24">
        <v>-890</v>
      </c>
      <c r="E21" s="25">
        <f t="shared" si="1"/>
        <v>2403</v>
      </c>
      <c r="F21" s="22">
        <f t="shared" si="5"/>
        <v>72</v>
      </c>
      <c r="G21" s="22">
        <v>1</v>
      </c>
      <c r="H21" s="25">
        <f t="shared" si="6"/>
        <v>1354</v>
      </c>
      <c r="I21" s="27">
        <v>-633</v>
      </c>
      <c r="J21" s="28">
        <f t="shared" si="2"/>
        <v>1987</v>
      </c>
      <c r="K21" s="22">
        <f t="shared" si="7"/>
        <v>106</v>
      </c>
      <c r="L21" s="22">
        <v>1</v>
      </c>
      <c r="M21" s="25">
        <f t="shared" si="8"/>
        <v>1263</v>
      </c>
      <c r="N21" s="24">
        <v>-602</v>
      </c>
      <c r="O21" s="28">
        <f t="shared" si="3"/>
        <v>1865</v>
      </c>
      <c r="P21" s="22">
        <f t="shared" si="9"/>
        <v>67</v>
      </c>
      <c r="Q21" s="29"/>
      <c r="R21" s="30"/>
    </row>
    <row r="22" spans="1:18" x14ac:dyDescent="0.25">
      <c r="A22" s="21">
        <v>45820</v>
      </c>
      <c r="B22" s="22">
        <v>1</v>
      </c>
      <c r="C22" s="25">
        <f t="shared" si="4"/>
        <v>1495</v>
      </c>
      <c r="D22" s="24">
        <v>-908</v>
      </c>
      <c r="E22" s="25">
        <f t="shared" si="1"/>
        <v>2403</v>
      </c>
      <c r="F22" s="22">
        <f t="shared" si="5"/>
        <v>90</v>
      </c>
      <c r="G22" s="22">
        <v>1</v>
      </c>
      <c r="H22" s="25">
        <f t="shared" si="6"/>
        <v>1331</v>
      </c>
      <c r="I22" s="27">
        <v>-656</v>
      </c>
      <c r="J22" s="28">
        <f t="shared" si="2"/>
        <v>1987</v>
      </c>
      <c r="K22" s="22">
        <f t="shared" si="7"/>
        <v>129</v>
      </c>
      <c r="L22" s="22">
        <v>1</v>
      </c>
      <c r="M22" s="25">
        <f t="shared" si="8"/>
        <v>1256</v>
      </c>
      <c r="N22" s="24">
        <v>-609</v>
      </c>
      <c r="O22" s="28">
        <f t="shared" si="3"/>
        <v>1865</v>
      </c>
      <c r="P22" s="22">
        <f t="shared" si="9"/>
        <v>74</v>
      </c>
      <c r="Q22" s="29"/>
      <c r="R22" s="30"/>
    </row>
    <row r="23" spans="1:18" x14ac:dyDescent="0.25">
      <c r="A23" s="21">
        <v>45821</v>
      </c>
      <c r="B23" s="22">
        <v>1</v>
      </c>
      <c r="C23" s="25">
        <f t="shared" si="4"/>
        <v>1487</v>
      </c>
      <c r="D23" s="24">
        <v>-916</v>
      </c>
      <c r="E23" s="25">
        <f t="shared" si="1"/>
        <v>2403</v>
      </c>
      <c r="F23" s="22">
        <f t="shared" si="5"/>
        <v>98</v>
      </c>
      <c r="G23" s="22">
        <v>1</v>
      </c>
      <c r="H23" s="25">
        <f t="shared" si="6"/>
        <v>1317</v>
      </c>
      <c r="I23" s="27">
        <v>-670</v>
      </c>
      <c r="J23" s="28">
        <f t="shared" si="2"/>
        <v>1987</v>
      </c>
      <c r="K23" s="22">
        <f t="shared" si="7"/>
        <v>143</v>
      </c>
      <c r="L23" s="22">
        <v>1</v>
      </c>
      <c r="M23" s="25">
        <f t="shared" si="8"/>
        <v>1249</v>
      </c>
      <c r="N23" s="24">
        <v>-616</v>
      </c>
      <c r="O23" s="28">
        <f t="shared" si="3"/>
        <v>1865</v>
      </c>
      <c r="P23" s="22">
        <f t="shared" si="9"/>
        <v>81</v>
      </c>
      <c r="Q23" s="29"/>
      <c r="R23" s="30"/>
    </row>
    <row r="24" spans="1:18" x14ac:dyDescent="0.25">
      <c r="A24" s="21">
        <v>45822</v>
      </c>
      <c r="B24" s="22">
        <v>1</v>
      </c>
      <c r="C24" s="25">
        <f t="shared" si="4"/>
        <v>1479</v>
      </c>
      <c r="D24" s="24">
        <v>-924</v>
      </c>
      <c r="E24" s="25">
        <f t="shared" si="1"/>
        <v>2403</v>
      </c>
      <c r="F24" s="22">
        <f t="shared" si="5"/>
        <v>106</v>
      </c>
      <c r="G24" s="22">
        <v>1</v>
      </c>
      <c r="H24" s="25">
        <f t="shared" si="6"/>
        <v>1307</v>
      </c>
      <c r="I24" s="27">
        <v>-680</v>
      </c>
      <c r="J24" s="28">
        <f t="shared" si="2"/>
        <v>1987</v>
      </c>
      <c r="K24" s="22">
        <f t="shared" si="7"/>
        <v>153</v>
      </c>
      <c r="L24" s="22">
        <v>1</v>
      </c>
      <c r="M24" s="25">
        <f t="shared" si="8"/>
        <v>1246</v>
      </c>
      <c r="N24" s="24">
        <v>-619</v>
      </c>
      <c r="O24" s="28">
        <f t="shared" si="3"/>
        <v>1865</v>
      </c>
      <c r="P24" s="22">
        <f t="shared" si="9"/>
        <v>84</v>
      </c>
      <c r="Q24" s="29"/>
      <c r="R24" s="30"/>
    </row>
    <row r="25" spans="1:18" x14ac:dyDescent="0.25">
      <c r="A25" s="21">
        <v>45823</v>
      </c>
      <c r="B25" s="22">
        <v>1</v>
      </c>
      <c r="C25" s="25">
        <f t="shared" si="4"/>
        <v>1471</v>
      </c>
      <c r="D25" s="24">
        <v>-932</v>
      </c>
      <c r="E25" s="25">
        <f t="shared" si="1"/>
        <v>2403</v>
      </c>
      <c r="F25" s="22">
        <f t="shared" si="5"/>
        <v>114</v>
      </c>
      <c r="G25" s="22">
        <v>1</v>
      </c>
      <c r="H25" s="25">
        <f t="shared" si="6"/>
        <v>1297</v>
      </c>
      <c r="I25" s="27">
        <v>-690</v>
      </c>
      <c r="J25" s="28">
        <f t="shared" si="2"/>
        <v>1987</v>
      </c>
      <c r="K25" s="22">
        <f t="shared" si="7"/>
        <v>163</v>
      </c>
      <c r="L25" s="22">
        <v>1</v>
      </c>
      <c r="M25" s="25">
        <f t="shared" si="8"/>
        <v>1241</v>
      </c>
      <c r="N25" s="24">
        <v>-624</v>
      </c>
      <c r="O25" s="28">
        <f t="shared" si="3"/>
        <v>1865</v>
      </c>
      <c r="P25" s="22">
        <f t="shared" si="9"/>
        <v>89</v>
      </c>
      <c r="Q25" s="29"/>
      <c r="R25" s="30"/>
    </row>
    <row r="26" spans="1:18" x14ac:dyDescent="0.25">
      <c r="A26" s="21">
        <v>45824</v>
      </c>
      <c r="B26" s="22">
        <v>1</v>
      </c>
      <c r="C26" s="25">
        <f t="shared" si="4"/>
        <v>1463</v>
      </c>
      <c r="D26" s="24">
        <v>-940</v>
      </c>
      <c r="E26" s="25">
        <f t="shared" si="1"/>
        <v>2403</v>
      </c>
      <c r="F26" s="22">
        <f t="shared" si="5"/>
        <v>122</v>
      </c>
      <c r="G26" s="22">
        <v>1</v>
      </c>
      <c r="H26" s="25">
        <f t="shared" si="6"/>
        <v>1287</v>
      </c>
      <c r="I26" s="27">
        <v>-700</v>
      </c>
      <c r="J26" s="28">
        <f t="shared" si="2"/>
        <v>1987</v>
      </c>
      <c r="K26" s="22">
        <f t="shared" si="7"/>
        <v>173</v>
      </c>
      <c r="L26" s="22">
        <v>1</v>
      </c>
      <c r="M26" s="25">
        <f t="shared" si="8"/>
        <v>1236</v>
      </c>
      <c r="N26" s="24">
        <v>-629</v>
      </c>
      <c r="O26" s="28">
        <f t="shared" si="3"/>
        <v>1865</v>
      </c>
      <c r="P26" s="22">
        <f t="shared" si="9"/>
        <v>94</v>
      </c>
      <c r="Q26" s="29"/>
      <c r="R26" s="30"/>
    </row>
    <row r="27" spans="1:18" x14ac:dyDescent="0.25">
      <c r="A27" s="21">
        <v>45825</v>
      </c>
      <c r="B27" s="22">
        <v>1</v>
      </c>
      <c r="C27" s="25">
        <f t="shared" si="4"/>
        <v>1455</v>
      </c>
      <c r="D27" s="24">
        <v>-948</v>
      </c>
      <c r="E27" s="25">
        <f t="shared" si="1"/>
        <v>2403</v>
      </c>
      <c r="F27" s="22">
        <f t="shared" si="5"/>
        <v>130</v>
      </c>
      <c r="G27" s="22">
        <v>1</v>
      </c>
      <c r="H27" s="25">
        <f t="shared" si="6"/>
        <v>1277</v>
      </c>
      <c r="I27" s="27">
        <v>-710</v>
      </c>
      <c r="J27" s="28">
        <f t="shared" si="2"/>
        <v>1987</v>
      </c>
      <c r="K27" s="22">
        <f t="shared" si="7"/>
        <v>183</v>
      </c>
      <c r="L27" s="22">
        <v>1</v>
      </c>
      <c r="M27" s="25">
        <f t="shared" si="8"/>
        <v>1231</v>
      </c>
      <c r="N27" s="24">
        <v>-634</v>
      </c>
      <c r="O27" s="28">
        <f t="shared" si="3"/>
        <v>1865</v>
      </c>
      <c r="P27" s="22">
        <f t="shared" si="9"/>
        <v>99</v>
      </c>
      <c r="Q27" s="29"/>
      <c r="R27" s="30"/>
    </row>
    <row r="28" spans="1:18" x14ac:dyDescent="0.25">
      <c r="A28" s="21">
        <v>45826</v>
      </c>
      <c r="B28" s="22">
        <v>1</v>
      </c>
      <c r="C28" s="25">
        <f t="shared" si="4"/>
        <v>1447</v>
      </c>
      <c r="D28" s="24">
        <v>-956</v>
      </c>
      <c r="E28" s="25">
        <f t="shared" si="1"/>
        <v>2403</v>
      </c>
      <c r="F28" s="22">
        <f t="shared" si="5"/>
        <v>138</v>
      </c>
      <c r="G28" s="22">
        <v>1</v>
      </c>
      <c r="H28" s="25">
        <f t="shared" si="6"/>
        <v>1267</v>
      </c>
      <c r="I28" s="27">
        <v>-720</v>
      </c>
      <c r="J28" s="28">
        <f t="shared" si="2"/>
        <v>1987</v>
      </c>
      <c r="K28" s="22">
        <f t="shared" si="7"/>
        <v>193</v>
      </c>
      <c r="L28" s="22">
        <v>1</v>
      </c>
      <c r="M28" s="25">
        <f t="shared" si="8"/>
        <v>1226</v>
      </c>
      <c r="N28" s="24">
        <v>-639</v>
      </c>
      <c r="O28" s="28">
        <f t="shared" si="3"/>
        <v>1865</v>
      </c>
      <c r="P28" s="22">
        <f t="shared" si="9"/>
        <v>104</v>
      </c>
      <c r="Q28" s="29"/>
      <c r="R28" s="30"/>
    </row>
    <row r="29" spans="1:18" x14ac:dyDescent="0.25">
      <c r="A29" s="21">
        <v>45827</v>
      </c>
      <c r="B29" s="22">
        <v>1</v>
      </c>
      <c r="C29" s="25">
        <f t="shared" si="4"/>
        <v>1439</v>
      </c>
      <c r="D29" s="24">
        <v>-964</v>
      </c>
      <c r="E29" s="25">
        <f t="shared" si="1"/>
        <v>2403</v>
      </c>
      <c r="F29" s="22">
        <f t="shared" si="5"/>
        <v>146</v>
      </c>
      <c r="G29" s="22">
        <v>1</v>
      </c>
      <c r="H29" s="25">
        <f t="shared" si="6"/>
        <v>1257</v>
      </c>
      <c r="I29" s="27">
        <v>-730</v>
      </c>
      <c r="J29" s="28">
        <f t="shared" si="2"/>
        <v>1987</v>
      </c>
      <c r="K29" s="22">
        <f t="shared" si="7"/>
        <v>203</v>
      </c>
      <c r="L29" s="22">
        <v>1</v>
      </c>
      <c r="M29" s="25">
        <f t="shared" si="8"/>
        <v>1221</v>
      </c>
      <c r="N29" s="24">
        <v>-644</v>
      </c>
      <c r="O29" s="28">
        <f t="shared" si="3"/>
        <v>1865</v>
      </c>
      <c r="P29" s="22">
        <f t="shared" si="9"/>
        <v>109</v>
      </c>
      <c r="Q29" s="29"/>
      <c r="R29" s="30"/>
    </row>
    <row r="30" spans="1:18" x14ac:dyDescent="0.25">
      <c r="A30" s="21">
        <v>45828</v>
      </c>
      <c r="B30" s="22">
        <v>1</v>
      </c>
      <c r="C30" s="25">
        <f t="shared" si="4"/>
        <v>1431</v>
      </c>
      <c r="D30" s="24">
        <v>-972</v>
      </c>
      <c r="E30" s="25">
        <f t="shared" si="1"/>
        <v>2403</v>
      </c>
      <c r="F30" s="22">
        <f t="shared" si="5"/>
        <v>154</v>
      </c>
      <c r="G30" s="22">
        <v>1</v>
      </c>
      <c r="H30" s="25">
        <f t="shared" si="6"/>
        <v>1247</v>
      </c>
      <c r="I30" s="27">
        <v>-740</v>
      </c>
      <c r="J30" s="28">
        <f t="shared" si="2"/>
        <v>1987</v>
      </c>
      <c r="K30" s="22">
        <f t="shared" si="7"/>
        <v>213</v>
      </c>
      <c r="L30" s="22">
        <v>1</v>
      </c>
      <c r="M30" s="25">
        <f t="shared" si="8"/>
        <v>1216</v>
      </c>
      <c r="N30" s="24">
        <v>-649</v>
      </c>
      <c r="O30" s="28">
        <f t="shared" si="3"/>
        <v>1865</v>
      </c>
      <c r="P30" s="22">
        <f t="shared" si="9"/>
        <v>114</v>
      </c>
      <c r="Q30" s="29"/>
      <c r="R30" s="30"/>
    </row>
    <row r="31" spans="1:18" x14ac:dyDescent="0.25">
      <c r="A31" s="21">
        <v>45829</v>
      </c>
      <c r="B31" s="22">
        <v>1</v>
      </c>
      <c r="C31" s="25">
        <f t="shared" si="4"/>
        <v>1423</v>
      </c>
      <c r="D31" s="24">
        <v>-980</v>
      </c>
      <c r="E31" s="25">
        <f t="shared" si="1"/>
        <v>2403</v>
      </c>
      <c r="F31" s="22">
        <f t="shared" si="5"/>
        <v>162</v>
      </c>
      <c r="G31" s="22">
        <v>1</v>
      </c>
      <c r="H31" s="25">
        <f t="shared" si="6"/>
        <v>1237</v>
      </c>
      <c r="I31" s="27">
        <v>-750</v>
      </c>
      <c r="J31" s="28">
        <f t="shared" si="2"/>
        <v>1987</v>
      </c>
      <c r="K31" s="22">
        <f t="shared" si="7"/>
        <v>223</v>
      </c>
      <c r="L31" s="22">
        <v>1</v>
      </c>
      <c r="M31" s="25">
        <f t="shared" si="8"/>
        <v>1211</v>
      </c>
      <c r="N31" s="24">
        <v>-654</v>
      </c>
      <c r="O31" s="28">
        <f t="shared" si="3"/>
        <v>1865</v>
      </c>
      <c r="P31" s="22">
        <f t="shared" si="9"/>
        <v>119</v>
      </c>
      <c r="Q31" s="29"/>
      <c r="R31" s="30"/>
    </row>
    <row r="32" spans="1:18" x14ac:dyDescent="0.25">
      <c r="A32" s="21">
        <v>45830</v>
      </c>
      <c r="B32" s="22">
        <v>1</v>
      </c>
      <c r="C32" s="25">
        <f t="shared" si="4"/>
        <v>1423</v>
      </c>
      <c r="D32" s="24">
        <v>-980</v>
      </c>
      <c r="E32" s="25">
        <f t="shared" si="1"/>
        <v>2403</v>
      </c>
      <c r="F32" s="22">
        <f t="shared" si="5"/>
        <v>162</v>
      </c>
      <c r="G32" s="22">
        <v>1</v>
      </c>
      <c r="H32" s="25">
        <f t="shared" si="6"/>
        <v>1237</v>
      </c>
      <c r="I32" s="27">
        <v>-750</v>
      </c>
      <c r="J32" s="28">
        <f t="shared" si="2"/>
        <v>1987</v>
      </c>
      <c r="K32" s="22">
        <f t="shared" si="7"/>
        <v>223</v>
      </c>
      <c r="L32" s="22">
        <v>1</v>
      </c>
      <c r="M32" s="25">
        <f t="shared" si="8"/>
        <v>1211</v>
      </c>
      <c r="N32" s="24">
        <v>-654</v>
      </c>
      <c r="O32" s="28">
        <f t="shared" si="3"/>
        <v>1865</v>
      </c>
      <c r="P32" s="22">
        <f t="shared" si="9"/>
        <v>119</v>
      </c>
      <c r="Q32" s="29"/>
      <c r="R32" s="30"/>
    </row>
    <row r="33" spans="1:18" x14ac:dyDescent="0.25">
      <c r="A33" s="21">
        <v>45831</v>
      </c>
      <c r="B33" s="22">
        <v>1</v>
      </c>
      <c r="C33" s="25">
        <f t="shared" si="4"/>
        <v>1423</v>
      </c>
      <c r="D33" s="24">
        <v>-980</v>
      </c>
      <c r="E33" s="25">
        <f t="shared" si="1"/>
        <v>2403</v>
      </c>
      <c r="F33" s="22">
        <f t="shared" si="5"/>
        <v>162</v>
      </c>
      <c r="G33" s="22">
        <v>1</v>
      </c>
      <c r="H33" s="25">
        <f t="shared" si="6"/>
        <v>1237</v>
      </c>
      <c r="I33" s="27">
        <v>-750</v>
      </c>
      <c r="J33" s="28">
        <f t="shared" si="2"/>
        <v>1987</v>
      </c>
      <c r="K33" s="22">
        <f t="shared" si="7"/>
        <v>223</v>
      </c>
      <c r="L33" s="22">
        <v>1</v>
      </c>
      <c r="M33" s="25">
        <f t="shared" si="8"/>
        <v>1211</v>
      </c>
      <c r="N33" s="24">
        <v>-654</v>
      </c>
      <c r="O33" s="28">
        <f t="shared" si="3"/>
        <v>1865</v>
      </c>
      <c r="P33" s="22">
        <f t="shared" si="9"/>
        <v>119</v>
      </c>
      <c r="Q33" s="29"/>
      <c r="R33" s="30"/>
    </row>
    <row r="34" spans="1:18" x14ac:dyDescent="0.25">
      <c r="A34" s="21">
        <v>45832</v>
      </c>
      <c r="B34" s="22">
        <v>1</v>
      </c>
      <c r="C34" s="25">
        <f t="shared" si="4"/>
        <v>1423</v>
      </c>
      <c r="D34" s="24">
        <v>-980</v>
      </c>
      <c r="E34" s="25">
        <f t="shared" si="1"/>
        <v>2403</v>
      </c>
      <c r="F34" s="22">
        <f t="shared" si="5"/>
        <v>162</v>
      </c>
      <c r="G34" s="22">
        <v>1</v>
      </c>
      <c r="H34" s="25">
        <f t="shared" si="6"/>
        <v>1237</v>
      </c>
      <c r="I34" s="27">
        <v>-750</v>
      </c>
      <c r="J34" s="28">
        <f t="shared" si="2"/>
        <v>1987</v>
      </c>
      <c r="K34" s="22">
        <f t="shared" si="7"/>
        <v>223</v>
      </c>
      <c r="L34" s="22">
        <v>1</v>
      </c>
      <c r="M34" s="25">
        <f t="shared" si="8"/>
        <v>1211</v>
      </c>
      <c r="N34" s="24">
        <v>-654</v>
      </c>
      <c r="O34" s="28">
        <f t="shared" si="3"/>
        <v>1865</v>
      </c>
      <c r="P34" s="22">
        <f t="shared" si="9"/>
        <v>119</v>
      </c>
      <c r="Q34" s="29"/>
      <c r="R34" s="30"/>
    </row>
    <row r="35" spans="1:18" x14ac:dyDescent="0.25">
      <c r="A35" s="21">
        <v>45833</v>
      </c>
      <c r="B35" s="22">
        <v>1</v>
      </c>
      <c r="C35" s="25">
        <f t="shared" si="4"/>
        <v>1423</v>
      </c>
      <c r="D35" s="24">
        <v>-980</v>
      </c>
      <c r="E35" s="25">
        <f t="shared" si="1"/>
        <v>2403</v>
      </c>
      <c r="F35" s="22">
        <f t="shared" si="5"/>
        <v>162</v>
      </c>
      <c r="G35" s="22">
        <v>1</v>
      </c>
      <c r="H35" s="25">
        <f t="shared" si="6"/>
        <v>1237</v>
      </c>
      <c r="I35" s="27">
        <v>-750</v>
      </c>
      <c r="J35" s="28">
        <f t="shared" si="2"/>
        <v>1987</v>
      </c>
      <c r="K35" s="22">
        <f t="shared" si="7"/>
        <v>223</v>
      </c>
      <c r="L35" s="22">
        <v>1</v>
      </c>
      <c r="M35" s="25">
        <f t="shared" si="8"/>
        <v>1211</v>
      </c>
      <c r="N35" s="24">
        <v>-654</v>
      </c>
      <c r="O35" s="28">
        <f t="shared" si="3"/>
        <v>1865</v>
      </c>
      <c r="P35" s="22">
        <f t="shared" si="9"/>
        <v>119</v>
      </c>
      <c r="Q35" s="29"/>
      <c r="R35" s="30"/>
    </row>
    <row r="36" spans="1:18" x14ac:dyDescent="0.25">
      <c r="A36" s="21">
        <v>45834</v>
      </c>
      <c r="B36" s="22">
        <v>1</v>
      </c>
      <c r="C36" s="25">
        <f t="shared" si="4"/>
        <v>1336</v>
      </c>
      <c r="D36" s="24">
        <v>-1067</v>
      </c>
      <c r="E36" s="25">
        <f t="shared" si="1"/>
        <v>2403</v>
      </c>
      <c r="F36" s="22">
        <f t="shared" si="5"/>
        <v>249</v>
      </c>
      <c r="G36" s="22">
        <v>1</v>
      </c>
      <c r="H36" s="25">
        <f t="shared" si="6"/>
        <v>1145</v>
      </c>
      <c r="I36" s="27">
        <v>-842</v>
      </c>
      <c r="J36" s="28">
        <f t="shared" si="2"/>
        <v>1987</v>
      </c>
      <c r="K36" s="22">
        <f t="shared" si="7"/>
        <v>315</v>
      </c>
      <c r="L36" s="22">
        <v>1</v>
      </c>
      <c r="M36" s="25">
        <f t="shared" si="8"/>
        <v>1149</v>
      </c>
      <c r="N36" s="24">
        <v>-716</v>
      </c>
      <c r="O36" s="28">
        <f t="shared" si="3"/>
        <v>1865</v>
      </c>
      <c r="P36" s="22">
        <f t="shared" si="9"/>
        <v>181</v>
      </c>
      <c r="Q36" s="29"/>
      <c r="R36" s="30"/>
    </row>
    <row r="37" spans="1:18" x14ac:dyDescent="0.25">
      <c r="A37" s="21">
        <v>45835</v>
      </c>
      <c r="B37" s="22">
        <v>1</v>
      </c>
      <c r="C37" s="25">
        <f t="shared" si="4"/>
        <v>1335</v>
      </c>
      <c r="D37" s="24">
        <v>-1068</v>
      </c>
      <c r="E37" s="25">
        <f t="shared" si="1"/>
        <v>2403</v>
      </c>
      <c r="F37" s="22">
        <f t="shared" si="5"/>
        <v>250</v>
      </c>
      <c r="G37" s="22">
        <v>1</v>
      </c>
      <c r="H37" s="25">
        <f t="shared" si="6"/>
        <v>1143</v>
      </c>
      <c r="I37" s="27">
        <v>-844</v>
      </c>
      <c r="J37" s="28">
        <f t="shared" si="2"/>
        <v>1987</v>
      </c>
      <c r="K37" s="22">
        <f t="shared" si="7"/>
        <v>317</v>
      </c>
      <c r="L37" s="22">
        <v>1</v>
      </c>
      <c r="M37" s="25">
        <f t="shared" si="8"/>
        <v>1148</v>
      </c>
      <c r="N37" s="24">
        <v>-717</v>
      </c>
      <c r="O37" s="28">
        <f t="shared" si="3"/>
        <v>1865</v>
      </c>
      <c r="P37" s="22">
        <f t="shared" si="9"/>
        <v>182</v>
      </c>
      <c r="Q37" s="29"/>
      <c r="R37" s="30"/>
    </row>
    <row r="38" spans="1:18" x14ac:dyDescent="0.25">
      <c r="A38" s="21">
        <v>45836</v>
      </c>
      <c r="B38" s="22">
        <v>1</v>
      </c>
      <c r="C38" s="25">
        <f t="shared" si="4"/>
        <v>1334</v>
      </c>
      <c r="D38" s="24">
        <v>-1069</v>
      </c>
      <c r="E38" s="25">
        <f t="shared" si="1"/>
        <v>2403</v>
      </c>
      <c r="F38" s="22">
        <f t="shared" si="5"/>
        <v>251</v>
      </c>
      <c r="G38" s="22">
        <v>1</v>
      </c>
      <c r="H38" s="25">
        <f t="shared" si="6"/>
        <v>1141</v>
      </c>
      <c r="I38" s="27">
        <v>-846</v>
      </c>
      <c r="J38" s="28">
        <f t="shared" si="2"/>
        <v>1987</v>
      </c>
      <c r="K38" s="22">
        <f t="shared" si="7"/>
        <v>319</v>
      </c>
      <c r="L38" s="22">
        <v>1</v>
      </c>
      <c r="M38" s="25">
        <f t="shared" si="8"/>
        <v>1147</v>
      </c>
      <c r="N38" s="24">
        <v>-718</v>
      </c>
      <c r="O38" s="28">
        <f t="shared" si="3"/>
        <v>1865</v>
      </c>
      <c r="P38" s="22">
        <f t="shared" si="9"/>
        <v>183</v>
      </c>
      <c r="Q38" s="29"/>
      <c r="R38" s="30"/>
    </row>
    <row r="39" spans="1:18" x14ac:dyDescent="0.25">
      <c r="A39" s="21">
        <v>45837</v>
      </c>
      <c r="B39" s="22">
        <v>1</v>
      </c>
      <c r="C39" s="25">
        <f t="shared" si="4"/>
        <v>1333</v>
      </c>
      <c r="D39" s="24">
        <v>-1070</v>
      </c>
      <c r="E39" s="25">
        <f t="shared" si="1"/>
        <v>2403</v>
      </c>
      <c r="F39" s="22">
        <f t="shared" si="5"/>
        <v>252</v>
      </c>
      <c r="G39" s="22">
        <v>1</v>
      </c>
      <c r="H39" s="25">
        <f t="shared" si="6"/>
        <v>1139</v>
      </c>
      <c r="I39" s="27">
        <v>-848</v>
      </c>
      <c r="J39" s="28">
        <f t="shared" si="2"/>
        <v>1987</v>
      </c>
      <c r="K39" s="22">
        <f t="shared" si="7"/>
        <v>321</v>
      </c>
      <c r="L39" s="22">
        <v>1</v>
      </c>
      <c r="M39" s="25">
        <f t="shared" si="8"/>
        <v>1146</v>
      </c>
      <c r="N39" s="24">
        <v>-719</v>
      </c>
      <c r="O39" s="28">
        <f t="shared" si="3"/>
        <v>1865</v>
      </c>
      <c r="P39" s="22">
        <f t="shared" si="9"/>
        <v>184</v>
      </c>
      <c r="Q39" s="29"/>
      <c r="R39" s="30"/>
    </row>
    <row r="40" spans="1:18" x14ac:dyDescent="0.25">
      <c r="A40" s="21">
        <v>45838</v>
      </c>
      <c r="B40" s="22">
        <v>1</v>
      </c>
      <c r="C40" s="25">
        <f t="shared" si="4"/>
        <v>1332</v>
      </c>
      <c r="D40" s="24">
        <v>-1071</v>
      </c>
      <c r="E40" s="25">
        <f t="shared" si="1"/>
        <v>2403</v>
      </c>
      <c r="F40" s="22">
        <f t="shared" si="5"/>
        <v>253</v>
      </c>
      <c r="G40" s="22">
        <v>1</v>
      </c>
      <c r="H40" s="25">
        <f t="shared" si="6"/>
        <v>1137</v>
      </c>
      <c r="I40" s="27">
        <v>-850</v>
      </c>
      <c r="J40" s="28">
        <f t="shared" si="2"/>
        <v>1987</v>
      </c>
      <c r="K40" s="22">
        <f t="shared" si="7"/>
        <v>323</v>
      </c>
      <c r="L40" s="22">
        <v>1</v>
      </c>
      <c r="M40" s="25">
        <f t="shared" si="8"/>
        <v>1145</v>
      </c>
      <c r="N40" s="24">
        <v>-720</v>
      </c>
      <c r="O40" s="28">
        <f t="shared" si="3"/>
        <v>1865</v>
      </c>
      <c r="P40" s="22">
        <f t="shared" si="9"/>
        <v>185</v>
      </c>
      <c r="Q40" s="29"/>
      <c r="R40" s="30"/>
    </row>
    <row r="41" spans="1:18" x14ac:dyDescent="0.25">
      <c r="A41" s="21">
        <v>45839</v>
      </c>
      <c r="B41" s="22">
        <v>1</v>
      </c>
      <c r="C41" s="25">
        <f t="shared" si="4"/>
        <v>1331</v>
      </c>
      <c r="D41" s="24">
        <v>-1072</v>
      </c>
      <c r="E41" s="25">
        <f t="shared" si="1"/>
        <v>2403</v>
      </c>
      <c r="F41" s="22">
        <f t="shared" si="5"/>
        <v>254</v>
      </c>
      <c r="G41" s="22">
        <v>1</v>
      </c>
      <c r="H41" s="25">
        <f t="shared" si="6"/>
        <v>1135</v>
      </c>
      <c r="I41" s="27">
        <v>-852</v>
      </c>
      <c r="J41" s="28">
        <f t="shared" si="2"/>
        <v>1987</v>
      </c>
      <c r="K41" s="22">
        <f t="shared" si="7"/>
        <v>325</v>
      </c>
      <c r="L41" s="22">
        <v>1</v>
      </c>
      <c r="M41" s="25">
        <f t="shared" si="8"/>
        <v>1144</v>
      </c>
      <c r="N41" s="24">
        <v>-721</v>
      </c>
      <c r="O41" s="28">
        <f t="shared" si="3"/>
        <v>1865</v>
      </c>
      <c r="P41" s="22">
        <f t="shared" si="9"/>
        <v>186</v>
      </c>
      <c r="Q41" s="29"/>
      <c r="R41" s="30"/>
    </row>
    <row r="42" spans="1:18" x14ac:dyDescent="0.25">
      <c r="A42" s="21">
        <v>45840</v>
      </c>
      <c r="B42" s="22">
        <v>1</v>
      </c>
      <c r="C42" s="25">
        <f t="shared" si="4"/>
        <v>1330</v>
      </c>
      <c r="D42" s="24">
        <v>-1073</v>
      </c>
      <c r="E42" s="25">
        <f t="shared" si="1"/>
        <v>2403</v>
      </c>
      <c r="F42" s="22">
        <f t="shared" si="5"/>
        <v>255</v>
      </c>
      <c r="G42" s="22">
        <v>1</v>
      </c>
      <c r="H42" s="25">
        <f t="shared" si="6"/>
        <v>1133</v>
      </c>
      <c r="I42" s="27">
        <v>-854</v>
      </c>
      <c r="J42" s="28">
        <f t="shared" si="2"/>
        <v>1987</v>
      </c>
      <c r="K42" s="22">
        <f t="shared" si="7"/>
        <v>327</v>
      </c>
      <c r="L42" s="22">
        <v>1</v>
      </c>
      <c r="M42" s="25">
        <f t="shared" si="8"/>
        <v>1143</v>
      </c>
      <c r="N42" s="24">
        <v>-722</v>
      </c>
      <c r="O42" s="28">
        <f t="shared" si="3"/>
        <v>1865</v>
      </c>
      <c r="P42" s="22">
        <f t="shared" si="9"/>
        <v>187</v>
      </c>
      <c r="Q42" s="29"/>
      <c r="R42" s="30"/>
    </row>
    <row r="43" spans="1:18" x14ac:dyDescent="0.25">
      <c r="A43" s="21">
        <v>45841</v>
      </c>
      <c r="B43" s="22">
        <v>1</v>
      </c>
      <c r="C43" s="25">
        <f t="shared" si="4"/>
        <v>1329</v>
      </c>
      <c r="D43" s="24">
        <v>-1074</v>
      </c>
      <c r="E43" s="25">
        <f t="shared" si="1"/>
        <v>2403</v>
      </c>
      <c r="F43" s="22">
        <f t="shared" si="5"/>
        <v>256</v>
      </c>
      <c r="G43" s="22">
        <v>1</v>
      </c>
      <c r="H43" s="25">
        <f t="shared" si="6"/>
        <v>1131</v>
      </c>
      <c r="I43" s="27">
        <v>-856</v>
      </c>
      <c r="J43" s="28">
        <f t="shared" si="2"/>
        <v>1987</v>
      </c>
      <c r="K43" s="22">
        <f t="shared" si="7"/>
        <v>329</v>
      </c>
      <c r="L43" s="22">
        <v>1</v>
      </c>
      <c r="M43" s="25">
        <f t="shared" si="8"/>
        <v>1142</v>
      </c>
      <c r="N43" s="24">
        <v>-723</v>
      </c>
      <c r="O43" s="28">
        <f t="shared" si="3"/>
        <v>1865</v>
      </c>
      <c r="P43" s="22">
        <f t="shared" si="9"/>
        <v>188</v>
      </c>
      <c r="Q43" s="29"/>
      <c r="R43" s="30"/>
    </row>
    <row r="44" spans="1:18" x14ac:dyDescent="0.25">
      <c r="A44" s="21">
        <v>45842</v>
      </c>
      <c r="B44" s="22">
        <v>1</v>
      </c>
      <c r="C44" s="25">
        <f t="shared" si="4"/>
        <v>1328</v>
      </c>
      <c r="D44" s="24">
        <v>-1075</v>
      </c>
      <c r="E44" s="25">
        <f t="shared" si="1"/>
        <v>2403</v>
      </c>
      <c r="F44" s="22">
        <f t="shared" si="5"/>
        <v>257</v>
      </c>
      <c r="G44" s="22">
        <v>1</v>
      </c>
      <c r="H44" s="25">
        <f t="shared" si="6"/>
        <v>1129</v>
      </c>
      <c r="I44" s="27">
        <v>-858</v>
      </c>
      <c r="J44" s="28">
        <f t="shared" si="2"/>
        <v>1987</v>
      </c>
      <c r="K44" s="22">
        <f t="shared" si="7"/>
        <v>331</v>
      </c>
      <c r="L44" s="22">
        <v>1</v>
      </c>
      <c r="M44" s="25">
        <f t="shared" si="8"/>
        <v>1141</v>
      </c>
      <c r="N44" s="24">
        <v>-724</v>
      </c>
      <c r="O44" s="28">
        <f t="shared" si="3"/>
        <v>1865</v>
      </c>
      <c r="P44" s="22">
        <f t="shared" si="9"/>
        <v>189</v>
      </c>
      <c r="Q44" s="29"/>
      <c r="R44" s="30"/>
    </row>
    <row r="45" spans="1:18" x14ac:dyDescent="0.25">
      <c r="A45" s="21">
        <v>45843</v>
      </c>
      <c r="B45" s="22">
        <v>1</v>
      </c>
      <c r="C45" s="25">
        <f t="shared" si="4"/>
        <v>1327</v>
      </c>
      <c r="D45" s="24">
        <v>-1076</v>
      </c>
      <c r="E45" s="25">
        <f t="shared" si="1"/>
        <v>2403</v>
      </c>
      <c r="F45" s="22">
        <f t="shared" si="5"/>
        <v>258</v>
      </c>
      <c r="G45" s="22">
        <v>1</v>
      </c>
      <c r="H45" s="25">
        <f t="shared" si="6"/>
        <v>1127</v>
      </c>
      <c r="I45" s="27">
        <v>-860</v>
      </c>
      <c r="J45" s="28">
        <f t="shared" si="2"/>
        <v>1987</v>
      </c>
      <c r="K45" s="22">
        <f t="shared" si="7"/>
        <v>333</v>
      </c>
      <c r="L45" s="22">
        <v>1</v>
      </c>
      <c r="M45" s="25">
        <f t="shared" si="8"/>
        <v>1140</v>
      </c>
      <c r="N45" s="24">
        <v>-725</v>
      </c>
      <c r="O45" s="28">
        <f t="shared" si="3"/>
        <v>1865</v>
      </c>
      <c r="P45" s="22">
        <f t="shared" si="9"/>
        <v>190</v>
      </c>
      <c r="Q45" s="29"/>
      <c r="R45" s="30"/>
    </row>
    <row r="46" spans="1:18" x14ac:dyDescent="0.25">
      <c r="A46" s="21">
        <v>45844</v>
      </c>
      <c r="B46" s="22">
        <v>1</v>
      </c>
      <c r="C46" s="25">
        <f t="shared" si="4"/>
        <v>1326</v>
      </c>
      <c r="D46" s="24">
        <v>-1077</v>
      </c>
      <c r="E46" s="25">
        <f t="shared" si="1"/>
        <v>2403</v>
      </c>
      <c r="F46" s="22">
        <f t="shared" si="5"/>
        <v>259</v>
      </c>
      <c r="G46" s="22">
        <v>1</v>
      </c>
      <c r="H46" s="25">
        <f t="shared" si="6"/>
        <v>1125</v>
      </c>
      <c r="I46" s="27">
        <v>-862</v>
      </c>
      <c r="J46" s="28">
        <f t="shared" si="2"/>
        <v>1987</v>
      </c>
      <c r="K46" s="22">
        <f t="shared" si="7"/>
        <v>335</v>
      </c>
      <c r="L46" s="22">
        <v>1</v>
      </c>
      <c r="M46" s="25">
        <f t="shared" si="8"/>
        <v>1139</v>
      </c>
      <c r="N46" s="24">
        <v>-726</v>
      </c>
      <c r="O46" s="28">
        <f t="shared" si="3"/>
        <v>1865</v>
      </c>
      <c r="P46" s="22">
        <f t="shared" si="9"/>
        <v>191</v>
      </c>
      <c r="Q46" s="29"/>
      <c r="R46" s="30"/>
    </row>
    <row r="47" spans="1:18" x14ac:dyDescent="0.25">
      <c r="A47" s="21">
        <v>45845</v>
      </c>
      <c r="B47" s="22">
        <v>1</v>
      </c>
      <c r="C47" s="25">
        <f t="shared" si="4"/>
        <v>1325</v>
      </c>
      <c r="D47" s="24">
        <v>-1078</v>
      </c>
      <c r="E47" s="25">
        <f t="shared" si="1"/>
        <v>2403</v>
      </c>
      <c r="F47" s="22">
        <f t="shared" si="5"/>
        <v>260</v>
      </c>
      <c r="G47" s="22">
        <v>1</v>
      </c>
      <c r="H47" s="25">
        <f t="shared" si="6"/>
        <v>1123</v>
      </c>
      <c r="I47" s="27">
        <v>-864</v>
      </c>
      <c r="J47" s="28">
        <f t="shared" si="2"/>
        <v>1987</v>
      </c>
      <c r="K47" s="22">
        <f t="shared" si="7"/>
        <v>337</v>
      </c>
      <c r="L47" s="22">
        <v>1</v>
      </c>
      <c r="M47" s="25">
        <f t="shared" si="8"/>
        <v>1138</v>
      </c>
      <c r="N47" s="24">
        <v>-727</v>
      </c>
      <c r="O47" s="28">
        <f t="shared" si="3"/>
        <v>1865</v>
      </c>
      <c r="P47" s="22">
        <f t="shared" si="9"/>
        <v>192</v>
      </c>
      <c r="Q47" s="29"/>
      <c r="R47" s="30"/>
    </row>
    <row r="48" spans="1:18" x14ac:dyDescent="0.25">
      <c r="A48" s="21">
        <v>45846</v>
      </c>
      <c r="B48" s="22">
        <v>1</v>
      </c>
      <c r="C48" s="25">
        <f t="shared" si="4"/>
        <v>1324</v>
      </c>
      <c r="D48" s="24">
        <v>-1079</v>
      </c>
      <c r="E48" s="25">
        <f t="shared" si="1"/>
        <v>2403</v>
      </c>
      <c r="F48" s="22">
        <f t="shared" si="5"/>
        <v>261</v>
      </c>
      <c r="G48" s="22">
        <v>1</v>
      </c>
      <c r="H48" s="25">
        <f t="shared" si="6"/>
        <v>1122</v>
      </c>
      <c r="I48" s="27">
        <v>-865</v>
      </c>
      <c r="J48" s="28">
        <f t="shared" si="2"/>
        <v>1987</v>
      </c>
      <c r="K48" s="22">
        <f t="shared" si="7"/>
        <v>338</v>
      </c>
      <c r="L48" s="22">
        <v>1</v>
      </c>
      <c r="M48" s="25">
        <f t="shared" si="8"/>
        <v>1137</v>
      </c>
      <c r="N48" s="24">
        <v>-728</v>
      </c>
      <c r="O48" s="28">
        <f t="shared" si="3"/>
        <v>1865</v>
      </c>
      <c r="P48" s="22">
        <f t="shared" si="9"/>
        <v>193</v>
      </c>
      <c r="Q48" s="29"/>
      <c r="R48" s="30"/>
    </row>
    <row r="49" spans="1:18" x14ac:dyDescent="0.25">
      <c r="A49" s="21">
        <v>45847</v>
      </c>
      <c r="B49" s="22">
        <v>1</v>
      </c>
      <c r="C49" s="25">
        <f t="shared" si="4"/>
        <v>1323</v>
      </c>
      <c r="D49" s="24">
        <v>-1080</v>
      </c>
      <c r="E49" s="25">
        <f t="shared" si="1"/>
        <v>2403</v>
      </c>
      <c r="F49" s="22">
        <f t="shared" si="5"/>
        <v>262</v>
      </c>
      <c r="G49" s="22">
        <v>1</v>
      </c>
      <c r="H49" s="25">
        <f t="shared" si="6"/>
        <v>1121</v>
      </c>
      <c r="I49" s="27">
        <v>-866</v>
      </c>
      <c r="J49" s="28">
        <f t="shared" si="2"/>
        <v>1987</v>
      </c>
      <c r="K49" s="22">
        <f t="shared" si="7"/>
        <v>339</v>
      </c>
      <c r="L49" s="22">
        <v>1</v>
      </c>
      <c r="M49" s="25">
        <f t="shared" si="8"/>
        <v>1136</v>
      </c>
      <c r="N49" s="24">
        <v>-729</v>
      </c>
      <c r="O49" s="28">
        <f t="shared" si="3"/>
        <v>1865</v>
      </c>
      <c r="P49" s="22">
        <f t="shared" si="9"/>
        <v>194</v>
      </c>
      <c r="Q49" s="29"/>
      <c r="R49" s="30"/>
    </row>
    <row r="50" spans="1:18" x14ac:dyDescent="0.25">
      <c r="A50" s="21">
        <v>45848</v>
      </c>
      <c r="B50" s="22">
        <v>1</v>
      </c>
      <c r="C50" s="25">
        <f t="shared" si="4"/>
        <v>1322</v>
      </c>
      <c r="D50" s="24">
        <v>-1081</v>
      </c>
      <c r="E50" s="25">
        <f t="shared" si="1"/>
        <v>2403</v>
      </c>
      <c r="F50" s="22">
        <f t="shared" si="5"/>
        <v>263</v>
      </c>
      <c r="G50" s="22">
        <v>1</v>
      </c>
      <c r="H50" s="25">
        <f t="shared" si="6"/>
        <v>1120</v>
      </c>
      <c r="I50" s="27">
        <v>-867</v>
      </c>
      <c r="J50" s="28">
        <f t="shared" si="2"/>
        <v>1987</v>
      </c>
      <c r="K50" s="22">
        <f t="shared" si="7"/>
        <v>340</v>
      </c>
      <c r="L50" s="22">
        <v>1</v>
      </c>
      <c r="M50" s="25">
        <f t="shared" si="8"/>
        <v>1135</v>
      </c>
      <c r="N50" s="24">
        <v>-730</v>
      </c>
      <c r="O50" s="28">
        <f t="shared" si="3"/>
        <v>1865</v>
      </c>
      <c r="P50" s="22">
        <f t="shared" si="9"/>
        <v>195</v>
      </c>
      <c r="Q50" s="29"/>
      <c r="R50" s="30"/>
    </row>
    <row r="51" spans="1:18" x14ac:dyDescent="0.25">
      <c r="A51" s="21">
        <v>45849</v>
      </c>
      <c r="B51" s="22">
        <v>1</v>
      </c>
      <c r="C51" s="25">
        <f t="shared" si="4"/>
        <v>1321</v>
      </c>
      <c r="D51" s="24">
        <v>-1082</v>
      </c>
      <c r="E51" s="25">
        <f t="shared" si="1"/>
        <v>2403</v>
      </c>
      <c r="F51" s="22">
        <f t="shared" si="5"/>
        <v>264</v>
      </c>
      <c r="G51" s="22">
        <v>1</v>
      </c>
      <c r="H51" s="25">
        <f t="shared" si="6"/>
        <v>1119</v>
      </c>
      <c r="I51" s="27">
        <v>-868</v>
      </c>
      <c r="J51" s="28">
        <f t="shared" si="2"/>
        <v>1987</v>
      </c>
      <c r="K51" s="22">
        <f t="shared" si="7"/>
        <v>341</v>
      </c>
      <c r="L51" s="22">
        <v>1</v>
      </c>
      <c r="M51" s="25">
        <f t="shared" si="8"/>
        <v>1134</v>
      </c>
      <c r="N51" s="24">
        <v>-731</v>
      </c>
      <c r="O51" s="28">
        <f t="shared" si="3"/>
        <v>1865</v>
      </c>
      <c r="P51" s="22">
        <f t="shared" si="9"/>
        <v>196</v>
      </c>
      <c r="Q51" s="29"/>
      <c r="R51" s="30"/>
    </row>
    <row r="52" spans="1:18" x14ac:dyDescent="0.25">
      <c r="A52" s="21">
        <v>45850</v>
      </c>
      <c r="B52" s="22">
        <v>1</v>
      </c>
      <c r="C52" s="25">
        <f t="shared" si="4"/>
        <v>1320</v>
      </c>
      <c r="D52" s="24">
        <v>-1083</v>
      </c>
      <c r="E52" s="25">
        <f t="shared" si="1"/>
        <v>2403</v>
      </c>
      <c r="F52" s="22">
        <f t="shared" si="5"/>
        <v>265</v>
      </c>
      <c r="G52" s="22">
        <v>1</v>
      </c>
      <c r="H52" s="25">
        <f t="shared" si="6"/>
        <v>1118</v>
      </c>
      <c r="I52" s="27">
        <v>-869</v>
      </c>
      <c r="J52" s="28">
        <f t="shared" si="2"/>
        <v>1987</v>
      </c>
      <c r="K52" s="22">
        <f t="shared" si="7"/>
        <v>342</v>
      </c>
      <c r="L52" s="22">
        <v>1</v>
      </c>
      <c r="M52" s="25">
        <f t="shared" si="8"/>
        <v>1133</v>
      </c>
      <c r="N52" s="24">
        <v>-732</v>
      </c>
      <c r="O52" s="28">
        <f t="shared" si="3"/>
        <v>1865</v>
      </c>
      <c r="P52" s="22">
        <f t="shared" si="9"/>
        <v>197</v>
      </c>
      <c r="Q52" s="29"/>
      <c r="R52" s="30"/>
    </row>
    <row r="53" spans="1:18" x14ac:dyDescent="0.25">
      <c r="A53" s="21">
        <v>45851</v>
      </c>
      <c r="B53" s="22">
        <v>1</v>
      </c>
      <c r="C53" s="25">
        <f t="shared" si="4"/>
        <v>1319</v>
      </c>
      <c r="D53" s="24">
        <v>-1084</v>
      </c>
      <c r="E53" s="25">
        <f t="shared" si="1"/>
        <v>2403</v>
      </c>
      <c r="F53" s="22">
        <f t="shared" si="5"/>
        <v>266</v>
      </c>
      <c r="G53" s="22">
        <v>1</v>
      </c>
      <c r="H53" s="25">
        <f t="shared" si="6"/>
        <v>1117</v>
      </c>
      <c r="I53" s="27">
        <v>-870</v>
      </c>
      <c r="J53" s="28">
        <f t="shared" si="2"/>
        <v>1987</v>
      </c>
      <c r="K53" s="22">
        <f t="shared" si="7"/>
        <v>343</v>
      </c>
      <c r="L53" s="22">
        <v>1</v>
      </c>
      <c r="M53" s="25">
        <f t="shared" si="8"/>
        <v>1132</v>
      </c>
      <c r="N53" s="24">
        <v>-733</v>
      </c>
      <c r="O53" s="28">
        <f t="shared" si="3"/>
        <v>1865</v>
      </c>
      <c r="P53" s="22">
        <f t="shared" si="9"/>
        <v>198</v>
      </c>
      <c r="Q53" s="29"/>
      <c r="R53" s="30"/>
    </row>
    <row r="54" spans="1:18" x14ac:dyDescent="0.25">
      <c r="A54" s="21">
        <v>45852</v>
      </c>
      <c r="B54" s="22">
        <v>1</v>
      </c>
      <c r="C54" s="25">
        <f t="shared" si="4"/>
        <v>1318</v>
      </c>
      <c r="D54" s="24">
        <v>-1085</v>
      </c>
      <c r="E54" s="25">
        <f t="shared" si="1"/>
        <v>2403</v>
      </c>
      <c r="F54" s="22">
        <f t="shared" si="5"/>
        <v>267</v>
      </c>
      <c r="G54" s="22">
        <v>1</v>
      </c>
      <c r="H54" s="25">
        <f t="shared" si="6"/>
        <v>1115</v>
      </c>
      <c r="I54" s="27">
        <v>-872</v>
      </c>
      <c r="J54" s="28">
        <f t="shared" si="2"/>
        <v>1987</v>
      </c>
      <c r="K54" s="22">
        <f t="shared" si="7"/>
        <v>345</v>
      </c>
      <c r="L54" s="22">
        <v>1</v>
      </c>
      <c r="M54" s="25">
        <f t="shared" si="8"/>
        <v>1131</v>
      </c>
      <c r="N54" s="24">
        <v>-734</v>
      </c>
      <c r="O54" s="28">
        <f t="shared" si="3"/>
        <v>1865</v>
      </c>
      <c r="P54" s="22">
        <f t="shared" si="9"/>
        <v>199</v>
      </c>
      <c r="Q54" s="29"/>
      <c r="R54" s="30"/>
    </row>
    <row r="55" spans="1:18" x14ac:dyDescent="0.25">
      <c r="A55" s="21">
        <v>45853</v>
      </c>
      <c r="B55" s="22">
        <v>1</v>
      </c>
      <c r="C55" s="25">
        <f t="shared" si="4"/>
        <v>1317</v>
      </c>
      <c r="D55" s="24">
        <v>-1086</v>
      </c>
      <c r="E55" s="25">
        <f t="shared" si="1"/>
        <v>2403</v>
      </c>
      <c r="F55" s="22">
        <f t="shared" si="5"/>
        <v>268</v>
      </c>
      <c r="G55" s="22">
        <v>1</v>
      </c>
      <c r="H55" s="25">
        <f t="shared" si="6"/>
        <v>1113</v>
      </c>
      <c r="I55" s="27">
        <v>-874</v>
      </c>
      <c r="J55" s="28">
        <f t="shared" si="2"/>
        <v>1987</v>
      </c>
      <c r="K55" s="22">
        <f t="shared" si="7"/>
        <v>347</v>
      </c>
      <c r="L55" s="22">
        <v>1</v>
      </c>
      <c r="M55" s="25">
        <f t="shared" si="8"/>
        <v>1130</v>
      </c>
      <c r="N55" s="24">
        <v>-735</v>
      </c>
      <c r="O55" s="28">
        <f t="shared" si="3"/>
        <v>1865</v>
      </c>
      <c r="P55" s="22">
        <f t="shared" si="9"/>
        <v>200</v>
      </c>
      <c r="Q55" s="29"/>
      <c r="R55" s="30"/>
    </row>
    <row r="56" spans="1:18" x14ac:dyDescent="0.25">
      <c r="A56" s="21">
        <v>45854</v>
      </c>
      <c r="B56" s="22">
        <v>1</v>
      </c>
      <c r="C56" s="25">
        <f t="shared" si="4"/>
        <v>1316</v>
      </c>
      <c r="D56" s="24">
        <v>-1087</v>
      </c>
      <c r="E56" s="25">
        <f t="shared" si="1"/>
        <v>2403</v>
      </c>
      <c r="F56" s="22">
        <f t="shared" si="5"/>
        <v>269</v>
      </c>
      <c r="G56" s="22">
        <v>1</v>
      </c>
      <c r="H56" s="25">
        <f t="shared" si="6"/>
        <v>1111</v>
      </c>
      <c r="I56" s="27">
        <v>-876</v>
      </c>
      <c r="J56" s="28">
        <f t="shared" si="2"/>
        <v>1987</v>
      </c>
      <c r="K56" s="22">
        <f t="shared" si="7"/>
        <v>349</v>
      </c>
      <c r="L56" s="22">
        <v>1</v>
      </c>
      <c r="M56" s="25">
        <f t="shared" si="8"/>
        <v>1129</v>
      </c>
      <c r="N56" s="24">
        <v>-736</v>
      </c>
      <c r="O56" s="28">
        <f t="shared" si="3"/>
        <v>1865</v>
      </c>
      <c r="P56" s="22">
        <f t="shared" si="9"/>
        <v>201</v>
      </c>
      <c r="Q56" s="29"/>
      <c r="R56" s="30"/>
    </row>
    <row r="57" spans="1:18" x14ac:dyDescent="0.25">
      <c r="A57" s="21">
        <v>45855</v>
      </c>
      <c r="B57" s="22">
        <v>1</v>
      </c>
      <c r="C57" s="25">
        <f t="shared" si="4"/>
        <v>1315</v>
      </c>
      <c r="D57" s="24">
        <v>-1088</v>
      </c>
      <c r="E57" s="25">
        <f t="shared" si="1"/>
        <v>2403</v>
      </c>
      <c r="F57" s="22">
        <f t="shared" si="5"/>
        <v>270</v>
      </c>
      <c r="G57" s="22">
        <v>1</v>
      </c>
      <c r="H57" s="25">
        <f t="shared" si="6"/>
        <v>1109</v>
      </c>
      <c r="I57" s="27">
        <v>-878</v>
      </c>
      <c r="J57" s="28">
        <f t="shared" si="2"/>
        <v>1987</v>
      </c>
      <c r="K57" s="22">
        <f t="shared" si="7"/>
        <v>351</v>
      </c>
      <c r="L57" s="22">
        <v>1</v>
      </c>
      <c r="M57" s="25">
        <f t="shared" si="8"/>
        <v>1128</v>
      </c>
      <c r="N57" s="24">
        <v>-737</v>
      </c>
      <c r="O57" s="28">
        <f t="shared" si="3"/>
        <v>1865</v>
      </c>
      <c r="P57" s="22">
        <f t="shared" si="9"/>
        <v>202</v>
      </c>
      <c r="Q57" s="29"/>
      <c r="R57" s="30"/>
    </row>
    <row r="58" spans="1:18" x14ac:dyDescent="0.25">
      <c r="A58" s="21">
        <v>45856</v>
      </c>
      <c r="B58" s="22">
        <v>1</v>
      </c>
      <c r="C58" s="25">
        <f t="shared" si="4"/>
        <v>1311</v>
      </c>
      <c r="D58" s="24">
        <v>-1092</v>
      </c>
      <c r="E58" s="25">
        <f t="shared" si="1"/>
        <v>2403</v>
      </c>
      <c r="F58" s="22">
        <f t="shared" si="5"/>
        <v>274</v>
      </c>
      <c r="G58" s="22">
        <v>1</v>
      </c>
      <c r="H58" s="25">
        <f t="shared" si="6"/>
        <v>1107</v>
      </c>
      <c r="I58" s="27">
        <v>-880</v>
      </c>
      <c r="J58" s="28">
        <f t="shared" si="2"/>
        <v>1987</v>
      </c>
      <c r="K58" s="22">
        <f t="shared" si="7"/>
        <v>353</v>
      </c>
      <c r="L58" s="22">
        <v>1</v>
      </c>
      <c r="M58" s="25">
        <f t="shared" si="8"/>
        <v>1127</v>
      </c>
      <c r="N58" s="24">
        <v>-738</v>
      </c>
      <c r="O58" s="28">
        <f t="shared" si="3"/>
        <v>1865</v>
      </c>
      <c r="P58" s="22">
        <f t="shared" si="9"/>
        <v>203</v>
      </c>
      <c r="Q58" s="29"/>
      <c r="R58" s="30"/>
    </row>
    <row r="59" spans="1:18" x14ac:dyDescent="0.25">
      <c r="A59" s="21">
        <v>45857</v>
      </c>
      <c r="B59" s="22">
        <v>1</v>
      </c>
      <c r="C59" s="25">
        <f t="shared" si="4"/>
        <v>1309</v>
      </c>
      <c r="D59" s="24">
        <v>-1094</v>
      </c>
      <c r="E59" s="25">
        <f t="shared" si="1"/>
        <v>2403</v>
      </c>
      <c r="F59" s="22">
        <f t="shared" si="5"/>
        <v>276</v>
      </c>
      <c r="G59" s="22">
        <v>1</v>
      </c>
      <c r="H59" s="25">
        <f t="shared" si="6"/>
        <v>1105</v>
      </c>
      <c r="I59" s="27">
        <v>-882</v>
      </c>
      <c r="J59" s="28">
        <f t="shared" si="2"/>
        <v>1987</v>
      </c>
      <c r="K59" s="22">
        <f t="shared" si="7"/>
        <v>355</v>
      </c>
      <c r="L59" s="22">
        <v>1</v>
      </c>
      <c r="M59" s="25">
        <f t="shared" si="8"/>
        <v>1127</v>
      </c>
      <c r="N59" s="24">
        <v>-738</v>
      </c>
      <c r="O59" s="28">
        <f t="shared" si="3"/>
        <v>1865</v>
      </c>
      <c r="P59" s="22">
        <f t="shared" si="9"/>
        <v>203</v>
      </c>
      <c r="Q59" s="29"/>
      <c r="R59" s="30"/>
    </row>
    <row r="60" spans="1:18" x14ac:dyDescent="0.25">
      <c r="A60" s="21">
        <v>45858</v>
      </c>
      <c r="B60" s="22">
        <v>1</v>
      </c>
      <c r="C60" s="25">
        <f t="shared" si="4"/>
        <v>1307</v>
      </c>
      <c r="D60" s="24">
        <v>-1096</v>
      </c>
      <c r="E60" s="25">
        <f t="shared" si="1"/>
        <v>2403</v>
      </c>
      <c r="F60" s="22">
        <f t="shared" si="5"/>
        <v>278</v>
      </c>
      <c r="G60" s="22">
        <v>1</v>
      </c>
      <c r="H60" s="25">
        <f t="shared" si="6"/>
        <v>1103</v>
      </c>
      <c r="I60" s="27">
        <v>-884</v>
      </c>
      <c r="J60" s="28">
        <f t="shared" si="2"/>
        <v>1987</v>
      </c>
      <c r="K60" s="22">
        <f t="shared" si="7"/>
        <v>357</v>
      </c>
      <c r="L60" s="22">
        <v>1</v>
      </c>
      <c r="M60" s="25">
        <f t="shared" si="8"/>
        <v>1125</v>
      </c>
      <c r="N60" s="24">
        <v>-740</v>
      </c>
      <c r="O60" s="28">
        <f t="shared" si="3"/>
        <v>1865</v>
      </c>
      <c r="P60" s="22">
        <f t="shared" si="9"/>
        <v>205</v>
      </c>
      <c r="Q60" s="29"/>
      <c r="R60" s="30"/>
    </row>
    <row r="61" spans="1:18" x14ac:dyDescent="0.25">
      <c r="A61" s="21">
        <v>45859</v>
      </c>
      <c r="B61" s="22">
        <v>1</v>
      </c>
      <c r="C61" s="25">
        <f t="shared" si="4"/>
        <v>1305</v>
      </c>
      <c r="D61" s="24">
        <v>-1098</v>
      </c>
      <c r="E61" s="25">
        <f t="shared" si="1"/>
        <v>2403</v>
      </c>
      <c r="F61" s="22">
        <f t="shared" si="5"/>
        <v>280</v>
      </c>
      <c r="G61" s="22">
        <v>1</v>
      </c>
      <c r="H61" s="25">
        <f t="shared" si="6"/>
        <v>1101</v>
      </c>
      <c r="I61" s="27">
        <v>-886</v>
      </c>
      <c r="J61" s="28">
        <f t="shared" si="2"/>
        <v>1987</v>
      </c>
      <c r="K61" s="22">
        <f t="shared" si="7"/>
        <v>359</v>
      </c>
      <c r="L61" s="22">
        <v>1</v>
      </c>
      <c r="M61" s="25">
        <f t="shared" si="8"/>
        <v>1123</v>
      </c>
      <c r="N61" s="24">
        <v>-742</v>
      </c>
      <c r="O61" s="28">
        <f t="shared" si="3"/>
        <v>1865</v>
      </c>
      <c r="P61" s="22">
        <f t="shared" si="9"/>
        <v>207</v>
      </c>
      <c r="Q61" s="29"/>
      <c r="R61" s="30"/>
    </row>
    <row r="62" spans="1:18" x14ac:dyDescent="0.25">
      <c r="A62" s="21">
        <v>45860</v>
      </c>
      <c r="B62" s="22">
        <v>1</v>
      </c>
      <c r="C62" s="25">
        <f t="shared" si="4"/>
        <v>1303</v>
      </c>
      <c r="D62" s="24">
        <v>-1100</v>
      </c>
      <c r="E62" s="25">
        <f t="shared" si="1"/>
        <v>2403</v>
      </c>
      <c r="F62" s="22">
        <f t="shared" si="5"/>
        <v>282</v>
      </c>
      <c r="G62" s="22">
        <v>1</v>
      </c>
      <c r="H62" s="25">
        <f t="shared" si="6"/>
        <v>1099</v>
      </c>
      <c r="I62" s="27">
        <v>-888</v>
      </c>
      <c r="J62" s="28">
        <f t="shared" si="2"/>
        <v>1987</v>
      </c>
      <c r="K62" s="22">
        <f t="shared" si="7"/>
        <v>361</v>
      </c>
      <c r="L62" s="22">
        <v>1</v>
      </c>
      <c r="M62" s="25">
        <f t="shared" si="8"/>
        <v>1121</v>
      </c>
      <c r="N62" s="24">
        <v>-744</v>
      </c>
      <c r="O62" s="28">
        <f t="shared" si="3"/>
        <v>1865</v>
      </c>
      <c r="P62" s="22">
        <f t="shared" si="9"/>
        <v>209</v>
      </c>
      <c r="Q62" s="29"/>
      <c r="R62" s="30"/>
    </row>
    <row r="63" spans="1:18" x14ac:dyDescent="0.25">
      <c r="A63" s="21">
        <v>45861</v>
      </c>
      <c r="B63" s="22">
        <v>1</v>
      </c>
      <c r="C63" s="25">
        <f t="shared" si="4"/>
        <v>1301</v>
      </c>
      <c r="D63" s="24">
        <v>-1102</v>
      </c>
      <c r="E63" s="25">
        <f t="shared" si="1"/>
        <v>2403</v>
      </c>
      <c r="F63" s="22">
        <f t="shared" si="5"/>
        <v>284</v>
      </c>
      <c r="G63" s="22">
        <v>1</v>
      </c>
      <c r="H63" s="25">
        <f t="shared" si="6"/>
        <v>1097</v>
      </c>
      <c r="I63" s="27">
        <v>-890</v>
      </c>
      <c r="J63" s="28">
        <f t="shared" si="2"/>
        <v>1987</v>
      </c>
      <c r="K63" s="22">
        <f t="shared" si="7"/>
        <v>363</v>
      </c>
      <c r="L63" s="22">
        <v>1</v>
      </c>
      <c r="M63" s="25">
        <f t="shared" si="8"/>
        <v>1119</v>
      </c>
      <c r="N63" s="24">
        <v>-746</v>
      </c>
      <c r="O63" s="28">
        <f t="shared" si="3"/>
        <v>1865</v>
      </c>
      <c r="P63" s="22">
        <f t="shared" si="9"/>
        <v>211</v>
      </c>
      <c r="Q63" s="29"/>
      <c r="R63" s="30"/>
    </row>
    <row r="64" spans="1:18" x14ac:dyDescent="0.25">
      <c r="A64" s="21">
        <v>45862</v>
      </c>
      <c r="B64" s="22">
        <v>1</v>
      </c>
      <c r="C64" s="25">
        <f t="shared" si="4"/>
        <v>1299</v>
      </c>
      <c r="D64" s="24">
        <v>-1104</v>
      </c>
      <c r="E64" s="25">
        <f t="shared" si="1"/>
        <v>2403</v>
      </c>
      <c r="F64" s="22">
        <f t="shared" si="5"/>
        <v>286</v>
      </c>
      <c r="G64" s="22">
        <v>1</v>
      </c>
      <c r="H64" s="25">
        <f t="shared" si="6"/>
        <v>1095</v>
      </c>
      <c r="I64" s="27">
        <v>-892</v>
      </c>
      <c r="J64" s="28">
        <f t="shared" si="2"/>
        <v>1987</v>
      </c>
      <c r="K64" s="22">
        <f t="shared" si="7"/>
        <v>365</v>
      </c>
      <c r="L64" s="22">
        <v>1</v>
      </c>
      <c r="M64" s="25">
        <f t="shared" si="8"/>
        <v>1117</v>
      </c>
      <c r="N64" s="24">
        <v>-748</v>
      </c>
      <c r="O64" s="28">
        <f t="shared" si="3"/>
        <v>1865</v>
      </c>
      <c r="P64" s="22">
        <f t="shared" si="9"/>
        <v>213</v>
      </c>
      <c r="Q64" s="29"/>
      <c r="R64" s="30"/>
    </row>
    <row r="65" spans="1:18" x14ac:dyDescent="0.25">
      <c r="A65" s="21">
        <v>45863</v>
      </c>
      <c r="B65" s="22">
        <v>1</v>
      </c>
      <c r="C65" s="25">
        <f t="shared" si="4"/>
        <v>1297</v>
      </c>
      <c r="D65" s="24">
        <v>-1106</v>
      </c>
      <c r="E65" s="25">
        <f t="shared" si="1"/>
        <v>2403</v>
      </c>
      <c r="F65" s="22">
        <f t="shared" si="5"/>
        <v>288</v>
      </c>
      <c r="G65" s="22">
        <v>1</v>
      </c>
      <c r="H65" s="25">
        <f t="shared" si="6"/>
        <v>1093</v>
      </c>
      <c r="I65" s="27">
        <v>-894</v>
      </c>
      <c r="J65" s="28">
        <f t="shared" si="2"/>
        <v>1987</v>
      </c>
      <c r="K65" s="22">
        <f t="shared" si="7"/>
        <v>367</v>
      </c>
      <c r="L65" s="22">
        <v>1</v>
      </c>
      <c r="M65" s="25">
        <f t="shared" si="8"/>
        <v>1115</v>
      </c>
      <c r="N65" s="24">
        <v>-750</v>
      </c>
      <c r="O65" s="28">
        <f t="shared" si="3"/>
        <v>1865</v>
      </c>
      <c r="P65" s="22">
        <f t="shared" si="9"/>
        <v>215</v>
      </c>
      <c r="Q65" s="29"/>
      <c r="R65" s="30"/>
    </row>
    <row r="66" spans="1:18" x14ac:dyDescent="0.25">
      <c r="A66" s="21">
        <v>45864</v>
      </c>
      <c r="B66" s="22">
        <v>1</v>
      </c>
      <c r="C66" s="25">
        <f t="shared" si="4"/>
        <v>1295</v>
      </c>
      <c r="D66" s="24">
        <v>-1108</v>
      </c>
      <c r="E66" s="25">
        <f t="shared" si="1"/>
        <v>2403</v>
      </c>
      <c r="F66" s="22">
        <f t="shared" si="5"/>
        <v>290</v>
      </c>
      <c r="G66" s="22">
        <v>1</v>
      </c>
      <c r="H66" s="25">
        <f t="shared" si="6"/>
        <v>1091</v>
      </c>
      <c r="I66" s="27">
        <v>-896</v>
      </c>
      <c r="J66" s="28">
        <f t="shared" si="2"/>
        <v>1987</v>
      </c>
      <c r="K66" s="22">
        <f t="shared" si="7"/>
        <v>369</v>
      </c>
      <c r="L66" s="22">
        <v>1</v>
      </c>
      <c r="M66" s="25">
        <f t="shared" si="8"/>
        <v>1113</v>
      </c>
      <c r="N66" s="24">
        <v>-752</v>
      </c>
      <c r="O66" s="28">
        <f t="shared" si="3"/>
        <v>1865</v>
      </c>
      <c r="P66" s="22">
        <f t="shared" si="9"/>
        <v>217</v>
      </c>
      <c r="Q66" s="29"/>
      <c r="R66" s="30"/>
    </row>
    <row r="67" spans="1:18" x14ac:dyDescent="0.25">
      <c r="A67" s="21">
        <v>45865</v>
      </c>
      <c r="B67" s="22">
        <v>1</v>
      </c>
      <c r="C67" s="25">
        <f t="shared" si="4"/>
        <v>1293</v>
      </c>
      <c r="D67" s="24">
        <v>-1110</v>
      </c>
      <c r="E67" s="25">
        <f t="shared" si="1"/>
        <v>2403</v>
      </c>
      <c r="F67" s="22">
        <f t="shared" si="5"/>
        <v>292</v>
      </c>
      <c r="G67" s="22">
        <v>1</v>
      </c>
      <c r="H67" s="25">
        <f t="shared" si="6"/>
        <v>1089</v>
      </c>
      <c r="I67" s="27">
        <v>-898</v>
      </c>
      <c r="J67" s="28">
        <f t="shared" si="2"/>
        <v>1987</v>
      </c>
      <c r="K67" s="22">
        <f t="shared" si="7"/>
        <v>371</v>
      </c>
      <c r="L67" s="22">
        <v>1</v>
      </c>
      <c r="M67" s="23">
        <v>1000</v>
      </c>
      <c r="N67" s="24">
        <v>-754</v>
      </c>
      <c r="O67" s="28">
        <f t="shared" si="3"/>
        <v>1754</v>
      </c>
      <c r="P67" s="22">
        <f t="shared" si="9"/>
        <v>219</v>
      </c>
      <c r="Q67" s="29"/>
      <c r="R67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7">
    <cfRule type="cellIs" dxfId="25" priority="1" operator="lessThan">
      <formula>60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outlinePr summaryBelow="0" summaryRight="0"/>
  </sheetPr>
  <dimension ref="A1:R67"/>
  <sheetViews>
    <sheetView workbookViewId="0"/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(05/06/25)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47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48</v>
      </c>
      <c r="R10" s="112" t="s">
        <v>49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45813</v>
      </c>
      <c r="B15" s="22">
        <v>1</v>
      </c>
      <c r="C15" s="23">
        <v>1538</v>
      </c>
      <c r="D15" s="24">
        <v>-649</v>
      </c>
      <c r="E15" s="25">
        <f t="shared" ref="E15:E59" si="1">C15-D15</f>
        <v>2187</v>
      </c>
      <c r="F15" s="22">
        <v>0</v>
      </c>
      <c r="G15" s="22">
        <v>1</v>
      </c>
      <c r="H15" s="25">
        <v>1528</v>
      </c>
      <c r="I15" s="27">
        <v>-609</v>
      </c>
      <c r="J15" s="28">
        <f t="shared" ref="J15:J59" si="2">H15-I15</f>
        <v>2137</v>
      </c>
      <c r="K15" s="22">
        <v>0</v>
      </c>
      <c r="L15" s="22">
        <v>1</v>
      </c>
      <c r="M15" s="23">
        <v>1458</v>
      </c>
      <c r="N15" s="24">
        <v>-625</v>
      </c>
      <c r="O15" s="28">
        <f t="shared" ref="O15:O59" si="3">M15-N15</f>
        <v>2083</v>
      </c>
      <c r="P15" s="22">
        <v>0</v>
      </c>
      <c r="Q15" s="29"/>
      <c r="R15" s="30"/>
    </row>
    <row r="16" spans="1:18" x14ac:dyDescent="0.25">
      <c r="A16" s="21">
        <v>45814</v>
      </c>
      <c r="B16" s="22">
        <v>1</v>
      </c>
      <c r="C16" s="25">
        <f t="shared" ref="C16:C59" si="4">$C$15-F16</f>
        <v>1525</v>
      </c>
      <c r="D16" s="24">
        <v>-662</v>
      </c>
      <c r="E16" s="25">
        <f t="shared" si="1"/>
        <v>2187</v>
      </c>
      <c r="F16" s="22">
        <f t="shared" ref="F16:F59" si="5">$D$15-D16</f>
        <v>13</v>
      </c>
      <c r="G16" s="22">
        <v>1</v>
      </c>
      <c r="H16" s="25">
        <f t="shared" ref="H16:H59" si="6">$H$15-K16</f>
        <v>1507</v>
      </c>
      <c r="I16" s="27">
        <v>-630</v>
      </c>
      <c r="J16" s="28">
        <f t="shared" si="2"/>
        <v>2137</v>
      </c>
      <c r="K16" s="22">
        <f t="shared" ref="K16:K59" si="7">$I$15-I16</f>
        <v>21</v>
      </c>
      <c r="L16" s="22">
        <v>1</v>
      </c>
      <c r="M16" s="25">
        <f t="shared" ref="M16:M59" si="8">$M$15-P16</f>
        <v>1445</v>
      </c>
      <c r="N16" s="24">
        <v>-638</v>
      </c>
      <c r="O16" s="28">
        <f t="shared" si="3"/>
        <v>2083</v>
      </c>
      <c r="P16" s="22">
        <f t="shared" ref="P16:P59" si="9">$N$15-N16</f>
        <v>13</v>
      </c>
      <c r="Q16" s="29"/>
      <c r="R16" s="30"/>
    </row>
    <row r="17" spans="1:18" x14ac:dyDescent="0.25">
      <c r="A17" s="21">
        <v>45815</v>
      </c>
      <c r="B17" s="22">
        <v>1</v>
      </c>
      <c r="C17" s="25">
        <f t="shared" si="4"/>
        <v>1512</v>
      </c>
      <c r="D17" s="24">
        <v>-675</v>
      </c>
      <c r="E17" s="25">
        <f t="shared" si="1"/>
        <v>2187</v>
      </c>
      <c r="F17" s="22">
        <f t="shared" si="5"/>
        <v>26</v>
      </c>
      <c r="G17" s="22">
        <v>1</v>
      </c>
      <c r="H17" s="25">
        <f t="shared" si="6"/>
        <v>1486</v>
      </c>
      <c r="I17" s="27">
        <v>-651</v>
      </c>
      <c r="J17" s="28">
        <f t="shared" si="2"/>
        <v>2137</v>
      </c>
      <c r="K17" s="22">
        <f t="shared" si="7"/>
        <v>42</v>
      </c>
      <c r="L17" s="22">
        <v>1</v>
      </c>
      <c r="M17" s="25">
        <f t="shared" si="8"/>
        <v>1432</v>
      </c>
      <c r="N17" s="24">
        <v>-651</v>
      </c>
      <c r="O17" s="28">
        <f t="shared" si="3"/>
        <v>2083</v>
      </c>
      <c r="P17" s="22">
        <f t="shared" si="9"/>
        <v>26</v>
      </c>
      <c r="Q17" s="29"/>
      <c r="R17" s="30"/>
    </row>
    <row r="18" spans="1:18" x14ac:dyDescent="0.25">
      <c r="A18" s="21">
        <v>45816</v>
      </c>
      <c r="B18" s="22">
        <v>1</v>
      </c>
      <c r="C18" s="25">
        <f t="shared" si="4"/>
        <v>1472</v>
      </c>
      <c r="D18" s="24">
        <v>-715</v>
      </c>
      <c r="E18" s="25">
        <f t="shared" si="1"/>
        <v>2187</v>
      </c>
      <c r="F18" s="22">
        <f t="shared" si="5"/>
        <v>66</v>
      </c>
      <c r="G18" s="22">
        <v>1</v>
      </c>
      <c r="H18" s="25">
        <f t="shared" si="6"/>
        <v>1465</v>
      </c>
      <c r="I18" s="27">
        <v>-672</v>
      </c>
      <c r="J18" s="28">
        <f t="shared" si="2"/>
        <v>2137</v>
      </c>
      <c r="K18" s="22">
        <f t="shared" si="7"/>
        <v>63</v>
      </c>
      <c r="L18" s="22">
        <v>1</v>
      </c>
      <c r="M18" s="25">
        <f t="shared" si="8"/>
        <v>1419</v>
      </c>
      <c r="N18" s="24">
        <v>-664</v>
      </c>
      <c r="O18" s="28">
        <f t="shared" si="3"/>
        <v>2083</v>
      </c>
      <c r="P18" s="22">
        <f t="shared" si="9"/>
        <v>39</v>
      </c>
      <c r="Q18" s="29"/>
      <c r="R18" s="30"/>
    </row>
    <row r="19" spans="1:18" x14ac:dyDescent="0.25">
      <c r="A19" s="21">
        <v>45817</v>
      </c>
      <c r="B19" s="22">
        <v>1</v>
      </c>
      <c r="C19" s="25">
        <f t="shared" si="4"/>
        <v>1452</v>
      </c>
      <c r="D19" s="24">
        <v>-735</v>
      </c>
      <c r="E19" s="25">
        <f t="shared" si="1"/>
        <v>2187</v>
      </c>
      <c r="F19" s="22">
        <f t="shared" si="5"/>
        <v>86</v>
      </c>
      <c r="G19" s="22">
        <v>1</v>
      </c>
      <c r="H19" s="25">
        <f t="shared" si="6"/>
        <v>1432</v>
      </c>
      <c r="I19" s="27">
        <v>-705</v>
      </c>
      <c r="J19" s="28">
        <f t="shared" si="2"/>
        <v>2137</v>
      </c>
      <c r="K19" s="22">
        <f t="shared" si="7"/>
        <v>96</v>
      </c>
      <c r="L19" s="22">
        <v>1</v>
      </c>
      <c r="M19" s="25">
        <f t="shared" si="8"/>
        <v>1406</v>
      </c>
      <c r="N19" s="24">
        <v>-677</v>
      </c>
      <c r="O19" s="28">
        <f t="shared" si="3"/>
        <v>2083</v>
      </c>
      <c r="P19" s="22">
        <f t="shared" si="9"/>
        <v>52</v>
      </c>
      <c r="Q19" s="29"/>
      <c r="R19" s="30"/>
    </row>
    <row r="20" spans="1:18" x14ac:dyDescent="0.25">
      <c r="A20" s="21">
        <v>45818</v>
      </c>
      <c r="B20" s="22">
        <v>1</v>
      </c>
      <c r="C20" s="25">
        <f t="shared" si="4"/>
        <v>1432</v>
      </c>
      <c r="D20" s="24">
        <v>-755</v>
      </c>
      <c r="E20" s="25">
        <f t="shared" si="1"/>
        <v>2187</v>
      </c>
      <c r="F20" s="22">
        <f t="shared" si="5"/>
        <v>106</v>
      </c>
      <c r="G20" s="22">
        <v>1</v>
      </c>
      <c r="H20" s="25">
        <f t="shared" si="6"/>
        <v>1405</v>
      </c>
      <c r="I20" s="27">
        <v>-732</v>
      </c>
      <c r="J20" s="28">
        <f t="shared" si="2"/>
        <v>2137</v>
      </c>
      <c r="K20" s="22">
        <f t="shared" si="7"/>
        <v>123</v>
      </c>
      <c r="L20" s="22">
        <v>1</v>
      </c>
      <c r="M20" s="25">
        <f t="shared" si="8"/>
        <v>1377</v>
      </c>
      <c r="N20" s="24">
        <v>-706</v>
      </c>
      <c r="O20" s="28">
        <f t="shared" si="3"/>
        <v>2083</v>
      </c>
      <c r="P20" s="22">
        <f t="shared" si="9"/>
        <v>81</v>
      </c>
      <c r="Q20" s="29"/>
      <c r="R20" s="30"/>
    </row>
    <row r="21" spans="1:18" x14ac:dyDescent="0.25">
      <c r="A21" s="21">
        <v>45819</v>
      </c>
      <c r="B21" s="22">
        <v>1</v>
      </c>
      <c r="C21" s="25">
        <f t="shared" si="4"/>
        <v>1412</v>
      </c>
      <c r="D21" s="24">
        <v>-775</v>
      </c>
      <c r="E21" s="25">
        <f t="shared" si="1"/>
        <v>2187</v>
      </c>
      <c r="F21" s="22">
        <f t="shared" si="5"/>
        <v>126</v>
      </c>
      <c r="G21" s="22">
        <v>1</v>
      </c>
      <c r="H21" s="25">
        <f t="shared" si="6"/>
        <v>1378</v>
      </c>
      <c r="I21" s="27">
        <v>-759</v>
      </c>
      <c r="J21" s="28">
        <f t="shared" si="2"/>
        <v>2137</v>
      </c>
      <c r="K21" s="22">
        <f t="shared" si="7"/>
        <v>150</v>
      </c>
      <c r="L21" s="22">
        <v>1</v>
      </c>
      <c r="M21" s="25">
        <f t="shared" si="8"/>
        <v>1368</v>
      </c>
      <c r="N21" s="24">
        <v>-715</v>
      </c>
      <c r="O21" s="28">
        <f t="shared" si="3"/>
        <v>2083</v>
      </c>
      <c r="P21" s="22">
        <f t="shared" si="9"/>
        <v>90</v>
      </c>
      <c r="Q21" s="29"/>
      <c r="R21" s="30"/>
    </row>
    <row r="22" spans="1:18" x14ac:dyDescent="0.25">
      <c r="A22" s="21">
        <v>45820</v>
      </c>
      <c r="B22" s="22">
        <v>1</v>
      </c>
      <c r="C22" s="25">
        <f t="shared" si="4"/>
        <v>1399</v>
      </c>
      <c r="D22" s="24">
        <v>-788</v>
      </c>
      <c r="E22" s="25">
        <f t="shared" si="1"/>
        <v>2187</v>
      </c>
      <c r="F22" s="22">
        <f t="shared" si="5"/>
        <v>139</v>
      </c>
      <c r="G22" s="22">
        <v>1</v>
      </c>
      <c r="H22" s="25">
        <f t="shared" si="6"/>
        <v>1351</v>
      </c>
      <c r="I22" s="27">
        <v>-786</v>
      </c>
      <c r="J22" s="28">
        <f t="shared" si="2"/>
        <v>2137</v>
      </c>
      <c r="K22" s="22">
        <f t="shared" si="7"/>
        <v>177</v>
      </c>
      <c r="L22" s="22">
        <v>1</v>
      </c>
      <c r="M22" s="25">
        <f t="shared" si="8"/>
        <v>1363</v>
      </c>
      <c r="N22" s="24">
        <v>-720</v>
      </c>
      <c r="O22" s="28">
        <f t="shared" si="3"/>
        <v>2083</v>
      </c>
      <c r="P22" s="22">
        <f t="shared" si="9"/>
        <v>95</v>
      </c>
      <c r="Q22" s="29"/>
      <c r="R22" s="30"/>
    </row>
    <row r="23" spans="1:18" x14ac:dyDescent="0.25">
      <c r="A23" s="21">
        <v>45821</v>
      </c>
      <c r="B23" s="22">
        <v>1</v>
      </c>
      <c r="C23" s="25">
        <f t="shared" si="4"/>
        <v>1395</v>
      </c>
      <c r="D23" s="24">
        <v>-792</v>
      </c>
      <c r="E23" s="25">
        <f t="shared" si="1"/>
        <v>2187</v>
      </c>
      <c r="F23" s="22">
        <f t="shared" si="5"/>
        <v>143</v>
      </c>
      <c r="G23" s="22">
        <v>1</v>
      </c>
      <c r="H23" s="25">
        <f t="shared" si="6"/>
        <v>1324</v>
      </c>
      <c r="I23" s="27">
        <v>-813</v>
      </c>
      <c r="J23" s="28">
        <f t="shared" si="2"/>
        <v>2137</v>
      </c>
      <c r="K23" s="22">
        <f t="shared" si="7"/>
        <v>204</v>
      </c>
      <c r="L23" s="22">
        <v>1</v>
      </c>
      <c r="M23" s="25">
        <f t="shared" si="8"/>
        <v>1358</v>
      </c>
      <c r="N23" s="24">
        <v>-725</v>
      </c>
      <c r="O23" s="28">
        <f t="shared" si="3"/>
        <v>2083</v>
      </c>
      <c r="P23" s="22">
        <f t="shared" si="9"/>
        <v>100</v>
      </c>
      <c r="Q23" s="29"/>
      <c r="R23" s="30"/>
    </row>
    <row r="24" spans="1:18" x14ac:dyDescent="0.25">
      <c r="A24" s="21">
        <v>45822</v>
      </c>
      <c r="B24" s="22">
        <v>1</v>
      </c>
      <c r="C24" s="25">
        <f t="shared" si="4"/>
        <v>1391</v>
      </c>
      <c r="D24" s="24">
        <v>-796</v>
      </c>
      <c r="E24" s="25">
        <f t="shared" si="1"/>
        <v>2187</v>
      </c>
      <c r="F24" s="22">
        <f t="shared" si="5"/>
        <v>147</v>
      </c>
      <c r="G24" s="22">
        <v>1</v>
      </c>
      <c r="H24" s="25">
        <f t="shared" si="6"/>
        <v>1297</v>
      </c>
      <c r="I24" s="27">
        <v>-840</v>
      </c>
      <c r="J24" s="28">
        <f t="shared" si="2"/>
        <v>2137</v>
      </c>
      <c r="K24" s="22">
        <f t="shared" si="7"/>
        <v>231</v>
      </c>
      <c r="L24" s="22">
        <v>1</v>
      </c>
      <c r="M24" s="25">
        <f t="shared" si="8"/>
        <v>1353</v>
      </c>
      <c r="N24" s="24">
        <v>-730</v>
      </c>
      <c r="O24" s="28">
        <f t="shared" si="3"/>
        <v>2083</v>
      </c>
      <c r="P24" s="22">
        <f t="shared" si="9"/>
        <v>105</v>
      </c>
      <c r="Q24" s="29"/>
      <c r="R24" s="30"/>
    </row>
    <row r="25" spans="1:18" x14ac:dyDescent="0.25">
      <c r="A25" s="21">
        <v>45823</v>
      </c>
      <c r="B25" s="22">
        <v>1</v>
      </c>
      <c r="C25" s="25">
        <f t="shared" si="4"/>
        <v>1387</v>
      </c>
      <c r="D25" s="24">
        <v>-800</v>
      </c>
      <c r="E25" s="25">
        <f t="shared" si="1"/>
        <v>2187</v>
      </c>
      <c r="F25" s="22">
        <f t="shared" si="5"/>
        <v>151</v>
      </c>
      <c r="G25" s="22">
        <v>1</v>
      </c>
      <c r="H25" s="25">
        <f t="shared" si="6"/>
        <v>1270</v>
      </c>
      <c r="I25" s="27">
        <v>-867</v>
      </c>
      <c r="J25" s="28">
        <f t="shared" si="2"/>
        <v>2137</v>
      </c>
      <c r="K25" s="22">
        <f t="shared" si="7"/>
        <v>258</v>
      </c>
      <c r="L25" s="22">
        <v>1</v>
      </c>
      <c r="M25" s="25">
        <f t="shared" si="8"/>
        <v>1348</v>
      </c>
      <c r="N25" s="24">
        <v>-735</v>
      </c>
      <c r="O25" s="28">
        <f t="shared" si="3"/>
        <v>2083</v>
      </c>
      <c r="P25" s="22">
        <f t="shared" si="9"/>
        <v>110</v>
      </c>
      <c r="Q25" s="29"/>
      <c r="R25" s="30"/>
    </row>
    <row r="26" spans="1:18" x14ac:dyDescent="0.25">
      <c r="A26" s="21">
        <v>45824</v>
      </c>
      <c r="B26" s="22">
        <v>1</v>
      </c>
      <c r="C26" s="25">
        <f t="shared" si="4"/>
        <v>1383</v>
      </c>
      <c r="D26" s="24">
        <v>-804</v>
      </c>
      <c r="E26" s="25">
        <f t="shared" si="1"/>
        <v>2187</v>
      </c>
      <c r="F26" s="22">
        <f t="shared" si="5"/>
        <v>155</v>
      </c>
      <c r="G26" s="22">
        <v>1</v>
      </c>
      <c r="H26" s="25">
        <f t="shared" si="6"/>
        <v>1266</v>
      </c>
      <c r="I26" s="27">
        <v>-871</v>
      </c>
      <c r="J26" s="28">
        <f t="shared" si="2"/>
        <v>2137</v>
      </c>
      <c r="K26" s="22">
        <f t="shared" si="7"/>
        <v>262</v>
      </c>
      <c r="L26" s="22">
        <v>1</v>
      </c>
      <c r="M26" s="25">
        <f t="shared" si="8"/>
        <v>1343</v>
      </c>
      <c r="N26" s="24">
        <v>-740</v>
      </c>
      <c r="O26" s="28">
        <f t="shared" si="3"/>
        <v>2083</v>
      </c>
      <c r="P26" s="22">
        <f t="shared" si="9"/>
        <v>115</v>
      </c>
      <c r="Q26" s="29"/>
      <c r="R26" s="30"/>
    </row>
    <row r="27" spans="1:18" x14ac:dyDescent="0.25">
      <c r="A27" s="21">
        <v>45825</v>
      </c>
      <c r="B27" s="22">
        <v>1</v>
      </c>
      <c r="C27" s="25">
        <f t="shared" si="4"/>
        <v>1379</v>
      </c>
      <c r="D27" s="24">
        <v>-808</v>
      </c>
      <c r="E27" s="25">
        <f t="shared" si="1"/>
        <v>2187</v>
      </c>
      <c r="F27" s="22">
        <f t="shared" si="5"/>
        <v>159</v>
      </c>
      <c r="G27" s="22">
        <v>1</v>
      </c>
      <c r="H27" s="25">
        <f t="shared" si="6"/>
        <v>1260</v>
      </c>
      <c r="I27" s="27">
        <v>-877</v>
      </c>
      <c r="J27" s="28">
        <f t="shared" si="2"/>
        <v>2137</v>
      </c>
      <c r="K27" s="22">
        <f t="shared" si="7"/>
        <v>268</v>
      </c>
      <c r="L27" s="22">
        <v>1</v>
      </c>
      <c r="M27" s="25">
        <f t="shared" si="8"/>
        <v>1338</v>
      </c>
      <c r="N27" s="24">
        <v>-745</v>
      </c>
      <c r="O27" s="28">
        <f t="shared" si="3"/>
        <v>2083</v>
      </c>
      <c r="P27" s="22">
        <f t="shared" si="9"/>
        <v>120</v>
      </c>
      <c r="Q27" s="29"/>
      <c r="R27" s="30"/>
    </row>
    <row r="28" spans="1:18" x14ac:dyDescent="0.25">
      <c r="A28" s="21">
        <v>45826</v>
      </c>
      <c r="B28" s="22">
        <v>1</v>
      </c>
      <c r="C28" s="25">
        <f t="shared" si="4"/>
        <v>1375</v>
      </c>
      <c r="D28" s="24">
        <v>-812</v>
      </c>
      <c r="E28" s="25">
        <f t="shared" si="1"/>
        <v>2187</v>
      </c>
      <c r="F28" s="22">
        <f t="shared" si="5"/>
        <v>163</v>
      </c>
      <c r="G28" s="22">
        <v>1</v>
      </c>
      <c r="H28" s="25">
        <f t="shared" si="6"/>
        <v>1254</v>
      </c>
      <c r="I28" s="27">
        <v>-883</v>
      </c>
      <c r="J28" s="28">
        <f t="shared" si="2"/>
        <v>2137</v>
      </c>
      <c r="K28" s="22">
        <f t="shared" si="7"/>
        <v>274</v>
      </c>
      <c r="L28" s="22">
        <v>1</v>
      </c>
      <c r="M28" s="25">
        <f t="shared" si="8"/>
        <v>1333</v>
      </c>
      <c r="N28" s="24">
        <v>-750</v>
      </c>
      <c r="O28" s="28">
        <f t="shared" si="3"/>
        <v>2083</v>
      </c>
      <c r="P28" s="22">
        <f t="shared" si="9"/>
        <v>125</v>
      </c>
      <c r="Q28" s="29"/>
      <c r="R28" s="30"/>
    </row>
    <row r="29" spans="1:18" x14ac:dyDescent="0.25">
      <c r="A29" s="21">
        <v>45827</v>
      </c>
      <c r="B29" s="22">
        <v>1</v>
      </c>
      <c r="C29" s="25">
        <f t="shared" si="4"/>
        <v>1371</v>
      </c>
      <c r="D29" s="24">
        <v>-816</v>
      </c>
      <c r="E29" s="25">
        <f t="shared" si="1"/>
        <v>2187</v>
      </c>
      <c r="F29" s="22">
        <f t="shared" si="5"/>
        <v>167</v>
      </c>
      <c r="G29" s="22">
        <v>1</v>
      </c>
      <c r="H29" s="25">
        <f t="shared" si="6"/>
        <v>1248</v>
      </c>
      <c r="I29" s="27">
        <v>-889</v>
      </c>
      <c r="J29" s="28">
        <f t="shared" si="2"/>
        <v>2137</v>
      </c>
      <c r="K29" s="22">
        <f t="shared" si="7"/>
        <v>280</v>
      </c>
      <c r="L29" s="22">
        <v>1</v>
      </c>
      <c r="M29" s="25">
        <f t="shared" si="8"/>
        <v>1328</v>
      </c>
      <c r="N29" s="24">
        <v>-755</v>
      </c>
      <c r="O29" s="28">
        <f t="shared" si="3"/>
        <v>2083</v>
      </c>
      <c r="P29" s="22">
        <f t="shared" si="9"/>
        <v>130</v>
      </c>
      <c r="Q29" s="29"/>
      <c r="R29" s="30"/>
    </row>
    <row r="30" spans="1:18" x14ac:dyDescent="0.25">
      <c r="A30" s="21">
        <v>45828</v>
      </c>
      <c r="B30" s="22">
        <v>1</v>
      </c>
      <c r="C30" s="25">
        <f t="shared" si="4"/>
        <v>1367</v>
      </c>
      <c r="D30" s="24">
        <v>-820</v>
      </c>
      <c r="E30" s="25">
        <f t="shared" si="1"/>
        <v>2187</v>
      </c>
      <c r="F30" s="22">
        <f t="shared" si="5"/>
        <v>171</v>
      </c>
      <c r="G30" s="22">
        <v>1</v>
      </c>
      <c r="H30" s="25">
        <f t="shared" si="6"/>
        <v>1242</v>
      </c>
      <c r="I30" s="27">
        <v>-895</v>
      </c>
      <c r="J30" s="28">
        <f t="shared" si="2"/>
        <v>2137</v>
      </c>
      <c r="K30" s="22">
        <f t="shared" si="7"/>
        <v>286</v>
      </c>
      <c r="L30" s="22">
        <v>1</v>
      </c>
      <c r="M30" s="25">
        <f t="shared" si="8"/>
        <v>1323</v>
      </c>
      <c r="N30" s="24">
        <v>-760</v>
      </c>
      <c r="O30" s="28">
        <f t="shared" si="3"/>
        <v>2083</v>
      </c>
      <c r="P30" s="22">
        <f t="shared" si="9"/>
        <v>135</v>
      </c>
      <c r="Q30" s="29"/>
      <c r="R30" s="30"/>
    </row>
    <row r="31" spans="1:18" x14ac:dyDescent="0.25">
      <c r="A31" s="21">
        <v>45829</v>
      </c>
      <c r="B31" s="22">
        <v>1</v>
      </c>
      <c r="C31" s="25">
        <f t="shared" si="4"/>
        <v>1363</v>
      </c>
      <c r="D31" s="24">
        <v>-824</v>
      </c>
      <c r="E31" s="25">
        <f t="shared" si="1"/>
        <v>2187</v>
      </c>
      <c r="F31" s="22">
        <f t="shared" si="5"/>
        <v>175</v>
      </c>
      <c r="G31" s="22">
        <v>1</v>
      </c>
      <c r="H31" s="25">
        <f t="shared" si="6"/>
        <v>1236</v>
      </c>
      <c r="I31" s="27">
        <v>-901</v>
      </c>
      <c r="J31" s="28">
        <f t="shared" si="2"/>
        <v>2137</v>
      </c>
      <c r="K31" s="22">
        <f t="shared" si="7"/>
        <v>292</v>
      </c>
      <c r="L31" s="22">
        <v>1</v>
      </c>
      <c r="M31" s="25">
        <f t="shared" si="8"/>
        <v>1318</v>
      </c>
      <c r="N31" s="24">
        <v>-765</v>
      </c>
      <c r="O31" s="28">
        <f t="shared" si="3"/>
        <v>2083</v>
      </c>
      <c r="P31" s="22">
        <f t="shared" si="9"/>
        <v>140</v>
      </c>
      <c r="Q31" s="29"/>
      <c r="R31" s="30"/>
    </row>
    <row r="32" spans="1:18" x14ac:dyDescent="0.25">
      <c r="A32" s="21">
        <v>45830</v>
      </c>
      <c r="B32" s="22">
        <v>1</v>
      </c>
      <c r="C32" s="25">
        <f t="shared" si="4"/>
        <v>1359</v>
      </c>
      <c r="D32" s="24">
        <v>-828</v>
      </c>
      <c r="E32" s="25">
        <f t="shared" si="1"/>
        <v>2187</v>
      </c>
      <c r="F32" s="22">
        <f t="shared" si="5"/>
        <v>179</v>
      </c>
      <c r="G32" s="22">
        <v>1</v>
      </c>
      <c r="H32" s="25">
        <f t="shared" si="6"/>
        <v>1230</v>
      </c>
      <c r="I32" s="27">
        <v>-907</v>
      </c>
      <c r="J32" s="28">
        <f t="shared" si="2"/>
        <v>2137</v>
      </c>
      <c r="K32" s="22">
        <f t="shared" si="7"/>
        <v>298</v>
      </c>
      <c r="L32" s="22">
        <v>1</v>
      </c>
      <c r="M32" s="25">
        <f t="shared" si="8"/>
        <v>1313</v>
      </c>
      <c r="N32" s="24">
        <v>-770</v>
      </c>
      <c r="O32" s="28">
        <f t="shared" si="3"/>
        <v>2083</v>
      </c>
      <c r="P32" s="22">
        <f t="shared" si="9"/>
        <v>145</v>
      </c>
      <c r="Q32" s="29"/>
      <c r="R32" s="30"/>
    </row>
    <row r="33" spans="1:18" x14ac:dyDescent="0.25">
      <c r="A33" s="21">
        <v>45831</v>
      </c>
      <c r="B33" s="22">
        <v>1</v>
      </c>
      <c r="C33" s="25">
        <f t="shared" si="4"/>
        <v>1355</v>
      </c>
      <c r="D33" s="24">
        <v>-832</v>
      </c>
      <c r="E33" s="25">
        <f t="shared" si="1"/>
        <v>2187</v>
      </c>
      <c r="F33" s="22">
        <f t="shared" si="5"/>
        <v>183</v>
      </c>
      <c r="G33" s="22">
        <v>1</v>
      </c>
      <c r="H33" s="25">
        <f t="shared" si="6"/>
        <v>1224</v>
      </c>
      <c r="I33" s="27">
        <v>-913</v>
      </c>
      <c r="J33" s="28">
        <f t="shared" si="2"/>
        <v>2137</v>
      </c>
      <c r="K33" s="22">
        <f t="shared" si="7"/>
        <v>304</v>
      </c>
      <c r="L33" s="22">
        <v>1</v>
      </c>
      <c r="M33" s="25">
        <f t="shared" si="8"/>
        <v>1308</v>
      </c>
      <c r="N33" s="24">
        <v>-775</v>
      </c>
      <c r="O33" s="28">
        <f t="shared" si="3"/>
        <v>2083</v>
      </c>
      <c r="P33" s="22">
        <f t="shared" si="9"/>
        <v>150</v>
      </c>
      <c r="Q33" s="29"/>
      <c r="R33" s="30"/>
    </row>
    <row r="34" spans="1:18" x14ac:dyDescent="0.25">
      <c r="A34" s="21">
        <v>45832</v>
      </c>
      <c r="B34" s="22">
        <v>1</v>
      </c>
      <c r="C34" s="25">
        <f t="shared" si="4"/>
        <v>1351</v>
      </c>
      <c r="D34" s="24">
        <v>-836</v>
      </c>
      <c r="E34" s="25">
        <f t="shared" si="1"/>
        <v>2187</v>
      </c>
      <c r="F34" s="22">
        <f t="shared" si="5"/>
        <v>187</v>
      </c>
      <c r="G34" s="22">
        <v>1</v>
      </c>
      <c r="H34" s="25">
        <f t="shared" si="6"/>
        <v>1218</v>
      </c>
      <c r="I34" s="27">
        <v>-919</v>
      </c>
      <c r="J34" s="28">
        <f t="shared" si="2"/>
        <v>2137</v>
      </c>
      <c r="K34" s="22">
        <f t="shared" si="7"/>
        <v>310</v>
      </c>
      <c r="L34" s="22">
        <v>1</v>
      </c>
      <c r="M34" s="25">
        <f t="shared" si="8"/>
        <v>1303</v>
      </c>
      <c r="N34" s="24">
        <v>-780</v>
      </c>
      <c r="O34" s="28">
        <f t="shared" si="3"/>
        <v>2083</v>
      </c>
      <c r="P34" s="22">
        <f t="shared" si="9"/>
        <v>155</v>
      </c>
      <c r="Q34" s="29"/>
      <c r="R34" s="30"/>
    </row>
    <row r="35" spans="1:18" x14ac:dyDescent="0.25">
      <c r="A35" s="21">
        <v>45833</v>
      </c>
      <c r="B35" s="22">
        <v>1</v>
      </c>
      <c r="C35" s="25">
        <f t="shared" si="4"/>
        <v>1347</v>
      </c>
      <c r="D35" s="24">
        <v>-840</v>
      </c>
      <c r="E35" s="25">
        <f t="shared" si="1"/>
        <v>2187</v>
      </c>
      <c r="F35" s="22">
        <f t="shared" si="5"/>
        <v>191</v>
      </c>
      <c r="G35" s="22">
        <v>1</v>
      </c>
      <c r="H35" s="25">
        <f t="shared" si="6"/>
        <v>1212</v>
      </c>
      <c r="I35" s="27">
        <v>-925</v>
      </c>
      <c r="J35" s="28">
        <f t="shared" si="2"/>
        <v>2137</v>
      </c>
      <c r="K35" s="22">
        <f t="shared" si="7"/>
        <v>316</v>
      </c>
      <c r="L35" s="22">
        <v>1</v>
      </c>
      <c r="M35" s="25">
        <f t="shared" si="8"/>
        <v>1298</v>
      </c>
      <c r="N35" s="24">
        <v>-785</v>
      </c>
      <c r="O35" s="28">
        <f t="shared" si="3"/>
        <v>2083</v>
      </c>
      <c r="P35" s="22">
        <f t="shared" si="9"/>
        <v>160</v>
      </c>
      <c r="Q35" s="29"/>
      <c r="R35" s="30"/>
    </row>
    <row r="36" spans="1:18" x14ac:dyDescent="0.25">
      <c r="A36" s="21">
        <v>45834</v>
      </c>
      <c r="B36" s="22">
        <v>1</v>
      </c>
      <c r="C36" s="25">
        <f t="shared" si="4"/>
        <v>1294</v>
      </c>
      <c r="D36" s="24">
        <v>-893</v>
      </c>
      <c r="E36" s="25">
        <f t="shared" si="1"/>
        <v>2187</v>
      </c>
      <c r="F36" s="22">
        <f t="shared" si="5"/>
        <v>244</v>
      </c>
      <c r="G36" s="22">
        <v>1</v>
      </c>
      <c r="H36" s="25">
        <f t="shared" si="6"/>
        <v>1206</v>
      </c>
      <c r="I36" s="27">
        <v>-931</v>
      </c>
      <c r="J36" s="28">
        <f t="shared" si="2"/>
        <v>2137</v>
      </c>
      <c r="K36" s="22">
        <f t="shared" si="7"/>
        <v>322</v>
      </c>
      <c r="L36" s="22">
        <v>1</v>
      </c>
      <c r="M36" s="25">
        <f t="shared" si="8"/>
        <v>1258</v>
      </c>
      <c r="N36" s="24">
        <v>-825</v>
      </c>
      <c r="O36" s="28">
        <f t="shared" si="3"/>
        <v>2083</v>
      </c>
      <c r="P36" s="22">
        <f t="shared" si="9"/>
        <v>200</v>
      </c>
      <c r="Q36" s="29"/>
      <c r="R36" s="30"/>
    </row>
    <row r="37" spans="1:18" x14ac:dyDescent="0.25">
      <c r="A37" s="21">
        <v>45835</v>
      </c>
      <c r="B37" s="22">
        <v>1</v>
      </c>
      <c r="C37" s="25">
        <f t="shared" si="4"/>
        <v>1293</v>
      </c>
      <c r="D37" s="24">
        <v>-894</v>
      </c>
      <c r="E37" s="25">
        <f t="shared" si="1"/>
        <v>2187</v>
      </c>
      <c r="F37" s="22">
        <f t="shared" si="5"/>
        <v>245</v>
      </c>
      <c r="G37" s="22">
        <v>1</v>
      </c>
      <c r="H37" s="25">
        <f t="shared" si="6"/>
        <v>1205</v>
      </c>
      <c r="I37" s="27">
        <v>-932</v>
      </c>
      <c r="J37" s="28">
        <f t="shared" si="2"/>
        <v>2137</v>
      </c>
      <c r="K37" s="22">
        <f t="shared" si="7"/>
        <v>323</v>
      </c>
      <c r="L37" s="22">
        <v>1</v>
      </c>
      <c r="M37" s="25">
        <f t="shared" si="8"/>
        <v>1257</v>
      </c>
      <c r="N37" s="24">
        <v>-826</v>
      </c>
      <c r="O37" s="28">
        <f t="shared" si="3"/>
        <v>2083</v>
      </c>
      <c r="P37" s="22">
        <f t="shared" si="9"/>
        <v>201</v>
      </c>
      <c r="Q37" s="29"/>
      <c r="R37" s="30"/>
    </row>
    <row r="38" spans="1:18" x14ac:dyDescent="0.25">
      <c r="A38" s="21">
        <v>45836</v>
      </c>
      <c r="B38" s="22">
        <v>1</v>
      </c>
      <c r="C38" s="25">
        <f t="shared" si="4"/>
        <v>1292</v>
      </c>
      <c r="D38" s="24">
        <v>-895</v>
      </c>
      <c r="E38" s="25">
        <f t="shared" si="1"/>
        <v>2187</v>
      </c>
      <c r="F38" s="22">
        <f t="shared" si="5"/>
        <v>246</v>
      </c>
      <c r="G38" s="22">
        <v>1</v>
      </c>
      <c r="H38" s="25">
        <f t="shared" si="6"/>
        <v>1204</v>
      </c>
      <c r="I38" s="27">
        <v>-933</v>
      </c>
      <c r="J38" s="28">
        <f t="shared" si="2"/>
        <v>2137</v>
      </c>
      <c r="K38" s="22">
        <f t="shared" si="7"/>
        <v>324</v>
      </c>
      <c r="L38" s="22">
        <v>1</v>
      </c>
      <c r="M38" s="25">
        <f t="shared" si="8"/>
        <v>1256</v>
      </c>
      <c r="N38" s="24">
        <v>-827</v>
      </c>
      <c r="O38" s="28">
        <f t="shared" si="3"/>
        <v>2083</v>
      </c>
      <c r="P38" s="22">
        <f t="shared" si="9"/>
        <v>202</v>
      </c>
      <c r="Q38" s="29"/>
      <c r="R38" s="30"/>
    </row>
    <row r="39" spans="1:18" x14ac:dyDescent="0.25">
      <c r="A39" s="21">
        <v>45837</v>
      </c>
      <c r="B39" s="22">
        <v>1</v>
      </c>
      <c r="C39" s="25">
        <f t="shared" si="4"/>
        <v>1291</v>
      </c>
      <c r="D39" s="24">
        <v>-896</v>
      </c>
      <c r="E39" s="25">
        <f t="shared" si="1"/>
        <v>2187</v>
      </c>
      <c r="F39" s="22">
        <f t="shared" si="5"/>
        <v>247</v>
      </c>
      <c r="G39" s="22">
        <v>1</v>
      </c>
      <c r="H39" s="25">
        <f t="shared" si="6"/>
        <v>1203</v>
      </c>
      <c r="I39" s="27">
        <v>-934</v>
      </c>
      <c r="J39" s="28">
        <f t="shared" si="2"/>
        <v>2137</v>
      </c>
      <c r="K39" s="22">
        <f t="shared" si="7"/>
        <v>325</v>
      </c>
      <c r="L39" s="22">
        <v>1</v>
      </c>
      <c r="M39" s="25">
        <f t="shared" si="8"/>
        <v>1255</v>
      </c>
      <c r="N39" s="24">
        <v>-828</v>
      </c>
      <c r="O39" s="28">
        <f t="shared" si="3"/>
        <v>2083</v>
      </c>
      <c r="P39" s="22">
        <f t="shared" si="9"/>
        <v>203</v>
      </c>
      <c r="Q39" s="29"/>
      <c r="R39" s="30"/>
    </row>
    <row r="40" spans="1:18" x14ac:dyDescent="0.25">
      <c r="A40" s="21">
        <v>45838</v>
      </c>
      <c r="B40" s="22">
        <v>1</v>
      </c>
      <c r="C40" s="25">
        <f t="shared" si="4"/>
        <v>1290</v>
      </c>
      <c r="D40" s="24">
        <v>-897</v>
      </c>
      <c r="E40" s="25">
        <f t="shared" si="1"/>
        <v>2187</v>
      </c>
      <c r="F40" s="22">
        <f t="shared" si="5"/>
        <v>248</v>
      </c>
      <c r="G40" s="22">
        <v>1</v>
      </c>
      <c r="H40" s="25">
        <f t="shared" si="6"/>
        <v>1202</v>
      </c>
      <c r="I40" s="27">
        <v>-935</v>
      </c>
      <c r="J40" s="28">
        <f t="shared" si="2"/>
        <v>2137</v>
      </c>
      <c r="K40" s="22">
        <f t="shared" si="7"/>
        <v>326</v>
      </c>
      <c r="L40" s="22">
        <v>1</v>
      </c>
      <c r="M40" s="25">
        <f t="shared" si="8"/>
        <v>1254</v>
      </c>
      <c r="N40" s="24">
        <v>-829</v>
      </c>
      <c r="O40" s="28">
        <f t="shared" si="3"/>
        <v>2083</v>
      </c>
      <c r="P40" s="22">
        <f t="shared" si="9"/>
        <v>204</v>
      </c>
      <c r="Q40" s="29"/>
      <c r="R40" s="30"/>
    </row>
    <row r="41" spans="1:18" x14ac:dyDescent="0.25">
      <c r="A41" s="21">
        <v>45839</v>
      </c>
      <c r="B41" s="22">
        <v>1</v>
      </c>
      <c r="C41" s="25">
        <f t="shared" si="4"/>
        <v>1289</v>
      </c>
      <c r="D41" s="24">
        <v>-898</v>
      </c>
      <c r="E41" s="25">
        <f t="shared" si="1"/>
        <v>2187</v>
      </c>
      <c r="F41" s="22">
        <f t="shared" si="5"/>
        <v>249</v>
      </c>
      <c r="G41" s="22">
        <v>1</v>
      </c>
      <c r="H41" s="25">
        <f t="shared" si="6"/>
        <v>1201</v>
      </c>
      <c r="I41" s="27">
        <v>-936</v>
      </c>
      <c r="J41" s="28">
        <f t="shared" si="2"/>
        <v>2137</v>
      </c>
      <c r="K41" s="22">
        <f t="shared" si="7"/>
        <v>327</v>
      </c>
      <c r="L41" s="22">
        <v>1</v>
      </c>
      <c r="M41" s="25">
        <f t="shared" si="8"/>
        <v>1253</v>
      </c>
      <c r="N41" s="24">
        <v>-830</v>
      </c>
      <c r="O41" s="28">
        <f t="shared" si="3"/>
        <v>2083</v>
      </c>
      <c r="P41" s="22">
        <f t="shared" si="9"/>
        <v>205</v>
      </c>
      <c r="Q41" s="29"/>
      <c r="R41" s="30"/>
    </row>
    <row r="42" spans="1:18" x14ac:dyDescent="0.25">
      <c r="A42" s="21">
        <v>45840</v>
      </c>
      <c r="B42" s="22">
        <v>1</v>
      </c>
      <c r="C42" s="25">
        <f t="shared" si="4"/>
        <v>1288</v>
      </c>
      <c r="D42" s="24">
        <v>-899</v>
      </c>
      <c r="E42" s="25">
        <f t="shared" si="1"/>
        <v>2187</v>
      </c>
      <c r="F42" s="22">
        <f t="shared" si="5"/>
        <v>250</v>
      </c>
      <c r="G42" s="22">
        <v>1</v>
      </c>
      <c r="H42" s="25">
        <f t="shared" si="6"/>
        <v>1200</v>
      </c>
      <c r="I42" s="27">
        <v>-937</v>
      </c>
      <c r="J42" s="28">
        <f t="shared" si="2"/>
        <v>2137</v>
      </c>
      <c r="K42" s="22">
        <f t="shared" si="7"/>
        <v>328</v>
      </c>
      <c r="L42" s="22">
        <v>1</v>
      </c>
      <c r="M42" s="25">
        <f t="shared" si="8"/>
        <v>1252</v>
      </c>
      <c r="N42" s="24">
        <v>-831</v>
      </c>
      <c r="O42" s="28">
        <f t="shared" si="3"/>
        <v>2083</v>
      </c>
      <c r="P42" s="22">
        <f t="shared" si="9"/>
        <v>206</v>
      </c>
      <c r="Q42" s="29"/>
      <c r="R42" s="30"/>
    </row>
    <row r="43" spans="1:18" x14ac:dyDescent="0.25">
      <c r="A43" s="21">
        <v>45841</v>
      </c>
      <c r="B43" s="22">
        <v>1</v>
      </c>
      <c r="C43" s="25">
        <f t="shared" si="4"/>
        <v>1287</v>
      </c>
      <c r="D43" s="24">
        <v>-900</v>
      </c>
      <c r="E43" s="25">
        <f t="shared" si="1"/>
        <v>2187</v>
      </c>
      <c r="F43" s="22">
        <f t="shared" si="5"/>
        <v>251</v>
      </c>
      <c r="G43" s="22">
        <v>1</v>
      </c>
      <c r="H43" s="25">
        <f t="shared" si="6"/>
        <v>1199</v>
      </c>
      <c r="I43" s="27">
        <v>-938</v>
      </c>
      <c r="J43" s="28">
        <f t="shared" si="2"/>
        <v>2137</v>
      </c>
      <c r="K43" s="22">
        <f t="shared" si="7"/>
        <v>329</v>
      </c>
      <c r="L43" s="22">
        <v>1</v>
      </c>
      <c r="M43" s="25">
        <f t="shared" si="8"/>
        <v>1251</v>
      </c>
      <c r="N43" s="24">
        <v>-832</v>
      </c>
      <c r="O43" s="28">
        <f t="shared" si="3"/>
        <v>2083</v>
      </c>
      <c r="P43" s="22">
        <f t="shared" si="9"/>
        <v>207</v>
      </c>
      <c r="Q43" s="29"/>
      <c r="R43" s="30"/>
    </row>
    <row r="44" spans="1:18" x14ac:dyDescent="0.25">
      <c r="A44" s="21">
        <v>45842</v>
      </c>
      <c r="B44" s="22">
        <v>1</v>
      </c>
      <c r="C44" s="25">
        <f t="shared" si="4"/>
        <v>1286</v>
      </c>
      <c r="D44" s="24">
        <v>-901</v>
      </c>
      <c r="E44" s="25">
        <f t="shared" si="1"/>
        <v>2187</v>
      </c>
      <c r="F44" s="22">
        <f t="shared" si="5"/>
        <v>252</v>
      </c>
      <c r="G44" s="22">
        <v>1</v>
      </c>
      <c r="H44" s="25">
        <f t="shared" si="6"/>
        <v>1198</v>
      </c>
      <c r="I44" s="27">
        <v>-939</v>
      </c>
      <c r="J44" s="28">
        <f t="shared" si="2"/>
        <v>2137</v>
      </c>
      <c r="K44" s="22">
        <f t="shared" si="7"/>
        <v>330</v>
      </c>
      <c r="L44" s="22">
        <v>1</v>
      </c>
      <c r="M44" s="25">
        <f t="shared" si="8"/>
        <v>1250</v>
      </c>
      <c r="N44" s="24">
        <v>-833</v>
      </c>
      <c r="O44" s="28">
        <f t="shared" si="3"/>
        <v>2083</v>
      </c>
      <c r="P44" s="22">
        <f t="shared" si="9"/>
        <v>208</v>
      </c>
      <c r="Q44" s="29"/>
      <c r="R44" s="30"/>
    </row>
    <row r="45" spans="1:18" x14ac:dyDescent="0.25">
      <c r="A45" s="21">
        <v>45843</v>
      </c>
      <c r="B45" s="22">
        <v>1</v>
      </c>
      <c r="C45" s="25">
        <f t="shared" si="4"/>
        <v>1285</v>
      </c>
      <c r="D45" s="24">
        <v>-902</v>
      </c>
      <c r="E45" s="25">
        <f t="shared" si="1"/>
        <v>2187</v>
      </c>
      <c r="F45" s="22">
        <f t="shared" si="5"/>
        <v>253</v>
      </c>
      <c r="G45" s="22">
        <v>1</v>
      </c>
      <c r="H45" s="25">
        <f t="shared" si="6"/>
        <v>1197</v>
      </c>
      <c r="I45" s="27">
        <v>-940</v>
      </c>
      <c r="J45" s="28">
        <f t="shared" si="2"/>
        <v>2137</v>
      </c>
      <c r="K45" s="22">
        <f t="shared" si="7"/>
        <v>331</v>
      </c>
      <c r="L45" s="22">
        <v>1</v>
      </c>
      <c r="M45" s="25">
        <f t="shared" si="8"/>
        <v>1249</v>
      </c>
      <c r="N45" s="24">
        <v>-834</v>
      </c>
      <c r="O45" s="28">
        <f t="shared" si="3"/>
        <v>2083</v>
      </c>
      <c r="P45" s="22">
        <f t="shared" si="9"/>
        <v>209</v>
      </c>
      <c r="Q45" s="29"/>
      <c r="R45" s="30"/>
    </row>
    <row r="46" spans="1:18" x14ac:dyDescent="0.25">
      <c r="A46" s="21">
        <v>45844</v>
      </c>
      <c r="B46" s="22">
        <v>1</v>
      </c>
      <c r="C46" s="25">
        <f t="shared" si="4"/>
        <v>1284</v>
      </c>
      <c r="D46" s="24">
        <v>-903</v>
      </c>
      <c r="E46" s="25">
        <f t="shared" si="1"/>
        <v>2187</v>
      </c>
      <c r="F46" s="22">
        <f t="shared" si="5"/>
        <v>254</v>
      </c>
      <c r="G46" s="22">
        <v>1</v>
      </c>
      <c r="H46" s="25">
        <f t="shared" si="6"/>
        <v>1196</v>
      </c>
      <c r="I46" s="27">
        <v>-941</v>
      </c>
      <c r="J46" s="28">
        <f t="shared" si="2"/>
        <v>2137</v>
      </c>
      <c r="K46" s="22">
        <f t="shared" si="7"/>
        <v>332</v>
      </c>
      <c r="L46" s="22">
        <v>1</v>
      </c>
      <c r="M46" s="25">
        <f t="shared" si="8"/>
        <v>1216</v>
      </c>
      <c r="N46" s="24">
        <v>-867</v>
      </c>
      <c r="O46" s="28">
        <f t="shared" si="3"/>
        <v>2083</v>
      </c>
      <c r="P46" s="22">
        <f t="shared" si="9"/>
        <v>242</v>
      </c>
      <c r="Q46" s="29"/>
      <c r="R46" s="30"/>
    </row>
    <row r="47" spans="1:18" x14ac:dyDescent="0.25">
      <c r="A47" s="21">
        <v>45845</v>
      </c>
      <c r="B47" s="22">
        <v>1</v>
      </c>
      <c r="C47" s="25">
        <f t="shared" si="4"/>
        <v>1283</v>
      </c>
      <c r="D47" s="24">
        <v>-904</v>
      </c>
      <c r="E47" s="25">
        <f t="shared" si="1"/>
        <v>2187</v>
      </c>
      <c r="F47" s="22">
        <f t="shared" si="5"/>
        <v>255</v>
      </c>
      <c r="G47" s="22">
        <v>1</v>
      </c>
      <c r="H47" s="25">
        <f t="shared" si="6"/>
        <v>1195</v>
      </c>
      <c r="I47" s="27">
        <v>-942</v>
      </c>
      <c r="J47" s="28">
        <f t="shared" si="2"/>
        <v>2137</v>
      </c>
      <c r="K47" s="22">
        <f t="shared" si="7"/>
        <v>333</v>
      </c>
      <c r="L47" s="22">
        <v>1</v>
      </c>
      <c r="M47" s="25">
        <f t="shared" si="8"/>
        <v>1211</v>
      </c>
      <c r="N47" s="24">
        <v>-872</v>
      </c>
      <c r="O47" s="28">
        <f t="shared" si="3"/>
        <v>2083</v>
      </c>
      <c r="P47" s="22">
        <f t="shared" si="9"/>
        <v>247</v>
      </c>
      <c r="Q47" s="29"/>
      <c r="R47" s="30"/>
    </row>
    <row r="48" spans="1:18" x14ac:dyDescent="0.25">
      <c r="A48" s="21">
        <v>45846</v>
      </c>
      <c r="B48" s="22">
        <v>1</v>
      </c>
      <c r="C48" s="25">
        <f t="shared" si="4"/>
        <v>1281</v>
      </c>
      <c r="D48" s="24">
        <v>-906</v>
      </c>
      <c r="E48" s="25">
        <f t="shared" si="1"/>
        <v>2187</v>
      </c>
      <c r="F48" s="22">
        <f t="shared" si="5"/>
        <v>257</v>
      </c>
      <c r="G48" s="22">
        <v>1</v>
      </c>
      <c r="H48" s="25">
        <f t="shared" si="6"/>
        <v>1194</v>
      </c>
      <c r="I48" s="27">
        <v>-943</v>
      </c>
      <c r="J48" s="28">
        <f t="shared" si="2"/>
        <v>2137</v>
      </c>
      <c r="K48" s="22">
        <f t="shared" si="7"/>
        <v>334</v>
      </c>
      <c r="L48" s="22">
        <v>1</v>
      </c>
      <c r="M48" s="25">
        <f t="shared" si="8"/>
        <v>1206</v>
      </c>
      <c r="N48" s="24">
        <v>-877</v>
      </c>
      <c r="O48" s="28">
        <f t="shared" si="3"/>
        <v>2083</v>
      </c>
      <c r="P48" s="22">
        <f t="shared" si="9"/>
        <v>252</v>
      </c>
      <c r="Q48" s="29"/>
      <c r="R48" s="30"/>
    </row>
    <row r="49" spans="1:18" x14ac:dyDescent="0.25">
      <c r="A49" s="21">
        <v>45847</v>
      </c>
      <c r="B49" s="22">
        <v>1</v>
      </c>
      <c r="C49" s="25">
        <f t="shared" si="4"/>
        <v>1277</v>
      </c>
      <c r="D49" s="24">
        <v>-910</v>
      </c>
      <c r="E49" s="25">
        <f t="shared" si="1"/>
        <v>2187</v>
      </c>
      <c r="F49" s="22">
        <f t="shared" si="5"/>
        <v>261</v>
      </c>
      <c r="G49" s="22">
        <v>1</v>
      </c>
      <c r="H49" s="25">
        <f t="shared" si="6"/>
        <v>1147</v>
      </c>
      <c r="I49" s="27">
        <v>-990</v>
      </c>
      <c r="J49" s="28">
        <f t="shared" si="2"/>
        <v>2137</v>
      </c>
      <c r="K49" s="22">
        <f t="shared" si="7"/>
        <v>381</v>
      </c>
      <c r="L49" s="22">
        <v>1</v>
      </c>
      <c r="M49" s="25">
        <f t="shared" si="8"/>
        <v>1201</v>
      </c>
      <c r="N49" s="24">
        <v>-882</v>
      </c>
      <c r="O49" s="28">
        <f t="shared" si="3"/>
        <v>2083</v>
      </c>
      <c r="P49" s="22">
        <f t="shared" si="9"/>
        <v>257</v>
      </c>
      <c r="Q49" s="29"/>
      <c r="R49" s="30"/>
    </row>
    <row r="50" spans="1:18" x14ac:dyDescent="0.25">
      <c r="A50" s="21">
        <v>45848</v>
      </c>
      <c r="B50" s="22">
        <v>1</v>
      </c>
      <c r="C50" s="25">
        <f t="shared" si="4"/>
        <v>1273</v>
      </c>
      <c r="D50" s="24">
        <v>-914</v>
      </c>
      <c r="E50" s="25">
        <f t="shared" si="1"/>
        <v>2187</v>
      </c>
      <c r="F50" s="22">
        <f t="shared" si="5"/>
        <v>265</v>
      </c>
      <c r="G50" s="22">
        <v>1</v>
      </c>
      <c r="H50" s="25">
        <f t="shared" si="6"/>
        <v>1141</v>
      </c>
      <c r="I50" s="27">
        <v>-996</v>
      </c>
      <c r="J50" s="28">
        <f t="shared" si="2"/>
        <v>2137</v>
      </c>
      <c r="K50" s="22">
        <f t="shared" si="7"/>
        <v>387</v>
      </c>
      <c r="L50" s="22">
        <v>1</v>
      </c>
      <c r="M50" s="25">
        <f t="shared" si="8"/>
        <v>1196</v>
      </c>
      <c r="N50" s="24">
        <v>-887</v>
      </c>
      <c r="O50" s="28">
        <f t="shared" si="3"/>
        <v>2083</v>
      </c>
      <c r="P50" s="22">
        <f t="shared" si="9"/>
        <v>262</v>
      </c>
      <c r="Q50" s="29"/>
      <c r="R50" s="30"/>
    </row>
    <row r="51" spans="1:18" x14ac:dyDescent="0.25">
      <c r="A51" s="21">
        <v>45849</v>
      </c>
      <c r="B51" s="22">
        <v>1</v>
      </c>
      <c r="C51" s="25">
        <f t="shared" si="4"/>
        <v>1269</v>
      </c>
      <c r="D51" s="24">
        <v>-918</v>
      </c>
      <c r="E51" s="25">
        <f t="shared" si="1"/>
        <v>2187</v>
      </c>
      <c r="F51" s="22">
        <f t="shared" si="5"/>
        <v>269</v>
      </c>
      <c r="G51" s="22">
        <v>1</v>
      </c>
      <c r="H51" s="25">
        <f t="shared" si="6"/>
        <v>1135</v>
      </c>
      <c r="I51" s="27">
        <v>-1002</v>
      </c>
      <c r="J51" s="28">
        <f t="shared" si="2"/>
        <v>2137</v>
      </c>
      <c r="K51" s="22">
        <f t="shared" si="7"/>
        <v>393</v>
      </c>
      <c r="L51" s="22">
        <v>1</v>
      </c>
      <c r="M51" s="25">
        <f t="shared" si="8"/>
        <v>1191</v>
      </c>
      <c r="N51" s="24">
        <v>-892</v>
      </c>
      <c r="O51" s="28">
        <f t="shared" si="3"/>
        <v>2083</v>
      </c>
      <c r="P51" s="22">
        <f t="shared" si="9"/>
        <v>267</v>
      </c>
      <c r="Q51" s="29"/>
      <c r="R51" s="30"/>
    </row>
    <row r="52" spans="1:18" x14ac:dyDescent="0.25">
      <c r="A52" s="21">
        <v>45850</v>
      </c>
      <c r="B52" s="22">
        <v>1</v>
      </c>
      <c r="C52" s="25">
        <f t="shared" si="4"/>
        <v>1265</v>
      </c>
      <c r="D52" s="24">
        <v>-922</v>
      </c>
      <c r="E52" s="25">
        <f t="shared" si="1"/>
        <v>2187</v>
      </c>
      <c r="F52" s="22">
        <f t="shared" si="5"/>
        <v>273</v>
      </c>
      <c r="G52" s="22">
        <v>1</v>
      </c>
      <c r="H52" s="25">
        <f t="shared" si="6"/>
        <v>1129</v>
      </c>
      <c r="I52" s="27">
        <v>-1008</v>
      </c>
      <c r="J52" s="28">
        <f t="shared" si="2"/>
        <v>2137</v>
      </c>
      <c r="K52" s="22">
        <f t="shared" si="7"/>
        <v>399</v>
      </c>
      <c r="L52" s="22">
        <v>1</v>
      </c>
      <c r="M52" s="25">
        <f t="shared" si="8"/>
        <v>1186</v>
      </c>
      <c r="N52" s="24">
        <v>-897</v>
      </c>
      <c r="O52" s="28">
        <f t="shared" si="3"/>
        <v>2083</v>
      </c>
      <c r="P52" s="22">
        <f t="shared" si="9"/>
        <v>272</v>
      </c>
      <c r="Q52" s="29"/>
      <c r="R52" s="30"/>
    </row>
    <row r="53" spans="1:18" x14ac:dyDescent="0.25">
      <c r="A53" s="21">
        <v>45851</v>
      </c>
      <c r="B53" s="22">
        <v>1</v>
      </c>
      <c r="C53" s="25">
        <f t="shared" si="4"/>
        <v>1261</v>
      </c>
      <c r="D53" s="24">
        <v>-926</v>
      </c>
      <c r="E53" s="25">
        <f t="shared" si="1"/>
        <v>2187</v>
      </c>
      <c r="F53" s="22">
        <f t="shared" si="5"/>
        <v>277</v>
      </c>
      <c r="G53" s="22">
        <v>1</v>
      </c>
      <c r="H53" s="25">
        <f t="shared" si="6"/>
        <v>1123</v>
      </c>
      <c r="I53" s="27">
        <v>-1014</v>
      </c>
      <c r="J53" s="28">
        <f t="shared" si="2"/>
        <v>2137</v>
      </c>
      <c r="K53" s="22">
        <f t="shared" si="7"/>
        <v>405</v>
      </c>
      <c r="L53" s="22">
        <v>1</v>
      </c>
      <c r="M53" s="25">
        <f t="shared" si="8"/>
        <v>1181</v>
      </c>
      <c r="N53" s="24">
        <v>-902</v>
      </c>
      <c r="O53" s="28">
        <f t="shared" si="3"/>
        <v>2083</v>
      </c>
      <c r="P53" s="22">
        <f t="shared" si="9"/>
        <v>277</v>
      </c>
      <c r="Q53" s="29"/>
      <c r="R53" s="30"/>
    </row>
    <row r="54" spans="1:18" x14ac:dyDescent="0.25">
      <c r="A54" s="21">
        <v>45852</v>
      </c>
      <c r="B54" s="22">
        <v>1</v>
      </c>
      <c r="C54" s="25">
        <f t="shared" si="4"/>
        <v>1257</v>
      </c>
      <c r="D54" s="24">
        <v>-930</v>
      </c>
      <c r="E54" s="25">
        <f t="shared" si="1"/>
        <v>2187</v>
      </c>
      <c r="F54" s="22">
        <f t="shared" si="5"/>
        <v>281</v>
      </c>
      <c r="G54" s="22">
        <v>1</v>
      </c>
      <c r="H54" s="25">
        <f t="shared" si="6"/>
        <v>1117</v>
      </c>
      <c r="I54" s="27">
        <v>-1020</v>
      </c>
      <c r="J54" s="28">
        <f t="shared" si="2"/>
        <v>2137</v>
      </c>
      <c r="K54" s="22">
        <f t="shared" si="7"/>
        <v>411</v>
      </c>
      <c r="L54" s="22">
        <v>1</v>
      </c>
      <c r="M54" s="25">
        <f t="shared" si="8"/>
        <v>1176</v>
      </c>
      <c r="N54" s="24">
        <v>-907</v>
      </c>
      <c r="O54" s="28">
        <f t="shared" si="3"/>
        <v>2083</v>
      </c>
      <c r="P54" s="22">
        <f t="shared" si="9"/>
        <v>282</v>
      </c>
      <c r="Q54" s="29"/>
      <c r="R54" s="30"/>
    </row>
    <row r="55" spans="1:18" x14ac:dyDescent="0.25">
      <c r="A55" s="21">
        <v>45853</v>
      </c>
      <c r="B55" s="22">
        <v>1</v>
      </c>
      <c r="C55" s="25">
        <f t="shared" si="4"/>
        <v>1253</v>
      </c>
      <c r="D55" s="24">
        <v>-934</v>
      </c>
      <c r="E55" s="25">
        <f t="shared" si="1"/>
        <v>2187</v>
      </c>
      <c r="F55" s="22">
        <f t="shared" si="5"/>
        <v>285</v>
      </c>
      <c r="G55" s="22">
        <v>1</v>
      </c>
      <c r="H55" s="25">
        <f t="shared" si="6"/>
        <v>1111</v>
      </c>
      <c r="I55" s="27">
        <v>-1026</v>
      </c>
      <c r="J55" s="28">
        <f t="shared" si="2"/>
        <v>2137</v>
      </c>
      <c r="K55" s="22">
        <f t="shared" si="7"/>
        <v>417</v>
      </c>
      <c r="L55" s="22">
        <v>1</v>
      </c>
      <c r="M55" s="25">
        <f t="shared" si="8"/>
        <v>1171</v>
      </c>
      <c r="N55" s="24">
        <v>-912</v>
      </c>
      <c r="O55" s="28">
        <f t="shared" si="3"/>
        <v>2083</v>
      </c>
      <c r="P55" s="22">
        <f t="shared" si="9"/>
        <v>287</v>
      </c>
      <c r="Q55" s="29"/>
      <c r="R55" s="30"/>
    </row>
    <row r="56" spans="1:18" x14ac:dyDescent="0.25">
      <c r="A56" s="21">
        <v>45854</v>
      </c>
      <c r="B56" s="22">
        <v>1</v>
      </c>
      <c r="C56" s="25">
        <f t="shared" si="4"/>
        <v>1249</v>
      </c>
      <c r="D56" s="24">
        <v>-938</v>
      </c>
      <c r="E56" s="25">
        <f t="shared" si="1"/>
        <v>2187</v>
      </c>
      <c r="F56" s="22">
        <f t="shared" si="5"/>
        <v>289</v>
      </c>
      <c r="G56" s="22">
        <v>1</v>
      </c>
      <c r="H56" s="25">
        <f t="shared" si="6"/>
        <v>1105</v>
      </c>
      <c r="I56" s="27">
        <v>-1032</v>
      </c>
      <c r="J56" s="28">
        <f t="shared" si="2"/>
        <v>2137</v>
      </c>
      <c r="K56" s="22">
        <f t="shared" si="7"/>
        <v>423</v>
      </c>
      <c r="L56" s="22">
        <v>1</v>
      </c>
      <c r="M56" s="25">
        <f t="shared" si="8"/>
        <v>1166</v>
      </c>
      <c r="N56" s="24">
        <v>-917</v>
      </c>
      <c r="O56" s="28">
        <f t="shared" si="3"/>
        <v>2083</v>
      </c>
      <c r="P56" s="22">
        <f t="shared" si="9"/>
        <v>292</v>
      </c>
      <c r="Q56" s="29"/>
      <c r="R56" s="30"/>
    </row>
    <row r="57" spans="1:18" x14ac:dyDescent="0.25">
      <c r="A57" s="21">
        <v>45855</v>
      </c>
      <c r="B57" s="22">
        <v>1</v>
      </c>
      <c r="C57" s="25">
        <f t="shared" si="4"/>
        <v>1245</v>
      </c>
      <c r="D57" s="24">
        <v>-942</v>
      </c>
      <c r="E57" s="25">
        <f t="shared" si="1"/>
        <v>2187</v>
      </c>
      <c r="F57" s="22">
        <f t="shared" si="5"/>
        <v>293</v>
      </c>
      <c r="G57" s="22">
        <v>1</v>
      </c>
      <c r="H57" s="25">
        <f t="shared" si="6"/>
        <v>1099</v>
      </c>
      <c r="I57" s="27">
        <v>-1038</v>
      </c>
      <c r="J57" s="28">
        <f t="shared" si="2"/>
        <v>2137</v>
      </c>
      <c r="K57" s="22">
        <f t="shared" si="7"/>
        <v>429</v>
      </c>
      <c r="L57" s="22">
        <v>1</v>
      </c>
      <c r="M57" s="25">
        <f t="shared" si="8"/>
        <v>1161</v>
      </c>
      <c r="N57" s="24">
        <v>-922</v>
      </c>
      <c r="O57" s="28">
        <f t="shared" si="3"/>
        <v>2083</v>
      </c>
      <c r="P57" s="22">
        <f t="shared" si="9"/>
        <v>297</v>
      </c>
      <c r="Q57" s="29"/>
      <c r="R57" s="30"/>
    </row>
    <row r="58" spans="1:18" x14ac:dyDescent="0.25">
      <c r="A58" s="21">
        <v>45856</v>
      </c>
      <c r="B58" s="22">
        <v>1</v>
      </c>
      <c r="C58" s="25">
        <f t="shared" si="4"/>
        <v>1241</v>
      </c>
      <c r="D58" s="24">
        <v>-946</v>
      </c>
      <c r="E58" s="25">
        <f t="shared" si="1"/>
        <v>2187</v>
      </c>
      <c r="F58" s="22">
        <f t="shared" si="5"/>
        <v>297</v>
      </c>
      <c r="G58" s="22">
        <v>1</v>
      </c>
      <c r="H58" s="25">
        <f t="shared" si="6"/>
        <v>1093</v>
      </c>
      <c r="I58" s="27">
        <v>-1044</v>
      </c>
      <c r="J58" s="28">
        <f t="shared" si="2"/>
        <v>2137</v>
      </c>
      <c r="K58" s="22">
        <f t="shared" si="7"/>
        <v>435</v>
      </c>
      <c r="L58" s="22">
        <v>1</v>
      </c>
      <c r="M58" s="25">
        <f t="shared" si="8"/>
        <v>1156</v>
      </c>
      <c r="N58" s="24">
        <v>-927</v>
      </c>
      <c r="O58" s="28">
        <f t="shared" si="3"/>
        <v>2083</v>
      </c>
      <c r="P58" s="22">
        <f t="shared" si="9"/>
        <v>302</v>
      </c>
      <c r="Q58" s="29"/>
      <c r="R58" s="30"/>
    </row>
    <row r="59" spans="1:18" x14ac:dyDescent="0.25">
      <c r="A59" s="21">
        <v>45857</v>
      </c>
      <c r="B59" s="22">
        <v>1</v>
      </c>
      <c r="C59" s="25">
        <f t="shared" si="4"/>
        <v>1237</v>
      </c>
      <c r="D59" s="24">
        <v>-950</v>
      </c>
      <c r="E59" s="25">
        <f t="shared" si="1"/>
        <v>2187</v>
      </c>
      <c r="F59" s="22">
        <f t="shared" si="5"/>
        <v>301</v>
      </c>
      <c r="G59" s="22">
        <v>1</v>
      </c>
      <c r="H59" s="25">
        <f t="shared" si="6"/>
        <v>1087</v>
      </c>
      <c r="I59" s="27">
        <v>-1050</v>
      </c>
      <c r="J59" s="28">
        <f t="shared" si="2"/>
        <v>2137</v>
      </c>
      <c r="K59" s="22">
        <f t="shared" si="7"/>
        <v>441</v>
      </c>
      <c r="L59" s="22">
        <v>1</v>
      </c>
      <c r="M59" s="25">
        <f t="shared" si="8"/>
        <v>1151</v>
      </c>
      <c r="N59" s="24">
        <v>-932</v>
      </c>
      <c r="O59" s="28">
        <f t="shared" si="3"/>
        <v>2083</v>
      </c>
      <c r="P59" s="22">
        <f t="shared" si="9"/>
        <v>307</v>
      </c>
      <c r="Q59" s="29"/>
      <c r="R59" s="30"/>
    </row>
    <row r="60" spans="1:18" x14ac:dyDescent="0.25">
      <c r="A60" s="21"/>
      <c r="B60" s="22"/>
      <c r="C60" s="23"/>
      <c r="D60" s="24"/>
      <c r="E60" s="25"/>
      <c r="F60" s="22"/>
      <c r="G60" s="22"/>
      <c r="H60" s="25"/>
      <c r="I60" s="27"/>
      <c r="J60" s="28"/>
      <c r="K60" s="22"/>
      <c r="L60" s="22"/>
      <c r="M60" s="23"/>
      <c r="N60" s="24"/>
      <c r="O60" s="28"/>
      <c r="P60" s="22"/>
      <c r="Q60" s="29"/>
      <c r="R60" s="30"/>
    </row>
    <row r="61" spans="1:18" x14ac:dyDescent="0.25">
      <c r="A61" s="21"/>
      <c r="B61" s="22"/>
      <c r="C61" s="23"/>
      <c r="D61" s="24"/>
      <c r="E61" s="25"/>
      <c r="F61" s="22"/>
      <c r="G61" s="22"/>
      <c r="H61" s="25"/>
      <c r="I61" s="27"/>
      <c r="J61" s="28"/>
      <c r="K61" s="22"/>
      <c r="L61" s="22"/>
      <c r="M61" s="23"/>
      <c r="N61" s="24"/>
      <c r="O61" s="28"/>
      <c r="P61" s="22"/>
      <c r="Q61" s="29"/>
      <c r="R61" s="30"/>
    </row>
    <row r="62" spans="1:18" x14ac:dyDescent="0.25">
      <c r="A62" s="21"/>
      <c r="B62" s="22"/>
      <c r="C62" s="23"/>
      <c r="D62" s="24"/>
      <c r="E62" s="25"/>
      <c r="F62" s="22"/>
      <c r="G62" s="22"/>
      <c r="H62" s="25"/>
      <c r="I62" s="27"/>
      <c r="J62" s="28"/>
      <c r="K62" s="22"/>
      <c r="L62" s="22"/>
      <c r="M62" s="23"/>
      <c r="N62" s="24"/>
      <c r="O62" s="28"/>
      <c r="P62" s="22"/>
      <c r="Q62" s="29"/>
      <c r="R62" s="30"/>
    </row>
    <row r="63" spans="1:18" x14ac:dyDescent="0.25">
      <c r="A63" s="21"/>
      <c r="B63" s="22"/>
      <c r="C63" s="23"/>
      <c r="D63" s="24"/>
      <c r="E63" s="25"/>
      <c r="F63" s="22"/>
      <c r="G63" s="22"/>
      <c r="H63" s="25"/>
      <c r="I63" s="27"/>
      <c r="J63" s="28"/>
      <c r="K63" s="22"/>
      <c r="L63" s="22"/>
      <c r="M63" s="23"/>
      <c r="N63" s="24"/>
      <c r="O63" s="28"/>
      <c r="P63" s="22"/>
      <c r="Q63" s="29"/>
      <c r="R63" s="30"/>
    </row>
    <row r="64" spans="1:18" x14ac:dyDescent="0.25">
      <c r="A64" s="21"/>
      <c r="B64" s="22"/>
      <c r="C64" s="23"/>
      <c r="D64" s="24"/>
      <c r="E64" s="25"/>
      <c r="F64" s="22"/>
      <c r="G64" s="22"/>
      <c r="H64" s="25"/>
      <c r="I64" s="27"/>
      <c r="J64" s="28"/>
      <c r="K64" s="22"/>
      <c r="L64" s="22"/>
      <c r="M64" s="23"/>
      <c r="N64" s="24"/>
      <c r="O64" s="28"/>
      <c r="P64" s="22"/>
      <c r="Q64" s="29"/>
      <c r="R64" s="30"/>
    </row>
    <row r="65" spans="1:18" x14ac:dyDescent="0.25">
      <c r="A65" s="21"/>
      <c r="B65" s="22"/>
      <c r="C65" s="23"/>
      <c r="D65" s="24"/>
      <c r="E65" s="25"/>
      <c r="F65" s="22"/>
      <c r="G65" s="22"/>
      <c r="H65" s="25"/>
      <c r="I65" s="27"/>
      <c r="J65" s="28"/>
      <c r="K65" s="22"/>
      <c r="L65" s="22"/>
      <c r="M65" s="23"/>
      <c r="N65" s="24"/>
      <c r="O65" s="28"/>
      <c r="P65" s="22"/>
      <c r="Q65" s="29"/>
      <c r="R65" s="30"/>
    </row>
    <row r="66" spans="1:18" x14ac:dyDescent="0.25">
      <c r="A66" s="21"/>
      <c r="B66" s="22"/>
      <c r="C66" s="23"/>
      <c r="D66" s="24"/>
      <c r="E66" s="25"/>
      <c r="F66" s="22"/>
      <c r="G66" s="22"/>
      <c r="H66" s="25"/>
      <c r="I66" s="27"/>
      <c r="J66" s="28"/>
      <c r="K66" s="22"/>
      <c r="L66" s="22"/>
      <c r="M66" s="23"/>
      <c r="N66" s="24"/>
      <c r="O66" s="28"/>
      <c r="P66" s="22"/>
      <c r="Q66" s="29"/>
      <c r="R66" s="30"/>
    </row>
    <row r="67" spans="1:18" x14ac:dyDescent="0.25">
      <c r="A67" s="21"/>
      <c r="B67" s="22"/>
      <c r="C67" s="23"/>
      <c r="D67" s="24"/>
      <c r="E67" s="25"/>
      <c r="F67" s="22"/>
      <c r="G67" s="22"/>
      <c r="H67" s="25"/>
      <c r="I67" s="27"/>
      <c r="J67" s="28"/>
      <c r="K67" s="22"/>
      <c r="L67" s="22"/>
      <c r="M67" s="23"/>
      <c r="N67" s="24"/>
      <c r="O67" s="28"/>
      <c r="P67" s="22"/>
      <c r="Q67" s="29"/>
      <c r="R67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7">
    <cfRule type="cellIs" dxfId="24" priority="1" operator="lessThan">
      <formula>60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outlinePr summaryBelow="0" summaryRight="0"/>
  </sheetPr>
  <dimension ref="A1:R67"/>
  <sheetViews>
    <sheetView workbookViewId="0"/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(05/06/25)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50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51</v>
      </c>
      <c r="R10" s="112" t="s">
        <v>52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45813</v>
      </c>
      <c r="B15" s="22">
        <v>1</v>
      </c>
      <c r="C15" s="23">
        <v>1503</v>
      </c>
      <c r="D15" s="24">
        <v>-1793</v>
      </c>
      <c r="E15" s="25">
        <f t="shared" ref="E15:E67" si="1">C15-D15</f>
        <v>3296</v>
      </c>
      <c r="F15" s="22">
        <v>0</v>
      </c>
      <c r="G15" s="22">
        <v>1</v>
      </c>
      <c r="H15" s="25">
        <v>1463</v>
      </c>
      <c r="I15" s="27">
        <v>-1297</v>
      </c>
      <c r="J15" s="28">
        <f t="shared" ref="J15:J67" si="2">H15-I15</f>
        <v>2760</v>
      </c>
      <c r="K15" s="22">
        <v>0</v>
      </c>
      <c r="L15" s="22">
        <v>1</v>
      </c>
      <c r="M15" s="23">
        <v>1552</v>
      </c>
      <c r="N15" s="24">
        <v>-1352</v>
      </c>
      <c r="O15" s="28">
        <f t="shared" ref="O15:O67" si="3">M15-N15</f>
        <v>2904</v>
      </c>
      <c r="P15" s="22">
        <v>0</v>
      </c>
      <c r="Q15" s="29"/>
      <c r="R15" s="30"/>
    </row>
    <row r="16" spans="1:18" x14ac:dyDescent="0.25">
      <c r="A16" s="21">
        <v>45814</v>
      </c>
      <c r="B16" s="22">
        <v>1</v>
      </c>
      <c r="C16" s="25">
        <f t="shared" ref="C16:C67" si="4">$C$15-F16</f>
        <v>1491</v>
      </c>
      <c r="D16" s="24">
        <v>-1805</v>
      </c>
      <c r="E16" s="25">
        <f t="shared" si="1"/>
        <v>3296</v>
      </c>
      <c r="F16" s="22">
        <f t="shared" ref="F16:F67" si="5">$D$15-D16</f>
        <v>12</v>
      </c>
      <c r="G16" s="22">
        <v>1</v>
      </c>
      <c r="H16" s="25">
        <f t="shared" ref="H16:H67" si="6">$H$15-K16</f>
        <v>1447</v>
      </c>
      <c r="I16" s="27">
        <v>-1313</v>
      </c>
      <c r="J16" s="28">
        <f t="shared" si="2"/>
        <v>2760</v>
      </c>
      <c r="K16" s="22">
        <f t="shared" ref="K16:K67" si="7">$I$15-I16</f>
        <v>16</v>
      </c>
      <c r="L16" s="22">
        <v>1</v>
      </c>
      <c r="M16" s="25">
        <f t="shared" ref="M16:M67" si="8">$M$15-P16</f>
        <v>1540</v>
      </c>
      <c r="N16" s="24">
        <v>-1364</v>
      </c>
      <c r="O16" s="28">
        <f t="shared" si="3"/>
        <v>2904</v>
      </c>
      <c r="P16" s="22">
        <f t="shared" ref="P16:P67" si="9">$N$15-N16</f>
        <v>12</v>
      </c>
      <c r="Q16" s="29"/>
      <c r="R16" s="30"/>
    </row>
    <row r="17" spans="1:18" x14ac:dyDescent="0.25">
      <c r="A17" s="21">
        <v>45815</v>
      </c>
      <c r="B17" s="22">
        <v>1</v>
      </c>
      <c r="C17" s="25">
        <f t="shared" si="4"/>
        <v>1479</v>
      </c>
      <c r="D17" s="24">
        <v>-1817</v>
      </c>
      <c r="E17" s="25">
        <f t="shared" si="1"/>
        <v>3296</v>
      </c>
      <c r="F17" s="22">
        <f t="shared" si="5"/>
        <v>24</v>
      </c>
      <c r="G17" s="22">
        <v>1</v>
      </c>
      <c r="H17" s="25">
        <f t="shared" si="6"/>
        <v>1431</v>
      </c>
      <c r="I17" s="27">
        <v>-1329</v>
      </c>
      <c r="J17" s="28">
        <f t="shared" si="2"/>
        <v>2760</v>
      </c>
      <c r="K17" s="22">
        <f t="shared" si="7"/>
        <v>32</v>
      </c>
      <c r="L17" s="22">
        <v>1</v>
      </c>
      <c r="M17" s="25">
        <f t="shared" si="8"/>
        <v>1528</v>
      </c>
      <c r="N17" s="24">
        <v>-1376</v>
      </c>
      <c r="O17" s="28">
        <f t="shared" si="3"/>
        <v>2904</v>
      </c>
      <c r="P17" s="22">
        <f t="shared" si="9"/>
        <v>24</v>
      </c>
      <c r="Q17" s="29"/>
      <c r="R17" s="30"/>
    </row>
    <row r="18" spans="1:18" x14ac:dyDescent="0.25">
      <c r="A18" s="21">
        <v>45816</v>
      </c>
      <c r="B18" s="22">
        <v>1</v>
      </c>
      <c r="C18" s="25">
        <f t="shared" si="4"/>
        <v>1467</v>
      </c>
      <c r="D18" s="24">
        <v>-1829</v>
      </c>
      <c r="E18" s="25">
        <f t="shared" si="1"/>
        <v>3296</v>
      </c>
      <c r="F18" s="22">
        <f t="shared" si="5"/>
        <v>36</v>
      </c>
      <c r="G18" s="22">
        <v>1</v>
      </c>
      <c r="H18" s="25">
        <f t="shared" si="6"/>
        <v>1415</v>
      </c>
      <c r="I18" s="27">
        <v>-1345</v>
      </c>
      <c r="J18" s="28">
        <f t="shared" si="2"/>
        <v>2760</v>
      </c>
      <c r="K18" s="22">
        <f t="shared" si="7"/>
        <v>48</v>
      </c>
      <c r="L18" s="22">
        <v>1</v>
      </c>
      <c r="M18" s="25">
        <f t="shared" si="8"/>
        <v>1516</v>
      </c>
      <c r="N18" s="24">
        <v>-1388</v>
      </c>
      <c r="O18" s="28">
        <f t="shared" si="3"/>
        <v>2904</v>
      </c>
      <c r="P18" s="22">
        <f t="shared" si="9"/>
        <v>36</v>
      </c>
      <c r="Q18" s="29"/>
      <c r="R18" s="30"/>
    </row>
    <row r="19" spans="1:18" x14ac:dyDescent="0.25">
      <c r="A19" s="21">
        <v>45817</v>
      </c>
      <c r="B19" s="22">
        <v>1</v>
      </c>
      <c r="C19" s="25">
        <f t="shared" si="4"/>
        <v>1455</v>
      </c>
      <c r="D19" s="24">
        <v>-1841</v>
      </c>
      <c r="E19" s="25">
        <f t="shared" si="1"/>
        <v>3296</v>
      </c>
      <c r="F19" s="22">
        <f t="shared" si="5"/>
        <v>48</v>
      </c>
      <c r="G19" s="22">
        <v>1</v>
      </c>
      <c r="H19" s="25">
        <f t="shared" si="6"/>
        <v>1415</v>
      </c>
      <c r="I19" s="27">
        <v>-1345</v>
      </c>
      <c r="J19" s="28">
        <f t="shared" si="2"/>
        <v>2760</v>
      </c>
      <c r="K19" s="22">
        <f t="shared" si="7"/>
        <v>48</v>
      </c>
      <c r="L19" s="22">
        <v>1</v>
      </c>
      <c r="M19" s="25">
        <f t="shared" si="8"/>
        <v>1504</v>
      </c>
      <c r="N19" s="24">
        <v>-1400</v>
      </c>
      <c r="O19" s="28">
        <f t="shared" si="3"/>
        <v>2904</v>
      </c>
      <c r="P19" s="22">
        <f t="shared" si="9"/>
        <v>48</v>
      </c>
      <c r="Q19" s="29"/>
      <c r="R19" s="30"/>
    </row>
    <row r="20" spans="1:18" x14ac:dyDescent="0.25">
      <c r="A20" s="21">
        <v>45818</v>
      </c>
      <c r="B20" s="22">
        <v>1</v>
      </c>
      <c r="C20" s="25">
        <f t="shared" si="4"/>
        <v>1450</v>
      </c>
      <c r="D20" s="24">
        <v>-1846</v>
      </c>
      <c r="E20" s="25">
        <f t="shared" si="1"/>
        <v>3296</v>
      </c>
      <c r="F20" s="22">
        <f t="shared" si="5"/>
        <v>53</v>
      </c>
      <c r="G20" s="22">
        <v>1</v>
      </c>
      <c r="H20" s="25">
        <f t="shared" si="6"/>
        <v>1382</v>
      </c>
      <c r="I20" s="27">
        <v>-1378</v>
      </c>
      <c r="J20" s="28">
        <f t="shared" si="2"/>
        <v>2760</v>
      </c>
      <c r="K20" s="22">
        <f t="shared" si="7"/>
        <v>81</v>
      </c>
      <c r="L20" s="22">
        <v>1</v>
      </c>
      <c r="M20" s="25">
        <f t="shared" si="8"/>
        <v>1492</v>
      </c>
      <c r="N20" s="24">
        <v>-1412</v>
      </c>
      <c r="O20" s="28">
        <f t="shared" si="3"/>
        <v>2904</v>
      </c>
      <c r="P20" s="22">
        <f t="shared" si="9"/>
        <v>60</v>
      </c>
      <c r="Q20" s="29"/>
      <c r="R20" s="30"/>
    </row>
    <row r="21" spans="1:18" x14ac:dyDescent="0.25">
      <c r="A21" s="21">
        <v>45819</v>
      </c>
      <c r="B21" s="22">
        <v>1</v>
      </c>
      <c r="C21" s="25">
        <f t="shared" si="4"/>
        <v>1419</v>
      </c>
      <c r="D21" s="24">
        <v>-1877</v>
      </c>
      <c r="E21" s="25">
        <f t="shared" si="1"/>
        <v>3296</v>
      </c>
      <c r="F21" s="22">
        <f t="shared" si="5"/>
        <v>84</v>
      </c>
      <c r="G21" s="22">
        <v>1</v>
      </c>
      <c r="H21" s="25">
        <f t="shared" si="6"/>
        <v>1349</v>
      </c>
      <c r="I21" s="27">
        <v>-1411</v>
      </c>
      <c r="J21" s="28">
        <f t="shared" si="2"/>
        <v>2760</v>
      </c>
      <c r="K21" s="22">
        <f t="shared" si="7"/>
        <v>114</v>
      </c>
      <c r="L21" s="22">
        <v>1</v>
      </c>
      <c r="M21" s="25">
        <f t="shared" si="8"/>
        <v>1469</v>
      </c>
      <c r="N21" s="24">
        <v>-1435</v>
      </c>
      <c r="O21" s="28">
        <f t="shared" si="3"/>
        <v>2904</v>
      </c>
      <c r="P21" s="22">
        <f t="shared" si="9"/>
        <v>83</v>
      </c>
      <c r="Q21" s="29"/>
      <c r="R21" s="30"/>
    </row>
    <row r="22" spans="1:18" x14ac:dyDescent="0.25">
      <c r="A22" s="21">
        <v>45820</v>
      </c>
      <c r="B22" s="22">
        <v>1</v>
      </c>
      <c r="C22" s="25">
        <f t="shared" si="4"/>
        <v>1395</v>
      </c>
      <c r="D22" s="24">
        <v>-1901</v>
      </c>
      <c r="E22" s="25">
        <f t="shared" si="1"/>
        <v>3296</v>
      </c>
      <c r="F22" s="22">
        <f t="shared" si="5"/>
        <v>108</v>
      </c>
      <c r="G22" s="22">
        <v>1</v>
      </c>
      <c r="H22" s="25">
        <f t="shared" si="6"/>
        <v>1316</v>
      </c>
      <c r="I22" s="27">
        <v>-1444</v>
      </c>
      <c r="J22" s="28">
        <f t="shared" si="2"/>
        <v>2760</v>
      </c>
      <c r="K22" s="22">
        <f t="shared" si="7"/>
        <v>147</v>
      </c>
      <c r="L22" s="22">
        <v>1</v>
      </c>
      <c r="M22" s="25">
        <f t="shared" si="8"/>
        <v>1465</v>
      </c>
      <c r="N22" s="24">
        <v>-1439</v>
      </c>
      <c r="O22" s="28">
        <f t="shared" si="3"/>
        <v>2904</v>
      </c>
      <c r="P22" s="22">
        <f t="shared" si="9"/>
        <v>87</v>
      </c>
      <c r="Q22" s="29"/>
      <c r="R22" s="30"/>
    </row>
    <row r="23" spans="1:18" x14ac:dyDescent="0.25">
      <c r="A23" s="21">
        <v>45821</v>
      </c>
      <c r="B23" s="22">
        <v>1</v>
      </c>
      <c r="C23" s="25">
        <f t="shared" si="4"/>
        <v>1387</v>
      </c>
      <c r="D23" s="24">
        <v>-1909</v>
      </c>
      <c r="E23" s="25">
        <f t="shared" si="1"/>
        <v>3296</v>
      </c>
      <c r="F23" s="22">
        <f t="shared" si="5"/>
        <v>116</v>
      </c>
      <c r="G23" s="22">
        <v>1</v>
      </c>
      <c r="H23" s="25">
        <f t="shared" si="6"/>
        <v>1283</v>
      </c>
      <c r="I23" s="27">
        <v>-1477</v>
      </c>
      <c r="J23" s="28">
        <f t="shared" si="2"/>
        <v>2760</v>
      </c>
      <c r="K23" s="22">
        <f t="shared" si="7"/>
        <v>180</v>
      </c>
      <c r="L23" s="22">
        <v>1</v>
      </c>
      <c r="M23" s="25">
        <f t="shared" si="8"/>
        <v>1461</v>
      </c>
      <c r="N23" s="24">
        <v>-1443</v>
      </c>
      <c r="O23" s="28">
        <f t="shared" si="3"/>
        <v>2904</v>
      </c>
      <c r="P23" s="22">
        <f t="shared" si="9"/>
        <v>91</v>
      </c>
      <c r="Q23" s="29"/>
      <c r="R23" s="30"/>
    </row>
    <row r="24" spans="1:18" x14ac:dyDescent="0.25">
      <c r="A24" s="21">
        <v>45822</v>
      </c>
      <c r="B24" s="22">
        <v>1</v>
      </c>
      <c r="C24" s="25">
        <f t="shared" si="4"/>
        <v>1379</v>
      </c>
      <c r="D24" s="24">
        <v>-1917</v>
      </c>
      <c r="E24" s="25">
        <f t="shared" si="1"/>
        <v>3296</v>
      </c>
      <c r="F24" s="22">
        <f t="shared" si="5"/>
        <v>124</v>
      </c>
      <c r="G24" s="22">
        <v>1</v>
      </c>
      <c r="H24" s="25">
        <f t="shared" si="6"/>
        <v>1273</v>
      </c>
      <c r="I24" s="27">
        <v>-1487</v>
      </c>
      <c r="J24" s="28">
        <f t="shared" si="2"/>
        <v>2760</v>
      </c>
      <c r="K24" s="22">
        <f t="shared" si="7"/>
        <v>190</v>
      </c>
      <c r="L24" s="22">
        <v>1</v>
      </c>
      <c r="M24" s="25">
        <f t="shared" si="8"/>
        <v>1457</v>
      </c>
      <c r="N24" s="24">
        <v>-1447</v>
      </c>
      <c r="O24" s="28">
        <f t="shared" si="3"/>
        <v>2904</v>
      </c>
      <c r="P24" s="22">
        <f t="shared" si="9"/>
        <v>95</v>
      </c>
      <c r="Q24" s="29"/>
      <c r="R24" s="30"/>
    </row>
    <row r="25" spans="1:18" x14ac:dyDescent="0.25">
      <c r="A25" s="21">
        <v>45823</v>
      </c>
      <c r="B25" s="22">
        <v>1</v>
      </c>
      <c r="C25" s="25">
        <f t="shared" si="4"/>
        <v>1371</v>
      </c>
      <c r="D25" s="24">
        <v>-1925</v>
      </c>
      <c r="E25" s="25">
        <f t="shared" si="1"/>
        <v>3296</v>
      </c>
      <c r="F25" s="22">
        <f t="shared" si="5"/>
        <v>132</v>
      </c>
      <c r="G25" s="22">
        <v>1</v>
      </c>
      <c r="H25" s="25">
        <f t="shared" si="6"/>
        <v>1268</v>
      </c>
      <c r="I25" s="27">
        <v>-1492</v>
      </c>
      <c r="J25" s="28">
        <f t="shared" si="2"/>
        <v>2760</v>
      </c>
      <c r="K25" s="22">
        <f t="shared" si="7"/>
        <v>195</v>
      </c>
      <c r="L25" s="22">
        <v>1</v>
      </c>
      <c r="M25" s="25">
        <f t="shared" si="8"/>
        <v>1452</v>
      </c>
      <c r="N25" s="24">
        <v>-1452</v>
      </c>
      <c r="O25" s="28">
        <f t="shared" si="3"/>
        <v>2904</v>
      </c>
      <c r="P25" s="22">
        <f t="shared" si="9"/>
        <v>100</v>
      </c>
      <c r="Q25" s="29"/>
      <c r="R25" s="30"/>
    </row>
    <row r="26" spans="1:18" x14ac:dyDescent="0.25">
      <c r="A26" s="21">
        <v>45824</v>
      </c>
      <c r="B26" s="22">
        <v>1</v>
      </c>
      <c r="C26" s="25">
        <f t="shared" si="4"/>
        <v>1363</v>
      </c>
      <c r="D26" s="24">
        <v>-1933</v>
      </c>
      <c r="E26" s="25">
        <f t="shared" si="1"/>
        <v>3296</v>
      </c>
      <c r="F26" s="22">
        <f t="shared" si="5"/>
        <v>140</v>
      </c>
      <c r="G26" s="22">
        <v>1</v>
      </c>
      <c r="H26" s="25">
        <f t="shared" si="6"/>
        <v>1263</v>
      </c>
      <c r="I26" s="27">
        <v>-1497</v>
      </c>
      <c r="J26" s="28">
        <f t="shared" si="2"/>
        <v>2760</v>
      </c>
      <c r="K26" s="22">
        <f t="shared" si="7"/>
        <v>200</v>
      </c>
      <c r="L26" s="22">
        <v>1</v>
      </c>
      <c r="M26" s="25">
        <f t="shared" si="8"/>
        <v>1447</v>
      </c>
      <c r="N26" s="24">
        <v>-1457</v>
      </c>
      <c r="O26" s="28">
        <f t="shared" si="3"/>
        <v>2904</v>
      </c>
      <c r="P26" s="22">
        <f t="shared" si="9"/>
        <v>105</v>
      </c>
      <c r="Q26" s="29"/>
      <c r="R26" s="30"/>
    </row>
    <row r="27" spans="1:18" x14ac:dyDescent="0.25">
      <c r="A27" s="21">
        <v>45825</v>
      </c>
      <c r="B27" s="22">
        <v>1</v>
      </c>
      <c r="C27" s="25">
        <f t="shared" si="4"/>
        <v>1355</v>
      </c>
      <c r="D27" s="24">
        <v>-1941</v>
      </c>
      <c r="E27" s="25">
        <f t="shared" si="1"/>
        <v>3296</v>
      </c>
      <c r="F27" s="22">
        <f t="shared" si="5"/>
        <v>148</v>
      </c>
      <c r="G27" s="22">
        <v>1</v>
      </c>
      <c r="H27" s="25">
        <f t="shared" si="6"/>
        <v>1258</v>
      </c>
      <c r="I27" s="27">
        <v>-1502</v>
      </c>
      <c r="J27" s="28">
        <f t="shared" si="2"/>
        <v>2760</v>
      </c>
      <c r="K27" s="22">
        <f t="shared" si="7"/>
        <v>205</v>
      </c>
      <c r="L27" s="22">
        <v>1</v>
      </c>
      <c r="M27" s="25">
        <f t="shared" si="8"/>
        <v>1442</v>
      </c>
      <c r="N27" s="24">
        <v>-1462</v>
      </c>
      <c r="O27" s="28">
        <f t="shared" si="3"/>
        <v>2904</v>
      </c>
      <c r="P27" s="22">
        <f t="shared" si="9"/>
        <v>110</v>
      </c>
      <c r="Q27" s="29"/>
      <c r="R27" s="30"/>
    </row>
    <row r="28" spans="1:18" x14ac:dyDescent="0.25">
      <c r="A28" s="21">
        <v>45826</v>
      </c>
      <c r="B28" s="22">
        <v>1</v>
      </c>
      <c r="C28" s="25">
        <f t="shared" si="4"/>
        <v>1347</v>
      </c>
      <c r="D28" s="24">
        <v>-1949</v>
      </c>
      <c r="E28" s="25">
        <f t="shared" si="1"/>
        <v>3296</v>
      </c>
      <c r="F28" s="22">
        <f t="shared" si="5"/>
        <v>156</v>
      </c>
      <c r="G28" s="22">
        <v>1</v>
      </c>
      <c r="H28" s="25">
        <f t="shared" si="6"/>
        <v>1253</v>
      </c>
      <c r="I28" s="27">
        <v>-1507</v>
      </c>
      <c r="J28" s="28">
        <f t="shared" si="2"/>
        <v>2760</v>
      </c>
      <c r="K28" s="22">
        <f t="shared" si="7"/>
        <v>210</v>
      </c>
      <c r="L28" s="22">
        <v>1</v>
      </c>
      <c r="M28" s="25">
        <f t="shared" si="8"/>
        <v>1437</v>
      </c>
      <c r="N28" s="24">
        <v>-1467</v>
      </c>
      <c r="O28" s="28">
        <f t="shared" si="3"/>
        <v>2904</v>
      </c>
      <c r="P28" s="22">
        <f t="shared" si="9"/>
        <v>115</v>
      </c>
      <c r="Q28" s="29"/>
      <c r="R28" s="30"/>
    </row>
    <row r="29" spans="1:18" x14ac:dyDescent="0.25">
      <c r="A29" s="21">
        <v>45827</v>
      </c>
      <c r="B29" s="22">
        <v>1</v>
      </c>
      <c r="C29" s="25">
        <f t="shared" si="4"/>
        <v>1339</v>
      </c>
      <c r="D29" s="24">
        <v>-1957</v>
      </c>
      <c r="E29" s="25">
        <f t="shared" si="1"/>
        <v>3296</v>
      </c>
      <c r="F29" s="22">
        <f t="shared" si="5"/>
        <v>164</v>
      </c>
      <c r="G29" s="22">
        <v>1</v>
      </c>
      <c r="H29" s="25">
        <f t="shared" si="6"/>
        <v>1248</v>
      </c>
      <c r="I29" s="27">
        <v>-1512</v>
      </c>
      <c r="J29" s="28">
        <f t="shared" si="2"/>
        <v>2760</v>
      </c>
      <c r="K29" s="22">
        <f t="shared" si="7"/>
        <v>215</v>
      </c>
      <c r="L29" s="22">
        <v>1</v>
      </c>
      <c r="M29" s="25">
        <f t="shared" si="8"/>
        <v>1432</v>
      </c>
      <c r="N29" s="24">
        <v>-1472</v>
      </c>
      <c r="O29" s="28">
        <f t="shared" si="3"/>
        <v>2904</v>
      </c>
      <c r="P29" s="22">
        <f t="shared" si="9"/>
        <v>120</v>
      </c>
      <c r="Q29" s="29"/>
      <c r="R29" s="30"/>
    </row>
    <row r="30" spans="1:18" x14ac:dyDescent="0.25">
      <c r="A30" s="21">
        <v>45828</v>
      </c>
      <c r="B30" s="22">
        <v>1</v>
      </c>
      <c r="C30" s="25">
        <f t="shared" si="4"/>
        <v>1331</v>
      </c>
      <c r="D30" s="24">
        <v>-1965</v>
      </c>
      <c r="E30" s="25">
        <f t="shared" si="1"/>
        <v>3296</v>
      </c>
      <c r="F30" s="22">
        <f t="shared" si="5"/>
        <v>172</v>
      </c>
      <c r="G30" s="22">
        <v>1</v>
      </c>
      <c r="H30" s="25">
        <f t="shared" si="6"/>
        <v>1243</v>
      </c>
      <c r="I30" s="27">
        <v>-1517</v>
      </c>
      <c r="J30" s="28">
        <f t="shared" si="2"/>
        <v>2760</v>
      </c>
      <c r="K30" s="22">
        <f t="shared" si="7"/>
        <v>220</v>
      </c>
      <c r="L30" s="22">
        <v>1</v>
      </c>
      <c r="M30" s="25">
        <f t="shared" si="8"/>
        <v>1427</v>
      </c>
      <c r="N30" s="24">
        <v>-1477</v>
      </c>
      <c r="O30" s="28">
        <f t="shared" si="3"/>
        <v>2904</v>
      </c>
      <c r="P30" s="22">
        <f t="shared" si="9"/>
        <v>125</v>
      </c>
      <c r="Q30" s="29"/>
      <c r="R30" s="30"/>
    </row>
    <row r="31" spans="1:18" x14ac:dyDescent="0.25">
      <c r="A31" s="21">
        <v>45829</v>
      </c>
      <c r="B31" s="22">
        <v>1</v>
      </c>
      <c r="C31" s="25">
        <f t="shared" si="4"/>
        <v>1323</v>
      </c>
      <c r="D31" s="24">
        <v>-1973</v>
      </c>
      <c r="E31" s="25">
        <f t="shared" si="1"/>
        <v>3296</v>
      </c>
      <c r="F31" s="22">
        <f t="shared" si="5"/>
        <v>180</v>
      </c>
      <c r="G31" s="22">
        <v>1</v>
      </c>
      <c r="H31" s="25">
        <f t="shared" si="6"/>
        <v>1238</v>
      </c>
      <c r="I31" s="27">
        <v>-1522</v>
      </c>
      <c r="J31" s="28">
        <f t="shared" si="2"/>
        <v>2760</v>
      </c>
      <c r="K31" s="22">
        <f t="shared" si="7"/>
        <v>225</v>
      </c>
      <c r="L31" s="22">
        <v>1</v>
      </c>
      <c r="M31" s="25">
        <f t="shared" si="8"/>
        <v>1422</v>
      </c>
      <c r="N31" s="24">
        <v>-1482</v>
      </c>
      <c r="O31" s="28">
        <f t="shared" si="3"/>
        <v>2904</v>
      </c>
      <c r="P31" s="22">
        <f t="shared" si="9"/>
        <v>130</v>
      </c>
      <c r="Q31" s="29"/>
      <c r="R31" s="30"/>
    </row>
    <row r="32" spans="1:18" x14ac:dyDescent="0.25">
      <c r="A32" s="21">
        <v>45830</v>
      </c>
      <c r="B32" s="22">
        <v>1</v>
      </c>
      <c r="C32" s="25">
        <f t="shared" si="4"/>
        <v>1315</v>
      </c>
      <c r="D32" s="24">
        <v>-1981</v>
      </c>
      <c r="E32" s="25">
        <f t="shared" si="1"/>
        <v>3296</v>
      </c>
      <c r="F32" s="22">
        <f t="shared" si="5"/>
        <v>188</v>
      </c>
      <c r="G32" s="22">
        <v>1</v>
      </c>
      <c r="H32" s="25">
        <f t="shared" si="6"/>
        <v>1233</v>
      </c>
      <c r="I32" s="27">
        <v>-1527</v>
      </c>
      <c r="J32" s="28">
        <f t="shared" si="2"/>
        <v>2760</v>
      </c>
      <c r="K32" s="22">
        <f t="shared" si="7"/>
        <v>230</v>
      </c>
      <c r="L32" s="22">
        <v>1</v>
      </c>
      <c r="M32" s="25">
        <f t="shared" si="8"/>
        <v>1417</v>
      </c>
      <c r="N32" s="24">
        <v>-1487</v>
      </c>
      <c r="O32" s="28">
        <f t="shared" si="3"/>
        <v>2904</v>
      </c>
      <c r="P32" s="22">
        <f t="shared" si="9"/>
        <v>135</v>
      </c>
      <c r="Q32" s="29"/>
      <c r="R32" s="30"/>
    </row>
    <row r="33" spans="1:18" x14ac:dyDescent="0.25">
      <c r="A33" s="21">
        <v>45831</v>
      </c>
      <c r="B33" s="22">
        <v>1</v>
      </c>
      <c r="C33" s="25">
        <f t="shared" si="4"/>
        <v>1307</v>
      </c>
      <c r="D33" s="24">
        <v>-1989</v>
      </c>
      <c r="E33" s="25">
        <f t="shared" si="1"/>
        <v>3296</v>
      </c>
      <c r="F33" s="22">
        <f t="shared" si="5"/>
        <v>196</v>
      </c>
      <c r="G33" s="22">
        <v>1</v>
      </c>
      <c r="H33" s="25">
        <f t="shared" si="6"/>
        <v>1228</v>
      </c>
      <c r="I33" s="27">
        <v>-1532</v>
      </c>
      <c r="J33" s="28">
        <f t="shared" si="2"/>
        <v>2760</v>
      </c>
      <c r="K33" s="22">
        <f t="shared" si="7"/>
        <v>235</v>
      </c>
      <c r="L33" s="22">
        <v>1</v>
      </c>
      <c r="M33" s="25">
        <f t="shared" si="8"/>
        <v>1412</v>
      </c>
      <c r="N33" s="24">
        <v>-1492</v>
      </c>
      <c r="O33" s="28">
        <f t="shared" si="3"/>
        <v>2904</v>
      </c>
      <c r="P33" s="22">
        <f t="shared" si="9"/>
        <v>140</v>
      </c>
      <c r="Q33" s="29"/>
      <c r="R33" s="30"/>
    </row>
    <row r="34" spans="1:18" x14ac:dyDescent="0.25">
      <c r="A34" s="21">
        <v>45832</v>
      </c>
      <c r="B34" s="22">
        <v>1</v>
      </c>
      <c r="C34" s="25">
        <f t="shared" si="4"/>
        <v>1299</v>
      </c>
      <c r="D34" s="24">
        <v>-1997</v>
      </c>
      <c r="E34" s="25">
        <f t="shared" si="1"/>
        <v>3296</v>
      </c>
      <c r="F34" s="22">
        <f t="shared" si="5"/>
        <v>204</v>
      </c>
      <c r="G34" s="22">
        <v>1</v>
      </c>
      <c r="H34" s="25">
        <f t="shared" si="6"/>
        <v>1223</v>
      </c>
      <c r="I34" s="27">
        <v>-1537</v>
      </c>
      <c r="J34" s="28">
        <f t="shared" si="2"/>
        <v>2760</v>
      </c>
      <c r="K34" s="22">
        <f t="shared" si="7"/>
        <v>240</v>
      </c>
      <c r="L34" s="22">
        <v>1</v>
      </c>
      <c r="M34" s="25">
        <f t="shared" si="8"/>
        <v>1407</v>
      </c>
      <c r="N34" s="24">
        <v>-1497</v>
      </c>
      <c r="O34" s="28">
        <f t="shared" si="3"/>
        <v>2904</v>
      </c>
      <c r="P34" s="22">
        <f t="shared" si="9"/>
        <v>145</v>
      </c>
      <c r="Q34" s="29"/>
      <c r="R34" s="30"/>
    </row>
    <row r="35" spans="1:18" x14ac:dyDescent="0.25">
      <c r="A35" s="21">
        <v>45833</v>
      </c>
      <c r="B35" s="22">
        <v>1</v>
      </c>
      <c r="C35" s="25">
        <f t="shared" si="4"/>
        <v>1291</v>
      </c>
      <c r="D35" s="24">
        <v>-2005</v>
      </c>
      <c r="E35" s="25">
        <f t="shared" si="1"/>
        <v>3296</v>
      </c>
      <c r="F35" s="22">
        <f t="shared" si="5"/>
        <v>212</v>
      </c>
      <c r="G35" s="22">
        <v>1</v>
      </c>
      <c r="H35" s="25">
        <f t="shared" si="6"/>
        <v>1218</v>
      </c>
      <c r="I35" s="27">
        <v>-1542</v>
      </c>
      <c r="J35" s="28">
        <f t="shared" si="2"/>
        <v>2760</v>
      </c>
      <c r="K35" s="22">
        <f t="shared" si="7"/>
        <v>245</v>
      </c>
      <c r="L35" s="22">
        <v>1</v>
      </c>
      <c r="M35" s="25">
        <f t="shared" si="8"/>
        <v>1402</v>
      </c>
      <c r="N35" s="24">
        <v>-1502</v>
      </c>
      <c r="O35" s="28">
        <f t="shared" si="3"/>
        <v>2904</v>
      </c>
      <c r="P35" s="22">
        <f t="shared" si="9"/>
        <v>150</v>
      </c>
      <c r="Q35" s="29"/>
      <c r="R35" s="30"/>
    </row>
    <row r="36" spans="1:18" x14ac:dyDescent="0.25">
      <c r="A36" s="21">
        <v>45834</v>
      </c>
      <c r="B36" s="22">
        <v>1</v>
      </c>
      <c r="C36" s="25">
        <f t="shared" si="4"/>
        <v>1257</v>
      </c>
      <c r="D36" s="24">
        <v>-2039</v>
      </c>
      <c r="E36" s="25">
        <f t="shared" si="1"/>
        <v>3296</v>
      </c>
      <c r="F36" s="22">
        <f t="shared" si="5"/>
        <v>246</v>
      </c>
      <c r="G36" s="22">
        <v>1</v>
      </c>
      <c r="H36" s="25">
        <f t="shared" si="6"/>
        <v>1152</v>
      </c>
      <c r="I36" s="27">
        <v>-1608</v>
      </c>
      <c r="J36" s="28">
        <f t="shared" si="2"/>
        <v>2760</v>
      </c>
      <c r="K36" s="22">
        <f t="shared" si="7"/>
        <v>311</v>
      </c>
      <c r="L36" s="22">
        <v>1</v>
      </c>
      <c r="M36" s="25">
        <f t="shared" si="8"/>
        <v>1376</v>
      </c>
      <c r="N36" s="24">
        <v>-1528</v>
      </c>
      <c r="O36" s="28">
        <f t="shared" si="3"/>
        <v>2904</v>
      </c>
      <c r="P36" s="22">
        <f t="shared" si="9"/>
        <v>176</v>
      </c>
      <c r="Q36" s="29"/>
      <c r="R36" s="30"/>
    </row>
    <row r="37" spans="1:18" x14ac:dyDescent="0.25">
      <c r="A37" s="21">
        <v>45835</v>
      </c>
      <c r="B37" s="22">
        <v>1</v>
      </c>
      <c r="C37" s="25">
        <f t="shared" si="4"/>
        <v>1256</v>
      </c>
      <c r="D37" s="24">
        <v>-2040</v>
      </c>
      <c r="E37" s="25">
        <f t="shared" si="1"/>
        <v>3296</v>
      </c>
      <c r="F37" s="22">
        <f t="shared" si="5"/>
        <v>247</v>
      </c>
      <c r="G37" s="22">
        <v>1</v>
      </c>
      <c r="H37" s="25">
        <f t="shared" si="6"/>
        <v>1151</v>
      </c>
      <c r="I37" s="27">
        <v>-1609</v>
      </c>
      <c r="J37" s="28">
        <f t="shared" si="2"/>
        <v>2760</v>
      </c>
      <c r="K37" s="22">
        <f t="shared" si="7"/>
        <v>312</v>
      </c>
      <c r="L37" s="22">
        <v>1</v>
      </c>
      <c r="M37" s="25">
        <f t="shared" si="8"/>
        <v>1375</v>
      </c>
      <c r="N37" s="24">
        <v>-1529</v>
      </c>
      <c r="O37" s="28">
        <f t="shared" si="3"/>
        <v>2904</v>
      </c>
      <c r="P37" s="22">
        <f t="shared" si="9"/>
        <v>177</v>
      </c>
      <c r="Q37" s="29"/>
      <c r="R37" s="30"/>
    </row>
    <row r="38" spans="1:18" x14ac:dyDescent="0.25">
      <c r="A38" s="21">
        <v>45836</v>
      </c>
      <c r="B38" s="22">
        <v>1</v>
      </c>
      <c r="C38" s="25">
        <f t="shared" si="4"/>
        <v>1255</v>
      </c>
      <c r="D38" s="24">
        <v>-2041</v>
      </c>
      <c r="E38" s="25">
        <f t="shared" si="1"/>
        <v>3296</v>
      </c>
      <c r="F38" s="22">
        <f t="shared" si="5"/>
        <v>248</v>
      </c>
      <c r="G38" s="22">
        <v>1</v>
      </c>
      <c r="H38" s="25">
        <f t="shared" si="6"/>
        <v>1150</v>
      </c>
      <c r="I38" s="27">
        <v>-1610</v>
      </c>
      <c r="J38" s="28">
        <f t="shared" si="2"/>
        <v>2760</v>
      </c>
      <c r="K38" s="22">
        <f t="shared" si="7"/>
        <v>313</v>
      </c>
      <c r="L38" s="22">
        <v>1</v>
      </c>
      <c r="M38" s="25">
        <f t="shared" si="8"/>
        <v>1374</v>
      </c>
      <c r="N38" s="24">
        <v>-1530</v>
      </c>
      <c r="O38" s="28">
        <f t="shared" si="3"/>
        <v>2904</v>
      </c>
      <c r="P38" s="22">
        <f t="shared" si="9"/>
        <v>178</v>
      </c>
      <c r="Q38" s="29"/>
      <c r="R38" s="30"/>
    </row>
    <row r="39" spans="1:18" x14ac:dyDescent="0.25">
      <c r="A39" s="21">
        <v>45837</v>
      </c>
      <c r="B39" s="22">
        <v>1</v>
      </c>
      <c r="C39" s="25">
        <f t="shared" si="4"/>
        <v>1254</v>
      </c>
      <c r="D39" s="24">
        <v>-2042</v>
      </c>
      <c r="E39" s="25">
        <f t="shared" si="1"/>
        <v>3296</v>
      </c>
      <c r="F39" s="22">
        <f t="shared" si="5"/>
        <v>249</v>
      </c>
      <c r="G39" s="22">
        <v>1</v>
      </c>
      <c r="H39" s="25">
        <f t="shared" si="6"/>
        <v>1149</v>
      </c>
      <c r="I39" s="27">
        <v>-1611</v>
      </c>
      <c r="J39" s="28">
        <f t="shared" si="2"/>
        <v>2760</v>
      </c>
      <c r="K39" s="22">
        <f t="shared" si="7"/>
        <v>314</v>
      </c>
      <c r="L39" s="22">
        <v>1</v>
      </c>
      <c r="M39" s="25">
        <f t="shared" si="8"/>
        <v>1373</v>
      </c>
      <c r="N39" s="24">
        <v>-1531</v>
      </c>
      <c r="O39" s="28">
        <f t="shared" si="3"/>
        <v>2904</v>
      </c>
      <c r="P39" s="22">
        <f t="shared" si="9"/>
        <v>179</v>
      </c>
      <c r="Q39" s="29"/>
      <c r="R39" s="30"/>
    </row>
    <row r="40" spans="1:18" x14ac:dyDescent="0.25">
      <c r="A40" s="21">
        <v>45838</v>
      </c>
      <c r="B40" s="22">
        <v>1</v>
      </c>
      <c r="C40" s="25">
        <f t="shared" si="4"/>
        <v>1253</v>
      </c>
      <c r="D40" s="24">
        <v>-2043</v>
      </c>
      <c r="E40" s="25">
        <f t="shared" si="1"/>
        <v>3296</v>
      </c>
      <c r="F40" s="22">
        <f t="shared" si="5"/>
        <v>250</v>
      </c>
      <c r="G40" s="22">
        <v>1</v>
      </c>
      <c r="H40" s="25">
        <f t="shared" si="6"/>
        <v>1148</v>
      </c>
      <c r="I40" s="27">
        <v>-1612</v>
      </c>
      <c r="J40" s="28">
        <f t="shared" si="2"/>
        <v>2760</v>
      </c>
      <c r="K40" s="22">
        <f t="shared" si="7"/>
        <v>315</v>
      </c>
      <c r="L40" s="22">
        <v>1</v>
      </c>
      <c r="M40" s="25">
        <f t="shared" si="8"/>
        <v>1372</v>
      </c>
      <c r="N40" s="24">
        <v>-1532</v>
      </c>
      <c r="O40" s="28">
        <f t="shared" si="3"/>
        <v>2904</v>
      </c>
      <c r="P40" s="22">
        <f t="shared" si="9"/>
        <v>180</v>
      </c>
      <c r="Q40" s="29"/>
      <c r="R40" s="30"/>
    </row>
    <row r="41" spans="1:18" x14ac:dyDescent="0.25">
      <c r="A41" s="21">
        <v>45839</v>
      </c>
      <c r="B41" s="22">
        <v>1</v>
      </c>
      <c r="C41" s="25">
        <f t="shared" si="4"/>
        <v>1252</v>
      </c>
      <c r="D41" s="24">
        <v>-2044</v>
      </c>
      <c r="E41" s="25">
        <f t="shared" si="1"/>
        <v>3296</v>
      </c>
      <c r="F41" s="22">
        <f t="shared" si="5"/>
        <v>251</v>
      </c>
      <c r="G41" s="22">
        <v>1</v>
      </c>
      <c r="H41" s="25">
        <f t="shared" si="6"/>
        <v>1147</v>
      </c>
      <c r="I41" s="27">
        <v>-1613</v>
      </c>
      <c r="J41" s="28">
        <f t="shared" si="2"/>
        <v>2760</v>
      </c>
      <c r="K41" s="22">
        <f t="shared" si="7"/>
        <v>316</v>
      </c>
      <c r="L41" s="22">
        <v>1</v>
      </c>
      <c r="M41" s="25">
        <f t="shared" si="8"/>
        <v>1371</v>
      </c>
      <c r="N41" s="24">
        <v>-1533</v>
      </c>
      <c r="O41" s="28">
        <f t="shared" si="3"/>
        <v>2904</v>
      </c>
      <c r="P41" s="22">
        <f t="shared" si="9"/>
        <v>181</v>
      </c>
      <c r="Q41" s="29"/>
      <c r="R41" s="30"/>
    </row>
    <row r="42" spans="1:18" x14ac:dyDescent="0.25">
      <c r="A42" s="21">
        <v>45840</v>
      </c>
      <c r="B42" s="22">
        <v>1</v>
      </c>
      <c r="C42" s="25">
        <f t="shared" si="4"/>
        <v>1251</v>
      </c>
      <c r="D42" s="24">
        <v>-2045</v>
      </c>
      <c r="E42" s="25">
        <f t="shared" si="1"/>
        <v>3296</v>
      </c>
      <c r="F42" s="22">
        <f t="shared" si="5"/>
        <v>252</v>
      </c>
      <c r="G42" s="22">
        <v>1</v>
      </c>
      <c r="H42" s="25">
        <f t="shared" si="6"/>
        <v>1146</v>
      </c>
      <c r="I42" s="27">
        <v>-1614</v>
      </c>
      <c r="J42" s="28">
        <f t="shared" si="2"/>
        <v>2760</v>
      </c>
      <c r="K42" s="22">
        <f t="shared" si="7"/>
        <v>317</v>
      </c>
      <c r="L42" s="22">
        <v>1</v>
      </c>
      <c r="M42" s="25">
        <f t="shared" si="8"/>
        <v>1370</v>
      </c>
      <c r="N42" s="24">
        <v>-1534</v>
      </c>
      <c r="O42" s="28">
        <f t="shared" si="3"/>
        <v>2904</v>
      </c>
      <c r="P42" s="22">
        <f t="shared" si="9"/>
        <v>182</v>
      </c>
      <c r="Q42" s="29"/>
      <c r="R42" s="30"/>
    </row>
    <row r="43" spans="1:18" x14ac:dyDescent="0.25">
      <c r="A43" s="21">
        <v>45841</v>
      </c>
      <c r="B43" s="22">
        <v>1</v>
      </c>
      <c r="C43" s="25">
        <f t="shared" si="4"/>
        <v>1250</v>
      </c>
      <c r="D43" s="24">
        <v>-2046</v>
      </c>
      <c r="E43" s="25">
        <f t="shared" si="1"/>
        <v>3296</v>
      </c>
      <c r="F43" s="22">
        <f t="shared" si="5"/>
        <v>253</v>
      </c>
      <c r="G43" s="22">
        <v>1</v>
      </c>
      <c r="H43" s="25">
        <f t="shared" si="6"/>
        <v>1145</v>
      </c>
      <c r="I43" s="27">
        <v>-1615</v>
      </c>
      <c r="J43" s="28">
        <f t="shared" si="2"/>
        <v>2760</v>
      </c>
      <c r="K43" s="22">
        <f t="shared" si="7"/>
        <v>318</v>
      </c>
      <c r="L43" s="22">
        <v>1</v>
      </c>
      <c r="M43" s="25">
        <f t="shared" si="8"/>
        <v>1369</v>
      </c>
      <c r="N43" s="24">
        <v>-1535</v>
      </c>
      <c r="O43" s="28">
        <f t="shared" si="3"/>
        <v>2904</v>
      </c>
      <c r="P43" s="22">
        <f t="shared" si="9"/>
        <v>183</v>
      </c>
      <c r="Q43" s="29"/>
      <c r="R43" s="30"/>
    </row>
    <row r="44" spans="1:18" x14ac:dyDescent="0.25">
      <c r="A44" s="21">
        <v>45842</v>
      </c>
      <c r="B44" s="22">
        <v>1</v>
      </c>
      <c r="C44" s="25">
        <f t="shared" si="4"/>
        <v>1249</v>
      </c>
      <c r="D44" s="24">
        <v>-2047</v>
      </c>
      <c r="E44" s="25">
        <f t="shared" si="1"/>
        <v>3296</v>
      </c>
      <c r="F44" s="22">
        <f t="shared" si="5"/>
        <v>254</v>
      </c>
      <c r="G44" s="22">
        <v>1</v>
      </c>
      <c r="H44" s="25">
        <f t="shared" si="6"/>
        <v>1144</v>
      </c>
      <c r="I44" s="27">
        <v>-1616</v>
      </c>
      <c r="J44" s="28">
        <f t="shared" si="2"/>
        <v>2760</v>
      </c>
      <c r="K44" s="22">
        <f t="shared" si="7"/>
        <v>319</v>
      </c>
      <c r="L44" s="22">
        <v>1</v>
      </c>
      <c r="M44" s="25">
        <f t="shared" si="8"/>
        <v>1368</v>
      </c>
      <c r="N44" s="24">
        <v>-1536</v>
      </c>
      <c r="O44" s="28">
        <f t="shared" si="3"/>
        <v>2904</v>
      </c>
      <c r="P44" s="22">
        <f t="shared" si="9"/>
        <v>184</v>
      </c>
      <c r="Q44" s="29"/>
      <c r="R44" s="30"/>
    </row>
    <row r="45" spans="1:18" x14ac:dyDescent="0.25">
      <c r="A45" s="21">
        <v>45843</v>
      </c>
      <c r="B45" s="22">
        <v>1</v>
      </c>
      <c r="C45" s="25">
        <f t="shared" si="4"/>
        <v>1248</v>
      </c>
      <c r="D45" s="24">
        <v>-2048</v>
      </c>
      <c r="E45" s="25">
        <f t="shared" si="1"/>
        <v>3296</v>
      </c>
      <c r="F45" s="22">
        <f t="shared" si="5"/>
        <v>255</v>
      </c>
      <c r="G45" s="22">
        <v>1</v>
      </c>
      <c r="H45" s="25">
        <f t="shared" si="6"/>
        <v>1143</v>
      </c>
      <c r="I45" s="27">
        <v>-1617</v>
      </c>
      <c r="J45" s="28">
        <f t="shared" si="2"/>
        <v>2760</v>
      </c>
      <c r="K45" s="22">
        <f t="shared" si="7"/>
        <v>320</v>
      </c>
      <c r="L45" s="22">
        <v>1</v>
      </c>
      <c r="M45" s="25">
        <f t="shared" si="8"/>
        <v>1367</v>
      </c>
      <c r="N45" s="24">
        <v>-1537</v>
      </c>
      <c r="O45" s="28">
        <f t="shared" si="3"/>
        <v>2904</v>
      </c>
      <c r="P45" s="22">
        <f t="shared" si="9"/>
        <v>185</v>
      </c>
      <c r="Q45" s="29"/>
      <c r="R45" s="30"/>
    </row>
    <row r="46" spans="1:18" x14ac:dyDescent="0.25">
      <c r="A46" s="21">
        <v>45844</v>
      </c>
      <c r="B46" s="22">
        <v>1</v>
      </c>
      <c r="C46" s="25">
        <f t="shared" si="4"/>
        <v>1247</v>
      </c>
      <c r="D46" s="24">
        <v>-2049</v>
      </c>
      <c r="E46" s="25">
        <f t="shared" si="1"/>
        <v>3296</v>
      </c>
      <c r="F46" s="22">
        <f t="shared" si="5"/>
        <v>256</v>
      </c>
      <c r="G46" s="22">
        <v>1</v>
      </c>
      <c r="H46" s="25">
        <f t="shared" si="6"/>
        <v>1142</v>
      </c>
      <c r="I46" s="27">
        <v>-1618</v>
      </c>
      <c r="J46" s="28">
        <f t="shared" si="2"/>
        <v>2760</v>
      </c>
      <c r="K46" s="22">
        <f t="shared" si="7"/>
        <v>321</v>
      </c>
      <c r="L46" s="22">
        <v>1</v>
      </c>
      <c r="M46" s="25">
        <f t="shared" si="8"/>
        <v>1366</v>
      </c>
      <c r="N46" s="24">
        <v>-1538</v>
      </c>
      <c r="O46" s="28">
        <f t="shared" si="3"/>
        <v>2904</v>
      </c>
      <c r="P46" s="22">
        <f t="shared" si="9"/>
        <v>186</v>
      </c>
      <c r="Q46" s="29"/>
      <c r="R46" s="30"/>
    </row>
    <row r="47" spans="1:18" x14ac:dyDescent="0.25">
      <c r="A47" s="21">
        <v>45845</v>
      </c>
      <c r="B47" s="22">
        <v>1</v>
      </c>
      <c r="C47" s="25">
        <f t="shared" si="4"/>
        <v>1246</v>
      </c>
      <c r="D47" s="24">
        <v>-2050</v>
      </c>
      <c r="E47" s="25">
        <f t="shared" si="1"/>
        <v>3296</v>
      </c>
      <c r="F47" s="22">
        <f t="shared" si="5"/>
        <v>257</v>
      </c>
      <c r="G47" s="22">
        <v>1</v>
      </c>
      <c r="H47" s="25">
        <f t="shared" si="6"/>
        <v>1141</v>
      </c>
      <c r="I47" s="27">
        <v>-1619</v>
      </c>
      <c r="J47" s="28">
        <f t="shared" si="2"/>
        <v>2760</v>
      </c>
      <c r="K47" s="22">
        <f t="shared" si="7"/>
        <v>322</v>
      </c>
      <c r="L47" s="22">
        <v>1</v>
      </c>
      <c r="M47" s="25">
        <f t="shared" si="8"/>
        <v>1365</v>
      </c>
      <c r="N47" s="24">
        <v>-1539</v>
      </c>
      <c r="O47" s="28">
        <f t="shared" si="3"/>
        <v>2904</v>
      </c>
      <c r="P47" s="22">
        <f t="shared" si="9"/>
        <v>187</v>
      </c>
      <c r="Q47" s="29"/>
      <c r="R47" s="30"/>
    </row>
    <row r="48" spans="1:18" x14ac:dyDescent="0.25">
      <c r="A48" s="21">
        <v>45846</v>
      </c>
      <c r="B48" s="22">
        <v>1</v>
      </c>
      <c r="C48" s="25">
        <f t="shared" si="4"/>
        <v>1245</v>
      </c>
      <c r="D48" s="24">
        <v>-2051</v>
      </c>
      <c r="E48" s="25">
        <f t="shared" si="1"/>
        <v>3296</v>
      </c>
      <c r="F48" s="22">
        <f t="shared" si="5"/>
        <v>258</v>
      </c>
      <c r="G48" s="22">
        <v>1</v>
      </c>
      <c r="H48" s="25">
        <f t="shared" si="6"/>
        <v>1140</v>
      </c>
      <c r="I48" s="27">
        <v>-1620</v>
      </c>
      <c r="J48" s="28">
        <f t="shared" si="2"/>
        <v>2760</v>
      </c>
      <c r="K48" s="22">
        <f t="shared" si="7"/>
        <v>323</v>
      </c>
      <c r="L48" s="22">
        <v>1</v>
      </c>
      <c r="M48" s="25">
        <f t="shared" si="8"/>
        <v>1364</v>
      </c>
      <c r="N48" s="24">
        <v>-1540</v>
      </c>
      <c r="O48" s="28">
        <f t="shared" si="3"/>
        <v>2904</v>
      </c>
      <c r="P48" s="22">
        <f t="shared" si="9"/>
        <v>188</v>
      </c>
      <c r="Q48" s="29"/>
      <c r="R48" s="30"/>
    </row>
    <row r="49" spans="1:18" x14ac:dyDescent="0.25">
      <c r="A49" s="21">
        <v>45847</v>
      </c>
      <c r="B49" s="22">
        <v>1</v>
      </c>
      <c r="C49" s="25">
        <f t="shared" si="4"/>
        <v>1244</v>
      </c>
      <c r="D49" s="24">
        <v>-2052</v>
      </c>
      <c r="E49" s="25">
        <f t="shared" si="1"/>
        <v>3296</v>
      </c>
      <c r="F49" s="22">
        <f t="shared" si="5"/>
        <v>259</v>
      </c>
      <c r="G49" s="22">
        <v>1</v>
      </c>
      <c r="H49" s="25">
        <f t="shared" si="6"/>
        <v>1138</v>
      </c>
      <c r="I49" s="27">
        <v>-1622</v>
      </c>
      <c r="J49" s="28">
        <f t="shared" si="2"/>
        <v>2760</v>
      </c>
      <c r="K49" s="22">
        <f t="shared" si="7"/>
        <v>325</v>
      </c>
      <c r="L49" s="22">
        <v>1</v>
      </c>
      <c r="M49" s="25">
        <f t="shared" si="8"/>
        <v>1363</v>
      </c>
      <c r="N49" s="24">
        <v>-1541</v>
      </c>
      <c r="O49" s="28">
        <f t="shared" si="3"/>
        <v>2904</v>
      </c>
      <c r="P49" s="22">
        <f t="shared" si="9"/>
        <v>189</v>
      </c>
      <c r="Q49" s="29"/>
      <c r="R49" s="30"/>
    </row>
    <row r="50" spans="1:18" x14ac:dyDescent="0.25">
      <c r="A50" s="21">
        <v>45848</v>
      </c>
      <c r="B50" s="22">
        <v>1</v>
      </c>
      <c r="C50" s="25">
        <f t="shared" si="4"/>
        <v>1243</v>
      </c>
      <c r="D50" s="24">
        <v>-2053</v>
      </c>
      <c r="E50" s="25">
        <f t="shared" si="1"/>
        <v>3296</v>
      </c>
      <c r="F50" s="22">
        <f t="shared" si="5"/>
        <v>260</v>
      </c>
      <c r="G50" s="22">
        <v>1</v>
      </c>
      <c r="H50" s="25">
        <f t="shared" si="6"/>
        <v>1136</v>
      </c>
      <c r="I50" s="27">
        <v>-1624</v>
      </c>
      <c r="J50" s="28">
        <f t="shared" si="2"/>
        <v>2760</v>
      </c>
      <c r="K50" s="22">
        <f t="shared" si="7"/>
        <v>327</v>
      </c>
      <c r="L50" s="22">
        <v>1</v>
      </c>
      <c r="M50" s="25">
        <f t="shared" si="8"/>
        <v>1362</v>
      </c>
      <c r="N50" s="24">
        <v>-1542</v>
      </c>
      <c r="O50" s="28">
        <f t="shared" si="3"/>
        <v>2904</v>
      </c>
      <c r="P50" s="22">
        <f t="shared" si="9"/>
        <v>190</v>
      </c>
      <c r="Q50" s="29"/>
      <c r="R50" s="30"/>
    </row>
    <row r="51" spans="1:18" x14ac:dyDescent="0.25">
      <c r="A51" s="21">
        <v>45849</v>
      </c>
      <c r="B51" s="22">
        <v>1</v>
      </c>
      <c r="C51" s="25">
        <f t="shared" si="4"/>
        <v>1242</v>
      </c>
      <c r="D51" s="24">
        <v>-2054</v>
      </c>
      <c r="E51" s="25">
        <f t="shared" si="1"/>
        <v>3296</v>
      </c>
      <c r="F51" s="22">
        <f t="shared" si="5"/>
        <v>261</v>
      </c>
      <c r="G51" s="22">
        <v>1</v>
      </c>
      <c r="H51" s="25">
        <f t="shared" si="6"/>
        <v>1134</v>
      </c>
      <c r="I51" s="27">
        <v>-1626</v>
      </c>
      <c r="J51" s="28">
        <f t="shared" si="2"/>
        <v>2760</v>
      </c>
      <c r="K51" s="22">
        <f t="shared" si="7"/>
        <v>329</v>
      </c>
      <c r="L51" s="22">
        <v>1</v>
      </c>
      <c r="M51" s="25">
        <f t="shared" si="8"/>
        <v>1361</v>
      </c>
      <c r="N51" s="24">
        <v>-1543</v>
      </c>
      <c r="O51" s="28">
        <f t="shared" si="3"/>
        <v>2904</v>
      </c>
      <c r="P51" s="22">
        <f t="shared" si="9"/>
        <v>191</v>
      </c>
      <c r="Q51" s="29"/>
      <c r="R51" s="30"/>
    </row>
    <row r="52" spans="1:18" x14ac:dyDescent="0.25">
      <c r="A52" s="21">
        <v>45850</v>
      </c>
      <c r="B52" s="22">
        <v>1</v>
      </c>
      <c r="C52" s="25">
        <f t="shared" si="4"/>
        <v>1241</v>
      </c>
      <c r="D52" s="24">
        <v>-2055</v>
      </c>
      <c r="E52" s="25">
        <f t="shared" si="1"/>
        <v>3296</v>
      </c>
      <c r="F52" s="22">
        <f t="shared" si="5"/>
        <v>262</v>
      </c>
      <c r="G52" s="22">
        <v>1</v>
      </c>
      <c r="H52" s="25">
        <f t="shared" si="6"/>
        <v>1132</v>
      </c>
      <c r="I52" s="27">
        <v>-1628</v>
      </c>
      <c r="J52" s="28">
        <f t="shared" si="2"/>
        <v>2760</v>
      </c>
      <c r="K52" s="22">
        <f t="shared" si="7"/>
        <v>331</v>
      </c>
      <c r="L52" s="22">
        <v>1</v>
      </c>
      <c r="M52" s="25">
        <f t="shared" si="8"/>
        <v>1344</v>
      </c>
      <c r="N52" s="24">
        <v>-1560</v>
      </c>
      <c r="O52" s="28">
        <f t="shared" si="3"/>
        <v>2904</v>
      </c>
      <c r="P52" s="22">
        <f t="shared" si="9"/>
        <v>208</v>
      </c>
      <c r="Q52" s="29"/>
      <c r="R52" s="30"/>
    </row>
    <row r="53" spans="1:18" x14ac:dyDescent="0.25">
      <c r="A53" s="21">
        <v>45851</v>
      </c>
      <c r="B53" s="22">
        <v>1</v>
      </c>
      <c r="C53" s="25">
        <f t="shared" si="4"/>
        <v>1240</v>
      </c>
      <c r="D53" s="24">
        <v>-2056</v>
      </c>
      <c r="E53" s="25">
        <f t="shared" si="1"/>
        <v>3296</v>
      </c>
      <c r="F53" s="22">
        <f t="shared" si="5"/>
        <v>263</v>
      </c>
      <c r="G53" s="22">
        <v>1</v>
      </c>
      <c r="H53" s="25">
        <f t="shared" si="6"/>
        <v>1130</v>
      </c>
      <c r="I53" s="27">
        <v>-1630</v>
      </c>
      <c r="J53" s="28">
        <f t="shared" si="2"/>
        <v>2760</v>
      </c>
      <c r="K53" s="22">
        <f t="shared" si="7"/>
        <v>333</v>
      </c>
      <c r="L53" s="22">
        <v>1</v>
      </c>
      <c r="M53" s="25">
        <f t="shared" si="8"/>
        <v>1334</v>
      </c>
      <c r="N53" s="24">
        <v>-1570</v>
      </c>
      <c r="O53" s="28">
        <f t="shared" si="3"/>
        <v>2904</v>
      </c>
      <c r="P53" s="22">
        <f t="shared" si="9"/>
        <v>218</v>
      </c>
      <c r="Q53" s="29"/>
      <c r="R53" s="30"/>
    </row>
    <row r="54" spans="1:18" x14ac:dyDescent="0.25">
      <c r="A54" s="21">
        <v>45852</v>
      </c>
      <c r="B54" s="22">
        <v>1</v>
      </c>
      <c r="C54" s="25">
        <f t="shared" si="4"/>
        <v>1234</v>
      </c>
      <c r="D54" s="24">
        <v>-2062</v>
      </c>
      <c r="E54" s="25">
        <f t="shared" si="1"/>
        <v>3296</v>
      </c>
      <c r="F54" s="22">
        <f t="shared" si="5"/>
        <v>269</v>
      </c>
      <c r="G54" s="22">
        <v>1</v>
      </c>
      <c r="H54" s="25">
        <f t="shared" si="6"/>
        <v>1128</v>
      </c>
      <c r="I54" s="27">
        <v>-1632</v>
      </c>
      <c r="J54" s="28">
        <f t="shared" si="2"/>
        <v>2760</v>
      </c>
      <c r="K54" s="22">
        <f t="shared" si="7"/>
        <v>335</v>
      </c>
      <c r="L54" s="22">
        <v>1</v>
      </c>
      <c r="M54" s="25">
        <f t="shared" si="8"/>
        <v>1324</v>
      </c>
      <c r="N54" s="24">
        <v>-1580</v>
      </c>
      <c r="O54" s="28">
        <f t="shared" si="3"/>
        <v>2904</v>
      </c>
      <c r="P54" s="22">
        <f t="shared" si="9"/>
        <v>228</v>
      </c>
      <c r="Q54" s="29"/>
      <c r="R54" s="30"/>
    </row>
    <row r="55" spans="1:18" x14ac:dyDescent="0.25">
      <c r="A55" s="21">
        <v>45853</v>
      </c>
      <c r="B55" s="22">
        <v>1</v>
      </c>
      <c r="C55" s="25">
        <f t="shared" si="4"/>
        <v>1231</v>
      </c>
      <c r="D55" s="24">
        <v>-2065</v>
      </c>
      <c r="E55" s="25">
        <f t="shared" si="1"/>
        <v>3296</v>
      </c>
      <c r="F55" s="22">
        <f t="shared" si="5"/>
        <v>272</v>
      </c>
      <c r="G55" s="22">
        <v>1</v>
      </c>
      <c r="H55" s="25">
        <f t="shared" si="6"/>
        <v>1126</v>
      </c>
      <c r="I55" s="27">
        <v>-1634</v>
      </c>
      <c r="J55" s="28">
        <f t="shared" si="2"/>
        <v>2760</v>
      </c>
      <c r="K55" s="22">
        <f t="shared" si="7"/>
        <v>337</v>
      </c>
      <c r="L55" s="22">
        <v>1</v>
      </c>
      <c r="M55" s="25">
        <f t="shared" si="8"/>
        <v>1314</v>
      </c>
      <c r="N55" s="24">
        <v>-1590</v>
      </c>
      <c r="O55" s="28">
        <f t="shared" si="3"/>
        <v>2904</v>
      </c>
      <c r="P55" s="22">
        <f t="shared" si="9"/>
        <v>238</v>
      </c>
      <c r="Q55" s="29"/>
      <c r="R55" s="30"/>
    </row>
    <row r="56" spans="1:18" x14ac:dyDescent="0.25">
      <c r="A56" s="21">
        <v>45854</v>
      </c>
      <c r="B56" s="22">
        <v>1</v>
      </c>
      <c r="C56" s="25">
        <f t="shared" si="4"/>
        <v>1228</v>
      </c>
      <c r="D56" s="24">
        <v>-2068</v>
      </c>
      <c r="E56" s="25">
        <f t="shared" si="1"/>
        <v>3296</v>
      </c>
      <c r="F56" s="22">
        <f t="shared" si="5"/>
        <v>275</v>
      </c>
      <c r="G56" s="22">
        <v>1</v>
      </c>
      <c r="H56" s="25">
        <f t="shared" si="6"/>
        <v>1124</v>
      </c>
      <c r="I56" s="27">
        <v>-1636</v>
      </c>
      <c r="J56" s="28">
        <f t="shared" si="2"/>
        <v>2760</v>
      </c>
      <c r="K56" s="22">
        <f t="shared" si="7"/>
        <v>339</v>
      </c>
      <c r="L56" s="22">
        <v>1</v>
      </c>
      <c r="M56" s="25">
        <f t="shared" si="8"/>
        <v>1304</v>
      </c>
      <c r="N56" s="24">
        <v>-1600</v>
      </c>
      <c r="O56" s="28">
        <f t="shared" si="3"/>
        <v>2904</v>
      </c>
      <c r="P56" s="22">
        <f t="shared" si="9"/>
        <v>248</v>
      </c>
      <c r="Q56" s="29"/>
      <c r="R56" s="30"/>
    </row>
    <row r="57" spans="1:18" x14ac:dyDescent="0.25">
      <c r="A57" s="21">
        <v>45855</v>
      </c>
      <c r="B57" s="22">
        <v>1</v>
      </c>
      <c r="C57" s="25">
        <f t="shared" si="4"/>
        <v>1225</v>
      </c>
      <c r="D57" s="24">
        <v>-2071</v>
      </c>
      <c r="E57" s="25">
        <f t="shared" si="1"/>
        <v>3296</v>
      </c>
      <c r="F57" s="22">
        <f t="shared" si="5"/>
        <v>278</v>
      </c>
      <c r="G57" s="22">
        <v>1</v>
      </c>
      <c r="H57" s="25">
        <f t="shared" si="6"/>
        <v>1122</v>
      </c>
      <c r="I57" s="27">
        <v>-1638</v>
      </c>
      <c r="J57" s="28">
        <f t="shared" si="2"/>
        <v>2760</v>
      </c>
      <c r="K57" s="22">
        <f t="shared" si="7"/>
        <v>341</v>
      </c>
      <c r="L57" s="22">
        <v>1</v>
      </c>
      <c r="M57" s="25">
        <f t="shared" si="8"/>
        <v>1294</v>
      </c>
      <c r="N57" s="24">
        <v>-1610</v>
      </c>
      <c r="O57" s="28">
        <f t="shared" si="3"/>
        <v>2904</v>
      </c>
      <c r="P57" s="22">
        <f t="shared" si="9"/>
        <v>258</v>
      </c>
      <c r="Q57" s="29"/>
      <c r="R57" s="30"/>
    </row>
    <row r="58" spans="1:18" x14ac:dyDescent="0.25">
      <c r="A58" s="21">
        <v>45856</v>
      </c>
      <c r="B58" s="22">
        <v>1</v>
      </c>
      <c r="C58" s="25">
        <f t="shared" si="4"/>
        <v>1222</v>
      </c>
      <c r="D58" s="24">
        <v>-2074</v>
      </c>
      <c r="E58" s="25">
        <f t="shared" si="1"/>
        <v>3296</v>
      </c>
      <c r="F58" s="22">
        <f t="shared" si="5"/>
        <v>281</v>
      </c>
      <c r="G58" s="22">
        <v>1</v>
      </c>
      <c r="H58" s="25">
        <f t="shared" si="6"/>
        <v>1120</v>
      </c>
      <c r="I58" s="27">
        <v>-1640</v>
      </c>
      <c r="J58" s="28">
        <f t="shared" si="2"/>
        <v>2760</v>
      </c>
      <c r="K58" s="22">
        <f t="shared" si="7"/>
        <v>343</v>
      </c>
      <c r="L58" s="22">
        <v>1</v>
      </c>
      <c r="M58" s="25">
        <f t="shared" si="8"/>
        <v>1284</v>
      </c>
      <c r="N58" s="24">
        <v>-1620</v>
      </c>
      <c r="O58" s="28">
        <f t="shared" si="3"/>
        <v>2904</v>
      </c>
      <c r="P58" s="22">
        <f t="shared" si="9"/>
        <v>268</v>
      </c>
      <c r="Q58" s="29"/>
      <c r="R58" s="30"/>
    </row>
    <row r="59" spans="1:18" x14ac:dyDescent="0.25">
      <c r="A59" s="21">
        <v>45857</v>
      </c>
      <c r="B59" s="22">
        <v>1</v>
      </c>
      <c r="C59" s="25">
        <f t="shared" si="4"/>
        <v>1219</v>
      </c>
      <c r="D59" s="24">
        <v>-2077</v>
      </c>
      <c r="E59" s="25">
        <f t="shared" si="1"/>
        <v>3296</v>
      </c>
      <c r="F59" s="22">
        <f t="shared" si="5"/>
        <v>284</v>
      </c>
      <c r="G59" s="22">
        <v>1</v>
      </c>
      <c r="H59" s="25">
        <f t="shared" si="6"/>
        <v>1118</v>
      </c>
      <c r="I59" s="27">
        <v>-1642</v>
      </c>
      <c r="J59" s="28">
        <f t="shared" si="2"/>
        <v>2760</v>
      </c>
      <c r="K59" s="22">
        <f t="shared" si="7"/>
        <v>345</v>
      </c>
      <c r="L59" s="22">
        <v>1</v>
      </c>
      <c r="M59" s="25">
        <f t="shared" si="8"/>
        <v>1274</v>
      </c>
      <c r="N59" s="24">
        <v>-1630</v>
      </c>
      <c r="O59" s="28">
        <f t="shared" si="3"/>
        <v>2904</v>
      </c>
      <c r="P59" s="22">
        <f t="shared" si="9"/>
        <v>278</v>
      </c>
      <c r="Q59" s="29"/>
      <c r="R59" s="30"/>
    </row>
    <row r="60" spans="1:18" x14ac:dyDescent="0.25">
      <c r="A60" s="21">
        <v>45858</v>
      </c>
      <c r="B60" s="22">
        <v>1</v>
      </c>
      <c r="C60" s="25">
        <f t="shared" si="4"/>
        <v>1216</v>
      </c>
      <c r="D60" s="24">
        <v>-2080</v>
      </c>
      <c r="E60" s="25">
        <f t="shared" si="1"/>
        <v>3296</v>
      </c>
      <c r="F60" s="22">
        <f t="shared" si="5"/>
        <v>287</v>
      </c>
      <c r="G60" s="22">
        <v>1</v>
      </c>
      <c r="H60" s="25">
        <f t="shared" si="6"/>
        <v>1116</v>
      </c>
      <c r="I60" s="27">
        <v>-1644</v>
      </c>
      <c r="J60" s="28">
        <f t="shared" si="2"/>
        <v>2760</v>
      </c>
      <c r="K60" s="22">
        <f t="shared" si="7"/>
        <v>347</v>
      </c>
      <c r="L60" s="22">
        <v>1</v>
      </c>
      <c r="M60" s="25">
        <f t="shared" si="8"/>
        <v>1264</v>
      </c>
      <c r="N60" s="24">
        <v>-1640</v>
      </c>
      <c r="O60" s="28">
        <f t="shared" si="3"/>
        <v>2904</v>
      </c>
      <c r="P60" s="22">
        <f t="shared" si="9"/>
        <v>288</v>
      </c>
      <c r="Q60" s="29"/>
      <c r="R60" s="30"/>
    </row>
    <row r="61" spans="1:18" x14ac:dyDescent="0.25">
      <c r="A61" s="21">
        <v>45859</v>
      </c>
      <c r="B61" s="22">
        <v>1</v>
      </c>
      <c r="C61" s="25">
        <f t="shared" si="4"/>
        <v>1213</v>
      </c>
      <c r="D61" s="24">
        <v>-2083</v>
      </c>
      <c r="E61" s="25">
        <f t="shared" si="1"/>
        <v>3296</v>
      </c>
      <c r="F61" s="22">
        <f t="shared" si="5"/>
        <v>290</v>
      </c>
      <c r="G61" s="22">
        <v>1</v>
      </c>
      <c r="H61" s="25">
        <f t="shared" si="6"/>
        <v>1114</v>
      </c>
      <c r="I61" s="27">
        <v>-1646</v>
      </c>
      <c r="J61" s="28">
        <f t="shared" si="2"/>
        <v>2760</v>
      </c>
      <c r="K61" s="22">
        <f t="shared" si="7"/>
        <v>349</v>
      </c>
      <c r="L61" s="22">
        <v>1</v>
      </c>
      <c r="M61" s="25">
        <f t="shared" si="8"/>
        <v>1254</v>
      </c>
      <c r="N61" s="24">
        <v>-1650</v>
      </c>
      <c r="O61" s="28">
        <f t="shared" si="3"/>
        <v>2904</v>
      </c>
      <c r="P61" s="22">
        <f t="shared" si="9"/>
        <v>298</v>
      </c>
      <c r="Q61" s="29"/>
      <c r="R61" s="30"/>
    </row>
    <row r="62" spans="1:18" x14ac:dyDescent="0.25">
      <c r="A62" s="21">
        <v>45860</v>
      </c>
      <c r="B62" s="22">
        <v>1</v>
      </c>
      <c r="C62" s="25">
        <f t="shared" si="4"/>
        <v>1210</v>
      </c>
      <c r="D62" s="24">
        <v>-2086</v>
      </c>
      <c r="E62" s="25">
        <f t="shared" si="1"/>
        <v>3296</v>
      </c>
      <c r="F62" s="22">
        <f t="shared" si="5"/>
        <v>293</v>
      </c>
      <c r="G62" s="22">
        <v>1</v>
      </c>
      <c r="H62" s="25">
        <f t="shared" si="6"/>
        <v>1112</v>
      </c>
      <c r="I62" s="27">
        <v>-1648</v>
      </c>
      <c r="J62" s="28">
        <f t="shared" si="2"/>
        <v>2760</v>
      </c>
      <c r="K62" s="22">
        <f t="shared" si="7"/>
        <v>351</v>
      </c>
      <c r="L62" s="22">
        <v>1</v>
      </c>
      <c r="M62" s="25">
        <f t="shared" si="8"/>
        <v>1244</v>
      </c>
      <c r="N62" s="24">
        <v>-1660</v>
      </c>
      <c r="O62" s="28">
        <f t="shared" si="3"/>
        <v>2904</v>
      </c>
      <c r="P62" s="22">
        <f t="shared" si="9"/>
        <v>308</v>
      </c>
      <c r="Q62" s="29"/>
      <c r="R62" s="30"/>
    </row>
    <row r="63" spans="1:18" x14ac:dyDescent="0.25">
      <c r="A63" s="21">
        <v>45861</v>
      </c>
      <c r="B63" s="22">
        <v>1</v>
      </c>
      <c r="C63" s="25">
        <f t="shared" si="4"/>
        <v>1207</v>
      </c>
      <c r="D63" s="24">
        <v>-2089</v>
      </c>
      <c r="E63" s="25">
        <f t="shared" si="1"/>
        <v>3296</v>
      </c>
      <c r="F63" s="22">
        <f t="shared" si="5"/>
        <v>296</v>
      </c>
      <c r="G63" s="22">
        <v>1</v>
      </c>
      <c r="H63" s="25">
        <f t="shared" si="6"/>
        <v>1111</v>
      </c>
      <c r="I63" s="27">
        <v>-1649</v>
      </c>
      <c r="J63" s="28">
        <f t="shared" si="2"/>
        <v>2760</v>
      </c>
      <c r="K63" s="22">
        <f t="shared" si="7"/>
        <v>352</v>
      </c>
      <c r="L63" s="22">
        <v>1</v>
      </c>
      <c r="M63" s="25">
        <f t="shared" si="8"/>
        <v>1234</v>
      </c>
      <c r="N63" s="24">
        <v>-1670</v>
      </c>
      <c r="O63" s="28">
        <f t="shared" si="3"/>
        <v>2904</v>
      </c>
      <c r="P63" s="22">
        <f t="shared" si="9"/>
        <v>318</v>
      </c>
      <c r="Q63" s="29"/>
      <c r="R63" s="30"/>
    </row>
    <row r="64" spans="1:18" x14ac:dyDescent="0.25">
      <c r="A64" s="21">
        <v>45862</v>
      </c>
      <c r="B64" s="22">
        <v>1</v>
      </c>
      <c r="C64" s="25">
        <f t="shared" si="4"/>
        <v>1204</v>
      </c>
      <c r="D64" s="24">
        <v>-2092</v>
      </c>
      <c r="E64" s="25">
        <f t="shared" si="1"/>
        <v>3296</v>
      </c>
      <c r="F64" s="22">
        <f t="shared" si="5"/>
        <v>299</v>
      </c>
      <c r="G64" s="22">
        <v>1</v>
      </c>
      <c r="H64" s="25">
        <f t="shared" si="6"/>
        <v>1107</v>
      </c>
      <c r="I64" s="27">
        <v>-1653</v>
      </c>
      <c r="J64" s="28">
        <f t="shared" si="2"/>
        <v>2760</v>
      </c>
      <c r="K64" s="22">
        <f t="shared" si="7"/>
        <v>356</v>
      </c>
      <c r="L64" s="22">
        <v>1</v>
      </c>
      <c r="M64" s="25">
        <f t="shared" si="8"/>
        <v>1224</v>
      </c>
      <c r="N64" s="24">
        <v>-1680</v>
      </c>
      <c r="O64" s="28">
        <f t="shared" si="3"/>
        <v>2904</v>
      </c>
      <c r="P64" s="22">
        <f t="shared" si="9"/>
        <v>328</v>
      </c>
      <c r="Q64" s="29"/>
      <c r="R64" s="30"/>
    </row>
    <row r="65" spans="1:18" x14ac:dyDescent="0.25">
      <c r="A65" s="21">
        <v>45863</v>
      </c>
      <c r="B65" s="22">
        <v>1</v>
      </c>
      <c r="C65" s="25">
        <f t="shared" si="4"/>
        <v>1201</v>
      </c>
      <c r="D65" s="24">
        <v>-2095</v>
      </c>
      <c r="E65" s="25">
        <f t="shared" si="1"/>
        <v>3296</v>
      </c>
      <c r="F65" s="22">
        <f t="shared" si="5"/>
        <v>302</v>
      </c>
      <c r="G65" s="22">
        <v>1</v>
      </c>
      <c r="H65" s="25">
        <f t="shared" si="6"/>
        <v>1103</v>
      </c>
      <c r="I65" s="27">
        <v>-1657</v>
      </c>
      <c r="J65" s="28">
        <f t="shared" si="2"/>
        <v>2760</v>
      </c>
      <c r="K65" s="22">
        <f t="shared" si="7"/>
        <v>360</v>
      </c>
      <c r="L65" s="22">
        <v>1</v>
      </c>
      <c r="M65" s="25">
        <f t="shared" si="8"/>
        <v>1214</v>
      </c>
      <c r="N65" s="24">
        <v>-1690</v>
      </c>
      <c r="O65" s="28">
        <f t="shared" si="3"/>
        <v>2904</v>
      </c>
      <c r="P65" s="22">
        <f t="shared" si="9"/>
        <v>338</v>
      </c>
      <c r="Q65" s="29"/>
      <c r="R65" s="30"/>
    </row>
    <row r="66" spans="1:18" x14ac:dyDescent="0.25">
      <c r="A66" s="21">
        <v>45864</v>
      </c>
      <c r="B66" s="22">
        <v>1</v>
      </c>
      <c r="C66" s="25">
        <f t="shared" si="4"/>
        <v>1198</v>
      </c>
      <c r="D66" s="24">
        <v>-2098</v>
      </c>
      <c r="E66" s="25">
        <f t="shared" si="1"/>
        <v>3296</v>
      </c>
      <c r="F66" s="22">
        <f t="shared" si="5"/>
        <v>305</v>
      </c>
      <c r="G66" s="22">
        <v>1</v>
      </c>
      <c r="H66" s="25">
        <f t="shared" si="6"/>
        <v>1099</v>
      </c>
      <c r="I66" s="27">
        <v>-1661</v>
      </c>
      <c r="J66" s="28">
        <f t="shared" si="2"/>
        <v>2760</v>
      </c>
      <c r="K66" s="22">
        <f t="shared" si="7"/>
        <v>364</v>
      </c>
      <c r="L66" s="22">
        <v>1</v>
      </c>
      <c r="M66" s="25">
        <f t="shared" si="8"/>
        <v>1204</v>
      </c>
      <c r="N66" s="24">
        <v>-1700</v>
      </c>
      <c r="O66" s="28">
        <f t="shared" si="3"/>
        <v>2904</v>
      </c>
      <c r="P66" s="22">
        <f t="shared" si="9"/>
        <v>348</v>
      </c>
      <c r="Q66" s="29"/>
      <c r="R66" s="30"/>
    </row>
    <row r="67" spans="1:18" x14ac:dyDescent="0.25">
      <c r="A67" s="21">
        <v>45865</v>
      </c>
      <c r="B67" s="22">
        <v>1</v>
      </c>
      <c r="C67" s="25">
        <f t="shared" si="4"/>
        <v>1195</v>
      </c>
      <c r="D67" s="24">
        <v>-2101</v>
      </c>
      <c r="E67" s="25">
        <f t="shared" si="1"/>
        <v>3296</v>
      </c>
      <c r="F67" s="22">
        <f t="shared" si="5"/>
        <v>308</v>
      </c>
      <c r="G67" s="22">
        <v>1</v>
      </c>
      <c r="H67" s="25">
        <f t="shared" si="6"/>
        <v>1095</v>
      </c>
      <c r="I67" s="27">
        <v>-1665</v>
      </c>
      <c r="J67" s="28">
        <f t="shared" si="2"/>
        <v>2760</v>
      </c>
      <c r="K67" s="22">
        <f t="shared" si="7"/>
        <v>368</v>
      </c>
      <c r="L67" s="22">
        <v>1</v>
      </c>
      <c r="M67" s="25">
        <f t="shared" si="8"/>
        <v>1194</v>
      </c>
      <c r="N67" s="24">
        <v>-1710</v>
      </c>
      <c r="O67" s="28">
        <f t="shared" si="3"/>
        <v>2904</v>
      </c>
      <c r="P67" s="22">
        <f t="shared" si="9"/>
        <v>358</v>
      </c>
      <c r="Q67" s="29"/>
      <c r="R67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7">
    <cfRule type="cellIs" dxfId="23" priority="1" operator="lessThan">
      <formula>60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outlinePr summaryBelow="0" summaryRight="0"/>
  </sheetPr>
  <dimension ref="A1:R89"/>
  <sheetViews>
    <sheetView workbookViewId="0">
      <selection sqref="A1:R1"/>
    </sheetView>
  </sheetViews>
  <sheetFormatPr defaultColWidth="14.42578125" defaultRowHeight="15" customHeight="1" x14ac:dyDescent="0.2"/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(20/05/25)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59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60</v>
      </c>
      <c r="R16" s="112" t="s">
        <v>61</v>
      </c>
    </row>
    <row r="17" spans="1:18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x14ac:dyDescent="0.25">
      <c r="A21" s="21">
        <v>45797</v>
      </c>
      <c r="B21" s="22">
        <v>1</v>
      </c>
      <c r="C21" s="23">
        <v>1507</v>
      </c>
      <c r="D21" s="24">
        <v>-413</v>
      </c>
      <c r="E21" s="25">
        <f t="shared" ref="E21:E89" si="1">C21-D21</f>
        <v>1920</v>
      </c>
      <c r="F21" s="22">
        <v>0</v>
      </c>
      <c r="G21" s="22">
        <v>1</v>
      </c>
      <c r="H21" s="25">
        <v>1492</v>
      </c>
      <c r="I21" s="27">
        <v>-683</v>
      </c>
      <c r="J21" s="28">
        <f t="shared" ref="J21:J89" si="2">H21-I21</f>
        <v>2175</v>
      </c>
      <c r="K21" s="22">
        <v>0</v>
      </c>
      <c r="L21" s="22">
        <v>1</v>
      </c>
      <c r="M21" s="23">
        <v>1447</v>
      </c>
      <c r="N21" s="24">
        <v>-390</v>
      </c>
      <c r="O21" s="28">
        <f t="shared" ref="O21:O89" si="3">M21-N21</f>
        <v>1837</v>
      </c>
      <c r="P21" s="22">
        <v>0</v>
      </c>
      <c r="Q21" s="29"/>
      <c r="R21" s="30"/>
    </row>
    <row r="22" spans="1:18" x14ac:dyDescent="0.25">
      <c r="A22" s="21">
        <v>45798</v>
      </c>
      <c r="B22" s="26">
        <v>2</v>
      </c>
      <c r="C22" s="28">
        <f t="shared" ref="C22:C89" si="4">$C$21-F22</f>
        <v>1502</v>
      </c>
      <c r="D22" s="24">
        <v>-418</v>
      </c>
      <c r="E22" s="25">
        <f t="shared" si="1"/>
        <v>1920</v>
      </c>
      <c r="F22" s="22">
        <f t="shared" ref="F22:F89" si="5">$D$21-D22</f>
        <v>5</v>
      </c>
      <c r="G22" s="22">
        <f t="shared" ref="G22:G89" si="6">G21+1</f>
        <v>2</v>
      </c>
      <c r="H22" s="28">
        <f t="shared" ref="H22:H89" si="7">$H$21-K22</f>
        <v>1487</v>
      </c>
      <c r="I22" s="27">
        <v>-688</v>
      </c>
      <c r="J22" s="28">
        <f t="shared" si="2"/>
        <v>2175</v>
      </c>
      <c r="K22" s="22">
        <f t="shared" ref="K22:K89" si="8">$I$21-I22</f>
        <v>5</v>
      </c>
      <c r="L22" s="22">
        <f t="shared" ref="L22:L89" si="9">L21+1</f>
        <v>2</v>
      </c>
      <c r="M22" s="28">
        <f t="shared" ref="M22:M89" si="10">$M$21-P22</f>
        <v>1447</v>
      </c>
      <c r="N22" s="24">
        <v>-390</v>
      </c>
      <c r="O22" s="28">
        <f t="shared" si="3"/>
        <v>1837</v>
      </c>
      <c r="P22" s="22">
        <f t="shared" ref="P22:P89" si="11">$N$21-N22</f>
        <v>0</v>
      </c>
      <c r="Q22" s="29"/>
      <c r="R22" s="30"/>
    </row>
    <row r="23" spans="1:18" x14ac:dyDescent="0.25">
      <c r="A23" s="21">
        <v>45799</v>
      </c>
      <c r="B23" s="26">
        <v>3</v>
      </c>
      <c r="C23" s="28">
        <f t="shared" si="4"/>
        <v>1502</v>
      </c>
      <c r="D23" s="24">
        <v>-418</v>
      </c>
      <c r="E23" s="25">
        <f t="shared" si="1"/>
        <v>1920</v>
      </c>
      <c r="F23" s="22">
        <f t="shared" si="5"/>
        <v>5</v>
      </c>
      <c r="G23" s="22">
        <f t="shared" si="6"/>
        <v>3</v>
      </c>
      <c r="H23" s="28">
        <f t="shared" si="7"/>
        <v>1487</v>
      </c>
      <c r="I23" s="27">
        <v>-688</v>
      </c>
      <c r="J23" s="28">
        <f t="shared" si="2"/>
        <v>2175</v>
      </c>
      <c r="K23" s="22">
        <f t="shared" si="8"/>
        <v>5</v>
      </c>
      <c r="L23" s="22">
        <f t="shared" si="9"/>
        <v>3</v>
      </c>
      <c r="M23" s="28">
        <f t="shared" si="10"/>
        <v>1447</v>
      </c>
      <c r="N23" s="24">
        <v>-390</v>
      </c>
      <c r="O23" s="28">
        <f t="shared" si="3"/>
        <v>1837</v>
      </c>
      <c r="P23" s="22">
        <f t="shared" si="11"/>
        <v>0</v>
      </c>
      <c r="Q23" s="29"/>
      <c r="R23" s="30"/>
    </row>
    <row r="24" spans="1:18" x14ac:dyDescent="0.25">
      <c r="A24" s="21">
        <v>45800</v>
      </c>
      <c r="B24" s="26">
        <v>4</v>
      </c>
      <c r="C24" s="28">
        <f t="shared" si="4"/>
        <v>1502</v>
      </c>
      <c r="D24" s="24">
        <v>-418</v>
      </c>
      <c r="E24" s="25">
        <f t="shared" si="1"/>
        <v>1920</v>
      </c>
      <c r="F24" s="22">
        <f t="shared" si="5"/>
        <v>5</v>
      </c>
      <c r="G24" s="22">
        <f t="shared" si="6"/>
        <v>4</v>
      </c>
      <c r="H24" s="28">
        <f t="shared" si="7"/>
        <v>1487</v>
      </c>
      <c r="I24" s="27">
        <v>-688</v>
      </c>
      <c r="J24" s="28">
        <f t="shared" si="2"/>
        <v>2175</v>
      </c>
      <c r="K24" s="22">
        <f t="shared" si="8"/>
        <v>5</v>
      </c>
      <c r="L24" s="22">
        <f t="shared" si="9"/>
        <v>4</v>
      </c>
      <c r="M24" s="28">
        <f t="shared" si="10"/>
        <v>1447</v>
      </c>
      <c r="N24" s="24">
        <v>-390</v>
      </c>
      <c r="O24" s="28">
        <f t="shared" si="3"/>
        <v>1837</v>
      </c>
      <c r="P24" s="22">
        <f t="shared" si="11"/>
        <v>0</v>
      </c>
      <c r="Q24" s="29"/>
      <c r="R24" s="30"/>
    </row>
    <row r="25" spans="1:18" x14ac:dyDescent="0.25">
      <c r="A25" s="21">
        <v>45801</v>
      </c>
      <c r="B25" s="26">
        <v>4</v>
      </c>
      <c r="C25" s="28">
        <f t="shared" si="4"/>
        <v>1502</v>
      </c>
      <c r="D25" s="24">
        <v>-418</v>
      </c>
      <c r="E25" s="25">
        <f t="shared" si="1"/>
        <v>1920</v>
      </c>
      <c r="F25" s="22">
        <f t="shared" si="5"/>
        <v>5</v>
      </c>
      <c r="G25" s="22">
        <f t="shared" si="6"/>
        <v>5</v>
      </c>
      <c r="H25" s="28">
        <f t="shared" si="7"/>
        <v>1487</v>
      </c>
      <c r="I25" s="27">
        <v>-688</v>
      </c>
      <c r="J25" s="28">
        <f t="shared" si="2"/>
        <v>2175</v>
      </c>
      <c r="K25" s="22">
        <f t="shared" si="8"/>
        <v>5</v>
      </c>
      <c r="L25" s="22">
        <f t="shared" si="9"/>
        <v>5</v>
      </c>
      <c r="M25" s="28">
        <f t="shared" si="10"/>
        <v>1447</v>
      </c>
      <c r="N25" s="24">
        <v>-390</v>
      </c>
      <c r="O25" s="28">
        <f t="shared" si="3"/>
        <v>1837</v>
      </c>
      <c r="P25" s="22">
        <f t="shared" si="11"/>
        <v>0</v>
      </c>
      <c r="Q25" s="29"/>
      <c r="R25" s="30"/>
    </row>
    <row r="26" spans="1:18" x14ac:dyDescent="0.25">
      <c r="A26" s="21">
        <v>45802</v>
      </c>
      <c r="B26" s="26">
        <v>4</v>
      </c>
      <c r="C26" s="28">
        <f t="shared" si="4"/>
        <v>1502</v>
      </c>
      <c r="D26" s="24">
        <v>-418</v>
      </c>
      <c r="E26" s="25">
        <f t="shared" si="1"/>
        <v>1920</v>
      </c>
      <c r="F26" s="22">
        <f t="shared" si="5"/>
        <v>5</v>
      </c>
      <c r="G26" s="22">
        <f t="shared" si="6"/>
        <v>6</v>
      </c>
      <c r="H26" s="28">
        <f t="shared" si="7"/>
        <v>1487</v>
      </c>
      <c r="I26" s="27">
        <v>-688</v>
      </c>
      <c r="J26" s="28">
        <f t="shared" si="2"/>
        <v>2175</v>
      </c>
      <c r="K26" s="22">
        <f t="shared" si="8"/>
        <v>5</v>
      </c>
      <c r="L26" s="22">
        <f t="shared" si="9"/>
        <v>6</v>
      </c>
      <c r="M26" s="28">
        <f t="shared" si="10"/>
        <v>1447</v>
      </c>
      <c r="N26" s="24">
        <v>-390</v>
      </c>
      <c r="O26" s="28">
        <f t="shared" si="3"/>
        <v>1837</v>
      </c>
      <c r="P26" s="22">
        <f t="shared" si="11"/>
        <v>0</v>
      </c>
      <c r="Q26" s="29"/>
      <c r="R26" s="30"/>
    </row>
    <row r="27" spans="1:18" x14ac:dyDescent="0.25">
      <c r="A27" s="21">
        <v>45803</v>
      </c>
      <c r="B27" s="26">
        <v>4</v>
      </c>
      <c r="C27" s="28">
        <f t="shared" si="4"/>
        <v>1502</v>
      </c>
      <c r="D27" s="24">
        <v>-418</v>
      </c>
      <c r="E27" s="25">
        <f t="shared" si="1"/>
        <v>1920</v>
      </c>
      <c r="F27" s="22">
        <f t="shared" si="5"/>
        <v>5</v>
      </c>
      <c r="G27" s="22">
        <f t="shared" si="6"/>
        <v>7</v>
      </c>
      <c r="H27" s="28">
        <f t="shared" si="7"/>
        <v>1487</v>
      </c>
      <c r="I27" s="27">
        <v>-688</v>
      </c>
      <c r="J27" s="28">
        <f t="shared" si="2"/>
        <v>2175</v>
      </c>
      <c r="K27" s="22">
        <f t="shared" si="8"/>
        <v>5</v>
      </c>
      <c r="L27" s="22">
        <f t="shared" si="9"/>
        <v>7</v>
      </c>
      <c r="M27" s="28">
        <f t="shared" si="10"/>
        <v>1447</v>
      </c>
      <c r="N27" s="24">
        <v>-390</v>
      </c>
      <c r="O27" s="28">
        <f t="shared" si="3"/>
        <v>1837</v>
      </c>
      <c r="P27" s="22">
        <f t="shared" si="11"/>
        <v>0</v>
      </c>
      <c r="Q27" s="29"/>
      <c r="R27" s="30"/>
    </row>
    <row r="28" spans="1:18" x14ac:dyDescent="0.25">
      <c r="A28" s="21">
        <v>45804</v>
      </c>
      <c r="B28" s="26">
        <v>4</v>
      </c>
      <c r="C28" s="28">
        <f t="shared" si="4"/>
        <v>1502</v>
      </c>
      <c r="D28" s="24">
        <v>-418</v>
      </c>
      <c r="E28" s="25">
        <f t="shared" si="1"/>
        <v>1920</v>
      </c>
      <c r="F28" s="22">
        <f t="shared" si="5"/>
        <v>5</v>
      </c>
      <c r="G28" s="22">
        <f t="shared" si="6"/>
        <v>8</v>
      </c>
      <c r="H28" s="28">
        <f t="shared" si="7"/>
        <v>1487</v>
      </c>
      <c r="I28" s="27">
        <v>-688</v>
      </c>
      <c r="J28" s="28">
        <f t="shared" si="2"/>
        <v>2175</v>
      </c>
      <c r="K28" s="22">
        <f t="shared" si="8"/>
        <v>5</v>
      </c>
      <c r="L28" s="22">
        <f t="shared" si="9"/>
        <v>8</v>
      </c>
      <c r="M28" s="28">
        <f t="shared" si="10"/>
        <v>1447</v>
      </c>
      <c r="N28" s="24">
        <v>-390</v>
      </c>
      <c r="O28" s="28">
        <f t="shared" si="3"/>
        <v>1837</v>
      </c>
      <c r="P28" s="22">
        <f t="shared" si="11"/>
        <v>0</v>
      </c>
      <c r="Q28" s="29"/>
      <c r="R28" s="30"/>
    </row>
    <row r="29" spans="1:18" x14ac:dyDescent="0.25">
      <c r="A29" s="21">
        <v>45805</v>
      </c>
      <c r="B29" s="26">
        <v>4</v>
      </c>
      <c r="C29" s="28">
        <f t="shared" si="4"/>
        <v>1502</v>
      </c>
      <c r="D29" s="24">
        <v>-418</v>
      </c>
      <c r="E29" s="25">
        <f t="shared" si="1"/>
        <v>1920</v>
      </c>
      <c r="F29" s="22">
        <f t="shared" si="5"/>
        <v>5</v>
      </c>
      <c r="G29" s="22">
        <f t="shared" si="6"/>
        <v>9</v>
      </c>
      <c r="H29" s="28">
        <f t="shared" si="7"/>
        <v>1487</v>
      </c>
      <c r="I29" s="27">
        <v>-688</v>
      </c>
      <c r="J29" s="28">
        <f t="shared" si="2"/>
        <v>2175</v>
      </c>
      <c r="K29" s="22">
        <f t="shared" si="8"/>
        <v>5</v>
      </c>
      <c r="L29" s="22">
        <f t="shared" si="9"/>
        <v>9</v>
      </c>
      <c r="M29" s="28">
        <f t="shared" si="10"/>
        <v>1447</v>
      </c>
      <c r="N29" s="24">
        <v>-390</v>
      </c>
      <c r="O29" s="28">
        <f t="shared" si="3"/>
        <v>1837</v>
      </c>
      <c r="P29" s="22">
        <f t="shared" si="11"/>
        <v>0</v>
      </c>
      <c r="Q29" s="29"/>
      <c r="R29" s="30"/>
    </row>
    <row r="30" spans="1:18" x14ac:dyDescent="0.25">
      <c r="A30" s="21">
        <v>45806</v>
      </c>
      <c r="B30" s="26">
        <v>4</v>
      </c>
      <c r="C30" s="28">
        <f t="shared" si="4"/>
        <v>1502</v>
      </c>
      <c r="D30" s="24">
        <v>-418</v>
      </c>
      <c r="E30" s="25">
        <f t="shared" si="1"/>
        <v>1920</v>
      </c>
      <c r="F30" s="22">
        <f t="shared" si="5"/>
        <v>5</v>
      </c>
      <c r="G30" s="22">
        <f t="shared" si="6"/>
        <v>10</v>
      </c>
      <c r="H30" s="28">
        <f t="shared" si="7"/>
        <v>1487</v>
      </c>
      <c r="I30" s="27">
        <v>-688</v>
      </c>
      <c r="J30" s="28">
        <f t="shared" si="2"/>
        <v>2175</v>
      </c>
      <c r="K30" s="22">
        <f t="shared" si="8"/>
        <v>5</v>
      </c>
      <c r="L30" s="22">
        <f t="shared" si="9"/>
        <v>10</v>
      </c>
      <c r="M30" s="28">
        <f t="shared" si="10"/>
        <v>1447</v>
      </c>
      <c r="N30" s="24">
        <v>-390</v>
      </c>
      <c r="O30" s="28">
        <f t="shared" si="3"/>
        <v>1837</v>
      </c>
      <c r="P30" s="22">
        <f t="shared" si="11"/>
        <v>0</v>
      </c>
      <c r="Q30" s="29"/>
      <c r="R30" s="30"/>
    </row>
    <row r="31" spans="1:18" x14ac:dyDescent="0.25">
      <c r="A31" s="21">
        <v>45807</v>
      </c>
      <c r="B31" s="26">
        <v>4</v>
      </c>
      <c r="C31" s="28">
        <f t="shared" si="4"/>
        <v>1502</v>
      </c>
      <c r="D31" s="24">
        <v>-418</v>
      </c>
      <c r="E31" s="25">
        <f t="shared" si="1"/>
        <v>1920</v>
      </c>
      <c r="F31" s="22">
        <f t="shared" si="5"/>
        <v>5</v>
      </c>
      <c r="G31" s="22">
        <f t="shared" si="6"/>
        <v>11</v>
      </c>
      <c r="H31" s="28">
        <f t="shared" si="7"/>
        <v>1487</v>
      </c>
      <c r="I31" s="27">
        <v>-688</v>
      </c>
      <c r="J31" s="28">
        <f t="shared" si="2"/>
        <v>2175</v>
      </c>
      <c r="K31" s="22">
        <f t="shared" si="8"/>
        <v>5</v>
      </c>
      <c r="L31" s="22">
        <f t="shared" si="9"/>
        <v>11</v>
      </c>
      <c r="M31" s="28">
        <f t="shared" si="10"/>
        <v>1447</v>
      </c>
      <c r="N31" s="24">
        <v>-390</v>
      </c>
      <c r="O31" s="28">
        <f t="shared" si="3"/>
        <v>1837</v>
      </c>
      <c r="P31" s="22">
        <f t="shared" si="11"/>
        <v>0</v>
      </c>
      <c r="Q31" s="29"/>
      <c r="R31" s="30"/>
    </row>
    <row r="32" spans="1:18" x14ac:dyDescent="0.25">
      <c r="A32" s="21">
        <v>45808</v>
      </c>
      <c r="B32" s="26">
        <v>4</v>
      </c>
      <c r="C32" s="28">
        <f t="shared" si="4"/>
        <v>1502</v>
      </c>
      <c r="D32" s="24">
        <v>-418</v>
      </c>
      <c r="E32" s="25">
        <f t="shared" si="1"/>
        <v>1920</v>
      </c>
      <c r="F32" s="22">
        <f t="shared" si="5"/>
        <v>5</v>
      </c>
      <c r="G32" s="22">
        <f t="shared" si="6"/>
        <v>12</v>
      </c>
      <c r="H32" s="28">
        <f t="shared" si="7"/>
        <v>1487</v>
      </c>
      <c r="I32" s="27">
        <v>-688</v>
      </c>
      <c r="J32" s="28">
        <f t="shared" si="2"/>
        <v>2175</v>
      </c>
      <c r="K32" s="22">
        <f t="shared" si="8"/>
        <v>5</v>
      </c>
      <c r="L32" s="22">
        <f t="shared" si="9"/>
        <v>12</v>
      </c>
      <c r="M32" s="28">
        <f t="shared" si="10"/>
        <v>1447</v>
      </c>
      <c r="N32" s="24">
        <v>-390</v>
      </c>
      <c r="O32" s="28">
        <f t="shared" si="3"/>
        <v>1837</v>
      </c>
      <c r="P32" s="22">
        <f t="shared" si="11"/>
        <v>0</v>
      </c>
      <c r="Q32" s="29"/>
      <c r="R32" s="30"/>
    </row>
    <row r="33" spans="1:18" x14ac:dyDescent="0.25">
      <c r="A33" s="21">
        <v>45809</v>
      </c>
      <c r="B33" s="26">
        <v>4</v>
      </c>
      <c r="C33" s="28">
        <f t="shared" si="4"/>
        <v>1502</v>
      </c>
      <c r="D33" s="24">
        <v>-418</v>
      </c>
      <c r="E33" s="25">
        <f t="shared" si="1"/>
        <v>1920</v>
      </c>
      <c r="F33" s="22">
        <f t="shared" si="5"/>
        <v>5</v>
      </c>
      <c r="G33" s="22">
        <f t="shared" si="6"/>
        <v>13</v>
      </c>
      <c r="H33" s="28">
        <f t="shared" si="7"/>
        <v>1473</v>
      </c>
      <c r="I33" s="27">
        <v>-702</v>
      </c>
      <c r="J33" s="28">
        <f t="shared" si="2"/>
        <v>2175</v>
      </c>
      <c r="K33" s="22">
        <f t="shared" si="8"/>
        <v>19</v>
      </c>
      <c r="L33" s="22">
        <f t="shared" si="9"/>
        <v>13</v>
      </c>
      <c r="M33" s="28">
        <f t="shared" si="10"/>
        <v>1447</v>
      </c>
      <c r="N33" s="24">
        <v>-390</v>
      </c>
      <c r="O33" s="28">
        <f t="shared" si="3"/>
        <v>1837</v>
      </c>
      <c r="P33" s="22">
        <f t="shared" si="11"/>
        <v>0</v>
      </c>
      <c r="Q33" s="29"/>
      <c r="R33" s="30"/>
    </row>
    <row r="34" spans="1:18" x14ac:dyDescent="0.25">
      <c r="A34" s="21">
        <v>45810</v>
      </c>
      <c r="B34" s="26">
        <v>4</v>
      </c>
      <c r="C34" s="28">
        <f t="shared" si="4"/>
        <v>1502</v>
      </c>
      <c r="D34" s="24">
        <v>-418</v>
      </c>
      <c r="E34" s="25">
        <f t="shared" si="1"/>
        <v>1920</v>
      </c>
      <c r="F34" s="22">
        <f t="shared" si="5"/>
        <v>5</v>
      </c>
      <c r="G34" s="22">
        <f t="shared" si="6"/>
        <v>14</v>
      </c>
      <c r="H34" s="28">
        <f t="shared" si="7"/>
        <v>1456</v>
      </c>
      <c r="I34" s="27">
        <v>-719</v>
      </c>
      <c r="J34" s="28">
        <f t="shared" si="2"/>
        <v>2175</v>
      </c>
      <c r="K34" s="22">
        <f t="shared" si="8"/>
        <v>36</v>
      </c>
      <c r="L34" s="22">
        <f t="shared" si="9"/>
        <v>14</v>
      </c>
      <c r="M34" s="28">
        <f t="shared" si="10"/>
        <v>1443</v>
      </c>
      <c r="N34" s="24">
        <v>-394</v>
      </c>
      <c r="O34" s="28">
        <f t="shared" si="3"/>
        <v>1837</v>
      </c>
      <c r="P34" s="22">
        <f t="shared" si="11"/>
        <v>4</v>
      </c>
      <c r="Q34" s="29"/>
      <c r="R34" s="30"/>
    </row>
    <row r="35" spans="1:18" x14ac:dyDescent="0.25">
      <c r="A35" s="21">
        <v>45811</v>
      </c>
      <c r="B35" s="26">
        <v>4</v>
      </c>
      <c r="C35" s="28">
        <f t="shared" si="4"/>
        <v>1502</v>
      </c>
      <c r="D35" s="24">
        <v>-418</v>
      </c>
      <c r="E35" s="25">
        <f t="shared" si="1"/>
        <v>1920</v>
      </c>
      <c r="F35" s="22">
        <f t="shared" si="5"/>
        <v>5</v>
      </c>
      <c r="G35" s="22">
        <f t="shared" si="6"/>
        <v>15</v>
      </c>
      <c r="H35" s="28">
        <f t="shared" si="7"/>
        <v>1439</v>
      </c>
      <c r="I35" s="27">
        <v>-736</v>
      </c>
      <c r="J35" s="28">
        <f t="shared" si="2"/>
        <v>2175</v>
      </c>
      <c r="K35" s="22">
        <f t="shared" si="8"/>
        <v>53</v>
      </c>
      <c r="L35" s="22">
        <f t="shared" si="9"/>
        <v>15</v>
      </c>
      <c r="M35" s="28">
        <f t="shared" si="10"/>
        <v>1439</v>
      </c>
      <c r="N35" s="24">
        <v>-398</v>
      </c>
      <c r="O35" s="28">
        <f t="shared" si="3"/>
        <v>1837</v>
      </c>
      <c r="P35" s="22">
        <f t="shared" si="11"/>
        <v>8</v>
      </c>
      <c r="Q35" s="29"/>
      <c r="R35" s="30"/>
    </row>
    <row r="36" spans="1:18" x14ac:dyDescent="0.25">
      <c r="A36" s="21">
        <v>45812</v>
      </c>
      <c r="B36" s="26">
        <v>4</v>
      </c>
      <c r="C36" s="28">
        <f t="shared" si="4"/>
        <v>1498</v>
      </c>
      <c r="D36" s="24">
        <v>-422</v>
      </c>
      <c r="E36" s="25">
        <f t="shared" si="1"/>
        <v>1920</v>
      </c>
      <c r="F36" s="22">
        <f t="shared" si="5"/>
        <v>9</v>
      </c>
      <c r="G36" s="22">
        <f t="shared" si="6"/>
        <v>16</v>
      </c>
      <c r="H36" s="28">
        <f t="shared" si="7"/>
        <v>1422</v>
      </c>
      <c r="I36" s="27">
        <v>-753</v>
      </c>
      <c r="J36" s="28">
        <f t="shared" si="2"/>
        <v>2175</v>
      </c>
      <c r="K36" s="22">
        <f t="shared" si="8"/>
        <v>70</v>
      </c>
      <c r="L36" s="22">
        <f t="shared" si="9"/>
        <v>16</v>
      </c>
      <c r="M36" s="28">
        <f t="shared" si="10"/>
        <v>1435</v>
      </c>
      <c r="N36" s="24">
        <v>-402</v>
      </c>
      <c r="O36" s="28">
        <f t="shared" si="3"/>
        <v>1837</v>
      </c>
      <c r="P36" s="22">
        <f t="shared" si="11"/>
        <v>12</v>
      </c>
      <c r="Q36" s="29"/>
      <c r="R36" s="30"/>
    </row>
    <row r="37" spans="1:18" x14ac:dyDescent="0.25">
      <c r="A37" s="21">
        <v>45813</v>
      </c>
      <c r="B37" s="26">
        <v>4</v>
      </c>
      <c r="C37" s="28">
        <f t="shared" si="4"/>
        <v>1493</v>
      </c>
      <c r="D37" s="24">
        <v>-427</v>
      </c>
      <c r="E37" s="25">
        <f t="shared" si="1"/>
        <v>1920</v>
      </c>
      <c r="F37" s="22">
        <f t="shared" si="5"/>
        <v>14</v>
      </c>
      <c r="G37" s="22">
        <f t="shared" si="6"/>
        <v>17</v>
      </c>
      <c r="H37" s="28">
        <f t="shared" si="7"/>
        <v>1405</v>
      </c>
      <c r="I37" s="27">
        <v>-770</v>
      </c>
      <c r="J37" s="28">
        <f t="shared" si="2"/>
        <v>2175</v>
      </c>
      <c r="K37" s="22">
        <f t="shared" si="8"/>
        <v>87</v>
      </c>
      <c r="L37" s="22">
        <f t="shared" si="9"/>
        <v>17</v>
      </c>
      <c r="M37" s="28">
        <f t="shared" si="10"/>
        <v>1431</v>
      </c>
      <c r="N37" s="24">
        <v>-406</v>
      </c>
      <c r="O37" s="28">
        <f t="shared" si="3"/>
        <v>1837</v>
      </c>
      <c r="P37" s="22">
        <f t="shared" si="11"/>
        <v>16</v>
      </c>
      <c r="Q37" s="29"/>
      <c r="R37" s="30"/>
    </row>
    <row r="38" spans="1:18" x14ac:dyDescent="0.25">
      <c r="A38" s="21">
        <v>45814</v>
      </c>
      <c r="B38" s="26">
        <v>4</v>
      </c>
      <c r="C38" s="28">
        <f t="shared" si="4"/>
        <v>1488</v>
      </c>
      <c r="D38" s="24">
        <v>-432</v>
      </c>
      <c r="E38" s="25">
        <f t="shared" si="1"/>
        <v>1920</v>
      </c>
      <c r="F38" s="22">
        <f t="shared" si="5"/>
        <v>19</v>
      </c>
      <c r="G38" s="22">
        <f t="shared" si="6"/>
        <v>18</v>
      </c>
      <c r="H38" s="28">
        <f t="shared" si="7"/>
        <v>1388</v>
      </c>
      <c r="I38" s="27">
        <v>-787</v>
      </c>
      <c r="J38" s="28">
        <f t="shared" si="2"/>
        <v>2175</v>
      </c>
      <c r="K38" s="22">
        <f t="shared" si="8"/>
        <v>104</v>
      </c>
      <c r="L38" s="22">
        <f t="shared" si="9"/>
        <v>18</v>
      </c>
      <c r="M38" s="28">
        <f t="shared" si="10"/>
        <v>1427</v>
      </c>
      <c r="N38" s="24">
        <v>-410</v>
      </c>
      <c r="O38" s="28">
        <f t="shared" si="3"/>
        <v>1837</v>
      </c>
      <c r="P38" s="22">
        <f t="shared" si="11"/>
        <v>20</v>
      </c>
      <c r="Q38" s="29"/>
      <c r="R38" s="30"/>
    </row>
    <row r="39" spans="1:18" x14ac:dyDescent="0.25">
      <c r="A39" s="21">
        <v>45815</v>
      </c>
      <c r="B39" s="26">
        <v>4</v>
      </c>
      <c r="C39" s="28">
        <f t="shared" si="4"/>
        <v>1483</v>
      </c>
      <c r="D39" s="24">
        <v>-437</v>
      </c>
      <c r="E39" s="25">
        <f t="shared" si="1"/>
        <v>1920</v>
      </c>
      <c r="F39" s="22">
        <f t="shared" si="5"/>
        <v>24</v>
      </c>
      <c r="G39" s="22">
        <f t="shared" si="6"/>
        <v>19</v>
      </c>
      <c r="H39" s="28">
        <f t="shared" si="7"/>
        <v>1371</v>
      </c>
      <c r="I39" s="27">
        <v>-804</v>
      </c>
      <c r="J39" s="28">
        <f t="shared" si="2"/>
        <v>2175</v>
      </c>
      <c r="K39" s="22">
        <f t="shared" si="8"/>
        <v>121</v>
      </c>
      <c r="L39" s="22">
        <f t="shared" si="9"/>
        <v>19</v>
      </c>
      <c r="M39" s="28">
        <f t="shared" si="10"/>
        <v>1423</v>
      </c>
      <c r="N39" s="24">
        <v>-414</v>
      </c>
      <c r="O39" s="28">
        <f t="shared" si="3"/>
        <v>1837</v>
      </c>
      <c r="P39" s="22">
        <f t="shared" si="11"/>
        <v>24</v>
      </c>
      <c r="Q39" s="29"/>
      <c r="R39" s="30"/>
    </row>
    <row r="40" spans="1:18" x14ac:dyDescent="0.25">
      <c r="A40" s="21">
        <v>45816</v>
      </c>
      <c r="B40" s="26">
        <v>4</v>
      </c>
      <c r="C40" s="28">
        <f t="shared" si="4"/>
        <v>1478</v>
      </c>
      <c r="D40" s="24">
        <v>-442</v>
      </c>
      <c r="E40" s="25">
        <f t="shared" si="1"/>
        <v>1920</v>
      </c>
      <c r="F40" s="22">
        <f t="shared" si="5"/>
        <v>29</v>
      </c>
      <c r="G40" s="22">
        <f t="shared" si="6"/>
        <v>20</v>
      </c>
      <c r="H40" s="28">
        <f t="shared" si="7"/>
        <v>1354</v>
      </c>
      <c r="I40" s="27">
        <v>-821</v>
      </c>
      <c r="J40" s="28">
        <f t="shared" si="2"/>
        <v>2175</v>
      </c>
      <c r="K40" s="22">
        <f t="shared" si="8"/>
        <v>138</v>
      </c>
      <c r="L40" s="22">
        <f t="shared" si="9"/>
        <v>20</v>
      </c>
      <c r="M40" s="28">
        <f t="shared" si="10"/>
        <v>1419</v>
      </c>
      <c r="N40" s="24">
        <v>-418</v>
      </c>
      <c r="O40" s="28">
        <f t="shared" si="3"/>
        <v>1837</v>
      </c>
      <c r="P40" s="22">
        <f t="shared" si="11"/>
        <v>28</v>
      </c>
      <c r="Q40" s="29"/>
      <c r="R40" s="30"/>
    </row>
    <row r="41" spans="1:18" x14ac:dyDescent="0.25">
      <c r="A41" s="21">
        <v>45817</v>
      </c>
      <c r="B41" s="26">
        <v>4</v>
      </c>
      <c r="C41" s="28">
        <f t="shared" si="4"/>
        <v>1478</v>
      </c>
      <c r="D41" s="24">
        <v>-442</v>
      </c>
      <c r="E41" s="25">
        <f t="shared" si="1"/>
        <v>1920</v>
      </c>
      <c r="F41" s="22">
        <f t="shared" si="5"/>
        <v>29</v>
      </c>
      <c r="G41" s="22">
        <f t="shared" si="6"/>
        <v>21</v>
      </c>
      <c r="H41" s="28">
        <f t="shared" si="7"/>
        <v>1350</v>
      </c>
      <c r="I41" s="27">
        <v>-825</v>
      </c>
      <c r="J41" s="28">
        <f t="shared" si="2"/>
        <v>2175</v>
      </c>
      <c r="K41" s="22">
        <f t="shared" si="8"/>
        <v>142</v>
      </c>
      <c r="L41" s="22">
        <f t="shared" si="9"/>
        <v>21</v>
      </c>
      <c r="M41" s="28">
        <f t="shared" si="10"/>
        <v>1415</v>
      </c>
      <c r="N41" s="24">
        <v>-422</v>
      </c>
      <c r="O41" s="28">
        <f t="shared" si="3"/>
        <v>1837</v>
      </c>
      <c r="P41" s="22">
        <f t="shared" si="11"/>
        <v>32</v>
      </c>
      <c r="Q41" s="29"/>
      <c r="R41" s="30"/>
    </row>
    <row r="42" spans="1:18" x14ac:dyDescent="0.25">
      <c r="A42" s="21">
        <v>45818</v>
      </c>
      <c r="B42" s="26">
        <v>4</v>
      </c>
      <c r="C42" s="28">
        <f t="shared" si="4"/>
        <v>1425</v>
      </c>
      <c r="D42" s="24">
        <v>-495</v>
      </c>
      <c r="E42" s="25">
        <f t="shared" si="1"/>
        <v>1920</v>
      </c>
      <c r="F42" s="22">
        <f t="shared" si="5"/>
        <v>82</v>
      </c>
      <c r="G42" s="22">
        <f t="shared" si="6"/>
        <v>22</v>
      </c>
      <c r="H42" s="28">
        <f t="shared" si="7"/>
        <v>1317</v>
      </c>
      <c r="I42" s="27">
        <v>-858</v>
      </c>
      <c r="J42" s="28">
        <f t="shared" si="2"/>
        <v>2175</v>
      </c>
      <c r="K42" s="22">
        <f t="shared" si="8"/>
        <v>175</v>
      </c>
      <c r="L42" s="22">
        <f t="shared" si="9"/>
        <v>22</v>
      </c>
      <c r="M42" s="28">
        <f t="shared" si="10"/>
        <v>1411</v>
      </c>
      <c r="N42" s="24">
        <v>-426</v>
      </c>
      <c r="O42" s="28">
        <f t="shared" si="3"/>
        <v>1837</v>
      </c>
      <c r="P42" s="22">
        <f t="shared" si="11"/>
        <v>36</v>
      </c>
      <c r="Q42" s="29"/>
      <c r="R42" s="30"/>
    </row>
    <row r="43" spans="1:18" x14ac:dyDescent="0.25">
      <c r="A43" s="21">
        <v>45819</v>
      </c>
      <c r="B43" s="26">
        <v>4</v>
      </c>
      <c r="C43" s="28">
        <f t="shared" si="4"/>
        <v>1420</v>
      </c>
      <c r="D43" s="24">
        <v>-500</v>
      </c>
      <c r="E43" s="25">
        <f t="shared" si="1"/>
        <v>1920</v>
      </c>
      <c r="F43" s="22">
        <f t="shared" si="5"/>
        <v>87</v>
      </c>
      <c r="G43" s="22">
        <f t="shared" si="6"/>
        <v>23</v>
      </c>
      <c r="H43" s="28">
        <f t="shared" si="7"/>
        <v>1284</v>
      </c>
      <c r="I43" s="27">
        <v>-891</v>
      </c>
      <c r="J43" s="28">
        <f t="shared" si="2"/>
        <v>2175</v>
      </c>
      <c r="K43" s="22">
        <f t="shared" si="8"/>
        <v>208</v>
      </c>
      <c r="L43" s="22">
        <f t="shared" si="9"/>
        <v>23</v>
      </c>
      <c r="M43" s="28">
        <f t="shared" si="10"/>
        <v>1407</v>
      </c>
      <c r="N43" s="24">
        <v>-430</v>
      </c>
      <c r="O43" s="28">
        <f t="shared" si="3"/>
        <v>1837</v>
      </c>
      <c r="P43" s="22">
        <f t="shared" si="11"/>
        <v>40</v>
      </c>
      <c r="Q43" s="29"/>
      <c r="R43" s="30"/>
    </row>
    <row r="44" spans="1:18" x14ac:dyDescent="0.25">
      <c r="A44" s="21">
        <v>45820</v>
      </c>
      <c r="B44" s="26">
        <v>4</v>
      </c>
      <c r="C44" s="28">
        <f t="shared" si="4"/>
        <v>1415</v>
      </c>
      <c r="D44" s="24">
        <v>-505</v>
      </c>
      <c r="E44" s="25">
        <f t="shared" si="1"/>
        <v>1920</v>
      </c>
      <c r="F44" s="22">
        <f t="shared" si="5"/>
        <v>92</v>
      </c>
      <c r="G44" s="22">
        <f t="shared" si="6"/>
        <v>24</v>
      </c>
      <c r="H44" s="28">
        <f t="shared" si="7"/>
        <v>1251</v>
      </c>
      <c r="I44" s="27">
        <v>-924</v>
      </c>
      <c r="J44" s="28">
        <f t="shared" si="2"/>
        <v>2175</v>
      </c>
      <c r="K44" s="22">
        <f t="shared" si="8"/>
        <v>241</v>
      </c>
      <c r="L44" s="22">
        <f t="shared" si="9"/>
        <v>24</v>
      </c>
      <c r="M44" s="28">
        <f t="shared" si="10"/>
        <v>1403</v>
      </c>
      <c r="N44" s="24">
        <v>-434</v>
      </c>
      <c r="O44" s="28">
        <f t="shared" si="3"/>
        <v>1837</v>
      </c>
      <c r="P44" s="22">
        <f t="shared" si="11"/>
        <v>44</v>
      </c>
      <c r="Q44" s="29"/>
      <c r="R44" s="30"/>
    </row>
    <row r="45" spans="1:18" x14ac:dyDescent="0.25">
      <c r="A45" s="21">
        <v>45821</v>
      </c>
      <c r="B45" s="26">
        <v>4</v>
      </c>
      <c r="C45" s="28">
        <f t="shared" si="4"/>
        <v>1410</v>
      </c>
      <c r="D45" s="24">
        <v>-510</v>
      </c>
      <c r="E45" s="25">
        <f t="shared" si="1"/>
        <v>1920</v>
      </c>
      <c r="F45" s="22">
        <f t="shared" si="5"/>
        <v>97</v>
      </c>
      <c r="G45" s="22">
        <f t="shared" si="6"/>
        <v>25</v>
      </c>
      <c r="H45" s="28">
        <f t="shared" si="7"/>
        <v>1231</v>
      </c>
      <c r="I45" s="27">
        <v>-944</v>
      </c>
      <c r="J45" s="28">
        <f t="shared" si="2"/>
        <v>2175</v>
      </c>
      <c r="K45" s="22">
        <f t="shared" si="8"/>
        <v>261</v>
      </c>
      <c r="L45" s="22">
        <f t="shared" si="9"/>
        <v>25</v>
      </c>
      <c r="M45" s="28">
        <f t="shared" si="10"/>
        <v>1399</v>
      </c>
      <c r="N45" s="24">
        <v>-438</v>
      </c>
      <c r="O45" s="28">
        <f t="shared" si="3"/>
        <v>1837</v>
      </c>
      <c r="P45" s="22">
        <f t="shared" si="11"/>
        <v>48</v>
      </c>
      <c r="Q45" s="29"/>
      <c r="R45" s="30"/>
    </row>
    <row r="46" spans="1:18" x14ac:dyDescent="0.25">
      <c r="A46" s="21">
        <v>45822</v>
      </c>
      <c r="B46" s="26">
        <v>4</v>
      </c>
      <c r="C46" s="28">
        <f t="shared" si="4"/>
        <v>1405</v>
      </c>
      <c r="D46" s="24">
        <v>-515</v>
      </c>
      <c r="E46" s="25">
        <f t="shared" si="1"/>
        <v>1920</v>
      </c>
      <c r="F46" s="22">
        <f t="shared" si="5"/>
        <v>102</v>
      </c>
      <c r="G46" s="22">
        <f t="shared" si="6"/>
        <v>26</v>
      </c>
      <c r="H46" s="28">
        <f t="shared" si="7"/>
        <v>1223</v>
      </c>
      <c r="I46" s="27">
        <v>-952</v>
      </c>
      <c r="J46" s="28">
        <f t="shared" si="2"/>
        <v>2175</v>
      </c>
      <c r="K46" s="22">
        <f t="shared" si="8"/>
        <v>269</v>
      </c>
      <c r="L46" s="22">
        <f t="shared" si="9"/>
        <v>26</v>
      </c>
      <c r="M46" s="28">
        <f t="shared" si="10"/>
        <v>1395</v>
      </c>
      <c r="N46" s="24">
        <v>-442</v>
      </c>
      <c r="O46" s="28">
        <f t="shared" si="3"/>
        <v>1837</v>
      </c>
      <c r="P46" s="22">
        <f t="shared" si="11"/>
        <v>52</v>
      </c>
      <c r="Q46" s="29"/>
      <c r="R46" s="30"/>
    </row>
    <row r="47" spans="1:18" x14ac:dyDescent="0.25">
      <c r="A47" s="21">
        <v>45823</v>
      </c>
      <c r="B47" s="26">
        <v>4</v>
      </c>
      <c r="C47" s="28">
        <f t="shared" si="4"/>
        <v>1400</v>
      </c>
      <c r="D47" s="24">
        <v>-520</v>
      </c>
      <c r="E47" s="25">
        <f t="shared" si="1"/>
        <v>1920</v>
      </c>
      <c r="F47" s="22">
        <f t="shared" si="5"/>
        <v>107</v>
      </c>
      <c r="G47" s="22">
        <f t="shared" si="6"/>
        <v>27</v>
      </c>
      <c r="H47" s="28">
        <f t="shared" si="7"/>
        <v>1215</v>
      </c>
      <c r="I47" s="27">
        <v>-960</v>
      </c>
      <c r="J47" s="28">
        <f t="shared" si="2"/>
        <v>2175</v>
      </c>
      <c r="K47" s="22">
        <f t="shared" si="8"/>
        <v>277</v>
      </c>
      <c r="L47" s="22">
        <f t="shared" si="9"/>
        <v>27</v>
      </c>
      <c r="M47" s="28">
        <f t="shared" si="10"/>
        <v>1391</v>
      </c>
      <c r="N47" s="24">
        <v>-446</v>
      </c>
      <c r="O47" s="28">
        <f t="shared" si="3"/>
        <v>1837</v>
      </c>
      <c r="P47" s="22">
        <f t="shared" si="11"/>
        <v>56</v>
      </c>
      <c r="Q47" s="29"/>
      <c r="R47" s="30"/>
    </row>
    <row r="48" spans="1:18" x14ac:dyDescent="0.25">
      <c r="A48" s="21">
        <v>45824</v>
      </c>
      <c r="B48" s="26">
        <v>4</v>
      </c>
      <c r="C48" s="28">
        <f t="shared" si="4"/>
        <v>1395</v>
      </c>
      <c r="D48" s="24">
        <v>-525</v>
      </c>
      <c r="E48" s="25">
        <f t="shared" si="1"/>
        <v>1920</v>
      </c>
      <c r="F48" s="22">
        <f t="shared" si="5"/>
        <v>112</v>
      </c>
      <c r="G48" s="22">
        <f t="shared" si="6"/>
        <v>28</v>
      </c>
      <c r="H48" s="28">
        <f t="shared" si="7"/>
        <v>1207</v>
      </c>
      <c r="I48" s="27">
        <v>-968</v>
      </c>
      <c r="J48" s="28">
        <f t="shared" si="2"/>
        <v>2175</v>
      </c>
      <c r="K48" s="22">
        <f t="shared" si="8"/>
        <v>285</v>
      </c>
      <c r="L48" s="22">
        <f t="shared" si="9"/>
        <v>28</v>
      </c>
      <c r="M48" s="28">
        <f t="shared" si="10"/>
        <v>1387</v>
      </c>
      <c r="N48" s="24">
        <v>-450</v>
      </c>
      <c r="O48" s="28">
        <f t="shared" si="3"/>
        <v>1837</v>
      </c>
      <c r="P48" s="22">
        <f t="shared" si="11"/>
        <v>60</v>
      </c>
      <c r="Q48" s="29"/>
      <c r="R48" s="30"/>
    </row>
    <row r="49" spans="1:18" x14ac:dyDescent="0.25">
      <c r="A49" s="21">
        <v>45825</v>
      </c>
      <c r="B49" s="26">
        <v>4</v>
      </c>
      <c r="C49" s="28">
        <f t="shared" si="4"/>
        <v>1390</v>
      </c>
      <c r="D49" s="24">
        <v>-530</v>
      </c>
      <c r="E49" s="25">
        <f t="shared" si="1"/>
        <v>1920</v>
      </c>
      <c r="F49" s="22">
        <f t="shared" si="5"/>
        <v>117</v>
      </c>
      <c r="G49" s="22">
        <f t="shared" si="6"/>
        <v>29</v>
      </c>
      <c r="H49" s="28">
        <f t="shared" si="7"/>
        <v>1199</v>
      </c>
      <c r="I49" s="27">
        <v>-976</v>
      </c>
      <c r="J49" s="28">
        <f t="shared" si="2"/>
        <v>2175</v>
      </c>
      <c r="K49" s="22">
        <f t="shared" si="8"/>
        <v>293</v>
      </c>
      <c r="L49" s="22">
        <f t="shared" si="9"/>
        <v>29</v>
      </c>
      <c r="M49" s="28">
        <f t="shared" si="10"/>
        <v>1383</v>
      </c>
      <c r="N49" s="24">
        <v>-454</v>
      </c>
      <c r="O49" s="28">
        <f t="shared" si="3"/>
        <v>1837</v>
      </c>
      <c r="P49" s="22">
        <f t="shared" si="11"/>
        <v>64</v>
      </c>
      <c r="Q49" s="29"/>
      <c r="R49" s="30"/>
    </row>
    <row r="50" spans="1:18" x14ac:dyDescent="0.25">
      <c r="A50" s="21">
        <v>45826</v>
      </c>
      <c r="B50" s="26">
        <v>4</v>
      </c>
      <c r="C50" s="28">
        <f t="shared" si="4"/>
        <v>1380</v>
      </c>
      <c r="D50" s="24">
        <v>-540</v>
      </c>
      <c r="E50" s="25">
        <f t="shared" si="1"/>
        <v>1920</v>
      </c>
      <c r="F50" s="22">
        <f t="shared" si="5"/>
        <v>127</v>
      </c>
      <c r="G50" s="22">
        <f t="shared" si="6"/>
        <v>30</v>
      </c>
      <c r="H50" s="28">
        <f t="shared" si="7"/>
        <v>1191</v>
      </c>
      <c r="I50" s="27">
        <v>-984</v>
      </c>
      <c r="J50" s="28">
        <f t="shared" si="2"/>
        <v>2175</v>
      </c>
      <c r="K50" s="22">
        <f t="shared" si="8"/>
        <v>301</v>
      </c>
      <c r="L50" s="22">
        <f t="shared" si="9"/>
        <v>30</v>
      </c>
      <c r="M50" s="28">
        <f t="shared" si="10"/>
        <v>1379</v>
      </c>
      <c r="N50" s="24">
        <v>-458</v>
      </c>
      <c r="O50" s="28">
        <f t="shared" si="3"/>
        <v>1837</v>
      </c>
      <c r="P50" s="22">
        <f t="shared" si="11"/>
        <v>68</v>
      </c>
      <c r="Q50" s="29"/>
      <c r="R50" s="30"/>
    </row>
    <row r="51" spans="1:18" x14ac:dyDescent="0.25">
      <c r="A51" s="21">
        <v>45827</v>
      </c>
      <c r="B51" s="26">
        <v>4</v>
      </c>
      <c r="C51" s="28">
        <f t="shared" si="4"/>
        <v>1370</v>
      </c>
      <c r="D51" s="24">
        <v>-550</v>
      </c>
      <c r="E51" s="25">
        <f t="shared" si="1"/>
        <v>1920</v>
      </c>
      <c r="F51" s="22">
        <f t="shared" si="5"/>
        <v>137</v>
      </c>
      <c r="G51" s="22">
        <f t="shared" si="6"/>
        <v>31</v>
      </c>
      <c r="H51" s="28">
        <f t="shared" si="7"/>
        <v>1183</v>
      </c>
      <c r="I51" s="27">
        <v>-992</v>
      </c>
      <c r="J51" s="28">
        <f t="shared" si="2"/>
        <v>2175</v>
      </c>
      <c r="K51" s="22">
        <f t="shared" si="8"/>
        <v>309</v>
      </c>
      <c r="L51" s="22">
        <f t="shared" si="9"/>
        <v>31</v>
      </c>
      <c r="M51" s="28">
        <f t="shared" si="10"/>
        <v>1375</v>
      </c>
      <c r="N51" s="24">
        <v>-462</v>
      </c>
      <c r="O51" s="28">
        <f t="shared" si="3"/>
        <v>1837</v>
      </c>
      <c r="P51" s="22">
        <f t="shared" si="11"/>
        <v>72</v>
      </c>
      <c r="Q51" s="29"/>
      <c r="R51" s="30"/>
    </row>
    <row r="52" spans="1:18" x14ac:dyDescent="0.25">
      <c r="A52" s="21">
        <v>45828</v>
      </c>
      <c r="B52" s="26">
        <v>4</v>
      </c>
      <c r="C52" s="28">
        <f t="shared" si="4"/>
        <v>1360</v>
      </c>
      <c r="D52" s="24">
        <v>-560</v>
      </c>
      <c r="E52" s="25">
        <f t="shared" si="1"/>
        <v>1920</v>
      </c>
      <c r="F52" s="22">
        <f t="shared" si="5"/>
        <v>147</v>
      </c>
      <c r="G52" s="22">
        <f t="shared" si="6"/>
        <v>32</v>
      </c>
      <c r="H52" s="28">
        <f t="shared" si="7"/>
        <v>1175</v>
      </c>
      <c r="I52" s="27">
        <v>-1000</v>
      </c>
      <c r="J52" s="28">
        <f t="shared" si="2"/>
        <v>2175</v>
      </c>
      <c r="K52" s="22">
        <f t="shared" si="8"/>
        <v>317</v>
      </c>
      <c r="L52" s="22">
        <f t="shared" si="9"/>
        <v>32</v>
      </c>
      <c r="M52" s="28">
        <f t="shared" si="10"/>
        <v>1364</v>
      </c>
      <c r="N52" s="24">
        <v>-473</v>
      </c>
      <c r="O52" s="28">
        <f t="shared" si="3"/>
        <v>1837</v>
      </c>
      <c r="P52" s="22">
        <f t="shared" si="11"/>
        <v>83</v>
      </c>
      <c r="Q52" s="29"/>
      <c r="R52" s="30"/>
    </row>
    <row r="53" spans="1:18" x14ac:dyDescent="0.25">
      <c r="A53" s="21">
        <v>45829</v>
      </c>
      <c r="B53" s="26">
        <v>4</v>
      </c>
      <c r="C53" s="28">
        <f t="shared" si="4"/>
        <v>1350</v>
      </c>
      <c r="D53" s="24">
        <v>-570</v>
      </c>
      <c r="E53" s="25">
        <f t="shared" si="1"/>
        <v>1920</v>
      </c>
      <c r="F53" s="22">
        <f t="shared" si="5"/>
        <v>157</v>
      </c>
      <c r="G53" s="22">
        <f t="shared" si="6"/>
        <v>33</v>
      </c>
      <c r="H53" s="28">
        <f t="shared" si="7"/>
        <v>1167</v>
      </c>
      <c r="I53" s="27">
        <v>-1008</v>
      </c>
      <c r="J53" s="28">
        <f t="shared" si="2"/>
        <v>2175</v>
      </c>
      <c r="K53" s="22">
        <f t="shared" si="8"/>
        <v>325</v>
      </c>
      <c r="L53" s="22">
        <f t="shared" si="9"/>
        <v>33</v>
      </c>
      <c r="M53" s="28">
        <f t="shared" si="10"/>
        <v>1353</v>
      </c>
      <c r="N53" s="24">
        <v>-484</v>
      </c>
      <c r="O53" s="28">
        <f t="shared" si="3"/>
        <v>1837</v>
      </c>
      <c r="P53" s="22">
        <f t="shared" si="11"/>
        <v>94</v>
      </c>
      <c r="Q53" s="29"/>
      <c r="R53" s="30"/>
    </row>
    <row r="54" spans="1:18" x14ac:dyDescent="0.25">
      <c r="A54" s="21">
        <v>45830</v>
      </c>
      <c r="B54" s="26">
        <v>4</v>
      </c>
      <c r="C54" s="28">
        <f t="shared" si="4"/>
        <v>1340</v>
      </c>
      <c r="D54" s="24">
        <v>-580</v>
      </c>
      <c r="E54" s="25">
        <f t="shared" si="1"/>
        <v>1920</v>
      </c>
      <c r="F54" s="22">
        <f t="shared" si="5"/>
        <v>167</v>
      </c>
      <c r="G54" s="22">
        <f t="shared" si="6"/>
        <v>34</v>
      </c>
      <c r="H54" s="28">
        <f t="shared" si="7"/>
        <v>1159</v>
      </c>
      <c r="I54" s="27">
        <v>-1016</v>
      </c>
      <c r="J54" s="28">
        <f t="shared" si="2"/>
        <v>2175</v>
      </c>
      <c r="K54" s="22">
        <f t="shared" si="8"/>
        <v>333</v>
      </c>
      <c r="L54" s="22">
        <f t="shared" si="9"/>
        <v>34</v>
      </c>
      <c r="M54" s="28">
        <f t="shared" si="10"/>
        <v>1342</v>
      </c>
      <c r="N54" s="24">
        <v>-495</v>
      </c>
      <c r="O54" s="28">
        <f t="shared" si="3"/>
        <v>1837</v>
      </c>
      <c r="P54" s="22">
        <f t="shared" si="11"/>
        <v>105</v>
      </c>
      <c r="Q54" s="29"/>
      <c r="R54" s="30"/>
    </row>
    <row r="55" spans="1:18" x14ac:dyDescent="0.25">
      <c r="A55" s="21">
        <v>45831</v>
      </c>
      <c r="B55" s="26">
        <v>4</v>
      </c>
      <c r="C55" s="28">
        <f t="shared" si="4"/>
        <v>1330</v>
      </c>
      <c r="D55" s="24">
        <v>-590</v>
      </c>
      <c r="E55" s="25">
        <f t="shared" si="1"/>
        <v>1920</v>
      </c>
      <c r="F55" s="22">
        <f t="shared" si="5"/>
        <v>177</v>
      </c>
      <c r="G55" s="22">
        <f t="shared" si="6"/>
        <v>35</v>
      </c>
      <c r="H55" s="28">
        <f t="shared" si="7"/>
        <v>1151</v>
      </c>
      <c r="I55" s="27">
        <v>-1024</v>
      </c>
      <c r="J55" s="28">
        <f t="shared" si="2"/>
        <v>2175</v>
      </c>
      <c r="K55" s="22">
        <f t="shared" si="8"/>
        <v>341</v>
      </c>
      <c r="L55" s="22">
        <f t="shared" si="9"/>
        <v>35</v>
      </c>
      <c r="M55" s="28">
        <f t="shared" si="10"/>
        <v>1331</v>
      </c>
      <c r="N55" s="24">
        <v>-506</v>
      </c>
      <c r="O55" s="28">
        <f t="shared" si="3"/>
        <v>1837</v>
      </c>
      <c r="P55" s="22">
        <f t="shared" si="11"/>
        <v>116</v>
      </c>
      <c r="Q55" s="29"/>
      <c r="R55" s="30"/>
    </row>
    <row r="56" spans="1:18" x14ac:dyDescent="0.25">
      <c r="A56" s="21">
        <v>45832</v>
      </c>
      <c r="B56" s="26">
        <v>4</v>
      </c>
      <c r="C56" s="28">
        <f t="shared" si="4"/>
        <v>1320</v>
      </c>
      <c r="D56" s="24">
        <v>-600</v>
      </c>
      <c r="E56" s="25">
        <f t="shared" si="1"/>
        <v>1920</v>
      </c>
      <c r="F56" s="22">
        <f t="shared" si="5"/>
        <v>187</v>
      </c>
      <c r="G56" s="22">
        <f t="shared" si="6"/>
        <v>36</v>
      </c>
      <c r="H56" s="28">
        <f t="shared" si="7"/>
        <v>1143</v>
      </c>
      <c r="I56" s="27">
        <v>-1032</v>
      </c>
      <c r="J56" s="28">
        <f t="shared" si="2"/>
        <v>2175</v>
      </c>
      <c r="K56" s="22">
        <f t="shared" si="8"/>
        <v>349</v>
      </c>
      <c r="L56" s="22">
        <f t="shared" si="9"/>
        <v>36</v>
      </c>
      <c r="M56" s="28">
        <f t="shared" si="10"/>
        <v>1320</v>
      </c>
      <c r="N56" s="24">
        <v>-517</v>
      </c>
      <c r="O56" s="28">
        <f t="shared" si="3"/>
        <v>1837</v>
      </c>
      <c r="P56" s="22">
        <f t="shared" si="11"/>
        <v>127</v>
      </c>
      <c r="Q56" s="29"/>
      <c r="R56" s="30"/>
    </row>
    <row r="57" spans="1:18" x14ac:dyDescent="0.25">
      <c r="A57" s="21">
        <v>45833</v>
      </c>
      <c r="B57" s="26">
        <v>4</v>
      </c>
      <c r="C57" s="28">
        <f t="shared" si="4"/>
        <v>1310</v>
      </c>
      <c r="D57" s="24">
        <v>-610</v>
      </c>
      <c r="E57" s="25">
        <f t="shared" si="1"/>
        <v>1920</v>
      </c>
      <c r="F57" s="22">
        <f t="shared" si="5"/>
        <v>197</v>
      </c>
      <c r="G57" s="22">
        <f t="shared" si="6"/>
        <v>37</v>
      </c>
      <c r="H57" s="28">
        <f t="shared" si="7"/>
        <v>1135</v>
      </c>
      <c r="I57" s="27">
        <v>-1040</v>
      </c>
      <c r="J57" s="28">
        <f t="shared" si="2"/>
        <v>2175</v>
      </c>
      <c r="K57" s="22">
        <f t="shared" si="8"/>
        <v>357</v>
      </c>
      <c r="L57" s="22">
        <f t="shared" si="9"/>
        <v>37</v>
      </c>
      <c r="M57" s="28">
        <f t="shared" si="10"/>
        <v>1309</v>
      </c>
      <c r="N57" s="24">
        <v>-528</v>
      </c>
      <c r="O57" s="28">
        <f t="shared" si="3"/>
        <v>1837</v>
      </c>
      <c r="P57" s="22">
        <f t="shared" si="11"/>
        <v>138</v>
      </c>
      <c r="Q57" s="29"/>
      <c r="R57" s="30"/>
    </row>
    <row r="58" spans="1:18" x14ac:dyDescent="0.25">
      <c r="A58" s="21">
        <v>45834</v>
      </c>
      <c r="B58" s="26">
        <v>4</v>
      </c>
      <c r="C58" s="28">
        <f t="shared" si="4"/>
        <v>1300</v>
      </c>
      <c r="D58" s="24">
        <v>-620</v>
      </c>
      <c r="E58" s="25">
        <f t="shared" si="1"/>
        <v>1920</v>
      </c>
      <c r="F58" s="22">
        <f t="shared" si="5"/>
        <v>207</v>
      </c>
      <c r="G58" s="22">
        <f t="shared" si="6"/>
        <v>38</v>
      </c>
      <c r="H58" s="28">
        <f t="shared" si="7"/>
        <v>1114</v>
      </c>
      <c r="I58" s="27">
        <v>-1061</v>
      </c>
      <c r="J58" s="28">
        <f t="shared" si="2"/>
        <v>2175</v>
      </c>
      <c r="K58" s="22">
        <f t="shared" si="8"/>
        <v>378</v>
      </c>
      <c r="L58" s="22">
        <f t="shared" si="9"/>
        <v>38</v>
      </c>
      <c r="M58" s="28">
        <f t="shared" si="10"/>
        <v>1298</v>
      </c>
      <c r="N58" s="24">
        <v>-539</v>
      </c>
      <c r="O58" s="28">
        <f t="shared" si="3"/>
        <v>1837</v>
      </c>
      <c r="P58" s="22">
        <f t="shared" si="11"/>
        <v>149</v>
      </c>
      <c r="Q58" s="29"/>
      <c r="R58" s="30"/>
    </row>
    <row r="59" spans="1:18" x14ac:dyDescent="0.25">
      <c r="A59" s="21">
        <v>45835</v>
      </c>
      <c r="B59" s="26">
        <v>4</v>
      </c>
      <c r="C59" s="28">
        <f t="shared" si="4"/>
        <v>1295</v>
      </c>
      <c r="D59" s="24">
        <v>-625</v>
      </c>
      <c r="E59" s="25">
        <f t="shared" si="1"/>
        <v>1920</v>
      </c>
      <c r="F59" s="22">
        <f t="shared" si="5"/>
        <v>212</v>
      </c>
      <c r="G59" s="22">
        <f t="shared" si="6"/>
        <v>39</v>
      </c>
      <c r="H59" s="28">
        <f t="shared" si="7"/>
        <v>1113</v>
      </c>
      <c r="I59" s="27">
        <v>-1062</v>
      </c>
      <c r="J59" s="28">
        <f t="shared" si="2"/>
        <v>2175</v>
      </c>
      <c r="K59" s="22">
        <f t="shared" si="8"/>
        <v>379</v>
      </c>
      <c r="L59" s="22">
        <f t="shared" si="9"/>
        <v>39</v>
      </c>
      <c r="M59" s="28">
        <f t="shared" si="10"/>
        <v>1293</v>
      </c>
      <c r="N59" s="24">
        <v>-544</v>
      </c>
      <c r="O59" s="28">
        <f t="shared" si="3"/>
        <v>1837</v>
      </c>
      <c r="P59" s="22">
        <f t="shared" si="11"/>
        <v>154</v>
      </c>
      <c r="Q59" s="29"/>
      <c r="R59" s="30"/>
    </row>
    <row r="60" spans="1:18" x14ac:dyDescent="0.25">
      <c r="A60" s="21">
        <v>45836</v>
      </c>
      <c r="B60" s="26">
        <v>4</v>
      </c>
      <c r="C60" s="28">
        <f t="shared" si="4"/>
        <v>1290</v>
      </c>
      <c r="D60" s="24">
        <v>-630</v>
      </c>
      <c r="E60" s="25">
        <f t="shared" si="1"/>
        <v>1920</v>
      </c>
      <c r="F60" s="22">
        <f t="shared" si="5"/>
        <v>217</v>
      </c>
      <c r="G60" s="22">
        <f t="shared" si="6"/>
        <v>40</v>
      </c>
      <c r="H60" s="28">
        <f t="shared" si="7"/>
        <v>1112</v>
      </c>
      <c r="I60" s="27">
        <v>-1063</v>
      </c>
      <c r="J60" s="28">
        <f t="shared" si="2"/>
        <v>2175</v>
      </c>
      <c r="K60" s="22">
        <f t="shared" si="8"/>
        <v>380</v>
      </c>
      <c r="L60" s="22">
        <f t="shared" si="9"/>
        <v>40</v>
      </c>
      <c r="M60" s="28">
        <f t="shared" si="10"/>
        <v>1288</v>
      </c>
      <c r="N60" s="24">
        <v>-549</v>
      </c>
      <c r="O60" s="28">
        <f t="shared" si="3"/>
        <v>1837</v>
      </c>
      <c r="P60" s="22">
        <f t="shared" si="11"/>
        <v>159</v>
      </c>
      <c r="Q60" s="29"/>
      <c r="R60" s="30"/>
    </row>
    <row r="61" spans="1:18" x14ac:dyDescent="0.25">
      <c r="A61" s="21">
        <v>45837</v>
      </c>
      <c r="B61" s="26">
        <v>4</v>
      </c>
      <c r="C61" s="28">
        <f t="shared" si="4"/>
        <v>1285</v>
      </c>
      <c r="D61" s="24">
        <v>-635</v>
      </c>
      <c r="E61" s="25">
        <f t="shared" si="1"/>
        <v>1920</v>
      </c>
      <c r="F61" s="22">
        <f t="shared" si="5"/>
        <v>222</v>
      </c>
      <c r="G61" s="22">
        <f t="shared" si="6"/>
        <v>41</v>
      </c>
      <c r="H61" s="28">
        <f t="shared" si="7"/>
        <v>1111</v>
      </c>
      <c r="I61" s="27">
        <v>-1064</v>
      </c>
      <c r="J61" s="28">
        <f t="shared" si="2"/>
        <v>2175</v>
      </c>
      <c r="K61" s="22">
        <f t="shared" si="8"/>
        <v>381</v>
      </c>
      <c r="L61" s="22">
        <f t="shared" si="9"/>
        <v>41</v>
      </c>
      <c r="M61" s="28">
        <f t="shared" si="10"/>
        <v>1283</v>
      </c>
      <c r="N61" s="24">
        <v>-554</v>
      </c>
      <c r="O61" s="28">
        <f t="shared" si="3"/>
        <v>1837</v>
      </c>
      <c r="P61" s="22">
        <f t="shared" si="11"/>
        <v>164</v>
      </c>
      <c r="Q61" s="29"/>
      <c r="R61" s="30"/>
    </row>
    <row r="62" spans="1:18" x14ac:dyDescent="0.25">
      <c r="A62" s="21">
        <v>45838</v>
      </c>
      <c r="B62" s="26">
        <v>4</v>
      </c>
      <c r="C62" s="28">
        <f t="shared" si="4"/>
        <v>1280</v>
      </c>
      <c r="D62" s="24">
        <v>-640</v>
      </c>
      <c r="E62" s="25">
        <f t="shared" si="1"/>
        <v>1920</v>
      </c>
      <c r="F62" s="22">
        <f t="shared" si="5"/>
        <v>227</v>
      </c>
      <c r="G62" s="22">
        <f t="shared" si="6"/>
        <v>42</v>
      </c>
      <c r="H62" s="28">
        <f t="shared" si="7"/>
        <v>1110</v>
      </c>
      <c r="I62" s="27">
        <v>-1065</v>
      </c>
      <c r="J62" s="28">
        <f t="shared" si="2"/>
        <v>2175</v>
      </c>
      <c r="K62" s="22">
        <f t="shared" si="8"/>
        <v>382</v>
      </c>
      <c r="L62" s="22">
        <f t="shared" si="9"/>
        <v>42</v>
      </c>
      <c r="M62" s="28">
        <f t="shared" si="10"/>
        <v>1278</v>
      </c>
      <c r="N62" s="24">
        <v>-559</v>
      </c>
      <c r="O62" s="28">
        <f t="shared" si="3"/>
        <v>1837</v>
      </c>
      <c r="P62" s="22">
        <f t="shared" si="11"/>
        <v>169</v>
      </c>
      <c r="Q62" s="29"/>
      <c r="R62" s="30"/>
    </row>
    <row r="63" spans="1:18" x14ac:dyDescent="0.25">
      <c r="A63" s="21">
        <v>45839</v>
      </c>
      <c r="B63" s="26">
        <v>4</v>
      </c>
      <c r="C63" s="28">
        <f t="shared" si="4"/>
        <v>1275</v>
      </c>
      <c r="D63" s="24">
        <v>-645</v>
      </c>
      <c r="E63" s="25">
        <f t="shared" si="1"/>
        <v>1920</v>
      </c>
      <c r="F63" s="22">
        <f t="shared" si="5"/>
        <v>232</v>
      </c>
      <c r="G63" s="22">
        <f t="shared" si="6"/>
        <v>43</v>
      </c>
      <c r="H63" s="28">
        <f t="shared" si="7"/>
        <v>1109</v>
      </c>
      <c r="I63" s="27">
        <v>-1066</v>
      </c>
      <c r="J63" s="28">
        <f t="shared" si="2"/>
        <v>2175</v>
      </c>
      <c r="K63" s="22">
        <f t="shared" si="8"/>
        <v>383</v>
      </c>
      <c r="L63" s="22">
        <f t="shared" si="9"/>
        <v>43</v>
      </c>
      <c r="M63" s="28">
        <f t="shared" si="10"/>
        <v>1273</v>
      </c>
      <c r="N63" s="24">
        <v>-564</v>
      </c>
      <c r="O63" s="28">
        <f t="shared" si="3"/>
        <v>1837</v>
      </c>
      <c r="P63" s="22">
        <f t="shared" si="11"/>
        <v>174</v>
      </c>
      <c r="Q63" s="29"/>
      <c r="R63" s="30"/>
    </row>
    <row r="64" spans="1:18" x14ac:dyDescent="0.25">
      <c r="A64" s="21">
        <v>45840</v>
      </c>
      <c r="B64" s="26">
        <v>4</v>
      </c>
      <c r="C64" s="28">
        <f t="shared" si="4"/>
        <v>1270</v>
      </c>
      <c r="D64" s="24">
        <v>-650</v>
      </c>
      <c r="E64" s="25">
        <f t="shared" si="1"/>
        <v>1920</v>
      </c>
      <c r="F64" s="22">
        <f t="shared" si="5"/>
        <v>237</v>
      </c>
      <c r="G64" s="22">
        <f t="shared" si="6"/>
        <v>44</v>
      </c>
      <c r="H64" s="28">
        <f t="shared" si="7"/>
        <v>1108</v>
      </c>
      <c r="I64" s="27">
        <v>-1067</v>
      </c>
      <c r="J64" s="28">
        <f t="shared" si="2"/>
        <v>2175</v>
      </c>
      <c r="K64" s="22">
        <f t="shared" si="8"/>
        <v>384</v>
      </c>
      <c r="L64" s="22">
        <f t="shared" si="9"/>
        <v>44</v>
      </c>
      <c r="M64" s="28">
        <f t="shared" si="10"/>
        <v>1268</v>
      </c>
      <c r="N64" s="24">
        <v>-569</v>
      </c>
      <c r="O64" s="28">
        <f t="shared" si="3"/>
        <v>1837</v>
      </c>
      <c r="P64" s="22">
        <f t="shared" si="11"/>
        <v>179</v>
      </c>
      <c r="Q64" s="29"/>
      <c r="R64" s="30"/>
    </row>
    <row r="65" spans="1:18" x14ac:dyDescent="0.25">
      <c r="A65" s="21">
        <v>45841</v>
      </c>
      <c r="B65" s="26">
        <v>4</v>
      </c>
      <c r="C65" s="28">
        <f t="shared" si="4"/>
        <v>1265</v>
      </c>
      <c r="D65" s="24">
        <v>-655</v>
      </c>
      <c r="E65" s="25">
        <f t="shared" si="1"/>
        <v>1920</v>
      </c>
      <c r="F65" s="22">
        <f t="shared" si="5"/>
        <v>242</v>
      </c>
      <c r="G65" s="22">
        <f t="shared" si="6"/>
        <v>45</v>
      </c>
      <c r="H65" s="28">
        <f t="shared" si="7"/>
        <v>1107</v>
      </c>
      <c r="I65" s="27">
        <v>-1068</v>
      </c>
      <c r="J65" s="28">
        <f t="shared" si="2"/>
        <v>2175</v>
      </c>
      <c r="K65" s="22">
        <f t="shared" si="8"/>
        <v>385</v>
      </c>
      <c r="L65" s="22">
        <f t="shared" si="9"/>
        <v>45</v>
      </c>
      <c r="M65" s="28">
        <f t="shared" si="10"/>
        <v>1262</v>
      </c>
      <c r="N65" s="24">
        <v>-575</v>
      </c>
      <c r="O65" s="28">
        <f t="shared" si="3"/>
        <v>1837</v>
      </c>
      <c r="P65" s="22">
        <f t="shared" si="11"/>
        <v>185</v>
      </c>
      <c r="Q65" s="29"/>
      <c r="R65" s="30"/>
    </row>
    <row r="66" spans="1:18" x14ac:dyDescent="0.25">
      <c r="A66" s="21">
        <v>45842</v>
      </c>
      <c r="B66" s="26">
        <v>4</v>
      </c>
      <c r="C66" s="28">
        <f t="shared" si="4"/>
        <v>1260</v>
      </c>
      <c r="D66" s="24">
        <v>-660</v>
      </c>
      <c r="E66" s="25">
        <f t="shared" si="1"/>
        <v>1920</v>
      </c>
      <c r="F66" s="22">
        <f t="shared" si="5"/>
        <v>247</v>
      </c>
      <c r="G66" s="22">
        <f t="shared" si="6"/>
        <v>46</v>
      </c>
      <c r="H66" s="28">
        <f t="shared" si="7"/>
        <v>1106</v>
      </c>
      <c r="I66" s="27">
        <v>-1069</v>
      </c>
      <c r="J66" s="28">
        <f t="shared" si="2"/>
        <v>2175</v>
      </c>
      <c r="K66" s="22">
        <f t="shared" si="8"/>
        <v>386</v>
      </c>
      <c r="L66" s="22">
        <f t="shared" si="9"/>
        <v>46</v>
      </c>
      <c r="M66" s="28">
        <f t="shared" si="10"/>
        <v>1256</v>
      </c>
      <c r="N66" s="24">
        <v>-581</v>
      </c>
      <c r="O66" s="28">
        <f t="shared" si="3"/>
        <v>1837</v>
      </c>
      <c r="P66" s="22">
        <f t="shared" si="11"/>
        <v>191</v>
      </c>
      <c r="Q66" s="29"/>
      <c r="R66" s="30"/>
    </row>
    <row r="67" spans="1:18" x14ac:dyDescent="0.25">
      <c r="A67" s="21">
        <v>45843</v>
      </c>
      <c r="B67" s="26">
        <v>4</v>
      </c>
      <c r="C67" s="28">
        <f t="shared" si="4"/>
        <v>1255</v>
      </c>
      <c r="D67" s="24">
        <v>-665</v>
      </c>
      <c r="E67" s="25">
        <f t="shared" si="1"/>
        <v>1920</v>
      </c>
      <c r="F67" s="22">
        <f t="shared" si="5"/>
        <v>252</v>
      </c>
      <c r="G67" s="22">
        <f t="shared" si="6"/>
        <v>47</v>
      </c>
      <c r="H67" s="28">
        <f t="shared" si="7"/>
        <v>1105</v>
      </c>
      <c r="I67" s="27">
        <v>-1070</v>
      </c>
      <c r="J67" s="28">
        <f t="shared" si="2"/>
        <v>2175</v>
      </c>
      <c r="K67" s="22">
        <f t="shared" si="8"/>
        <v>387</v>
      </c>
      <c r="L67" s="22">
        <f t="shared" si="9"/>
        <v>47</v>
      </c>
      <c r="M67" s="28">
        <f t="shared" si="10"/>
        <v>1250</v>
      </c>
      <c r="N67" s="24">
        <v>-587</v>
      </c>
      <c r="O67" s="28">
        <f t="shared" si="3"/>
        <v>1837</v>
      </c>
      <c r="P67" s="22">
        <f t="shared" si="11"/>
        <v>197</v>
      </c>
      <c r="Q67" s="29"/>
      <c r="R67" s="30"/>
    </row>
    <row r="68" spans="1:18" x14ac:dyDescent="0.25">
      <c r="A68" s="21">
        <v>45844</v>
      </c>
      <c r="B68" s="26">
        <v>4</v>
      </c>
      <c r="C68" s="28">
        <f t="shared" si="4"/>
        <v>1250</v>
      </c>
      <c r="D68" s="24">
        <v>-670</v>
      </c>
      <c r="E68" s="25">
        <f t="shared" si="1"/>
        <v>1920</v>
      </c>
      <c r="F68" s="22">
        <f t="shared" si="5"/>
        <v>257</v>
      </c>
      <c r="G68" s="22">
        <f t="shared" si="6"/>
        <v>48</v>
      </c>
      <c r="H68" s="28">
        <f t="shared" si="7"/>
        <v>1104</v>
      </c>
      <c r="I68" s="27">
        <v>-1071</v>
      </c>
      <c r="J68" s="28">
        <f t="shared" si="2"/>
        <v>2175</v>
      </c>
      <c r="K68" s="22">
        <f t="shared" si="8"/>
        <v>388</v>
      </c>
      <c r="L68" s="22">
        <f t="shared" si="9"/>
        <v>48</v>
      </c>
      <c r="M68" s="28">
        <f t="shared" si="10"/>
        <v>1244</v>
      </c>
      <c r="N68" s="24">
        <v>-593</v>
      </c>
      <c r="O68" s="28">
        <f t="shared" si="3"/>
        <v>1837</v>
      </c>
      <c r="P68" s="22">
        <f t="shared" si="11"/>
        <v>203</v>
      </c>
      <c r="Q68" s="29"/>
      <c r="R68" s="30"/>
    </row>
    <row r="69" spans="1:18" x14ac:dyDescent="0.25">
      <c r="A69" s="21">
        <v>45845</v>
      </c>
      <c r="B69" s="26">
        <v>4</v>
      </c>
      <c r="C69" s="28">
        <f t="shared" si="4"/>
        <v>1245</v>
      </c>
      <c r="D69" s="24">
        <v>-675</v>
      </c>
      <c r="E69" s="25">
        <f t="shared" si="1"/>
        <v>1920</v>
      </c>
      <c r="F69" s="22">
        <f t="shared" si="5"/>
        <v>262</v>
      </c>
      <c r="G69" s="22">
        <f t="shared" si="6"/>
        <v>49</v>
      </c>
      <c r="H69" s="28">
        <f t="shared" si="7"/>
        <v>1103</v>
      </c>
      <c r="I69" s="27">
        <v>-1072</v>
      </c>
      <c r="J69" s="28">
        <f t="shared" si="2"/>
        <v>2175</v>
      </c>
      <c r="K69" s="22">
        <f t="shared" si="8"/>
        <v>389</v>
      </c>
      <c r="L69" s="22">
        <f t="shared" si="9"/>
        <v>49</v>
      </c>
      <c r="M69" s="28">
        <f t="shared" si="10"/>
        <v>1238</v>
      </c>
      <c r="N69" s="24">
        <v>-599</v>
      </c>
      <c r="O69" s="28">
        <f t="shared" si="3"/>
        <v>1837</v>
      </c>
      <c r="P69" s="22">
        <f t="shared" si="11"/>
        <v>209</v>
      </c>
      <c r="Q69" s="29"/>
      <c r="R69" s="30"/>
    </row>
    <row r="70" spans="1:18" x14ac:dyDescent="0.25">
      <c r="A70" s="21">
        <v>45846</v>
      </c>
      <c r="B70" s="26">
        <v>4</v>
      </c>
      <c r="C70" s="28">
        <f t="shared" si="4"/>
        <v>1240</v>
      </c>
      <c r="D70" s="24">
        <v>-680</v>
      </c>
      <c r="E70" s="25">
        <f t="shared" si="1"/>
        <v>1920</v>
      </c>
      <c r="F70" s="22">
        <f t="shared" si="5"/>
        <v>267</v>
      </c>
      <c r="G70" s="22">
        <f t="shared" si="6"/>
        <v>50</v>
      </c>
      <c r="H70" s="28">
        <f t="shared" si="7"/>
        <v>1102</v>
      </c>
      <c r="I70" s="27">
        <v>-1073</v>
      </c>
      <c r="J70" s="28">
        <f t="shared" si="2"/>
        <v>2175</v>
      </c>
      <c r="K70" s="22">
        <f t="shared" si="8"/>
        <v>390</v>
      </c>
      <c r="L70" s="22">
        <f t="shared" si="9"/>
        <v>50</v>
      </c>
      <c r="M70" s="28">
        <f t="shared" si="10"/>
        <v>1232</v>
      </c>
      <c r="N70" s="24">
        <v>-605</v>
      </c>
      <c r="O70" s="28">
        <f t="shared" si="3"/>
        <v>1837</v>
      </c>
      <c r="P70" s="22">
        <f t="shared" si="11"/>
        <v>215</v>
      </c>
      <c r="Q70" s="29"/>
      <c r="R70" s="30"/>
    </row>
    <row r="71" spans="1:18" x14ac:dyDescent="0.25">
      <c r="A71" s="21">
        <v>45847</v>
      </c>
      <c r="B71" s="26">
        <v>4</v>
      </c>
      <c r="C71" s="28">
        <f t="shared" si="4"/>
        <v>1235</v>
      </c>
      <c r="D71" s="24">
        <v>-685</v>
      </c>
      <c r="E71" s="25">
        <f t="shared" si="1"/>
        <v>1920</v>
      </c>
      <c r="F71" s="22">
        <f t="shared" si="5"/>
        <v>272</v>
      </c>
      <c r="G71" s="22">
        <f t="shared" si="6"/>
        <v>51</v>
      </c>
      <c r="H71" s="28">
        <f t="shared" si="7"/>
        <v>1101</v>
      </c>
      <c r="I71" s="27">
        <v>-1074</v>
      </c>
      <c r="J71" s="28">
        <f t="shared" si="2"/>
        <v>2175</v>
      </c>
      <c r="K71" s="22">
        <f t="shared" si="8"/>
        <v>391</v>
      </c>
      <c r="L71" s="22">
        <f t="shared" si="9"/>
        <v>51</v>
      </c>
      <c r="M71" s="28">
        <f t="shared" si="10"/>
        <v>1226</v>
      </c>
      <c r="N71" s="24">
        <v>-611</v>
      </c>
      <c r="O71" s="28">
        <f t="shared" si="3"/>
        <v>1837</v>
      </c>
      <c r="P71" s="22">
        <f t="shared" si="11"/>
        <v>221</v>
      </c>
      <c r="Q71" s="29"/>
      <c r="R71" s="30"/>
    </row>
    <row r="72" spans="1:18" x14ac:dyDescent="0.25">
      <c r="A72" s="21">
        <v>45848</v>
      </c>
      <c r="B72" s="26">
        <v>4</v>
      </c>
      <c r="C72" s="28">
        <f t="shared" si="4"/>
        <v>1230</v>
      </c>
      <c r="D72" s="24">
        <v>-690</v>
      </c>
      <c r="E72" s="25">
        <f t="shared" si="1"/>
        <v>1920</v>
      </c>
      <c r="F72" s="22">
        <f t="shared" si="5"/>
        <v>277</v>
      </c>
      <c r="G72" s="22">
        <f t="shared" si="6"/>
        <v>52</v>
      </c>
      <c r="H72" s="28">
        <f t="shared" si="7"/>
        <v>1100</v>
      </c>
      <c r="I72" s="27">
        <v>-1075</v>
      </c>
      <c r="J72" s="28">
        <f t="shared" si="2"/>
        <v>2175</v>
      </c>
      <c r="K72" s="22">
        <f t="shared" si="8"/>
        <v>392</v>
      </c>
      <c r="L72" s="22">
        <f t="shared" si="9"/>
        <v>52</v>
      </c>
      <c r="M72" s="28">
        <f t="shared" si="10"/>
        <v>1220</v>
      </c>
      <c r="N72" s="24">
        <v>-617</v>
      </c>
      <c r="O72" s="28">
        <f t="shared" si="3"/>
        <v>1837</v>
      </c>
      <c r="P72" s="22">
        <f t="shared" si="11"/>
        <v>227</v>
      </c>
      <c r="Q72" s="29"/>
      <c r="R72" s="30"/>
    </row>
    <row r="73" spans="1:18" x14ac:dyDescent="0.25">
      <c r="A73" s="21">
        <v>45849</v>
      </c>
      <c r="B73" s="26">
        <v>4</v>
      </c>
      <c r="C73" s="28">
        <f t="shared" si="4"/>
        <v>1225</v>
      </c>
      <c r="D73" s="24">
        <v>-695</v>
      </c>
      <c r="E73" s="25">
        <f t="shared" si="1"/>
        <v>1920</v>
      </c>
      <c r="F73" s="22">
        <f t="shared" si="5"/>
        <v>282</v>
      </c>
      <c r="G73" s="22">
        <f t="shared" si="6"/>
        <v>53</v>
      </c>
      <c r="H73" s="28">
        <f t="shared" si="7"/>
        <v>1099</v>
      </c>
      <c r="I73" s="27">
        <v>-1076</v>
      </c>
      <c r="J73" s="28">
        <f t="shared" si="2"/>
        <v>2175</v>
      </c>
      <c r="K73" s="22">
        <f t="shared" si="8"/>
        <v>393</v>
      </c>
      <c r="L73" s="22">
        <f t="shared" si="9"/>
        <v>53</v>
      </c>
      <c r="M73" s="28">
        <f t="shared" si="10"/>
        <v>1214</v>
      </c>
      <c r="N73" s="24">
        <v>-623</v>
      </c>
      <c r="O73" s="28">
        <f t="shared" si="3"/>
        <v>1837</v>
      </c>
      <c r="P73" s="22">
        <f t="shared" si="11"/>
        <v>233</v>
      </c>
      <c r="Q73" s="29"/>
      <c r="R73" s="30"/>
    </row>
    <row r="74" spans="1:18" x14ac:dyDescent="0.25">
      <c r="A74" s="21">
        <v>45850</v>
      </c>
      <c r="B74" s="26">
        <v>4</v>
      </c>
      <c r="C74" s="28">
        <f t="shared" si="4"/>
        <v>1220</v>
      </c>
      <c r="D74" s="24">
        <v>-700</v>
      </c>
      <c r="E74" s="25">
        <f t="shared" si="1"/>
        <v>1920</v>
      </c>
      <c r="F74" s="22">
        <f t="shared" si="5"/>
        <v>287</v>
      </c>
      <c r="G74" s="22">
        <f t="shared" si="6"/>
        <v>54</v>
      </c>
      <c r="H74" s="28">
        <f t="shared" si="7"/>
        <v>1098</v>
      </c>
      <c r="I74" s="27">
        <v>-1077</v>
      </c>
      <c r="J74" s="28">
        <f t="shared" si="2"/>
        <v>2175</v>
      </c>
      <c r="K74" s="22">
        <f t="shared" si="8"/>
        <v>394</v>
      </c>
      <c r="L74" s="22">
        <f t="shared" si="9"/>
        <v>54</v>
      </c>
      <c r="M74" s="28">
        <f t="shared" si="10"/>
        <v>1208</v>
      </c>
      <c r="N74" s="24">
        <v>-629</v>
      </c>
      <c r="O74" s="28">
        <f t="shared" si="3"/>
        <v>1837</v>
      </c>
      <c r="P74" s="22">
        <f t="shared" si="11"/>
        <v>239</v>
      </c>
      <c r="Q74" s="29"/>
      <c r="R74" s="30"/>
    </row>
    <row r="75" spans="1:18" x14ac:dyDescent="0.25">
      <c r="A75" s="21">
        <v>45851</v>
      </c>
      <c r="B75" s="26">
        <v>4</v>
      </c>
      <c r="C75" s="28">
        <f t="shared" si="4"/>
        <v>1214</v>
      </c>
      <c r="D75" s="24">
        <v>-706</v>
      </c>
      <c r="E75" s="25">
        <f t="shared" si="1"/>
        <v>1920</v>
      </c>
      <c r="F75" s="22">
        <f t="shared" si="5"/>
        <v>293</v>
      </c>
      <c r="G75" s="22">
        <f t="shared" si="6"/>
        <v>55</v>
      </c>
      <c r="H75" s="28">
        <f t="shared" si="7"/>
        <v>1097</v>
      </c>
      <c r="I75" s="27">
        <v>-1078</v>
      </c>
      <c r="J75" s="28">
        <f t="shared" si="2"/>
        <v>2175</v>
      </c>
      <c r="K75" s="22">
        <f t="shared" si="8"/>
        <v>395</v>
      </c>
      <c r="L75" s="22">
        <f t="shared" si="9"/>
        <v>55</v>
      </c>
      <c r="M75" s="28">
        <f t="shared" si="10"/>
        <v>1202</v>
      </c>
      <c r="N75" s="24">
        <v>-635</v>
      </c>
      <c r="O75" s="28">
        <f t="shared" si="3"/>
        <v>1837</v>
      </c>
      <c r="P75" s="22">
        <f t="shared" si="11"/>
        <v>245</v>
      </c>
      <c r="Q75" s="29"/>
      <c r="R75" s="30"/>
    </row>
    <row r="76" spans="1:18" x14ac:dyDescent="0.25">
      <c r="A76" s="21">
        <v>45852</v>
      </c>
      <c r="B76" s="26">
        <v>4</v>
      </c>
      <c r="C76" s="28">
        <f t="shared" si="4"/>
        <v>1208</v>
      </c>
      <c r="D76" s="24">
        <v>-712</v>
      </c>
      <c r="E76" s="25">
        <f t="shared" si="1"/>
        <v>1920</v>
      </c>
      <c r="F76" s="22">
        <f t="shared" si="5"/>
        <v>299</v>
      </c>
      <c r="G76" s="22">
        <f t="shared" si="6"/>
        <v>56</v>
      </c>
      <c r="H76" s="28">
        <f t="shared" si="7"/>
        <v>1096</v>
      </c>
      <c r="I76" s="27">
        <v>-1079</v>
      </c>
      <c r="J76" s="28">
        <f t="shared" si="2"/>
        <v>2175</v>
      </c>
      <c r="K76" s="22">
        <f t="shared" si="8"/>
        <v>396</v>
      </c>
      <c r="L76" s="22">
        <f t="shared" si="9"/>
        <v>56</v>
      </c>
      <c r="M76" s="28">
        <f t="shared" si="10"/>
        <v>1196</v>
      </c>
      <c r="N76" s="24">
        <v>-641</v>
      </c>
      <c r="O76" s="28">
        <f t="shared" si="3"/>
        <v>1837</v>
      </c>
      <c r="P76" s="22">
        <f t="shared" si="11"/>
        <v>251</v>
      </c>
      <c r="Q76" s="29"/>
      <c r="R76" s="30"/>
    </row>
    <row r="77" spans="1:18" x14ac:dyDescent="0.25">
      <c r="A77" s="21">
        <v>45853</v>
      </c>
      <c r="B77" s="26">
        <v>4</v>
      </c>
      <c r="C77" s="28">
        <f t="shared" si="4"/>
        <v>1202</v>
      </c>
      <c r="D77" s="24">
        <v>-718</v>
      </c>
      <c r="E77" s="25">
        <f t="shared" si="1"/>
        <v>1920</v>
      </c>
      <c r="F77" s="22">
        <f t="shared" si="5"/>
        <v>305</v>
      </c>
      <c r="G77" s="22">
        <f t="shared" si="6"/>
        <v>57</v>
      </c>
      <c r="H77" s="28">
        <f t="shared" si="7"/>
        <v>1095</v>
      </c>
      <c r="I77" s="27">
        <v>-1080</v>
      </c>
      <c r="J77" s="28">
        <f t="shared" si="2"/>
        <v>2175</v>
      </c>
      <c r="K77" s="22">
        <f t="shared" si="8"/>
        <v>397</v>
      </c>
      <c r="L77" s="22">
        <f t="shared" si="9"/>
        <v>57</v>
      </c>
      <c r="M77" s="28">
        <f t="shared" si="10"/>
        <v>1190</v>
      </c>
      <c r="N77" s="24">
        <v>-647</v>
      </c>
      <c r="O77" s="28">
        <f t="shared" si="3"/>
        <v>1837</v>
      </c>
      <c r="P77" s="22">
        <f t="shared" si="11"/>
        <v>257</v>
      </c>
      <c r="Q77" s="29"/>
      <c r="R77" s="30"/>
    </row>
    <row r="78" spans="1:18" x14ac:dyDescent="0.25">
      <c r="A78" s="21">
        <v>45854</v>
      </c>
      <c r="B78" s="26">
        <v>4</v>
      </c>
      <c r="C78" s="28">
        <f t="shared" si="4"/>
        <v>1196</v>
      </c>
      <c r="D78" s="24">
        <v>-724</v>
      </c>
      <c r="E78" s="25">
        <f t="shared" si="1"/>
        <v>1920</v>
      </c>
      <c r="F78" s="22">
        <f t="shared" si="5"/>
        <v>311</v>
      </c>
      <c r="G78" s="22">
        <f t="shared" si="6"/>
        <v>58</v>
      </c>
      <c r="H78" s="28">
        <f t="shared" si="7"/>
        <v>1093</v>
      </c>
      <c r="I78" s="27">
        <v>-1082</v>
      </c>
      <c r="J78" s="28">
        <f t="shared" si="2"/>
        <v>2175</v>
      </c>
      <c r="K78" s="22">
        <f t="shared" si="8"/>
        <v>399</v>
      </c>
      <c r="L78" s="22">
        <f t="shared" si="9"/>
        <v>58</v>
      </c>
      <c r="M78" s="28">
        <f t="shared" si="10"/>
        <v>1184</v>
      </c>
      <c r="N78" s="24">
        <v>-653</v>
      </c>
      <c r="O78" s="28">
        <f t="shared" si="3"/>
        <v>1837</v>
      </c>
      <c r="P78" s="22">
        <f t="shared" si="11"/>
        <v>263</v>
      </c>
      <c r="Q78" s="29"/>
      <c r="R78" s="30"/>
    </row>
    <row r="79" spans="1:18" x14ac:dyDescent="0.25">
      <c r="A79" s="21">
        <v>45855</v>
      </c>
      <c r="B79" s="26">
        <v>4</v>
      </c>
      <c r="C79" s="28">
        <f t="shared" si="4"/>
        <v>1190</v>
      </c>
      <c r="D79" s="24">
        <v>-730</v>
      </c>
      <c r="E79" s="25">
        <f t="shared" si="1"/>
        <v>1920</v>
      </c>
      <c r="F79" s="22">
        <f t="shared" si="5"/>
        <v>317</v>
      </c>
      <c r="G79" s="22">
        <f t="shared" si="6"/>
        <v>59</v>
      </c>
      <c r="H79" s="28">
        <f t="shared" si="7"/>
        <v>1091</v>
      </c>
      <c r="I79" s="27">
        <v>-1084</v>
      </c>
      <c r="J79" s="28">
        <f t="shared" si="2"/>
        <v>2175</v>
      </c>
      <c r="K79" s="22">
        <f t="shared" si="8"/>
        <v>401</v>
      </c>
      <c r="L79" s="22">
        <f t="shared" si="9"/>
        <v>59</v>
      </c>
      <c r="M79" s="28">
        <f t="shared" si="10"/>
        <v>1178</v>
      </c>
      <c r="N79" s="24">
        <v>-659</v>
      </c>
      <c r="O79" s="28">
        <f t="shared" si="3"/>
        <v>1837</v>
      </c>
      <c r="P79" s="22">
        <f t="shared" si="11"/>
        <v>269</v>
      </c>
      <c r="Q79" s="29"/>
      <c r="R79" s="30"/>
    </row>
    <row r="80" spans="1:18" x14ac:dyDescent="0.25">
      <c r="A80" s="21">
        <v>45856</v>
      </c>
      <c r="B80" s="26">
        <v>4</v>
      </c>
      <c r="C80" s="28">
        <f t="shared" si="4"/>
        <v>1184</v>
      </c>
      <c r="D80" s="24">
        <v>-736</v>
      </c>
      <c r="E80" s="25">
        <f t="shared" si="1"/>
        <v>1920</v>
      </c>
      <c r="F80" s="22">
        <f t="shared" si="5"/>
        <v>323</v>
      </c>
      <c r="G80" s="22">
        <f t="shared" si="6"/>
        <v>60</v>
      </c>
      <c r="H80" s="28">
        <f t="shared" si="7"/>
        <v>1089</v>
      </c>
      <c r="I80" s="27">
        <v>-1086</v>
      </c>
      <c r="J80" s="28">
        <f t="shared" si="2"/>
        <v>2175</v>
      </c>
      <c r="K80" s="22">
        <f t="shared" si="8"/>
        <v>403</v>
      </c>
      <c r="L80" s="22">
        <f t="shared" si="9"/>
        <v>60</v>
      </c>
      <c r="M80" s="28">
        <f t="shared" si="10"/>
        <v>1158</v>
      </c>
      <c r="N80" s="24">
        <v>-679</v>
      </c>
      <c r="O80" s="28">
        <f t="shared" si="3"/>
        <v>1837</v>
      </c>
      <c r="P80" s="22">
        <f t="shared" si="11"/>
        <v>289</v>
      </c>
      <c r="Q80" s="29"/>
      <c r="R80" s="30"/>
    </row>
    <row r="81" spans="1:18" x14ac:dyDescent="0.25">
      <c r="A81" s="21">
        <v>45857</v>
      </c>
      <c r="B81" s="26">
        <v>4</v>
      </c>
      <c r="C81" s="28">
        <f t="shared" si="4"/>
        <v>1173</v>
      </c>
      <c r="D81" s="24">
        <v>-747</v>
      </c>
      <c r="E81" s="25">
        <f t="shared" si="1"/>
        <v>1920</v>
      </c>
      <c r="F81" s="22">
        <f t="shared" si="5"/>
        <v>334</v>
      </c>
      <c r="G81" s="22">
        <f t="shared" si="6"/>
        <v>61</v>
      </c>
      <c r="H81" s="28">
        <f t="shared" si="7"/>
        <v>1088</v>
      </c>
      <c r="I81" s="27">
        <v>-1087</v>
      </c>
      <c r="J81" s="28">
        <f t="shared" si="2"/>
        <v>2175</v>
      </c>
      <c r="K81" s="22">
        <f t="shared" si="8"/>
        <v>404</v>
      </c>
      <c r="L81" s="22">
        <f t="shared" si="9"/>
        <v>61</v>
      </c>
      <c r="M81" s="28">
        <f t="shared" si="10"/>
        <v>1155</v>
      </c>
      <c r="N81" s="24">
        <v>-682</v>
      </c>
      <c r="O81" s="28">
        <f t="shared" si="3"/>
        <v>1837</v>
      </c>
      <c r="P81" s="22">
        <f t="shared" si="11"/>
        <v>292</v>
      </c>
      <c r="Q81" s="29"/>
      <c r="R81" s="30"/>
    </row>
    <row r="82" spans="1:18" x14ac:dyDescent="0.25">
      <c r="A82" s="21">
        <v>45858</v>
      </c>
      <c r="B82" s="26">
        <v>4</v>
      </c>
      <c r="C82" s="28">
        <f t="shared" si="4"/>
        <v>1170</v>
      </c>
      <c r="D82" s="24">
        <v>-750</v>
      </c>
      <c r="E82" s="25">
        <f t="shared" si="1"/>
        <v>1920</v>
      </c>
      <c r="F82" s="22">
        <f t="shared" si="5"/>
        <v>337</v>
      </c>
      <c r="G82" s="22">
        <f t="shared" si="6"/>
        <v>62</v>
      </c>
      <c r="H82" s="28">
        <f t="shared" si="7"/>
        <v>1085</v>
      </c>
      <c r="I82" s="27">
        <v>-1090</v>
      </c>
      <c r="J82" s="28">
        <f t="shared" si="2"/>
        <v>2175</v>
      </c>
      <c r="K82" s="22">
        <f t="shared" si="8"/>
        <v>407</v>
      </c>
      <c r="L82" s="22">
        <f t="shared" si="9"/>
        <v>62</v>
      </c>
      <c r="M82" s="28">
        <f t="shared" si="10"/>
        <v>1152</v>
      </c>
      <c r="N82" s="24">
        <v>-685</v>
      </c>
      <c r="O82" s="28">
        <f t="shared" si="3"/>
        <v>1837</v>
      </c>
      <c r="P82" s="22">
        <f t="shared" si="11"/>
        <v>295</v>
      </c>
      <c r="Q82" s="29"/>
      <c r="R82" s="30"/>
    </row>
    <row r="83" spans="1:18" x14ac:dyDescent="0.25">
      <c r="A83" s="21">
        <v>45859</v>
      </c>
      <c r="B83" s="26">
        <v>4</v>
      </c>
      <c r="C83" s="28">
        <f t="shared" si="4"/>
        <v>1167</v>
      </c>
      <c r="D83" s="24">
        <v>-753</v>
      </c>
      <c r="E83" s="25">
        <f t="shared" si="1"/>
        <v>1920</v>
      </c>
      <c r="F83" s="22">
        <f t="shared" si="5"/>
        <v>340</v>
      </c>
      <c r="G83" s="22">
        <f t="shared" si="6"/>
        <v>63</v>
      </c>
      <c r="H83" s="28">
        <f t="shared" si="7"/>
        <v>1082</v>
      </c>
      <c r="I83" s="27">
        <v>-1093</v>
      </c>
      <c r="J83" s="28">
        <f t="shared" si="2"/>
        <v>2175</v>
      </c>
      <c r="K83" s="22">
        <f t="shared" si="8"/>
        <v>410</v>
      </c>
      <c r="L83" s="22">
        <f t="shared" si="9"/>
        <v>63</v>
      </c>
      <c r="M83" s="28">
        <f t="shared" si="10"/>
        <v>1149</v>
      </c>
      <c r="N83" s="24">
        <v>-688</v>
      </c>
      <c r="O83" s="28">
        <f t="shared" si="3"/>
        <v>1837</v>
      </c>
      <c r="P83" s="22">
        <f t="shared" si="11"/>
        <v>298</v>
      </c>
      <c r="Q83" s="29"/>
      <c r="R83" s="30"/>
    </row>
    <row r="84" spans="1:18" x14ac:dyDescent="0.25">
      <c r="A84" s="21">
        <v>45860</v>
      </c>
      <c r="B84" s="26">
        <v>4</v>
      </c>
      <c r="C84" s="28">
        <f t="shared" si="4"/>
        <v>1164</v>
      </c>
      <c r="D84" s="24">
        <v>-756</v>
      </c>
      <c r="E84" s="25">
        <f t="shared" si="1"/>
        <v>1920</v>
      </c>
      <c r="F84" s="22">
        <f t="shared" si="5"/>
        <v>343</v>
      </c>
      <c r="G84" s="22">
        <f t="shared" si="6"/>
        <v>64</v>
      </c>
      <c r="H84" s="28">
        <f t="shared" si="7"/>
        <v>1079</v>
      </c>
      <c r="I84" s="27">
        <v>-1096</v>
      </c>
      <c r="J84" s="28">
        <f t="shared" si="2"/>
        <v>2175</v>
      </c>
      <c r="K84" s="22">
        <f t="shared" si="8"/>
        <v>413</v>
      </c>
      <c r="L84" s="22">
        <f t="shared" si="9"/>
        <v>64</v>
      </c>
      <c r="M84" s="28">
        <f t="shared" si="10"/>
        <v>1146</v>
      </c>
      <c r="N84" s="24">
        <v>-691</v>
      </c>
      <c r="O84" s="28">
        <f t="shared" si="3"/>
        <v>1837</v>
      </c>
      <c r="P84" s="22">
        <f t="shared" si="11"/>
        <v>301</v>
      </c>
      <c r="Q84" s="29"/>
      <c r="R84" s="30"/>
    </row>
    <row r="85" spans="1:18" x14ac:dyDescent="0.25">
      <c r="A85" s="21">
        <v>45861</v>
      </c>
      <c r="B85" s="26">
        <v>4</v>
      </c>
      <c r="C85" s="28">
        <f t="shared" si="4"/>
        <v>1161</v>
      </c>
      <c r="D85" s="24">
        <v>-759</v>
      </c>
      <c r="E85" s="25">
        <f t="shared" si="1"/>
        <v>1920</v>
      </c>
      <c r="F85" s="22">
        <f t="shared" si="5"/>
        <v>346</v>
      </c>
      <c r="G85" s="22">
        <f t="shared" si="6"/>
        <v>65</v>
      </c>
      <c r="H85" s="28">
        <f t="shared" si="7"/>
        <v>1076</v>
      </c>
      <c r="I85" s="27">
        <v>-1099</v>
      </c>
      <c r="J85" s="28">
        <f t="shared" si="2"/>
        <v>2175</v>
      </c>
      <c r="K85" s="22">
        <f t="shared" si="8"/>
        <v>416</v>
      </c>
      <c r="L85" s="22">
        <f t="shared" si="9"/>
        <v>65</v>
      </c>
      <c r="M85" s="28">
        <f t="shared" si="10"/>
        <v>1143</v>
      </c>
      <c r="N85" s="24">
        <v>-694</v>
      </c>
      <c r="O85" s="28">
        <f t="shared" si="3"/>
        <v>1837</v>
      </c>
      <c r="P85" s="22">
        <f t="shared" si="11"/>
        <v>304</v>
      </c>
      <c r="Q85" s="29"/>
      <c r="R85" s="30"/>
    </row>
    <row r="86" spans="1:18" x14ac:dyDescent="0.25">
      <c r="A86" s="21">
        <v>45862</v>
      </c>
      <c r="B86" s="26">
        <v>4</v>
      </c>
      <c r="C86" s="28">
        <f t="shared" si="4"/>
        <v>1158</v>
      </c>
      <c r="D86" s="24">
        <v>-762</v>
      </c>
      <c r="E86" s="25">
        <f t="shared" si="1"/>
        <v>1920</v>
      </c>
      <c r="F86" s="22">
        <f t="shared" si="5"/>
        <v>349</v>
      </c>
      <c r="G86" s="22">
        <f t="shared" si="6"/>
        <v>66</v>
      </c>
      <c r="H86" s="28">
        <f t="shared" si="7"/>
        <v>1073</v>
      </c>
      <c r="I86" s="27">
        <v>-1102</v>
      </c>
      <c r="J86" s="28">
        <f t="shared" si="2"/>
        <v>2175</v>
      </c>
      <c r="K86" s="22">
        <f t="shared" si="8"/>
        <v>419</v>
      </c>
      <c r="L86" s="22">
        <f t="shared" si="9"/>
        <v>66</v>
      </c>
      <c r="M86" s="28">
        <f t="shared" si="10"/>
        <v>1140</v>
      </c>
      <c r="N86" s="24">
        <v>-697</v>
      </c>
      <c r="O86" s="28">
        <f t="shared" si="3"/>
        <v>1837</v>
      </c>
      <c r="P86" s="22">
        <f t="shared" si="11"/>
        <v>307</v>
      </c>
      <c r="Q86" s="29"/>
      <c r="R86" s="30"/>
    </row>
    <row r="87" spans="1:18" x14ac:dyDescent="0.25">
      <c r="A87" s="21">
        <v>45863</v>
      </c>
      <c r="B87" s="26">
        <v>4</v>
      </c>
      <c r="C87" s="28">
        <f t="shared" si="4"/>
        <v>1155</v>
      </c>
      <c r="D87" s="24">
        <v>-765</v>
      </c>
      <c r="E87" s="25">
        <f t="shared" si="1"/>
        <v>1920</v>
      </c>
      <c r="F87" s="22">
        <f t="shared" si="5"/>
        <v>352</v>
      </c>
      <c r="G87" s="22">
        <f t="shared" si="6"/>
        <v>67</v>
      </c>
      <c r="H87" s="28">
        <f t="shared" si="7"/>
        <v>1070</v>
      </c>
      <c r="I87" s="27">
        <v>-1105</v>
      </c>
      <c r="J87" s="28">
        <f t="shared" si="2"/>
        <v>2175</v>
      </c>
      <c r="K87" s="22">
        <f t="shared" si="8"/>
        <v>422</v>
      </c>
      <c r="L87" s="22">
        <f t="shared" si="9"/>
        <v>67</v>
      </c>
      <c r="M87" s="28">
        <f t="shared" si="10"/>
        <v>1137</v>
      </c>
      <c r="N87" s="24">
        <v>-700</v>
      </c>
      <c r="O87" s="28">
        <f t="shared" si="3"/>
        <v>1837</v>
      </c>
      <c r="P87" s="22">
        <f t="shared" si="11"/>
        <v>310</v>
      </c>
      <c r="Q87" s="29"/>
      <c r="R87" s="30"/>
    </row>
    <row r="88" spans="1:18" x14ac:dyDescent="0.25">
      <c r="A88" s="21">
        <v>45864</v>
      </c>
      <c r="B88" s="26">
        <v>4</v>
      </c>
      <c r="C88" s="28">
        <f t="shared" si="4"/>
        <v>1152</v>
      </c>
      <c r="D88" s="24">
        <v>-768</v>
      </c>
      <c r="E88" s="25">
        <f t="shared" si="1"/>
        <v>1920</v>
      </c>
      <c r="F88" s="22">
        <f t="shared" si="5"/>
        <v>355</v>
      </c>
      <c r="G88" s="22">
        <f t="shared" si="6"/>
        <v>68</v>
      </c>
      <c r="H88" s="28">
        <f t="shared" si="7"/>
        <v>1067</v>
      </c>
      <c r="I88" s="27">
        <v>-1108</v>
      </c>
      <c r="J88" s="28">
        <f t="shared" si="2"/>
        <v>2175</v>
      </c>
      <c r="K88" s="22">
        <f t="shared" si="8"/>
        <v>425</v>
      </c>
      <c r="L88" s="22">
        <f t="shared" si="9"/>
        <v>68</v>
      </c>
      <c r="M88" s="28">
        <f t="shared" si="10"/>
        <v>1134</v>
      </c>
      <c r="N88" s="24">
        <v>-703</v>
      </c>
      <c r="O88" s="28">
        <f t="shared" si="3"/>
        <v>1837</v>
      </c>
      <c r="P88" s="22">
        <f t="shared" si="11"/>
        <v>313</v>
      </c>
      <c r="Q88" s="29"/>
      <c r="R88" s="30"/>
    </row>
    <row r="89" spans="1:18" x14ac:dyDescent="0.25">
      <c r="A89" s="21">
        <v>45865</v>
      </c>
      <c r="B89" s="26">
        <v>4</v>
      </c>
      <c r="C89" s="28">
        <f t="shared" si="4"/>
        <v>1149</v>
      </c>
      <c r="D89" s="24">
        <v>-771</v>
      </c>
      <c r="E89" s="25">
        <f t="shared" si="1"/>
        <v>1920</v>
      </c>
      <c r="F89" s="22">
        <f t="shared" si="5"/>
        <v>358</v>
      </c>
      <c r="G89" s="22">
        <f t="shared" si="6"/>
        <v>69</v>
      </c>
      <c r="H89" s="28">
        <f t="shared" si="7"/>
        <v>1064</v>
      </c>
      <c r="I89" s="27">
        <v>-1111</v>
      </c>
      <c r="J89" s="28">
        <f t="shared" si="2"/>
        <v>2175</v>
      </c>
      <c r="K89" s="22">
        <f t="shared" si="8"/>
        <v>428</v>
      </c>
      <c r="L89" s="22">
        <f t="shared" si="9"/>
        <v>69</v>
      </c>
      <c r="M89" s="28">
        <f t="shared" si="10"/>
        <v>1131</v>
      </c>
      <c r="N89" s="24">
        <v>-706</v>
      </c>
      <c r="O89" s="28">
        <f t="shared" si="3"/>
        <v>1837</v>
      </c>
      <c r="P89" s="22">
        <f t="shared" si="11"/>
        <v>316</v>
      </c>
      <c r="Q89" s="29"/>
      <c r="R89" s="30"/>
    </row>
  </sheetData>
  <mergeCells count="63"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  <mergeCell ref="A1:R1"/>
    <mergeCell ref="A2:R2"/>
    <mergeCell ref="A3:R3"/>
    <mergeCell ref="A4:F4"/>
    <mergeCell ref="G4:L4"/>
    <mergeCell ref="M4:R4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89">
    <cfRule type="cellIs" dxfId="22" priority="1" operator="lessThan">
      <formula>60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>
    <outlinePr summaryBelow="0" summaryRight="0"/>
  </sheetPr>
  <dimension ref="A1:R92"/>
  <sheetViews>
    <sheetView workbookViewId="0"/>
  </sheetViews>
  <sheetFormatPr defaultColWidth="14.42578125" defaultRowHeight="15" customHeight="1" x14ac:dyDescent="0.2"/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(20/05/25)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62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63</v>
      </c>
      <c r="R16" s="112" t="s">
        <v>64</v>
      </c>
    </row>
    <row r="17" spans="1:18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x14ac:dyDescent="0.25">
      <c r="A21" s="21">
        <v>45797</v>
      </c>
      <c r="B21" s="22">
        <v>1</v>
      </c>
      <c r="C21" s="23">
        <v>1517</v>
      </c>
      <c r="D21" s="24">
        <v>-778</v>
      </c>
      <c r="E21" s="25">
        <f t="shared" ref="E21:E89" si="1">C21-D21</f>
        <v>2295</v>
      </c>
      <c r="F21" s="22">
        <v>0</v>
      </c>
      <c r="G21" s="22">
        <v>1</v>
      </c>
      <c r="H21" s="25">
        <v>1482</v>
      </c>
      <c r="I21" s="27">
        <v>-1093</v>
      </c>
      <c r="J21" s="28">
        <f t="shared" ref="J21:J89" si="2">H21-I21</f>
        <v>2575</v>
      </c>
      <c r="K21" s="22">
        <v>0</v>
      </c>
      <c r="L21" s="22">
        <v>1</v>
      </c>
      <c r="M21" s="23">
        <v>1472</v>
      </c>
      <c r="N21" s="24">
        <v>-468</v>
      </c>
      <c r="O21" s="28">
        <f t="shared" ref="O21:O89" si="3">M21-N21</f>
        <v>1940</v>
      </c>
      <c r="P21" s="22">
        <v>0</v>
      </c>
      <c r="Q21" s="29"/>
      <c r="R21" s="30"/>
    </row>
    <row r="22" spans="1:18" x14ac:dyDescent="0.25">
      <c r="A22" s="21">
        <v>45798</v>
      </c>
      <c r="B22" s="26">
        <v>2</v>
      </c>
      <c r="C22" s="28">
        <f t="shared" ref="C22:C89" si="4">$C$21-F22</f>
        <v>1512</v>
      </c>
      <c r="D22" s="24">
        <v>-783</v>
      </c>
      <c r="E22" s="25">
        <f t="shared" si="1"/>
        <v>2295</v>
      </c>
      <c r="F22" s="22">
        <f t="shared" ref="F22:F89" si="5">$D$21-D22</f>
        <v>5</v>
      </c>
      <c r="G22" s="22">
        <f t="shared" ref="G22:G89" si="6">G21+1</f>
        <v>2</v>
      </c>
      <c r="H22" s="28">
        <f t="shared" ref="H22:H89" si="7">$H$21-K22</f>
        <v>1482</v>
      </c>
      <c r="I22" s="27">
        <v>-1093</v>
      </c>
      <c r="J22" s="28">
        <f t="shared" si="2"/>
        <v>2575</v>
      </c>
      <c r="K22" s="22">
        <f t="shared" ref="K22:K89" si="8">$I$21-I22</f>
        <v>0</v>
      </c>
      <c r="L22" s="22">
        <f t="shared" ref="L22:L89" si="9">L21+1</f>
        <v>2</v>
      </c>
      <c r="M22" s="28">
        <f t="shared" ref="M22:M89" si="10">$M$21-P22</f>
        <v>1467</v>
      </c>
      <c r="N22" s="24">
        <v>-473</v>
      </c>
      <c r="O22" s="28">
        <f t="shared" si="3"/>
        <v>1940</v>
      </c>
      <c r="P22" s="22">
        <f t="shared" ref="P22:P89" si="11">$N$21-N22</f>
        <v>5</v>
      </c>
      <c r="Q22" s="29"/>
      <c r="R22" s="30"/>
    </row>
    <row r="23" spans="1:18" x14ac:dyDescent="0.25">
      <c r="A23" s="21">
        <v>45799</v>
      </c>
      <c r="B23" s="22">
        <v>3</v>
      </c>
      <c r="C23" s="28">
        <f t="shared" si="4"/>
        <v>1512</v>
      </c>
      <c r="D23" s="24">
        <v>-783</v>
      </c>
      <c r="E23" s="25">
        <f t="shared" si="1"/>
        <v>2295</v>
      </c>
      <c r="F23" s="22">
        <f t="shared" si="5"/>
        <v>5</v>
      </c>
      <c r="G23" s="22">
        <f t="shared" si="6"/>
        <v>3</v>
      </c>
      <c r="H23" s="28">
        <f t="shared" si="7"/>
        <v>1482</v>
      </c>
      <c r="I23" s="27">
        <v>-1093</v>
      </c>
      <c r="J23" s="28">
        <f t="shared" si="2"/>
        <v>2575</v>
      </c>
      <c r="K23" s="22">
        <f t="shared" si="8"/>
        <v>0</v>
      </c>
      <c r="L23" s="22">
        <f t="shared" si="9"/>
        <v>3</v>
      </c>
      <c r="M23" s="28">
        <f t="shared" si="10"/>
        <v>1467</v>
      </c>
      <c r="N23" s="24">
        <v>-473</v>
      </c>
      <c r="O23" s="28">
        <f t="shared" si="3"/>
        <v>1940</v>
      </c>
      <c r="P23" s="22">
        <f t="shared" si="11"/>
        <v>5</v>
      </c>
      <c r="Q23" s="29"/>
      <c r="R23" s="30"/>
    </row>
    <row r="24" spans="1:18" x14ac:dyDescent="0.25">
      <c r="A24" s="21">
        <v>45800</v>
      </c>
      <c r="B24" s="26">
        <v>4</v>
      </c>
      <c r="C24" s="28">
        <f t="shared" si="4"/>
        <v>1512</v>
      </c>
      <c r="D24" s="24">
        <v>-783</v>
      </c>
      <c r="E24" s="25">
        <f t="shared" si="1"/>
        <v>2295</v>
      </c>
      <c r="F24" s="22">
        <f t="shared" si="5"/>
        <v>5</v>
      </c>
      <c r="G24" s="22">
        <f t="shared" si="6"/>
        <v>4</v>
      </c>
      <c r="H24" s="28">
        <f t="shared" si="7"/>
        <v>1482</v>
      </c>
      <c r="I24" s="27">
        <v>-1093</v>
      </c>
      <c r="J24" s="28">
        <f t="shared" si="2"/>
        <v>2575</v>
      </c>
      <c r="K24" s="22">
        <f t="shared" si="8"/>
        <v>0</v>
      </c>
      <c r="L24" s="22">
        <f t="shared" si="9"/>
        <v>4</v>
      </c>
      <c r="M24" s="28">
        <f t="shared" si="10"/>
        <v>1467</v>
      </c>
      <c r="N24" s="24">
        <v>-473</v>
      </c>
      <c r="O24" s="28">
        <f t="shared" si="3"/>
        <v>1940</v>
      </c>
      <c r="P24" s="22">
        <f t="shared" si="11"/>
        <v>5</v>
      </c>
      <c r="Q24" s="29"/>
      <c r="R24" s="30"/>
    </row>
    <row r="25" spans="1:18" x14ac:dyDescent="0.25">
      <c r="A25" s="21">
        <v>45801</v>
      </c>
      <c r="B25" s="26">
        <v>4</v>
      </c>
      <c r="C25" s="28">
        <f t="shared" si="4"/>
        <v>1512</v>
      </c>
      <c r="D25" s="24">
        <v>-783</v>
      </c>
      <c r="E25" s="25">
        <f t="shared" si="1"/>
        <v>2295</v>
      </c>
      <c r="F25" s="22">
        <f t="shared" si="5"/>
        <v>5</v>
      </c>
      <c r="G25" s="22">
        <f t="shared" si="6"/>
        <v>5</v>
      </c>
      <c r="H25" s="28">
        <f t="shared" si="7"/>
        <v>1482</v>
      </c>
      <c r="I25" s="27">
        <v>-1093</v>
      </c>
      <c r="J25" s="28">
        <f t="shared" si="2"/>
        <v>2575</v>
      </c>
      <c r="K25" s="22">
        <f t="shared" si="8"/>
        <v>0</v>
      </c>
      <c r="L25" s="22">
        <f t="shared" si="9"/>
        <v>5</v>
      </c>
      <c r="M25" s="28">
        <f t="shared" si="10"/>
        <v>1467</v>
      </c>
      <c r="N25" s="24">
        <v>-473</v>
      </c>
      <c r="O25" s="28">
        <f t="shared" si="3"/>
        <v>1940</v>
      </c>
      <c r="P25" s="22">
        <f t="shared" si="11"/>
        <v>5</v>
      </c>
      <c r="Q25" s="29"/>
      <c r="R25" s="30"/>
    </row>
    <row r="26" spans="1:18" x14ac:dyDescent="0.25">
      <c r="A26" s="21">
        <v>45802</v>
      </c>
      <c r="B26" s="26">
        <v>4</v>
      </c>
      <c r="C26" s="28">
        <f t="shared" si="4"/>
        <v>1512</v>
      </c>
      <c r="D26" s="24">
        <v>-783</v>
      </c>
      <c r="E26" s="25">
        <f t="shared" si="1"/>
        <v>2295</v>
      </c>
      <c r="F26" s="22">
        <f t="shared" si="5"/>
        <v>5</v>
      </c>
      <c r="G26" s="22">
        <f t="shared" si="6"/>
        <v>6</v>
      </c>
      <c r="H26" s="28">
        <f t="shared" si="7"/>
        <v>1482</v>
      </c>
      <c r="I26" s="27">
        <v>-1093</v>
      </c>
      <c r="J26" s="28">
        <f t="shared" si="2"/>
        <v>2575</v>
      </c>
      <c r="K26" s="22">
        <f t="shared" si="8"/>
        <v>0</v>
      </c>
      <c r="L26" s="22">
        <f t="shared" si="9"/>
        <v>6</v>
      </c>
      <c r="M26" s="28">
        <f t="shared" si="10"/>
        <v>1467</v>
      </c>
      <c r="N26" s="24">
        <v>-473</v>
      </c>
      <c r="O26" s="28">
        <f t="shared" si="3"/>
        <v>1940</v>
      </c>
      <c r="P26" s="22">
        <f t="shared" si="11"/>
        <v>5</v>
      </c>
      <c r="Q26" s="29"/>
      <c r="R26" s="30"/>
    </row>
    <row r="27" spans="1:18" x14ac:dyDescent="0.25">
      <c r="A27" s="21">
        <v>45803</v>
      </c>
      <c r="B27" s="26">
        <v>4</v>
      </c>
      <c r="C27" s="28">
        <f t="shared" si="4"/>
        <v>1512</v>
      </c>
      <c r="D27" s="24">
        <v>-783</v>
      </c>
      <c r="E27" s="25">
        <f t="shared" si="1"/>
        <v>2295</v>
      </c>
      <c r="F27" s="22">
        <f t="shared" si="5"/>
        <v>5</v>
      </c>
      <c r="G27" s="22">
        <f t="shared" si="6"/>
        <v>7</v>
      </c>
      <c r="H27" s="28">
        <f t="shared" si="7"/>
        <v>1482</v>
      </c>
      <c r="I27" s="27">
        <v>-1093</v>
      </c>
      <c r="J27" s="28">
        <f t="shared" si="2"/>
        <v>2575</v>
      </c>
      <c r="K27" s="22">
        <f t="shared" si="8"/>
        <v>0</v>
      </c>
      <c r="L27" s="22">
        <f t="shared" si="9"/>
        <v>7</v>
      </c>
      <c r="M27" s="28">
        <f t="shared" si="10"/>
        <v>1467</v>
      </c>
      <c r="N27" s="24">
        <v>-473</v>
      </c>
      <c r="O27" s="28">
        <f t="shared" si="3"/>
        <v>1940</v>
      </c>
      <c r="P27" s="22">
        <f t="shared" si="11"/>
        <v>5</v>
      </c>
      <c r="Q27" s="29"/>
      <c r="R27" s="30"/>
    </row>
    <row r="28" spans="1:18" x14ac:dyDescent="0.25">
      <c r="A28" s="21">
        <v>45804</v>
      </c>
      <c r="B28" s="26">
        <v>4</v>
      </c>
      <c r="C28" s="28">
        <f t="shared" si="4"/>
        <v>1512</v>
      </c>
      <c r="D28" s="24">
        <v>-783</v>
      </c>
      <c r="E28" s="25">
        <f t="shared" si="1"/>
        <v>2295</v>
      </c>
      <c r="F28" s="22">
        <f t="shared" si="5"/>
        <v>5</v>
      </c>
      <c r="G28" s="22">
        <f t="shared" si="6"/>
        <v>8</v>
      </c>
      <c r="H28" s="28">
        <f t="shared" si="7"/>
        <v>1482</v>
      </c>
      <c r="I28" s="27">
        <v>-1093</v>
      </c>
      <c r="J28" s="28">
        <f t="shared" si="2"/>
        <v>2575</v>
      </c>
      <c r="K28" s="22">
        <f t="shared" si="8"/>
        <v>0</v>
      </c>
      <c r="L28" s="22">
        <f t="shared" si="9"/>
        <v>8</v>
      </c>
      <c r="M28" s="28">
        <f t="shared" si="10"/>
        <v>1467</v>
      </c>
      <c r="N28" s="24">
        <v>-473</v>
      </c>
      <c r="O28" s="28">
        <f t="shared" si="3"/>
        <v>1940</v>
      </c>
      <c r="P28" s="22">
        <f t="shared" si="11"/>
        <v>5</v>
      </c>
      <c r="Q28" s="29"/>
      <c r="R28" s="30"/>
    </row>
    <row r="29" spans="1:18" x14ac:dyDescent="0.25">
      <c r="A29" s="21">
        <v>45805</v>
      </c>
      <c r="B29" s="26">
        <v>4</v>
      </c>
      <c r="C29" s="28">
        <f t="shared" si="4"/>
        <v>1512</v>
      </c>
      <c r="D29" s="24">
        <v>-783</v>
      </c>
      <c r="E29" s="25">
        <f t="shared" si="1"/>
        <v>2295</v>
      </c>
      <c r="F29" s="22">
        <f t="shared" si="5"/>
        <v>5</v>
      </c>
      <c r="G29" s="22">
        <f t="shared" si="6"/>
        <v>9</v>
      </c>
      <c r="H29" s="28">
        <f t="shared" si="7"/>
        <v>1482</v>
      </c>
      <c r="I29" s="27">
        <v>-1093</v>
      </c>
      <c r="J29" s="28">
        <f t="shared" si="2"/>
        <v>2575</v>
      </c>
      <c r="K29" s="22">
        <f t="shared" si="8"/>
        <v>0</v>
      </c>
      <c r="L29" s="22">
        <f t="shared" si="9"/>
        <v>9</v>
      </c>
      <c r="M29" s="28">
        <f t="shared" si="10"/>
        <v>1467</v>
      </c>
      <c r="N29" s="24">
        <v>-473</v>
      </c>
      <c r="O29" s="28">
        <f t="shared" si="3"/>
        <v>1940</v>
      </c>
      <c r="P29" s="22">
        <f t="shared" si="11"/>
        <v>5</v>
      </c>
      <c r="Q29" s="29"/>
      <c r="R29" s="30"/>
    </row>
    <row r="30" spans="1:18" x14ac:dyDescent="0.25">
      <c r="A30" s="21">
        <v>45806</v>
      </c>
      <c r="B30" s="26">
        <v>4</v>
      </c>
      <c r="C30" s="28">
        <f t="shared" si="4"/>
        <v>1512</v>
      </c>
      <c r="D30" s="24">
        <v>-783</v>
      </c>
      <c r="E30" s="25">
        <f t="shared" si="1"/>
        <v>2295</v>
      </c>
      <c r="F30" s="22">
        <f t="shared" si="5"/>
        <v>5</v>
      </c>
      <c r="G30" s="22">
        <f t="shared" si="6"/>
        <v>10</v>
      </c>
      <c r="H30" s="28">
        <f t="shared" si="7"/>
        <v>1482</v>
      </c>
      <c r="I30" s="27">
        <v>-1093</v>
      </c>
      <c r="J30" s="28">
        <f t="shared" si="2"/>
        <v>2575</v>
      </c>
      <c r="K30" s="22">
        <f t="shared" si="8"/>
        <v>0</v>
      </c>
      <c r="L30" s="22">
        <f t="shared" si="9"/>
        <v>10</v>
      </c>
      <c r="M30" s="28">
        <f t="shared" si="10"/>
        <v>1467</v>
      </c>
      <c r="N30" s="24">
        <v>-473</v>
      </c>
      <c r="O30" s="28">
        <f t="shared" si="3"/>
        <v>1940</v>
      </c>
      <c r="P30" s="22">
        <f t="shared" si="11"/>
        <v>5</v>
      </c>
      <c r="Q30" s="29"/>
      <c r="R30" s="30"/>
    </row>
    <row r="31" spans="1:18" x14ac:dyDescent="0.25">
      <c r="A31" s="21">
        <v>45807</v>
      </c>
      <c r="B31" s="26">
        <v>4</v>
      </c>
      <c r="C31" s="28">
        <f t="shared" si="4"/>
        <v>1512</v>
      </c>
      <c r="D31" s="24">
        <v>-783</v>
      </c>
      <c r="E31" s="25">
        <f t="shared" si="1"/>
        <v>2295</v>
      </c>
      <c r="F31" s="22">
        <f t="shared" si="5"/>
        <v>5</v>
      </c>
      <c r="G31" s="22">
        <f t="shared" si="6"/>
        <v>11</v>
      </c>
      <c r="H31" s="28">
        <f t="shared" si="7"/>
        <v>1482</v>
      </c>
      <c r="I31" s="27">
        <v>-1093</v>
      </c>
      <c r="J31" s="28">
        <f t="shared" si="2"/>
        <v>2575</v>
      </c>
      <c r="K31" s="22">
        <f t="shared" si="8"/>
        <v>0</v>
      </c>
      <c r="L31" s="22">
        <f t="shared" si="9"/>
        <v>11</v>
      </c>
      <c r="M31" s="28">
        <f t="shared" si="10"/>
        <v>1467</v>
      </c>
      <c r="N31" s="24">
        <v>-473</v>
      </c>
      <c r="O31" s="28">
        <f t="shared" si="3"/>
        <v>1940</v>
      </c>
      <c r="P31" s="22">
        <f t="shared" si="11"/>
        <v>5</v>
      </c>
      <c r="Q31" s="29"/>
      <c r="R31" s="30"/>
    </row>
    <row r="32" spans="1:18" x14ac:dyDescent="0.25">
      <c r="A32" s="21">
        <v>45808</v>
      </c>
      <c r="B32" s="26">
        <v>4</v>
      </c>
      <c r="C32" s="28">
        <f t="shared" si="4"/>
        <v>1512</v>
      </c>
      <c r="D32" s="24">
        <v>-783</v>
      </c>
      <c r="E32" s="25">
        <f t="shared" si="1"/>
        <v>2295</v>
      </c>
      <c r="F32" s="22">
        <f t="shared" si="5"/>
        <v>5</v>
      </c>
      <c r="G32" s="22">
        <f t="shared" si="6"/>
        <v>12</v>
      </c>
      <c r="H32" s="28">
        <f t="shared" si="7"/>
        <v>1482</v>
      </c>
      <c r="I32" s="27">
        <v>-1093</v>
      </c>
      <c r="J32" s="28">
        <f t="shared" si="2"/>
        <v>2575</v>
      </c>
      <c r="K32" s="22">
        <f t="shared" si="8"/>
        <v>0</v>
      </c>
      <c r="L32" s="22">
        <f t="shared" si="9"/>
        <v>12</v>
      </c>
      <c r="M32" s="28">
        <f t="shared" si="10"/>
        <v>1467</v>
      </c>
      <c r="N32" s="24">
        <v>-473</v>
      </c>
      <c r="O32" s="28">
        <f t="shared" si="3"/>
        <v>1940</v>
      </c>
      <c r="P32" s="22">
        <f t="shared" si="11"/>
        <v>5</v>
      </c>
      <c r="Q32" s="29"/>
      <c r="R32" s="30"/>
    </row>
    <row r="33" spans="1:18" x14ac:dyDescent="0.25">
      <c r="A33" s="21">
        <v>45809</v>
      </c>
      <c r="B33" s="26">
        <v>4</v>
      </c>
      <c r="C33" s="28">
        <f t="shared" si="4"/>
        <v>1512</v>
      </c>
      <c r="D33" s="24">
        <v>-783</v>
      </c>
      <c r="E33" s="25">
        <f t="shared" si="1"/>
        <v>2295</v>
      </c>
      <c r="F33" s="22">
        <f t="shared" si="5"/>
        <v>5</v>
      </c>
      <c r="G33" s="22">
        <f t="shared" si="6"/>
        <v>13</v>
      </c>
      <c r="H33" s="28">
        <f t="shared" si="7"/>
        <v>1482</v>
      </c>
      <c r="I33" s="27">
        <v>-1093</v>
      </c>
      <c r="J33" s="28">
        <f t="shared" si="2"/>
        <v>2575</v>
      </c>
      <c r="K33" s="22">
        <f t="shared" si="8"/>
        <v>0</v>
      </c>
      <c r="L33" s="22">
        <f t="shared" si="9"/>
        <v>13</v>
      </c>
      <c r="M33" s="28">
        <f t="shared" si="10"/>
        <v>1467</v>
      </c>
      <c r="N33" s="24">
        <v>-473</v>
      </c>
      <c r="O33" s="28">
        <f t="shared" si="3"/>
        <v>1940</v>
      </c>
      <c r="P33" s="22">
        <f t="shared" si="11"/>
        <v>5</v>
      </c>
      <c r="Q33" s="29"/>
      <c r="R33" s="30"/>
    </row>
    <row r="34" spans="1:18" x14ac:dyDescent="0.25">
      <c r="A34" s="21">
        <v>45810</v>
      </c>
      <c r="B34" s="26">
        <v>4</v>
      </c>
      <c r="C34" s="28">
        <f t="shared" si="4"/>
        <v>1456</v>
      </c>
      <c r="D34" s="24">
        <v>-839</v>
      </c>
      <c r="E34" s="25">
        <f t="shared" si="1"/>
        <v>2295</v>
      </c>
      <c r="F34" s="22">
        <f t="shared" si="5"/>
        <v>61</v>
      </c>
      <c r="G34" s="22">
        <f t="shared" si="6"/>
        <v>14</v>
      </c>
      <c r="H34" s="28">
        <f t="shared" si="7"/>
        <v>1482</v>
      </c>
      <c r="I34" s="27">
        <v>-1093</v>
      </c>
      <c r="J34" s="28">
        <f t="shared" si="2"/>
        <v>2575</v>
      </c>
      <c r="K34" s="22">
        <f t="shared" si="8"/>
        <v>0</v>
      </c>
      <c r="L34" s="22">
        <f t="shared" si="9"/>
        <v>14</v>
      </c>
      <c r="M34" s="28">
        <f t="shared" si="10"/>
        <v>1467</v>
      </c>
      <c r="N34" s="24">
        <v>-473</v>
      </c>
      <c r="O34" s="28">
        <f t="shared" si="3"/>
        <v>1940</v>
      </c>
      <c r="P34" s="22">
        <f t="shared" si="11"/>
        <v>5</v>
      </c>
      <c r="Q34" s="29"/>
      <c r="R34" s="30"/>
    </row>
    <row r="35" spans="1:18" x14ac:dyDescent="0.25">
      <c r="A35" s="21">
        <v>45811</v>
      </c>
      <c r="B35" s="26">
        <v>4</v>
      </c>
      <c r="C35" s="28">
        <f t="shared" si="4"/>
        <v>1445</v>
      </c>
      <c r="D35" s="24">
        <v>-850</v>
      </c>
      <c r="E35" s="25">
        <f t="shared" si="1"/>
        <v>2295</v>
      </c>
      <c r="F35" s="22">
        <f t="shared" si="5"/>
        <v>72</v>
      </c>
      <c r="G35" s="22">
        <f t="shared" si="6"/>
        <v>15</v>
      </c>
      <c r="H35" s="28">
        <f t="shared" si="7"/>
        <v>1475</v>
      </c>
      <c r="I35" s="27">
        <v>-1100</v>
      </c>
      <c r="J35" s="28">
        <f t="shared" si="2"/>
        <v>2575</v>
      </c>
      <c r="K35" s="22">
        <f t="shared" si="8"/>
        <v>7</v>
      </c>
      <c r="L35" s="22">
        <f t="shared" si="9"/>
        <v>15</v>
      </c>
      <c r="M35" s="28">
        <f t="shared" si="10"/>
        <v>1467</v>
      </c>
      <c r="N35" s="24">
        <v>-473</v>
      </c>
      <c r="O35" s="28">
        <f t="shared" si="3"/>
        <v>1940</v>
      </c>
      <c r="P35" s="22">
        <f t="shared" si="11"/>
        <v>5</v>
      </c>
      <c r="Q35" s="29"/>
      <c r="R35" s="30"/>
    </row>
    <row r="36" spans="1:18" x14ac:dyDescent="0.25">
      <c r="A36" s="21">
        <v>45812</v>
      </c>
      <c r="B36" s="26">
        <v>4</v>
      </c>
      <c r="C36" s="28">
        <f t="shared" si="4"/>
        <v>1434</v>
      </c>
      <c r="D36" s="24">
        <v>-861</v>
      </c>
      <c r="E36" s="25">
        <f t="shared" si="1"/>
        <v>2295</v>
      </c>
      <c r="F36" s="22">
        <f t="shared" si="5"/>
        <v>83</v>
      </c>
      <c r="G36" s="22">
        <f t="shared" si="6"/>
        <v>16</v>
      </c>
      <c r="H36" s="28">
        <f t="shared" si="7"/>
        <v>1471</v>
      </c>
      <c r="I36" s="27">
        <v>-1104</v>
      </c>
      <c r="J36" s="28">
        <f t="shared" si="2"/>
        <v>2575</v>
      </c>
      <c r="K36" s="22">
        <f t="shared" si="8"/>
        <v>11</v>
      </c>
      <c r="L36" s="22">
        <f t="shared" si="9"/>
        <v>16</v>
      </c>
      <c r="M36" s="28">
        <f t="shared" si="10"/>
        <v>1466</v>
      </c>
      <c r="N36" s="24">
        <v>-474</v>
      </c>
      <c r="O36" s="28">
        <f t="shared" si="3"/>
        <v>1940</v>
      </c>
      <c r="P36" s="22">
        <f t="shared" si="11"/>
        <v>6</v>
      </c>
      <c r="Q36" s="29"/>
      <c r="R36" s="30"/>
    </row>
    <row r="37" spans="1:18" x14ac:dyDescent="0.25">
      <c r="A37" s="21">
        <v>45813</v>
      </c>
      <c r="B37" s="26">
        <v>4</v>
      </c>
      <c r="C37" s="28">
        <f t="shared" si="4"/>
        <v>1423</v>
      </c>
      <c r="D37" s="24">
        <v>-872</v>
      </c>
      <c r="E37" s="25">
        <f t="shared" si="1"/>
        <v>2295</v>
      </c>
      <c r="F37" s="22">
        <f t="shared" si="5"/>
        <v>94</v>
      </c>
      <c r="G37" s="22">
        <f t="shared" si="6"/>
        <v>17</v>
      </c>
      <c r="H37" s="28">
        <f t="shared" si="7"/>
        <v>1467</v>
      </c>
      <c r="I37" s="27">
        <v>-1108</v>
      </c>
      <c r="J37" s="28">
        <f t="shared" si="2"/>
        <v>2575</v>
      </c>
      <c r="K37" s="22">
        <f t="shared" si="8"/>
        <v>15</v>
      </c>
      <c r="L37" s="22">
        <f t="shared" si="9"/>
        <v>17</v>
      </c>
      <c r="M37" s="28">
        <f t="shared" si="10"/>
        <v>1466</v>
      </c>
      <c r="N37" s="24">
        <v>-474</v>
      </c>
      <c r="O37" s="28">
        <f t="shared" si="3"/>
        <v>1940</v>
      </c>
      <c r="P37" s="22">
        <f t="shared" si="11"/>
        <v>6</v>
      </c>
      <c r="Q37" s="29"/>
      <c r="R37" s="30"/>
    </row>
    <row r="38" spans="1:18" x14ac:dyDescent="0.25">
      <c r="A38" s="21">
        <v>45814</v>
      </c>
      <c r="B38" s="26">
        <v>4</v>
      </c>
      <c r="C38" s="28">
        <f t="shared" si="4"/>
        <v>1412</v>
      </c>
      <c r="D38" s="24">
        <v>-883</v>
      </c>
      <c r="E38" s="25">
        <f t="shared" si="1"/>
        <v>2295</v>
      </c>
      <c r="F38" s="22">
        <f t="shared" si="5"/>
        <v>105</v>
      </c>
      <c r="G38" s="22">
        <f t="shared" si="6"/>
        <v>18</v>
      </c>
      <c r="H38" s="28">
        <f t="shared" si="7"/>
        <v>1463</v>
      </c>
      <c r="I38" s="27">
        <v>-1112</v>
      </c>
      <c r="J38" s="28">
        <f t="shared" si="2"/>
        <v>2575</v>
      </c>
      <c r="K38" s="22">
        <f t="shared" si="8"/>
        <v>19</v>
      </c>
      <c r="L38" s="22">
        <f t="shared" si="9"/>
        <v>18</v>
      </c>
      <c r="M38" s="28">
        <f t="shared" si="10"/>
        <v>1450</v>
      </c>
      <c r="N38" s="24">
        <v>-490</v>
      </c>
      <c r="O38" s="28">
        <f t="shared" si="3"/>
        <v>1940</v>
      </c>
      <c r="P38" s="22">
        <f t="shared" si="11"/>
        <v>22</v>
      </c>
      <c r="Q38" s="29"/>
      <c r="R38" s="30"/>
    </row>
    <row r="39" spans="1:18" x14ac:dyDescent="0.25">
      <c r="A39" s="21">
        <v>45815</v>
      </c>
      <c r="B39" s="26">
        <v>4</v>
      </c>
      <c r="C39" s="28">
        <f t="shared" si="4"/>
        <v>1401</v>
      </c>
      <c r="D39" s="24">
        <v>-894</v>
      </c>
      <c r="E39" s="25">
        <f t="shared" si="1"/>
        <v>2295</v>
      </c>
      <c r="F39" s="22">
        <f t="shared" si="5"/>
        <v>116</v>
      </c>
      <c r="G39" s="22">
        <f t="shared" si="6"/>
        <v>19</v>
      </c>
      <c r="H39" s="28">
        <f t="shared" si="7"/>
        <v>1371</v>
      </c>
      <c r="I39" s="27">
        <v>-1204</v>
      </c>
      <c r="J39" s="28">
        <f t="shared" si="2"/>
        <v>2575</v>
      </c>
      <c r="K39" s="22">
        <f t="shared" si="8"/>
        <v>111</v>
      </c>
      <c r="L39" s="22">
        <f t="shared" si="9"/>
        <v>19</v>
      </c>
      <c r="M39" s="28">
        <f t="shared" si="10"/>
        <v>1430</v>
      </c>
      <c r="N39" s="24">
        <v>-510</v>
      </c>
      <c r="O39" s="28">
        <f t="shared" si="3"/>
        <v>1940</v>
      </c>
      <c r="P39" s="22">
        <f t="shared" si="11"/>
        <v>42</v>
      </c>
      <c r="Q39" s="29"/>
      <c r="R39" s="30"/>
    </row>
    <row r="40" spans="1:18" x14ac:dyDescent="0.25">
      <c r="A40" s="21">
        <v>45816</v>
      </c>
      <c r="B40" s="26">
        <v>4</v>
      </c>
      <c r="C40" s="28">
        <f t="shared" si="4"/>
        <v>1390</v>
      </c>
      <c r="D40" s="24">
        <v>-905</v>
      </c>
      <c r="E40" s="25">
        <f t="shared" si="1"/>
        <v>2295</v>
      </c>
      <c r="F40" s="22">
        <f t="shared" si="5"/>
        <v>127</v>
      </c>
      <c r="G40" s="22">
        <f t="shared" si="6"/>
        <v>20</v>
      </c>
      <c r="H40" s="28">
        <f t="shared" si="7"/>
        <v>1343</v>
      </c>
      <c r="I40" s="27">
        <v>-1232</v>
      </c>
      <c r="J40" s="28">
        <f t="shared" si="2"/>
        <v>2575</v>
      </c>
      <c r="K40" s="22">
        <f t="shared" si="8"/>
        <v>139</v>
      </c>
      <c r="L40" s="22">
        <f t="shared" si="9"/>
        <v>20</v>
      </c>
      <c r="M40" s="28">
        <f t="shared" si="10"/>
        <v>1410</v>
      </c>
      <c r="N40" s="24">
        <v>-530</v>
      </c>
      <c r="O40" s="28">
        <f t="shared" si="3"/>
        <v>1940</v>
      </c>
      <c r="P40" s="22">
        <f t="shared" si="11"/>
        <v>62</v>
      </c>
      <c r="Q40" s="29"/>
      <c r="R40" s="30"/>
    </row>
    <row r="41" spans="1:18" x14ac:dyDescent="0.25">
      <c r="A41" s="21">
        <v>45817</v>
      </c>
      <c r="B41" s="26">
        <v>4</v>
      </c>
      <c r="C41" s="28">
        <f t="shared" si="4"/>
        <v>1379</v>
      </c>
      <c r="D41" s="24">
        <v>-916</v>
      </c>
      <c r="E41" s="25">
        <f t="shared" si="1"/>
        <v>2295</v>
      </c>
      <c r="F41" s="22">
        <f t="shared" si="5"/>
        <v>138</v>
      </c>
      <c r="G41" s="22">
        <f t="shared" si="6"/>
        <v>21</v>
      </c>
      <c r="H41" s="28">
        <f t="shared" si="7"/>
        <v>1315</v>
      </c>
      <c r="I41" s="27">
        <v>-1260</v>
      </c>
      <c r="J41" s="28">
        <f t="shared" si="2"/>
        <v>2575</v>
      </c>
      <c r="K41" s="22">
        <f t="shared" si="8"/>
        <v>167</v>
      </c>
      <c r="L41" s="22">
        <f t="shared" si="9"/>
        <v>21</v>
      </c>
      <c r="M41" s="28">
        <f t="shared" si="10"/>
        <v>1370</v>
      </c>
      <c r="N41" s="24">
        <v>-570</v>
      </c>
      <c r="O41" s="28">
        <f t="shared" si="3"/>
        <v>1940</v>
      </c>
      <c r="P41" s="22">
        <f t="shared" si="11"/>
        <v>102</v>
      </c>
      <c r="Q41" s="29"/>
      <c r="R41" s="30"/>
    </row>
    <row r="42" spans="1:18" x14ac:dyDescent="0.25">
      <c r="A42" s="21">
        <v>45818</v>
      </c>
      <c r="B42" s="26">
        <v>4</v>
      </c>
      <c r="C42" s="28">
        <f t="shared" si="4"/>
        <v>1368</v>
      </c>
      <c r="D42" s="24">
        <v>-927</v>
      </c>
      <c r="E42" s="25">
        <f t="shared" si="1"/>
        <v>2295</v>
      </c>
      <c r="F42" s="22">
        <f t="shared" si="5"/>
        <v>149</v>
      </c>
      <c r="G42" s="22">
        <f t="shared" si="6"/>
        <v>22</v>
      </c>
      <c r="H42" s="28">
        <f t="shared" si="7"/>
        <v>1300</v>
      </c>
      <c r="I42" s="27">
        <v>-1275</v>
      </c>
      <c r="J42" s="28">
        <f t="shared" si="2"/>
        <v>2575</v>
      </c>
      <c r="K42" s="22">
        <f t="shared" si="8"/>
        <v>182</v>
      </c>
      <c r="L42" s="22">
        <f t="shared" si="9"/>
        <v>22</v>
      </c>
      <c r="M42" s="28">
        <f t="shared" si="10"/>
        <v>1349</v>
      </c>
      <c r="N42" s="24">
        <v>-591</v>
      </c>
      <c r="O42" s="28">
        <f t="shared" si="3"/>
        <v>1940</v>
      </c>
      <c r="P42" s="22">
        <f t="shared" si="11"/>
        <v>123</v>
      </c>
      <c r="Q42" s="29"/>
      <c r="R42" s="30"/>
    </row>
    <row r="43" spans="1:18" x14ac:dyDescent="0.25">
      <c r="A43" s="21">
        <v>45819</v>
      </c>
      <c r="B43" s="26">
        <v>4</v>
      </c>
      <c r="C43" s="28">
        <f t="shared" si="4"/>
        <v>1357</v>
      </c>
      <c r="D43" s="24">
        <v>-938</v>
      </c>
      <c r="E43" s="25">
        <f t="shared" si="1"/>
        <v>2295</v>
      </c>
      <c r="F43" s="22">
        <f t="shared" si="5"/>
        <v>160</v>
      </c>
      <c r="G43" s="22">
        <f t="shared" si="6"/>
        <v>23</v>
      </c>
      <c r="H43" s="28">
        <f t="shared" si="7"/>
        <v>1267</v>
      </c>
      <c r="I43" s="27">
        <v>-1308</v>
      </c>
      <c r="J43" s="28">
        <f t="shared" si="2"/>
        <v>2575</v>
      </c>
      <c r="K43" s="22">
        <f t="shared" si="8"/>
        <v>215</v>
      </c>
      <c r="L43" s="22">
        <f t="shared" si="9"/>
        <v>23</v>
      </c>
      <c r="M43" s="28">
        <f t="shared" si="10"/>
        <v>1338</v>
      </c>
      <c r="N43" s="24">
        <v>-602</v>
      </c>
      <c r="O43" s="28">
        <f t="shared" si="3"/>
        <v>1940</v>
      </c>
      <c r="P43" s="22">
        <f t="shared" si="11"/>
        <v>134</v>
      </c>
      <c r="Q43" s="29"/>
      <c r="R43" s="30"/>
    </row>
    <row r="44" spans="1:18" x14ac:dyDescent="0.25">
      <c r="A44" s="21">
        <v>45820</v>
      </c>
      <c r="B44" s="26">
        <v>4</v>
      </c>
      <c r="C44" s="28">
        <f t="shared" si="4"/>
        <v>1346</v>
      </c>
      <c r="D44" s="24">
        <v>-949</v>
      </c>
      <c r="E44" s="25">
        <f t="shared" si="1"/>
        <v>2295</v>
      </c>
      <c r="F44" s="22">
        <f t="shared" si="5"/>
        <v>171</v>
      </c>
      <c r="G44" s="22">
        <f t="shared" si="6"/>
        <v>24</v>
      </c>
      <c r="H44" s="28">
        <f t="shared" si="7"/>
        <v>1234</v>
      </c>
      <c r="I44" s="27">
        <v>-1341</v>
      </c>
      <c r="J44" s="28">
        <f t="shared" si="2"/>
        <v>2575</v>
      </c>
      <c r="K44" s="22">
        <f t="shared" si="8"/>
        <v>248</v>
      </c>
      <c r="L44" s="22">
        <f t="shared" si="9"/>
        <v>24</v>
      </c>
      <c r="M44" s="28">
        <f t="shared" si="10"/>
        <v>1327</v>
      </c>
      <c r="N44" s="24">
        <v>-613</v>
      </c>
      <c r="O44" s="28">
        <f t="shared" si="3"/>
        <v>1940</v>
      </c>
      <c r="P44" s="22">
        <f t="shared" si="11"/>
        <v>145</v>
      </c>
      <c r="Q44" s="29"/>
      <c r="R44" s="30"/>
    </row>
    <row r="45" spans="1:18" x14ac:dyDescent="0.25">
      <c r="A45" s="21">
        <v>45821</v>
      </c>
      <c r="B45" s="26">
        <v>4</v>
      </c>
      <c r="C45" s="28">
        <f t="shared" si="4"/>
        <v>1335</v>
      </c>
      <c r="D45" s="24">
        <v>-960</v>
      </c>
      <c r="E45" s="25">
        <f t="shared" si="1"/>
        <v>2295</v>
      </c>
      <c r="F45" s="22">
        <f t="shared" si="5"/>
        <v>182</v>
      </c>
      <c r="G45" s="22">
        <f t="shared" si="6"/>
        <v>25</v>
      </c>
      <c r="H45" s="28">
        <f t="shared" si="7"/>
        <v>1201</v>
      </c>
      <c r="I45" s="27">
        <v>-1374</v>
      </c>
      <c r="J45" s="28">
        <f t="shared" si="2"/>
        <v>2575</v>
      </c>
      <c r="K45" s="22">
        <f t="shared" si="8"/>
        <v>281</v>
      </c>
      <c r="L45" s="22">
        <f t="shared" si="9"/>
        <v>25</v>
      </c>
      <c r="M45" s="28">
        <f t="shared" si="10"/>
        <v>1316</v>
      </c>
      <c r="N45" s="24">
        <v>-624</v>
      </c>
      <c r="O45" s="28">
        <f t="shared" si="3"/>
        <v>1940</v>
      </c>
      <c r="P45" s="22">
        <f t="shared" si="11"/>
        <v>156</v>
      </c>
      <c r="Q45" s="29"/>
      <c r="R45" s="30"/>
    </row>
    <row r="46" spans="1:18" x14ac:dyDescent="0.25">
      <c r="A46" s="21">
        <v>45822</v>
      </c>
      <c r="B46" s="26">
        <v>4</v>
      </c>
      <c r="C46" s="28">
        <f t="shared" si="4"/>
        <v>1324</v>
      </c>
      <c r="D46" s="24">
        <v>-971</v>
      </c>
      <c r="E46" s="25">
        <f t="shared" si="1"/>
        <v>2295</v>
      </c>
      <c r="F46" s="22">
        <f t="shared" si="5"/>
        <v>193</v>
      </c>
      <c r="G46" s="22">
        <f t="shared" si="6"/>
        <v>26</v>
      </c>
      <c r="H46" s="28">
        <f t="shared" si="7"/>
        <v>1198</v>
      </c>
      <c r="I46" s="27">
        <v>-1377</v>
      </c>
      <c r="J46" s="28">
        <f t="shared" si="2"/>
        <v>2575</v>
      </c>
      <c r="K46" s="22">
        <f t="shared" si="8"/>
        <v>284</v>
      </c>
      <c r="L46" s="22">
        <f t="shared" si="9"/>
        <v>26</v>
      </c>
      <c r="M46" s="28">
        <f t="shared" si="10"/>
        <v>1305</v>
      </c>
      <c r="N46" s="24">
        <v>-635</v>
      </c>
      <c r="O46" s="28">
        <f t="shared" si="3"/>
        <v>1940</v>
      </c>
      <c r="P46" s="22">
        <f t="shared" si="11"/>
        <v>167</v>
      </c>
      <c r="Q46" s="29"/>
      <c r="R46" s="30"/>
    </row>
    <row r="47" spans="1:18" x14ac:dyDescent="0.25">
      <c r="A47" s="21">
        <v>45823</v>
      </c>
      <c r="B47" s="26">
        <v>4</v>
      </c>
      <c r="C47" s="28">
        <f t="shared" si="4"/>
        <v>1313</v>
      </c>
      <c r="D47" s="24">
        <v>-982</v>
      </c>
      <c r="E47" s="25">
        <f t="shared" si="1"/>
        <v>2295</v>
      </c>
      <c r="F47" s="22">
        <f t="shared" si="5"/>
        <v>204</v>
      </c>
      <c r="G47" s="22">
        <f t="shared" si="6"/>
        <v>27</v>
      </c>
      <c r="H47" s="28">
        <f t="shared" si="7"/>
        <v>1190</v>
      </c>
      <c r="I47" s="27">
        <v>-1385</v>
      </c>
      <c r="J47" s="28">
        <f t="shared" si="2"/>
        <v>2575</v>
      </c>
      <c r="K47" s="22">
        <f t="shared" si="8"/>
        <v>292</v>
      </c>
      <c r="L47" s="22">
        <f t="shared" si="9"/>
        <v>27</v>
      </c>
      <c r="M47" s="28">
        <f t="shared" si="10"/>
        <v>1294</v>
      </c>
      <c r="N47" s="24">
        <v>-646</v>
      </c>
      <c r="O47" s="28">
        <f t="shared" si="3"/>
        <v>1940</v>
      </c>
      <c r="P47" s="22">
        <f t="shared" si="11"/>
        <v>178</v>
      </c>
      <c r="Q47" s="29"/>
      <c r="R47" s="30"/>
    </row>
    <row r="48" spans="1:18" x14ac:dyDescent="0.25">
      <c r="A48" s="21">
        <v>45824</v>
      </c>
      <c r="B48" s="26">
        <v>4</v>
      </c>
      <c r="C48" s="28">
        <f t="shared" si="4"/>
        <v>1302</v>
      </c>
      <c r="D48" s="24">
        <v>-993</v>
      </c>
      <c r="E48" s="25">
        <f t="shared" si="1"/>
        <v>2295</v>
      </c>
      <c r="F48" s="22">
        <f t="shared" si="5"/>
        <v>215</v>
      </c>
      <c r="G48" s="22">
        <f t="shared" si="6"/>
        <v>28</v>
      </c>
      <c r="H48" s="28">
        <f t="shared" si="7"/>
        <v>1182</v>
      </c>
      <c r="I48" s="27">
        <v>-1393</v>
      </c>
      <c r="J48" s="28">
        <f t="shared" si="2"/>
        <v>2575</v>
      </c>
      <c r="K48" s="22">
        <f t="shared" si="8"/>
        <v>300</v>
      </c>
      <c r="L48" s="22">
        <f t="shared" si="9"/>
        <v>28</v>
      </c>
      <c r="M48" s="28">
        <f t="shared" si="10"/>
        <v>1283</v>
      </c>
      <c r="N48" s="24">
        <v>-657</v>
      </c>
      <c r="O48" s="28">
        <f t="shared" si="3"/>
        <v>1940</v>
      </c>
      <c r="P48" s="22">
        <f t="shared" si="11"/>
        <v>189</v>
      </c>
      <c r="Q48" s="29"/>
      <c r="R48" s="30"/>
    </row>
    <row r="49" spans="1:18" x14ac:dyDescent="0.25">
      <c r="A49" s="21">
        <v>45825</v>
      </c>
      <c r="B49" s="26">
        <v>4</v>
      </c>
      <c r="C49" s="28">
        <f t="shared" si="4"/>
        <v>1291</v>
      </c>
      <c r="D49" s="24">
        <v>-1004</v>
      </c>
      <c r="E49" s="25">
        <f t="shared" si="1"/>
        <v>2295</v>
      </c>
      <c r="F49" s="22">
        <f t="shared" si="5"/>
        <v>226</v>
      </c>
      <c r="G49" s="22">
        <f t="shared" si="6"/>
        <v>29</v>
      </c>
      <c r="H49" s="28">
        <f t="shared" si="7"/>
        <v>1174</v>
      </c>
      <c r="I49" s="27">
        <v>-1401</v>
      </c>
      <c r="J49" s="28">
        <f t="shared" si="2"/>
        <v>2575</v>
      </c>
      <c r="K49" s="22">
        <f t="shared" si="8"/>
        <v>308</v>
      </c>
      <c r="L49" s="22">
        <f t="shared" si="9"/>
        <v>29</v>
      </c>
      <c r="M49" s="28">
        <f t="shared" si="10"/>
        <v>1272</v>
      </c>
      <c r="N49" s="24">
        <v>-668</v>
      </c>
      <c r="O49" s="28">
        <f t="shared" si="3"/>
        <v>1940</v>
      </c>
      <c r="P49" s="22">
        <f t="shared" si="11"/>
        <v>200</v>
      </c>
      <c r="Q49" s="29"/>
      <c r="R49" s="30"/>
    </row>
    <row r="50" spans="1:18" x14ac:dyDescent="0.25">
      <c r="A50" s="21">
        <v>45826</v>
      </c>
      <c r="B50" s="26">
        <v>4</v>
      </c>
      <c r="C50" s="28">
        <f t="shared" si="4"/>
        <v>1280</v>
      </c>
      <c r="D50" s="24">
        <v>-1015</v>
      </c>
      <c r="E50" s="25">
        <f t="shared" si="1"/>
        <v>2295</v>
      </c>
      <c r="F50" s="22">
        <f t="shared" si="5"/>
        <v>237</v>
      </c>
      <c r="G50" s="22">
        <f t="shared" si="6"/>
        <v>30</v>
      </c>
      <c r="H50" s="28">
        <f t="shared" si="7"/>
        <v>1166</v>
      </c>
      <c r="I50" s="27">
        <v>-1409</v>
      </c>
      <c r="J50" s="28">
        <f t="shared" si="2"/>
        <v>2575</v>
      </c>
      <c r="K50" s="22">
        <f t="shared" si="8"/>
        <v>316</v>
      </c>
      <c r="L50" s="22">
        <f t="shared" si="9"/>
        <v>30</v>
      </c>
      <c r="M50" s="28">
        <f t="shared" si="10"/>
        <v>1261</v>
      </c>
      <c r="N50" s="24">
        <v>-679</v>
      </c>
      <c r="O50" s="28">
        <f t="shared" si="3"/>
        <v>1940</v>
      </c>
      <c r="P50" s="22">
        <f t="shared" si="11"/>
        <v>211</v>
      </c>
      <c r="Q50" s="29"/>
      <c r="R50" s="30"/>
    </row>
    <row r="51" spans="1:18" x14ac:dyDescent="0.25">
      <c r="A51" s="21">
        <v>45827</v>
      </c>
      <c r="B51" s="26">
        <v>4</v>
      </c>
      <c r="C51" s="28">
        <f t="shared" si="4"/>
        <v>1269</v>
      </c>
      <c r="D51" s="24">
        <v>-1026</v>
      </c>
      <c r="E51" s="25">
        <f t="shared" si="1"/>
        <v>2295</v>
      </c>
      <c r="F51" s="22">
        <f t="shared" si="5"/>
        <v>248</v>
      </c>
      <c r="G51" s="22">
        <f t="shared" si="6"/>
        <v>31</v>
      </c>
      <c r="H51" s="28">
        <f t="shared" si="7"/>
        <v>1158</v>
      </c>
      <c r="I51" s="27">
        <v>-1417</v>
      </c>
      <c r="J51" s="28">
        <f t="shared" si="2"/>
        <v>2575</v>
      </c>
      <c r="K51" s="22">
        <f t="shared" si="8"/>
        <v>324</v>
      </c>
      <c r="L51" s="22">
        <f t="shared" si="9"/>
        <v>31</v>
      </c>
      <c r="M51" s="28">
        <f t="shared" si="10"/>
        <v>1250</v>
      </c>
      <c r="N51" s="24">
        <v>-690</v>
      </c>
      <c r="O51" s="28">
        <f t="shared" si="3"/>
        <v>1940</v>
      </c>
      <c r="P51" s="22">
        <f t="shared" si="11"/>
        <v>222</v>
      </c>
      <c r="Q51" s="29"/>
      <c r="R51" s="30"/>
    </row>
    <row r="52" spans="1:18" x14ac:dyDescent="0.25">
      <c r="A52" s="21">
        <v>45828</v>
      </c>
      <c r="B52" s="26">
        <v>4</v>
      </c>
      <c r="C52" s="28">
        <f t="shared" si="4"/>
        <v>1255</v>
      </c>
      <c r="D52" s="24">
        <v>-1040</v>
      </c>
      <c r="E52" s="25">
        <f t="shared" si="1"/>
        <v>2295</v>
      </c>
      <c r="F52" s="22">
        <f t="shared" si="5"/>
        <v>262</v>
      </c>
      <c r="G52" s="22">
        <f t="shared" si="6"/>
        <v>32</v>
      </c>
      <c r="H52" s="28">
        <f t="shared" si="7"/>
        <v>1150</v>
      </c>
      <c r="I52" s="27">
        <v>-1425</v>
      </c>
      <c r="J52" s="28">
        <f t="shared" si="2"/>
        <v>2575</v>
      </c>
      <c r="K52" s="22">
        <f t="shared" si="8"/>
        <v>332</v>
      </c>
      <c r="L52" s="22">
        <f t="shared" si="9"/>
        <v>32</v>
      </c>
      <c r="M52" s="28">
        <f t="shared" si="10"/>
        <v>1239</v>
      </c>
      <c r="N52" s="24">
        <v>-701</v>
      </c>
      <c r="O52" s="28">
        <f t="shared" si="3"/>
        <v>1940</v>
      </c>
      <c r="P52" s="22">
        <f t="shared" si="11"/>
        <v>233</v>
      </c>
      <c r="Q52" s="29"/>
      <c r="R52" s="30"/>
    </row>
    <row r="53" spans="1:18" x14ac:dyDescent="0.25">
      <c r="A53" s="21">
        <v>45829</v>
      </c>
      <c r="B53" s="26">
        <v>4</v>
      </c>
      <c r="C53" s="28">
        <f t="shared" si="4"/>
        <v>1247</v>
      </c>
      <c r="D53" s="24">
        <v>-1048</v>
      </c>
      <c r="E53" s="25">
        <f t="shared" si="1"/>
        <v>2295</v>
      </c>
      <c r="F53" s="22">
        <f t="shared" si="5"/>
        <v>270</v>
      </c>
      <c r="G53" s="22">
        <f t="shared" si="6"/>
        <v>33</v>
      </c>
      <c r="H53" s="28">
        <f t="shared" si="7"/>
        <v>1142</v>
      </c>
      <c r="I53" s="27">
        <v>-1433</v>
      </c>
      <c r="J53" s="28">
        <f t="shared" si="2"/>
        <v>2575</v>
      </c>
      <c r="K53" s="22">
        <f t="shared" si="8"/>
        <v>340</v>
      </c>
      <c r="L53" s="22">
        <f t="shared" si="9"/>
        <v>33</v>
      </c>
      <c r="M53" s="28">
        <f t="shared" si="10"/>
        <v>1228</v>
      </c>
      <c r="N53" s="24">
        <v>-712</v>
      </c>
      <c r="O53" s="28">
        <f t="shared" si="3"/>
        <v>1940</v>
      </c>
      <c r="P53" s="22">
        <f t="shared" si="11"/>
        <v>244</v>
      </c>
      <c r="Q53" s="29"/>
      <c r="R53" s="30"/>
    </row>
    <row r="54" spans="1:18" x14ac:dyDescent="0.25">
      <c r="A54" s="21">
        <v>45830</v>
      </c>
      <c r="B54" s="26">
        <v>4</v>
      </c>
      <c r="C54" s="28">
        <f t="shared" si="4"/>
        <v>1239</v>
      </c>
      <c r="D54" s="24">
        <v>-1056</v>
      </c>
      <c r="E54" s="25">
        <f t="shared" si="1"/>
        <v>2295</v>
      </c>
      <c r="F54" s="22">
        <f t="shared" si="5"/>
        <v>278</v>
      </c>
      <c r="G54" s="22">
        <f t="shared" si="6"/>
        <v>34</v>
      </c>
      <c r="H54" s="28">
        <f t="shared" si="7"/>
        <v>1134</v>
      </c>
      <c r="I54" s="27">
        <v>-1441</v>
      </c>
      <c r="J54" s="28">
        <f t="shared" si="2"/>
        <v>2575</v>
      </c>
      <c r="K54" s="22">
        <f t="shared" si="8"/>
        <v>348</v>
      </c>
      <c r="L54" s="22">
        <f t="shared" si="9"/>
        <v>34</v>
      </c>
      <c r="M54" s="28">
        <f t="shared" si="10"/>
        <v>1217</v>
      </c>
      <c r="N54" s="24">
        <v>-723</v>
      </c>
      <c r="O54" s="28">
        <f t="shared" si="3"/>
        <v>1940</v>
      </c>
      <c r="P54" s="22">
        <f t="shared" si="11"/>
        <v>255</v>
      </c>
      <c r="Q54" s="29"/>
      <c r="R54" s="30"/>
    </row>
    <row r="55" spans="1:18" x14ac:dyDescent="0.25">
      <c r="A55" s="21">
        <v>45831</v>
      </c>
      <c r="B55" s="26">
        <v>4</v>
      </c>
      <c r="C55" s="28">
        <f t="shared" si="4"/>
        <v>1231</v>
      </c>
      <c r="D55" s="24">
        <v>-1064</v>
      </c>
      <c r="E55" s="25">
        <f t="shared" si="1"/>
        <v>2295</v>
      </c>
      <c r="F55" s="22">
        <f t="shared" si="5"/>
        <v>286</v>
      </c>
      <c r="G55" s="22">
        <f t="shared" si="6"/>
        <v>35</v>
      </c>
      <c r="H55" s="28">
        <f t="shared" si="7"/>
        <v>1126</v>
      </c>
      <c r="I55" s="27">
        <v>-1449</v>
      </c>
      <c r="J55" s="28">
        <f t="shared" si="2"/>
        <v>2575</v>
      </c>
      <c r="K55" s="22">
        <f t="shared" si="8"/>
        <v>356</v>
      </c>
      <c r="L55" s="22">
        <f t="shared" si="9"/>
        <v>35</v>
      </c>
      <c r="M55" s="28">
        <f t="shared" si="10"/>
        <v>1206</v>
      </c>
      <c r="N55" s="24">
        <v>-734</v>
      </c>
      <c r="O55" s="28">
        <f t="shared" si="3"/>
        <v>1940</v>
      </c>
      <c r="P55" s="22">
        <f t="shared" si="11"/>
        <v>266</v>
      </c>
      <c r="Q55" s="29"/>
      <c r="R55" s="30"/>
    </row>
    <row r="56" spans="1:18" x14ac:dyDescent="0.25">
      <c r="A56" s="21">
        <v>45832</v>
      </c>
      <c r="B56" s="26">
        <v>4</v>
      </c>
      <c r="C56" s="28">
        <f t="shared" si="4"/>
        <v>1223</v>
      </c>
      <c r="D56" s="24">
        <v>-1072</v>
      </c>
      <c r="E56" s="25">
        <f t="shared" si="1"/>
        <v>2295</v>
      </c>
      <c r="F56" s="22">
        <f t="shared" si="5"/>
        <v>294</v>
      </c>
      <c r="G56" s="22">
        <f t="shared" si="6"/>
        <v>36</v>
      </c>
      <c r="H56" s="28">
        <f t="shared" si="7"/>
        <v>1118</v>
      </c>
      <c r="I56" s="27">
        <v>-1457</v>
      </c>
      <c r="J56" s="28">
        <f t="shared" si="2"/>
        <v>2575</v>
      </c>
      <c r="K56" s="22">
        <f t="shared" si="8"/>
        <v>364</v>
      </c>
      <c r="L56" s="22">
        <f t="shared" si="9"/>
        <v>36</v>
      </c>
      <c r="M56" s="28">
        <f t="shared" si="10"/>
        <v>1195</v>
      </c>
      <c r="N56" s="24">
        <v>-745</v>
      </c>
      <c r="O56" s="28">
        <f t="shared" si="3"/>
        <v>1940</v>
      </c>
      <c r="P56" s="22">
        <f t="shared" si="11"/>
        <v>277</v>
      </c>
      <c r="Q56" s="29"/>
      <c r="R56" s="30"/>
    </row>
    <row r="57" spans="1:18" x14ac:dyDescent="0.25">
      <c r="A57" s="21">
        <v>45833</v>
      </c>
      <c r="B57" s="26">
        <v>4</v>
      </c>
      <c r="C57" s="28">
        <f t="shared" si="4"/>
        <v>1215</v>
      </c>
      <c r="D57" s="24">
        <v>-1080</v>
      </c>
      <c r="E57" s="25">
        <f t="shared" si="1"/>
        <v>2295</v>
      </c>
      <c r="F57" s="22">
        <f t="shared" si="5"/>
        <v>302</v>
      </c>
      <c r="G57" s="22">
        <f t="shared" si="6"/>
        <v>37</v>
      </c>
      <c r="H57" s="28">
        <f t="shared" si="7"/>
        <v>1110</v>
      </c>
      <c r="I57" s="27">
        <v>-1465</v>
      </c>
      <c r="J57" s="28">
        <f t="shared" si="2"/>
        <v>2575</v>
      </c>
      <c r="K57" s="22">
        <f t="shared" si="8"/>
        <v>372</v>
      </c>
      <c r="L57" s="22">
        <f t="shared" si="9"/>
        <v>37</v>
      </c>
      <c r="M57" s="28">
        <f t="shared" si="10"/>
        <v>1184</v>
      </c>
      <c r="N57" s="24">
        <v>-756</v>
      </c>
      <c r="O57" s="28">
        <f t="shared" si="3"/>
        <v>1940</v>
      </c>
      <c r="P57" s="22">
        <f t="shared" si="11"/>
        <v>288</v>
      </c>
      <c r="Q57" s="29"/>
      <c r="R57" s="30"/>
    </row>
    <row r="58" spans="1:18" x14ac:dyDescent="0.25">
      <c r="A58" s="21">
        <v>45834</v>
      </c>
      <c r="B58" s="26">
        <v>4</v>
      </c>
      <c r="C58" s="28">
        <f t="shared" si="4"/>
        <v>1207</v>
      </c>
      <c r="D58" s="24">
        <v>-1088</v>
      </c>
      <c r="E58" s="25">
        <f t="shared" si="1"/>
        <v>2295</v>
      </c>
      <c r="F58" s="22">
        <f t="shared" si="5"/>
        <v>310</v>
      </c>
      <c r="G58" s="22">
        <f t="shared" si="6"/>
        <v>38</v>
      </c>
      <c r="H58" s="28">
        <f t="shared" si="7"/>
        <v>1102</v>
      </c>
      <c r="I58" s="27">
        <v>-1473</v>
      </c>
      <c r="J58" s="28">
        <f t="shared" si="2"/>
        <v>2575</v>
      </c>
      <c r="K58" s="22">
        <f t="shared" si="8"/>
        <v>380</v>
      </c>
      <c r="L58" s="22">
        <f t="shared" si="9"/>
        <v>38</v>
      </c>
      <c r="M58" s="28">
        <f t="shared" si="10"/>
        <v>1182</v>
      </c>
      <c r="N58" s="24">
        <v>-758</v>
      </c>
      <c r="O58" s="28">
        <f t="shared" si="3"/>
        <v>1940</v>
      </c>
      <c r="P58" s="22">
        <f t="shared" si="11"/>
        <v>290</v>
      </c>
      <c r="Q58" s="29"/>
      <c r="R58" s="30"/>
    </row>
    <row r="59" spans="1:18" x14ac:dyDescent="0.25">
      <c r="A59" s="21">
        <v>45835</v>
      </c>
      <c r="B59" s="26">
        <v>4</v>
      </c>
      <c r="C59" s="28">
        <f t="shared" si="4"/>
        <v>1206</v>
      </c>
      <c r="D59" s="24">
        <v>-1089</v>
      </c>
      <c r="E59" s="25">
        <f t="shared" si="1"/>
        <v>2295</v>
      </c>
      <c r="F59" s="22">
        <f t="shared" si="5"/>
        <v>311</v>
      </c>
      <c r="G59" s="22">
        <f t="shared" si="6"/>
        <v>39</v>
      </c>
      <c r="H59" s="28">
        <f t="shared" si="7"/>
        <v>1101</v>
      </c>
      <c r="I59" s="27">
        <v>-1474</v>
      </c>
      <c r="J59" s="28">
        <f t="shared" si="2"/>
        <v>2575</v>
      </c>
      <c r="K59" s="22">
        <f t="shared" si="8"/>
        <v>381</v>
      </c>
      <c r="L59" s="22">
        <f t="shared" si="9"/>
        <v>39</v>
      </c>
      <c r="M59" s="28">
        <f t="shared" si="10"/>
        <v>1181</v>
      </c>
      <c r="N59" s="24">
        <v>-759</v>
      </c>
      <c r="O59" s="28">
        <f t="shared" si="3"/>
        <v>1940</v>
      </c>
      <c r="P59" s="22">
        <f t="shared" si="11"/>
        <v>291</v>
      </c>
      <c r="Q59" s="29"/>
      <c r="R59" s="30"/>
    </row>
    <row r="60" spans="1:18" x14ac:dyDescent="0.25">
      <c r="A60" s="21">
        <v>45836</v>
      </c>
      <c r="B60" s="26">
        <v>4</v>
      </c>
      <c r="C60" s="28">
        <f t="shared" si="4"/>
        <v>1205</v>
      </c>
      <c r="D60" s="24">
        <v>-1090</v>
      </c>
      <c r="E60" s="25">
        <f t="shared" si="1"/>
        <v>2295</v>
      </c>
      <c r="F60" s="22">
        <f t="shared" si="5"/>
        <v>312</v>
      </c>
      <c r="G60" s="22">
        <f t="shared" si="6"/>
        <v>40</v>
      </c>
      <c r="H60" s="28">
        <f t="shared" si="7"/>
        <v>1100</v>
      </c>
      <c r="I60" s="27">
        <v>-1475</v>
      </c>
      <c r="J60" s="28">
        <f t="shared" si="2"/>
        <v>2575</v>
      </c>
      <c r="K60" s="22">
        <f t="shared" si="8"/>
        <v>382</v>
      </c>
      <c r="L60" s="22">
        <f t="shared" si="9"/>
        <v>40</v>
      </c>
      <c r="M60" s="28">
        <f t="shared" si="10"/>
        <v>1180</v>
      </c>
      <c r="N60" s="24">
        <v>-760</v>
      </c>
      <c r="O60" s="28">
        <f t="shared" si="3"/>
        <v>1940</v>
      </c>
      <c r="P60" s="22">
        <f t="shared" si="11"/>
        <v>292</v>
      </c>
      <c r="Q60" s="29"/>
      <c r="R60" s="30"/>
    </row>
    <row r="61" spans="1:18" x14ac:dyDescent="0.25">
      <c r="A61" s="21">
        <v>45837</v>
      </c>
      <c r="B61" s="26">
        <v>4</v>
      </c>
      <c r="C61" s="28">
        <f t="shared" si="4"/>
        <v>1204</v>
      </c>
      <c r="D61" s="24">
        <v>-1091</v>
      </c>
      <c r="E61" s="25">
        <f t="shared" si="1"/>
        <v>2295</v>
      </c>
      <c r="F61" s="22">
        <f t="shared" si="5"/>
        <v>313</v>
      </c>
      <c r="G61" s="22">
        <f t="shared" si="6"/>
        <v>41</v>
      </c>
      <c r="H61" s="28">
        <f t="shared" si="7"/>
        <v>1099</v>
      </c>
      <c r="I61" s="27">
        <v>-1476</v>
      </c>
      <c r="J61" s="28">
        <f t="shared" si="2"/>
        <v>2575</v>
      </c>
      <c r="K61" s="22">
        <f t="shared" si="8"/>
        <v>383</v>
      </c>
      <c r="L61" s="22">
        <f t="shared" si="9"/>
        <v>41</v>
      </c>
      <c r="M61" s="28">
        <f t="shared" si="10"/>
        <v>1179</v>
      </c>
      <c r="N61" s="24">
        <v>-761</v>
      </c>
      <c r="O61" s="28">
        <f t="shared" si="3"/>
        <v>1940</v>
      </c>
      <c r="P61" s="22">
        <f t="shared" si="11"/>
        <v>293</v>
      </c>
      <c r="Q61" s="29"/>
      <c r="R61" s="30"/>
    </row>
    <row r="62" spans="1:18" x14ac:dyDescent="0.25">
      <c r="A62" s="21">
        <v>45838</v>
      </c>
      <c r="B62" s="26">
        <v>4</v>
      </c>
      <c r="C62" s="28">
        <f t="shared" si="4"/>
        <v>1203</v>
      </c>
      <c r="D62" s="24">
        <v>-1092</v>
      </c>
      <c r="E62" s="25">
        <f t="shared" si="1"/>
        <v>2295</v>
      </c>
      <c r="F62" s="22">
        <f t="shared" si="5"/>
        <v>314</v>
      </c>
      <c r="G62" s="22">
        <f t="shared" si="6"/>
        <v>42</v>
      </c>
      <c r="H62" s="28">
        <f t="shared" si="7"/>
        <v>1098</v>
      </c>
      <c r="I62" s="27">
        <v>-1477</v>
      </c>
      <c r="J62" s="28">
        <f t="shared" si="2"/>
        <v>2575</v>
      </c>
      <c r="K62" s="22">
        <f t="shared" si="8"/>
        <v>384</v>
      </c>
      <c r="L62" s="22">
        <f t="shared" si="9"/>
        <v>42</v>
      </c>
      <c r="M62" s="28">
        <f t="shared" si="10"/>
        <v>1178</v>
      </c>
      <c r="N62" s="24">
        <v>-762</v>
      </c>
      <c r="O62" s="28">
        <f t="shared" si="3"/>
        <v>1940</v>
      </c>
      <c r="P62" s="22">
        <f t="shared" si="11"/>
        <v>294</v>
      </c>
      <c r="Q62" s="29"/>
      <c r="R62" s="30"/>
    </row>
    <row r="63" spans="1:18" x14ac:dyDescent="0.25">
      <c r="A63" s="21">
        <v>45839</v>
      </c>
      <c r="B63" s="26">
        <v>4</v>
      </c>
      <c r="C63" s="28">
        <f t="shared" si="4"/>
        <v>1202</v>
      </c>
      <c r="D63" s="24">
        <v>-1093</v>
      </c>
      <c r="E63" s="25">
        <f t="shared" si="1"/>
        <v>2295</v>
      </c>
      <c r="F63" s="22">
        <f t="shared" si="5"/>
        <v>315</v>
      </c>
      <c r="G63" s="22">
        <f t="shared" si="6"/>
        <v>43</v>
      </c>
      <c r="H63" s="28">
        <f t="shared" si="7"/>
        <v>1097</v>
      </c>
      <c r="I63" s="27">
        <v>-1478</v>
      </c>
      <c r="J63" s="28">
        <f t="shared" si="2"/>
        <v>2575</v>
      </c>
      <c r="K63" s="22">
        <f t="shared" si="8"/>
        <v>385</v>
      </c>
      <c r="L63" s="22">
        <f t="shared" si="9"/>
        <v>43</v>
      </c>
      <c r="M63" s="28">
        <f t="shared" si="10"/>
        <v>1177</v>
      </c>
      <c r="N63" s="24">
        <v>-763</v>
      </c>
      <c r="O63" s="28">
        <f t="shared" si="3"/>
        <v>1940</v>
      </c>
      <c r="P63" s="22">
        <f t="shared" si="11"/>
        <v>295</v>
      </c>
      <c r="Q63" s="29"/>
      <c r="R63" s="30"/>
    </row>
    <row r="64" spans="1:18" x14ac:dyDescent="0.25">
      <c r="A64" s="21">
        <v>45840</v>
      </c>
      <c r="B64" s="26">
        <v>4</v>
      </c>
      <c r="C64" s="28">
        <f t="shared" si="4"/>
        <v>1201</v>
      </c>
      <c r="D64" s="24">
        <v>-1094</v>
      </c>
      <c r="E64" s="25">
        <f t="shared" si="1"/>
        <v>2295</v>
      </c>
      <c r="F64" s="22">
        <f t="shared" si="5"/>
        <v>316</v>
      </c>
      <c r="G64" s="22">
        <f t="shared" si="6"/>
        <v>44</v>
      </c>
      <c r="H64" s="28">
        <f t="shared" si="7"/>
        <v>1096</v>
      </c>
      <c r="I64" s="27">
        <v>-1479</v>
      </c>
      <c r="J64" s="28">
        <f t="shared" si="2"/>
        <v>2575</v>
      </c>
      <c r="K64" s="22">
        <f t="shared" si="8"/>
        <v>386</v>
      </c>
      <c r="L64" s="22">
        <f t="shared" si="9"/>
        <v>44</v>
      </c>
      <c r="M64" s="28">
        <f t="shared" si="10"/>
        <v>1176</v>
      </c>
      <c r="N64" s="24">
        <v>-764</v>
      </c>
      <c r="O64" s="28">
        <f t="shared" si="3"/>
        <v>1940</v>
      </c>
      <c r="P64" s="22">
        <f t="shared" si="11"/>
        <v>296</v>
      </c>
      <c r="Q64" s="29"/>
      <c r="R64" s="30"/>
    </row>
    <row r="65" spans="1:18" x14ac:dyDescent="0.25">
      <c r="A65" s="21">
        <v>45841</v>
      </c>
      <c r="B65" s="26">
        <v>4</v>
      </c>
      <c r="C65" s="28">
        <f t="shared" si="4"/>
        <v>1200</v>
      </c>
      <c r="D65" s="24">
        <v>-1095</v>
      </c>
      <c r="E65" s="25">
        <f t="shared" si="1"/>
        <v>2295</v>
      </c>
      <c r="F65" s="22">
        <f t="shared" si="5"/>
        <v>317</v>
      </c>
      <c r="G65" s="22">
        <f t="shared" si="6"/>
        <v>45</v>
      </c>
      <c r="H65" s="28">
        <f t="shared" si="7"/>
        <v>1095</v>
      </c>
      <c r="I65" s="27">
        <v>-1480</v>
      </c>
      <c r="J65" s="28">
        <f t="shared" si="2"/>
        <v>2575</v>
      </c>
      <c r="K65" s="22">
        <f t="shared" si="8"/>
        <v>387</v>
      </c>
      <c r="L65" s="22">
        <f t="shared" si="9"/>
        <v>45</v>
      </c>
      <c r="M65" s="28">
        <f t="shared" si="10"/>
        <v>1175</v>
      </c>
      <c r="N65" s="24">
        <v>-765</v>
      </c>
      <c r="O65" s="28">
        <f t="shared" si="3"/>
        <v>1940</v>
      </c>
      <c r="P65" s="22">
        <f t="shared" si="11"/>
        <v>297</v>
      </c>
      <c r="Q65" s="29"/>
      <c r="R65" s="30"/>
    </row>
    <row r="66" spans="1:18" x14ac:dyDescent="0.25">
      <c r="A66" s="21">
        <v>45842</v>
      </c>
      <c r="B66" s="26">
        <v>4</v>
      </c>
      <c r="C66" s="28">
        <f t="shared" si="4"/>
        <v>1199</v>
      </c>
      <c r="D66" s="24">
        <v>-1096</v>
      </c>
      <c r="E66" s="25">
        <f t="shared" si="1"/>
        <v>2295</v>
      </c>
      <c r="F66" s="22">
        <f t="shared" si="5"/>
        <v>318</v>
      </c>
      <c r="G66" s="22">
        <f t="shared" si="6"/>
        <v>46</v>
      </c>
      <c r="H66" s="28">
        <f t="shared" si="7"/>
        <v>1094</v>
      </c>
      <c r="I66" s="27">
        <v>-1481</v>
      </c>
      <c r="J66" s="28">
        <f t="shared" si="2"/>
        <v>2575</v>
      </c>
      <c r="K66" s="22">
        <f t="shared" si="8"/>
        <v>388</v>
      </c>
      <c r="L66" s="22">
        <f t="shared" si="9"/>
        <v>46</v>
      </c>
      <c r="M66" s="28">
        <f t="shared" si="10"/>
        <v>1174</v>
      </c>
      <c r="N66" s="24">
        <v>-766</v>
      </c>
      <c r="O66" s="28">
        <f t="shared" si="3"/>
        <v>1940</v>
      </c>
      <c r="P66" s="22">
        <f t="shared" si="11"/>
        <v>298</v>
      </c>
      <c r="Q66" s="29"/>
      <c r="R66" s="30"/>
    </row>
    <row r="67" spans="1:18" x14ac:dyDescent="0.25">
      <c r="A67" s="21">
        <v>45843</v>
      </c>
      <c r="B67" s="26">
        <v>4</v>
      </c>
      <c r="C67" s="28">
        <f t="shared" si="4"/>
        <v>1198</v>
      </c>
      <c r="D67" s="24">
        <v>-1097</v>
      </c>
      <c r="E67" s="25">
        <f t="shared" si="1"/>
        <v>2295</v>
      </c>
      <c r="F67" s="22">
        <f t="shared" si="5"/>
        <v>319</v>
      </c>
      <c r="G67" s="22">
        <f t="shared" si="6"/>
        <v>47</v>
      </c>
      <c r="H67" s="28">
        <f t="shared" si="7"/>
        <v>1093</v>
      </c>
      <c r="I67" s="27">
        <v>-1482</v>
      </c>
      <c r="J67" s="28">
        <f t="shared" si="2"/>
        <v>2575</v>
      </c>
      <c r="K67" s="22">
        <f t="shared" si="8"/>
        <v>389</v>
      </c>
      <c r="L67" s="22">
        <f t="shared" si="9"/>
        <v>47</v>
      </c>
      <c r="M67" s="28">
        <f t="shared" si="10"/>
        <v>1173</v>
      </c>
      <c r="N67" s="24">
        <v>-767</v>
      </c>
      <c r="O67" s="28">
        <f t="shared" si="3"/>
        <v>1940</v>
      </c>
      <c r="P67" s="22">
        <f t="shared" si="11"/>
        <v>299</v>
      </c>
      <c r="Q67" s="29"/>
      <c r="R67" s="30"/>
    </row>
    <row r="68" spans="1:18" x14ac:dyDescent="0.25">
      <c r="A68" s="21">
        <v>45844</v>
      </c>
      <c r="B68" s="26">
        <v>4</v>
      </c>
      <c r="C68" s="28">
        <f t="shared" si="4"/>
        <v>1197</v>
      </c>
      <c r="D68" s="24">
        <v>-1098</v>
      </c>
      <c r="E68" s="25">
        <f t="shared" si="1"/>
        <v>2295</v>
      </c>
      <c r="F68" s="22">
        <f t="shared" si="5"/>
        <v>320</v>
      </c>
      <c r="G68" s="22">
        <f t="shared" si="6"/>
        <v>48</v>
      </c>
      <c r="H68" s="28">
        <f t="shared" si="7"/>
        <v>1092</v>
      </c>
      <c r="I68" s="27">
        <v>-1483</v>
      </c>
      <c r="J68" s="28">
        <f t="shared" si="2"/>
        <v>2575</v>
      </c>
      <c r="K68" s="22">
        <f t="shared" si="8"/>
        <v>390</v>
      </c>
      <c r="L68" s="22">
        <f t="shared" si="9"/>
        <v>48</v>
      </c>
      <c r="M68" s="28">
        <f t="shared" si="10"/>
        <v>1172</v>
      </c>
      <c r="N68" s="24">
        <v>-768</v>
      </c>
      <c r="O68" s="28">
        <f t="shared" si="3"/>
        <v>1940</v>
      </c>
      <c r="P68" s="22">
        <f t="shared" si="11"/>
        <v>300</v>
      </c>
      <c r="Q68" s="29"/>
      <c r="R68" s="30"/>
    </row>
    <row r="69" spans="1:18" x14ac:dyDescent="0.25">
      <c r="A69" s="21">
        <v>45845</v>
      </c>
      <c r="B69" s="26">
        <v>4</v>
      </c>
      <c r="C69" s="28">
        <f t="shared" si="4"/>
        <v>1196</v>
      </c>
      <c r="D69" s="24">
        <v>-1099</v>
      </c>
      <c r="E69" s="25">
        <f t="shared" si="1"/>
        <v>2295</v>
      </c>
      <c r="F69" s="22">
        <f t="shared" si="5"/>
        <v>321</v>
      </c>
      <c r="G69" s="22">
        <f t="shared" si="6"/>
        <v>49</v>
      </c>
      <c r="H69" s="28">
        <f t="shared" si="7"/>
        <v>1091</v>
      </c>
      <c r="I69" s="27">
        <v>-1484</v>
      </c>
      <c r="J69" s="28">
        <f t="shared" si="2"/>
        <v>2575</v>
      </c>
      <c r="K69" s="22">
        <f t="shared" si="8"/>
        <v>391</v>
      </c>
      <c r="L69" s="22">
        <f t="shared" si="9"/>
        <v>49</v>
      </c>
      <c r="M69" s="28">
        <f t="shared" si="10"/>
        <v>1171</v>
      </c>
      <c r="N69" s="24">
        <v>-769</v>
      </c>
      <c r="O69" s="28">
        <f t="shared" si="3"/>
        <v>1940</v>
      </c>
      <c r="P69" s="22">
        <f t="shared" si="11"/>
        <v>301</v>
      </c>
      <c r="Q69" s="29"/>
      <c r="R69" s="30"/>
    </row>
    <row r="70" spans="1:18" x14ac:dyDescent="0.25">
      <c r="A70" s="21">
        <v>45846</v>
      </c>
      <c r="B70" s="26">
        <v>4</v>
      </c>
      <c r="C70" s="28">
        <f t="shared" si="4"/>
        <v>1195</v>
      </c>
      <c r="D70" s="24">
        <v>-1100</v>
      </c>
      <c r="E70" s="25">
        <f t="shared" si="1"/>
        <v>2295</v>
      </c>
      <c r="F70" s="22">
        <f t="shared" si="5"/>
        <v>322</v>
      </c>
      <c r="G70" s="22">
        <f t="shared" si="6"/>
        <v>50</v>
      </c>
      <c r="H70" s="28">
        <f t="shared" si="7"/>
        <v>1090</v>
      </c>
      <c r="I70" s="27">
        <v>-1485</v>
      </c>
      <c r="J70" s="28">
        <f t="shared" si="2"/>
        <v>2575</v>
      </c>
      <c r="K70" s="22">
        <f t="shared" si="8"/>
        <v>392</v>
      </c>
      <c r="L70" s="22">
        <f t="shared" si="9"/>
        <v>50</v>
      </c>
      <c r="M70" s="28">
        <f t="shared" si="10"/>
        <v>1170</v>
      </c>
      <c r="N70" s="24">
        <v>-770</v>
      </c>
      <c r="O70" s="28">
        <f t="shared" si="3"/>
        <v>1940</v>
      </c>
      <c r="P70" s="22">
        <f t="shared" si="11"/>
        <v>302</v>
      </c>
      <c r="Q70" s="29"/>
      <c r="R70" s="30"/>
    </row>
    <row r="71" spans="1:18" x14ac:dyDescent="0.25">
      <c r="A71" s="21">
        <v>45847</v>
      </c>
      <c r="B71" s="26">
        <v>4</v>
      </c>
      <c r="C71" s="28">
        <f t="shared" si="4"/>
        <v>1194</v>
      </c>
      <c r="D71" s="24">
        <v>-1101</v>
      </c>
      <c r="E71" s="25">
        <f t="shared" si="1"/>
        <v>2295</v>
      </c>
      <c r="F71" s="22">
        <f t="shared" si="5"/>
        <v>323</v>
      </c>
      <c r="G71" s="22">
        <f t="shared" si="6"/>
        <v>51</v>
      </c>
      <c r="H71" s="28">
        <f t="shared" si="7"/>
        <v>1089</v>
      </c>
      <c r="I71" s="27">
        <v>-1486</v>
      </c>
      <c r="J71" s="28">
        <f t="shared" si="2"/>
        <v>2575</v>
      </c>
      <c r="K71" s="22">
        <f t="shared" si="8"/>
        <v>393</v>
      </c>
      <c r="L71" s="22">
        <f t="shared" si="9"/>
        <v>51</v>
      </c>
      <c r="M71" s="28">
        <f t="shared" si="10"/>
        <v>1169</v>
      </c>
      <c r="N71" s="24">
        <v>-771</v>
      </c>
      <c r="O71" s="28">
        <f t="shared" si="3"/>
        <v>1940</v>
      </c>
      <c r="P71" s="22">
        <f t="shared" si="11"/>
        <v>303</v>
      </c>
      <c r="Q71" s="29"/>
      <c r="R71" s="30"/>
    </row>
    <row r="72" spans="1:18" x14ac:dyDescent="0.25">
      <c r="A72" s="21">
        <v>45848</v>
      </c>
      <c r="B72" s="26">
        <v>4</v>
      </c>
      <c r="C72" s="28">
        <f t="shared" si="4"/>
        <v>1193</v>
      </c>
      <c r="D72" s="24">
        <v>-1102</v>
      </c>
      <c r="E72" s="25">
        <f t="shared" si="1"/>
        <v>2295</v>
      </c>
      <c r="F72" s="22">
        <f t="shared" si="5"/>
        <v>324</v>
      </c>
      <c r="G72" s="22">
        <f t="shared" si="6"/>
        <v>52</v>
      </c>
      <c r="H72" s="28">
        <f t="shared" si="7"/>
        <v>1088</v>
      </c>
      <c r="I72" s="27">
        <v>-1487</v>
      </c>
      <c r="J72" s="28">
        <f t="shared" si="2"/>
        <v>2575</v>
      </c>
      <c r="K72" s="22">
        <f t="shared" si="8"/>
        <v>394</v>
      </c>
      <c r="L72" s="22">
        <f t="shared" si="9"/>
        <v>52</v>
      </c>
      <c r="M72" s="28">
        <f t="shared" si="10"/>
        <v>1168</v>
      </c>
      <c r="N72" s="24">
        <v>-772</v>
      </c>
      <c r="O72" s="28">
        <f t="shared" si="3"/>
        <v>1940</v>
      </c>
      <c r="P72" s="22">
        <f t="shared" si="11"/>
        <v>304</v>
      </c>
      <c r="Q72" s="29"/>
      <c r="R72" s="30"/>
    </row>
    <row r="73" spans="1:18" x14ac:dyDescent="0.25">
      <c r="A73" s="21">
        <v>45849</v>
      </c>
      <c r="B73" s="26">
        <v>4</v>
      </c>
      <c r="C73" s="28">
        <f t="shared" si="4"/>
        <v>1192</v>
      </c>
      <c r="D73" s="24">
        <v>-1103</v>
      </c>
      <c r="E73" s="25">
        <f t="shared" si="1"/>
        <v>2295</v>
      </c>
      <c r="F73" s="22">
        <f t="shared" si="5"/>
        <v>325</v>
      </c>
      <c r="G73" s="22">
        <f t="shared" si="6"/>
        <v>53</v>
      </c>
      <c r="H73" s="28">
        <f t="shared" si="7"/>
        <v>1087</v>
      </c>
      <c r="I73" s="27">
        <v>-1488</v>
      </c>
      <c r="J73" s="28">
        <f t="shared" si="2"/>
        <v>2575</v>
      </c>
      <c r="K73" s="22">
        <f t="shared" si="8"/>
        <v>395</v>
      </c>
      <c r="L73" s="22">
        <f t="shared" si="9"/>
        <v>53</v>
      </c>
      <c r="M73" s="28">
        <f t="shared" si="10"/>
        <v>1167</v>
      </c>
      <c r="N73" s="24">
        <v>-773</v>
      </c>
      <c r="O73" s="28">
        <f t="shared" si="3"/>
        <v>1940</v>
      </c>
      <c r="P73" s="22">
        <f t="shared" si="11"/>
        <v>305</v>
      </c>
      <c r="Q73" s="29"/>
      <c r="R73" s="30"/>
    </row>
    <row r="74" spans="1:18" x14ac:dyDescent="0.25">
      <c r="A74" s="21">
        <v>45850</v>
      </c>
      <c r="B74" s="26">
        <v>4</v>
      </c>
      <c r="C74" s="28">
        <f t="shared" si="4"/>
        <v>1191</v>
      </c>
      <c r="D74" s="24">
        <v>-1104</v>
      </c>
      <c r="E74" s="25">
        <f t="shared" si="1"/>
        <v>2295</v>
      </c>
      <c r="F74" s="22">
        <f t="shared" si="5"/>
        <v>326</v>
      </c>
      <c r="G74" s="22">
        <f t="shared" si="6"/>
        <v>54</v>
      </c>
      <c r="H74" s="28">
        <f t="shared" si="7"/>
        <v>1086</v>
      </c>
      <c r="I74" s="27">
        <v>-1489</v>
      </c>
      <c r="J74" s="28">
        <f t="shared" si="2"/>
        <v>2575</v>
      </c>
      <c r="K74" s="22">
        <f t="shared" si="8"/>
        <v>396</v>
      </c>
      <c r="L74" s="22">
        <f t="shared" si="9"/>
        <v>54</v>
      </c>
      <c r="M74" s="28">
        <f t="shared" si="10"/>
        <v>1166</v>
      </c>
      <c r="N74" s="24">
        <v>-774</v>
      </c>
      <c r="O74" s="28">
        <f t="shared" si="3"/>
        <v>1940</v>
      </c>
      <c r="P74" s="22">
        <f t="shared" si="11"/>
        <v>306</v>
      </c>
      <c r="Q74" s="29"/>
      <c r="R74" s="30"/>
    </row>
    <row r="75" spans="1:18" x14ac:dyDescent="0.25">
      <c r="A75" s="21">
        <v>45851</v>
      </c>
      <c r="B75" s="26">
        <v>4</v>
      </c>
      <c r="C75" s="28">
        <f t="shared" si="4"/>
        <v>1190</v>
      </c>
      <c r="D75" s="24">
        <v>-1105</v>
      </c>
      <c r="E75" s="25">
        <f t="shared" si="1"/>
        <v>2295</v>
      </c>
      <c r="F75" s="22">
        <f t="shared" si="5"/>
        <v>327</v>
      </c>
      <c r="G75" s="22">
        <f t="shared" si="6"/>
        <v>55</v>
      </c>
      <c r="H75" s="28">
        <f t="shared" si="7"/>
        <v>1085</v>
      </c>
      <c r="I75" s="27">
        <v>-1490</v>
      </c>
      <c r="J75" s="28">
        <f t="shared" si="2"/>
        <v>2575</v>
      </c>
      <c r="K75" s="22">
        <f t="shared" si="8"/>
        <v>397</v>
      </c>
      <c r="L75" s="22">
        <f t="shared" si="9"/>
        <v>55</v>
      </c>
      <c r="M75" s="28">
        <f t="shared" si="10"/>
        <v>1165</v>
      </c>
      <c r="N75" s="24">
        <v>-775</v>
      </c>
      <c r="O75" s="28">
        <f t="shared" si="3"/>
        <v>1940</v>
      </c>
      <c r="P75" s="22">
        <f t="shared" si="11"/>
        <v>307</v>
      </c>
      <c r="Q75" s="29"/>
      <c r="R75" s="30"/>
    </row>
    <row r="76" spans="1:18" x14ac:dyDescent="0.25">
      <c r="A76" s="21">
        <v>45852</v>
      </c>
      <c r="B76" s="26">
        <v>4</v>
      </c>
      <c r="C76" s="28">
        <f t="shared" si="4"/>
        <v>1189</v>
      </c>
      <c r="D76" s="24">
        <v>-1106</v>
      </c>
      <c r="E76" s="25">
        <f t="shared" si="1"/>
        <v>2295</v>
      </c>
      <c r="F76" s="22">
        <f t="shared" si="5"/>
        <v>328</v>
      </c>
      <c r="G76" s="22">
        <f t="shared" si="6"/>
        <v>56</v>
      </c>
      <c r="H76" s="28">
        <f t="shared" si="7"/>
        <v>1084</v>
      </c>
      <c r="I76" s="27">
        <v>-1491</v>
      </c>
      <c r="J76" s="28">
        <f t="shared" si="2"/>
        <v>2575</v>
      </c>
      <c r="K76" s="22">
        <f t="shared" si="8"/>
        <v>398</v>
      </c>
      <c r="L76" s="22">
        <f t="shared" si="9"/>
        <v>56</v>
      </c>
      <c r="M76" s="28">
        <f t="shared" si="10"/>
        <v>1164</v>
      </c>
      <c r="N76" s="24">
        <v>-776</v>
      </c>
      <c r="O76" s="28">
        <f t="shared" si="3"/>
        <v>1940</v>
      </c>
      <c r="P76" s="22">
        <f t="shared" si="11"/>
        <v>308</v>
      </c>
      <c r="Q76" s="29"/>
      <c r="R76" s="30"/>
    </row>
    <row r="77" spans="1:18" x14ac:dyDescent="0.25">
      <c r="A77" s="21">
        <v>45853</v>
      </c>
      <c r="B77" s="26">
        <v>4</v>
      </c>
      <c r="C77" s="28">
        <f t="shared" si="4"/>
        <v>1188</v>
      </c>
      <c r="D77" s="24">
        <v>-1107</v>
      </c>
      <c r="E77" s="25">
        <f t="shared" si="1"/>
        <v>2295</v>
      </c>
      <c r="F77" s="22">
        <f t="shared" si="5"/>
        <v>329</v>
      </c>
      <c r="G77" s="22">
        <f t="shared" si="6"/>
        <v>57</v>
      </c>
      <c r="H77" s="28">
        <f t="shared" si="7"/>
        <v>1083</v>
      </c>
      <c r="I77" s="27">
        <v>-1492</v>
      </c>
      <c r="J77" s="28">
        <f t="shared" si="2"/>
        <v>2575</v>
      </c>
      <c r="K77" s="22">
        <f t="shared" si="8"/>
        <v>399</v>
      </c>
      <c r="L77" s="22">
        <f t="shared" si="9"/>
        <v>57</v>
      </c>
      <c r="M77" s="28">
        <f t="shared" si="10"/>
        <v>1163</v>
      </c>
      <c r="N77" s="24">
        <v>-777</v>
      </c>
      <c r="O77" s="28">
        <f t="shared" si="3"/>
        <v>1940</v>
      </c>
      <c r="P77" s="22">
        <f t="shared" si="11"/>
        <v>309</v>
      </c>
      <c r="Q77" s="29"/>
      <c r="R77" s="30"/>
    </row>
    <row r="78" spans="1:18" x14ac:dyDescent="0.25">
      <c r="A78" s="21">
        <v>45854</v>
      </c>
      <c r="B78" s="26">
        <v>4</v>
      </c>
      <c r="C78" s="28">
        <f t="shared" si="4"/>
        <v>1185</v>
      </c>
      <c r="D78" s="24">
        <v>-1110</v>
      </c>
      <c r="E78" s="25">
        <f t="shared" si="1"/>
        <v>2295</v>
      </c>
      <c r="F78" s="22">
        <f t="shared" si="5"/>
        <v>332</v>
      </c>
      <c r="G78" s="22">
        <f t="shared" si="6"/>
        <v>58</v>
      </c>
      <c r="H78" s="28">
        <f t="shared" si="7"/>
        <v>1082</v>
      </c>
      <c r="I78" s="27">
        <v>-1493</v>
      </c>
      <c r="J78" s="28">
        <f t="shared" si="2"/>
        <v>2575</v>
      </c>
      <c r="K78" s="22">
        <f t="shared" si="8"/>
        <v>400</v>
      </c>
      <c r="L78" s="22">
        <f t="shared" si="9"/>
        <v>58</v>
      </c>
      <c r="M78" s="28">
        <f t="shared" si="10"/>
        <v>1162</v>
      </c>
      <c r="N78" s="24">
        <v>-778</v>
      </c>
      <c r="O78" s="28">
        <f t="shared" si="3"/>
        <v>1940</v>
      </c>
      <c r="P78" s="22">
        <f t="shared" si="11"/>
        <v>310</v>
      </c>
      <c r="Q78" s="29"/>
      <c r="R78" s="30"/>
    </row>
    <row r="79" spans="1:18" x14ac:dyDescent="0.25">
      <c r="A79" s="21">
        <v>45855</v>
      </c>
      <c r="B79" s="26">
        <v>4</v>
      </c>
      <c r="C79" s="28">
        <f t="shared" si="4"/>
        <v>1182</v>
      </c>
      <c r="D79" s="24">
        <v>-1113</v>
      </c>
      <c r="E79" s="25">
        <f t="shared" si="1"/>
        <v>2295</v>
      </c>
      <c r="F79" s="22">
        <f t="shared" si="5"/>
        <v>335</v>
      </c>
      <c r="G79" s="22">
        <f t="shared" si="6"/>
        <v>59</v>
      </c>
      <c r="H79" s="28">
        <f t="shared" si="7"/>
        <v>1076</v>
      </c>
      <c r="I79" s="27">
        <v>-1499</v>
      </c>
      <c r="J79" s="28">
        <f t="shared" si="2"/>
        <v>2575</v>
      </c>
      <c r="K79" s="22">
        <f t="shared" si="8"/>
        <v>406</v>
      </c>
      <c r="L79" s="22">
        <f t="shared" si="9"/>
        <v>59</v>
      </c>
      <c r="M79" s="28">
        <f t="shared" si="10"/>
        <v>1161</v>
      </c>
      <c r="N79" s="24">
        <v>-779</v>
      </c>
      <c r="O79" s="28">
        <f t="shared" si="3"/>
        <v>1940</v>
      </c>
      <c r="P79" s="22">
        <f t="shared" si="11"/>
        <v>311</v>
      </c>
      <c r="Q79" s="29"/>
      <c r="R79" s="30"/>
    </row>
    <row r="80" spans="1:18" x14ac:dyDescent="0.25">
      <c r="A80" s="21">
        <v>45856</v>
      </c>
      <c r="B80" s="26">
        <v>4</v>
      </c>
      <c r="C80" s="28">
        <f t="shared" si="4"/>
        <v>1179</v>
      </c>
      <c r="D80" s="24">
        <v>-1116</v>
      </c>
      <c r="E80" s="25">
        <f t="shared" si="1"/>
        <v>2295</v>
      </c>
      <c r="F80" s="22">
        <f t="shared" si="5"/>
        <v>338</v>
      </c>
      <c r="G80" s="22">
        <f t="shared" si="6"/>
        <v>60</v>
      </c>
      <c r="H80" s="28">
        <f t="shared" si="7"/>
        <v>1073</v>
      </c>
      <c r="I80" s="27">
        <v>-1502</v>
      </c>
      <c r="J80" s="28">
        <f t="shared" si="2"/>
        <v>2575</v>
      </c>
      <c r="K80" s="22">
        <f t="shared" si="8"/>
        <v>409</v>
      </c>
      <c r="L80" s="22">
        <f t="shared" si="9"/>
        <v>60</v>
      </c>
      <c r="M80" s="28">
        <f t="shared" si="10"/>
        <v>1160</v>
      </c>
      <c r="N80" s="24">
        <v>-780</v>
      </c>
      <c r="O80" s="28">
        <f t="shared" si="3"/>
        <v>1940</v>
      </c>
      <c r="P80" s="22">
        <f t="shared" si="11"/>
        <v>312</v>
      </c>
      <c r="Q80" s="29"/>
      <c r="R80" s="30"/>
    </row>
    <row r="81" spans="1:18" x14ac:dyDescent="0.25">
      <c r="A81" s="21">
        <v>45857</v>
      </c>
      <c r="B81" s="26">
        <v>4</v>
      </c>
      <c r="C81" s="28">
        <f t="shared" si="4"/>
        <v>1176</v>
      </c>
      <c r="D81" s="24">
        <v>-1119</v>
      </c>
      <c r="E81" s="25">
        <f t="shared" si="1"/>
        <v>2295</v>
      </c>
      <c r="F81" s="22">
        <f t="shared" si="5"/>
        <v>341</v>
      </c>
      <c r="G81" s="22">
        <f t="shared" si="6"/>
        <v>61</v>
      </c>
      <c r="H81" s="28">
        <f t="shared" si="7"/>
        <v>1070</v>
      </c>
      <c r="I81" s="27">
        <v>-1505</v>
      </c>
      <c r="J81" s="28">
        <f t="shared" si="2"/>
        <v>2575</v>
      </c>
      <c r="K81" s="22">
        <f t="shared" si="8"/>
        <v>412</v>
      </c>
      <c r="L81" s="22">
        <f t="shared" si="9"/>
        <v>61</v>
      </c>
      <c r="M81" s="28">
        <f t="shared" si="10"/>
        <v>1159</v>
      </c>
      <c r="N81" s="24">
        <v>-781</v>
      </c>
      <c r="O81" s="28">
        <f t="shared" si="3"/>
        <v>1940</v>
      </c>
      <c r="P81" s="22">
        <f t="shared" si="11"/>
        <v>313</v>
      </c>
      <c r="Q81" s="29"/>
      <c r="R81" s="30"/>
    </row>
    <row r="82" spans="1:18" x14ac:dyDescent="0.25">
      <c r="A82" s="21">
        <v>45858</v>
      </c>
      <c r="B82" s="26">
        <v>4</v>
      </c>
      <c r="C82" s="28">
        <f t="shared" si="4"/>
        <v>1173</v>
      </c>
      <c r="D82" s="24">
        <v>-1122</v>
      </c>
      <c r="E82" s="25">
        <f t="shared" si="1"/>
        <v>2295</v>
      </c>
      <c r="F82" s="22">
        <f t="shared" si="5"/>
        <v>344</v>
      </c>
      <c r="G82" s="22">
        <f t="shared" si="6"/>
        <v>62</v>
      </c>
      <c r="H82" s="28">
        <f t="shared" si="7"/>
        <v>1067</v>
      </c>
      <c r="I82" s="27">
        <v>-1508</v>
      </c>
      <c r="J82" s="28">
        <f t="shared" si="2"/>
        <v>2575</v>
      </c>
      <c r="K82" s="22">
        <f t="shared" si="8"/>
        <v>415</v>
      </c>
      <c r="L82" s="22">
        <f t="shared" si="9"/>
        <v>62</v>
      </c>
      <c r="M82" s="28">
        <f t="shared" si="10"/>
        <v>1158</v>
      </c>
      <c r="N82" s="24">
        <v>-782</v>
      </c>
      <c r="O82" s="28">
        <f t="shared" si="3"/>
        <v>1940</v>
      </c>
      <c r="P82" s="22">
        <f t="shared" si="11"/>
        <v>314</v>
      </c>
      <c r="Q82" s="29"/>
      <c r="R82" s="30"/>
    </row>
    <row r="83" spans="1:18" x14ac:dyDescent="0.25">
      <c r="A83" s="21">
        <v>45859</v>
      </c>
      <c r="B83" s="26">
        <v>4</v>
      </c>
      <c r="C83" s="28">
        <f t="shared" si="4"/>
        <v>1170</v>
      </c>
      <c r="D83" s="24">
        <v>-1125</v>
      </c>
      <c r="E83" s="25">
        <f t="shared" si="1"/>
        <v>2295</v>
      </c>
      <c r="F83" s="22">
        <f t="shared" si="5"/>
        <v>347</v>
      </c>
      <c r="G83" s="22">
        <f t="shared" si="6"/>
        <v>63</v>
      </c>
      <c r="H83" s="28">
        <f t="shared" si="7"/>
        <v>1064</v>
      </c>
      <c r="I83" s="27">
        <v>-1511</v>
      </c>
      <c r="J83" s="28">
        <f t="shared" si="2"/>
        <v>2575</v>
      </c>
      <c r="K83" s="22">
        <f t="shared" si="8"/>
        <v>418</v>
      </c>
      <c r="L83" s="22">
        <f t="shared" si="9"/>
        <v>63</v>
      </c>
      <c r="M83" s="28">
        <f t="shared" si="10"/>
        <v>1157</v>
      </c>
      <c r="N83" s="24">
        <v>-783</v>
      </c>
      <c r="O83" s="28">
        <f t="shared" si="3"/>
        <v>1940</v>
      </c>
      <c r="P83" s="22">
        <f t="shared" si="11"/>
        <v>315</v>
      </c>
      <c r="Q83" s="29"/>
      <c r="R83" s="30"/>
    </row>
    <row r="84" spans="1:18" x14ac:dyDescent="0.25">
      <c r="A84" s="21">
        <v>45860</v>
      </c>
      <c r="B84" s="26">
        <v>4</v>
      </c>
      <c r="C84" s="28">
        <f t="shared" si="4"/>
        <v>1167</v>
      </c>
      <c r="D84" s="24">
        <v>-1128</v>
      </c>
      <c r="E84" s="25">
        <f t="shared" si="1"/>
        <v>2295</v>
      </c>
      <c r="F84" s="22">
        <f t="shared" si="5"/>
        <v>350</v>
      </c>
      <c r="G84" s="22">
        <f t="shared" si="6"/>
        <v>64</v>
      </c>
      <c r="H84" s="28">
        <f t="shared" si="7"/>
        <v>1061</v>
      </c>
      <c r="I84" s="27">
        <v>-1514</v>
      </c>
      <c r="J84" s="28">
        <f t="shared" si="2"/>
        <v>2575</v>
      </c>
      <c r="K84" s="22">
        <f t="shared" si="8"/>
        <v>421</v>
      </c>
      <c r="L84" s="22">
        <f t="shared" si="9"/>
        <v>64</v>
      </c>
      <c r="M84" s="28">
        <f t="shared" si="10"/>
        <v>1156</v>
      </c>
      <c r="N84" s="24">
        <v>-784</v>
      </c>
      <c r="O84" s="28">
        <f t="shared" si="3"/>
        <v>1940</v>
      </c>
      <c r="P84" s="22">
        <f t="shared" si="11"/>
        <v>316</v>
      </c>
      <c r="Q84" s="29"/>
      <c r="R84" s="30"/>
    </row>
    <row r="85" spans="1:18" x14ac:dyDescent="0.25">
      <c r="A85" s="21">
        <v>45861</v>
      </c>
      <c r="B85" s="26">
        <v>4</v>
      </c>
      <c r="C85" s="28">
        <f t="shared" si="4"/>
        <v>1164</v>
      </c>
      <c r="D85" s="24">
        <v>-1131</v>
      </c>
      <c r="E85" s="25">
        <f t="shared" si="1"/>
        <v>2295</v>
      </c>
      <c r="F85" s="22">
        <f t="shared" si="5"/>
        <v>353</v>
      </c>
      <c r="G85" s="22">
        <f t="shared" si="6"/>
        <v>65</v>
      </c>
      <c r="H85" s="28">
        <f t="shared" si="7"/>
        <v>1058</v>
      </c>
      <c r="I85" s="27">
        <v>-1517</v>
      </c>
      <c r="J85" s="28">
        <f t="shared" si="2"/>
        <v>2575</v>
      </c>
      <c r="K85" s="22">
        <f t="shared" si="8"/>
        <v>424</v>
      </c>
      <c r="L85" s="22">
        <f t="shared" si="9"/>
        <v>65</v>
      </c>
      <c r="M85" s="28">
        <f t="shared" si="10"/>
        <v>1152</v>
      </c>
      <c r="N85" s="24">
        <v>-788</v>
      </c>
      <c r="O85" s="28">
        <f t="shared" si="3"/>
        <v>1940</v>
      </c>
      <c r="P85" s="22">
        <f t="shared" si="11"/>
        <v>320</v>
      </c>
      <c r="Q85" s="29"/>
      <c r="R85" s="30"/>
    </row>
    <row r="86" spans="1:18" x14ac:dyDescent="0.25">
      <c r="A86" s="21">
        <v>45862</v>
      </c>
      <c r="B86" s="26">
        <v>4</v>
      </c>
      <c r="C86" s="28">
        <f t="shared" si="4"/>
        <v>1161</v>
      </c>
      <c r="D86" s="24">
        <v>-1134</v>
      </c>
      <c r="E86" s="25">
        <f t="shared" si="1"/>
        <v>2295</v>
      </c>
      <c r="F86" s="22">
        <f t="shared" si="5"/>
        <v>356</v>
      </c>
      <c r="G86" s="22">
        <f t="shared" si="6"/>
        <v>66</v>
      </c>
      <c r="H86" s="28">
        <f t="shared" si="7"/>
        <v>1055</v>
      </c>
      <c r="I86" s="27">
        <v>-1520</v>
      </c>
      <c r="J86" s="28">
        <f t="shared" si="2"/>
        <v>2575</v>
      </c>
      <c r="K86" s="22">
        <f t="shared" si="8"/>
        <v>427</v>
      </c>
      <c r="L86" s="22">
        <f t="shared" si="9"/>
        <v>66</v>
      </c>
      <c r="M86" s="28">
        <f t="shared" si="10"/>
        <v>1148</v>
      </c>
      <c r="N86" s="24">
        <v>-792</v>
      </c>
      <c r="O86" s="28">
        <f t="shared" si="3"/>
        <v>1940</v>
      </c>
      <c r="P86" s="22">
        <f t="shared" si="11"/>
        <v>324</v>
      </c>
      <c r="Q86" s="29"/>
      <c r="R86" s="30"/>
    </row>
    <row r="87" spans="1:18" x14ac:dyDescent="0.25">
      <c r="A87" s="21">
        <v>45863</v>
      </c>
      <c r="B87" s="26">
        <v>4</v>
      </c>
      <c r="C87" s="28">
        <f t="shared" si="4"/>
        <v>1158</v>
      </c>
      <c r="D87" s="24">
        <v>-1137</v>
      </c>
      <c r="E87" s="25">
        <f t="shared" si="1"/>
        <v>2295</v>
      </c>
      <c r="F87" s="22">
        <f t="shared" si="5"/>
        <v>359</v>
      </c>
      <c r="G87" s="22">
        <f t="shared" si="6"/>
        <v>67</v>
      </c>
      <c r="H87" s="28">
        <f t="shared" si="7"/>
        <v>1052</v>
      </c>
      <c r="I87" s="27">
        <v>-1523</v>
      </c>
      <c r="J87" s="28">
        <f t="shared" si="2"/>
        <v>2575</v>
      </c>
      <c r="K87" s="22">
        <f t="shared" si="8"/>
        <v>430</v>
      </c>
      <c r="L87" s="22">
        <f t="shared" si="9"/>
        <v>67</v>
      </c>
      <c r="M87" s="28">
        <f t="shared" si="10"/>
        <v>1144</v>
      </c>
      <c r="N87" s="24">
        <v>-796</v>
      </c>
      <c r="O87" s="28">
        <f t="shared" si="3"/>
        <v>1940</v>
      </c>
      <c r="P87" s="22">
        <f t="shared" si="11"/>
        <v>328</v>
      </c>
      <c r="Q87" s="29"/>
      <c r="R87" s="30"/>
    </row>
    <row r="88" spans="1:18" x14ac:dyDescent="0.25">
      <c r="A88" s="21">
        <v>45864</v>
      </c>
      <c r="B88" s="26">
        <v>4</v>
      </c>
      <c r="C88" s="28">
        <f t="shared" si="4"/>
        <v>1155</v>
      </c>
      <c r="D88" s="24">
        <v>-1140</v>
      </c>
      <c r="E88" s="25">
        <f t="shared" si="1"/>
        <v>2295</v>
      </c>
      <c r="F88" s="22">
        <f t="shared" si="5"/>
        <v>362</v>
      </c>
      <c r="G88" s="22">
        <f t="shared" si="6"/>
        <v>68</v>
      </c>
      <c r="H88" s="28">
        <f t="shared" si="7"/>
        <v>1049</v>
      </c>
      <c r="I88" s="27">
        <v>-1526</v>
      </c>
      <c r="J88" s="28">
        <f t="shared" si="2"/>
        <v>2575</v>
      </c>
      <c r="K88" s="22">
        <f t="shared" si="8"/>
        <v>433</v>
      </c>
      <c r="L88" s="22">
        <f t="shared" si="9"/>
        <v>68</v>
      </c>
      <c r="M88" s="28">
        <f t="shared" si="10"/>
        <v>1140</v>
      </c>
      <c r="N88" s="24">
        <v>-800</v>
      </c>
      <c r="O88" s="28">
        <f t="shared" si="3"/>
        <v>1940</v>
      </c>
      <c r="P88" s="22">
        <f t="shared" si="11"/>
        <v>332</v>
      </c>
      <c r="Q88" s="29"/>
      <c r="R88" s="30"/>
    </row>
    <row r="89" spans="1:18" x14ac:dyDescent="0.25">
      <c r="A89" s="21">
        <v>45865</v>
      </c>
      <c r="B89" s="26">
        <v>4</v>
      </c>
      <c r="C89" s="28">
        <f t="shared" si="4"/>
        <v>1152</v>
      </c>
      <c r="D89" s="24">
        <v>-1143</v>
      </c>
      <c r="E89" s="25">
        <f t="shared" si="1"/>
        <v>2295</v>
      </c>
      <c r="F89" s="22">
        <f t="shared" si="5"/>
        <v>365</v>
      </c>
      <c r="G89" s="22">
        <f t="shared" si="6"/>
        <v>69</v>
      </c>
      <c r="H89" s="28">
        <f t="shared" si="7"/>
        <v>1046</v>
      </c>
      <c r="I89" s="27">
        <v>-1529</v>
      </c>
      <c r="J89" s="28">
        <f t="shared" si="2"/>
        <v>2575</v>
      </c>
      <c r="K89" s="22">
        <f t="shared" si="8"/>
        <v>436</v>
      </c>
      <c r="L89" s="22">
        <f t="shared" si="9"/>
        <v>69</v>
      </c>
      <c r="M89" s="28">
        <f t="shared" si="10"/>
        <v>1136</v>
      </c>
      <c r="N89" s="24">
        <v>-804</v>
      </c>
      <c r="O89" s="28">
        <f t="shared" si="3"/>
        <v>1940</v>
      </c>
      <c r="P89" s="22">
        <f t="shared" si="11"/>
        <v>336</v>
      </c>
      <c r="Q89" s="29"/>
      <c r="R89" s="30"/>
    </row>
    <row r="90" spans="1:18" x14ac:dyDescent="0.25">
      <c r="A90" s="21"/>
      <c r="B90" s="26"/>
      <c r="C90" s="28"/>
      <c r="D90" s="24"/>
      <c r="E90" s="25"/>
      <c r="F90" s="22"/>
      <c r="G90" s="22"/>
      <c r="H90" s="28"/>
      <c r="I90" s="27"/>
      <c r="J90" s="28"/>
      <c r="K90" s="22"/>
      <c r="L90" s="22"/>
      <c r="M90" s="28"/>
      <c r="N90" s="24"/>
      <c r="O90" s="28"/>
      <c r="P90" s="22"/>
      <c r="Q90" s="29"/>
      <c r="R90" s="30"/>
    </row>
    <row r="91" spans="1:18" x14ac:dyDescent="0.25">
      <c r="A91" s="21"/>
      <c r="B91" s="26"/>
      <c r="C91" s="28"/>
      <c r="D91" s="24"/>
      <c r="E91" s="25"/>
      <c r="F91" s="22"/>
      <c r="G91" s="22"/>
      <c r="H91" s="28"/>
      <c r="I91" s="27"/>
      <c r="J91" s="28"/>
      <c r="K91" s="22"/>
      <c r="L91" s="22"/>
      <c r="M91" s="28"/>
      <c r="N91" s="24"/>
      <c r="O91" s="28"/>
      <c r="P91" s="22"/>
      <c r="Q91" s="29"/>
      <c r="R91" s="30"/>
    </row>
    <row r="92" spans="1:18" x14ac:dyDescent="0.25">
      <c r="A92" s="21"/>
      <c r="B92" s="26"/>
      <c r="C92" s="28"/>
      <c r="D92" s="24"/>
      <c r="E92" s="25"/>
      <c r="F92" s="22"/>
      <c r="G92" s="22"/>
      <c r="H92" s="28"/>
      <c r="I92" s="27"/>
      <c r="J92" s="28"/>
      <c r="K92" s="22"/>
      <c r="L92" s="22"/>
      <c r="M92" s="28"/>
      <c r="N92" s="24"/>
      <c r="O92" s="28"/>
      <c r="P92" s="22"/>
      <c r="Q92" s="29"/>
      <c r="R92" s="30"/>
    </row>
  </sheetData>
  <mergeCells count="63"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  <mergeCell ref="A1:R1"/>
    <mergeCell ref="A2:R2"/>
    <mergeCell ref="A3:R3"/>
    <mergeCell ref="A4:F4"/>
    <mergeCell ref="G4:L4"/>
    <mergeCell ref="M4:R4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92">
    <cfRule type="cellIs" dxfId="21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outlinePr summaryBelow="0" summaryRight="0"/>
  </sheetPr>
  <dimension ref="A1:R91"/>
  <sheetViews>
    <sheetView workbookViewId="0"/>
  </sheetViews>
  <sheetFormatPr defaultColWidth="14.42578125" defaultRowHeight="15" customHeight="1" x14ac:dyDescent="0.2"/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(20/05/25)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65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66</v>
      </c>
      <c r="R16" s="112" t="s">
        <v>67</v>
      </c>
    </row>
    <row r="17" spans="1:18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x14ac:dyDescent="0.25">
      <c r="A21" s="21">
        <v>45797</v>
      </c>
      <c r="B21" s="22">
        <v>1</v>
      </c>
      <c r="C21" s="23">
        <v>1370</v>
      </c>
      <c r="D21" s="24">
        <v>-723</v>
      </c>
      <c r="E21" s="25">
        <f t="shared" ref="E21:E89" si="1">C21-D21</f>
        <v>2093</v>
      </c>
      <c r="F21" s="22">
        <v>0</v>
      </c>
      <c r="G21" s="22">
        <v>1</v>
      </c>
      <c r="H21" s="25">
        <v>1420</v>
      </c>
      <c r="I21" s="27">
        <v>-1315</v>
      </c>
      <c r="J21" s="28">
        <f t="shared" ref="J21:J89" si="2">H21-I21</f>
        <v>2735</v>
      </c>
      <c r="K21" s="22">
        <v>0</v>
      </c>
      <c r="L21" s="22">
        <v>1</v>
      </c>
      <c r="M21" s="23">
        <v>1487</v>
      </c>
      <c r="N21" s="24">
        <v>-1792</v>
      </c>
      <c r="O21" s="28">
        <f t="shared" ref="O21:O89" si="3">M21-N21</f>
        <v>3279</v>
      </c>
      <c r="P21" s="22">
        <v>0</v>
      </c>
      <c r="Q21" s="29"/>
      <c r="R21" s="30"/>
    </row>
    <row r="22" spans="1:18" x14ac:dyDescent="0.25">
      <c r="A22" s="21">
        <v>45798</v>
      </c>
      <c r="B22" s="26">
        <v>2</v>
      </c>
      <c r="C22" s="28">
        <f t="shared" ref="C22:C89" si="4">$C$21-F22</f>
        <v>1367</v>
      </c>
      <c r="D22" s="24">
        <v>-726</v>
      </c>
      <c r="E22" s="25">
        <f t="shared" si="1"/>
        <v>2093</v>
      </c>
      <c r="F22" s="22">
        <f t="shared" ref="F22:F89" si="5">$D$21-D22</f>
        <v>3</v>
      </c>
      <c r="G22" s="22">
        <f t="shared" ref="G22:G89" si="6">G21+1</f>
        <v>2</v>
      </c>
      <c r="H22" s="28">
        <f t="shared" ref="H22:H89" si="7">$H$21-K22</f>
        <v>1417</v>
      </c>
      <c r="I22" s="27">
        <v>-1318</v>
      </c>
      <c r="J22" s="28">
        <f t="shared" si="2"/>
        <v>2735</v>
      </c>
      <c r="K22" s="22">
        <f t="shared" ref="K22:K89" si="8">$I$21-I22</f>
        <v>3</v>
      </c>
      <c r="L22" s="22">
        <f t="shared" ref="L22:L89" si="9">L21+1</f>
        <v>2</v>
      </c>
      <c r="M22" s="28">
        <f t="shared" ref="M22:M89" si="10">$M$21-P22</f>
        <v>1471</v>
      </c>
      <c r="N22" s="24">
        <v>-1808</v>
      </c>
      <c r="O22" s="28">
        <f t="shared" si="3"/>
        <v>3279</v>
      </c>
      <c r="P22" s="22">
        <f t="shared" ref="P22:P89" si="11">$N$21-N22</f>
        <v>16</v>
      </c>
      <c r="Q22" s="29"/>
      <c r="R22" s="30"/>
    </row>
    <row r="23" spans="1:18" x14ac:dyDescent="0.25">
      <c r="A23" s="21">
        <v>45799</v>
      </c>
      <c r="B23" s="26">
        <v>3</v>
      </c>
      <c r="C23" s="28">
        <f t="shared" si="4"/>
        <v>1367</v>
      </c>
      <c r="D23" s="24">
        <v>-726</v>
      </c>
      <c r="E23" s="25">
        <f t="shared" si="1"/>
        <v>2093</v>
      </c>
      <c r="F23" s="22">
        <f t="shared" si="5"/>
        <v>3</v>
      </c>
      <c r="G23" s="22">
        <f t="shared" si="6"/>
        <v>3</v>
      </c>
      <c r="H23" s="28">
        <f t="shared" si="7"/>
        <v>1417</v>
      </c>
      <c r="I23" s="27">
        <v>-1318</v>
      </c>
      <c r="J23" s="28">
        <f t="shared" si="2"/>
        <v>2735</v>
      </c>
      <c r="K23" s="22">
        <f t="shared" si="8"/>
        <v>3</v>
      </c>
      <c r="L23" s="22">
        <f t="shared" si="9"/>
        <v>3</v>
      </c>
      <c r="M23" s="28">
        <f t="shared" si="10"/>
        <v>1471</v>
      </c>
      <c r="N23" s="24">
        <v>-1808</v>
      </c>
      <c r="O23" s="28">
        <f t="shared" si="3"/>
        <v>3279</v>
      </c>
      <c r="P23" s="22">
        <f t="shared" si="11"/>
        <v>16</v>
      </c>
      <c r="Q23" s="29"/>
      <c r="R23" s="30"/>
    </row>
    <row r="24" spans="1:18" x14ac:dyDescent="0.25">
      <c r="A24" s="21">
        <v>45800</v>
      </c>
      <c r="B24" s="26">
        <v>4</v>
      </c>
      <c r="C24" s="28">
        <f t="shared" si="4"/>
        <v>1367</v>
      </c>
      <c r="D24" s="24">
        <v>-726</v>
      </c>
      <c r="E24" s="25">
        <f t="shared" si="1"/>
        <v>2093</v>
      </c>
      <c r="F24" s="22">
        <f t="shared" si="5"/>
        <v>3</v>
      </c>
      <c r="G24" s="22">
        <f t="shared" si="6"/>
        <v>4</v>
      </c>
      <c r="H24" s="28">
        <f t="shared" si="7"/>
        <v>1417</v>
      </c>
      <c r="I24" s="27">
        <v>-1318</v>
      </c>
      <c r="J24" s="28">
        <f t="shared" si="2"/>
        <v>2735</v>
      </c>
      <c r="K24" s="22">
        <f t="shared" si="8"/>
        <v>3</v>
      </c>
      <c r="L24" s="22">
        <f t="shared" si="9"/>
        <v>4</v>
      </c>
      <c r="M24" s="28">
        <f t="shared" si="10"/>
        <v>1471</v>
      </c>
      <c r="N24" s="24">
        <v>-1808</v>
      </c>
      <c r="O24" s="28">
        <f t="shared" si="3"/>
        <v>3279</v>
      </c>
      <c r="P24" s="22">
        <f t="shared" si="11"/>
        <v>16</v>
      </c>
      <c r="Q24" s="29"/>
      <c r="R24" s="30"/>
    </row>
    <row r="25" spans="1:18" x14ac:dyDescent="0.25">
      <c r="A25" s="21">
        <v>45801</v>
      </c>
      <c r="B25" s="26">
        <v>4</v>
      </c>
      <c r="C25" s="28">
        <f t="shared" si="4"/>
        <v>1367</v>
      </c>
      <c r="D25" s="24">
        <v>-726</v>
      </c>
      <c r="E25" s="25">
        <f t="shared" si="1"/>
        <v>2093</v>
      </c>
      <c r="F25" s="22">
        <f t="shared" si="5"/>
        <v>3</v>
      </c>
      <c r="G25" s="22">
        <f t="shared" si="6"/>
        <v>5</v>
      </c>
      <c r="H25" s="28">
        <f t="shared" si="7"/>
        <v>1417</v>
      </c>
      <c r="I25" s="27">
        <v>-1318</v>
      </c>
      <c r="J25" s="28">
        <f t="shared" si="2"/>
        <v>2735</v>
      </c>
      <c r="K25" s="22">
        <f t="shared" si="8"/>
        <v>3</v>
      </c>
      <c r="L25" s="22">
        <f t="shared" si="9"/>
        <v>5</v>
      </c>
      <c r="M25" s="28">
        <f t="shared" si="10"/>
        <v>1471</v>
      </c>
      <c r="N25" s="24">
        <v>-1808</v>
      </c>
      <c r="O25" s="28">
        <f t="shared" si="3"/>
        <v>3279</v>
      </c>
      <c r="P25" s="22">
        <f t="shared" si="11"/>
        <v>16</v>
      </c>
      <c r="Q25" s="29"/>
      <c r="R25" s="30"/>
    </row>
    <row r="26" spans="1:18" x14ac:dyDescent="0.25">
      <c r="A26" s="21">
        <v>45802</v>
      </c>
      <c r="B26" s="26">
        <v>4</v>
      </c>
      <c r="C26" s="28">
        <f t="shared" si="4"/>
        <v>1367</v>
      </c>
      <c r="D26" s="24">
        <v>-726</v>
      </c>
      <c r="E26" s="25">
        <f t="shared" si="1"/>
        <v>2093</v>
      </c>
      <c r="F26" s="22">
        <f t="shared" si="5"/>
        <v>3</v>
      </c>
      <c r="G26" s="22">
        <f t="shared" si="6"/>
        <v>6</v>
      </c>
      <c r="H26" s="28">
        <f t="shared" si="7"/>
        <v>1417</v>
      </c>
      <c r="I26" s="27">
        <v>-1318</v>
      </c>
      <c r="J26" s="28">
        <f t="shared" si="2"/>
        <v>2735</v>
      </c>
      <c r="K26" s="22">
        <f t="shared" si="8"/>
        <v>3</v>
      </c>
      <c r="L26" s="22">
        <f t="shared" si="9"/>
        <v>6</v>
      </c>
      <c r="M26" s="28">
        <f t="shared" si="10"/>
        <v>1471</v>
      </c>
      <c r="N26" s="24">
        <v>-1808</v>
      </c>
      <c r="O26" s="28">
        <f t="shared" si="3"/>
        <v>3279</v>
      </c>
      <c r="P26" s="22">
        <f t="shared" si="11"/>
        <v>16</v>
      </c>
      <c r="Q26" s="29"/>
      <c r="R26" s="30"/>
    </row>
    <row r="27" spans="1:18" x14ac:dyDescent="0.25">
      <c r="A27" s="21">
        <v>45803</v>
      </c>
      <c r="B27" s="26">
        <v>4</v>
      </c>
      <c r="C27" s="28">
        <f t="shared" si="4"/>
        <v>1367</v>
      </c>
      <c r="D27" s="24">
        <v>-726</v>
      </c>
      <c r="E27" s="25">
        <f t="shared" si="1"/>
        <v>2093</v>
      </c>
      <c r="F27" s="22">
        <f t="shared" si="5"/>
        <v>3</v>
      </c>
      <c r="G27" s="22">
        <f t="shared" si="6"/>
        <v>7</v>
      </c>
      <c r="H27" s="28">
        <f t="shared" si="7"/>
        <v>1417</v>
      </c>
      <c r="I27" s="27">
        <v>-1318</v>
      </c>
      <c r="J27" s="28">
        <f t="shared" si="2"/>
        <v>2735</v>
      </c>
      <c r="K27" s="22">
        <f t="shared" si="8"/>
        <v>3</v>
      </c>
      <c r="L27" s="22">
        <f t="shared" si="9"/>
        <v>7</v>
      </c>
      <c r="M27" s="28">
        <f t="shared" si="10"/>
        <v>1471</v>
      </c>
      <c r="N27" s="24">
        <v>-1808</v>
      </c>
      <c r="O27" s="28">
        <f t="shared" si="3"/>
        <v>3279</v>
      </c>
      <c r="P27" s="22">
        <f t="shared" si="11"/>
        <v>16</v>
      </c>
      <c r="Q27" s="29"/>
      <c r="R27" s="30"/>
    </row>
    <row r="28" spans="1:18" x14ac:dyDescent="0.25">
      <c r="A28" s="21">
        <v>45804</v>
      </c>
      <c r="B28" s="26">
        <v>4</v>
      </c>
      <c r="C28" s="28">
        <f t="shared" si="4"/>
        <v>1367</v>
      </c>
      <c r="D28" s="24">
        <v>-726</v>
      </c>
      <c r="E28" s="25">
        <f t="shared" si="1"/>
        <v>2093</v>
      </c>
      <c r="F28" s="22">
        <f t="shared" si="5"/>
        <v>3</v>
      </c>
      <c r="G28" s="22">
        <f t="shared" si="6"/>
        <v>8</v>
      </c>
      <c r="H28" s="28">
        <f t="shared" si="7"/>
        <v>1417</v>
      </c>
      <c r="I28" s="27">
        <v>-1318</v>
      </c>
      <c r="J28" s="28">
        <f t="shared" si="2"/>
        <v>2735</v>
      </c>
      <c r="K28" s="22">
        <f t="shared" si="8"/>
        <v>3</v>
      </c>
      <c r="L28" s="22">
        <f t="shared" si="9"/>
        <v>8</v>
      </c>
      <c r="M28" s="28">
        <f t="shared" si="10"/>
        <v>1471</v>
      </c>
      <c r="N28" s="24">
        <v>-1808</v>
      </c>
      <c r="O28" s="28">
        <f t="shared" si="3"/>
        <v>3279</v>
      </c>
      <c r="P28" s="22">
        <f t="shared" si="11"/>
        <v>16</v>
      </c>
      <c r="Q28" s="29"/>
      <c r="R28" s="30"/>
    </row>
    <row r="29" spans="1:18" x14ac:dyDescent="0.25">
      <c r="A29" s="21">
        <v>45805</v>
      </c>
      <c r="B29" s="26">
        <v>4</v>
      </c>
      <c r="C29" s="28">
        <f t="shared" si="4"/>
        <v>1367</v>
      </c>
      <c r="D29" s="24">
        <v>-726</v>
      </c>
      <c r="E29" s="25">
        <f t="shared" si="1"/>
        <v>2093</v>
      </c>
      <c r="F29" s="22">
        <f t="shared" si="5"/>
        <v>3</v>
      </c>
      <c r="G29" s="22">
        <f t="shared" si="6"/>
        <v>9</v>
      </c>
      <c r="H29" s="28">
        <f t="shared" si="7"/>
        <v>1417</v>
      </c>
      <c r="I29" s="27">
        <v>-1318</v>
      </c>
      <c r="J29" s="28">
        <f t="shared" si="2"/>
        <v>2735</v>
      </c>
      <c r="K29" s="22">
        <f t="shared" si="8"/>
        <v>3</v>
      </c>
      <c r="L29" s="22">
        <f t="shared" si="9"/>
        <v>9</v>
      </c>
      <c r="M29" s="28">
        <f t="shared" si="10"/>
        <v>1471</v>
      </c>
      <c r="N29" s="24">
        <v>-1808</v>
      </c>
      <c r="O29" s="28">
        <f t="shared" si="3"/>
        <v>3279</v>
      </c>
      <c r="P29" s="22">
        <f t="shared" si="11"/>
        <v>16</v>
      </c>
      <c r="Q29" s="29"/>
      <c r="R29" s="30"/>
    </row>
    <row r="30" spans="1:18" x14ac:dyDescent="0.25">
      <c r="A30" s="21">
        <v>45806</v>
      </c>
      <c r="B30" s="26">
        <v>4</v>
      </c>
      <c r="C30" s="28">
        <f t="shared" si="4"/>
        <v>1367</v>
      </c>
      <c r="D30" s="24">
        <v>-726</v>
      </c>
      <c r="E30" s="25">
        <f t="shared" si="1"/>
        <v>2093</v>
      </c>
      <c r="F30" s="22">
        <f t="shared" si="5"/>
        <v>3</v>
      </c>
      <c r="G30" s="22">
        <f t="shared" si="6"/>
        <v>10</v>
      </c>
      <c r="H30" s="28">
        <f t="shared" si="7"/>
        <v>1417</v>
      </c>
      <c r="I30" s="27">
        <v>-1318</v>
      </c>
      <c r="J30" s="28">
        <f t="shared" si="2"/>
        <v>2735</v>
      </c>
      <c r="K30" s="22">
        <f t="shared" si="8"/>
        <v>3</v>
      </c>
      <c r="L30" s="22">
        <f t="shared" si="9"/>
        <v>10</v>
      </c>
      <c r="M30" s="28">
        <f t="shared" si="10"/>
        <v>1471</v>
      </c>
      <c r="N30" s="24">
        <v>-1808</v>
      </c>
      <c r="O30" s="28">
        <f t="shared" si="3"/>
        <v>3279</v>
      </c>
      <c r="P30" s="22">
        <f t="shared" si="11"/>
        <v>16</v>
      </c>
      <c r="Q30" s="29"/>
      <c r="R30" s="30"/>
    </row>
    <row r="31" spans="1:18" x14ac:dyDescent="0.25">
      <c r="A31" s="21">
        <v>45807</v>
      </c>
      <c r="B31" s="26">
        <v>4</v>
      </c>
      <c r="C31" s="28">
        <f t="shared" si="4"/>
        <v>1367</v>
      </c>
      <c r="D31" s="24">
        <v>-726</v>
      </c>
      <c r="E31" s="25">
        <f t="shared" si="1"/>
        <v>2093</v>
      </c>
      <c r="F31" s="22">
        <f t="shared" si="5"/>
        <v>3</v>
      </c>
      <c r="G31" s="22">
        <f t="shared" si="6"/>
        <v>11</v>
      </c>
      <c r="H31" s="28">
        <f t="shared" si="7"/>
        <v>1417</v>
      </c>
      <c r="I31" s="27">
        <v>-1318</v>
      </c>
      <c r="J31" s="28">
        <f t="shared" si="2"/>
        <v>2735</v>
      </c>
      <c r="K31" s="22">
        <f t="shared" si="8"/>
        <v>3</v>
      </c>
      <c r="L31" s="22">
        <f t="shared" si="9"/>
        <v>11</v>
      </c>
      <c r="M31" s="28">
        <f t="shared" si="10"/>
        <v>1471</v>
      </c>
      <c r="N31" s="24">
        <v>-1808</v>
      </c>
      <c r="O31" s="28">
        <f t="shared" si="3"/>
        <v>3279</v>
      </c>
      <c r="P31" s="22">
        <f t="shared" si="11"/>
        <v>16</v>
      </c>
      <c r="Q31" s="29"/>
      <c r="R31" s="30"/>
    </row>
    <row r="32" spans="1:18" x14ac:dyDescent="0.25">
      <c r="A32" s="21">
        <v>45808</v>
      </c>
      <c r="B32" s="26">
        <v>4</v>
      </c>
      <c r="C32" s="28">
        <f t="shared" si="4"/>
        <v>1367</v>
      </c>
      <c r="D32" s="24">
        <v>-726</v>
      </c>
      <c r="E32" s="25">
        <f t="shared" si="1"/>
        <v>2093</v>
      </c>
      <c r="F32" s="22">
        <f t="shared" si="5"/>
        <v>3</v>
      </c>
      <c r="G32" s="22">
        <f t="shared" si="6"/>
        <v>12</v>
      </c>
      <c r="H32" s="28">
        <f t="shared" si="7"/>
        <v>1417</v>
      </c>
      <c r="I32" s="27">
        <v>-1318</v>
      </c>
      <c r="J32" s="28">
        <f t="shared" si="2"/>
        <v>2735</v>
      </c>
      <c r="K32" s="22">
        <f t="shared" si="8"/>
        <v>3</v>
      </c>
      <c r="L32" s="22">
        <f t="shared" si="9"/>
        <v>12</v>
      </c>
      <c r="M32" s="28">
        <f t="shared" si="10"/>
        <v>1471</v>
      </c>
      <c r="N32" s="24">
        <v>-1808</v>
      </c>
      <c r="O32" s="28">
        <f t="shared" si="3"/>
        <v>3279</v>
      </c>
      <c r="P32" s="22">
        <f t="shared" si="11"/>
        <v>16</v>
      </c>
      <c r="Q32" s="29"/>
      <c r="R32" s="30"/>
    </row>
    <row r="33" spans="1:18" x14ac:dyDescent="0.25">
      <c r="A33" s="21">
        <v>45809</v>
      </c>
      <c r="B33" s="26">
        <v>4</v>
      </c>
      <c r="C33" s="28">
        <f t="shared" si="4"/>
        <v>1367</v>
      </c>
      <c r="D33" s="24">
        <v>-726</v>
      </c>
      <c r="E33" s="25">
        <f t="shared" si="1"/>
        <v>2093</v>
      </c>
      <c r="F33" s="22">
        <f t="shared" si="5"/>
        <v>3</v>
      </c>
      <c r="G33" s="22">
        <f t="shared" si="6"/>
        <v>13</v>
      </c>
      <c r="H33" s="28">
        <f t="shared" si="7"/>
        <v>1417</v>
      </c>
      <c r="I33" s="27">
        <v>-1318</v>
      </c>
      <c r="J33" s="28">
        <f t="shared" si="2"/>
        <v>2735</v>
      </c>
      <c r="K33" s="22">
        <f t="shared" si="8"/>
        <v>3</v>
      </c>
      <c r="L33" s="22">
        <f t="shared" si="9"/>
        <v>13</v>
      </c>
      <c r="M33" s="28">
        <f t="shared" si="10"/>
        <v>1471</v>
      </c>
      <c r="N33" s="24">
        <v>-1808</v>
      </c>
      <c r="O33" s="28">
        <f t="shared" si="3"/>
        <v>3279</v>
      </c>
      <c r="P33" s="22">
        <f t="shared" si="11"/>
        <v>16</v>
      </c>
      <c r="Q33" s="29"/>
      <c r="R33" s="30"/>
    </row>
    <row r="34" spans="1:18" x14ac:dyDescent="0.25">
      <c r="A34" s="21">
        <v>45810</v>
      </c>
      <c r="B34" s="26">
        <v>4</v>
      </c>
      <c r="C34" s="28">
        <f t="shared" si="4"/>
        <v>1367</v>
      </c>
      <c r="D34" s="24">
        <v>-726</v>
      </c>
      <c r="E34" s="25">
        <f t="shared" si="1"/>
        <v>2093</v>
      </c>
      <c r="F34" s="22">
        <f t="shared" si="5"/>
        <v>3</v>
      </c>
      <c r="G34" s="22">
        <f t="shared" si="6"/>
        <v>14</v>
      </c>
      <c r="H34" s="28">
        <f t="shared" si="7"/>
        <v>1417</v>
      </c>
      <c r="I34" s="27">
        <v>-1318</v>
      </c>
      <c r="J34" s="28">
        <f t="shared" si="2"/>
        <v>2735</v>
      </c>
      <c r="K34" s="22">
        <f t="shared" si="8"/>
        <v>3</v>
      </c>
      <c r="L34" s="22">
        <f t="shared" si="9"/>
        <v>14</v>
      </c>
      <c r="M34" s="28">
        <f t="shared" si="10"/>
        <v>1471</v>
      </c>
      <c r="N34" s="24">
        <v>-1808</v>
      </c>
      <c r="O34" s="28">
        <f t="shared" si="3"/>
        <v>3279</v>
      </c>
      <c r="P34" s="22">
        <f t="shared" si="11"/>
        <v>16</v>
      </c>
      <c r="Q34" s="29"/>
      <c r="R34" s="30"/>
    </row>
    <row r="35" spans="1:18" x14ac:dyDescent="0.25">
      <c r="A35" s="21">
        <v>45811</v>
      </c>
      <c r="B35" s="26">
        <v>4</v>
      </c>
      <c r="C35" s="28">
        <f t="shared" si="4"/>
        <v>1367</v>
      </c>
      <c r="D35" s="24">
        <v>-726</v>
      </c>
      <c r="E35" s="25">
        <f t="shared" si="1"/>
        <v>2093</v>
      </c>
      <c r="F35" s="22">
        <f t="shared" si="5"/>
        <v>3</v>
      </c>
      <c r="G35" s="22">
        <f t="shared" si="6"/>
        <v>15</v>
      </c>
      <c r="H35" s="28">
        <f t="shared" si="7"/>
        <v>1417</v>
      </c>
      <c r="I35" s="27">
        <v>-1318</v>
      </c>
      <c r="J35" s="28">
        <f t="shared" si="2"/>
        <v>2735</v>
      </c>
      <c r="K35" s="22">
        <f t="shared" si="8"/>
        <v>3</v>
      </c>
      <c r="L35" s="22">
        <f t="shared" si="9"/>
        <v>15</v>
      </c>
      <c r="M35" s="28">
        <f t="shared" si="10"/>
        <v>1471</v>
      </c>
      <c r="N35" s="24">
        <v>-1808</v>
      </c>
      <c r="O35" s="28">
        <f t="shared" si="3"/>
        <v>3279</v>
      </c>
      <c r="P35" s="22">
        <f t="shared" si="11"/>
        <v>16</v>
      </c>
      <c r="Q35" s="29"/>
      <c r="R35" s="30"/>
    </row>
    <row r="36" spans="1:18" x14ac:dyDescent="0.25">
      <c r="A36" s="21">
        <v>45812</v>
      </c>
      <c r="B36" s="26">
        <v>4</v>
      </c>
      <c r="C36" s="28">
        <f t="shared" si="4"/>
        <v>1367</v>
      </c>
      <c r="D36" s="24">
        <v>-726</v>
      </c>
      <c r="E36" s="25">
        <f t="shared" si="1"/>
        <v>2093</v>
      </c>
      <c r="F36" s="22">
        <f t="shared" si="5"/>
        <v>3</v>
      </c>
      <c r="G36" s="22">
        <f t="shared" si="6"/>
        <v>16</v>
      </c>
      <c r="H36" s="28">
        <f t="shared" si="7"/>
        <v>1407</v>
      </c>
      <c r="I36" s="27">
        <v>-1328</v>
      </c>
      <c r="J36" s="28">
        <f t="shared" si="2"/>
        <v>2735</v>
      </c>
      <c r="K36" s="22">
        <f t="shared" si="8"/>
        <v>13</v>
      </c>
      <c r="L36" s="22">
        <f t="shared" si="9"/>
        <v>16</v>
      </c>
      <c r="M36" s="28">
        <f t="shared" si="10"/>
        <v>1471</v>
      </c>
      <c r="N36" s="24">
        <v>-1808</v>
      </c>
      <c r="O36" s="28">
        <f t="shared" si="3"/>
        <v>3279</v>
      </c>
      <c r="P36" s="22">
        <f t="shared" si="11"/>
        <v>16</v>
      </c>
      <c r="Q36" s="29"/>
      <c r="R36" s="30"/>
    </row>
    <row r="37" spans="1:18" x14ac:dyDescent="0.25">
      <c r="A37" s="21">
        <v>45813</v>
      </c>
      <c r="B37" s="26">
        <v>4</v>
      </c>
      <c r="C37" s="28">
        <f t="shared" si="4"/>
        <v>1353</v>
      </c>
      <c r="D37" s="24">
        <v>-740</v>
      </c>
      <c r="E37" s="25">
        <f t="shared" si="1"/>
        <v>2093</v>
      </c>
      <c r="F37" s="22">
        <f t="shared" si="5"/>
        <v>17</v>
      </c>
      <c r="G37" s="22">
        <f t="shared" si="6"/>
        <v>17</v>
      </c>
      <c r="H37" s="28">
        <f t="shared" si="7"/>
        <v>1385</v>
      </c>
      <c r="I37" s="27">
        <v>-1350</v>
      </c>
      <c r="J37" s="28">
        <f t="shared" si="2"/>
        <v>2735</v>
      </c>
      <c r="K37" s="22">
        <f t="shared" si="8"/>
        <v>35</v>
      </c>
      <c r="L37" s="22">
        <f t="shared" si="9"/>
        <v>17</v>
      </c>
      <c r="M37" s="28">
        <f t="shared" si="10"/>
        <v>1464</v>
      </c>
      <c r="N37" s="24">
        <v>-1815</v>
      </c>
      <c r="O37" s="28">
        <f t="shared" si="3"/>
        <v>3279</v>
      </c>
      <c r="P37" s="22">
        <f t="shared" si="11"/>
        <v>23</v>
      </c>
      <c r="Q37" s="29"/>
      <c r="R37" s="30"/>
    </row>
    <row r="38" spans="1:18" x14ac:dyDescent="0.25">
      <c r="A38" s="21">
        <v>45814</v>
      </c>
      <c r="B38" s="26">
        <v>4</v>
      </c>
      <c r="C38" s="28">
        <f t="shared" si="4"/>
        <v>1338</v>
      </c>
      <c r="D38" s="24">
        <v>-755</v>
      </c>
      <c r="E38" s="25">
        <f t="shared" si="1"/>
        <v>2093</v>
      </c>
      <c r="F38" s="22">
        <f t="shared" si="5"/>
        <v>32</v>
      </c>
      <c r="G38" s="22">
        <f t="shared" si="6"/>
        <v>18</v>
      </c>
      <c r="H38" s="28">
        <f t="shared" si="7"/>
        <v>1363</v>
      </c>
      <c r="I38" s="27">
        <v>-1372</v>
      </c>
      <c r="J38" s="28">
        <f t="shared" si="2"/>
        <v>2735</v>
      </c>
      <c r="K38" s="22">
        <f t="shared" si="8"/>
        <v>57</v>
      </c>
      <c r="L38" s="22">
        <f t="shared" si="9"/>
        <v>18</v>
      </c>
      <c r="M38" s="28">
        <f t="shared" si="10"/>
        <v>1454</v>
      </c>
      <c r="N38" s="24">
        <v>-1825</v>
      </c>
      <c r="O38" s="28">
        <f t="shared" si="3"/>
        <v>3279</v>
      </c>
      <c r="P38" s="22">
        <f t="shared" si="11"/>
        <v>33</v>
      </c>
      <c r="Q38" s="29"/>
      <c r="R38" s="30"/>
    </row>
    <row r="39" spans="1:18" x14ac:dyDescent="0.25">
      <c r="A39" s="21">
        <v>45815</v>
      </c>
      <c r="B39" s="26">
        <v>4</v>
      </c>
      <c r="C39" s="28">
        <f t="shared" si="4"/>
        <v>1323</v>
      </c>
      <c r="D39" s="24">
        <v>-770</v>
      </c>
      <c r="E39" s="25">
        <f t="shared" si="1"/>
        <v>2093</v>
      </c>
      <c r="F39" s="22">
        <f t="shared" si="5"/>
        <v>47</v>
      </c>
      <c r="G39" s="22">
        <f t="shared" si="6"/>
        <v>19</v>
      </c>
      <c r="H39" s="28">
        <f t="shared" si="7"/>
        <v>1341</v>
      </c>
      <c r="I39" s="27">
        <v>-1394</v>
      </c>
      <c r="J39" s="28">
        <f t="shared" si="2"/>
        <v>2735</v>
      </c>
      <c r="K39" s="22">
        <f t="shared" si="8"/>
        <v>79</v>
      </c>
      <c r="L39" s="22">
        <f t="shared" si="9"/>
        <v>19</v>
      </c>
      <c r="M39" s="28">
        <f t="shared" si="10"/>
        <v>1444</v>
      </c>
      <c r="N39" s="24">
        <v>-1835</v>
      </c>
      <c r="O39" s="28">
        <f t="shared" si="3"/>
        <v>3279</v>
      </c>
      <c r="P39" s="22">
        <f t="shared" si="11"/>
        <v>43</v>
      </c>
      <c r="Q39" s="29"/>
      <c r="R39" s="30"/>
    </row>
    <row r="40" spans="1:18" x14ac:dyDescent="0.25">
      <c r="A40" s="21">
        <v>45816</v>
      </c>
      <c r="B40" s="26">
        <v>4</v>
      </c>
      <c r="C40" s="28">
        <f t="shared" si="4"/>
        <v>1308</v>
      </c>
      <c r="D40" s="24">
        <v>-785</v>
      </c>
      <c r="E40" s="25">
        <f t="shared" si="1"/>
        <v>2093</v>
      </c>
      <c r="F40" s="22">
        <f t="shared" si="5"/>
        <v>62</v>
      </c>
      <c r="G40" s="22">
        <f t="shared" si="6"/>
        <v>20</v>
      </c>
      <c r="H40" s="28">
        <f t="shared" si="7"/>
        <v>1319</v>
      </c>
      <c r="I40" s="27">
        <v>-1416</v>
      </c>
      <c r="J40" s="28">
        <f t="shared" si="2"/>
        <v>2735</v>
      </c>
      <c r="K40" s="22">
        <f t="shared" si="8"/>
        <v>101</v>
      </c>
      <c r="L40" s="22">
        <f t="shared" si="9"/>
        <v>20</v>
      </c>
      <c r="M40" s="28">
        <f t="shared" si="10"/>
        <v>1434</v>
      </c>
      <c r="N40" s="24">
        <v>-1845</v>
      </c>
      <c r="O40" s="28">
        <f t="shared" si="3"/>
        <v>3279</v>
      </c>
      <c r="P40" s="22">
        <f t="shared" si="11"/>
        <v>53</v>
      </c>
      <c r="Q40" s="29"/>
      <c r="R40" s="30"/>
    </row>
    <row r="41" spans="1:18" x14ac:dyDescent="0.25">
      <c r="A41" s="21">
        <v>45817</v>
      </c>
      <c r="B41" s="26">
        <v>4</v>
      </c>
      <c r="C41" s="28">
        <f t="shared" si="4"/>
        <v>1293</v>
      </c>
      <c r="D41" s="24">
        <v>-800</v>
      </c>
      <c r="E41" s="25">
        <f t="shared" si="1"/>
        <v>2093</v>
      </c>
      <c r="F41" s="22">
        <f t="shared" si="5"/>
        <v>77</v>
      </c>
      <c r="G41" s="22">
        <f t="shared" si="6"/>
        <v>21</v>
      </c>
      <c r="H41" s="28">
        <f t="shared" si="7"/>
        <v>1297</v>
      </c>
      <c r="I41" s="27">
        <v>-1438</v>
      </c>
      <c r="J41" s="28">
        <f t="shared" si="2"/>
        <v>2735</v>
      </c>
      <c r="K41" s="22">
        <f t="shared" si="8"/>
        <v>123</v>
      </c>
      <c r="L41" s="22">
        <f t="shared" si="9"/>
        <v>21</v>
      </c>
      <c r="M41" s="28">
        <f t="shared" si="10"/>
        <v>1424</v>
      </c>
      <c r="N41" s="24">
        <v>-1855</v>
      </c>
      <c r="O41" s="28">
        <f t="shared" si="3"/>
        <v>3279</v>
      </c>
      <c r="P41" s="22">
        <f t="shared" si="11"/>
        <v>63</v>
      </c>
      <c r="Q41" s="29"/>
      <c r="R41" s="30"/>
    </row>
    <row r="42" spans="1:18" x14ac:dyDescent="0.25">
      <c r="A42" s="21">
        <v>45818</v>
      </c>
      <c r="B42" s="26">
        <v>4</v>
      </c>
      <c r="C42" s="28">
        <f t="shared" si="4"/>
        <v>1278</v>
      </c>
      <c r="D42" s="24">
        <v>-815</v>
      </c>
      <c r="E42" s="25">
        <f t="shared" si="1"/>
        <v>2093</v>
      </c>
      <c r="F42" s="22">
        <f t="shared" si="5"/>
        <v>92</v>
      </c>
      <c r="G42" s="22">
        <f t="shared" si="6"/>
        <v>22</v>
      </c>
      <c r="H42" s="28">
        <f t="shared" si="7"/>
        <v>1275</v>
      </c>
      <c r="I42" s="27">
        <v>-1460</v>
      </c>
      <c r="J42" s="28">
        <f t="shared" si="2"/>
        <v>2735</v>
      </c>
      <c r="K42" s="22">
        <f t="shared" si="8"/>
        <v>145</v>
      </c>
      <c r="L42" s="22">
        <f t="shared" si="9"/>
        <v>22</v>
      </c>
      <c r="M42" s="28">
        <f t="shared" si="10"/>
        <v>1414</v>
      </c>
      <c r="N42" s="24">
        <v>-1865</v>
      </c>
      <c r="O42" s="28">
        <f t="shared" si="3"/>
        <v>3279</v>
      </c>
      <c r="P42" s="22">
        <f t="shared" si="11"/>
        <v>73</v>
      </c>
      <c r="Q42" s="29"/>
      <c r="R42" s="30"/>
    </row>
    <row r="43" spans="1:18" x14ac:dyDescent="0.25">
      <c r="A43" s="21">
        <v>45819</v>
      </c>
      <c r="B43" s="26">
        <v>4</v>
      </c>
      <c r="C43" s="28">
        <f t="shared" si="4"/>
        <v>1271</v>
      </c>
      <c r="D43" s="24">
        <v>-822</v>
      </c>
      <c r="E43" s="25">
        <f t="shared" si="1"/>
        <v>2093</v>
      </c>
      <c r="F43" s="22">
        <f t="shared" si="5"/>
        <v>99</v>
      </c>
      <c r="G43" s="22">
        <f t="shared" si="6"/>
        <v>23</v>
      </c>
      <c r="H43" s="28">
        <f t="shared" si="7"/>
        <v>1254</v>
      </c>
      <c r="I43" s="27">
        <v>-1481</v>
      </c>
      <c r="J43" s="28">
        <f t="shared" si="2"/>
        <v>2735</v>
      </c>
      <c r="K43" s="22">
        <f t="shared" si="8"/>
        <v>166</v>
      </c>
      <c r="L43" s="22">
        <f t="shared" si="9"/>
        <v>23</v>
      </c>
      <c r="M43" s="28">
        <f t="shared" si="10"/>
        <v>1399</v>
      </c>
      <c r="N43" s="24">
        <v>-1880</v>
      </c>
      <c r="O43" s="28">
        <f t="shared" si="3"/>
        <v>3279</v>
      </c>
      <c r="P43" s="22">
        <f t="shared" si="11"/>
        <v>88</v>
      </c>
      <c r="Q43" s="29"/>
      <c r="R43" s="30"/>
    </row>
    <row r="44" spans="1:18" x14ac:dyDescent="0.25">
      <c r="A44" s="21">
        <v>45820</v>
      </c>
      <c r="B44" s="26">
        <v>4</v>
      </c>
      <c r="C44" s="28">
        <f t="shared" si="4"/>
        <v>1235</v>
      </c>
      <c r="D44" s="24">
        <v>-858</v>
      </c>
      <c r="E44" s="25">
        <f t="shared" si="1"/>
        <v>2093</v>
      </c>
      <c r="F44" s="22">
        <f t="shared" si="5"/>
        <v>135</v>
      </c>
      <c r="G44" s="22">
        <f t="shared" si="6"/>
        <v>24</v>
      </c>
      <c r="H44" s="28">
        <f t="shared" si="7"/>
        <v>1265</v>
      </c>
      <c r="I44" s="27">
        <v>-1470</v>
      </c>
      <c r="J44" s="28">
        <f t="shared" si="2"/>
        <v>2735</v>
      </c>
      <c r="K44" s="22">
        <f t="shared" si="8"/>
        <v>155</v>
      </c>
      <c r="L44" s="22">
        <f t="shared" si="9"/>
        <v>24</v>
      </c>
      <c r="M44" s="28">
        <f t="shared" si="10"/>
        <v>1384</v>
      </c>
      <c r="N44" s="24">
        <v>-1895</v>
      </c>
      <c r="O44" s="28">
        <f t="shared" si="3"/>
        <v>3279</v>
      </c>
      <c r="P44" s="22">
        <f t="shared" si="11"/>
        <v>103</v>
      </c>
      <c r="Q44" s="29"/>
      <c r="R44" s="30"/>
    </row>
    <row r="45" spans="1:18" x14ac:dyDescent="0.25">
      <c r="A45" s="21">
        <v>45821</v>
      </c>
      <c r="B45" s="26">
        <v>4</v>
      </c>
      <c r="C45" s="28">
        <f t="shared" si="4"/>
        <v>1200</v>
      </c>
      <c r="D45" s="24">
        <v>-893</v>
      </c>
      <c r="E45" s="25">
        <f t="shared" si="1"/>
        <v>2093</v>
      </c>
      <c r="F45" s="22">
        <f t="shared" si="5"/>
        <v>170</v>
      </c>
      <c r="G45" s="22">
        <f t="shared" si="6"/>
        <v>25</v>
      </c>
      <c r="H45" s="28">
        <f t="shared" si="7"/>
        <v>1250</v>
      </c>
      <c r="I45" s="27">
        <v>-1485</v>
      </c>
      <c r="J45" s="28">
        <f t="shared" si="2"/>
        <v>2735</v>
      </c>
      <c r="K45" s="22">
        <f t="shared" si="8"/>
        <v>170</v>
      </c>
      <c r="L45" s="22">
        <f t="shared" si="9"/>
        <v>25</v>
      </c>
      <c r="M45" s="28">
        <f t="shared" si="10"/>
        <v>1369</v>
      </c>
      <c r="N45" s="24">
        <v>-1910</v>
      </c>
      <c r="O45" s="28">
        <f t="shared" si="3"/>
        <v>3279</v>
      </c>
      <c r="P45" s="22">
        <f t="shared" si="11"/>
        <v>118</v>
      </c>
      <c r="Q45" s="29"/>
      <c r="R45" s="30"/>
    </row>
    <row r="46" spans="1:18" x14ac:dyDescent="0.25">
      <c r="A46" s="21">
        <v>45822</v>
      </c>
      <c r="B46" s="26">
        <v>4</v>
      </c>
      <c r="C46" s="28">
        <f t="shared" si="4"/>
        <v>1194</v>
      </c>
      <c r="D46" s="24">
        <v>-899</v>
      </c>
      <c r="E46" s="25">
        <f t="shared" si="1"/>
        <v>2093</v>
      </c>
      <c r="F46" s="22">
        <f t="shared" si="5"/>
        <v>176</v>
      </c>
      <c r="G46" s="22">
        <f t="shared" si="6"/>
        <v>26</v>
      </c>
      <c r="H46" s="28">
        <f t="shared" si="7"/>
        <v>1235</v>
      </c>
      <c r="I46" s="27">
        <v>-1500</v>
      </c>
      <c r="J46" s="28">
        <f t="shared" si="2"/>
        <v>2735</v>
      </c>
      <c r="K46" s="22">
        <f t="shared" si="8"/>
        <v>185</v>
      </c>
      <c r="L46" s="22">
        <f t="shared" si="9"/>
        <v>26</v>
      </c>
      <c r="M46" s="28">
        <f t="shared" si="10"/>
        <v>1354</v>
      </c>
      <c r="N46" s="24">
        <v>-1925</v>
      </c>
      <c r="O46" s="28">
        <f t="shared" si="3"/>
        <v>3279</v>
      </c>
      <c r="P46" s="22">
        <f t="shared" si="11"/>
        <v>133</v>
      </c>
      <c r="Q46" s="29"/>
      <c r="R46" s="30"/>
    </row>
    <row r="47" spans="1:18" x14ac:dyDescent="0.25">
      <c r="A47" s="21">
        <v>45823</v>
      </c>
      <c r="B47" s="26">
        <v>4</v>
      </c>
      <c r="C47" s="28">
        <f t="shared" si="4"/>
        <v>1188</v>
      </c>
      <c r="D47" s="24">
        <v>-905</v>
      </c>
      <c r="E47" s="25">
        <f t="shared" si="1"/>
        <v>2093</v>
      </c>
      <c r="F47" s="22">
        <f t="shared" si="5"/>
        <v>182</v>
      </c>
      <c r="G47" s="22">
        <f t="shared" si="6"/>
        <v>27</v>
      </c>
      <c r="H47" s="28">
        <f t="shared" si="7"/>
        <v>1220</v>
      </c>
      <c r="I47" s="27">
        <v>-1515</v>
      </c>
      <c r="J47" s="28">
        <f t="shared" si="2"/>
        <v>2735</v>
      </c>
      <c r="K47" s="22">
        <f t="shared" si="8"/>
        <v>200</v>
      </c>
      <c r="L47" s="22">
        <f t="shared" si="9"/>
        <v>27</v>
      </c>
      <c r="M47" s="28">
        <f t="shared" si="10"/>
        <v>1339</v>
      </c>
      <c r="N47" s="24">
        <v>-1940</v>
      </c>
      <c r="O47" s="28">
        <f t="shared" si="3"/>
        <v>3279</v>
      </c>
      <c r="P47" s="22">
        <f t="shared" si="11"/>
        <v>148</v>
      </c>
      <c r="Q47" s="29"/>
      <c r="R47" s="30"/>
    </row>
    <row r="48" spans="1:18" x14ac:dyDescent="0.25">
      <c r="A48" s="21">
        <v>45824</v>
      </c>
      <c r="B48" s="26">
        <v>4</v>
      </c>
      <c r="C48" s="28">
        <f t="shared" si="4"/>
        <v>1182</v>
      </c>
      <c r="D48" s="24">
        <v>-911</v>
      </c>
      <c r="E48" s="25">
        <f t="shared" si="1"/>
        <v>2093</v>
      </c>
      <c r="F48" s="22">
        <f t="shared" si="5"/>
        <v>188</v>
      </c>
      <c r="G48" s="22">
        <f t="shared" si="6"/>
        <v>28</v>
      </c>
      <c r="H48" s="28">
        <f t="shared" si="7"/>
        <v>1205</v>
      </c>
      <c r="I48" s="27">
        <v>-1530</v>
      </c>
      <c r="J48" s="28">
        <f t="shared" si="2"/>
        <v>2735</v>
      </c>
      <c r="K48" s="22">
        <f t="shared" si="8"/>
        <v>215</v>
      </c>
      <c r="L48" s="22">
        <f t="shared" si="9"/>
        <v>28</v>
      </c>
      <c r="M48" s="28">
        <f t="shared" si="10"/>
        <v>1324</v>
      </c>
      <c r="N48" s="24">
        <v>-1955</v>
      </c>
      <c r="O48" s="28">
        <f t="shared" si="3"/>
        <v>3279</v>
      </c>
      <c r="P48" s="22">
        <f t="shared" si="11"/>
        <v>163</v>
      </c>
      <c r="Q48" s="29"/>
      <c r="R48" s="30"/>
    </row>
    <row r="49" spans="1:18" x14ac:dyDescent="0.25">
      <c r="A49" s="21">
        <v>45825</v>
      </c>
      <c r="B49" s="26">
        <v>4</v>
      </c>
      <c r="C49" s="28">
        <f t="shared" si="4"/>
        <v>1176</v>
      </c>
      <c r="D49" s="24">
        <v>-917</v>
      </c>
      <c r="E49" s="25">
        <f t="shared" si="1"/>
        <v>2093</v>
      </c>
      <c r="F49" s="22">
        <f t="shared" si="5"/>
        <v>194</v>
      </c>
      <c r="G49" s="22">
        <f t="shared" si="6"/>
        <v>29</v>
      </c>
      <c r="H49" s="28">
        <f t="shared" si="7"/>
        <v>1190</v>
      </c>
      <c r="I49" s="27">
        <v>-1545</v>
      </c>
      <c r="J49" s="28">
        <f t="shared" si="2"/>
        <v>2735</v>
      </c>
      <c r="K49" s="22">
        <f t="shared" si="8"/>
        <v>230</v>
      </c>
      <c r="L49" s="22">
        <f t="shared" si="9"/>
        <v>29</v>
      </c>
      <c r="M49" s="28">
        <f t="shared" si="10"/>
        <v>1309</v>
      </c>
      <c r="N49" s="24">
        <v>-1970</v>
      </c>
      <c r="O49" s="28">
        <f t="shared" si="3"/>
        <v>3279</v>
      </c>
      <c r="P49" s="22">
        <f t="shared" si="11"/>
        <v>178</v>
      </c>
      <c r="Q49" s="29"/>
      <c r="R49" s="30"/>
    </row>
    <row r="50" spans="1:18" x14ac:dyDescent="0.25">
      <c r="A50" s="21">
        <v>45826</v>
      </c>
      <c r="B50" s="26">
        <v>4</v>
      </c>
      <c r="C50" s="28">
        <f t="shared" si="4"/>
        <v>1170</v>
      </c>
      <c r="D50" s="24">
        <v>-923</v>
      </c>
      <c r="E50" s="25">
        <f t="shared" si="1"/>
        <v>2093</v>
      </c>
      <c r="F50" s="22">
        <f t="shared" si="5"/>
        <v>200</v>
      </c>
      <c r="G50" s="22">
        <f t="shared" si="6"/>
        <v>30</v>
      </c>
      <c r="H50" s="28">
        <f t="shared" si="7"/>
        <v>1175</v>
      </c>
      <c r="I50" s="27">
        <v>-1560</v>
      </c>
      <c r="J50" s="28">
        <f t="shared" si="2"/>
        <v>2735</v>
      </c>
      <c r="K50" s="22">
        <f t="shared" si="8"/>
        <v>245</v>
      </c>
      <c r="L50" s="22">
        <f t="shared" si="9"/>
        <v>30</v>
      </c>
      <c r="M50" s="28">
        <f t="shared" si="10"/>
        <v>1294</v>
      </c>
      <c r="N50" s="24">
        <v>-1985</v>
      </c>
      <c r="O50" s="28">
        <f t="shared" si="3"/>
        <v>3279</v>
      </c>
      <c r="P50" s="22">
        <f t="shared" si="11"/>
        <v>193</v>
      </c>
      <c r="Q50" s="29"/>
      <c r="R50" s="30"/>
    </row>
    <row r="51" spans="1:18" x14ac:dyDescent="0.25">
      <c r="A51" s="21">
        <v>45827</v>
      </c>
      <c r="B51" s="26">
        <v>4</v>
      </c>
      <c r="C51" s="28">
        <f t="shared" si="4"/>
        <v>1164</v>
      </c>
      <c r="D51" s="24">
        <v>-929</v>
      </c>
      <c r="E51" s="25">
        <f t="shared" si="1"/>
        <v>2093</v>
      </c>
      <c r="F51" s="22">
        <f t="shared" si="5"/>
        <v>206</v>
      </c>
      <c r="G51" s="22">
        <f t="shared" si="6"/>
        <v>31</v>
      </c>
      <c r="H51" s="28">
        <f t="shared" si="7"/>
        <v>1160</v>
      </c>
      <c r="I51" s="27">
        <v>-1575</v>
      </c>
      <c r="J51" s="28">
        <f t="shared" si="2"/>
        <v>2735</v>
      </c>
      <c r="K51" s="22">
        <f t="shared" si="8"/>
        <v>260</v>
      </c>
      <c r="L51" s="22">
        <f t="shared" si="9"/>
        <v>31</v>
      </c>
      <c r="M51" s="28">
        <f t="shared" si="10"/>
        <v>1279</v>
      </c>
      <c r="N51" s="24">
        <v>-2000</v>
      </c>
      <c r="O51" s="28">
        <f t="shared" si="3"/>
        <v>3279</v>
      </c>
      <c r="P51" s="22">
        <f t="shared" si="11"/>
        <v>208</v>
      </c>
      <c r="Q51" s="29"/>
      <c r="R51" s="30"/>
    </row>
    <row r="52" spans="1:18" x14ac:dyDescent="0.25">
      <c r="A52" s="21">
        <v>45828</v>
      </c>
      <c r="B52" s="26">
        <v>4</v>
      </c>
      <c r="C52" s="28">
        <f t="shared" si="4"/>
        <v>1158</v>
      </c>
      <c r="D52" s="24">
        <v>-935</v>
      </c>
      <c r="E52" s="25">
        <f t="shared" si="1"/>
        <v>2093</v>
      </c>
      <c r="F52" s="22">
        <f t="shared" si="5"/>
        <v>212</v>
      </c>
      <c r="G52" s="22">
        <f t="shared" si="6"/>
        <v>32</v>
      </c>
      <c r="H52" s="28">
        <f t="shared" si="7"/>
        <v>1145</v>
      </c>
      <c r="I52" s="27">
        <v>-1590</v>
      </c>
      <c r="J52" s="28">
        <f t="shared" si="2"/>
        <v>2735</v>
      </c>
      <c r="K52" s="22">
        <f t="shared" si="8"/>
        <v>275</v>
      </c>
      <c r="L52" s="22">
        <f t="shared" si="9"/>
        <v>32</v>
      </c>
      <c r="M52" s="28">
        <f t="shared" si="10"/>
        <v>1264</v>
      </c>
      <c r="N52" s="24">
        <v>-2015</v>
      </c>
      <c r="O52" s="28">
        <f t="shared" si="3"/>
        <v>3279</v>
      </c>
      <c r="P52" s="22">
        <f t="shared" si="11"/>
        <v>223</v>
      </c>
      <c r="Q52" s="29"/>
      <c r="R52" s="30"/>
    </row>
    <row r="53" spans="1:18" x14ac:dyDescent="0.25">
      <c r="A53" s="21">
        <v>45829</v>
      </c>
      <c r="B53" s="26">
        <v>4</v>
      </c>
      <c r="C53" s="28">
        <f t="shared" si="4"/>
        <v>1152</v>
      </c>
      <c r="D53" s="24">
        <v>-941</v>
      </c>
      <c r="E53" s="25">
        <f t="shared" si="1"/>
        <v>2093</v>
      </c>
      <c r="F53" s="22">
        <f t="shared" si="5"/>
        <v>218</v>
      </c>
      <c r="G53" s="22">
        <f t="shared" si="6"/>
        <v>33</v>
      </c>
      <c r="H53" s="28">
        <f t="shared" si="7"/>
        <v>1130</v>
      </c>
      <c r="I53" s="27">
        <v>-1605</v>
      </c>
      <c r="J53" s="28">
        <f t="shared" si="2"/>
        <v>2735</v>
      </c>
      <c r="K53" s="22">
        <f t="shared" si="8"/>
        <v>290</v>
      </c>
      <c r="L53" s="22">
        <f t="shared" si="9"/>
        <v>33</v>
      </c>
      <c r="M53" s="28">
        <f t="shared" si="10"/>
        <v>1249</v>
      </c>
      <c r="N53" s="24">
        <v>-2030</v>
      </c>
      <c r="O53" s="28">
        <f t="shared" si="3"/>
        <v>3279</v>
      </c>
      <c r="P53" s="22">
        <f t="shared" si="11"/>
        <v>238</v>
      </c>
      <c r="Q53" s="29"/>
      <c r="R53" s="30"/>
    </row>
    <row r="54" spans="1:18" x14ac:dyDescent="0.25">
      <c r="A54" s="21">
        <v>45830</v>
      </c>
      <c r="B54" s="26">
        <v>4</v>
      </c>
      <c r="C54" s="28">
        <f t="shared" si="4"/>
        <v>1146</v>
      </c>
      <c r="D54" s="24">
        <v>-947</v>
      </c>
      <c r="E54" s="25">
        <f t="shared" si="1"/>
        <v>2093</v>
      </c>
      <c r="F54" s="22">
        <f t="shared" si="5"/>
        <v>224</v>
      </c>
      <c r="G54" s="22">
        <f t="shared" si="6"/>
        <v>34</v>
      </c>
      <c r="H54" s="28">
        <f t="shared" si="7"/>
        <v>1115</v>
      </c>
      <c r="I54" s="27">
        <v>-1620</v>
      </c>
      <c r="J54" s="28">
        <f t="shared" si="2"/>
        <v>2735</v>
      </c>
      <c r="K54" s="22">
        <f t="shared" si="8"/>
        <v>305</v>
      </c>
      <c r="L54" s="22">
        <f t="shared" si="9"/>
        <v>34</v>
      </c>
      <c r="M54" s="28">
        <f t="shared" si="10"/>
        <v>1238</v>
      </c>
      <c r="N54" s="24">
        <v>-2041</v>
      </c>
      <c r="O54" s="28">
        <f t="shared" si="3"/>
        <v>3279</v>
      </c>
      <c r="P54" s="22">
        <f t="shared" si="11"/>
        <v>249</v>
      </c>
      <c r="Q54" s="29"/>
      <c r="R54" s="30"/>
    </row>
    <row r="55" spans="1:18" x14ac:dyDescent="0.25">
      <c r="A55" s="21">
        <v>45831</v>
      </c>
      <c r="B55" s="26">
        <v>4</v>
      </c>
      <c r="C55" s="28">
        <f t="shared" si="4"/>
        <v>1140</v>
      </c>
      <c r="D55" s="24">
        <v>-953</v>
      </c>
      <c r="E55" s="25">
        <f t="shared" si="1"/>
        <v>2093</v>
      </c>
      <c r="F55" s="22">
        <f t="shared" si="5"/>
        <v>230</v>
      </c>
      <c r="G55" s="22">
        <f t="shared" si="6"/>
        <v>35</v>
      </c>
      <c r="H55" s="28">
        <f t="shared" si="7"/>
        <v>1100</v>
      </c>
      <c r="I55" s="27">
        <v>-1635</v>
      </c>
      <c r="J55" s="28">
        <f t="shared" si="2"/>
        <v>2735</v>
      </c>
      <c r="K55" s="22">
        <f t="shared" si="8"/>
        <v>320</v>
      </c>
      <c r="L55" s="22">
        <f t="shared" si="9"/>
        <v>35</v>
      </c>
      <c r="M55" s="28">
        <f t="shared" si="10"/>
        <v>1237</v>
      </c>
      <c r="N55" s="24">
        <v>-2042</v>
      </c>
      <c r="O55" s="28">
        <f t="shared" si="3"/>
        <v>3279</v>
      </c>
      <c r="P55" s="22">
        <f t="shared" si="11"/>
        <v>250</v>
      </c>
      <c r="Q55" s="29"/>
      <c r="R55" s="30"/>
    </row>
    <row r="56" spans="1:18" x14ac:dyDescent="0.25">
      <c r="A56" s="21">
        <v>45832</v>
      </c>
      <c r="B56" s="26">
        <v>4</v>
      </c>
      <c r="C56" s="28">
        <f t="shared" si="4"/>
        <v>1134</v>
      </c>
      <c r="D56" s="24">
        <v>-959</v>
      </c>
      <c r="E56" s="25">
        <f t="shared" si="1"/>
        <v>2093</v>
      </c>
      <c r="F56" s="22">
        <f t="shared" si="5"/>
        <v>236</v>
      </c>
      <c r="G56" s="22">
        <f t="shared" si="6"/>
        <v>36</v>
      </c>
      <c r="H56" s="28">
        <f t="shared" si="7"/>
        <v>1085</v>
      </c>
      <c r="I56" s="27">
        <v>-1650</v>
      </c>
      <c r="J56" s="28">
        <f t="shared" si="2"/>
        <v>2735</v>
      </c>
      <c r="K56" s="22">
        <f t="shared" si="8"/>
        <v>335</v>
      </c>
      <c r="L56" s="22">
        <f t="shared" si="9"/>
        <v>36</v>
      </c>
      <c r="M56" s="28">
        <f t="shared" si="10"/>
        <v>1236</v>
      </c>
      <c r="N56" s="24">
        <v>-2043</v>
      </c>
      <c r="O56" s="28">
        <f t="shared" si="3"/>
        <v>3279</v>
      </c>
      <c r="P56" s="22">
        <f t="shared" si="11"/>
        <v>251</v>
      </c>
      <c r="Q56" s="29"/>
      <c r="R56" s="30"/>
    </row>
    <row r="57" spans="1:18" x14ac:dyDescent="0.25">
      <c r="A57" s="21">
        <v>45833</v>
      </c>
      <c r="B57" s="26">
        <v>4</v>
      </c>
      <c r="C57" s="28">
        <f t="shared" si="4"/>
        <v>1128</v>
      </c>
      <c r="D57" s="24">
        <v>-965</v>
      </c>
      <c r="E57" s="25">
        <f t="shared" si="1"/>
        <v>2093</v>
      </c>
      <c r="F57" s="22">
        <f t="shared" si="5"/>
        <v>242</v>
      </c>
      <c r="G57" s="22">
        <f t="shared" si="6"/>
        <v>37</v>
      </c>
      <c r="H57" s="28">
        <f t="shared" si="7"/>
        <v>1070</v>
      </c>
      <c r="I57" s="27">
        <v>-1665</v>
      </c>
      <c r="J57" s="28">
        <f t="shared" si="2"/>
        <v>2735</v>
      </c>
      <c r="K57" s="22">
        <f t="shared" si="8"/>
        <v>350</v>
      </c>
      <c r="L57" s="22">
        <f t="shared" si="9"/>
        <v>37</v>
      </c>
      <c r="M57" s="28">
        <f t="shared" si="10"/>
        <v>1235</v>
      </c>
      <c r="N57" s="24">
        <v>-2044</v>
      </c>
      <c r="O57" s="28">
        <f t="shared" si="3"/>
        <v>3279</v>
      </c>
      <c r="P57" s="22">
        <f t="shared" si="11"/>
        <v>252</v>
      </c>
      <c r="Q57" s="29"/>
      <c r="R57" s="30"/>
    </row>
    <row r="58" spans="1:18" x14ac:dyDescent="0.25">
      <c r="A58" s="21">
        <v>45834</v>
      </c>
      <c r="B58" s="26">
        <v>4</v>
      </c>
      <c r="C58" s="28">
        <f t="shared" si="4"/>
        <v>1122</v>
      </c>
      <c r="D58" s="24">
        <v>-971</v>
      </c>
      <c r="E58" s="25">
        <f t="shared" si="1"/>
        <v>2093</v>
      </c>
      <c r="F58" s="22">
        <f t="shared" si="5"/>
        <v>248</v>
      </c>
      <c r="G58" s="22">
        <f t="shared" si="6"/>
        <v>38</v>
      </c>
      <c r="H58" s="28">
        <f t="shared" si="7"/>
        <v>1047</v>
      </c>
      <c r="I58" s="27">
        <v>-1688</v>
      </c>
      <c r="J58" s="28">
        <f t="shared" si="2"/>
        <v>2735</v>
      </c>
      <c r="K58" s="22">
        <f t="shared" si="8"/>
        <v>373</v>
      </c>
      <c r="L58" s="22">
        <f t="shared" si="9"/>
        <v>38</v>
      </c>
      <c r="M58" s="28">
        <f t="shared" si="10"/>
        <v>1234</v>
      </c>
      <c r="N58" s="24">
        <v>-2045</v>
      </c>
      <c r="O58" s="28">
        <f t="shared" si="3"/>
        <v>3279</v>
      </c>
      <c r="P58" s="22">
        <f t="shared" si="11"/>
        <v>253</v>
      </c>
      <c r="Q58" s="29"/>
      <c r="R58" s="30"/>
    </row>
    <row r="59" spans="1:18" x14ac:dyDescent="0.25">
      <c r="A59" s="21">
        <v>45835</v>
      </c>
      <c r="B59" s="26">
        <v>4</v>
      </c>
      <c r="C59" s="28">
        <f t="shared" si="4"/>
        <v>1120</v>
      </c>
      <c r="D59" s="24">
        <v>-973</v>
      </c>
      <c r="E59" s="25">
        <f t="shared" si="1"/>
        <v>2093</v>
      </c>
      <c r="F59" s="22">
        <f t="shared" si="5"/>
        <v>250</v>
      </c>
      <c r="G59" s="22">
        <f t="shared" si="6"/>
        <v>39</v>
      </c>
      <c r="H59" s="28">
        <f t="shared" si="7"/>
        <v>1046</v>
      </c>
      <c r="I59" s="27">
        <v>-1689</v>
      </c>
      <c r="J59" s="28">
        <f t="shared" si="2"/>
        <v>2735</v>
      </c>
      <c r="K59" s="22">
        <f t="shared" si="8"/>
        <v>374</v>
      </c>
      <c r="L59" s="22">
        <f t="shared" si="9"/>
        <v>39</v>
      </c>
      <c r="M59" s="28">
        <f t="shared" si="10"/>
        <v>1233</v>
      </c>
      <c r="N59" s="24">
        <v>-2046</v>
      </c>
      <c r="O59" s="28">
        <f t="shared" si="3"/>
        <v>3279</v>
      </c>
      <c r="P59" s="22">
        <f t="shared" si="11"/>
        <v>254</v>
      </c>
      <c r="Q59" s="29"/>
      <c r="R59" s="30"/>
    </row>
    <row r="60" spans="1:18" x14ac:dyDescent="0.25">
      <c r="A60" s="21">
        <v>45836</v>
      </c>
      <c r="B60" s="26">
        <v>4</v>
      </c>
      <c r="C60" s="28">
        <f t="shared" si="4"/>
        <v>1118</v>
      </c>
      <c r="D60" s="24">
        <v>-975</v>
      </c>
      <c r="E60" s="25">
        <f t="shared" si="1"/>
        <v>2093</v>
      </c>
      <c r="F60" s="22">
        <f t="shared" si="5"/>
        <v>252</v>
      </c>
      <c r="G60" s="22">
        <f t="shared" si="6"/>
        <v>40</v>
      </c>
      <c r="H60" s="28">
        <f t="shared" si="7"/>
        <v>1045</v>
      </c>
      <c r="I60" s="27">
        <v>-1690</v>
      </c>
      <c r="J60" s="28">
        <f t="shared" si="2"/>
        <v>2735</v>
      </c>
      <c r="K60" s="22">
        <f t="shared" si="8"/>
        <v>375</v>
      </c>
      <c r="L60" s="22">
        <f t="shared" si="9"/>
        <v>40</v>
      </c>
      <c r="M60" s="28">
        <f t="shared" si="10"/>
        <v>1232</v>
      </c>
      <c r="N60" s="24">
        <v>-2047</v>
      </c>
      <c r="O60" s="28">
        <f t="shared" si="3"/>
        <v>3279</v>
      </c>
      <c r="P60" s="22">
        <f t="shared" si="11"/>
        <v>255</v>
      </c>
      <c r="Q60" s="29"/>
      <c r="R60" s="30"/>
    </row>
    <row r="61" spans="1:18" x14ac:dyDescent="0.25">
      <c r="A61" s="21">
        <v>45837</v>
      </c>
      <c r="B61" s="26">
        <v>4</v>
      </c>
      <c r="C61" s="28">
        <f t="shared" si="4"/>
        <v>1116</v>
      </c>
      <c r="D61" s="24">
        <v>-977</v>
      </c>
      <c r="E61" s="25">
        <f t="shared" si="1"/>
        <v>2093</v>
      </c>
      <c r="F61" s="22">
        <f t="shared" si="5"/>
        <v>254</v>
      </c>
      <c r="G61" s="22">
        <f t="shared" si="6"/>
        <v>41</v>
      </c>
      <c r="H61" s="28">
        <f t="shared" si="7"/>
        <v>1044</v>
      </c>
      <c r="I61" s="27">
        <v>-1691</v>
      </c>
      <c r="J61" s="28">
        <f t="shared" si="2"/>
        <v>2735</v>
      </c>
      <c r="K61" s="22">
        <f t="shared" si="8"/>
        <v>376</v>
      </c>
      <c r="L61" s="22">
        <f t="shared" si="9"/>
        <v>41</v>
      </c>
      <c r="M61" s="28">
        <f t="shared" si="10"/>
        <v>1231</v>
      </c>
      <c r="N61" s="24">
        <v>-2048</v>
      </c>
      <c r="O61" s="28">
        <f t="shared" si="3"/>
        <v>3279</v>
      </c>
      <c r="P61" s="22">
        <f t="shared" si="11"/>
        <v>256</v>
      </c>
      <c r="Q61" s="29"/>
      <c r="R61" s="30"/>
    </row>
    <row r="62" spans="1:18" x14ac:dyDescent="0.25">
      <c r="A62" s="21">
        <v>45838</v>
      </c>
      <c r="B62" s="26">
        <v>4</v>
      </c>
      <c r="C62" s="28">
        <f t="shared" si="4"/>
        <v>1114</v>
      </c>
      <c r="D62" s="24">
        <v>-979</v>
      </c>
      <c r="E62" s="25">
        <f t="shared" si="1"/>
        <v>2093</v>
      </c>
      <c r="F62" s="22">
        <f t="shared" si="5"/>
        <v>256</v>
      </c>
      <c r="G62" s="22">
        <f t="shared" si="6"/>
        <v>42</v>
      </c>
      <c r="H62" s="28">
        <f t="shared" si="7"/>
        <v>1043</v>
      </c>
      <c r="I62" s="27">
        <v>-1692</v>
      </c>
      <c r="J62" s="28">
        <f t="shared" si="2"/>
        <v>2735</v>
      </c>
      <c r="K62" s="22">
        <f t="shared" si="8"/>
        <v>377</v>
      </c>
      <c r="L62" s="22">
        <f t="shared" si="9"/>
        <v>42</v>
      </c>
      <c r="M62" s="28">
        <f t="shared" si="10"/>
        <v>1230</v>
      </c>
      <c r="N62" s="24">
        <v>-2049</v>
      </c>
      <c r="O62" s="28">
        <f t="shared" si="3"/>
        <v>3279</v>
      </c>
      <c r="P62" s="22">
        <f t="shared" si="11"/>
        <v>257</v>
      </c>
      <c r="Q62" s="29"/>
      <c r="R62" s="30"/>
    </row>
    <row r="63" spans="1:18" x14ac:dyDescent="0.25">
      <c r="A63" s="21">
        <v>45839</v>
      </c>
      <c r="B63" s="26">
        <v>4</v>
      </c>
      <c r="C63" s="28">
        <f t="shared" si="4"/>
        <v>1112</v>
      </c>
      <c r="D63" s="24">
        <v>-981</v>
      </c>
      <c r="E63" s="25">
        <f t="shared" si="1"/>
        <v>2093</v>
      </c>
      <c r="F63" s="22">
        <f t="shared" si="5"/>
        <v>258</v>
      </c>
      <c r="G63" s="22">
        <f t="shared" si="6"/>
        <v>43</v>
      </c>
      <c r="H63" s="28">
        <f t="shared" si="7"/>
        <v>1042</v>
      </c>
      <c r="I63" s="27">
        <v>-1693</v>
      </c>
      <c r="J63" s="28">
        <f t="shared" si="2"/>
        <v>2735</v>
      </c>
      <c r="K63" s="22">
        <f t="shared" si="8"/>
        <v>378</v>
      </c>
      <c r="L63" s="22">
        <f t="shared" si="9"/>
        <v>43</v>
      </c>
      <c r="M63" s="28">
        <f t="shared" si="10"/>
        <v>1229</v>
      </c>
      <c r="N63" s="24">
        <v>-2050</v>
      </c>
      <c r="O63" s="28">
        <f t="shared" si="3"/>
        <v>3279</v>
      </c>
      <c r="P63" s="22">
        <f t="shared" si="11"/>
        <v>258</v>
      </c>
      <c r="Q63" s="29"/>
      <c r="R63" s="30"/>
    </row>
    <row r="64" spans="1:18" x14ac:dyDescent="0.25">
      <c r="A64" s="21">
        <v>45840</v>
      </c>
      <c r="B64" s="26">
        <v>4</v>
      </c>
      <c r="C64" s="28">
        <f t="shared" si="4"/>
        <v>1110</v>
      </c>
      <c r="D64" s="24">
        <v>-983</v>
      </c>
      <c r="E64" s="25">
        <f t="shared" si="1"/>
        <v>2093</v>
      </c>
      <c r="F64" s="22">
        <f t="shared" si="5"/>
        <v>260</v>
      </c>
      <c r="G64" s="22">
        <f t="shared" si="6"/>
        <v>44</v>
      </c>
      <c r="H64" s="28">
        <f t="shared" si="7"/>
        <v>1041</v>
      </c>
      <c r="I64" s="27">
        <v>-1694</v>
      </c>
      <c r="J64" s="28">
        <f t="shared" si="2"/>
        <v>2735</v>
      </c>
      <c r="K64" s="22">
        <f t="shared" si="8"/>
        <v>379</v>
      </c>
      <c r="L64" s="22">
        <f t="shared" si="9"/>
        <v>44</v>
      </c>
      <c r="M64" s="28">
        <f t="shared" si="10"/>
        <v>1228</v>
      </c>
      <c r="N64" s="24">
        <v>-2051</v>
      </c>
      <c r="O64" s="28">
        <f t="shared" si="3"/>
        <v>3279</v>
      </c>
      <c r="P64" s="22">
        <f t="shared" si="11"/>
        <v>259</v>
      </c>
      <c r="Q64" s="29"/>
      <c r="R64" s="30"/>
    </row>
    <row r="65" spans="1:18" x14ac:dyDescent="0.25">
      <c r="A65" s="21">
        <v>45841</v>
      </c>
      <c r="B65" s="26">
        <v>4</v>
      </c>
      <c r="C65" s="28">
        <f t="shared" si="4"/>
        <v>1108</v>
      </c>
      <c r="D65" s="24">
        <v>-985</v>
      </c>
      <c r="E65" s="25">
        <f t="shared" si="1"/>
        <v>2093</v>
      </c>
      <c r="F65" s="22">
        <f t="shared" si="5"/>
        <v>262</v>
      </c>
      <c r="G65" s="22">
        <f t="shared" si="6"/>
        <v>45</v>
      </c>
      <c r="H65" s="28">
        <f t="shared" si="7"/>
        <v>1040</v>
      </c>
      <c r="I65" s="27">
        <v>-1695</v>
      </c>
      <c r="J65" s="28">
        <f t="shared" si="2"/>
        <v>2735</v>
      </c>
      <c r="K65" s="22">
        <f t="shared" si="8"/>
        <v>380</v>
      </c>
      <c r="L65" s="22">
        <f t="shared" si="9"/>
        <v>45</v>
      </c>
      <c r="M65" s="28">
        <f t="shared" si="10"/>
        <v>1227</v>
      </c>
      <c r="N65" s="24">
        <v>-2052</v>
      </c>
      <c r="O65" s="28">
        <f t="shared" si="3"/>
        <v>3279</v>
      </c>
      <c r="P65" s="22">
        <f t="shared" si="11"/>
        <v>260</v>
      </c>
      <c r="Q65" s="29"/>
      <c r="R65" s="30"/>
    </row>
    <row r="66" spans="1:18" x14ac:dyDescent="0.25">
      <c r="A66" s="21">
        <v>45842</v>
      </c>
      <c r="B66" s="26">
        <v>4</v>
      </c>
      <c r="C66" s="28">
        <f t="shared" si="4"/>
        <v>1106</v>
      </c>
      <c r="D66" s="24">
        <v>-987</v>
      </c>
      <c r="E66" s="25">
        <f t="shared" si="1"/>
        <v>2093</v>
      </c>
      <c r="F66" s="22">
        <f t="shared" si="5"/>
        <v>264</v>
      </c>
      <c r="G66" s="22">
        <f t="shared" si="6"/>
        <v>46</v>
      </c>
      <c r="H66" s="28">
        <f t="shared" si="7"/>
        <v>1039</v>
      </c>
      <c r="I66" s="27">
        <v>-1696</v>
      </c>
      <c r="J66" s="28">
        <f t="shared" si="2"/>
        <v>2735</v>
      </c>
      <c r="K66" s="22">
        <f t="shared" si="8"/>
        <v>381</v>
      </c>
      <c r="L66" s="22">
        <f t="shared" si="9"/>
        <v>46</v>
      </c>
      <c r="M66" s="28">
        <f t="shared" si="10"/>
        <v>1226</v>
      </c>
      <c r="N66" s="24">
        <v>-2053</v>
      </c>
      <c r="O66" s="28">
        <f t="shared" si="3"/>
        <v>3279</v>
      </c>
      <c r="P66" s="22">
        <f t="shared" si="11"/>
        <v>261</v>
      </c>
      <c r="Q66" s="29"/>
      <c r="R66" s="30"/>
    </row>
    <row r="67" spans="1:18" x14ac:dyDescent="0.25">
      <c r="A67" s="21">
        <v>45843</v>
      </c>
      <c r="B67" s="26">
        <v>4</v>
      </c>
      <c r="C67" s="28">
        <f t="shared" si="4"/>
        <v>1104</v>
      </c>
      <c r="D67" s="24">
        <v>-989</v>
      </c>
      <c r="E67" s="25">
        <f t="shared" si="1"/>
        <v>2093</v>
      </c>
      <c r="F67" s="22">
        <f t="shared" si="5"/>
        <v>266</v>
      </c>
      <c r="G67" s="22">
        <f t="shared" si="6"/>
        <v>47</v>
      </c>
      <c r="H67" s="28">
        <f t="shared" si="7"/>
        <v>1038</v>
      </c>
      <c r="I67" s="27">
        <v>-1697</v>
      </c>
      <c r="J67" s="28">
        <f t="shared" si="2"/>
        <v>2735</v>
      </c>
      <c r="K67" s="22">
        <f t="shared" si="8"/>
        <v>382</v>
      </c>
      <c r="L67" s="22">
        <f t="shared" si="9"/>
        <v>47</v>
      </c>
      <c r="M67" s="28">
        <f t="shared" si="10"/>
        <v>1225</v>
      </c>
      <c r="N67" s="24">
        <v>-2054</v>
      </c>
      <c r="O67" s="28">
        <f t="shared" si="3"/>
        <v>3279</v>
      </c>
      <c r="P67" s="22">
        <f t="shared" si="11"/>
        <v>262</v>
      </c>
      <c r="Q67" s="29"/>
      <c r="R67" s="30"/>
    </row>
    <row r="68" spans="1:18" x14ac:dyDescent="0.25">
      <c r="A68" s="21">
        <v>45844</v>
      </c>
      <c r="B68" s="26">
        <v>4</v>
      </c>
      <c r="C68" s="28">
        <f t="shared" si="4"/>
        <v>1102</v>
      </c>
      <c r="D68" s="24">
        <v>-991</v>
      </c>
      <c r="E68" s="25">
        <f t="shared" si="1"/>
        <v>2093</v>
      </c>
      <c r="F68" s="22">
        <f t="shared" si="5"/>
        <v>268</v>
      </c>
      <c r="G68" s="22">
        <f t="shared" si="6"/>
        <v>48</v>
      </c>
      <c r="H68" s="28">
        <f t="shared" si="7"/>
        <v>1037</v>
      </c>
      <c r="I68" s="27">
        <v>-1698</v>
      </c>
      <c r="J68" s="28">
        <f t="shared" si="2"/>
        <v>2735</v>
      </c>
      <c r="K68" s="22">
        <f t="shared" si="8"/>
        <v>383</v>
      </c>
      <c r="L68" s="22">
        <f t="shared" si="9"/>
        <v>48</v>
      </c>
      <c r="M68" s="28">
        <f t="shared" si="10"/>
        <v>1224</v>
      </c>
      <c r="N68" s="24">
        <v>-2055</v>
      </c>
      <c r="O68" s="28">
        <f t="shared" si="3"/>
        <v>3279</v>
      </c>
      <c r="P68" s="22">
        <f t="shared" si="11"/>
        <v>263</v>
      </c>
      <c r="Q68" s="29"/>
      <c r="R68" s="30"/>
    </row>
    <row r="69" spans="1:18" x14ac:dyDescent="0.25">
      <c r="A69" s="21">
        <v>45845</v>
      </c>
      <c r="B69" s="26">
        <v>4</v>
      </c>
      <c r="C69" s="28">
        <f t="shared" si="4"/>
        <v>1100</v>
      </c>
      <c r="D69" s="24">
        <v>-993</v>
      </c>
      <c r="E69" s="25">
        <f t="shared" si="1"/>
        <v>2093</v>
      </c>
      <c r="F69" s="22">
        <f t="shared" si="5"/>
        <v>270</v>
      </c>
      <c r="G69" s="22">
        <f t="shared" si="6"/>
        <v>49</v>
      </c>
      <c r="H69" s="28">
        <f t="shared" si="7"/>
        <v>1036</v>
      </c>
      <c r="I69" s="27">
        <v>-1699</v>
      </c>
      <c r="J69" s="28">
        <f t="shared" si="2"/>
        <v>2735</v>
      </c>
      <c r="K69" s="22">
        <f t="shared" si="8"/>
        <v>384</v>
      </c>
      <c r="L69" s="22">
        <f t="shared" si="9"/>
        <v>49</v>
      </c>
      <c r="M69" s="28">
        <f t="shared" si="10"/>
        <v>1223</v>
      </c>
      <c r="N69" s="24">
        <v>-2056</v>
      </c>
      <c r="O69" s="28">
        <f t="shared" si="3"/>
        <v>3279</v>
      </c>
      <c r="P69" s="22">
        <f t="shared" si="11"/>
        <v>264</v>
      </c>
      <c r="Q69" s="29"/>
      <c r="R69" s="30"/>
    </row>
    <row r="70" spans="1:18" x14ac:dyDescent="0.25">
      <c r="A70" s="21">
        <v>45846</v>
      </c>
      <c r="B70" s="26">
        <v>4</v>
      </c>
      <c r="C70" s="28">
        <f t="shared" si="4"/>
        <v>1098</v>
      </c>
      <c r="D70" s="24">
        <v>-995</v>
      </c>
      <c r="E70" s="25">
        <f t="shared" si="1"/>
        <v>2093</v>
      </c>
      <c r="F70" s="22">
        <f t="shared" si="5"/>
        <v>272</v>
      </c>
      <c r="G70" s="22">
        <f t="shared" si="6"/>
        <v>50</v>
      </c>
      <c r="H70" s="28">
        <f t="shared" si="7"/>
        <v>1035</v>
      </c>
      <c r="I70" s="27">
        <v>-1700</v>
      </c>
      <c r="J70" s="28">
        <f t="shared" si="2"/>
        <v>2735</v>
      </c>
      <c r="K70" s="22">
        <f t="shared" si="8"/>
        <v>385</v>
      </c>
      <c r="L70" s="22">
        <f t="shared" si="9"/>
        <v>50</v>
      </c>
      <c r="M70" s="28">
        <f t="shared" si="10"/>
        <v>1222</v>
      </c>
      <c r="N70" s="24">
        <v>-2057</v>
      </c>
      <c r="O70" s="28">
        <f t="shared" si="3"/>
        <v>3279</v>
      </c>
      <c r="P70" s="22">
        <f t="shared" si="11"/>
        <v>265</v>
      </c>
      <c r="Q70" s="29"/>
      <c r="R70" s="30"/>
    </row>
    <row r="71" spans="1:18" x14ac:dyDescent="0.25">
      <c r="A71" s="21">
        <v>45847</v>
      </c>
      <c r="B71" s="26">
        <v>4</v>
      </c>
      <c r="C71" s="28">
        <f t="shared" si="4"/>
        <v>1096</v>
      </c>
      <c r="D71" s="24">
        <v>-997</v>
      </c>
      <c r="E71" s="25">
        <f t="shared" si="1"/>
        <v>2093</v>
      </c>
      <c r="F71" s="22">
        <f t="shared" si="5"/>
        <v>274</v>
      </c>
      <c r="G71" s="22">
        <f t="shared" si="6"/>
        <v>51</v>
      </c>
      <c r="H71" s="28">
        <f t="shared" si="7"/>
        <v>1034</v>
      </c>
      <c r="I71" s="27">
        <v>-1701</v>
      </c>
      <c r="J71" s="28">
        <f t="shared" si="2"/>
        <v>2735</v>
      </c>
      <c r="K71" s="22">
        <f t="shared" si="8"/>
        <v>386</v>
      </c>
      <c r="L71" s="22">
        <f t="shared" si="9"/>
        <v>51</v>
      </c>
      <c r="M71" s="28">
        <f t="shared" si="10"/>
        <v>1221</v>
      </c>
      <c r="N71" s="24">
        <v>-2058</v>
      </c>
      <c r="O71" s="28">
        <f t="shared" si="3"/>
        <v>3279</v>
      </c>
      <c r="P71" s="22">
        <f t="shared" si="11"/>
        <v>266</v>
      </c>
      <c r="Q71" s="29"/>
      <c r="R71" s="30"/>
    </row>
    <row r="72" spans="1:18" x14ac:dyDescent="0.25">
      <c r="A72" s="21">
        <v>45848</v>
      </c>
      <c r="B72" s="26">
        <v>4</v>
      </c>
      <c r="C72" s="28">
        <f t="shared" si="4"/>
        <v>1094</v>
      </c>
      <c r="D72" s="24">
        <v>-999</v>
      </c>
      <c r="E72" s="25">
        <f t="shared" si="1"/>
        <v>2093</v>
      </c>
      <c r="F72" s="22">
        <f t="shared" si="5"/>
        <v>276</v>
      </c>
      <c r="G72" s="22">
        <f t="shared" si="6"/>
        <v>52</v>
      </c>
      <c r="H72" s="28">
        <f t="shared" si="7"/>
        <v>1033</v>
      </c>
      <c r="I72" s="27">
        <v>-1702</v>
      </c>
      <c r="J72" s="28">
        <f t="shared" si="2"/>
        <v>2735</v>
      </c>
      <c r="K72" s="22">
        <f t="shared" si="8"/>
        <v>387</v>
      </c>
      <c r="L72" s="22">
        <f t="shared" si="9"/>
        <v>52</v>
      </c>
      <c r="M72" s="28">
        <f t="shared" si="10"/>
        <v>1220</v>
      </c>
      <c r="N72" s="24">
        <v>-2059</v>
      </c>
      <c r="O72" s="28">
        <f t="shared" si="3"/>
        <v>3279</v>
      </c>
      <c r="P72" s="22">
        <f t="shared" si="11"/>
        <v>267</v>
      </c>
      <c r="Q72" s="29"/>
      <c r="R72" s="30"/>
    </row>
    <row r="73" spans="1:18" x14ac:dyDescent="0.25">
      <c r="A73" s="21">
        <v>45849</v>
      </c>
      <c r="B73" s="26">
        <v>4</v>
      </c>
      <c r="C73" s="28">
        <f t="shared" si="4"/>
        <v>1093</v>
      </c>
      <c r="D73" s="24">
        <v>-1000</v>
      </c>
      <c r="E73" s="25">
        <f t="shared" si="1"/>
        <v>2093</v>
      </c>
      <c r="F73" s="22">
        <f t="shared" si="5"/>
        <v>277</v>
      </c>
      <c r="G73" s="22">
        <f t="shared" si="6"/>
        <v>53</v>
      </c>
      <c r="H73" s="28">
        <f t="shared" si="7"/>
        <v>1032</v>
      </c>
      <c r="I73" s="27">
        <v>-1703</v>
      </c>
      <c r="J73" s="28">
        <f t="shared" si="2"/>
        <v>2735</v>
      </c>
      <c r="K73" s="22">
        <f t="shared" si="8"/>
        <v>388</v>
      </c>
      <c r="L73" s="22">
        <f t="shared" si="9"/>
        <v>53</v>
      </c>
      <c r="M73" s="28">
        <f t="shared" si="10"/>
        <v>1219</v>
      </c>
      <c r="N73" s="24">
        <v>-2060</v>
      </c>
      <c r="O73" s="28">
        <f t="shared" si="3"/>
        <v>3279</v>
      </c>
      <c r="P73" s="22">
        <f t="shared" si="11"/>
        <v>268</v>
      </c>
      <c r="Q73" s="29"/>
      <c r="R73" s="30"/>
    </row>
    <row r="74" spans="1:18" x14ac:dyDescent="0.25">
      <c r="A74" s="21">
        <v>45850</v>
      </c>
      <c r="B74" s="26">
        <v>4</v>
      </c>
      <c r="C74" s="28">
        <f t="shared" si="4"/>
        <v>1091</v>
      </c>
      <c r="D74" s="24">
        <v>-1002</v>
      </c>
      <c r="E74" s="25">
        <f t="shared" si="1"/>
        <v>2093</v>
      </c>
      <c r="F74" s="22">
        <f t="shared" si="5"/>
        <v>279</v>
      </c>
      <c r="G74" s="22">
        <f t="shared" si="6"/>
        <v>54</v>
      </c>
      <c r="H74" s="28">
        <f t="shared" si="7"/>
        <v>1031</v>
      </c>
      <c r="I74" s="27">
        <v>-1704</v>
      </c>
      <c r="J74" s="28">
        <f t="shared" si="2"/>
        <v>2735</v>
      </c>
      <c r="K74" s="22">
        <f t="shared" si="8"/>
        <v>389</v>
      </c>
      <c r="L74" s="22">
        <f t="shared" si="9"/>
        <v>54</v>
      </c>
      <c r="M74" s="28">
        <f t="shared" si="10"/>
        <v>1218</v>
      </c>
      <c r="N74" s="24">
        <v>-2061</v>
      </c>
      <c r="O74" s="28">
        <f t="shared" si="3"/>
        <v>3279</v>
      </c>
      <c r="P74" s="22">
        <f t="shared" si="11"/>
        <v>269</v>
      </c>
      <c r="Q74" s="29"/>
      <c r="R74" s="30"/>
    </row>
    <row r="75" spans="1:18" x14ac:dyDescent="0.25">
      <c r="A75" s="21">
        <v>45851</v>
      </c>
      <c r="B75" s="26">
        <v>4</v>
      </c>
      <c r="C75" s="28">
        <f t="shared" si="4"/>
        <v>1089</v>
      </c>
      <c r="D75" s="24">
        <v>-1004</v>
      </c>
      <c r="E75" s="25">
        <f t="shared" si="1"/>
        <v>2093</v>
      </c>
      <c r="F75" s="22">
        <f t="shared" si="5"/>
        <v>281</v>
      </c>
      <c r="G75" s="22">
        <f t="shared" si="6"/>
        <v>55</v>
      </c>
      <c r="H75" s="28">
        <f t="shared" si="7"/>
        <v>1030</v>
      </c>
      <c r="I75" s="27">
        <v>-1705</v>
      </c>
      <c r="J75" s="28">
        <f t="shared" si="2"/>
        <v>2735</v>
      </c>
      <c r="K75" s="22">
        <f t="shared" si="8"/>
        <v>390</v>
      </c>
      <c r="L75" s="22">
        <f t="shared" si="9"/>
        <v>55</v>
      </c>
      <c r="M75" s="28">
        <f t="shared" si="10"/>
        <v>1217</v>
      </c>
      <c r="N75" s="24">
        <v>-2062</v>
      </c>
      <c r="O75" s="28">
        <f t="shared" si="3"/>
        <v>3279</v>
      </c>
      <c r="P75" s="22">
        <f t="shared" si="11"/>
        <v>270</v>
      </c>
      <c r="Q75" s="29"/>
      <c r="R75" s="30"/>
    </row>
    <row r="76" spans="1:18" x14ac:dyDescent="0.25">
      <c r="A76" s="21">
        <v>45852</v>
      </c>
      <c r="B76" s="26">
        <v>4</v>
      </c>
      <c r="C76" s="28">
        <f t="shared" si="4"/>
        <v>1087</v>
      </c>
      <c r="D76" s="24">
        <v>-1006</v>
      </c>
      <c r="E76" s="25">
        <f t="shared" si="1"/>
        <v>2093</v>
      </c>
      <c r="F76" s="22">
        <f t="shared" si="5"/>
        <v>283</v>
      </c>
      <c r="G76" s="22">
        <f t="shared" si="6"/>
        <v>56</v>
      </c>
      <c r="H76" s="28">
        <f t="shared" si="7"/>
        <v>1029</v>
      </c>
      <c r="I76" s="27">
        <v>-1706</v>
      </c>
      <c r="J76" s="28">
        <f t="shared" si="2"/>
        <v>2735</v>
      </c>
      <c r="K76" s="22">
        <f t="shared" si="8"/>
        <v>391</v>
      </c>
      <c r="L76" s="22">
        <f t="shared" si="9"/>
        <v>56</v>
      </c>
      <c r="M76" s="28">
        <f t="shared" si="10"/>
        <v>1216</v>
      </c>
      <c r="N76" s="24">
        <v>-2063</v>
      </c>
      <c r="O76" s="28">
        <f t="shared" si="3"/>
        <v>3279</v>
      </c>
      <c r="P76" s="22">
        <f t="shared" si="11"/>
        <v>271</v>
      </c>
      <c r="Q76" s="29"/>
      <c r="R76" s="30"/>
    </row>
    <row r="77" spans="1:18" x14ac:dyDescent="0.25">
      <c r="A77" s="21">
        <v>45853</v>
      </c>
      <c r="B77" s="26">
        <v>4</v>
      </c>
      <c r="C77" s="28">
        <f t="shared" si="4"/>
        <v>1085</v>
      </c>
      <c r="D77" s="24">
        <v>-1008</v>
      </c>
      <c r="E77" s="25">
        <f t="shared" si="1"/>
        <v>2093</v>
      </c>
      <c r="F77" s="22">
        <f t="shared" si="5"/>
        <v>285</v>
      </c>
      <c r="G77" s="22">
        <f t="shared" si="6"/>
        <v>57</v>
      </c>
      <c r="H77" s="28">
        <f t="shared" si="7"/>
        <v>1028</v>
      </c>
      <c r="I77" s="27">
        <v>-1707</v>
      </c>
      <c r="J77" s="28">
        <f t="shared" si="2"/>
        <v>2735</v>
      </c>
      <c r="K77" s="22">
        <f t="shared" si="8"/>
        <v>392</v>
      </c>
      <c r="L77" s="22">
        <f t="shared" si="9"/>
        <v>57</v>
      </c>
      <c r="M77" s="28">
        <f t="shared" si="10"/>
        <v>1215</v>
      </c>
      <c r="N77" s="24">
        <v>-2064</v>
      </c>
      <c r="O77" s="28">
        <f t="shared" si="3"/>
        <v>3279</v>
      </c>
      <c r="P77" s="22">
        <f t="shared" si="11"/>
        <v>272</v>
      </c>
      <c r="Q77" s="29"/>
      <c r="R77" s="30"/>
    </row>
    <row r="78" spans="1:18" x14ac:dyDescent="0.25">
      <c r="A78" s="21">
        <v>45854</v>
      </c>
      <c r="B78" s="26">
        <v>4</v>
      </c>
      <c r="C78" s="28">
        <f t="shared" si="4"/>
        <v>1083</v>
      </c>
      <c r="D78" s="24">
        <v>-1010</v>
      </c>
      <c r="E78" s="25">
        <f t="shared" si="1"/>
        <v>2093</v>
      </c>
      <c r="F78" s="22">
        <f t="shared" si="5"/>
        <v>287</v>
      </c>
      <c r="G78" s="22">
        <f t="shared" si="6"/>
        <v>58</v>
      </c>
      <c r="H78" s="28">
        <f t="shared" si="7"/>
        <v>1027</v>
      </c>
      <c r="I78" s="27">
        <v>-1708</v>
      </c>
      <c r="J78" s="28">
        <f t="shared" si="2"/>
        <v>2735</v>
      </c>
      <c r="K78" s="22">
        <f t="shared" si="8"/>
        <v>393</v>
      </c>
      <c r="L78" s="22">
        <f t="shared" si="9"/>
        <v>58</v>
      </c>
      <c r="M78" s="28">
        <f t="shared" si="10"/>
        <v>1214</v>
      </c>
      <c r="N78" s="24">
        <v>-2065</v>
      </c>
      <c r="O78" s="28">
        <f t="shared" si="3"/>
        <v>3279</v>
      </c>
      <c r="P78" s="22">
        <f t="shared" si="11"/>
        <v>273</v>
      </c>
      <c r="Q78" s="29"/>
      <c r="R78" s="30"/>
    </row>
    <row r="79" spans="1:18" x14ac:dyDescent="0.25">
      <c r="A79" s="21">
        <v>45855</v>
      </c>
      <c r="B79" s="26">
        <v>4</v>
      </c>
      <c r="C79" s="28">
        <f t="shared" si="4"/>
        <v>1081</v>
      </c>
      <c r="D79" s="24">
        <v>-1012</v>
      </c>
      <c r="E79" s="25">
        <f t="shared" si="1"/>
        <v>2093</v>
      </c>
      <c r="F79" s="22">
        <f t="shared" si="5"/>
        <v>289</v>
      </c>
      <c r="G79" s="22">
        <f t="shared" si="6"/>
        <v>59</v>
      </c>
      <c r="H79" s="28">
        <f t="shared" si="7"/>
        <v>1026</v>
      </c>
      <c r="I79" s="27">
        <v>-1709</v>
      </c>
      <c r="J79" s="28">
        <f t="shared" si="2"/>
        <v>2735</v>
      </c>
      <c r="K79" s="22">
        <f t="shared" si="8"/>
        <v>394</v>
      </c>
      <c r="L79" s="22">
        <f t="shared" si="9"/>
        <v>59</v>
      </c>
      <c r="M79" s="28">
        <f t="shared" si="10"/>
        <v>1213</v>
      </c>
      <c r="N79" s="24">
        <v>-2066</v>
      </c>
      <c r="O79" s="28">
        <f t="shared" si="3"/>
        <v>3279</v>
      </c>
      <c r="P79" s="22">
        <f t="shared" si="11"/>
        <v>274</v>
      </c>
      <c r="Q79" s="29"/>
      <c r="R79" s="30"/>
    </row>
    <row r="80" spans="1:18" x14ac:dyDescent="0.25">
      <c r="A80" s="21">
        <v>45856</v>
      </c>
      <c r="B80" s="26">
        <v>4</v>
      </c>
      <c r="C80" s="28">
        <f t="shared" si="4"/>
        <v>1079</v>
      </c>
      <c r="D80" s="24">
        <v>-1014</v>
      </c>
      <c r="E80" s="25">
        <f t="shared" si="1"/>
        <v>2093</v>
      </c>
      <c r="F80" s="22">
        <f t="shared" si="5"/>
        <v>291</v>
      </c>
      <c r="G80" s="22">
        <f t="shared" si="6"/>
        <v>60</v>
      </c>
      <c r="H80" s="28">
        <f t="shared" si="7"/>
        <v>1025</v>
      </c>
      <c r="I80" s="27">
        <v>-1710</v>
      </c>
      <c r="J80" s="28">
        <f t="shared" si="2"/>
        <v>2735</v>
      </c>
      <c r="K80" s="22">
        <f t="shared" si="8"/>
        <v>395</v>
      </c>
      <c r="L80" s="22">
        <f t="shared" si="9"/>
        <v>60</v>
      </c>
      <c r="M80" s="28">
        <f t="shared" si="10"/>
        <v>1207</v>
      </c>
      <c r="N80" s="24">
        <v>-2072</v>
      </c>
      <c r="O80" s="28">
        <f t="shared" si="3"/>
        <v>3279</v>
      </c>
      <c r="P80" s="22">
        <f t="shared" si="11"/>
        <v>280</v>
      </c>
      <c r="Q80" s="29"/>
      <c r="R80" s="30"/>
    </row>
    <row r="81" spans="1:18" x14ac:dyDescent="0.25">
      <c r="A81" s="21">
        <v>45857</v>
      </c>
      <c r="B81" s="26">
        <v>4</v>
      </c>
      <c r="C81" s="28">
        <f t="shared" si="4"/>
        <v>1077</v>
      </c>
      <c r="D81" s="24">
        <v>-1016</v>
      </c>
      <c r="E81" s="25">
        <f t="shared" si="1"/>
        <v>2093</v>
      </c>
      <c r="F81" s="22">
        <f t="shared" si="5"/>
        <v>293</v>
      </c>
      <c r="G81" s="22">
        <f t="shared" si="6"/>
        <v>61</v>
      </c>
      <c r="H81" s="28">
        <f t="shared" si="7"/>
        <v>1023</v>
      </c>
      <c r="I81" s="27">
        <v>-1712</v>
      </c>
      <c r="J81" s="28">
        <f t="shared" si="2"/>
        <v>2735</v>
      </c>
      <c r="K81" s="22">
        <f t="shared" si="8"/>
        <v>397</v>
      </c>
      <c r="L81" s="22">
        <f t="shared" si="9"/>
        <v>61</v>
      </c>
      <c r="M81" s="28">
        <f t="shared" si="10"/>
        <v>1204</v>
      </c>
      <c r="N81" s="24">
        <v>-2075</v>
      </c>
      <c r="O81" s="28">
        <f t="shared" si="3"/>
        <v>3279</v>
      </c>
      <c r="P81" s="22">
        <f t="shared" si="11"/>
        <v>283</v>
      </c>
      <c r="Q81" s="29"/>
      <c r="R81" s="30"/>
    </row>
    <row r="82" spans="1:18" x14ac:dyDescent="0.25">
      <c r="A82" s="21">
        <v>45858</v>
      </c>
      <c r="B82" s="26">
        <v>4</v>
      </c>
      <c r="C82" s="28">
        <f t="shared" si="4"/>
        <v>1075</v>
      </c>
      <c r="D82" s="24">
        <v>-1018</v>
      </c>
      <c r="E82" s="25">
        <f t="shared" si="1"/>
        <v>2093</v>
      </c>
      <c r="F82" s="22">
        <f t="shared" si="5"/>
        <v>295</v>
      </c>
      <c r="G82" s="22">
        <f t="shared" si="6"/>
        <v>62</v>
      </c>
      <c r="H82" s="28">
        <f t="shared" si="7"/>
        <v>1019</v>
      </c>
      <c r="I82" s="27">
        <v>-1716</v>
      </c>
      <c r="J82" s="28">
        <f t="shared" si="2"/>
        <v>2735</v>
      </c>
      <c r="K82" s="22">
        <f t="shared" si="8"/>
        <v>401</v>
      </c>
      <c r="L82" s="22">
        <f t="shared" si="9"/>
        <v>62</v>
      </c>
      <c r="M82" s="28">
        <f t="shared" si="10"/>
        <v>1201</v>
      </c>
      <c r="N82" s="24">
        <v>-2078</v>
      </c>
      <c r="O82" s="28">
        <f t="shared" si="3"/>
        <v>3279</v>
      </c>
      <c r="P82" s="22">
        <f t="shared" si="11"/>
        <v>286</v>
      </c>
      <c r="Q82" s="29"/>
      <c r="R82" s="30"/>
    </row>
    <row r="83" spans="1:18" x14ac:dyDescent="0.25">
      <c r="A83" s="21">
        <v>45859</v>
      </c>
      <c r="B83" s="26">
        <v>4</v>
      </c>
      <c r="C83" s="28">
        <f t="shared" si="4"/>
        <v>1073</v>
      </c>
      <c r="D83" s="24">
        <v>-1020</v>
      </c>
      <c r="E83" s="25">
        <f t="shared" si="1"/>
        <v>2093</v>
      </c>
      <c r="F83" s="22">
        <f t="shared" si="5"/>
        <v>297</v>
      </c>
      <c r="G83" s="22">
        <f t="shared" si="6"/>
        <v>63</v>
      </c>
      <c r="H83" s="28">
        <f t="shared" si="7"/>
        <v>1015</v>
      </c>
      <c r="I83" s="27">
        <v>-1720</v>
      </c>
      <c r="J83" s="28">
        <f t="shared" si="2"/>
        <v>2735</v>
      </c>
      <c r="K83" s="22">
        <f t="shared" si="8"/>
        <v>405</v>
      </c>
      <c r="L83" s="22">
        <f t="shared" si="9"/>
        <v>63</v>
      </c>
      <c r="M83" s="28">
        <f t="shared" si="10"/>
        <v>1198</v>
      </c>
      <c r="N83" s="24">
        <v>-2081</v>
      </c>
      <c r="O83" s="28">
        <f t="shared" si="3"/>
        <v>3279</v>
      </c>
      <c r="P83" s="22">
        <f t="shared" si="11"/>
        <v>289</v>
      </c>
      <c r="Q83" s="29"/>
      <c r="R83" s="30"/>
    </row>
    <row r="84" spans="1:18" x14ac:dyDescent="0.25">
      <c r="A84" s="21">
        <v>45860</v>
      </c>
      <c r="B84" s="26">
        <v>4</v>
      </c>
      <c r="C84" s="28">
        <f t="shared" si="4"/>
        <v>1071</v>
      </c>
      <c r="D84" s="24">
        <v>-1022</v>
      </c>
      <c r="E84" s="25">
        <f t="shared" si="1"/>
        <v>2093</v>
      </c>
      <c r="F84" s="22">
        <f t="shared" si="5"/>
        <v>299</v>
      </c>
      <c r="G84" s="22">
        <f t="shared" si="6"/>
        <v>64</v>
      </c>
      <c r="H84" s="28">
        <f t="shared" si="7"/>
        <v>1011</v>
      </c>
      <c r="I84" s="27">
        <v>-1724</v>
      </c>
      <c r="J84" s="28">
        <f t="shared" si="2"/>
        <v>2735</v>
      </c>
      <c r="K84" s="22">
        <f t="shared" si="8"/>
        <v>409</v>
      </c>
      <c r="L84" s="22">
        <f t="shared" si="9"/>
        <v>64</v>
      </c>
      <c r="M84" s="28">
        <f t="shared" si="10"/>
        <v>1195</v>
      </c>
      <c r="N84" s="24">
        <v>-2084</v>
      </c>
      <c r="O84" s="28">
        <f t="shared" si="3"/>
        <v>3279</v>
      </c>
      <c r="P84" s="22">
        <f t="shared" si="11"/>
        <v>292</v>
      </c>
      <c r="Q84" s="29"/>
      <c r="R84" s="30"/>
    </row>
    <row r="85" spans="1:18" x14ac:dyDescent="0.25">
      <c r="A85" s="21">
        <v>45861</v>
      </c>
      <c r="B85" s="26">
        <v>4</v>
      </c>
      <c r="C85" s="28">
        <f t="shared" si="4"/>
        <v>1069</v>
      </c>
      <c r="D85" s="24">
        <v>-1024</v>
      </c>
      <c r="E85" s="25">
        <f t="shared" si="1"/>
        <v>2093</v>
      </c>
      <c r="F85" s="22">
        <f t="shared" si="5"/>
        <v>301</v>
      </c>
      <c r="G85" s="22">
        <f t="shared" si="6"/>
        <v>65</v>
      </c>
      <c r="H85" s="28">
        <f t="shared" si="7"/>
        <v>1007</v>
      </c>
      <c r="I85" s="27">
        <v>-1728</v>
      </c>
      <c r="J85" s="28">
        <f t="shared" si="2"/>
        <v>2735</v>
      </c>
      <c r="K85" s="22">
        <f t="shared" si="8"/>
        <v>413</v>
      </c>
      <c r="L85" s="22">
        <f t="shared" si="9"/>
        <v>65</v>
      </c>
      <c r="M85" s="28">
        <f t="shared" si="10"/>
        <v>1192</v>
      </c>
      <c r="N85" s="24">
        <v>-2087</v>
      </c>
      <c r="O85" s="28">
        <f t="shared" si="3"/>
        <v>3279</v>
      </c>
      <c r="P85" s="22">
        <f t="shared" si="11"/>
        <v>295</v>
      </c>
      <c r="Q85" s="29"/>
      <c r="R85" s="30"/>
    </row>
    <row r="86" spans="1:18" x14ac:dyDescent="0.25">
      <c r="A86" s="21">
        <v>45862</v>
      </c>
      <c r="B86" s="26">
        <v>4</v>
      </c>
      <c r="C86" s="28">
        <f t="shared" si="4"/>
        <v>1067</v>
      </c>
      <c r="D86" s="24">
        <v>-1026</v>
      </c>
      <c r="E86" s="25">
        <f t="shared" si="1"/>
        <v>2093</v>
      </c>
      <c r="F86" s="22">
        <f t="shared" si="5"/>
        <v>303</v>
      </c>
      <c r="G86" s="22">
        <f t="shared" si="6"/>
        <v>66</v>
      </c>
      <c r="H86" s="28">
        <f t="shared" si="7"/>
        <v>1003</v>
      </c>
      <c r="I86" s="27">
        <v>-1732</v>
      </c>
      <c r="J86" s="28">
        <f t="shared" si="2"/>
        <v>2735</v>
      </c>
      <c r="K86" s="22">
        <f t="shared" si="8"/>
        <v>417</v>
      </c>
      <c r="L86" s="22">
        <f t="shared" si="9"/>
        <v>66</v>
      </c>
      <c r="M86" s="28">
        <f t="shared" si="10"/>
        <v>1189</v>
      </c>
      <c r="N86" s="24">
        <v>-2090</v>
      </c>
      <c r="O86" s="28">
        <f t="shared" si="3"/>
        <v>3279</v>
      </c>
      <c r="P86" s="22">
        <f t="shared" si="11"/>
        <v>298</v>
      </c>
      <c r="Q86" s="29"/>
      <c r="R86" s="30"/>
    </row>
    <row r="87" spans="1:18" x14ac:dyDescent="0.25">
      <c r="A87" s="21">
        <v>45863</v>
      </c>
      <c r="B87" s="26">
        <v>4</v>
      </c>
      <c r="C87" s="28">
        <f t="shared" si="4"/>
        <v>1065</v>
      </c>
      <c r="D87" s="24">
        <v>-1028</v>
      </c>
      <c r="E87" s="25">
        <f t="shared" si="1"/>
        <v>2093</v>
      </c>
      <c r="F87" s="22">
        <f t="shared" si="5"/>
        <v>305</v>
      </c>
      <c r="G87" s="22">
        <f t="shared" si="6"/>
        <v>67</v>
      </c>
      <c r="H87" s="28">
        <f t="shared" si="7"/>
        <v>999</v>
      </c>
      <c r="I87" s="27">
        <v>-1736</v>
      </c>
      <c r="J87" s="28">
        <f t="shared" si="2"/>
        <v>2735</v>
      </c>
      <c r="K87" s="22">
        <f t="shared" si="8"/>
        <v>421</v>
      </c>
      <c r="L87" s="22">
        <f t="shared" si="9"/>
        <v>67</v>
      </c>
      <c r="M87" s="28">
        <f t="shared" si="10"/>
        <v>1186</v>
      </c>
      <c r="N87" s="24">
        <v>-2093</v>
      </c>
      <c r="O87" s="28">
        <f t="shared" si="3"/>
        <v>3279</v>
      </c>
      <c r="P87" s="22">
        <f t="shared" si="11"/>
        <v>301</v>
      </c>
      <c r="Q87" s="29"/>
      <c r="R87" s="30"/>
    </row>
    <row r="88" spans="1:18" x14ac:dyDescent="0.25">
      <c r="A88" s="21">
        <v>45864</v>
      </c>
      <c r="B88" s="26">
        <v>4</v>
      </c>
      <c r="C88" s="28">
        <f t="shared" si="4"/>
        <v>1063</v>
      </c>
      <c r="D88" s="24">
        <v>-1030</v>
      </c>
      <c r="E88" s="25">
        <f t="shared" si="1"/>
        <v>2093</v>
      </c>
      <c r="F88" s="22">
        <f t="shared" si="5"/>
        <v>307</v>
      </c>
      <c r="G88" s="22">
        <f t="shared" si="6"/>
        <v>68</v>
      </c>
      <c r="H88" s="28">
        <f t="shared" si="7"/>
        <v>995</v>
      </c>
      <c r="I88" s="27">
        <v>-1740</v>
      </c>
      <c r="J88" s="28">
        <f t="shared" si="2"/>
        <v>2735</v>
      </c>
      <c r="K88" s="22">
        <f t="shared" si="8"/>
        <v>425</v>
      </c>
      <c r="L88" s="22">
        <f t="shared" si="9"/>
        <v>68</v>
      </c>
      <c r="M88" s="28">
        <f t="shared" si="10"/>
        <v>1183</v>
      </c>
      <c r="N88" s="24">
        <v>-2096</v>
      </c>
      <c r="O88" s="28">
        <f t="shared" si="3"/>
        <v>3279</v>
      </c>
      <c r="P88" s="22">
        <f t="shared" si="11"/>
        <v>304</v>
      </c>
      <c r="Q88" s="29"/>
      <c r="R88" s="30"/>
    </row>
    <row r="89" spans="1:18" x14ac:dyDescent="0.25">
      <c r="A89" s="21">
        <v>45865</v>
      </c>
      <c r="B89" s="26">
        <v>4</v>
      </c>
      <c r="C89" s="28">
        <f t="shared" si="4"/>
        <v>1061</v>
      </c>
      <c r="D89" s="24">
        <v>-1032</v>
      </c>
      <c r="E89" s="25">
        <f t="shared" si="1"/>
        <v>2093</v>
      </c>
      <c r="F89" s="22">
        <f t="shared" si="5"/>
        <v>309</v>
      </c>
      <c r="G89" s="22">
        <f t="shared" si="6"/>
        <v>69</v>
      </c>
      <c r="H89" s="28">
        <f t="shared" si="7"/>
        <v>991</v>
      </c>
      <c r="I89" s="27">
        <v>-1744</v>
      </c>
      <c r="J89" s="28">
        <f t="shared" si="2"/>
        <v>2735</v>
      </c>
      <c r="K89" s="22">
        <f t="shared" si="8"/>
        <v>429</v>
      </c>
      <c r="L89" s="22">
        <f t="shared" si="9"/>
        <v>69</v>
      </c>
      <c r="M89" s="28">
        <f t="shared" si="10"/>
        <v>1180</v>
      </c>
      <c r="N89" s="24">
        <v>-2099</v>
      </c>
      <c r="O89" s="28">
        <f t="shared" si="3"/>
        <v>3279</v>
      </c>
      <c r="P89" s="22">
        <f t="shared" si="11"/>
        <v>307</v>
      </c>
      <c r="Q89" s="29"/>
      <c r="R89" s="30"/>
    </row>
    <row r="90" spans="1:18" x14ac:dyDescent="0.25">
      <c r="A90" s="21"/>
      <c r="B90" s="26"/>
      <c r="C90" s="28"/>
      <c r="D90" s="24"/>
      <c r="E90" s="25"/>
      <c r="F90" s="22"/>
      <c r="G90" s="22"/>
      <c r="H90" s="28"/>
      <c r="I90" s="27"/>
      <c r="J90" s="28"/>
      <c r="K90" s="22"/>
      <c r="L90" s="22"/>
      <c r="M90" s="28"/>
      <c r="N90" s="24"/>
      <c r="O90" s="28"/>
      <c r="P90" s="22"/>
      <c r="Q90" s="29"/>
      <c r="R90" s="30"/>
    </row>
    <row r="91" spans="1:18" x14ac:dyDescent="0.25">
      <c r="A91" s="21"/>
      <c r="B91" s="26"/>
      <c r="C91" s="28"/>
      <c r="D91" s="24"/>
      <c r="E91" s="25"/>
      <c r="F91" s="22"/>
      <c r="G91" s="22"/>
      <c r="H91" s="28"/>
      <c r="I91" s="27"/>
      <c r="J91" s="28"/>
      <c r="K91" s="22"/>
      <c r="L91" s="22"/>
      <c r="M91" s="28"/>
      <c r="N91" s="24"/>
      <c r="O91" s="28"/>
      <c r="P91" s="22"/>
      <c r="Q91" s="29"/>
      <c r="R91" s="30"/>
    </row>
  </sheetData>
  <mergeCells count="63"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  <mergeCell ref="A1:R1"/>
    <mergeCell ref="A2:R2"/>
    <mergeCell ref="A3:R3"/>
    <mergeCell ref="A4:F4"/>
    <mergeCell ref="G4:L4"/>
    <mergeCell ref="M4:R4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91">
    <cfRule type="cellIs" dxfId="20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outlinePr summaryBelow="0" summaryRight="0"/>
  </sheetPr>
  <dimension ref="A1:R89"/>
  <sheetViews>
    <sheetView topLeftCell="A70" workbookViewId="0">
      <selection sqref="A1:R1"/>
    </sheetView>
  </sheetViews>
  <sheetFormatPr defaultColWidth="14.42578125" defaultRowHeight="15" customHeight="1" x14ac:dyDescent="0.2"/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(20/05/25)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68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69</v>
      </c>
      <c r="R16" s="112" t="s">
        <v>70</v>
      </c>
    </row>
    <row r="17" spans="1:18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x14ac:dyDescent="0.25">
      <c r="A21" s="21">
        <v>45797</v>
      </c>
      <c r="B21" s="22">
        <v>1</v>
      </c>
      <c r="C21" s="23">
        <v>1490</v>
      </c>
      <c r="D21" s="24">
        <v>-477</v>
      </c>
      <c r="E21" s="25">
        <f t="shared" ref="E21:E89" si="1">C21-D21</f>
        <v>1967</v>
      </c>
      <c r="F21" s="22">
        <v>0</v>
      </c>
      <c r="G21" s="22">
        <v>1</v>
      </c>
      <c r="H21" s="25">
        <v>1484</v>
      </c>
      <c r="I21" s="27">
        <v>-1004</v>
      </c>
      <c r="J21" s="28">
        <f t="shared" ref="J21:J89" si="2">H21-I21</f>
        <v>2488</v>
      </c>
      <c r="K21" s="22">
        <v>0</v>
      </c>
      <c r="L21" s="22">
        <v>1</v>
      </c>
      <c r="M21" s="23">
        <v>1592</v>
      </c>
      <c r="N21" s="24">
        <v>-578</v>
      </c>
      <c r="O21" s="28">
        <f t="shared" ref="O21:O89" si="3">M21-N21</f>
        <v>2170</v>
      </c>
      <c r="P21" s="22">
        <v>0</v>
      </c>
      <c r="Q21" s="29"/>
      <c r="R21" s="30"/>
    </row>
    <row r="22" spans="1:18" x14ac:dyDescent="0.25">
      <c r="A22" s="21">
        <v>45798</v>
      </c>
      <c r="B22" s="22">
        <v>1</v>
      </c>
      <c r="C22" s="28">
        <f t="shared" ref="C22:C89" si="4">$C$21-F22</f>
        <v>1488</v>
      </c>
      <c r="D22" s="24">
        <v>-479</v>
      </c>
      <c r="E22" s="25">
        <f t="shared" si="1"/>
        <v>1967</v>
      </c>
      <c r="F22" s="22">
        <f t="shared" ref="F22:F89" si="5">$D$21-D22</f>
        <v>2</v>
      </c>
      <c r="G22" s="22">
        <f t="shared" ref="G22:G89" si="6">G21+1</f>
        <v>2</v>
      </c>
      <c r="H22" s="28">
        <f t="shared" ref="H22:H89" si="7">$H$21-K22</f>
        <v>1476</v>
      </c>
      <c r="I22" s="27">
        <v>-1012</v>
      </c>
      <c r="J22" s="28">
        <f t="shared" si="2"/>
        <v>2488</v>
      </c>
      <c r="K22" s="22">
        <f t="shared" ref="K22:K89" si="8">$I$21-I22</f>
        <v>8</v>
      </c>
      <c r="L22" s="22">
        <f t="shared" ref="L22:L89" si="9">L21+1</f>
        <v>2</v>
      </c>
      <c r="M22" s="28">
        <f t="shared" ref="M22:M89" si="10">$M$21-P22</f>
        <v>1591</v>
      </c>
      <c r="N22" s="24">
        <v>-579</v>
      </c>
      <c r="O22" s="28">
        <f t="shared" si="3"/>
        <v>2170</v>
      </c>
      <c r="P22" s="22">
        <f t="shared" ref="P22:P89" si="11">$N$21-N22</f>
        <v>1</v>
      </c>
      <c r="Q22" s="29"/>
      <c r="R22" s="30"/>
    </row>
    <row r="23" spans="1:18" x14ac:dyDescent="0.25">
      <c r="A23" s="21">
        <v>45799</v>
      </c>
      <c r="B23" s="22">
        <v>1</v>
      </c>
      <c r="C23" s="28">
        <f t="shared" si="4"/>
        <v>1488</v>
      </c>
      <c r="D23" s="24">
        <v>-479</v>
      </c>
      <c r="E23" s="25">
        <f t="shared" si="1"/>
        <v>1967</v>
      </c>
      <c r="F23" s="22">
        <f t="shared" si="5"/>
        <v>2</v>
      </c>
      <c r="G23" s="22">
        <f t="shared" si="6"/>
        <v>3</v>
      </c>
      <c r="H23" s="28">
        <f t="shared" si="7"/>
        <v>1476</v>
      </c>
      <c r="I23" s="27">
        <v>-1012</v>
      </c>
      <c r="J23" s="28">
        <f t="shared" si="2"/>
        <v>2488</v>
      </c>
      <c r="K23" s="22">
        <f t="shared" si="8"/>
        <v>8</v>
      </c>
      <c r="L23" s="22">
        <f t="shared" si="9"/>
        <v>3</v>
      </c>
      <c r="M23" s="28">
        <f t="shared" si="10"/>
        <v>1591</v>
      </c>
      <c r="N23" s="24">
        <v>-579</v>
      </c>
      <c r="O23" s="28">
        <f t="shared" si="3"/>
        <v>2170</v>
      </c>
      <c r="P23" s="22">
        <f t="shared" si="11"/>
        <v>1</v>
      </c>
      <c r="Q23" s="29"/>
      <c r="R23" s="30"/>
    </row>
    <row r="24" spans="1:18" x14ac:dyDescent="0.25">
      <c r="A24" s="21">
        <v>45800</v>
      </c>
      <c r="B24" s="22">
        <v>1</v>
      </c>
      <c r="C24" s="28">
        <f t="shared" si="4"/>
        <v>1488</v>
      </c>
      <c r="D24" s="24">
        <v>-479</v>
      </c>
      <c r="E24" s="25">
        <f t="shared" si="1"/>
        <v>1967</v>
      </c>
      <c r="F24" s="22">
        <f t="shared" si="5"/>
        <v>2</v>
      </c>
      <c r="G24" s="22">
        <f t="shared" si="6"/>
        <v>4</v>
      </c>
      <c r="H24" s="28">
        <f t="shared" si="7"/>
        <v>1476</v>
      </c>
      <c r="I24" s="27">
        <v>-1012</v>
      </c>
      <c r="J24" s="28">
        <f t="shared" si="2"/>
        <v>2488</v>
      </c>
      <c r="K24" s="22">
        <f t="shared" si="8"/>
        <v>8</v>
      </c>
      <c r="L24" s="22">
        <f t="shared" si="9"/>
        <v>4</v>
      </c>
      <c r="M24" s="28">
        <f t="shared" si="10"/>
        <v>1591</v>
      </c>
      <c r="N24" s="24">
        <v>-579</v>
      </c>
      <c r="O24" s="28">
        <f t="shared" si="3"/>
        <v>2170</v>
      </c>
      <c r="P24" s="22">
        <f t="shared" si="11"/>
        <v>1</v>
      </c>
      <c r="Q24" s="29"/>
      <c r="R24" s="30"/>
    </row>
    <row r="25" spans="1:18" x14ac:dyDescent="0.25">
      <c r="A25" s="21">
        <v>45801</v>
      </c>
      <c r="B25" s="22">
        <v>1</v>
      </c>
      <c r="C25" s="28">
        <f t="shared" si="4"/>
        <v>1488</v>
      </c>
      <c r="D25" s="24">
        <v>-479</v>
      </c>
      <c r="E25" s="25">
        <f t="shared" si="1"/>
        <v>1967</v>
      </c>
      <c r="F25" s="22">
        <f t="shared" si="5"/>
        <v>2</v>
      </c>
      <c r="G25" s="22">
        <f t="shared" si="6"/>
        <v>5</v>
      </c>
      <c r="H25" s="28">
        <f t="shared" si="7"/>
        <v>1476</v>
      </c>
      <c r="I25" s="27">
        <v>-1012</v>
      </c>
      <c r="J25" s="28">
        <f t="shared" si="2"/>
        <v>2488</v>
      </c>
      <c r="K25" s="22">
        <f t="shared" si="8"/>
        <v>8</v>
      </c>
      <c r="L25" s="22">
        <f t="shared" si="9"/>
        <v>5</v>
      </c>
      <c r="M25" s="28">
        <f t="shared" si="10"/>
        <v>1591</v>
      </c>
      <c r="N25" s="24">
        <v>-579</v>
      </c>
      <c r="O25" s="28">
        <f t="shared" si="3"/>
        <v>2170</v>
      </c>
      <c r="P25" s="22">
        <f t="shared" si="11"/>
        <v>1</v>
      </c>
      <c r="Q25" s="29"/>
      <c r="R25" s="30"/>
    </row>
    <row r="26" spans="1:18" x14ac:dyDescent="0.25">
      <c r="A26" s="21">
        <v>45802</v>
      </c>
      <c r="B26" s="22">
        <v>1</v>
      </c>
      <c r="C26" s="28">
        <f t="shared" si="4"/>
        <v>1488</v>
      </c>
      <c r="D26" s="24">
        <v>-479</v>
      </c>
      <c r="E26" s="25">
        <f t="shared" si="1"/>
        <v>1967</v>
      </c>
      <c r="F26" s="22">
        <f t="shared" si="5"/>
        <v>2</v>
      </c>
      <c r="G26" s="22">
        <f t="shared" si="6"/>
        <v>6</v>
      </c>
      <c r="H26" s="28">
        <f t="shared" si="7"/>
        <v>1476</v>
      </c>
      <c r="I26" s="27">
        <v>-1012</v>
      </c>
      <c r="J26" s="28">
        <f t="shared" si="2"/>
        <v>2488</v>
      </c>
      <c r="K26" s="22">
        <f t="shared" si="8"/>
        <v>8</v>
      </c>
      <c r="L26" s="22">
        <f t="shared" si="9"/>
        <v>6</v>
      </c>
      <c r="M26" s="28">
        <f t="shared" si="10"/>
        <v>1591</v>
      </c>
      <c r="N26" s="24">
        <v>-579</v>
      </c>
      <c r="O26" s="28">
        <f t="shared" si="3"/>
        <v>2170</v>
      </c>
      <c r="P26" s="22">
        <f t="shared" si="11"/>
        <v>1</v>
      </c>
      <c r="Q26" s="29"/>
      <c r="R26" s="30"/>
    </row>
    <row r="27" spans="1:18" x14ac:dyDescent="0.25">
      <c r="A27" s="21">
        <v>45803</v>
      </c>
      <c r="B27" s="22">
        <v>1</v>
      </c>
      <c r="C27" s="28">
        <f t="shared" si="4"/>
        <v>1488</v>
      </c>
      <c r="D27" s="24">
        <v>-479</v>
      </c>
      <c r="E27" s="25">
        <f t="shared" si="1"/>
        <v>1967</v>
      </c>
      <c r="F27" s="22">
        <f t="shared" si="5"/>
        <v>2</v>
      </c>
      <c r="G27" s="22">
        <f t="shared" si="6"/>
        <v>7</v>
      </c>
      <c r="H27" s="28">
        <f t="shared" si="7"/>
        <v>1476</v>
      </c>
      <c r="I27" s="27">
        <v>-1012</v>
      </c>
      <c r="J27" s="28">
        <f t="shared" si="2"/>
        <v>2488</v>
      </c>
      <c r="K27" s="22">
        <f t="shared" si="8"/>
        <v>8</v>
      </c>
      <c r="L27" s="22">
        <f t="shared" si="9"/>
        <v>7</v>
      </c>
      <c r="M27" s="28">
        <f t="shared" si="10"/>
        <v>1591</v>
      </c>
      <c r="N27" s="24">
        <v>-579</v>
      </c>
      <c r="O27" s="28">
        <f t="shared" si="3"/>
        <v>2170</v>
      </c>
      <c r="P27" s="22">
        <f t="shared" si="11"/>
        <v>1</v>
      </c>
      <c r="Q27" s="29"/>
      <c r="R27" s="30"/>
    </row>
    <row r="28" spans="1:18" x14ac:dyDescent="0.25">
      <c r="A28" s="21">
        <v>45804</v>
      </c>
      <c r="B28" s="22">
        <v>1</v>
      </c>
      <c r="C28" s="28">
        <f t="shared" si="4"/>
        <v>1488</v>
      </c>
      <c r="D28" s="24">
        <v>-479</v>
      </c>
      <c r="E28" s="25">
        <f t="shared" si="1"/>
        <v>1967</v>
      </c>
      <c r="F28" s="22">
        <f t="shared" si="5"/>
        <v>2</v>
      </c>
      <c r="G28" s="22">
        <f t="shared" si="6"/>
        <v>8</v>
      </c>
      <c r="H28" s="28">
        <f t="shared" si="7"/>
        <v>1476</v>
      </c>
      <c r="I28" s="27">
        <v>-1012</v>
      </c>
      <c r="J28" s="28">
        <f t="shared" si="2"/>
        <v>2488</v>
      </c>
      <c r="K28" s="22">
        <f t="shared" si="8"/>
        <v>8</v>
      </c>
      <c r="L28" s="22">
        <f t="shared" si="9"/>
        <v>8</v>
      </c>
      <c r="M28" s="28">
        <f t="shared" si="10"/>
        <v>1591</v>
      </c>
      <c r="N28" s="24">
        <v>-579</v>
      </c>
      <c r="O28" s="28">
        <f t="shared" si="3"/>
        <v>2170</v>
      </c>
      <c r="P28" s="22">
        <f t="shared" si="11"/>
        <v>1</v>
      </c>
      <c r="Q28" s="29"/>
      <c r="R28" s="30"/>
    </row>
    <row r="29" spans="1:18" x14ac:dyDescent="0.25">
      <c r="A29" s="21">
        <v>45805</v>
      </c>
      <c r="B29" s="22">
        <v>1</v>
      </c>
      <c r="C29" s="28">
        <f t="shared" si="4"/>
        <v>1488</v>
      </c>
      <c r="D29" s="24">
        <v>-479</v>
      </c>
      <c r="E29" s="25">
        <f t="shared" si="1"/>
        <v>1967</v>
      </c>
      <c r="F29" s="22">
        <f t="shared" si="5"/>
        <v>2</v>
      </c>
      <c r="G29" s="22">
        <f t="shared" si="6"/>
        <v>9</v>
      </c>
      <c r="H29" s="28">
        <f t="shared" si="7"/>
        <v>1476</v>
      </c>
      <c r="I29" s="27">
        <v>-1012</v>
      </c>
      <c r="J29" s="28">
        <f t="shared" si="2"/>
        <v>2488</v>
      </c>
      <c r="K29" s="22">
        <f t="shared" si="8"/>
        <v>8</v>
      </c>
      <c r="L29" s="22">
        <f t="shared" si="9"/>
        <v>9</v>
      </c>
      <c r="M29" s="28">
        <f t="shared" si="10"/>
        <v>1591</v>
      </c>
      <c r="N29" s="24">
        <v>-579</v>
      </c>
      <c r="O29" s="28">
        <f t="shared" si="3"/>
        <v>2170</v>
      </c>
      <c r="P29" s="22">
        <f t="shared" si="11"/>
        <v>1</v>
      </c>
      <c r="Q29" s="29"/>
      <c r="R29" s="30"/>
    </row>
    <row r="30" spans="1:18" x14ac:dyDescent="0.25">
      <c r="A30" s="21">
        <v>45806</v>
      </c>
      <c r="B30" s="22">
        <v>1</v>
      </c>
      <c r="C30" s="28">
        <f t="shared" si="4"/>
        <v>1488</v>
      </c>
      <c r="D30" s="24">
        <v>-479</v>
      </c>
      <c r="E30" s="25">
        <f t="shared" si="1"/>
        <v>1967</v>
      </c>
      <c r="F30" s="22">
        <f t="shared" si="5"/>
        <v>2</v>
      </c>
      <c r="G30" s="22">
        <f t="shared" si="6"/>
        <v>10</v>
      </c>
      <c r="H30" s="28">
        <f t="shared" si="7"/>
        <v>1476</v>
      </c>
      <c r="I30" s="27">
        <v>-1012</v>
      </c>
      <c r="J30" s="28">
        <f t="shared" si="2"/>
        <v>2488</v>
      </c>
      <c r="K30" s="22">
        <f t="shared" si="8"/>
        <v>8</v>
      </c>
      <c r="L30" s="22">
        <f t="shared" si="9"/>
        <v>10</v>
      </c>
      <c r="M30" s="28">
        <f t="shared" si="10"/>
        <v>1591</v>
      </c>
      <c r="N30" s="24">
        <v>-579</v>
      </c>
      <c r="O30" s="28">
        <f t="shared" si="3"/>
        <v>2170</v>
      </c>
      <c r="P30" s="22">
        <f t="shared" si="11"/>
        <v>1</v>
      </c>
      <c r="Q30" s="29"/>
      <c r="R30" s="30"/>
    </row>
    <row r="31" spans="1:18" x14ac:dyDescent="0.25">
      <c r="A31" s="21">
        <v>45807</v>
      </c>
      <c r="B31" s="22">
        <v>1</v>
      </c>
      <c r="C31" s="28">
        <f t="shared" si="4"/>
        <v>1488</v>
      </c>
      <c r="D31" s="24">
        <v>-479</v>
      </c>
      <c r="E31" s="25">
        <f t="shared" si="1"/>
        <v>1967</v>
      </c>
      <c r="F31" s="22">
        <f t="shared" si="5"/>
        <v>2</v>
      </c>
      <c r="G31" s="22">
        <f t="shared" si="6"/>
        <v>11</v>
      </c>
      <c r="H31" s="28">
        <f t="shared" si="7"/>
        <v>1476</v>
      </c>
      <c r="I31" s="27">
        <v>-1012</v>
      </c>
      <c r="J31" s="28">
        <f t="shared" si="2"/>
        <v>2488</v>
      </c>
      <c r="K31" s="22">
        <f t="shared" si="8"/>
        <v>8</v>
      </c>
      <c r="L31" s="22">
        <f t="shared" si="9"/>
        <v>11</v>
      </c>
      <c r="M31" s="28">
        <f t="shared" si="10"/>
        <v>1591</v>
      </c>
      <c r="N31" s="24">
        <v>-579</v>
      </c>
      <c r="O31" s="28">
        <f t="shared" si="3"/>
        <v>2170</v>
      </c>
      <c r="P31" s="22">
        <f t="shared" si="11"/>
        <v>1</v>
      </c>
      <c r="Q31" s="29"/>
      <c r="R31" s="30"/>
    </row>
    <row r="32" spans="1:18" x14ac:dyDescent="0.25">
      <c r="A32" s="21">
        <v>45808</v>
      </c>
      <c r="B32" s="22">
        <v>1</v>
      </c>
      <c r="C32" s="28">
        <f t="shared" si="4"/>
        <v>1488</v>
      </c>
      <c r="D32" s="24">
        <v>-479</v>
      </c>
      <c r="E32" s="25">
        <f t="shared" si="1"/>
        <v>1967</v>
      </c>
      <c r="F32" s="22">
        <f t="shared" si="5"/>
        <v>2</v>
      </c>
      <c r="G32" s="22">
        <f t="shared" si="6"/>
        <v>12</v>
      </c>
      <c r="H32" s="28">
        <f t="shared" si="7"/>
        <v>1476</v>
      </c>
      <c r="I32" s="27">
        <v>-1012</v>
      </c>
      <c r="J32" s="28">
        <f t="shared" si="2"/>
        <v>2488</v>
      </c>
      <c r="K32" s="22">
        <f t="shared" si="8"/>
        <v>8</v>
      </c>
      <c r="L32" s="22">
        <f t="shared" si="9"/>
        <v>12</v>
      </c>
      <c r="M32" s="28">
        <f t="shared" si="10"/>
        <v>1591</v>
      </c>
      <c r="N32" s="24">
        <v>-579</v>
      </c>
      <c r="O32" s="28">
        <f t="shared" si="3"/>
        <v>2170</v>
      </c>
      <c r="P32" s="22">
        <f t="shared" si="11"/>
        <v>1</v>
      </c>
      <c r="Q32" s="29"/>
      <c r="R32" s="30"/>
    </row>
    <row r="33" spans="1:18" x14ac:dyDescent="0.25">
      <c r="A33" s="21">
        <v>45809</v>
      </c>
      <c r="B33" s="22">
        <v>1</v>
      </c>
      <c r="C33" s="28">
        <f t="shared" si="4"/>
        <v>1488</v>
      </c>
      <c r="D33" s="24">
        <v>-479</v>
      </c>
      <c r="E33" s="25">
        <f t="shared" si="1"/>
        <v>1967</v>
      </c>
      <c r="F33" s="22">
        <f t="shared" si="5"/>
        <v>2</v>
      </c>
      <c r="G33" s="22">
        <f t="shared" si="6"/>
        <v>13</v>
      </c>
      <c r="H33" s="28">
        <f t="shared" si="7"/>
        <v>1476</v>
      </c>
      <c r="I33" s="27">
        <v>-1012</v>
      </c>
      <c r="J33" s="28">
        <f t="shared" si="2"/>
        <v>2488</v>
      </c>
      <c r="K33" s="22">
        <f t="shared" si="8"/>
        <v>8</v>
      </c>
      <c r="L33" s="22">
        <f t="shared" si="9"/>
        <v>13</v>
      </c>
      <c r="M33" s="28">
        <f t="shared" si="10"/>
        <v>1591</v>
      </c>
      <c r="N33" s="24">
        <v>-579</v>
      </c>
      <c r="O33" s="28">
        <f t="shared" si="3"/>
        <v>2170</v>
      </c>
      <c r="P33" s="22">
        <f t="shared" si="11"/>
        <v>1</v>
      </c>
      <c r="Q33" s="29"/>
      <c r="R33" s="30"/>
    </row>
    <row r="34" spans="1:18" x14ac:dyDescent="0.25">
      <c r="A34" s="21">
        <v>45810</v>
      </c>
      <c r="B34" s="22">
        <v>1</v>
      </c>
      <c r="C34" s="28">
        <f t="shared" si="4"/>
        <v>1488</v>
      </c>
      <c r="D34" s="24">
        <v>-479</v>
      </c>
      <c r="E34" s="25">
        <f t="shared" si="1"/>
        <v>1967</v>
      </c>
      <c r="F34" s="22">
        <f t="shared" si="5"/>
        <v>2</v>
      </c>
      <c r="G34" s="22">
        <f t="shared" si="6"/>
        <v>14</v>
      </c>
      <c r="H34" s="28">
        <f t="shared" si="7"/>
        <v>1476</v>
      </c>
      <c r="I34" s="27">
        <v>-1012</v>
      </c>
      <c r="J34" s="28">
        <f t="shared" si="2"/>
        <v>2488</v>
      </c>
      <c r="K34" s="22">
        <f t="shared" si="8"/>
        <v>8</v>
      </c>
      <c r="L34" s="22">
        <f t="shared" si="9"/>
        <v>14</v>
      </c>
      <c r="M34" s="28">
        <f t="shared" si="10"/>
        <v>1591</v>
      </c>
      <c r="N34" s="24">
        <v>-579</v>
      </c>
      <c r="O34" s="28">
        <f t="shared" si="3"/>
        <v>2170</v>
      </c>
      <c r="P34" s="22">
        <f t="shared" si="11"/>
        <v>1</v>
      </c>
      <c r="Q34" s="29"/>
      <c r="R34" s="30"/>
    </row>
    <row r="35" spans="1:18" x14ac:dyDescent="0.25">
      <c r="A35" s="21">
        <v>45811</v>
      </c>
      <c r="B35" s="22">
        <v>1</v>
      </c>
      <c r="C35" s="28">
        <f t="shared" si="4"/>
        <v>1488</v>
      </c>
      <c r="D35" s="24">
        <v>-479</v>
      </c>
      <c r="E35" s="25">
        <f t="shared" si="1"/>
        <v>1967</v>
      </c>
      <c r="F35" s="22">
        <f t="shared" si="5"/>
        <v>2</v>
      </c>
      <c r="G35" s="22">
        <f t="shared" si="6"/>
        <v>15</v>
      </c>
      <c r="H35" s="28">
        <f t="shared" si="7"/>
        <v>1476</v>
      </c>
      <c r="I35" s="27">
        <v>-1012</v>
      </c>
      <c r="J35" s="28">
        <f t="shared" si="2"/>
        <v>2488</v>
      </c>
      <c r="K35" s="22">
        <f t="shared" si="8"/>
        <v>8</v>
      </c>
      <c r="L35" s="22">
        <f t="shared" si="9"/>
        <v>15</v>
      </c>
      <c r="M35" s="28">
        <f t="shared" si="10"/>
        <v>1591</v>
      </c>
      <c r="N35" s="24">
        <v>-579</v>
      </c>
      <c r="O35" s="28">
        <f t="shared" si="3"/>
        <v>2170</v>
      </c>
      <c r="P35" s="22">
        <f t="shared" si="11"/>
        <v>1</v>
      </c>
      <c r="Q35" s="29"/>
      <c r="R35" s="30"/>
    </row>
    <row r="36" spans="1:18" x14ac:dyDescent="0.25">
      <c r="A36" s="21">
        <v>45812</v>
      </c>
      <c r="B36" s="22">
        <v>1</v>
      </c>
      <c r="C36" s="28">
        <f t="shared" si="4"/>
        <v>1488</v>
      </c>
      <c r="D36" s="24">
        <v>-479</v>
      </c>
      <c r="E36" s="25">
        <f t="shared" si="1"/>
        <v>1967</v>
      </c>
      <c r="F36" s="22">
        <f t="shared" si="5"/>
        <v>2</v>
      </c>
      <c r="G36" s="22">
        <f t="shared" si="6"/>
        <v>16</v>
      </c>
      <c r="H36" s="28">
        <f t="shared" si="7"/>
        <v>1476</v>
      </c>
      <c r="I36" s="27">
        <v>-1012</v>
      </c>
      <c r="J36" s="28">
        <f t="shared" si="2"/>
        <v>2488</v>
      </c>
      <c r="K36" s="22">
        <f t="shared" si="8"/>
        <v>8</v>
      </c>
      <c r="L36" s="22">
        <f t="shared" si="9"/>
        <v>16</v>
      </c>
      <c r="M36" s="28">
        <f t="shared" si="10"/>
        <v>1591</v>
      </c>
      <c r="N36" s="24">
        <v>-579</v>
      </c>
      <c r="O36" s="28">
        <f t="shared" si="3"/>
        <v>2170</v>
      </c>
      <c r="P36" s="22">
        <f t="shared" si="11"/>
        <v>1</v>
      </c>
      <c r="Q36" s="29"/>
      <c r="R36" s="30"/>
    </row>
    <row r="37" spans="1:18" x14ac:dyDescent="0.25">
      <c r="A37" s="21">
        <v>45813</v>
      </c>
      <c r="B37" s="22">
        <v>1</v>
      </c>
      <c r="C37" s="28">
        <f t="shared" si="4"/>
        <v>1488</v>
      </c>
      <c r="D37" s="24">
        <v>-479</v>
      </c>
      <c r="E37" s="25">
        <f t="shared" si="1"/>
        <v>1967</v>
      </c>
      <c r="F37" s="22">
        <f t="shared" si="5"/>
        <v>2</v>
      </c>
      <c r="G37" s="22">
        <f t="shared" si="6"/>
        <v>17</v>
      </c>
      <c r="H37" s="28">
        <f t="shared" si="7"/>
        <v>1453</v>
      </c>
      <c r="I37" s="27">
        <v>-1035</v>
      </c>
      <c r="J37" s="28">
        <f t="shared" si="2"/>
        <v>2488</v>
      </c>
      <c r="K37" s="22">
        <f t="shared" si="8"/>
        <v>31</v>
      </c>
      <c r="L37" s="22">
        <f t="shared" si="9"/>
        <v>17</v>
      </c>
      <c r="M37" s="28">
        <f t="shared" si="10"/>
        <v>1591</v>
      </c>
      <c r="N37" s="24">
        <v>-579</v>
      </c>
      <c r="O37" s="28">
        <f t="shared" si="3"/>
        <v>2170</v>
      </c>
      <c r="P37" s="22">
        <f t="shared" si="11"/>
        <v>1</v>
      </c>
      <c r="Q37" s="29"/>
      <c r="R37" s="30"/>
    </row>
    <row r="38" spans="1:18" x14ac:dyDescent="0.25">
      <c r="A38" s="21">
        <v>45814</v>
      </c>
      <c r="B38" s="22">
        <v>1</v>
      </c>
      <c r="C38" s="28">
        <f t="shared" si="4"/>
        <v>1479</v>
      </c>
      <c r="D38" s="24">
        <v>-488</v>
      </c>
      <c r="E38" s="25">
        <f t="shared" si="1"/>
        <v>1967</v>
      </c>
      <c r="F38" s="22">
        <f t="shared" si="5"/>
        <v>11</v>
      </c>
      <c r="G38" s="22">
        <f t="shared" si="6"/>
        <v>18</v>
      </c>
      <c r="H38" s="28">
        <f t="shared" si="7"/>
        <v>1432</v>
      </c>
      <c r="I38" s="27">
        <v>-1056</v>
      </c>
      <c r="J38" s="28">
        <f t="shared" si="2"/>
        <v>2488</v>
      </c>
      <c r="K38" s="22">
        <f t="shared" si="8"/>
        <v>52</v>
      </c>
      <c r="L38" s="22">
        <f t="shared" si="9"/>
        <v>18</v>
      </c>
      <c r="M38" s="28">
        <f t="shared" si="10"/>
        <v>1590</v>
      </c>
      <c r="N38" s="24">
        <v>-580</v>
      </c>
      <c r="O38" s="28">
        <f t="shared" si="3"/>
        <v>2170</v>
      </c>
      <c r="P38" s="22">
        <f t="shared" si="11"/>
        <v>2</v>
      </c>
      <c r="Q38" s="29"/>
      <c r="R38" s="30"/>
    </row>
    <row r="39" spans="1:18" x14ac:dyDescent="0.25">
      <c r="A39" s="21">
        <v>45815</v>
      </c>
      <c r="B39" s="22">
        <v>1</v>
      </c>
      <c r="C39" s="28">
        <f t="shared" si="4"/>
        <v>1459</v>
      </c>
      <c r="D39" s="24">
        <v>-508</v>
      </c>
      <c r="E39" s="25">
        <f t="shared" si="1"/>
        <v>1967</v>
      </c>
      <c r="F39" s="22">
        <f t="shared" si="5"/>
        <v>31</v>
      </c>
      <c r="G39" s="22">
        <f t="shared" si="6"/>
        <v>19</v>
      </c>
      <c r="H39" s="28">
        <f t="shared" si="7"/>
        <v>1411</v>
      </c>
      <c r="I39" s="27">
        <v>-1077</v>
      </c>
      <c r="J39" s="28">
        <f t="shared" si="2"/>
        <v>2488</v>
      </c>
      <c r="K39" s="22">
        <f t="shared" si="8"/>
        <v>73</v>
      </c>
      <c r="L39" s="22">
        <f t="shared" si="9"/>
        <v>19</v>
      </c>
      <c r="M39" s="28">
        <f t="shared" si="10"/>
        <v>1580</v>
      </c>
      <c r="N39" s="24">
        <v>-590</v>
      </c>
      <c r="O39" s="28">
        <f t="shared" si="3"/>
        <v>2170</v>
      </c>
      <c r="P39" s="22">
        <f t="shared" si="11"/>
        <v>12</v>
      </c>
      <c r="Q39" s="29"/>
      <c r="R39" s="30"/>
    </row>
    <row r="40" spans="1:18" x14ac:dyDescent="0.25">
      <c r="A40" s="21">
        <v>45816</v>
      </c>
      <c r="B40" s="22">
        <v>1</v>
      </c>
      <c r="C40" s="28">
        <f t="shared" si="4"/>
        <v>1439</v>
      </c>
      <c r="D40" s="24">
        <v>-528</v>
      </c>
      <c r="E40" s="25">
        <f t="shared" si="1"/>
        <v>1967</v>
      </c>
      <c r="F40" s="22">
        <f t="shared" si="5"/>
        <v>51</v>
      </c>
      <c r="G40" s="22">
        <f t="shared" si="6"/>
        <v>20</v>
      </c>
      <c r="H40" s="28">
        <f t="shared" si="7"/>
        <v>1390</v>
      </c>
      <c r="I40" s="27">
        <v>-1098</v>
      </c>
      <c r="J40" s="28">
        <f t="shared" si="2"/>
        <v>2488</v>
      </c>
      <c r="K40" s="22">
        <f t="shared" si="8"/>
        <v>94</v>
      </c>
      <c r="L40" s="22">
        <f t="shared" si="9"/>
        <v>20</v>
      </c>
      <c r="M40" s="28">
        <f t="shared" si="10"/>
        <v>1570</v>
      </c>
      <c r="N40" s="24">
        <v>-600</v>
      </c>
      <c r="O40" s="28">
        <f t="shared" si="3"/>
        <v>2170</v>
      </c>
      <c r="P40" s="22">
        <f t="shared" si="11"/>
        <v>22</v>
      </c>
      <c r="Q40" s="29"/>
      <c r="R40" s="30"/>
    </row>
    <row r="41" spans="1:18" x14ac:dyDescent="0.25">
      <c r="A41" s="21">
        <v>45817</v>
      </c>
      <c r="B41" s="22">
        <v>1</v>
      </c>
      <c r="C41" s="28">
        <f t="shared" si="4"/>
        <v>1419</v>
      </c>
      <c r="D41" s="24">
        <v>-548</v>
      </c>
      <c r="E41" s="25">
        <f t="shared" si="1"/>
        <v>1967</v>
      </c>
      <c r="F41" s="22">
        <f t="shared" si="5"/>
        <v>71</v>
      </c>
      <c r="G41" s="22">
        <f t="shared" si="6"/>
        <v>21</v>
      </c>
      <c r="H41" s="28">
        <f t="shared" si="7"/>
        <v>1369</v>
      </c>
      <c r="I41" s="27">
        <v>-1119</v>
      </c>
      <c r="J41" s="28">
        <f t="shared" si="2"/>
        <v>2488</v>
      </c>
      <c r="K41" s="22">
        <f t="shared" si="8"/>
        <v>115</v>
      </c>
      <c r="L41" s="22">
        <f t="shared" si="9"/>
        <v>21</v>
      </c>
      <c r="M41" s="28">
        <f t="shared" si="10"/>
        <v>1560</v>
      </c>
      <c r="N41" s="24">
        <v>-610</v>
      </c>
      <c r="O41" s="28">
        <f t="shared" si="3"/>
        <v>2170</v>
      </c>
      <c r="P41" s="22">
        <f t="shared" si="11"/>
        <v>32</v>
      </c>
      <c r="Q41" s="29"/>
      <c r="R41" s="30"/>
    </row>
    <row r="42" spans="1:18" x14ac:dyDescent="0.25">
      <c r="A42" s="21">
        <v>45818</v>
      </c>
      <c r="B42" s="22">
        <v>1</v>
      </c>
      <c r="C42" s="28">
        <f t="shared" si="4"/>
        <v>1399</v>
      </c>
      <c r="D42" s="24">
        <v>-568</v>
      </c>
      <c r="E42" s="25">
        <f t="shared" si="1"/>
        <v>1967</v>
      </c>
      <c r="F42" s="22">
        <f t="shared" si="5"/>
        <v>91</v>
      </c>
      <c r="G42" s="22">
        <f t="shared" si="6"/>
        <v>22</v>
      </c>
      <c r="H42" s="28">
        <f t="shared" si="7"/>
        <v>1348</v>
      </c>
      <c r="I42" s="27">
        <v>-1140</v>
      </c>
      <c r="J42" s="28">
        <f t="shared" si="2"/>
        <v>2488</v>
      </c>
      <c r="K42" s="22">
        <f t="shared" si="8"/>
        <v>136</v>
      </c>
      <c r="L42" s="22">
        <f t="shared" si="9"/>
        <v>22</v>
      </c>
      <c r="M42" s="28">
        <f t="shared" si="10"/>
        <v>1550</v>
      </c>
      <c r="N42" s="24">
        <v>-620</v>
      </c>
      <c r="O42" s="28">
        <f t="shared" si="3"/>
        <v>2170</v>
      </c>
      <c r="P42" s="22">
        <f t="shared" si="11"/>
        <v>42</v>
      </c>
      <c r="Q42" s="29"/>
      <c r="R42" s="30"/>
    </row>
    <row r="43" spans="1:18" x14ac:dyDescent="0.25">
      <c r="A43" s="21">
        <v>45819</v>
      </c>
      <c r="B43" s="22">
        <v>1</v>
      </c>
      <c r="C43" s="28">
        <f t="shared" si="4"/>
        <v>1379</v>
      </c>
      <c r="D43" s="24">
        <v>-588</v>
      </c>
      <c r="E43" s="25">
        <f t="shared" si="1"/>
        <v>1967</v>
      </c>
      <c r="F43" s="22">
        <f t="shared" si="5"/>
        <v>111</v>
      </c>
      <c r="G43" s="22">
        <f t="shared" si="6"/>
        <v>23</v>
      </c>
      <c r="H43" s="28">
        <f t="shared" si="7"/>
        <v>1327</v>
      </c>
      <c r="I43" s="27">
        <v>-1161</v>
      </c>
      <c r="J43" s="28">
        <f t="shared" si="2"/>
        <v>2488</v>
      </c>
      <c r="K43" s="22">
        <f t="shared" si="8"/>
        <v>157</v>
      </c>
      <c r="L43" s="22">
        <f t="shared" si="9"/>
        <v>23</v>
      </c>
      <c r="M43" s="28">
        <f t="shared" si="10"/>
        <v>1540</v>
      </c>
      <c r="N43" s="24">
        <v>-630</v>
      </c>
      <c r="O43" s="28">
        <f t="shared" si="3"/>
        <v>2170</v>
      </c>
      <c r="P43" s="22">
        <f t="shared" si="11"/>
        <v>52</v>
      </c>
      <c r="Q43" s="29"/>
      <c r="R43" s="30"/>
    </row>
    <row r="44" spans="1:18" x14ac:dyDescent="0.25">
      <c r="A44" s="21">
        <v>45820</v>
      </c>
      <c r="B44" s="22">
        <v>1</v>
      </c>
      <c r="C44" s="28">
        <f t="shared" si="4"/>
        <v>1373</v>
      </c>
      <c r="D44" s="24">
        <v>-594</v>
      </c>
      <c r="E44" s="25">
        <f t="shared" si="1"/>
        <v>1967</v>
      </c>
      <c r="F44" s="22">
        <f t="shared" si="5"/>
        <v>117</v>
      </c>
      <c r="G44" s="22">
        <f t="shared" si="6"/>
        <v>24</v>
      </c>
      <c r="H44" s="28">
        <f t="shared" si="7"/>
        <v>1301</v>
      </c>
      <c r="I44" s="27">
        <v>-1187</v>
      </c>
      <c r="J44" s="28">
        <f t="shared" si="2"/>
        <v>2488</v>
      </c>
      <c r="K44" s="22">
        <f t="shared" si="8"/>
        <v>183</v>
      </c>
      <c r="L44" s="22">
        <f t="shared" si="9"/>
        <v>24</v>
      </c>
      <c r="M44" s="28">
        <f t="shared" si="10"/>
        <v>1515</v>
      </c>
      <c r="N44" s="24">
        <v>-655</v>
      </c>
      <c r="O44" s="28">
        <f t="shared" si="3"/>
        <v>2170</v>
      </c>
      <c r="P44" s="22">
        <f t="shared" si="11"/>
        <v>77</v>
      </c>
      <c r="Q44" s="29"/>
      <c r="R44" s="30"/>
    </row>
    <row r="45" spans="1:18" x14ac:dyDescent="0.25">
      <c r="A45" s="21">
        <v>45821</v>
      </c>
      <c r="B45" s="22">
        <v>1</v>
      </c>
      <c r="C45" s="28">
        <f t="shared" si="4"/>
        <v>1341</v>
      </c>
      <c r="D45" s="24">
        <v>-626</v>
      </c>
      <c r="E45" s="25">
        <f t="shared" si="1"/>
        <v>1967</v>
      </c>
      <c r="F45" s="22">
        <f t="shared" si="5"/>
        <v>149</v>
      </c>
      <c r="G45" s="22">
        <f t="shared" si="6"/>
        <v>25</v>
      </c>
      <c r="H45" s="28">
        <f t="shared" si="7"/>
        <v>1270</v>
      </c>
      <c r="I45" s="27">
        <v>-1218</v>
      </c>
      <c r="J45" s="28">
        <f t="shared" si="2"/>
        <v>2488</v>
      </c>
      <c r="K45" s="22">
        <f t="shared" si="8"/>
        <v>214</v>
      </c>
      <c r="L45" s="22">
        <f t="shared" si="9"/>
        <v>25</v>
      </c>
      <c r="M45" s="28">
        <f t="shared" si="10"/>
        <v>1505</v>
      </c>
      <c r="N45" s="24">
        <v>-665</v>
      </c>
      <c r="O45" s="28">
        <f t="shared" si="3"/>
        <v>2170</v>
      </c>
      <c r="P45" s="22">
        <f t="shared" si="11"/>
        <v>87</v>
      </c>
      <c r="Q45" s="29"/>
      <c r="R45" s="30"/>
    </row>
    <row r="46" spans="1:18" x14ac:dyDescent="0.25">
      <c r="A46" s="21">
        <v>45822</v>
      </c>
      <c r="B46" s="22">
        <v>1</v>
      </c>
      <c r="C46" s="28">
        <f t="shared" si="4"/>
        <v>1309</v>
      </c>
      <c r="D46" s="24">
        <v>-658</v>
      </c>
      <c r="E46" s="25">
        <f t="shared" si="1"/>
        <v>1967</v>
      </c>
      <c r="F46" s="22">
        <f t="shared" si="5"/>
        <v>181</v>
      </c>
      <c r="G46" s="22">
        <f t="shared" si="6"/>
        <v>26</v>
      </c>
      <c r="H46" s="28">
        <f t="shared" si="7"/>
        <v>1268</v>
      </c>
      <c r="I46" s="27">
        <v>-1220</v>
      </c>
      <c r="J46" s="28">
        <f t="shared" si="2"/>
        <v>2488</v>
      </c>
      <c r="K46" s="22">
        <f t="shared" si="8"/>
        <v>216</v>
      </c>
      <c r="L46" s="22">
        <f t="shared" si="9"/>
        <v>26</v>
      </c>
      <c r="M46" s="28">
        <f t="shared" si="10"/>
        <v>1500</v>
      </c>
      <c r="N46" s="24">
        <v>-670</v>
      </c>
      <c r="O46" s="28">
        <f t="shared" si="3"/>
        <v>2170</v>
      </c>
      <c r="P46" s="22">
        <f t="shared" si="11"/>
        <v>92</v>
      </c>
      <c r="Q46" s="29"/>
      <c r="R46" s="30"/>
    </row>
    <row r="47" spans="1:18" x14ac:dyDescent="0.25">
      <c r="A47" s="21">
        <v>45823</v>
      </c>
      <c r="B47" s="22">
        <v>1</v>
      </c>
      <c r="C47" s="28">
        <f t="shared" si="4"/>
        <v>1294</v>
      </c>
      <c r="D47" s="24">
        <v>-673</v>
      </c>
      <c r="E47" s="25">
        <f t="shared" si="1"/>
        <v>1967</v>
      </c>
      <c r="F47" s="22">
        <f t="shared" si="5"/>
        <v>196</v>
      </c>
      <c r="G47" s="22">
        <f t="shared" si="6"/>
        <v>27</v>
      </c>
      <c r="H47" s="28">
        <f t="shared" si="7"/>
        <v>1263</v>
      </c>
      <c r="I47" s="27">
        <v>-1225</v>
      </c>
      <c r="J47" s="28">
        <f t="shared" si="2"/>
        <v>2488</v>
      </c>
      <c r="K47" s="22">
        <f t="shared" si="8"/>
        <v>221</v>
      </c>
      <c r="L47" s="22">
        <f t="shared" si="9"/>
        <v>27</v>
      </c>
      <c r="M47" s="28">
        <f t="shared" si="10"/>
        <v>1495</v>
      </c>
      <c r="N47" s="24">
        <v>-675</v>
      </c>
      <c r="O47" s="28">
        <f t="shared" si="3"/>
        <v>2170</v>
      </c>
      <c r="P47" s="22">
        <f t="shared" si="11"/>
        <v>97</v>
      </c>
      <c r="Q47" s="29"/>
      <c r="R47" s="30"/>
    </row>
    <row r="48" spans="1:18" x14ac:dyDescent="0.25">
      <c r="A48" s="21">
        <v>45824</v>
      </c>
      <c r="B48" s="22">
        <v>1</v>
      </c>
      <c r="C48" s="28">
        <f t="shared" si="4"/>
        <v>1289</v>
      </c>
      <c r="D48" s="24">
        <v>-678</v>
      </c>
      <c r="E48" s="25">
        <f t="shared" si="1"/>
        <v>1967</v>
      </c>
      <c r="F48" s="22">
        <f t="shared" si="5"/>
        <v>201</v>
      </c>
      <c r="G48" s="22">
        <f t="shared" si="6"/>
        <v>28</v>
      </c>
      <c r="H48" s="28">
        <f t="shared" si="7"/>
        <v>1249</v>
      </c>
      <c r="I48" s="27">
        <v>-1239</v>
      </c>
      <c r="J48" s="28">
        <f t="shared" si="2"/>
        <v>2488</v>
      </c>
      <c r="K48" s="22">
        <f t="shared" si="8"/>
        <v>235</v>
      </c>
      <c r="L48" s="22">
        <f t="shared" si="9"/>
        <v>28</v>
      </c>
      <c r="M48" s="28">
        <f t="shared" si="10"/>
        <v>1490</v>
      </c>
      <c r="N48" s="24">
        <v>-680</v>
      </c>
      <c r="O48" s="28">
        <f t="shared" si="3"/>
        <v>2170</v>
      </c>
      <c r="P48" s="22">
        <f t="shared" si="11"/>
        <v>102</v>
      </c>
      <c r="Q48" s="29"/>
      <c r="R48" s="30"/>
    </row>
    <row r="49" spans="1:18" x14ac:dyDescent="0.25">
      <c r="A49" s="21">
        <v>45825</v>
      </c>
      <c r="B49" s="22">
        <v>1</v>
      </c>
      <c r="C49" s="28">
        <f t="shared" si="4"/>
        <v>1284</v>
      </c>
      <c r="D49" s="24">
        <v>-683</v>
      </c>
      <c r="E49" s="25">
        <f t="shared" si="1"/>
        <v>1967</v>
      </c>
      <c r="F49" s="22">
        <f t="shared" si="5"/>
        <v>206</v>
      </c>
      <c r="G49" s="22">
        <f t="shared" si="6"/>
        <v>29</v>
      </c>
      <c r="H49" s="28">
        <f t="shared" si="7"/>
        <v>1235</v>
      </c>
      <c r="I49" s="27">
        <v>-1253</v>
      </c>
      <c r="J49" s="28">
        <f t="shared" si="2"/>
        <v>2488</v>
      </c>
      <c r="K49" s="22">
        <f t="shared" si="8"/>
        <v>249</v>
      </c>
      <c r="L49" s="22">
        <f t="shared" si="9"/>
        <v>29</v>
      </c>
      <c r="M49" s="28">
        <f t="shared" si="10"/>
        <v>1485</v>
      </c>
      <c r="N49" s="24">
        <v>-685</v>
      </c>
      <c r="O49" s="28">
        <f t="shared" si="3"/>
        <v>2170</v>
      </c>
      <c r="P49" s="22">
        <f t="shared" si="11"/>
        <v>107</v>
      </c>
      <c r="Q49" s="29"/>
      <c r="R49" s="30"/>
    </row>
    <row r="50" spans="1:18" x14ac:dyDescent="0.25">
      <c r="A50" s="21">
        <v>45826</v>
      </c>
      <c r="B50" s="22">
        <v>1</v>
      </c>
      <c r="C50" s="28">
        <f t="shared" si="4"/>
        <v>1279</v>
      </c>
      <c r="D50" s="24">
        <v>-688</v>
      </c>
      <c r="E50" s="25">
        <f t="shared" si="1"/>
        <v>1967</v>
      </c>
      <c r="F50" s="22">
        <f t="shared" si="5"/>
        <v>211</v>
      </c>
      <c r="G50" s="22">
        <f t="shared" si="6"/>
        <v>30</v>
      </c>
      <c r="H50" s="28">
        <f t="shared" si="7"/>
        <v>1221</v>
      </c>
      <c r="I50" s="27">
        <v>-1267</v>
      </c>
      <c r="J50" s="28">
        <f t="shared" si="2"/>
        <v>2488</v>
      </c>
      <c r="K50" s="22">
        <f t="shared" si="8"/>
        <v>263</v>
      </c>
      <c r="L50" s="22">
        <f t="shared" si="9"/>
        <v>30</v>
      </c>
      <c r="M50" s="28">
        <f t="shared" si="10"/>
        <v>1480</v>
      </c>
      <c r="N50" s="24">
        <v>-690</v>
      </c>
      <c r="O50" s="28">
        <f t="shared" si="3"/>
        <v>2170</v>
      </c>
      <c r="P50" s="22">
        <f t="shared" si="11"/>
        <v>112</v>
      </c>
      <c r="Q50" s="29"/>
      <c r="R50" s="30"/>
    </row>
    <row r="51" spans="1:18" x14ac:dyDescent="0.25">
      <c r="A51" s="21">
        <v>45827</v>
      </c>
      <c r="B51" s="22">
        <v>1</v>
      </c>
      <c r="C51" s="28">
        <f t="shared" si="4"/>
        <v>1274</v>
      </c>
      <c r="D51" s="24">
        <v>-693</v>
      </c>
      <c r="E51" s="25">
        <f t="shared" si="1"/>
        <v>1967</v>
      </c>
      <c r="F51" s="22">
        <f t="shared" si="5"/>
        <v>216</v>
      </c>
      <c r="G51" s="22">
        <f t="shared" si="6"/>
        <v>31</v>
      </c>
      <c r="H51" s="28">
        <f t="shared" si="7"/>
        <v>1207</v>
      </c>
      <c r="I51" s="27">
        <v>-1281</v>
      </c>
      <c r="J51" s="28">
        <f t="shared" si="2"/>
        <v>2488</v>
      </c>
      <c r="K51" s="22">
        <f t="shared" si="8"/>
        <v>277</v>
      </c>
      <c r="L51" s="22">
        <f t="shared" si="9"/>
        <v>31</v>
      </c>
      <c r="M51" s="28">
        <f t="shared" si="10"/>
        <v>1475</v>
      </c>
      <c r="N51" s="24">
        <v>-695</v>
      </c>
      <c r="O51" s="28">
        <f t="shared" si="3"/>
        <v>2170</v>
      </c>
      <c r="P51" s="22">
        <f t="shared" si="11"/>
        <v>117</v>
      </c>
      <c r="Q51" s="29"/>
      <c r="R51" s="30"/>
    </row>
    <row r="52" spans="1:18" x14ac:dyDescent="0.25">
      <c r="A52" s="21">
        <v>45828</v>
      </c>
      <c r="B52" s="22">
        <v>1</v>
      </c>
      <c r="C52" s="28">
        <f t="shared" si="4"/>
        <v>1269</v>
      </c>
      <c r="D52" s="24">
        <v>-698</v>
      </c>
      <c r="E52" s="25">
        <f t="shared" si="1"/>
        <v>1967</v>
      </c>
      <c r="F52" s="22">
        <f t="shared" si="5"/>
        <v>221</v>
      </c>
      <c r="G52" s="22">
        <f t="shared" si="6"/>
        <v>32</v>
      </c>
      <c r="H52" s="28">
        <f t="shared" si="7"/>
        <v>1193</v>
      </c>
      <c r="I52" s="27">
        <v>-1295</v>
      </c>
      <c r="J52" s="28">
        <f t="shared" si="2"/>
        <v>2488</v>
      </c>
      <c r="K52" s="22">
        <f t="shared" si="8"/>
        <v>291</v>
      </c>
      <c r="L52" s="22">
        <f t="shared" si="9"/>
        <v>32</v>
      </c>
      <c r="M52" s="28">
        <f t="shared" si="10"/>
        <v>1470</v>
      </c>
      <c r="N52" s="24">
        <v>-700</v>
      </c>
      <c r="O52" s="28">
        <f t="shared" si="3"/>
        <v>2170</v>
      </c>
      <c r="P52" s="22">
        <f t="shared" si="11"/>
        <v>122</v>
      </c>
      <c r="Q52" s="29"/>
      <c r="R52" s="30"/>
    </row>
    <row r="53" spans="1:18" x14ac:dyDescent="0.25">
      <c r="A53" s="21">
        <v>45829</v>
      </c>
      <c r="B53" s="22">
        <v>1</v>
      </c>
      <c r="C53" s="28">
        <f t="shared" si="4"/>
        <v>1264</v>
      </c>
      <c r="D53" s="24">
        <v>-703</v>
      </c>
      <c r="E53" s="25">
        <f t="shared" si="1"/>
        <v>1967</v>
      </c>
      <c r="F53" s="22">
        <f t="shared" si="5"/>
        <v>226</v>
      </c>
      <c r="G53" s="22">
        <f t="shared" si="6"/>
        <v>33</v>
      </c>
      <c r="H53" s="28">
        <f t="shared" si="7"/>
        <v>1179</v>
      </c>
      <c r="I53" s="27">
        <v>-1309</v>
      </c>
      <c r="J53" s="28">
        <f t="shared" si="2"/>
        <v>2488</v>
      </c>
      <c r="K53" s="22">
        <f t="shared" si="8"/>
        <v>305</v>
      </c>
      <c r="L53" s="22">
        <f t="shared" si="9"/>
        <v>33</v>
      </c>
      <c r="M53" s="28">
        <f t="shared" si="10"/>
        <v>1380</v>
      </c>
      <c r="N53" s="24">
        <v>-790</v>
      </c>
      <c r="O53" s="28">
        <f t="shared" si="3"/>
        <v>2170</v>
      </c>
      <c r="P53" s="22">
        <f t="shared" si="11"/>
        <v>212</v>
      </c>
      <c r="Q53" s="29"/>
      <c r="R53" s="30"/>
    </row>
    <row r="54" spans="1:18" x14ac:dyDescent="0.25">
      <c r="A54" s="21">
        <v>45830</v>
      </c>
      <c r="B54" s="22">
        <v>1</v>
      </c>
      <c r="C54" s="28">
        <f t="shared" si="4"/>
        <v>1259</v>
      </c>
      <c r="D54" s="24">
        <v>-708</v>
      </c>
      <c r="E54" s="25">
        <f t="shared" si="1"/>
        <v>1967</v>
      </c>
      <c r="F54" s="22">
        <f t="shared" si="5"/>
        <v>231</v>
      </c>
      <c r="G54" s="22">
        <f t="shared" si="6"/>
        <v>34</v>
      </c>
      <c r="H54" s="28">
        <f t="shared" si="7"/>
        <v>1165</v>
      </c>
      <c r="I54" s="27">
        <v>-1323</v>
      </c>
      <c r="J54" s="28">
        <f t="shared" si="2"/>
        <v>2488</v>
      </c>
      <c r="K54" s="22">
        <f t="shared" si="8"/>
        <v>319</v>
      </c>
      <c r="L54" s="22">
        <f t="shared" si="9"/>
        <v>34</v>
      </c>
      <c r="M54" s="28">
        <f t="shared" si="10"/>
        <v>1378</v>
      </c>
      <c r="N54" s="24">
        <v>-792</v>
      </c>
      <c r="O54" s="28">
        <f t="shared" si="3"/>
        <v>2170</v>
      </c>
      <c r="P54" s="22">
        <f t="shared" si="11"/>
        <v>214</v>
      </c>
      <c r="Q54" s="29"/>
      <c r="R54" s="30"/>
    </row>
    <row r="55" spans="1:18" x14ac:dyDescent="0.25">
      <c r="A55" s="21">
        <v>45831</v>
      </c>
      <c r="B55" s="22">
        <v>1</v>
      </c>
      <c r="C55" s="28">
        <f t="shared" si="4"/>
        <v>1254</v>
      </c>
      <c r="D55" s="24">
        <v>-713</v>
      </c>
      <c r="E55" s="25">
        <f t="shared" si="1"/>
        <v>1967</v>
      </c>
      <c r="F55" s="22">
        <f t="shared" si="5"/>
        <v>236</v>
      </c>
      <c r="G55" s="22">
        <f t="shared" si="6"/>
        <v>35</v>
      </c>
      <c r="H55" s="28">
        <f t="shared" si="7"/>
        <v>1151</v>
      </c>
      <c r="I55" s="27">
        <v>-1337</v>
      </c>
      <c r="J55" s="28">
        <f t="shared" si="2"/>
        <v>2488</v>
      </c>
      <c r="K55" s="22">
        <f t="shared" si="8"/>
        <v>333</v>
      </c>
      <c r="L55" s="22">
        <f t="shared" si="9"/>
        <v>35</v>
      </c>
      <c r="M55" s="28">
        <f t="shared" si="10"/>
        <v>1376</v>
      </c>
      <c r="N55" s="24">
        <v>-794</v>
      </c>
      <c r="O55" s="28">
        <f t="shared" si="3"/>
        <v>2170</v>
      </c>
      <c r="P55" s="22">
        <f t="shared" si="11"/>
        <v>216</v>
      </c>
      <c r="Q55" s="29"/>
      <c r="R55" s="30"/>
    </row>
    <row r="56" spans="1:18" x14ac:dyDescent="0.25">
      <c r="A56" s="21">
        <v>45832</v>
      </c>
      <c r="B56" s="22">
        <v>1</v>
      </c>
      <c r="C56" s="28">
        <f t="shared" si="4"/>
        <v>1249</v>
      </c>
      <c r="D56" s="24">
        <v>-718</v>
      </c>
      <c r="E56" s="25">
        <f t="shared" si="1"/>
        <v>1967</v>
      </c>
      <c r="F56" s="22">
        <f t="shared" si="5"/>
        <v>241</v>
      </c>
      <c r="G56" s="22">
        <f t="shared" si="6"/>
        <v>36</v>
      </c>
      <c r="H56" s="28">
        <f t="shared" si="7"/>
        <v>1137</v>
      </c>
      <c r="I56" s="27">
        <v>-1351</v>
      </c>
      <c r="J56" s="28">
        <f t="shared" si="2"/>
        <v>2488</v>
      </c>
      <c r="K56" s="22">
        <f t="shared" si="8"/>
        <v>347</v>
      </c>
      <c r="L56" s="22">
        <f t="shared" si="9"/>
        <v>36</v>
      </c>
      <c r="M56" s="28">
        <f t="shared" si="10"/>
        <v>1374</v>
      </c>
      <c r="N56" s="24">
        <v>-796</v>
      </c>
      <c r="O56" s="28">
        <f t="shared" si="3"/>
        <v>2170</v>
      </c>
      <c r="P56" s="22">
        <f t="shared" si="11"/>
        <v>218</v>
      </c>
      <c r="Q56" s="29"/>
      <c r="R56" s="30"/>
    </row>
    <row r="57" spans="1:18" x14ac:dyDescent="0.25">
      <c r="A57" s="21">
        <v>45833</v>
      </c>
      <c r="B57" s="22">
        <v>1</v>
      </c>
      <c r="C57" s="28">
        <f t="shared" si="4"/>
        <v>1244</v>
      </c>
      <c r="D57" s="24">
        <v>-723</v>
      </c>
      <c r="E57" s="25">
        <f t="shared" si="1"/>
        <v>1967</v>
      </c>
      <c r="F57" s="22">
        <f t="shared" si="5"/>
        <v>246</v>
      </c>
      <c r="G57" s="22">
        <f t="shared" si="6"/>
        <v>37</v>
      </c>
      <c r="H57" s="28">
        <f t="shared" si="7"/>
        <v>1123</v>
      </c>
      <c r="I57" s="27">
        <v>-1365</v>
      </c>
      <c r="J57" s="28">
        <f t="shared" si="2"/>
        <v>2488</v>
      </c>
      <c r="K57" s="22">
        <f t="shared" si="8"/>
        <v>361</v>
      </c>
      <c r="L57" s="22">
        <f t="shared" si="9"/>
        <v>37</v>
      </c>
      <c r="M57" s="28">
        <f t="shared" si="10"/>
        <v>1372</v>
      </c>
      <c r="N57" s="24">
        <v>-798</v>
      </c>
      <c r="O57" s="28">
        <f t="shared" si="3"/>
        <v>2170</v>
      </c>
      <c r="P57" s="22">
        <f t="shared" si="11"/>
        <v>220</v>
      </c>
      <c r="Q57" s="29"/>
      <c r="R57" s="30"/>
    </row>
    <row r="58" spans="1:18" x14ac:dyDescent="0.25">
      <c r="A58" s="21">
        <v>45834</v>
      </c>
      <c r="B58" s="22">
        <v>1</v>
      </c>
      <c r="C58" s="28">
        <f t="shared" si="4"/>
        <v>1214</v>
      </c>
      <c r="D58" s="24">
        <v>-753</v>
      </c>
      <c r="E58" s="25">
        <f t="shared" si="1"/>
        <v>1967</v>
      </c>
      <c r="F58" s="22">
        <f t="shared" si="5"/>
        <v>276</v>
      </c>
      <c r="G58" s="22">
        <f t="shared" si="6"/>
        <v>38</v>
      </c>
      <c r="H58" s="28">
        <f t="shared" si="7"/>
        <v>1120</v>
      </c>
      <c r="I58" s="27">
        <v>-1368</v>
      </c>
      <c r="J58" s="28">
        <f t="shared" si="2"/>
        <v>2488</v>
      </c>
      <c r="K58" s="22">
        <f t="shared" si="8"/>
        <v>364</v>
      </c>
      <c r="L58" s="22">
        <f t="shared" si="9"/>
        <v>38</v>
      </c>
      <c r="M58" s="28">
        <f t="shared" si="10"/>
        <v>1370</v>
      </c>
      <c r="N58" s="24">
        <v>-800</v>
      </c>
      <c r="O58" s="28">
        <f t="shared" si="3"/>
        <v>2170</v>
      </c>
      <c r="P58" s="22">
        <f t="shared" si="11"/>
        <v>222</v>
      </c>
      <c r="Q58" s="29"/>
      <c r="R58" s="30"/>
    </row>
    <row r="59" spans="1:18" x14ac:dyDescent="0.25">
      <c r="A59" s="21">
        <v>45835</v>
      </c>
      <c r="B59" s="22">
        <v>1</v>
      </c>
      <c r="C59" s="28">
        <f t="shared" si="4"/>
        <v>1213</v>
      </c>
      <c r="D59" s="24">
        <v>-754</v>
      </c>
      <c r="E59" s="25">
        <f t="shared" si="1"/>
        <v>1967</v>
      </c>
      <c r="F59" s="22">
        <f t="shared" si="5"/>
        <v>277</v>
      </c>
      <c r="G59" s="22">
        <f t="shared" si="6"/>
        <v>39</v>
      </c>
      <c r="H59" s="28">
        <f t="shared" si="7"/>
        <v>1119</v>
      </c>
      <c r="I59" s="27">
        <v>-1369</v>
      </c>
      <c r="J59" s="28">
        <f t="shared" si="2"/>
        <v>2488</v>
      </c>
      <c r="K59" s="22">
        <f t="shared" si="8"/>
        <v>365</v>
      </c>
      <c r="L59" s="22">
        <f t="shared" si="9"/>
        <v>39</v>
      </c>
      <c r="M59" s="28">
        <f t="shared" si="10"/>
        <v>1368</v>
      </c>
      <c r="N59" s="24">
        <v>-802</v>
      </c>
      <c r="O59" s="28">
        <f t="shared" si="3"/>
        <v>2170</v>
      </c>
      <c r="P59" s="22">
        <f t="shared" si="11"/>
        <v>224</v>
      </c>
      <c r="Q59" s="29"/>
      <c r="R59" s="30"/>
    </row>
    <row r="60" spans="1:18" x14ac:dyDescent="0.25">
      <c r="A60" s="21">
        <v>45836</v>
      </c>
      <c r="B60" s="22">
        <v>1</v>
      </c>
      <c r="C60" s="28">
        <f t="shared" si="4"/>
        <v>1212</v>
      </c>
      <c r="D60" s="24">
        <v>-755</v>
      </c>
      <c r="E60" s="25">
        <f t="shared" si="1"/>
        <v>1967</v>
      </c>
      <c r="F60" s="22">
        <f t="shared" si="5"/>
        <v>278</v>
      </c>
      <c r="G60" s="22">
        <f t="shared" si="6"/>
        <v>40</v>
      </c>
      <c r="H60" s="28">
        <f t="shared" si="7"/>
        <v>1118</v>
      </c>
      <c r="I60" s="27">
        <v>-1370</v>
      </c>
      <c r="J60" s="28">
        <f t="shared" si="2"/>
        <v>2488</v>
      </c>
      <c r="K60" s="22">
        <f t="shared" si="8"/>
        <v>366</v>
      </c>
      <c r="L60" s="22">
        <f t="shared" si="9"/>
        <v>40</v>
      </c>
      <c r="M60" s="28">
        <f t="shared" si="10"/>
        <v>1366</v>
      </c>
      <c r="N60" s="24">
        <v>-804</v>
      </c>
      <c r="O60" s="28">
        <f t="shared" si="3"/>
        <v>2170</v>
      </c>
      <c r="P60" s="22">
        <f t="shared" si="11"/>
        <v>226</v>
      </c>
      <c r="Q60" s="29"/>
      <c r="R60" s="30"/>
    </row>
    <row r="61" spans="1:18" x14ac:dyDescent="0.25">
      <c r="A61" s="21">
        <v>45837</v>
      </c>
      <c r="B61" s="22">
        <v>1</v>
      </c>
      <c r="C61" s="28">
        <f t="shared" si="4"/>
        <v>1211</v>
      </c>
      <c r="D61" s="24">
        <v>-756</v>
      </c>
      <c r="E61" s="25">
        <f t="shared" si="1"/>
        <v>1967</v>
      </c>
      <c r="F61" s="22">
        <f t="shared" si="5"/>
        <v>279</v>
      </c>
      <c r="G61" s="22">
        <f t="shared" si="6"/>
        <v>41</v>
      </c>
      <c r="H61" s="28">
        <f t="shared" si="7"/>
        <v>1117</v>
      </c>
      <c r="I61" s="27">
        <v>-1371</v>
      </c>
      <c r="J61" s="28">
        <f t="shared" si="2"/>
        <v>2488</v>
      </c>
      <c r="K61" s="22">
        <f t="shared" si="8"/>
        <v>367</v>
      </c>
      <c r="L61" s="22">
        <f t="shared" si="9"/>
        <v>41</v>
      </c>
      <c r="M61" s="28">
        <f t="shared" si="10"/>
        <v>1364</v>
      </c>
      <c r="N61" s="24">
        <v>-806</v>
      </c>
      <c r="O61" s="28">
        <f t="shared" si="3"/>
        <v>2170</v>
      </c>
      <c r="P61" s="22">
        <f t="shared" si="11"/>
        <v>228</v>
      </c>
      <c r="Q61" s="29"/>
      <c r="R61" s="30"/>
    </row>
    <row r="62" spans="1:18" x14ac:dyDescent="0.25">
      <c r="A62" s="21">
        <v>45838</v>
      </c>
      <c r="B62" s="22">
        <v>1</v>
      </c>
      <c r="C62" s="28">
        <f t="shared" si="4"/>
        <v>1210</v>
      </c>
      <c r="D62" s="24">
        <v>-757</v>
      </c>
      <c r="E62" s="25">
        <f t="shared" si="1"/>
        <v>1967</v>
      </c>
      <c r="F62" s="22">
        <f t="shared" si="5"/>
        <v>280</v>
      </c>
      <c r="G62" s="22">
        <f t="shared" si="6"/>
        <v>42</v>
      </c>
      <c r="H62" s="28">
        <f t="shared" si="7"/>
        <v>1116</v>
      </c>
      <c r="I62" s="27">
        <v>-1372</v>
      </c>
      <c r="J62" s="28">
        <f t="shared" si="2"/>
        <v>2488</v>
      </c>
      <c r="K62" s="22">
        <f t="shared" si="8"/>
        <v>368</v>
      </c>
      <c r="L62" s="22">
        <f t="shared" si="9"/>
        <v>42</v>
      </c>
      <c r="M62" s="28">
        <f t="shared" si="10"/>
        <v>1362</v>
      </c>
      <c r="N62" s="24">
        <v>-808</v>
      </c>
      <c r="O62" s="28">
        <f t="shared" si="3"/>
        <v>2170</v>
      </c>
      <c r="P62" s="22">
        <f t="shared" si="11"/>
        <v>230</v>
      </c>
      <c r="Q62" s="29"/>
      <c r="R62" s="30"/>
    </row>
    <row r="63" spans="1:18" x14ac:dyDescent="0.25">
      <c r="A63" s="21">
        <v>45839</v>
      </c>
      <c r="B63" s="22">
        <v>1</v>
      </c>
      <c r="C63" s="28">
        <f t="shared" si="4"/>
        <v>1209</v>
      </c>
      <c r="D63" s="24">
        <v>-758</v>
      </c>
      <c r="E63" s="25">
        <f t="shared" si="1"/>
        <v>1967</v>
      </c>
      <c r="F63" s="22">
        <f t="shared" si="5"/>
        <v>281</v>
      </c>
      <c r="G63" s="22">
        <f t="shared" si="6"/>
        <v>43</v>
      </c>
      <c r="H63" s="28">
        <f t="shared" si="7"/>
        <v>1115</v>
      </c>
      <c r="I63" s="27">
        <v>-1373</v>
      </c>
      <c r="J63" s="28">
        <f t="shared" si="2"/>
        <v>2488</v>
      </c>
      <c r="K63" s="22">
        <f t="shared" si="8"/>
        <v>369</v>
      </c>
      <c r="L63" s="22">
        <f t="shared" si="9"/>
        <v>43</v>
      </c>
      <c r="M63" s="28">
        <f t="shared" si="10"/>
        <v>1360</v>
      </c>
      <c r="N63" s="24">
        <v>-810</v>
      </c>
      <c r="O63" s="28">
        <f t="shared" si="3"/>
        <v>2170</v>
      </c>
      <c r="P63" s="22">
        <f t="shared" si="11"/>
        <v>232</v>
      </c>
      <c r="Q63" s="29"/>
      <c r="R63" s="30"/>
    </row>
    <row r="64" spans="1:18" x14ac:dyDescent="0.25">
      <c r="A64" s="21">
        <v>45840</v>
      </c>
      <c r="B64" s="22">
        <v>1</v>
      </c>
      <c r="C64" s="28">
        <f t="shared" si="4"/>
        <v>1208</v>
      </c>
      <c r="D64" s="24">
        <v>-759</v>
      </c>
      <c r="E64" s="25">
        <f t="shared" si="1"/>
        <v>1967</v>
      </c>
      <c r="F64" s="22">
        <f t="shared" si="5"/>
        <v>282</v>
      </c>
      <c r="G64" s="22">
        <f t="shared" si="6"/>
        <v>44</v>
      </c>
      <c r="H64" s="28">
        <f t="shared" si="7"/>
        <v>1114</v>
      </c>
      <c r="I64" s="27">
        <v>-1374</v>
      </c>
      <c r="J64" s="28">
        <f t="shared" si="2"/>
        <v>2488</v>
      </c>
      <c r="K64" s="22">
        <f t="shared" si="8"/>
        <v>370</v>
      </c>
      <c r="L64" s="22">
        <f t="shared" si="9"/>
        <v>44</v>
      </c>
      <c r="M64" s="28">
        <f t="shared" si="10"/>
        <v>1358</v>
      </c>
      <c r="N64" s="24">
        <v>-812</v>
      </c>
      <c r="O64" s="28">
        <f t="shared" si="3"/>
        <v>2170</v>
      </c>
      <c r="P64" s="22">
        <f t="shared" si="11"/>
        <v>234</v>
      </c>
      <c r="Q64" s="29"/>
      <c r="R64" s="30"/>
    </row>
    <row r="65" spans="1:18" x14ac:dyDescent="0.25">
      <c r="A65" s="21">
        <v>45841</v>
      </c>
      <c r="B65" s="22">
        <v>1</v>
      </c>
      <c r="C65" s="28">
        <f t="shared" si="4"/>
        <v>1207</v>
      </c>
      <c r="D65" s="24">
        <v>-760</v>
      </c>
      <c r="E65" s="25">
        <f t="shared" si="1"/>
        <v>1967</v>
      </c>
      <c r="F65" s="22">
        <f t="shared" si="5"/>
        <v>283</v>
      </c>
      <c r="G65" s="22">
        <f t="shared" si="6"/>
        <v>45</v>
      </c>
      <c r="H65" s="28">
        <f t="shared" si="7"/>
        <v>1113</v>
      </c>
      <c r="I65" s="27">
        <v>-1375</v>
      </c>
      <c r="J65" s="28">
        <f t="shared" si="2"/>
        <v>2488</v>
      </c>
      <c r="K65" s="22">
        <f t="shared" si="8"/>
        <v>371</v>
      </c>
      <c r="L65" s="22">
        <f t="shared" si="9"/>
        <v>45</v>
      </c>
      <c r="M65" s="28">
        <f t="shared" si="10"/>
        <v>1356</v>
      </c>
      <c r="N65" s="24">
        <v>-814</v>
      </c>
      <c r="O65" s="28">
        <f t="shared" si="3"/>
        <v>2170</v>
      </c>
      <c r="P65" s="22">
        <f t="shared" si="11"/>
        <v>236</v>
      </c>
      <c r="Q65" s="29"/>
      <c r="R65" s="30"/>
    </row>
    <row r="66" spans="1:18" x14ac:dyDescent="0.25">
      <c r="A66" s="21">
        <v>45842</v>
      </c>
      <c r="B66" s="22">
        <v>1</v>
      </c>
      <c r="C66" s="28">
        <f t="shared" si="4"/>
        <v>1206</v>
      </c>
      <c r="D66" s="24">
        <v>-761</v>
      </c>
      <c r="E66" s="25">
        <f t="shared" si="1"/>
        <v>1967</v>
      </c>
      <c r="F66" s="22">
        <f t="shared" si="5"/>
        <v>284</v>
      </c>
      <c r="G66" s="22">
        <f t="shared" si="6"/>
        <v>46</v>
      </c>
      <c r="H66" s="28">
        <f t="shared" si="7"/>
        <v>1112</v>
      </c>
      <c r="I66" s="27">
        <v>-1376</v>
      </c>
      <c r="J66" s="28">
        <f t="shared" si="2"/>
        <v>2488</v>
      </c>
      <c r="K66" s="22">
        <f t="shared" si="8"/>
        <v>372</v>
      </c>
      <c r="L66" s="22">
        <f t="shared" si="9"/>
        <v>46</v>
      </c>
      <c r="M66" s="28">
        <f t="shared" si="10"/>
        <v>1354</v>
      </c>
      <c r="N66" s="24">
        <v>-816</v>
      </c>
      <c r="O66" s="28">
        <f t="shared" si="3"/>
        <v>2170</v>
      </c>
      <c r="P66" s="22">
        <f t="shared" si="11"/>
        <v>238</v>
      </c>
      <c r="Q66" s="29"/>
      <c r="R66" s="30"/>
    </row>
    <row r="67" spans="1:18" x14ac:dyDescent="0.25">
      <c r="A67" s="21">
        <v>45843</v>
      </c>
      <c r="B67" s="22">
        <v>1</v>
      </c>
      <c r="C67" s="28">
        <f t="shared" si="4"/>
        <v>1205</v>
      </c>
      <c r="D67" s="24">
        <v>-762</v>
      </c>
      <c r="E67" s="25">
        <f t="shared" si="1"/>
        <v>1967</v>
      </c>
      <c r="F67" s="22">
        <f t="shared" si="5"/>
        <v>285</v>
      </c>
      <c r="G67" s="22">
        <f t="shared" si="6"/>
        <v>47</v>
      </c>
      <c r="H67" s="28">
        <f t="shared" si="7"/>
        <v>1111</v>
      </c>
      <c r="I67" s="27">
        <v>-1377</v>
      </c>
      <c r="J67" s="28">
        <f t="shared" si="2"/>
        <v>2488</v>
      </c>
      <c r="K67" s="22">
        <f t="shared" si="8"/>
        <v>373</v>
      </c>
      <c r="L67" s="22">
        <f t="shared" si="9"/>
        <v>47</v>
      </c>
      <c r="M67" s="28">
        <f t="shared" si="10"/>
        <v>1352</v>
      </c>
      <c r="N67" s="24">
        <v>-818</v>
      </c>
      <c r="O67" s="28">
        <f t="shared" si="3"/>
        <v>2170</v>
      </c>
      <c r="P67" s="22">
        <f t="shared" si="11"/>
        <v>240</v>
      </c>
      <c r="Q67" s="29"/>
      <c r="R67" s="30"/>
    </row>
    <row r="68" spans="1:18" x14ac:dyDescent="0.25">
      <c r="A68" s="21">
        <v>45844</v>
      </c>
      <c r="B68" s="22">
        <v>1</v>
      </c>
      <c r="C68" s="28">
        <f t="shared" si="4"/>
        <v>1204</v>
      </c>
      <c r="D68" s="24">
        <v>-763</v>
      </c>
      <c r="E68" s="25">
        <f t="shared" si="1"/>
        <v>1967</v>
      </c>
      <c r="F68" s="22">
        <f t="shared" si="5"/>
        <v>286</v>
      </c>
      <c r="G68" s="22">
        <f t="shared" si="6"/>
        <v>48</v>
      </c>
      <c r="H68" s="28">
        <f t="shared" si="7"/>
        <v>1110</v>
      </c>
      <c r="I68" s="27">
        <v>-1378</v>
      </c>
      <c r="J68" s="28">
        <f t="shared" si="2"/>
        <v>2488</v>
      </c>
      <c r="K68" s="22">
        <f t="shared" si="8"/>
        <v>374</v>
      </c>
      <c r="L68" s="22">
        <f t="shared" si="9"/>
        <v>48</v>
      </c>
      <c r="M68" s="28">
        <f t="shared" si="10"/>
        <v>1350</v>
      </c>
      <c r="N68" s="24">
        <v>-820</v>
      </c>
      <c r="O68" s="28">
        <f t="shared" si="3"/>
        <v>2170</v>
      </c>
      <c r="P68" s="22">
        <f t="shared" si="11"/>
        <v>242</v>
      </c>
      <c r="Q68" s="29"/>
      <c r="R68" s="30"/>
    </row>
    <row r="69" spans="1:18" x14ac:dyDescent="0.25">
      <c r="A69" s="21">
        <v>45845</v>
      </c>
      <c r="B69" s="22">
        <v>1</v>
      </c>
      <c r="C69" s="28">
        <f t="shared" si="4"/>
        <v>1203</v>
      </c>
      <c r="D69" s="24">
        <v>-764</v>
      </c>
      <c r="E69" s="25">
        <f t="shared" si="1"/>
        <v>1967</v>
      </c>
      <c r="F69" s="22">
        <f t="shared" si="5"/>
        <v>287</v>
      </c>
      <c r="G69" s="22">
        <f t="shared" si="6"/>
        <v>49</v>
      </c>
      <c r="H69" s="28">
        <f t="shared" si="7"/>
        <v>1109</v>
      </c>
      <c r="I69" s="27">
        <v>-1379</v>
      </c>
      <c r="J69" s="28">
        <f t="shared" si="2"/>
        <v>2488</v>
      </c>
      <c r="K69" s="22">
        <f t="shared" si="8"/>
        <v>375</v>
      </c>
      <c r="L69" s="22">
        <f t="shared" si="9"/>
        <v>49</v>
      </c>
      <c r="M69" s="28">
        <f t="shared" si="10"/>
        <v>1348</v>
      </c>
      <c r="N69" s="24">
        <v>-822</v>
      </c>
      <c r="O69" s="28">
        <f t="shared" si="3"/>
        <v>2170</v>
      </c>
      <c r="P69" s="22">
        <f t="shared" si="11"/>
        <v>244</v>
      </c>
      <c r="Q69" s="29"/>
      <c r="R69" s="30"/>
    </row>
    <row r="70" spans="1:18" x14ac:dyDescent="0.25">
      <c r="A70" s="21">
        <v>45846</v>
      </c>
      <c r="B70" s="22">
        <v>1</v>
      </c>
      <c r="C70" s="28">
        <f t="shared" si="4"/>
        <v>1202</v>
      </c>
      <c r="D70" s="24">
        <v>-765</v>
      </c>
      <c r="E70" s="25">
        <f t="shared" si="1"/>
        <v>1967</v>
      </c>
      <c r="F70" s="22">
        <f t="shared" si="5"/>
        <v>288</v>
      </c>
      <c r="G70" s="22">
        <f t="shared" si="6"/>
        <v>50</v>
      </c>
      <c r="H70" s="28">
        <f t="shared" si="7"/>
        <v>1108</v>
      </c>
      <c r="I70" s="27">
        <v>-1380</v>
      </c>
      <c r="J70" s="28">
        <f t="shared" si="2"/>
        <v>2488</v>
      </c>
      <c r="K70" s="22">
        <f t="shared" si="8"/>
        <v>376</v>
      </c>
      <c r="L70" s="22">
        <f t="shared" si="9"/>
        <v>50</v>
      </c>
      <c r="M70" s="28">
        <f t="shared" si="10"/>
        <v>1346</v>
      </c>
      <c r="N70" s="24">
        <v>-824</v>
      </c>
      <c r="O70" s="28">
        <f t="shared" si="3"/>
        <v>2170</v>
      </c>
      <c r="P70" s="22">
        <f t="shared" si="11"/>
        <v>246</v>
      </c>
      <c r="Q70" s="29"/>
      <c r="R70" s="30"/>
    </row>
    <row r="71" spans="1:18" x14ac:dyDescent="0.25">
      <c r="A71" s="21">
        <v>45847</v>
      </c>
      <c r="B71" s="22">
        <v>1</v>
      </c>
      <c r="C71" s="28">
        <f t="shared" si="4"/>
        <v>1201</v>
      </c>
      <c r="D71" s="24">
        <v>-766</v>
      </c>
      <c r="E71" s="25">
        <f t="shared" si="1"/>
        <v>1967</v>
      </c>
      <c r="F71" s="22">
        <f t="shared" si="5"/>
        <v>289</v>
      </c>
      <c r="G71" s="22">
        <f t="shared" si="6"/>
        <v>51</v>
      </c>
      <c r="H71" s="28">
        <f t="shared" si="7"/>
        <v>1108</v>
      </c>
      <c r="I71" s="27">
        <v>-1380</v>
      </c>
      <c r="J71" s="28">
        <f t="shared" si="2"/>
        <v>2488</v>
      </c>
      <c r="K71" s="22">
        <f t="shared" si="8"/>
        <v>376</v>
      </c>
      <c r="L71" s="22">
        <f t="shared" si="9"/>
        <v>51</v>
      </c>
      <c r="M71" s="28">
        <f t="shared" si="10"/>
        <v>1344</v>
      </c>
      <c r="N71" s="24">
        <v>-826</v>
      </c>
      <c r="O71" s="28">
        <f t="shared" si="3"/>
        <v>2170</v>
      </c>
      <c r="P71" s="22">
        <f t="shared" si="11"/>
        <v>248</v>
      </c>
      <c r="Q71" s="29"/>
      <c r="R71" s="30"/>
    </row>
    <row r="72" spans="1:18" x14ac:dyDescent="0.25">
      <c r="A72" s="21">
        <v>45848</v>
      </c>
      <c r="B72" s="22">
        <v>1</v>
      </c>
      <c r="C72" s="28">
        <f t="shared" si="4"/>
        <v>1200</v>
      </c>
      <c r="D72" s="24">
        <v>-767</v>
      </c>
      <c r="E72" s="25">
        <f t="shared" si="1"/>
        <v>1967</v>
      </c>
      <c r="F72" s="22">
        <f t="shared" si="5"/>
        <v>290</v>
      </c>
      <c r="G72" s="22">
        <f t="shared" si="6"/>
        <v>52</v>
      </c>
      <c r="H72" s="28">
        <f t="shared" si="7"/>
        <v>1108</v>
      </c>
      <c r="I72" s="27">
        <v>-1380</v>
      </c>
      <c r="J72" s="28">
        <f t="shared" si="2"/>
        <v>2488</v>
      </c>
      <c r="K72" s="22">
        <f t="shared" si="8"/>
        <v>376</v>
      </c>
      <c r="L72" s="22">
        <f t="shared" si="9"/>
        <v>52</v>
      </c>
      <c r="M72" s="28">
        <f t="shared" si="10"/>
        <v>1342</v>
      </c>
      <c r="N72" s="24">
        <v>-828</v>
      </c>
      <c r="O72" s="28">
        <f t="shared" si="3"/>
        <v>2170</v>
      </c>
      <c r="P72" s="22">
        <f t="shared" si="11"/>
        <v>250</v>
      </c>
      <c r="Q72" s="29"/>
      <c r="R72" s="30"/>
    </row>
    <row r="73" spans="1:18" x14ac:dyDescent="0.25">
      <c r="A73" s="21">
        <v>45849</v>
      </c>
      <c r="B73" s="22">
        <v>1</v>
      </c>
      <c r="C73" s="28">
        <f t="shared" si="4"/>
        <v>1199</v>
      </c>
      <c r="D73" s="24">
        <v>-768</v>
      </c>
      <c r="E73" s="25">
        <f t="shared" si="1"/>
        <v>1967</v>
      </c>
      <c r="F73" s="22">
        <f t="shared" si="5"/>
        <v>291</v>
      </c>
      <c r="G73" s="22">
        <f t="shared" si="6"/>
        <v>53</v>
      </c>
      <c r="H73" s="28">
        <f t="shared" si="7"/>
        <v>1108</v>
      </c>
      <c r="I73" s="27">
        <v>-1380</v>
      </c>
      <c r="J73" s="28">
        <f t="shared" si="2"/>
        <v>2488</v>
      </c>
      <c r="K73" s="22">
        <f t="shared" si="8"/>
        <v>376</v>
      </c>
      <c r="L73" s="22">
        <f t="shared" si="9"/>
        <v>53</v>
      </c>
      <c r="M73" s="28">
        <f t="shared" si="10"/>
        <v>1340</v>
      </c>
      <c r="N73" s="24">
        <v>-830</v>
      </c>
      <c r="O73" s="28">
        <f t="shared" si="3"/>
        <v>2170</v>
      </c>
      <c r="P73" s="22">
        <f t="shared" si="11"/>
        <v>252</v>
      </c>
      <c r="Q73" s="29"/>
      <c r="R73" s="30"/>
    </row>
    <row r="74" spans="1:18" x14ac:dyDescent="0.25">
      <c r="A74" s="21">
        <v>45850</v>
      </c>
      <c r="B74" s="22">
        <v>1</v>
      </c>
      <c r="C74" s="28">
        <f t="shared" si="4"/>
        <v>1198</v>
      </c>
      <c r="D74" s="24">
        <v>-769</v>
      </c>
      <c r="E74" s="25">
        <f t="shared" si="1"/>
        <v>1967</v>
      </c>
      <c r="F74" s="22">
        <f t="shared" si="5"/>
        <v>292</v>
      </c>
      <c r="G74" s="22">
        <f t="shared" si="6"/>
        <v>54</v>
      </c>
      <c r="H74" s="28">
        <f t="shared" si="7"/>
        <v>1108</v>
      </c>
      <c r="I74" s="27">
        <v>-1380</v>
      </c>
      <c r="J74" s="28">
        <f t="shared" si="2"/>
        <v>2488</v>
      </c>
      <c r="K74" s="22">
        <f t="shared" si="8"/>
        <v>376</v>
      </c>
      <c r="L74" s="22">
        <f t="shared" si="9"/>
        <v>54</v>
      </c>
      <c r="M74" s="28">
        <f t="shared" si="10"/>
        <v>1338</v>
      </c>
      <c r="N74" s="24">
        <v>-832</v>
      </c>
      <c r="O74" s="28">
        <f t="shared" si="3"/>
        <v>2170</v>
      </c>
      <c r="P74" s="22">
        <f t="shared" si="11"/>
        <v>254</v>
      </c>
      <c r="Q74" s="29"/>
      <c r="R74" s="30"/>
    </row>
    <row r="75" spans="1:18" x14ac:dyDescent="0.25">
      <c r="A75" s="21">
        <v>45851</v>
      </c>
      <c r="B75" s="22">
        <v>1</v>
      </c>
      <c r="C75" s="28">
        <f t="shared" si="4"/>
        <v>1197</v>
      </c>
      <c r="D75" s="24">
        <v>-770</v>
      </c>
      <c r="E75" s="25">
        <f t="shared" si="1"/>
        <v>1967</v>
      </c>
      <c r="F75" s="22">
        <f t="shared" si="5"/>
        <v>293</v>
      </c>
      <c r="G75" s="22">
        <f t="shared" si="6"/>
        <v>55</v>
      </c>
      <c r="H75" s="28">
        <f t="shared" si="7"/>
        <v>1108</v>
      </c>
      <c r="I75" s="27">
        <v>-1380</v>
      </c>
      <c r="J75" s="28">
        <f t="shared" si="2"/>
        <v>2488</v>
      </c>
      <c r="K75" s="22">
        <f t="shared" si="8"/>
        <v>376</v>
      </c>
      <c r="L75" s="22">
        <f t="shared" si="9"/>
        <v>55</v>
      </c>
      <c r="M75" s="28">
        <f t="shared" si="10"/>
        <v>1336</v>
      </c>
      <c r="N75" s="24">
        <v>-834</v>
      </c>
      <c r="O75" s="28">
        <f t="shared" si="3"/>
        <v>2170</v>
      </c>
      <c r="P75" s="22">
        <f t="shared" si="11"/>
        <v>256</v>
      </c>
      <c r="Q75" s="29"/>
      <c r="R75" s="30"/>
    </row>
    <row r="76" spans="1:18" x14ac:dyDescent="0.25">
      <c r="A76" s="21">
        <v>45852</v>
      </c>
      <c r="B76" s="22">
        <v>1</v>
      </c>
      <c r="C76" s="28">
        <f t="shared" si="4"/>
        <v>1197</v>
      </c>
      <c r="D76" s="24">
        <v>-770</v>
      </c>
      <c r="E76" s="25">
        <f t="shared" si="1"/>
        <v>1967</v>
      </c>
      <c r="F76" s="22">
        <f t="shared" si="5"/>
        <v>293</v>
      </c>
      <c r="G76" s="22">
        <f t="shared" si="6"/>
        <v>56</v>
      </c>
      <c r="H76" s="28">
        <f t="shared" si="7"/>
        <v>1108</v>
      </c>
      <c r="I76" s="27">
        <v>-1380</v>
      </c>
      <c r="J76" s="28">
        <f t="shared" si="2"/>
        <v>2488</v>
      </c>
      <c r="K76" s="22">
        <f t="shared" si="8"/>
        <v>376</v>
      </c>
      <c r="L76" s="22">
        <f t="shared" si="9"/>
        <v>56</v>
      </c>
      <c r="M76" s="28">
        <f t="shared" si="10"/>
        <v>1334</v>
      </c>
      <c r="N76" s="24">
        <v>-836</v>
      </c>
      <c r="O76" s="28">
        <f t="shared" si="3"/>
        <v>2170</v>
      </c>
      <c r="P76" s="22">
        <f t="shared" si="11"/>
        <v>258</v>
      </c>
      <c r="Q76" s="29"/>
      <c r="R76" s="30"/>
    </row>
    <row r="77" spans="1:18" x14ac:dyDescent="0.25">
      <c r="A77" s="21">
        <v>45853</v>
      </c>
      <c r="B77" s="22">
        <v>1</v>
      </c>
      <c r="C77" s="28">
        <f t="shared" si="4"/>
        <v>1197</v>
      </c>
      <c r="D77" s="24">
        <v>-770</v>
      </c>
      <c r="E77" s="25">
        <f t="shared" si="1"/>
        <v>1967</v>
      </c>
      <c r="F77" s="22">
        <f t="shared" si="5"/>
        <v>293</v>
      </c>
      <c r="G77" s="22">
        <f t="shared" si="6"/>
        <v>57</v>
      </c>
      <c r="H77" s="28">
        <f t="shared" si="7"/>
        <v>1108</v>
      </c>
      <c r="I77" s="27">
        <v>-1380</v>
      </c>
      <c r="J77" s="28">
        <f t="shared" si="2"/>
        <v>2488</v>
      </c>
      <c r="K77" s="22">
        <f t="shared" si="8"/>
        <v>376</v>
      </c>
      <c r="L77" s="22">
        <f t="shared" si="9"/>
        <v>57</v>
      </c>
      <c r="M77" s="28">
        <f t="shared" si="10"/>
        <v>1332</v>
      </c>
      <c r="N77" s="24">
        <v>-838</v>
      </c>
      <c r="O77" s="28">
        <f t="shared" si="3"/>
        <v>2170</v>
      </c>
      <c r="P77" s="22">
        <f t="shared" si="11"/>
        <v>260</v>
      </c>
      <c r="Q77" s="29"/>
      <c r="R77" s="30"/>
    </row>
    <row r="78" spans="1:18" x14ac:dyDescent="0.25">
      <c r="A78" s="21">
        <v>45854</v>
      </c>
      <c r="B78" s="22">
        <v>1</v>
      </c>
      <c r="C78" s="28">
        <f t="shared" si="4"/>
        <v>1197</v>
      </c>
      <c r="D78" s="24">
        <v>-770</v>
      </c>
      <c r="E78" s="25">
        <f t="shared" si="1"/>
        <v>1967</v>
      </c>
      <c r="F78" s="22">
        <f t="shared" si="5"/>
        <v>293</v>
      </c>
      <c r="G78" s="22">
        <f t="shared" si="6"/>
        <v>58</v>
      </c>
      <c r="H78" s="28">
        <f t="shared" si="7"/>
        <v>1108</v>
      </c>
      <c r="I78" s="27">
        <v>-1380</v>
      </c>
      <c r="J78" s="28">
        <f t="shared" si="2"/>
        <v>2488</v>
      </c>
      <c r="K78" s="22">
        <f t="shared" si="8"/>
        <v>376</v>
      </c>
      <c r="L78" s="22">
        <f t="shared" si="9"/>
        <v>58</v>
      </c>
      <c r="M78" s="28">
        <f t="shared" si="10"/>
        <v>1330</v>
      </c>
      <c r="N78" s="24">
        <v>-840</v>
      </c>
      <c r="O78" s="28">
        <f t="shared" si="3"/>
        <v>2170</v>
      </c>
      <c r="P78" s="22">
        <f t="shared" si="11"/>
        <v>262</v>
      </c>
      <c r="Q78" s="29"/>
      <c r="R78" s="30"/>
    </row>
    <row r="79" spans="1:18" x14ac:dyDescent="0.25">
      <c r="A79" s="21">
        <v>45855</v>
      </c>
      <c r="B79" s="22">
        <v>1</v>
      </c>
      <c r="C79" s="28">
        <f t="shared" si="4"/>
        <v>1197</v>
      </c>
      <c r="D79" s="24">
        <v>-770</v>
      </c>
      <c r="E79" s="25">
        <f t="shared" si="1"/>
        <v>1967</v>
      </c>
      <c r="F79" s="22">
        <f t="shared" si="5"/>
        <v>293</v>
      </c>
      <c r="G79" s="22">
        <f t="shared" si="6"/>
        <v>59</v>
      </c>
      <c r="H79" s="28">
        <f t="shared" si="7"/>
        <v>1108</v>
      </c>
      <c r="I79" s="27">
        <v>-1380</v>
      </c>
      <c r="J79" s="28">
        <f t="shared" si="2"/>
        <v>2488</v>
      </c>
      <c r="K79" s="22">
        <f t="shared" si="8"/>
        <v>376</v>
      </c>
      <c r="L79" s="22">
        <f t="shared" si="9"/>
        <v>59</v>
      </c>
      <c r="M79" s="28">
        <f t="shared" si="10"/>
        <v>1328</v>
      </c>
      <c r="N79" s="24">
        <v>-842</v>
      </c>
      <c r="O79" s="28">
        <f t="shared" si="3"/>
        <v>2170</v>
      </c>
      <c r="P79" s="22">
        <f t="shared" si="11"/>
        <v>264</v>
      </c>
      <c r="Q79" s="29"/>
      <c r="R79" s="30"/>
    </row>
    <row r="80" spans="1:18" x14ac:dyDescent="0.25">
      <c r="A80" s="21">
        <v>45856</v>
      </c>
      <c r="B80" s="22">
        <v>1</v>
      </c>
      <c r="C80" s="28">
        <f t="shared" si="4"/>
        <v>1195</v>
      </c>
      <c r="D80" s="24">
        <v>-772</v>
      </c>
      <c r="E80" s="25">
        <f t="shared" si="1"/>
        <v>1967</v>
      </c>
      <c r="F80" s="22">
        <f t="shared" si="5"/>
        <v>295</v>
      </c>
      <c r="G80" s="22">
        <f t="shared" si="6"/>
        <v>60</v>
      </c>
      <c r="H80" s="28">
        <f t="shared" si="7"/>
        <v>1104</v>
      </c>
      <c r="I80" s="27">
        <v>-1384</v>
      </c>
      <c r="J80" s="28">
        <f t="shared" si="2"/>
        <v>2488</v>
      </c>
      <c r="K80" s="22">
        <f t="shared" si="8"/>
        <v>380</v>
      </c>
      <c r="L80" s="22">
        <f t="shared" si="9"/>
        <v>60</v>
      </c>
      <c r="M80" s="28">
        <f t="shared" si="10"/>
        <v>1315</v>
      </c>
      <c r="N80" s="24">
        <v>-855</v>
      </c>
      <c r="O80" s="28">
        <f t="shared" si="3"/>
        <v>2170</v>
      </c>
      <c r="P80" s="22">
        <f t="shared" si="11"/>
        <v>277</v>
      </c>
      <c r="Q80" s="29"/>
      <c r="R80" s="30"/>
    </row>
    <row r="81" spans="1:18" x14ac:dyDescent="0.25">
      <c r="A81" s="21">
        <v>45857</v>
      </c>
      <c r="B81" s="22">
        <v>1</v>
      </c>
      <c r="C81" s="28">
        <f t="shared" si="4"/>
        <v>1193</v>
      </c>
      <c r="D81" s="24">
        <v>-774</v>
      </c>
      <c r="E81" s="25">
        <f t="shared" si="1"/>
        <v>1967</v>
      </c>
      <c r="F81" s="22">
        <f t="shared" si="5"/>
        <v>297</v>
      </c>
      <c r="G81" s="22">
        <f t="shared" si="6"/>
        <v>61</v>
      </c>
      <c r="H81" s="28">
        <f t="shared" si="7"/>
        <v>1100</v>
      </c>
      <c r="I81" s="27">
        <v>-1388</v>
      </c>
      <c r="J81" s="28">
        <f t="shared" si="2"/>
        <v>2488</v>
      </c>
      <c r="K81" s="22">
        <f t="shared" si="8"/>
        <v>384</v>
      </c>
      <c r="L81" s="22">
        <f t="shared" si="9"/>
        <v>61</v>
      </c>
      <c r="M81" s="28">
        <f t="shared" si="10"/>
        <v>1312</v>
      </c>
      <c r="N81" s="24">
        <v>-858</v>
      </c>
      <c r="O81" s="28">
        <f t="shared" si="3"/>
        <v>2170</v>
      </c>
      <c r="P81" s="22">
        <f t="shared" si="11"/>
        <v>280</v>
      </c>
      <c r="Q81" s="29"/>
      <c r="R81" s="30"/>
    </row>
    <row r="82" spans="1:18" x14ac:dyDescent="0.25">
      <c r="A82" s="21">
        <v>45858</v>
      </c>
      <c r="B82" s="22">
        <v>1</v>
      </c>
      <c r="C82" s="28">
        <f t="shared" si="4"/>
        <v>1190</v>
      </c>
      <c r="D82" s="24">
        <v>-777</v>
      </c>
      <c r="E82" s="25">
        <f t="shared" si="1"/>
        <v>1967</v>
      </c>
      <c r="F82" s="22">
        <f t="shared" si="5"/>
        <v>300</v>
      </c>
      <c r="G82" s="22">
        <f t="shared" si="6"/>
        <v>62</v>
      </c>
      <c r="H82" s="28">
        <f t="shared" si="7"/>
        <v>1096</v>
      </c>
      <c r="I82" s="27">
        <v>-1392</v>
      </c>
      <c r="J82" s="28">
        <f t="shared" si="2"/>
        <v>2488</v>
      </c>
      <c r="K82" s="22">
        <f t="shared" si="8"/>
        <v>388</v>
      </c>
      <c r="L82" s="22">
        <f t="shared" si="9"/>
        <v>62</v>
      </c>
      <c r="M82" s="28">
        <f t="shared" si="10"/>
        <v>1309</v>
      </c>
      <c r="N82" s="24">
        <v>-861</v>
      </c>
      <c r="O82" s="28">
        <f t="shared" si="3"/>
        <v>2170</v>
      </c>
      <c r="P82" s="22">
        <f t="shared" si="11"/>
        <v>283</v>
      </c>
      <c r="Q82" s="29"/>
      <c r="R82" s="30"/>
    </row>
    <row r="83" spans="1:18" x14ac:dyDescent="0.25">
      <c r="A83" s="21">
        <v>45859</v>
      </c>
      <c r="B83" s="22">
        <v>1</v>
      </c>
      <c r="C83" s="28">
        <f t="shared" si="4"/>
        <v>1186</v>
      </c>
      <c r="D83" s="24">
        <v>-781</v>
      </c>
      <c r="E83" s="25">
        <f t="shared" si="1"/>
        <v>1967</v>
      </c>
      <c r="F83" s="22">
        <f t="shared" si="5"/>
        <v>304</v>
      </c>
      <c r="G83" s="22">
        <f t="shared" si="6"/>
        <v>63</v>
      </c>
      <c r="H83" s="28">
        <f t="shared" si="7"/>
        <v>1092</v>
      </c>
      <c r="I83" s="27">
        <v>-1396</v>
      </c>
      <c r="J83" s="28">
        <f t="shared" si="2"/>
        <v>2488</v>
      </c>
      <c r="K83" s="22">
        <f t="shared" si="8"/>
        <v>392</v>
      </c>
      <c r="L83" s="22">
        <f t="shared" si="9"/>
        <v>63</v>
      </c>
      <c r="M83" s="28">
        <f t="shared" si="10"/>
        <v>1306</v>
      </c>
      <c r="N83" s="24">
        <v>-864</v>
      </c>
      <c r="O83" s="28">
        <f t="shared" si="3"/>
        <v>2170</v>
      </c>
      <c r="P83" s="22">
        <f t="shared" si="11"/>
        <v>286</v>
      </c>
      <c r="Q83" s="29"/>
      <c r="R83" s="30"/>
    </row>
    <row r="84" spans="1:18" x14ac:dyDescent="0.25">
      <c r="A84" s="21">
        <v>45860</v>
      </c>
      <c r="B84" s="22">
        <v>1</v>
      </c>
      <c r="C84" s="28">
        <f t="shared" si="4"/>
        <v>1182</v>
      </c>
      <c r="D84" s="24">
        <v>-785</v>
      </c>
      <c r="E84" s="25">
        <f t="shared" si="1"/>
        <v>1967</v>
      </c>
      <c r="F84" s="22">
        <f t="shared" si="5"/>
        <v>308</v>
      </c>
      <c r="G84" s="22">
        <f t="shared" si="6"/>
        <v>64</v>
      </c>
      <c r="H84" s="28">
        <f t="shared" si="7"/>
        <v>1088</v>
      </c>
      <c r="I84" s="27">
        <v>-1400</v>
      </c>
      <c r="J84" s="28">
        <f t="shared" si="2"/>
        <v>2488</v>
      </c>
      <c r="K84" s="22">
        <f t="shared" si="8"/>
        <v>396</v>
      </c>
      <c r="L84" s="22">
        <f t="shared" si="9"/>
        <v>64</v>
      </c>
      <c r="M84" s="28">
        <f t="shared" si="10"/>
        <v>1303</v>
      </c>
      <c r="N84" s="24">
        <v>-867</v>
      </c>
      <c r="O84" s="28">
        <f t="shared" si="3"/>
        <v>2170</v>
      </c>
      <c r="P84" s="22">
        <f t="shared" si="11"/>
        <v>289</v>
      </c>
      <c r="Q84" s="29"/>
      <c r="R84" s="30"/>
    </row>
    <row r="85" spans="1:18" x14ac:dyDescent="0.25">
      <c r="A85" s="21">
        <v>45861</v>
      </c>
      <c r="B85" s="22">
        <v>1</v>
      </c>
      <c r="C85" s="28">
        <f t="shared" si="4"/>
        <v>1178</v>
      </c>
      <c r="D85" s="24">
        <v>-789</v>
      </c>
      <c r="E85" s="25">
        <f t="shared" si="1"/>
        <v>1967</v>
      </c>
      <c r="F85" s="22">
        <f t="shared" si="5"/>
        <v>312</v>
      </c>
      <c r="G85" s="22">
        <f t="shared" si="6"/>
        <v>65</v>
      </c>
      <c r="H85" s="28">
        <f t="shared" si="7"/>
        <v>1084</v>
      </c>
      <c r="I85" s="27">
        <v>-1404</v>
      </c>
      <c r="J85" s="28">
        <f t="shared" si="2"/>
        <v>2488</v>
      </c>
      <c r="K85" s="22">
        <f t="shared" si="8"/>
        <v>400</v>
      </c>
      <c r="L85" s="22">
        <f t="shared" si="9"/>
        <v>65</v>
      </c>
      <c r="M85" s="28">
        <f t="shared" si="10"/>
        <v>1300</v>
      </c>
      <c r="N85" s="24">
        <v>-870</v>
      </c>
      <c r="O85" s="28">
        <f t="shared" si="3"/>
        <v>2170</v>
      </c>
      <c r="P85" s="22">
        <f t="shared" si="11"/>
        <v>292</v>
      </c>
      <c r="Q85" s="29"/>
      <c r="R85" s="30"/>
    </row>
    <row r="86" spans="1:18" x14ac:dyDescent="0.25">
      <c r="A86" s="21">
        <v>45862</v>
      </c>
      <c r="B86" s="22">
        <v>1</v>
      </c>
      <c r="C86" s="28">
        <f t="shared" si="4"/>
        <v>1174</v>
      </c>
      <c r="D86" s="24">
        <v>-793</v>
      </c>
      <c r="E86" s="25">
        <f t="shared" si="1"/>
        <v>1967</v>
      </c>
      <c r="F86" s="22">
        <f t="shared" si="5"/>
        <v>316</v>
      </c>
      <c r="G86" s="22">
        <f t="shared" si="6"/>
        <v>66</v>
      </c>
      <c r="H86" s="28">
        <f t="shared" si="7"/>
        <v>1080</v>
      </c>
      <c r="I86" s="27">
        <v>-1408</v>
      </c>
      <c r="J86" s="28">
        <f t="shared" si="2"/>
        <v>2488</v>
      </c>
      <c r="K86" s="22">
        <f t="shared" si="8"/>
        <v>404</v>
      </c>
      <c r="L86" s="22">
        <f t="shared" si="9"/>
        <v>66</v>
      </c>
      <c r="M86" s="28">
        <f t="shared" si="10"/>
        <v>1297</v>
      </c>
      <c r="N86" s="24">
        <v>-873</v>
      </c>
      <c r="O86" s="28">
        <f t="shared" si="3"/>
        <v>2170</v>
      </c>
      <c r="P86" s="22">
        <f t="shared" si="11"/>
        <v>295</v>
      </c>
      <c r="Q86" s="29"/>
      <c r="R86" s="30"/>
    </row>
    <row r="87" spans="1:18" x14ac:dyDescent="0.25">
      <c r="A87" s="21">
        <v>45863</v>
      </c>
      <c r="B87" s="22">
        <v>1</v>
      </c>
      <c r="C87" s="28">
        <f t="shared" si="4"/>
        <v>1170</v>
      </c>
      <c r="D87" s="24">
        <v>-797</v>
      </c>
      <c r="E87" s="25">
        <f t="shared" si="1"/>
        <v>1967</v>
      </c>
      <c r="F87" s="22">
        <f t="shared" si="5"/>
        <v>320</v>
      </c>
      <c r="G87" s="22">
        <f t="shared" si="6"/>
        <v>67</v>
      </c>
      <c r="H87" s="28">
        <f t="shared" si="7"/>
        <v>1076</v>
      </c>
      <c r="I87" s="27">
        <v>-1412</v>
      </c>
      <c r="J87" s="28">
        <f t="shared" si="2"/>
        <v>2488</v>
      </c>
      <c r="K87" s="22">
        <f t="shared" si="8"/>
        <v>408</v>
      </c>
      <c r="L87" s="22">
        <f t="shared" si="9"/>
        <v>67</v>
      </c>
      <c r="M87" s="28">
        <f t="shared" si="10"/>
        <v>1294</v>
      </c>
      <c r="N87" s="24">
        <v>-876</v>
      </c>
      <c r="O87" s="28">
        <f t="shared" si="3"/>
        <v>2170</v>
      </c>
      <c r="P87" s="22">
        <f t="shared" si="11"/>
        <v>298</v>
      </c>
      <c r="Q87" s="29"/>
      <c r="R87" s="30"/>
    </row>
    <row r="88" spans="1:18" x14ac:dyDescent="0.25">
      <c r="A88" s="21">
        <v>45864</v>
      </c>
      <c r="B88" s="22">
        <v>1</v>
      </c>
      <c r="C88" s="28">
        <f t="shared" si="4"/>
        <v>1166</v>
      </c>
      <c r="D88" s="24">
        <v>-801</v>
      </c>
      <c r="E88" s="25">
        <f t="shared" si="1"/>
        <v>1967</v>
      </c>
      <c r="F88" s="22">
        <f t="shared" si="5"/>
        <v>324</v>
      </c>
      <c r="G88" s="22">
        <f t="shared" si="6"/>
        <v>68</v>
      </c>
      <c r="H88" s="28">
        <f t="shared" si="7"/>
        <v>1072</v>
      </c>
      <c r="I88" s="27">
        <v>-1416</v>
      </c>
      <c r="J88" s="28">
        <f t="shared" si="2"/>
        <v>2488</v>
      </c>
      <c r="K88" s="22">
        <f t="shared" si="8"/>
        <v>412</v>
      </c>
      <c r="L88" s="22">
        <f t="shared" si="9"/>
        <v>68</v>
      </c>
      <c r="M88" s="28">
        <f t="shared" si="10"/>
        <v>1291</v>
      </c>
      <c r="N88" s="24">
        <v>-879</v>
      </c>
      <c r="O88" s="28">
        <f t="shared" si="3"/>
        <v>2170</v>
      </c>
      <c r="P88" s="22">
        <f t="shared" si="11"/>
        <v>301</v>
      </c>
      <c r="Q88" s="29"/>
      <c r="R88" s="30"/>
    </row>
    <row r="89" spans="1:18" x14ac:dyDescent="0.25">
      <c r="A89" s="21">
        <v>45865</v>
      </c>
      <c r="B89" s="22">
        <v>1</v>
      </c>
      <c r="C89" s="28">
        <f t="shared" si="4"/>
        <v>1162</v>
      </c>
      <c r="D89" s="24">
        <v>-805</v>
      </c>
      <c r="E89" s="25">
        <f t="shared" si="1"/>
        <v>1967</v>
      </c>
      <c r="F89" s="22">
        <f t="shared" si="5"/>
        <v>328</v>
      </c>
      <c r="G89" s="22">
        <f t="shared" si="6"/>
        <v>69</v>
      </c>
      <c r="H89" s="28">
        <f t="shared" si="7"/>
        <v>1068</v>
      </c>
      <c r="I89" s="27">
        <v>-1420</v>
      </c>
      <c r="J89" s="28">
        <f t="shared" si="2"/>
        <v>2488</v>
      </c>
      <c r="K89" s="22">
        <f t="shared" si="8"/>
        <v>416</v>
      </c>
      <c r="L89" s="22">
        <f t="shared" si="9"/>
        <v>69</v>
      </c>
      <c r="M89" s="28">
        <f t="shared" si="10"/>
        <v>1288</v>
      </c>
      <c r="N89" s="24">
        <v>-882</v>
      </c>
      <c r="O89" s="28">
        <f t="shared" si="3"/>
        <v>2170</v>
      </c>
      <c r="P89" s="22">
        <f t="shared" si="11"/>
        <v>304</v>
      </c>
      <c r="Q89" s="29"/>
      <c r="R89" s="30"/>
    </row>
  </sheetData>
  <mergeCells count="63"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  <mergeCell ref="A1:R1"/>
    <mergeCell ref="A2:R2"/>
    <mergeCell ref="A3:R3"/>
    <mergeCell ref="A4:F4"/>
    <mergeCell ref="G4:L4"/>
    <mergeCell ref="M4:R4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89">
    <cfRule type="cellIs" dxfId="19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>
    <outlinePr summaryBelow="0" summaryRight="0"/>
  </sheetPr>
  <dimension ref="A1:R102"/>
  <sheetViews>
    <sheetView topLeftCell="A77" workbookViewId="0">
      <selection activeCell="C109" sqref="C109"/>
    </sheetView>
  </sheetViews>
  <sheetFormatPr defaultColWidth="14.42578125" defaultRowHeight="15" customHeight="1" x14ac:dyDescent="0.2"/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(13/05/25)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71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72</v>
      </c>
      <c r="R16" s="112" t="s">
        <v>73</v>
      </c>
    </row>
    <row r="17" spans="1:18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x14ac:dyDescent="0.25">
      <c r="A21" s="21">
        <v>45790</v>
      </c>
      <c r="B21" s="22">
        <v>1</v>
      </c>
      <c r="C21" s="23">
        <v>1417</v>
      </c>
      <c r="D21" s="24">
        <v>-770</v>
      </c>
      <c r="E21" s="25">
        <f t="shared" ref="E21:E96" si="1">C21-D21</f>
        <v>2187</v>
      </c>
      <c r="F21" s="22">
        <v>0</v>
      </c>
      <c r="G21" s="22">
        <v>1</v>
      </c>
      <c r="H21" s="25">
        <v>1447</v>
      </c>
      <c r="I21" s="27">
        <v>-1001</v>
      </c>
      <c r="J21" s="28">
        <f t="shared" ref="J21:J96" si="2">H21-I21</f>
        <v>2448</v>
      </c>
      <c r="K21" s="22">
        <v>0</v>
      </c>
      <c r="L21" s="22">
        <v>1</v>
      </c>
      <c r="M21" s="23">
        <v>1587</v>
      </c>
      <c r="N21" s="24">
        <v>-1368</v>
      </c>
      <c r="O21" s="28">
        <f t="shared" ref="O21:O96" si="3">M21-N21</f>
        <v>2955</v>
      </c>
      <c r="P21" s="22">
        <v>0</v>
      </c>
      <c r="Q21" s="29"/>
      <c r="R21" s="30"/>
    </row>
    <row r="22" spans="1:18" x14ac:dyDescent="0.25">
      <c r="A22" s="21">
        <v>45791</v>
      </c>
      <c r="B22" s="26">
        <v>2</v>
      </c>
      <c r="C22" s="28">
        <f t="shared" ref="C22:C95" si="4">$C$21-F22</f>
        <v>1387</v>
      </c>
      <c r="D22" s="24">
        <v>-800</v>
      </c>
      <c r="E22" s="25">
        <f t="shared" si="1"/>
        <v>2187</v>
      </c>
      <c r="F22" s="22">
        <f t="shared" ref="F22:F96" si="5">$D$21-D22</f>
        <v>30</v>
      </c>
      <c r="G22" s="22">
        <f t="shared" ref="G22:G96" si="6">G21+1</f>
        <v>2</v>
      </c>
      <c r="H22" s="28">
        <f t="shared" ref="H22:H95" si="7">$H$21-K22</f>
        <v>1415</v>
      </c>
      <c r="I22" s="27">
        <v>-1033</v>
      </c>
      <c r="J22" s="28">
        <f t="shared" si="2"/>
        <v>2448</v>
      </c>
      <c r="K22" s="22">
        <f t="shared" ref="K22:K96" si="8">$I$21-I22</f>
        <v>32</v>
      </c>
      <c r="L22" s="22">
        <f t="shared" ref="L22:L96" si="9">L21+1</f>
        <v>2</v>
      </c>
      <c r="M22" s="28">
        <f t="shared" ref="M22:M95" si="10">$M$21-P22</f>
        <v>1557</v>
      </c>
      <c r="N22" s="24">
        <v>-1398</v>
      </c>
      <c r="O22" s="28">
        <f t="shared" si="3"/>
        <v>2955</v>
      </c>
      <c r="P22" s="22">
        <f t="shared" ref="P22:P96" si="11">$N$21-N22</f>
        <v>30</v>
      </c>
      <c r="Q22" s="29"/>
      <c r="R22" s="30"/>
    </row>
    <row r="23" spans="1:18" x14ac:dyDescent="0.25">
      <c r="A23" s="21">
        <v>45792</v>
      </c>
      <c r="B23" s="22">
        <v>3</v>
      </c>
      <c r="C23" s="28">
        <f t="shared" si="4"/>
        <v>1357</v>
      </c>
      <c r="D23" s="24">
        <v>-830</v>
      </c>
      <c r="E23" s="25">
        <f t="shared" si="1"/>
        <v>2187</v>
      </c>
      <c r="F23" s="22">
        <f t="shared" si="5"/>
        <v>60</v>
      </c>
      <c r="G23" s="22">
        <f t="shared" si="6"/>
        <v>3</v>
      </c>
      <c r="H23" s="28">
        <f t="shared" si="7"/>
        <v>1382</v>
      </c>
      <c r="I23" s="27">
        <v>-1066</v>
      </c>
      <c r="J23" s="28">
        <f t="shared" si="2"/>
        <v>2448</v>
      </c>
      <c r="K23" s="22">
        <f t="shared" si="8"/>
        <v>65</v>
      </c>
      <c r="L23" s="22">
        <f t="shared" si="9"/>
        <v>3</v>
      </c>
      <c r="M23" s="28">
        <f t="shared" si="10"/>
        <v>1535</v>
      </c>
      <c r="N23" s="24">
        <v>-1420</v>
      </c>
      <c r="O23" s="28">
        <f t="shared" si="3"/>
        <v>2955</v>
      </c>
      <c r="P23" s="22">
        <f t="shared" si="11"/>
        <v>52</v>
      </c>
      <c r="Q23" s="29"/>
      <c r="R23" s="30"/>
    </row>
    <row r="24" spans="1:18" x14ac:dyDescent="0.25">
      <c r="A24" s="21">
        <v>45793</v>
      </c>
      <c r="B24" s="26">
        <v>4</v>
      </c>
      <c r="C24" s="28">
        <f t="shared" si="4"/>
        <v>1334</v>
      </c>
      <c r="D24" s="24">
        <v>-853</v>
      </c>
      <c r="E24" s="25">
        <f t="shared" si="1"/>
        <v>2187</v>
      </c>
      <c r="F24" s="22">
        <f t="shared" si="5"/>
        <v>83</v>
      </c>
      <c r="G24" s="22">
        <f t="shared" si="6"/>
        <v>4</v>
      </c>
      <c r="H24" s="28">
        <f t="shared" si="7"/>
        <v>1350</v>
      </c>
      <c r="I24" s="27">
        <v>-1098</v>
      </c>
      <c r="J24" s="28">
        <f t="shared" si="2"/>
        <v>2448</v>
      </c>
      <c r="K24" s="22">
        <f t="shared" si="8"/>
        <v>97</v>
      </c>
      <c r="L24" s="22">
        <f t="shared" si="9"/>
        <v>4</v>
      </c>
      <c r="M24" s="28">
        <f t="shared" si="10"/>
        <v>1507</v>
      </c>
      <c r="N24" s="24">
        <v>-1448</v>
      </c>
      <c r="O24" s="28">
        <f t="shared" si="3"/>
        <v>2955</v>
      </c>
      <c r="P24" s="22">
        <f t="shared" si="11"/>
        <v>80</v>
      </c>
      <c r="Q24" s="29"/>
      <c r="R24" s="30"/>
    </row>
    <row r="25" spans="1:18" x14ac:dyDescent="0.25">
      <c r="A25" s="21">
        <v>45794</v>
      </c>
      <c r="B25" s="22">
        <v>5</v>
      </c>
      <c r="C25" s="28">
        <f t="shared" si="4"/>
        <v>1314</v>
      </c>
      <c r="D25" s="24">
        <v>-873</v>
      </c>
      <c r="E25" s="25">
        <f t="shared" si="1"/>
        <v>2187</v>
      </c>
      <c r="F25" s="22">
        <f t="shared" si="5"/>
        <v>103</v>
      </c>
      <c r="G25" s="22">
        <f t="shared" si="6"/>
        <v>5</v>
      </c>
      <c r="H25" s="28">
        <f t="shared" si="7"/>
        <v>1340</v>
      </c>
      <c r="I25" s="27">
        <v>-1108</v>
      </c>
      <c r="J25" s="28">
        <f t="shared" si="2"/>
        <v>2448</v>
      </c>
      <c r="K25" s="22">
        <f t="shared" si="8"/>
        <v>107</v>
      </c>
      <c r="L25" s="22">
        <f t="shared" si="9"/>
        <v>5</v>
      </c>
      <c r="M25" s="28">
        <f t="shared" si="10"/>
        <v>1491</v>
      </c>
      <c r="N25" s="24">
        <v>-1464</v>
      </c>
      <c r="O25" s="28">
        <f t="shared" si="3"/>
        <v>2955</v>
      </c>
      <c r="P25" s="22">
        <f t="shared" si="11"/>
        <v>96</v>
      </c>
      <c r="Q25" s="29"/>
      <c r="R25" s="30"/>
    </row>
    <row r="26" spans="1:18" x14ac:dyDescent="0.25">
      <c r="A26" s="21">
        <v>45795</v>
      </c>
      <c r="B26" s="26">
        <v>6</v>
      </c>
      <c r="C26" s="28">
        <f t="shared" si="4"/>
        <v>1297</v>
      </c>
      <c r="D26" s="24">
        <v>-890</v>
      </c>
      <c r="E26" s="25">
        <f t="shared" si="1"/>
        <v>2187</v>
      </c>
      <c r="F26" s="22">
        <f t="shared" si="5"/>
        <v>120</v>
      </c>
      <c r="G26" s="22">
        <f t="shared" si="6"/>
        <v>6</v>
      </c>
      <c r="H26" s="28">
        <f t="shared" si="7"/>
        <v>1330</v>
      </c>
      <c r="I26" s="27">
        <v>-1118</v>
      </c>
      <c r="J26" s="28">
        <f t="shared" si="2"/>
        <v>2448</v>
      </c>
      <c r="K26" s="22">
        <f t="shared" si="8"/>
        <v>117</v>
      </c>
      <c r="L26" s="22">
        <f t="shared" si="9"/>
        <v>6</v>
      </c>
      <c r="M26" s="28">
        <f t="shared" si="10"/>
        <v>1472</v>
      </c>
      <c r="N26" s="24">
        <v>-1483</v>
      </c>
      <c r="O26" s="28">
        <f t="shared" si="3"/>
        <v>2955</v>
      </c>
      <c r="P26" s="22">
        <f t="shared" si="11"/>
        <v>115</v>
      </c>
      <c r="Q26" s="29"/>
      <c r="R26" s="30"/>
    </row>
    <row r="27" spans="1:18" x14ac:dyDescent="0.25">
      <c r="A27" s="21">
        <v>45796</v>
      </c>
      <c r="B27" s="22">
        <v>7</v>
      </c>
      <c r="C27" s="28">
        <f t="shared" si="4"/>
        <v>1279</v>
      </c>
      <c r="D27" s="24">
        <v>-908</v>
      </c>
      <c r="E27" s="25">
        <f t="shared" si="1"/>
        <v>2187</v>
      </c>
      <c r="F27" s="22">
        <f t="shared" si="5"/>
        <v>138</v>
      </c>
      <c r="G27" s="22">
        <f t="shared" si="6"/>
        <v>7</v>
      </c>
      <c r="H27" s="28">
        <f t="shared" si="7"/>
        <v>1321</v>
      </c>
      <c r="I27" s="27">
        <v>-1127</v>
      </c>
      <c r="J27" s="28">
        <f t="shared" si="2"/>
        <v>2448</v>
      </c>
      <c r="K27" s="22">
        <f t="shared" si="8"/>
        <v>126</v>
      </c>
      <c r="L27" s="22">
        <f t="shared" si="9"/>
        <v>7</v>
      </c>
      <c r="M27" s="28">
        <f t="shared" si="10"/>
        <v>1457</v>
      </c>
      <c r="N27" s="24">
        <v>-1498</v>
      </c>
      <c r="O27" s="28">
        <f t="shared" si="3"/>
        <v>2955</v>
      </c>
      <c r="P27" s="22">
        <f t="shared" si="11"/>
        <v>130</v>
      </c>
      <c r="Q27" s="29"/>
      <c r="R27" s="30"/>
    </row>
    <row r="28" spans="1:18" x14ac:dyDescent="0.25">
      <c r="A28" s="21">
        <v>45797</v>
      </c>
      <c r="B28" s="26">
        <v>8</v>
      </c>
      <c r="C28" s="28">
        <f t="shared" si="4"/>
        <v>1279</v>
      </c>
      <c r="D28" s="24">
        <v>-908</v>
      </c>
      <c r="E28" s="25">
        <f t="shared" si="1"/>
        <v>2187</v>
      </c>
      <c r="F28" s="22">
        <f t="shared" si="5"/>
        <v>138</v>
      </c>
      <c r="G28" s="22">
        <f t="shared" si="6"/>
        <v>8</v>
      </c>
      <c r="H28" s="28">
        <f t="shared" si="7"/>
        <v>1321</v>
      </c>
      <c r="I28" s="27">
        <v>-1127</v>
      </c>
      <c r="J28" s="28">
        <f t="shared" si="2"/>
        <v>2448</v>
      </c>
      <c r="K28" s="22">
        <f t="shared" si="8"/>
        <v>126</v>
      </c>
      <c r="L28" s="22">
        <f t="shared" si="9"/>
        <v>8</v>
      </c>
      <c r="M28" s="28">
        <f t="shared" si="10"/>
        <v>1457</v>
      </c>
      <c r="N28" s="24">
        <v>-1498</v>
      </c>
      <c r="O28" s="28">
        <f t="shared" si="3"/>
        <v>2955</v>
      </c>
      <c r="P28" s="22">
        <f t="shared" si="11"/>
        <v>130</v>
      </c>
      <c r="Q28" s="29"/>
      <c r="R28" s="30"/>
    </row>
    <row r="29" spans="1:18" x14ac:dyDescent="0.25">
      <c r="A29" s="21">
        <v>45798</v>
      </c>
      <c r="B29" s="22">
        <v>9</v>
      </c>
      <c r="C29" s="28">
        <f t="shared" si="4"/>
        <v>1279</v>
      </c>
      <c r="D29" s="24">
        <v>-908</v>
      </c>
      <c r="E29" s="25">
        <f t="shared" si="1"/>
        <v>2187</v>
      </c>
      <c r="F29" s="22">
        <f t="shared" si="5"/>
        <v>138</v>
      </c>
      <c r="G29" s="22">
        <f t="shared" si="6"/>
        <v>9</v>
      </c>
      <c r="H29" s="28">
        <f t="shared" si="7"/>
        <v>1321</v>
      </c>
      <c r="I29" s="27">
        <v>-1127</v>
      </c>
      <c r="J29" s="28">
        <f t="shared" si="2"/>
        <v>2448</v>
      </c>
      <c r="K29" s="22">
        <f t="shared" si="8"/>
        <v>126</v>
      </c>
      <c r="L29" s="22">
        <f t="shared" si="9"/>
        <v>9</v>
      </c>
      <c r="M29" s="28">
        <f t="shared" si="10"/>
        <v>1457</v>
      </c>
      <c r="N29" s="24">
        <v>-1498</v>
      </c>
      <c r="O29" s="28">
        <f t="shared" si="3"/>
        <v>2955</v>
      </c>
      <c r="P29" s="22">
        <f t="shared" si="11"/>
        <v>130</v>
      </c>
      <c r="Q29" s="29"/>
      <c r="R29" s="30"/>
    </row>
    <row r="30" spans="1:18" x14ac:dyDescent="0.25">
      <c r="A30" s="21">
        <v>45799</v>
      </c>
      <c r="B30" s="26">
        <v>10</v>
      </c>
      <c r="C30" s="28">
        <f t="shared" si="4"/>
        <v>1277</v>
      </c>
      <c r="D30" s="24">
        <v>-910</v>
      </c>
      <c r="E30" s="25">
        <f t="shared" si="1"/>
        <v>2187</v>
      </c>
      <c r="F30" s="22">
        <f t="shared" si="5"/>
        <v>140</v>
      </c>
      <c r="G30" s="22">
        <f t="shared" si="6"/>
        <v>10</v>
      </c>
      <c r="H30" s="28">
        <f t="shared" si="7"/>
        <v>1321</v>
      </c>
      <c r="I30" s="27">
        <v>-1127</v>
      </c>
      <c r="J30" s="28">
        <f t="shared" si="2"/>
        <v>2448</v>
      </c>
      <c r="K30" s="22">
        <f t="shared" si="8"/>
        <v>126</v>
      </c>
      <c r="L30" s="22">
        <f t="shared" si="9"/>
        <v>10</v>
      </c>
      <c r="M30" s="28">
        <f t="shared" si="10"/>
        <v>1457</v>
      </c>
      <c r="N30" s="24">
        <v>-1498</v>
      </c>
      <c r="O30" s="28">
        <f t="shared" si="3"/>
        <v>2955</v>
      </c>
      <c r="P30" s="22">
        <f t="shared" si="11"/>
        <v>130</v>
      </c>
      <c r="Q30" s="29"/>
      <c r="R30" s="30"/>
    </row>
    <row r="31" spans="1:18" x14ac:dyDescent="0.25">
      <c r="A31" s="21">
        <v>45800</v>
      </c>
      <c r="B31" s="22">
        <v>11</v>
      </c>
      <c r="C31" s="28">
        <f t="shared" si="4"/>
        <v>1267</v>
      </c>
      <c r="D31" s="24">
        <v>-920</v>
      </c>
      <c r="E31" s="25">
        <f t="shared" si="1"/>
        <v>2187</v>
      </c>
      <c r="F31" s="22">
        <f t="shared" si="5"/>
        <v>150</v>
      </c>
      <c r="G31" s="22">
        <f t="shared" si="6"/>
        <v>11</v>
      </c>
      <c r="H31" s="28">
        <f t="shared" si="7"/>
        <v>1085</v>
      </c>
      <c r="I31" s="27">
        <v>-1363</v>
      </c>
      <c r="J31" s="28">
        <f t="shared" si="2"/>
        <v>2448</v>
      </c>
      <c r="K31" s="22">
        <f t="shared" si="8"/>
        <v>362</v>
      </c>
      <c r="L31" s="22">
        <f t="shared" si="9"/>
        <v>11</v>
      </c>
      <c r="M31" s="28">
        <f t="shared" si="10"/>
        <v>1397</v>
      </c>
      <c r="N31" s="24">
        <v>-1558</v>
      </c>
      <c r="O31" s="28">
        <f t="shared" si="3"/>
        <v>2955</v>
      </c>
      <c r="P31" s="22">
        <f t="shared" si="11"/>
        <v>190</v>
      </c>
      <c r="Q31" s="29"/>
      <c r="R31" s="30"/>
    </row>
    <row r="32" spans="1:18" x14ac:dyDescent="0.25">
      <c r="A32" s="21">
        <v>45801</v>
      </c>
      <c r="B32" s="22">
        <v>11</v>
      </c>
      <c r="C32" s="28">
        <f t="shared" si="4"/>
        <v>1257</v>
      </c>
      <c r="D32" s="24">
        <v>-930</v>
      </c>
      <c r="E32" s="25">
        <f t="shared" si="1"/>
        <v>2187</v>
      </c>
      <c r="F32" s="22">
        <f t="shared" si="5"/>
        <v>160</v>
      </c>
      <c r="G32" s="22">
        <f t="shared" si="6"/>
        <v>12</v>
      </c>
      <c r="H32" s="28">
        <f t="shared" si="7"/>
        <v>1078</v>
      </c>
      <c r="I32" s="27">
        <v>-1370</v>
      </c>
      <c r="J32" s="28">
        <f t="shared" si="2"/>
        <v>2448</v>
      </c>
      <c r="K32" s="22">
        <f t="shared" si="8"/>
        <v>369</v>
      </c>
      <c r="L32" s="22">
        <f t="shared" si="9"/>
        <v>12</v>
      </c>
      <c r="M32" s="28">
        <f t="shared" si="10"/>
        <v>1389</v>
      </c>
      <c r="N32" s="24">
        <v>-1566</v>
      </c>
      <c r="O32" s="28">
        <f t="shared" si="3"/>
        <v>2955</v>
      </c>
      <c r="P32" s="22">
        <f t="shared" si="11"/>
        <v>198</v>
      </c>
      <c r="Q32" s="29"/>
      <c r="R32" s="30"/>
    </row>
    <row r="33" spans="1:18" x14ac:dyDescent="0.25">
      <c r="A33" s="21">
        <v>45802</v>
      </c>
      <c r="B33" s="22">
        <v>11</v>
      </c>
      <c r="C33" s="28">
        <f t="shared" si="4"/>
        <v>1247</v>
      </c>
      <c r="D33" s="24">
        <v>-940</v>
      </c>
      <c r="E33" s="25">
        <f t="shared" si="1"/>
        <v>2187</v>
      </c>
      <c r="F33" s="22">
        <f t="shared" si="5"/>
        <v>170</v>
      </c>
      <c r="G33" s="22">
        <f t="shared" si="6"/>
        <v>13</v>
      </c>
      <c r="H33" s="28">
        <f t="shared" si="7"/>
        <v>1071</v>
      </c>
      <c r="I33" s="27">
        <v>-1377</v>
      </c>
      <c r="J33" s="28">
        <f t="shared" si="2"/>
        <v>2448</v>
      </c>
      <c r="K33" s="22">
        <f t="shared" si="8"/>
        <v>376</v>
      </c>
      <c r="L33" s="22">
        <f t="shared" si="9"/>
        <v>13</v>
      </c>
      <c r="M33" s="28">
        <f t="shared" si="10"/>
        <v>1381</v>
      </c>
      <c r="N33" s="24">
        <v>-1574</v>
      </c>
      <c r="O33" s="28">
        <f t="shared" si="3"/>
        <v>2955</v>
      </c>
      <c r="P33" s="22">
        <f t="shared" si="11"/>
        <v>206</v>
      </c>
      <c r="Q33" s="29"/>
      <c r="R33" s="30"/>
    </row>
    <row r="34" spans="1:18" x14ac:dyDescent="0.25">
      <c r="A34" s="21">
        <v>45803</v>
      </c>
      <c r="B34" s="22">
        <v>11</v>
      </c>
      <c r="C34" s="28">
        <f t="shared" si="4"/>
        <v>1237</v>
      </c>
      <c r="D34" s="24">
        <v>-950</v>
      </c>
      <c r="E34" s="25">
        <f t="shared" si="1"/>
        <v>2187</v>
      </c>
      <c r="F34" s="22">
        <f t="shared" si="5"/>
        <v>180</v>
      </c>
      <c r="G34" s="22">
        <f t="shared" si="6"/>
        <v>14</v>
      </c>
      <c r="H34" s="28">
        <f t="shared" si="7"/>
        <v>1064</v>
      </c>
      <c r="I34" s="27">
        <v>-1384</v>
      </c>
      <c r="J34" s="28">
        <f t="shared" si="2"/>
        <v>2448</v>
      </c>
      <c r="K34" s="22">
        <f t="shared" si="8"/>
        <v>383</v>
      </c>
      <c r="L34" s="22">
        <f t="shared" si="9"/>
        <v>14</v>
      </c>
      <c r="M34" s="28">
        <f t="shared" si="10"/>
        <v>1375</v>
      </c>
      <c r="N34" s="24">
        <v>-1580</v>
      </c>
      <c r="O34" s="28">
        <f t="shared" si="3"/>
        <v>2955</v>
      </c>
      <c r="P34" s="22">
        <f t="shared" si="11"/>
        <v>212</v>
      </c>
      <c r="Q34" s="29"/>
      <c r="R34" s="30"/>
    </row>
    <row r="35" spans="1:18" x14ac:dyDescent="0.25">
      <c r="A35" s="21">
        <v>45804</v>
      </c>
      <c r="B35" s="22">
        <v>11</v>
      </c>
      <c r="C35" s="28">
        <f t="shared" si="4"/>
        <v>1227</v>
      </c>
      <c r="D35" s="24">
        <v>-960</v>
      </c>
      <c r="E35" s="25">
        <f t="shared" si="1"/>
        <v>2187</v>
      </c>
      <c r="F35" s="22">
        <f t="shared" si="5"/>
        <v>190</v>
      </c>
      <c r="G35" s="22">
        <f t="shared" si="6"/>
        <v>15</v>
      </c>
      <c r="H35" s="28">
        <f t="shared" si="7"/>
        <v>1057</v>
      </c>
      <c r="I35" s="27">
        <v>-1391</v>
      </c>
      <c r="J35" s="28">
        <f t="shared" si="2"/>
        <v>2448</v>
      </c>
      <c r="K35" s="22">
        <f t="shared" si="8"/>
        <v>390</v>
      </c>
      <c r="L35" s="22">
        <f t="shared" si="9"/>
        <v>15</v>
      </c>
      <c r="M35" s="28">
        <f t="shared" si="10"/>
        <v>1375</v>
      </c>
      <c r="N35" s="24">
        <v>-1580</v>
      </c>
      <c r="O35" s="28">
        <f t="shared" si="3"/>
        <v>2955</v>
      </c>
      <c r="P35" s="22">
        <f t="shared" si="11"/>
        <v>212</v>
      </c>
      <c r="Q35" s="36"/>
      <c r="R35" s="30"/>
    </row>
    <row r="36" spans="1:18" x14ac:dyDescent="0.25">
      <c r="A36" s="21">
        <v>45805</v>
      </c>
      <c r="B36" s="22">
        <v>11</v>
      </c>
      <c r="C36" s="28">
        <f t="shared" si="4"/>
        <v>1217</v>
      </c>
      <c r="D36" s="24">
        <v>-970</v>
      </c>
      <c r="E36" s="25">
        <f t="shared" si="1"/>
        <v>2187</v>
      </c>
      <c r="F36" s="22">
        <f t="shared" si="5"/>
        <v>200</v>
      </c>
      <c r="G36" s="22">
        <f t="shared" si="6"/>
        <v>16</v>
      </c>
      <c r="H36" s="28">
        <f t="shared" si="7"/>
        <v>1048</v>
      </c>
      <c r="I36" s="27">
        <v>-1400</v>
      </c>
      <c r="J36" s="28">
        <f t="shared" si="2"/>
        <v>2448</v>
      </c>
      <c r="K36" s="22">
        <f t="shared" si="8"/>
        <v>399</v>
      </c>
      <c r="L36" s="22">
        <f t="shared" si="9"/>
        <v>16</v>
      </c>
      <c r="M36" s="28">
        <f t="shared" si="10"/>
        <v>1375</v>
      </c>
      <c r="N36" s="24">
        <v>-1580</v>
      </c>
      <c r="O36" s="28">
        <f t="shared" si="3"/>
        <v>2955</v>
      </c>
      <c r="P36" s="22">
        <f t="shared" si="11"/>
        <v>212</v>
      </c>
      <c r="Q36" s="36"/>
      <c r="R36" s="30"/>
    </row>
    <row r="37" spans="1:18" x14ac:dyDescent="0.25">
      <c r="A37" s="21">
        <v>45806</v>
      </c>
      <c r="B37" s="22">
        <v>11</v>
      </c>
      <c r="C37" s="28">
        <f t="shared" si="4"/>
        <v>1207</v>
      </c>
      <c r="D37" s="24">
        <v>-980</v>
      </c>
      <c r="E37" s="25">
        <f t="shared" si="1"/>
        <v>2187</v>
      </c>
      <c r="F37" s="22">
        <f t="shared" si="5"/>
        <v>210</v>
      </c>
      <c r="G37" s="22">
        <f t="shared" si="6"/>
        <v>17</v>
      </c>
      <c r="H37" s="28">
        <f t="shared" si="7"/>
        <v>1048</v>
      </c>
      <c r="I37" s="27">
        <v>-1400</v>
      </c>
      <c r="J37" s="28">
        <f t="shared" si="2"/>
        <v>2448</v>
      </c>
      <c r="K37" s="22">
        <f t="shared" si="8"/>
        <v>399</v>
      </c>
      <c r="L37" s="22">
        <f t="shared" si="9"/>
        <v>17</v>
      </c>
      <c r="M37" s="28">
        <f t="shared" si="10"/>
        <v>1375</v>
      </c>
      <c r="N37" s="24">
        <v>-1580</v>
      </c>
      <c r="O37" s="28">
        <f t="shared" si="3"/>
        <v>2955</v>
      </c>
      <c r="P37" s="22">
        <f t="shared" si="11"/>
        <v>212</v>
      </c>
      <c r="Q37" s="36"/>
      <c r="R37" s="30"/>
    </row>
    <row r="38" spans="1:18" x14ac:dyDescent="0.25">
      <c r="A38" s="21">
        <v>45807</v>
      </c>
      <c r="B38" s="22">
        <v>11</v>
      </c>
      <c r="C38" s="28">
        <f t="shared" si="4"/>
        <v>1197</v>
      </c>
      <c r="D38" s="24">
        <v>-990</v>
      </c>
      <c r="E38" s="25">
        <f t="shared" si="1"/>
        <v>2187</v>
      </c>
      <c r="F38" s="22">
        <f t="shared" si="5"/>
        <v>220</v>
      </c>
      <c r="G38" s="22">
        <f t="shared" si="6"/>
        <v>18</v>
      </c>
      <c r="H38" s="28">
        <f t="shared" si="7"/>
        <v>1048</v>
      </c>
      <c r="I38" s="27">
        <v>-1400</v>
      </c>
      <c r="J38" s="28">
        <f t="shared" si="2"/>
        <v>2448</v>
      </c>
      <c r="K38" s="22">
        <f t="shared" si="8"/>
        <v>399</v>
      </c>
      <c r="L38" s="22">
        <f t="shared" si="9"/>
        <v>18</v>
      </c>
      <c r="M38" s="28">
        <f t="shared" si="10"/>
        <v>1375</v>
      </c>
      <c r="N38" s="24">
        <v>-1580</v>
      </c>
      <c r="O38" s="28">
        <f t="shared" si="3"/>
        <v>2955</v>
      </c>
      <c r="P38" s="22">
        <f t="shared" si="11"/>
        <v>212</v>
      </c>
      <c r="Q38" s="36"/>
      <c r="R38" s="30"/>
    </row>
    <row r="39" spans="1:18" x14ac:dyDescent="0.25">
      <c r="A39" s="21">
        <v>45808</v>
      </c>
      <c r="B39" s="22">
        <v>11</v>
      </c>
      <c r="C39" s="28">
        <f t="shared" si="4"/>
        <v>1187</v>
      </c>
      <c r="D39" s="24">
        <v>-1000</v>
      </c>
      <c r="E39" s="25">
        <f t="shared" si="1"/>
        <v>2187</v>
      </c>
      <c r="F39" s="22">
        <f t="shared" si="5"/>
        <v>230</v>
      </c>
      <c r="G39" s="22">
        <f t="shared" si="6"/>
        <v>19</v>
      </c>
      <c r="H39" s="28">
        <f t="shared" si="7"/>
        <v>1048</v>
      </c>
      <c r="I39" s="27">
        <v>-1400</v>
      </c>
      <c r="J39" s="28">
        <f t="shared" si="2"/>
        <v>2448</v>
      </c>
      <c r="K39" s="22">
        <f t="shared" si="8"/>
        <v>399</v>
      </c>
      <c r="L39" s="22">
        <f t="shared" si="9"/>
        <v>19</v>
      </c>
      <c r="M39" s="28">
        <f t="shared" si="10"/>
        <v>1375</v>
      </c>
      <c r="N39" s="24">
        <v>-1580</v>
      </c>
      <c r="O39" s="28">
        <f t="shared" si="3"/>
        <v>2955</v>
      </c>
      <c r="P39" s="22">
        <f t="shared" si="11"/>
        <v>212</v>
      </c>
      <c r="Q39" s="36"/>
      <c r="R39" s="30"/>
    </row>
    <row r="40" spans="1:18" x14ac:dyDescent="0.25">
      <c r="A40" s="21">
        <v>45809</v>
      </c>
      <c r="B40" s="22">
        <v>11</v>
      </c>
      <c r="C40" s="28">
        <f t="shared" si="4"/>
        <v>1184</v>
      </c>
      <c r="D40" s="24">
        <v>-1003</v>
      </c>
      <c r="E40" s="25">
        <f t="shared" si="1"/>
        <v>2187</v>
      </c>
      <c r="F40" s="22">
        <f t="shared" si="5"/>
        <v>233</v>
      </c>
      <c r="G40" s="22">
        <f t="shared" si="6"/>
        <v>20</v>
      </c>
      <c r="H40" s="28">
        <f t="shared" si="7"/>
        <v>1026</v>
      </c>
      <c r="I40" s="27">
        <v>-1422</v>
      </c>
      <c r="J40" s="28">
        <f t="shared" si="2"/>
        <v>2448</v>
      </c>
      <c r="K40" s="22">
        <f t="shared" si="8"/>
        <v>421</v>
      </c>
      <c r="L40" s="22">
        <f t="shared" si="9"/>
        <v>20</v>
      </c>
      <c r="M40" s="28">
        <f t="shared" si="10"/>
        <v>1375</v>
      </c>
      <c r="N40" s="24">
        <v>-1580</v>
      </c>
      <c r="O40" s="28">
        <f t="shared" si="3"/>
        <v>2955</v>
      </c>
      <c r="P40" s="22">
        <f t="shared" si="11"/>
        <v>212</v>
      </c>
      <c r="Q40" s="36"/>
      <c r="R40" s="30"/>
    </row>
    <row r="41" spans="1:18" x14ac:dyDescent="0.25">
      <c r="A41" s="21">
        <v>45810</v>
      </c>
      <c r="B41" s="22">
        <v>11</v>
      </c>
      <c r="C41" s="28">
        <f t="shared" si="4"/>
        <v>1181</v>
      </c>
      <c r="D41" s="24">
        <v>-1006</v>
      </c>
      <c r="E41" s="25">
        <f t="shared" si="1"/>
        <v>2187</v>
      </c>
      <c r="F41" s="22">
        <f t="shared" si="5"/>
        <v>236</v>
      </c>
      <c r="G41" s="22">
        <f t="shared" si="6"/>
        <v>21</v>
      </c>
      <c r="H41" s="28">
        <f t="shared" si="7"/>
        <v>1019</v>
      </c>
      <c r="I41" s="27">
        <v>-1429</v>
      </c>
      <c r="J41" s="28">
        <f t="shared" si="2"/>
        <v>2448</v>
      </c>
      <c r="K41" s="22">
        <f t="shared" si="8"/>
        <v>428</v>
      </c>
      <c r="L41" s="22">
        <f t="shared" si="9"/>
        <v>21</v>
      </c>
      <c r="M41" s="28">
        <f t="shared" si="10"/>
        <v>1372</v>
      </c>
      <c r="N41" s="24">
        <v>-1583</v>
      </c>
      <c r="O41" s="28">
        <f t="shared" si="3"/>
        <v>2955</v>
      </c>
      <c r="P41" s="22">
        <f t="shared" si="11"/>
        <v>215</v>
      </c>
      <c r="Q41" s="36"/>
      <c r="R41" s="30"/>
    </row>
    <row r="42" spans="1:18" x14ac:dyDescent="0.25">
      <c r="A42" s="21">
        <v>45811</v>
      </c>
      <c r="B42" s="22">
        <v>11</v>
      </c>
      <c r="C42" s="28">
        <f t="shared" si="4"/>
        <v>1181</v>
      </c>
      <c r="D42" s="24">
        <v>-1006</v>
      </c>
      <c r="E42" s="25">
        <f t="shared" si="1"/>
        <v>2187</v>
      </c>
      <c r="F42" s="22">
        <f t="shared" si="5"/>
        <v>236</v>
      </c>
      <c r="G42" s="22">
        <f t="shared" si="6"/>
        <v>22</v>
      </c>
      <c r="H42" s="28">
        <f t="shared" si="7"/>
        <v>1012</v>
      </c>
      <c r="I42" s="27">
        <v>-1436</v>
      </c>
      <c r="J42" s="28">
        <f t="shared" si="2"/>
        <v>2448</v>
      </c>
      <c r="K42" s="22">
        <f t="shared" si="8"/>
        <v>435</v>
      </c>
      <c r="L42" s="22">
        <f t="shared" si="9"/>
        <v>22</v>
      </c>
      <c r="M42" s="28">
        <f t="shared" si="10"/>
        <v>1361</v>
      </c>
      <c r="N42" s="24">
        <v>-1594</v>
      </c>
      <c r="O42" s="28">
        <f t="shared" si="3"/>
        <v>2955</v>
      </c>
      <c r="P42" s="22">
        <f t="shared" si="11"/>
        <v>226</v>
      </c>
      <c r="Q42" s="36"/>
      <c r="R42" s="30"/>
    </row>
    <row r="43" spans="1:18" x14ac:dyDescent="0.25">
      <c r="A43" s="21">
        <v>45812</v>
      </c>
      <c r="B43" s="22">
        <v>11</v>
      </c>
      <c r="C43" s="28">
        <f t="shared" si="4"/>
        <v>1181</v>
      </c>
      <c r="D43" s="24">
        <v>-1006</v>
      </c>
      <c r="E43" s="25">
        <f t="shared" si="1"/>
        <v>2187</v>
      </c>
      <c r="F43" s="22">
        <f t="shared" si="5"/>
        <v>236</v>
      </c>
      <c r="G43" s="22">
        <f t="shared" si="6"/>
        <v>23</v>
      </c>
      <c r="H43" s="28">
        <f t="shared" si="7"/>
        <v>1005</v>
      </c>
      <c r="I43" s="27">
        <v>-1443</v>
      </c>
      <c r="J43" s="28">
        <f t="shared" si="2"/>
        <v>2448</v>
      </c>
      <c r="K43" s="22">
        <f t="shared" si="8"/>
        <v>442</v>
      </c>
      <c r="L43" s="22">
        <f t="shared" si="9"/>
        <v>23</v>
      </c>
      <c r="M43" s="28">
        <f t="shared" si="10"/>
        <v>1353</v>
      </c>
      <c r="N43" s="24">
        <v>-1602</v>
      </c>
      <c r="O43" s="28">
        <f t="shared" si="3"/>
        <v>2955</v>
      </c>
      <c r="P43" s="22">
        <f t="shared" si="11"/>
        <v>234</v>
      </c>
      <c r="Q43" s="36"/>
      <c r="R43" s="30"/>
    </row>
    <row r="44" spans="1:18" x14ac:dyDescent="0.25">
      <c r="A44" s="21">
        <v>45813</v>
      </c>
      <c r="B44" s="22">
        <v>11</v>
      </c>
      <c r="C44" s="28">
        <f t="shared" si="4"/>
        <v>1181</v>
      </c>
      <c r="D44" s="24">
        <v>-1006</v>
      </c>
      <c r="E44" s="25">
        <f t="shared" si="1"/>
        <v>2187</v>
      </c>
      <c r="F44" s="22">
        <f t="shared" si="5"/>
        <v>236</v>
      </c>
      <c r="G44" s="22">
        <f t="shared" si="6"/>
        <v>24</v>
      </c>
      <c r="H44" s="28">
        <f t="shared" si="7"/>
        <v>998</v>
      </c>
      <c r="I44" s="27">
        <v>-1450</v>
      </c>
      <c r="J44" s="28">
        <f t="shared" si="2"/>
        <v>2448</v>
      </c>
      <c r="K44" s="22">
        <f t="shared" si="8"/>
        <v>449</v>
      </c>
      <c r="L44" s="22">
        <f t="shared" si="9"/>
        <v>24</v>
      </c>
      <c r="M44" s="28">
        <f t="shared" si="10"/>
        <v>1345</v>
      </c>
      <c r="N44" s="24">
        <v>-1610</v>
      </c>
      <c r="O44" s="28">
        <f t="shared" si="3"/>
        <v>2955</v>
      </c>
      <c r="P44" s="22">
        <f t="shared" si="11"/>
        <v>242</v>
      </c>
      <c r="Q44" s="36"/>
      <c r="R44" s="30"/>
    </row>
    <row r="45" spans="1:18" x14ac:dyDescent="0.25">
      <c r="A45" s="21">
        <v>45814</v>
      </c>
      <c r="B45" s="22">
        <v>11</v>
      </c>
      <c r="C45" s="28">
        <f t="shared" si="4"/>
        <v>1150</v>
      </c>
      <c r="D45" s="24">
        <v>-1037</v>
      </c>
      <c r="E45" s="25">
        <f t="shared" si="1"/>
        <v>2187</v>
      </c>
      <c r="F45" s="22">
        <f t="shared" si="5"/>
        <v>267</v>
      </c>
      <c r="G45" s="22">
        <f t="shared" si="6"/>
        <v>25</v>
      </c>
      <c r="H45" s="28">
        <f t="shared" si="7"/>
        <v>991</v>
      </c>
      <c r="I45" s="27">
        <v>-1457</v>
      </c>
      <c r="J45" s="28">
        <f t="shared" si="2"/>
        <v>2448</v>
      </c>
      <c r="K45" s="22">
        <f t="shared" si="8"/>
        <v>456</v>
      </c>
      <c r="L45" s="22">
        <f t="shared" si="9"/>
        <v>25</v>
      </c>
      <c r="M45" s="28">
        <f t="shared" si="10"/>
        <v>1337</v>
      </c>
      <c r="N45" s="24">
        <v>-1618</v>
      </c>
      <c r="O45" s="28">
        <f t="shared" si="3"/>
        <v>2955</v>
      </c>
      <c r="P45" s="22">
        <f t="shared" si="11"/>
        <v>250</v>
      </c>
      <c r="Q45" s="36"/>
      <c r="R45" s="30"/>
    </row>
    <row r="46" spans="1:18" x14ac:dyDescent="0.25">
      <c r="A46" s="21">
        <v>45815</v>
      </c>
      <c r="B46" s="22">
        <v>11</v>
      </c>
      <c r="C46" s="28">
        <f t="shared" si="4"/>
        <v>1140</v>
      </c>
      <c r="D46" s="24">
        <v>-1047</v>
      </c>
      <c r="E46" s="25">
        <f t="shared" si="1"/>
        <v>2187</v>
      </c>
      <c r="F46" s="22">
        <f t="shared" si="5"/>
        <v>277</v>
      </c>
      <c r="G46" s="22">
        <f t="shared" si="6"/>
        <v>26</v>
      </c>
      <c r="H46" s="28">
        <f t="shared" si="7"/>
        <v>971</v>
      </c>
      <c r="I46" s="27">
        <v>-1477</v>
      </c>
      <c r="J46" s="28">
        <f t="shared" si="2"/>
        <v>2448</v>
      </c>
      <c r="K46" s="22">
        <f t="shared" si="8"/>
        <v>476</v>
      </c>
      <c r="L46" s="22">
        <f t="shared" si="9"/>
        <v>26</v>
      </c>
      <c r="M46" s="28">
        <f t="shared" si="10"/>
        <v>1330</v>
      </c>
      <c r="N46" s="24">
        <v>-1625</v>
      </c>
      <c r="O46" s="28">
        <f t="shared" si="3"/>
        <v>2955</v>
      </c>
      <c r="P46" s="22">
        <f t="shared" si="11"/>
        <v>257</v>
      </c>
      <c r="Q46" s="36"/>
      <c r="R46" s="30"/>
    </row>
    <row r="47" spans="1:18" x14ac:dyDescent="0.25">
      <c r="A47" s="21">
        <v>45816</v>
      </c>
      <c r="B47" s="22">
        <v>11</v>
      </c>
      <c r="C47" s="28">
        <f t="shared" si="4"/>
        <v>1130</v>
      </c>
      <c r="D47" s="24">
        <v>-1057</v>
      </c>
      <c r="E47" s="25">
        <f t="shared" si="1"/>
        <v>2187</v>
      </c>
      <c r="F47" s="22">
        <f t="shared" si="5"/>
        <v>287</v>
      </c>
      <c r="G47" s="22">
        <f t="shared" si="6"/>
        <v>27</v>
      </c>
      <c r="H47" s="28">
        <f t="shared" si="7"/>
        <v>968</v>
      </c>
      <c r="I47" s="27">
        <v>-1480</v>
      </c>
      <c r="J47" s="28">
        <f t="shared" si="2"/>
        <v>2448</v>
      </c>
      <c r="K47" s="22">
        <f t="shared" si="8"/>
        <v>479</v>
      </c>
      <c r="L47" s="22">
        <f t="shared" si="9"/>
        <v>27</v>
      </c>
      <c r="M47" s="28">
        <f t="shared" si="10"/>
        <v>1323</v>
      </c>
      <c r="N47" s="24">
        <v>-1632</v>
      </c>
      <c r="O47" s="28">
        <f t="shared" si="3"/>
        <v>2955</v>
      </c>
      <c r="P47" s="22">
        <f t="shared" si="11"/>
        <v>264</v>
      </c>
      <c r="Q47" s="36"/>
      <c r="R47" s="30"/>
    </row>
    <row r="48" spans="1:18" x14ac:dyDescent="0.25">
      <c r="A48" s="21">
        <v>45817</v>
      </c>
      <c r="B48" s="22">
        <v>11</v>
      </c>
      <c r="C48" s="28">
        <f t="shared" si="4"/>
        <v>1120</v>
      </c>
      <c r="D48" s="24">
        <v>-1067</v>
      </c>
      <c r="E48" s="25">
        <f t="shared" si="1"/>
        <v>2187</v>
      </c>
      <c r="F48" s="22">
        <f t="shared" si="5"/>
        <v>297</v>
      </c>
      <c r="G48" s="22">
        <f t="shared" si="6"/>
        <v>28</v>
      </c>
      <c r="H48" s="28">
        <f t="shared" si="7"/>
        <v>965</v>
      </c>
      <c r="I48" s="27">
        <v>-1483</v>
      </c>
      <c r="J48" s="28">
        <f t="shared" si="2"/>
        <v>2448</v>
      </c>
      <c r="K48" s="22">
        <f t="shared" si="8"/>
        <v>482</v>
      </c>
      <c r="L48" s="22">
        <f t="shared" si="9"/>
        <v>28</v>
      </c>
      <c r="M48" s="28">
        <f t="shared" si="10"/>
        <v>1316</v>
      </c>
      <c r="N48" s="24">
        <v>-1639</v>
      </c>
      <c r="O48" s="28">
        <f t="shared" si="3"/>
        <v>2955</v>
      </c>
      <c r="P48" s="22">
        <f t="shared" si="11"/>
        <v>271</v>
      </c>
      <c r="Q48" s="36"/>
      <c r="R48" s="30"/>
    </row>
    <row r="49" spans="1:18" x14ac:dyDescent="0.25">
      <c r="A49" s="21">
        <v>45818</v>
      </c>
      <c r="B49" s="22">
        <v>11</v>
      </c>
      <c r="C49" s="28">
        <f t="shared" si="4"/>
        <v>1110</v>
      </c>
      <c r="D49" s="24">
        <v>-1077</v>
      </c>
      <c r="E49" s="25">
        <f t="shared" si="1"/>
        <v>2187</v>
      </c>
      <c r="F49" s="22">
        <f t="shared" si="5"/>
        <v>307</v>
      </c>
      <c r="G49" s="22">
        <f t="shared" si="6"/>
        <v>29</v>
      </c>
      <c r="H49" s="28">
        <f t="shared" si="7"/>
        <v>962</v>
      </c>
      <c r="I49" s="27">
        <v>-1486</v>
      </c>
      <c r="J49" s="28">
        <f t="shared" si="2"/>
        <v>2448</v>
      </c>
      <c r="K49" s="22">
        <f t="shared" si="8"/>
        <v>485</v>
      </c>
      <c r="L49" s="22">
        <f t="shared" si="9"/>
        <v>29</v>
      </c>
      <c r="M49" s="28">
        <f t="shared" si="10"/>
        <v>1309</v>
      </c>
      <c r="N49" s="24">
        <v>-1646</v>
      </c>
      <c r="O49" s="28">
        <f t="shared" si="3"/>
        <v>2955</v>
      </c>
      <c r="P49" s="22">
        <f t="shared" si="11"/>
        <v>278</v>
      </c>
      <c r="Q49" s="36"/>
      <c r="R49" s="30"/>
    </row>
    <row r="50" spans="1:18" x14ac:dyDescent="0.25">
      <c r="A50" s="21">
        <v>45819</v>
      </c>
      <c r="B50" s="22">
        <v>11</v>
      </c>
      <c r="C50" s="28">
        <f t="shared" si="4"/>
        <v>1108</v>
      </c>
      <c r="D50" s="24">
        <v>-1079</v>
      </c>
      <c r="E50" s="25">
        <f t="shared" si="1"/>
        <v>2187</v>
      </c>
      <c r="F50" s="22">
        <f t="shared" si="5"/>
        <v>309</v>
      </c>
      <c r="G50" s="22">
        <f t="shared" si="6"/>
        <v>30</v>
      </c>
      <c r="H50" s="28">
        <f t="shared" si="7"/>
        <v>959</v>
      </c>
      <c r="I50" s="27">
        <v>-1489</v>
      </c>
      <c r="J50" s="28">
        <f t="shared" si="2"/>
        <v>2448</v>
      </c>
      <c r="K50" s="22">
        <f t="shared" si="8"/>
        <v>488</v>
      </c>
      <c r="L50" s="22">
        <f t="shared" si="9"/>
        <v>30</v>
      </c>
      <c r="M50" s="28">
        <f t="shared" si="10"/>
        <v>1294</v>
      </c>
      <c r="N50" s="24">
        <v>-1661</v>
      </c>
      <c r="O50" s="28">
        <f t="shared" si="3"/>
        <v>2955</v>
      </c>
      <c r="P50" s="22">
        <f t="shared" si="11"/>
        <v>293</v>
      </c>
      <c r="Q50" s="36"/>
      <c r="R50" s="30"/>
    </row>
    <row r="51" spans="1:18" x14ac:dyDescent="0.25">
      <c r="A51" s="21">
        <v>45820</v>
      </c>
      <c r="B51" s="22">
        <v>11</v>
      </c>
      <c r="C51" s="28">
        <f t="shared" si="4"/>
        <v>1081</v>
      </c>
      <c r="D51" s="24">
        <v>-1106</v>
      </c>
      <c r="E51" s="25">
        <f t="shared" si="1"/>
        <v>2187</v>
      </c>
      <c r="F51" s="22">
        <f t="shared" si="5"/>
        <v>336</v>
      </c>
      <c r="G51" s="22">
        <f t="shared" si="6"/>
        <v>31</v>
      </c>
      <c r="H51" s="28">
        <f t="shared" si="7"/>
        <v>956</v>
      </c>
      <c r="I51" s="27">
        <v>-1492</v>
      </c>
      <c r="J51" s="28">
        <f t="shared" si="2"/>
        <v>2448</v>
      </c>
      <c r="K51" s="22">
        <f t="shared" si="8"/>
        <v>491</v>
      </c>
      <c r="L51" s="22">
        <f t="shared" si="9"/>
        <v>31</v>
      </c>
      <c r="M51" s="28">
        <f t="shared" si="10"/>
        <v>1281</v>
      </c>
      <c r="N51" s="24">
        <v>-1674</v>
      </c>
      <c r="O51" s="28">
        <f t="shared" si="3"/>
        <v>2955</v>
      </c>
      <c r="P51" s="22">
        <f t="shared" si="11"/>
        <v>306</v>
      </c>
      <c r="Q51" s="36"/>
      <c r="R51" s="30"/>
    </row>
    <row r="52" spans="1:18" x14ac:dyDescent="0.25">
      <c r="A52" s="21">
        <v>45821</v>
      </c>
      <c r="B52" s="22">
        <v>11</v>
      </c>
      <c r="C52" s="28">
        <f t="shared" si="4"/>
        <v>1054</v>
      </c>
      <c r="D52" s="24">
        <v>-1133</v>
      </c>
      <c r="E52" s="25">
        <f t="shared" si="1"/>
        <v>2187</v>
      </c>
      <c r="F52" s="22">
        <f t="shared" si="5"/>
        <v>363</v>
      </c>
      <c r="G52" s="22">
        <f t="shared" si="6"/>
        <v>32</v>
      </c>
      <c r="H52" s="28">
        <f t="shared" si="7"/>
        <v>953</v>
      </c>
      <c r="I52" s="27">
        <v>-1495</v>
      </c>
      <c r="J52" s="28">
        <f t="shared" si="2"/>
        <v>2448</v>
      </c>
      <c r="K52" s="22">
        <f t="shared" si="8"/>
        <v>494</v>
      </c>
      <c r="L52" s="22">
        <f t="shared" si="9"/>
        <v>32</v>
      </c>
      <c r="M52" s="28">
        <f t="shared" si="10"/>
        <v>1273</v>
      </c>
      <c r="N52" s="24">
        <v>-1682</v>
      </c>
      <c r="O52" s="28">
        <f t="shared" si="3"/>
        <v>2955</v>
      </c>
      <c r="P52" s="22">
        <f t="shared" si="11"/>
        <v>314</v>
      </c>
      <c r="Q52" s="36"/>
      <c r="R52" s="30"/>
    </row>
    <row r="53" spans="1:18" x14ac:dyDescent="0.25">
      <c r="A53" s="21">
        <v>45822</v>
      </c>
      <c r="B53" s="22">
        <v>11</v>
      </c>
      <c r="C53" s="28">
        <f t="shared" si="4"/>
        <v>1042</v>
      </c>
      <c r="D53" s="24">
        <v>-1145</v>
      </c>
      <c r="E53" s="25">
        <f t="shared" si="1"/>
        <v>2187</v>
      </c>
      <c r="F53" s="22">
        <f t="shared" si="5"/>
        <v>375</v>
      </c>
      <c r="G53" s="22">
        <f t="shared" si="6"/>
        <v>33</v>
      </c>
      <c r="H53" s="28">
        <f t="shared" si="7"/>
        <v>944</v>
      </c>
      <c r="I53" s="27">
        <v>-1504</v>
      </c>
      <c r="J53" s="28">
        <f t="shared" si="2"/>
        <v>2448</v>
      </c>
      <c r="K53" s="22">
        <f t="shared" si="8"/>
        <v>503</v>
      </c>
      <c r="L53" s="22">
        <f t="shared" si="9"/>
        <v>33</v>
      </c>
      <c r="M53" s="28">
        <f t="shared" si="10"/>
        <v>1261</v>
      </c>
      <c r="N53" s="24">
        <v>-1694</v>
      </c>
      <c r="O53" s="28">
        <f t="shared" si="3"/>
        <v>2955</v>
      </c>
      <c r="P53" s="22">
        <f t="shared" si="11"/>
        <v>326</v>
      </c>
      <c r="Q53" s="36"/>
      <c r="R53" s="30"/>
    </row>
    <row r="54" spans="1:18" x14ac:dyDescent="0.25">
      <c r="A54" s="21">
        <v>45823</v>
      </c>
      <c r="B54" s="22">
        <v>11</v>
      </c>
      <c r="C54" s="28">
        <f t="shared" si="4"/>
        <v>1042</v>
      </c>
      <c r="D54" s="24">
        <v>-1145</v>
      </c>
      <c r="E54" s="25">
        <f t="shared" si="1"/>
        <v>2187</v>
      </c>
      <c r="F54" s="22">
        <f t="shared" si="5"/>
        <v>375</v>
      </c>
      <c r="G54" s="22">
        <f t="shared" si="6"/>
        <v>34</v>
      </c>
      <c r="H54" s="28">
        <f t="shared" si="7"/>
        <v>928</v>
      </c>
      <c r="I54" s="27">
        <v>-1520</v>
      </c>
      <c r="J54" s="28">
        <f t="shared" si="2"/>
        <v>2448</v>
      </c>
      <c r="K54" s="22">
        <f t="shared" si="8"/>
        <v>519</v>
      </c>
      <c r="L54" s="22">
        <f t="shared" si="9"/>
        <v>34</v>
      </c>
      <c r="M54" s="28">
        <f t="shared" si="10"/>
        <v>1255</v>
      </c>
      <c r="N54" s="24">
        <v>-1700</v>
      </c>
      <c r="O54" s="28">
        <f t="shared" si="3"/>
        <v>2955</v>
      </c>
      <c r="P54" s="22">
        <f t="shared" si="11"/>
        <v>332</v>
      </c>
      <c r="Q54" s="36"/>
      <c r="R54" s="30"/>
    </row>
    <row r="55" spans="1:18" x14ac:dyDescent="0.25">
      <c r="A55" s="21">
        <v>45824</v>
      </c>
      <c r="B55" s="22">
        <v>11</v>
      </c>
      <c r="C55" s="28">
        <f t="shared" si="4"/>
        <v>1036</v>
      </c>
      <c r="D55" s="24">
        <v>-1151</v>
      </c>
      <c r="E55" s="25">
        <f t="shared" si="1"/>
        <v>2187</v>
      </c>
      <c r="F55" s="22">
        <f t="shared" si="5"/>
        <v>381</v>
      </c>
      <c r="G55" s="22">
        <f t="shared" si="6"/>
        <v>35</v>
      </c>
      <c r="H55" s="28">
        <f t="shared" si="7"/>
        <v>912</v>
      </c>
      <c r="I55" s="27">
        <v>-1536</v>
      </c>
      <c r="J55" s="28">
        <f t="shared" si="2"/>
        <v>2448</v>
      </c>
      <c r="K55" s="22">
        <f t="shared" si="8"/>
        <v>535</v>
      </c>
      <c r="L55" s="22">
        <f t="shared" si="9"/>
        <v>35</v>
      </c>
      <c r="M55" s="28">
        <f t="shared" si="10"/>
        <v>1249</v>
      </c>
      <c r="N55" s="24">
        <v>-1706</v>
      </c>
      <c r="O55" s="28">
        <f t="shared" si="3"/>
        <v>2955</v>
      </c>
      <c r="P55" s="22">
        <f t="shared" si="11"/>
        <v>338</v>
      </c>
      <c r="Q55" s="36"/>
      <c r="R55" s="30"/>
    </row>
    <row r="56" spans="1:18" x14ac:dyDescent="0.25">
      <c r="A56" s="21">
        <v>45825</v>
      </c>
      <c r="B56" s="22">
        <v>11</v>
      </c>
      <c r="C56" s="28">
        <f t="shared" si="4"/>
        <v>1030</v>
      </c>
      <c r="D56" s="24">
        <v>-1157</v>
      </c>
      <c r="E56" s="25">
        <f t="shared" si="1"/>
        <v>2187</v>
      </c>
      <c r="F56" s="22">
        <f t="shared" si="5"/>
        <v>387</v>
      </c>
      <c r="G56" s="22">
        <f t="shared" si="6"/>
        <v>36</v>
      </c>
      <c r="H56" s="28">
        <f t="shared" si="7"/>
        <v>896</v>
      </c>
      <c r="I56" s="27">
        <v>-1552</v>
      </c>
      <c r="J56" s="28">
        <f t="shared" si="2"/>
        <v>2448</v>
      </c>
      <c r="K56" s="22">
        <f t="shared" si="8"/>
        <v>551</v>
      </c>
      <c r="L56" s="22">
        <f t="shared" si="9"/>
        <v>36</v>
      </c>
      <c r="M56" s="28">
        <f t="shared" si="10"/>
        <v>1243</v>
      </c>
      <c r="N56" s="24">
        <v>-1712</v>
      </c>
      <c r="O56" s="28">
        <f t="shared" si="3"/>
        <v>2955</v>
      </c>
      <c r="P56" s="22">
        <f t="shared" si="11"/>
        <v>344</v>
      </c>
      <c r="Q56" s="36"/>
      <c r="R56" s="30"/>
    </row>
    <row r="57" spans="1:18" x14ac:dyDescent="0.25">
      <c r="A57" s="21">
        <v>45826</v>
      </c>
      <c r="B57" s="22">
        <v>11</v>
      </c>
      <c r="C57" s="28">
        <f t="shared" si="4"/>
        <v>1024</v>
      </c>
      <c r="D57" s="24">
        <v>-1163</v>
      </c>
      <c r="E57" s="25">
        <f t="shared" si="1"/>
        <v>2187</v>
      </c>
      <c r="F57" s="22">
        <f t="shared" si="5"/>
        <v>393</v>
      </c>
      <c r="G57" s="22">
        <f t="shared" si="6"/>
        <v>37</v>
      </c>
      <c r="H57" s="28">
        <f t="shared" si="7"/>
        <v>880</v>
      </c>
      <c r="I57" s="27">
        <v>-1568</v>
      </c>
      <c r="J57" s="28">
        <f t="shared" si="2"/>
        <v>2448</v>
      </c>
      <c r="K57" s="22">
        <f t="shared" si="8"/>
        <v>567</v>
      </c>
      <c r="L57" s="22">
        <f t="shared" si="9"/>
        <v>37</v>
      </c>
      <c r="M57" s="28">
        <f t="shared" si="10"/>
        <v>1237</v>
      </c>
      <c r="N57" s="24">
        <v>-1718</v>
      </c>
      <c r="O57" s="28">
        <f t="shared" si="3"/>
        <v>2955</v>
      </c>
      <c r="P57" s="22">
        <f t="shared" si="11"/>
        <v>350</v>
      </c>
      <c r="Q57" s="36"/>
      <c r="R57" s="30"/>
    </row>
    <row r="58" spans="1:18" x14ac:dyDescent="0.25">
      <c r="A58" s="21">
        <v>45827</v>
      </c>
      <c r="B58" s="22">
        <v>11</v>
      </c>
      <c r="C58" s="28">
        <f t="shared" si="4"/>
        <v>1018</v>
      </c>
      <c r="D58" s="24">
        <v>-1169</v>
      </c>
      <c r="E58" s="25">
        <f t="shared" si="1"/>
        <v>2187</v>
      </c>
      <c r="F58" s="22">
        <f t="shared" si="5"/>
        <v>399</v>
      </c>
      <c r="G58" s="22">
        <f t="shared" si="6"/>
        <v>38</v>
      </c>
      <c r="H58" s="28">
        <f t="shared" si="7"/>
        <v>856</v>
      </c>
      <c r="I58" s="27">
        <v>-1592</v>
      </c>
      <c r="J58" s="28">
        <f t="shared" si="2"/>
        <v>2448</v>
      </c>
      <c r="K58" s="22">
        <f t="shared" si="8"/>
        <v>591</v>
      </c>
      <c r="L58" s="22">
        <f t="shared" si="9"/>
        <v>38</v>
      </c>
      <c r="M58" s="28">
        <f t="shared" si="10"/>
        <v>1231</v>
      </c>
      <c r="N58" s="24">
        <v>-1724</v>
      </c>
      <c r="O58" s="28">
        <f t="shared" si="3"/>
        <v>2955</v>
      </c>
      <c r="P58" s="22">
        <f t="shared" si="11"/>
        <v>356</v>
      </c>
      <c r="Q58" s="36"/>
      <c r="R58" s="30"/>
    </row>
    <row r="59" spans="1:18" x14ac:dyDescent="0.25">
      <c r="A59" s="21">
        <v>45828</v>
      </c>
      <c r="B59" s="22">
        <v>11</v>
      </c>
      <c r="C59" s="28">
        <f t="shared" si="4"/>
        <v>1012</v>
      </c>
      <c r="D59" s="24">
        <v>-1175</v>
      </c>
      <c r="E59" s="25">
        <f t="shared" si="1"/>
        <v>2187</v>
      </c>
      <c r="F59" s="22">
        <f t="shared" si="5"/>
        <v>405</v>
      </c>
      <c r="G59" s="22">
        <f t="shared" si="6"/>
        <v>39</v>
      </c>
      <c r="H59" s="28">
        <f t="shared" si="7"/>
        <v>848</v>
      </c>
      <c r="I59" s="27">
        <v>-1600</v>
      </c>
      <c r="J59" s="28">
        <f t="shared" si="2"/>
        <v>2448</v>
      </c>
      <c r="K59" s="22">
        <f t="shared" si="8"/>
        <v>599</v>
      </c>
      <c r="L59" s="22">
        <f t="shared" si="9"/>
        <v>39</v>
      </c>
      <c r="M59" s="28">
        <f t="shared" si="10"/>
        <v>1225</v>
      </c>
      <c r="N59" s="24">
        <v>-1730</v>
      </c>
      <c r="O59" s="28">
        <f t="shared" si="3"/>
        <v>2955</v>
      </c>
      <c r="P59" s="22">
        <f t="shared" si="11"/>
        <v>362</v>
      </c>
      <c r="Q59" s="36"/>
      <c r="R59" s="30"/>
    </row>
    <row r="60" spans="1:18" x14ac:dyDescent="0.25">
      <c r="A60" s="21">
        <v>45829</v>
      </c>
      <c r="B60" s="22">
        <v>11</v>
      </c>
      <c r="C60" s="28">
        <f t="shared" si="4"/>
        <v>1006</v>
      </c>
      <c r="D60" s="24">
        <v>-1181</v>
      </c>
      <c r="E60" s="25">
        <f t="shared" si="1"/>
        <v>2187</v>
      </c>
      <c r="F60" s="22">
        <f t="shared" si="5"/>
        <v>411</v>
      </c>
      <c r="G60" s="22">
        <f t="shared" si="6"/>
        <v>40</v>
      </c>
      <c r="H60" s="28">
        <f t="shared" si="7"/>
        <v>840</v>
      </c>
      <c r="I60" s="27">
        <v>-1608</v>
      </c>
      <c r="J60" s="28">
        <f t="shared" si="2"/>
        <v>2448</v>
      </c>
      <c r="K60" s="22">
        <f t="shared" si="8"/>
        <v>607</v>
      </c>
      <c r="L60" s="22">
        <f t="shared" si="9"/>
        <v>40</v>
      </c>
      <c r="M60" s="28">
        <f t="shared" si="10"/>
        <v>1219</v>
      </c>
      <c r="N60" s="24">
        <v>-1736</v>
      </c>
      <c r="O60" s="28">
        <f t="shared" si="3"/>
        <v>2955</v>
      </c>
      <c r="P60" s="22">
        <f t="shared" si="11"/>
        <v>368</v>
      </c>
      <c r="Q60" s="36"/>
      <c r="R60" s="30"/>
    </row>
    <row r="61" spans="1:18" x14ac:dyDescent="0.25">
      <c r="A61" s="21">
        <v>45830</v>
      </c>
      <c r="B61" s="22">
        <v>11</v>
      </c>
      <c r="C61" s="28">
        <f t="shared" si="4"/>
        <v>1000</v>
      </c>
      <c r="D61" s="24">
        <v>-1187</v>
      </c>
      <c r="E61" s="25">
        <f t="shared" si="1"/>
        <v>2187</v>
      </c>
      <c r="F61" s="22">
        <f t="shared" si="5"/>
        <v>417</v>
      </c>
      <c r="G61" s="22">
        <f t="shared" si="6"/>
        <v>41</v>
      </c>
      <c r="H61" s="28">
        <f t="shared" si="7"/>
        <v>832</v>
      </c>
      <c r="I61" s="27">
        <v>-1616</v>
      </c>
      <c r="J61" s="28">
        <f t="shared" si="2"/>
        <v>2448</v>
      </c>
      <c r="K61" s="22">
        <f t="shared" si="8"/>
        <v>615</v>
      </c>
      <c r="L61" s="22">
        <f t="shared" si="9"/>
        <v>41</v>
      </c>
      <c r="M61" s="28">
        <f t="shared" si="10"/>
        <v>1213</v>
      </c>
      <c r="N61" s="24">
        <v>-1742</v>
      </c>
      <c r="O61" s="28">
        <f t="shared" si="3"/>
        <v>2955</v>
      </c>
      <c r="P61" s="22">
        <f t="shared" si="11"/>
        <v>374</v>
      </c>
      <c r="Q61" s="36"/>
      <c r="R61" s="30"/>
    </row>
    <row r="62" spans="1:18" x14ac:dyDescent="0.25">
      <c r="A62" s="21">
        <v>45831</v>
      </c>
      <c r="B62" s="22">
        <v>11</v>
      </c>
      <c r="C62" s="28">
        <f t="shared" si="4"/>
        <v>994</v>
      </c>
      <c r="D62" s="24">
        <v>-1193</v>
      </c>
      <c r="E62" s="25">
        <f t="shared" si="1"/>
        <v>2187</v>
      </c>
      <c r="F62" s="22">
        <f t="shared" si="5"/>
        <v>423</v>
      </c>
      <c r="G62" s="22">
        <f t="shared" si="6"/>
        <v>42</v>
      </c>
      <c r="H62" s="28">
        <f t="shared" si="7"/>
        <v>824</v>
      </c>
      <c r="I62" s="27">
        <v>-1624</v>
      </c>
      <c r="J62" s="28">
        <f t="shared" si="2"/>
        <v>2448</v>
      </c>
      <c r="K62" s="22">
        <f t="shared" si="8"/>
        <v>623</v>
      </c>
      <c r="L62" s="22">
        <f t="shared" si="9"/>
        <v>42</v>
      </c>
      <c r="M62" s="28">
        <f t="shared" si="10"/>
        <v>1207</v>
      </c>
      <c r="N62" s="24">
        <v>-1748</v>
      </c>
      <c r="O62" s="28">
        <f t="shared" si="3"/>
        <v>2955</v>
      </c>
      <c r="P62" s="22">
        <f t="shared" si="11"/>
        <v>380</v>
      </c>
      <c r="Q62" s="36"/>
      <c r="R62" s="30"/>
    </row>
    <row r="63" spans="1:18" x14ac:dyDescent="0.25">
      <c r="A63" s="21">
        <v>45832</v>
      </c>
      <c r="B63" s="22">
        <v>11</v>
      </c>
      <c r="C63" s="28">
        <f t="shared" si="4"/>
        <v>988</v>
      </c>
      <c r="D63" s="24">
        <v>-1199</v>
      </c>
      <c r="E63" s="25">
        <f t="shared" si="1"/>
        <v>2187</v>
      </c>
      <c r="F63" s="22">
        <f t="shared" si="5"/>
        <v>429</v>
      </c>
      <c r="G63" s="22">
        <f t="shared" si="6"/>
        <v>43</v>
      </c>
      <c r="H63" s="28">
        <f t="shared" si="7"/>
        <v>816</v>
      </c>
      <c r="I63" s="27">
        <v>-1632</v>
      </c>
      <c r="J63" s="28">
        <f t="shared" si="2"/>
        <v>2448</v>
      </c>
      <c r="K63" s="22">
        <f t="shared" si="8"/>
        <v>631</v>
      </c>
      <c r="L63" s="22">
        <f t="shared" si="9"/>
        <v>43</v>
      </c>
      <c r="M63" s="28">
        <f t="shared" si="10"/>
        <v>1201</v>
      </c>
      <c r="N63" s="24">
        <v>-1754</v>
      </c>
      <c r="O63" s="28">
        <f t="shared" si="3"/>
        <v>2955</v>
      </c>
      <c r="P63" s="22">
        <f t="shared" si="11"/>
        <v>386</v>
      </c>
      <c r="Q63" s="36"/>
      <c r="R63" s="30"/>
    </row>
    <row r="64" spans="1:18" x14ac:dyDescent="0.25">
      <c r="A64" s="21">
        <v>45833</v>
      </c>
      <c r="B64" s="22">
        <v>11</v>
      </c>
      <c r="C64" s="28">
        <f t="shared" si="4"/>
        <v>987</v>
      </c>
      <c r="D64" s="24">
        <v>-1200</v>
      </c>
      <c r="E64" s="25">
        <f t="shared" si="1"/>
        <v>2187</v>
      </c>
      <c r="F64" s="22">
        <f t="shared" si="5"/>
        <v>430</v>
      </c>
      <c r="G64" s="22">
        <f t="shared" si="6"/>
        <v>44</v>
      </c>
      <c r="H64" s="28">
        <f t="shared" si="7"/>
        <v>808</v>
      </c>
      <c r="I64" s="27">
        <v>-1640</v>
      </c>
      <c r="J64" s="28">
        <f t="shared" si="2"/>
        <v>2448</v>
      </c>
      <c r="K64" s="22">
        <f t="shared" si="8"/>
        <v>639</v>
      </c>
      <c r="L64" s="22">
        <f t="shared" si="9"/>
        <v>44</v>
      </c>
      <c r="M64" s="28">
        <f t="shared" si="10"/>
        <v>1203</v>
      </c>
      <c r="N64" s="24">
        <v>-1752</v>
      </c>
      <c r="O64" s="28">
        <f t="shared" si="3"/>
        <v>2955</v>
      </c>
      <c r="P64" s="22">
        <f t="shared" si="11"/>
        <v>384</v>
      </c>
      <c r="Q64" s="36"/>
      <c r="R64" s="30"/>
    </row>
    <row r="65" spans="1:18" x14ac:dyDescent="0.25">
      <c r="A65" s="21">
        <v>45834</v>
      </c>
      <c r="B65" s="22">
        <v>11</v>
      </c>
      <c r="C65" s="28">
        <f t="shared" si="4"/>
        <v>984</v>
      </c>
      <c r="D65" s="24">
        <v>-1203</v>
      </c>
      <c r="E65" s="25">
        <f t="shared" si="1"/>
        <v>2187</v>
      </c>
      <c r="F65" s="22">
        <f t="shared" si="5"/>
        <v>433</v>
      </c>
      <c r="G65" s="22">
        <f t="shared" si="6"/>
        <v>45</v>
      </c>
      <c r="H65" s="28">
        <f t="shared" si="7"/>
        <v>800</v>
      </c>
      <c r="I65" s="27">
        <v>-1648</v>
      </c>
      <c r="J65" s="28">
        <f t="shared" si="2"/>
        <v>2448</v>
      </c>
      <c r="K65" s="22">
        <f t="shared" si="8"/>
        <v>647</v>
      </c>
      <c r="L65" s="22">
        <f t="shared" si="9"/>
        <v>45</v>
      </c>
      <c r="M65" s="28">
        <f t="shared" si="10"/>
        <v>1202</v>
      </c>
      <c r="N65" s="24">
        <v>-1753</v>
      </c>
      <c r="O65" s="28">
        <f t="shared" si="3"/>
        <v>2955</v>
      </c>
      <c r="P65" s="22">
        <f t="shared" si="11"/>
        <v>385</v>
      </c>
      <c r="Q65" s="36"/>
      <c r="R65" s="30"/>
    </row>
    <row r="66" spans="1:18" x14ac:dyDescent="0.25">
      <c r="A66" s="21">
        <v>45835</v>
      </c>
      <c r="B66" s="22">
        <v>11</v>
      </c>
      <c r="C66" s="28">
        <f t="shared" si="4"/>
        <v>984</v>
      </c>
      <c r="D66" s="24">
        <v>-1203</v>
      </c>
      <c r="E66" s="25">
        <f t="shared" si="1"/>
        <v>2187</v>
      </c>
      <c r="F66" s="22">
        <f t="shared" si="5"/>
        <v>433</v>
      </c>
      <c r="G66" s="22">
        <f t="shared" si="6"/>
        <v>46</v>
      </c>
      <c r="H66" s="28">
        <f t="shared" si="7"/>
        <v>800</v>
      </c>
      <c r="I66" s="27">
        <v>-1648</v>
      </c>
      <c r="J66" s="28">
        <f t="shared" si="2"/>
        <v>2448</v>
      </c>
      <c r="K66" s="22">
        <f t="shared" si="8"/>
        <v>647</v>
      </c>
      <c r="L66" s="22">
        <f t="shared" si="9"/>
        <v>46</v>
      </c>
      <c r="M66" s="28">
        <f t="shared" si="10"/>
        <v>1193</v>
      </c>
      <c r="N66" s="24">
        <v>-1762</v>
      </c>
      <c r="O66" s="28">
        <f t="shared" si="3"/>
        <v>2955</v>
      </c>
      <c r="P66" s="22">
        <f t="shared" si="11"/>
        <v>394</v>
      </c>
      <c r="Q66" s="36"/>
      <c r="R66" s="30"/>
    </row>
    <row r="67" spans="1:18" x14ac:dyDescent="0.25">
      <c r="A67" s="21">
        <v>45836</v>
      </c>
      <c r="B67" s="22">
        <v>11</v>
      </c>
      <c r="C67" s="28">
        <f t="shared" si="4"/>
        <v>984</v>
      </c>
      <c r="D67" s="24">
        <v>-1203</v>
      </c>
      <c r="E67" s="25">
        <f t="shared" si="1"/>
        <v>2187</v>
      </c>
      <c r="F67" s="22">
        <f t="shared" si="5"/>
        <v>433</v>
      </c>
      <c r="G67" s="22">
        <f t="shared" si="6"/>
        <v>47</v>
      </c>
      <c r="H67" s="28">
        <f t="shared" si="7"/>
        <v>800</v>
      </c>
      <c r="I67" s="27">
        <v>-1648</v>
      </c>
      <c r="J67" s="28">
        <f t="shared" si="2"/>
        <v>2448</v>
      </c>
      <c r="K67" s="22">
        <f t="shared" si="8"/>
        <v>647</v>
      </c>
      <c r="L67" s="22">
        <f t="shared" si="9"/>
        <v>47</v>
      </c>
      <c r="M67" s="28">
        <f t="shared" si="10"/>
        <v>1176</v>
      </c>
      <c r="N67" s="24">
        <v>-1779</v>
      </c>
      <c r="O67" s="28">
        <f t="shared" si="3"/>
        <v>2955</v>
      </c>
      <c r="P67" s="22">
        <f t="shared" si="11"/>
        <v>411</v>
      </c>
      <c r="Q67" s="36"/>
      <c r="R67" s="30"/>
    </row>
    <row r="68" spans="1:18" x14ac:dyDescent="0.25">
      <c r="A68" s="21">
        <v>45837</v>
      </c>
      <c r="B68" s="22">
        <v>11</v>
      </c>
      <c r="C68" s="28">
        <f t="shared" si="4"/>
        <v>984</v>
      </c>
      <c r="D68" s="24">
        <v>-1203</v>
      </c>
      <c r="E68" s="25">
        <f t="shared" si="1"/>
        <v>2187</v>
      </c>
      <c r="F68" s="22">
        <f t="shared" si="5"/>
        <v>433</v>
      </c>
      <c r="G68" s="22">
        <f t="shared" si="6"/>
        <v>48</v>
      </c>
      <c r="H68" s="28">
        <f t="shared" si="7"/>
        <v>800</v>
      </c>
      <c r="I68" s="27">
        <v>-1648</v>
      </c>
      <c r="J68" s="28">
        <f t="shared" si="2"/>
        <v>2448</v>
      </c>
      <c r="K68" s="22">
        <f t="shared" si="8"/>
        <v>647</v>
      </c>
      <c r="L68" s="22">
        <f t="shared" si="9"/>
        <v>48</v>
      </c>
      <c r="M68" s="28">
        <f t="shared" si="10"/>
        <v>1172</v>
      </c>
      <c r="N68" s="24">
        <v>-1783</v>
      </c>
      <c r="O68" s="28">
        <f t="shared" si="3"/>
        <v>2955</v>
      </c>
      <c r="P68" s="22">
        <f t="shared" si="11"/>
        <v>415</v>
      </c>
      <c r="Q68" s="36"/>
      <c r="R68" s="30"/>
    </row>
    <row r="69" spans="1:18" ht="12.75" x14ac:dyDescent="0.2">
      <c r="A69" s="21">
        <v>45838</v>
      </c>
      <c r="B69" s="22">
        <v>11</v>
      </c>
      <c r="C69" s="28">
        <f t="shared" si="4"/>
        <v>984</v>
      </c>
      <c r="D69" s="24">
        <v>-1203</v>
      </c>
      <c r="E69" s="25">
        <f t="shared" si="1"/>
        <v>2187</v>
      </c>
      <c r="F69" s="22">
        <f t="shared" si="5"/>
        <v>433</v>
      </c>
      <c r="G69" s="22">
        <f t="shared" si="6"/>
        <v>49</v>
      </c>
      <c r="H69" s="28">
        <f t="shared" si="7"/>
        <v>797</v>
      </c>
      <c r="I69" s="24">
        <v>-1651</v>
      </c>
      <c r="J69" s="28">
        <f t="shared" si="2"/>
        <v>2448</v>
      </c>
      <c r="K69" s="22">
        <f t="shared" si="8"/>
        <v>650</v>
      </c>
      <c r="L69" s="22">
        <f t="shared" si="9"/>
        <v>49</v>
      </c>
      <c r="M69" s="28">
        <f t="shared" si="10"/>
        <v>1168</v>
      </c>
      <c r="N69" s="24">
        <v>-1787</v>
      </c>
      <c r="O69" s="28">
        <f t="shared" si="3"/>
        <v>2955</v>
      </c>
      <c r="P69" s="22">
        <f t="shared" si="11"/>
        <v>419</v>
      </c>
      <c r="Q69" s="36"/>
      <c r="R69" s="30"/>
    </row>
    <row r="70" spans="1:18" ht="12.75" x14ac:dyDescent="0.2">
      <c r="A70" s="21">
        <v>45839</v>
      </c>
      <c r="B70" s="22">
        <v>11</v>
      </c>
      <c r="C70" s="28">
        <f t="shared" si="4"/>
        <v>984</v>
      </c>
      <c r="D70" s="24">
        <v>-1203</v>
      </c>
      <c r="E70" s="25">
        <f t="shared" si="1"/>
        <v>2187</v>
      </c>
      <c r="F70" s="22">
        <f t="shared" si="5"/>
        <v>433</v>
      </c>
      <c r="G70" s="22">
        <f t="shared" si="6"/>
        <v>50</v>
      </c>
      <c r="H70" s="28">
        <f t="shared" si="7"/>
        <v>789</v>
      </c>
      <c r="I70" s="24">
        <v>-1659</v>
      </c>
      <c r="J70" s="28">
        <f t="shared" si="2"/>
        <v>2448</v>
      </c>
      <c r="K70" s="22">
        <f t="shared" si="8"/>
        <v>658</v>
      </c>
      <c r="L70" s="22">
        <f t="shared" si="9"/>
        <v>50</v>
      </c>
      <c r="M70" s="28">
        <f t="shared" si="10"/>
        <v>1164</v>
      </c>
      <c r="N70" s="24">
        <v>-1791</v>
      </c>
      <c r="O70" s="28">
        <f t="shared" si="3"/>
        <v>2955</v>
      </c>
      <c r="P70" s="22">
        <f t="shared" si="11"/>
        <v>423</v>
      </c>
      <c r="Q70" s="36"/>
      <c r="R70" s="30"/>
    </row>
    <row r="71" spans="1:18" ht="12.75" x14ac:dyDescent="0.2">
      <c r="A71" s="21">
        <v>45840</v>
      </c>
      <c r="B71" s="22">
        <v>11</v>
      </c>
      <c r="C71" s="28">
        <f t="shared" si="4"/>
        <v>984</v>
      </c>
      <c r="D71" s="24">
        <v>-1203</v>
      </c>
      <c r="E71" s="25">
        <f t="shared" si="1"/>
        <v>2187</v>
      </c>
      <c r="F71" s="22">
        <f t="shared" si="5"/>
        <v>433</v>
      </c>
      <c r="G71" s="22">
        <f t="shared" si="6"/>
        <v>51</v>
      </c>
      <c r="H71" s="28">
        <f t="shared" si="7"/>
        <v>781</v>
      </c>
      <c r="I71" s="24">
        <v>-1667</v>
      </c>
      <c r="J71" s="28">
        <f t="shared" si="2"/>
        <v>2448</v>
      </c>
      <c r="K71" s="22">
        <f t="shared" si="8"/>
        <v>666</v>
      </c>
      <c r="L71" s="22">
        <f t="shared" si="9"/>
        <v>51</v>
      </c>
      <c r="M71" s="28">
        <f t="shared" si="10"/>
        <v>1160</v>
      </c>
      <c r="N71" s="24">
        <v>-1795</v>
      </c>
      <c r="O71" s="28">
        <f t="shared" si="3"/>
        <v>2955</v>
      </c>
      <c r="P71" s="22">
        <f t="shared" si="11"/>
        <v>427</v>
      </c>
      <c r="Q71" s="36"/>
      <c r="R71" s="30"/>
    </row>
    <row r="72" spans="1:18" ht="12.75" x14ac:dyDescent="0.2">
      <c r="A72" s="21">
        <v>45841</v>
      </c>
      <c r="B72" s="22">
        <v>11</v>
      </c>
      <c r="C72" s="28">
        <f t="shared" si="4"/>
        <v>984</v>
      </c>
      <c r="D72" s="24">
        <v>-1203</v>
      </c>
      <c r="E72" s="25">
        <f t="shared" si="1"/>
        <v>2187</v>
      </c>
      <c r="F72" s="22">
        <f t="shared" si="5"/>
        <v>433</v>
      </c>
      <c r="G72" s="22">
        <f t="shared" si="6"/>
        <v>52</v>
      </c>
      <c r="H72" s="28">
        <f t="shared" si="7"/>
        <v>773</v>
      </c>
      <c r="I72" s="24">
        <v>-1675</v>
      </c>
      <c r="J72" s="28">
        <f t="shared" si="2"/>
        <v>2448</v>
      </c>
      <c r="K72" s="22">
        <f t="shared" si="8"/>
        <v>674</v>
      </c>
      <c r="L72" s="22">
        <f t="shared" si="9"/>
        <v>52</v>
      </c>
      <c r="M72" s="28">
        <f t="shared" si="10"/>
        <v>1156</v>
      </c>
      <c r="N72" s="24">
        <v>-1799</v>
      </c>
      <c r="O72" s="28">
        <f t="shared" si="3"/>
        <v>2955</v>
      </c>
      <c r="P72" s="22">
        <f t="shared" si="11"/>
        <v>431</v>
      </c>
      <c r="Q72" s="36"/>
      <c r="R72" s="30"/>
    </row>
    <row r="73" spans="1:18" ht="12.75" x14ac:dyDescent="0.2">
      <c r="A73" s="21">
        <v>45842</v>
      </c>
      <c r="B73" s="22">
        <v>11</v>
      </c>
      <c r="C73" s="28">
        <f t="shared" si="4"/>
        <v>981</v>
      </c>
      <c r="D73" s="24">
        <v>-1206</v>
      </c>
      <c r="E73" s="25">
        <f t="shared" si="1"/>
        <v>2187</v>
      </c>
      <c r="F73" s="22">
        <f t="shared" si="5"/>
        <v>436</v>
      </c>
      <c r="G73" s="22">
        <f t="shared" si="6"/>
        <v>53</v>
      </c>
      <c r="H73" s="28">
        <f t="shared" si="7"/>
        <v>765</v>
      </c>
      <c r="I73" s="24">
        <v>-1683</v>
      </c>
      <c r="J73" s="28">
        <f t="shared" si="2"/>
        <v>2448</v>
      </c>
      <c r="K73" s="22">
        <f t="shared" si="8"/>
        <v>682</v>
      </c>
      <c r="L73" s="22">
        <f t="shared" si="9"/>
        <v>53</v>
      </c>
      <c r="M73" s="28">
        <f t="shared" si="10"/>
        <v>1152</v>
      </c>
      <c r="N73" s="24">
        <v>-1803</v>
      </c>
      <c r="O73" s="28">
        <f t="shared" si="3"/>
        <v>2955</v>
      </c>
      <c r="P73" s="22">
        <f t="shared" si="11"/>
        <v>435</v>
      </c>
      <c r="Q73" s="36"/>
      <c r="R73" s="30"/>
    </row>
    <row r="74" spans="1:18" ht="12.75" x14ac:dyDescent="0.2">
      <c r="A74" s="21">
        <v>45843</v>
      </c>
      <c r="B74" s="22">
        <v>11</v>
      </c>
      <c r="C74" s="28">
        <f t="shared" si="4"/>
        <v>977</v>
      </c>
      <c r="D74" s="24">
        <v>-1210</v>
      </c>
      <c r="E74" s="25">
        <f t="shared" si="1"/>
        <v>2187</v>
      </c>
      <c r="F74" s="22">
        <f t="shared" si="5"/>
        <v>440</v>
      </c>
      <c r="G74" s="22">
        <f t="shared" si="6"/>
        <v>54</v>
      </c>
      <c r="H74" s="28">
        <f t="shared" si="7"/>
        <v>757</v>
      </c>
      <c r="I74" s="24">
        <v>-1691</v>
      </c>
      <c r="J74" s="28">
        <f t="shared" si="2"/>
        <v>2448</v>
      </c>
      <c r="K74" s="22">
        <f t="shared" si="8"/>
        <v>690</v>
      </c>
      <c r="L74" s="22">
        <f t="shared" si="9"/>
        <v>54</v>
      </c>
      <c r="M74" s="28">
        <f t="shared" si="10"/>
        <v>1148</v>
      </c>
      <c r="N74" s="24">
        <v>-1807</v>
      </c>
      <c r="O74" s="28">
        <f t="shared" si="3"/>
        <v>2955</v>
      </c>
      <c r="P74" s="22">
        <f t="shared" si="11"/>
        <v>439</v>
      </c>
      <c r="Q74" s="36"/>
      <c r="R74" s="30"/>
    </row>
    <row r="75" spans="1:18" ht="12.75" x14ac:dyDescent="0.2">
      <c r="A75" s="21">
        <v>45844</v>
      </c>
      <c r="B75" s="22">
        <v>11</v>
      </c>
      <c r="C75" s="28">
        <f t="shared" si="4"/>
        <v>973</v>
      </c>
      <c r="D75" s="24">
        <v>-1214</v>
      </c>
      <c r="E75" s="25">
        <f t="shared" si="1"/>
        <v>2187</v>
      </c>
      <c r="F75" s="22">
        <f t="shared" si="5"/>
        <v>444</v>
      </c>
      <c r="G75" s="22">
        <f t="shared" si="6"/>
        <v>55</v>
      </c>
      <c r="H75" s="28">
        <f t="shared" si="7"/>
        <v>749</v>
      </c>
      <c r="I75" s="24">
        <v>-1699</v>
      </c>
      <c r="J75" s="28">
        <f t="shared" si="2"/>
        <v>2448</v>
      </c>
      <c r="K75" s="22">
        <f t="shared" si="8"/>
        <v>698</v>
      </c>
      <c r="L75" s="22">
        <f t="shared" si="9"/>
        <v>55</v>
      </c>
      <c r="M75" s="28">
        <f t="shared" si="10"/>
        <v>1144</v>
      </c>
      <c r="N75" s="24">
        <v>-1811</v>
      </c>
      <c r="O75" s="28">
        <f t="shared" si="3"/>
        <v>2955</v>
      </c>
      <c r="P75" s="22">
        <f t="shared" si="11"/>
        <v>443</v>
      </c>
      <c r="Q75" s="36"/>
      <c r="R75" s="30"/>
    </row>
    <row r="76" spans="1:18" ht="12.75" x14ac:dyDescent="0.2">
      <c r="A76" s="21">
        <v>45845</v>
      </c>
      <c r="B76" s="22">
        <v>11</v>
      </c>
      <c r="C76" s="28">
        <f t="shared" si="4"/>
        <v>969</v>
      </c>
      <c r="D76" s="24">
        <v>-1218</v>
      </c>
      <c r="E76" s="25">
        <f t="shared" si="1"/>
        <v>2187</v>
      </c>
      <c r="F76" s="22">
        <f t="shared" si="5"/>
        <v>448</v>
      </c>
      <c r="G76" s="22">
        <f t="shared" si="6"/>
        <v>56</v>
      </c>
      <c r="H76" s="28">
        <f t="shared" si="7"/>
        <v>741</v>
      </c>
      <c r="I76" s="24">
        <v>-1707</v>
      </c>
      <c r="J76" s="28">
        <f t="shared" si="2"/>
        <v>2448</v>
      </c>
      <c r="K76" s="22">
        <f t="shared" si="8"/>
        <v>706</v>
      </c>
      <c r="L76" s="22">
        <f t="shared" si="9"/>
        <v>56</v>
      </c>
      <c r="M76" s="28">
        <f t="shared" si="10"/>
        <v>1140</v>
      </c>
      <c r="N76" s="24">
        <v>-1815</v>
      </c>
      <c r="O76" s="28">
        <f t="shared" si="3"/>
        <v>2955</v>
      </c>
      <c r="P76" s="22">
        <f t="shared" si="11"/>
        <v>447</v>
      </c>
      <c r="Q76" s="36"/>
      <c r="R76" s="30"/>
    </row>
    <row r="77" spans="1:18" ht="12.75" x14ac:dyDescent="0.2">
      <c r="A77" s="21">
        <v>45846</v>
      </c>
      <c r="B77" s="22">
        <v>11</v>
      </c>
      <c r="C77" s="28">
        <f t="shared" si="4"/>
        <v>965</v>
      </c>
      <c r="D77" s="24">
        <v>-1222</v>
      </c>
      <c r="E77" s="25">
        <f t="shared" si="1"/>
        <v>2187</v>
      </c>
      <c r="F77" s="22">
        <f t="shared" si="5"/>
        <v>452</v>
      </c>
      <c r="G77" s="22">
        <f t="shared" si="6"/>
        <v>57</v>
      </c>
      <c r="H77" s="28">
        <f t="shared" si="7"/>
        <v>733</v>
      </c>
      <c r="I77" s="24">
        <v>-1715</v>
      </c>
      <c r="J77" s="28">
        <f t="shared" si="2"/>
        <v>2448</v>
      </c>
      <c r="K77" s="22">
        <f t="shared" si="8"/>
        <v>714</v>
      </c>
      <c r="L77" s="22">
        <f t="shared" si="9"/>
        <v>57</v>
      </c>
      <c r="M77" s="28">
        <f t="shared" si="10"/>
        <v>1136</v>
      </c>
      <c r="N77" s="24">
        <v>-1819</v>
      </c>
      <c r="O77" s="28">
        <f t="shared" si="3"/>
        <v>2955</v>
      </c>
      <c r="P77" s="22">
        <f t="shared" si="11"/>
        <v>451</v>
      </c>
      <c r="Q77" s="36"/>
      <c r="R77" s="30"/>
    </row>
    <row r="78" spans="1:18" ht="12.75" x14ac:dyDescent="0.2">
      <c r="A78" s="21">
        <v>45847</v>
      </c>
      <c r="B78" s="22">
        <v>11</v>
      </c>
      <c r="C78" s="28">
        <f t="shared" si="4"/>
        <v>961</v>
      </c>
      <c r="D78" s="24">
        <v>-1226</v>
      </c>
      <c r="E78" s="25">
        <f t="shared" si="1"/>
        <v>2187</v>
      </c>
      <c r="F78" s="22">
        <f t="shared" si="5"/>
        <v>456</v>
      </c>
      <c r="G78" s="22">
        <f t="shared" si="6"/>
        <v>58</v>
      </c>
      <c r="H78" s="28">
        <f t="shared" si="7"/>
        <v>725</v>
      </c>
      <c r="I78" s="24">
        <v>-1723</v>
      </c>
      <c r="J78" s="28">
        <f t="shared" si="2"/>
        <v>2448</v>
      </c>
      <c r="K78" s="22">
        <f t="shared" si="8"/>
        <v>722</v>
      </c>
      <c r="L78" s="22">
        <f t="shared" si="9"/>
        <v>58</v>
      </c>
      <c r="M78" s="28">
        <f t="shared" si="10"/>
        <v>1132</v>
      </c>
      <c r="N78" s="24">
        <v>-1823</v>
      </c>
      <c r="O78" s="28">
        <f t="shared" si="3"/>
        <v>2955</v>
      </c>
      <c r="P78" s="22">
        <f t="shared" si="11"/>
        <v>455</v>
      </c>
      <c r="Q78" s="36"/>
      <c r="R78" s="30"/>
    </row>
    <row r="79" spans="1:18" ht="12.75" x14ac:dyDescent="0.2">
      <c r="A79" s="21">
        <v>45848</v>
      </c>
      <c r="B79" s="22">
        <v>11</v>
      </c>
      <c r="C79" s="28">
        <f t="shared" si="4"/>
        <v>957</v>
      </c>
      <c r="D79" s="24">
        <v>-1230</v>
      </c>
      <c r="E79" s="25">
        <f t="shared" si="1"/>
        <v>2187</v>
      </c>
      <c r="F79" s="22">
        <f t="shared" si="5"/>
        <v>460</v>
      </c>
      <c r="G79" s="22">
        <f t="shared" si="6"/>
        <v>59</v>
      </c>
      <c r="H79" s="28">
        <f t="shared" si="7"/>
        <v>717</v>
      </c>
      <c r="I79" s="24">
        <v>-1731</v>
      </c>
      <c r="J79" s="28">
        <f t="shared" si="2"/>
        <v>2448</v>
      </c>
      <c r="K79" s="22">
        <f t="shared" si="8"/>
        <v>730</v>
      </c>
      <c r="L79" s="22">
        <f t="shared" si="9"/>
        <v>59</v>
      </c>
      <c r="M79" s="28">
        <f t="shared" si="10"/>
        <v>1128</v>
      </c>
      <c r="N79" s="24">
        <v>-1827</v>
      </c>
      <c r="O79" s="28">
        <f t="shared" si="3"/>
        <v>2955</v>
      </c>
      <c r="P79" s="22">
        <f t="shared" si="11"/>
        <v>459</v>
      </c>
      <c r="Q79" s="36"/>
      <c r="R79" s="30"/>
    </row>
    <row r="80" spans="1:18" ht="12.75" x14ac:dyDescent="0.2">
      <c r="A80" s="21">
        <v>45849</v>
      </c>
      <c r="B80" s="22">
        <v>11</v>
      </c>
      <c r="C80" s="28">
        <f t="shared" si="4"/>
        <v>953</v>
      </c>
      <c r="D80" s="24">
        <v>-1234</v>
      </c>
      <c r="E80" s="25">
        <f t="shared" si="1"/>
        <v>2187</v>
      </c>
      <c r="F80" s="22">
        <f t="shared" si="5"/>
        <v>464</v>
      </c>
      <c r="G80" s="22">
        <f t="shared" si="6"/>
        <v>60</v>
      </c>
      <c r="H80" s="28">
        <f t="shared" si="7"/>
        <v>709</v>
      </c>
      <c r="I80" s="24">
        <v>-1739</v>
      </c>
      <c r="J80" s="28">
        <f t="shared" si="2"/>
        <v>2448</v>
      </c>
      <c r="K80" s="22">
        <f t="shared" si="8"/>
        <v>738</v>
      </c>
      <c r="L80" s="22">
        <f t="shared" si="9"/>
        <v>60</v>
      </c>
      <c r="M80" s="28">
        <f t="shared" si="10"/>
        <v>1124</v>
      </c>
      <c r="N80" s="24">
        <v>-1831</v>
      </c>
      <c r="O80" s="28">
        <f t="shared" si="3"/>
        <v>2955</v>
      </c>
      <c r="P80" s="22">
        <f t="shared" si="11"/>
        <v>463</v>
      </c>
      <c r="Q80" s="36"/>
      <c r="R80" s="30"/>
    </row>
    <row r="81" spans="1:18" ht="12.75" x14ac:dyDescent="0.2">
      <c r="A81" s="21">
        <v>45850</v>
      </c>
      <c r="B81" s="22">
        <v>11</v>
      </c>
      <c r="C81" s="28">
        <f t="shared" si="4"/>
        <v>949</v>
      </c>
      <c r="D81" s="24">
        <v>-1238</v>
      </c>
      <c r="E81" s="25">
        <f t="shared" si="1"/>
        <v>2187</v>
      </c>
      <c r="F81" s="22">
        <f t="shared" si="5"/>
        <v>468</v>
      </c>
      <c r="G81" s="22">
        <f t="shared" si="6"/>
        <v>61</v>
      </c>
      <c r="H81" s="28">
        <f t="shared" si="7"/>
        <v>701</v>
      </c>
      <c r="I81" s="24">
        <v>-1747</v>
      </c>
      <c r="J81" s="28">
        <f t="shared" si="2"/>
        <v>2448</v>
      </c>
      <c r="K81" s="22">
        <f t="shared" si="8"/>
        <v>746</v>
      </c>
      <c r="L81" s="22">
        <f t="shared" si="9"/>
        <v>61</v>
      </c>
      <c r="M81" s="28">
        <f t="shared" si="10"/>
        <v>1120</v>
      </c>
      <c r="N81" s="24">
        <v>-1835</v>
      </c>
      <c r="O81" s="28">
        <f t="shared" si="3"/>
        <v>2955</v>
      </c>
      <c r="P81" s="22">
        <f t="shared" si="11"/>
        <v>467</v>
      </c>
      <c r="Q81" s="36"/>
      <c r="R81" s="30"/>
    </row>
    <row r="82" spans="1:18" ht="12.75" x14ac:dyDescent="0.2">
      <c r="A82" s="21">
        <v>45851</v>
      </c>
      <c r="B82" s="22">
        <v>11</v>
      </c>
      <c r="C82" s="28">
        <f t="shared" si="4"/>
        <v>945</v>
      </c>
      <c r="D82" s="24">
        <v>-1242</v>
      </c>
      <c r="E82" s="25">
        <f t="shared" si="1"/>
        <v>2187</v>
      </c>
      <c r="F82" s="22">
        <f t="shared" si="5"/>
        <v>472</v>
      </c>
      <c r="G82" s="22">
        <f t="shared" si="6"/>
        <v>62</v>
      </c>
      <c r="H82" s="28">
        <f t="shared" si="7"/>
        <v>693</v>
      </c>
      <c r="I82" s="24">
        <v>-1755</v>
      </c>
      <c r="J82" s="28">
        <f t="shared" si="2"/>
        <v>2448</v>
      </c>
      <c r="K82" s="22">
        <f t="shared" si="8"/>
        <v>754</v>
      </c>
      <c r="L82" s="22">
        <f t="shared" si="9"/>
        <v>62</v>
      </c>
      <c r="M82" s="28">
        <f t="shared" si="10"/>
        <v>1116</v>
      </c>
      <c r="N82" s="24">
        <v>-1839</v>
      </c>
      <c r="O82" s="28">
        <f t="shared" si="3"/>
        <v>2955</v>
      </c>
      <c r="P82" s="22">
        <f t="shared" si="11"/>
        <v>471</v>
      </c>
      <c r="Q82" s="36"/>
      <c r="R82" s="30"/>
    </row>
    <row r="83" spans="1:18" ht="12.75" x14ac:dyDescent="0.2">
      <c r="A83" s="21">
        <v>45852</v>
      </c>
      <c r="B83" s="22">
        <v>11</v>
      </c>
      <c r="C83" s="28">
        <f t="shared" si="4"/>
        <v>941</v>
      </c>
      <c r="D83" s="24">
        <v>-1246</v>
      </c>
      <c r="E83" s="25">
        <f t="shared" si="1"/>
        <v>2187</v>
      </c>
      <c r="F83" s="22">
        <f t="shared" si="5"/>
        <v>476</v>
      </c>
      <c r="G83" s="22">
        <f t="shared" si="6"/>
        <v>63</v>
      </c>
      <c r="H83" s="28">
        <f t="shared" si="7"/>
        <v>685</v>
      </c>
      <c r="I83" s="24">
        <v>-1763</v>
      </c>
      <c r="J83" s="28">
        <f t="shared" si="2"/>
        <v>2448</v>
      </c>
      <c r="K83" s="22">
        <f t="shared" si="8"/>
        <v>762</v>
      </c>
      <c r="L83" s="22">
        <f t="shared" si="9"/>
        <v>63</v>
      </c>
      <c r="M83" s="28">
        <f t="shared" si="10"/>
        <v>1112</v>
      </c>
      <c r="N83" s="24">
        <v>-1843</v>
      </c>
      <c r="O83" s="28">
        <f t="shared" si="3"/>
        <v>2955</v>
      </c>
      <c r="P83" s="22">
        <f t="shared" si="11"/>
        <v>475</v>
      </c>
      <c r="Q83" s="36"/>
      <c r="R83" s="30"/>
    </row>
    <row r="84" spans="1:18" ht="12.75" x14ac:dyDescent="0.2">
      <c r="A84" s="21">
        <v>45853</v>
      </c>
      <c r="B84" s="22">
        <v>11</v>
      </c>
      <c r="C84" s="28">
        <f t="shared" si="4"/>
        <v>937</v>
      </c>
      <c r="D84" s="24">
        <v>-1250</v>
      </c>
      <c r="E84" s="25">
        <f t="shared" si="1"/>
        <v>2187</v>
      </c>
      <c r="F84" s="22">
        <f t="shared" si="5"/>
        <v>480</v>
      </c>
      <c r="G84" s="22">
        <f t="shared" si="6"/>
        <v>64</v>
      </c>
      <c r="H84" s="28">
        <f t="shared" si="7"/>
        <v>677</v>
      </c>
      <c r="I84" s="24">
        <v>-1771</v>
      </c>
      <c r="J84" s="28">
        <f t="shared" si="2"/>
        <v>2448</v>
      </c>
      <c r="K84" s="22">
        <f t="shared" si="8"/>
        <v>770</v>
      </c>
      <c r="L84" s="22">
        <f t="shared" si="9"/>
        <v>64</v>
      </c>
      <c r="M84" s="28">
        <f t="shared" si="10"/>
        <v>1112</v>
      </c>
      <c r="N84" s="24">
        <v>-1843</v>
      </c>
      <c r="O84" s="28">
        <f t="shared" si="3"/>
        <v>2955</v>
      </c>
      <c r="P84" s="22">
        <f t="shared" si="11"/>
        <v>475</v>
      </c>
      <c r="Q84" s="36"/>
      <c r="R84" s="30"/>
    </row>
    <row r="85" spans="1:18" ht="12.75" x14ac:dyDescent="0.2">
      <c r="A85" s="21">
        <v>45854</v>
      </c>
      <c r="B85" s="22">
        <v>11</v>
      </c>
      <c r="C85" s="28">
        <f t="shared" si="4"/>
        <v>933</v>
      </c>
      <c r="D85" s="24">
        <v>-1254</v>
      </c>
      <c r="E85" s="25">
        <f t="shared" si="1"/>
        <v>2187</v>
      </c>
      <c r="F85" s="22">
        <f t="shared" si="5"/>
        <v>484</v>
      </c>
      <c r="G85" s="22">
        <f t="shared" si="6"/>
        <v>65</v>
      </c>
      <c r="H85" s="28">
        <f t="shared" si="7"/>
        <v>669</v>
      </c>
      <c r="I85" s="24">
        <v>-1779</v>
      </c>
      <c r="J85" s="28">
        <f t="shared" si="2"/>
        <v>2448</v>
      </c>
      <c r="K85" s="22">
        <f t="shared" si="8"/>
        <v>778</v>
      </c>
      <c r="L85" s="22">
        <f t="shared" si="9"/>
        <v>65</v>
      </c>
      <c r="M85" s="28">
        <f t="shared" si="10"/>
        <v>1105</v>
      </c>
      <c r="N85" s="24">
        <v>-1850</v>
      </c>
      <c r="O85" s="28">
        <f t="shared" si="3"/>
        <v>2955</v>
      </c>
      <c r="P85" s="22">
        <f t="shared" si="11"/>
        <v>482</v>
      </c>
      <c r="Q85" s="36"/>
      <c r="R85" s="30"/>
    </row>
    <row r="86" spans="1:18" ht="12.75" x14ac:dyDescent="0.2">
      <c r="A86" s="21">
        <v>45855</v>
      </c>
      <c r="B86" s="22">
        <v>11</v>
      </c>
      <c r="C86" s="28">
        <f t="shared" si="4"/>
        <v>929</v>
      </c>
      <c r="D86" s="24">
        <v>-1258</v>
      </c>
      <c r="E86" s="25">
        <f t="shared" si="1"/>
        <v>2187</v>
      </c>
      <c r="F86" s="22">
        <f t="shared" si="5"/>
        <v>488</v>
      </c>
      <c r="G86" s="22">
        <f t="shared" si="6"/>
        <v>66</v>
      </c>
      <c r="H86" s="28">
        <f t="shared" si="7"/>
        <v>661</v>
      </c>
      <c r="I86" s="24">
        <v>-1787</v>
      </c>
      <c r="J86" s="28">
        <f t="shared" si="2"/>
        <v>2448</v>
      </c>
      <c r="K86" s="22">
        <f t="shared" si="8"/>
        <v>786</v>
      </c>
      <c r="L86" s="22">
        <f t="shared" si="9"/>
        <v>66</v>
      </c>
      <c r="M86" s="28">
        <f t="shared" si="10"/>
        <v>1097</v>
      </c>
      <c r="N86" s="24">
        <v>-1858</v>
      </c>
      <c r="O86" s="28">
        <f t="shared" si="3"/>
        <v>2955</v>
      </c>
      <c r="P86" s="22">
        <f t="shared" si="11"/>
        <v>490</v>
      </c>
      <c r="Q86" s="36"/>
      <c r="R86" s="30"/>
    </row>
    <row r="87" spans="1:18" ht="12.75" x14ac:dyDescent="0.2">
      <c r="A87" s="21">
        <v>45856</v>
      </c>
      <c r="B87" s="22">
        <v>11</v>
      </c>
      <c r="C87" s="28">
        <f t="shared" si="4"/>
        <v>925</v>
      </c>
      <c r="D87" s="24">
        <v>-1262</v>
      </c>
      <c r="E87" s="25">
        <f t="shared" si="1"/>
        <v>2187</v>
      </c>
      <c r="F87" s="22">
        <f t="shared" si="5"/>
        <v>492</v>
      </c>
      <c r="G87" s="22">
        <f t="shared" si="6"/>
        <v>67</v>
      </c>
      <c r="H87" s="28">
        <f t="shared" si="7"/>
        <v>653</v>
      </c>
      <c r="I87" s="24">
        <v>-1795</v>
      </c>
      <c r="J87" s="28">
        <f t="shared" si="2"/>
        <v>2448</v>
      </c>
      <c r="K87" s="22">
        <f t="shared" si="8"/>
        <v>794</v>
      </c>
      <c r="L87" s="22">
        <f t="shared" si="9"/>
        <v>67</v>
      </c>
      <c r="M87" s="28">
        <f t="shared" si="10"/>
        <v>1089</v>
      </c>
      <c r="N87" s="24">
        <v>-1866</v>
      </c>
      <c r="O87" s="28">
        <f t="shared" si="3"/>
        <v>2955</v>
      </c>
      <c r="P87" s="22">
        <f t="shared" si="11"/>
        <v>498</v>
      </c>
      <c r="Q87" s="36"/>
      <c r="R87" s="30"/>
    </row>
    <row r="88" spans="1:18" ht="12.75" x14ac:dyDescent="0.2">
      <c r="A88" s="21">
        <v>45857</v>
      </c>
      <c r="B88" s="22">
        <v>11</v>
      </c>
      <c r="C88" s="28">
        <f t="shared" si="4"/>
        <v>921</v>
      </c>
      <c r="D88" s="24">
        <v>-1266</v>
      </c>
      <c r="E88" s="25">
        <f t="shared" si="1"/>
        <v>2187</v>
      </c>
      <c r="F88" s="22">
        <f t="shared" si="5"/>
        <v>496</v>
      </c>
      <c r="G88" s="22">
        <f t="shared" si="6"/>
        <v>68</v>
      </c>
      <c r="H88" s="28">
        <f t="shared" si="7"/>
        <v>650</v>
      </c>
      <c r="I88" s="24">
        <v>-1798</v>
      </c>
      <c r="J88" s="28">
        <f t="shared" si="2"/>
        <v>2448</v>
      </c>
      <c r="K88" s="22">
        <f t="shared" si="8"/>
        <v>797</v>
      </c>
      <c r="L88" s="22">
        <f t="shared" si="9"/>
        <v>68</v>
      </c>
      <c r="M88" s="28">
        <f t="shared" si="10"/>
        <v>1081</v>
      </c>
      <c r="N88" s="24">
        <v>-1874</v>
      </c>
      <c r="O88" s="28">
        <f t="shared" si="3"/>
        <v>2955</v>
      </c>
      <c r="P88" s="22">
        <f t="shared" si="11"/>
        <v>506</v>
      </c>
      <c r="Q88" s="36"/>
      <c r="R88" s="30"/>
    </row>
    <row r="89" spans="1:18" ht="12.75" x14ac:dyDescent="0.2">
      <c r="A89" s="21">
        <v>45858</v>
      </c>
      <c r="B89" s="22">
        <v>11</v>
      </c>
      <c r="C89" s="28">
        <f t="shared" si="4"/>
        <v>917</v>
      </c>
      <c r="D89" s="24">
        <v>-1270</v>
      </c>
      <c r="E89" s="25">
        <f t="shared" si="1"/>
        <v>2187</v>
      </c>
      <c r="F89" s="22">
        <f t="shared" si="5"/>
        <v>500</v>
      </c>
      <c r="G89" s="22">
        <f t="shared" si="6"/>
        <v>69</v>
      </c>
      <c r="H89" s="28">
        <f t="shared" si="7"/>
        <v>648</v>
      </c>
      <c r="I89" s="24">
        <v>-1800</v>
      </c>
      <c r="J89" s="28">
        <f t="shared" si="2"/>
        <v>2448</v>
      </c>
      <c r="K89" s="22">
        <f t="shared" si="8"/>
        <v>799</v>
      </c>
      <c r="L89" s="22">
        <f t="shared" si="9"/>
        <v>69</v>
      </c>
      <c r="M89" s="28">
        <f t="shared" si="10"/>
        <v>1073</v>
      </c>
      <c r="N89" s="24">
        <v>-1882</v>
      </c>
      <c r="O89" s="28">
        <f t="shared" si="3"/>
        <v>2955</v>
      </c>
      <c r="P89" s="22">
        <f t="shared" si="11"/>
        <v>514</v>
      </c>
      <c r="Q89" s="36"/>
      <c r="R89" s="30"/>
    </row>
    <row r="90" spans="1:18" ht="12.75" x14ac:dyDescent="0.2">
      <c r="A90" s="21">
        <v>45859</v>
      </c>
      <c r="B90" s="22">
        <v>11</v>
      </c>
      <c r="C90" s="28">
        <f t="shared" si="4"/>
        <v>913</v>
      </c>
      <c r="D90" s="24">
        <v>-1274</v>
      </c>
      <c r="E90" s="25">
        <f t="shared" si="1"/>
        <v>2187</v>
      </c>
      <c r="F90" s="22">
        <f t="shared" si="5"/>
        <v>504</v>
      </c>
      <c r="G90" s="22">
        <f t="shared" si="6"/>
        <v>70</v>
      </c>
      <c r="H90" s="28">
        <f t="shared" si="7"/>
        <v>643</v>
      </c>
      <c r="I90" s="24">
        <v>-1805</v>
      </c>
      <c r="J90" s="28">
        <f t="shared" si="2"/>
        <v>2448</v>
      </c>
      <c r="K90" s="22">
        <f t="shared" si="8"/>
        <v>804</v>
      </c>
      <c r="L90" s="22">
        <f t="shared" si="9"/>
        <v>70</v>
      </c>
      <c r="M90" s="28">
        <f t="shared" si="10"/>
        <v>1065</v>
      </c>
      <c r="N90" s="24">
        <v>-1890</v>
      </c>
      <c r="O90" s="28">
        <f t="shared" si="3"/>
        <v>2955</v>
      </c>
      <c r="P90" s="22">
        <f t="shared" si="11"/>
        <v>522</v>
      </c>
      <c r="Q90" s="36"/>
      <c r="R90" s="30"/>
    </row>
    <row r="91" spans="1:18" ht="12.75" x14ac:dyDescent="0.2">
      <c r="A91" s="21">
        <v>45860</v>
      </c>
      <c r="B91" s="22">
        <v>11</v>
      </c>
      <c r="C91" s="28">
        <f t="shared" si="4"/>
        <v>909</v>
      </c>
      <c r="D91" s="24">
        <v>-1278</v>
      </c>
      <c r="E91" s="25">
        <f t="shared" si="1"/>
        <v>2187</v>
      </c>
      <c r="F91" s="22">
        <f t="shared" si="5"/>
        <v>508</v>
      </c>
      <c r="G91" s="22">
        <f t="shared" si="6"/>
        <v>71</v>
      </c>
      <c r="H91" s="28">
        <f t="shared" si="7"/>
        <v>638</v>
      </c>
      <c r="I91" s="24">
        <v>-1810</v>
      </c>
      <c r="J91" s="28">
        <f t="shared" si="2"/>
        <v>2448</v>
      </c>
      <c r="K91" s="22">
        <f t="shared" si="8"/>
        <v>809</v>
      </c>
      <c r="L91" s="22">
        <f t="shared" si="9"/>
        <v>71</v>
      </c>
      <c r="M91" s="28">
        <f t="shared" si="10"/>
        <v>1057</v>
      </c>
      <c r="N91" s="24">
        <v>-1898</v>
      </c>
      <c r="O91" s="28">
        <f t="shared" si="3"/>
        <v>2955</v>
      </c>
      <c r="P91" s="22">
        <f t="shared" si="11"/>
        <v>530</v>
      </c>
      <c r="Q91" s="36"/>
      <c r="R91" s="30"/>
    </row>
    <row r="92" spans="1:18" ht="12.75" x14ac:dyDescent="0.2">
      <c r="A92" s="21">
        <v>45861</v>
      </c>
      <c r="B92" s="22">
        <v>11</v>
      </c>
      <c r="C92" s="28">
        <f t="shared" si="4"/>
        <v>905</v>
      </c>
      <c r="D92" s="24">
        <v>-1282</v>
      </c>
      <c r="E92" s="25">
        <f t="shared" si="1"/>
        <v>2187</v>
      </c>
      <c r="F92" s="22">
        <f t="shared" si="5"/>
        <v>512</v>
      </c>
      <c r="G92" s="22">
        <f t="shared" si="6"/>
        <v>72</v>
      </c>
      <c r="H92" s="28">
        <f t="shared" si="7"/>
        <v>633</v>
      </c>
      <c r="I92" s="24">
        <v>-1815</v>
      </c>
      <c r="J92" s="28">
        <f t="shared" si="2"/>
        <v>2448</v>
      </c>
      <c r="K92" s="22">
        <f t="shared" si="8"/>
        <v>814</v>
      </c>
      <c r="L92" s="22">
        <f t="shared" si="9"/>
        <v>72</v>
      </c>
      <c r="M92" s="28">
        <f t="shared" si="10"/>
        <v>1049</v>
      </c>
      <c r="N92" s="24">
        <v>-1906</v>
      </c>
      <c r="O92" s="28">
        <f t="shared" si="3"/>
        <v>2955</v>
      </c>
      <c r="P92" s="22">
        <f t="shared" si="11"/>
        <v>538</v>
      </c>
      <c r="Q92" s="36"/>
      <c r="R92" s="30"/>
    </row>
    <row r="93" spans="1:18" ht="12.75" x14ac:dyDescent="0.2">
      <c r="A93" s="21">
        <v>45862</v>
      </c>
      <c r="B93" s="22">
        <v>11</v>
      </c>
      <c r="C93" s="28">
        <f t="shared" si="4"/>
        <v>901</v>
      </c>
      <c r="D93" s="24">
        <v>-1286</v>
      </c>
      <c r="E93" s="25">
        <f t="shared" si="1"/>
        <v>2187</v>
      </c>
      <c r="F93" s="22">
        <f t="shared" si="5"/>
        <v>516</v>
      </c>
      <c r="G93" s="22">
        <f t="shared" si="6"/>
        <v>73</v>
      </c>
      <c r="H93" s="28">
        <f t="shared" si="7"/>
        <v>628</v>
      </c>
      <c r="I93" s="24">
        <v>-1820</v>
      </c>
      <c r="J93" s="28">
        <f t="shared" si="2"/>
        <v>2448</v>
      </c>
      <c r="K93" s="22">
        <f t="shared" si="8"/>
        <v>819</v>
      </c>
      <c r="L93" s="22">
        <f t="shared" si="9"/>
        <v>73</v>
      </c>
      <c r="M93" s="28">
        <f t="shared" si="10"/>
        <v>1041</v>
      </c>
      <c r="N93" s="24">
        <v>-1914</v>
      </c>
      <c r="O93" s="28">
        <f t="shared" si="3"/>
        <v>2955</v>
      </c>
      <c r="P93" s="22">
        <f t="shared" si="11"/>
        <v>546</v>
      </c>
      <c r="Q93" s="36"/>
      <c r="R93" s="30"/>
    </row>
    <row r="94" spans="1:18" ht="12.75" x14ac:dyDescent="0.2">
      <c r="A94" s="21">
        <v>45863</v>
      </c>
      <c r="B94" s="22">
        <v>11</v>
      </c>
      <c r="C94" s="28">
        <f t="shared" si="4"/>
        <v>897</v>
      </c>
      <c r="D94" s="24">
        <v>-1290</v>
      </c>
      <c r="E94" s="25">
        <f t="shared" si="1"/>
        <v>2187</v>
      </c>
      <c r="F94" s="22">
        <f t="shared" si="5"/>
        <v>520</v>
      </c>
      <c r="G94" s="22">
        <f t="shared" si="6"/>
        <v>74</v>
      </c>
      <c r="H94" s="28">
        <f t="shared" si="7"/>
        <v>623</v>
      </c>
      <c r="I94" s="24">
        <v>-1825</v>
      </c>
      <c r="J94" s="28">
        <f t="shared" si="2"/>
        <v>2448</v>
      </c>
      <c r="K94" s="22">
        <f t="shared" si="8"/>
        <v>824</v>
      </c>
      <c r="L94" s="22">
        <f t="shared" si="9"/>
        <v>74</v>
      </c>
      <c r="M94" s="28">
        <f t="shared" si="10"/>
        <v>1033</v>
      </c>
      <c r="N94" s="24">
        <v>-1922</v>
      </c>
      <c r="O94" s="28">
        <f t="shared" si="3"/>
        <v>2955</v>
      </c>
      <c r="P94" s="22">
        <f t="shared" si="11"/>
        <v>554</v>
      </c>
      <c r="Q94" s="36"/>
      <c r="R94" s="30"/>
    </row>
    <row r="95" spans="1:18" ht="12.75" x14ac:dyDescent="0.2">
      <c r="A95" s="21">
        <v>45864</v>
      </c>
      <c r="B95" s="22">
        <v>11</v>
      </c>
      <c r="C95" s="28">
        <f t="shared" si="4"/>
        <v>893</v>
      </c>
      <c r="D95" s="24">
        <v>-1294</v>
      </c>
      <c r="E95" s="25">
        <f t="shared" si="1"/>
        <v>2187</v>
      </c>
      <c r="F95" s="22">
        <f t="shared" si="5"/>
        <v>524</v>
      </c>
      <c r="G95" s="22">
        <f t="shared" si="6"/>
        <v>75</v>
      </c>
      <c r="H95" s="28">
        <f t="shared" si="7"/>
        <v>618</v>
      </c>
      <c r="I95" s="24">
        <v>-1830</v>
      </c>
      <c r="J95" s="28">
        <f t="shared" si="2"/>
        <v>2448</v>
      </c>
      <c r="K95" s="22">
        <f t="shared" si="8"/>
        <v>829</v>
      </c>
      <c r="L95" s="22">
        <f t="shared" si="9"/>
        <v>75</v>
      </c>
      <c r="M95" s="28">
        <f t="shared" si="10"/>
        <v>1025</v>
      </c>
      <c r="N95" s="24">
        <v>-1930</v>
      </c>
      <c r="O95" s="28">
        <f t="shared" si="3"/>
        <v>2955</v>
      </c>
      <c r="P95" s="22">
        <f t="shared" si="11"/>
        <v>562</v>
      </c>
      <c r="Q95" s="36"/>
      <c r="R95" s="30"/>
    </row>
    <row r="96" spans="1:18" ht="12.75" x14ac:dyDescent="0.2">
      <c r="A96" s="21">
        <v>45865</v>
      </c>
      <c r="B96" s="22">
        <v>11</v>
      </c>
      <c r="C96" s="25">
        <v>1177</v>
      </c>
      <c r="D96" s="24">
        <v>-1298</v>
      </c>
      <c r="E96" s="25">
        <f t="shared" si="1"/>
        <v>2475</v>
      </c>
      <c r="F96" s="22">
        <f t="shared" si="5"/>
        <v>528</v>
      </c>
      <c r="G96" s="22">
        <f t="shared" si="6"/>
        <v>76</v>
      </c>
      <c r="H96" s="25">
        <v>1782</v>
      </c>
      <c r="I96" s="24">
        <v>-1835</v>
      </c>
      <c r="J96" s="28">
        <f t="shared" si="2"/>
        <v>3617</v>
      </c>
      <c r="K96" s="22">
        <f t="shared" si="8"/>
        <v>834</v>
      </c>
      <c r="L96" s="22">
        <f t="shared" si="9"/>
        <v>76</v>
      </c>
      <c r="M96" s="25">
        <v>1555</v>
      </c>
      <c r="N96" s="24">
        <v>-1938</v>
      </c>
      <c r="O96" s="28">
        <f t="shared" si="3"/>
        <v>3493</v>
      </c>
      <c r="P96" s="22">
        <f t="shared" si="11"/>
        <v>570</v>
      </c>
      <c r="Q96" s="36"/>
      <c r="R96" s="30"/>
    </row>
    <row r="97" spans="1:18" ht="12.75" x14ac:dyDescent="0.2">
      <c r="A97" s="37"/>
      <c r="B97" s="22"/>
      <c r="C97" s="38"/>
      <c r="D97" s="39"/>
      <c r="E97" s="40"/>
      <c r="F97" s="22"/>
      <c r="G97" s="22">
        <f t="shared" ref="G97:G100" si="12">B97</f>
        <v>0</v>
      </c>
      <c r="H97" s="40"/>
      <c r="I97" s="39"/>
      <c r="J97" s="28"/>
      <c r="K97" s="22"/>
      <c r="L97" s="22">
        <f t="shared" ref="L97:L100" si="13">B97</f>
        <v>0</v>
      </c>
      <c r="M97" s="38"/>
      <c r="N97" s="39"/>
      <c r="O97" s="41"/>
      <c r="P97" s="22"/>
      <c r="Q97" s="36"/>
      <c r="R97" s="30"/>
    </row>
    <row r="98" spans="1:18" ht="12.75" x14ac:dyDescent="0.2">
      <c r="A98" s="37"/>
      <c r="B98" s="22"/>
      <c r="C98" s="38"/>
      <c r="D98" s="39"/>
      <c r="E98" s="40"/>
      <c r="F98" s="22"/>
      <c r="G98" s="22">
        <f t="shared" si="12"/>
        <v>0</v>
      </c>
      <c r="H98" s="40"/>
      <c r="I98" s="39"/>
      <c r="J98" s="28"/>
      <c r="K98" s="22"/>
      <c r="L98" s="22">
        <f t="shared" si="13"/>
        <v>0</v>
      </c>
      <c r="M98" s="38"/>
      <c r="N98" s="39"/>
      <c r="O98" s="41"/>
      <c r="P98" s="22"/>
      <c r="Q98" s="36"/>
      <c r="R98" s="30"/>
    </row>
    <row r="99" spans="1:18" ht="12.75" x14ac:dyDescent="0.2">
      <c r="A99" s="37"/>
      <c r="B99" s="22"/>
      <c r="C99" s="38"/>
      <c r="D99" s="39"/>
      <c r="E99" s="40"/>
      <c r="F99" s="22"/>
      <c r="G99" s="22">
        <f t="shared" si="12"/>
        <v>0</v>
      </c>
      <c r="H99" s="40"/>
      <c r="I99" s="39"/>
      <c r="J99" s="28"/>
      <c r="K99" s="22"/>
      <c r="L99" s="22">
        <f t="shared" si="13"/>
        <v>0</v>
      </c>
      <c r="M99" s="38"/>
      <c r="N99" s="39"/>
      <c r="O99" s="41"/>
      <c r="P99" s="22"/>
      <c r="Q99" s="36"/>
      <c r="R99" s="30"/>
    </row>
    <row r="100" spans="1:18" ht="12.75" x14ac:dyDescent="0.2">
      <c r="A100" s="37"/>
      <c r="B100" s="22"/>
      <c r="C100" s="38"/>
      <c r="D100" s="39"/>
      <c r="E100" s="40"/>
      <c r="F100" s="22"/>
      <c r="G100" s="22">
        <f t="shared" si="12"/>
        <v>0</v>
      </c>
      <c r="H100" s="40"/>
      <c r="I100" s="39"/>
      <c r="J100" s="40"/>
      <c r="K100" s="22"/>
      <c r="L100" s="22">
        <f t="shared" si="13"/>
        <v>0</v>
      </c>
      <c r="M100" s="38"/>
      <c r="N100" s="39"/>
      <c r="O100" s="41"/>
      <c r="P100" s="22"/>
      <c r="Q100" s="36"/>
      <c r="R100" s="30"/>
    </row>
    <row r="101" spans="1:18" ht="12.75" x14ac:dyDescent="0.2">
      <c r="A101" s="42"/>
      <c r="B101" s="43"/>
      <c r="C101" s="44"/>
      <c r="D101" s="44"/>
      <c r="E101" s="45"/>
      <c r="F101" s="46"/>
      <c r="G101" s="43"/>
      <c r="H101" s="44"/>
      <c r="I101" s="44"/>
      <c r="J101" s="45"/>
      <c r="K101" s="46"/>
      <c r="L101" s="43"/>
      <c r="M101" s="44"/>
      <c r="N101" s="44"/>
      <c r="O101" s="45"/>
      <c r="P101" s="46"/>
      <c r="Q101" s="47"/>
      <c r="R101" s="48"/>
    </row>
    <row r="102" spans="1:18" ht="12.75" x14ac:dyDescent="0.2">
      <c r="I102" s="49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01">
    <cfRule type="cellIs" dxfId="18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>
    <outlinePr summaryBelow="0" summaryRight="0"/>
  </sheetPr>
  <dimension ref="A1:R100"/>
  <sheetViews>
    <sheetView topLeftCell="A97" workbookViewId="0">
      <selection activeCell="A101" sqref="A101:XFD107"/>
    </sheetView>
  </sheetViews>
  <sheetFormatPr defaultColWidth="14.42578125" defaultRowHeight="15" customHeight="1" x14ac:dyDescent="0.2"/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(13/05/25)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74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75</v>
      </c>
      <c r="R16" s="112" t="s">
        <v>76</v>
      </c>
    </row>
    <row r="17" spans="1:18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x14ac:dyDescent="0.25">
      <c r="A21" s="21">
        <v>45790</v>
      </c>
      <c r="B21" s="22">
        <v>1</v>
      </c>
      <c r="C21" s="23">
        <v>1502</v>
      </c>
      <c r="D21" s="24">
        <v>-1063</v>
      </c>
      <c r="E21" s="25">
        <f t="shared" ref="E21:E96" si="1">C21-D21</f>
        <v>2565</v>
      </c>
      <c r="F21" s="22">
        <v>0</v>
      </c>
      <c r="G21" s="22">
        <v>1</v>
      </c>
      <c r="H21" s="25">
        <v>1448</v>
      </c>
      <c r="I21" s="27">
        <v>-1353</v>
      </c>
      <c r="J21" s="28">
        <f t="shared" ref="J21:J96" si="2">H21-I21</f>
        <v>2801</v>
      </c>
      <c r="K21" s="22">
        <v>0</v>
      </c>
      <c r="L21" s="22">
        <v>1</v>
      </c>
      <c r="M21" s="23">
        <v>1497</v>
      </c>
      <c r="N21" s="24">
        <v>-1350</v>
      </c>
      <c r="O21" s="28">
        <f t="shared" ref="O21:O96" si="3">M21-N21</f>
        <v>2847</v>
      </c>
      <c r="P21" s="22">
        <v>0</v>
      </c>
      <c r="Q21" s="29"/>
      <c r="R21" s="30"/>
    </row>
    <row r="22" spans="1:18" x14ac:dyDescent="0.25">
      <c r="A22" s="21">
        <v>45791</v>
      </c>
      <c r="B22" s="26">
        <v>2</v>
      </c>
      <c r="C22" s="28">
        <f t="shared" ref="C22:C95" si="4">$C$21-F22</f>
        <v>1467</v>
      </c>
      <c r="D22" s="24">
        <v>-1098</v>
      </c>
      <c r="E22" s="25">
        <f t="shared" si="1"/>
        <v>2565</v>
      </c>
      <c r="F22" s="22">
        <f t="shared" ref="F22:F96" si="5">$D$21-D22</f>
        <v>35</v>
      </c>
      <c r="G22" s="22">
        <f t="shared" ref="G22:G96" si="6">G21+1</f>
        <v>2</v>
      </c>
      <c r="H22" s="28">
        <f t="shared" ref="H22:H95" si="7">$H$21-K22</f>
        <v>1412</v>
      </c>
      <c r="I22" s="27">
        <v>-1389</v>
      </c>
      <c r="J22" s="28">
        <f t="shared" si="2"/>
        <v>2801</v>
      </c>
      <c r="K22" s="22">
        <f t="shared" ref="K22:K96" si="8">$I$21-I22</f>
        <v>36</v>
      </c>
      <c r="L22" s="22">
        <f t="shared" ref="L22:L96" si="9">L21+1</f>
        <v>2</v>
      </c>
      <c r="M22" s="28">
        <f t="shared" ref="M22:M95" si="10">$M$21-P22</f>
        <v>1449</v>
      </c>
      <c r="N22" s="24">
        <v>-1398</v>
      </c>
      <c r="O22" s="28">
        <f t="shared" si="3"/>
        <v>2847</v>
      </c>
      <c r="P22" s="22">
        <f t="shared" ref="P22:P96" si="11">$N$21-N22</f>
        <v>48</v>
      </c>
      <c r="Q22" s="29"/>
      <c r="R22" s="30"/>
    </row>
    <row r="23" spans="1:18" x14ac:dyDescent="0.25">
      <c r="A23" s="21">
        <v>45792</v>
      </c>
      <c r="B23" s="22">
        <v>3</v>
      </c>
      <c r="C23" s="28">
        <f t="shared" si="4"/>
        <v>1435</v>
      </c>
      <c r="D23" s="24">
        <v>-1130</v>
      </c>
      <c r="E23" s="25">
        <f t="shared" si="1"/>
        <v>2565</v>
      </c>
      <c r="F23" s="22">
        <f t="shared" si="5"/>
        <v>67</v>
      </c>
      <c r="G23" s="22">
        <f t="shared" si="6"/>
        <v>3</v>
      </c>
      <c r="H23" s="28">
        <f t="shared" si="7"/>
        <v>1374</v>
      </c>
      <c r="I23" s="27">
        <v>-1427</v>
      </c>
      <c r="J23" s="28">
        <f t="shared" si="2"/>
        <v>2801</v>
      </c>
      <c r="K23" s="22">
        <f t="shared" si="8"/>
        <v>74</v>
      </c>
      <c r="L23" s="22">
        <f t="shared" si="9"/>
        <v>3</v>
      </c>
      <c r="M23" s="28">
        <f t="shared" si="10"/>
        <v>1427</v>
      </c>
      <c r="N23" s="24">
        <v>-1420</v>
      </c>
      <c r="O23" s="28">
        <f t="shared" si="3"/>
        <v>2847</v>
      </c>
      <c r="P23" s="22">
        <f t="shared" si="11"/>
        <v>70</v>
      </c>
      <c r="Q23" s="29"/>
      <c r="R23" s="30"/>
    </row>
    <row r="24" spans="1:18" x14ac:dyDescent="0.25">
      <c r="A24" s="21">
        <v>45793</v>
      </c>
      <c r="B24" s="26">
        <v>4</v>
      </c>
      <c r="C24" s="28">
        <f t="shared" si="4"/>
        <v>1397</v>
      </c>
      <c r="D24" s="24">
        <v>-1168</v>
      </c>
      <c r="E24" s="25">
        <f t="shared" si="1"/>
        <v>2565</v>
      </c>
      <c r="F24" s="22">
        <f t="shared" si="5"/>
        <v>105</v>
      </c>
      <c r="G24" s="22">
        <f t="shared" si="6"/>
        <v>4</v>
      </c>
      <c r="H24" s="28">
        <f t="shared" si="7"/>
        <v>1335</v>
      </c>
      <c r="I24" s="27">
        <v>-1466</v>
      </c>
      <c r="J24" s="28">
        <f t="shared" si="2"/>
        <v>2801</v>
      </c>
      <c r="K24" s="22">
        <f t="shared" si="8"/>
        <v>113</v>
      </c>
      <c r="L24" s="22">
        <f t="shared" si="9"/>
        <v>4</v>
      </c>
      <c r="M24" s="28">
        <f t="shared" si="10"/>
        <v>1397</v>
      </c>
      <c r="N24" s="24">
        <v>-1450</v>
      </c>
      <c r="O24" s="28">
        <f t="shared" si="3"/>
        <v>2847</v>
      </c>
      <c r="P24" s="22">
        <f t="shared" si="11"/>
        <v>100</v>
      </c>
      <c r="Q24" s="29"/>
      <c r="R24" s="30"/>
    </row>
    <row r="25" spans="1:18" x14ac:dyDescent="0.25">
      <c r="A25" s="21">
        <v>45794</v>
      </c>
      <c r="B25" s="22">
        <v>5</v>
      </c>
      <c r="C25" s="28">
        <f t="shared" si="4"/>
        <v>1377</v>
      </c>
      <c r="D25" s="24">
        <v>-1188</v>
      </c>
      <c r="E25" s="25">
        <f t="shared" si="1"/>
        <v>2565</v>
      </c>
      <c r="F25" s="22">
        <f t="shared" si="5"/>
        <v>125</v>
      </c>
      <c r="G25" s="22">
        <f t="shared" si="6"/>
        <v>5</v>
      </c>
      <c r="H25" s="28">
        <f t="shared" si="7"/>
        <v>1305</v>
      </c>
      <c r="I25" s="27">
        <v>-1496</v>
      </c>
      <c r="J25" s="28">
        <f t="shared" si="2"/>
        <v>2801</v>
      </c>
      <c r="K25" s="22">
        <f t="shared" si="8"/>
        <v>143</v>
      </c>
      <c r="L25" s="22">
        <f t="shared" si="9"/>
        <v>5</v>
      </c>
      <c r="M25" s="28">
        <f t="shared" si="10"/>
        <v>1377</v>
      </c>
      <c r="N25" s="24">
        <v>-1470</v>
      </c>
      <c r="O25" s="28">
        <f t="shared" si="3"/>
        <v>2847</v>
      </c>
      <c r="P25" s="22">
        <f t="shared" si="11"/>
        <v>120</v>
      </c>
      <c r="Q25" s="29"/>
      <c r="R25" s="30"/>
    </row>
    <row r="26" spans="1:18" x14ac:dyDescent="0.25">
      <c r="A26" s="21">
        <v>45795</v>
      </c>
      <c r="B26" s="26">
        <v>6</v>
      </c>
      <c r="C26" s="28">
        <f t="shared" si="4"/>
        <v>1353</v>
      </c>
      <c r="D26" s="24">
        <v>-1212</v>
      </c>
      <c r="E26" s="25">
        <f t="shared" si="1"/>
        <v>2565</v>
      </c>
      <c r="F26" s="22">
        <f t="shared" si="5"/>
        <v>149</v>
      </c>
      <c r="G26" s="22">
        <f t="shared" si="6"/>
        <v>6</v>
      </c>
      <c r="H26" s="28">
        <f t="shared" si="7"/>
        <v>1275</v>
      </c>
      <c r="I26" s="27">
        <v>-1526</v>
      </c>
      <c r="J26" s="28">
        <f t="shared" si="2"/>
        <v>2801</v>
      </c>
      <c r="K26" s="22">
        <f t="shared" si="8"/>
        <v>173</v>
      </c>
      <c r="L26" s="22">
        <f t="shared" si="9"/>
        <v>6</v>
      </c>
      <c r="M26" s="28">
        <f t="shared" si="10"/>
        <v>1357</v>
      </c>
      <c r="N26" s="24">
        <v>-1490</v>
      </c>
      <c r="O26" s="28">
        <f t="shared" si="3"/>
        <v>2847</v>
      </c>
      <c r="P26" s="22">
        <f t="shared" si="11"/>
        <v>140</v>
      </c>
      <c r="Q26" s="29"/>
      <c r="R26" s="30"/>
    </row>
    <row r="27" spans="1:18" x14ac:dyDescent="0.25">
      <c r="A27" s="21">
        <v>45796</v>
      </c>
      <c r="B27" s="22">
        <v>7</v>
      </c>
      <c r="C27" s="28">
        <f t="shared" si="4"/>
        <v>1329</v>
      </c>
      <c r="D27" s="24">
        <v>-1236</v>
      </c>
      <c r="E27" s="25">
        <f t="shared" si="1"/>
        <v>2565</v>
      </c>
      <c r="F27" s="22">
        <f t="shared" si="5"/>
        <v>173</v>
      </c>
      <c r="G27" s="22">
        <f t="shared" si="6"/>
        <v>7</v>
      </c>
      <c r="H27" s="28">
        <f t="shared" si="7"/>
        <v>1253</v>
      </c>
      <c r="I27" s="27">
        <v>-1548</v>
      </c>
      <c r="J27" s="28">
        <f t="shared" si="2"/>
        <v>2801</v>
      </c>
      <c r="K27" s="22">
        <f t="shared" si="8"/>
        <v>195</v>
      </c>
      <c r="L27" s="22">
        <f t="shared" si="9"/>
        <v>7</v>
      </c>
      <c r="M27" s="28">
        <f t="shared" si="10"/>
        <v>1337</v>
      </c>
      <c r="N27" s="24">
        <v>-1510</v>
      </c>
      <c r="O27" s="28">
        <f t="shared" si="3"/>
        <v>2847</v>
      </c>
      <c r="P27" s="22">
        <f t="shared" si="11"/>
        <v>160</v>
      </c>
      <c r="Q27" s="29"/>
      <c r="R27" s="30"/>
    </row>
    <row r="28" spans="1:18" x14ac:dyDescent="0.25">
      <c r="A28" s="21">
        <v>45797</v>
      </c>
      <c r="B28" s="26">
        <v>8</v>
      </c>
      <c r="C28" s="28">
        <f t="shared" si="4"/>
        <v>1329</v>
      </c>
      <c r="D28" s="24">
        <v>-1236</v>
      </c>
      <c r="E28" s="25">
        <f t="shared" si="1"/>
        <v>2565</v>
      </c>
      <c r="F28" s="22">
        <f t="shared" si="5"/>
        <v>173</v>
      </c>
      <c r="G28" s="22">
        <f t="shared" si="6"/>
        <v>8</v>
      </c>
      <c r="H28" s="28">
        <f t="shared" si="7"/>
        <v>1253</v>
      </c>
      <c r="I28" s="27">
        <v>-1548</v>
      </c>
      <c r="J28" s="28">
        <f t="shared" si="2"/>
        <v>2801</v>
      </c>
      <c r="K28" s="22">
        <f t="shared" si="8"/>
        <v>195</v>
      </c>
      <c r="L28" s="22">
        <f t="shared" si="9"/>
        <v>8</v>
      </c>
      <c r="M28" s="28">
        <f t="shared" si="10"/>
        <v>1319</v>
      </c>
      <c r="N28" s="24">
        <v>-1528</v>
      </c>
      <c r="O28" s="28">
        <f t="shared" si="3"/>
        <v>2847</v>
      </c>
      <c r="P28" s="22">
        <f t="shared" si="11"/>
        <v>178</v>
      </c>
      <c r="Q28" s="29"/>
      <c r="R28" s="30"/>
    </row>
    <row r="29" spans="1:18" x14ac:dyDescent="0.25">
      <c r="A29" s="21">
        <v>45798</v>
      </c>
      <c r="B29" s="22">
        <v>9</v>
      </c>
      <c r="C29" s="28">
        <f t="shared" si="4"/>
        <v>1329</v>
      </c>
      <c r="D29" s="24">
        <v>-1236</v>
      </c>
      <c r="E29" s="25">
        <f t="shared" si="1"/>
        <v>2565</v>
      </c>
      <c r="F29" s="22">
        <f t="shared" si="5"/>
        <v>173</v>
      </c>
      <c r="G29" s="22">
        <f t="shared" si="6"/>
        <v>9</v>
      </c>
      <c r="H29" s="28">
        <f t="shared" si="7"/>
        <v>1253</v>
      </c>
      <c r="I29" s="27">
        <v>-1548</v>
      </c>
      <c r="J29" s="28">
        <f t="shared" si="2"/>
        <v>2801</v>
      </c>
      <c r="K29" s="22">
        <f t="shared" si="8"/>
        <v>195</v>
      </c>
      <c r="L29" s="22">
        <f t="shared" si="9"/>
        <v>9</v>
      </c>
      <c r="M29" s="28">
        <f t="shared" si="10"/>
        <v>1306</v>
      </c>
      <c r="N29" s="24">
        <v>-1541</v>
      </c>
      <c r="O29" s="28">
        <f t="shared" si="3"/>
        <v>2847</v>
      </c>
      <c r="P29" s="22">
        <f t="shared" si="11"/>
        <v>191</v>
      </c>
      <c r="Q29" s="29"/>
      <c r="R29" s="30"/>
    </row>
    <row r="30" spans="1:18" x14ac:dyDescent="0.25">
      <c r="A30" s="21">
        <v>45799</v>
      </c>
      <c r="B30" s="26">
        <v>10</v>
      </c>
      <c r="C30" s="28">
        <f t="shared" si="4"/>
        <v>1329</v>
      </c>
      <c r="D30" s="24">
        <v>-1236</v>
      </c>
      <c r="E30" s="25">
        <f t="shared" si="1"/>
        <v>2565</v>
      </c>
      <c r="F30" s="22">
        <f t="shared" si="5"/>
        <v>173</v>
      </c>
      <c r="G30" s="22">
        <f t="shared" si="6"/>
        <v>10</v>
      </c>
      <c r="H30" s="28">
        <f t="shared" si="7"/>
        <v>1253</v>
      </c>
      <c r="I30" s="27">
        <v>-1548</v>
      </c>
      <c r="J30" s="28">
        <f t="shared" si="2"/>
        <v>2801</v>
      </c>
      <c r="K30" s="22">
        <f t="shared" si="8"/>
        <v>195</v>
      </c>
      <c r="L30" s="22">
        <f t="shared" si="9"/>
        <v>10</v>
      </c>
      <c r="M30" s="28">
        <f t="shared" si="10"/>
        <v>1293</v>
      </c>
      <c r="N30" s="24">
        <v>-1554</v>
      </c>
      <c r="O30" s="28">
        <f t="shared" si="3"/>
        <v>2847</v>
      </c>
      <c r="P30" s="22">
        <f t="shared" si="11"/>
        <v>204</v>
      </c>
      <c r="Q30" s="29"/>
      <c r="R30" s="30"/>
    </row>
    <row r="31" spans="1:18" x14ac:dyDescent="0.25">
      <c r="A31" s="21">
        <v>45800</v>
      </c>
      <c r="B31" s="22">
        <v>11</v>
      </c>
      <c r="C31" s="28">
        <f t="shared" si="4"/>
        <v>1267</v>
      </c>
      <c r="D31" s="24">
        <v>-1298</v>
      </c>
      <c r="E31" s="25">
        <f t="shared" si="1"/>
        <v>2565</v>
      </c>
      <c r="F31" s="22">
        <f t="shared" si="5"/>
        <v>235</v>
      </c>
      <c r="G31" s="22">
        <f t="shared" si="6"/>
        <v>11</v>
      </c>
      <c r="H31" s="28">
        <f t="shared" si="7"/>
        <v>1177</v>
      </c>
      <c r="I31" s="27">
        <v>-1624</v>
      </c>
      <c r="J31" s="28">
        <f t="shared" si="2"/>
        <v>2801</v>
      </c>
      <c r="K31" s="22">
        <f t="shared" si="8"/>
        <v>271</v>
      </c>
      <c r="L31" s="22">
        <f t="shared" si="9"/>
        <v>11</v>
      </c>
      <c r="M31" s="28">
        <f t="shared" si="10"/>
        <v>1280</v>
      </c>
      <c r="N31" s="24">
        <v>-1567</v>
      </c>
      <c r="O31" s="28">
        <f t="shared" si="3"/>
        <v>2847</v>
      </c>
      <c r="P31" s="22">
        <f t="shared" si="11"/>
        <v>217</v>
      </c>
      <c r="Q31" s="29"/>
      <c r="R31" s="30"/>
    </row>
    <row r="32" spans="1:18" x14ac:dyDescent="0.25">
      <c r="A32" s="21">
        <v>45801</v>
      </c>
      <c r="B32" s="22">
        <v>11</v>
      </c>
      <c r="C32" s="28">
        <f t="shared" si="4"/>
        <v>1250</v>
      </c>
      <c r="D32" s="24">
        <v>-1315</v>
      </c>
      <c r="E32" s="25">
        <f t="shared" si="1"/>
        <v>2565</v>
      </c>
      <c r="F32" s="22">
        <f t="shared" si="5"/>
        <v>252</v>
      </c>
      <c r="G32" s="22">
        <f t="shared" si="6"/>
        <v>12</v>
      </c>
      <c r="H32" s="28">
        <f t="shared" si="7"/>
        <v>1161</v>
      </c>
      <c r="I32" s="27">
        <v>-1640</v>
      </c>
      <c r="J32" s="28">
        <f t="shared" si="2"/>
        <v>2801</v>
      </c>
      <c r="K32" s="22">
        <f t="shared" si="8"/>
        <v>287</v>
      </c>
      <c r="L32" s="22">
        <f t="shared" si="9"/>
        <v>12</v>
      </c>
      <c r="M32" s="28">
        <f t="shared" si="10"/>
        <v>1267</v>
      </c>
      <c r="N32" s="24">
        <v>-1580</v>
      </c>
      <c r="O32" s="28">
        <f t="shared" si="3"/>
        <v>2847</v>
      </c>
      <c r="P32" s="22">
        <f t="shared" si="11"/>
        <v>230</v>
      </c>
      <c r="Q32" s="29"/>
      <c r="R32" s="30"/>
    </row>
    <row r="33" spans="1:18" x14ac:dyDescent="0.25">
      <c r="A33" s="21">
        <v>45802</v>
      </c>
      <c r="B33" s="22">
        <v>11</v>
      </c>
      <c r="C33" s="28">
        <f t="shared" si="4"/>
        <v>1245</v>
      </c>
      <c r="D33" s="24">
        <v>-1320</v>
      </c>
      <c r="E33" s="25">
        <f t="shared" si="1"/>
        <v>2565</v>
      </c>
      <c r="F33" s="22">
        <f t="shared" si="5"/>
        <v>257</v>
      </c>
      <c r="G33" s="22">
        <f t="shared" si="6"/>
        <v>13</v>
      </c>
      <c r="H33" s="28">
        <f t="shared" si="7"/>
        <v>1145</v>
      </c>
      <c r="I33" s="27">
        <v>-1656</v>
      </c>
      <c r="J33" s="28">
        <f t="shared" si="2"/>
        <v>2801</v>
      </c>
      <c r="K33" s="22">
        <f t="shared" si="8"/>
        <v>303</v>
      </c>
      <c r="L33" s="22">
        <f t="shared" si="9"/>
        <v>13</v>
      </c>
      <c r="M33" s="28">
        <f t="shared" si="10"/>
        <v>1254</v>
      </c>
      <c r="N33" s="24">
        <v>-1593</v>
      </c>
      <c r="O33" s="28">
        <f t="shared" si="3"/>
        <v>2847</v>
      </c>
      <c r="P33" s="22">
        <f t="shared" si="11"/>
        <v>243</v>
      </c>
      <c r="Q33" s="29"/>
      <c r="R33" s="30"/>
    </row>
    <row r="34" spans="1:18" x14ac:dyDescent="0.25">
      <c r="A34" s="21">
        <v>45803</v>
      </c>
      <c r="B34" s="22">
        <v>11</v>
      </c>
      <c r="C34" s="28">
        <f t="shared" si="4"/>
        <v>1245</v>
      </c>
      <c r="D34" s="24">
        <v>-1320</v>
      </c>
      <c r="E34" s="25">
        <f t="shared" si="1"/>
        <v>2565</v>
      </c>
      <c r="F34" s="22">
        <f t="shared" si="5"/>
        <v>257</v>
      </c>
      <c r="G34" s="22">
        <f t="shared" si="6"/>
        <v>14</v>
      </c>
      <c r="H34" s="28">
        <f t="shared" si="7"/>
        <v>1141</v>
      </c>
      <c r="I34" s="27">
        <v>-1660</v>
      </c>
      <c r="J34" s="28">
        <f t="shared" si="2"/>
        <v>2801</v>
      </c>
      <c r="K34" s="22">
        <f t="shared" si="8"/>
        <v>307</v>
      </c>
      <c r="L34" s="22">
        <f t="shared" si="9"/>
        <v>14</v>
      </c>
      <c r="M34" s="28">
        <f t="shared" si="10"/>
        <v>1254</v>
      </c>
      <c r="N34" s="24">
        <v>-1593</v>
      </c>
      <c r="O34" s="28">
        <f t="shared" si="3"/>
        <v>2847</v>
      </c>
      <c r="P34" s="22">
        <f t="shared" si="11"/>
        <v>243</v>
      </c>
      <c r="Q34" s="29"/>
      <c r="R34" s="30"/>
    </row>
    <row r="35" spans="1:18" x14ac:dyDescent="0.25">
      <c r="A35" s="21">
        <v>45804</v>
      </c>
      <c r="B35" s="22">
        <v>11</v>
      </c>
      <c r="C35" s="28">
        <f t="shared" si="4"/>
        <v>1245</v>
      </c>
      <c r="D35" s="24">
        <v>-1320</v>
      </c>
      <c r="E35" s="25">
        <f t="shared" si="1"/>
        <v>2565</v>
      </c>
      <c r="F35" s="22">
        <f t="shared" si="5"/>
        <v>257</v>
      </c>
      <c r="G35" s="22">
        <f t="shared" si="6"/>
        <v>15</v>
      </c>
      <c r="H35" s="28">
        <f t="shared" si="7"/>
        <v>1141</v>
      </c>
      <c r="I35" s="27">
        <v>-1660</v>
      </c>
      <c r="J35" s="28">
        <f t="shared" si="2"/>
        <v>2801</v>
      </c>
      <c r="K35" s="22">
        <f t="shared" si="8"/>
        <v>307</v>
      </c>
      <c r="L35" s="22">
        <f t="shared" si="9"/>
        <v>15</v>
      </c>
      <c r="M35" s="28">
        <f t="shared" si="10"/>
        <v>1254</v>
      </c>
      <c r="N35" s="24">
        <v>-1593</v>
      </c>
      <c r="O35" s="28">
        <f t="shared" si="3"/>
        <v>2847</v>
      </c>
      <c r="P35" s="22">
        <f t="shared" si="11"/>
        <v>243</v>
      </c>
      <c r="Q35" s="36"/>
      <c r="R35" s="30"/>
    </row>
    <row r="36" spans="1:18" x14ac:dyDescent="0.25">
      <c r="A36" s="21">
        <v>45805</v>
      </c>
      <c r="B36" s="22">
        <v>11</v>
      </c>
      <c r="C36" s="28">
        <f t="shared" si="4"/>
        <v>1245</v>
      </c>
      <c r="D36" s="24">
        <v>-1320</v>
      </c>
      <c r="E36" s="25">
        <f t="shared" si="1"/>
        <v>2565</v>
      </c>
      <c r="F36" s="22">
        <f t="shared" si="5"/>
        <v>257</v>
      </c>
      <c r="G36" s="22">
        <f t="shared" si="6"/>
        <v>16</v>
      </c>
      <c r="H36" s="28">
        <f t="shared" si="7"/>
        <v>1141</v>
      </c>
      <c r="I36" s="27">
        <v>-1660</v>
      </c>
      <c r="J36" s="28">
        <f t="shared" si="2"/>
        <v>2801</v>
      </c>
      <c r="K36" s="22">
        <f t="shared" si="8"/>
        <v>307</v>
      </c>
      <c r="L36" s="22">
        <f t="shared" si="9"/>
        <v>16</v>
      </c>
      <c r="M36" s="28">
        <f t="shared" si="10"/>
        <v>1254</v>
      </c>
      <c r="N36" s="24">
        <v>-1593</v>
      </c>
      <c r="O36" s="28">
        <f t="shared" si="3"/>
        <v>2847</v>
      </c>
      <c r="P36" s="22">
        <f t="shared" si="11"/>
        <v>243</v>
      </c>
      <c r="Q36" s="36"/>
      <c r="R36" s="30"/>
    </row>
    <row r="37" spans="1:18" x14ac:dyDescent="0.25">
      <c r="A37" s="21">
        <v>45806</v>
      </c>
      <c r="B37" s="22">
        <v>11</v>
      </c>
      <c r="C37" s="28">
        <f t="shared" si="4"/>
        <v>1245</v>
      </c>
      <c r="D37" s="24">
        <v>-1320</v>
      </c>
      <c r="E37" s="25">
        <f t="shared" si="1"/>
        <v>2565</v>
      </c>
      <c r="F37" s="22">
        <f t="shared" si="5"/>
        <v>257</v>
      </c>
      <c r="G37" s="22">
        <f t="shared" si="6"/>
        <v>17</v>
      </c>
      <c r="H37" s="28">
        <f t="shared" si="7"/>
        <v>1141</v>
      </c>
      <c r="I37" s="27">
        <v>-1660</v>
      </c>
      <c r="J37" s="28">
        <f t="shared" si="2"/>
        <v>2801</v>
      </c>
      <c r="K37" s="22">
        <f t="shared" si="8"/>
        <v>307</v>
      </c>
      <c r="L37" s="22">
        <f t="shared" si="9"/>
        <v>17</v>
      </c>
      <c r="M37" s="28">
        <f t="shared" si="10"/>
        <v>1254</v>
      </c>
      <c r="N37" s="24">
        <v>-1593</v>
      </c>
      <c r="O37" s="28">
        <f t="shared" si="3"/>
        <v>2847</v>
      </c>
      <c r="P37" s="22">
        <f t="shared" si="11"/>
        <v>243</v>
      </c>
      <c r="Q37" s="36"/>
      <c r="R37" s="30"/>
    </row>
    <row r="38" spans="1:18" x14ac:dyDescent="0.25">
      <c r="A38" s="21">
        <v>45807</v>
      </c>
      <c r="B38" s="22">
        <v>11</v>
      </c>
      <c r="C38" s="28">
        <f t="shared" si="4"/>
        <v>1245</v>
      </c>
      <c r="D38" s="24">
        <v>-1320</v>
      </c>
      <c r="E38" s="25">
        <f t="shared" si="1"/>
        <v>2565</v>
      </c>
      <c r="F38" s="22">
        <f t="shared" si="5"/>
        <v>257</v>
      </c>
      <c r="G38" s="22">
        <f t="shared" si="6"/>
        <v>18</v>
      </c>
      <c r="H38" s="28">
        <f t="shared" si="7"/>
        <v>1141</v>
      </c>
      <c r="I38" s="27">
        <v>-1660</v>
      </c>
      <c r="J38" s="28">
        <f t="shared" si="2"/>
        <v>2801</v>
      </c>
      <c r="K38" s="22">
        <f t="shared" si="8"/>
        <v>307</v>
      </c>
      <c r="L38" s="22">
        <f t="shared" si="9"/>
        <v>18</v>
      </c>
      <c r="M38" s="28">
        <f t="shared" si="10"/>
        <v>1254</v>
      </c>
      <c r="N38" s="24">
        <v>-1593</v>
      </c>
      <c r="O38" s="28">
        <f t="shared" si="3"/>
        <v>2847</v>
      </c>
      <c r="P38" s="22">
        <f t="shared" si="11"/>
        <v>243</v>
      </c>
      <c r="Q38" s="36"/>
      <c r="R38" s="30"/>
    </row>
    <row r="39" spans="1:18" x14ac:dyDescent="0.25">
      <c r="A39" s="21">
        <v>45808</v>
      </c>
      <c r="B39" s="22">
        <v>11</v>
      </c>
      <c r="C39" s="28">
        <f t="shared" si="4"/>
        <v>1245</v>
      </c>
      <c r="D39" s="24">
        <v>-1320</v>
      </c>
      <c r="E39" s="25">
        <f t="shared" si="1"/>
        <v>2565</v>
      </c>
      <c r="F39" s="22">
        <f t="shared" si="5"/>
        <v>257</v>
      </c>
      <c r="G39" s="22">
        <f t="shared" si="6"/>
        <v>19</v>
      </c>
      <c r="H39" s="28">
        <f t="shared" si="7"/>
        <v>1141</v>
      </c>
      <c r="I39" s="27">
        <v>-1660</v>
      </c>
      <c r="J39" s="28">
        <f t="shared" si="2"/>
        <v>2801</v>
      </c>
      <c r="K39" s="22">
        <f t="shared" si="8"/>
        <v>307</v>
      </c>
      <c r="L39" s="22">
        <f t="shared" si="9"/>
        <v>19</v>
      </c>
      <c r="M39" s="28">
        <f t="shared" si="10"/>
        <v>1247</v>
      </c>
      <c r="N39" s="24">
        <v>-1600</v>
      </c>
      <c r="O39" s="28">
        <f t="shared" si="3"/>
        <v>2847</v>
      </c>
      <c r="P39" s="22">
        <f t="shared" si="11"/>
        <v>250</v>
      </c>
      <c r="Q39" s="36"/>
      <c r="R39" s="30"/>
    </row>
    <row r="40" spans="1:18" x14ac:dyDescent="0.25">
      <c r="A40" s="21">
        <v>45809</v>
      </c>
      <c r="B40" s="22">
        <v>11</v>
      </c>
      <c r="C40" s="28">
        <f t="shared" si="4"/>
        <v>1226</v>
      </c>
      <c r="D40" s="24">
        <v>-1339</v>
      </c>
      <c r="E40" s="25">
        <f t="shared" si="1"/>
        <v>2565</v>
      </c>
      <c r="F40" s="22">
        <f t="shared" si="5"/>
        <v>276</v>
      </c>
      <c r="G40" s="22">
        <f t="shared" si="6"/>
        <v>20</v>
      </c>
      <c r="H40" s="28">
        <f t="shared" si="7"/>
        <v>1127</v>
      </c>
      <c r="I40" s="27">
        <v>-1674</v>
      </c>
      <c r="J40" s="28">
        <f t="shared" si="2"/>
        <v>2801</v>
      </c>
      <c r="K40" s="22">
        <f t="shared" si="8"/>
        <v>321</v>
      </c>
      <c r="L40" s="22">
        <f t="shared" si="9"/>
        <v>20</v>
      </c>
      <c r="M40" s="28">
        <f t="shared" si="10"/>
        <v>1241</v>
      </c>
      <c r="N40" s="24">
        <v>-1606</v>
      </c>
      <c r="O40" s="28">
        <f t="shared" si="3"/>
        <v>2847</v>
      </c>
      <c r="P40" s="22">
        <f t="shared" si="11"/>
        <v>256</v>
      </c>
      <c r="Q40" s="36"/>
      <c r="R40" s="30"/>
    </row>
    <row r="41" spans="1:18" x14ac:dyDescent="0.25">
      <c r="A41" s="21">
        <v>45810</v>
      </c>
      <c r="B41" s="22">
        <v>11</v>
      </c>
      <c r="C41" s="28">
        <f t="shared" si="4"/>
        <v>1217</v>
      </c>
      <c r="D41" s="24">
        <v>-1348</v>
      </c>
      <c r="E41" s="25">
        <f t="shared" si="1"/>
        <v>2565</v>
      </c>
      <c r="F41" s="22">
        <f t="shared" si="5"/>
        <v>285</v>
      </c>
      <c r="G41" s="22">
        <f t="shared" si="6"/>
        <v>21</v>
      </c>
      <c r="H41" s="28">
        <f t="shared" si="7"/>
        <v>1118</v>
      </c>
      <c r="I41" s="27">
        <v>-1683</v>
      </c>
      <c r="J41" s="28">
        <f t="shared" si="2"/>
        <v>2801</v>
      </c>
      <c r="K41" s="22">
        <f t="shared" si="8"/>
        <v>330</v>
      </c>
      <c r="L41" s="22">
        <f t="shared" si="9"/>
        <v>21</v>
      </c>
      <c r="M41" s="28">
        <f t="shared" si="10"/>
        <v>1241</v>
      </c>
      <c r="N41" s="24">
        <v>-1606</v>
      </c>
      <c r="O41" s="28">
        <f t="shared" si="3"/>
        <v>2847</v>
      </c>
      <c r="P41" s="22">
        <f t="shared" si="11"/>
        <v>256</v>
      </c>
      <c r="Q41" s="36"/>
      <c r="R41" s="30"/>
    </row>
    <row r="42" spans="1:18" x14ac:dyDescent="0.25">
      <c r="A42" s="21">
        <v>45811</v>
      </c>
      <c r="B42" s="22">
        <v>11</v>
      </c>
      <c r="C42" s="28">
        <f t="shared" si="4"/>
        <v>1208</v>
      </c>
      <c r="D42" s="24">
        <v>-1357</v>
      </c>
      <c r="E42" s="25">
        <f t="shared" si="1"/>
        <v>2565</v>
      </c>
      <c r="F42" s="22">
        <f t="shared" si="5"/>
        <v>294</v>
      </c>
      <c r="G42" s="22">
        <f t="shared" si="6"/>
        <v>22</v>
      </c>
      <c r="H42" s="28">
        <f t="shared" si="7"/>
        <v>1109</v>
      </c>
      <c r="I42" s="27">
        <v>-1692</v>
      </c>
      <c r="J42" s="28">
        <f t="shared" si="2"/>
        <v>2801</v>
      </c>
      <c r="K42" s="22">
        <f t="shared" si="8"/>
        <v>339</v>
      </c>
      <c r="L42" s="22">
        <f t="shared" si="9"/>
        <v>22</v>
      </c>
      <c r="M42" s="28">
        <f t="shared" si="10"/>
        <v>1229</v>
      </c>
      <c r="N42" s="24">
        <v>-1618</v>
      </c>
      <c r="O42" s="28">
        <f t="shared" si="3"/>
        <v>2847</v>
      </c>
      <c r="P42" s="22">
        <f t="shared" si="11"/>
        <v>268</v>
      </c>
      <c r="Q42" s="36"/>
      <c r="R42" s="30"/>
    </row>
    <row r="43" spans="1:18" x14ac:dyDescent="0.25">
      <c r="A43" s="21">
        <v>45812</v>
      </c>
      <c r="B43" s="22">
        <v>11</v>
      </c>
      <c r="C43" s="28">
        <f t="shared" si="4"/>
        <v>1199</v>
      </c>
      <c r="D43" s="24">
        <v>-1366</v>
      </c>
      <c r="E43" s="25">
        <f t="shared" si="1"/>
        <v>2565</v>
      </c>
      <c r="F43" s="22">
        <f t="shared" si="5"/>
        <v>303</v>
      </c>
      <c r="G43" s="22">
        <f t="shared" si="6"/>
        <v>23</v>
      </c>
      <c r="H43" s="28">
        <f t="shared" si="7"/>
        <v>1100</v>
      </c>
      <c r="I43" s="27">
        <v>-1701</v>
      </c>
      <c r="J43" s="28">
        <f t="shared" si="2"/>
        <v>2801</v>
      </c>
      <c r="K43" s="22">
        <f t="shared" si="8"/>
        <v>348</v>
      </c>
      <c r="L43" s="22">
        <f t="shared" si="9"/>
        <v>23</v>
      </c>
      <c r="M43" s="28">
        <f t="shared" si="10"/>
        <v>1223</v>
      </c>
      <c r="N43" s="24">
        <v>-1624</v>
      </c>
      <c r="O43" s="28">
        <f t="shared" si="3"/>
        <v>2847</v>
      </c>
      <c r="P43" s="22">
        <f t="shared" si="11"/>
        <v>274</v>
      </c>
      <c r="Q43" s="36"/>
      <c r="R43" s="30"/>
    </row>
    <row r="44" spans="1:18" x14ac:dyDescent="0.25">
      <c r="A44" s="21">
        <v>45813</v>
      </c>
      <c r="B44" s="22">
        <v>11</v>
      </c>
      <c r="C44" s="28">
        <f t="shared" si="4"/>
        <v>1192</v>
      </c>
      <c r="D44" s="24">
        <v>-1373</v>
      </c>
      <c r="E44" s="25">
        <f t="shared" si="1"/>
        <v>2565</v>
      </c>
      <c r="F44" s="22">
        <f t="shared" si="5"/>
        <v>310</v>
      </c>
      <c r="G44" s="22">
        <f t="shared" si="6"/>
        <v>24</v>
      </c>
      <c r="H44" s="28">
        <f t="shared" si="7"/>
        <v>1091</v>
      </c>
      <c r="I44" s="27">
        <v>-1710</v>
      </c>
      <c r="J44" s="28">
        <f t="shared" si="2"/>
        <v>2801</v>
      </c>
      <c r="K44" s="22">
        <f t="shared" si="8"/>
        <v>357</v>
      </c>
      <c r="L44" s="22">
        <f t="shared" si="9"/>
        <v>24</v>
      </c>
      <c r="M44" s="28">
        <f t="shared" si="10"/>
        <v>1217</v>
      </c>
      <c r="N44" s="24">
        <v>-1630</v>
      </c>
      <c r="O44" s="28">
        <f t="shared" si="3"/>
        <v>2847</v>
      </c>
      <c r="P44" s="22">
        <f t="shared" si="11"/>
        <v>280</v>
      </c>
      <c r="Q44" s="36"/>
      <c r="R44" s="30"/>
    </row>
    <row r="45" spans="1:18" x14ac:dyDescent="0.25">
      <c r="A45" s="21">
        <v>45814</v>
      </c>
      <c r="B45" s="22">
        <v>11</v>
      </c>
      <c r="C45" s="28">
        <f t="shared" si="4"/>
        <v>1184</v>
      </c>
      <c r="D45" s="24">
        <v>-1381</v>
      </c>
      <c r="E45" s="25">
        <f t="shared" si="1"/>
        <v>2565</v>
      </c>
      <c r="F45" s="22">
        <f t="shared" si="5"/>
        <v>318</v>
      </c>
      <c r="G45" s="22">
        <f t="shared" si="6"/>
        <v>25</v>
      </c>
      <c r="H45" s="28">
        <f t="shared" si="7"/>
        <v>1073</v>
      </c>
      <c r="I45" s="27">
        <v>-1728</v>
      </c>
      <c r="J45" s="28">
        <f t="shared" si="2"/>
        <v>2801</v>
      </c>
      <c r="K45" s="22">
        <f t="shared" si="8"/>
        <v>375</v>
      </c>
      <c r="L45" s="22">
        <f t="shared" si="9"/>
        <v>25</v>
      </c>
      <c r="M45" s="28">
        <f t="shared" si="10"/>
        <v>1200</v>
      </c>
      <c r="N45" s="24">
        <v>-1647</v>
      </c>
      <c r="O45" s="28">
        <f t="shared" si="3"/>
        <v>2847</v>
      </c>
      <c r="P45" s="22">
        <f t="shared" si="11"/>
        <v>297</v>
      </c>
      <c r="Q45" s="36"/>
      <c r="R45" s="30"/>
    </row>
    <row r="46" spans="1:18" x14ac:dyDescent="0.25">
      <c r="A46" s="21">
        <v>45815</v>
      </c>
      <c r="B46" s="22">
        <v>11</v>
      </c>
      <c r="C46" s="28">
        <f t="shared" si="4"/>
        <v>1176</v>
      </c>
      <c r="D46" s="24">
        <v>-1389</v>
      </c>
      <c r="E46" s="25">
        <f t="shared" si="1"/>
        <v>2565</v>
      </c>
      <c r="F46" s="22">
        <f t="shared" si="5"/>
        <v>326</v>
      </c>
      <c r="G46" s="22">
        <f t="shared" si="6"/>
        <v>26</v>
      </c>
      <c r="H46" s="28">
        <f t="shared" si="7"/>
        <v>1063</v>
      </c>
      <c r="I46" s="27">
        <v>-1738</v>
      </c>
      <c r="J46" s="28">
        <f t="shared" si="2"/>
        <v>2801</v>
      </c>
      <c r="K46" s="22">
        <f t="shared" si="8"/>
        <v>385</v>
      </c>
      <c r="L46" s="22">
        <f t="shared" si="9"/>
        <v>26</v>
      </c>
      <c r="M46" s="28">
        <f t="shared" si="10"/>
        <v>1193</v>
      </c>
      <c r="N46" s="24">
        <v>-1654</v>
      </c>
      <c r="O46" s="28">
        <f t="shared" si="3"/>
        <v>2847</v>
      </c>
      <c r="P46" s="22">
        <f t="shared" si="11"/>
        <v>304</v>
      </c>
      <c r="Q46" s="36"/>
      <c r="R46" s="30"/>
    </row>
    <row r="47" spans="1:18" x14ac:dyDescent="0.25">
      <c r="A47" s="21">
        <v>45816</v>
      </c>
      <c r="B47" s="22">
        <v>11</v>
      </c>
      <c r="C47" s="28">
        <f t="shared" si="4"/>
        <v>1168</v>
      </c>
      <c r="D47" s="24">
        <v>-1397</v>
      </c>
      <c r="E47" s="25">
        <f t="shared" si="1"/>
        <v>2565</v>
      </c>
      <c r="F47" s="22">
        <f t="shared" si="5"/>
        <v>334</v>
      </c>
      <c r="G47" s="22">
        <f t="shared" si="6"/>
        <v>27</v>
      </c>
      <c r="H47" s="28">
        <f t="shared" si="7"/>
        <v>1053</v>
      </c>
      <c r="I47" s="27">
        <v>-1748</v>
      </c>
      <c r="J47" s="28">
        <f t="shared" si="2"/>
        <v>2801</v>
      </c>
      <c r="K47" s="22">
        <f t="shared" si="8"/>
        <v>395</v>
      </c>
      <c r="L47" s="22">
        <f t="shared" si="9"/>
        <v>27</v>
      </c>
      <c r="M47" s="28">
        <f t="shared" si="10"/>
        <v>1159</v>
      </c>
      <c r="N47" s="24">
        <v>-1688</v>
      </c>
      <c r="O47" s="28">
        <f t="shared" si="3"/>
        <v>2847</v>
      </c>
      <c r="P47" s="22">
        <f t="shared" si="11"/>
        <v>338</v>
      </c>
      <c r="Q47" s="36"/>
      <c r="R47" s="30"/>
    </row>
    <row r="48" spans="1:18" x14ac:dyDescent="0.25">
      <c r="A48" s="21">
        <v>45817</v>
      </c>
      <c r="B48" s="22">
        <v>11</v>
      </c>
      <c r="C48" s="28">
        <f t="shared" si="4"/>
        <v>1160</v>
      </c>
      <c r="D48" s="24">
        <v>-1405</v>
      </c>
      <c r="E48" s="25">
        <f t="shared" si="1"/>
        <v>2565</v>
      </c>
      <c r="F48" s="22">
        <f t="shared" si="5"/>
        <v>342</v>
      </c>
      <c r="G48" s="22">
        <f t="shared" si="6"/>
        <v>28</v>
      </c>
      <c r="H48" s="28">
        <f t="shared" si="7"/>
        <v>1043</v>
      </c>
      <c r="I48" s="27">
        <v>-1758</v>
      </c>
      <c r="J48" s="28">
        <f t="shared" si="2"/>
        <v>2801</v>
      </c>
      <c r="K48" s="22">
        <f t="shared" si="8"/>
        <v>405</v>
      </c>
      <c r="L48" s="22">
        <f t="shared" si="9"/>
        <v>28</v>
      </c>
      <c r="M48" s="28">
        <f t="shared" si="10"/>
        <v>1152</v>
      </c>
      <c r="N48" s="24">
        <v>-1695</v>
      </c>
      <c r="O48" s="28">
        <f t="shared" si="3"/>
        <v>2847</v>
      </c>
      <c r="P48" s="22">
        <f t="shared" si="11"/>
        <v>345</v>
      </c>
      <c r="Q48" s="36"/>
      <c r="R48" s="30"/>
    </row>
    <row r="49" spans="1:18" x14ac:dyDescent="0.25">
      <c r="A49" s="21">
        <v>45818</v>
      </c>
      <c r="B49" s="22">
        <v>11</v>
      </c>
      <c r="C49" s="28">
        <f t="shared" si="4"/>
        <v>1152</v>
      </c>
      <c r="D49" s="24">
        <v>-1413</v>
      </c>
      <c r="E49" s="25">
        <f t="shared" si="1"/>
        <v>2565</v>
      </c>
      <c r="F49" s="22">
        <f t="shared" si="5"/>
        <v>350</v>
      </c>
      <c r="G49" s="22">
        <f t="shared" si="6"/>
        <v>29</v>
      </c>
      <c r="H49" s="28">
        <f t="shared" si="7"/>
        <v>1033</v>
      </c>
      <c r="I49" s="27">
        <v>-1768</v>
      </c>
      <c r="J49" s="28">
        <f t="shared" si="2"/>
        <v>2801</v>
      </c>
      <c r="K49" s="22">
        <f t="shared" si="8"/>
        <v>415</v>
      </c>
      <c r="L49" s="22">
        <f t="shared" si="9"/>
        <v>29</v>
      </c>
      <c r="M49" s="28">
        <f t="shared" si="10"/>
        <v>1145</v>
      </c>
      <c r="N49" s="24">
        <v>-1702</v>
      </c>
      <c r="O49" s="28">
        <f t="shared" si="3"/>
        <v>2847</v>
      </c>
      <c r="P49" s="22">
        <f t="shared" si="11"/>
        <v>352</v>
      </c>
      <c r="Q49" s="36"/>
      <c r="R49" s="30"/>
    </row>
    <row r="50" spans="1:18" x14ac:dyDescent="0.25">
      <c r="A50" s="21">
        <v>45819</v>
      </c>
      <c r="B50" s="22">
        <v>11</v>
      </c>
      <c r="C50" s="28">
        <f t="shared" si="4"/>
        <v>1125</v>
      </c>
      <c r="D50" s="24">
        <v>-1440</v>
      </c>
      <c r="E50" s="25">
        <f t="shared" si="1"/>
        <v>2565</v>
      </c>
      <c r="F50" s="22">
        <f t="shared" si="5"/>
        <v>377</v>
      </c>
      <c r="G50" s="22">
        <f t="shared" si="6"/>
        <v>30</v>
      </c>
      <c r="H50" s="28">
        <f t="shared" si="7"/>
        <v>1020</v>
      </c>
      <c r="I50" s="27">
        <v>-1781</v>
      </c>
      <c r="J50" s="28">
        <f t="shared" si="2"/>
        <v>2801</v>
      </c>
      <c r="K50" s="22">
        <f t="shared" si="8"/>
        <v>428</v>
      </c>
      <c r="L50" s="22">
        <f t="shared" si="9"/>
        <v>30</v>
      </c>
      <c r="M50" s="28">
        <f t="shared" si="10"/>
        <v>1138</v>
      </c>
      <c r="N50" s="24">
        <v>-1709</v>
      </c>
      <c r="O50" s="28">
        <f t="shared" si="3"/>
        <v>2847</v>
      </c>
      <c r="P50" s="22">
        <f t="shared" si="11"/>
        <v>359</v>
      </c>
      <c r="Q50" s="36"/>
      <c r="R50" s="30"/>
    </row>
    <row r="51" spans="1:18" x14ac:dyDescent="0.25">
      <c r="A51" s="21">
        <v>45820</v>
      </c>
      <c r="B51" s="22">
        <v>11</v>
      </c>
      <c r="C51" s="28">
        <f t="shared" si="4"/>
        <v>1095</v>
      </c>
      <c r="D51" s="24">
        <v>-1470</v>
      </c>
      <c r="E51" s="25">
        <f t="shared" si="1"/>
        <v>2565</v>
      </c>
      <c r="F51" s="22">
        <f t="shared" si="5"/>
        <v>407</v>
      </c>
      <c r="G51" s="22">
        <f t="shared" si="6"/>
        <v>31</v>
      </c>
      <c r="H51" s="28">
        <f t="shared" si="7"/>
        <v>983</v>
      </c>
      <c r="I51" s="27">
        <v>-1818</v>
      </c>
      <c r="J51" s="28">
        <f t="shared" si="2"/>
        <v>2801</v>
      </c>
      <c r="K51" s="22">
        <f t="shared" si="8"/>
        <v>465</v>
      </c>
      <c r="L51" s="22">
        <f t="shared" si="9"/>
        <v>31</v>
      </c>
      <c r="M51" s="28">
        <f t="shared" si="10"/>
        <v>1135</v>
      </c>
      <c r="N51" s="24">
        <v>-1712</v>
      </c>
      <c r="O51" s="28">
        <f t="shared" si="3"/>
        <v>2847</v>
      </c>
      <c r="P51" s="22">
        <f t="shared" si="11"/>
        <v>362</v>
      </c>
      <c r="Q51" s="36"/>
      <c r="R51" s="30"/>
    </row>
    <row r="52" spans="1:18" x14ac:dyDescent="0.25">
      <c r="A52" s="21">
        <v>45821</v>
      </c>
      <c r="B52" s="22">
        <v>11</v>
      </c>
      <c r="C52" s="28">
        <f t="shared" si="4"/>
        <v>1065</v>
      </c>
      <c r="D52" s="24">
        <v>-1500</v>
      </c>
      <c r="E52" s="25">
        <f t="shared" si="1"/>
        <v>2565</v>
      </c>
      <c r="F52" s="22">
        <f t="shared" si="5"/>
        <v>437</v>
      </c>
      <c r="G52" s="22">
        <f t="shared" si="6"/>
        <v>32</v>
      </c>
      <c r="H52" s="28">
        <f t="shared" si="7"/>
        <v>963</v>
      </c>
      <c r="I52" s="27">
        <v>-1838</v>
      </c>
      <c r="J52" s="28">
        <f t="shared" si="2"/>
        <v>2801</v>
      </c>
      <c r="K52" s="22">
        <f t="shared" si="8"/>
        <v>485</v>
      </c>
      <c r="L52" s="22">
        <f t="shared" si="9"/>
        <v>32</v>
      </c>
      <c r="M52" s="28">
        <f t="shared" si="10"/>
        <v>1131</v>
      </c>
      <c r="N52" s="24">
        <v>-1716</v>
      </c>
      <c r="O52" s="28">
        <f t="shared" si="3"/>
        <v>2847</v>
      </c>
      <c r="P52" s="22">
        <f t="shared" si="11"/>
        <v>366</v>
      </c>
      <c r="Q52" s="36"/>
      <c r="R52" s="30"/>
    </row>
    <row r="53" spans="1:18" x14ac:dyDescent="0.25">
      <c r="A53" s="21">
        <v>45822</v>
      </c>
      <c r="B53" s="22">
        <v>11</v>
      </c>
      <c r="C53" s="28">
        <f t="shared" si="4"/>
        <v>1055</v>
      </c>
      <c r="D53" s="24">
        <v>-1510</v>
      </c>
      <c r="E53" s="25">
        <f t="shared" si="1"/>
        <v>2565</v>
      </c>
      <c r="F53" s="22">
        <f t="shared" si="5"/>
        <v>447</v>
      </c>
      <c r="G53" s="22">
        <f t="shared" si="6"/>
        <v>33</v>
      </c>
      <c r="H53" s="28">
        <f t="shared" si="7"/>
        <v>953</v>
      </c>
      <c r="I53" s="27">
        <v>-1848</v>
      </c>
      <c r="J53" s="28">
        <f t="shared" si="2"/>
        <v>2801</v>
      </c>
      <c r="K53" s="22">
        <f t="shared" si="8"/>
        <v>495</v>
      </c>
      <c r="L53" s="22">
        <f t="shared" si="9"/>
        <v>33</v>
      </c>
      <c r="M53" s="28">
        <f t="shared" si="10"/>
        <v>1124</v>
      </c>
      <c r="N53" s="24">
        <v>-1723</v>
      </c>
      <c r="O53" s="28">
        <f t="shared" si="3"/>
        <v>2847</v>
      </c>
      <c r="P53" s="22">
        <f t="shared" si="11"/>
        <v>373</v>
      </c>
      <c r="Q53" s="36"/>
      <c r="R53" s="30"/>
    </row>
    <row r="54" spans="1:18" x14ac:dyDescent="0.25">
      <c r="A54" s="21">
        <v>45823</v>
      </c>
      <c r="B54" s="22">
        <v>11</v>
      </c>
      <c r="C54" s="28">
        <f t="shared" si="4"/>
        <v>1051</v>
      </c>
      <c r="D54" s="24">
        <v>-1514</v>
      </c>
      <c r="E54" s="25">
        <f t="shared" si="1"/>
        <v>2565</v>
      </c>
      <c r="F54" s="22">
        <f t="shared" si="5"/>
        <v>451</v>
      </c>
      <c r="G54" s="22">
        <f t="shared" si="6"/>
        <v>34</v>
      </c>
      <c r="H54" s="28">
        <f t="shared" si="7"/>
        <v>943</v>
      </c>
      <c r="I54" s="27">
        <v>-1858</v>
      </c>
      <c r="J54" s="28">
        <f t="shared" si="2"/>
        <v>2801</v>
      </c>
      <c r="K54" s="22">
        <f t="shared" si="8"/>
        <v>505</v>
      </c>
      <c r="L54" s="22">
        <f t="shared" si="9"/>
        <v>34</v>
      </c>
      <c r="M54" s="28">
        <f t="shared" si="10"/>
        <v>1117</v>
      </c>
      <c r="N54" s="24">
        <v>-1730</v>
      </c>
      <c r="O54" s="28">
        <f t="shared" si="3"/>
        <v>2847</v>
      </c>
      <c r="P54" s="22">
        <f t="shared" si="11"/>
        <v>380</v>
      </c>
      <c r="Q54" s="36"/>
      <c r="R54" s="30"/>
    </row>
    <row r="55" spans="1:18" x14ac:dyDescent="0.25">
      <c r="A55" s="21">
        <v>45824</v>
      </c>
      <c r="B55" s="22">
        <v>11</v>
      </c>
      <c r="C55" s="28">
        <f t="shared" si="4"/>
        <v>1047</v>
      </c>
      <c r="D55" s="24">
        <v>-1518</v>
      </c>
      <c r="E55" s="25">
        <f t="shared" si="1"/>
        <v>2565</v>
      </c>
      <c r="F55" s="22">
        <f t="shared" si="5"/>
        <v>455</v>
      </c>
      <c r="G55" s="22">
        <f t="shared" si="6"/>
        <v>35</v>
      </c>
      <c r="H55" s="28">
        <f t="shared" si="7"/>
        <v>923</v>
      </c>
      <c r="I55" s="27">
        <v>-1878</v>
      </c>
      <c r="J55" s="28">
        <f t="shared" si="2"/>
        <v>2801</v>
      </c>
      <c r="K55" s="22">
        <f t="shared" si="8"/>
        <v>525</v>
      </c>
      <c r="L55" s="22">
        <f t="shared" si="9"/>
        <v>35</v>
      </c>
      <c r="M55" s="28">
        <f t="shared" si="10"/>
        <v>1110</v>
      </c>
      <c r="N55" s="24">
        <v>-1737</v>
      </c>
      <c r="O55" s="28">
        <f t="shared" si="3"/>
        <v>2847</v>
      </c>
      <c r="P55" s="22">
        <f t="shared" si="11"/>
        <v>387</v>
      </c>
      <c r="Q55" s="36"/>
      <c r="R55" s="30"/>
    </row>
    <row r="56" spans="1:18" x14ac:dyDescent="0.25">
      <c r="A56" s="21">
        <v>45825</v>
      </c>
      <c r="B56" s="22">
        <v>11</v>
      </c>
      <c r="C56" s="28">
        <f t="shared" si="4"/>
        <v>1043</v>
      </c>
      <c r="D56" s="24">
        <v>-1522</v>
      </c>
      <c r="E56" s="25">
        <f t="shared" si="1"/>
        <v>2565</v>
      </c>
      <c r="F56" s="22">
        <f t="shared" si="5"/>
        <v>459</v>
      </c>
      <c r="G56" s="22">
        <f t="shared" si="6"/>
        <v>36</v>
      </c>
      <c r="H56" s="28">
        <f t="shared" si="7"/>
        <v>903</v>
      </c>
      <c r="I56" s="27">
        <v>-1898</v>
      </c>
      <c r="J56" s="28">
        <f t="shared" si="2"/>
        <v>2801</v>
      </c>
      <c r="K56" s="22">
        <f t="shared" si="8"/>
        <v>545</v>
      </c>
      <c r="L56" s="22">
        <f t="shared" si="9"/>
        <v>36</v>
      </c>
      <c r="M56" s="28">
        <f t="shared" si="10"/>
        <v>1103</v>
      </c>
      <c r="N56" s="24">
        <v>-1744</v>
      </c>
      <c r="O56" s="28">
        <f t="shared" si="3"/>
        <v>2847</v>
      </c>
      <c r="P56" s="22">
        <f t="shared" si="11"/>
        <v>394</v>
      </c>
      <c r="Q56" s="36"/>
      <c r="R56" s="30"/>
    </row>
    <row r="57" spans="1:18" x14ac:dyDescent="0.25">
      <c r="A57" s="21">
        <v>45826</v>
      </c>
      <c r="B57" s="22">
        <v>11</v>
      </c>
      <c r="C57" s="28">
        <f t="shared" si="4"/>
        <v>1039</v>
      </c>
      <c r="D57" s="24">
        <v>-1526</v>
      </c>
      <c r="E57" s="25">
        <f t="shared" si="1"/>
        <v>2565</v>
      </c>
      <c r="F57" s="22">
        <f t="shared" si="5"/>
        <v>463</v>
      </c>
      <c r="G57" s="22">
        <f t="shared" si="6"/>
        <v>37</v>
      </c>
      <c r="H57" s="28">
        <f t="shared" si="7"/>
        <v>883</v>
      </c>
      <c r="I57" s="27">
        <v>-1918</v>
      </c>
      <c r="J57" s="28">
        <f t="shared" si="2"/>
        <v>2801</v>
      </c>
      <c r="K57" s="22">
        <f t="shared" si="8"/>
        <v>565</v>
      </c>
      <c r="L57" s="22">
        <f t="shared" si="9"/>
        <v>37</v>
      </c>
      <c r="M57" s="28">
        <f t="shared" si="10"/>
        <v>1096</v>
      </c>
      <c r="N57" s="24">
        <v>-1751</v>
      </c>
      <c r="O57" s="28">
        <f t="shared" si="3"/>
        <v>2847</v>
      </c>
      <c r="P57" s="22">
        <f t="shared" si="11"/>
        <v>401</v>
      </c>
      <c r="Q57" s="36"/>
      <c r="R57" s="30"/>
    </row>
    <row r="58" spans="1:18" x14ac:dyDescent="0.25">
      <c r="A58" s="21">
        <v>45827</v>
      </c>
      <c r="B58" s="22">
        <v>11</v>
      </c>
      <c r="C58" s="28">
        <f t="shared" si="4"/>
        <v>1035</v>
      </c>
      <c r="D58" s="24">
        <v>-1530</v>
      </c>
      <c r="E58" s="25">
        <f t="shared" si="1"/>
        <v>2565</v>
      </c>
      <c r="F58" s="22">
        <f t="shared" si="5"/>
        <v>467</v>
      </c>
      <c r="G58" s="22">
        <f t="shared" si="6"/>
        <v>38</v>
      </c>
      <c r="H58" s="28">
        <f t="shared" si="7"/>
        <v>863</v>
      </c>
      <c r="I58" s="27">
        <v>-1938</v>
      </c>
      <c r="J58" s="28">
        <f t="shared" si="2"/>
        <v>2801</v>
      </c>
      <c r="K58" s="22">
        <f t="shared" si="8"/>
        <v>585</v>
      </c>
      <c r="L58" s="22">
        <f t="shared" si="9"/>
        <v>38</v>
      </c>
      <c r="M58" s="28">
        <f t="shared" si="10"/>
        <v>1089</v>
      </c>
      <c r="N58" s="24">
        <v>-1758</v>
      </c>
      <c r="O58" s="28">
        <f t="shared" si="3"/>
        <v>2847</v>
      </c>
      <c r="P58" s="22">
        <f t="shared" si="11"/>
        <v>408</v>
      </c>
      <c r="Q58" s="36"/>
      <c r="R58" s="30"/>
    </row>
    <row r="59" spans="1:18" x14ac:dyDescent="0.25">
      <c r="A59" s="21">
        <v>45828</v>
      </c>
      <c r="B59" s="22">
        <v>11</v>
      </c>
      <c r="C59" s="28">
        <f t="shared" si="4"/>
        <v>1031</v>
      </c>
      <c r="D59" s="24">
        <v>-1534</v>
      </c>
      <c r="E59" s="25">
        <f t="shared" si="1"/>
        <v>2565</v>
      </c>
      <c r="F59" s="22">
        <f t="shared" si="5"/>
        <v>471</v>
      </c>
      <c r="G59" s="22">
        <f t="shared" si="6"/>
        <v>39</v>
      </c>
      <c r="H59" s="28">
        <f t="shared" si="7"/>
        <v>843</v>
      </c>
      <c r="I59" s="27">
        <v>-1958</v>
      </c>
      <c r="J59" s="28">
        <f t="shared" si="2"/>
        <v>2801</v>
      </c>
      <c r="K59" s="22">
        <f t="shared" si="8"/>
        <v>605</v>
      </c>
      <c r="L59" s="22">
        <f t="shared" si="9"/>
        <v>39</v>
      </c>
      <c r="M59" s="28">
        <f t="shared" si="10"/>
        <v>1082</v>
      </c>
      <c r="N59" s="24">
        <v>-1765</v>
      </c>
      <c r="O59" s="28">
        <f t="shared" si="3"/>
        <v>2847</v>
      </c>
      <c r="P59" s="22">
        <f t="shared" si="11"/>
        <v>415</v>
      </c>
      <c r="Q59" s="36"/>
      <c r="R59" s="30"/>
    </row>
    <row r="60" spans="1:18" x14ac:dyDescent="0.25">
      <c r="A60" s="21">
        <v>45829</v>
      </c>
      <c r="B60" s="22">
        <v>11</v>
      </c>
      <c r="C60" s="28">
        <f t="shared" si="4"/>
        <v>1027</v>
      </c>
      <c r="D60" s="24">
        <v>-1538</v>
      </c>
      <c r="E60" s="25">
        <f t="shared" si="1"/>
        <v>2565</v>
      </c>
      <c r="F60" s="22">
        <f t="shared" si="5"/>
        <v>475</v>
      </c>
      <c r="G60" s="22">
        <f t="shared" si="6"/>
        <v>40</v>
      </c>
      <c r="H60" s="28">
        <f t="shared" si="7"/>
        <v>823</v>
      </c>
      <c r="I60" s="27">
        <v>-1978</v>
      </c>
      <c r="J60" s="28">
        <f t="shared" si="2"/>
        <v>2801</v>
      </c>
      <c r="K60" s="22">
        <f t="shared" si="8"/>
        <v>625</v>
      </c>
      <c r="L60" s="22">
        <f t="shared" si="9"/>
        <v>40</v>
      </c>
      <c r="M60" s="28">
        <f t="shared" si="10"/>
        <v>1075</v>
      </c>
      <c r="N60" s="24">
        <v>-1772</v>
      </c>
      <c r="O60" s="28">
        <f t="shared" si="3"/>
        <v>2847</v>
      </c>
      <c r="P60" s="22">
        <f t="shared" si="11"/>
        <v>422</v>
      </c>
      <c r="Q60" s="36"/>
      <c r="R60" s="30"/>
    </row>
    <row r="61" spans="1:18" x14ac:dyDescent="0.25">
      <c r="A61" s="21">
        <v>45830</v>
      </c>
      <c r="B61" s="22">
        <v>11</v>
      </c>
      <c r="C61" s="28">
        <f t="shared" si="4"/>
        <v>1023</v>
      </c>
      <c r="D61" s="24">
        <v>-1542</v>
      </c>
      <c r="E61" s="25">
        <f t="shared" si="1"/>
        <v>2565</v>
      </c>
      <c r="F61" s="22">
        <f t="shared" si="5"/>
        <v>479</v>
      </c>
      <c r="G61" s="22">
        <f t="shared" si="6"/>
        <v>41</v>
      </c>
      <c r="H61" s="28">
        <f t="shared" si="7"/>
        <v>796</v>
      </c>
      <c r="I61" s="27">
        <v>-2005</v>
      </c>
      <c r="J61" s="28">
        <f t="shared" si="2"/>
        <v>2801</v>
      </c>
      <c r="K61" s="22">
        <f t="shared" si="8"/>
        <v>652</v>
      </c>
      <c r="L61" s="22">
        <f t="shared" si="9"/>
        <v>41</v>
      </c>
      <c r="M61" s="28">
        <f t="shared" si="10"/>
        <v>1068</v>
      </c>
      <c r="N61" s="24">
        <v>-1779</v>
      </c>
      <c r="O61" s="28">
        <f t="shared" si="3"/>
        <v>2847</v>
      </c>
      <c r="P61" s="22">
        <f t="shared" si="11"/>
        <v>429</v>
      </c>
      <c r="Q61" s="36"/>
      <c r="R61" s="30"/>
    </row>
    <row r="62" spans="1:18" x14ac:dyDescent="0.25">
      <c r="A62" s="21">
        <v>45831</v>
      </c>
      <c r="B62" s="22">
        <v>11</v>
      </c>
      <c r="C62" s="28">
        <f t="shared" si="4"/>
        <v>1019</v>
      </c>
      <c r="D62" s="24">
        <v>-1546</v>
      </c>
      <c r="E62" s="25">
        <f t="shared" si="1"/>
        <v>2565</v>
      </c>
      <c r="F62" s="22">
        <f t="shared" si="5"/>
        <v>483</v>
      </c>
      <c r="G62" s="22">
        <f t="shared" si="6"/>
        <v>42</v>
      </c>
      <c r="H62" s="28">
        <f t="shared" si="7"/>
        <v>791</v>
      </c>
      <c r="I62" s="27">
        <v>-2010</v>
      </c>
      <c r="J62" s="28">
        <f t="shared" si="2"/>
        <v>2801</v>
      </c>
      <c r="K62" s="22">
        <f t="shared" si="8"/>
        <v>657</v>
      </c>
      <c r="L62" s="22">
        <f t="shared" si="9"/>
        <v>42</v>
      </c>
      <c r="M62" s="28">
        <f t="shared" si="10"/>
        <v>1061</v>
      </c>
      <c r="N62" s="24">
        <v>-1786</v>
      </c>
      <c r="O62" s="28">
        <f t="shared" si="3"/>
        <v>2847</v>
      </c>
      <c r="P62" s="22">
        <f t="shared" si="11"/>
        <v>436</v>
      </c>
      <c r="Q62" s="36"/>
      <c r="R62" s="30"/>
    </row>
    <row r="63" spans="1:18" x14ac:dyDescent="0.25">
      <c r="A63" s="21">
        <v>45832</v>
      </c>
      <c r="B63" s="22">
        <v>11</v>
      </c>
      <c r="C63" s="28">
        <f t="shared" si="4"/>
        <v>1015</v>
      </c>
      <c r="D63" s="24">
        <v>-1550</v>
      </c>
      <c r="E63" s="25">
        <f t="shared" si="1"/>
        <v>2565</v>
      </c>
      <c r="F63" s="22">
        <f t="shared" si="5"/>
        <v>487</v>
      </c>
      <c r="G63" s="22">
        <f t="shared" si="6"/>
        <v>43</v>
      </c>
      <c r="H63" s="28">
        <f t="shared" si="7"/>
        <v>786</v>
      </c>
      <c r="I63" s="27">
        <v>-2015</v>
      </c>
      <c r="J63" s="28">
        <f t="shared" si="2"/>
        <v>2801</v>
      </c>
      <c r="K63" s="22">
        <f t="shared" si="8"/>
        <v>662</v>
      </c>
      <c r="L63" s="22">
        <f t="shared" si="9"/>
        <v>43</v>
      </c>
      <c r="M63" s="28">
        <f t="shared" si="10"/>
        <v>1054</v>
      </c>
      <c r="N63" s="24">
        <v>-1793</v>
      </c>
      <c r="O63" s="28">
        <f t="shared" si="3"/>
        <v>2847</v>
      </c>
      <c r="P63" s="22">
        <f t="shared" si="11"/>
        <v>443</v>
      </c>
      <c r="Q63" s="36"/>
      <c r="R63" s="30"/>
    </row>
    <row r="64" spans="1:18" x14ac:dyDescent="0.25">
      <c r="A64" s="21">
        <v>45833</v>
      </c>
      <c r="B64" s="22">
        <v>11</v>
      </c>
      <c r="C64" s="28">
        <f t="shared" si="4"/>
        <v>1011</v>
      </c>
      <c r="D64" s="24">
        <v>-1554</v>
      </c>
      <c r="E64" s="25">
        <f t="shared" si="1"/>
        <v>2565</v>
      </c>
      <c r="F64" s="22">
        <f t="shared" si="5"/>
        <v>491</v>
      </c>
      <c r="G64" s="22">
        <f t="shared" si="6"/>
        <v>44</v>
      </c>
      <c r="H64" s="28">
        <f t="shared" si="7"/>
        <v>781</v>
      </c>
      <c r="I64" s="27">
        <v>-2020</v>
      </c>
      <c r="J64" s="28">
        <f t="shared" si="2"/>
        <v>2801</v>
      </c>
      <c r="K64" s="22">
        <f t="shared" si="8"/>
        <v>667</v>
      </c>
      <c r="L64" s="22">
        <f t="shared" si="9"/>
        <v>44</v>
      </c>
      <c r="M64" s="28">
        <f t="shared" si="10"/>
        <v>1047</v>
      </c>
      <c r="N64" s="24">
        <v>-1800</v>
      </c>
      <c r="O64" s="28">
        <f t="shared" si="3"/>
        <v>2847</v>
      </c>
      <c r="P64" s="22">
        <f t="shared" si="11"/>
        <v>450</v>
      </c>
      <c r="Q64" s="36"/>
      <c r="R64" s="30"/>
    </row>
    <row r="65" spans="1:18" x14ac:dyDescent="0.25">
      <c r="A65" s="21">
        <v>45834</v>
      </c>
      <c r="B65" s="22">
        <v>11</v>
      </c>
      <c r="C65" s="28">
        <f t="shared" si="4"/>
        <v>1007</v>
      </c>
      <c r="D65" s="24">
        <v>-1558</v>
      </c>
      <c r="E65" s="25">
        <f t="shared" si="1"/>
        <v>2565</v>
      </c>
      <c r="F65" s="22">
        <f t="shared" si="5"/>
        <v>495</v>
      </c>
      <c r="G65" s="22">
        <f t="shared" si="6"/>
        <v>45</v>
      </c>
      <c r="H65" s="28">
        <f t="shared" si="7"/>
        <v>776</v>
      </c>
      <c r="I65" s="27">
        <v>-2025</v>
      </c>
      <c r="J65" s="28">
        <f t="shared" si="2"/>
        <v>2801</v>
      </c>
      <c r="K65" s="22">
        <f t="shared" si="8"/>
        <v>672</v>
      </c>
      <c r="L65" s="22">
        <f t="shared" si="9"/>
        <v>45</v>
      </c>
      <c r="M65" s="28">
        <f t="shared" si="10"/>
        <v>1040</v>
      </c>
      <c r="N65" s="24">
        <v>-1807</v>
      </c>
      <c r="O65" s="28">
        <f t="shared" si="3"/>
        <v>2847</v>
      </c>
      <c r="P65" s="22">
        <f t="shared" si="11"/>
        <v>457</v>
      </c>
      <c r="Q65" s="36"/>
      <c r="R65" s="30"/>
    </row>
    <row r="66" spans="1:18" x14ac:dyDescent="0.25">
      <c r="A66" s="21">
        <v>45835</v>
      </c>
      <c r="B66" s="22">
        <v>11</v>
      </c>
      <c r="C66" s="28">
        <f t="shared" si="4"/>
        <v>932</v>
      </c>
      <c r="D66" s="24">
        <v>-1633</v>
      </c>
      <c r="E66" s="25">
        <f t="shared" si="1"/>
        <v>2565</v>
      </c>
      <c r="F66" s="22">
        <f t="shared" si="5"/>
        <v>570</v>
      </c>
      <c r="G66" s="22">
        <f t="shared" si="6"/>
        <v>46</v>
      </c>
      <c r="H66" s="28">
        <f t="shared" si="7"/>
        <v>776</v>
      </c>
      <c r="I66" s="27">
        <v>-2025</v>
      </c>
      <c r="J66" s="28">
        <f t="shared" si="2"/>
        <v>2801</v>
      </c>
      <c r="K66" s="22">
        <f t="shared" si="8"/>
        <v>672</v>
      </c>
      <c r="L66" s="22">
        <f t="shared" si="9"/>
        <v>46</v>
      </c>
      <c r="M66" s="28">
        <f t="shared" si="10"/>
        <v>1040</v>
      </c>
      <c r="N66" s="24">
        <v>-1807</v>
      </c>
      <c r="O66" s="28">
        <f t="shared" si="3"/>
        <v>2847</v>
      </c>
      <c r="P66" s="22">
        <f t="shared" si="11"/>
        <v>457</v>
      </c>
      <c r="Q66" s="36"/>
      <c r="R66" s="30"/>
    </row>
    <row r="67" spans="1:18" x14ac:dyDescent="0.25">
      <c r="A67" s="21">
        <v>45836</v>
      </c>
      <c r="B67" s="22">
        <v>11</v>
      </c>
      <c r="C67" s="28">
        <f t="shared" si="4"/>
        <v>926</v>
      </c>
      <c r="D67" s="24">
        <v>-1639</v>
      </c>
      <c r="E67" s="25">
        <f t="shared" si="1"/>
        <v>2565</v>
      </c>
      <c r="F67" s="22">
        <f t="shared" si="5"/>
        <v>576</v>
      </c>
      <c r="G67" s="22">
        <f t="shared" si="6"/>
        <v>47</v>
      </c>
      <c r="H67" s="28">
        <f t="shared" si="7"/>
        <v>776</v>
      </c>
      <c r="I67" s="27">
        <v>-2025</v>
      </c>
      <c r="J67" s="28">
        <f t="shared" si="2"/>
        <v>2801</v>
      </c>
      <c r="K67" s="22">
        <f t="shared" si="8"/>
        <v>672</v>
      </c>
      <c r="L67" s="22">
        <f t="shared" si="9"/>
        <v>47</v>
      </c>
      <c r="M67" s="28">
        <f t="shared" si="10"/>
        <v>1040</v>
      </c>
      <c r="N67" s="24">
        <v>-1807</v>
      </c>
      <c r="O67" s="28">
        <f t="shared" si="3"/>
        <v>2847</v>
      </c>
      <c r="P67" s="22">
        <f t="shared" si="11"/>
        <v>457</v>
      </c>
      <c r="Q67" s="36"/>
      <c r="R67" s="30"/>
    </row>
    <row r="68" spans="1:18" x14ac:dyDescent="0.25">
      <c r="A68" s="21">
        <v>45837</v>
      </c>
      <c r="B68" s="22">
        <v>11</v>
      </c>
      <c r="C68" s="28">
        <f t="shared" si="4"/>
        <v>920</v>
      </c>
      <c r="D68" s="24">
        <v>-1645</v>
      </c>
      <c r="E68" s="25">
        <f t="shared" si="1"/>
        <v>2565</v>
      </c>
      <c r="F68" s="22">
        <f t="shared" si="5"/>
        <v>582</v>
      </c>
      <c r="G68" s="22">
        <f t="shared" si="6"/>
        <v>48</v>
      </c>
      <c r="H68" s="28">
        <f t="shared" si="7"/>
        <v>776</v>
      </c>
      <c r="I68" s="27">
        <v>-2025</v>
      </c>
      <c r="J68" s="28">
        <f t="shared" si="2"/>
        <v>2801</v>
      </c>
      <c r="K68" s="22">
        <f t="shared" si="8"/>
        <v>672</v>
      </c>
      <c r="L68" s="22">
        <f t="shared" si="9"/>
        <v>48</v>
      </c>
      <c r="M68" s="28">
        <f t="shared" si="10"/>
        <v>1040</v>
      </c>
      <c r="N68" s="24">
        <v>-1807</v>
      </c>
      <c r="O68" s="28">
        <f t="shared" si="3"/>
        <v>2847</v>
      </c>
      <c r="P68" s="22">
        <f t="shared" si="11"/>
        <v>457</v>
      </c>
      <c r="Q68" s="36"/>
      <c r="R68" s="30"/>
    </row>
    <row r="69" spans="1:18" x14ac:dyDescent="0.25">
      <c r="A69" s="21">
        <v>45838</v>
      </c>
      <c r="B69" s="22">
        <v>11</v>
      </c>
      <c r="C69" s="28">
        <f t="shared" si="4"/>
        <v>914</v>
      </c>
      <c r="D69" s="24">
        <v>-1651</v>
      </c>
      <c r="E69" s="25">
        <f t="shared" si="1"/>
        <v>2565</v>
      </c>
      <c r="F69" s="22">
        <f t="shared" si="5"/>
        <v>588</v>
      </c>
      <c r="G69" s="22">
        <f t="shared" si="6"/>
        <v>49</v>
      </c>
      <c r="H69" s="28">
        <f t="shared" si="7"/>
        <v>776</v>
      </c>
      <c r="I69" s="27">
        <v>-2025</v>
      </c>
      <c r="J69" s="28">
        <f t="shared" si="2"/>
        <v>2801</v>
      </c>
      <c r="K69" s="22">
        <f t="shared" si="8"/>
        <v>672</v>
      </c>
      <c r="L69" s="22">
        <f t="shared" si="9"/>
        <v>49</v>
      </c>
      <c r="M69" s="28">
        <f t="shared" si="10"/>
        <v>1040</v>
      </c>
      <c r="N69" s="24">
        <v>-1807</v>
      </c>
      <c r="O69" s="28">
        <f t="shared" si="3"/>
        <v>2847</v>
      </c>
      <c r="P69" s="22">
        <f t="shared" si="11"/>
        <v>457</v>
      </c>
      <c r="Q69" s="36"/>
      <c r="R69" s="30"/>
    </row>
    <row r="70" spans="1:18" x14ac:dyDescent="0.25">
      <c r="A70" s="21">
        <v>45839</v>
      </c>
      <c r="B70" s="22">
        <v>11</v>
      </c>
      <c r="C70" s="28">
        <f t="shared" si="4"/>
        <v>908</v>
      </c>
      <c r="D70" s="24">
        <v>-1657</v>
      </c>
      <c r="E70" s="25">
        <f t="shared" si="1"/>
        <v>2565</v>
      </c>
      <c r="F70" s="22">
        <f t="shared" si="5"/>
        <v>594</v>
      </c>
      <c r="G70" s="22">
        <f t="shared" si="6"/>
        <v>50</v>
      </c>
      <c r="H70" s="28">
        <f t="shared" si="7"/>
        <v>776</v>
      </c>
      <c r="I70" s="27">
        <v>-2025</v>
      </c>
      <c r="J70" s="28">
        <f t="shared" si="2"/>
        <v>2801</v>
      </c>
      <c r="K70" s="22">
        <f t="shared" si="8"/>
        <v>672</v>
      </c>
      <c r="L70" s="22">
        <f t="shared" si="9"/>
        <v>50</v>
      </c>
      <c r="M70" s="28">
        <f t="shared" si="10"/>
        <v>1040</v>
      </c>
      <c r="N70" s="24">
        <v>-1807</v>
      </c>
      <c r="O70" s="28">
        <f t="shared" si="3"/>
        <v>2847</v>
      </c>
      <c r="P70" s="22">
        <f t="shared" si="11"/>
        <v>457</v>
      </c>
      <c r="Q70" s="36"/>
      <c r="R70" s="30"/>
    </row>
    <row r="71" spans="1:18" x14ac:dyDescent="0.25">
      <c r="A71" s="21">
        <v>45840</v>
      </c>
      <c r="B71" s="22">
        <v>11</v>
      </c>
      <c r="C71" s="28">
        <f t="shared" si="4"/>
        <v>902</v>
      </c>
      <c r="D71" s="24">
        <v>-1663</v>
      </c>
      <c r="E71" s="25">
        <f t="shared" si="1"/>
        <v>2565</v>
      </c>
      <c r="F71" s="22">
        <f t="shared" si="5"/>
        <v>600</v>
      </c>
      <c r="G71" s="22">
        <f t="shared" si="6"/>
        <v>51</v>
      </c>
      <c r="H71" s="28">
        <f t="shared" si="7"/>
        <v>776</v>
      </c>
      <c r="I71" s="27">
        <v>-2025</v>
      </c>
      <c r="J71" s="28">
        <f t="shared" si="2"/>
        <v>2801</v>
      </c>
      <c r="K71" s="22">
        <f t="shared" si="8"/>
        <v>672</v>
      </c>
      <c r="L71" s="22">
        <f t="shared" si="9"/>
        <v>51</v>
      </c>
      <c r="M71" s="28">
        <f t="shared" si="10"/>
        <v>1040</v>
      </c>
      <c r="N71" s="24">
        <v>-1807</v>
      </c>
      <c r="O71" s="28">
        <f t="shared" si="3"/>
        <v>2847</v>
      </c>
      <c r="P71" s="22">
        <f t="shared" si="11"/>
        <v>457</v>
      </c>
      <c r="Q71" s="36"/>
      <c r="R71" s="30"/>
    </row>
    <row r="72" spans="1:18" x14ac:dyDescent="0.25">
      <c r="A72" s="21">
        <v>45841</v>
      </c>
      <c r="B72" s="22">
        <v>11</v>
      </c>
      <c r="C72" s="28">
        <f t="shared" si="4"/>
        <v>896</v>
      </c>
      <c r="D72" s="24">
        <v>-1669</v>
      </c>
      <c r="E72" s="25">
        <f t="shared" si="1"/>
        <v>2565</v>
      </c>
      <c r="F72" s="22">
        <f t="shared" si="5"/>
        <v>606</v>
      </c>
      <c r="G72" s="22">
        <f t="shared" si="6"/>
        <v>52</v>
      </c>
      <c r="H72" s="28">
        <f t="shared" si="7"/>
        <v>776</v>
      </c>
      <c r="I72" s="27">
        <v>-2025</v>
      </c>
      <c r="J72" s="28">
        <f t="shared" si="2"/>
        <v>2801</v>
      </c>
      <c r="K72" s="22">
        <f t="shared" si="8"/>
        <v>672</v>
      </c>
      <c r="L72" s="22">
        <f t="shared" si="9"/>
        <v>52</v>
      </c>
      <c r="M72" s="28">
        <f t="shared" si="10"/>
        <v>1040</v>
      </c>
      <c r="N72" s="24">
        <v>-1807</v>
      </c>
      <c r="O72" s="28">
        <f t="shared" si="3"/>
        <v>2847</v>
      </c>
      <c r="P72" s="22">
        <f t="shared" si="11"/>
        <v>457</v>
      </c>
      <c r="Q72" s="36"/>
      <c r="R72" s="30"/>
    </row>
    <row r="73" spans="1:18" x14ac:dyDescent="0.25">
      <c r="A73" s="21">
        <v>45842</v>
      </c>
      <c r="B73" s="22">
        <v>11</v>
      </c>
      <c r="C73" s="28">
        <f t="shared" si="4"/>
        <v>890</v>
      </c>
      <c r="D73" s="24">
        <v>-1675</v>
      </c>
      <c r="E73" s="25">
        <f t="shared" si="1"/>
        <v>2565</v>
      </c>
      <c r="F73" s="22">
        <f t="shared" si="5"/>
        <v>612</v>
      </c>
      <c r="G73" s="22">
        <f t="shared" si="6"/>
        <v>53</v>
      </c>
      <c r="H73" s="28">
        <f t="shared" si="7"/>
        <v>776</v>
      </c>
      <c r="I73" s="27">
        <v>-2025</v>
      </c>
      <c r="J73" s="28">
        <f t="shared" si="2"/>
        <v>2801</v>
      </c>
      <c r="K73" s="22">
        <f t="shared" si="8"/>
        <v>672</v>
      </c>
      <c r="L73" s="22">
        <f t="shared" si="9"/>
        <v>53</v>
      </c>
      <c r="M73" s="28">
        <f t="shared" si="10"/>
        <v>1040</v>
      </c>
      <c r="N73" s="24">
        <v>-1807</v>
      </c>
      <c r="O73" s="28">
        <f t="shared" si="3"/>
        <v>2847</v>
      </c>
      <c r="P73" s="22">
        <f t="shared" si="11"/>
        <v>457</v>
      </c>
      <c r="Q73" s="36"/>
      <c r="R73" s="30"/>
    </row>
    <row r="74" spans="1:18" x14ac:dyDescent="0.25">
      <c r="A74" s="21">
        <v>45843</v>
      </c>
      <c r="B74" s="22">
        <v>11</v>
      </c>
      <c r="C74" s="28">
        <f t="shared" si="4"/>
        <v>884</v>
      </c>
      <c r="D74" s="24">
        <v>-1681</v>
      </c>
      <c r="E74" s="25">
        <f t="shared" si="1"/>
        <v>2565</v>
      </c>
      <c r="F74" s="22">
        <f t="shared" si="5"/>
        <v>618</v>
      </c>
      <c r="G74" s="22">
        <f t="shared" si="6"/>
        <v>54</v>
      </c>
      <c r="H74" s="28">
        <f t="shared" si="7"/>
        <v>776</v>
      </c>
      <c r="I74" s="27">
        <v>-2025</v>
      </c>
      <c r="J74" s="28">
        <f t="shared" si="2"/>
        <v>2801</v>
      </c>
      <c r="K74" s="22">
        <f t="shared" si="8"/>
        <v>672</v>
      </c>
      <c r="L74" s="22">
        <f t="shared" si="9"/>
        <v>54</v>
      </c>
      <c r="M74" s="28">
        <f t="shared" si="10"/>
        <v>1040</v>
      </c>
      <c r="N74" s="24">
        <v>-1807</v>
      </c>
      <c r="O74" s="28">
        <f t="shared" si="3"/>
        <v>2847</v>
      </c>
      <c r="P74" s="22">
        <f t="shared" si="11"/>
        <v>457</v>
      </c>
      <c r="Q74" s="36"/>
      <c r="R74" s="30"/>
    </row>
    <row r="75" spans="1:18" x14ac:dyDescent="0.25">
      <c r="A75" s="21">
        <v>45844</v>
      </c>
      <c r="B75" s="22">
        <v>11</v>
      </c>
      <c r="C75" s="28">
        <f t="shared" si="4"/>
        <v>878</v>
      </c>
      <c r="D75" s="24">
        <v>-1687</v>
      </c>
      <c r="E75" s="25">
        <f t="shared" si="1"/>
        <v>2565</v>
      </c>
      <c r="F75" s="22">
        <f t="shared" si="5"/>
        <v>624</v>
      </c>
      <c r="G75" s="22">
        <f t="shared" si="6"/>
        <v>55</v>
      </c>
      <c r="H75" s="28">
        <f t="shared" si="7"/>
        <v>776</v>
      </c>
      <c r="I75" s="27">
        <v>-2025</v>
      </c>
      <c r="J75" s="28">
        <f t="shared" si="2"/>
        <v>2801</v>
      </c>
      <c r="K75" s="22">
        <f t="shared" si="8"/>
        <v>672</v>
      </c>
      <c r="L75" s="22">
        <f t="shared" si="9"/>
        <v>55</v>
      </c>
      <c r="M75" s="28">
        <f t="shared" si="10"/>
        <v>1067</v>
      </c>
      <c r="N75" s="24">
        <v>-1780</v>
      </c>
      <c r="O75" s="28">
        <f t="shared" si="3"/>
        <v>2847</v>
      </c>
      <c r="P75" s="22">
        <f t="shared" si="11"/>
        <v>430</v>
      </c>
      <c r="Q75" s="36"/>
      <c r="R75" s="30"/>
    </row>
    <row r="76" spans="1:18" x14ac:dyDescent="0.25">
      <c r="A76" s="21">
        <v>45845</v>
      </c>
      <c r="B76" s="22">
        <v>11</v>
      </c>
      <c r="C76" s="28">
        <f t="shared" si="4"/>
        <v>872</v>
      </c>
      <c r="D76" s="24">
        <v>-1693</v>
      </c>
      <c r="E76" s="25">
        <f t="shared" si="1"/>
        <v>2565</v>
      </c>
      <c r="F76" s="22">
        <f t="shared" si="5"/>
        <v>630</v>
      </c>
      <c r="G76" s="22">
        <f t="shared" si="6"/>
        <v>56</v>
      </c>
      <c r="H76" s="28">
        <f t="shared" si="7"/>
        <v>776</v>
      </c>
      <c r="I76" s="27">
        <v>-2025</v>
      </c>
      <c r="J76" s="28">
        <f t="shared" si="2"/>
        <v>2801</v>
      </c>
      <c r="K76" s="22">
        <f t="shared" si="8"/>
        <v>672</v>
      </c>
      <c r="L76" s="22">
        <f t="shared" si="9"/>
        <v>56</v>
      </c>
      <c r="M76" s="28">
        <f t="shared" si="10"/>
        <v>1058</v>
      </c>
      <c r="N76" s="24">
        <v>-1789</v>
      </c>
      <c r="O76" s="28">
        <f t="shared" si="3"/>
        <v>2847</v>
      </c>
      <c r="P76" s="22">
        <f t="shared" si="11"/>
        <v>439</v>
      </c>
      <c r="Q76" s="36"/>
      <c r="R76" s="30"/>
    </row>
    <row r="77" spans="1:18" x14ac:dyDescent="0.25">
      <c r="A77" s="21">
        <v>45846</v>
      </c>
      <c r="B77" s="22">
        <v>11</v>
      </c>
      <c r="C77" s="28">
        <f t="shared" si="4"/>
        <v>866</v>
      </c>
      <c r="D77" s="24">
        <v>-1699</v>
      </c>
      <c r="E77" s="25">
        <f t="shared" si="1"/>
        <v>2565</v>
      </c>
      <c r="F77" s="22">
        <f t="shared" si="5"/>
        <v>636</v>
      </c>
      <c r="G77" s="22">
        <f t="shared" si="6"/>
        <v>57</v>
      </c>
      <c r="H77" s="28">
        <f t="shared" si="7"/>
        <v>776</v>
      </c>
      <c r="I77" s="27">
        <v>-2025</v>
      </c>
      <c r="J77" s="28">
        <f t="shared" si="2"/>
        <v>2801</v>
      </c>
      <c r="K77" s="22">
        <f t="shared" si="8"/>
        <v>672</v>
      </c>
      <c r="L77" s="22">
        <f t="shared" si="9"/>
        <v>57</v>
      </c>
      <c r="M77" s="28">
        <f t="shared" si="10"/>
        <v>1049</v>
      </c>
      <c r="N77" s="24">
        <v>-1798</v>
      </c>
      <c r="O77" s="28">
        <f t="shared" si="3"/>
        <v>2847</v>
      </c>
      <c r="P77" s="22">
        <f t="shared" si="11"/>
        <v>448</v>
      </c>
      <c r="Q77" s="36"/>
      <c r="R77" s="30"/>
    </row>
    <row r="78" spans="1:18" x14ac:dyDescent="0.25">
      <c r="A78" s="21">
        <v>45847</v>
      </c>
      <c r="B78" s="22">
        <v>11</v>
      </c>
      <c r="C78" s="28">
        <f t="shared" si="4"/>
        <v>860</v>
      </c>
      <c r="D78" s="24">
        <v>-1705</v>
      </c>
      <c r="E78" s="25">
        <f t="shared" si="1"/>
        <v>2565</v>
      </c>
      <c r="F78" s="22">
        <f t="shared" si="5"/>
        <v>642</v>
      </c>
      <c r="G78" s="22">
        <f t="shared" si="6"/>
        <v>58</v>
      </c>
      <c r="H78" s="28">
        <f t="shared" si="7"/>
        <v>776</v>
      </c>
      <c r="I78" s="27">
        <v>-2025</v>
      </c>
      <c r="J78" s="28">
        <f t="shared" si="2"/>
        <v>2801</v>
      </c>
      <c r="K78" s="22">
        <f t="shared" si="8"/>
        <v>672</v>
      </c>
      <c r="L78" s="22">
        <f t="shared" si="9"/>
        <v>58</v>
      </c>
      <c r="M78" s="28">
        <f t="shared" si="10"/>
        <v>1040</v>
      </c>
      <c r="N78" s="24">
        <v>-1807</v>
      </c>
      <c r="O78" s="28">
        <f t="shared" si="3"/>
        <v>2847</v>
      </c>
      <c r="P78" s="22">
        <f t="shared" si="11"/>
        <v>457</v>
      </c>
      <c r="Q78" s="36"/>
      <c r="R78" s="30"/>
    </row>
    <row r="79" spans="1:18" x14ac:dyDescent="0.25">
      <c r="A79" s="21">
        <v>45848</v>
      </c>
      <c r="B79" s="22">
        <v>11</v>
      </c>
      <c r="C79" s="28">
        <f t="shared" si="4"/>
        <v>853</v>
      </c>
      <c r="D79" s="24">
        <v>-1712</v>
      </c>
      <c r="E79" s="25">
        <f t="shared" si="1"/>
        <v>2565</v>
      </c>
      <c r="F79" s="22">
        <f t="shared" si="5"/>
        <v>649</v>
      </c>
      <c r="G79" s="22">
        <f t="shared" si="6"/>
        <v>59</v>
      </c>
      <c r="H79" s="28">
        <f t="shared" si="7"/>
        <v>771</v>
      </c>
      <c r="I79" s="27">
        <v>-2030</v>
      </c>
      <c r="J79" s="28">
        <f t="shared" si="2"/>
        <v>2801</v>
      </c>
      <c r="K79" s="22">
        <f t="shared" si="8"/>
        <v>677</v>
      </c>
      <c r="L79" s="22">
        <f t="shared" si="9"/>
        <v>59</v>
      </c>
      <c r="M79" s="28">
        <f t="shared" si="10"/>
        <v>1031</v>
      </c>
      <c r="N79" s="24">
        <v>-1816</v>
      </c>
      <c r="O79" s="28">
        <f t="shared" si="3"/>
        <v>2847</v>
      </c>
      <c r="P79" s="22">
        <f t="shared" si="11"/>
        <v>466</v>
      </c>
      <c r="Q79" s="36"/>
      <c r="R79" s="30"/>
    </row>
    <row r="80" spans="1:18" x14ac:dyDescent="0.25">
      <c r="A80" s="21">
        <v>45849</v>
      </c>
      <c r="B80" s="22">
        <v>11</v>
      </c>
      <c r="C80" s="28">
        <f t="shared" si="4"/>
        <v>848</v>
      </c>
      <c r="D80" s="24">
        <v>-1717</v>
      </c>
      <c r="E80" s="25">
        <f t="shared" si="1"/>
        <v>2565</v>
      </c>
      <c r="F80" s="22">
        <f t="shared" si="5"/>
        <v>654</v>
      </c>
      <c r="G80" s="22">
        <f t="shared" si="6"/>
        <v>60</v>
      </c>
      <c r="H80" s="28">
        <f t="shared" si="7"/>
        <v>761</v>
      </c>
      <c r="I80" s="27">
        <v>-2040</v>
      </c>
      <c r="J80" s="28">
        <f t="shared" si="2"/>
        <v>2801</v>
      </c>
      <c r="K80" s="22">
        <f t="shared" si="8"/>
        <v>687</v>
      </c>
      <c r="L80" s="22">
        <f t="shared" si="9"/>
        <v>60</v>
      </c>
      <c r="M80" s="28">
        <f t="shared" si="10"/>
        <v>1022</v>
      </c>
      <c r="N80" s="24">
        <v>-1825</v>
      </c>
      <c r="O80" s="28">
        <f t="shared" si="3"/>
        <v>2847</v>
      </c>
      <c r="P80" s="22">
        <f t="shared" si="11"/>
        <v>475</v>
      </c>
      <c r="Q80" s="36"/>
      <c r="R80" s="30"/>
    </row>
    <row r="81" spans="1:18" x14ac:dyDescent="0.25">
      <c r="A81" s="21">
        <v>45850</v>
      </c>
      <c r="B81" s="22">
        <v>11</v>
      </c>
      <c r="C81" s="28">
        <f t="shared" si="4"/>
        <v>842</v>
      </c>
      <c r="D81" s="24">
        <v>-1723</v>
      </c>
      <c r="E81" s="25">
        <f t="shared" si="1"/>
        <v>2565</v>
      </c>
      <c r="F81" s="22">
        <f t="shared" si="5"/>
        <v>660</v>
      </c>
      <c r="G81" s="22">
        <f t="shared" si="6"/>
        <v>61</v>
      </c>
      <c r="H81" s="28">
        <f t="shared" si="7"/>
        <v>753</v>
      </c>
      <c r="I81" s="27">
        <v>-2048</v>
      </c>
      <c r="J81" s="28">
        <f t="shared" si="2"/>
        <v>2801</v>
      </c>
      <c r="K81" s="22">
        <f t="shared" si="8"/>
        <v>695</v>
      </c>
      <c r="L81" s="22">
        <f t="shared" si="9"/>
        <v>61</v>
      </c>
      <c r="M81" s="28">
        <f t="shared" si="10"/>
        <v>1013</v>
      </c>
      <c r="N81" s="24">
        <v>-1834</v>
      </c>
      <c r="O81" s="28">
        <f t="shared" si="3"/>
        <v>2847</v>
      </c>
      <c r="P81" s="22">
        <f t="shared" si="11"/>
        <v>484</v>
      </c>
      <c r="Q81" s="36"/>
      <c r="R81" s="30"/>
    </row>
    <row r="82" spans="1:18" x14ac:dyDescent="0.25">
      <c r="A82" s="21">
        <v>45851</v>
      </c>
      <c r="B82" s="22">
        <v>11</v>
      </c>
      <c r="C82" s="28">
        <f t="shared" si="4"/>
        <v>836</v>
      </c>
      <c r="D82" s="24">
        <v>-1729</v>
      </c>
      <c r="E82" s="25">
        <f t="shared" si="1"/>
        <v>2565</v>
      </c>
      <c r="F82" s="22">
        <f t="shared" si="5"/>
        <v>666</v>
      </c>
      <c r="G82" s="22">
        <f t="shared" si="6"/>
        <v>62</v>
      </c>
      <c r="H82" s="28">
        <f t="shared" si="7"/>
        <v>745</v>
      </c>
      <c r="I82" s="27">
        <v>-2056</v>
      </c>
      <c r="J82" s="28">
        <f t="shared" si="2"/>
        <v>2801</v>
      </c>
      <c r="K82" s="22">
        <f t="shared" si="8"/>
        <v>703</v>
      </c>
      <c r="L82" s="22">
        <f t="shared" si="9"/>
        <v>62</v>
      </c>
      <c r="M82" s="28">
        <f t="shared" si="10"/>
        <v>1004</v>
      </c>
      <c r="N82" s="24">
        <v>-1843</v>
      </c>
      <c r="O82" s="28">
        <f t="shared" si="3"/>
        <v>2847</v>
      </c>
      <c r="P82" s="22">
        <f t="shared" si="11"/>
        <v>493</v>
      </c>
      <c r="Q82" s="36"/>
      <c r="R82" s="30"/>
    </row>
    <row r="83" spans="1:18" x14ac:dyDescent="0.25">
      <c r="A83" s="21">
        <v>45852</v>
      </c>
      <c r="B83" s="22">
        <v>11</v>
      </c>
      <c r="C83" s="28">
        <f t="shared" si="4"/>
        <v>830</v>
      </c>
      <c r="D83" s="24">
        <v>-1735</v>
      </c>
      <c r="E83" s="25">
        <f t="shared" si="1"/>
        <v>2565</v>
      </c>
      <c r="F83" s="22">
        <f t="shared" si="5"/>
        <v>672</v>
      </c>
      <c r="G83" s="22">
        <f t="shared" si="6"/>
        <v>63</v>
      </c>
      <c r="H83" s="28">
        <f t="shared" si="7"/>
        <v>737</v>
      </c>
      <c r="I83" s="27">
        <v>-2064</v>
      </c>
      <c r="J83" s="28">
        <f t="shared" si="2"/>
        <v>2801</v>
      </c>
      <c r="K83" s="22">
        <f t="shared" si="8"/>
        <v>711</v>
      </c>
      <c r="L83" s="22">
        <f t="shared" si="9"/>
        <v>63</v>
      </c>
      <c r="M83" s="28">
        <f t="shared" si="10"/>
        <v>995</v>
      </c>
      <c r="N83" s="24">
        <v>-1852</v>
      </c>
      <c r="O83" s="28">
        <f t="shared" si="3"/>
        <v>2847</v>
      </c>
      <c r="P83" s="22">
        <f t="shared" si="11"/>
        <v>502</v>
      </c>
      <c r="Q83" s="36"/>
      <c r="R83" s="30"/>
    </row>
    <row r="84" spans="1:18" x14ac:dyDescent="0.25">
      <c r="A84" s="21">
        <v>45853</v>
      </c>
      <c r="B84" s="22">
        <v>11</v>
      </c>
      <c r="C84" s="28">
        <f t="shared" si="4"/>
        <v>824</v>
      </c>
      <c r="D84" s="24">
        <v>-1741</v>
      </c>
      <c r="E84" s="25">
        <f t="shared" si="1"/>
        <v>2565</v>
      </c>
      <c r="F84" s="22">
        <f t="shared" si="5"/>
        <v>678</v>
      </c>
      <c r="G84" s="22">
        <f t="shared" si="6"/>
        <v>64</v>
      </c>
      <c r="H84" s="28">
        <f t="shared" si="7"/>
        <v>729</v>
      </c>
      <c r="I84" s="27">
        <v>-2072</v>
      </c>
      <c r="J84" s="28">
        <f t="shared" si="2"/>
        <v>2801</v>
      </c>
      <c r="K84" s="22">
        <f t="shared" si="8"/>
        <v>719</v>
      </c>
      <c r="L84" s="22">
        <f t="shared" si="9"/>
        <v>64</v>
      </c>
      <c r="M84" s="28">
        <f t="shared" si="10"/>
        <v>986</v>
      </c>
      <c r="N84" s="24">
        <v>-1861</v>
      </c>
      <c r="O84" s="28">
        <f t="shared" si="3"/>
        <v>2847</v>
      </c>
      <c r="P84" s="22">
        <f t="shared" si="11"/>
        <v>511</v>
      </c>
      <c r="Q84" s="36"/>
      <c r="R84" s="30"/>
    </row>
    <row r="85" spans="1:18" x14ac:dyDescent="0.25">
      <c r="A85" s="21">
        <v>45854</v>
      </c>
      <c r="B85" s="22">
        <v>11</v>
      </c>
      <c r="C85" s="28">
        <f t="shared" si="4"/>
        <v>818</v>
      </c>
      <c r="D85" s="24">
        <v>-1747</v>
      </c>
      <c r="E85" s="25">
        <f t="shared" si="1"/>
        <v>2565</v>
      </c>
      <c r="F85" s="22">
        <f t="shared" si="5"/>
        <v>684</v>
      </c>
      <c r="G85" s="22">
        <f t="shared" si="6"/>
        <v>65</v>
      </c>
      <c r="H85" s="28">
        <f t="shared" si="7"/>
        <v>721</v>
      </c>
      <c r="I85" s="27">
        <v>-2080</v>
      </c>
      <c r="J85" s="28">
        <f t="shared" si="2"/>
        <v>2801</v>
      </c>
      <c r="K85" s="22">
        <f t="shared" si="8"/>
        <v>727</v>
      </c>
      <c r="L85" s="22">
        <f t="shared" si="9"/>
        <v>65</v>
      </c>
      <c r="M85" s="28">
        <f t="shared" si="10"/>
        <v>977</v>
      </c>
      <c r="N85" s="24">
        <v>-1870</v>
      </c>
      <c r="O85" s="28">
        <f t="shared" si="3"/>
        <v>2847</v>
      </c>
      <c r="P85" s="22">
        <f t="shared" si="11"/>
        <v>520</v>
      </c>
      <c r="Q85" s="36"/>
      <c r="R85" s="30"/>
    </row>
    <row r="86" spans="1:18" x14ac:dyDescent="0.25">
      <c r="A86" s="21">
        <v>45855</v>
      </c>
      <c r="B86" s="22">
        <v>11</v>
      </c>
      <c r="C86" s="28">
        <f t="shared" si="4"/>
        <v>812</v>
      </c>
      <c r="D86" s="24">
        <v>-1753</v>
      </c>
      <c r="E86" s="25">
        <f t="shared" si="1"/>
        <v>2565</v>
      </c>
      <c r="F86" s="22">
        <f t="shared" si="5"/>
        <v>690</v>
      </c>
      <c r="G86" s="22">
        <f t="shared" si="6"/>
        <v>66</v>
      </c>
      <c r="H86" s="28">
        <f t="shared" si="7"/>
        <v>713</v>
      </c>
      <c r="I86" s="27">
        <v>-2088</v>
      </c>
      <c r="J86" s="28">
        <f t="shared" si="2"/>
        <v>2801</v>
      </c>
      <c r="K86" s="22">
        <f t="shared" si="8"/>
        <v>735</v>
      </c>
      <c r="L86" s="22">
        <f t="shared" si="9"/>
        <v>66</v>
      </c>
      <c r="M86" s="28">
        <f t="shared" si="10"/>
        <v>968</v>
      </c>
      <c r="N86" s="24">
        <v>-1879</v>
      </c>
      <c r="O86" s="28">
        <f t="shared" si="3"/>
        <v>2847</v>
      </c>
      <c r="P86" s="22">
        <f t="shared" si="11"/>
        <v>529</v>
      </c>
      <c r="Q86" s="36"/>
      <c r="R86" s="30"/>
    </row>
    <row r="87" spans="1:18" x14ac:dyDescent="0.25">
      <c r="A87" s="21">
        <v>45856</v>
      </c>
      <c r="B87" s="22">
        <v>11</v>
      </c>
      <c r="C87" s="28">
        <f t="shared" si="4"/>
        <v>806</v>
      </c>
      <c r="D87" s="24">
        <v>-1759</v>
      </c>
      <c r="E87" s="25">
        <f t="shared" si="1"/>
        <v>2565</v>
      </c>
      <c r="F87" s="22">
        <f t="shared" si="5"/>
        <v>696</v>
      </c>
      <c r="G87" s="22">
        <f t="shared" si="6"/>
        <v>67</v>
      </c>
      <c r="H87" s="28">
        <f t="shared" si="7"/>
        <v>705</v>
      </c>
      <c r="I87" s="27">
        <v>-2096</v>
      </c>
      <c r="J87" s="28">
        <f t="shared" si="2"/>
        <v>2801</v>
      </c>
      <c r="K87" s="22">
        <f t="shared" si="8"/>
        <v>743</v>
      </c>
      <c r="L87" s="22">
        <f t="shared" si="9"/>
        <v>67</v>
      </c>
      <c r="M87" s="28">
        <f t="shared" si="10"/>
        <v>959</v>
      </c>
      <c r="N87" s="24">
        <v>-1888</v>
      </c>
      <c r="O87" s="28">
        <f t="shared" si="3"/>
        <v>2847</v>
      </c>
      <c r="P87" s="22">
        <f t="shared" si="11"/>
        <v>538</v>
      </c>
      <c r="Q87" s="36"/>
      <c r="R87" s="30"/>
    </row>
    <row r="88" spans="1:18" x14ac:dyDescent="0.25">
      <c r="A88" s="21">
        <v>45857</v>
      </c>
      <c r="B88" s="22">
        <v>11</v>
      </c>
      <c r="C88" s="28">
        <f t="shared" si="4"/>
        <v>800</v>
      </c>
      <c r="D88" s="24">
        <v>-1765</v>
      </c>
      <c r="E88" s="25">
        <f t="shared" si="1"/>
        <v>2565</v>
      </c>
      <c r="F88" s="22">
        <f t="shared" si="5"/>
        <v>702</v>
      </c>
      <c r="G88" s="22">
        <f t="shared" si="6"/>
        <v>68</v>
      </c>
      <c r="H88" s="28">
        <f t="shared" si="7"/>
        <v>697</v>
      </c>
      <c r="I88" s="27">
        <v>-2104</v>
      </c>
      <c r="J88" s="28">
        <f t="shared" si="2"/>
        <v>2801</v>
      </c>
      <c r="K88" s="22">
        <f t="shared" si="8"/>
        <v>751</v>
      </c>
      <c r="L88" s="22">
        <f t="shared" si="9"/>
        <v>68</v>
      </c>
      <c r="M88" s="28">
        <f t="shared" si="10"/>
        <v>950</v>
      </c>
      <c r="N88" s="24">
        <v>-1897</v>
      </c>
      <c r="O88" s="28">
        <f t="shared" si="3"/>
        <v>2847</v>
      </c>
      <c r="P88" s="22">
        <f t="shared" si="11"/>
        <v>547</v>
      </c>
      <c r="Q88" s="36"/>
      <c r="R88" s="30"/>
    </row>
    <row r="89" spans="1:18" x14ac:dyDescent="0.25">
      <c r="A89" s="21">
        <v>45858</v>
      </c>
      <c r="B89" s="22">
        <v>11</v>
      </c>
      <c r="C89" s="28">
        <f t="shared" si="4"/>
        <v>794</v>
      </c>
      <c r="D89" s="24">
        <v>-1771</v>
      </c>
      <c r="E89" s="25">
        <f t="shared" si="1"/>
        <v>2565</v>
      </c>
      <c r="F89" s="22">
        <f t="shared" si="5"/>
        <v>708</v>
      </c>
      <c r="G89" s="22">
        <f t="shared" si="6"/>
        <v>69</v>
      </c>
      <c r="H89" s="28">
        <f t="shared" si="7"/>
        <v>689</v>
      </c>
      <c r="I89" s="27">
        <v>-2112</v>
      </c>
      <c r="J89" s="28">
        <f t="shared" si="2"/>
        <v>2801</v>
      </c>
      <c r="K89" s="22">
        <f t="shared" si="8"/>
        <v>759</v>
      </c>
      <c r="L89" s="22">
        <f t="shared" si="9"/>
        <v>69</v>
      </c>
      <c r="M89" s="28">
        <f t="shared" si="10"/>
        <v>941</v>
      </c>
      <c r="N89" s="24">
        <v>-1906</v>
      </c>
      <c r="O89" s="28">
        <f t="shared" si="3"/>
        <v>2847</v>
      </c>
      <c r="P89" s="22">
        <f t="shared" si="11"/>
        <v>556</v>
      </c>
      <c r="Q89" s="36"/>
      <c r="R89" s="30"/>
    </row>
    <row r="90" spans="1:18" x14ac:dyDescent="0.25">
      <c r="A90" s="21">
        <v>45859</v>
      </c>
      <c r="B90" s="22">
        <v>11</v>
      </c>
      <c r="C90" s="28">
        <f t="shared" si="4"/>
        <v>788</v>
      </c>
      <c r="D90" s="24">
        <v>-1777</v>
      </c>
      <c r="E90" s="25">
        <f t="shared" si="1"/>
        <v>2565</v>
      </c>
      <c r="F90" s="22">
        <f t="shared" si="5"/>
        <v>714</v>
      </c>
      <c r="G90" s="22">
        <f t="shared" si="6"/>
        <v>70</v>
      </c>
      <c r="H90" s="28">
        <f t="shared" si="7"/>
        <v>681</v>
      </c>
      <c r="I90" s="27">
        <v>-2120</v>
      </c>
      <c r="J90" s="28">
        <f t="shared" si="2"/>
        <v>2801</v>
      </c>
      <c r="K90" s="22">
        <f t="shared" si="8"/>
        <v>767</v>
      </c>
      <c r="L90" s="22">
        <f t="shared" si="9"/>
        <v>70</v>
      </c>
      <c r="M90" s="28">
        <f t="shared" si="10"/>
        <v>932</v>
      </c>
      <c r="N90" s="24">
        <v>-1915</v>
      </c>
      <c r="O90" s="28">
        <f t="shared" si="3"/>
        <v>2847</v>
      </c>
      <c r="P90" s="22">
        <f t="shared" si="11"/>
        <v>565</v>
      </c>
      <c r="Q90" s="36"/>
      <c r="R90" s="30"/>
    </row>
    <row r="91" spans="1:18" x14ac:dyDescent="0.25">
      <c r="A91" s="21">
        <v>45860</v>
      </c>
      <c r="B91" s="22">
        <v>11</v>
      </c>
      <c r="C91" s="28">
        <f t="shared" si="4"/>
        <v>782</v>
      </c>
      <c r="D91" s="24">
        <v>-1783</v>
      </c>
      <c r="E91" s="25">
        <f t="shared" si="1"/>
        <v>2565</v>
      </c>
      <c r="F91" s="22">
        <f t="shared" si="5"/>
        <v>720</v>
      </c>
      <c r="G91" s="22">
        <f t="shared" si="6"/>
        <v>71</v>
      </c>
      <c r="H91" s="28">
        <f t="shared" si="7"/>
        <v>673</v>
      </c>
      <c r="I91" s="27">
        <v>-2128</v>
      </c>
      <c r="J91" s="28">
        <f t="shared" si="2"/>
        <v>2801</v>
      </c>
      <c r="K91" s="22">
        <f t="shared" si="8"/>
        <v>775</v>
      </c>
      <c r="L91" s="22">
        <f t="shared" si="9"/>
        <v>71</v>
      </c>
      <c r="M91" s="28">
        <f t="shared" si="10"/>
        <v>923</v>
      </c>
      <c r="N91" s="24">
        <v>-1924</v>
      </c>
      <c r="O91" s="28">
        <f t="shared" si="3"/>
        <v>2847</v>
      </c>
      <c r="P91" s="22">
        <f t="shared" si="11"/>
        <v>574</v>
      </c>
      <c r="Q91" s="36"/>
      <c r="R91" s="30"/>
    </row>
    <row r="92" spans="1:18" x14ac:dyDescent="0.25">
      <c r="A92" s="21">
        <v>45861</v>
      </c>
      <c r="B92" s="22">
        <v>11</v>
      </c>
      <c r="C92" s="28">
        <f t="shared" si="4"/>
        <v>776</v>
      </c>
      <c r="D92" s="24">
        <v>-1789</v>
      </c>
      <c r="E92" s="25">
        <f t="shared" si="1"/>
        <v>2565</v>
      </c>
      <c r="F92" s="22">
        <f t="shared" si="5"/>
        <v>726</v>
      </c>
      <c r="G92" s="22">
        <f t="shared" si="6"/>
        <v>72</v>
      </c>
      <c r="H92" s="28">
        <f t="shared" si="7"/>
        <v>665</v>
      </c>
      <c r="I92" s="27">
        <v>-2136</v>
      </c>
      <c r="J92" s="28">
        <f t="shared" si="2"/>
        <v>2801</v>
      </c>
      <c r="K92" s="22">
        <f t="shared" si="8"/>
        <v>783</v>
      </c>
      <c r="L92" s="22">
        <f t="shared" si="9"/>
        <v>72</v>
      </c>
      <c r="M92" s="28">
        <f t="shared" si="10"/>
        <v>914</v>
      </c>
      <c r="N92" s="24">
        <v>-1933</v>
      </c>
      <c r="O92" s="28">
        <f t="shared" si="3"/>
        <v>2847</v>
      </c>
      <c r="P92" s="22">
        <f t="shared" si="11"/>
        <v>583</v>
      </c>
      <c r="Q92" s="36"/>
      <c r="R92" s="30"/>
    </row>
    <row r="93" spans="1:18" x14ac:dyDescent="0.25">
      <c r="A93" s="21">
        <v>45862</v>
      </c>
      <c r="B93" s="22">
        <v>11</v>
      </c>
      <c r="C93" s="28">
        <f t="shared" si="4"/>
        <v>770</v>
      </c>
      <c r="D93" s="24">
        <v>-1795</v>
      </c>
      <c r="E93" s="25">
        <f t="shared" si="1"/>
        <v>2565</v>
      </c>
      <c r="F93" s="22">
        <f t="shared" si="5"/>
        <v>732</v>
      </c>
      <c r="G93" s="22">
        <f t="shared" si="6"/>
        <v>73</v>
      </c>
      <c r="H93" s="28">
        <f t="shared" si="7"/>
        <v>657</v>
      </c>
      <c r="I93" s="27">
        <v>-2144</v>
      </c>
      <c r="J93" s="28">
        <f t="shared" si="2"/>
        <v>2801</v>
      </c>
      <c r="K93" s="22">
        <f t="shared" si="8"/>
        <v>791</v>
      </c>
      <c r="L93" s="22">
        <f t="shared" si="9"/>
        <v>73</v>
      </c>
      <c r="M93" s="28">
        <f t="shared" si="10"/>
        <v>905</v>
      </c>
      <c r="N93" s="24">
        <v>-1942</v>
      </c>
      <c r="O93" s="28">
        <f t="shared" si="3"/>
        <v>2847</v>
      </c>
      <c r="P93" s="22">
        <f t="shared" si="11"/>
        <v>592</v>
      </c>
      <c r="Q93" s="36"/>
      <c r="R93" s="30"/>
    </row>
    <row r="94" spans="1:18" x14ac:dyDescent="0.25">
      <c r="A94" s="21">
        <v>45863</v>
      </c>
      <c r="B94" s="22">
        <v>11</v>
      </c>
      <c r="C94" s="28">
        <f t="shared" si="4"/>
        <v>764</v>
      </c>
      <c r="D94" s="24">
        <v>-1801</v>
      </c>
      <c r="E94" s="25">
        <f t="shared" si="1"/>
        <v>2565</v>
      </c>
      <c r="F94" s="22">
        <f t="shared" si="5"/>
        <v>738</v>
      </c>
      <c r="G94" s="22">
        <f t="shared" si="6"/>
        <v>74</v>
      </c>
      <c r="H94" s="28">
        <f t="shared" si="7"/>
        <v>649</v>
      </c>
      <c r="I94" s="27">
        <v>-2152</v>
      </c>
      <c r="J94" s="28">
        <f t="shared" si="2"/>
        <v>2801</v>
      </c>
      <c r="K94" s="22">
        <f t="shared" si="8"/>
        <v>799</v>
      </c>
      <c r="L94" s="22">
        <f t="shared" si="9"/>
        <v>74</v>
      </c>
      <c r="M94" s="28">
        <f t="shared" si="10"/>
        <v>896</v>
      </c>
      <c r="N94" s="24">
        <v>-1951</v>
      </c>
      <c r="O94" s="28">
        <f t="shared" si="3"/>
        <v>2847</v>
      </c>
      <c r="P94" s="22">
        <f t="shared" si="11"/>
        <v>601</v>
      </c>
      <c r="Q94" s="36"/>
      <c r="R94" s="30"/>
    </row>
    <row r="95" spans="1:18" x14ac:dyDescent="0.25">
      <c r="A95" s="21">
        <v>45864</v>
      </c>
      <c r="B95" s="22">
        <v>11</v>
      </c>
      <c r="C95" s="28">
        <f t="shared" si="4"/>
        <v>758</v>
      </c>
      <c r="D95" s="24">
        <v>-1807</v>
      </c>
      <c r="E95" s="25">
        <f t="shared" si="1"/>
        <v>2565</v>
      </c>
      <c r="F95" s="22">
        <f t="shared" si="5"/>
        <v>744</v>
      </c>
      <c r="G95" s="22">
        <f t="shared" si="6"/>
        <v>75</v>
      </c>
      <c r="H95" s="28">
        <f t="shared" si="7"/>
        <v>641</v>
      </c>
      <c r="I95" s="27">
        <v>-2160</v>
      </c>
      <c r="J95" s="28">
        <f t="shared" si="2"/>
        <v>2801</v>
      </c>
      <c r="K95" s="22">
        <f t="shared" si="8"/>
        <v>807</v>
      </c>
      <c r="L95" s="22">
        <f t="shared" si="9"/>
        <v>75</v>
      </c>
      <c r="M95" s="28">
        <f t="shared" si="10"/>
        <v>887</v>
      </c>
      <c r="N95" s="24">
        <v>-1960</v>
      </c>
      <c r="O95" s="28">
        <f t="shared" si="3"/>
        <v>2847</v>
      </c>
      <c r="P95" s="22">
        <f t="shared" si="11"/>
        <v>610</v>
      </c>
      <c r="Q95" s="36"/>
      <c r="R95" s="30"/>
    </row>
    <row r="96" spans="1:18" x14ac:dyDescent="0.25">
      <c r="A96" s="21">
        <v>45865</v>
      </c>
      <c r="B96" s="22">
        <v>11</v>
      </c>
      <c r="C96" s="25">
        <v>1527</v>
      </c>
      <c r="D96" s="24">
        <v>-1813</v>
      </c>
      <c r="E96" s="25">
        <f t="shared" si="1"/>
        <v>3340</v>
      </c>
      <c r="F96" s="22">
        <f t="shared" si="5"/>
        <v>750</v>
      </c>
      <c r="G96" s="22">
        <f t="shared" si="6"/>
        <v>76</v>
      </c>
      <c r="H96" s="25">
        <v>1689</v>
      </c>
      <c r="I96" s="27">
        <v>-2168</v>
      </c>
      <c r="J96" s="28">
        <f t="shared" si="2"/>
        <v>3857</v>
      </c>
      <c r="K96" s="22">
        <f t="shared" si="8"/>
        <v>815</v>
      </c>
      <c r="L96" s="22">
        <f t="shared" si="9"/>
        <v>76</v>
      </c>
      <c r="M96" s="25">
        <v>1557</v>
      </c>
      <c r="N96" s="24">
        <v>-1969</v>
      </c>
      <c r="O96" s="28">
        <f t="shared" si="3"/>
        <v>3526</v>
      </c>
      <c r="P96" s="22">
        <f t="shared" si="11"/>
        <v>619</v>
      </c>
      <c r="Q96" s="36"/>
      <c r="R96" s="30"/>
    </row>
    <row r="97" spans="1:18" ht="12.75" x14ac:dyDescent="0.2">
      <c r="A97" s="37"/>
      <c r="B97" s="22"/>
      <c r="C97" s="38"/>
      <c r="D97" s="39"/>
      <c r="E97" s="40"/>
      <c r="F97" s="22"/>
      <c r="G97" s="22">
        <f t="shared" ref="G97:G100" si="12">B97</f>
        <v>0</v>
      </c>
      <c r="H97" s="40"/>
      <c r="I97" s="39"/>
      <c r="J97" s="28"/>
      <c r="K97" s="22"/>
      <c r="L97" s="22">
        <f t="shared" ref="L97:L100" si="13">B97</f>
        <v>0</v>
      </c>
      <c r="M97" s="38"/>
      <c r="N97" s="39"/>
      <c r="O97" s="41"/>
      <c r="P97" s="22"/>
      <c r="Q97" s="36"/>
      <c r="R97" s="30"/>
    </row>
    <row r="98" spans="1:18" ht="12.75" x14ac:dyDescent="0.2">
      <c r="A98" s="37"/>
      <c r="B98" s="22"/>
      <c r="C98" s="38"/>
      <c r="D98" s="39"/>
      <c r="E98" s="40"/>
      <c r="F98" s="22"/>
      <c r="G98" s="22">
        <f t="shared" si="12"/>
        <v>0</v>
      </c>
      <c r="H98" s="40"/>
      <c r="I98" s="39"/>
      <c r="J98" s="28"/>
      <c r="K98" s="22"/>
      <c r="L98" s="22">
        <f t="shared" si="13"/>
        <v>0</v>
      </c>
      <c r="M98" s="38"/>
      <c r="N98" s="39"/>
      <c r="O98" s="41"/>
      <c r="P98" s="22"/>
      <c r="Q98" s="36"/>
      <c r="R98" s="30"/>
    </row>
    <row r="99" spans="1:18" ht="12.75" x14ac:dyDescent="0.2">
      <c r="A99" s="37"/>
      <c r="B99" s="22"/>
      <c r="C99" s="38"/>
      <c r="D99" s="39"/>
      <c r="E99" s="40"/>
      <c r="F99" s="22"/>
      <c r="G99" s="22">
        <f t="shared" si="12"/>
        <v>0</v>
      </c>
      <c r="H99" s="40"/>
      <c r="I99" s="39"/>
      <c r="J99" s="28"/>
      <c r="K99" s="22"/>
      <c r="L99" s="22">
        <f t="shared" si="13"/>
        <v>0</v>
      </c>
      <c r="M99" s="38"/>
      <c r="N99" s="39"/>
      <c r="O99" s="41"/>
      <c r="P99" s="22"/>
      <c r="Q99" s="36"/>
      <c r="R99" s="30"/>
    </row>
    <row r="100" spans="1:18" ht="12.75" x14ac:dyDescent="0.2">
      <c r="A100" s="37"/>
      <c r="B100" s="22"/>
      <c r="C100" s="38"/>
      <c r="D100" s="39"/>
      <c r="E100" s="40"/>
      <c r="F100" s="22"/>
      <c r="G100" s="22">
        <f t="shared" si="12"/>
        <v>0</v>
      </c>
      <c r="H100" s="40"/>
      <c r="I100" s="39"/>
      <c r="J100" s="40"/>
      <c r="K100" s="22"/>
      <c r="L100" s="22">
        <f t="shared" si="13"/>
        <v>0</v>
      </c>
      <c r="M100" s="38"/>
      <c r="N100" s="39"/>
      <c r="O100" s="41"/>
      <c r="P100" s="22"/>
      <c r="Q100" s="36"/>
      <c r="R100" s="30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00">
    <cfRule type="cellIs" dxfId="17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outlinePr summaryBelow="0" summaryRight="0"/>
  </sheetPr>
  <dimension ref="A1:U100"/>
  <sheetViews>
    <sheetView topLeftCell="A82" workbookViewId="0">
      <selection activeCell="A101" sqref="A101:XFD107"/>
    </sheetView>
  </sheetViews>
  <sheetFormatPr defaultColWidth="14.42578125" defaultRowHeight="15" customHeight="1" x14ac:dyDescent="0.2"/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(13/05/25)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77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78</v>
      </c>
      <c r="R16" s="112" t="s">
        <v>79</v>
      </c>
    </row>
    <row r="17" spans="1:21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21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21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21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21" x14ac:dyDescent="0.25">
      <c r="A21" s="21">
        <v>45790</v>
      </c>
      <c r="B21" s="22">
        <v>1</v>
      </c>
      <c r="C21" s="23">
        <v>1557</v>
      </c>
      <c r="D21" s="24">
        <v>-758</v>
      </c>
      <c r="E21" s="25">
        <v>3076</v>
      </c>
      <c r="F21" s="22">
        <v>0</v>
      </c>
      <c r="G21" s="22">
        <v>1</v>
      </c>
      <c r="H21" s="25">
        <v>1382</v>
      </c>
      <c r="I21" s="27">
        <v>-870</v>
      </c>
      <c r="J21" s="28">
        <f t="shared" ref="J21:J96" si="1">H21-I21</f>
        <v>2252</v>
      </c>
      <c r="K21" s="22">
        <v>0</v>
      </c>
      <c r="L21" s="22">
        <v>1</v>
      </c>
      <c r="M21" s="23">
        <v>1532</v>
      </c>
      <c r="N21" s="24">
        <v>-773</v>
      </c>
      <c r="O21" s="28">
        <f t="shared" ref="O21:O96" si="2">M21-N21</f>
        <v>2305</v>
      </c>
      <c r="P21" s="22">
        <v>0</v>
      </c>
      <c r="Q21" s="29"/>
      <c r="R21" s="30"/>
    </row>
    <row r="22" spans="1:21" x14ac:dyDescent="0.25">
      <c r="A22" s="21">
        <v>45791</v>
      </c>
      <c r="B22" s="26">
        <v>2</v>
      </c>
      <c r="C22" s="28">
        <f t="shared" ref="C22:C95" si="3">$C$21-F22</f>
        <v>1515</v>
      </c>
      <c r="D22" s="24">
        <v>-800</v>
      </c>
      <c r="E22" s="25">
        <f t="shared" ref="E22:E23" si="4">C22-D22</f>
        <v>2315</v>
      </c>
      <c r="F22" s="22">
        <f t="shared" ref="F22:F96" si="5">$D$21-D22</f>
        <v>42</v>
      </c>
      <c r="G22" s="22">
        <f t="shared" ref="G22:G96" si="6">G21+1</f>
        <v>2</v>
      </c>
      <c r="H22" s="28">
        <f t="shared" ref="H22:H95" si="7">$H$21-K22</f>
        <v>1352</v>
      </c>
      <c r="I22" s="27">
        <v>-900</v>
      </c>
      <c r="J22" s="28">
        <f t="shared" si="1"/>
        <v>2252</v>
      </c>
      <c r="K22" s="22">
        <f t="shared" ref="K22:K96" si="8">$I$21-I22</f>
        <v>30</v>
      </c>
      <c r="L22" s="22">
        <f t="shared" ref="L22:L96" si="9">L21+1</f>
        <v>2</v>
      </c>
      <c r="M22" s="28">
        <f t="shared" ref="M22:M95" si="10">$M$21-P22</f>
        <v>1509</v>
      </c>
      <c r="N22" s="24">
        <v>-796</v>
      </c>
      <c r="O22" s="28">
        <f t="shared" si="2"/>
        <v>2305</v>
      </c>
      <c r="P22" s="22">
        <f t="shared" ref="P22:P96" si="11">$N$21-N22</f>
        <v>23</v>
      </c>
      <c r="Q22" s="29"/>
      <c r="R22" s="30"/>
      <c r="U22" s="50">
        <v>-500</v>
      </c>
    </row>
    <row r="23" spans="1:21" x14ac:dyDescent="0.25">
      <c r="A23" s="21">
        <v>45792</v>
      </c>
      <c r="B23" s="22">
        <v>3</v>
      </c>
      <c r="C23" s="28">
        <f t="shared" si="3"/>
        <v>1485</v>
      </c>
      <c r="D23" s="24">
        <v>-830</v>
      </c>
      <c r="E23" s="25">
        <f t="shared" si="4"/>
        <v>2315</v>
      </c>
      <c r="F23" s="22">
        <f t="shared" si="5"/>
        <v>72</v>
      </c>
      <c r="G23" s="22">
        <f t="shared" si="6"/>
        <v>3</v>
      </c>
      <c r="H23" s="28">
        <f t="shared" si="7"/>
        <v>1319</v>
      </c>
      <c r="I23" s="27">
        <v>-933</v>
      </c>
      <c r="J23" s="28">
        <f t="shared" si="1"/>
        <v>2252</v>
      </c>
      <c r="K23" s="22">
        <f t="shared" si="8"/>
        <v>63</v>
      </c>
      <c r="L23" s="22">
        <f t="shared" si="9"/>
        <v>3</v>
      </c>
      <c r="M23" s="28">
        <f t="shared" si="10"/>
        <v>1486</v>
      </c>
      <c r="N23" s="24">
        <v>-819</v>
      </c>
      <c r="O23" s="28">
        <f t="shared" si="2"/>
        <v>2305</v>
      </c>
      <c r="P23" s="22">
        <f t="shared" si="11"/>
        <v>46</v>
      </c>
      <c r="Q23" s="29"/>
      <c r="R23" s="30"/>
    </row>
    <row r="24" spans="1:21" x14ac:dyDescent="0.25">
      <c r="A24" s="21">
        <v>45793</v>
      </c>
      <c r="B24" s="26">
        <v>4</v>
      </c>
      <c r="C24" s="28">
        <f t="shared" si="3"/>
        <v>1455</v>
      </c>
      <c r="D24" s="24">
        <v>-860</v>
      </c>
      <c r="E24" s="25">
        <v>3076</v>
      </c>
      <c r="F24" s="22">
        <f t="shared" si="5"/>
        <v>102</v>
      </c>
      <c r="G24" s="22">
        <f t="shared" si="6"/>
        <v>4</v>
      </c>
      <c r="H24" s="28">
        <f t="shared" si="7"/>
        <v>1287</v>
      </c>
      <c r="I24" s="27">
        <v>-965</v>
      </c>
      <c r="J24" s="28">
        <f t="shared" si="1"/>
        <v>2252</v>
      </c>
      <c r="K24" s="22">
        <f t="shared" si="8"/>
        <v>95</v>
      </c>
      <c r="L24" s="22">
        <f t="shared" si="9"/>
        <v>4</v>
      </c>
      <c r="M24" s="28">
        <f t="shared" si="10"/>
        <v>1463</v>
      </c>
      <c r="N24" s="24">
        <v>-842</v>
      </c>
      <c r="O24" s="28">
        <f t="shared" si="2"/>
        <v>2305</v>
      </c>
      <c r="P24" s="22">
        <f t="shared" si="11"/>
        <v>69</v>
      </c>
      <c r="Q24" s="29"/>
      <c r="R24" s="30"/>
    </row>
    <row r="25" spans="1:21" x14ac:dyDescent="0.25">
      <c r="A25" s="21">
        <v>45794</v>
      </c>
      <c r="B25" s="22">
        <v>5</v>
      </c>
      <c r="C25" s="28">
        <f t="shared" si="3"/>
        <v>1433</v>
      </c>
      <c r="D25" s="24">
        <v>-882</v>
      </c>
      <c r="E25" s="25">
        <v>3076</v>
      </c>
      <c r="F25" s="22">
        <f t="shared" si="5"/>
        <v>124</v>
      </c>
      <c r="G25" s="22">
        <f t="shared" si="6"/>
        <v>5</v>
      </c>
      <c r="H25" s="28">
        <f t="shared" si="7"/>
        <v>1287</v>
      </c>
      <c r="I25" s="27">
        <v>-965</v>
      </c>
      <c r="J25" s="28">
        <f t="shared" si="1"/>
        <v>2252</v>
      </c>
      <c r="K25" s="22">
        <f t="shared" si="8"/>
        <v>95</v>
      </c>
      <c r="L25" s="22">
        <f t="shared" si="9"/>
        <v>5</v>
      </c>
      <c r="M25" s="28">
        <f t="shared" si="10"/>
        <v>1440</v>
      </c>
      <c r="N25" s="24">
        <v>-865</v>
      </c>
      <c r="O25" s="28">
        <f t="shared" si="2"/>
        <v>2305</v>
      </c>
      <c r="P25" s="22">
        <f t="shared" si="11"/>
        <v>92</v>
      </c>
      <c r="Q25" s="29"/>
      <c r="R25" s="30"/>
    </row>
    <row r="26" spans="1:21" x14ac:dyDescent="0.25">
      <c r="A26" s="21">
        <v>45795</v>
      </c>
      <c r="B26" s="26">
        <v>6</v>
      </c>
      <c r="C26" s="28">
        <f t="shared" si="3"/>
        <v>1409</v>
      </c>
      <c r="D26" s="24">
        <v>-906</v>
      </c>
      <c r="E26" s="25">
        <v>3076</v>
      </c>
      <c r="F26" s="22">
        <f t="shared" si="5"/>
        <v>148</v>
      </c>
      <c r="G26" s="22">
        <f t="shared" si="6"/>
        <v>6</v>
      </c>
      <c r="H26" s="28">
        <f t="shared" si="7"/>
        <v>1287</v>
      </c>
      <c r="I26" s="27">
        <v>-965</v>
      </c>
      <c r="J26" s="28">
        <f t="shared" si="1"/>
        <v>2252</v>
      </c>
      <c r="K26" s="22">
        <f t="shared" si="8"/>
        <v>95</v>
      </c>
      <c r="L26" s="22">
        <f t="shared" si="9"/>
        <v>6</v>
      </c>
      <c r="M26" s="28">
        <f t="shared" si="10"/>
        <v>1417</v>
      </c>
      <c r="N26" s="24">
        <v>-888</v>
      </c>
      <c r="O26" s="28">
        <f t="shared" si="2"/>
        <v>2305</v>
      </c>
      <c r="P26" s="22">
        <f t="shared" si="11"/>
        <v>115</v>
      </c>
      <c r="Q26" s="29"/>
      <c r="R26" s="30"/>
    </row>
    <row r="27" spans="1:21" x14ac:dyDescent="0.25">
      <c r="A27" s="21">
        <v>45796</v>
      </c>
      <c r="B27" s="22">
        <v>7</v>
      </c>
      <c r="C27" s="28">
        <f t="shared" si="3"/>
        <v>1387</v>
      </c>
      <c r="D27" s="24">
        <v>-928</v>
      </c>
      <c r="E27" s="25">
        <v>3076</v>
      </c>
      <c r="F27" s="22">
        <f t="shared" si="5"/>
        <v>170</v>
      </c>
      <c r="G27" s="22">
        <f t="shared" si="6"/>
        <v>7</v>
      </c>
      <c r="H27" s="28">
        <f t="shared" si="7"/>
        <v>1202</v>
      </c>
      <c r="I27" s="27">
        <v>-1050</v>
      </c>
      <c r="J27" s="28">
        <f t="shared" si="1"/>
        <v>2252</v>
      </c>
      <c r="K27" s="22">
        <f t="shared" si="8"/>
        <v>180</v>
      </c>
      <c r="L27" s="22">
        <f t="shared" si="9"/>
        <v>7</v>
      </c>
      <c r="M27" s="28">
        <f t="shared" si="10"/>
        <v>1394</v>
      </c>
      <c r="N27" s="24">
        <v>-911</v>
      </c>
      <c r="O27" s="28">
        <f t="shared" si="2"/>
        <v>2305</v>
      </c>
      <c r="P27" s="22">
        <f t="shared" si="11"/>
        <v>138</v>
      </c>
      <c r="Q27" s="29"/>
      <c r="R27" s="30"/>
    </row>
    <row r="28" spans="1:21" x14ac:dyDescent="0.25">
      <c r="A28" s="21">
        <v>45797</v>
      </c>
      <c r="B28" s="26">
        <v>8</v>
      </c>
      <c r="C28" s="28">
        <f t="shared" si="3"/>
        <v>1375</v>
      </c>
      <c r="D28" s="24">
        <v>-940</v>
      </c>
      <c r="E28" s="25">
        <v>3076</v>
      </c>
      <c r="F28" s="22">
        <f t="shared" si="5"/>
        <v>182</v>
      </c>
      <c r="G28" s="22">
        <f t="shared" si="6"/>
        <v>8</v>
      </c>
      <c r="H28" s="28">
        <f t="shared" si="7"/>
        <v>1189</v>
      </c>
      <c r="I28" s="27">
        <v>-1063</v>
      </c>
      <c r="J28" s="28">
        <f t="shared" si="1"/>
        <v>2252</v>
      </c>
      <c r="K28" s="22">
        <f t="shared" si="8"/>
        <v>193</v>
      </c>
      <c r="L28" s="22">
        <f t="shared" si="9"/>
        <v>8</v>
      </c>
      <c r="M28" s="28">
        <f t="shared" si="10"/>
        <v>1371</v>
      </c>
      <c r="N28" s="24">
        <v>-934</v>
      </c>
      <c r="O28" s="28">
        <f t="shared" si="2"/>
        <v>2305</v>
      </c>
      <c r="P28" s="22">
        <f t="shared" si="11"/>
        <v>161</v>
      </c>
      <c r="Q28" s="29"/>
      <c r="R28" s="30"/>
    </row>
    <row r="29" spans="1:21" x14ac:dyDescent="0.25">
      <c r="A29" s="21">
        <v>45798</v>
      </c>
      <c r="B29" s="22">
        <v>9</v>
      </c>
      <c r="C29" s="28">
        <f t="shared" si="3"/>
        <v>1363</v>
      </c>
      <c r="D29" s="24">
        <v>-952</v>
      </c>
      <c r="E29" s="25">
        <v>3076</v>
      </c>
      <c r="F29" s="22">
        <f t="shared" si="5"/>
        <v>194</v>
      </c>
      <c r="G29" s="22">
        <f t="shared" si="6"/>
        <v>9</v>
      </c>
      <c r="H29" s="28">
        <f t="shared" si="7"/>
        <v>1176</v>
      </c>
      <c r="I29" s="27">
        <v>-1076</v>
      </c>
      <c r="J29" s="28">
        <f t="shared" si="1"/>
        <v>2252</v>
      </c>
      <c r="K29" s="22">
        <f t="shared" si="8"/>
        <v>206</v>
      </c>
      <c r="L29" s="22">
        <f t="shared" si="9"/>
        <v>9</v>
      </c>
      <c r="M29" s="28">
        <f t="shared" si="10"/>
        <v>1348</v>
      </c>
      <c r="N29" s="24">
        <v>-957</v>
      </c>
      <c r="O29" s="28">
        <f t="shared" si="2"/>
        <v>2305</v>
      </c>
      <c r="P29" s="22">
        <f t="shared" si="11"/>
        <v>184</v>
      </c>
      <c r="Q29" s="29"/>
      <c r="R29" s="30"/>
    </row>
    <row r="30" spans="1:21" x14ac:dyDescent="0.25">
      <c r="A30" s="21">
        <v>45799</v>
      </c>
      <c r="B30" s="26">
        <v>10</v>
      </c>
      <c r="C30" s="28">
        <f t="shared" si="3"/>
        <v>1351</v>
      </c>
      <c r="D30" s="24">
        <v>-964</v>
      </c>
      <c r="E30" s="25">
        <v>3076</v>
      </c>
      <c r="F30" s="22">
        <f t="shared" si="5"/>
        <v>206</v>
      </c>
      <c r="G30" s="22">
        <f t="shared" si="6"/>
        <v>10</v>
      </c>
      <c r="H30" s="28">
        <f t="shared" si="7"/>
        <v>1163</v>
      </c>
      <c r="I30" s="27">
        <v>-1089</v>
      </c>
      <c r="J30" s="28">
        <f t="shared" si="1"/>
        <v>2252</v>
      </c>
      <c r="K30" s="22">
        <f t="shared" si="8"/>
        <v>219</v>
      </c>
      <c r="L30" s="22">
        <f t="shared" si="9"/>
        <v>10</v>
      </c>
      <c r="M30" s="28">
        <f t="shared" si="10"/>
        <v>1325</v>
      </c>
      <c r="N30" s="24">
        <v>-980</v>
      </c>
      <c r="O30" s="28">
        <f t="shared" si="2"/>
        <v>2305</v>
      </c>
      <c r="P30" s="22">
        <f t="shared" si="11"/>
        <v>207</v>
      </c>
      <c r="Q30" s="29"/>
      <c r="R30" s="30"/>
    </row>
    <row r="31" spans="1:21" x14ac:dyDescent="0.25">
      <c r="A31" s="21">
        <v>45800</v>
      </c>
      <c r="B31" s="22">
        <v>11</v>
      </c>
      <c r="C31" s="28">
        <f t="shared" si="3"/>
        <v>1339</v>
      </c>
      <c r="D31" s="24">
        <v>-976</v>
      </c>
      <c r="E31" s="25">
        <v>3076</v>
      </c>
      <c r="F31" s="22">
        <f t="shared" si="5"/>
        <v>218</v>
      </c>
      <c r="G31" s="22">
        <f t="shared" si="6"/>
        <v>11</v>
      </c>
      <c r="H31" s="28">
        <f t="shared" si="7"/>
        <v>1150</v>
      </c>
      <c r="I31" s="27">
        <v>-1102</v>
      </c>
      <c r="J31" s="28">
        <f t="shared" si="1"/>
        <v>2252</v>
      </c>
      <c r="K31" s="22">
        <f t="shared" si="8"/>
        <v>232</v>
      </c>
      <c r="L31" s="22">
        <f t="shared" si="9"/>
        <v>11</v>
      </c>
      <c r="M31" s="28">
        <f t="shared" si="10"/>
        <v>1300</v>
      </c>
      <c r="N31" s="24">
        <v>-1005</v>
      </c>
      <c r="O31" s="28">
        <f t="shared" si="2"/>
        <v>2305</v>
      </c>
      <c r="P31" s="22">
        <f t="shared" si="11"/>
        <v>232</v>
      </c>
      <c r="Q31" s="29"/>
      <c r="R31" s="30"/>
    </row>
    <row r="32" spans="1:21" x14ac:dyDescent="0.25">
      <c r="A32" s="21">
        <v>45801</v>
      </c>
      <c r="B32" s="22">
        <v>11</v>
      </c>
      <c r="C32" s="28">
        <f t="shared" si="3"/>
        <v>1327</v>
      </c>
      <c r="D32" s="24">
        <v>-988</v>
      </c>
      <c r="E32" s="25">
        <v>3076</v>
      </c>
      <c r="F32" s="22">
        <f t="shared" si="5"/>
        <v>230</v>
      </c>
      <c r="G32" s="22">
        <f t="shared" si="6"/>
        <v>12</v>
      </c>
      <c r="H32" s="28">
        <f t="shared" si="7"/>
        <v>1137</v>
      </c>
      <c r="I32" s="27">
        <v>-1115</v>
      </c>
      <c r="J32" s="28">
        <f t="shared" si="1"/>
        <v>2252</v>
      </c>
      <c r="K32" s="22">
        <f t="shared" si="8"/>
        <v>245</v>
      </c>
      <c r="L32" s="22">
        <f t="shared" si="9"/>
        <v>12</v>
      </c>
      <c r="M32" s="28">
        <f t="shared" si="10"/>
        <v>1285</v>
      </c>
      <c r="N32" s="24">
        <v>-1020</v>
      </c>
      <c r="O32" s="28">
        <f t="shared" si="2"/>
        <v>2305</v>
      </c>
      <c r="P32" s="22">
        <f t="shared" si="11"/>
        <v>247</v>
      </c>
      <c r="Q32" s="29"/>
      <c r="R32" s="30"/>
    </row>
    <row r="33" spans="1:18" x14ac:dyDescent="0.25">
      <c r="A33" s="21">
        <v>45802</v>
      </c>
      <c r="B33" s="22">
        <v>11</v>
      </c>
      <c r="C33" s="28">
        <f t="shared" si="3"/>
        <v>1315</v>
      </c>
      <c r="D33" s="24">
        <v>-1000</v>
      </c>
      <c r="E33" s="25">
        <v>3076</v>
      </c>
      <c r="F33" s="22">
        <f t="shared" si="5"/>
        <v>242</v>
      </c>
      <c r="G33" s="22">
        <f t="shared" si="6"/>
        <v>13</v>
      </c>
      <c r="H33" s="28">
        <f t="shared" si="7"/>
        <v>1124</v>
      </c>
      <c r="I33" s="27">
        <v>-1128</v>
      </c>
      <c r="J33" s="28">
        <f t="shared" si="1"/>
        <v>2252</v>
      </c>
      <c r="K33" s="22">
        <f t="shared" si="8"/>
        <v>258</v>
      </c>
      <c r="L33" s="22">
        <f t="shared" si="9"/>
        <v>13</v>
      </c>
      <c r="M33" s="28">
        <f t="shared" si="10"/>
        <v>1285</v>
      </c>
      <c r="N33" s="24">
        <v>-1020</v>
      </c>
      <c r="O33" s="28">
        <f t="shared" si="2"/>
        <v>2305</v>
      </c>
      <c r="P33" s="22">
        <f t="shared" si="11"/>
        <v>247</v>
      </c>
      <c r="Q33" s="29"/>
      <c r="R33" s="30"/>
    </row>
    <row r="34" spans="1:18" x14ac:dyDescent="0.25">
      <c r="A34" s="21">
        <v>45803</v>
      </c>
      <c r="B34" s="22">
        <v>11</v>
      </c>
      <c r="C34" s="28">
        <f t="shared" si="3"/>
        <v>1305</v>
      </c>
      <c r="D34" s="24">
        <v>-1010</v>
      </c>
      <c r="E34" s="25">
        <v>3076</v>
      </c>
      <c r="F34" s="22">
        <f t="shared" si="5"/>
        <v>252</v>
      </c>
      <c r="G34" s="22">
        <f t="shared" si="6"/>
        <v>14</v>
      </c>
      <c r="H34" s="28">
        <f t="shared" si="7"/>
        <v>1111</v>
      </c>
      <c r="I34" s="27">
        <v>-1141</v>
      </c>
      <c r="J34" s="28">
        <f t="shared" si="1"/>
        <v>2252</v>
      </c>
      <c r="K34" s="22">
        <f t="shared" si="8"/>
        <v>271</v>
      </c>
      <c r="L34" s="22">
        <f t="shared" si="9"/>
        <v>14</v>
      </c>
      <c r="M34" s="28">
        <f t="shared" si="10"/>
        <v>1285</v>
      </c>
      <c r="N34" s="24">
        <v>-1020</v>
      </c>
      <c r="O34" s="28">
        <f t="shared" si="2"/>
        <v>2305</v>
      </c>
      <c r="P34" s="22">
        <f t="shared" si="11"/>
        <v>247</v>
      </c>
      <c r="Q34" s="29"/>
      <c r="R34" s="30"/>
    </row>
    <row r="35" spans="1:18" x14ac:dyDescent="0.25">
      <c r="A35" s="21">
        <v>45804</v>
      </c>
      <c r="B35" s="22">
        <v>11</v>
      </c>
      <c r="C35" s="28">
        <f t="shared" si="3"/>
        <v>1272</v>
      </c>
      <c r="D35" s="24">
        <v>-1043</v>
      </c>
      <c r="E35" s="25">
        <v>3076</v>
      </c>
      <c r="F35" s="22">
        <f t="shared" si="5"/>
        <v>285</v>
      </c>
      <c r="G35" s="22">
        <f t="shared" si="6"/>
        <v>15</v>
      </c>
      <c r="H35" s="28">
        <f t="shared" si="7"/>
        <v>1102</v>
      </c>
      <c r="I35" s="27">
        <v>-1150</v>
      </c>
      <c r="J35" s="28">
        <f t="shared" si="1"/>
        <v>2252</v>
      </c>
      <c r="K35" s="22">
        <f t="shared" si="8"/>
        <v>280</v>
      </c>
      <c r="L35" s="22">
        <f t="shared" si="9"/>
        <v>15</v>
      </c>
      <c r="M35" s="28">
        <f t="shared" si="10"/>
        <v>1285</v>
      </c>
      <c r="N35" s="24">
        <v>-1020</v>
      </c>
      <c r="O35" s="28">
        <f t="shared" si="2"/>
        <v>2305</v>
      </c>
      <c r="P35" s="22">
        <f t="shared" si="11"/>
        <v>247</v>
      </c>
      <c r="Q35" s="36"/>
      <c r="R35" s="30"/>
    </row>
    <row r="36" spans="1:18" x14ac:dyDescent="0.25">
      <c r="A36" s="21">
        <v>45805</v>
      </c>
      <c r="B36" s="22">
        <v>11</v>
      </c>
      <c r="C36" s="28">
        <f t="shared" si="3"/>
        <v>1267</v>
      </c>
      <c r="D36" s="24">
        <v>-1048</v>
      </c>
      <c r="E36" s="25">
        <v>3076</v>
      </c>
      <c r="F36" s="22">
        <f t="shared" si="5"/>
        <v>290</v>
      </c>
      <c r="G36" s="22">
        <f t="shared" si="6"/>
        <v>16</v>
      </c>
      <c r="H36" s="28">
        <f t="shared" si="7"/>
        <v>1102</v>
      </c>
      <c r="I36" s="27">
        <v>-1150</v>
      </c>
      <c r="J36" s="28">
        <f t="shared" si="1"/>
        <v>2252</v>
      </c>
      <c r="K36" s="22">
        <f t="shared" si="8"/>
        <v>280</v>
      </c>
      <c r="L36" s="22">
        <f t="shared" si="9"/>
        <v>16</v>
      </c>
      <c r="M36" s="28">
        <f t="shared" si="10"/>
        <v>1285</v>
      </c>
      <c r="N36" s="24">
        <v>-1020</v>
      </c>
      <c r="O36" s="28">
        <f t="shared" si="2"/>
        <v>2305</v>
      </c>
      <c r="P36" s="22">
        <f t="shared" si="11"/>
        <v>247</v>
      </c>
      <c r="Q36" s="36"/>
      <c r="R36" s="30"/>
    </row>
    <row r="37" spans="1:18" x14ac:dyDescent="0.25">
      <c r="A37" s="21">
        <v>45806</v>
      </c>
      <c r="B37" s="22">
        <v>11</v>
      </c>
      <c r="C37" s="28">
        <f t="shared" si="3"/>
        <v>1262</v>
      </c>
      <c r="D37" s="24">
        <v>-1053</v>
      </c>
      <c r="E37" s="25">
        <v>3076</v>
      </c>
      <c r="F37" s="22">
        <f t="shared" si="5"/>
        <v>295</v>
      </c>
      <c r="G37" s="22">
        <f t="shared" si="6"/>
        <v>17</v>
      </c>
      <c r="H37" s="28">
        <f t="shared" si="7"/>
        <v>1102</v>
      </c>
      <c r="I37" s="27">
        <v>-1150</v>
      </c>
      <c r="J37" s="28">
        <f t="shared" si="1"/>
        <v>2252</v>
      </c>
      <c r="K37" s="22">
        <f t="shared" si="8"/>
        <v>280</v>
      </c>
      <c r="L37" s="22">
        <f t="shared" si="9"/>
        <v>17</v>
      </c>
      <c r="M37" s="28">
        <f t="shared" si="10"/>
        <v>1285</v>
      </c>
      <c r="N37" s="24">
        <v>-1020</v>
      </c>
      <c r="O37" s="28">
        <f t="shared" si="2"/>
        <v>2305</v>
      </c>
      <c r="P37" s="22">
        <f t="shared" si="11"/>
        <v>247</v>
      </c>
      <c r="Q37" s="36"/>
      <c r="R37" s="30"/>
    </row>
    <row r="38" spans="1:18" x14ac:dyDescent="0.25">
      <c r="A38" s="21">
        <v>45807</v>
      </c>
      <c r="B38" s="22">
        <v>11</v>
      </c>
      <c r="C38" s="28">
        <f t="shared" si="3"/>
        <v>1257</v>
      </c>
      <c r="D38" s="24">
        <v>-1058</v>
      </c>
      <c r="E38" s="25">
        <v>3076</v>
      </c>
      <c r="F38" s="22">
        <f t="shared" si="5"/>
        <v>300</v>
      </c>
      <c r="G38" s="22">
        <f t="shared" si="6"/>
        <v>18</v>
      </c>
      <c r="H38" s="28">
        <f t="shared" si="7"/>
        <v>1102</v>
      </c>
      <c r="I38" s="27">
        <v>-1150</v>
      </c>
      <c r="J38" s="28">
        <f t="shared" si="1"/>
        <v>2252</v>
      </c>
      <c r="K38" s="22">
        <f t="shared" si="8"/>
        <v>280</v>
      </c>
      <c r="L38" s="22">
        <f t="shared" si="9"/>
        <v>18</v>
      </c>
      <c r="M38" s="28">
        <f t="shared" si="10"/>
        <v>1285</v>
      </c>
      <c r="N38" s="24">
        <v>-1020</v>
      </c>
      <c r="O38" s="28">
        <f t="shared" si="2"/>
        <v>2305</v>
      </c>
      <c r="P38" s="22">
        <f t="shared" si="11"/>
        <v>247</v>
      </c>
      <c r="Q38" s="36"/>
      <c r="R38" s="30"/>
    </row>
    <row r="39" spans="1:18" x14ac:dyDescent="0.25">
      <c r="A39" s="21">
        <v>45808</v>
      </c>
      <c r="B39" s="22">
        <v>11</v>
      </c>
      <c r="C39" s="28">
        <f t="shared" si="3"/>
        <v>1252</v>
      </c>
      <c r="D39" s="24">
        <v>-1063</v>
      </c>
      <c r="E39" s="25">
        <v>3076</v>
      </c>
      <c r="F39" s="22">
        <f t="shared" si="5"/>
        <v>305</v>
      </c>
      <c r="G39" s="22">
        <f t="shared" si="6"/>
        <v>19</v>
      </c>
      <c r="H39" s="28">
        <f t="shared" si="7"/>
        <v>1102</v>
      </c>
      <c r="I39" s="27">
        <v>-1150</v>
      </c>
      <c r="J39" s="28">
        <f t="shared" si="1"/>
        <v>2252</v>
      </c>
      <c r="K39" s="22">
        <f t="shared" si="8"/>
        <v>280</v>
      </c>
      <c r="L39" s="22">
        <f t="shared" si="9"/>
        <v>19</v>
      </c>
      <c r="M39" s="28">
        <f t="shared" si="10"/>
        <v>1280</v>
      </c>
      <c r="N39" s="24">
        <v>-1025</v>
      </c>
      <c r="O39" s="28">
        <f t="shared" si="2"/>
        <v>2305</v>
      </c>
      <c r="P39" s="22">
        <f t="shared" si="11"/>
        <v>252</v>
      </c>
      <c r="Q39" s="36"/>
      <c r="R39" s="30"/>
    </row>
    <row r="40" spans="1:18" x14ac:dyDescent="0.25">
      <c r="A40" s="21">
        <v>45809</v>
      </c>
      <c r="B40" s="22">
        <v>11</v>
      </c>
      <c r="C40" s="28">
        <f t="shared" si="3"/>
        <v>1247</v>
      </c>
      <c r="D40" s="24">
        <v>-1068</v>
      </c>
      <c r="E40" s="25">
        <v>3076</v>
      </c>
      <c r="F40" s="22">
        <f t="shared" si="5"/>
        <v>310</v>
      </c>
      <c r="G40" s="22">
        <f t="shared" si="6"/>
        <v>20</v>
      </c>
      <c r="H40" s="28">
        <f t="shared" si="7"/>
        <v>1102</v>
      </c>
      <c r="I40" s="27">
        <v>-1150</v>
      </c>
      <c r="J40" s="28">
        <f t="shared" si="1"/>
        <v>2252</v>
      </c>
      <c r="K40" s="22">
        <f t="shared" si="8"/>
        <v>280</v>
      </c>
      <c r="L40" s="22">
        <f t="shared" si="9"/>
        <v>20</v>
      </c>
      <c r="M40" s="28">
        <f t="shared" si="10"/>
        <v>1271</v>
      </c>
      <c r="N40" s="24">
        <v>-1034</v>
      </c>
      <c r="O40" s="28">
        <f t="shared" si="2"/>
        <v>2305</v>
      </c>
      <c r="P40" s="22">
        <f t="shared" si="11"/>
        <v>261</v>
      </c>
      <c r="Q40" s="36"/>
      <c r="R40" s="30"/>
    </row>
    <row r="41" spans="1:18" x14ac:dyDescent="0.25">
      <c r="A41" s="21">
        <v>45810</v>
      </c>
      <c r="B41" s="22">
        <v>11</v>
      </c>
      <c r="C41" s="28">
        <f t="shared" si="3"/>
        <v>1242</v>
      </c>
      <c r="D41" s="24">
        <v>-1073</v>
      </c>
      <c r="E41" s="25">
        <v>3076</v>
      </c>
      <c r="F41" s="22">
        <f t="shared" si="5"/>
        <v>315</v>
      </c>
      <c r="G41" s="22">
        <f t="shared" si="6"/>
        <v>21</v>
      </c>
      <c r="H41" s="28">
        <f t="shared" si="7"/>
        <v>1075</v>
      </c>
      <c r="I41" s="27">
        <v>-1177</v>
      </c>
      <c r="J41" s="28">
        <f t="shared" si="1"/>
        <v>2252</v>
      </c>
      <c r="K41" s="22">
        <f t="shared" si="8"/>
        <v>307</v>
      </c>
      <c r="L41" s="22">
        <f t="shared" si="9"/>
        <v>21</v>
      </c>
      <c r="M41" s="28">
        <f t="shared" si="10"/>
        <v>1262</v>
      </c>
      <c r="N41" s="24">
        <v>-1043</v>
      </c>
      <c r="O41" s="28">
        <f t="shared" si="2"/>
        <v>2305</v>
      </c>
      <c r="P41" s="22">
        <f t="shared" si="11"/>
        <v>270</v>
      </c>
      <c r="Q41" s="36"/>
      <c r="R41" s="30"/>
    </row>
    <row r="42" spans="1:18" x14ac:dyDescent="0.25">
      <c r="A42" s="21">
        <v>45811</v>
      </c>
      <c r="B42" s="22">
        <v>11</v>
      </c>
      <c r="C42" s="28">
        <f t="shared" si="3"/>
        <v>1237</v>
      </c>
      <c r="D42" s="24">
        <v>-1078</v>
      </c>
      <c r="E42" s="25">
        <v>3076</v>
      </c>
      <c r="F42" s="22">
        <f t="shared" si="5"/>
        <v>320</v>
      </c>
      <c r="G42" s="22">
        <f t="shared" si="6"/>
        <v>22</v>
      </c>
      <c r="H42" s="28">
        <f t="shared" si="7"/>
        <v>1064</v>
      </c>
      <c r="I42" s="27">
        <v>-1188</v>
      </c>
      <c r="J42" s="28">
        <f t="shared" si="1"/>
        <v>2252</v>
      </c>
      <c r="K42" s="22">
        <f t="shared" si="8"/>
        <v>318</v>
      </c>
      <c r="L42" s="22">
        <f t="shared" si="9"/>
        <v>22</v>
      </c>
      <c r="M42" s="28">
        <f t="shared" si="10"/>
        <v>1253</v>
      </c>
      <c r="N42" s="24">
        <v>-1052</v>
      </c>
      <c r="O42" s="28">
        <f t="shared" si="2"/>
        <v>2305</v>
      </c>
      <c r="P42" s="22">
        <f t="shared" si="11"/>
        <v>279</v>
      </c>
      <c r="Q42" s="36"/>
      <c r="R42" s="30"/>
    </row>
    <row r="43" spans="1:18" x14ac:dyDescent="0.25">
      <c r="A43" s="21">
        <v>45812</v>
      </c>
      <c r="B43" s="22">
        <v>11</v>
      </c>
      <c r="C43" s="28">
        <f t="shared" si="3"/>
        <v>1232</v>
      </c>
      <c r="D43" s="24">
        <v>-1083</v>
      </c>
      <c r="E43" s="25">
        <v>3076</v>
      </c>
      <c r="F43" s="22">
        <f t="shared" si="5"/>
        <v>325</v>
      </c>
      <c r="G43" s="22">
        <f t="shared" si="6"/>
        <v>23</v>
      </c>
      <c r="H43" s="28">
        <f t="shared" si="7"/>
        <v>1053</v>
      </c>
      <c r="I43" s="27">
        <v>-1199</v>
      </c>
      <c r="J43" s="28">
        <f t="shared" si="1"/>
        <v>2252</v>
      </c>
      <c r="K43" s="22">
        <f t="shared" si="8"/>
        <v>329</v>
      </c>
      <c r="L43" s="22">
        <f t="shared" si="9"/>
        <v>23</v>
      </c>
      <c r="M43" s="28">
        <f t="shared" si="10"/>
        <v>1244</v>
      </c>
      <c r="N43" s="24">
        <v>-1061</v>
      </c>
      <c r="O43" s="28">
        <f t="shared" si="2"/>
        <v>2305</v>
      </c>
      <c r="P43" s="22">
        <f t="shared" si="11"/>
        <v>288</v>
      </c>
      <c r="Q43" s="36"/>
      <c r="R43" s="30"/>
    </row>
    <row r="44" spans="1:18" x14ac:dyDescent="0.25">
      <c r="A44" s="21">
        <v>45813</v>
      </c>
      <c r="B44" s="22">
        <v>11</v>
      </c>
      <c r="C44" s="28">
        <f t="shared" si="3"/>
        <v>1227</v>
      </c>
      <c r="D44" s="24">
        <v>-1088</v>
      </c>
      <c r="E44" s="25">
        <v>3076</v>
      </c>
      <c r="F44" s="22">
        <f t="shared" si="5"/>
        <v>330</v>
      </c>
      <c r="G44" s="22">
        <f t="shared" si="6"/>
        <v>24</v>
      </c>
      <c r="H44" s="28">
        <f t="shared" si="7"/>
        <v>1042</v>
      </c>
      <c r="I44" s="27">
        <v>-1210</v>
      </c>
      <c r="J44" s="28">
        <f t="shared" si="1"/>
        <v>2252</v>
      </c>
      <c r="K44" s="22">
        <f t="shared" si="8"/>
        <v>340</v>
      </c>
      <c r="L44" s="22">
        <f t="shared" si="9"/>
        <v>24</v>
      </c>
      <c r="M44" s="28">
        <f t="shared" si="10"/>
        <v>1223</v>
      </c>
      <c r="N44" s="24">
        <v>-1082</v>
      </c>
      <c r="O44" s="28">
        <f t="shared" si="2"/>
        <v>2305</v>
      </c>
      <c r="P44" s="22">
        <f t="shared" si="11"/>
        <v>309</v>
      </c>
      <c r="Q44" s="36"/>
      <c r="R44" s="30"/>
    </row>
    <row r="45" spans="1:18" x14ac:dyDescent="0.25">
      <c r="A45" s="21">
        <v>45814</v>
      </c>
      <c r="B45" s="22">
        <v>11</v>
      </c>
      <c r="C45" s="28">
        <f t="shared" si="3"/>
        <v>1222</v>
      </c>
      <c r="D45" s="24">
        <v>-1093</v>
      </c>
      <c r="E45" s="25">
        <v>3076</v>
      </c>
      <c r="F45" s="22">
        <f t="shared" si="5"/>
        <v>335</v>
      </c>
      <c r="G45" s="22">
        <f t="shared" si="6"/>
        <v>25</v>
      </c>
      <c r="H45" s="28">
        <f t="shared" si="7"/>
        <v>1013</v>
      </c>
      <c r="I45" s="27">
        <v>-1239</v>
      </c>
      <c r="J45" s="28">
        <f t="shared" si="1"/>
        <v>2252</v>
      </c>
      <c r="K45" s="22">
        <f t="shared" si="8"/>
        <v>369</v>
      </c>
      <c r="L45" s="22">
        <f t="shared" si="9"/>
        <v>25</v>
      </c>
      <c r="M45" s="28">
        <f t="shared" si="10"/>
        <v>1216</v>
      </c>
      <c r="N45" s="24">
        <v>-1089</v>
      </c>
      <c r="O45" s="28">
        <f t="shared" si="2"/>
        <v>2305</v>
      </c>
      <c r="P45" s="22">
        <f t="shared" si="11"/>
        <v>316</v>
      </c>
      <c r="Q45" s="36"/>
      <c r="R45" s="30"/>
    </row>
    <row r="46" spans="1:18" x14ac:dyDescent="0.25">
      <c r="A46" s="21">
        <v>45815</v>
      </c>
      <c r="B46" s="22">
        <v>11</v>
      </c>
      <c r="C46" s="28">
        <f t="shared" si="3"/>
        <v>1217</v>
      </c>
      <c r="D46" s="24">
        <v>-1098</v>
      </c>
      <c r="E46" s="25">
        <v>3076</v>
      </c>
      <c r="F46" s="22">
        <f t="shared" si="5"/>
        <v>340</v>
      </c>
      <c r="G46" s="22">
        <f t="shared" si="6"/>
        <v>26</v>
      </c>
      <c r="H46" s="28">
        <f t="shared" si="7"/>
        <v>1004</v>
      </c>
      <c r="I46" s="27">
        <v>-1248</v>
      </c>
      <c r="J46" s="28">
        <f t="shared" si="1"/>
        <v>2252</v>
      </c>
      <c r="K46" s="22">
        <f t="shared" si="8"/>
        <v>378</v>
      </c>
      <c r="L46" s="22">
        <f t="shared" si="9"/>
        <v>26</v>
      </c>
      <c r="M46" s="28">
        <f t="shared" si="10"/>
        <v>1209</v>
      </c>
      <c r="N46" s="24">
        <v>-1096</v>
      </c>
      <c r="O46" s="28">
        <f t="shared" si="2"/>
        <v>2305</v>
      </c>
      <c r="P46" s="22">
        <f t="shared" si="11"/>
        <v>323</v>
      </c>
      <c r="Q46" s="36"/>
      <c r="R46" s="30"/>
    </row>
    <row r="47" spans="1:18" x14ac:dyDescent="0.25">
      <c r="A47" s="21">
        <v>45816</v>
      </c>
      <c r="B47" s="22">
        <v>11</v>
      </c>
      <c r="C47" s="28">
        <f t="shared" si="3"/>
        <v>1212</v>
      </c>
      <c r="D47" s="24">
        <v>-1103</v>
      </c>
      <c r="E47" s="25">
        <v>3076</v>
      </c>
      <c r="F47" s="22">
        <f t="shared" si="5"/>
        <v>345</v>
      </c>
      <c r="G47" s="22">
        <f t="shared" si="6"/>
        <v>27</v>
      </c>
      <c r="H47" s="28">
        <f t="shared" si="7"/>
        <v>995</v>
      </c>
      <c r="I47" s="27">
        <v>-1257</v>
      </c>
      <c r="J47" s="28">
        <f t="shared" si="1"/>
        <v>2252</v>
      </c>
      <c r="K47" s="22">
        <f t="shared" si="8"/>
        <v>387</v>
      </c>
      <c r="L47" s="22">
        <f t="shared" si="9"/>
        <v>27</v>
      </c>
      <c r="M47" s="28">
        <f t="shared" si="10"/>
        <v>1202</v>
      </c>
      <c r="N47" s="24">
        <v>-1103</v>
      </c>
      <c r="O47" s="28">
        <f t="shared" si="2"/>
        <v>2305</v>
      </c>
      <c r="P47" s="22">
        <f t="shared" si="11"/>
        <v>330</v>
      </c>
      <c r="Q47" s="36"/>
      <c r="R47" s="30"/>
    </row>
    <row r="48" spans="1:18" x14ac:dyDescent="0.25">
      <c r="A48" s="21">
        <v>45817</v>
      </c>
      <c r="B48" s="22">
        <v>11</v>
      </c>
      <c r="C48" s="28">
        <f t="shared" si="3"/>
        <v>1206</v>
      </c>
      <c r="D48" s="24">
        <v>-1109</v>
      </c>
      <c r="E48" s="25">
        <v>3076</v>
      </c>
      <c r="F48" s="22">
        <f t="shared" si="5"/>
        <v>351</v>
      </c>
      <c r="G48" s="22">
        <f t="shared" si="6"/>
        <v>28</v>
      </c>
      <c r="H48" s="28">
        <f t="shared" si="7"/>
        <v>986</v>
      </c>
      <c r="I48" s="27">
        <v>-1266</v>
      </c>
      <c r="J48" s="28">
        <f t="shared" si="1"/>
        <v>2252</v>
      </c>
      <c r="K48" s="22">
        <f t="shared" si="8"/>
        <v>396</v>
      </c>
      <c r="L48" s="22">
        <f t="shared" si="9"/>
        <v>28</v>
      </c>
      <c r="M48" s="28">
        <f t="shared" si="10"/>
        <v>1177</v>
      </c>
      <c r="N48" s="24">
        <v>-1128</v>
      </c>
      <c r="O48" s="28">
        <f t="shared" si="2"/>
        <v>2305</v>
      </c>
      <c r="P48" s="22">
        <f t="shared" si="11"/>
        <v>355</v>
      </c>
      <c r="Q48" s="36"/>
      <c r="R48" s="30"/>
    </row>
    <row r="49" spans="1:18" x14ac:dyDescent="0.25">
      <c r="A49" s="21">
        <v>45818</v>
      </c>
      <c r="B49" s="22">
        <v>11</v>
      </c>
      <c r="C49" s="28">
        <f t="shared" si="3"/>
        <v>1182</v>
      </c>
      <c r="D49" s="24">
        <v>-1133</v>
      </c>
      <c r="E49" s="25">
        <v>3076</v>
      </c>
      <c r="F49" s="22">
        <f t="shared" si="5"/>
        <v>375</v>
      </c>
      <c r="G49" s="22">
        <f t="shared" si="6"/>
        <v>29</v>
      </c>
      <c r="H49" s="28">
        <f t="shared" si="7"/>
        <v>977</v>
      </c>
      <c r="I49" s="27">
        <v>-1275</v>
      </c>
      <c r="J49" s="28">
        <f t="shared" si="1"/>
        <v>2252</v>
      </c>
      <c r="K49" s="22">
        <f t="shared" si="8"/>
        <v>405</v>
      </c>
      <c r="L49" s="22">
        <f t="shared" si="9"/>
        <v>29</v>
      </c>
      <c r="M49" s="28">
        <f t="shared" si="10"/>
        <v>1157</v>
      </c>
      <c r="N49" s="24">
        <v>-1148</v>
      </c>
      <c r="O49" s="28">
        <f t="shared" si="2"/>
        <v>2305</v>
      </c>
      <c r="P49" s="22">
        <f t="shared" si="11"/>
        <v>375</v>
      </c>
      <c r="Q49" s="36"/>
      <c r="R49" s="30"/>
    </row>
    <row r="50" spans="1:18" x14ac:dyDescent="0.25">
      <c r="A50" s="21">
        <v>45819</v>
      </c>
      <c r="B50" s="22">
        <v>11</v>
      </c>
      <c r="C50" s="28">
        <f t="shared" si="3"/>
        <v>1158</v>
      </c>
      <c r="D50" s="24">
        <v>-1157</v>
      </c>
      <c r="E50" s="25">
        <v>3076</v>
      </c>
      <c r="F50" s="22">
        <f t="shared" si="5"/>
        <v>399</v>
      </c>
      <c r="G50" s="22">
        <f t="shared" si="6"/>
        <v>30</v>
      </c>
      <c r="H50" s="28">
        <f t="shared" si="7"/>
        <v>947</v>
      </c>
      <c r="I50" s="27">
        <v>-1305</v>
      </c>
      <c r="J50" s="28">
        <f t="shared" si="1"/>
        <v>2252</v>
      </c>
      <c r="K50" s="22">
        <f t="shared" si="8"/>
        <v>435</v>
      </c>
      <c r="L50" s="22">
        <f t="shared" si="9"/>
        <v>30</v>
      </c>
      <c r="M50" s="28">
        <f t="shared" si="10"/>
        <v>1137</v>
      </c>
      <c r="N50" s="24">
        <v>-1168</v>
      </c>
      <c r="O50" s="28">
        <f t="shared" si="2"/>
        <v>2305</v>
      </c>
      <c r="P50" s="22">
        <f t="shared" si="11"/>
        <v>395</v>
      </c>
      <c r="Q50" s="36"/>
      <c r="R50" s="30"/>
    </row>
    <row r="51" spans="1:18" x14ac:dyDescent="0.25">
      <c r="A51" s="21">
        <v>45820</v>
      </c>
      <c r="B51" s="22">
        <v>11</v>
      </c>
      <c r="C51" s="28">
        <f t="shared" si="3"/>
        <v>1134</v>
      </c>
      <c r="D51" s="24">
        <v>-1181</v>
      </c>
      <c r="E51" s="25">
        <v>3076</v>
      </c>
      <c r="F51" s="22">
        <f t="shared" si="5"/>
        <v>423</v>
      </c>
      <c r="G51" s="22">
        <f t="shared" si="6"/>
        <v>31</v>
      </c>
      <c r="H51" s="28">
        <f t="shared" si="7"/>
        <v>917</v>
      </c>
      <c r="I51" s="27">
        <v>-1335</v>
      </c>
      <c r="J51" s="28">
        <f t="shared" si="1"/>
        <v>2252</v>
      </c>
      <c r="K51" s="22">
        <f t="shared" si="8"/>
        <v>465</v>
      </c>
      <c r="L51" s="22">
        <f t="shared" si="9"/>
        <v>31</v>
      </c>
      <c r="M51" s="28">
        <f t="shared" si="10"/>
        <v>1117</v>
      </c>
      <c r="N51" s="24">
        <v>-1188</v>
      </c>
      <c r="O51" s="28">
        <f t="shared" si="2"/>
        <v>2305</v>
      </c>
      <c r="P51" s="22">
        <f t="shared" si="11"/>
        <v>415</v>
      </c>
      <c r="Q51" s="36"/>
      <c r="R51" s="30"/>
    </row>
    <row r="52" spans="1:18" x14ac:dyDescent="0.25">
      <c r="A52" s="21">
        <v>45821</v>
      </c>
      <c r="B52" s="22">
        <v>11</v>
      </c>
      <c r="C52" s="28">
        <f t="shared" si="3"/>
        <v>1126</v>
      </c>
      <c r="D52" s="24">
        <v>-1189</v>
      </c>
      <c r="E52" s="25">
        <v>3076</v>
      </c>
      <c r="F52" s="22">
        <f t="shared" si="5"/>
        <v>431</v>
      </c>
      <c r="G52" s="22">
        <f t="shared" si="6"/>
        <v>32</v>
      </c>
      <c r="H52" s="28">
        <f t="shared" si="7"/>
        <v>887</v>
      </c>
      <c r="I52" s="27">
        <v>-1365</v>
      </c>
      <c r="J52" s="28">
        <f t="shared" si="1"/>
        <v>2252</v>
      </c>
      <c r="K52" s="22">
        <f t="shared" si="8"/>
        <v>495</v>
      </c>
      <c r="L52" s="22">
        <f t="shared" si="9"/>
        <v>32</v>
      </c>
      <c r="M52" s="28">
        <f t="shared" si="10"/>
        <v>1094</v>
      </c>
      <c r="N52" s="24">
        <v>-1211</v>
      </c>
      <c r="O52" s="28">
        <f t="shared" si="2"/>
        <v>2305</v>
      </c>
      <c r="P52" s="22">
        <f t="shared" si="11"/>
        <v>438</v>
      </c>
      <c r="Q52" s="36"/>
      <c r="R52" s="30"/>
    </row>
    <row r="53" spans="1:18" x14ac:dyDescent="0.25">
      <c r="A53" s="21">
        <v>45822</v>
      </c>
      <c r="B53" s="22">
        <v>11</v>
      </c>
      <c r="C53" s="28">
        <f t="shared" si="3"/>
        <v>1121</v>
      </c>
      <c r="D53" s="24">
        <v>-1194</v>
      </c>
      <c r="E53" s="25">
        <v>3076</v>
      </c>
      <c r="F53" s="22">
        <f t="shared" si="5"/>
        <v>436</v>
      </c>
      <c r="G53" s="22">
        <f t="shared" si="6"/>
        <v>33</v>
      </c>
      <c r="H53" s="28">
        <f t="shared" si="7"/>
        <v>872</v>
      </c>
      <c r="I53" s="27">
        <v>-1380</v>
      </c>
      <c r="J53" s="28">
        <f t="shared" si="1"/>
        <v>2252</v>
      </c>
      <c r="K53" s="22">
        <f t="shared" si="8"/>
        <v>510</v>
      </c>
      <c r="L53" s="22">
        <f t="shared" si="9"/>
        <v>33</v>
      </c>
      <c r="M53" s="28">
        <f t="shared" si="10"/>
        <v>1094</v>
      </c>
      <c r="N53" s="24">
        <v>-1211</v>
      </c>
      <c r="O53" s="28">
        <f t="shared" si="2"/>
        <v>2305</v>
      </c>
      <c r="P53" s="22">
        <f t="shared" si="11"/>
        <v>438</v>
      </c>
      <c r="Q53" s="36"/>
      <c r="R53" s="30"/>
    </row>
    <row r="54" spans="1:18" x14ac:dyDescent="0.25">
      <c r="A54" s="21">
        <v>45823</v>
      </c>
      <c r="B54" s="22">
        <v>11</v>
      </c>
      <c r="C54" s="28">
        <f t="shared" si="3"/>
        <v>1116</v>
      </c>
      <c r="D54" s="24">
        <v>-1199</v>
      </c>
      <c r="E54" s="25">
        <v>3076</v>
      </c>
      <c r="F54" s="22">
        <f t="shared" si="5"/>
        <v>441</v>
      </c>
      <c r="G54" s="22">
        <f t="shared" si="6"/>
        <v>34</v>
      </c>
      <c r="H54" s="28">
        <f t="shared" si="7"/>
        <v>867</v>
      </c>
      <c r="I54" s="27">
        <v>-1385</v>
      </c>
      <c r="J54" s="28">
        <f t="shared" si="1"/>
        <v>2252</v>
      </c>
      <c r="K54" s="22">
        <f t="shared" si="8"/>
        <v>515</v>
      </c>
      <c r="L54" s="22">
        <f t="shared" si="9"/>
        <v>34</v>
      </c>
      <c r="M54" s="28">
        <f t="shared" si="10"/>
        <v>1094</v>
      </c>
      <c r="N54" s="24">
        <v>-1211</v>
      </c>
      <c r="O54" s="28">
        <f t="shared" si="2"/>
        <v>2305</v>
      </c>
      <c r="P54" s="22">
        <f t="shared" si="11"/>
        <v>438</v>
      </c>
      <c r="Q54" s="36"/>
      <c r="R54" s="30"/>
    </row>
    <row r="55" spans="1:18" x14ac:dyDescent="0.25">
      <c r="A55" s="21">
        <v>45824</v>
      </c>
      <c r="B55" s="22">
        <v>11</v>
      </c>
      <c r="C55" s="28">
        <f t="shared" si="3"/>
        <v>1111</v>
      </c>
      <c r="D55" s="24">
        <v>-1204</v>
      </c>
      <c r="E55" s="25">
        <v>3076</v>
      </c>
      <c r="F55" s="22">
        <f t="shared" si="5"/>
        <v>446</v>
      </c>
      <c r="G55" s="22">
        <f t="shared" si="6"/>
        <v>35</v>
      </c>
      <c r="H55" s="28">
        <f t="shared" si="7"/>
        <v>862</v>
      </c>
      <c r="I55" s="27">
        <v>-1390</v>
      </c>
      <c r="J55" s="28">
        <f t="shared" si="1"/>
        <v>2252</v>
      </c>
      <c r="K55" s="22">
        <f t="shared" si="8"/>
        <v>520</v>
      </c>
      <c r="L55" s="22">
        <f t="shared" si="9"/>
        <v>35</v>
      </c>
      <c r="M55" s="28">
        <f t="shared" si="10"/>
        <v>1094</v>
      </c>
      <c r="N55" s="24">
        <v>-1211</v>
      </c>
      <c r="O55" s="28">
        <f t="shared" si="2"/>
        <v>2305</v>
      </c>
      <c r="P55" s="22">
        <f t="shared" si="11"/>
        <v>438</v>
      </c>
      <c r="Q55" s="36"/>
      <c r="R55" s="30"/>
    </row>
    <row r="56" spans="1:18" x14ac:dyDescent="0.25">
      <c r="A56" s="21">
        <v>45825</v>
      </c>
      <c r="B56" s="22">
        <v>11</v>
      </c>
      <c r="C56" s="28">
        <f t="shared" si="3"/>
        <v>1106</v>
      </c>
      <c r="D56" s="24">
        <v>-1209</v>
      </c>
      <c r="E56" s="25">
        <v>3076</v>
      </c>
      <c r="F56" s="22">
        <f t="shared" si="5"/>
        <v>451</v>
      </c>
      <c r="G56" s="22">
        <f t="shared" si="6"/>
        <v>36</v>
      </c>
      <c r="H56" s="28">
        <f t="shared" si="7"/>
        <v>857</v>
      </c>
      <c r="I56" s="27">
        <v>-1395</v>
      </c>
      <c r="J56" s="28">
        <f t="shared" si="1"/>
        <v>2252</v>
      </c>
      <c r="K56" s="22">
        <f t="shared" si="8"/>
        <v>525</v>
      </c>
      <c r="L56" s="22">
        <f t="shared" si="9"/>
        <v>36</v>
      </c>
      <c r="M56" s="28">
        <f t="shared" si="10"/>
        <v>1094</v>
      </c>
      <c r="N56" s="24">
        <v>-1211</v>
      </c>
      <c r="O56" s="28">
        <f t="shared" si="2"/>
        <v>2305</v>
      </c>
      <c r="P56" s="22">
        <f t="shared" si="11"/>
        <v>438</v>
      </c>
      <c r="Q56" s="36"/>
      <c r="R56" s="30"/>
    </row>
    <row r="57" spans="1:18" x14ac:dyDescent="0.25">
      <c r="A57" s="21">
        <v>45826</v>
      </c>
      <c r="B57" s="22">
        <v>11</v>
      </c>
      <c r="C57" s="28">
        <f t="shared" si="3"/>
        <v>1101</v>
      </c>
      <c r="D57" s="24">
        <v>-1214</v>
      </c>
      <c r="E57" s="25">
        <v>3076</v>
      </c>
      <c r="F57" s="22">
        <f t="shared" si="5"/>
        <v>456</v>
      </c>
      <c r="G57" s="22">
        <f t="shared" si="6"/>
        <v>37</v>
      </c>
      <c r="H57" s="28">
        <f t="shared" si="7"/>
        <v>852</v>
      </c>
      <c r="I57" s="27">
        <v>-1400</v>
      </c>
      <c r="J57" s="28">
        <f t="shared" si="1"/>
        <v>2252</v>
      </c>
      <c r="K57" s="22">
        <f t="shared" si="8"/>
        <v>530</v>
      </c>
      <c r="L57" s="22">
        <f t="shared" si="9"/>
        <v>37</v>
      </c>
      <c r="M57" s="28">
        <f t="shared" si="10"/>
        <v>1091</v>
      </c>
      <c r="N57" s="24">
        <v>-1214</v>
      </c>
      <c r="O57" s="28">
        <f t="shared" si="2"/>
        <v>2305</v>
      </c>
      <c r="P57" s="22">
        <f t="shared" si="11"/>
        <v>441</v>
      </c>
      <c r="Q57" s="36"/>
      <c r="R57" s="30"/>
    </row>
    <row r="58" spans="1:18" x14ac:dyDescent="0.25">
      <c r="A58" s="21">
        <v>45827</v>
      </c>
      <c r="B58" s="22">
        <v>11</v>
      </c>
      <c r="C58" s="28">
        <f t="shared" si="3"/>
        <v>1096</v>
      </c>
      <c r="D58" s="24">
        <v>-1219</v>
      </c>
      <c r="E58" s="25">
        <v>3076</v>
      </c>
      <c r="F58" s="22">
        <f t="shared" si="5"/>
        <v>461</v>
      </c>
      <c r="G58" s="22">
        <f t="shared" si="6"/>
        <v>38</v>
      </c>
      <c r="H58" s="28">
        <f t="shared" si="7"/>
        <v>847</v>
      </c>
      <c r="I58" s="27">
        <v>-1405</v>
      </c>
      <c r="J58" s="28">
        <f t="shared" si="1"/>
        <v>2252</v>
      </c>
      <c r="K58" s="22">
        <f t="shared" si="8"/>
        <v>535</v>
      </c>
      <c r="L58" s="22">
        <f t="shared" si="9"/>
        <v>38</v>
      </c>
      <c r="M58" s="28">
        <f t="shared" si="10"/>
        <v>1088</v>
      </c>
      <c r="N58" s="24">
        <v>-1217</v>
      </c>
      <c r="O58" s="28">
        <f t="shared" si="2"/>
        <v>2305</v>
      </c>
      <c r="P58" s="22">
        <f t="shared" si="11"/>
        <v>444</v>
      </c>
      <c r="Q58" s="36"/>
      <c r="R58" s="30"/>
    </row>
    <row r="59" spans="1:18" x14ac:dyDescent="0.25">
      <c r="A59" s="21">
        <v>45828</v>
      </c>
      <c r="B59" s="22">
        <v>11</v>
      </c>
      <c r="C59" s="28">
        <f t="shared" si="3"/>
        <v>1091</v>
      </c>
      <c r="D59" s="24">
        <v>-1224</v>
      </c>
      <c r="E59" s="25">
        <v>3076</v>
      </c>
      <c r="F59" s="22">
        <f t="shared" si="5"/>
        <v>466</v>
      </c>
      <c r="G59" s="22">
        <f t="shared" si="6"/>
        <v>39</v>
      </c>
      <c r="H59" s="28">
        <f t="shared" si="7"/>
        <v>842</v>
      </c>
      <c r="I59" s="27">
        <v>-1410</v>
      </c>
      <c r="J59" s="28">
        <f t="shared" si="1"/>
        <v>2252</v>
      </c>
      <c r="K59" s="22">
        <f t="shared" si="8"/>
        <v>540</v>
      </c>
      <c r="L59" s="22">
        <f t="shared" si="9"/>
        <v>39</v>
      </c>
      <c r="M59" s="28">
        <f t="shared" si="10"/>
        <v>1085</v>
      </c>
      <c r="N59" s="24">
        <v>-1220</v>
      </c>
      <c r="O59" s="28">
        <f t="shared" si="2"/>
        <v>2305</v>
      </c>
      <c r="P59" s="22">
        <f t="shared" si="11"/>
        <v>447</v>
      </c>
      <c r="Q59" s="36"/>
      <c r="R59" s="30"/>
    </row>
    <row r="60" spans="1:18" x14ac:dyDescent="0.25">
      <c r="A60" s="21">
        <v>45829</v>
      </c>
      <c r="B60" s="22">
        <v>11</v>
      </c>
      <c r="C60" s="28">
        <f t="shared" si="3"/>
        <v>1086</v>
      </c>
      <c r="D60" s="24">
        <v>-1229</v>
      </c>
      <c r="E60" s="25">
        <v>3076</v>
      </c>
      <c r="F60" s="22">
        <f t="shared" si="5"/>
        <v>471</v>
      </c>
      <c r="G60" s="22">
        <f t="shared" si="6"/>
        <v>40</v>
      </c>
      <c r="H60" s="28">
        <f t="shared" si="7"/>
        <v>837</v>
      </c>
      <c r="I60" s="27">
        <v>-1415</v>
      </c>
      <c r="J60" s="28">
        <f t="shared" si="1"/>
        <v>2252</v>
      </c>
      <c r="K60" s="22">
        <f t="shared" si="8"/>
        <v>545</v>
      </c>
      <c r="L60" s="22">
        <f t="shared" si="9"/>
        <v>40</v>
      </c>
      <c r="M60" s="28">
        <f t="shared" si="10"/>
        <v>1082</v>
      </c>
      <c r="N60" s="24">
        <v>-1223</v>
      </c>
      <c r="O60" s="28">
        <f t="shared" si="2"/>
        <v>2305</v>
      </c>
      <c r="P60" s="22">
        <f t="shared" si="11"/>
        <v>450</v>
      </c>
      <c r="Q60" s="36"/>
      <c r="R60" s="30"/>
    </row>
    <row r="61" spans="1:18" x14ac:dyDescent="0.25">
      <c r="A61" s="21">
        <v>45830</v>
      </c>
      <c r="B61" s="22">
        <v>11</v>
      </c>
      <c r="C61" s="28">
        <f t="shared" si="3"/>
        <v>1081</v>
      </c>
      <c r="D61" s="24">
        <v>-1234</v>
      </c>
      <c r="E61" s="25">
        <v>3076</v>
      </c>
      <c r="F61" s="22">
        <f t="shared" si="5"/>
        <v>476</v>
      </c>
      <c r="G61" s="22">
        <f t="shared" si="6"/>
        <v>41</v>
      </c>
      <c r="H61" s="28">
        <f t="shared" si="7"/>
        <v>832</v>
      </c>
      <c r="I61" s="27">
        <v>-1420</v>
      </c>
      <c r="J61" s="28">
        <f t="shared" si="1"/>
        <v>2252</v>
      </c>
      <c r="K61" s="22">
        <f t="shared" si="8"/>
        <v>550</v>
      </c>
      <c r="L61" s="22">
        <f t="shared" si="9"/>
        <v>41</v>
      </c>
      <c r="M61" s="28">
        <f t="shared" si="10"/>
        <v>1079</v>
      </c>
      <c r="N61" s="24">
        <v>-1226</v>
      </c>
      <c r="O61" s="28">
        <f t="shared" si="2"/>
        <v>2305</v>
      </c>
      <c r="P61" s="22">
        <f t="shared" si="11"/>
        <v>453</v>
      </c>
      <c r="Q61" s="36"/>
      <c r="R61" s="30"/>
    </row>
    <row r="62" spans="1:18" x14ac:dyDescent="0.25">
      <c r="A62" s="21">
        <v>45831</v>
      </c>
      <c r="B62" s="22">
        <v>11</v>
      </c>
      <c r="C62" s="28">
        <f t="shared" si="3"/>
        <v>1076</v>
      </c>
      <c r="D62" s="24">
        <v>-1239</v>
      </c>
      <c r="E62" s="25">
        <v>3076</v>
      </c>
      <c r="F62" s="22">
        <f t="shared" si="5"/>
        <v>481</v>
      </c>
      <c r="G62" s="22">
        <f t="shared" si="6"/>
        <v>42</v>
      </c>
      <c r="H62" s="28">
        <f t="shared" si="7"/>
        <v>827</v>
      </c>
      <c r="I62" s="27">
        <v>-1425</v>
      </c>
      <c r="J62" s="28">
        <f t="shared" si="1"/>
        <v>2252</v>
      </c>
      <c r="K62" s="22">
        <f t="shared" si="8"/>
        <v>555</v>
      </c>
      <c r="L62" s="22">
        <f t="shared" si="9"/>
        <v>42</v>
      </c>
      <c r="M62" s="28">
        <f t="shared" si="10"/>
        <v>1076</v>
      </c>
      <c r="N62" s="24">
        <v>-1229</v>
      </c>
      <c r="O62" s="28">
        <f t="shared" si="2"/>
        <v>2305</v>
      </c>
      <c r="P62" s="22">
        <f t="shared" si="11"/>
        <v>456</v>
      </c>
      <c r="Q62" s="36"/>
      <c r="R62" s="30"/>
    </row>
    <row r="63" spans="1:18" x14ac:dyDescent="0.25">
      <c r="A63" s="21">
        <v>45832</v>
      </c>
      <c r="B63" s="22">
        <v>11</v>
      </c>
      <c r="C63" s="28">
        <f t="shared" si="3"/>
        <v>1071</v>
      </c>
      <c r="D63" s="24">
        <v>-1244</v>
      </c>
      <c r="E63" s="25">
        <v>3076</v>
      </c>
      <c r="F63" s="22">
        <f t="shared" si="5"/>
        <v>486</v>
      </c>
      <c r="G63" s="22">
        <f t="shared" si="6"/>
        <v>43</v>
      </c>
      <c r="H63" s="28">
        <f t="shared" si="7"/>
        <v>822</v>
      </c>
      <c r="I63" s="27">
        <v>-1430</v>
      </c>
      <c r="J63" s="28">
        <f t="shared" si="1"/>
        <v>2252</v>
      </c>
      <c r="K63" s="22">
        <f t="shared" si="8"/>
        <v>560</v>
      </c>
      <c r="L63" s="22">
        <f t="shared" si="9"/>
        <v>43</v>
      </c>
      <c r="M63" s="28">
        <f t="shared" si="10"/>
        <v>1073</v>
      </c>
      <c r="N63" s="24">
        <v>-1232</v>
      </c>
      <c r="O63" s="28">
        <f t="shared" si="2"/>
        <v>2305</v>
      </c>
      <c r="P63" s="22">
        <f t="shared" si="11"/>
        <v>459</v>
      </c>
      <c r="Q63" s="36"/>
      <c r="R63" s="30"/>
    </row>
    <row r="64" spans="1:18" x14ac:dyDescent="0.25">
      <c r="A64" s="21">
        <v>45833</v>
      </c>
      <c r="B64" s="22">
        <v>11</v>
      </c>
      <c r="C64" s="28">
        <f t="shared" si="3"/>
        <v>1066</v>
      </c>
      <c r="D64" s="24">
        <v>-1249</v>
      </c>
      <c r="E64" s="25">
        <v>3076</v>
      </c>
      <c r="F64" s="22">
        <f t="shared" si="5"/>
        <v>491</v>
      </c>
      <c r="G64" s="22">
        <f t="shared" si="6"/>
        <v>44</v>
      </c>
      <c r="H64" s="28">
        <f t="shared" si="7"/>
        <v>817</v>
      </c>
      <c r="I64" s="27">
        <v>-1435</v>
      </c>
      <c r="J64" s="28">
        <f t="shared" si="1"/>
        <v>2252</v>
      </c>
      <c r="K64" s="22">
        <f t="shared" si="8"/>
        <v>565</v>
      </c>
      <c r="L64" s="22">
        <f t="shared" si="9"/>
        <v>44</v>
      </c>
      <c r="M64" s="28">
        <f t="shared" si="10"/>
        <v>1070</v>
      </c>
      <c r="N64" s="24">
        <v>-1235</v>
      </c>
      <c r="O64" s="28">
        <f t="shared" si="2"/>
        <v>2305</v>
      </c>
      <c r="P64" s="22">
        <f t="shared" si="11"/>
        <v>462</v>
      </c>
      <c r="Q64" s="36"/>
      <c r="R64" s="30"/>
    </row>
    <row r="65" spans="1:18" x14ac:dyDescent="0.25">
      <c r="A65" s="21">
        <v>45834</v>
      </c>
      <c r="B65" s="22">
        <v>11</v>
      </c>
      <c r="C65" s="28">
        <f t="shared" si="3"/>
        <v>1066</v>
      </c>
      <c r="D65" s="24">
        <v>-1249</v>
      </c>
      <c r="E65" s="25">
        <v>3076</v>
      </c>
      <c r="F65" s="22">
        <f t="shared" si="5"/>
        <v>491</v>
      </c>
      <c r="G65" s="22">
        <f t="shared" si="6"/>
        <v>45</v>
      </c>
      <c r="H65" s="28">
        <f t="shared" si="7"/>
        <v>812</v>
      </c>
      <c r="I65" s="27">
        <v>-1440</v>
      </c>
      <c r="J65" s="28">
        <f t="shared" si="1"/>
        <v>2252</v>
      </c>
      <c r="K65" s="22">
        <f t="shared" si="8"/>
        <v>570</v>
      </c>
      <c r="L65" s="22">
        <f t="shared" si="9"/>
        <v>45</v>
      </c>
      <c r="M65" s="28">
        <f t="shared" si="10"/>
        <v>1067</v>
      </c>
      <c r="N65" s="24">
        <v>-1238</v>
      </c>
      <c r="O65" s="28">
        <f t="shared" si="2"/>
        <v>2305</v>
      </c>
      <c r="P65" s="22">
        <f t="shared" si="11"/>
        <v>465</v>
      </c>
      <c r="Q65" s="36"/>
      <c r="R65" s="30"/>
    </row>
    <row r="66" spans="1:18" x14ac:dyDescent="0.25">
      <c r="A66" s="21">
        <v>45835</v>
      </c>
      <c r="B66" s="22">
        <v>11</v>
      </c>
      <c r="C66" s="28">
        <f t="shared" si="3"/>
        <v>1066</v>
      </c>
      <c r="D66" s="24">
        <v>-1249</v>
      </c>
      <c r="E66" s="25">
        <v>3076</v>
      </c>
      <c r="F66" s="22">
        <f t="shared" si="5"/>
        <v>491</v>
      </c>
      <c r="G66" s="22">
        <f t="shared" si="6"/>
        <v>46</v>
      </c>
      <c r="H66" s="28">
        <f t="shared" si="7"/>
        <v>812</v>
      </c>
      <c r="I66" s="27">
        <v>-1440</v>
      </c>
      <c r="J66" s="28">
        <f t="shared" si="1"/>
        <v>2252</v>
      </c>
      <c r="K66" s="22">
        <f t="shared" si="8"/>
        <v>570</v>
      </c>
      <c r="L66" s="22">
        <f t="shared" si="9"/>
        <v>46</v>
      </c>
      <c r="M66" s="28">
        <f t="shared" si="10"/>
        <v>1067</v>
      </c>
      <c r="N66" s="24">
        <v>-1238</v>
      </c>
      <c r="O66" s="28">
        <f t="shared" si="2"/>
        <v>2305</v>
      </c>
      <c r="P66" s="22">
        <f t="shared" si="11"/>
        <v>465</v>
      </c>
      <c r="Q66" s="36"/>
      <c r="R66" s="30"/>
    </row>
    <row r="67" spans="1:18" x14ac:dyDescent="0.25">
      <c r="A67" s="21">
        <v>45836</v>
      </c>
      <c r="B67" s="22">
        <v>11</v>
      </c>
      <c r="C67" s="28">
        <f t="shared" si="3"/>
        <v>1066</v>
      </c>
      <c r="D67" s="24">
        <v>-1249</v>
      </c>
      <c r="E67" s="25">
        <v>3076</v>
      </c>
      <c r="F67" s="22">
        <f t="shared" si="5"/>
        <v>491</v>
      </c>
      <c r="G67" s="22">
        <f t="shared" si="6"/>
        <v>47</v>
      </c>
      <c r="H67" s="28">
        <f t="shared" si="7"/>
        <v>812</v>
      </c>
      <c r="I67" s="27">
        <v>-1440</v>
      </c>
      <c r="J67" s="28">
        <f t="shared" si="1"/>
        <v>2252</v>
      </c>
      <c r="K67" s="22">
        <f t="shared" si="8"/>
        <v>570</v>
      </c>
      <c r="L67" s="22">
        <f t="shared" si="9"/>
        <v>47</v>
      </c>
      <c r="M67" s="28">
        <f t="shared" si="10"/>
        <v>1067</v>
      </c>
      <c r="N67" s="24">
        <v>-1238</v>
      </c>
      <c r="O67" s="28">
        <f t="shared" si="2"/>
        <v>2305</v>
      </c>
      <c r="P67" s="22">
        <f t="shared" si="11"/>
        <v>465</v>
      </c>
      <c r="Q67" s="36"/>
      <c r="R67" s="30"/>
    </row>
    <row r="68" spans="1:18" x14ac:dyDescent="0.25">
      <c r="A68" s="21">
        <v>45837</v>
      </c>
      <c r="B68" s="22">
        <v>11</v>
      </c>
      <c r="C68" s="28">
        <f t="shared" si="3"/>
        <v>1056</v>
      </c>
      <c r="D68" s="24">
        <v>-1259</v>
      </c>
      <c r="E68" s="25">
        <v>3076</v>
      </c>
      <c r="F68" s="22">
        <f t="shared" si="5"/>
        <v>501</v>
      </c>
      <c r="G68" s="22">
        <f t="shared" si="6"/>
        <v>48</v>
      </c>
      <c r="H68" s="28">
        <f t="shared" si="7"/>
        <v>812</v>
      </c>
      <c r="I68" s="27">
        <v>-1440</v>
      </c>
      <c r="J68" s="28">
        <f t="shared" si="1"/>
        <v>2252</v>
      </c>
      <c r="K68" s="22">
        <f t="shared" si="8"/>
        <v>570</v>
      </c>
      <c r="L68" s="22">
        <f t="shared" si="9"/>
        <v>48</v>
      </c>
      <c r="M68" s="28">
        <f t="shared" si="10"/>
        <v>1067</v>
      </c>
      <c r="N68" s="24">
        <v>-1238</v>
      </c>
      <c r="O68" s="28">
        <f t="shared" si="2"/>
        <v>2305</v>
      </c>
      <c r="P68" s="22">
        <f t="shared" si="11"/>
        <v>465</v>
      </c>
      <c r="Q68" s="36"/>
      <c r="R68" s="30"/>
    </row>
    <row r="69" spans="1:18" x14ac:dyDescent="0.25">
      <c r="A69" s="21">
        <v>45838</v>
      </c>
      <c r="B69" s="22">
        <v>11</v>
      </c>
      <c r="C69" s="28">
        <f t="shared" si="3"/>
        <v>1048</v>
      </c>
      <c r="D69" s="24">
        <v>-1267</v>
      </c>
      <c r="E69" s="25">
        <v>3076</v>
      </c>
      <c r="F69" s="22">
        <f t="shared" si="5"/>
        <v>509</v>
      </c>
      <c r="G69" s="22">
        <f t="shared" si="6"/>
        <v>49</v>
      </c>
      <c r="H69" s="28">
        <f t="shared" si="7"/>
        <v>812</v>
      </c>
      <c r="I69" s="27">
        <v>-1440</v>
      </c>
      <c r="J69" s="28">
        <f t="shared" si="1"/>
        <v>2252</v>
      </c>
      <c r="K69" s="22">
        <f t="shared" si="8"/>
        <v>570</v>
      </c>
      <c r="L69" s="22">
        <f t="shared" si="9"/>
        <v>49</v>
      </c>
      <c r="M69" s="28">
        <f t="shared" si="10"/>
        <v>1037</v>
      </c>
      <c r="N69" s="24">
        <v>-1268</v>
      </c>
      <c r="O69" s="28">
        <f t="shared" si="2"/>
        <v>2305</v>
      </c>
      <c r="P69" s="22">
        <f t="shared" si="11"/>
        <v>495</v>
      </c>
      <c r="Q69" s="36"/>
      <c r="R69" s="30"/>
    </row>
    <row r="70" spans="1:18" x14ac:dyDescent="0.25">
      <c r="A70" s="21">
        <v>45839</v>
      </c>
      <c r="B70" s="22">
        <v>11</v>
      </c>
      <c r="C70" s="28">
        <f t="shared" si="3"/>
        <v>1040</v>
      </c>
      <c r="D70" s="24">
        <v>-1275</v>
      </c>
      <c r="E70" s="25">
        <v>3076</v>
      </c>
      <c r="F70" s="22">
        <f t="shared" si="5"/>
        <v>517</v>
      </c>
      <c r="G70" s="22">
        <f t="shared" si="6"/>
        <v>50</v>
      </c>
      <c r="H70" s="28">
        <f t="shared" si="7"/>
        <v>812</v>
      </c>
      <c r="I70" s="27">
        <v>-1440</v>
      </c>
      <c r="J70" s="28">
        <f t="shared" si="1"/>
        <v>2252</v>
      </c>
      <c r="K70" s="22">
        <f t="shared" si="8"/>
        <v>570</v>
      </c>
      <c r="L70" s="22">
        <f t="shared" si="9"/>
        <v>50</v>
      </c>
      <c r="M70" s="28">
        <f t="shared" si="10"/>
        <v>1032</v>
      </c>
      <c r="N70" s="24">
        <v>-1273</v>
      </c>
      <c r="O70" s="28">
        <f t="shared" si="2"/>
        <v>2305</v>
      </c>
      <c r="P70" s="22">
        <f t="shared" si="11"/>
        <v>500</v>
      </c>
      <c r="Q70" s="36"/>
      <c r="R70" s="30"/>
    </row>
    <row r="71" spans="1:18" x14ac:dyDescent="0.25">
      <c r="A71" s="21">
        <v>45840</v>
      </c>
      <c r="B71" s="22">
        <v>11</v>
      </c>
      <c r="C71" s="28">
        <f t="shared" si="3"/>
        <v>1032</v>
      </c>
      <c r="D71" s="24">
        <v>-1283</v>
      </c>
      <c r="E71" s="25">
        <v>3076</v>
      </c>
      <c r="F71" s="22">
        <f t="shared" si="5"/>
        <v>525</v>
      </c>
      <c r="G71" s="22">
        <f t="shared" si="6"/>
        <v>51</v>
      </c>
      <c r="H71" s="28">
        <f t="shared" si="7"/>
        <v>799</v>
      </c>
      <c r="I71" s="27">
        <v>-1453</v>
      </c>
      <c r="J71" s="28">
        <f t="shared" si="1"/>
        <v>2252</v>
      </c>
      <c r="K71" s="22">
        <f t="shared" si="8"/>
        <v>583</v>
      </c>
      <c r="L71" s="22">
        <f t="shared" si="9"/>
        <v>51</v>
      </c>
      <c r="M71" s="28">
        <f t="shared" si="10"/>
        <v>1027</v>
      </c>
      <c r="N71" s="24">
        <v>-1278</v>
      </c>
      <c r="O71" s="28">
        <f t="shared" si="2"/>
        <v>2305</v>
      </c>
      <c r="P71" s="22">
        <f t="shared" si="11"/>
        <v>505</v>
      </c>
      <c r="Q71" s="36"/>
      <c r="R71" s="30"/>
    </row>
    <row r="72" spans="1:18" x14ac:dyDescent="0.25">
      <c r="A72" s="21">
        <v>45841</v>
      </c>
      <c r="B72" s="22">
        <v>11</v>
      </c>
      <c r="C72" s="28">
        <f t="shared" si="3"/>
        <v>1024</v>
      </c>
      <c r="D72" s="24">
        <v>-1291</v>
      </c>
      <c r="E72" s="25">
        <v>3076</v>
      </c>
      <c r="F72" s="22">
        <f t="shared" si="5"/>
        <v>533</v>
      </c>
      <c r="G72" s="22">
        <f t="shared" si="6"/>
        <v>52</v>
      </c>
      <c r="H72" s="28">
        <f t="shared" si="7"/>
        <v>790</v>
      </c>
      <c r="I72" s="27">
        <v>-1462</v>
      </c>
      <c r="J72" s="28">
        <f t="shared" si="1"/>
        <v>2252</v>
      </c>
      <c r="K72" s="22">
        <f t="shared" si="8"/>
        <v>592</v>
      </c>
      <c r="L72" s="22">
        <f t="shared" si="9"/>
        <v>52</v>
      </c>
      <c r="M72" s="28">
        <f t="shared" si="10"/>
        <v>1022</v>
      </c>
      <c r="N72" s="24">
        <v>-1283</v>
      </c>
      <c r="O72" s="28">
        <f t="shared" si="2"/>
        <v>2305</v>
      </c>
      <c r="P72" s="22">
        <f t="shared" si="11"/>
        <v>510</v>
      </c>
      <c r="Q72" s="36"/>
      <c r="R72" s="30"/>
    </row>
    <row r="73" spans="1:18" x14ac:dyDescent="0.25">
      <c r="A73" s="21">
        <v>45842</v>
      </c>
      <c r="B73" s="22">
        <v>11</v>
      </c>
      <c r="C73" s="28">
        <f t="shared" si="3"/>
        <v>1016</v>
      </c>
      <c r="D73" s="24">
        <v>-1299</v>
      </c>
      <c r="E73" s="25">
        <v>3076</v>
      </c>
      <c r="F73" s="22">
        <f t="shared" si="5"/>
        <v>541</v>
      </c>
      <c r="G73" s="22">
        <f t="shared" si="6"/>
        <v>53</v>
      </c>
      <c r="H73" s="28">
        <f t="shared" si="7"/>
        <v>781</v>
      </c>
      <c r="I73" s="27">
        <v>-1471</v>
      </c>
      <c r="J73" s="28">
        <f t="shared" si="1"/>
        <v>2252</v>
      </c>
      <c r="K73" s="22">
        <f t="shared" si="8"/>
        <v>601</v>
      </c>
      <c r="L73" s="22">
        <f t="shared" si="9"/>
        <v>53</v>
      </c>
      <c r="M73" s="28">
        <f t="shared" si="10"/>
        <v>1017</v>
      </c>
      <c r="N73" s="24">
        <v>-1288</v>
      </c>
      <c r="O73" s="28">
        <f t="shared" si="2"/>
        <v>2305</v>
      </c>
      <c r="P73" s="22">
        <f t="shared" si="11"/>
        <v>515</v>
      </c>
      <c r="Q73" s="36"/>
      <c r="R73" s="30"/>
    </row>
    <row r="74" spans="1:18" x14ac:dyDescent="0.25">
      <c r="A74" s="21">
        <v>45843</v>
      </c>
      <c r="B74" s="22">
        <v>11</v>
      </c>
      <c r="C74" s="28">
        <f t="shared" si="3"/>
        <v>1008</v>
      </c>
      <c r="D74" s="24">
        <v>-1307</v>
      </c>
      <c r="E74" s="25">
        <v>3076</v>
      </c>
      <c r="F74" s="22">
        <f t="shared" si="5"/>
        <v>549</v>
      </c>
      <c r="G74" s="22">
        <f t="shared" si="6"/>
        <v>54</v>
      </c>
      <c r="H74" s="28">
        <f t="shared" si="7"/>
        <v>772</v>
      </c>
      <c r="I74" s="27">
        <v>-1480</v>
      </c>
      <c r="J74" s="28">
        <f t="shared" si="1"/>
        <v>2252</v>
      </c>
      <c r="K74" s="22">
        <f t="shared" si="8"/>
        <v>610</v>
      </c>
      <c r="L74" s="22">
        <f t="shared" si="9"/>
        <v>54</v>
      </c>
      <c r="M74" s="28">
        <f t="shared" si="10"/>
        <v>1012</v>
      </c>
      <c r="N74" s="24">
        <v>-1293</v>
      </c>
      <c r="O74" s="28">
        <f t="shared" si="2"/>
        <v>2305</v>
      </c>
      <c r="P74" s="22">
        <f t="shared" si="11"/>
        <v>520</v>
      </c>
      <c r="Q74" s="36"/>
      <c r="R74" s="30"/>
    </row>
    <row r="75" spans="1:18" x14ac:dyDescent="0.25">
      <c r="A75" s="21">
        <v>45844</v>
      </c>
      <c r="B75" s="22">
        <v>11</v>
      </c>
      <c r="C75" s="28">
        <f t="shared" si="3"/>
        <v>1000</v>
      </c>
      <c r="D75" s="24">
        <v>-1315</v>
      </c>
      <c r="E75" s="25">
        <v>3076</v>
      </c>
      <c r="F75" s="22">
        <f t="shared" si="5"/>
        <v>557</v>
      </c>
      <c r="G75" s="22">
        <f t="shared" si="6"/>
        <v>55</v>
      </c>
      <c r="H75" s="28">
        <f t="shared" si="7"/>
        <v>763</v>
      </c>
      <c r="I75" s="27">
        <v>-1489</v>
      </c>
      <c r="J75" s="28">
        <f t="shared" si="1"/>
        <v>2252</v>
      </c>
      <c r="K75" s="22">
        <f t="shared" si="8"/>
        <v>619</v>
      </c>
      <c r="L75" s="22">
        <f t="shared" si="9"/>
        <v>55</v>
      </c>
      <c r="M75" s="28">
        <f t="shared" si="10"/>
        <v>1007</v>
      </c>
      <c r="N75" s="24">
        <v>-1298</v>
      </c>
      <c r="O75" s="28">
        <f t="shared" si="2"/>
        <v>2305</v>
      </c>
      <c r="P75" s="22">
        <f t="shared" si="11"/>
        <v>525</v>
      </c>
      <c r="Q75" s="36"/>
      <c r="R75" s="30"/>
    </row>
    <row r="76" spans="1:18" x14ac:dyDescent="0.25">
      <c r="A76" s="21">
        <v>45845</v>
      </c>
      <c r="B76" s="22">
        <v>11</v>
      </c>
      <c r="C76" s="28">
        <f t="shared" si="3"/>
        <v>992</v>
      </c>
      <c r="D76" s="24">
        <v>-1323</v>
      </c>
      <c r="E76" s="25">
        <v>3076</v>
      </c>
      <c r="F76" s="22">
        <f t="shared" si="5"/>
        <v>565</v>
      </c>
      <c r="G76" s="22">
        <f t="shared" si="6"/>
        <v>56</v>
      </c>
      <c r="H76" s="28">
        <f t="shared" si="7"/>
        <v>754</v>
      </c>
      <c r="I76" s="27">
        <v>-1498</v>
      </c>
      <c r="J76" s="28">
        <f t="shared" si="1"/>
        <v>2252</v>
      </c>
      <c r="K76" s="22">
        <f t="shared" si="8"/>
        <v>628</v>
      </c>
      <c r="L76" s="22">
        <f t="shared" si="9"/>
        <v>56</v>
      </c>
      <c r="M76" s="28">
        <f t="shared" si="10"/>
        <v>1002</v>
      </c>
      <c r="N76" s="24">
        <v>-1303</v>
      </c>
      <c r="O76" s="28">
        <f t="shared" si="2"/>
        <v>2305</v>
      </c>
      <c r="P76" s="22">
        <f t="shared" si="11"/>
        <v>530</v>
      </c>
      <c r="Q76" s="36"/>
      <c r="R76" s="30"/>
    </row>
    <row r="77" spans="1:18" x14ac:dyDescent="0.25">
      <c r="A77" s="21">
        <v>45846</v>
      </c>
      <c r="B77" s="22">
        <v>11</v>
      </c>
      <c r="C77" s="28">
        <f t="shared" si="3"/>
        <v>984</v>
      </c>
      <c r="D77" s="24">
        <v>-1331</v>
      </c>
      <c r="E77" s="25">
        <v>3076</v>
      </c>
      <c r="F77" s="22">
        <f t="shared" si="5"/>
        <v>573</v>
      </c>
      <c r="G77" s="22">
        <f t="shared" si="6"/>
        <v>57</v>
      </c>
      <c r="H77" s="28">
        <f t="shared" si="7"/>
        <v>745</v>
      </c>
      <c r="I77" s="27">
        <v>-1507</v>
      </c>
      <c r="J77" s="28">
        <f t="shared" si="1"/>
        <v>2252</v>
      </c>
      <c r="K77" s="22">
        <f t="shared" si="8"/>
        <v>637</v>
      </c>
      <c r="L77" s="22">
        <f t="shared" si="9"/>
        <v>57</v>
      </c>
      <c r="M77" s="28">
        <f t="shared" si="10"/>
        <v>997</v>
      </c>
      <c r="N77" s="24">
        <v>-1308</v>
      </c>
      <c r="O77" s="28">
        <f t="shared" si="2"/>
        <v>2305</v>
      </c>
      <c r="P77" s="22">
        <f t="shared" si="11"/>
        <v>535</v>
      </c>
      <c r="Q77" s="36"/>
      <c r="R77" s="30"/>
    </row>
    <row r="78" spans="1:18" x14ac:dyDescent="0.25">
      <c r="A78" s="21">
        <v>45847</v>
      </c>
      <c r="B78" s="22">
        <v>11</v>
      </c>
      <c r="C78" s="28">
        <f t="shared" si="3"/>
        <v>976</v>
      </c>
      <c r="D78" s="24">
        <v>-1339</v>
      </c>
      <c r="E78" s="25">
        <v>3076</v>
      </c>
      <c r="F78" s="22">
        <f t="shared" si="5"/>
        <v>581</v>
      </c>
      <c r="G78" s="22">
        <f t="shared" si="6"/>
        <v>58</v>
      </c>
      <c r="H78" s="28">
        <f t="shared" si="7"/>
        <v>736</v>
      </c>
      <c r="I78" s="27">
        <v>-1516</v>
      </c>
      <c r="J78" s="28">
        <f t="shared" si="1"/>
        <v>2252</v>
      </c>
      <c r="K78" s="22">
        <f t="shared" si="8"/>
        <v>646</v>
      </c>
      <c r="L78" s="22">
        <f t="shared" si="9"/>
        <v>58</v>
      </c>
      <c r="M78" s="28">
        <f t="shared" si="10"/>
        <v>992</v>
      </c>
      <c r="N78" s="24">
        <v>-1313</v>
      </c>
      <c r="O78" s="28">
        <f t="shared" si="2"/>
        <v>2305</v>
      </c>
      <c r="P78" s="22">
        <f t="shared" si="11"/>
        <v>540</v>
      </c>
      <c r="Q78" s="36"/>
      <c r="R78" s="30"/>
    </row>
    <row r="79" spans="1:18" x14ac:dyDescent="0.25">
      <c r="A79" s="21">
        <v>45848</v>
      </c>
      <c r="B79" s="22">
        <v>11</v>
      </c>
      <c r="C79" s="28">
        <f t="shared" si="3"/>
        <v>968</v>
      </c>
      <c r="D79" s="24">
        <v>-1347</v>
      </c>
      <c r="E79" s="25">
        <v>3076</v>
      </c>
      <c r="F79" s="22">
        <f t="shared" si="5"/>
        <v>589</v>
      </c>
      <c r="G79" s="22">
        <f t="shared" si="6"/>
        <v>59</v>
      </c>
      <c r="H79" s="28">
        <f t="shared" si="7"/>
        <v>727</v>
      </c>
      <c r="I79" s="27">
        <v>-1525</v>
      </c>
      <c r="J79" s="28">
        <f t="shared" si="1"/>
        <v>2252</v>
      </c>
      <c r="K79" s="22">
        <f t="shared" si="8"/>
        <v>655</v>
      </c>
      <c r="L79" s="22">
        <f t="shared" si="9"/>
        <v>59</v>
      </c>
      <c r="M79" s="28">
        <f t="shared" si="10"/>
        <v>987</v>
      </c>
      <c r="N79" s="24">
        <v>-1318</v>
      </c>
      <c r="O79" s="28">
        <f t="shared" si="2"/>
        <v>2305</v>
      </c>
      <c r="P79" s="22">
        <f t="shared" si="11"/>
        <v>545</v>
      </c>
      <c r="Q79" s="36"/>
      <c r="R79" s="30"/>
    </row>
    <row r="80" spans="1:18" x14ac:dyDescent="0.25">
      <c r="A80" s="21">
        <v>45849</v>
      </c>
      <c r="B80" s="22">
        <v>11</v>
      </c>
      <c r="C80" s="28">
        <f t="shared" si="3"/>
        <v>960</v>
      </c>
      <c r="D80" s="24">
        <v>-1355</v>
      </c>
      <c r="E80" s="25">
        <v>3076</v>
      </c>
      <c r="F80" s="22">
        <f t="shared" si="5"/>
        <v>597</v>
      </c>
      <c r="G80" s="22">
        <f t="shared" si="6"/>
        <v>60</v>
      </c>
      <c r="H80" s="28">
        <f t="shared" si="7"/>
        <v>718</v>
      </c>
      <c r="I80" s="27">
        <v>-1534</v>
      </c>
      <c r="J80" s="28">
        <f t="shared" si="1"/>
        <v>2252</v>
      </c>
      <c r="K80" s="22">
        <f t="shared" si="8"/>
        <v>664</v>
      </c>
      <c r="L80" s="22">
        <f t="shared" si="9"/>
        <v>60</v>
      </c>
      <c r="M80" s="28">
        <f t="shared" si="10"/>
        <v>982</v>
      </c>
      <c r="N80" s="24">
        <v>-1323</v>
      </c>
      <c r="O80" s="28">
        <f t="shared" si="2"/>
        <v>2305</v>
      </c>
      <c r="P80" s="22">
        <f t="shared" si="11"/>
        <v>550</v>
      </c>
      <c r="Q80" s="36"/>
      <c r="R80" s="30"/>
    </row>
    <row r="81" spans="1:18" x14ac:dyDescent="0.25">
      <c r="A81" s="21">
        <v>45850</v>
      </c>
      <c r="B81" s="22">
        <v>11</v>
      </c>
      <c r="C81" s="28">
        <f t="shared" si="3"/>
        <v>952</v>
      </c>
      <c r="D81" s="24">
        <v>-1363</v>
      </c>
      <c r="E81" s="25">
        <v>3076</v>
      </c>
      <c r="F81" s="22">
        <f t="shared" si="5"/>
        <v>605</v>
      </c>
      <c r="G81" s="22">
        <f t="shared" si="6"/>
        <v>61</v>
      </c>
      <c r="H81" s="28">
        <f t="shared" si="7"/>
        <v>709</v>
      </c>
      <c r="I81" s="27">
        <v>-1543</v>
      </c>
      <c r="J81" s="28">
        <f t="shared" si="1"/>
        <v>2252</v>
      </c>
      <c r="K81" s="22">
        <f t="shared" si="8"/>
        <v>673</v>
      </c>
      <c r="L81" s="22">
        <f t="shared" si="9"/>
        <v>61</v>
      </c>
      <c r="M81" s="28">
        <f t="shared" si="10"/>
        <v>977</v>
      </c>
      <c r="N81" s="24">
        <v>-1328</v>
      </c>
      <c r="O81" s="28">
        <f t="shared" si="2"/>
        <v>2305</v>
      </c>
      <c r="P81" s="22">
        <f t="shared" si="11"/>
        <v>555</v>
      </c>
      <c r="Q81" s="36"/>
      <c r="R81" s="30"/>
    </row>
    <row r="82" spans="1:18" x14ac:dyDescent="0.25">
      <c r="A82" s="21">
        <v>45851</v>
      </c>
      <c r="B82" s="22">
        <v>11</v>
      </c>
      <c r="C82" s="28">
        <f t="shared" si="3"/>
        <v>944</v>
      </c>
      <c r="D82" s="24">
        <v>-1371</v>
      </c>
      <c r="E82" s="25">
        <v>3076</v>
      </c>
      <c r="F82" s="22">
        <f t="shared" si="5"/>
        <v>613</v>
      </c>
      <c r="G82" s="22">
        <f t="shared" si="6"/>
        <v>62</v>
      </c>
      <c r="H82" s="28">
        <f t="shared" si="7"/>
        <v>700</v>
      </c>
      <c r="I82" s="27">
        <v>-1552</v>
      </c>
      <c r="J82" s="28">
        <f t="shared" si="1"/>
        <v>2252</v>
      </c>
      <c r="K82" s="22">
        <f t="shared" si="8"/>
        <v>682</v>
      </c>
      <c r="L82" s="22">
        <f t="shared" si="9"/>
        <v>62</v>
      </c>
      <c r="M82" s="28">
        <f t="shared" si="10"/>
        <v>972</v>
      </c>
      <c r="N82" s="24">
        <v>-1333</v>
      </c>
      <c r="O82" s="28">
        <f t="shared" si="2"/>
        <v>2305</v>
      </c>
      <c r="P82" s="22">
        <f t="shared" si="11"/>
        <v>560</v>
      </c>
      <c r="Q82" s="36"/>
      <c r="R82" s="30"/>
    </row>
    <row r="83" spans="1:18" x14ac:dyDescent="0.25">
      <c r="A83" s="21">
        <v>45852</v>
      </c>
      <c r="B83" s="22">
        <v>11</v>
      </c>
      <c r="C83" s="28">
        <f t="shared" si="3"/>
        <v>936</v>
      </c>
      <c r="D83" s="24">
        <v>-1379</v>
      </c>
      <c r="E83" s="25">
        <v>3076</v>
      </c>
      <c r="F83" s="22">
        <f t="shared" si="5"/>
        <v>621</v>
      </c>
      <c r="G83" s="22">
        <f t="shared" si="6"/>
        <v>63</v>
      </c>
      <c r="H83" s="28">
        <f t="shared" si="7"/>
        <v>691</v>
      </c>
      <c r="I83" s="27">
        <v>-1561</v>
      </c>
      <c r="J83" s="28">
        <f t="shared" si="1"/>
        <v>2252</v>
      </c>
      <c r="K83" s="22">
        <f t="shared" si="8"/>
        <v>691</v>
      </c>
      <c r="L83" s="22">
        <f t="shared" si="9"/>
        <v>63</v>
      </c>
      <c r="M83" s="28">
        <f t="shared" si="10"/>
        <v>967</v>
      </c>
      <c r="N83" s="24">
        <v>-1338</v>
      </c>
      <c r="O83" s="28">
        <f t="shared" si="2"/>
        <v>2305</v>
      </c>
      <c r="P83" s="22">
        <f t="shared" si="11"/>
        <v>565</v>
      </c>
      <c r="Q83" s="36"/>
      <c r="R83" s="30"/>
    </row>
    <row r="84" spans="1:18" x14ac:dyDescent="0.25">
      <c r="A84" s="21">
        <v>45853</v>
      </c>
      <c r="B84" s="22">
        <v>11</v>
      </c>
      <c r="C84" s="28">
        <f t="shared" si="3"/>
        <v>928</v>
      </c>
      <c r="D84" s="24">
        <v>-1387</v>
      </c>
      <c r="E84" s="25">
        <v>3076</v>
      </c>
      <c r="F84" s="22">
        <f t="shared" si="5"/>
        <v>629</v>
      </c>
      <c r="G84" s="22">
        <f t="shared" si="6"/>
        <v>64</v>
      </c>
      <c r="H84" s="28">
        <f t="shared" si="7"/>
        <v>682</v>
      </c>
      <c r="I84" s="27">
        <v>-1570</v>
      </c>
      <c r="J84" s="28">
        <f t="shared" si="1"/>
        <v>2252</v>
      </c>
      <c r="K84" s="22">
        <f t="shared" si="8"/>
        <v>700</v>
      </c>
      <c r="L84" s="22">
        <f t="shared" si="9"/>
        <v>64</v>
      </c>
      <c r="M84" s="28">
        <f t="shared" si="10"/>
        <v>962</v>
      </c>
      <c r="N84" s="24">
        <v>-1343</v>
      </c>
      <c r="O84" s="28">
        <f t="shared" si="2"/>
        <v>2305</v>
      </c>
      <c r="P84" s="22">
        <f t="shared" si="11"/>
        <v>570</v>
      </c>
      <c r="Q84" s="36"/>
      <c r="R84" s="30"/>
    </row>
    <row r="85" spans="1:18" x14ac:dyDescent="0.25">
      <c r="A85" s="21">
        <v>45854</v>
      </c>
      <c r="B85" s="22">
        <v>11</v>
      </c>
      <c r="C85" s="28">
        <f t="shared" si="3"/>
        <v>920</v>
      </c>
      <c r="D85" s="24">
        <v>-1395</v>
      </c>
      <c r="E85" s="25">
        <v>3076</v>
      </c>
      <c r="F85" s="22">
        <f t="shared" si="5"/>
        <v>637</v>
      </c>
      <c r="G85" s="22">
        <f t="shared" si="6"/>
        <v>65</v>
      </c>
      <c r="H85" s="28">
        <f t="shared" si="7"/>
        <v>673</v>
      </c>
      <c r="I85" s="27">
        <v>-1579</v>
      </c>
      <c r="J85" s="28">
        <f t="shared" si="1"/>
        <v>2252</v>
      </c>
      <c r="K85" s="22">
        <f t="shared" si="8"/>
        <v>709</v>
      </c>
      <c r="L85" s="22">
        <f t="shared" si="9"/>
        <v>65</v>
      </c>
      <c r="M85" s="28">
        <f t="shared" si="10"/>
        <v>957</v>
      </c>
      <c r="N85" s="24">
        <v>-1348</v>
      </c>
      <c r="O85" s="28">
        <f t="shared" si="2"/>
        <v>2305</v>
      </c>
      <c r="P85" s="22">
        <f t="shared" si="11"/>
        <v>575</v>
      </c>
      <c r="Q85" s="36"/>
      <c r="R85" s="30"/>
    </row>
    <row r="86" spans="1:18" x14ac:dyDescent="0.25">
      <c r="A86" s="21">
        <v>45855</v>
      </c>
      <c r="B86" s="22">
        <v>11</v>
      </c>
      <c r="C86" s="28">
        <f t="shared" si="3"/>
        <v>912</v>
      </c>
      <c r="D86" s="24">
        <v>-1403</v>
      </c>
      <c r="E86" s="25">
        <v>3076</v>
      </c>
      <c r="F86" s="22">
        <f t="shared" si="5"/>
        <v>645</v>
      </c>
      <c r="G86" s="22">
        <f t="shared" si="6"/>
        <v>66</v>
      </c>
      <c r="H86" s="28">
        <f t="shared" si="7"/>
        <v>664</v>
      </c>
      <c r="I86" s="27">
        <v>-1588</v>
      </c>
      <c r="J86" s="28">
        <f t="shared" si="1"/>
        <v>2252</v>
      </c>
      <c r="K86" s="22">
        <f t="shared" si="8"/>
        <v>718</v>
      </c>
      <c r="L86" s="22">
        <f t="shared" si="9"/>
        <v>66</v>
      </c>
      <c r="M86" s="28">
        <f t="shared" si="10"/>
        <v>952</v>
      </c>
      <c r="N86" s="24">
        <v>-1353</v>
      </c>
      <c r="O86" s="28">
        <f t="shared" si="2"/>
        <v>2305</v>
      </c>
      <c r="P86" s="22">
        <f t="shared" si="11"/>
        <v>580</v>
      </c>
      <c r="Q86" s="36"/>
      <c r="R86" s="30"/>
    </row>
    <row r="87" spans="1:18" x14ac:dyDescent="0.25">
      <c r="A87" s="21">
        <v>45856</v>
      </c>
      <c r="B87" s="22">
        <v>11</v>
      </c>
      <c r="C87" s="28">
        <f t="shared" si="3"/>
        <v>904</v>
      </c>
      <c r="D87" s="24">
        <v>-1411</v>
      </c>
      <c r="E87" s="25">
        <v>3076</v>
      </c>
      <c r="F87" s="22">
        <f t="shared" si="5"/>
        <v>653</v>
      </c>
      <c r="G87" s="22">
        <f t="shared" si="6"/>
        <v>67</v>
      </c>
      <c r="H87" s="28">
        <f t="shared" si="7"/>
        <v>655</v>
      </c>
      <c r="I87" s="27">
        <v>-1597</v>
      </c>
      <c r="J87" s="28">
        <f t="shared" si="1"/>
        <v>2252</v>
      </c>
      <c r="K87" s="22">
        <f t="shared" si="8"/>
        <v>727</v>
      </c>
      <c r="L87" s="22">
        <f t="shared" si="9"/>
        <v>67</v>
      </c>
      <c r="M87" s="28">
        <f t="shared" si="10"/>
        <v>947</v>
      </c>
      <c r="N87" s="24">
        <v>-1358</v>
      </c>
      <c r="O87" s="28">
        <f t="shared" si="2"/>
        <v>2305</v>
      </c>
      <c r="P87" s="22">
        <f t="shared" si="11"/>
        <v>585</v>
      </c>
      <c r="Q87" s="36"/>
      <c r="R87" s="30"/>
    </row>
    <row r="88" spans="1:18" x14ac:dyDescent="0.25">
      <c r="A88" s="21">
        <v>45857</v>
      </c>
      <c r="B88" s="22">
        <v>11</v>
      </c>
      <c r="C88" s="28">
        <f t="shared" si="3"/>
        <v>896</v>
      </c>
      <c r="D88" s="24">
        <v>-1419</v>
      </c>
      <c r="E88" s="25">
        <v>3076</v>
      </c>
      <c r="F88" s="22">
        <f t="shared" si="5"/>
        <v>661</v>
      </c>
      <c r="G88" s="22">
        <f t="shared" si="6"/>
        <v>68</v>
      </c>
      <c r="H88" s="28">
        <f t="shared" si="7"/>
        <v>646</v>
      </c>
      <c r="I88" s="27">
        <v>-1606</v>
      </c>
      <c r="J88" s="28">
        <f t="shared" si="1"/>
        <v>2252</v>
      </c>
      <c r="K88" s="22">
        <f t="shared" si="8"/>
        <v>736</v>
      </c>
      <c r="L88" s="22">
        <f t="shared" si="9"/>
        <v>68</v>
      </c>
      <c r="M88" s="28">
        <f t="shared" si="10"/>
        <v>942</v>
      </c>
      <c r="N88" s="24">
        <v>-1363</v>
      </c>
      <c r="O88" s="28">
        <f t="shared" si="2"/>
        <v>2305</v>
      </c>
      <c r="P88" s="22">
        <f t="shared" si="11"/>
        <v>590</v>
      </c>
      <c r="Q88" s="36"/>
      <c r="R88" s="30"/>
    </row>
    <row r="89" spans="1:18" x14ac:dyDescent="0.25">
      <c r="A89" s="21">
        <v>45858</v>
      </c>
      <c r="B89" s="22">
        <v>11</v>
      </c>
      <c r="C89" s="28">
        <f t="shared" si="3"/>
        <v>888</v>
      </c>
      <c r="D89" s="24">
        <v>-1427</v>
      </c>
      <c r="E89" s="25">
        <v>3076</v>
      </c>
      <c r="F89" s="22">
        <f t="shared" si="5"/>
        <v>669</v>
      </c>
      <c r="G89" s="22">
        <f t="shared" si="6"/>
        <v>69</v>
      </c>
      <c r="H89" s="28">
        <f t="shared" si="7"/>
        <v>637</v>
      </c>
      <c r="I89" s="27">
        <v>-1615</v>
      </c>
      <c r="J89" s="28">
        <f t="shared" si="1"/>
        <v>2252</v>
      </c>
      <c r="K89" s="22">
        <f t="shared" si="8"/>
        <v>745</v>
      </c>
      <c r="L89" s="22">
        <f t="shared" si="9"/>
        <v>69</v>
      </c>
      <c r="M89" s="28">
        <f t="shared" si="10"/>
        <v>937</v>
      </c>
      <c r="N89" s="24">
        <v>-1368</v>
      </c>
      <c r="O89" s="28">
        <f t="shared" si="2"/>
        <v>2305</v>
      </c>
      <c r="P89" s="22">
        <f t="shared" si="11"/>
        <v>595</v>
      </c>
      <c r="Q89" s="36"/>
      <c r="R89" s="30"/>
    </row>
    <row r="90" spans="1:18" x14ac:dyDescent="0.25">
      <c r="A90" s="21">
        <v>45859</v>
      </c>
      <c r="B90" s="22">
        <v>11</v>
      </c>
      <c r="C90" s="28">
        <f t="shared" si="3"/>
        <v>880</v>
      </c>
      <c r="D90" s="24">
        <v>-1435</v>
      </c>
      <c r="E90" s="25">
        <v>3076</v>
      </c>
      <c r="F90" s="22">
        <f t="shared" si="5"/>
        <v>677</v>
      </c>
      <c r="G90" s="22">
        <f t="shared" si="6"/>
        <v>70</v>
      </c>
      <c r="H90" s="28">
        <f t="shared" si="7"/>
        <v>628</v>
      </c>
      <c r="I90" s="27">
        <v>-1624</v>
      </c>
      <c r="J90" s="28">
        <f t="shared" si="1"/>
        <v>2252</v>
      </c>
      <c r="K90" s="22">
        <f t="shared" si="8"/>
        <v>754</v>
      </c>
      <c r="L90" s="22">
        <f t="shared" si="9"/>
        <v>70</v>
      </c>
      <c r="M90" s="28">
        <f t="shared" si="10"/>
        <v>932</v>
      </c>
      <c r="N90" s="24">
        <v>-1373</v>
      </c>
      <c r="O90" s="28">
        <f t="shared" si="2"/>
        <v>2305</v>
      </c>
      <c r="P90" s="22">
        <f t="shared" si="11"/>
        <v>600</v>
      </c>
      <c r="Q90" s="36"/>
      <c r="R90" s="30"/>
    </row>
    <row r="91" spans="1:18" x14ac:dyDescent="0.25">
      <c r="A91" s="21">
        <v>45860</v>
      </c>
      <c r="B91" s="22">
        <v>11</v>
      </c>
      <c r="C91" s="28">
        <f t="shared" si="3"/>
        <v>872</v>
      </c>
      <c r="D91" s="24">
        <v>-1443</v>
      </c>
      <c r="E91" s="25">
        <v>3076</v>
      </c>
      <c r="F91" s="22">
        <f t="shared" si="5"/>
        <v>685</v>
      </c>
      <c r="G91" s="22">
        <f t="shared" si="6"/>
        <v>71</v>
      </c>
      <c r="H91" s="28">
        <f t="shared" si="7"/>
        <v>619</v>
      </c>
      <c r="I91" s="27">
        <v>-1633</v>
      </c>
      <c r="J91" s="28">
        <f t="shared" si="1"/>
        <v>2252</v>
      </c>
      <c r="K91" s="22">
        <f t="shared" si="8"/>
        <v>763</v>
      </c>
      <c r="L91" s="22">
        <f t="shared" si="9"/>
        <v>71</v>
      </c>
      <c r="M91" s="28">
        <f t="shared" si="10"/>
        <v>927</v>
      </c>
      <c r="N91" s="24">
        <v>-1378</v>
      </c>
      <c r="O91" s="28">
        <f t="shared" si="2"/>
        <v>2305</v>
      </c>
      <c r="P91" s="22">
        <f t="shared" si="11"/>
        <v>605</v>
      </c>
      <c r="Q91" s="36"/>
      <c r="R91" s="30"/>
    </row>
    <row r="92" spans="1:18" x14ac:dyDescent="0.25">
      <c r="A92" s="21">
        <v>45861</v>
      </c>
      <c r="B92" s="22">
        <v>11</v>
      </c>
      <c r="C92" s="28">
        <f t="shared" si="3"/>
        <v>864</v>
      </c>
      <c r="D92" s="24">
        <v>-1451</v>
      </c>
      <c r="E92" s="25">
        <v>3076</v>
      </c>
      <c r="F92" s="22">
        <f t="shared" si="5"/>
        <v>693</v>
      </c>
      <c r="G92" s="22">
        <f t="shared" si="6"/>
        <v>72</v>
      </c>
      <c r="H92" s="28">
        <f t="shared" si="7"/>
        <v>610</v>
      </c>
      <c r="I92" s="27">
        <v>-1642</v>
      </c>
      <c r="J92" s="28">
        <f t="shared" si="1"/>
        <v>2252</v>
      </c>
      <c r="K92" s="22">
        <f t="shared" si="8"/>
        <v>772</v>
      </c>
      <c r="L92" s="22">
        <f t="shared" si="9"/>
        <v>72</v>
      </c>
      <c r="M92" s="28">
        <f t="shared" si="10"/>
        <v>922</v>
      </c>
      <c r="N92" s="24">
        <v>-1383</v>
      </c>
      <c r="O92" s="28">
        <f t="shared" si="2"/>
        <v>2305</v>
      </c>
      <c r="P92" s="22">
        <f t="shared" si="11"/>
        <v>610</v>
      </c>
      <c r="Q92" s="36"/>
      <c r="R92" s="30"/>
    </row>
    <row r="93" spans="1:18" x14ac:dyDescent="0.25">
      <c r="A93" s="21">
        <v>45862</v>
      </c>
      <c r="B93" s="22">
        <v>11</v>
      </c>
      <c r="C93" s="28">
        <f t="shared" si="3"/>
        <v>856</v>
      </c>
      <c r="D93" s="24">
        <v>-1459</v>
      </c>
      <c r="E93" s="25">
        <v>3076</v>
      </c>
      <c r="F93" s="22">
        <f t="shared" si="5"/>
        <v>701</v>
      </c>
      <c r="G93" s="22">
        <f t="shared" si="6"/>
        <v>73</v>
      </c>
      <c r="H93" s="28">
        <f t="shared" si="7"/>
        <v>601</v>
      </c>
      <c r="I93" s="27">
        <v>-1651</v>
      </c>
      <c r="J93" s="28">
        <f t="shared" si="1"/>
        <v>2252</v>
      </c>
      <c r="K93" s="22">
        <f t="shared" si="8"/>
        <v>781</v>
      </c>
      <c r="L93" s="22">
        <f t="shared" si="9"/>
        <v>73</v>
      </c>
      <c r="M93" s="28">
        <f t="shared" si="10"/>
        <v>917</v>
      </c>
      <c r="N93" s="24">
        <v>-1388</v>
      </c>
      <c r="O93" s="28">
        <f t="shared" si="2"/>
        <v>2305</v>
      </c>
      <c r="P93" s="22">
        <f t="shared" si="11"/>
        <v>615</v>
      </c>
      <c r="Q93" s="36"/>
      <c r="R93" s="30"/>
    </row>
    <row r="94" spans="1:18" x14ac:dyDescent="0.25">
      <c r="A94" s="21">
        <v>45863</v>
      </c>
      <c r="B94" s="22">
        <v>11</v>
      </c>
      <c r="C94" s="28">
        <f t="shared" si="3"/>
        <v>848</v>
      </c>
      <c r="D94" s="24">
        <v>-1467</v>
      </c>
      <c r="E94" s="25">
        <v>3076</v>
      </c>
      <c r="F94" s="22">
        <f t="shared" si="5"/>
        <v>709</v>
      </c>
      <c r="G94" s="22">
        <f t="shared" si="6"/>
        <v>74</v>
      </c>
      <c r="H94" s="28">
        <f t="shared" si="7"/>
        <v>592</v>
      </c>
      <c r="I94" s="27">
        <v>-1660</v>
      </c>
      <c r="J94" s="28">
        <f t="shared" si="1"/>
        <v>2252</v>
      </c>
      <c r="K94" s="22">
        <f t="shared" si="8"/>
        <v>790</v>
      </c>
      <c r="L94" s="22">
        <f t="shared" si="9"/>
        <v>74</v>
      </c>
      <c r="M94" s="28">
        <f t="shared" si="10"/>
        <v>912</v>
      </c>
      <c r="N94" s="24">
        <v>-1393</v>
      </c>
      <c r="O94" s="28">
        <f t="shared" si="2"/>
        <v>2305</v>
      </c>
      <c r="P94" s="22">
        <f t="shared" si="11"/>
        <v>620</v>
      </c>
      <c r="Q94" s="36"/>
      <c r="R94" s="30"/>
    </row>
    <row r="95" spans="1:18" x14ac:dyDescent="0.25">
      <c r="A95" s="21">
        <v>45864</v>
      </c>
      <c r="B95" s="22">
        <v>11</v>
      </c>
      <c r="C95" s="28">
        <f t="shared" si="3"/>
        <v>840</v>
      </c>
      <c r="D95" s="24">
        <v>-1475</v>
      </c>
      <c r="E95" s="25">
        <v>3076</v>
      </c>
      <c r="F95" s="22">
        <f t="shared" si="5"/>
        <v>717</v>
      </c>
      <c r="G95" s="22">
        <f t="shared" si="6"/>
        <v>75</v>
      </c>
      <c r="H95" s="28">
        <f t="shared" si="7"/>
        <v>583</v>
      </c>
      <c r="I95" s="27">
        <v>-1669</v>
      </c>
      <c r="J95" s="28">
        <f t="shared" si="1"/>
        <v>2252</v>
      </c>
      <c r="K95" s="22">
        <f t="shared" si="8"/>
        <v>799</v>
      </c>
      <c r="L95" s="22">
        <f t="shared" si="9"/>
        <v>75</v>
      </c>
      <c r="M95" s="28">
        <f t="shared" si="10"/>
        <v>907</v>
      </c>
      <c r="N95" s="24">
        <v>-1398</v>
      </c>
      <c r="O95" s="28">
        <f t="shared" si="2"/>
        <v>2305</v>
      </c>
      <c r="P95" s="22">
        <f t="shared" si="11"/>
        <v>625</v>
      </c>
      <c r="Q95" s="36"/>
      <c r="R95" s="30"/>
    </row>
    <row r="96" spans="1:18" x14ac:dyDescent="0.25">
      <c r="A96" s="21">
        <v>45865</v>
      </c>
      <c r="B96" s="22">
        <v>11</v>
      </c>
      <c r="C96" s="25">
        <v>1402</v>
      </c>
      <c r="D96" s="24">
        <v>-1483</v>
      </c>
      <c r="E96" s="25">
        <v>3076</v>
      </c>
      <c r="F96" s="22">
        <f t="shared" si="5"/>
        <v>725</v>
      </c>
      <c r="G96" s="22">
        <f t="shared" si="6"/>
        <v>76</v>
      </c>
      <c r="H96" s="25">
        <v>1697</v>
      </c>
      <c r="I96" s="27">
        <v>-1678</v>
      </c>
      <c r="J96" s="28">
        <f t="shared" si="1"/>
        <v>3375</v>
      </c>
      <c r="K96" s="22">
        <f t="shared" si="8"/>
        <v>808</v>
      </c>
      <c r="L96" s="22">
        <f t="shared" si="9"/>
        <v>76</v>
      </c>
      <c r="M96" s="25">
        <v>1422</v>
      </c>
      <c r="N96" s="24">
        <v>-1403</v>
      </c>
      <c r="O96" s="28">
        <f t="shared" si="2"/>
        <v>2825</v>
      </c>
      <c r="P96" s="22">
        <f t="shared" si="11"/>
        <v>630</v>
      </c>
      <c r="Q96" s="36"/>
      <c r="R96" s="30"/>
    </row>
    <row r="97" spans="1:18" x14ac:dyDescent="0.25">
      <c r="A97" s="21"/>
      <c r="B97" s="22"/>
      <c r="C97" s="23"/>
      <c r="D97" s="24"/>
      <c r="E97" s="25"/>
      <c r="F97" s="22"/>
      <c r="G97" s="22"/>
      <c r="H97" s="28"/>
      <c r="I97" s="27"/>
      <c r="J97" s="28"/>
      <c r="K97" s="22"/>
      <c r="L97" s="22"/>
      <c r="M97" s="23"/>
      <c r="N97" s="24"/>
      <c r="O97" s="28"/>
      <c r="P97" s="22"/>
      <c r="Q97" s="36"/>
      <c r="R97" s="30"/>
    </row>
    <row r="98" spans="1:18" ht="12.75" x14ac:dyDescent="0.2">
      <c r="A98" s="37"/>
      <c r="B98" s="22"/>
      <c r="C98" s="38"/>
      <c r="D98" s="39"/>
      <c r="E98" s="40"/>
      <c r="F98" s="22"/>
      <c r="G98" s="22">
        <f t="shared" ref="G98:G100" si="12">B98</f>
        <v>0</v>
      </c>
      <c r="H98" s="40"/>
      <c r="I98" s="39"/>
      <c r="J98" s="28"/>
      <c r="K98" s="22"/>
      <c r="L98" s="22">
        <f t="shared" ref="L98:L100" si="13">B98</f>
        <v>0</v>
      </c>
      <c r="M98" s="38"/>
      <c r="N98" s="39"/>
      <c r="O98" s="41"/>
      <c r="P98" s="22"/>
      <c r="Q98" s="36"/>
      <c r="R98" s="30"/>
    </row>
    <row r="99" spans="1:18" ht="12.75" x14ac:dyDescent="0.2">
      <c r="A99" s="37"/>
      <c r="B99" s="22"/>
      <c r="C99" s="38"/>
      <c r="D99" s="39"/>
      <c r="E99" s="40"/>
      <c r="F99" s="22"/>
      <c r="G99" s="22">
        <f t="shared" si="12"/>
        <v>0</v>
      </c>
      <c r="H99" s="40"/>
      <c r="I99" s="39"/>
      <c r="J99" s="28"/>
      <c r="K99" s="22"/>
      <c r="L99" s="22">
        <f t="shared" si="13"/>
        <v>0</v>
      </c>
      <c r="M99" s="38"/>
      <c r="N99" s="39"/>
      <c r="O99" s="41"/>
      <c r="P99" s="22"/>
      <c r="Q99" s="36"/>
      <c r="R99" s="30"/>
    </row>
    <row r="100" spans="1:18" ht="12.75" x14ac:dyDescent="0.2">
      <c r="A100" s="37"/>
      <c r="B100" s="22"/>
      <c r="C100" s="38"/>
      <c r="D100" s="39"/>
      <c r="E100" s="40"/>
      <c r="F100" s="22"/>
      <c r="G100" s="22">
        <f t="shared" si="12"/>
        <v>0</v>
      </c>
      <c r="H100" s="40"/>
      <c r="I100" s="39"/>
      <c r="J100" s="40"/>
      <c r="K100" s="22"/>
      <c r="L100" s="22">
        <f t="shared" si="13"/>
        <v>0</v>
      </c>
      <c r="M100" s="38"/>
      <c r="N100" s="39"/>
      <c r="O100" s="41"/>
      <c r="P100" s="22"/>
      <c r="Q100" s="36"/>
      <c r="R100" s="30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00">
    <cfRule type="cellIs" dxfId="16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>
    <outlinePr summaryBelow="0" summaryRight="0"/>
  </sheetPr>
  <dimension ref="A1:R1060"/>
  <sheetViews>
    <sheetView topLeftCell="A159" workbookViewId="0">
      <selection activeCell="A170" sqref="A170:XFD179"/>
    </sheetView>
  </sheetViews>
  <sheetFormatPr defaultColWidth="14.42578125" defaultRowHeight="15" customHeight="1" x14ac:dyDescent="0.2"/>
  <cols>
    <col min="4" max="4" width="14" customWidth="1"/>
    <col min="5" max="5" width="13.140625" customWidth="1"/>
    <col min="6" max="8" width="12.5703125" customWidth="1"/>
    <col min="9" max="9" width="13.140625" customWidth="1"/>
    <col min="10" max="10" width="13.5703125" customWidth="1"/>
    <col min="11" max="11" width="13" customWidth="1"/>
    <col min="12" max="12" width="13.28515625" customWidth="1"/>
    <col min="13" max="13" width="13" customWidth="1"/>
    <col min="14" max="14" width="12.7109375" customWidth="1"/>
    <col min="15" max="15" width="13.42578125" customWidth="1"/>
    <col min="16" max="16" width="12.42578125" customWidth="1"/>
  </cols>
  <sheetData>
    <row r="1" spans="1:18" ht="1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(17/03/25)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1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2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4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7"/>
      <c r="J12" s="123"/>
      <c r="K12" s="10"/>
      <c r="L12" s="122"/>
      <c r="M12" s="123"/>
      <c r="N12" s="122"/>
      <c r="O12" s="123"/>
      <c r="P12" s="124" t="s">
        <v>80</v>
      </c>
      <c r="Q12" s="125"/>
      <c r="R12" s="126"/>
    </row>
    <row r="13" spans="1:18" ht="1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101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5" customHeight="1" x14ac:dyDescent="0.2">
      <c r="A14" s="1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81</v>
      </c>
      <c r="R16" s="112" t="s">
        <v>82</v>
      </c>
    </row>
    <row r="17" spans="1:18" ht="1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10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6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5" customHeight="1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20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x14ac:dyDescent="0.25">
      <c r="A21" s="21">
        <v>45733</v>
      </c>
      <c r="B21" s="22">
        <v>1</v>
      </c>
      <c r="C21" s="23">
        <v>1856</v>
      </c>
      <c r="D21" s="24">
        <v>-1220</v>
      </c>
      <c r="E21" s="25">
        <v>3076</v>
      </c>
      <c r="F21" s="22">
        <v>0</v>
      </c>
      <c r="G21" s="22">
        <v>1</v>
      </c>
      <c r="H21" s="25">
        <v>1812</v>
      </c>
      <c r="I21" s="27">
        <v>-1225</v>
      </c>
      <c r="J21" s="28">
        <f t="shared" ref="J21:J153" si="1">H21-I21</f>
        <v>3037</v>
      </c>
      <c r="K21" s="22">
        <v>0</v>
      </c>
      <c r="L21" s="22">
        <v>1</v>
      </c>
      <c r="M21" s="23">
        <v>1824</v>
      </c>
      <c r="N21" s="24">
        <v>-1067</v>
      </c>
      <c r="O21" s="28">
        <f t="shared" ref="O21:O153" si="2">M21-N21</f>
        <v>2891</v>
      </c>
      <c r="P21" s="22">
        <v>0</v>
      </c>
      <c r="Q21" s="29"/>
      <c r="R21" s="30"/>
    </row>
    <row r="22" spans="1:18" x14ac:dyDescent="0.25">
      <c r="A22" s="21">
        <v>45734</v>
      </c>
      <c r="B22" s="22">
        <f t="shared" ref="B22:B153" si="3">B21+1</f>
        <v>2</v>
      </c>
      <c r="C22" s="28">
        <f t="shared" ref="C22:C152" si="4">$C$21-F22</f>
        <v>1856</v>
      </c>
      <c r="D22" s="24">
        <v>-1220</v>
      </c>
      <c r="E22" s="25">
        <v>3076</v>
      </c>
      <c r="F22" s="22">
        <f t="shared" ref="F22:F153" si="5">$D$21-D22</f>
        <v>0</v>
      </c>
      <c r="G22" s="22">
        <f t="shared" ref="G22:G153" si="6">G21+1</f>
        <v>2</v>
      </c>
      <c r="H22" s="28">
        <f t="shared" ref="H22:H152" si="7">$H$21-K22</f>
        <v>1812</v>
      </c>
      <c r="I22" s="27">
        <v>-1225</v>
      </c>
      <c r="J22" s="28">
        <f t="shared" si="1"/>
        <v>3037</v>
      </c>
      <c r="K22" s="22">
        <f t="shared" ref="K22:K153" si="8">$I$21-I22</f>
        <v>0</v>
      </c>
      <c r="L22" s="22">
        <f t="shared" ref="L22:L153" si="9">L21+1</f>
        <v>2</v>
      </c>
      <c r="M22" s="28">
        <f t="shared" ref="M22:M152" si="10">$M$21-P22</f>
        <v>1824</v>
      </c>
      <c r="N22" s="24">
        <v>-1067</v>
      </c>
      <c r="O22" s="28">
        <f t="shared" si="2"/>
        <v>2891</v>
      </c>
      <c r="P22" s="22">
        <f t="shared" ref="P22:P153" si="11">$N$21-N22</f>
        <v>0</v>
      </c>
      <c r="Q22" s="29"/>
      <c r="R22" s="30"/>
    </row>
    <row r="23" spans="1:18" x14ac:dyDescent="0.25">
      <c r="A23" s="21">
        <v>45735</v>
      </c>
      <c r="B23" s="22">
        <f t="shared" si="3"/>
        <v>3</v>
      </c>
      <c r="C23" s="28">
        <f t="shared" si="4"/>
        <v>1856</v>
      </c>
      <c r="D23" s="24">
        <v>-1220</v>
      </c>
      <c r="E23" s="25">
        <v>3076</v>
      </c>
      <c r="F23" s="22">
        <f t="shared" si="5"/>
        <v>0</v>
      </c>
      <c r="G23" s="22">
        <f t="shared" si="6"/>
        <v>3</v>
      </c>
      <c r="H23" s="28">
        <f t="shared" si="7"/>
        <v>1812</v>
      </c>
      <c r="I23" s="27">
        <v>-1225</v>
      </c>
      <c r="J23" s="28">
        <f t="shared" si="1"/>
        <v>3037</v>
      </c>
      <c r="K23" s="22">
        <f t="shared" si="8"/>
        <v>0</v>
      </c>
      <c r="L23" s="22">
        <f t="shared" si="9"/>
        <v>3</v>
      </c>
      <c r="M23" s="28">
        <f t="shared" si="10"/>
        <v>1824</v>
      </c>
      <c r="N23" s="24">
        <v>-1067</v>
      </c>
      <c r="O23" s="28">
        <f t="shared" si="2"/>
        <v>2891</v>
      </c>
      <c r="P23" s="22">
        <f t="shared" si="11"/>
        <v>0</v>
      </c>
      <c r="Q23" s="29"/>
      <c r="R23" s="30"/>
    </row>
    <row r="24" spans="1:18" x14ac:dyDescent="0.25">
      <c r="A24" s="21">
        <v>45736</v>
      </c>
      <c r="B24" s="22">
        <f t="shared" si="3"/>
        <v>4</v>
      </c>
      <c r="C24" s="28">
        <f t="shared" si="4"/>
        <v>1856</v>
      </c>
      <c r="D24" s="24">
        <v>-1220</v>
      </c>
      <c r="E24" s="25">
        <v>3076</v>
      </c>
      <c r="F24" s="22">
        <f t="shared" si="5"/>
        <v>0</v>
      </c>
      <c r="G24" s="22">
        <f t="shared" si="6"/>
        <v>4</v>
      </c>
      <c r="H24" s="28">
        <f t="shared" si="7"/>
        <v>1812</v>
      </c>
      <c r="I24" s="27">
        <v>-1225</v>
      </c>
      <c r="J24" s="28">
        <f t="shared" si="1"/>
        <v>3037</v>
      </c>
      <c r="K24" s="22">
        <f t="shared" si="8"/>
        <v>0</v>
      </c>
      <c r="L24" s="22">
        <f t="shared" si="9"/>
        <v>4</v>
      </c>
      <c r="M24" s="28">
        <f t="shared" si="10"/>
        <v>1824</v>
      </c>
      <c r="N24" s="24">
        <v>-1067</v>
      </c>
      <c r="O24" s="28">
        <f t="shared" si="2"/>
        <v>2891</v>
      </c>
      <c r="P24" s="22">
        <f t="shared" si="11"/>
        <v>0</v>
      </c>
      <c r="Q24" s="29"/>
      <c r="R24" s="30"/>
    </row>
    <row r="25" spans="1:18" x14ac:dyDescent="0.25">
      <c r="A25" s="21">
        <v>45737</v>
      </c>
      <c r="B25" s="22">
        <f t="shared" si="3"/>
        <v>5</v>
      </c>
      <c r="C25" s="28">
        <f t="shared" si="4"/>
        <v>1821</v>
      </c>
      <c r="D25" s="24">
        <v>-1255</v>
      </c>
      <c r="E25" s="25">
        <v>3076</v>
      </c>
      <c r="F25" s="22">
        <f t="shared" si="5"/>
        <v>35</v>
      </c>
      <c r="G25" s="22">
        <f t="shared" si="6"/>
        <v>5</v>
      </c>
      <c r="H25" s="28">
        <f t="shared" si="7"/>
        <v>1782</v>
      </c>
      <c r="I25" s="27">
        <v>-1255</v>
      </c>
      <c r="J25" s="28">
        <f t="shared" si="1"/>
        <v>3037</v>
      </c>
      <c r="K25" s="22">
        <f t="shared" si="8"/>
        <v>30</v>
      </c>
      <c r="L25" s="22">
        <f t="shared" si="9"/>
        <v>5</v>
      </c>
      <c r="M25" s="28">
        <f t="shared" si="10"/>
        <v>1806</v>
      </c>
      <c r="N25" s="24">
        <v>-1085</v>
      </c>
      <c r="O25" s="28">
        <f t="shared" si="2"/>
        <v>2891</v>
      </c>
      <c r="P25" s="22">
        <f t="shared" si="11"/>
        <v>18</v>
      </c>
      <c r="Q25" s="29"/>
      <c r="R25" s="30"/>
    </row>
    <row r="26" spans="1:18" x14ac:dyDescent="0.25">
      <c r="A26" s="21">
        <v>45738</v>
      </c>
      <c r="B26" s="22">
        <f t="shared" si="3"/>
        <v>6</v>
      </c>
      <c r="C26" s="28">
        <f t="shared" si="4"/>
        <v>1791</v>
      </c>
      <c r="D26" s="24">
        <v>-1285</v>
      </c>
      <c r="E26" s="25">
        <v>3076</v>
      </c>
      <c r="F26" s="22">
        <f t="shared" si="5"/>
        <v>65</v>
      </c>
      <c r="G26" s="22">
        <f t="shared" si="6"/>
        <v>6</v>
      </c>
      <c r="H26" s="28">
        <f t="shared" si="7"/>
        <v>1752</v>
      </c>
      <c r="I26" s="27">
        <v>-1285</v>
      </c>
      <c r="J26" s="28">
        <f t="shared" si="1"/>
        <v>3037</v>
      </c>
      <c r="K26" s="22">
        <f t="shared" si="8"/>
        <v>60</v>
      </c>
      <c r="L26" s="22">
        <f t="shared" si="9"/>
        <v>6</v>
      </c>
      <c r="M26" s="28">
        <f t="shared" si="10"/>
        <v>1786</v>
      </c>
      <c r="N26" s="24">
        <v>-1105</v>
      </c>
      <c r="O26" s="28">
        <f t="shared" si="2"/>
        <v>2891</v>
      </c>
      <c r="P26" s="22">
        <f t="shared" si="11"/>
        <v>38</v>
      </c>
      <c r="Q26" s="29"/>
      <c r="R26" s="30"/>
    </row>
    <row r="27" spans="1:18" x14ac:dyDescent="0.25">
      <c r="A27" s="21">
        <v>45739</v>
      </c>
      <c r="B27" s="22">
        <f t="shared" si="3"/>
        <v>7</v>
      </c>
      <c r="C27" s="28">
        <f t="shared" si="4"/>
        <v>1761</v>
      </c>
      <c r="D27" s="24">
        <v>-1315</v>
      </c>
      <c r="E27" s="25">
        <v>3076</v>
      </c>
      <c r="F27" s="22">
        <f t="shared" si="5"/>
        <v>95</v>
      </c>
      <c r="G27" s="22">
        <f t="shared" si="6"/>
        <v>7</v>
      </c>
      <c r="H27" s="28">
        <f t="shared" si="7"/>
        <v>1722</v>
      </c>
      <c r="I27" s="27">
        <v>-1315</v>
      </c>
      <c r="J27" s="28">
        <f t="shared" si="1"/>
        <v>3037</v>
      </c>
      <c r="K27" s="22">
        <f t="shared" si="8"/>
        <v>90</v>
      </c>
      <c r="L27" s="22">
        <f t="shared" si="9"/>
        <v>7</v>
      </c>
      <c r="M27" s="28">
        <f t="shared" si="10"/>
        <v>1766</v>
      </c>
      <c r="N27" s="24">
        <v>-1125</v>
      </c>
      <c r="O27" s="28">
        <f t="shared" si="2"/>
        <v>2891</v>
      </c>
      <c r="P27" s="22">
        <f t="shared" si="11"/>
        <v>58</v>
      </c>
      <c r="Q27" s="29"/>
      <c r="R27" s="30"/>
    </row>
    <row r="28" spans="1:18" x14ac:dyDescent="0.25">
      <c r="A28" s="21">
        <v>45740</v>
      </c>
      <c r="B28" s="22">
        <f t="shared" si="3"/>
        <v>8</v>
      </c>
      <c r="C28" s="28">
        <f t="shared" si="4"/>
        <v>1736</v>
      </c>
      <c r="D28" s="24">
        <v>-1340</v>
      </c>
      <c r="E28" s="25">
        <v>3076</v>
      </c>
      <c r="F28" s="22">
        <f t="shared" si="5"/>
        <v>120</v>
      </c>
      <c r="G28" s="22">
        <f t="shared" si="6"/>
        <v>8</v>
      </c>
      <c r="H28" s="28">
        <f t="shared" si="7"/>
        <v>1697</v>
      </c>
      <c r="I28" s="27">
        <v>-1340</v>
      </c>
      <c r="J28" s="28">
        <f t="shared" si="1"/>
        <v>3037</v>
      </c>
      <c r="K28" s="22">
        <f t="shared" si="8"/>
        <v>115</v>
      </c>
      <c r="L28" s="22">
        <f t="shared" si="9"/>
        <v>8</v>
      </c>
      <c r="M28" s="28">
        <f t="shared" si="10"/>
        <v>1741</v>
      </c>
      <c r="N28" s="24">
        <v>-1150</v>
      </c>
      <c r="O28" s="28">
        <f t="shared" si="2"/>
        <v>2891</v>
      </c>
      <c r="P28" s="22">
        <f t="shared" si="11"/>
        <v>83</v>
      </c>
      <c r="Q28" s="29"/>
      <c r="R28" s="30"/>
    </row>
    <row r="29" spans="1:18" x14ac:dyDescent="0.25">
      <c r="A29" s="21">
        <v>45741</v>
      </c>
      <c r="B29" s="22">
        <f t="shared" si="3"/>
        <v>9</v>
      </c>
      <c r="C29" s="28">
        <f t="shared" si="4"/>
        <v>1709</v>
      </c>
      <c r="D29" s="24">
        <v>-1367</v>
      </c>
      <c r="E29" s="25">
        <v>3076</v>
      </c>
      <c r="F29" s="22">
        <f t="shared" si="5"/>
        <v>147</v>
      </c>
      <c r="G29" s="22">
        <f t="shared" si="6"/>
        <v>9</v>
      </c>
      <c r="H29" s="28">
        <f t="shared" si="7"/>
        <v>1670</v>
      </c>
      <c r="I29" s="27">
        <v>-1367</v>
      </c>
      <c r="J29" s="28">
        <f t="shared" si="1"/>
        <v>3037</v>
      </c>
      <c r="K29" s="22">
        <f t="shared" si="8"/>
        <v>142</v>
      </c>
      <c r="L29" s="22">
        <f t="shared" si="9"/>
        <v>9</v>
      </c>
      <c r="M29" s="28">
        <f t="shared" si="10"/>
        <v>1719</v>
      </c>
      <c r="N29" s="24">
        <v>-1172</v>
      </c>
      <c r="O29" s="28">
        <f t="shared" si="2"/>
        <v>2891</v>
      </c>
      <c r="P29" s="22">
        <f t="shared" si="11"/>
        <v>105</v>
      </c>
      <c r="Q29" s="29"/>
      <c r="R29" s="30"/>
    </row>
    <row r="30" spans="1:18" x14ac:dyDescent="0.25">
      <c r="A30" s="21">
        <v>45742</v>
      </c>
      <c r="B30" s="22">
        <f t="shared" si="3"/>
        <v>10</v>
      </c>
      <c r="C30" s="28">
        <f t="shared" si="4"/>
        <v>1693</v>
      </c>
      <c r="D30" s="24">
        <v>-1383</v>
      </c>
      <c r="E30" s="25">
        <v>3076</v>
      </c>
      <c r="F30" s="22">
        <f t="shared" si="5"/>
        <v>163</v>
      </c>
      <c r="G30" s="22">
        <f t="shared" si="6"/>
        <v>10</v>
      </c>
      <c r="H30" s="28">
        <f t="shared" si="7"/>
        <v>1657</v>
      </c>
      <c r="I30" s="27">
        <v>-1380</v>
      </c>
      <c r="J30" s="28">
        <f t="shared" si="1"/>
        <v>3037</v>
      </c>
      <c r="K30" s="22">
        <f t="shared" si="8"/>
        <v>155</v>
      </c>
      <c r="L30" s="22">
        <f t="shared" si="9"/>
        <v>10</v>
      </c>
      <c r="M30" s="28">
        <f t="shared" si="10"/>
        <v>1701</v>
      </c>
      <c r="N30" s="24">
        <v>-1190</v>
      </c>
      <c r="O30" s="28">
        <f t="shared" si="2"/>
        <v>2891</v>
      </c>
      <c r="P30" s="22">
        <f t="shared" si="11"/>
        <v>123</v>
      </c>
      <c r="Q30" s="29"/>
      <c r="R30" s="30"/>
    </row>
    <row r="31" spans="1:18" x14ac:dyDescent="0.25">
      <c r="A31" s="21">
        <v>45743</v>
      </c>
      <c r="B31" s="22">
        <f t="shared" si="3"/>
        <v>11</v>
      </c>
      <c r="C31" s="28">
        <f t="shared" si="4"/>
        <v>1682</v>
      </c>
      <c r="D31" s="24">
        <v>-1394</v>
      </c>
      <c r="E31" s="25">
        <v>3076</v>
      </c>
      <c r="F31" s="22">
        <f t="shared" si="5"/>
        <v>174</v>
      </c>
      <c r="G31" s="22">
        <f t="shared" si="6"/>
        <v>11</v>
      </c>
      <c r="H31" s="28">
        <f t="shared" si="7"/>
        <v>1642</v>
      </c>
      <c r="I31" s="27">
        <v>-1395</v>
      </c>
      <c r="J31" s="28">
        <f t="shared" si="1"/>
        <v>3037</v>
      </c>
      <c r="K31" s="22">
        <f t="shared" si="8"/>
        <v>170</v>
      </c>
      <c r="L31" s="22">
        <f t="shared" si="9"/>
        <v>11</v>
      </c>
      <c r="M31" s="28">
        <f t="shared" si="10"/>
        <v>1696</v>
      </c>
      <c r="N31" s="24">
        <v>-1195</v>
      </c>
      <c r="O31" s="28">
        <f t="shared" si="2"/>
        <v>2891</v>
      </c>
      <c r="P31" s="22">
        <f t="shared" si="11"/>
        <v>128</v>
      </c>
      <c r="Q31" s="29"/>
      <c r="R31" s="30"/>
    </row>
    <row r="32" spans="1:18" x14ac:dyDescent="0.25">
      <c r="A32" s="21">
        <v>45744</v>
      </c>
      <c r="B32" s="22">
        <f t="shared" si="3"/>
        <v>12</v>
      </c>
      <c r="C32" s="28">
        <f t="shared" si="4"/>
        <v>1661</v>
      </c>
      <c r="D32" s="24">
        <v>-1415</v>
      </c>
      <c r="E32" s="25">
        <v>3076</v>
      </c>
      <c r="F32" s="22">
        <f t="shared" si="5"/>
        <v>195</v>
      </c>
      <c r="G32" s="22">
        <f t="shared" si="6"/>
        <v>12</v>
      </c>
      <c r="H32" s="28">
        <f t="shared" si="7"/>
        <v>1624</v>
      </c>
      <c r="I32" s="27">
        <v>-1413</v>
      </c>
      <c r="J32" s="28">
        <f t="shared" si="1"/>
        <v>3037</v>
      </c>
      <c r="K32" s="22">
        <f t="shared" si="8"/>
        <v>188</v>
      </c>
      <c r="L32" s="22">
        <f t="shared" si="9"/>
        <v>12</v>
      </c>
      <c r="M32" s="28">
        <f t="shared" si="10"/>
        <v>1687</v>
      </c>
      <c r="N32" s="24">
        <v>-1204</v>
      </c>
      <c r="O32" s="28">
        <f t="shared" si="2"/>
        <v>2891</v>
      </c>
      <c r="P32" s="22">
        <f t="shared" si="11"/>
        <v>137</v>
      </c>
      <c r="Q32" s="29"/>
      <c r="R32" s="30"/>
    </row>
    <row r="33" spans="1:18" x14ac:dyDescent="0.25">
      <c r="A33" s="21">
        <v>45745</v>
      </c>
      <c r="B33" s="22">
        <f t="shared" si="3"/>
        <v>13</v>
      </c>
      <c r="C33" s="28">
        <f t="shared" si="4"/>
        <v>1671</v>
      </c>
      <c r="D33" s="24">
        <v>-1405</v>
      </c>
      <c r="E33" s="25">
        <v>3076</v>
      </c>
      <c r="F33" s="22">
        <f t="shared" si="5"/>
        <v>185</v>
      </c>
      <c r="G33" s="22">
        <f t="shared" si="6"/>
        <v>13</v>
      </c>
      <c r="H33" s="28">
        <f t="shared" si="7"/>
        <v>1615</v>
      </c>
      <c r="I33" s="27">
        <v>-1422</v>
      </c>
      <c r="J33" s="28">
        <f t="shared" si="1"/>
        <v>3037</v>
      </c>
      <c r="K33" s="22">
        <f t="shared" si="8"/>
        <v>197</v>
      </c>
      <c r="L33" s="22">
        <f t="shared" si="9"/>
        <v>13</v>
      </c>
      <c r="M33" s="28">
        <f t="shared" si="10"/>
        <v>1680</v>
      </c>
      <c r="N33" s="24">
        <v>-1211</v>
      </c>
      <c r="O33" s="28">
        <f t="shared" si="2"/>
        <v>2891</v>
      </c>
      <c r="P33" s="22">
        <f t="shared" si="11"/>
        <v>144</v>
      </c>
      <c r="Q33" s="29"/>
      <c r="R33" s="30"/>
    </row>
    <row r="34" spans="1:18" x14ac:dyDescent="0.25">
      <c r="A34" s="21">
        <v>45746</v>
      </c>
      <c r="B34" s="22">
        <f t="shared" si="3"/>
        <v>14</v>
      </c>
      <c r="C34" s="28">
        <f t="shared" si="4"/>
        <v>1651</v>
      </c>
      <c r="D34" s="24">
        <v>-1425</v>
      </c>
      <c r="E34" s="25">
        <v>3076</v>
      </c>
      <c r="F34" s="22">
        <f t="shared" si="5"/>
        <v>205</v>
      </c>
      <c r="G34" s="22">
        <f t="shared" si="6"/>
        <v>14</v>
      </c>
      <c r="H34" s="28">
        <f t="shared" si="7"/>
        <v>1606</v>
      </c>
      <c r="I34" s="27">
        <v>-1431</v>
      </c>
      <c r="J34" s="28">
        <f t="shared" si="1"/>
        <v>3037</v>
      </c>
      <c r="K34" s="22">
        <f t="shared" si="8"/>
        <v>206</v>
      </c>
      <c r="L34" s="22">
        <f t="shared" si="9"/>
        <v>14</v>
      </c>
      <c r="M34" s="28">
        <f t="shared" si="10"/>
        <v>1673</v>
      </c>
      <c r="N34" s="24">
        <v>-1218</v>
      </c>
      <c r="O34" s="28">
        <f t="shared" si="2"/>
        <v>2891</v>
      </c>
      <c r="P34" s="22">
        <f t="shared" si="11"/>
        <v>151</v>
      </c>
      <c r="Q34" s="29"/>
      <c r="R34" s="30"/>
    </row>
    <row r="35" spans="1:18" x14ac:dyDescent="0.25">
      <c r="A35" s="21">
        <v>45747</v>
      </c>
      <c r="B35" s="22">
        <f t="shared" si="3"/>
        <v>15</v>
      </c>
      <c r="C35" s="28">
        <f t="shared" si="4"/>
        <v>1641</v>
      </c>
      <c r="D35" s="24">
        <v>-1435</v>
      </c>
      <c r="E35" s="25">
        <v>3076</v>
      </c>
      <c r="F35" s="22">
        <f t="shared" si="5"/>
        <v>215</v>
      </c>
      <c r="G35" s="22">
        <f t="shared" si="6"/>
        <v>15</v>
      </c>
      <c r="H35" s="28">
        <f t="shared" si="7"/>
        <v>1597</v>
      </c>
      <c r="I35" s="27">
        <v>-1440</v>
      </c>
      <c r="J35" s="28">
        <f t="shared" si="1"/>
        <v>3037</v>
      </c>
      <c r="K35" s="22">
        <f t="shared" si="8"/>
        <v>215</v>
      </c>
      <c r="L35" s="22">
        <f t="shared" si="9"/>
        <v>15</v>
      </c>
      <c r="M35" s="28">
        <f t="shared" si="10"/>
        <v>1666</v>
      </c>
      <c r="N35" s="24">
        <v>-1225</v>
      </c>
      <c r="O35" s="28">
        <f t="shared" si="2"/>
        <v>2891</v>
      </c>
      <c r="P35" s="22">
        <f t="shared" si="11"/>
        <v>158</v>
      </c>
      <c r="Q35" s="36"/>
      <c r="R35" s="30"/>
    </row>
    <row r="36" spans="1:18" x14ac:dyDescent="0.25">
      <c r="A36" s="21">
        <v>45748</v>
      </c>
      <c r="B36" s="22">
        <f t="shared" si="3"/>
        <v>16</v>
      </c>
      <c r="C36" s="28">
        <f t="shared" si="4"/>
        <v>1634</v>
      </c>
      <c r="D36" s="24">
        <v>-1442</v>
      </c>
      <c r="E36" s="25">
        <v>3076</v>
      </c>
      <c r="F36" s="22">
        <f t="shared" si="5"/>
        <v>222</v>
      </c>
      <c r="G36" s="22">
        <f t="shared" si="6"/>
        <v>16</v>
      </c>
      <c r="H36" s="28">
        <f t="shared" si="7"/>
        <v>1587</v>
      </c>
      <c r="I36" s="27">
        <v>-1450</v>
      </c>
      <c r="J36" s="28">
        <f t="shared" si="1"/>
        <v>3037</v>
      </c>
      <c r="K36" s="22">
        <f t="shared" si="8"/>
        <v>225</v>
      </c>
      <c r="L36" s="22">
        <f t="shared" si="9"/>
        <v>16</v>
      </c>
      <c r="M36" s="28">
        <f t="shared" si="10"/>
        <v>1657</v>
      </c>
      <c r="N36" s="24">
        <v>-1234</v>
      </c>
      <c r="O36" s="28">
        <f t="shared" si="2"/>
        <v>2891</v>
      </c>
      <c r="P36" s="22">
        <f t="shared" si="11"/>
        <v>167</v>
      </c>
      <c r="Q36" s="36"/>
      <c r="R36" s="30"/>
    </row>
    <row r="37" spans="1:18" x14ac:dyDescent="0.25">
      <c r="A37" s="21">
        <v>45749</v>
      </c>
      <c r="B37" s="22">
        <f t="shared" si="3"/>
        <v>17</v>
      </c>
      <c r="C37" s="28">
        <f t="shared" si="4"/>
        <v>1626</v>
      </c>
      <c r="D37" s="24">
        <v>-1450</v>
      </c>
      <c r="E37" s="25">
        <v>3076</v>
      </c>
      <c r="F37" s="22">
        <f t="shared" si="5"/>
        <v>230</v>
      </c>
      <c r="G37" s="22">
        <f t="shared" si="6"/>
        <v>17</v>
      </c>
      <c r="H37" s="28">
        <f t="shared" si="7"/>
        <v>1577</v>
      </c>
      <c r="I37" s="27">
        <v>-1460</v>
      </c>
      <c r="J37" s="28">
        <f t="shared" si="1"/>
        <v>3037</v>
      </c>
      <c r="K37" s="22">
        <f t="shared" si="8"/>
        <v>235</v>
      </c>
      <c r="L37" s="22">
        <f t="shared" si="9"/>
        <v>17</v>
      </c>
      <c r="M37" s="28">
        <f t="shared" si="10"/>
        <v>1650</v>
      </c>
      <c r="N37" s="24">
        <v>-1241</v>
      </c>
      <c r="O37" s="28">
        <f t="shared" si="2"/>
        <v>2891</v>
      </c>
      <c r="P37" s="22">
        <f t="shared" si="11"/>
        <v>174</v>
      </c>
      <c r="Q37" s="36"/>
      <c r="R37" s="30"/>
    </row>
    <row r="38" spans="1:18" x14ac:dyDescent="0.25">
      <c r="A38" s="21">
        <v>45750</v>
      </c>
      <c r="B38" s="22">
        <f t="shared" si="3"/>
        <v>18</v>
      </c>
      <c r="C38" s="28">
        <f t="shared" si="4"/>
        <v>1614</v>
      </c>
      <c r="D38" s="24">
        <v>-1462</v>
      </c>
      <c r="E38" s="25">
        <v>3076</v>
      </c>
      <c r="F38" s="22">
        <f t="shared" si="5"/>
        <v>242</v>
      </c>
      <c r="G38" s="22">
        <f t="shared" si="6"/>
        <v>18</v>
      </c>
      <c r="H38" s="28">
        <f t="shared" si="7"/>
        <v>1566</v>
      </c>
      <c r="I38" s="27">
        <v>-1471</v>
      </c>
      <c r="J38" s="28">
        <f t="shared" si="1"/>
        <v>3037</v>
      </c>
      <c r="K38" s="22">
        <f t="shared" si="8"/>
        <v>246</v>
      </c>
      <c r="L38" s="22">
        <f t="shared" si="9"/>
        <v>18</v>
      </c>
      <c r="M38" s="28">
        <f t="shared" si="10"/>
        <v>1643</v>
      </c>
      <c r="N38" s="24">
        <v>-1248</v>
      </c>
      <c r="O38" s="28">
        <f t="shared" si="2"/>
        <v>2891</v>
      </c>
      <c r="P38" s="22">
        <f t="shared" si="11"/>
        <v>181</v>
      </c>
      <c r="Q38" s="36"/>
      <c r="R38" s="30"/>
    </row>
    <row r="39" spans="1:18" x14ac:dyDescent="0.25">
      <c r="A39" s="21">
        <v>45751</v>
      </c>
      <c r="B39" s="22">
        <f t="shared" si="3"/>
        <v>19</v>
      </c>
      <c r="C39" s="28">
        <f t="shared" si="4"/>
        <v>1606</v>
      </c>
      <c r="D39" s="24">
        <v>-1470</v>
      </c>
      <c r="E39" s="25">
        <v>3076</v>
      </c>
      <c r="F39" s="22">
        <f t="shared" si="5"/>
        <v>250</v>
      </c>
      <c r="G39" s="22">
        <f t="shared" si="6"/>
        <v>19</v>
      </c>
      <c r="H39" s="28">
        <f t="shared" si="7"/>
        <v>1555</v>
      </c>
      <c r="I39" s="27">
        <v>-1482</v>
      </c>
      <c r="J39" s="28">
        <f t="shared" si="1"/>
        <v>3037</v>
      </c>
      <c r="K39" s="22">
        <f t="shared" si="8"/>
        <v>257</v>
      </c>
      <c r="L39" s="22">
        <f t="shared" si="9"/>
        <v>19</v>
      </c>
      <c r="M39" s="28">
        <f t="shared" si="10"/>
        <v>1636</v>
      </c>
      <c r="N39" s="24">
        <v>-1255</v>
      </c>
      <c r="O39" s="28">
        <f t="shared" si="2"/>
        <v>2891</v>
      </c>
      <c r="P39" s="22">
        <f t="shared" si="11"/>
        <v>188</v>
      </c>
      <c r="Q39" s="36"/>
      <c r="R39" s="30"/>
    </row>
    <row r="40" spans="1:18" x14ac:dyDescent="0.25">
      <c r="A40" s="21">
        <v>45752</v>
      </c>
      <c r="B40" s="22">
        <f t="shared" si="3"/>
        <v>20</v>
      </c>
      <c r="C40" s="28">
        <f t="shared" si="4"/>
        <v>1596</v>
      </c>
      <c r="D40" s="24">
        <v>-1480</v>
      </c>
      <c r="E40" s="25">
        <v>3076</v>
      </c>
      <c r="F40" s="22">
        <f t="shared" si="5"/>
        <v>260</v>
      </c>
      <c r="G40" s="22">
        <f t="shared" si="6"/>
        <v>20</v>
      </c>
      <c r="H40" s="28">
        <f t="shared" si="7"/>
        <v>1547</v>
      </c>
      <c r="I40" s="27">
        <v>-1490</v>
      </c>
      <c r="J40" s="28">
        <f t="shared" si="1"/>
        <v>3037</v>
      </c>
      <c r="K40" s="22">
        <f t="shared" si="8"/>
        <v>265</v>
      </c>
      <c r="L40" s="22">
        <f t="shared" si="9"/>
        <v>20</v>
      </c>
      <c r="M40" s="28">
        <f t="shared" si="10"/>
        <v>1630</v>
      </c>
      <c r="N40" s="24">
        <v>-1261</v>
      </c>
      <c r="O40" s="28">
        <f t="shared" si="2"/>
        <v>2891</v>
      </c>
      <c r="P40" s="22">
        <f t="shared" si="11"/>
        <v>194</v>
      </c>
      <c r="Q40" s="36"/>
      <c r="R40" s="30"/>
    </row>
    <row r="41" spans="1:18" x14ac:dyDescent="0.25">
      <c r="A41" s="21">
        <v>45753</v>
      </c>
      <c r="B41" s="22">
        <f t="shared" si="3"/>
        <v>21</v>
      </c>
      <c r="C41" s="28">
        <f t="shared" si="4"/>
        <v>1588</v>
      </c>
      <c r="D41" s="24">
        <v>-1488</v>
      </c>
      <c r="E41" s="25">
        <v>3076</v>
      </c>
      <c r="F41" s="22">
        <f t="shared" si="5"/>
        <v>268</v>
      </c>
      <c r="G41" s="22">
        <f t="shared" si="6"/>
        <v>21</v>
      </c>
      <c r="H41" s="28">
        <f t="shared" si="7"/>
        <v>1539</v>
      </c>
      <c r="I41" s="27">
        <v>-1498</v>
      </c>
      <c r="J41" s="28">
        <f t="shared" si="1"/>
        <v>3037</v>
      </c>
      <c r="K41" s="22">
        <f t="shared" si="8"/>
        <v>273</v>
      </c>
      <c r="L41" s="22">
        <f t="shared" si="9"/>
        <v>21</v>
      </c>
      <c r="M41" s="28">
        <f t="shared" si="10"/>
        <v>1624</v>
      </c>
      <c r="N41" s="24">
        <v>-1267</v>
      </c>
      <c r="O41" s="28">
        <f t="shared" si="2"/>
        <v>2891</v>
      </c>
      <c r="P41" s="22">
        <f t="shared" si="11"/>
        <v>200</v>
      </c>
      <c r="Q41" s="36"/>
      <c r="R41" s="30"/>
    </row>
    <row r="42" spans="1:18" x14ac:dyDescent="0.25">
      <c r="A42" s="21">
        <v>45754</v>
      </c>
      <c r="B42" s="22">
        <f t="shared" si="3"/>
        <v>22</v>
      </c>
      <c r="C42" s="28">
        <f t="shared" si="4"/>
        <v>1580</v>
      </c>
      <c r="D42" s="24">
        <v>-1496</v>
      </c>
      <c r="E42" s="25">
        <v>3076</v>
      </c>
      <c r="F42" s="22">
        <f t="shared" si="5"/>
        <v>276</v>
      </c>
      <c r="G42" s="22">
        <f t="shared" si="6"/>
        <v>22</v>
      </c>
      <c r="H42" s="28">
        <f t="shared" si="7"/>
        <v>1532</v>
      </c>
      <c r="I42" s="27">
        <v>-1505</v>
      </c>
      <c r="J42" s="28">
        <f t="shared" si="1"/>
        <v>3037</v>
      </c>
      <c r="K42" s="22">
        <f t="shared" si="8"/>
        <v>280</v>
      </c>
      <c r="L42" s="22">
        <f t="shared" si="9"/>
        <v>22</v>
      </c>
      <c r="M42" s="28">
        <f t="shared" si="10"/>
        <v>1623</v>
      </c>
      <c r="N42" s="24">
        <v>-1268</v>
      </c>
      <c r="O42" s="28">
        <f t="shared" si="2"/>
        <v>2891</v>
      </c>
      <c r="P42" s="22">
        <f t="shared" si="11"/>
        <v>201</v>
      </c>
      <c r="Q42" s="36"/>
      <c r="R42" s="30"/>
    </row>
    <row r="43" spans="1:18" x14ac:dyDescent="0.25">
      <c r="A43" s="21">
        <v>45755</v>
      </c>
      <c r="B43" s="22">
        <f t="shared" si="3"/>
        <v>23</v>
      </c>
      <c r="C43" s="28">
        <f t="shared" si="4"/>
        <v>1561</v>
      </c>
      <c r="D43" s="24">
        <v>-1515</v>
      </c>
      <c r="E43" s="25">
        <v>3076</v>
      </c>
      <c r="F43" s="22">
        <f t="shared" si="5"/>
        <v>295</v>
      </c>
      <c r="G43" s="22">
        <f t="shared" si="6"/>
        <v>23</v>
      </c>
      <c r="H43" s="28">
        <f t="shared" si="7"/>
        <v>1512</v>
      </c>
      <c r="I43" s="27">
        <v>-1525</v>
      </c>
      <c r="J43" s="28">
        <f t="shared" si="1"/>
        <v>3037</v>
      </c>
      <c r="K43" s="22">
        <f t="shared" si="8"/>
        <v>300</v>
      </c>
      <c r="L43" s="22">
        <f t="shared" si="9"/>
        <v>23</v>
      </c>
      <c r="M43" s="28">
        <f t="shared" si="10"/>
        <v>1621</v>
      </c>
      <c r="N43" s="24">
        <v>-1270</v>
      </c>
      <c r="O43" s="28">
        <f t="shared" si="2"/>
        <v>2891</v>
      </c>
      <c r="P43" s="22">
        <f t="shared" si="11"/>
        <v>203</v>
      </c>
      <c r="Q43" s="36"/>
      <c r="R43" s="30"/>
    </row>
    <row r="44" spans="1:18" x14ac:dyDescent="0.25">
      <c r="A44" s="21">
        <v>45756</v>
      </c>
      <c r="B44" s="22">
        <f t="shared" si="3"/>
        <v>24</v>
      </c>
      <c r="C44" s="28">
        <f t="shared" si="4"/>
        <v>1545</v>
      </c>
      <c r="D44" s="24">
        <v>-1531</v>
      </c>
      <c r="E44" s="25">
        <v>3076</v>
      </c>
      <c r="F44" s="22">
        <f t="shared" si="5"/>
        <v>311</v>
      </c>
      <c r="G44" s="22">
        <f t="shared" si="6"/>
        <v>24</v>
      </c>
      <c r="H44" s="28">
        <f t="shared" si="7"/>
        <v>1497</v>
      </c>
      <c r="I44" s="27">
        <v>-1540</v>
      </c>
      <c r="J44" s="28">
        <f t="shared" si="1"/>
        <v>3037</v>
      </c>
      <c r="K44" s="22">
        <f t="shared" si="8"/>
        <v>315</v>
      </c>
      <c r="L44" s="22">
        <f t="shared" si="9"/>
        <v>24</v>
      </c>
      <c r="M44" s="28">
        <f t="shared" si="10"/>
        <v>1611</v>
      </c>
      <c r="N44" s="24">
        <v>-1280</v>
      </c>
      <c r="O44" s="28">
        <f t="shared" si="2"/>
        <v>2891</v>
      </c>
      <c r="P44" s="22">
        <f t="shared" si="11"/>
        <v>213</v>
      </c>
      <c r="Q44" s="36"/>
      <c r="R44" s="30"/>
    </row>
    <row r="45" spans="1:18" x14ac:dyDescent="0.25">
      <c r="A45" s="21">
        <v>45757</v>
      </c>
      <c r="B45" s="22">
        <f t="shared" si="3"/>
        <v>25</v>
      </c>
      <c r="C45" s="28">
        <f t="shared" si="4"/>
        <v>1530</v>
      </c>
      <c r="D45" s="24">
        <v>-1546</v>
      </c>
      <c r="E45" s="25">
        <v>3076</v>
      </c>
      <c r="F45" s="22">
        <f t="shared" si="5"/>
        <v>326</v>
      </c>
      <c r="G45" s="22">
        <f t="shared" si="6"/>
        <v>25</v>
      </c>
      <c r="H45" s="28">
        <f t="shared" si="7"/>
        <v>1487</v>
      </c>
      <c r="I45" s="27">
        <v>-1550</v>
      </c>
      <c r="J45" s="28">
        <f t="shared" si="1"/>
        <v>3037</v>
      </c>
      <c r="K45" s="22">
        <f t="shared" si="8"/>
        <v>325</v>
      </c>
      <c r="L45" s="22">
        <f t="shared" si="9"/>
        <v>25</v>
      </c>
      <c r="M45" s="28">
        <f t="shared" si="10"/>
        <v>1601</v>
      </c>
      <c r="N45" s="24">
        <v>-1290</v>
      </c>
      <c r="O45" s="28">
        <f t="shared" si="2"/>
        <v>2891</v>
      </c>
      <c r="P45" s="22">
        <f t="shared" si="11"/>
        <v>223</v>
      </c>
      <c r="Q45" s="36"/>
      <c r="R45" s="30"/>
    </row>
    <row r="46" spans="1:18" x14ac:dyDescent="0.25">
      <c r="A46" s="21">
        <v>45758</v>
      </c>
      <c r="B46" s="22">
        <f t="shared" si="3"/>
        <v>26</v>
      </c>
      <c r="C46" s="28">
        <f t="shared" si="4"/>
        <v>1521</v>
      </c>
      <c r="D46" s="24">
        <v>-1555</v>
      </c>
      <c r="E46" s="25">
        <v>3076</v>
      </c>
      <c r="F46" s="22">
        <f t="shared" si="5"/>
        <v>335</v>
      </c>
      <c r="G46" s="22">
        <f t="shared" si="6"/>
        <v>26</v>
      </c>
      <c r="H46" s="28">
        <f t="shared" si="7"/>
        <v>1477</v>
      </c>
      <c r="I46" s="27">
        <v>-1560</v>
      </c>
      <c r="J46" s="28">
        <f t="shared" si="1"/>
        <v>3037</v>
      </c>
      <c r="K46" s="22">
        <f t="shared" si="8"/>
        <v>335</v>
      </c>
      <c r="L46" s="22">
        <f t="shared" si="9"/>
        <v>26</v>
      </c>
      <c r="M46" s="28">
        <f t="shared" si="10"/>
        <v>1591</v>
      </c>
      <c r="N46" s="24">
        <v>-1300</v>
      </c>
      <c r="O46" s="28">
        <f t="shared" si="2"/>
        <v>2891</v>
      </c>
      <c r="P46" s="22">
        <f t="shared" si="11"/>
        <v>233</v>
      </c>
      <c r="Q46" s="36"/>
      <c r="R46" s="30"/>
    </row>
    <row r="47" spans="1:18" x14ac:dyDescent="0.25">
      <c r="A47" s="21">
        <v>45759</v>
      </c>
      <c r="B47" s="22">
        <f t="shared" si="3"/>
        <v>27</v>
      </c>
      <c r="C47" s="28">
        <f t="shared" si="4"/>
        <v>1516</v>
      </c>
      <c r="D47" s="24">
        <v>-1560</v>
      </c>
      <c r="E47" s="25">
        <v>3076</v>
      </c>
      <c r="F47" s="22">
        <f t="shared" si="5"/>
        <v>340</v>
      </c>
      <c r="G47" s="22">
        <f t="shared" si="6"/>
        <v>27</v>
      </c>
      <c r="H47" s="28">
        <f t="shared" si="7"/>
        <v>1467</v>
      </c>
      <c r="I47" s="27">
        <v>-1570</v>
      </c>
      <c r="J47" s="28">
        <f t="shared" si="1"/>
        <v>3037</v>
      </c>
      <c r="K47" s="22">
        <f t="shared" si="8"/>
        <v>345</v>
      </c>
      <c r="L47" s="22">
        <f t="shared" si="9"/>
        <v>27</v>
      </c>
      <c r="M47" s="28">
        <f t="shared" si="10"/>
        <v>1581</v>
      </c>
      <c r="N47" s="24">
        <v>-1310</v>
      </c>
      <c r="O47" s="28">
        <f t="shared" si="2"/>
        <v>2891</v>
      </c>
      <c r="P47" s="22">
        <f t="shared" si="11"/>
        <v>243</v>
      </c>
      <c r="Q47" s="36"/>
      <c r="R47" s="30"/>
    </row>
    <row r="48" spans="1:18" x14ac:dyDescent="0.25">
      <c r="A48" s="21">
        <v>45760</v>
      </c>
      <c r="B48" s="22">
        <f t="shared" si="3"/>
        <v>28</v>
      </c>
      <c r="C48" s="28">
        <f t="shared" si="4"/>
        <v>1511</v>
      </c>
      <c r="D48" s="24">
        <v>-1565</v>
      </c>
      <c r="E48" s="25">
        <v>3076</v>
      </c>
      <c r="F48" s="22">
        <f t="shared" si="5"/>
        <v>345</v>
      </c>
      <c r="G48" s="22">
        <f t="shared" si="6"/>
        <v>28</v>
      </c>
      <c r="H48" s="28">
        <f t="shared" si="7"/>
        <v>1457</v>
      </c>
      <c r="I48" s="27">
        <v>-1580</v>
      </c>
      <c r="J48" s="28">
        <f t="shared" si="1"/>
        <v>3037</v>
      </c>
      <c r="K48" s="22">
        <f t="shared" si="8"/>
        <v>355</v>
      </c>
      <c r="L48" s="22">
        <f t="shared" si="9"/>
        <v>28</v>
      </c>
      <c r="M48" s="28">
        <f t="shared" si="10"/>
        <v>1571</v>
      </c>
      <c r="N48" s="24">
        <v>-1320</v>
      </c>
      <c r="O48" s="28">
        <f t="shared" si="2"/>
        <v>2891</v>
      </c>
      <c r="P48" s="22">
        <f t="shared" si="11"/>
        <v>253</v>
      </c>
      <c r="Q48" s="36"/>
      <c r="R48" s="30"/>
    </row>
    <row r="49" spans="1:18" x14ac:dyDescent="0.25">
      <c r="A49" s="21">
        <v>45761</v>
      </c>
      <c r="B49" s="22">
        <f t="shared" si="3"/>
        <v>29</v>
      </c>
      <c r="C49" s="28">
        <f t="shared" si="4"/>
        <v>1506</v>
      </c>
      <c r="D49" s="24">
        <v>-1570</v>
      </c>
      <c r="E49" s="25">
        <v>3076</v>
      </c>
      <c r="F49" s="22">
        <f t="shared" si="5"/>
        <v>350</v>
      </c>
      <c r="G49" s="22">
        <f t="shared" si="6"/>
        <v>29</v>
      </c>
      <c r="H49" s="28">
        <f t="shared" si="7"/>
        <v>1447</v>
      </c>
      <c r="I49" s="27">
        <v>-1590</v>
      </c>
      <c r="J49" s="28">
        <f t="shared" si="1"/>
        <v>3037</v>
      </c>
      <c r="K49" s="22">
        <f t="shared" si="8"/>
        <v>365</v>
      </c>
      <c r="L49" s="22">
        <f t="shared" si="9"/>
        <v>29</v>
      </c>
      <c r="M49" s="28">
        <f t="shared" si="10"/>
        <v>1561</v>
      </c>
      <c r="N49" s="24">
        <v>-1330</v>
      </c>
      <c r="O49" s="28">
        <f t="shared" si="2"/>
        <v>2891</v>
      </c>
      <c r="P49" s="22">
        <f t="shared" si="11"/>
        <v>263</v>
      </c>
      <c r="Q49" s="36"/>
      <c r="R49" s="30"/>
    </row>
    <row r="50" spans="1:18" x14ac:dyDescent="0.25">
      <c r="A50" s="21">
        <v>45762</v>
      </c>
      <c r="B50" s="22">
        <f t="shared" si="3"/>
        <v>30</v>
      </c>
      <c r="C50" s="28">
        <f t="shared" si="4"/>
        <v>1501</v>
      </c>
      <c r="D50" s="24">
        <v>-1575</v>
      </c>
      <c r="E50" s="25">
        <v>3076</v>
      </c>
      <c r="F50" s="22">
        <f t="shared" si="5"/>
        <v>355</v>
      </c>
      <c r="G50" s="22">
        <f t="shared" si="6"/>
        <v>30</v>
      </c>
      <c r="H50" s="28">
        <f t="shared" si="7"/>
        <v>1437</v>
      </c>
      <c r="I50" s="27">
        <v>-1600</v>
      </c>
      <c r="J50" s="28">
        <f t="shared" si="1"/>
        <v>3037</v>
      </c>
      <c r="K50" s="22">
        <f t="shared" si="8"/>
        <v>375</v>
      </c>
      <c r="L50" s="22">
        <f t="shared" si="9"/>
        <v>30</v>
      </c>
      <c r="M50" s="28">
        <f t="shared" si="10"/>
        <v>1551</v>
      </c>
      <c r="N50" s="24">
        <v>-1340</v>
      </c>
      <c r="O50" s="28">
        <f t="shared" si="2"/>
        <v>2891</v>
      </c>
      <c r="P50" s="22">
        <f t="shared" si="11"/>
        <v>273</v>
      </c>
      <c r="Q50" s="36"/>
      <c r="R50" s="30"/>
    </row>
    <row r="51" spans="1:18" x14ac:dyDescent="0.25">
      <c r="A51" s="21">
        <v>45763</v>
      </c>
      <c r="B51" s="22">
        <f t="shared" si="3"/>
        <v>31</v>
      </c>
      <c r="C51" s="28">
        <f t="shared" si="4"/>
        <v>1496</v>
      </c>
      <c r="D51" s="24">
        <v>-1580</v>
      </c>
      <c r="E51" s="25">
        <v>3076</v>
      </c>
      <c r="F51" s="22">
        <f t="shared" si="5"/>
        <v>360</v>
      </c>
      <c r="G51" s="22">
        <f t="shared" si="6"/>
        <v>31</v>
      </c>
      <c r="H51" s="28">
        <f t="shared" si="7"/>
        <v>1427</v>
      </c>
      <c r="I51" s="27">
        <v>-1610</v>
      </c>
      <c r="J51" s="28">
        <f t="shared" si="1"/>
        <v>3037</v>
      </c>
      <c r="K51" s="22">
        <f t="shared" si="8"/>
        <v>385</v>
      </c>
      <c r="L51" s="22">
        <f t="shared" si="9"/>
        <v>31</v>
      </c>
      <c r="M51" s="28">
        <f t="shared" si="10"/>
        <v>1543</v>
      </c>
      <c r="N51" s="24">
        <v>-1348</v>
      </c>
      <c r="O51" s="28">
        <f t="shared" si="2"/>
        <v>2891</v>
      </c>
      <c r="P51" s="22">
        <f t="shared" si="11"/>
        <v>281</v>
      </c>
      <c r="Q51" s="36"/>
      <c r="R51" s="30"/>
    </row>
    <row r="52" spans="1:18" x14ac:dyDescent="0.25">
      <c r="A52" s="21">
        <v>45764</v>
      </c>
      <c r="B52" s="22">
        <f t="shared" si="3"/>
        <v>32</v>
      </c>
      <c r="C52" s="28">
        <f t="shared" si="4"/>
        <v>1489</v>
      </c>
      <c r="D52" s="24">
        <v>-1587</v>
      </c>
      <c r="E52" s="25">
        <v>3076</v>
      </c>
      <c r="F52" s="22">
        <f t="shared" si="5"/>
        <v>367</v>
      </c>
      <c r="G52" s="22">
        <f t="shared" si="6"/>
        <v>32</v>
      </c>
      <c r="H52" s="28">
        <f t="shared" si="7"/>
        <v>1417</v>
      </c>
      <c r="I52" s="27">
        <v>-1620</v>
      </c>
      <c r="J52" s="28">
        <f t="shared" si="1"/>
        <v>3037</v>
      </c>
      <c r="K52" s="22">
        <f t="shared" si="8"/>
        <v>395</v>
      </c>
      <c r="L52" s="22">
        <f t="shared" si="9"/>
        <v>32</v>
      </c>
      <c r="M52" s="28">
        <f t="shared" si="10"/>
        <v>1535</v>
      </c>
      <c r="N52" s="24">
        <v>-1356</v>
      </c>
      <c r="O52" s="28">
        <f t="shared" si="2"/>
        <v>2891</v>
      </c>
      <c r="P52" s="22">
        <f t="shared" si="11"/>
        <v>289</v>
      </c>
      <c r="Q52" s="36"/>
      <c r="R52" s="30"/>
    </row>
    <row r="53" spans="1:18" x14ac:dyDescent="0.25">
      <c r="A53" s="21">
        <v>45765</v>
      </c>
      <c r="B53" s="22">
        <f t="shared" si="3"/>
        <v>33</v>
      </c>
      <c r="C53" s="28">
        <f t="shared" si="4"/>
        <v>1482</v>
      </c>
      <c r="D53" s="24">
        <v>-1594</v>
      </c>
      <c r="E53" s="25">
        <v>3076</v>
      </c>
      <c r="F53" s="22">
        <f t="shared" si="5"/>
        <v>374</v>
      </c>
      <c r="G53" s="22">
        <f t="shared" si="6"/>
        <v>33</v>
      </c>
      <c r="H53" s="28">
        <f t="shared" si="7"/>
        <v>1410</v>
      </c>
      <c r="I53" s="27">
        <v>-1627</v>
      </c>
      <c r="J53" s="28">
        <f t="shared" si="1"/>
        <v>3037</v>
      </c>
      <c r="K53" s="22">
        <f t="shared" si="8"/>
        <v>402</v>
      </c>
      <c r="L53" s="22">
        <f t="shared" si="9"/>
        <v>33</v>
      </c>
      <c r="M53" s="28">
        <f t="shared" si="10"/>
        <v>1531</v>
      </c>
      <c r="N53" s="24">
        <v>-1360</v>
      </c>
      <c r="O53" s="28">
        <f t="shared" si="2"/>
        <v>2891</v>
      </c>
      <c r="P53" s="22">
        <f t="shared" si="11"/>
        <v>293</v>
      </c>
      <c r="Q53" s="36"/>
      <c r="R53" s="30"/>
    </row>
    <row r="54" spans="1:18" x14ac:dyDescent="0.25">
      <c r="A54" s="21">
        <v>45766</v>
      </c>
      <c r="B54" s="22">
        <f t="shared" si="3"/>
        <v>34</v>
      </c>
      <c r="C54" s="28">
        <f t="shared" si="4"/>
        <v>1476</v>
      </c>
      <c r="D54" s="24">
        <v>-1600</v>
      </c>
      <c r="E54" s="25">
        <v>3076</v>
      </c>
      <c r="F54" s="22">
        <f t="shared" si="5"/>
        <v>380</v>
      </c>
      <c r="G54" s="22">
        <f t="shared" si="6"/>
        <v>34</v>
      </c>
      <c r="H54" s="28">
        <f t="shared" si="7"/>
        <v>1403</v>
      </c>
      <c r="I54" s="27">
        <v>-1634</v>
      </c>
      <c r="J54" s="28">
        <f t="shared" si="1"/>
        <v>3037</v>
      </c>
      <c r="K54" s="22">
        <f t="shared" si="8"/>
        <v>409</v>
      </c>
      <c r="L54" s="22">
        <f t="shared" si="9"/>
        <v>34</v>
      </c>
      <c r="M54" s="28">
        <f t="shared" si="10"/>
        <v>1525</v>
      </c>
      <c r="N54" s="24">
        <v>-1366</v>
      </c>
      <c r="O54" s="28">
        <f t="shared" si="2"/>
        <v>2891</v>
      </c>
      <c r="P54" s="22">
        <f t="shared" si="11"/>
        <v>299</v>
      </c>
      <c r="Q54" s="36"/>
      <c r="R54" s="30"/>
    </row>
    <row r="55" spans="1:18" x14ac:dyDescent="0.25">
      <c r="A55" s="21">
        <v>45767</v>
      </c>
      <c r="B55" s="22">
        <f t="shared" si="3"/>
        <v>35</v>
      </c>
      <c r="C55" s="28">
        <f t="shared" si="4"/>
        <v>1471</v>
      </c>
      <c r="D55" s="24">
        <v>-1605</v>
      </c>
      <c r="E55" s="25">
        <v>3076</v>
      </c>
      <c r="F55" s="22">
        <f t="shared" si="5"/>
        <v>385</v>
      </c>
      <c r="G55" s="22">
        <f t="shared" si="6"/>
        <v>35</v>
      </c>
      <c r="H55" s="28">
        <f t="shared" si="7"/>
        <v>1395</v>
      </c>
      <c r="I55" s="27">
        <v>-1642</v>
      </c>
      <c r="J55" s="28">
        <f t="shared" si="1"/>
        <v>3037</v>
      </c>
      <c r="K55" s="22">
        <f t="shared" si="8"/>
        <v>417</v>
      </c>
      <c r="L55" s="22">
        <f t="shared" si="9"/>
        <v>35</v>
      </c>
      <c r="M55" s="28">
        <f t="shared" si="10"/>
        <v>1519</v>
      </c>
      <c r="N55" s="24">
        <v>-1372</v>
      </c>
      <c r="O55" s="28">
        <f t="shared" si="2"/>
        <v>2891</v>
      </c>
      <c r="P55" s="22">
        <f t="shared" si="11"/>
        <v>305</v>
      </c>
      <c r="Q55" s="36"/>
      <c r="R55" s="30"/>
    </row>
    <row r="56" spans="1:18" x14ac:dyDescent="0.25">
      <c r="A56" s="21">
        <v>45768</v>
      </c>
      <c r="B56" s="22">
        <f t="shared" si="3"/>
        <v>36</v>
      </c>
      <c r="C56" s="28">
        <f t="shared" si="4"/>
        <v>1463</v>
      </c>
      <c r="D56" s="24">
        <v>-1613</v>
      </c>
      <c r="E56" s="25">
        <v>3076</v>
      </c>
      <c r="F56" s="22">
        <f t="shared" si="5"/>
        <v>393</v>
      </c>
      <c r="G56" s="22">
        <f t="shared" si="6"/>
        <v>36</v>
      </c>
      <c r="H56" s="28">
        <f t="shared" si="7"/>
        <v>1387</v>
      </c>
      <c r="I56" s="27">
        <v>-1650</v>
      </c>
      <c r="J56" s="28">
        <f t="shared" si="1"/>
        <v>3037</v>
      </c>
      <c r="K56" s="22">
        <f t="shared" si="8"/>
        <v>425</v>
      </c>
      <c r="L56" s="22">
        <f t="shared" si="9"/>
        <v>36</v>
      </c>
      <c r="M56" s="28">
        <f t="shared" si="10"/>
        <v>1513</v>
      </c>
      <c r="N56" s="24">
        <v>-1378</v>
      </c>
      <c r="O56" s="28">
        <f t="shared" si="2"/>
        <v>2891</v>
      </c>
      <c r="P56" s="22">
        <f t="shared" si="11"/>
        <v>311</v>
      </c>
      <c r="Q56" s="36"/>
      <c r="R56" s="30"/>
    </row>
    <row r="57" spans="1:18" x14ac:dyDescent="0.25">
      <c r="A57" s="21">
        <v>45769</v>
      </c>
      <c r="B57" s="22">
        <f t="shared" si="3"/>
        <v>37</v>
      </c>
      <c r="C57" s="28">
        <f t="shared" si="4"/>
        <v>1451</v>
      </c>
      <c r="D57" s="24">
        <v>-1625</v>
      </c>
      <c r="E57" s="25">
        <v>3076</v>
      </c>
      <c r="F57" s="22">
        <f t="shared" si="5"/>
        <v>405</v>
      </c>
      <c r="G57" s="22">
        <f t="shared" si="6"/>
        <v>37</v>
      </c>
      <c r="H57" s="28">
        <f t="shared" si="7"/>
        <v>1380</v>
      </c>
      <c r="I57" s="27">
        <v>-1657</v>
      </c>
      <c r="J57" s="28">
        <f t="shared" si="1"/>
        <v>3037</v>
      </c>
      <c r="K57" s="22">
        <f t="shared" si="8"/>
        <v>432</v>
      </c>
      <c r="L57" s="22">
        <f t="shared" si="9"/>
        <v>37</v>
      </c>
      <c r="M57" s="28">
        <f t="shared" si="10"/>
        <v>1507</v>
      </c>
      <c r="N57" s="24">
        <v>-1384</v>
      </c>
      <c r="O57" s="28">
        <f t="shared" si="2"/>
        <v>2891</v>
      </c>
      <c r="P57" s="22">
        <f t="shared" si="11"/>
        <v>317</v>
      </c>
      <c r="Q57" s="36"/>
      <c r="R57" s="30"/>
    </row>
    <row r="58" spans="1:18" x14ac:dyDescent="0.25">
      <c r="A58" s="21">
        <v>45770</v>
      </c>
      <c r="B58" s="22">
        <f t="shared" si="3"/>
        <v>38</v>
      </c>
      <c r="C58" s="28">
        <f t="shared" si="4"/>
        <v>1445</v>
      </c>
      <c r="D58" s="24">
        <v>-1631</v>
      </c>
      <c r="E58" s="25">
        <v>3076</v>
      </c>
      <c r="F58" s="22">
        <f t="shared" si="5"/>
        <v>411</v>
      </c>
      <c r="G58" s="22">
        <f t="shared" si="6"/>
        <v>38</v>
      </c>
      <c r="H58" s="28">
        <f t="shared" si="7"/>
        <v>1373</v>
      </c>
      <c r="I58" s="27">
        <v>-1664</v>
      </c>
      <c r="J58" s="28">
        <f t="shared" si="1"/>
        <v>3037</v>
      </c>
      <c r="K58" s="22">
        <f t="shared" si="8"/>
        <v>439</v>
      </c>
      <c r="L58" s="22">
        <f t="shared" si="9"/>
        <v>38</v>
      </c>
      <c r="M58" s="28">
        <f t="shared" si="10"/>
        <v>1501</v>
      </c>
      <c r="N58" s="24">
        <v>-1390</v>
      </c>
      <c r="O58" s="28">
        <f t="shared" si="2"/>
        <v>2891</v>
      </c>
      <c r="P58" s="22">
        <f t="shared" si="11"/>
        <v>323</v>
      </c>
      <c r="Q58" s="36"/>
      <c r="R58" s="30"/>
    </row>
    <row r="59" spans="1:18" x14ac:dyDescent="0.25">
      <c r="A59" s="21">
        <v>45771</v>
      </c>
      <c r="B59" s="22">
        <f t="shared" si="3"/>
        <v>39</v>
      </c>
      <c r="C59" s="28">
        <f t="shared" si="4"/>
        <v>1440</v>
      </c>
      <c r="D59" s="24">
        <v>-1636</v>
      </c>
      <c r="E59" s="25">
        <v>3076</v>
      </c>
      <c r="F59" s="22">
        <f t="shared" si="5"/>
        <v>416</v>
      </c>
      <c r="G59" s="22">
        <f t="shared" si="6"/>
        <v>39</v>
      </c>
      <c r="H59" s="28">
        <f t="shared" si="7"/>
        <v>1366</v>
      </c>
      <c r="I59" s="27">
        <v>-1671</v>
      </c>
      <c r="J59" s="28">
        <f t="shared" si="1"/>
        <v>3037</v>
      </c>
      <c r="K59" s="22">
        <f t="shared" si="8"/>
        <v>446</v>
      </c>
      <c r="L59" s="22">
        <f t="shared" si="9"/>
        <v>39</v>
      </c>
      <c r="M59" s="28">
        <f t="shared" si="10"/>
        <v>1494</v>
      </c>
      <c r="N59" s="24">
        <v>-1397</v>
      </c>
      <c r="O59" s="28">
        <f t="shared" si="2"/>
        <v>2891</v>
      </c>
      <c r="P59" s="22">
        <f t="shared" si="11"/>
        <v>330</v>
      </c>
      <c r="Q59" s="36"/>
      <c r="R59" s="30"/>
    </row>
    <row r="60" spans="1:18" x14ac:dyDescent="0.25">
      <c r="A60" s="21">
        <v>45772</v>
      </c>
      <c r="B60" s="22">
        <f t="shared" si="3"/>
        <v>40</v>
      </c>
      <c r="C60" s="28">
        <f t="shared" si="4"/>
        <v>1428</v>
      </c>
      <c r="D60" s="24">
        <v>-1648</v>
      </c>
      <c r="E60" s="25">
        <v>3076</v>
      </c>
      <c r="F60" s="22">
        <f t="shared" si="5"/>
        <v>428</v>
      </c>
      <c r="G60" s="22">
        <f t="shared" si="6"/>
        <v>40</v>
      </c>
      <c r="H60" s="28">
        <f t="shared" si="7"/>
        <v>1359</v>
      </c>
      <c r="I60" s="27">
        <v>-1678</v>
      </c>
      <c r="J60" s="28">
        <f t="shared" si="1"/>
        <v>3037</v>
      </c>
      <c r="K60" s="22">
        <f t="shared" si="8"/>
        <v>453</v>
      </c>
      <c r="L60" s="22">
        <f t="shared" si="9"/>
        <v>40</v>
      </c>
      <c r="M60" s="28">
        <f t="shared" si="10"/>
        <v>1482</v>
      </c>
      <c r="N60" s="24">
        <v>-1409</v>
      </c>
      <c r="O60" s="28">
        <f t="shared" si="2"/>
        <v>2891</v>
      </c>
      <c r="P60" s="22">
        <f t="shared" si="11"/>
        <v>342</v>
      </c>
      <c r="Q60" s="36"/>
      <c r="R60" s="30"/>
    </row>
    <row r="61" spans="1:18" x14ac:dyDescent="0.25">
      <c r="A61" s="21">
        <v>45773</v>
      </c>
      <c r="B61" s="22">
        <f t="shared" si="3"/>
        <v>41</v>
      </c>
      <c r="C61" s="28">
        <f t="shared" si="4"/>
        <v>1413</v>
      </c>
      <c r="D61" s="24">
        <v>-1663</v>
      </c>
      <c r="E61" s="25">
        <v>3076</v>
      </c>
      <c r="F61" s="22">
        <f t="shared" si="5"/>
        <v>443</v>
      </c>
      <c r="G61" s="22">
        <f t="shared" si="6"/>
        <v>41</v>
      </c>
      <c r="H61" s="28">
        <f t="shared" si="7"/>
        <v>1352</v>
      </c>
      <c r="I61" s="27">
        <v>-1685</v>
      </c>
      <c r="J61" s="28">
        <f t="shared" si="1"/>
        <v>3037</v>
      </c>
      <c r="K61" s="22">
        <f t="shared" si="8"/>
        <v>460</v>
      </c>
      <c r="L61" s="22">
        <f t="shared" si="9"/>
        <v>41</v>
      </c>
      <c r="M61" s="28">
        <f t="shared" si="10"/>
        <v>1471</v>
      </c>
      <c r="N61" s="24">
        <v>-1420</v>
      </c>
      <c r="O61" s="28">
        <f t="shared" si="2"/>
        <v>2891</v>
      </c>
      <c r="P61" s="22">
        <f t="shared" si="11"/>
        <v>353</v>
      </c>
      <c r="Q61" s="36"/>
      <c r="R61" s="30"/>
    </row>
    <row r="62" spans="1:18" x14ac:dyDescent="0.25">
      <c r="A62" s="21">
        <v>45774</v>
      </c>
      <c r="B62" s="22">
        <f t="shared" si="3"/>
        <v>42</v>
      </c>
      <c r="C62" s="28">
        <f t="shared" si="4"/>
        <v>1406</v>
      </c>
      <c r="D62" s="24">
        <v>-1670</v>
      </c>
      <c r="E62" s="25">
        <v>3076</v>
      </c>
      <c r="F62" s="22">
        <f t="shared" si="5"/>
        <v>450</v>
      </c>
      <c r="G62" s="22">
        <f t="shared" si="6"/>
        <v>42</v>
      </c>
      <c r="H62" s="28">
        <f t="shared" si="7"/>
        <v>1343</v>
      </c>
      <c r="I62" s="27">
        <v>-1694</v>
      </c>
      <c r="J62" s="28">
        <f t="shared" si="1"/>
        <v>3037</v>
      </c>
      <c r="K62" s="22">
        <f t="shared" si="8"/>
        <v>469</v>
      </c>
      <c r="L62" s="22">
        <f t="shared" si="9"/>
        <v>42</v>
      </c>
      <c r="M62" s="28">
        <f t="shared" si="10"/>
        <v>1461</v>
      </c>
      <c r="N62" s="24">
        <v>-1430</v>
      </c>
      <c r="O62" s="28">
        <f t="shared" si="2"/>
        <v>2891</v>
      </c>
      <c r="P62" s="22">
        <f t="shared" si="11"/>
        <v>363</v>
      </c>
      <c r="Q62" s="36"/>
      <c r="R62" s="30"/>
    </row>
    <row r="63" spans="1:18" x14ac:dyDescent="0.25">
      <c r="A63" s="21">
        <v>45775</v>
      </c>
      <c r="B63" s="22">
        <f t="shared" si="3"/>
        <v>43</v>
      </c>
      <c r="C63" s="28">
        <f t="shared" si="4"/>
        <v>1399</v>
      </c>
      <c r="D63" s="24">
        <v>-1677</v>
      </c>
      <c r="E63" s="25">
        <v>3076</v>
      </c>
      <c r="F63" s="22">
        <f t="shared" si="5"/>
        <v>457</v>
      </c>
      <c r="G63" s="22">
        <f t="shared" si="6"/>
        <v>43</v>
      </c>
      <c r="H63" s="28">
        <f t="shared" si="7"/>
        <v>1238</v>
      </c>
      <c r="I63" s="27">
        <v>-1799</v>
      </c>
      <c r="J63" s="28">
        <f t="shared" si="1"/>
        <v>3037</v>
      </c>
      <c r="K63" s="22">
        <f t="shared" si="8"/>
        <v>574</v>
      </c>
      <c r="L63" s="22">
        <f t="shared" si="9"/>
        <v>43</v>
      </c>
      <c r="M63" s="28">
        <f t="shared" si="10"/>
        <v>1451</v>
      </c>
      <c r="N63" s="24">
        <v>-1440</v>
      </c>
      <c r="O63" s="28">
        <f t="shared" si="2"/>
        <v>2891</v>
      </c>
      <c r="P63" s="22">
        <f t="shared" si="11"/>
        <v>373</v>
      </c>
      <c r="Q63" s="36"/>
      <c r="R63" s="30"/>
    </row>
    <row r="64" spans="1:18" x14ac:dyDescent="0.25">
      <c r="A64" s="21">
        <v>45776</v>
      </c>
      <c r="B64" s="22">
        <f t="shared" si="3"/>
        <v>44</v>
      </c>
      <c r="C64" s="28">
        <f t="shared" si="4"/>
        <v>1393</v>
      </c>
      <c r="D64" s="24">
        <v>-1683</v>
      </c>
      <c r="E64" s="25">
        <v>3076</v>
      </c>
      <c r="F64" s="22">
        <f t="shared" si="5"/>
        <v>463</v>
      </c>
      <c r="G64" s="22">
        <f t="shared" si="6"/>
        <v>44</v>
      </c>
      <c r="H64" s="28">
        <f t="shared" si="7"/>
        <v>1232</v>
      </c>
      <c r="I64" s="27">
        <v>-1805</v>
      </c>
      <c r="J64" s="28">
        <f t="shared" si="1"/>
        <v>3037</v>
      </c>
      <c r="K64" s="22">
        <f t="shared" si="8"/>
        <v>580</v>
      </c>
      <c r="L64" s="22">
        <f t="shared" si="9"/>
        <v>44</v>
      </c>
      <c r="M64" s="28">
        <f t="shared" si="10"/>
        <v>1444</v>
      </c>
      <c r="N64" s="24">
        <v>-1447</v>
      </c>
      <c r="O64" s="28">
        <f t="shared" si="2"/>
        <v>2891</v>
      </c>
      <c r="P64" s="22">
        <f t="shared" si="11"/>
        <v>380</v>
      </c>
      <c r="Q64" s="36"/>
      <c r="R64" s="30"/>
    </row>
    <row r="65" spans="1:18" x14ac:dyDescent="0.25">
      <c r="A65" s="21">
        <v>45777</v>
      </c>
      <c r="B65" s="22">
        <f t="shared" si="3"/>
        <v>45</v>
      </c>
      <c r="C65" s="28">
        <f t="shared" si="4"/>
        <v>1386</v>
      </c>
      <c r="D65" s="24">
        <v>-1690</v>
      </c>
      <c r="E65" s="25">
        <v>3076</v>
      </c>
      <c r="F65" s="22">
        <f t="shared" si="5"/>
        <v>470</v>
      </c>
      <c r="G65" s="22">
        <f t="shared" si="6"/>
        <v>45</v>
      </c>
      <c r="H65" s="28">
        <f t="shared" si="7"/>
        <v>1226</v>
      </c>
      <c r="I65" s="27">
        <v>-1811</v>
      </c>
      <c r="J65" s="28">
        <f t="shared" si="1"/>
        <v>3037</v>
      </c>
      <c r="K65" s="22">
        <f t="shared" si="8"/>
        <v>586</v>
      </c>
      <c r="L65" s="22">
        <f t="shared" si="9"/>
        <v>45</v>
      </c>
      <c r="M65" s="28">
        <f t="shared" si="10"/>
        <v>1437</v>
      </c>
      <c r="N65" s="24">
        <v>-1454</v>
      </c>
      <c r="O65" s="28">
        <f t="shared" si="2"/>
        <v>2891</v>
      </c>
      <c r="P65" s="22">
        <f t="shared" si="11"/>
        <v>387</v>
      </c>
      <c r="Q65" s="36"/>
      <c r="R65" s="30"/>
    </row>
    <row r="66" spans="1:18" x14ac:dyDescent="0.25">
      <c r="A66" s="21">
        <v>45778</v>
      </c>
      <c r="B66" s="22">
        <f t="shared" si="3"/>
        <v>46</v>
      </c>
      <c r="C66" s="28">
        <f t="shared" si="4"/>
        <v>1379</v>
      </c>
      <c r="D66" s="24">
        <v>-1697</v>
      </c>
      <c r="E66" s="25">
        <v>3076</v>
      </c>
      <c r="F66" s="22">
        <f t="shared" si="5"/>
        <v>477</v>
      </c>
      <c r="G66" s="22">
        <f t="shared" si="6"/>
        <v>46</v>
      </c>
      <c r="H66" s="28">
        <f t="shared" si="7"/>
        <v>1221</v>
      </c>
      <c r="I66" s="27">
        <v>-1816</v>
      </c>
      <c r="J66" s="28">
        <f t="shared" si="1"/>
        <v>3037</v>
      </c>
      <c r="K66" s="22">
        <f t="shared" si="8"/>
        <v>591</v>
      </c>
      <c r="L66" s="22">
        <f t="shared" si="9"/>
        <v>46</v>
      </c>
      <c r="M66" s="28">
        <f t="shared" si="10"/>
        <v>1429</v>
      </c>
      <c r="N66" s="24">
        <v>-1462</v>
      </c>
      <c r="O66" s="28">
        <f t="shared" si="2"/>
        <v>2891</v>
      </c>
      <c r="P66" s="22">
        <f t="shared" si="11"/>
        <v>395</v>
      </c>
      <c r="Q66" s="36"/>
      <c r="R66" s="30"/>
    </row>
    <row r="67" spans="1:18" x14ac:dyDescent="0.25">
      <c r="A67" s="21">
        <v>45779</v>
      </c>
      <c r="B67" s="22">
        <f t="shared" si="3"/>
        <v>47</v>
      </c>
      <c r="C67" s="28">
        <f t="shared" si="4"/>
        <v>1373</v>
      </c>
      <c r="D67" s="24">
        <v>-1703</v>
      </c>
      <c r="E67" s="25">
        <v>3076</v>
      </c>
      <c r="F67" s="22">
        <f t="shared" si="5"/>
        <v>483</v>
      </c>
      <c r="G67" s="22">
        <f t="shared" si="6"/>
        <v>47</v>
      </c>
      <c r="H67" s="28">
        <f t="shared" si="7"/>
        <v>1209</v>
      </c>
      <c r="I67" s="27">
        <v>-1828</v>
      </c>
      <c r="J67" s="28">
        <f t="shared" si="1"/>
        <v>3037</v>
      </c>
      <c r="K67" s="22">
        <f t="shared" si="8"/>
        <v>603</v>
      </c>
      <c r="L67" s="22">
        <f t="shared" si="9"/>
        <v>47</v>
      </c>
      <c r="M67" s="28">
        <f t="shared" si="10"/>
        <v>1427</v>
      </c>
      <c r="N67" s="24">
        <v>-1464</v>
      </c>
      <c r="O67" s="28">
        <f t="shared" si="2"/>
        <v>2891</v>
      </c>
      <c r="P67" s="22">
        <f t="shared" si="11"/>
        <v>397</v>
      </c>
      <c r="Q67" s="36"/>
      <c r="R67" s="30"/>
    </row>
    <row r="68" spans="1:18" x14ac:dyDescent="0.25">
      <c r="A68" s="21">
        <v>45780</v>
      </c>
      <c r="B68" s="22">
        <f t="shared" si="3"/>
        <v>48</v>
      </c>
      <c r="C68" s="28">
        <f t="shared" si="4"/>
        <v>1366</v>
      </c>
      <c r="D68" s="24">
        <v>-1710</v>
      </c>
      <c r="E68" s="25">
        <v>3076</v>
      </c>
      <c r="F68" s="22">
        <f t="shared" si="5"/>
        <v>490</v>
      </c>
      <c r="G68" s="22">
        <f t="shared" si="6"/>
        <v>48</v>
      </c>
      <c r="H68" s="28">
        <f t="shared" si="7"/>
        <v>1197</v>
      </c>
      <c r="I68" s="27">
        <v>-1840</v>
      </c>
      <c r="J68" s="28">
        <f t="shared" si="1"/>
        <v>3037</v>
      </c>
      <c r="K68" s="22">
        <f t="shared" si="8"/>
        <v>615</v>
      </c>
      <c r="L68" s="22">
        <f t="shared" si="9"/>
        <v>48</v>
      </c>
      <c r="M68" s="28">
        <f t="shared" si="10"/>
        <v>1425</v>
      </c>
      <c r="N68" s="24">
        <v>-1466</v>
      </c>
      <c r="O68" s="28">
        <f t="shared" si="2"/>
        <v>2891</v>
      </c>
      <c r="P68" s="22">
        <f t="shared" si="11"/>
        <v>399</v>
      </c>
      <c r="Q68" s="36"/>
      <c r="R68" s="30"/>
    </row>
    <row r="69" spans="1:18" x14ac:dyDescent="0.25">
      <c r="A69" s="21">
        <v>45781</v>
      </c>
      <c r="B69" s="22">
        <f t="shared" si="3"/>
        <v>49</v>
      </c>
      <c r="C69" s="28">
        <f t="shared" si="4"/>
        <v>1360</v>
      </c>
      <c r="D69" s="24">
        <v>-1716</v>
      </c>
      <c r="E69" s="25">
        <v>3076</v>
      </c>
      <c r="F69" s="22">
        <f t="shared" si="5"/>
        <v>496</v>
      </c>
      <c r="G69" s="22">
        <f t="shared" si="6"/>
        <v>49</v>
      </c>
      <c r="H69" s="28">
        <f t="shared" si="7"/>
        <v>1187</v>
      </c>
      <c r="I69" s="27">
        <v>-1850</v>
      </c>
      <c r="J69" s="28">
        <f t="shared" si="1"/>
        <v>3037</v>
      </c>
      <c r="K69" s="22">
        <f t="shared" si="8"/>
        <v>625</v>
      </c>
      <c r="L69" s="22">
        <f t="shared" si="9"/>
        <v>49</v>
      </c>
      <c r="M69" s="28">
        <f t="shared" si="10"/>
        <v>1423</v>
      </c>
      <c r="N69" s="24">
        <v>-1468</v>
      </c>
      <c r="O69" s="28">
        <f t="shared" si="2"/>
        <v>2891</v>
      </c>
      <c r="P69" s="22">
        <f t="shared" si="11"/>
        <v>401</v>
      </c>
      <c r="Q69" s="36"/>
      <c r="R69" s="30"/>
    </row>
    <row r="70" spans="1:18" x14ac:dyDescent="0.25">
      <c r="A70" s="21">
        <v>45782</v>
      </c>
      <c r="B70" s="22">
        <f t="shared" si="3"/>
        <v>50</v>
      </c>
      <c r="C70" s="28">
        <f t="shared" si="4"/>
        <v>1355</v>
      </c>
      <c r="D70" s="24">
        <v>-1721</v>
      </c>
      <c r="E70" s="25">
        <v>3076</v>
      </c>
      <c r="F70" s="22">
        <f t="shared" si="5"/>
        <v>501</v>
      </c>
      <c r="G70" s="22">
        <f t="shared" si="6"/>
        <v>50</v>
      </c>
      <c r="H70" s="28">
        <f t="shared" si="7"/>
        <v>1176</v>
      </c>
      <c r="I70" s="27">
        <v>-1861</v>
      </c>
      <c r="J70" s="28">
        <f t="shared" si="1"/>
        <v>3037</v>
      </c>
      <c r="K70" s="22">
        <f t="shared" si="8"/>
        <v>636</v>
      </c>
      <c r="L70" s="22">
        <f t="shared" si="9"/>
        <v>50</v>
      </c>
      <c r="M70" s="28">
        <f t="shared" si="10"/>
        <v>1420</v>
      </c>
      <c r="N70" s="24">
        <v>-1471</v>
      </c>
      <c r="O70" s="28">
        <f t="shared" si="2"/>
        <v>2891</v>
      </c>
      <c r="P70" s="22">
        <f t="shared" si="11"/>
        <v>404</v>
      </c>
      <c r="Q70" s="36"/>
      <c r="R70" s="30"/>
    </row>
    <row r="71" spans="1:18" x14ac:dyDescent="0.25">
      <c r="A71" s="21">
        <v>45783</v>
      </c>
      <c r="B71" s="22">
        <f t="shared" si="3"/>
        <v>51</v>
      </c>
      <c r="C71" s="28">
        <f t="shared" si="4"/>
        <v>1349</v>
      </c>
      <c r="D71" s="24">
        <v>-1727</v>
      </c>
      <c r="E71" s="25">
        <v>3076</v>
      </c>
      <c r="F71" s="22">
        <f t="shared" si="5"/>
        <v>507</v>
      </c>
      <c r="G71" s="22">
        <f t="shared" si="6"/>
        <v>51</v>
      </c>
      <c r="H71" s="28">
        <f t="shared" si="7"/>
        <v>1172</v>
      </c>
      <c r="I71" s="27">
        <v>-1865</v>
      </c>
      <c r="J71" s="28">
        <f t="shared" si="1"/>
        <v>3037</v>
      </c>
      <c r="K71" s="22">
        <f t="shared" si="8"/>
        <v>640</v>
      </c>
      <c r="L71" s="22">
        <f t="shared" si="9"/>
        <v>51</v>
      </c>
      <c r="M71" s="28">
        <f t="shared" si="10"/>
        <v>1417</v>
      </c>
      <c r="N71" s="24">
        <v>-1474</v>
      </c>
      <c r="O71" s="28">
        <f t="shared" si="2"/>
        <v>2891</v>
      </c>
      <c r="P71" s="22">
        <f t="shared" si="11"/>
        <v>407</v>
      </c>
      <c r="Q71" s="36"/>
      <c r="R71" s="30"/>
    </row>
    <row r="72" spans="1:18" x14ac:dyDescent="0.25">
      <c r="A72" s="21">
        <v>45784</v>
      </c>
      <c r="B72" s="22">
        <f t="shared" si="3"/>
        <v>52</v>
      </c>
      <c r="C72" s="28">
        <f t="shared" si="4"/>
        <v>1344</v>
      </c>
      <c r="D72" s="24">
        <v>-1732</v>
      </c>
      <c r="E72" s="25">
        <v>3076</v>
      </c>
      <c r="F72" s="22">
        <f t="shared" si="5"/>
        <v>512</v>
      </c>
      <c r="G72" s="22">
        <f t="shared" si="6"/>
        <v>52</v>
      </c>
      <c r="H72" s="28">
        <f t="shared" si="7"/>
        <v>1169</v>
      </c>
      <c r="I72" s="27">
        <v>-1868</v>
      </c>
      <c r="J72" s="28">
        <f t="shared" si="1"/>
        <v>3037</v>
      </c>
      <c r="K72" s="22">
        <f t="shared" si="8"/>
        <v>643</v>
      </c>
      <c r="L72" s="22">
        <f t="shared" si="9"/>
        <v>52</v>
      </c>
      <c r="M72" s="28">
        <f t="shared" si="10"/>
        <v>1414</v>
      </c>
      <c r="N72" s="24">
        <v>-1477</v>
      </c>
      <c r="O72" s="28">
        <f t="shared" si="2"/>
        <v>2891</v>
      </c>
      <c r="P72" s="22">
        <f t="shared" si="11"/>
        <v>410</v>
      </c>
      <c r="Q72" s="36"/>
      <c r="R72" s="30"/>
    </row>
    <row r="73" spans="1:18" x14ac:dyDescent="0.25">
      <c r="A73" s="21">
        <v>45785</v>
      </c>
      <c r="B73" s="22">
        <f t="shared" si="3"/>
        <v>53</v>
      </c>
      <c r="C73" s="28">
        <f t="shared" si="4"/>
        <v>1336</v>
      </c>
      <c r="D73" s="24">
        <v>-1740</v>
      </c>
      <c r="E73" s="25">
        <v>3076</v>
      </c>
      <c r="F73" s="22">
        <f t="shared" si="5"/>
        <v>520</v>
      </c>
      <c r="G73" s="22">
        <f t="shared" si="6"/>
        <v>53</v>
      </c>
      <c r="H73" s="28">
        <f t="shared" si="7"/>
        <v>1165</v>
      </c>
      <c r="I73" s="27">
        <v>-1872</v>
      </c>
      <c r="J73" s="28">
        <f t="shared" si="1"/>
        <v>3037</v>
      </c>
      <c r="K73" s="22">
        <f t="shared" si="8"/>
        <v>647</v>
      </c>
      <c r="L73" s="22">
        <f t="shared" si="9"/>
        <v>53</v>
      </c>
      <c r="M73" s="28">
        <f t="shared" si="10"/>
        <v>1404</v>
      </c>
      <c r="N73" s="24">
        <v>-1487</v>
      </c>
      <c r="O73" s="28">
        <f t="shared" si="2"/>
        <v>2891</v>
      </c>
      <c r="P73" s="22">
        <f t="shared" si="11"/>
        <v>420</v>
      </c>
      <c r="Q73" s="36"/>
      <c r="R73" s="30"/>
    </row>
    <row r="74" spans="1:18" x14ac:dyDescent="0.25">
      <c r="A74" s="21">
        <v>45786</v>
      </c>
      <c r="B74" s="22">
        <f t="shared" si="3"/>
        <v>54</v>
      </c>
      <c r="C74" s="28">
        <f t="shared" si="4"/>
        <v>1329</v>
      </c>
      <c r="D74" s="24">
        <v>-1747</v>
      </c>
      <c r="E74" s="25">
        <v>3076</v>
      </c>
      <c r="F74" s="22">
        <f t="shared" si="5"/>
        <v>527</v>
      </c>
      <c r="G74" s="22">
        <f t="shared" si="6"/>
        <v>54</v>
      </c>
      <c r="H74" s="28">
        <f t="shared" si="7"/>
        <v>1160</v>
      </c>
      <c r="I74" s="27">
        <v>-1877</v>
      </c>
      <c r="J74" s="28">
        <f t="shared" si="1"/>
        <v>3037</v>
      </c>
      <c r="K74" s="22">
        <f t="shared" si="8"/>
        <v>652</v>
      </c>
      <c r="L74" s="22">
        <f t="shared" si="9"/>
        <v>54</v>
      </c>
      <c r="M74" s="28">
        <f t="shared" si="10"/>
        <v>1389</v>
      </c>
      <c r="N74" s="24">
        <v>-1502</v>
      </c>
      <c r="O74" s="28">
        <f t="shared" si="2"/>
        <v>2891</v>
      </c>
      <c r="P74" s="22">
        <f t="shared" si="11"/>
        <v>435</v>
      </c>
      <c r="Q74" s="36"/>
      <c r="R74" s="30"/>
    </row>
    <row r="75" spans="1:18" x14ac:dyDescent="0.25">
      <c r="A75" s="21">
        <v>45787</v>
      </c>
      <c r="B75" s="22">
        <f t="shared" si="3"/>
        <v>55</v>
      </c>
      <c r="C75" s="28">
        <f t="shared" si="4"/>
        <v>1323</v>
      </c>
      <c r="D75" s="24">
        <v>-1753</v>
      </c>
      <c r="E75" s="25">
        <v>3076</v>
      </c>
      <c r="F75" s="22">
        <f t="shared" si="5"/>
        <v>533</v>
      </c>
      <c r="G75" s="22">
        <f t="shared" si="6"/>
        <v>55</v>
      </c>
      <c r="H75" s="28">
        <f t="shared" si="7"/>
        <v>1152</v>
      </c>
      <c r="I75" s="27">
        <v>-1885</v>
      </c>
      <c r="J75" s="28">
        <f t="shared" si="1"/>
        <v>3037</v>
      </c>
      <c r="K75" s="22">
        <f t="shared" si="8"/>
        <v>660</v>
      </c>
      <c r="L75" s="22">
        <f t="shared" si="9"/>
        <v>55</v>
      </c>
      <c r="M75" s="28">
        <f t="shared" si="10"/>
        <v>1384</v>
      </c>
      <c r="N75" s="24">
        <v>-1507</v>
      </c>
      <c r="O75" s="28">
        <f t="shared" si="2"/>
        <v>2891</v>
      </c>
      <c r="P75" s="22">
        <f t="shared" si="11"/>
        <v>440</v>
      </c>
      <c r="Q75" s="36"/>
      <c r="R75" s="30"/>
    </row>
    <row r="76" spans="1:18" x14ac:dyDescent="0.25">
      <c r="A76" s="21">
        <v>45788</v>
      </c>
      <c r="B76" s="22">
        <f t="shared" si="3"/>
        <v>56</v>
      </c>
      <c r="C76" s="28">
        <f t="shared" si="4"/>
        <v>1316</v>
      </c>
      <c r="D76" s="24">
        <v>-1760</v>
      </c>
      <c r="E76" s="25">
        <v>3076</v>
      </c>
      <c r="F76" s="22">
        <f t="shared" si="5"/>
        <v>540</v>
      </c>
      <c r="G76" s="22">
        <f t="shared" si="6"/>
        <v>56</v>
      </c>
      <c r="H76" s="28">
        <f t="shared" si="7"/>
        <v>1147</v>
      </c>
      <c r="I76" s="27">
        <v>-1890</v>
      </c>
      <c r="J76" s="28">
        <f t="shared" si="1"/>
        <v>3037</v>
      </c>
      <c r="K76" s="22">
        <f t="shared" si="8"/>
        <v>665</v>
      </c>
      <c r="L76" s="22">
        <f t="shared" si="9"/>
        <v>56</v>
      </c>
      <c r="M76" s="28">
        <f t="shared" si="10"/>
        <v>1378</v>
      </c>
      <c r="N76" s="24">
        <v>-1513</v>
      </c>
      <c r="O76" s="28">
        <f t="shared" si="2"/>
        <v>2891</v>
      </c>
      <c r="P76" s="22">
        <f t="shared" si="11"/>
        <v>446</v>
      </c>
      <c r="Q76" s="36"/>
      <c r="R76" s="30"/>
    </row>
    <row r="77" spans="1:18" x14ac:dyDescent="0.25">
      <c r="A77" s="21">
        <v>45789</v>
      </c>
      <c r="B77" s="22">
        <f t="shared" si="3"/>
        <v>57</v>
      </c>
      <c r="C77" s="28">
        <f t="shared" si="4"/>
        <v>1309</v>
      </c>
      <c r="D77" s="24">
        <v>-1767</v>
      </c>
      <c r="E77" s="25">
        <v>3076</v>
      </c>
      <c r="F77" s="22">
        <f t="shared" si="5"/>
        <v>547</v>
      </c>
      <c r="G77" s="22">
        <f t="shared" si="6"/>
        <v>57</v>
      </c>
      <c r="H77" s="28">
        <f t="shared" si="7"/>
        <v>1142</v>
      </c>
      <c r="I77" s="27">
        <v>-1895</v>
      </c>
      <c r="J77" s="28">
        <f t="shared" si="1"/>
        <v>3037</v>
      </c>
      <c r="K77" s="22">
        <f t="shared" si="8"/>
        <v>670</v>
      </c>
      <c r="L77" s="22">
        <f t="shared" si="9"/>
        <v>57</v>
      </c>
      <c r="M77" s="28">
        <f t="shared" si="10"/>
        <v>1372</v>
      </c>
      <c r="N77" s="24">
        <v>-1519</v>
      </c>
      <c r="O77" s="28">
        <f t="shared" si="2"/>
        <v>2891</v>
      </c>
      <c r="P77" s="22">
        <f t="shared" si="11"/>
        <v>452</v>
      </c>
      <c r="Q77" s="36"/>
      <c r="R77" s="30"/>
    </row>
    <row r="78" spans="1:18" x14ac:dyDescent="0.25">
      <c r="A78" s="21">
        <v>45790</v>
      </c>
      <c r="B78" s="22">
        <f t="shared" si="3"/>
        <v>58</v>
      </c>
      <c r="C78" s="28">
        <f t="shared" si="4"/>
        <v>1301</v>
      </c>
      <c r="D78" s="24">
        <v>-1775</v>
      </c>
      <c r="E78" s="25">
        <v>3076</v>
      </c>
      <c r="F78" s="22">
        <f t="shared" si="5"/>
        <v>555</v>
      </c>
      <c r="G78" s="22">
        <f t="shared" si="6"/>
        <v>58</v>
      </c>
      <c r="H78" s="28">
        <f t="shared" si="7"/>
        <v>1137</v>
      </c>
      <c r="I78" s="27">
        <v>-1900</v>
      </c>
      <c r="J78" s="28">
        <f t="shared" si="1"/>
        <v>3037</v>
      </c>
      <c r="K78" s="22">
        <f t="shared" si="8"/>
        <v>675</v>
      </c>
      <c r="L78" s="22">
        <f t="shared" si="9"/>
        <v>58</v>
      </c>
      <c r="M78" s="28">
        <f t="shared" si="10"/>
        <v>1366</v>
      </c>
      <c r="N78" s="24">
        <v>-1525</v>
      </c>
      <c r="O78" s="28">
        <f t="shared" si="2"/>
        <v>2891</v>
      </c>
      <c r="P78" s="22">
        <f t="shared" si="11"/>
        <v>458</v>
      </c>
      <c r="Q78" s="36"/>
      <c r="R78" s="30"/>
    </row>
    <row r="79" spans="1:18" x14ac:dyDescent="0.25">
      <c r="A79" s="21">
        <v>45791</v>
      </c>
      <c r="B79" s="22">
        <f t="shared" si="3"/>
        <v>59</v>
      </c>
      <c r="C79" s="28">
        <f t="shared" si="4"/>
        <v>1297</v>
      </c>
      <c r="D79" s="24">
        <v>-1779</v>
      </c>
      <c r="E79" s="25">
        <v>3076</v>
      </c>
      <c r="F79" s="22">
        <f t="shared" si="5"/>
        <v>559</v>
      </c>
      <c r="G79" s="22">
        <f t="shared" si="6"/>
        <v>59</v>
      </c>
      <c r="H79" s="28">
        <f t="shared" si="7"/>
        <v>1131</v>
      </c>
      <c r="I79" s="27">
        <v>-1906</v>
      </c>
      <c r="J79" s="28">
        <f t="shared" si="1"/>
        <v>3037</v>
      </c>
      <c r="K79" s="22">
        <f t="shared" si="8"/>
        <v>681</v>
      </c>
      <c r="L79" s="22">
        <f t="shared" si="9"/>
        <v>59</v>
      </c>
      <c r="M79" s="28">
        <f t="shared" si="10"/>
        <v>1361</v>
      </c>
      <c r="N79" s="24">
        <v>-1530</v>
      </c>
      <c r="O79" s="28">
        <f t="shared" si="2"/>
        <v>2891</v>
      </c>
      <c r="P79" s="22">
        <f t="shared" si="11"/>
        <v>463</v>
      </c>
      <c r="Q79" s="36"/>
      <c r="R79" s="30"/>
    </row>
    <row r="80" spans="1:18" x14ac:dyDescent="0.25">
      <c r="A80" s="21">
        <v>45792</v>
      </c>
      <c r="B80" s="22">
        <f t="shared" si="3"/>
        <v>60</v>
      </c>
      <c r="C80" s="28">
        <f t="shared" si="4"/>
        <v>1294</v>
      </c>
      <c r="D80" s="24">
        <v>-1782</v>
      </c>
      <c r="E80" s="25">
        <v>3076</v>
      </c>
      <c r="F80" s="22">
        <f t="shared" si="5"/>
        <v>562</v>
      </c>
      <c r="G80" s="22">
        <f t="shared" si="6"/>
        <v>60</v>
      </c>
      <c r="H80" s="28">
        <f t="shared" si="7"/>
        <v>1124</v>
      </c>
      <c r="I80" s="27">
        <v>-1913</v>
      </c>
      <c r="J80" s="28">
        <f t="shared" si="1"/>
        <v>3037</v>
      </c>
      <c r="K80" s="22">
        <f t="shared" si="8"/>
        <v>688</v>
      </c>
      <c r="L80" s="22">
        <f t="shared" si="9"/>
        <v>60</v>
      </c>
      <c r="M80" s="28">
        <f t="shared" si="10"/>
        <v>1356</v>
      </c>
      <c r="N80" s="24">
        <v>-1535</v>
      </c>
      <c r="O80" s="28">
        <f t="shared" si="2"/>
        <v>2891</v>
      </c>
      <c r="P80" s="22">
        <f t="shared" si="11"/>
        <v>468</v>
      </c>
      <c r="Q80" s="36"/>
      <c r="R80" s="30"/>
    </row>
    <row r="81" spans="1:18" x14ac:dyDescent="0.25">
      <c r="A81" s="21">
        <v>45793</v>
      </c>
      <c r="B81" s="22">
        <f t="shared" si="3"/>
        <v>61</v>
      </c>
      <c r="C81" s="28">
        <f t="shared" si="4"/>
        <v>1290</v>
      </c>
      <c r="D81" s="24">
        <v>-1786</v>
      </c>
      <c r="E81" s="25">
        <v>3076</v>
      </c>
      <c r="F81" s="22">
        <f t="shared" si="5"/>
        <v>566</v>
      </c>
      <c r="G81" s="22">
        <f t="shared" si="6"/>
        <v>61</v>
      </c>
      <c r="H81" s="28">
        <f t="shared" si="7"/>
        <v>1117</v>
      </c>
      <c r="I81" s="27">
        <v>-1920</v>
      </c>
      <c r="J81" s="28">
        <f t="shared" si="1"/>
        <v>3037</v>
      </c>
      <c r="K81" s="22">
        <f t="shared" si="8"/>
        <v>695</v>
      </c>
      <c r="L81" s="22">
        <f t="shared" si="9"/>
        <v>61</v>
      </c>
      <c r="M81" s="28">
        <f t="shared" si="10"/>
        <v>1351</v>
      </c>
      <c r="N81" s="24">
        <v>-1540</v>
      </c>
      <c r="O81" s="28">
        <f t="shared" si="2"/>
        <v>2891</v>
      </c>
      <c r="P81" s="22">
        <f t="shared" si="11"/>
        <v>473</v>
      </c>
      <c r="Q81" s="36"/>
      <c r="R81" s="30"/>
    </row>
    <row r="82" spans="1:18" x14ac:dyDescent="0.25">
      <c r="A82" s="21">
        <v>45794</v>
      </c>
      <c r="B82" s="22">
        <f t="shared" si="3"/>
        <v>62</v>
      </c>
      <c r="C82" s="28">
        <f t="shared" si="4"/>
        <v>1284</v>
      </c>
      <c r="D82" s="24">
        <v>-1792</v>
      </c>
      <c r="E82" s="25">
        <v>3076</v>
      </c>
      <c r="F82" s="22">
        <f t="shared" si="5"/>
        <v>572</v>
      </c>
      <c r="G82" s="22">
        <f t="shared" si="6"/>
        <v>62</v>
      </c>
      <c r="H82" s="28">
        <f t="shared" si="7"/>
        <v>1110</v>
      </c>
      <c r="I82" s="27">
        <v>-1927</v>
      </c>
      <c r="J82" s="28">
        <f t="shared" si="1"/>
        <v>3037</v>
      </c>
      <c r="K82" s="22">
        <f t="shared" si="8"/>
        <v>702</v>
      </c>
      <c r="L82" s="22">
        <f t="shared" si="9"/>
        <v>62</v>
      </c>
      <c r="M82" s="28">
        <f t="shared" si="10"/>
        <v>1344</v>
      </c>
      <c r="N82" s="24">
        <v>-1547</v>
      </c>
      <c r="O82" s="28">
        <f t="shared" si="2"/>
        <v>2891</v>
      </c>
      <c r="P82" s="22">
        <f t="shared" si="11"/>
        <v>480</v>
      </c>
      <c r="Q82" s="36"/>
      <c r="R82" s="30"/>
    </row>
    <row r="83" spans="1:18" x14ac:dyDescent="0.25">
      <c r="A83" s="21">
        <v>45795</v>
      </c>
      <c r="B83" s="22">
        <f t="shared" si="3"/>
        <v>63</v>
      </c>
      <c r="C83" s="28">
        <f t="shared" si="4"/>
        <v>1276</v>
      </c>
      <c r="D83" s="24">
        <v>-1800</v>
      </c>
      <c r="E83" s="25">
        <v>3076</v>
      </c>
      <c r="F83" s="22">
        <f t="shared" si="5"/>
        <v>580</v>
      </c>
      <c r="G83" s="22">
        <f t="shared" si="6"/>
        <v>63</v>
      </c>
      <c r="H83" s="28">
        <f t="shared" si="7"/>
        <v>1103</v>
      </c>
      <c r="I83" s="27">
        <v>-1934</v>
      </c>
      <c r="J83" s="28">
        <f t="shared" si="1"/>
        <v>3037</v>
      </c>
      <c r="K83" s="22">
        <f t="shared" si="8"/>
        <v>709</v>
      </c>
      <c r="L83" s="22">
        <f t="shared" si="9"/>
        <v>63</v>
      </c>
      <c r="M83" s="28">
        <f t="shared" si="10"/>
        <v>1431</v>
      </c>
      <c r="N83" s="24">
        <v>-1460</v>
      </c>
      <c r="O83" s="28">
        <f t="shared" si="2"/>
        <v>2891</v>
      </c>
      <c r="P83" s="22">
        <f t="shared" si="11"/>
        <v>393</v>
      </c>
      <c r="Q83" s="36"/>
      <c r="R83" s="30"/>
    </row>
    <row r="84" spans="1:18" x14ac:dyDescent="0.25">
      <c r="A84" s="21">
        <v>45796</v>
      </c>
      <c r="B84" s="22">
        <f t="shared" si="3"/>
        <v>64</v>
      </c>
      <c r="C84" s="28">
        <f t="shared" si="4"/>
        <v>1272</v>
      </c>
      <c r="D84" s="24">
        <v>-1804</v>
      </c>
      <c r="E84" s="25">
        <v>3076</v>
      </c>
      <c r="F84" s="22">
        <f t="shared" si="5"/>
        <v>584</v>
      </c>
      <c r="G84" s="22">
        <f t="shared" si="6"/>
        <v>64</v>
      </c>
      <c r="H84" s="28">
        <f t="shared" si="7"/>
        <v>1103</v>
      </c>
      <c r="I84" s="27">
        <v>-1934</v>
      </c>
      <c r="J84" s="28">
        <f t="shared" si="1"/>
        <v>3037</v>
      </c>
      <c r="K84" s="22">
        <f t="shared" si="8"/>
        <v>709</v>
      </c>
      <c r="L84" s="22">
        <f t="shared" si="9"/>
        <v>64</v>
      </c>
      <c r="M84" s="28">
        <f t="shared" si="10"/>
        <v>1421</v>
      </c>
      <c r="N84" s="24">
        <v>-1470</v>
      </c>
      <c r="O84" s="28">
        <f t="shared" si="2"/>
        <v>2891</v>
      </c>
      <c r="P84" s="22">
        <f t="shared" si="11"/>
        <v>403</v>
      </c>
      <c r="Q84" s="36"/>
      <c r="R84" s="30"/>
    </row>
    <row r="85" spans="1:18" x14ac:dyDescent="0.25">
      <c r="A85" s="21">
        <v>45797</v>
      </c>
      <c r="B85" s="22">
        <f t="shared" si="3"/>
        <v>65</v>
      </c>
      <c r="C85" s="28">
        <f t="shared" si="4"/>
        <v>1268</v>
      </c>
      <c r="D85" s="24">
        <v>-1808</v>
      </c>
      <c r="E85" s="25">
        <v>3076</v>
      </c>
      <c r="F85" s="22">
        <f t="shared" si="5"/>
        <v>588</v>
      </c>
      <c r="G85" s="22">
        <f t="shared" si="6"/>
        <v>65</v>
      </c>
      <c r="H85" s="28">
        <f t="shared" si="7"/>
        <v>1003</v>
      </c>
      <c r="I85" s="27">
        <v>-2034</v>
      </c>
      <c r="J85" s="28">
        <f t="shared" si="1"/>
        <v>3037</v>
      </c>
      <c r="K85" s="22">
        <f t="shared" si="8"/>
        <v>809</v>
      </c>
      <c r="L85" s="22">
        <f t="shared" si="9"/>
        <v>65</v>
      </c>
      <c r="M85" s="28">
        <f t="shared" si="10"/>
        <v>1411</v>
      </c>
      <c r="N85" s="24">
        <v>-1480</v>
      </c>
      <c r="O85" s="28">
        <f t="shared" si="2"/>
        <v>2891</v>
      </c>
      <c r="P85" s="22">
        <f t="shared" si="11"/>
        <v>413</v>
      </c>
      <c r="Q85" s="36"/>
      <c r="R85" s="30"/>
    </row>
    <row r="86" spans="1:18" x14ac:dyDescent="0.25">
      <c r="A86" s="21">
        <v>45798</v>
      </c>
      <c r="B86" s="22">
        <f t="shared" si="3"/>
        <v>66</v>
      </c>
      <c r="C86" s="28">
        <f t="shared" si="4"/>
        <v>1264</v>
      </c>
      <c r="D86" s="24">
        <v>-1812</v>
      </c>
      <c r="E86" s="25">
        <v>3076</v>
      </c>
      <c r="F86" s="22">
        <f t="shared" si="5"/>
        <v>592</v>
      </c>
      <c r="G86" s="22">
        <f t="shared" si="6"/>
        <v>66</v>
      </c>
      <c r="H86" s="28">
        <f t="shared" si="7"/>
        <v>1001</v>
      </c>
      <c r="I86" s="27">
        <v>-2036</v>
      </c>
      <c r="J86" s="28">
        <f t="shared" si="1"/>
        <v>3037</v>
      </c>
      <c r="K86" s="22">
        <f t="shared" si="8"/>
        <v>811</v>
      </c>
      <c r="L86" s="22">
        <f t="shared" si="9"/>
        <v>66</v>
      </c>
      <c r="M86" s="28">
        <f t="shared" si="10"/>
        <v>1401</v>
      </c>
      <c r="N86" s="24">
        <v>-1490</v>
      </c>
      <c r="O86" s="28">
        <f t="shared" si="2"/>
        <v>2891</v>
      </c>
      <c r="P86" s="22">
        <f t="shared" si="11"/>
        <v>423</v>
      </c>
      <c r="Q86" s="36"/>
      <c r="R86" s="30"/>
    </row>
    <row r="87" spans="1:18" x14ac:dyDescent="0.25">
      <c r="A87" s="21">
        <v>45799</v>
      </c>
      <c r="B87" s="22">
        <f t="shared" si="3"/>
        <v>67</v>
      </c>
      <c r="C87" s="28">
        <f t="shared" si="4"/>
        <v>1260</v>
      </c>
      <c r="D87" s="24">
        <v>-1816</v>
      </c>
      <c r="E87" s="25">
        <v>3076</v>
      </c>
      <c r="F87" s="22">
        <f t="shared" si="5"/>
        <v>596</v>
      </c>
      <c r="G87" s="22">
        <f t="shared" si="6"/>
        <v>67</v>
      </c>
      <c r="H87" s="28">
        <f t="shared" si="7"/>
        <v>999</v>
      </c>
      <c r="I87" s="27">
        <v>-2038</v>
      </c>
      <c r="J87" s="28">
        <f t="shared" si="1"/>
        <v>3037</v>
      </c>
      <c r="K87" s="22">
        <f t="shared" si="8"/>
        <v>813</v>
      </c>
      <c r="L87" s="22">
        <f t="shared" si="9"/>
        <v>67</v>
      </c>
      <c r="M87" s="28">
        <f t="shared" si="10"/>
        <v>1391</v>
      </c>
      <c r="N87" s="24">
        <v>-1500</v>
      </c>
      <c r="O87" s="28">
        <f t="shared" si="2"/>
        <v>2891</v>
      </c>
      <c r="P87" s="22">
        <f t="shared" si="11"/>
        <v>433</v>
      </c>
      <c r="Q87" s="36"/>
      <c r="R87" s="30"/>
    </row>
    <row r="88" spans="1:18" x14ac:dyDescent="0.25">
      <c r="A88" s="21">
        <v>45800</v>
      </c>
      <c r="B88" s="22">
        <f t="shared" si="3"/>
        <v>68</v>
      </c>
      <c r="C88" s="28">
        <f t="shared" si="4"/>
        <v>1256</v>
      </c>
      <c r="D88" s="24">
        <v>-1820</v>
      </c>
      <c r="E88" s="25">
        <v>3076</v>
      </c>
      <c r="F88" s="22">
        <f t="shared" si="5"/>
        <v>600</v>
      </c>
      <c r="G88" s="22">
        <f t="shared" si="6"/>
        <v>68</v>
      </c>
      <c r="H88" s="28">
        <f t="shared" si="7"/>
        <v>997</v>
      </c>
      <c r="I88" s="27">
        <v>-2040</v>
      </c>
      <c r="J88" s="28">
        <f t="shared" si="1"/>
        <v>3037</v>
      </c>
      <c r="K88" s="22">
        <f t="shared" si="8"/>
        <v>815</v>
      </c>
      <c r="L88" s="22">
        <f t="shared" si="9"/>
        <v>68</v>
      </c>
      <c r="M88" s="28">
        <f t="shared" si="10"/>
        <v>1381</v>
      </c>
      <c r="N88" s="24">
        <v>-1510</v>
      </c>
      <c r="O88" s="28">
        <f t="shared" si="2"/>
        <v>2891</v>
      </c>
      <c r="P88" s="22">
        <f t="shared" si="11"/>
        <v>443</v>
      </c>
      <c r="Q88" s="36"/>
      <c r="R88" s="30"/>
    </row>
    <row r="89" spans="1:18" x14ac:dyDescent="0.25">
      <c r="A89" s="21">
        <v>45801</v>
      </c>
      <c r="B89" s="22">
        <f t="shared" si="3"/>
        <v>69</v>
      </c>
      <c r="C89" s="28">
        <f t="shared" si="4"/>
        <v>1252</v>
      </c>
      <c r="D89" s="24">
        <v>-1824</v>
      </c>
      <c r="E89" s="25">
        <v>3076</v>
      </c>
      <c r="F89" s="22">
        <f t="shared" si="5"/>
        <v>604</v>
      </c>
      <c r="G89" s="22">
        <f t="shared" si="6"/>
        <v>69</v>
      </c>
      <c r="H89" s="28">
        <f t="shared" si="7"/>
        <v>995</v>
      </c>
      <c r="I89" s="27">
        <v>-2042</v>
      </c>
      <c r="J89" s="28">
        <f t="shared" si="1"/>
        <v>3037</v>
      </c>
      <c r="K89" s="22">
        <f t="shared" si="8"/>
        <v>817</v>
      </c>
      <c r="L89" s="22">
        <f t="shared" si="9"/>
        <v>69</v>
      </c>
      <c r="M89" s="28">
        <f t="shared" si="10"/>
        <v>1371</v>
      </c>
      <c r="N89" s="24">
        <v>-1520</v>
      </c>
      <c r="O89" s="28">
        <f t="shared" si="2"/>
        <v>2891</v>
      </c>
      <c r="P89" s="22">
        <f t="shared" si="11"/>
        <v>453</v>
      </c>
      <c r="Q89" s="36"/>
      <c r="R89" s="30"/>
    </row>
    <row r="90" spans="1:18" x14ac:dyDescent="0.25">
      <c r="A90" s="21">
        <v>45802</v>
      </c>
      <c r="B90" s="22">
        <f t="shared" si="3"/>
        <v>70</v>
      </c>
      <c r="C90" s="28">
        <f t="shared" si="4"/>
        <v>1248</v>
      </c>
      <c r="D90" s="24">
        <v>-1828</v>
      </c>
      <c r="E90" s="25">
        <v>3076</v>
      </c>
      <c r="F90" s="22">
        <f t="shared" si="5"/>
        <v>608</v>
      </c>
      <c r="G90" s="22">
        <f t="shared" si="6"/>
        <v>70</v>
      </c>
      <c r="H90" s="28">
        <f t="shared" si="7"/>
        <v>993</v>
      </c>
      <c r="I90" s="27">
        <v>-2044</v>
      </c>
      <c r="J90" s="28">
        <f t="shared" si="1"/>
        <v>3037</v>
      </c>
      <c r="K90" s="22">
        <f t="shared" si="8"/>
        <v>819</v>
      </c>
      <c r="L90" s="22">
        <f t="shared" si="9"/>
        <v>70</v>
      </c>
      <c r="M90" s="28">
        <f t="shared" si="10"/>
        <v>1361</v>
      </c>
      <c r="N90" s="24">
        <v>-1530</v>
      </c>
      <c r="O90" s="28">
        <f t="shared" si="2"/>
        <v>2891</v>
      </c>
      <c r="P90" s="22">
        <f t="shared" si="11"/>
        <v>463</v>
      </c>
      <c r="Q90" s="36"/>
      <c r="R90" s="30"/>
    </row>
    <row r="91" spans="1:18" x14ac:dyDescent="0.25">
      <c r="A91" s="21">
        <v>45803</v>
      </c>
      <c r="B91" s="22">
        <f t="shared" si="3"/>
        <v>71</v>
      </c>
      <c r="C91" s="28">
        <f t="shared" si="4"/>
        <v>1244</v>
      </c>
      <c r="D91" s="24">
        <v>-1832</v>
      </c>
      <c r="E91" s="25">
        <v>3076</v>
      </c>
      <c r="F91" s="22">
        <f t="shared" si="5"/>
        <v>612</v>
      </c>
      <c r="G91" s="22">
        <f t="shared" si="6"/>
        <v>71</v>
      </c>
      <c r="H91" s="28">
        <f t="shared" si="7"/>
        <v>991</v>
      </c>
      <c r="I91" s="27">
        <v>-2046</v>
      </c>
      <c r="J91" s="28">
        <f t="shared" si="1"/>
        <v>3037</v>
      </c>
      <c r="K91" s="22">
        <f t="shared" si="8"/>
        <v>821</v>
      </c>
      <c r="L91" s="22">
        <f t="shared" si="9"/>
        <v>71</v>
      </c>
      <c r="M91" s="28">
        <f t="shared" si="10"/>
        <v>1351</v>
      </c>
      <c r="N91" s="24">
        <v>-1540</v>
      </c>
      <c r="O91" s="28">
        <f t="shared" si="2"/>
        <v>2891</v>
      </c>
      <c r="P91" s="22">
        <f t="shared" si="11"/>
        <v>473</v>
      </c>
      <c r="Q91" s="36"/>
      <c r="R91" s="30"/>
    </row>
    <row r="92" spans="1:18" x14ac:dyDescent="0.25">
      <c r="A92" s="21">
        <v>45804</v>
      </c>
      <c r="B92" s="22">
        <f t="shared" si="3"/>
        <v>72</v>
      </c>
      <c r="C92" s="28">
        <f t="shared" si="4"/>
        <v>1243</v>
      </c>
      <c r="D92" s="24">
        <v>-1833</v>
      </c>
      <c r="E92" s="25">
        <v>3076</v>
      </c>
      <c r="F92" s="22">
        <f t="shared" si="5"/>
        <v>613</v>
      </c>
      <c r="G92" s="22">
        <f t="shared" si="6"/>
        <v>72</v>
      </c>
      <c r="H92" s="28">
        <f t="shared" si="7"/>
        <v>989</v>
      </c>
      <c r="I92" s="27">
        <v>-2048</v>
      </c>
      <c r="J92" s="28">
        <f t="shared" si="1"/>
        <v>3037</v>
      </c>
      <c r="K92" s="22">
        <f t="shared" si="8"/>
        <v>823</v>
      </c>
      <c r="L92" s="22">
        <f t="shared" si="9"/>
        <v>72</v>
      </c>
      <c r="M92" s="28">
        <f t="shared" si="10"/>
        <v>1341</v>
      </c>
      <c r="N92" s="24">
        <v>-1550</v>
      </c>
      <c r="O92" s="28">
        <f t="shared" si="2"/>
        <v>2891</v>
      </c>
      <c r="P92" s="22">
        <f t="shared" si="11"/>
        <v>483</v>
      </c>
      <c r="Q92" s="36"/>
      <c r="R92" s="30"/>
    </row>
    <row r="93" spans="1:18" x14ac:dyDescent="0.25">
      <c r="A93" s="21">
        <v>45805</v>
      </c>
      <c r="B93" s="22">
        <f t="shared" si="3"/>
        <v>73</v>
      </c>
      <c r="C93" s="28">
        <f t="shared" si="4"/>
        <v>1243</v>
      </c>
      <c r="D93" s="24">
        <v>-1833</v>
      </c>
      <c r="E93" s="25">
        <v>3076</v>
      </c>
      <c r="F93" s="22">
        <f t="shared" si="5"/>
        <v>613</v>
      </c>
      <c r="G93" s="22">
        <f t="shared" si="6"/>
        <v>73</v>
      </c>
      <c r="H93" s="28">
        <f t="shared" si="7"/>
        <v>987</v>
      </c>
      <c r="I93" s="27">
        <v>-2050</v>
      </c>
      <c r="J93" s="28">
        <f t="shared" si="1"/>
        <v>3037</v>
      </c>
      <c r="K93" s="22">
        <f t="shared" si="8"/>
        <v>825</v>
      </c>
      <c r="L93" s="22">
        <f t="shared" si="9"/>
        <v>73</v>
      </c>
      <c r="M93" s="28">
        <f t="shared" si="10"/>
        <v>1331</v>
      </c>
      <c r="N93" s="24">
        <v>-1560</v>
      </c>
      <c r="O93" s="28">
        <f t="shared" si="2"/>
        <v>2891</v>
      </c>
      <c r="P93" s="22">
        <f t="shared" si="11"/>
        <v>493</v>
      </c>
      <c r="Q93" s="36"/>
      <c r="R93" s="30"/>
    </row>
    <row r="94" spans="1:18" x14ac:dyDescent="0.25">
      <c r="A94" s="21">
        <v>45806</v>
      </c>
      <c r="B94" s="22">
        <f t="shared" si="3"/>
        <v>74</v>
      </c>
      <c r="C94" s="28">
        <f t="shared" si="4"/>
        <v>1243</v>
      </c>
      <c r="D94" s="24">
        <v>-1833</v>
      </c>
      <c r="E94" s="25">
        <v>3076</v>
      </c>
      <c r="F94" s="22">
        <f t="shared" si="5"/>
        <v>613</v>
      </c>
      <c r="G94" s="22">
        <f t="shared" si="6"/>
        <v>74</v>
      </c>
      <c r="H94" s="28">
        <f t="shared" si="7"/>
        <v>977</v>
      </c>
      <c r="I94" s="27">
        <v>-2060</v>
      </c>
      <c r="J94" s="28">
        <f t="shared" si="1"/>
        <v>3037</v>
      </c>
      <c r="K94" s="22">
        <f t="shared" si="8"/>
        <v>835</v>
      </c>
      <c r="L94" s="22">
        <f t="shared" si="9"/>
        <v>74</v>
      </c>
      <c r="M94" s="28">
        <f t="shared" si="10"/>
        <v>1321</v>
      </c>
      <c r="N94" s="24">
        <v>-1570</v>
      </c>
      <c r="O94" s="28">
        <f t="shared" si="2"/>
        <v>2891</v>
      </c>
      <c r="P94" s="22">
        <f t="shared" si="11"/>
        <v>503</v>
      </c>
      <c r="Q94" s="36"/>
      <c r="R94" s="30"/>
    </row>
    <row r="95" spans="1:18" x14ac:dyDescent="0.25">
      <c r="A95" s="21">
        <v>45807</v>
      </c>
      <c r="B95" s="22">
        <f t="shared" si="3"/>
        <v>75</v>
      </c>
      <c r="C95" s="28">
        <f t="shared" si="4"/>
        <v>1243</v>
      </c>
      <c r="D95" s="24">
        <v>-1833</v>
      </c>
      <c r="E95" s="25">
        <v>3076</v>
      </c>
      <c r="F95" s="22">
        <f t="shared" si="5"/>
        <v>613</v>
      </c>
      <c r="G95" s="22">
        <f t="shared" si="6"/>
        <v>75</v>
      </c>
      <c r="H95" s="28">
        <f t="shared" si="7"/>
        <v>977</v>
      </c>
      <c r="I95" s="27">
        <v>-2060</v>
      </c>
      <c r="J95" s="28">
        <f t="shared" si="1"/>
        <v>3037</v>
      </c>
      <c r="K95" s="22">
        <f t="shared" si="8"/>
        <v>835</v>
      </c>
      <c r="L95" s="22">
        <f t="shared" si="9"/>
        <v>75</v>
      </c>
      <c r="M95" s="28">
        <f t="shared" si="10"/>
        <v>1321</v>
      </c>
      <c r="N95" s="24">
        <v>-1570</v>
      </c>
      <c r="O95" s="28">
        <f t="shared" si="2"/>
        <v>2891</v>
      </c>
      <c r="P95" s="22">
        <f t="shared" si="11"/>
        <v>503</v>
      </c>
      <c r="Q95" s="36"/>
      <c r="R95" s="30"/>
    </row>
    <row r="96" spans="1:18" x14ac:dyDescent="0.25">
      <c r="A96" s="21">
        <v>45808</v>
      </c>
      <c r="B96" s="22">
        <f t="shared" si="3"/>
        <v>76</v>
      </c>
      <c r="C96" s="28">
        <f t="shared" si="4"/>
        <v>1243</v>
      </c>
      <c r="D96" s="24">
        <v>-1833</v>
      </c>
      <c r="E96" s="25">
        <v>3076</v>
      </c>
      <c r="F96" s="22">
        <f t="shared" si="5"/>
        <v>613</v>
      </c>
      <c r="G96" s="22">
        <f t="shared" si="6"/>
        <v>76</v>
      </c>
      <c r="H96" s="28">
        <f t="shared" si="7"/>
        <v>977</v>
      </c>
      <c r="I96" s="27">
        <v>-2060</v>
      </c>
      <c r="J96" s="28">
        <f t="shared" si="1"/>
        <v>3037</v>
      </c>
      <c r="K96" s="22">
        <f t="shared" si="8"/>
        <v>835</v>
      </c>
      <c r="L96" s="22">
        <f t="shared" si="9"/>
        <v>76</v>
      </c>
      <c r="M96" s="28">
        <f t="shared" si="10"/>
        <v>1321</v>
      </c>
      <c r="N96" s="24">
        <v>-1570</v>
      </c>
      <c r="O96" s="28">
        <f t="shared" si="2"/>
        <v>2891</v>
      </c>
      <c r="P96" s="22">
        <f t="shared" si="11"/>
        <v>503</v>
      </c>
      <c r="Q96" s="36"/>
      <c r="R96" s="30"/>
    </row>
    <row r="97" spans="1:18" x14ac:dyDescent="0.25">
      <c r="A97" s="21">
        <v>45809</v>
      </c>
      <c r="B97" s="22">
        <f t="shared" si="3"/>
        <v>77</v>
      </c>
      <c r="C97" s="28">
        <f t="shared" si="4"/>
        <v>1243</v>
      </c>
      <c r="D97" s="24">
        <v>-1833</v>
      </c>
      <c r="E97" s="25">
        <v>3076</v>
      </c>
      <c r="F97" s="22">
        <f t="shared" si="5"/>
        <v>613</v>
      </c>
      <c r="G97" s="22">
        <f t="shared" si="6"/>
        <v>77</v>
      </c>
      <c r="H97" s="28">
        <f t="shared" si="7"/>
        <v>977</v>
      </c>
      <c r="I97" s="27">
        <v>-2060</v>
      </c>
      <c r="J97" s="28">
        <f t="shared" si="1"/>
        <v>3037</v>
      </c>
      <c r="K97" s="22">
        <f t="shared" si="8"/>
        <v>835</v>
      </c>
      <c r="L97" s="22">
        <f t="shared" si="9"/>
        <v>77</v>
      </c>
      <c r="M97" s="28">
        <f t="shared" si="10"/>
        <v>1321</v>
      </c>
      <c r="N97" s="24">
        <v>-1570</v>
      </c>
      <c r="O97" s="28">
        <f t="shared" si="2"/>
        <v>2891</v>
      </c>
      <c r="P97" s="22">
        <f t="shared" si="11"/>
        <v>503</v>
      </c>
      <c r="Q97" s="36"/>
      <c r="R97" s="30"/>
    </row>
    <row r="98" spans="1:18" x14ac:dyDescent="0.25">
      <c r="A98" s="21">
        <v>45810</v>
      </c>
      <c r="B98" s="22">
        <f t="shared" si="3"/>
        <v>78</v>
      </c>
      <c r="C98" s="28">
        <f t="shared" si="4"/>
        <v>1241</v>
      </c>
      <c r="D98" s="24">
        <v>-1835</v>
      </c>
      <c r="E98" s="25">
        <v>3076</v>
      </c>
      <c r="F98" s="22">
        <f t="shared" si="5"/>
        <v>615</v>
      </c>
      <c r="G98" s="22">
        <f t="shared" si="6"/>
        <v>78</v>
      </c>
      <c r="H98" s="28">
        <f t="shared" si="7"/>
        <v>968</v>
      </c>
      <c r="I98" s="27">
        <v>-2069</v>
      </c>
      <c r="J98" s="28">
        <f t="shared" si="1"/>
        <v>3037</v>
      </c>
      <c r="K98" s="22">
        <f t="shared" si="8"/>
        <v>844</v>
      </c>
      <c r="L98" s="22">
        <f t="shared" si="9"/>
        <v>78</v>
      </c>
      <c r="M98" s="28">
        <f t="shared" si="10"/>
        <v>1306</v>
      </c>
      <c r="N98" s="24">
        <v>-1585</v>
      </c>
      <c r="O98" s="28">
        <f t="shared" si="2"/>
        <v>2891</v>
      </c>
      <c r="P98" s="22">
        <f t="shared" si="11"/>
        <v>518</v>
      </c>
      <c r="Q98" s="36"/>
      <c r="R98" s="30"/>
    </row>
    <row r="99" spans="1:18" x14ac:dyDescent="0.25">
      <c r="A99" s="21">
        <v>45811</v>
      </c>
      <c r="B99" s="22">
        <f t="shared" si="3"/>
        <v>79</v>
      </c>
      <c r="C99" s="28">
        <f t="shared" si="4"/>
        <v>1241</v>
      </c>
      <c r="D99" s="24">
        <v>-1835</v>
      </c>
      <c r="E99" s="25">
        <v>3076</v>
      </c>
      <c r="F99" s="22">
        <f t="shared" si="5"/>
        <v>615</v>
      </c>
      <c r="G99" s="22">
        <f t="shared" si="6"/>
        <v>79</v>
      </c>
      <c r="H99" s="28">
        <f t="shared" si="7"/>
        <v>967</v>
      </c>
      <c r="I99" s="27">
        <v>-2070</v>
      </c>
      <c r="J99" s="28">
        <f t="shared" si="1"/>
        <v>3037</v>
      </c>
      <c r="K99" s="22">
        <f t="shared" si="8"/>
        <v>845</v>
      </c>
      <c r="L99" s="22">
        <f t="shared" si="9"/>
        <v>79</v>
      </c>
      <c r="M99" s="28">
        <f t="shared" si="10"/>
        <v>1306</v>
      </c>
      <c r="N99" s="24">
        <v>-1585</v>
      </c>
      <c r="O99" s="28">
        <f t="shared" si="2"/>
        <v>2891</v>
      </c>
      <c r="P99" s="22">
        <f t="shared" si="11"/>
        <v>518</v>
      </c>
      <c r="Q99" s="36"/>
      <c r="R99" s="30"/>
    </row>
    <row r="100" spans="1:18" x14ac:dyDescent="0.25">
      <c r="A100" s="21">
        <v>45812</v>
      </c>
      <c r="B100" s="22">
        <f t="shared" si="3"/>
        <v>80</v>
      </c>
      <c r="C100" s="28">
        <f t="shared" si="4"/>
        <v>1231</v>
      </c>
      <c r="D100" s="24">
        <v>-1845</v>
      </c>
      <c r="E100" s="25">
        <v>3076</v>
      </c>
      <c r="F100" s="22">
        <f t="shared" si="5"/>
        <v>625</v>
      </c>
      <c r="G100" s="22">
        <f t="shared" si="6"/>
        <v>80</v>
      </c>
      <c r="H100" s="28">
        <f t="shared" si="7"/>
        <v>957</v>
      </c>
      <c r="I100" s="27">
        <v>-2080</v>
      </c>
      <c r="J100" s="28">
        <f t="shared" si="1"/>
        <v>3037</v>
      </c>
      <c r="K100" s="22">
        <f t="shared" si="8"/>
        <v>855</v>
      </c>
      <c r="L100" s="22">
        <f t="shared" si="9"/>
        <v>80</v>
      </c>
      <c r="M100" s="28">
        <f t="shared" si="10"/>
        <v>1296</v>
      </c>
      <c r="N100" s="24">
        <v>-1595</v>
      </c>
      <c r="O100" s="28">
        <f t="shared" si="2"/>
        <v>2891</v>
      </c>
      <c r="P100" s="22">
        <f t="shared" si="11"/>
        <v>528</v>
      </c>
      <c r="Q100" s="36"/>
      <c r="R100" s="30"/>
    </row>
    <row r="101" spans="1:18" x14ac:dyDescent="0.25">
      <c r="A101" s="21">
        <v>45813</v>
      </c>
      <c r="B101" s="22">
        <f t="shared" si="3"/>
        <v>81</v>
      </c>
      <c r="C101" s="28">
        <f t="shared" si="4"/>
        <v>1221</v>
      </c>
      <c r="D101" s="24">
        <v>-1855</v>
      </c>
      <c r="E101" s="25">
        <v>3076</v>
      </c>
      <c r="F101" s="22">
        <f t="shared" si="5"/>
        <v>635</v>
      </c>
      <c r="G101" s="22">
        <f t="shared" si="6"/>
        <v>81</v>
      </c>
      <c r="H101" s="28">
        <f t="shared" si="7"/>
        <v>947</v>
      </c>
      <c r="I101" s="27">
        <v>-2090</v>
      </c>
      <c r="J101" s="28">
        <f t="shared" si="1"/>
        <v>3037</v>
      </c>
      <c r="K101" s="22">
        <f t="shared" si="8"/>
        <v>865</v>
      </c>
      <c r="L101" s="22">
        <f t="shared" si="9"/>
        <v>81</v>
      </c>
      <c r="M101" s="28">
        <f t="shared" si="10"/>
        <v>1286</v>
      </c>
      <c r="N101" s="24">
        <v>-1605</v>
      </c>
      <c r="O101" s="28">
        <f t="shared" si="2"/>
        <v>2891</v>
      </c>
      <c r="P101" s="22">
        <f t="shared" si="11"/>
        <v>538</v>
      </c>
      <c r="Q101" s="36"/>
      <c r="R101" s="30"/>
    </row>
    <row r="102" spans="1:18" x14ac:dyDescent="0.25">
      <c r="A102" s="21">
        <v>45814</v>
      </c>
      <c r="B102" s="22">
        <f t="shared" si="3"/>
        <v>82</v>
      </c>
      <c r="C102" s="28">
        <f t="shared" si="4"/>
        <v>1211</v>
      </c>
      <c r="D102" s="24">
        <v>-1865</v>
      </c>
      <c r="E102" s="25">
        <v>3076</v>
      </c>
      <c r="F102" s="22">
        <f t="shared" si="5"/>
        <v>645</v>
      </c>
      <c r="G102" s="22">
        <f t="shared" si="6"/>
        <v>82</v>
      </c>
      <c r="H102" s="28">
        <f t="shared" si="7"/>
        <v>937</v>
      </c>
      <c r="I102" s="27">
        <v>-2100</v>
      </c>
      <c r="J102" s="28">
        <f t="shared" si="1"/>
        <v>3037</v>
      </c>
      <c r="K102" s="22">
        <f t="shared" si="8"/>
        <v>875</v>
      </c>
      <c r="L102" s="22">
        <f t="shared" si="9"/>
        <v>82</v>
      </c>
      <c r="M102" s="28">
        <f t="shared" si="10"/>
        <v>1281</v>
      </c>
      <c r="N102" s="24">
        <v>-1610</v>
      </c>
      <c r="O102" s="28">
        <f t="shared" si="2"/>
        <v>2891</v>
      </c>
      <c r="P102" s="22">
        <f t="shared" si="11"/>
        <v>543</v>
      </c>
      <c r="Q102" s="36"/>
      <c r="R102" s="30"/>
    </row>
    <row r="103" spans="1:18" x14ac:dyDescent="0.25">
      <c r="A103" s="21">
        <v>45815</v>
      </c>
      <c r="B103" s="22">
        <f t="shared" si="3"/>
        <v>83</v>
      </c>
      <c r="C103" s="28">
        <f t="shared" si="4"/>
        <v>1206</v>
      </c>
      <c r="D103" s="24">
        <v>-1870</v>
      </c>
      <c r="E103" s="25">
        <v>3076</v>
      </c>
      <c r="F103" s="22">
        <f t="shared" si="5"/>
        <v>650</v>
      </c>
      <c r="G103" s="22">
        <f t="shared" si="6"/>
        <v>83</v>
      </c>
      <c r="H103" s="28">
        <f t="shared" si="7"/>
        <v>928</v>
      </c>
      <c r="I103" s="27">
        <v>-2109</v>
      </c>
      <c r="J103" s="28">
        <f t="shared" si="1"/>
        <v>3037</v>
      </c>
      <c r="K103" s="22">
        <f t="shared" si="8"/>
        <v>884</v>
      </c>
      <c r="L103" s="22">
        <f t="shared" si="9"/>
        <v>83</v>
      </c>
      <c r="M103" s="28">
        <f t="shared" si="10"/>
        <v>1273</v>
      </c>
      <c r="N103" s="24">
        <v>-1618</v>
      </c>
      <c r="O103" s="28">
        <f t="shared" si="2"/>
        <v>2891</v>
      </c>
      <c r="P103" s="22">
        <f t="shared" si="11"/>
        <v>551</v>
      </c>
      <c r="Q103" s="36"/>
      <c r="R103" s="30"/>
    </row>
    <row r="104" spans="1:18" x14ac:dyDescent="0.25">
      <c r="A104" s="21">
        <v>45816</v>
      </c>
      <c r="B104" s="22">
        <f t="shared" si="3"/>
        <v>84</v>
      </c>
      <c r="C104" s="28">
        <f t="shared" si="4"/>
        <v>1201</v>
      </c>
      <c r="D104" s="24">
        <v>-1875</v>
      </c>
      <c r="E104" s="25">
        <v>3076</v>
      </c>
      <c r="F104" s="22">
        <f t="shared" si="5"/>
        <v>655</v>
      </c>
      <c r="G104" s="22">
        <f t="shared" si="6"/>
        <v>84</v>
      </c>
      <c r="H104" s="28">
        <f t="shared" si="7"/>
        <v>923</v>
      </c>
      <c r="I104" s="27">
        <v>-2114</v>
      </c>
      <c r="J104" s="28">
        <f t="shared" si="1"/>
        <v>3037</v>
      </c>
      <c r="K104" s="22">
        <f t="shared" si="8"/>
        <v>889</v>
      </c>
      <c r="L104" s="22">
        <f t="shared" si="9"/>
        <v>84</v>
      </c>
      <c r="M104" s="28">
        <f t="shared" si="10"/>
        <v>1268</v>
      </c>
      <c r="N104" s="24">
        <v>-1623</v>
      </c>
      <c r="O104" s="28">
        <f t="shared" si="2"/>
        <v>2891</v>
      </c>
      <c r="P104" s="22">
        <f t="shared" si="11"/>
        <v>556</v>
      </c>
      <c r="Q104" s="36"/>
      <c r="R104" s="30"/>
    </row>
    <row r="105" spans="1:18" x14ac:dyDescent="0.25">
      <c r="A105" s="21">
        <v>45817</v>
      </c>
      <c r="B105" s="22">
        <f t="shared" si="3"/>
        <v>85</v>
      </c>
      <c r="C105" s="28">
        <f t="shared" si="4"/>
        <v>1196</v>
      </c>
      <c r="D105" s="24">
        <v>-1880</v>
      </c>
      <c r="E105" s="25">
        <v>3076</v>
      </c>
      <c r="F105" s="22">
        <f t="shared" si="5"/>
        <v>660</v>
      </c>
      <c r="G105" s="22">
        <f t="shared" si="6"/>
        <v>85</v>
      </c>
      <c r="H105" s="28">
        <f t="shared" si="7"/>
        <v>908</v>
      </c>
      <c r="I105" s="27">
        <v>-2129</v>
      </c>
      <c r="J105" s="28">
        <f t="shared" si="1"/>
        <v>3037</v>
      </c>
      <c r="K105" s="22">
        <f t="shared" si="8"/>
        <v>904</v>
      </c>
      <c r="L105" s="22">
        <f t="shared" si="9"/>
        <v>85</v>
      </c>
      <c r="M105" s="28">
        <f t="shared" si="10"/>
        <v>1253</v>
      </c>
      <c r="N105" s="24">
        <v>-1638</v>
      </c>
      <c r="O105" s="28">
        <f t="shared" si="2"/>
        <v>2891</v>
      </c>
      <c r="P105" s="22">
        <f t="shared" si="11"/>
        <v>571</v>
      </c>
      <c r="Q105" s="36"/>
      <c r="R105" s="30"/>
    </row>
    <row r="106" spans="1:18" x14ac:dyDescent="0.25">
      <c r="A106" s="21">
        <v>45818</v>
      </c>
      <c r="B106" s="22">
        <f t="shared" si="3"/>
        <v>86</v>
      </c>
      <c r="C106" s="28">
        <f t="shared" si="4"/>
        <v>1191</v>
      </c>
      <c r="D106" s="24">
        <v>-1885</v>
      </c>
      <c r="E106" s="25">
        <v>3076</v>
      </c>
      <c r="F106" s="22">
        <f t="shared" si="5"/>
        <v>665</v>
      </c>
      <c r="G106" s="22">
        <f t="shared" si="6"/>
        <v>86</v>
      </c>
      <c r="H106" s="28">
        <f t="shared" si="7"/>
        <v>905</v>
      </c>
      <c r="I106" s="27">
        <v>-2132</v>
      </c>
      <c r="J106" s="28">
        <f t="shared" si="1"/>
        <v>3037</v>
      </c>
      <c r="K106" s="22">
        <f t="shared" si="8"/>
        <v>907</v>
      </c>
      <c r="L106" s="22">
        <f t="shared" si="9"/>
        <v>86</v>
      </c>
      <c r="M106" s="28">
        <f t="shared" si="10"/>
        <v>1249</v>
      </c>
      <c r="N106" s="24">
        <v>-1642</v>
      </c>
      <c r="O106" s="28">
        <f t="shared" si="2"/>
        <v>2891</v>
      </c>
      <c r="P106" s="22">
        <f t="shared" si="11"/>
        <v>575</v>
      </c>
      <c r="Q106" s="36"/>
      <c r="R106" s="30"/>
    </row>
    <row r="107" spans="1:18" x14ac:dyDescent="0.25">
      <c r="A107" s="21">
        <v>45819</v>
      </c>
      <c r="B107" s="22">
        <f t="shared" si="3"/>
        <v>87</v>
      </c>
      <c r="C107" s="28">
        <f t="shared" si="4"/>
        <v>1191</v>
      </c>
      <c r="D107" s="24">
        <v>-1885</v>
      </c>
      <c r="E107" s="25">
        <v>3076</v>
      </c>
      <c r="F107" s="22">
        <f t="shared" si="5"/>
        <v>665</v>
      </c>
      <c r="G107" s="22">
        <f t="shared" si="6"/>
        <v>87</v>
      </c>
      <c r="H107" s="28">
        <f t="shared" si="7"/>
        <v>902</v>
      </c>
      <c r="I107" s="27">
        <v>-2135</v>
      </c>
      <c r="J107" s="28">
        <f t="shared" si="1"/>
        <v>3037</v>
      </c>
      <c r="K107" s="22">
        <f t="shared" si="8"/>
        <v>910</v>
      </c>
      <c r="L107" s="22">
        <f t="shared" si="9"/>
        <v>87</v>
      </c>
      <c r="M107" s="28">
        <f t="shared" si="10"/>
        <v>1246</v>
      </c>
      <c r="N107" s="24">
        <v>-1645</v>
      </c>
      <c r="O107" s="28">
        <f t="shared" si="2"/>
        <v>2891</v>
      </c>
      <c r="P107" s="22">
        <f t="shared" si="11"/>
        <v>578</v>
      </c>
      <c r="Q107" s="36"/>
      <c r="R107" s="30"/>
    </row>
    <row r="108" spans="1:18" x14ac:dyDescent="0.25">
      <c r="A108" s="21">
        <v>45820</v>
      </c>
      <c r="B108" s="22">
        <f t="shared" si="3"/>
        <v>88</v>
      </c>
      <c r="C108" s="28">
        <f t="shared" si="4"/>
        <v>1191</v>
      </c>
      <c r="D108" s="24">
        <v>-1885</v>
      </c>
      <c r="E108" s="25">
        <v>3076</v>
      </c>
      <c r="F108" s="22">
        <f t="shared" si="5"/>
        <v>665</v>
      </c>
      <c r="G108" s="22">
        <f t="shared" si="6"/>
        <v>88</v>
      </c>
      <c r="H108" s="28">
        <f t="shared" si="7"/>
        <v>899</v>
      </c>
      <c r="I108" s="27">
        <v>-2138</v>
      </c>
      <c r="J108" s="28">
        <f t="shared" si="1"/>
        <v>3037</v>
      </c>
      <c r="K108" s="22">
        <f t="shared" si="8"/>
        <v>913</v>
      </c>
      <c r="L108" s="22">
        <f t="shared" si="9"/>
        <v>88</v>
      </c>
      <c r="M108" s="28">
        <f t="shared" si="10"/>
        <v>1243</v>
      </c>
      <c r="N108" s="24">
        <v>-1648</v>
      </c>
      <c r="O108" s="28">
        <f t="shared" si="2"/>
        <v>2891</v>
      </c>
      <c r="P108" s="22">
        <f t="shared" si="11"/>
        <v>581</v>
      </c>
      <c r="Q108" s="36"/>
      <c r="R108" s="30"/>
    </row>
    <row r="109" spans="1:18" x14ac:dyDescent="0.25">
      <c r="A109" s="21">
        <v>45821</v>
      </c>
      <c r="B109" s="22">
        <f t="shared" si="3"/>
        <v>89</v>
      </c>
      <c r="C109" s="28">
        <f t="shared" si="4"/>
        <v>1191</v>
      </c>
      <c r="D109" s="24">
        <v>-1885</v>
      </c>
      <c r="E109" s="25">
        <v>3076</v>
      </c>
      <c r="F109" s="22">
        <f t="shared" si="5"/>
        <v>665</v>
      </c>
      <c r="G109" s="22">
        <f t="shared" si="6"/>
        <v>89</v>
      </c>
      <c r="H109" s="28">
        <f t="shared" si="7"/>
        <v>896</v>
      </c>
      <c r="I109" s="27">
        <v>-2141</v>
      </c>
      <c r="J109" s="28">
        <f t="shared" si="1"/>
        <v>3037</v>
      </c>
      <c r="K109" s="22">
        <f t="shared" si="8"/>
        <v>916</v>
      </c>
      <c r="L109" s="22">
        <f t="shared" si="9"/>
        <v>89</v>
      </c>
      <c r="M109" s="28">
        <f t="shared" si="10"/>
        <v>1240</v>
      </c>
      <c r="N109" s="24">
        <v>-1651</v>
      </c>
      <c r="O109" s="28">
        <f t="shared" si="2"/>
        <v>2891</v>
      </c>
      <c r="P109" s="22">
        <f t="shared" si="11"/>
        <v>584</v>
      </c>
      <c r="Q109" s="36"/>
      <c r="R109" s="30"/>
    </row>
    <row r="110" spans="1:18" x14ac:dyDescent="0.25">
      <c r="A110" s="21">
        <v>45822</v>
      </c>
      <c r="B110" s="22">
        <f t="shared" si="3"/>
        <v>90</v>
      </c>
      <c r="C110" s="28">
        <f t="shared" si="4"/>
        <v>1191</v>
      </c>
      <c r="D110" s="24">
        <v>-1885</v>
      </c>
      <c r="E110" s="25">
        <v>3076</v>
      </c>
      <c r="F110" s="22">
        <f t="shared" si="5"/>
        <v>665</v>
      </c>
      <c r="G110" s="22">
        <f t="shared" si="6"/>
        <v>90</v>
      </c>
      <c r="H110" s="28">
        <f t="shared" si="7"/>
        <v>893</v>
      </c>
      <c r="I110" s="27">
        <v>-2144</v>
      </c>
      <c r="J110" s="28">
        <f t="shared" si="1"/>
        <v>3037</v>
      </c>
      <c r="K110" s="22">
        <f t="shared" si="8"/>
        <v>919</v>
      </c>
      <c r="L110" s="22">
        <f t="shared" si="9"/>
        <v>90</v>
      </c>
      <c r="M110" s="28">
        <f t="shared" si="10"/>
        <v>1237</v>
      </c>
      <c r="N110" s="24">
        <v>-1654</v>
      </c>
      <c r="O110" s="28">
        <f t="shared" si="2"/>
        <v>2891</v>
      </c>
      <c r="P110" s="22">
        <f t="shared" si="11"/>
        <v>587</v>
      </c>
      <c r="Q110" s="36"/>
      <c r="R110" s="30"/>
    </row>
    <row r="111" spans="1:18" x14ac:dyDescent="0.25">
      <c r="A111" s="21">
        <v>45823</v>
      </c>
      <c r="B111" s="22">
        <f t="shared" si="3"/>
        <v>91</v>
      </c>
      <c r="C111" s="28">
        <f t="shared" si="4"/>
        <v>1191</v>
      </c>
      <c r="D111" s="24">
        <v>-1885</v>
      </c>
      <c r="E111" s="25">
        <v>3076</v>
      </c>
      <c r="F111" s="22">
        <f t="shared" si="5"/>
        <v>665</v>
      </c>
      <c r="G111" s="22">
        <f t="shared" si="6"/>
        <v>91</v>
      </c>
      <c r="H111" s="28">
        <f t="shared" si="7"/>
        <v>890</v>
      </c>
      <c r="I111" s="27">
        <v>-2147</v>
      </c>
      <c r="J111" s="28">
        <f t="shared" si="1"/>
        <v>3037</v>
      </c>
      <c r="K111" s="22">
        <f t="shared" si="8"/>
        <v>922</v>
      </c>
      <c r="L111" s="22">
        <f t="shared" si="9"/>
        <v>91</v>
      </c>
      <c r="M111" s="28">
        <f t="shared" si="10"/>
        <v>1234</v>
      </c>
      <c r="N111" s="24">
        <v>-1657</v>
      </c>
      <c r="O111" s="28">
        <f t="shared" si="2"/>
        <v>2891</v>
      </c>
      <c r="P111" s="22">
        <f t="shared" si="11"/>
        <v>590</v>
      </c>
      <c r="Q111" s="36"/>
      <c r="R111" s="30"/>
    </row>
    <row r="112" spans="1:18" x14ac:dyDescent="0.25">
      <c r="A112" s="21">
        <v>45824</v>
      </c>
      <c r="B112" s="22">
        <f t="shared" si="3"/>
        <v>92</v>
      </c>
      <c r="C112" s="28">
        <f t="shared" si="4"/>
        <v>1191</v>
      </c>
      <c r="D112" s="24">
        <v>-1885</v>
      </c>
      <c r="E112" s="25">
        <v>3076</v>
      </c>
      <c r="F112" s="22">
        <f t="shared" si="5"/>
        <v>665</v>
      </c>
      <c r="G112" s="22">
        <f t="shared" si="6"/>
        <v>92</v>
      </c>
      <c r="H112" s="28">
        <f t="shared" si="7"/>
        <v>887</v>
      </c>
      <c r="I112" s="27">
        <v>-2150</v>
      </c>
      <c r="J112" s="28">
        <f t="shared" si="1"/>
        <v>3037</v>
      </c>
      <c r="K112" s="22">
        <f t="shared" si="8"/>
        <v>925</v>
      </c>
      <c r="L112" s="22">
        <f t="shared" si="9"/>
        <v>92</v>
      </c>
      <c r="M112" s="28">
        <f t="shared" si="10"/>
        <v>1231</v>
      </c>
      <c r="N112" s="24">
        <v>-1660</v>
      </c>
      <c r="O112" s="28">
        <f t="shared" si="2"/>
        <v>2891</v>
      </c>
      <c r="P112" s="22">
        <f t="shared" si="11"/>
        <v>593</v>
      </c>
      <c r="Q112" s="36"/>
      <c r="R112" s="30"/>
    </row>
    <row r="113" spans="1:18" x14ac:dyDescent="0.25">
      <c r="A113" s="21">
        <v>45825</v>
      </c>
      <c r="B113" s="22">
        <f t="shared" si="3"/>
        <v>93</v>
      </c>
      <c r="C113" s="28">
        <f t="shared" si="4"/>
        <v>1182</v>
      </c>
      <c r="D113" s="24">
        <v>-1894</v>
      </c>
      <c r="E113" s="25">
        <v>3076</v>
      </c>
      <c r="F113" s="22">
        <f t="shared" si="5"/>
        <v>674</v>
      </c>
      <c r="G113" s="22">
        <f t="shared" si="6"/>
        <v>93</v>
      </c>
      <c r="H113" s="28">
        <f t="shared" si="7"/>
        <v>884</v>
      </c>
      <c r="I113" s="27">
        <v>-2153</v>
      </c>
      <c r="J113" s="28">
        <f t="shared" si="1"/>
        <v>3037</v>
      </c>
      <c r="K113" s="22">
        <f t="shared" si="8"/>
        <v>928</v>
      </c>
      <c r="L113" s="22">
        <f t="shared" si="9"/>
        <v>93</v>
      </c>
      <c r="M113" s="28">
        <f t="shared" si="10"/>
        <v>1228</v>
      </c>
      <c r="N113" s="24">
        <v>-1663</v>
      </c>
      <c r="O113" s="28">
        <f t="shared" si="2"/>
        <v>2891</v>
      </c>
      <c r="P113" s="22">
        <f t="shared" si="11"/>
        <v>596</v>
      </c>
      <c r="Q113" s="36"/>
      <c r="R113" s="30"/>
    </row>
    <row r="114" spans="1:18" x14ac:dyDescent="0.25">
      <c r="A114" s="21">
        <v>45826</v>
      </c>
      <c r="B114" s="22">
        <f t="shared" si="3"/>
        <v>94</v>
      </c>
      <c r="C114" s="28">
        <f t="shared" si="4"/>
        <v>1173</v>
      </c>
      <c r="D114" s="24">
        <v>-1903</v>
      </c>
      <c r="E114" s="25">
        <v>3076</v>
      </c>
      <c r="F114" s="22">
        <f t="shared" si="5"/>
        <v>683</v>
      </c>
      <c r="G114" s="22">
        <f t="shared" si="6"/>
        <v>94</v>
      </c>
      <c r="H114" s="28">
        <f t="shared" si="7"/>
        <v>881</v>
      </c>
      <c r="I114" s="27">
        <v>-2156</v>
      </c>
      <c r="J114" s="28">
        <f t="shared" si="1"/>
        <v>3037</v>
      </c>
      <c r="K114" s="22">
        <f t="shared" si="8"/>
        <v>931</v>
      </c>
      <c r="L114" s="22">
        <f t="shared" si="9"/>
        <v>94</v>
      </c>
      <c r="M114" s="28">
        <f t="shared" si="10"/>
        <v>1225</v>
      </c>
      <c r="N114" s="24">
        <v>-1666</v>
      </c>
      <c r="O114" s="28">
        <f t="shared" si="2"/>
        <v>2891</v>
      </c>
      <c r="P114" s="22">
        <f t="shared" si="11"/>
        <v>599</v>
      </c>
      <c r="Q114" s="36"/>
      <c r="R114" s="30"/>
    </row>
    <row r="115" spans="1:18" x14ac:dyDescent="0.25">
      <c r="A115" s="21">
        <v>45827</v>
      </c>
      <c r="B115" s="22">
        <f t="shared" si="3"/>
        <v>95</v>
      </c>
      <c r="C115" s="28">
        <f t="shared" si="4"/>
        <v>1164</v>
      </c>
      <c r="D115" s="24">
        <v>-1912</v>
      </c>
      <c r="E115" s="25">
        <v>3076</v>
      </c>
      <c r="F115" s="22">
        <f t="shared" si="5"/>
        <v>692</v>
      </c>
      <c r="G115" s="22">
        <f t="shared" si="6"/>
        <v>95</v>
      </c>
      <c r="H115" s="28">
        <f t="shared" si="7"/>
        <v>878</v>
      </c>
      <c r="I115" s="27">
        <v>-2159</v>
      </c>
      <c r="J115" s="28">
        <f t="shared" si="1"/>
        <v>3037</v>
      </c>
      <c r="K115" s="22">
        <f t="shared" si="8"/>
        <v>934</v>
      </c>
      <c r="L115" s="22">
        <f t="shared" si="9"/>
        <v>95</v>
      </c>
      <c r="M115" s="28">
        <f t="shared" si="10"/>
        <v>1222</v>
      </c>
      <c r="N115" s="24">
        <v>-1669</v>
      </c>
      <c r="O115" s="28">
        <f t="shared" si="2"/>
        <v>2891</v>
      </c>
      <c r="P115" s="22">
        <f t="shared" si="11"/>
        <v>602</v>
      </c>
      <c r="Q115" s="36"/>
      <c r="R115" s="30"/>
    </row>
    <row r="116" spans="1:18" x14ac:dyDescent="0.25">
      <c r="A116" s="21">
        <v>45828</v>
      </c>
      <c r="B116" s="22">
        <f t="shared" si="3"/>
        <v>96</v>
      </c>
      <c r="C116" s="28">
        <f t="shared" si="4"/>
        <v>1155</v>
      </c>
      <c r="D116" s="24">
        <v>-1921</v>
      </c>
      <c r="E116" s="25">
        <v>3076</v>
      </c>
      <c r="F116" s="22">
        <f t="shared" si="5"/>
        <v>701</v>
      </c>
      <c r="G116" s="22">
        <f t="shared" si="6"/>
        <v>96</v>
      </c>
      <c r="H116" s="28">
        <f t="shared" si="7"/>
        <v>875</v>
      </c>
      <c r="I116" s="27">
        <v>-2162</v>
      </c>
      <c r="J116" s="28">
        <f t="shared" si="1"/>
        <v>3037</v>
      </c>
      <c r="K116" s="22">
        <f t="shared" si="8"/>
        <v>937</v>
      </c>
      <c r="L116" s="22">
        <f t="shared" si="9"/>
        <v>96</v>
      </c>
      <c r="M116" s="28">
        <f t="shared" si="10"/>
        <v>1219</v>
      </c>
      <c r="N116" s="24">
        <v>-1672</v>
      </c>
      <c r="O116" s="28">
        <f t="shared" si="2"/>
        <v>2891</v>
      </c>
      <c r="P116" s="22">
        <f t="shared" si="11"/>
        <v>605</v>
      </c>
      <c r="Q116" s="36"/>
      <c r="R116" s="30"/>
    </row>
    <row r="117" spans="1:18" x14ac:dyDescent="0.25">
      <c r="A117" s="21">
        <v>45829</v>
      </c>
      <c r="B117" s="22">
        <f t="shared" si="3"/>
        <v>97</v>
      </c>
      <c r="C117" s="28">
        <f t="shared" si="4"/>
        <v>1146</v>
      </c>
      <c r="D117" s="24">
        <v>-1930</v>
      </c>
      <c r="E117" s="25">
        <v>3076</v>
      </c>
      <c r="F117" s="22">
        <f t="shared" si="5"/>
        <v>710</v>
      </c>
      <c r="G117" s="22">
        <f t="shared" si="6"/>
        <v>97</v>
      </c>
      <c r="H117" s="28">
        <f t="shared" si="7"/>
        <v>872</v>
      </c>
      <c r="I117" s="27">
        <v>-2165</v>
      </c>
      <c r="J117" s="28">
        <f t="shared" si="1"/>
        <v>3037</v>
      </c>
      <c r="K117" s="22">
        <f t="shared" si="8"/>
        <v>940</v>
      </c>
      <c r="L117" s="22">
        <f t="shared" si="9"/>
        <v>97</v>
      </c>
      <c r="M117" s="28">
        <f t="shared" si="10"/>
        <v>1216</v>
      </c>
      <c r="N117" s="24">
        <v>-1675</v>
      </c>
      <c r="O117" s="28">
        <f t="shared" si="2"/>
        <v>2891</v>
      </c>
      <c r="P117" s="22">
        <f t="shared" si="11"/>
        <v>608</v>
      </c>
      <c r="Q117" s="36"/>
      <c r="R117" s="30"/>
    </row>
    <row r="118" spans="1:18" x14ac:dyDescent="0.25">
      <c r="A118" s="21">
        <v>45830</v>
      </c>
      <c r="B118" s="22">
        <f t="shared" si="3"/>
        <v>98</v>
      </c>
      <c r="C118" s="28">
        <f t="shared" si="4"/>
        <v>1141</v>
      </c>
      <c r="D118" s="24">
        <v>-1935</v>
      </c>
      <c r="E118" s="25">
        <v>3076</v>
      </c>
      <c r="F118" s="22">
        <f t="shared" si="5"/>
        <v>715</v>
      </c>
      <c r="G118" s="22">
        <f t="shared" si="6"/>
        <v>98</v>
      </c>
      <c r="H118" s="28">
        <f t="shared" si="7"/>
        <v>869</v>
      </c>
      <c r="I118" s="27">
        <v>-2168</v>
      </c>
      <c r="J118" s="28">
        <f t="shared" si="1"/>
        <v>3037</v>
      </c>
      <c r="K118" s="22">
        <f t="shared" si="8"/>
        <v>943</v>
      </c>
      <c r="L118" s="22">
        <f t="shared" si="9"/>
        <v>98</v>
      </c>
      <c r="M118" s="28">
        <f t="shared" si="10"/>
        <v>1213</v>
      </c>
      <c r="N118" s="24">
        <v>-1678</v>
      </c>
      <c r="O118" s="28">
        <f t="shared" si="2"/>
        <v>2891</v>
      </c>
      <c r="P118" s="22">
        <f t="shared" si="11"/>
        <v>611</v>
      </c>
      <c r="Q118" s="36"/>
      <c r="R118" s="30"/>
    </row>
    <row r="119" spans="1:18" x14ac:dyDescent="0.25">
      <c r="A119" s="21">
        <v>45831</v>
      </c>
      <c r="B119" s="22">
        <f t="shared" si="3"/>
        <v>99</v>
      </c>
      <c r="C119" s="28">
        <f t="shared" si="4"/>
        <v>1136</v>
      </c>
      <c r="D119" s="24">
        <v>-1940</v>
      </c>
      <c r="E119" s="25">
        <v>3076</v>
      </c>
      <c r="F119" s="22">
        <f t="shared" si="5"/>
        <v>720</v>
      </c>
      <c r="G119" s="22">
        <f t="shared" si="6"/>
        <v>99</v>
      </c>
      <c r="H119" s="28">
        <f t="shared" si="7"/>
        <v>866</v>
      </c>
      <c r="I119" s="27">
        <v>-2171</v>
      </c>
      <c r="J119" s="28">
        <f t="shared" si="1"/>
        <v>3037</v>
      </c>
      <c r="K119" s="22">
        <f t="shared" si="8"/>
        <v>946</v>
      </c>
      <c r="L119" s="22">
        <f t="shared" si="9"/>
        <v>99</v>
      </c>
      <c r="M119" s="28">
        <f t="shared" si="10"/>
        <v>1210</v>
      </c>
      <c r="N119" s="24">
        <v>-1681</v>
      </c>
      <c r="O119" s="28">
        <f t="shared" si="2"/>
        <v>2891</v>
      </c>
      <c r="P119" s="22">
        <f t="shared" si="11"/>
        <v>614</v>
      </c>
      <c r="Q119" s="36"/>
      <c r="R119" s="30"/>
    </row>
    <row r="120" spans="1:18" x14ac:dyDescent="0.25">
      <c r="A120" s="21">
        <v>45832</v>
      </c>
      <c r="B120" s="22">
        <f t="shared" si="3"/>
        <v>100</v>
      </c>
      <c r="C120" s="28">
        <f t="shared" si="4"/>
        <v>1131</v>
      </c>
      <c r="D120" s="24">
        <v>-1945</v>
      </c>
      <c r="E120" s="25">
        <v>3076</v>
      </c>
      <c r="F120" s="22">
        <f t="shared" si="5"/>
        <v>725</v>
      </c>
      <c r="G120" s="22">
        <f t="shared" si="6"/>
        <v>100</v>
      </c>
      <c r="H120" s="28">
        <f t="shared" si="7"/>
        <v>863</v>
      </c>
      <c r="I120" s="27">
        <v>-2174</v>
      </c>
      <c r="J120" s="28">
        <f t="shared" si="1"/>
        <v>3037</v>
      </c>
      <c r="K120" s="22">
        <f t="shared" si="8"/>
        <v>949</v>
      </c>
      <c r="L120" s="22">
        <f t="shared" si="9"/>
        <v>100</v>
      </c>
      <c r="M120" s="28">
        <f t="shared" si="10"/>
        <v>1207</v>
      </c>
      <c r="N120" s="24">
        <v>-1684</v>
      </c>
      <c r="O120" s="28">
        <f t="shared" si="2"/>
        <v>2891</v>
      </c>
      <c r="P120" s="22">
        <f t="shared" si="11"/>
        <v>617</v>
      </c>
      <c r="Q120" s="36"/>
      <c r="R120" s="30"/>
    </row>
    <row r="121" spans="1:18" x14ac:dyDescent="0.25">
      <c r="A121" s="21">
        <v>45833</v>
      </c>
      <c r="B121" s="22">
        <f t="shared" si="3"/>
        <v>101</v>
      </c>
      <c r="C121" s="28">
        <f t="shared" si="4"/>
        <v>1126</v>
      </c>
      <c r="D121" s="24">
        <v>-1950</v>
      </c>
      <c r="E121" s="25">
        <v>3076</v>
      </c>
      <c r="F121" s="22">
        <f t="shared" si="5"/>
        <v>730</v>
      </c>
      <c r="G121" s="22">
        <f t="shared" si="6"/>
        <v>101</v>
      </c>
      <c r="H121" s="28">
        <f t="shared" si="7"/>
        <v>860</v>
      </c>
      <c r="I121" s="27">
        <v>-2177</v>
      </c>
      <c r="J121" s="28">
        <f t="shared" si="1"/>
        <v>3037</v>
      </c>
      <c r="K121" s="22">
        <f t="shared" si="8"/>
        <v>952</v>
      </c>
      <c r="L121" s="22">
        <f t="shared" si="9"/>
        <v>101</v>
      </c>
      <c r="M121" s="28">
        <f t="shared" si="10"/>
        <v>1204</v>
      </c>
      <c r="N121" s="24">
        <v>-1687</v>
      </c>
      <c r="O121" s="28">
        <f t="shared" si="2"/>
        <v>2891</v>
      </c>
      <c r="P121" s="22">
        <f t="shared" si="11"/>
        <v>620</v>
      </c>
      <c r="Q121" s="36"/>
      <c r="R121" s="30"/>
    </row>
    <row r="122" spans="1:18" x14ac:dyDescent="0.25">
      <c r="A122" s="21">
        <v>45834</v>
      </c>
      <c r="B122" s="22">
        <f t="shared" si="3"/>
        <v>102</v>
      </c>
      <c r="C122" s="28">
        <f t="shared" si="4"/>
        <v>1121</v>
      </c>
      <c r="D122" s="24">
        <v>-1955</v>
      </c>
      <c r="E122" s="25">
        <v>3076</v>
      </c>
      <c r="F122" s="22">
        <f t="shared" si="5"/>
        <v>735</v>
      </c>
      <c r="G122" s="22">
        <f t="shared" si="6"/>
        <v>102</v>
      </c>
      <c r="H122" s="28">
        <f t="shared" si="7"/>
        <v>832</v>
      </c>
      <c r="I122" s="27">
        <v>-2205</v>
      </c>
      <c r="J122" s="28">
        <f t="shared" si="1"/>
        <v>3037</v>
      </c>
      <c r="K122" s="22">
        <f t="shared" si="8"/>
        <v>980</v>
      </c>
      <c r="L122" s="22">
        <f t="shared" si="9"/>
        <v>102</v>
      </c>
      <c r="M122" s="28">
        <f t="shared" si="10"/>
        <v>1186</v>
      </c>
      <c r="N122" s="24">
        <v>-1705</v>
      </c>
      <c r="O122" s="28">
        <f t="shared" si="2"/>
        <v>2891</v>
      </c>
      <c r="P122" s="22">
        <f t="shared" si="11"/>
        <v>638</v>
      </c>
      <c r="Q122" s="36"/>
      <c r="R122" s="30"/>
    </row>
    <row r="123" spans="1:18" x14ac:dyDescent="0.25">
      <c r="A123" s="21">
        <v>45835</v>
      </c>
      <c r="B123" s="22">
        <f t="shared" si="3"/>
        <v>103</v>
      </c>
      <c r="C123" s="28">
        <f t="shared" si="4"/>
        <v>1121</v>
      </c>
      <c r="D123" s="24">
        <v>-1955</v>
      </c>
      <c r="E123" s="25">
        <v>3076</v>
      </c>
      <c r="F123" s="22">
        <f t="shared" si="5"/>
        <v>735</v>
      </c>
      <c r="G123" s="22">
        <f t="shared" si="6"/>
        <v>103</v>
      </c>
      <c r="H123" s="28">
        <f t="shared" si="7"/>
        <v>832</v>
      </c>
      <c r="I123" s="27">
        <v>-2205</v>
      </c>
      <c r="J123" s="28">
        <f t="shared" si="1"/>
        <v>3037</v>
      </c>
      <c r="K123" s="22">
        <f t="shared" si="8"/>
        <v>980</v>
      </c>
      <c r="L123" s="22">
        <f t="shared" si="9"/>
        <v>103</v>
      </c>
      <c r="M123" s="28">
        <f t="shared" si="10"/>
        <v>1186</v>
      </c>
      <c r="N123" s="24">
        <v>-1705</v>
      </c>
      <c r="O123" s="28">
        <f t="shared" si="2"/>
        <v>2891</v>
      </c>
      <c r="P123" s="22">
        <f t="shared" si="11"/>
        <v>638</v>
      </c>
      <c r="Q123" s="36"/>
      <c r="R123" s="30"/>
    </row>
    <row r="124" spans="1:18" x14ac:dyDescent="0.25">
      <c r="A124" s="21">
        <v>45836</v>
      </c>
      <c r="B124" s="22">
        <f t="shared" si="3"/>
        <v>104</v>
      </c>
      <c r="C124" s="28">
        <f t="shared" si="4"/>
        <v>1121</v>
      </c>
      <c r="D124" s="24">
        <v>-1955</v>
      </c>
      <c r="E124" s="25">
        <v>3076</v>
      </c>
      <c r="F124" s="22">
        <f t="shared" si="5"/>
        <v>735</v>
      </c>
      <c r="G124" s="22">
        <f t="shared" si="6"/>
        <v>104</v>
      </c>
      <c r="H124" s="28">
        <f t="shared" si="7"/>
        <v>832</v>
      </c>
      <c r="I124" s="27">
        <v>-2205</v>
      </c>
      <c r="J124" s="28">
        <f t="shared" si="1"/>
        <v>3037</v>
      </c>
      <c r="K124" s="22">
        <f t="shared" si="8"/>
        <v>980</v>
      </c>
      <c r="L124" s="22">
        <f t="shared" si="9"/>
        <v>104</v>
      </c>
      <c r="M124" s="28">
        <f t="shared" si="10"/>
        <v>1186</v>
      </c>
      <c r="N124" s="24">
        <v>-1705</v>
      </c>
      <c r="O124" s="28">
        <f t="shared" si="2"/>
        <v>2891</v>
      </c>
      <c r="P124" s="22">
        <f t="shared" si="11"/>
        <v>638</v>
      </c>
      <c r="Q124" s="36"/>
      <c r="R124" s="30"/>
    </row>
    <row r="125" spans="1:18" x14ac:dyDescent="0.25">
      <c r="A125" s="21">
        <v>45837</v>
      </c>
      <c r="B125" s="22">
        <f t="shared" si="3"/>
        <v>105</v>
      </c>
      <c r="C125" s="28">
        <f t="shared" si="4"/>
        <v>1121</v>
      </c>
      <c r="D125" s="24">
        <v>-1955</v>
      </c>
      <c r="E125" s="25">
        <v>3076</v>
      </c>
      <c r="F125" s="22">
        <f t="shared" si="5"/>
        <v>735</v>
      </c>
      <c r="G125" s="22">
        <f t="shared" si="6"/>
        <v>105</v>
      </c>
      <c r="H125" s="28">
        <f t="shared" si="7"/>
        <v>832</v>
      </c>
      <c r="I125" s="27">
        <v>-2205</v>
      </c>
      <c r="J125" s="28">
        <f t="shared" si="1"/>
        <v>3037</v>
      </c>
      <c r="K125" s="22">
        <f t="shared" si="8"/>
        <v>980</v>
      </c>
      <c r="L125" s="22">
        <f t="shared" si="9"/>
        <v>105</v>
      </c>
      <c r="M125" s="28">
        <f t="shared" si="10"/>
        <v>1186</v>
      </c>
      <c r="N125" s="24">
        <v>-1705</v>
      </c>
      <c r="O125" s="28">
        <f t="shared" si="2"/>
        <v>2891</v>
      </c>
      <c r="P125" s="22">
        <f t="shared" si="11"/>
        <v>638</v>
      </c>
      <c r="Q125" s="36"/>
      <c r="R125" s="30"/>
    </row>
    <row r="126" spans="1:18" x14ac:dyDescent="0.25">
      <c r="A126" s="21">
        <v>45838</v>
      </c>
      <c r="B126" s="22">
        <f t="shared" si="3"/>
        <v>106</v>
      </c>
      <c r="C126" s="28">
        <f t="shared" si="4"/>
        <v>1121</v>
      </c>
      <c r="D126" s="24">
        <v>-1955</v>
      </c>
      <c r="E126" s="25">
        <v>3076</v>
      </c>
      <c r="F126" s="22">
        <f t="shared" si="5"/>
        <v>735</v>
      </c>
      <c r="G126" s="22">
        <f t="shared" si="6"/>
        <v>106</v>
      </c>
      <c r="H126" s="28">
        <f t="shared" si="7"/>
        <v>832</v>
      </c>
      <c r="I126" s="27">
        <v>-2205</v>
      </c>
      <c r="J126" s="28">
        <f t="shared" si="1"/>
        <v>3037</v>
      </c>
      <c r="K126" s="22">
        <f t="shared" si="8"/>
        <v>980</v>
      </c>
      <c r="L126" s="22">
        <f t="shared" si="9"/>
        <v>106</v>
      </c>
      <c r="M126" s="28">
        <f t="shared" si="10"/>
        <v>1186</v>
      </c>
      <c r="N126" s="24">
        <v>-1705</v>
      </c>
      <c r="O126" s="28">
        <f t="shared" si="2"/>
        <v>2891</v>
      </c>
      <c r="P126" s="22">
        <f t="shared" si="11"/>
        <v>638</v>
      </c>
      <c r="Q126" s="36"/>
      <c r="R126" s="30"/>
    </row>
    <row r="127" spans="1:18" x14ac:dyDescent="0.25">
      <c r="A127" s="21">
        <v>45839</v>
      </c>
      <c r="B127" s="22">
        <f t="shared" si="3"/>
        <v>107</v>
      </c>
      <c r="C127" s="28">
        <f t="shared" si="4"/>
        <v>1121</v>
      </c>
      <c r="D127" s="24">
        <v>-1955</v>
      </c>
      <c r="E127" s="25">
        <v>3076</v>
      </c>
      <c r="F127" s="22">
        <f t="shared" si="5"/>
        <v>735</v>
      </c>
      <c r="G127" s="22">
        <f t="shared" si="6"/>
        <v>107</v>
      </c>
      <c r="H127" s="28">
        <f t="shared" si="7"/>
        <v>827</v>
      </c>
      <c r="I127" s="27">
        <v>-2210</v>
      </c>
      <c r="J127" s="28">
        <f t="shared" si="1"/>
        <v>3037</v>
      </c>
      <c r="K127" s="22">
        <f t="shared" si="8"/>
        <v>985</v>
      </c>
      <c r="L127" s="22">
        <f t="shared" si="9"/>
        <v>107</v>
      </c>
      <c r="M127" s="28">
        <f t="shared" si="10"/>
        <v>1186</v>
      </c>
      <c r="N127" s="24">
        <v>-1705</v>
      </c>
      <c r="O127" s="28">
        <f t="shared" si="2"/>
        <v>2891</v>
      </c>
      <c r="P127" s="22">
        <f t="shared" si="11"/>
        <v>638</v>
      </c>
      <c r="Q127" s="36"/>
      <c r="R127" s="30"/>
    </row>
    <row r="128" spans="1:18" x14ac:dyDescent="0.25">
      <c r="A128" s="21">
        <v>45840</v>
      </c>
      <c r="B128" s="22">
        <f t="shared" si="3"/>
        <v>108</v>
      </c>
      <c r="C128" s="28">
        <f t="shared" si="4"/>
        <v>1121</v>
      </c>
      <c r="D128" s="24">
        <v>-1955</v>
      </c>
      <c r="E128" s="25">
        <v>3076</v>
      </c>
      <c r="F128" s="22">
        <f t="shared" si="5"/>
        <v>735</v>
      </c>
      <c r="G128" s="22">
        <f t="shared" si="6"/>
        <v>108</v>
      </c>
      <c r="H128" s="28">
        <f t="shared" si="7"/>
        <v>822</v>
      </c>
      <c r="I128" s="27">
        <v>-2215</v>
      </c>
      <c r="J128" s="28">
        <f t="shared" si="1"/>
        <v>3037</v>
      </c>
      <c r="K128" s="22">
        <f t="shared" si="8"/>
        <v>990</v>
      </c>
      <c r="L128" s="22">
        <f t="shared" si="9"/>
        <v>108</v>
      </c>
      <c r="M128" s="28">
        <f t="shared" si="10"/>
        <v>1186</v>
      </c>
      <c r="N128" s="24">
        <v>-1705</v>
      </c>
      <c r="O128" s="28">
        <f t="shared" si="2"/>
        <v>2891</v>
      </c>
      <c r="P128" s="22">
        <f t="shared" si="11"/>
        <v>638</v>
      </c>
      <c r="Q128" s="36"/>
      <c r="R128" s="30"/>
    </row>
    <row r="129" spans="1:18" x14ac:dyDescent="0.25">
      <c r="A129" s="21">
        <v>45841</v>
      </c>
      <c r="B129" s="22">
        <f t="shared" si="3"/>
        <v>109</v>
      </c>
      <c r="C129" s="28">
        <f t="shared" si="4"/>
        <v>1116</v>
      </c>
      <c r="D129" s="24">
        <v>-1960</v>
      </c>
      <c r="E129" s="25">
        <v>3076</v>
      </c>
      <c r="F129" s="22">
        <f t="shared" si="5"/>
        <v>740</v>
      </c>
      <c r="G129" s="22">
        <f t="shared" si="6"/>
        <v>109</v>
      </c>
      <c r="H129" s="28">
        <f t="shared" si="7"/>
        <v>817</v>
      </c>
      <c r="I129" s="27">
        <v>-2220</v>
      </c>
      <c r="J129" s="28">
        <f t="shared" si="1"/>
        <v>3037</v>
      </c>
      <c r="K129" s="22">
        <f t="shared" si="8"/>
        <v>995</v>
      </c>
      <c r="L129" s="22">
        <f t="shared" si="9"/>
        <v>109</v>
      </c>
      <c r="M129" s="28">
        <f t="shared" si="10"/>
        <v>1186</v>
      </c>
      <c r="N129" s="24">
        <v>-1705</v>
      </c>
      <c r="O129" s="28">
        <f t="shared" si="2"/>
        <v>2891</v>
      </c>
      <c r="P129" s="22">
        <f t="shared" si="11"/>
        <v>638</v>
      </c>
      <c r="Q129" s="36"/>
      <c r="R129" s="30"/>
    </row>
    <row r="130" spans="1:18" x14ac:dyDescent="0.25">
      <c r="A130" s="21">
        <v>45842</v>
      </c>
      <c r="B130" s="22">
        <f t="shared" si="3"/>
        <v>110</v>
      </c>
      <c r="C130" s="28">
        <f t="shared" si="4"/>
        <v>1111</v>
      </c>
      <c r="D130" s="24">
        <v>-1965</v>
      </c>
      <c r="E130" s="25">
        <v>3076</v>
      </c>
      <c r="F130" s="22">
        <f t="shared" si="5"/>
        <v>745</v>
      </c>
      <c r="G130" s="22">
        <f t="shared" si="6"/>
        <v>110</v>
      </c>
      <c r="H130" s="28">
        <f t="shared" si="7"/>
        <v>812</v>
      </c>
      <c r="I130" s="27">
        <v>-2225</v>
      </c>
      <c r="J130" s="28">
        <f t="shared" si="1"/>
        <v>3037</v>
      </c>
      <c r="K130" s="22">
        <f t="shared" si="8"/>
        <v>1000</v>
      </c>
      <c r="L130" s="22">
        <f t="shared" si="9"/>
        <v>110</v>
      </c>
      <c r="M130" s="28">
        <f t="shared" si="10"/>
        <v>1186</v>
      </c>
      <c r="N130" s="24">
        <v>-1705</v>
      </c>
      <c r="O130" s="28">
        <f t="shared" si="2"/>
        <v>2891</v>
      </c>
      <c r="P130" s="22">
        <f t="shared" si="11"/>
        <v>638</v>
      </c>
      <c r="Q130" s="36"/>
      <c r="R130" s="30"/>
    </row>
    <row r="131" spans="1:18" x14ac:dyDescent="0.25">
      <c r="A131" s="21">
        <v>45843</v>
      </c>
      <c r="B131" s="22">
        <f t="shared" si="3"/>
        <v>111</v>
      </c>
      <c r="C131" s="28">
        <f t="shared" si="4"/>
        <v>1106</v>
      </c>
      <c r="D131" s="24">
        <v>-1970</v>
      </c>
      <c r="E131" s="25">
        <v>3076</v>
      </c>
      <c r="F131" s="22">
        <f t="shared" si="5"/>
        <v>750</v>
      </c>
      <c r="G131" s="22">
        <f t="shared" si="6"/>
        <v>111</v>
      </c>
      <c r="H131" s="28">
        <f t="shared" si="7"/>
        <v>807</v>
      </c>
      <c r="I131" s="27">
        <v>-2230</v>
      </c>
      <c r="J131" s="28">
        <f t="shared" si="1"/>
        <v>3037</v>
      </c>
      <c r="K131" s="22">
        <f t="shared" si="8"/>
        <v>1005</v>
      </c>
      <c r="L131" s="22">
        <f t="shared" si="9"/>
        <v>111</v>
      </c>
      <c r="M131" s="28">
        <f t="shared" si="10"/>
        <v>1186</v>
      </c>
      <c r="N131" s="24">
        <v>-1705</v>
      </c>
      <c r="O131" s="28">
        <f t="shared" si="2"/>
        <v>2891</v>
      </c>
      <c r="P131" s="22">
        <f t="shared" si="11"/>
        <v>638</v>
      </c>
      <c r="Q131" s="36"/>
      <c r="R131" s="30"/>
    </row>
    <row r="132" spans="1:18" x14ac:dyDescent="0.25">
      <c r="A132" s="21">
        <v>45844</v>
      </c>
      <c r="B132" s="22">
        <f t="shared" si="3"/>
        <v>112</v>
      </c>
      <c r="C132" s="28">
        <f t="shared" si="4"/>
        <v>1101</v>
      </c>
      <c r="D132" s="24">
        <v>-1975</v>
      </c>
      <c r="E132" s="25">
        <v>3076</v>
      </c>
      <c r="F132" s="22">
        <f t="shared" si="5"/>
        <v>755</v>
      </c>
      <c r="G132" s="22">
        <f t="shared" si="6"/>
        <v>112</v>
      </c>
      <c r="H132" s="28">
        <f t="shared" si="7"/>
        <v>802</v>
      </c>
      <c r="I132" s="27">
        <v>-2235</v>
      </c>
      <c r="J132" s="28">
        <f t="shared" si="1"/>
        <v>3037</v>
      </c>
      <c r="K132" s="22">
        <f t="shared" si="8"/>
        <v>1010</v>
      </c>
      <c r="L132" s="22">
        <f t="shared" si="9"/>
        <v>112</v>
      </c>
      <c r="M132" s="28">
        <f t="shared" si="10"/>
        <v>1186</v>
      </c>
      <c r="N132" s="24">
        <v>-1705</v>
      </c>
      <c r="O132" s="28">
        <f t="shared" si="2"/>
        <v>2891</v>
      </c>
      <c r="P132" s="22">
        <f t="shared" si="11"/>
        <v>638</v>
      </c>
      <c r="Q132" s="36"/>
      <c r="R132" s="30"/>
    </row>
    <row r="133" spans="1:18" x14ac:dyDescent="0.25">
      <c r="A133" s="21">
        <v>45845</v>
      </c>
      <c r="B133" s="22">
        <f t="shared" si="3"/>
        <v>113</v>
      </c>
      <c r="C133" s="28">
        <f t="shared" si="4"/>
        <v>1096</v>
      </c>
      <c r="D133" s="24">
        <v>-1980</v>
      </c>
      <c r="E133" s="25">
        <v>3076</v>
      </c>
      <c r="F133" s="22">
        <f t="shared" si="5"/>
        <v>760</v>
      </c>
      <c r="G133" s="22">
        <f t="shared" si="6"/>
        <v>113</v>
      </c>
      <c r="H133" s="28">
        <f t="shared" si="7"/>
        <v>797</v>
      </c>
      <c r="I133" s="27">
        <v>-2240</v>
      </c>
      <c r="J133" s="28">
        <f t="shared" si="1"/>
        <v>3037</v>
      </c>
      <c r="K133" s="22">
        <f t="shared" si="8"/>
        <v>1015</v>
      </c>
      <c r="L133" s="22">
        <f t="shared" si="9"/>
        <v>113</v>
      </c>
      <c r="M133" s="28">
        <f t="shared" si="10"/>
        <v>1181</v>
      </c>
      <c r="N133" s="24">
        <v>-1710</v>
      </c>
      <c r="O133" s="28">
        <f t="shared" si="2"/>
        <v>2891</v>
      </c>
      <c r="P133" s="22">
        <f t="shared" si="11"/>
        <v>643</v>
      </c>
      <c r="Q133" s="36"/>
      <c r="R133" s="30"/>
    </row>
    <row r="134" spans="1:18" x14ac:dyDescent="0.25">
      <c r="A134" s="21">
        <v>45846</v>
      </c>
      <c r="B134" s="22">
        <f t="shared" si="3"/>
        <v>114</v>
      </c>
      <c r="C134" s="28">
        <f t="shared" si="4"/>
        <v>1091</v>
      </c>
      <c r="D134" s="24">
        <v>-1985</v>
      </c>
      <c r="E134" s="25">
        <v>3076</v>
      </c>
      <c r="F134" s="22">
        <f t="shared" si="5"/>
        <v>765</v>
      </c>
      <c r="G134" s="22">
        <f t="shared" si="6"/>
        <v>114</v>
      </c>
      <c r="H134" s="28">
        <f t="shared" si="7"/>
        <v>792</v>
      </c>
      <c r="I134" s="27">
        <v>-2245</v>
      </c>
      <c r="J134" s="28">
        <f t="shared" si="1"/>
        <v>3037</v>
      </c>
      <c r="K134" s="22">
        <f t="shared" si="8"/>
        <v>1020</v>
      </c>
      <c r="L134" s="22">
        <f t="shared" si="9"/>
        <v>114</v>
      </c>
      <c r="M134" s="28">
        <f t="shared" si="10"/>
        <v>1176</v>
      </c>
      <c r="N134" s="24">
        <v>-1715</v>
      </c>
      <c r="O134" s="28">
        <f t="shared" si="2"/>
        <v>2891</v>
      </c>
      <c r="P134" s="22">
        <f t="shared" si="11"/>
        <v>648</v>
      </c>
      <c r="Q134" s="36"/>
      <c r="R134" s="30"/>
    </row>
    <row r="135" spans="1:18" x14ac:dyDescent="0.25">
      <c r="A135" s="21">
        <v>45847</v>
      </c>
      <c r="B135" s="22">
        <f t="shared" si="3"/>
        <v>115</v>
      </c>
      <c r="C135" s="28">
        <f t="shared" si="4"/>
        <v>1086</v>
      </c>
      <c r="D135" s="24">
        <v>-1990</v>
      </c>
      <c r="E135" s="25">
        <v>3076</v>
      </c>
      <c r="F135" s="22">
        <f t="shared" si="5"/>
        <v>770</v>
      </c>
      <c r="G135" s="22">
        <f t="shared" si="6"/>
        <v>115</v>
      </c>
      <c r="H135" s="28">
        <f t="shared" si="7"/>
        <v>787</v>
      </c>
      <c r="I135" s="27">
        <v>-2250</v>
      </c>
      <c r="J135" s="28">
        <f t="shared" si="1"/>
        <v>3037</v>
      </c>
      <c r="K135" s="22">
        <f t="shared" si="8"/>
        <v>1025</v>
      </c>
      <c r="L135" s="22">
        <f t="shared" si="9"/>
        <v>115</v>
      </c>
      <c r="M135" s="28">
        <f t="shared" si="10"/>
        <v>1171</v>
      </c>
      <c r="N135" s="24">
        <v>-1720</v>
      </c>
      <c r="O135" s="28">
        <f t="shared" si="2"/>
        <v>2891</v>
      </c>
      <c r="P135" s="22">
        <f t="shared" si="11"/>
        <v>653</v>
      </c>
      <c r="Q135" s="36"/>
      <c r="R135" s="30"/>
    </row>
    <row r="136" spans="1:18" x14ac:dyDescent="0.25">
      <c r="A136" s="21">
        <v>45848</v>
      </c>
      <c r="B136" s="22">
        <f t="shared" si="3"/>
        <v>116</v>
      </c>
      <c r="C136" s="28">
        <f t="shared" si="4"/>
        <v>1081</v>
      </c>
      <c r="D136" s="24">
        <v>-1995</v>
      </c>
      <c r="E136" s="25">
        <v>3076</v>
      </c>
      <c r="F136" s="22">
        <f t="shared" si="5"/>
        <v>775</v>
      </c>
      <c r="G136" s="22">
        <f t="shared" si="6"/>
        <v>116</v>
      </c>
      <c r="H136" s="28">
        <f t="shared" si="7"/>
        <v>782</v>
      </c>
      <c r="I136" s="27">
        <v>-2255</v>
      </c>
      <c r="J136" s="28">
        <f t="shared" si="1"/>
        <v>3037</v>
      </c>
      <c r="K136" s="22">
        <f t="shared" si="8"/>
        <v>1030</v>
      </c>
      <c r="L136" s="22">
        <f t="shared" si="9"/>
        <v>116</v>
      </c>
      <c r="M136" s="28">
        <f t="shared" si="10"/>
        <v>1166</v>
      </c>
      <c r="N136" s="24">
        <v>-1725</v>
      </c>
      <c r="O136" s="28">
        <f t="shared" si="2"/>
        <v>2891</v>
      </c>
      <c r="P136" s="22">
        <f t="shared" si="11"/>
        <v>658</v>
      </c>
      <c r="Q136" s="36"/>
      <c r="R136" s="30"/>
    </row>
    <row r="137" spans="1:18" x14ac:dyDescent="0.25">
      <c r="A137" s="21">
        <v>45849</v>
      </c>
      <c r="B137" s="22">
        <f t="shared" si="3"/>
        <v>117</v>
      </c>
      <c r="C137" s="28">
        <f t="shared" si="4"/>
        <v>1076</v>
      </c>
      <c r="D137" s="24">
        <v>-2000</v>
      </c>
      <c r="E137" s="25">
        <v>3076</v>
      </c>
      <c r="F137" s="22">
        <f t="shared" si="5"/>
        <v>780</v>
      </c>
      <c r="G137" s="22">
        <f t="shared" si="6"/>
        <v>117</v>
      </c>
      <c r="H137" s="28">
        <f t="shared" si="7"/>
        <v>777</v>
      </c>
      <c r="I137" s="27">
        <v>-2260</v>
      </c>
      <c r="J137" s="28">
        <f t="shared" si="1"/>
        <v>3037</v>
      </c>
      <c r="K137" s="22">
        <f t="shared" si="8"/>
        <v>1035</v>
      </c>
      <c r="L137" s="22">
        <f t="shared" si="9"/>
        <v>117</v>
      </c>
      <c r="M137" s="28">
        <f t="shared" si="10"/>
        <v>1161</v>
      </c>
      <c r="N137" s="24">
        <v>-1730</v>
      </c>
      <c r="O137" s="28">
        <f t="shared" si="2"/>
        <v>2891</v>
      </c>
      <c r="P137" s="22">
        <f t="shared" si="11"/>
        <v>663</v>
      </c>
      <c r="Q137" s="36"/>
      <c r="R137" s="30"/>
    </row>
    <row r="138" spans="1:18" x14ac:dyDescent="0.25">
      <c r="A138" s="21">
        <v>45850</v>
      </c>
      <c r="B138" s="22">
        <f t="shared" si="3"/>
        <v>118</v>
      </c>
      <c r="C138" s="28">
        <f t="shared" si="4"/>
        <v>1071</v>
      </c>
      <c r="D138" s="24">
        <v>-2005</v>
      </c>
      <c r="E138" s="25">
        <v>3076</v>
      </c>
      <c r="F138" s="22">
        <f t="shared" si="5"/>
        <v>785</v>
      </c>
      <c r="G138" s="22">
        <f t="shared" si="6"/>
        <v>118</v>
      </c>
      <c r="H138" s="28">
        <f t="shared" si="7"/>
        <v>772</v>
      </c>
      <c r="I138" s="27">
        <v>-2265</v>
      </c>
      <c r="J138" s="28">
        <f t="shared" si="1"/>
        <v>3037</v>
      </c>
      <c r="K138" s="22">
        <f t="shared" si="8"/>
        <v>1040</v>
      </c>
      <c r="L138" s="22">
        <f t="shared" si="9"/>
        <v>118</v>
      </c>
      <c r="M138" s="28">
        <f t="shared" si="10"/>
        <v>1156</v>
      </c>
      <c r="N138" s="24">
        <v>-1735</v>
      </c>
      <c r="O138" s="28">
        <f t="shared" si="2"/>
        <v>2891</v>
      </c>
      <c r="P138" s="22">
        <f t="shared" si="11"/>
        <v>668</v>
      </c>
      <c r="Q138" s="36"/>
      <c r="R138" s="30"/>
    </row>
    <row r="139" spans="1:18" x14ac:dyDescent="0.25">
      <c r="A139" s="21">
        <v>45851</v>
      </c>
      <c r="B139" s="22">
        <f t="shared" si="3"/>
        <v>119</v>
      </c>
      <c r="C139" s="28">
        <f t="shared" si="4"/>
        <v>1066</v>
      </c>
      <c r="D139" s="24">
        <v>-2010</v>
      </c>
      <c r="E139" s="25">
        <v>3076</v>
      </c>
      <c r="F139" s="22">
        <f t="shared" si="5"/>
        <v>790</v>
      </c>
      <c r="G139" s="22">
        <f t="shared" si="6"/>
        <v>119</v>
      </c>
      <c r="H139" s="28">
        <f t="shared" si="7"/>
        <v>767</v>
      </c>
      <c r="I139" s="27">
        <v>-2270</v>
      </c>
      <c r="J139" s="28">
        <f t="shared" si="1"/>
        <v>3037</v>
      </c>
      <c r="K139" s="22">
        <f t="shared" si="8"/>
        <v>1045</v>
      </c>
      <c r="L139" s="22">
        <f t="shared" si="9"/>
        <v>119</v>
      </c>
      <c r="M139" s="28">
        <f t="shared" si="10"/>
        <v>1151</v>
      </c>
      <c r="N139" s="24">
        <v>-1740</v>
      </c>
      <c r="O139" s="28">
        <f t="shared" si="2"/>
        <v>2891</v>
      </c>
      <c r="P139" s="22">
        <f t="shared" si="11"/>
        <v>673</v>
      </c>
      <c r="Q139" s="36"/>
      <c r="R139" s="30"/>
    </row>
    <row r="140" spans="1:18" x14ac:dyDescent="0.25">
      <c r="A140" s="21">
        <v>45852</v>
      </c>
      <c r="B140" s="22">
        <f t="shared" si="3"/>
        <v>120</v>
      </c>
      <c r="C140" s="28">
        <f t="shared" si="4"/>
        <v>1061</v>
      </c>
      <c r="D140" s="24">
        <v>-2015</v>
      </c>
      <c r="E140" s="25">
        <v>3076</v>
      </c>
      <c r="F140" s="22">
        <f t="shared" si="5"/>
        <v>795</v>
      </c>
      <c r="G140" s="22">
        <f t="shared" si="6"/>
        <v>120</v>
      </c>
      <c r="H140" s="28">
        <f t="shared" si="7"/>
        <v>762</v>
      </c>
      <c r="I140" s="27">
        <v>-2275</v>
      </c>
      <c r="J140" s="28">
        <f t="shared" si="1"/>
        <v>3037</v>
      </c>
      <c r="K140" s="22">
        <f t="shared" si="8"/>
        <v>1050</v>
      </c>
      <c r="L140" s="22">
        <f t="shared" si="9"/>
        <v>120</v>
      </c>
      <c r="M140" s="28">
        <f t="shared" si="10"/>
        <v>1146</v>
      </c>
      <c r="N140" s="24">
        <v>-1745</v>
      </c>
      <c r="O140" s="28">
        <f t="shared" si="2"/>
        <v>2891</v>
      </c>
      <c r="P140" s="22">
        <f t="shared" si="11"/>
        <v>678</v>
      </c>
      <c r="Q140" s="36"/>
      <c r="R140" s="30"/>
    </row>
    <row r="141" spans="1:18" x14ac:dyDescent="0.25">
      <c r="A141" s="21">
        <v>45853</v>
      </c>
      <c r="B141" s="22">
        <f t="shared" si="3"/>
        <v>121</v>
      </c>
      <c r="C141" s="28">
        <f t="shared" si="4"/>
        <v>1056</v>
      </c>
      <c r="D141" s="24">
        <v>-2020</v>
      </c>
      <c r="E141" s="25">
        <v>3076</v>
      </c>
      <c r="F141" s="22">
        <f t="shared" si="5"/>
        <v>800</v>
      </c>
      <c r="G141" s="22">
        <f t="shared" si="6"/>
        <v>121</v>
      </c>
      <c r="H141" s="28">
        <f t="shared" si="7"/>
        <v>757</v>
      </c>
      <c r="I141" s="27">
        <v>-2280</v>
      </c>
      <c r="J141" s="28">
        <f t="shared" si="1"/>
        <v>3037</v>
      </c>
      <c r="K141" s="22">
        <f t="shared" si="8"/>
        <v>1055</v>
      </c>
      <c r="L141" s="22">
        <f t="shared" si="9"/>
        <v>121</v>
      </c>
      <c r="M141" s="28">
        <f t="shared" si="10"/>
        <v>1141</v>
      </c>
      <c r="N141" s="24">
        <v>-1750</v>
      </c>
      <c r="O141" s="28">
        <f t="shared" si="2"/>
        <v>2891</v>
      </c>
      <c r="P141" s="22">
        <f t="shared" si="11"/>
        <v>683</v>
      </c>
      <c r="Q141" s="36"/>
      <c r="R141" s="30"/>
    </row>
    <row r="142" spans="1:18" x14ac:dyDescent="0.25">
      <c r="A142" s="21">
        <v>45854</v>
      </c>
      <c r="B142" s="22">
        <f t="shared" si="3"/>
        <v>122</v>
      </c>
      <c r="C142" s="28">
        <f t="shared" si="4"/>
        <v>1051</v>
      </c>
      <c r="D142" s="24">
        <v>-2025</v>
      </c>
      <c r="E142" s="25">
        <v>3076</v>
      </c>
      <c r="F142" s="22">
        <f t="shared" si="5"/>
        <v>805</v>
      </c>
      <c r="G142" s="22">
        <f t="shared" si="6"/>
        <v>122</v>
      </c>
      <c r="H142" s="28">
        <f t="shared" si="7"/>
        <v>752</v>
      </c>
      <c r="I142" s="27">
        <v>-2285</v>
      </c>
      <c r="J142" s="28">
        <f t="shared" si="1"/>
        <v>3037</v>
      </c>
      <c r="K142" s="22">
        <f t="shared" si="8"/>
        <v>1060</v>
      </c>
      <c r="L142" s="22">
        <f t="shared" si="9"/>
        <v>122</v>
      </c>
      <c r="M142" s="28">
        <f t="shared" si="10"/>
        <v>1136</v>
      </c>
      <c r="N142" s="24">
        <v>-1755</v>
      </c>
      <c r="O142" s="28">
        <f t="shared" si="2"/>
        <v>2891</v>
      </c>
      <c r="P142" s="22">
        <f t="shared" si="11"/>
        <v>688</v>
      </c>
      <c r="Q142" s="36"/>
      <c r="R142" s="30"/>
    </row>
    <row r="143" spans="1:18" x14ac:dyDescent="0.25">
      <c r="A143" s="21">
        <v>45855</v>
      </c>
      <c r="B143" s="22">
        <f t="shared" si="3"/>
        <v>123</v>
      </c>
      <c r="C143" s="28">
        <f t="shared" si="4"/>
        <v>1046</v>
      </c>
      <c r="D143" s="24">
        <v>-2030</v>
      </c>
      <c r="E143" s="25">
        <v>3076</v>
      </c>
      <c r="F143" s="22">
        <f t="shared" si="5"/>
        <v>810</v>
      </c>
      <c r="G143" s="22">
        <f t="shared" si="6"/>
        <v>123</v>
      </c>
      <c r="H143" s="28">
        <f t="shared" si="7"/>
        <v>747</v>
      </c>
      <c r="I143" s="27">
        <v>-2290</v>
      </c>
      <c r="J143" s="28">
        <f t="shared" si="1"/>
        <v>3037</v>
      </c>
      <c r="K143" s="22">
        <f t="shared" si="8"/>
        <v>1065</v>
      </c>
      <c r="L143" s="22">
        <f t="shared" si="9"/>
        <v>123</v>
      </c>
      <c r="M143" s="28">
        <f t="shared" si="10"/>
        <v>1131</v>
      </c>
      <c r="N143" s="24">
        <v>-1760</v>
      </c>
      <c r="O143" s="28">
        <f t="shared" si="2"/>
        <v>2891</v>
      </c>
      <c r="P143" s="22">
        <f t="shared" si="11"/>
        <v>693</v>
      </c>
      <c r="Q143" s="36"/>
      <c r="R143" s="30"/>
    </row>
    <row r="144" spans="1:18" x14ac:dyDescent="0.25">
      <c r="A144" s="21">
        <v>45856</v>
      </c>
      <c r="B144" s="22">
        <f t="shared" si="3"/>
        <v>124</v>
      </c>
      <c r="C144" s="28">
        <f t="shared" si="4"/>
        <v>1041</v>
      </c>
      <c r="D144" s="24">
        <v>-2035</v>
      </c>
      <c r="E144" s="25">
        <v>3076</v>
      </c>
      <c r="F144" s="22">
        <f t="shared" si="5"/>
        <v>815</v>
      </c>
      <c r="G144" s="22">
        <f t="shared" si="6"/>
        <v>124</v>
      </c>
      <c r="H144" s="28">
        <f t="shared" si="7"/>
        <v>742</v>
      </c>
      <c r="I144" s="27">
        <v>-2295</v>
      </c>
      <c r="J144" s="28">
        <f t="shared" si="1"/>
        <v>3037</v>
      </c>
      <c r="K144" s="22">
        <f t="shared" si="8"/>
        <v>1070</v>
      </c>
      <c r="L144" s="22">
        <f t="shared" si="9"/>
        <v>124</v>
      </c>
      <c r="M144" s="28">
        <f t="shared" si="10"/>
        <v>1126</v>
      </c>
      <c r="N144" s="24">
        <v>-1765</v>
      </c>
      <c r="O144" s="28">
        <f t="shared" si="2"/>
        <v>2891</v>
      </c>
      <c r="P144" s="22">
        <f t="shared" si="11"/>
        <v>698</v>
      </c>
      <c r="Q144" s="36"/>
      <c r="R144" s="30"/>
    </row>
    <row r="145" spans="1:18" x14ac:dyDescent="0.25">
      <c r="A145" s="21">
        <v>45857</v>
      </c>
      <c r="B145" s="22">
        <f t="shared" si="3"/>
        <v>125</v>
      </c>
      <c r="C145" s="28">
        <f t="shared" si="4"/>
        <v>1036</v>
      </c>
      <c r="D145" s="24">
        <v>-2040</v>
      </c>
      <c r="E145" s="25">
        <v>3076</v>
      </c>
      <c r="F145" s="22">
        <f t="shared" si="5"/>
        <v>820</v>
      </c>
      <c r="G145" s="22">
        <f t="shared" si="6"/>
        <v>125</v>
      </c>
      <c r="H145" s="28">
        <f t="shared" si="7"/>
        <v>737</v>
      </c>
      <c r="I145" s="27">
        <v>-2300</v>
      </c>
      <c r="J145" s="28">
        <f t="shared" si="1"/>
        <v>3037</v>
      </c>
      <c r="K145" s="22">
        <f t="shared" si="8"/>
        <v>1075</v>
      </c>
      <c r="L145" s="22">
        <f t="shared" si="9"/>
        <v>125</v>
      </c>
      <c r="M145" s="28">
        <f t="shared" si="10"/>
        <v>1121</v>
      </c>
      <c r="N145" s="24">
        <v>-1770</v>
      </c>
      <c r="O145" s="28">
        <f t="shared" si="2"/>
        <v>2891</v>
      </c>
      <c r="P145" s="22">
        <f t="shared" si="11"/>
        <v>703</v>
      </c>
      <c r="Q145" s="36"/>
      <c r="R145" s="30"/>
    </row>
    <row r="146" spans="1:18" x14ac:dyDescent="0.25">
      <c r="A146" s="21">
        <v>45858</v>
      </c>
      <c r="B146" s="22">
        <f t="shared" si="3"/>
        <v>126</v>
      </c>
      <c r="C146" s="28">
        <f t="shared" si="4"/>
        <v>1031</v>
      </c>
      <c r="D146" s="24">
        <v>-2045</v>
      </c>
      <c r="E146" s="25">
        <v>3076</v>
      </c>
      <c r="F146" s="22">
        <f t="shared" si="5"/>
        <v>825</v>
      </c>
      <c r="G146" s="22">
        <f t="shared" si="6"/>
        <v>126</v>
      </c>
      <c r="H146" s="28">
        <f t="shared" si="7"/>
        <v>732</v>
      </c>
      <c r="I146" s="27">
        <v>-2305</v>
      </c>
      <c r="J146" s="28">
        <f t="shared" si="1"/>
        <v>3037</v>
      </c>
      <c r="K146" s="22">
        <f t="shared" si="8"/>
        <v>1080</v>
      </c>
      <c r="L146" s="22">
        <f t="shared" si="9"/>
        <v>126</v>
      </c>
      <c r="M146" s="28">
        <f t="shared" si="10"/>
        <v>1116</v>
      </c>
      <c r="N146" s="24">
        <v>-1775</v>
      </c>
      <c r="O146" s="28">
        <f t="shared" si="2"/>
        <v>2891</v>
      </c>
      <c r="P146" s="22">
        <f t="shared" si="11"/>
        <v>708</v>
      </c>
      <c r="Q146" s="36"/>
      <c r="R146" s="30"/>
    </row>
    <row r="147" spans="1:18" x14ac:dyDescent="0.25">
      <c r="A147" s="21">
        <v>45859</v>
      </c>
      <c r="B147" s="22">
        <f t="shared" si="3"/>
        <v>127</v>
      </c>
      <c r="C147" s="28">
        <f t="shared" si="4"/>
        <v>1026</v>
      </c>
      <c r="D147" s="24">
        <v>-2050</v>
      </c>
      <c r="E147" s="25">
        <v>3076</v>
      </c>
      <c r="F147" s="22">
        <f t="shared" si="5"/>
        <v>830</v>
      </c>
      <c r="G147" s="22">
        <f t="shared" si="6"/>
        <v>127</v>
      </c>
      <c r="H147" s="28">
        <f t="shared" si="7"/>
        <v>727</v>
      </c>
      <c r="I147" s="27">
        <v>-2310</v>
      </c>
      <c r="J147" s="28">
        <f t="shared" si="1"/>
        <v>3037</v>
      </c>
      <c r="K147" s="22">
        <f t="shared" si="8"/>
        <v>1085</v>
      </c>
      <c r="L147" s="22">
        <f t="shared" si="9"/>
        <v>127</v>
      </c>
      <c r="M147" s="28">
        <f t="shared" si="10"/>
        <v>1111</v>
      </c>
      <c r="N147" s="24">
        <v>-1780</v>
      </c>
      <c r="O147" s="28">
        <f t="shared" si="2"/>
        <v>2891</v>
      </c>
      <c r="P147" s="22">
        <f t="shared" si="11"/>
        <v>713</v>
      </c>
      <c r="Q147" s="36"/>
      <c r="R147" s="30"/>
    </row>
    <row r="148" spans="1:18" x14ac:dyDescent="0.25">
      <c r="A148" s="21">
        <v>45860</v>
      </c>
      <c r="B148" s="22">
        <f t="shared" si="3"/>
        <v>128</v>
      </c>
      <c r="C148" s="28">
        <f t="shared" si="4"/>
        <v>1021</v>
      </c>
      <c r="D148" s="24">
        <v>-2055</v>
      </c>
      <c r="E148" s="25">
        <v>3076</v>
      </c>
      <c r="F148" s="22">
        <f t="shared" si="5"/>
        <v>835</v>
      </c>
      <c r="G148" s="22">
        <f t="shared" si="6"/>
        <v>128</v>
      </c>
      <c r="H148" s="28">
        <f t="shared" si="7"/>
        <v>722</v>
      </c>
      <c r="I148" s="27">
        <v>-2315</v>
      </c>
      <c r="J148" s="28">
        <f t="shared" si="1"/>
        <v>3037</v>
      </c>
      <c r="K148" s="22">
        <f t="shared" si="8"/>
        <v>1090</v>
      </c>
      <c r="L148" s="22">
        <f t="shared" si="9"/>
        <v>128</v>
      </c>
      <c r="M148" s="28">
        <f t="shared" si="10"/>
        <v>1106</v>
      </c>
      <c r="N148" s="24">
        <v>-1785</v>
      </c>
      <c r="O148" s="28">
        <f t="shared" si="2"/>
        <v>2891</v>
      </c>
      <c r="P148" s="22">
        <f t="shared" si="11"/>
        <v>718</v>
      </c>
      <c r="Q148" s="36"/>
      <c r="R148" s="30"/>
    </row>
    <row r="149" spans="1:18" x14ac:dyDescent="0.25">
      <c r="A149" s="21">
        <v>45861</v>
      </c>
      <c r="B149" s="22">
        <f t="shared" si="3"/>
        <v>129</v>
      </c>
      <c r="C149" s="28">
        <f t="shared" si="4"/>
        <v>1016</v>
      </c>
      <c r="D149" s="24">
        <v>-2060</v>
      </c>
      <c r="E149" s="25">
        <v>3076</v>
      </c>
      <c r="F149" s="22">
        <f t="shared" si="5"/>
        <v>840</v>
      </c>
      <c r="G149" s="22">
        <f t="shared" si="6"/>
        <v>129</v>
      </c>
      <c r="H149" s="28">
        <f t="shared" si="7"/>
        <v>717</v>
      </c>
      <c r="I149" s="27">
        <v>-2320</v>
      </c>
      <c r="J149" s="28">
        <f t="shared" si="1"/>
        <v>3037</v>
      </c>
      <c r="K149" s="22">
        <f t="shared" si="8"/>
        <v>1095</v>
      </c>
      <c r="L149" s="22">
        <f t="shared" si="9"/>
        <v>129</v>
      </c>
      <c r="M149" s="28">
        <f t="shared" si="10"/>
        <v>1101</v>
      </c>
      <c r="N149" s="24">
        <v>-1790</v>
      </c>
      <c r="O149" s="28">
        <f t="shared" si="2"/>
        <v>2891</v>
      </c>
      <c r="P149" s="22">
        <f t="shared" si="11"/>
        <v>723</v>
      </c>
      <c r="Q149" s="36"/>
      <c r="R149" s="30"/>
    </row>
    <row r="150" spans="1:18" x14ac:dyDescent="0.25">
      <c r="A150" s="21">
        <v>45862</v>
      </c>
      <c r="B150" s="22">
        <f t="shared" si="3"/>
        <v>130</v>
      </c>
      <c r="C150" s="28">
        <f t="shared" si="4"/>
        <v>1011</v>
      </c>
      <c r="D150" s="24">
        <v>-2065</v>
      </c>
      <c r="E150" s="25">
        <v>3076</v>
      </c>
      <c r="F150" s="22">
        <f t="shared" si="5"/>
        <v>845</v>
      </c>
      <c r="G150" s="22">
        <f t="shared" si="6"/>
        <v>130</v>
      </c>
      <c r="H150" s="28">
        <f t="shared" si="7"/>
        <v>712</v>
      </c>
      <c r="I150" s="27">
        <v>-2325</v>
      </c>
      <c r="J150" s="28">
        <f t="shared" si="1"/>
        <v>3037</v>
      </c>
      <c r="K150" s="22">
        <f t="shared" si="8"/>
        <v>1100</v>
      </c>
      <c r="L150" s="22">
        <f t="shared" si="9"/>
        <v>130</v>
      </c>
      <c r="M150" s="28">
        <f t="shared" si="10"/>
        <v>1096</v>
      </c>
      <c r="N150" s="24">
        <v>-1795</v>
      </c>
      <c r="O150" s="28">
        <f t="shared" si="2"/>
        <v>2891</v>
      </c>
      <c r="P150" s="22">
        <f t="shared" si="11"/>
        <v>728</v>
      </c>
      <c r="Q150" s="36"/>
      <c r="R150" s="30"/>
    </row>
    <row r="151" spans="1:18" x14ac:dyDescent="0.25">
      <c r="A151" s="21">
        <v>45863</v>
      </c>
      <c r="B151" s="22">
        <f t="shared" si="3"/>
        <v>131</v>
      </c>
      <c r="C151" s="28">
        <f t="shared" si="4"/>
        <v>1006</v>
      </c>
      <c r="D151" s="24">
        <v>-2070</v>
      </c>
      <c r="E151" s="25">
        <v>3076</v>
      </c>
      <c r="F151" s="22">
        <f t="shared" si="5"/>
        <v>850</v>
      </c>
      <c r="G151" s="22">
        <f t="shared" si="6"/>
        <v>131</v>
      </c>
      <c r="H151" s="28">
        <f t="shared" si="7"/>
        <v>707</v>
      </c>
      <c r="I151" s="27">
        <v>-2330</v>
      </c>
      <c r="J151" s="28">
        <f t="shared" si="1"/>
        <v>3037</v>
      </c>
      <c r="K151" s="22">
        <f t="shared" si="8"/>
        <v>1105</v>
      </c>
      <c r="L151" s="22">
        <f t="shared" si="9"/>
        <v>131</v>
      </c>
      <c r="M151" s="28">
        <f t="shared" si="10"/>
        <v>1091</v>
      </c>
      <c r="N151" s="24">
        <v>-1800</v>
      </c>
      <c r="O151" s="28">
        <f t="shared" si="2"/>
        <v>2891</v>
      </c>
      <c r="P151" s="22">
        <f t="shared" si="11"/>
        <v>733</v>
      </c>
      <c r="Q151" s="36"/>
      <c r="R151" s="30"/>
    </row>
    <row r="152" spans="1:18" x14ac:dyDescent="0.25">
      <c r="A152" s="21">
        <v>45864</v>
      </c>
      <c r="B152" s="22">
        <f t="shared" si="3"/>
        <v>132</v>
      </c>
      <c r="C152" s="28">
        <f t="shared" si="4"/>
        <v>1001</v>
      </c>
      <c r="D152" s="24">
        <v>-2075</v>
      </c>
      <c r="E152" s="25">
        <v>3076</v>
      </c>
      <c r="F152" s="22">
        <f t="shared" si="5"/>
        <v>855</v>
      </c>
      <c r="G152" s="22">
        <f t="shared" si="6"/>
        <v>132</v>
      </c>
      <c r="H152" s="28">
        <f t="shared" si="7"/>
        <v>702</v>
      </c>
      <c r="I152" s="27">
        <v>-2335</v>
      </c>
      <c r="J152" s="28">
        <f t="shared" si="1"/>
        <v>3037</v>
      </c>
      <c r="K152" s="22">
        <f t="shared" si="8"/>
        <v>1110</v>
      </c>
      <c r="L152" s="22">
        <f t="shared" si="9"/>
        <v>132</v>
      </c>
      <c r="M152" s="28">
        <f t="shared" si="10"/>
        <v>1086</v>
      </c>
      <c r="N152" s="24">
        <v>-1805</v>
      </c>
      <c r="O152" s="28">
        <f t="shared" si="2"/>
        <v>2891</v>
      </c>
      <c r="P152" s="22">
        <f t="shared" si="11"/>
        <v>738</v>
      </c>
      <c r="Q152" s="36"/>
      <c r="R152" s="30"/>
    </row>
    <row r="153" spans="1:18" x14ac:dyDescent="0.25">
      <c r="A153" s="21">
        <v>45865</v>
      </c>
      <c r="B153" s="22">
        <f t="shared" si="3"/>
        <v>133</v>
      </c>
      <c r="C153" s="25">
        <v>1902</v>
      </c>
      <c r="D153" s="24">
        <v>-2080</v>
      </c>
      <c r="E153" s="25">
        <v>3076</v>
      </c>
      <c r="F153" s="22">
        <f t="shared" si="5"/>
        <v>860</v>
      </c>
      <c r="G153" s="22">
        <f t="shared" si="6"/>
        <v>133</v>
      </c>
      <c r="H153" s="25">
        <v>1972</v>
      </c>
      <c r="I153" s="27">
        <v>-2340</v>
      </c>
      <c r="J153" s="28">
        <f t="shared" si="1"/>
        <v>4312</v>
      </c>
      <c r="K153" s="22">
        <f t="shared" si="8"/>
        <v>1115</v>
      </c>
      <c r="L153" s="22">
        <f t="shared" si="9"/>
        <v>133</v>
      </c>
      <c r="M153" s="25">
        <v>1802</v>
      </c>
      <c r="N153" s="24">
        <v>-1810</v>
      </c>
      <c r="O153" s="28">
        <f t="shared" si="2"/>
        <v>3612</v>
      </c>
      <c r="P153" s="22">
        <f t="shared" si="11"/>
        <v>743</v>
      </c>
      <c r="Q153" s="36"/>
      <c r="R153" s="30"/>
    </row>
    <row r="154" spans="1:18" x14ac:dyDescent="0.25">
      <c r="A154" s="21"/>
      <c r="B154" s="22"/>
      <c r="C154" s="28"/>
      <c r="D154" s="24"/>
      <c r="E154" s="25"/>
      <c r="F154" s="22"/>
      <c r="G154" s="22"/>
      <c r="H154" s="28"/>
      <c r="I154" s="27"/>
      <c r="J154" s="28"/>
      <c r="K154" s="22"/>
      <c r="L154" s="22"/>
      <c r="M154" s="28"/>
      <c r="N154" s="24"/>
      <c r="O154" s="28"/>
      <c r="P154" s="22"/>
      <c r="Q154" s="36"/>
      <c r="R154" s="30"/>
    </row>
    <row r="155" spans="1:18" x14ac:dyDescent="0.25">
      <c r="A155" s="21"/>
      <c r="B155" s="22"/>
      <c r="C155" s="28"/>
      <c r="D155" s="24"/>
      <c r="E155" s="25"/>
      <c r="F155" s="22"/>
      <c r="G155" s="22"/>
      <c r="H155" s="28"/>
      <c r="I155" s="27"/>
      <c r="J155" s="28"/>
      <c r="K155" s="22"/>
      <c r="L155" s="22"/>
      <c r="M155" s="28"/>
      <c r="N155" s="24"/>
      <c r="O155" s="28"/>
      <c r="P155" s="22"/>
      <c r="Q155" s="36"/>
      <c r="R155" s="30"/>
    </row>
    <row r="156" spans="1:18" x14ac:dyDescent="0.25">
      <c r="A156" s="21"/>
      <c r="B156" s="22"/>
      <c r="C156" s="28"/>
      <c r="D156" s="24"/>
      <c r="E156" s="25"/>
      <c r="F156" s="22"/>
      <c r="G156" s="22"/>
      <c r="H156" s="28"/>
      <c r="I156" s="27"/>
      <c r="J156" s="28"/>
      <c r="K156" s="22"/>
      <c r="L156" s="22"/>
      <c r="M156" s="28"/>
      <c r="N156" s="24"/>
      <c r="O156" s="28"/>
      <c r="P156" s="22"/>
      <c r="Q156" s="36"/>
      <c r="R156" s="30"/>
    </row>
    <row r="157" spans="1:18" ht="12.75" x14ac:dyDescent="0.2">
      <c r="A157" s="51"/>
      <c r="B157" s="52"/>
      <c r="C157" s="53"/>
      <c r="D157" s="54"/>
      <c r="E157" s="55"/>
      <c r="F157" s="52"/>
      <c r="G157" s="52"/>
      <c r="H157" s="55"/>
      <c r="I157" s="54"/>
      <c r="J157" s="55"/>
      <c r="K157" s="52"/>
      <c r="L157" s="52"/>
      <c r="M157" s="53"/>
      <c r="N157" s="54"/>
      <c r="O157" s="56"/>
      <c r="P157" s="52"/>
      <c r="Q157" s="57"/>
      <c r="R157" s="58"/>
    </row>
    <row r="158" spans="1:18" ht="12.75" x14ac:dyDescent="0.2">
      <c r="A158" s="51"/>
      <c r="B158" s="52"/>
      <c r="C158" s="53"/>
      <c r="D158" s="54"/>
      <c r="E158" s="55"/>
      <c r="F158" s="52"/>
      <c r="G158" s="52"/>
      <c r="H158" s="55"/>
      <c r="I158" s="54"/>
      <c r="J158" s="55"/>
      <c r="K158" s="52"/>
      <c r="L158" s="52"/>
      <c r="M158" s="53"/>
      <c r="N158" s="54"/>
      <c r="O158" s="56"/>
      <c r="P158" s="52"/>
      <c r="Q158" s="57"/>
      <c r="R158" s="58"/>
    </row>
    <row r="159" spans="1:18" ht="12.75" x14ac:dyDescent="0.2">
      <c r="A159" s="51"/>
      <c r="B159" s="52"/>
      <c r="C159" s="53"/>
      <c r="D159" s="54"/>
      <c r="E159" s="55"/>
      <c r="F159" s="52"/>
      <c r="G159" s="52"/>
      <c r="H159" s="55"/>
      <c r="I159" s="54"/>
      <c r="J159" s="55"/>
      <c r="K159" s="52"/>
      <c r="L159" s="52"/>
      <c r="M159" s="53"/>
      <c r="N159" s="54"/>
      <c r="O159" s="56"/>
      <c r="P159" s="52"/>
      <c r="Q159" s="57"/>
      <c r="R159" s="58"/>
    </row>
    <row r="160" spans="1:18" ht="12.75" x14ac:dyDescent="0.2">
      <c r="A160" s="51"/>
      <c r="B160" s="52"/>
      <c r="C160" s="53"/>
      <c r="D160" s="54"/>
      <c r="E160" s="55"/>
      <c r="F160" s="52"/>
      <c r="G160" s="52"/>
      <c r="H160" s="55"/>
      <c r="I160" s="54"/>
      <c r="J160" s="55"/>
      <c r="K160" s="52"/>
      <c r="L160" s="52"/>
      <c r="M160" s="53"/>
      <c r="N160" s="54"/>
      <c r="O160" s="56"/>
      <c r="P160" s="52"/>
      <c r="Q160" s="57"/>
      <c r="R160" s="58"/>
    </row>
    <row r="161" spans="1:18" ht="12.75" x14ac:dyDescent="0.2">
      <c r="A161" s="51"/>
      <c r="B161" s="52"/>
      <c r="C161" s="53"/>
      <c r="D161" s="54"/>
      <c r="E161" s="55"/>
      <c r="F161" s="52"/>
      <c r="G161" s="52"/>
      <c r="H161" s="55"/>
      <c r="I161" s="54"/>
      <c r="J161" s="55"/>
      <c r="K161" s="52"/>
      <c r="L161" s="52"/>
      <c r="M161" s="53"/>
      <c r="N161" s="54"/>
      <c r="O161" s="56"/>
      <c r="P161" s="52"/>
      <c r="Q161" s="57"/>
      <c r="R161" s="58"/>
    </row>
    <row r="162" spans="1:18" ht="12.75" x14ac:dyDescent="0.2">
      <c r="A162" s="51"/>
      <c r="B162" s="52"/>
      <c r="C162" s="53"/>
      <c r="D162" s="54"/>
      <c r="E162" s="55"/>
      <c r="F162" s="52"/>
      <c r="G162" s="52"/>
      <c r="H162" s="55"/>
      <c r="I162" s="54"/>
      <c r="J162" s="55"/>
      <c r="K162" s="52"/>
      <c r="L162" s="52"/>
      <c r="M162" s="53"/>
      <c r="N162" s="54"/>
      <c r="O162" s="56"/>
      <c r="P162" s="52"/>
      <c r="Q162" s="57"/>
      <c r="R162" s="58"/>
    </row>
    <row r="163" spans="1:18" ht="12.75" x14ac:dyDescent="0.2">
      <c r="A163" s="51"/>
      <c r="B163" s="52"/>
      <c r="C163" s="53"/>
      <c r="D163" s="54"/>
      <c r="E163" s="55"/>
      <c r="F163" s="52"/>
      <c r="G163" s="52"/>
      <c r="H163" s="55"/>
      <c r="I163" s="54"/>
      <c r="J163" s="55"/>
      <c r="K163" s="52"/>
      <c r="L163" s="52"/>
      <c r="M163" s="53"/>
      <c r="N163" s="54"/>
      <c r="O163" s="56"/>
      <c r="P163" s="52"/>
      <c r="Q163" s="57"/>
      <c r="R163" s="58"/>
    </row>
    <row r="164" spans="1:18" ht="12.75" x14ac:dyDescent="0.2">
      <c r="A164" s="51"/>
      <c r="B164" s="52"/>
      <c r="C164" s="53"/>
      <c r="D164" s="54"/>
      <c r="E164" s="55"/>
      <c r="F164" s="52"/>
      <c r="G164" s="52"/>
      <c r="H164" s="55"/>
      <c r="I164" s="54"/>
      <c r="J164" s="55"/>
      <c r="K164" s="52"/>
      <c r="L164" s="52"/>
      <c r="M164" s="53"/>
      <c r="N164" s="54"/>
      <c r="O164" s="56"/>
      <c r="P164" s="52"/>
      <c r="Q164" s="57"/>
      <c r="R164" s="58"/>
    </row>
    <row r="165" spans="1:18" ht="12.75" x14ac:dyDescent="0.2">
      <c r="A165" s="51"/>
      <c r="B165" s="52"/>
      <c r="C165" s="53"/>
      <c r="D165" s="54"/>
      <c r="E165" s="55"/>
      <c r="F165" s="52"/>
      <c r="G165" s="52"/>
      <c r="H165" s="55"/>
      <c r="I165" s="54"/>
      <c r="J165" s="55"/>
      <c r="K165" s="52"/>
      <c r="L165" s="52"/>
      <c r="M165" s="53"/>
      <c r="N165" s="54"/>
      <c r="O165" s="56"/>
      <c r="P165" s="52"/>
      <c r="Q165" s="57"/>
      <c r="R165" s="58"/>
    </row>
    <row r="166" spans="1:18" ht="12.75" x14ac:dyDescent="0.2">
      <c r="A166" s="51"/>
      <c r="B166" s="52"/>
      <c r="C166" s="53"/>
      <c r="D166" s="54"/>
      <c r="E166" s="55"/>
      <c r="F166" s="52"/>
      <c r="G166" s="52"/>
      <c r="H166" s="55"/>
      <c r="I166" s="54"/>
      <c r="J166" s="55"/>
      <c r="K166" s="52"/>
      <c r="L166" s="52"/>
      <c r="M166" s="53"/>
      <c r="N166" s="54"/>
      <c r="O166" s="56"/>
      <c r="P166" s="52"/>
      <c r="Q166" s="57"/>
      <c r="R166" s="58"/>
    </row>
    <row r="167" spans="1:18" ht="12.75" x14ac:dyDescent="0.2">
      <c r="A167" s="51"/>
      <c r="B167" s="52"/>
      <c r="C167" s="53"/>
      <c r="D167" s="54"/>
      <c r="E167" s="55"/>
      <c r="F167" s="52"/>
      <c r="G167" s="52"/>
      <c r="H167" s="55"/>
      <c r="I167" s="54"/>
      <c r="J167" s="55"/>
      <c r="K167" s="52"/>
      <c r="L167" s="52"/>
      <c r="M167" s="53"/>
      <c r="N167" s="54"/>
      <c r="O167" s="56"/>
      <c r="P167" s="52"/>
      <c r="Q167" s="57"/>
      <c r="R167" s="58"/>
    </row>
    <row r="168" spans="1:18" ht="12.75" x14ac:dyDescent="0.2">
      <c r="A168" s="51"/>
      <c r="B168" s="52"/>
      <c r="C168" s="53"/>
      <c r="D168" s="54"/>
      <c r="E168" s="55"/>
      <c r="F168" s="52"/>
      <c r="G168" s="52"/>
      <c r="H168" s="55"/>
      <c r="I168" s="54"/>
      <c r="J168" s="55"/>
      <c r="K168" s="52"/>
      <c r="L168" s="52"/>
      <c r="M168" s="53"/>
      <c r="N168" s="54"/>
      <c r="O168" s="56"/>
      <c r="P168" s="52"/>
      <c r="Q168" s="57"/>
      <c r="R168" s="58"/>
    </row>
    <row r="169" spans="1:18" ht="12.75" x14ac:dyDescent="0.2">
      <c r="A169" s="51"/>
      <c r="B169" s="52"/>
      <c r="C169" s="53"/>
      <c r="D169" s="54"/>
      <c r="E169" s="55"/>
      <c r="F169" s="52"/>
      <c r="G169" s="52"/>
      <c r="H169" s="55"/>
      <c r="I169" s="54"/>
      <c r="J169" s="55"/>
      <c r="K169" s="52"/>
      <c r="L169" s="52"/>
      <c r="M169" s="53"/>
      <c r="N169" s="54"/>
      <c r="O169" s="56"/>
      <c r="P169" s="52"/>
      <c r="Q169" s="57"/>
      <c r="R169" s="58"/>
    </row>
    <row r="170" spans="1:18" ht="12.75" x14ac:dyDescent="0.2">
      <c r="I170" s="49"/>
    </row>
    <row r="171" spans="1:18" ht="12.75" x14ac:dyDescent="0.2">
      <c r="I171" s="49"/>
    </row>
    <row r="172" spans="1:18" ht="12.75" x14ac:dyDescent="0.2">
      <c r="I172" s="49"/>
    </row>
    <row r="173" spans="1:18" ht="12.75" x14ac:dyDescent="0.2">
      <c r="I173" s="49"/>
    </row>
    <row r="174" spans="1:18" ht="12.75" x14ac:dyDescent="0.2">
      <c r="I174" s="49"/>
    </row>
    <row r="175" spans="1:18" ht="12.75" x14ac:dyDescent="0.2">
      <c r="I175" s="49"/>
    </row>
    <row r="176" spans="1:18" ht="12.75" x14ac:dyDescent="0.2">
      <c r="I176" s="49"/>
    </row>
    <row r="177" spans="9:9" ht="12.75" x14ac:dyDescent="0.2">
      <c r="I177" s="49"/>
    </row>
    <row r="178" spans="9:9" ht="12.75" x14ac:dyDescent="0.2">
      <c r="I178" s="49"/>
    </row>
    <row r="179" spans="9:9" ht="12.75" x14ac:dyDescent="0.2">
      <c r="I179" s="49"/>
    </row>
    <row r="180" spans="9:9" ht="12.75" x14ac:dyDescent="0.2">
      <c r="I180" s="49"/>
    </row>
    <row r="181" spans="9:9" ht="12.75" x14ac:dyDescent="0.2">
      <c r="I181" s="49"/>
    </row>
    <row r="182" spans="9:9" ht="12.75" x14ac:dyDescent="0.2">
      <c r="I182" s="49"/>
    </row>
    <row r="183" spans="9:9" ht="12.75" x14ac:dyDescent="0.2">
      <c r="I183" s="49"/>
    </row>
    <row r="184" spans="9:9" ht="12.75" x14ac:dyDescent="0.2">
      <c r="I184" s="49"/>
    </row>
    <row r="185" spans="9:9" ht="12.75" x14ac:dyDescent="0.2">
      <c r="I185" s="49"/>
    </row>
    <row r="186" spans="9:9" ht="12.75" x14ac:dyDescent="0.2">
      <c r="I186" s="49"/>
    </row>
    <row r="187" spans="9:9" ht="12.75" x14ac:dyDescent="0.2">
      <c r="I187" s="49"/>
    </row>
    <row r="188" spans="9:9" ht="12.75" x14ac:dyDescent="0.2">
      <c r="I188" s="49"/>
    </row>
    <row r="189" spans="9:9" ht="12.75" x14ac:dyDescent="0.2">
      <c r="I189" s="49"/>
    </row>
    <row r="190" spans="9:9" ht="12.75" x14ac:dyDescent="0.2">
      <c r="I190" s="49"/>
    </row>
    <row r="191" spans="9:9" ht="12.75" x14ac:dyDescent="0.2">
      <c r="I191" s="49"/>
    </row>
    <row r="192" spans="9:9" ht="12.75" x14ac:dyDescent="0.2">
      <c r="I192" s="49"/>
    </row>
    <row r="193" spans="9:9" ht="12.75" x14ac:dyDescent="0.2">
      <c r="I193" s="49"/>
    </row>
    <row r="194" spans="9:9" ht="12.75" x14ac:dyDescent="0.2">
      <c r="I194" s="49"/>
    </row>
    <row r="195" spans="9:9" ht="12.75" x14ac:dyDescent="0.2">
      <c r="I195" s="49"/>
    </row>
    <row r="196" spans="9:9" ht="12.75" x14ac:dyDescent="0.2">
      <c r="I196" s="49"/>
    </row>
    <row r="197" spans="9:9" ht="12.75" x14ac:dyDescent="0.2">
      <c r="I197" s="49"/>
    </row>
    <row r="198" spans="9:9" ht="12.75" x14ac:dyDescent="0.2">
      <c r="I198" s="49"/>
    </row>
    <row r="199" spans="9:9" ht="12.75" x14ac:dyDescent="0.2">
      <c r="I199" s="49"/>
    </row>
    <row r="200" spans="9:9" ht="12.75" x14ac:dyDescent="0.2">
      <c r="I200" s="49"/>
    </row>
    <row r="201" spans="9:9" ht="12.75" x14ac:dyDescent="0.2">
      <c r="I201" s="49"/>
    </row>
    <row r="202" spans="9:9" ht="12.75" x14ac:dyDescent="0.2">
      <c r="I202" s="49"/>
    </row>
    <row r="203" spans="9:9" ht="12.75" x14ac:dyDescent="0.2">
      <c r="I203" s="49"/>
    </row>
    <row r="204" spans="9:9" ht="12.75" x14ac:dyDescent="0.2">
      <c r="I204" s="49"/>
    </row>
    <row r="205" spans="9:9" ht="12.75" x14ac:dyDescent="0.2">
      <c r="I205" s="49"/>
    </row>
    <row r="206" spans="9:9" ht="12.75" x14ac:dyDescent="0.2">
      <c r="I206" s="49"/>
    </row>
    <row r="207" spans="9:9" ht="12.75" x14ac:dyDescent="0.2">
      <c r="I207" s="49"/>
    </row>
    <row r="208" spans="9:9" ht="12.75" x14ac:dyDescent="0.2">
      <c r="I208" s="49"/>
    </row>
    <row r="209" spans="9:9" ht="12.75" x14ac:dyDescent="0.2">
      <c r="I209" s="49"/>
    </row>
    <row r="210" spans="9:9" ht="12.75" x14ac:dyDescent="0.2">
      <c r="I210" s="49"/>
    </row>
    <row r="211" spans="9:9" ht="12.75" x14ac:dyDescent="0.2">
      <c r="I211" s="49"/>
    </row>
    <row r="212" spans="9:9" ht="12.75" x14ac:dyDescent="0.2">
      <c r="I212" s="49"/>
    </row>
    <row r="213" spans="9:9" ht="12.75" x14ac:dyDescent="0.2">
      <c r="I213" s="49"/>
    </row>
    <row r="214" spans="9:9" ht="12.75" x14ac:dyDescent="0.2">
      <c r="I214" s="49"/>
    </row>
    <row r="215" spans="9:9" ht="12.75" x14ac:dyDescent="0.2">
      <c r="I215" s="49"/>
    </row>
    <row r="216" spans="9:9" ht="12.75" x14ac:dyDescent="0.2">
      <c r="I216" s="49"/>
    </row>
    <row r="217" spans="9:9" ht="12.75" x14ac:dyDescent="0.2">
      <c r="I217" s="49"/>
    </row>
    <row r="218" spans="9:9" ht="12.75" x14ac:dyDescent="0.2">
      <c r="I218" s="49"/>
    </row>
    <row r="219" spans="9:9" ht="12.75" x14ac:dyDescent="0.2">
      <c r="I219" s="49"/>
    </row>
    <row r="220" spans="9:9" ht="12.75" x14ac:dyDescent="0.2">
      <c r="I220" s="49"/>
    </row>
    <row r="221" spans="9:9" ht="12.75" x14ac:dyDescent="0.2">
      <c r="I221" s="49"/>
    </row>
    <row r="222" spans="9:9" ht="12.75" x14ac:dyDescent="0.2">
      <c r="I222" s="49"/>
    </row>
    <row r="223" spans="9:9" ht="12.75" x14ac:dyDescent="0.2">
      <c r="I223" s="49"/>
    </row>
    <row r="224" spans="9:9" ht="12.75" x14ac:dyDescent="0.2">
      <c r="I224" s="49"/>
    </row>
    <row r="225" spans="9:9" ht="12.75" x14ac:dyDescent="0.2">
      <c r="I225" s="49"/>
    </row>
    <row r="226" spans="9:9" ht="12.75" x14ac:dyDescent="0.2">
      <c r="I226" s="49"/>
    </row>
    <row r="227" spans="9:9" ht="12.75" x14ac:dyDescent="0.2">
      <c r="I227" s="49"/>
    </row>
    <row r="228" spans="9:9" ht="12.75" x14ac:dyDescent="0.2">
      <c r="I228" s="49"/>
    </row>
    <row r="229" spans="9:9" ht="12.75" x14ac:dyDescent="0.2">
      <c r="I229" s="49"/>
    </row>
    <row r="230" spans="9:9" ht="12.75" x14ac:dyDescent="0.2">
      <c r="I230" s="49"/>
    </row>
    <row r="231" spans="9:9" ht="12.75" x14ac:dyDescent="0.2">
      <c r="I231" s="49"/>
    </row>
    <row r="232" spans="9:9" ht="12.75" x14ac:dyDescent="0.2">
      <c r="I232" s="49"/>
    </row>
    <row r="233" spans="9:9" ht="12.75" x14ac:dyDescent="0.2">
      <c r="I233" s="49"/>
    </row>
    <row r="234" spans="9:9" ht="12.75" x14ac:dyDescent="0.2">
      <c r="I234" s="49"/>
    </row>
    <row r="235" spans="9:9" ht="12.75" x14ac:dyDescent="0.2">
      <c r="I235" s="49"/>
    </row>
    <row r="236" spans="9:9" ht="12.75" x14ac:dyDescent="0.2">
      <c r="I236" s="49"/>
    </row>
    <row r="237" spans="9:9" ht="12.75" x14ac:dyDescent="0.2">
      <c r="I237" s="49"/>
    </row>
    <row r="238" spans="9:9" ht="12.75" x14ac:dyDescent="0.2">
      <c r="I238" s="49"/>
    </row>
    <row r="239" spans="9:9" ht="12.75" x14ac:dyDescent="0.2">
      <c r="I239" s="49"/>
    </row>
    <row r="240" spans="9:9" ht="12.75" x14ac:dyDescent="0.2">
      <c r="I240" s="49"/>
    </row>
    <row r="241" spans="9:9" ht="12.75" x14ac:dyDescent="0.2">
      <c r="I241" s="49"/>
    </row>
    <row r="242" spans="9:9" ht="12.75" x14ac:dyDescent="0.2">
      <c r="I242" s="49"/>
    </row>
    <row r="243" spans="9:9" ht="12.75" x14ac:dyDescent="0.2">
      <c r="I243" s="49"/>
    </row>
    <row r="244" spans="9:9" ht="12.75" x14ac:dyDescent="0.2">
      <c r="I244" s="49"/>
    </row>
    <row r="245" spans="9:9" ht="12.75" x14ac:dyDescent="0.2">
      <c r="I245" s="49"/>
    </row>
    <row r="246" spans="9:9" ht="12.75" x14ac:dyDescent="0.2">
      <c r="I246" s="49"/>
    </row>
    <row r="247" spans="9:9" ht="12.75" x14ac:dyDescent="0.2">
      <c r="I247" s="49"/>
    </row>
    <row r="248" spans="9:9" ht="12.75" x14ac:dyDescent="0.2">
      <c r="I248" s="49"/>
    </row>
    <row r="249" spans="9:9" ht="12.75" x14ac:dyDescent="0.2">
      <c r="I249" s="49"/>
    </row>
    <row r="250" spans="9:9" ht="12.75" x14ac:dyDescent="0.2">
      <c r="I250" s="49"/>
    </row>
    <row r="251" spans="9:9" ht="12.75" x14ac:dyDescent="0.2">
      <c r="I251" s="49"/>
    </row>
    <row r="252" spans="9:9" ht="12.75" x14ac:dyDescent="0.2">
      <c r="I252" s="49"/>
    </row>
    <row r="253" spans="9:9" ht="12.75" x14ac:dyDescent="0.2">
      <c r="I253" s="49"/>
    </row>
    <row r="254" spans="9:9" ht="12.75" x14ac:dyDescent="0.2">
      <c r="I254" s="49"/>
    </row>
    <row r="255" spans="9:9" ht="12.75" x14ac:dyDescent="0.2">
      <c r="I255" s="49"/>
    </row>
    <row r="256" spans="9:9" ht="12.75" x14ac:dyDescent="0.2">
      <c r="I256" s="49"/>
    </row>
    <row r="257" spans="9:9" ht="12.75" x14ac:dyDescent="0.2">
      <c r="I257" s="49"/>
    </row>
    <row r="258" spans="9:9" ht="12.75" x14ac:dyDescent="0.2">
      <c r="I258" s="49"/>
    </row>
    <row r="259" spans="9:9" ht="12.75" x14ac:dyDescent="0.2">
      <c r="I259" s="49"/>
    </row>
    <row r="260" spans="9:9" ht="12.75" x14ac:dyDescent="0.2">
      <c r="I260" s="49"/>
    </row>
    <row r="261" spans="9:9" ht="12.75" x14ac:dyDescent="0.2">
      <c r="I261" s="49"/>
    </row>
    <row r="262" spans="9:9" ht="12.75" x14ac:dyDescent="0.2">
      <c r="I262" s="49"/>
    </row>
    <row r="263" spans="9:9" ht="12.75" x14ac:dyDescent="0.2">
      <c r="I263" s="49"/>
    </row>
    <row r="264" spans="9:9" ht="12.75" x14ac:dyDescent="0.2">
      <c r="I264" s="49"/>
    </row>
    <row r="265" spans="9:9" ht="12.75" x14ac:dyDescent="0.2">
      <c r="I265" s="49"/>
    </row>
    <row r="266" spans="9:9" ht="12.75" x14ac:dyDescent="0.2">
      <c r="I266" s="49"/>
    </row>
    <row r="267" spans="9:9" ht="12.75" x14ac:dyDescent="0.2">
      <c r="I267" s="49"/>
    </row>
    <row r="268" spans="9:9" ht="12.75" x14ac:dyDescent="0.2">
      <c r="I268" s="49"/>
    </row>
    <row r="269" spans="9:9" ht="12.75" x14ac:dyDescent="0.2">
      <c r="I269" s="49"/>
    </row>
    <row r="270" spans="9:9" ht="12.75" x14ac:dyDescent="0.2">
      <c r="I270" s="49"/>
    </row>
    <row r="271" spans="9:9" ht="12.75" x14ac:dyDescent="0.2">
      <c r="I271" s="49"/>
    </row>
    <row r="272" spans="9:9" ht="12.75" x14ac:dyDescent="0.2">
      <c r="I272" s="49"/>
    </row>
    <row r="273" spans="9:9" ht="12.75" x14ac:dyDescent="0.2">
      <c r="I273" s="49"/>
    </row>
    <row r="274" spans="9:9" ht="12.75" x14ac:dyDescent="0.2">
      <c r="I274" s="49"/>
    </row>
    <row r="275" spans="9:9" ht="12.75" x14ac:dyDescent="0.2">
      <c r="I275" s="49"/>
    </row>
    <row r="276" spans="9:9" ht="12.75" x14ac:dyDescent="0.2">
      <c r="I276" s="49"/>
    </row>
    <row r="277" spans="9:9" ht="12.75" x14ac:dyDescent="0.2">
      <c r="I277" s="49"/>
    </row>
    <row r="278" spans="9:9" ht="12.75" x14ac:dyDescent="0.2">
      <c r="I278" s="49"/>
    </row>
    <row r="279" spans="9:9" ht="12.75" x14ac:dyDescent="0.2">
      <c r="I279" s="49"/>
    </row>
    <row r="280" spans="9:9" ht="12.75" x14ac:dyDescent="0.2">
      <c r="I280" s="49"/>
    </row>
    <row r="281" spans="9:9" ht="12.75" x14ac:dyDescent="0.2">
      <c r="I281" s="49"/>
    </row>
    <row r="282" spans="9:9" ht="12.75" x14ac:dyDescent="0.2">
      <c r="I282" s="49"/>
    </row>
    <row r="283" spans="9:9" ht="12.75" x14ac:dyDescent="0.2">
      <c r="I283" s="49"/>
    </row>
    <row r="284" spans="9:9" ht="12.75" x14ac:dyDescent="0.2">
      <c r="I284" s="49"/>
    </row>
    <row r="285" spans="9:9" ht="12.75" x14ac:dyDescent="0.2">
      <c r="I285" s="49"/>
    </row>
    <row r="286" spans="9:9" ht="12.75" x14ac:dyDescent="0.2">
      <c r="I286" s="49"/>
    </row>
    <row r="287" spans="9:9" ht="12.75" x14ac:dyDescent="0.2">
      <c r="I287" s="49"/>
    </row>
    <row r="288" spans="9:9" ht="12.75" x14ac:dyDescent="0.2">
      <c r="I288" s="49"/>
    </row>
    <row r="289" spans="9:9" ht="12.75" x14ac:dyDescent="0.2">
      <c r="I289" s="49"/>
    </row>
    <row r="290" spans="9:9" ht="12.75" x14ac:dyDescent="0.2">
      <c r="I290" s="49"/>
    </row>
    <row r="291" spans="9:9" ht="12.75" x14ac:dyDescent="0.2">
      <c r="I291" s="49"/>
    </row>
    <row r="292" spans="9:9" ht="12.75" x14ac:dyDescent="0.2">
      <c r="I292" s="49"/>
    </row>
    <row r="293" spans="9:9" ht="12.75" x14ac:dyDescent="0.2">
      <c r="I293" s="49"/>
    </row>
    <row r="294" spans="9:9" ht="12.75" x14ac:dyDescent="0.2">
      <c r="I294" s="49"/>
    </row>
    <row r="295" spans="9:9" ht="12.75" x14ac:dyDescent="0.2">
      <c r="I295" s="49"/>
    </row>
    <row r="296" spans="9:9" ht="12.75" x14ac:dyDescent="0.2">
      <c r="I296" s="49"/>
    </row>
    <row r="297" spans="9:9" ht="12.75" x14ac:dyDescent="0.2">
      <c r="I297" s="49"/>
    </row>
    <row r="298" spans="9:9" ht="12.75" x14ac:dyDescent="0.2">
      <c r="I298" s="49"/>
    </row>
    <row r="299" spans="9:9" ht="12.75" x14ac:dyDescent="0.2">
      <c r="I299" s="49"/>
    </row>
    <row r="300" spans="9:9" ht="12.75" x14ac:dyDescent="0.2">
      <c r="I300" s="49"/>
    </row>
    <row r="301" spans="9:9" ht="12.75" x14ac:dyDescent="0.2">
      <c r="I301" s="49"/>
    </row>
    <row r="302" spans="9:9" ht="12.75" x14ac:dyDescent="0.2">
      <c r="I302" s="49"/>
    </row>
    <row r="303" spans="9:9" ht="12.75" x14ac:dyDescent="0.2">
      <c r="I303" s="49"/>
    </row>
    <row r="304" spans="9:9" ht="12.75" x14ac:dyDescent="0.2">
      <c r="I304" s="49"/>
    </row>
    <row r="305" spans="9:9" ht="12.75" x14ac:dyDescent="0.2">
      <c r="I305" s="49"/>
    </row>
    <row r="306" spans="9:9" ht="12.75" x14ac:dyDescent="0.2">
      <c r="I306" s="49"/>
    </row>
    <row r="307" spans="9:9" ht="12.75" x14ac:dyDescent="0.2">
      <c r="I307" s="49"/>
    </row>
    <row r="308" spans="9:9" ht="12.75" x14ac:dyDescent="0.2">
      <c r="I308" s="49"/>
    </row>
    <row r="309" spans="9:9" ht="12.75" x14ac:dyDescent="0.2">
      <c r="I309" s="49"/>
    </row>
    <row r="310" spans="9:9" ht="12.75" x14ac:dyDescent="0.2">
      <c r="I310" s="49"/>
    </row>
    <row r="311" spans="9:9" ht="12.75" x14ac:dyDescent="0.2">
      <c r="I311" s="49"/>
    </row>
    <row r="312" spans="9:9" ht="12.75" x14ac:dyDescent="0.2">
      <c r="I312" s="49"/>
    </row>
    <row r="313" spans="9:9" ht="12.75" x14ac:dyDescent="0.2">
      <c r="I313" s="49"/>
    </row>
    <row r="314" spans="9:9" ht="12.75" x14ac:dyDescent="0.2">
      <c r="I314" s="49"/>
    </row>
    <row r="315" spans="9:9" ht="12.75" x14ac:dyDescent="0.2">
      <c r="I315" s="49"/>
    </row>
    <row r="316" spans="9:9" ht="12.75" x14ac:dyDescent="0.2">
      <c r="I316" s="49"/>
    </row>
    <row r="317" spans="9:9" ht="12.75" x14ac:dyDescent="0.2">
      <c r="I317" s="49"/>
    </row>
    <row r="318" spans="9:9" ht="12.75" x14ac:dyDescent="0.2">
      <c r="I318" s="49"/>
    </row>
    <row r="319" spans="9:9" ht="12.75" x14ac:dyDescent="0.2">
      <c r="I319" s="49"/>
    </row>
    <row r="320" spans="9:9" ht="12.75" x14ac:dyDescent="0.2">
      <c r="I320" s="49"/>
    </row>
    <row r="321" spans="9:9" ht="12.75" x14ac:dyDescent="0.2">
      <c r="I321" s="49"/>
    </row>
    <row r="322" spans="9:9" ht="12.75" x14ac:dyDescent="0.2">
      <c r="I322" s="49"/>
    </row>
    <row r="323" spans="9:9" ht="12.75" x14ac:dyDescent="0.2">
      <c r="I323" s="49"/>
    </row>
    <row r="324" spans="9:9" ht="12.75" x14ac:dyDescent="0.2">
      <c r="I324" s="49"/>
    </row>
    <row r="325" spans="9:9" ht="12.75" x14ac:dyDescent="0.2">
      <c r="I325" s="49"/>
    </row>
    <row r="326" spans="9:9" ht="12.75" x14ac:dyDescent="0.2">
      <c r="I326" s="49"/>
    </row>
    <row r="327" spans="9:9" ht="12.75" x14ac:dyDescent="0.2">
      <c r="I327" s="49"/>
    </row>
    <row r="328" spans="9:9" ht="12.75" x14ac:dyDescent="0.2">
      <c r="I328" s="49"/>
    </row>
    <row r="329" spans="9:9" ht="12.75" x14ac:dyDescent="0.2">
      <c r="I329" s="49"/>
    </row>
    <row r="330" spans="9:9" ht="12.75" x14ac:dyDescent="0.2">
      <c r="I330" s="49"/>
    </row>
    <row r="331" spans="9:9" ht="12.75" x14ac:dyDescent="0.2">
      <c r="I331" s="49"/>
    </row>
    <row r="332" spans="9:9" ht="12.75" x14ac:dyDescent="0.2">
      <c r="I332" s="49"/>
    </row>
    <row r="333" spans="9:9" ht="12.75" x14ac:dyDescent="0.2">
      <c r="I333" s="49"/>
    </row>
    <row r="334" spans="9:9" ht="12.75" x14ac:dyDescent="0.2">
      <c r="I334" s="49"/>
    </row>
    <row r="335" spans="9:9" ht="12.75" x14ac:dyDescent="0.2">
      <c r="I335" s="49"/>
    </row>
    <row r="336" spans="9:9" ht="12.75" x14ac:dyDescent="0.2">
      <c r="I336" s="49"/>
    </row>
    <row r="337" spans="9:9" ht="12.75" x14ac:dyDescent="0.2">
      <c r="I337" s="49"/>
    </row>
    <row r="338" spans="9:9" ht="12.75" x14ac:dyDescent="0.2">
      <c r="I338" s="49"/>
    </row>
    <row r="339" spans="9:9" ht="12.75" x14ac:dyDescent="0.2">
      <c r="I339" s="49"/>
    </row>
    <row r="340" spans="9:9" ht="12.75" x14ac:dyDescent="0.2">
      <c r="I340" s="49"/>
    </row>
    <row r="341" spans="9:9" ht="12.75" x14ac:dyDescent="0.2">
      <c r="I341" s="49"/>
    </row>
    <row r="342" spans="9:9" ht="12.75" x14ac:dyDescent="0.2">
      <c r="I342" s="49"/>
    </row>
    <row r="343" spans="9:9" ht="12.75" x14ac:dyDescent="0.2">
      <c r="I343" s="49"/>
    </row>
    <row r="344" spans="9:9" ht="12.75" x14ac:dyDescent="0.2">
      <c r="I344" s="49"/>
    </row>
    <row r="345" spans="9:9" ht="12.75" x14ac:dyDescent="0.2">
      <c r="I345" s="49"/>
    </row>
    <row r="346" spans="9:9" ht="12.75" x14ac:dyDescent="0.2">
      <c r="I346" s="49"/>
    </row>
    <row r="347" spans="9:9" ht="12.75" x14ac:dyDescent="0.2">
      <c r="I347" s="49"/>
    </row>
    <row r="348" spans="9:9" ht="12.75" x14ac:dyDescent="0.2">
      <c r="I348" s="49"/>
    </row>
    <row r="349" spans="9:9" ht="12.75" x14ac:dyDescent="0.2">
      <c r="I349" s="49"/>
    </row>
    <row r="350" spans="9:9" ht="12.75" x14ac:dyDescent="0.2">
      <c r="I350" s="49"/>
    </row>
    <row r="351" spans="9:9" ht="12.75" x14ac:dyDescent="0.2">
      <c r="I351" s="49"/>
    </row>
    <row r="352" spans="9:9" ht="12.75" x14ac:dyDescent="0.2">
      <c r="I352" s="49"/>
    </row>
    <row r="353" spans="9:9" ht="12.75" x14ac:dyDescent="0.2">
      <c r="I353" s="49"/>
    </row>
    <row r="354" spans="9:9" ht="12.75" x14ac:dyDescent="0.2">
      <c r="I354" s="49"/>
    </row>
    <row r="355" spans="9:9" ht="12.75" x14ac:dyDescent="0.2">
      <c r="I355" s="49"/>
    </row>
    <row r="356" spans="9:9" ht="12.75" x14ac:dyDescent="0.2">
      <c r="I356" s="49"/>
    </row>
    <row r="357" spans="9:9" ht="12.75" x14ac:dyDescent="0.2">
      <c r="I357" s="49"/>
    </row>
    <row r="358" spans="9:9" ht="12.75" x14ac:dyDescent="0.2">
      <c r="I358" s="49"/>
    </row>
    <row r="359" spans="9:9" ht="12.75" x14ac:dyDescent="0.2">
      <c r="I359" s="49"/>
    </row>
    <row r="360" spans="9:9" ht="12.75" x14ac:dyDescent="0.2">
      <c r="I360" s="49"/>
    </row>
    <row r="361" spans="9:9" ht="12.75" x14ac:dyDescent="0.2">
      <c r="I361" s="49"/>
    </row>
    <row r="362" spans="9:9" ht="12.75" x14ac:dyDescent="0.2">
      <c r="I362" s="49"/>
    </row>
    <row r="363" spans="9:9" ht="12.75" x14ac:dyDescent="0.2">
      <c r="I363" s="49"/>
    </row>
    <row r="364" spans="9:9" ht="12.75" x14ac:dyDescent="0.2">
      <c r="I364" s="49"/>
    </row>
    <row r="365" spans="9:9" ht="12.75" x14ac:dyDescent="0.2">
      <c r="I365" s="49"/>
    </row>
    <row r="366" spans="9:9" ht="12.75" x14ac:dyDescent="0.2">
      <c r="I366" s="49"/>
    </row>
    <row r="367" spans="9:9" ht="12.75" x14ac:dyDescent="0.2">
      <c r="I367" s="49"/>
    </row>
    <row r="368" spans="9:9" ht="12.75" x14ac:dyDescent="0.2">
      <c r="I368" s="49"/>
    </row>
    <row r="369" spans="9:9" ht="12.75" x14ac:dyDescent="0.2">
      <c r="I369" s="49"/>
    </row>
    <row r="370" spans="9:9" ht="12.75" x14ac:dyDescent="0.2">
      <c r="I370" s="49"/>
    </row>
    <row r="371" spans="9:9" ht="12.75" x14ac:dyDescent="0.2">
      <c r="I371" s="49"/>
    </row>
    <row r="372" spans="9:9" ht="12.75" x14ac:dyDescent="0.2">
      <c r="I372" s="49"/>
    </row>
    <row r="373" spans="9:9" ht="12.75" x14ac:dyDescent="0.2">
      <c r="I373" s="49"/>
    </row>
    <row r="374" spans="9:9" ht="12.75" x14ac:dyDescent="0.2">
      <c r="I374" s="49"/>
    </row>
    <row r="375" spans="9:9" ht="12.75" x14ac:dyDescent="0.2">
      <c r="I375" s="49"/>
    </row>
    <row r="376" spans="9:9" ht="12.75" x14ac:dyDescent="0.2">
      <c r="I376" s="49"/>
    </row>
    <row r="377" spans="9:9" ht="12.75" x14ac:dyDescent="0.2">
      <c r="I377" s="49"/>
    </row>
    <row r="378" spans="9:9" ht="12.75" x14ac:dyDescent="0.2">
      <c r="I378" s="49"/>
    </row>
    <row r="379" spans="9:9" ht="12.75" x14ac:dyDescent="0.2">
      <c r="I379" s="49"/>
    </row>
    <row r="380" spans="9:9" ht="12.75" x14ac:dyDescent="0.2">
      <c r="I380" s="49"/>
    </row>
    <row r="381" spans="9:9" ht="12.75" x14ac:dyDescent="0.2">
      <c r="I381" s="49"/>
    </row>
    <row r="382" spans="9:9" ht="12.75" x14ac:dyDescent="0.2">
      <c r="I382" s="49"/>
    </row>
    <row r="383" spans="9:9" ht="12.75" x14ac:dyDescent="0.2">
      <c r="I383" s="49"/>
    </row>
    <row r="384" spans="9:9" ht="12.75" x14ac:dyDescent="0.2">
      <c r="I384" s="49"/>
    </row>
    <row r="385" spans="9:9" ht="12.75" x14ac:dyDescent="0.2">
      <c r="I385" s="49"/>
    </row>
    <row r="386" spans="9:9" ht="12.75" x14ac:dyDescent="0.2">
      <c r="I386" s="49"/>
    </row>
    <row r="387" spans="9:9" ht="12.75" x14ac:dyDescent="0.2">
      <c r="I387" s="49"/>
    </row>
    <row r="388" spans="9:9" ht="12.75" x14ac:dyDescent="0.2">
      <c r="I388" s="49"/>
    </row>
    <row r="389" spans="9:9" ht="12.75" x14ac:dyDescent="0.2">
      <c r="I389" s="49"/>
    </row>
    <row r="390" spans="9:9" ht="12.75" x14ac:dyDescent="0.2">
      <c r="I390" s="49"/>
    </row>
    <row r="391" spans="9:9" ht="12.75" x14ac:dyDescent="0.2">
      <c r="I391" s="49"/>
    </row>
    <row r="392" spans="9:9" ht="12.75" x14ac:dyDescent="0.2">
      <c r="I392" s="49"/>
    </row>
    <row r="393" spans="9:9" ht="12.75" x14ac:dyDescent="0.2">
      <c r="I393" s="49"/>
    </row>
    <row r="394" spans="9:9" ht="12.75" x14ac:dyDescent="0.2">
      <c r="I394" s="49"/>
    </row>
    <row r="395" spans="9:9" ht="12.75" x14ac:dyDescent="0.2">
      <c r="I395" s="49"/>
    </row>
    <row r="396" spans="9:9" ht="12.75" x14ac:dyDescent="0.2">
      <c r="I396" s="49"/>
    </row>
    <row r="397" spans="9:9" ht="12.75" x14ac:dyDescent="0.2">
      <c r="I397" s="49"/>
    </row>
    <row r="398" spans="9:9" ht="12.75" x14ac:dyDescent="0.2">
      <c r="I398" s="49"/>
    </row>
    <row r="399" spans="9:9" ht="12.75" x14ac:dyDescent="0.2">
      <c r="I399" s="49"/>
    </row>
    <row r="400" spans="9:9" ht="12.75" x14ac:dyDescent="0.2">
      <c r="I400" s="49"/>
    </row>
    <row r="401" spans="9:9" ht="12.75" x14ac:dyDescent="0.2">
      <c r="I401" s="49"/>
    </row>
    <row r="402" spans="9:9" ht="12.75" x14ac:dyDescent="0.2">
      <c r="I402" s="49"/>
    </row>
    <row r="403" spans="9:9" ht="12.75" x14ac:dyDescent="0.2">
      <c r="I403" s="49"/>
    </row>
    <row r="404" spans="9:9" ht="12.75" x14ac:dyDescent="0.2">
      <c r="I404" s="49"/>
    </row>
    <row r="405" spans="9:9" ht="12.75" x14ac:dyDescent="0.2">
      <c r="I405" s="49"/>
    </row>
    <row r="406" spans="9:9" ht="12.75" x14ac:dyDescent="0.2">
      <c r="I406" s="49"/>
    </row>
    <row r="407" spans="9:9" ht="12.75" x14ac:dyDescent="0.2">
      <c r="I407" s="49"/>
    </row>
    <row r="408" spans="9:9" ht="12.75" x14ac:dyDescent="0.2">
      <c r="I408" s="49"/>
    </row>
    <row r="409" spans="9:9" ht="12.75" x14ac:dyDescent="0.2">
      <c r="I409" s="49"/>
    </row>
    <row r="410" spans="9:9" ht="12.75" x14ac:dyDescent="0.2">
      <c r="I410" s="49"/>
    </row>
    <row r="411" spans="9:9" ht="12.75" x14ac:dyDescent="0.2">
      <c r="I411" s="49"/>
    </row>
    <row r="412" spans="9:9" ht="12.75" x14ac:dyDescent="0.2">
      <c r="I412" s="49"/>
    </row>
    <row r="413" spans="9:9" ht="12.75" x14ac:dyDescent="0.2">
      <c r="I413" s="49"/>
    </row>
    <row r="414" spans="9:9" ht="12.75" x14ac:dyDescent="0.2">
      <c r="I414" s="49"/>
    </row>
    <row r="415" spans="9:9" ht="12.75" x14ac:dyDescent="0.2">
      <c r="I415" s="49"/>
    </row>
    <row r="416" spans="9:9" ht="12.75" x14ac:dyDescent="0.2">
      <c r="I416" s="49"/>
    </row>
    <row r="417" spans="9:9" ht="12.75" x14ac:dyDescent="0.2">
      <c r="I417" s="49"/>
    </row>
    <row r="418" spans="9:9" ht="12.75" x14ac:dyDescent="0.2">
      <c r="I418" s="49"/>
    </row>
    <row r="419" spans="9:9" ht="12.75" x14ac:dyDescent="0.2">
      <c r="I419" s="49"/>
    </row>
    <row r="420" spans="9:9" ht="12.75" x14ac:dyDescent="0.2">
      <c r="I420" s="49"/>
    </row>
    <row r="421" spans="9:9" ht="12.75" x14ac:dyDescent="0.2">
      <c r="I421" s="49"/>
    </row>
    <row r="422" spans="9:9" ht="12.75" x14ac:dyDescent="0.2">
      <c r="I422" s="49"/>
    </row>
    <row r="423" spans="9:9" ht="12.75" x14ac:dyDescent="0.2">
      <c r="I423" s="49"/>
    </row>
    <row r="424" spans="9:9" ht="12.75" x14ac:dyDescent="0.2">
      <c r="I424" s="49"/>
    </row>
    <row r="425" spans="9:9" ht="12.75" x14ac:dyDescent="0.2">
      <c r="I425" s="49"/>
    </row>
    <row r="426" spans="9:9" ht="12.75" x14ac:dyDescent="0.2">
      <c r="I426" s="49"/>
    </row>
    <row r="427" spans="9:9" ht="12.75" x14ac:dyDescent="0.2">
      <c r="I427" s="49"/>
    </row>
    <row r="428" spans="9:9" ht="12.75" x14ac:dyDescent="0.2">
      <c r="I428" s="49"/>
    </row>
    <row r="429" spans="9:9" ht="12.75" x14ac:dyDescent="0.2">
      <c r="I429" s="49"/>
    </row>
    <row r="430" spans="9:9" ht="12.75" x14ac:dyDescent="0.2">
      <c r="I430" s="49"/>
    </row>
    <row r="431" spans="9:9" ht="12.75" x14ac:dyDescent="0.2">
      <c r="I431" s="49"/>
    </row>
    <row r="432" spans="9:9" ht="12.75" x14ac:dyDescent="0.2">
      <c r="I432" s="49"/>
    </row>
    <row r="433" spans="9:9" ht="12.75" x14ac:dyDescent="0.2">
      <c r="I433" s="49"/>
    </row>
    <row r="434" spans="9:9" ht="12.75" x14ac:dyDescent="0.2">
      <c r="I434" s="49"/>
    </row>
    <row r="435" spans="9:9" ht="12.75" x14ac:dyDescent="0.2">
      <c r="I435" s="49"/>
    </row>
    <row r="436" spans="9:9" ht="12.75" x14ac:dyDescent="0.2">
      <c r="I436" s="49"/>
    </row>
    <row r="437" spans="9:9" ht="12.75" x14ac:dyDescent="0.2">
      <c r="I437" s="49"/>
    </row>
    <row r="438" spans="9:9" ht="12.75" x14ac:dyDescent="0.2">
      <c r="I438" s="49"/>
    </row>
    <row r="439" spans="9:9" ht="12.75" x14ac:dyDescent="0.2">
      <c r="I439" s="49"/>
    </row>
    <row r="440" spans="9:9" ht="12.75" x14ac:dyDescent="0.2">
      <c r="I440" s="49"/>
    </row>
    <row r="441" spans="9:9" ht="12.75" x14ac:dyDescent="0.2">
      <c r="I441" s="49"/>
    </row>
    <row r="442" spans="9:9" ht="12.75" x14ac:dyDescent="0.2">
      <c r="I442" s="49"/>
    </row>
    <row r="443" spans="9:9" ht="12.75" x14ac:dyDescent="0.2">
      <c r="I443" s="49"/>
    </row>
    <row r="444" spans="9:9" ht="12.75" x14ac:dyDescent="0.2">
      <c r="I444" s="49"/>
    </row>
    <row r="445" spans="9:9" ht="12.75" x14ac:dyDescent="0.2">
      <c r="I445" s="49"/>
    </row>
    <row r="446" spans="9:9" ht="12.75" x14ac:dyDescent="0.2">
      <c r="I446" s="49"/>
    </row>
    <row r="447" spans="9:9" ht="12.75" x14ac:dyDescent="0.2">
      <c r="I447" s="49"/>
    </row>
    <row r="448" spans="9:9" ht="12.75" x14ac:dyDescent="0.2">
      <c r="I448" s="49"/>
    </row>
    <row r="449" spans="9:9" ht="12.75" x14ac:dyDescent="0.2">
      <c r="I449" s="49"/>
    </row>
    <row r="450" spans="9:9" ht="12.75" x14ac:dyDescent="0.2">
      <c r="I450" s="49"/>
    </row>
    <row r="451" spans="9:9" ht="12.75" x14ac:dyDescent="0.2">
      <c r="I451" s="49"/>
    </row>
    <row r="452" spans="9:9" ht="12.75" x14ac:dyDescent="0.2">
      <c r="I452" s="49"/>
    </row>
    <row r="453" spans="9:9" ht="12.75" x14ac:dyDescent="0.2">
      <c r="I453" s="49"/>
    </row>
    <row r="454" spans="9:9" ht="12.75" x14ac:dyDescent="0.2">
      <c r="I454" s="49"/>
    </row>
    <row r="455" spans="9:9" ht="12.75" x14ac:dyDescent="0.2">
      <c r="I455" s="49"/>
    </row>
    <row r="456" spans="9:9" ht="12.75" x14ac:dyDescent="0.2">
      <c r="I456" s="49"/>
    </row>
    <row r="457" spans="9:9" ht="12.75" x14ac:dyDescent="0.2">
      <c r="I457" s="49"/>
    </row>
    <row r="458" spans="9:9" ht="12.75" x14ac:dyDescent="0.2">
      <c r="I458" s="49"/>
    </row>
    <row r="459" spans="9:9" ht="12.75" x14ac:dyDescent="0.2">
      <c r="I459" s="49"/>
    </row>
    <row r="460" spans="9:9" ht="12.75" x14ac:dyDescent="0.2">
      <c r="I460" s="49"/>
    </row>
    <row r="461" spans="9:9" ht="12.75" x14ac:dyDescent="0.2">
      <c r="I461" s="49"/>
    </row>
    <row r="462" spans="9:9" ht="12.75" x14ac:dyDescent="0.2">
      <c r="I462" s="49"/>
    </row>
    <row r="463" spans="9:9" ht="12.75" x14ac:dyDescent="0.2">
      <c r="I463" s="49"/>
    </row>
    <row r="464" spans="9:9" ht="12.75" x14ac:dyDescent="0.2">
      <c r="I464" s="49"/>
    </row>
    <row r="465" spans="9:9" ht="12.75" x14ac:dyDescent="0.2">
      <c r="I465" s="49"/>
    </row>
    <row r="466" spans="9:9" ht="12.75" x14ac:dyDescent="0.2">
      <c r="I466" s="49"/>
    </row>
    <row r="467" spans="9:9" ht="12.75" x14ac:dyDescent="0.2">
      <c r="I467" s="49"/>
    </row>
    <row r="468" spans="9:9" ht="12.75" x14ac:dyDescent="0.2">
      <c r="I468" s="49"/>
    </row>
    <row r="469" spans="9:9" ht="12.75" x14ac:dyDescent="0.2">
      <c r="I469" s="49"/>
    </row>
    <row r="470" spans="9:9" ht="12.75" x14ac:dyDescent="0.2">
      <c r="I470" s="49"/>
    </row>
    <row r="471" spans="9:9" ht="12.75" x14ac:dyDescent="0.2">
      <c r="I471" s="49"/>
    </row>
    <row r="472" spans="9:9" ht="12.75" x14ac:dyDescent="0.2">
      <c r="I472" s="49"/>
    </row>
    <row r="473" spans="9:9" ht="12.75" x14ac:dyDescent="0.2">
      <c r="I473" s="49"/>
    </row>
    <row r="474" spans="9:9" ht="12.75" x14ac:dyDescent="0.2">
      <c r="I474" s="49"/>
    </row>
    <row r="475" spans="9:9" ht="12.75" x14ac:dyDescent="0.2">
      <c r="I475" s="49"/>
    </row>
    <row r="476" spans="9:9" ht="12.75" x14ac:dyDescent="0.2">
      <c r="I476" s="49"/>
    </row>
    <row r="477" spans="9:9" ht="12.75" x14ac:dyDescent="0.2">
      <c r="I477" s="49"/>
    </row>
    <row r="478" spans="9:9" ht="12.75" x14ac:dyDescent="0.2">
      <c r="I478" s="49"/>
    </row>
    <row r="479" spans="9:9" ht="12.75" x14ac:dyDescent="0.2">
      <c r="I479" s="49"/>
    </row>
    <row r="480" spans="9:9" ht="12.75" x14ac:dyDescent="0.2">
      <c r="I480" s="49"/>
    </row>
    <row r="481" spans="9:9" ht="12.75" x14ac:dyDescent="0.2">
      <c r="I481" s="49"/>
    </row>
    <row r="482" spans="9:9" ht="12.75" x14ac:dyDescent="0.2">
      <c r="I482" s="49"/>
    </row>
    <row r="483" spans="9:9" ht="12.75" x14ac:dyDescent="0.2">
      <c r="I483" s="49"/>
    </row>
    <row r="484" spans="9:9" ht="12.75" x14ac:dyDescent="0.2">
      <c r="I484" s="49"/>
    </row>
    <row r="485" spans="9:9" ht="12.75" x14ac:dyDescent="0.2">
      <c r="I485" s="49"/>
    </row>
    <row r="486" spans="9:9" ht="12.75" x14ac:dyDescent="0.2">
      <c r="I486" s="49"/>
    </row>
    <row r="487" spans="9:9" ht="12.75" x14ac:dyDescent="0.2">
      <c r="I487" s="49"/>
    </row>
    <row r="488" spans="9:9" ht="12.75" x14ac:dyDescent="0.2">
      <c r="I488" s="49"/>
    </row>
    <row r="489" spans="9:9" ht="12.75" x14ac:dyDescent="0.2">
      <c r="I489" s="49"/>
    </row>
    <row r="490" spans="9:9" ht="12.75" x14ac:dyDescent="0.2">
      <c r="I490" s="49"/>
    </row>
    <row r="491" spans="9:9" ht="12.75" x14ac:dyDescent="0.2">
      <c r="I491" s="49"/>
    </row>
    <row r="492" spans="9:9" ht="12.75" x14ac:dyDescent="0.2">
      <c r="I492" s="49"/>
    </row>
    <row r="493" spans="9:9" ht="12.75" x14ac:dyDescent="0.2">
      <c r="I493" s="49"/>
    </row>
    <row r="494" spans="9:9" ht="12.75" x14ac:dyDescent="0.2">
      <c r="I494" s="49"/>
    </row>
    <row r="495" spans="9:9" ht="12.75" x14ac:dyDescent="0.2">
      <c r="I495" s="49"/>
    </row>
    <row r="496" spans="9:9" ht="12.75" x14ac:dyDescent="0.2">
      <c r="I496" s="49"/>
    </row>
    <row r="497" spans="9:9" ht="12.75" x14ac:dyDescent="0.2">
      <c r="I497" s="49"/>
    </row>
    <row r="498" spans="9:9" ht="12.75" x14ac:dyDescent="0.2">
      <c r="I498" s="49"/>
    </row>
    <row r="499" spans="9:9" ht="12.75" x14ac:dyDescent="0.2">
      <c r="I499" s="49"/>
    </row>
    <row r="500" spans="9:9" ht="12.75" x14ac:dyDescent="0.2">
      <c r="I500" s="49"/>
    </row>
    <row r="501" spans="9:9" ht="12.75" x14ac:dyDescent="0.2">
      <c r="I501" s="49"/>
    </row>
    <row r="502" spans="9:9" ht="12.75" x14ac:dyDescent="0.2">
      <c r="I502" s="49"/>
    </row>
    <row r="503" spans="9:9" ht="12.75" x14ac:dyDescent="0.2">
      <c r="I503" s="49"/>
    </row>
    <row r="504" spans="9:9" ht="12.75" x14ac:dyDescent="0.2">
      <c r="I504" s="49"/>
    </row>
    <row r="505" spans="9:9" ht="12.75" x14ac:dyDescent="0.2">
      <c r="I505" s="49"/>
    </row>
    <row r="506" spans="9:9" ht="12.75" x14ac:dyDescent="0.2">
      <c r="I506" s="49"/>
    </row>
    <row r="507" spans="9:9" ht="12.75" x14ac:dyDescent="0.2">
      <c r="I507" s="49"/>
    </row>
    <row r="508" spans="9:9" ht="12.75" x14ac:dyDescent="0.2">
      <c r="I508" s="49"/>
    </row>
    <row r="509" spans="9:9" ht="12.75" x14ac:dyDescent="0.2">
      <c r="I509" s="49"/>
    </row>
    <row r="510" spans="9:9" ht="12.75" x14ac:dyDescent="0.2">
      <c r="I510" s="49"/>
    </row>
    <row r="511" spans="9:9" ht="12.75" x14ac:dyDescent="0.2">
      <c r="I511" s="49"/>
    </row>
    <row r="512" spans="9:9" ht="12.75" x14ac:dyDescent="0.2">
      <c r="I512" s="49"/>
    </row>
    <row r="513" spans="9:9" ht="12.75" x14ac:dyDescent="0.2">
      <c r="I513" s="49"/>
    </row>
    <row r="514" spans="9:9" ht="12.75" x14ac:dyDescent="0.2">
      <c r="I514" s="49"/>
    </row>
    <row r="515" spans="9:9" ht="12.75" x14ac:dyDescent="0.2">
      <c r="I515" s="49"/>
    </row>
    <row r="516" spans="9:9" ht="12.75" x14ac:dyDescent="0.2">
      <c r="I516" s="49"/>
    </row>
    <row r="517" spans="9:9" ht="12.75" x14ac:dyDescent="0.2">
      <c r="I517" s="49"/>
    </row>
    <row r="518" spans="9:9" ht="12.75" x14ac:dyDescent="0.2">
      <c r="I518" s="49"/>
    </row>
    <row r="519" spans="9:9" ht="12.75" x14ac:dyDescent="0.2">
      <c r="I519" s="49"/>
    </row>
    <row r="520" spans="9:9" ht="12.75" x14ac:dyDescent="0.2">
      <c r="I520" s="49"/>
    </row>
    <row r="521" spans="9:9" ht="12.75" x14ac:dyDescent="0.2">
      <c r="I521" s="49"/>
    </row>
    <row r="522" spans="9:9" ht="12.75" x14ac:dyDescent="0.2">
      <c r="I522" s="49"/>
    </row>
    <row r="523" spans="9:9" ht="12.75" x14ac:dyDescent="0.2">
      <c r="I523" s="49"/>
    </row>
    <row r="524" spans="9:9" ht="12.75" x14ac:dyDescent="0.2">
      <c r="I524" s="49"/>
    </row>
    <row r="525" spans="9:9" ht="12.75" x14ac:dyDescent="0.2">
      <c r="I525" s="49"/>
    </row>
    <row r="526" spans="9:9" ht="12.75" x14ac:dyDescent="0.2">
      <c r="I526" s="49"/>
    </row>
    <row r="527" spans="9:9" ht="12.75" x14ac:dyDescent="0.2">
      <c r="I527" s="49"/>
    </row>
    <row r="528" spans="9:9" ht="12.75" x14ac:dyDescent="0.2">
      <c r="I528" s="49"/>
    </row>
    <row r="529" spans="9:9" ht="12.75" x14ac:dyDescent="0.2">
      <c r="I529" s="49"/>
    </row>
    <row r="530" spans="9:9" ht="12.75" x14ac:dyDescent="0.2">
      <c r="I530" s="49"/>
    </row>
    <row r="531" spans="9:9" ht="12.75" x14ac:dyDescent="0.2">
      <c r="I531" s="49"/>
    </row>
    <row r="532" spans="9:9" ht="12.75" x14ac:dyDescent="0.2">
      <c r="I532" s="49"/>
    </row>
    <row r="533" spans="9:9" ht="12.75" x14ac:dyDescent="0.2">
      <c r="I533" s="49"/>
    </row>
    <row r="534" spans="9:9" ht="12.75" x14ac:dyDescent="0.2">
      <c r="I534" s="49"/>
    </row>
    <row r="535" spans="9:9" ht="12.75" x14ac:dyDescent="0.2">
      <c r="I535" s="49"/>
    </row>
    <row r="536" spans="9:9" ht="12.75" x14ac:dyDescent="0.2">
      <c r="I536" s="49"/>
    </row>
    <row r="537" spans="9:9" ht="12.75" x14ac:dyDescent="0.2">
      <c r="I537" s="49"/>
    </row>
    <row r="538" spans="9:9" ht="12.75" x14ac:dyDescent="0.2">
      <c r="I538" s="49"/>
    </row>
    <row r="539" spans="9:9" ht="12.75" x14ac:dyDescent="0.2">
      <c r="I539" s="49"/>
    </row>
    <row r="540" spans="9:9" ht="12.75" x14ac:dyDescent="0.2">
      <c r="I540" s="49"/>
    </row>
    <row r="541" spans="9:9" ht="12.75" x14ac:dyDescent="0.2">
      <c r="I541" s="49"/>
    </row>
    <row r="542" spans="9:9" ht="12.75" x14ac:dyDescent="0.2">
      <c r="I542" s="49"/>
    </row>
    <row r="543" spans="9:9" ht="12.75" x14ac:dyDescent="0.2">
      <c r="I543" s="49"/>
    </row>
    <row r="544" spans="9:9" ht="12.75" x14ac:dyDescent="0.2">
      <c r="I544" s="49"/>
    </row>
    <row r="545" spans="9:9" ht="12.75" x14ac:dyDescent="0.2">
      <c r="I545" s="49"/>
    </row>
    <row r="546" spans="9:9" ht="12.75" x14ac:dyDescent="0.2">
      <c r="I546" s="49"/>
    </row>
    <row r="547" spans="9:9" ht="12.75" x14ac:dyDescent="0.2">
      <c r="I547" s="49"/>
    </row>
    <row r="548" spans="9:9" ht="12.75" x14ac:dyDescent="0.2">
      <c r="I548" s="49"/>
    </row>
    <row r="549" spans="9:9" ht="12.75" x14ac:dyDescent="0.2">
      <c r="I549" s="49"/>
    </row>
    <row r="550" spans="9:9" ht="12.75" x14ac:dyDescent="0.2">
      <c r="I550" s="49"/>
    </row>
    <row r="551" spans="9:9" ht="12.75" x14ac:dyDescent="0.2">
      <c r="I551" s="49"/>
    </row>
    <row r="552" spans="9:9" ht="12.75" x14ac:dyDescent="0.2">
      <c r="I552" s="49"/>
    </row>
    <row r="553" spans="9:9" ht="12.75" x14ac:dyDescent="0.2">
      <c r="I553" s="49"/>
    </row>
    <row r="554" spans="9:9" ht="12.75" x14ac:dyDescent="0.2">
      <c r="I554" s="49"/>
    </row>
    <row r="555" spans="9:9" ht="12.75" x14ac:dyDescent="0.2">
      <c r="I555" s="49"/>
    </row>
    <row r="556" spans="9:9" ht="12.75" x14ac:dyDescent="0.2">
      <c r="I556" s="49"/>
    </row>
    <row r="557" spans="9:9" ht="12.75" x14ac:dyDescent="0.2">
      <c r="I557" s="49"/>
    </row>
    <row r="558" spans="9:9" ht="12.75" x14ac:dyDescent="0.2">
      <c r="I558" s="49"/>
    </row>
    <row r="559" spans="9:9" ht="12.75" x14ac:dyDescent="0.2">
      <c r="I559" s="49"/>
    </row>
    <row r="560" spans="9:9" ht="12.75" x14ac:dyDescent="0.2">
      <c r="I560" s="49"/>
    </row>
    <row r="561" spans="9:9" ht="12.75" x14ac:dyDescent="0.2">
      <c r="I561" s="49"/>
    </row>
    <row r="562" spans="9:9" ht="12.75" x14ac:dyDescent="0.2">
      <c r="I562" s="49"/>
    </row>
    <row r="563" spans="9:9" ht="12.75" x14ac:dyDescent="0.2">
      <c r="I563" s="49"/>
    </row>
    <row r="564" spans="9:9" ht="12.75" x14ac:dyDescent="0.2">
      <c r="I564" s="49"/>
    </row>
    <row r="565" spans="9:9" ht="12.75" x14ac:dyDescent="0.2">
      <c r="I565" s="49"/>
    </row>
    <row r="566" spans="9:9" ht="12.75" x14ac:dyDescent="0.2">
      <c r="I566" s="49"/>
    </row>
    <row r="567" spans="9:9" ht="12.75" x14ac:dyDescent="0.2">
      <c r="I567" s="49"/>
    </row>
    <row r="568" spans="9:9" ht="12.75" x14ac:dyDescent="0.2">
      <c r="I568" s="49"/>
    </row>
    <row r="569" spans="9:9" ht="12.75" x14ac:dyDescent="0.2">
      <c r="I569" s="49"/>
    </row>
    <row r="570" spans="9:9" ht="12.75" x14ac:dyDescent="0.2">
      <c r="I570" s="49"/>
    </row>
    <row r="571" spans="9:9" ht="12.75" x14ac:dyDescent="0.2">
      <c r="I571" s="49"/>
    </row>
    <row r="572" spans="9:9" ht="12.75" x14ac:dyDescent="0.2">
      <c r="I572" s="49"/>
    </row>
    <row r="573" spans="9:9" ht="12.75" x14ac:dyDescent="0.2">
      <c r="I573" s="49"/>
    </row>
    <row r="574" spans="9:9" ht="12.75" x14ac:dyDescent="0.2">
      <c r="I574" s="49"/>
    </row>
    <row r="575" spans="9:9" ht="12.75" x14ac:dyDescent="0.2">
      <c r="I575" s="49"/>
    </row>
    <row r="576" spans="9:9" ht="12.75" x14ac:dyDescent="0.2">
      <c r="I576" s="49"/>
    </row>
    <row r="577" spans="9:9" ht="12.75" x14ac:dyDescent="0.2">
      <c r="I577" s="49"/>
    </row>
    <row r="578" spans="9:9" ht="12.75" x14ac:dyDescent="0.2">
      <c r="I578" s="49"/>
    </row>
    <row r="579" spans="9:9" ht="12.75" x14ac:dyDescent="0.2">
      <c r="I579" s="49"/>
    </row>
    <row r="580" spans="9:9" ht="12.75" x14ac:dyDescent="0.2">
      <c r="I580" s="49"/>
    </row>
    <row r="581" spans="9:9" ht="12.75" x14ac:dyDescent="0.2">
      <c r="I581" s="49"/>
    </row>
    <row r="582" spans="9:9" ht="12.75" x14ac:dyDescent="0.2">
      <c r="I582" s="49"/>
    </row>
    <row r="583" spans="9:9" ht="12.75" x14ac:dyDescent="0.2">
      <c r="I583" s="49"/>
    </row>
    <row r="584" spans="9:9" ht="12.75" x14ac:dyDescent="0.2">
      <c r="I584" s="49"/>
    </row>
    <row r="585" spans="9:9" ht="12.75" x14ac:dyDescent="0.2">
      <c r="I585" s="49"/>
    </row>
    <row r="586" spans="9:9" ht="12.75" x14ac:dyDescent="0.2">
      <c r="I586" s="49"/>
    </row>
    <row r="587" spans="9:9" ht="12.75" x14ac:dyDescent="0.2">
      <c r="I587" s="49"/>
    </row>
    <row r="588" spans="9:9" ht="12.75" x14ac:dyDescent="0.2">
      <c r="I588" s="49"/>
    </row>
    <row r="589" spans="9:9" ht="12.75" x14ac:dyDescent="0.2">
      <c r="I589" s="49"/>
    </row>
    <row r="590" spans="9:9" ht="12.75" x14ac:dyDescent="0.2">
      <c r="I590" s="49"/>
    </row>
    <row r="591" spans="9:9" ht="12.75" x14ac:dyDescent="0.2">
      <c r="I591" s="49"/>
    </row>
    <row r="592" spans="9:9" ht="12.75" x14ac:dyDescent="0.2">
      <c r="I592" s="49"/>
    </row>
    <row r="593" spans="9:9" ht="12.75" x14ac:dyDescent="0.2">
      <c r="I593" s="49"/>
    </row>
    <row r="594" spans="9:9" ht="12.75" x14ac:dyDescent="0.2">
      <c r="I594" s="49"/>
    </row>
    <row r="595" spans="9:9" ht="12.75" x14ac:dyDescent="0.2">
      <c r="I595" s="49"/>
    </row>
    <row r="596" spans="9:9" ht="12.75" x14ac:dyDescent="0.2">
      <c r="I596" s="49"/>
    </row>
    <row r="597" spans="9:9" ht="12.75" x14ac:dyDescent="0.2">
      <c r="I597" s="49"/>
    </row>
    <row r="598" spans="9:9" ht="12.75" x14ac:dyDescent="0.2">
      <c r="I598" s="49"/>
    </row>
    <row r="599" spans="9:9" ht="12.75" x14ac:dyDescent="0.2">
      <c r="I599" s="49"/>
    </row>
    <row r="600" spans="9:9" ht="12.75" x14ac:dyDescent="0.2">
      <c r="I600" s="49"/>
    </row>
    <row r="601" spans="9:9" ht="12.75" x14ac:dyDescent="0.2">
      <c r="I601" s="49"/>
    </row>
    <row r="602" spans="9:9" ht="12.75" x14ac:dyDescent="0.2">
      <c r="I602" s="49"/>
    </row>
    <row r="603" spans="9:9" ht="12.75" x14ac:dyDescent="0.2">
      <c r="I603" s="49"/>
    </row>
    <row r="604" spans="9:9" ht="12.75" x14ac:dyDescent="0.2">
      <c r="I604" s="49"/>
    </row>
    <row r="605" spans="9:9" ht="12.75" x14ac:dyDescent="0.2">
      <c r="I605" s="49"/>
    </row>
    <row r="606" spans="9:9" ht="12.75" x14ac:dyDescent="0.2">
      <c r="I606" s="49"/>
    </row>
    <row r="607" spans="9:9" ht="12.75" x14ac:dyDescent="0.2">
      <c r="I607" s="49"/>
    </row>
    <row r="608" spans="9:9" ht="12.75" x14ac:dyDescent="0.2">
      <c r="I608" s="49"/>
    </row>
    <row r="609" spans="9:9" ht="12.75" x14ac:dyDescent="0.2">
      <c r="I609" s="49"/>
    </row>
    <row r="610" spans="9:9" ht="12.75" x14ac:dyDescent="0.2">
      <c r="I610" s="49"/>
    </row>
    <row r="611" spans="9:9" ht="12.75" x14ac:dyDescent="0.2">
      <c r="I611" s="49"/>
    </row>
    <row r="612" spans="9:9" ht="12.75" x14ac:dyDescent="0.2">
      <c r="I612" s="49"/>
    </row>
    <row r="613" spans="9:9" ht="12.75" x14ac:dyDescent="0.2">
      <c r="I613" s="49"/>
    </row>
    <row r="614" spans="9:9" ht="12.75" x14ac:dyDescent="0.2">
      <c r="I614" s="49"/>
    </row>
    <row r="615" spans="9:9" ht="12.75" x14ac:dyDescent="0.2">
      <c r="I615" s="49"/>
    </row>
    <row r="616" spans="9:9" ht="12.75" x14ac:dyDescent="0.2">
      <c r="I616" s="49"/>
    </row>
    <row r="617" spans="9:9" ht="12.75" x14ac:dyDescent="0.2">
      <c r="I617" s="49"/>
    </row>
    <row r="618" spans="9:9" ht="12.75" x14ac:dyDescent="0.2">
      <c r="I618" s="49"/>
    </row>
    <row r="619" spans="9:9" ht="12.75" x14ac:dyDescent="0.2">
      <c r="I619" s="49"/>
    </row>
    <row r="620" spans="9:9" ht="12.75" x14ac:dyDescent="0.2">
      <c r="I620" s="49"/>
    </row>
    <row r="621" spans="9:9" ht="12.75" x14ac:dyDescent="0.2">
      <c r="I621" s="49"/>
    </row>
    <row r="622" spans="9:9" ht="12.75" x14ac:dyDescent="0.2">
      <c r="I622" s="49"/>
    </row>
    <row r="623" spans="9:9" ht="12.75" x14ac:dyDescent="0.2">
      <c r="I623" s="49"/>
    </row>
    <row r="624" spans="9:9" ht="12.75" x14ac:dyDescent="0.2">
      <c r="I624" s="49"/>
    </row>
    <row r="625" spans="9:9" ht="12.75" x14ac:dyDescent="0.2">
      <c r="I625" s="49"/>
    </row>
    <row r="626" spans="9:9" ht="12.75" x14ac:dyDescent="0.2">
      <c r="I626" s="49"/>
    </row>
    <row r="627" spans="9:9" ht="12.75" x14ac:dyDescent="0.2">
      <c r="I627" s="49"/>
    </row>
    <row r="628" spans="9:9" ht="12.75" x14ac:dyDescent="0.2">
      <c r="I628" s="49"/>
    </row>
    <row r="629" spans="9:9" ht="12.75" x14ac:dyDescent="0.2">
      <c r="I629" s="49"/>
    </row>
    <row r="630" spans="9:9" ht="12.75" x14ac:dyDescent="0.2">
      <c r="I630" s="49"/>
    </row>
    <row r="631" spans="9:9" ht="12.75" x14ac:dyDescent="0.2">
      <c r="I631" s="49"/>
    </row>
    <row r="632" spans="9:9" ht="12.75" x14ac:dyDescent="0.2">
      <c r="I632" s="49"/>
    </row>
    <row r="633" spans="9:9" ht="12.75" x14ac:dyDescent="0.2">
      <c r="I633" s="49"/>
    </row>
    <row r="634" spans="9:9" ht="12.75" x14ac:dyDescent="0.2">
      <c r="I634" s="49"/>
    </row>
    <row r="635" spans="9:9" ht="12.75" x14ac:dyDescent="0.2">
      <c r="I635" s="49"/>
    </row>
    <row r="636" spans="9:9" ht="12.75" x14ac:dyDescent="0.2">
      <c r="I636" s="49"/>
    </row>
    <row r="637" spans="9:9" ht="12.75" x14ac:dyDescent="0.2">
      <c r="I637" s="49"/>
    </row>
    <row r="638" spans="9:9" ht="12.75" x14ac:dyDescent="0.2">
      <c r="I638" s="49"/>
    </row>
    <row r="639" spans="9:9" ht="12.75" x14ac:dyDescent="0.2">
      <c r="I639" s="49"/>
    </row>
    <row r="640" spans="9:9" ht="12.75" x14ac:dyDescent="0.2">
      <c r="I640" s="49"/>
    </row>
    <row r="641" spans="9:9" ht="12.75" x14ac:dyDescent="0.2">
      <c r="I641" s="49"/>
    </row>
    <row r="642" spans="9:9" ht="12.75" x14ac:dyDescent="0.2">
      <c r="I642" s="49"/>
    </row>
    <row r="643" spans="9:9" ht="12.75" x14ac:dyDescent="0.2">
      <c r="I643" s="49"/>
    </row>
    <row r="644" spans="9:9" ht="12.75" x14ac:dyDescent="0.2">
      <c r="I644" s="49"/>
    </row>
    <row r="645" spans="9:9" ht="12.75" x14ac:dyDescent="0.2">
      <c r="I645" s="49"/>
    </row>
    <row r="646" spans="9:9" ht="12.75" x14ac:dyDescent="0.2">
      <c r="I646" s="49"/>
    </row>
    <row r="647" spans="9:9" ht="12.75" x14ac:dyDescent="0.2">
      <c r="I647" s="49"/>
    </row>
    <row r="648" spans="9:9" ht="12.75" x14ac:dyDescent="0.2">
      <c r="I648" s="49"/>
    </row>
    <row r="649" spans="9:9" ht="12.75" x14ac:dyDescent="0.2">
      <c r="I649" s="49"/>
    </row>
    <row r="650" spans="9:9" ht="12.75" x14ac:dyDescent="0.2">
      <c r="I650" s="49"/>
    </row>
    <row r="651" spans="9:9" ht="12.75" x14ac:dyDescent="0.2">
      <c r="I651" s="49"/>
    </row>
    <row r="652" spans="9:9" ht="12.75" x14ac:dyDescent="0.2">
      <c r="I652" s="49"/>
    </row>
    <row r="653" spans="9:9" ht="12.75" x14ac:dyDescent="0.2">
      <c r="I653" s="49"/>
    </row>
    <row r="654" spans="9:9" ht="12.75" x14ac:dyDescent="0.2">
      <c r="I654" s="49"/>
    </row>
    <row r="655" spans="9:9" ht="12.75" x14ac:dyDescent="0.2">
      <c r="I655" s="49"/>
    </row>
    <row r="656" spans="9:9" ht="12.75" x14ac:dyDescent="0.2">
      <c r="I656" s="49"/>
    </row>
    <row r="657" spans="9:9" ht="12.75" x14ac:dyDescent="0.2">
      <c r="I657" s="49"/>
    </row>
    <row r="658" spans="9:9" ht="12.75" x14ac:dyDescent="0.2">
      <c r="I658" s="49"/>
    </row>
    <row r="659" spans="9:9" ht="12.75" x14ac:dyDescent="0.2">
      <c r="I659" s="49"/>
    </row>
    <row r="660" spans="9:9" ht="12.75" x14ac:dyDescent="0.2">
      <c r="I660" s="49"/>
    </row>
    <row r="661" spans="9:9" ht="12.75" x14ac:dyDescent="0.2">
      <c r="I661" s="49"/>
    </row>
    <row r="662" spans="9:9" ht="12.75" x14ac:dyDescent="0.2">
      <c r="I662" s="49"/>
    </row>
    <row r="663" spans="9:9" ht="12.75" x14ac:dyDescent="0.2">
      <c r="I663" s="49"/>
    </row>
    <row r="664" spans="9:9" ht="12.75" x14ac:dyDescent="0.2">
      <c r="I664" s="49"/>
    </row>
    <row r="665" spans="9:9" ht="12.75" x14ac:dyDescent="0.2">
      <c r="I665" s="49"/>
    </row>
    <row r="666" spans="9:9" ht="12.75" x14ac:dyDescent="0.2">
      <c r="I666" s="49"/>
    </row>
    <row r="667" spans="9:9" ht="12.75" x14ac:dyDescent="0.2">
      <c r="I667" s="49"/>
    </row>
    <row r="668" spans="9:9" ht="12.75" x14ac:dyDescent="0.2">
      <c r="I668" s="49"/>
    </row>
    <row r="669" spans="9:9" ht="12.75" x14ac:dyDescent="0.2">
      <c r="I669" s="49"/>
    </row>
    <row r="670" spans="9:9" ht="12.75" x14ac:dyDescent="0.2">
      <c r="I670" s="49"/>
    </row>
    <row r="671" spans="9:9" ht="12.75" x14ac:dyDescent="0.2">
      <c r="I671" s="49"/>
    </row>
    <row r="672" spans="9:9" ht="12.75" x14ac:dyDescent="0.2">
      <c r="I672" s="49"/>
    </row>
    <row r="673" spans="9:9" ht="12.75" x14ac:dyDescent="0.2">
      <c r="I673" s="49"/>
    </row>
    <row r="674" spans="9:9" ht="12.75" x14ac:dyDescent="0.2">
      <c r="I674" s="49"/>
    </row>
    <row r="675" spans="9:9" ht="12.75" x14ac:dyDescent="0.2">
      <c r="I675" s="49"/>
    </row>
    <row r="676" spans="9:9" ht="12.75" x14ac:dyDescent="0.2">
      <c r="I676" s="49"/>
    </row>
    <row r="677" spans="9:9" ht="12.75" x14ac:dyDescent="0.2">
      <c r="I677" s="49"/>
    </row>
    <row r="678" spans="9:9" ht="12.75" x14ac:dyDescent="0.2">
      <c r="I678" s="49"/>
    </row>
    <row r="679" spans="9:9" ht="12.75" x14ac:dyDescent="0.2">
      <c r="I679" s="49"/>
    </row>
    <row r="680" spans="9:9" ht="12.75" x14ac:dyDescent="0.2">
      <c r="I680" s="49"/>
    </row>
    <row r="681" spans="9:9" ht="12.75" x14ac:dyDescent="0.2">
      <c r="I681" s="49"/>
    </row>
    <row r="682" spans="9:9" ht="12.75" x14ac:dyDescent="0.2">
      <c r="I682" s="49"/>
    </row>
    <row r="683" spans="9:9" ht="12.75" x14ac:dyDescent="0.2">
      <c r="I683" s="49"/>
    </row>
    <row r="684" spans="9:9" ht="12.75" x14ac:dyDescent="0.2">
      <c r="I684" s="49"/>
    </row>
    <row r="685" spans="9:9" ht="12.75" x14ac:dyDescent="0.2">
      <c r="I685" s="49"/>
    </row>
    <row r="686" spans="9:9" ht="12.75" x14ac:dyDescent="0.2">
      <c r="I686" s="49"/>
    </row>
    <row r="687" spans="9:9" ht="12.75" x14ac:dyDescent="0.2">
      <c r="I687" s="49"/>
    </row>
    <row r="688" spans="9:9" ht="12.75" x14ac:dyDescent="0.2">
      <c r="I688" s="49"/>
    </row>
    <row r="689" spans="9:9" ht="12.75" x14ac:dyDescent="0.2">
      <c r="I689" s="49"/>
    </row>
    <row r="690" spans="9:9" ht="12.75" x14ac:dyDescent="0.2">
      <c r="I690" s="49"/>
    </row>
    <row r="691" spans="9:9" ht="12.75" x14ac:dyDescent="0.2">
      <c r="I691" s="49"/>
    </row>
    <row r="692" spans="9:9" ht="12.75" x14ac:dyDescent="0.2">
      <c r="I692" s="49"/>
    </row>
    <row r="693" spans="9:9" ht="12.75" x14ac:dyDescent="0.2">
      <c r="I693" s="49"/>
    </row>
    <row r="694" spans="9:9" ht="12.75" x14ac:dyDescent="0.2">
      <c r="I694" s="49"/>
    </row>
    <row r="695" spans="9:9" ht="12.75" x14ac:dyDescent="0.2">
      <c r="I695" s="49"/>
    </row>
    <row r="696" spans="9:9" ht="12.75" x14ac:dyDescent="0.2">
      <c r="I696" s="49"/>
    </row>
    <row r="697" spans="9:9" ht="12.75" x14ac:dyDescent="0.2">
      <c r="I697" s="49"/>
    </row>
    <row r="698" spans="9:9" ht="12.75" x14ac:dyDescent="0.2">
      <c r="I698" s="49"/>
    </row>
    <row r="699" spans="9:9" ht="12.75" x14ac:dyDescent="0.2">
      <c r="I699" s="49"/>
    </row>
    <row r="700" spans="9:9" ht="12.75" x14ac:dyDescent="0.2">
      <c r="I700" s="49"/>
    </row>
    <row r="701" spans="9:9" ht="12.75" x14ac:dyDescent="0.2">
      <c r="I701" s="49"/>
    </row>
    <row r="702" spans="9:9" ht="12.75" x14ac:dyDescent="0.2">
      <c r="I702" s="49"/>
    </row>
    <row r="703" spans="9:9" ht="12.75" x14ac:dyDescent="0.2">
      <c r="I703" s="49"/>
    </row>
    <row r="704" spans="9:9" ht="12.75" x14ac:dyDescent="0.2">
      <c r="I704" s="49"/>
    </row>
    <row r="705" spans="9:9" ht="12.75" x14ac:dyDescent="0.2">
      <c r="I705" s="49"/>
    </row>
    <row r="706" spans="9:9" ht="12.75" x14ac:dyDescent="0.2">
      <c r="I706" s="49"/>
    </row>
    <row r="707" spans="9:9" ht="12.75" x14ac:dyDescent="0.2">
      <c r="I707" s="49"/>
    </row>
    <row r="708" spans="9:9" ht="12.75" x14ac:dyDescent="0.2">
      <c r="I708" s="49"/>
    </row>
    <row r="709" spans="9:9" ht="12.75" x14ac:dyDescent="0.2">
      <c r="I709" s="49"/>
    </row>
    <row r="710" spans="9:9" ht="12.75" x14ac:dyDescent="0.2">
      <c r="I710" s="49"/>
    </row>
    <row r="711" spans="9:9" ht="12.75" x14ac:dyDescent="0.2">
      <c r="I711" s="49"/>
    </row>
    <row r="712" spans="9:9" ht="12.75" x14ac:dyDescent="0.2">
      <c r="I712" s="49"/>
    </row>
    <row r="713" spans="9:9" ht="12.75" x14ac:dyDescent="0.2">
      <c r="I713" s="49"/>
    </row>
    <row r="714" spans="9:9" ht="12.75" x14ac:dyDescent="0.2">
      <c r="I714" s="49"/>
    </row>
    <row r="715" spans="9:9" ht="12.75" x14ac:dyDescent="0.2">
      <c r="I715" s="49"/>
    </row>
    <row r="716" spans="9:9" ht="12.75" x14ac:dyDescent="0.2">
      <c r="I716" s="49"/>
    </row>
    <row r="717" spans="9:9" ht="12.75" x14ac:dyDescent="0.2">
      <c r="I717" s="49"/>
    </row>
    <row r="718" spans="9:9" ht="12.75" x14ac:dyDescent="0.2">
      <c r="I718" s="49"/>
    </row>
    <row r="719" spans="9:9" ht="12.75" x14ac:dyDescent="0.2">
      <c r="I719" s="49"/>
    </row>
    <row r="720" spans="9:9" ht="12.75" x14ac:dyDescent="0.2">
      <c r="I720" s="49"/>
    </row>
    <row r="721" spans="9:9" ht="12.75" x14ac:dyDescent="0.2">
      <c r="I721" s="49"/>
    </row>
    <row r="722" spans="9:9" ht="12.75" x14ac:dyDescent="0.2">
      <c r="I722" s="49"/>
    </row>
    <row r="723" spans="9:9" ht="12.75" x14ac:dyDescent="0.2">
      <c r="I723" s="49"/>
    </row>
    <row r="724" spans="9:9" ht="12.75" x14ac:dyDescent="0.2">
      <c r="I724" s="49"/>
    </row>
    <row r="725" spans="9:9" ht="12.75" x14ac:dyDescent="0.2">
      <c r="I725" s="49"/>
    </row>
    <row r="726" spans="9:9" ht="12.75" x14ac:dyDescent="0.2">
      <c r="I726" s="49"/>
    </row>
    <row r="727" spans="9:9" ht="12.75" x14ac:dyDescent="0.2">
      <c r="I727" s="49"/>
    </row>
    <row r="728" spans="9:9" ht="12.75" x14ac:dyDescent="0.2">
      <c r="I728" s="49"/>
    </row>
    <row r="729" spans="9:9" ht="12.75" x14ac:dyDescent="0.2">
      <c r="I729" s="49"/>
    </row>
    <row r="730" spans="9:9" ht="12.75" x14ac:dyDescent="0.2">
      <c r="I730" s="49"/>
    </row>
    <row r="731" spans="9:9" ht="12.75" x14ac:dyDescent="0.2">
      <c r="I731" s="49"/>
    </row>
    <row r="732" spans="9:9" ht="12.75" x14ac:dyDescent="0.2">
      <c r="I732" s="49"/>
    </row>
    <row r="733" spans="9:9" ht="12.75" x14ac:dyDescent="0.2">
      <c r="I733" s="49"/>
    </row>
    <row r="734" spans="9:9" ht="12.75" x14ac:dyDescent="0.2">
      <c r="I734" s="49"/>
    </row>
    <row r="735" spans="9:9" ht="12.75" x14ac:dyDescent="0.2">
      <c r="I735" s="49"/>
    </row>
    <row r="736" spans="9:9" ht="12.75" x14ac:dyDescent="0.2">
      <c r="I736" s="49"/>
    </row>
    <row r="737" spans="9:9" ht="12.75" x14ac:dyDescent="0.2">
      <c r="I737" s="49"/>
    </row>
    <row r="738" spans="9:9" ht="12.75" x14ac:dyDescent="0.2">
      <c r="I738" s="49"/>
    </row>
    <row r="739" spans="9:9" ht="12.75" x14ac:dyDescent="0.2">
      <c r="I739" s="49"/>
    </row>
    <row r="740" spans="9:9" ht="12.75" x14ac:dyDescent="0.2">
      <c r="I740" s="49"/>
    </row>
    <row r="741" spans="9:9" ht="12.75" x14ac:dyDescent="0.2">
      <c r="I741" s="49"/>
    </row>
    <row r="742" spans="9:9" ht="12.75" x14ac:dyDescent="0.2">
      <c r="I742" s="49"/>
    </row>
    <row r="743" spans="9:9" ht="12.75" x14ac:dyDescent="0.2">
      <c r="I743" s="49"/>
    </row>
    <row r="744" spans="9:9" ht="12.75" x14ac:dyDescent="0.2">
      <c r="I744" s="49"/>
    </row>
    <row r="745" spans="9:9" ht="12.75" x14ac:dyDescent="0.2">
      <c r="I745" s="49"/>
    </row>
    <row r="746" spans="9:9" ht="12.75" x14ac:dyDescent="0.2">
      <c r="I746" s="49"/>
    </row>
    <row r="747" spans="9:9" ht="12.75" x14ac:dyDescent="0.2">
      <c r="I747" s="49"/>
    </row>
    <row r="748" spans="9:9" ht="12.75" x14ac:dyDescent="0.2">
      <c r="I748" s="49"/>
    </row>
    <row r="749" spans="9:9" ht="12.75" x14ac:dyDescent="0.2">
      <c r="I749" s="49"/>
    </row>
    <row r="750" spans="9:9" ht="12.75" x14ac:dyDescent="0.2">
      <c r="I750" s="49"/>
    </row>
    <row r="751" spans="9:9" ht="12.75" x14ac:dyDescent="0.2">
      <c r="I751" s="49"/>
    </row>
    <row r="752" spans="9:9" ht="12.75" x14ac:dyDescent="0.2">
      <c r="I752" s="49"/>
    </row>
    <row r="753" spans="9:9" ht="12.75" x14ac:dyDescent="0.2">
      <c r="I753" s="49"/>
    </row>
    <row r="754" spans="9:9" ht="12.75" x14ac:dyDescent="0.2">
      <c r="I754" s="49"/>
    </row>
    <row r="755" spans="9:9" ht="12.75" x14ac:dyDescent="0.2">
      <c r="I755" s="49"/>
    </row>
    <row r="756" spans="9:9" ht="12.75" x14ac:dyDescent="0.2">
      <c r="I756" s="49"/>
    </row>
    <row r="757" spans="9:9" ht="12.75" x14ac:dyDescent="0.2">
      <c r="I757" s="49"/>
    </row>
    <row r="758" spans="9:9" ht="12.75" x14ac:dyDescent="0.2">
      <c r="I758" s="49"/>
    </row>
    <row r="759" spans="9:9" ht="12.75" x14ac:dyDescent="0.2">
      <c r="I759" s="49"/>
    </row>
    <row r="760" spans="9:9" ht="12.75" x14ac:dyDescent="0.2">
      <c r="I760" s="49"/>
    </row>
    <row r="761" spans="9:9" ht="12.75" x14ac:dyDescent="0.2">
      <c r="I761" s="49"/>
    </row>
    <row r="762" spans="9:9" ht="12.75" x14ac:dyDescent="0.2">
      <c r="I762" s="49"/>
    </row>
    <row r="763" spans="9:9" ht="12.75" x14ac:dyDescent="0.2">
      <c r="I763" s="49"/>
    </row>
    <row r="764" spans="9:9" ht="12.75" x14ac:dyDescent="0.2">
      <c r="I764" s="49"/>
    </row>
    <row r="765" spans="9:9" ht="12.75" x14ac:dyDescent="0.2">
      <c r="I765" s="49"/>
    </row>
    <row r="766" spans="9:9" ht="12.75" x14ac:dyDescent="0.2">
      <c r="I766" s="49"/>
    </row>
    <row r="767" spans="9:9" ht="12.75" x14ac:dyDescent="0.2">
      <c r="I767" s="49"/>
    </row>
    <row r="768" spans="9:9" ht="12.75" x14ac:dyDescent="0.2">
      <c r="I768" s="49"/>
    </row>
    <row r="769" spans="9:9" ht="12.75" x14ac:dyDescent="0.2">
      <c r="I769" s="49"/>
    </row>
    <row r="770" spans="9:9" ht="12.75" x14ac:dyDescent="0.2">
      <c r="I770" s="49"/>
    </row>
    <row r="771" spans="9:9" ht="12.75" x14ac:dyDescent="0.2">
      <c r="I771" s="49"/>
    </row>
    <row r="772" spans="9:9" ht="12.75" x14ac:dyDescent="0.2">
      <c r="I772" s="49"/>
    </row>
    <row r="773" spans="9:9" ht="12.75" x14ac:dyDescent="0.2">
      <c r="I773" s="49"/>
    </row>
    <row r="774" spans="9:9" ht="12.75" x14ac:dyDescent="0.2">
      <c r="I774" s="49"/>
    </row>
    <row r="775" spans="9:9" ht="12.75" x14ac:dyDescent="0.2">
      <c r="I775" s="49"/>
    </row>
    <row r="776" spans="9:9" ht="12.75" x14ac:dyDescent="0.2">
      <c r="I776" s="49"/>
    </row>
    <row r="777" spans="9:9" ht="12.75" x14ac:dyDescent="0.2">
      <c r="I777" s="49"/>
    </row>
    <row r="778" spans="9:9" ht="12.75" x14ac:dyDescent="0.2">
      <c r="I778" s="49"/>
    </row>
    <row r="779" spans="9:9" ht="12.75" x14ac:dyDescent="0.2">
      <c r="I779" s="49"/>
    </row>
    <row r="780" spans="9:9" ht="12.75" x14ac:dyDescent="0.2">
      <c r="I780" s="49"/>
    </row>
    <row r="781" spans="9:9" ht="12.75" x14ac:dyDescent="0.2">
      <c r="I781" s="49"/>
    </row>
    <row r="782" spans="9:9" ht="12.75" x14ac:dyDescent="0.2">
      <c r="I782" s="49"/>
    </row>
    <row r="783" spans="9:9" ht="12.75" x14ac:dyDescent="0.2">
      <c r="I783" s="49"/>
    </row>
    <row r="784" spans="9:9" ht="12.75" x14ac:dyDescent="0.2">
      <c r="I784" s="49"/>
    </row>
    <row r="785" spans="9:9" ht="12.75" x14ac:dyDescent="0.2">
      <c r="I785" s="49"/>
    </row>
    <row r="786" spans="9:9" ht="12.75" x14ac:dyDescent="0.2">
      <c r="I786" s="49"/>
    </row>
    <row r="787" spans="9:9" ht="12.75" x14ac:dyDescent="0.2">
      <c r="I787" s="49"/>
    </row>
    <row r="788" spans="9:9" ht="12.75" x14ac:dyDescent="0.2">
      <c r="I788" s="49"/>
    </row>
    <row r="789" spans="9:9" ht="12.75" x14ac:dyDescent="0.2">
      <c r="I789" s="49"/>
    </row>
    <row r="790" spans="9:9" ht="12.75" x14ac:dyDescent="0.2">
      <c r="I790" s="49"/>
    </row>
    <row r="791" spans="9:9" ht="12.75" x14ac:dyDescent="0.2">
      <c r="I791" s="49"/>
    </row>
    <row r="792" spans="9:9" ht="12.75" x14ac:dyDescent="0.2">
      <c r="I792" s="49"/>
    </row>
    <row r="793" spans="9:9" ht="12.75" x14ac:dyDescent="0.2">
      <c r="I793" s="49"/>
    </row>
    <row r="794" spans="9:9" ht="12.75" x14ac:dyDescent="0.2">
      <c r="I794" s="49"/>
    </row>
    <row r="795" spans="9:9" ht="12.75" x14ac:dyDescent="0.2">
      <c r="I795" s="49"/>
    </row>
    <row r="796" spans="9:9" ht="12.75" x14ac:dyDescent="0.2">
      <c r="I796" s="49"/>
    </row>
    <row r="797" spans="9:9" ht="12.75" x14ac:dyDescent="0.2">
      <c r="I797" s="49"/>
    </row>
    <row r="798" spans="9:9" ht="12.75" x14ac:dyDescent="0.2">
      <c r="I798" s="49"/>
    </row>
    <row r="799" spans="9:9" ht="12.75" x14ac:dyDescent="0.2">
      <c r="I799" s="49"/>
    </row>
    <row r="800" spans="9:9" ht="12.75" x14ac:dyDescent="0.2">
      <c r="I800" s="49"/>
    </row>
    <row r="801" spans="9:9" ht="12.75" x14ac:dyDescent="0.2">
      <c r="I801" s="49"/>
    </row>
    <row r="802" spans="9:9" ht="12.75" x14ac:dyDescent="0.2">
      <c r="I802" s="49"/>
    </row>
    <row r="803" spans="9:9" ht="12.75" x14ac:dyDescent="0.2">
      <c r="I803" s="49"/>
    </row>
    <row r="804" spans="9:9" ht="12.75" x14ac:dyDescent="0.2">
      <c r="I804" s="49"/>
    </row>
    <row r="805" spans="9:9" ht="12.75" x14ac:dyDescent="0.2">
      <c r="I805" s="49"/>
    </row>
    <row r="806" spans="9:9" ht="12.75" x14ac:dyDescent="0.2">
      <c r="I806" s="49"/>
    </row>
    <row r="807" spans="9:9" ht="12.75" x14ac:dyDescent="0.2">
      <c r="I807" s="49"/>
    </row>
    <row r="808" spans="9:9" ht="12.75" x14ac:dyDescent="0.2">
      <c r="I808" s="49"/>
    </row>
    <row r="809" spans="9:9" ht="12.75" x14ac:dyDescent="0.2">
      <c r="I809" s="49"/>
    </row>
    <row r="810" spans="9:9" ht="12.75" x14ac:dyDescent="0.2">
      <c r="I810" s="49"/>
    </row>
    <row r="811" spans="9:9" ht="12.75" x14ac:dyDescent="0.2">
      <c r="I811" s="49"/>
    </row>
    <row r="812" spans="9:9" ht="12.75" x14ac:dyDescent="0.2">
      <c r="I812" s="49"/>
    </row>
    <row r="813" spans="9:9" ht="12.75" x14ac:dyDescent="0.2">
      <c r="I813" s="49"/>
    </row>
    <row r="814" spans="9:9" ht="12.75" x14ac:dyDescent="0.2">
      <c r="I814" s="49"/>
    </row>
    <row r="815" spans="9:9" ht="12.75" x14ac:dyDescent="0.2">
      <c r="I815" s="49"/>
    </row>
    <row r="816" spans="9:9" ht="12.75" x14ac:dyDescent="0.2">
      <c r="I816" s="49"/>
    </row>
    <row r="817" spans="9:9" ht="12.75" x14ac:dyDescent="0.2">
      <c r="I817" s="49"/>
    </row>
    <row r="818" spans="9:9" ht="12.75" x14ac:dyDescent="0.2">
      <c r="I818" s="49"/>
    </row>
    <row r="819" spans="9:9" ht="12.75" x14ac:dyDescent="0.2">
      <c r="I819" s="49"/>
    </row>
    <row r="820" spans="9:9" ht="12.75" x14ac:dyDescent="0.2">
      <c r="I820" s="49"/>
    </row>
    <row r="821" spans="9:9" ht="12.75" x14ac:dyDescent="0.2">
      <c r="I821" s="49"/>
    </row>
    <row r="822" spans="9:9" ht="12.75" x14ac:dyDescent="0.2">
      <c r="I822" s="49"/>
    </row>
    <row r="823" spans="9:9" ht="12.75" x14ac:dyDescent="0.2">
      <c r="I823" s="49"/>
    </row>
    <row r="824" spans="9:9" ht="12.75" x14ac:dyDescent="0.2">
      <c r="I824" s="49"/>
    </row>
    <row r="825" spans="9:9" ht="12.75" x14ac:dyDescent="0.2">
      <c r="I825" s="49"/>
    </row>
    <row r="826" spans="9:9" ht="12.75" x14ac:dyDescent="0.2">
      <c r="I826" s="49"/>
    </row>
    <row r="827" spans="9:9" ht="12.75" x14ac:dyDescent="0.2">
      <c r="I827" s="49"/>
    </row>
    <row r="828" spans="9:9" ht="12.75" x14ac:dyDescent="0.2">
      <c r="I828" s="49"/>
    </row>
    <row r="829" spans="9:9" ht="12.75" x14ac:dyDescent="0.2">
      <c r="I829" s="49"/>
    </row>
    <row r="830" spans="9:9" ht="12.75" x14ac:dyDescent="0.2">
      <c r="I830" s="49"/>
    </row>
    <row r="831" spans="9:9" ht="12.75" x14ac:dyDescent="0.2">
      <c r="I831" s="49"/>
    </row>
    <row r="832" spans="9:9" ht="12.75" x14ac:dyDescent="0.2">
      <c r="I832" s="49"/>
    </row>
    <row r="833" spans="9:9" ht="12.75" x14ac:dyDescent="0.2">
      <c r="I833" s="49"/>
    </row>
    <row r="834" spans="9:9" ht="12.75" x14ac:dyDescent="0.2">
      <c r="I834" s="49"/>
    </row>
    <row r="835" spans="9:9" ht="12.75" x14ac:dyDescent="0.2">
      <c r="I835" s="49"/>
    </row>
    <row r="836" spans="9:9" ht="12.75" x14ac:dyDescent="0.2">
      <c r="I836" s="49"/>
    </row>
    <row r="837" spans="9:9" ht="12.75" x14ac:dyDescent="0.2">
      <c r="I837" s="49"/>
    </row>
    <row r="838" spans="9:9" ht="12.75" x14ac:dyDescent="0.2">
      <c r="I838" s="49"/>
    </row>
    <row r="839" spans="9:9" ht="12.75" x14ac:dyDescent="0.2">
      <c r="I839" s="49"/>
    </row>
    <row r="840" spans="9:9" ht="12.75" x14ac:dyDescent="0.2">
      <c r="I840" s="49"/>
    </row>
    <row r="841" spans="9:9" ht="12.75" x14ac:dyDescent="0.2">
      <c r="I841" s="49"/>
    </row>
    <row r="842" spans="9:9" ht="12.75" x14ac:dyDescent="0.2">
      <c r="I842" s="49"/>
    </row>
    <row r="843" spans="9:9" ht="12.75" x14ac:dyDescent="0.2">
      <c r="I843" s="49"/>
    </row>
    <row r="844" spans="9:9" ht="12.75" x14ac:dyDescent="0.2">
      <c r="I844" s="49"/>
    </row>
    <row r="845" spans="9:9" ht="12.75" x14ac:dyDescent="0.2">
      <c r="I845" s="49"/>
    </row>
    <row r="846" spans="9:9" ht="12.75" x14ac:dyDescent="0.2">
      <c r="I846" s="49"/>
    </row>
    <row r="847" spans="9:9" ht="12.75" x14ac:dyDescent="0.2">
      <c r="I847" s="49"/>
    </row>
    <row r="848" spans="9:9" ht="12.75" x14ac:dyDescent="0.2">
      <c r="I848" s="49"/>
    </row>
    <row r="849" spans="9:9" ht="12.75" x14ac:dyDescent="0.2">
      <c r="I849" s="49"/>
    </row>
    <row r="850" spans="9:9" ht="12.75" x14ac:dyDescent="0.2">
      <c r="I850" s="49"/>
    </row>
    <row r="851" spans="9:9" ht="12.75" x14ac:dyDescent="0.2">
      <c r="I851" s="49"/>
    </row>
    <row r="852" spans="9:9" ht="12.75" x14ac:dyDescent="0.2">
      <c r="I852" s="49"/>
    </row>
    <row r="853" spans="9:9" ht="12.75" x14ac:dyDescent="0.2">
      <c r="I853" s="49"/>
    </row>
    <row r="854" spans="9:9" ht="12.75" x14ac:dyDescent="0.2">
      <c r="I854" s="49"/>
    </row>
    <row r="855" spans="9:9" ht="12.75" x14ac:dyDescent="0.2">
      <c r="I855" s="49"/>
    </row>
    <row r="856" spans="9:9" ht="12.75" x14ac:dyDescent="0.2">
      <c r="I856" s="49"/>
    </row>
    <row r="857" spans="9:9" ht="12.75" x14ac:dyDescent="0.2">
      <c r="I857" s="49"/>
    </row>
    <row r="858" spans="9:9" ht="12.75" x14ac:dyDescent="0.2">
      <c r="I858" s="49"/>
    </row>
    <row r="859" spans="9:9" ht="12.75" x14ac:dyDescent="0.2">
      <c r="I859" s="49"/>
    </row>
    <row r="860" spans="9:9" ht="12.75" x14ac:dyDescent="0.2">
      <c r="I860" s="49"/>
    </row>
    <row r="861" spans="9:9" ht="12.75" x14ac:dyDescent="0.2">
      <c r="I861" s="49"/>
    </row>
    <row r="862" spans="9:9" ht="12.75" x14ac:dyDescent="0.2">
      <c r="I862" s="49"/>
    </row>
    <row r="863" spans="9:9" ht="12.75" x14ac:dyDescent="0.2">
      <c r="I863" s="49"/>
    </row>
    <row r="864" spans="9:9" ht="12.75" x14ac:dyDescent="0.2">
      <c r="I864" s="49"/>
    </row>
    <row r="865" spans="9:9" ht="12.75" x14ac:dyDescent="0.2">
      <c r="I865" s="49"/>
    </row>
    <row r="866" spans="9:9" ht="12.75" x14ac:dyDescent="0.2">
      <c r="I866" s="49"/>
    </row>
    <row r="867" spans="9:9" ht="12.75" x14ac:dyDescent="0.2">
      <c r="I867" s="49"/>
    </row>
    <row r="868" spans="9:9" ht="12.75" x14ac:dyDescent="0.2">
      <c r="I868" s="49"/>
    </row>
    <row r="869" spans="9:9" ht="12.75" x14ac:dyDescent="0.2">
      <c r="I869" s="49"/>
    </row>
    <row r="870" spans="9:9" ht="12.75" x14ac:dyDescent="0.2">
      <c r="I870" s="49"/>
    </row>
    <row r="871" spans="9:9" ht="12.75" x14ac:dyDescent="0.2">
      <c r="I871" s="49"/>
    </row>
    <row r="872" spans="9:9" ht="12.75" x14ac:dyDescent="0.2">
      <c r="I872" s="49"/>
    </row>
    <row r="873" spans="9:9" ht="12.75" x14ac:dyDescent="0.2">
      <c r="I873" s="49"/>
    </row>
    <row r="874" spans="9:9" ht="12.75" x14ac:dyDescent="0.2">
      <c r="I874" s="49"/>
    </row>
    <row r="875" spans="9:9" ht="12.75" x14ac:dyDescent="0.2">
      <c r="I875" s="49"/>
    </row>
    <row r="876" spans="9:9" ht="12.75" x14ac:dyDescent="0.2">
      <c r="I876" s="49"/>
    </row>
    <row r="877" spans="9:9" ht="12.75" x14ac:dyDescent="0.2">
      <c r="I877" s="49"/>
    </row>
    <row r="878" spans="9:9" ht="12.75" x14ac:dyDescent="0.2">
      <c r="I878" s="49"/>
    </row>
    <row r="879" spans="9:9" ht="12.75" x14ac:dyDescent="0.2">
      <c r="I879" s="49"/>
    </row>
    <row r="880" spans="9:9" ht="12.75" x14ac:dyDescent="0.2">
      <c r="I880" s="49"/>
    </row>
    <row r="881" spans="9:9" ht="12.75" x14ac:dyDescent="0.2">
      <c r="I881" s="49"/>
    </row>
    <row r="882" spans="9:9" ht="12.75" x14ac:dyDescent="0.2">
      <c r="I882" s="49"/>
    </row>
    <row r="883" spans="9:9" ht="12.75" x14ac:dyDescent="0.2">
      <c r="I883" s="49"/>
    </row>
    <row r="884" spans="9:9" ht="12.75" x14ac:dyDescent="0.2">
      <c r="I884" s="49"/>
    </row>
    <row r="885" spans="9:9" ht="12.75" x14ac:dyDescent="0.2">
      <c r="I885" s="49"/>
    </row>
    <row r="886" spans="9:9" ht="12.75" x14ac:dyDescent="0.2">
      <c r="I886" s="49"/>
    </row>
    <row r="887" spans="9:9" ht="12.75" x14ac:dyDescent="0.2">
      <c r="I887" s="49"/>
    </row>
    <row r="888" spans="9:9" ht="12.75" x14ac:dyDescent="0.2">
      <c r="I888" s="49"/>
    </row>
    <row r="889" spans="9:9" ht="12.75" x14ac:dyDescent="0.2">
      <c r="I889" s="49"/>
    </row>
    <row r="890" spans="9:9" ht="12.75" x14ac:dyDescent="0.2">
      <c r="I890" s="49"/>
    </row>
    <row r="891" spans="9:9" ht="12.75" x14ac:dyDescent="0.2">
      <c r="I891" s="49"/>
    </row>
    <row r="892" spans="9:9" ht="12.75" x14ac:dyDescent="0.2">
      <c r="I892" s="49"/>
    </row>
    <row r="893" spans="9:9" ht="12.75" x14ac:dyDescent="0.2">
      <c r="I893" s="49"/>
    </row>
    <row r="894" spans="9:9" ht="12.75" x14ac:dyDescent="0.2">
      <c r="I894" s="49"/>
    </row>
    <row r="895" spans="9:9" ht="12.75" x14ac:dyDescent="0.2">
      <c r="I895" s="49"/>
    </row>
    <row r="896" spans="9:9" ht="12.75" x14ac:dyDescent="0.2">
      <c r="I896" s="49"/>
    </row>
    <row r="897" spans="9:9" ht="12.75" x14ac:dyDescent="0.2">
      <c r="I897" s="49"/>
    </row>
    <row r="898" spans="9:9" ht="12.75" x14ac:dyDescent="0.2">
      <c r="I898" s="49"/>
    </row>
    <row r="899" spans="9:9" ht="12.75" x14ac:dyDescent="0.2">
      <c r="I899" s="49"/>
    </row>
    <row r="900" spans="9:9" ht="12.75" x14ac:dyDescent="0.2">
      <c r="I900" s="49"/>
    </row>
    <row r="901" spans="9:9" ht="12.75" x14ac:dyDescent="0.2">
      <c r="I901" s="49"/>
    </row>
    <row r="902" spans="9:9" ht="12.75" x14ac:dyDescent="0.2">
      <c r="I902" s="49"/>
    </row>
    <row r="903" spans="9:9" ht="12.75" x14ac:dyDescent="0.2">
      <c r="I903" s="49"/>
    </row>
    <row r="904" spans="9:9" ht="12.75" x14ac:dyDescent="0.2">
      <c r="I904" s="49"/>
    </row>
    <row r="905" spans="9:9" ht="12.75" x14ac:dyDescent="0.2">
      <c r="I905" s="49"/>
    </row>
    <row r="906" spans="9:9" ht="12.75" x14ac:dyDescent="0.2">
      <c r="I906" s="49"/>
    </row>
    <row r="907" spans="9:9" ht="12.75" x14ac:dyDescent="0.2">
      <c r="I907" s="49"/>
    </row>
    <row r="908" spans="9:9" ht="12.75" x14ac:dyDescent="0.2">
      <c r="I908" s="49"/>
    </row>
    <row r="909" spans="9:9" ht="12.75" x14ac:dyDescent="0.2">
      <c r="I909" s="49"/>
    </row>
    <row r="910" spans="9:9" ht="12.75" x14ac:dyDescent="0.2">
      <c r="I910" s="49"/>
    </row>
    <row r="911" spans="9:9" ht="12.75" x14ac:dyDescent="0.2">
      <c r="I911" s="49"/>
    </row>
    <row r="912" spans="9:9" ht="12.75" x14ac:dyDescent="0.2">
      <c r="I912" s="49"/>
    </row>
    <row r="913" spans="9:9" ht="12.75" x14ac:dyDescent="0.2">
      <c r="I913" s="49"/>
    </row>
    <row r="914" spans="9:9" ht="12.75" x14ac:dyDescent="0.2">
      <c r="I914" s="49"/>
    </row>
    <row r="915" spans="9:9" ht="12.75" x14ac:dyDescent="0.2">
      <c r="I915" s="49"/>
    </row>
    <row r="916" spans="9:9" ht="12.75" x14ac:dyDescent="0.2">
      <c r="I916" s="49"/>
    </row>
    <row r="917" spans="9:9" ht="12.75" x14ac:dyDescent="0.2">
      <c r="I917" s="49"/>
    </row>
    <row r="918" spans="9:9" ht="12.75" x14ac:dyDescent="0.2">
      <c r="I918" s="49"/>
    </row>
    <row r="919" spans="9:9" ht="12.75" x14ac:dyDescent="0.2">
      <c r="I919" s="49"/>
    </row>
    <row r="920" spans="9:9" ht="12.75" x14ac:dyDescent="0.2">
      <c r="I920" s="49"/>
    </row>
    <row r="921" spans="9:9" ht="12.75" x14ac:dyDescent="0.2">
      <c r="I921" s="49"/>
    </row>
    <row r="922" spans="9:9" ht="12.75" x14ac:dyDescent="0.2">
      <c r="I922" s="49"/>
    </row>
    <row r="923" spans="9:9" ht="12.75" x14ac:dyDescent="0.2">
      <c r="I923" s="49"/>
    </row>
    <row r="924" spans="9:9" ht="12.75" x14ac:dyDescent="0.2">
      <c r="I924" s="49"/>
    </row>
    <row r="925" spans="9:9" ht="12.75" x14ac:dyDescent="0.2">
      <c r="I925" s="49"/>
    </row>
    <row r="926" spans="9:9" ht="12.75" x14ac:dyDescent="0.2">
      <c r="I926" s="49"/>
    </row>
    <row r="927" spans="9:9" ht="12.75" x14ac:dyDescent="0.2">
      <c r="I927" s="49"/>
    </row>
    <row r="928" spans="9:9" ht="12.75" x14ac:dyDescent="0.2">
      <c r="I928" s="49"/>
    </row>
    <row r="929" spans="9:9" ht="12.75" x14ac:dyDescent="0.2">
      <c r="I929" s="49"/>
    </row>
    <row r="930" spans="9:9" ht="12.75" x14ac:dyDescent="0.2">
      <c r="I930" s="49"/>
    </row>
    <row r="931" spans="9:9" ht="12.75" x14ac:dyDescent="0.2">
      <c r="I931" s="49"/>
    </row>
    <row r="932" spans="9:9" ht="12.75" x14ac:dyDescent="0.2">
      <c r="I932" s="49"/>
    </row>
    <row r="933" spans="9:9" ht="12.75" x14ac:dyDescent="0.2">
      <c r="I933" s="49"/>
    </row>
    <row r="934" spans="9:9" ht="12.75" x14ac:dyDescent="0.2">
      <c r="I934" s="49"/>
    </row>
    <row r="935" spans="9:9" ht="12.75" x14ac:dyDescent="0.2">
      <c r="I935" s="49"/>
    </row>
    <row r="936" spans="9:9" ht="12.75" x14ac:dyDescent="0.2">
      <c r="I936" s="49"/>
    </row>
    <row r="937" spans="9:9" ht="12.75" x14ac:dyDescent="0.2">
      <c r="I937" s="49"/>
    </row>
    <row r="938" spans="9:9" ht="12.75" x14ac:dyDescent="0.2">
      <c r="I938" s="49"/>
    </row>
    <row r="939" spans="9:9" ht="12.75" x14ac:dyDescent="0.2">
      <c r="I939" s="49"/>
    </row>
    <row r="940" spans="9:9" ht="12.75" x14ac:dyDescent="0.2">
      <c r="I940" s="49"/>
    </row>
    <row r="941" spans="9:9" ht="12.75" x14ac:dyDescent="0.2">
      <c r="I941" s="49"/>
    </row>
    <row r="942" spans="9:9" ht="12.75" x14ac:dyDescent="0.2">
      <c r="I942" s="49"/>
    </row>
    <row r="943" spans="9:9" ht="12.75" x14ac:dyDescent="0.2">
      <c r="I943" s="49"/>
    </row>
    <row r="944" spans="9:9" ht="12.75" x14ac:dyDescent="0.2">
      <c r="I944" s="49"/>
    </row>
    <row r="945" spans="9:9" ht="12.75" x14ac:dyDescent="0.2">
      <c r="I945" s="49"/>
    </row>
    <row r="946" spans="9:9" ht="12.75" x14ac:dyDescent="0.2">
      <c r="I946" s="49"/>
    </row>
    <row r="947" spans="9:9" ht="12.75" x14ac:dyDescent="0.2">
      <c r="I947" s="49"/>
    </row>
    <row r="948" spans="9:9" ht="12.75" x14ac:dyDescent="0.2">
      <c r="I948" s="49"/>
    </row>
    <row r="949" spans="9:9" ht="12.75" x14ac:dyDescent="0.2">
      <c r="I949" s="49"/>
    </row>
    <row r="950" spans="9:9" ht="12.75" x14ac:dyDescent="0.2">
      <c r="I950" s="49"/>
    </row>
    <row r="951" spans="9:9" ht="12.75" x14ac:dyDescent="0.2">
      <c r="I951" s="49"/>
    </row>
    <row r="952" spans="9:9" ht="12.75" x14ac:dyDescent="0.2">
      <c r="I952" s="49"/>
    </row>
    <row r="953" spans="9:9" ht="12.75" x14ac:dyDescent="0.2">
      <c r="I953" s="49"/>
    </row>
    <row r="954" spans="9:9" ht="12.75" x14ac:dyDescent="0.2">
      <c r="I954" s="49"/>
    </row>
    <row r="955" spans="9:9" ht="12.75" x14ac:dyDescent="0.2">
      <c r="I955" s="49"/>
    </row>
    <row r="956" spans="9:9" ht="12.75" x14ac:dyDescent="0.2">
      <c r="I956" s="49"/>
    </row>
    <row r="957" spans="9:9" ht="12.75" x14ac:dyDescent="0.2">
      <c r="I957" s="49"/>
    </row>
    <row r="958" spans="9:9" ht="12.75" x14ac:dyDescent="0.2">
      <c r="I958" s="49"/>
    </row>
    <row r="959" spans="9:9" ht="12.75" x14ac:dyDescent="0.2">
      <c r="I959" s="49"/>
    </row>
    <row r="960" spans="9:9" ht="12.75" x14ac:dyDescent="0.2">
      <c r="I960" s="49"/>
    </row>
    <row r="961" spans="9:9" ht="12.75" x14ac:dyDescent="0.2">
      <c r="I961" s="49"/>
    </row>
    <row r="962" spans="9:9" ht="12.75" x14ac:dyDescent="0.2">
      <c r="I962" s="49"/>
    </row>
    <row r="963" spans="9:9" ht="12.75" x14ac:dyDescent="0.2">
      <c r="I963" s="49"/>
    </row>
    <row r="964" spans="9:9" ht="12.75" x14ac:dyDescent="0.2">
      <c r="I964" s="49"/>
    </row>
    <row r="965" spans="9:9" ht="12.75" x14ac:dyDescent="0.2">
      <c r="I965" s="49"/>
    </row>
    <row r="966" spans="9:9" ht="12.75" x14ac:dyDescent="0.2">
      <c r="I966" s="49"/>
    </row>
    <row r="967" spans="9:9" ht="12.75" x14ac:dyDescent="0.2">
      <c r="I967" s="49"/>
    </row>
    <row r="968" spans="9:9" ht="12.75" x14ac:dyDescent="0.2">
      <c r="I968" s="49"/>
    </row>
    <row r="969" spans="9:9" ht="12.75" x14ac:dyDescent="0.2">
      <c r="I969" s="49"/>
    </row>
    <row r="970" spans="9:9" ht="12.75" x14ac:dyDescent="0.2">
      <c r="I970" s="49"/>
    </row>
    <row r="971" spans="9:9" ht="12.75" x14ac:dyDescent="0.2">
      <c r="I971" s="49"/>
    </row>
    <row r="972" spans="9:9" ht="12.75" x14ac:dyDescent="0.2">
      <c r="I972" s="49"/>
    </row>
    <row r="973" spans="9:9" ht="12.75" x14ac:dyDescent="0.2">
      <c r="I973" s="49"/>
    </row>
    <row r="974" spans="9:9" ht="12.75" x14ac:dyDescent="0.2">
      <c r="I974" s="49"/>
    </row>
    <row r="975" spans="9:9" ht="12.75" x14ac:dyDescent="0.2">
      <c r="I975" s="49"/>
    </row>
    <row r="976" spans="9:9" ht="12.75" x14ac:dyDescent="0.2">
      <c r="I976" s="49"/>
    </row>
    <row r="977" spans="9:9" ht="12.75" x14ac:dyDescent="0.2">
      <c r="I977" s="49"/>
    </row>
    <row r="978" spans="9:9" ht="12.75" x14ac:dyDescent="0.2">
      <c r="I978" s="49"/>
    </row>
    <row r="979" spans="9:9" ht="12.75" x14ac:dyDescent="0.2">
      <c r="I979" s="49"/>
    </row>
    <row r="980" spans="9:9" ht="12.75" x14ac:dyDescent="0.2">
      <c r="I980" s="49"/>
    </row>
    <row r="981" spans="9:9" ht="12.75" x14ac:dyDescent="0.2">
      <c r="I981" s="49"/>
    </row>
    <row r="982" spans="9:9" ht="12.75" x14ac:dyDescent="0.2">
      <c r="I982" s="49"/>
    </row>
    <row r="983" spans="9:9" ht="12.75" x14ac:dyDescent="0.2">
      <c r="I983" s="49"/>
    </row>
    <row r="984" spans="9:9" ht="12.75" x14ac:dyDescent="0.2">
      <c r="I984" s="49"/>
    </row>
    <row r="985" spans="9:9" ht="12.75" x14ac:dyDescent="0.2">
      <c r="I985" s="49"/>
    </row>
    <row r="986" spans="9:9" ht="12.75" x14ac:dyDescent="0.2">
      <c r="I986" s="49"/>
    </row>
    <row r="987" spans="9:9" ht="12.75" x14ac:dyDescent="0.2">
      <c r="I987" s="49"/>
    </row>
    <row r="988" spans="9:9" ht="12.75" x14ac:dyDescent="0.2">
      <c r="I988" s="49"/>
    </row>
    <row r="989" spans="9:9" ht="12.75" x14ac:dyDescent="0.2">
      <c r="I989" s="49"/>
    </row>
    <row r="990" spans="9:9" ht="12.75" x14ac:dyDescent="0.2">
      <c r="I990" s="49"/>
    </row>
    <row r="991" spans="9:9" ht="12.75" x14ac:dyDescent="0.2">
      <c r="I991" s="49"/>
    </row>
    <row r="992" spans="9:9" ht="12.75" x14ac:dyDescent="0.2">
      <c r="I992" s="49"/>
    </row>
    <row r="993" spans="9:9" ht="12.75" x14ac:dyDescent="0.2">
      <c r="I993" s="49"/>
    </row>
    <row r="994" spans="9:9" ht="12.75" x14ac:dyDescent="0.2">
      <c r="I994" s="49"/>
    </row>
    <row r="995" spans="9:9" ht="12.75" x14ac:dyDescent="0.2">
      <c r="I995" s="49"/>
    </row>
    <row r="996" spans="9:9" ht="12.75" x14ac:dyDescent="0.2">
      <c r="I996" s="49"/>
    </row>
    <row r="997" spans="9:9" ht="12.75" x14ac:dyDescent="0.2">
      <c r="I997" s="49"/>
    </row>
    <row r="998" spans="9:9" ht="12.75" x14ac:dyDescent="0.2">
      <c r="I998" s="49"/>
    </row>
    <row r="999" spans="9:9" ht="12.75" x14ac:dyDescent="0.2">
      <c r="I999" s="49"/>
    </row>
    <row r="1000" spans="9:9" ht="12.75" x14ac:dyDescent="0.2">
      <c r="I1000" s="49"/>
    </row>
    <row r="1001" spans="9:9" ht="12.75" x14ac:dyDescent="0.2">
      <c r="I1001" s="49"/>
    </row>
    <row r="1002" spans="9:9" ht="12.75" x14ac:dyDescent="0.2">
      <c r="I1002" s="49"/>
    </row>
    <row r="1003" spans="9:9" ht="12.75" x14ac:dyDescent="0.2">
      <c r="I1003" s="49"/>
    </row>
    <row r="1004" spans="9:9" ht="12.75" x14ac:dyDescent="0.2">
      <c r="I1004" s="49"/>
    </row>
    <row r="1005" spans="9:9" ht="12.75" x14ac:dyDescent="0.2">
      <c r="I1005" s="49"/>
    </row>
    <row r="1006" spans="9:9" ht="12.75" x14ac:dyDescent="0.2">
      <c r="I1006" s="49"/>
    </row>
    <row r="1007" spans="9:9" ht="12.75" x14ac:dyDescent="0.2">
      <c r="I1007" s="49"/>
    </row>
    <row r="1008" spans="9:9" ht="12.75" x14ac:dyDescent="0.2">
      <c r="I1008" s="49"/>
    </row>
    <row r="1009" spans="9:9" ht="12.75" x14ac:dyDescent="0.2">
      <c r="I1009" s="49"/>
    </row>
    <row r="1010" spans="9:9" ht="12.75" x14ac:dyDescent="0.2">
      <c r="I1010" s="49"/>
    </row>
    <row r="1011" spans="9:9" ht="12.75" x14ac:dyDescent="0.2">
      <c r="I1011" s="49"/>
    </row>
    <row r="1012" spans="9:9" ht="12.75" x14ac:dyDescent="0.2">
      <c r="I1012" s="49"/>
    </row>
    <row r="1013" spans="9:9" ht="12.75" x14ac:dyDescent="0.2">
      <c r="I1013" s="49"/>
    </row>
    <row r="1014" spans="9:9" ht="12.75" x14ac:dyDescent="0.2">
      <c r="I1014" s="49"/>
    </row>
    <row r="1015" spans="9:9" ht="12.75" x14ac:dyDescent="0.2">
      <c r="I1015" s="49"/>
    </row>
    <row r="1016" spans="9:9" ht="12.75" x14ac:dyDescent="0.2">
      <c r="I1016" s="49"/>
    </row>
    <row r="1017" spans="9:9" ht="12.75" x14ac:dyDescent="0.2">
      <c r="I1017" s="49"/>
    </row>
    <row r="1018" spans="9:9" ht="12.75" x14ac:dyDescent="0.2">
      <c r="I1018" s="49"/>
    </row>
    <row r="1019" spans="9:9" ht="12.75" x14ac:dyDescent="0.2">
      <c r="I1019" s="49"/>
    </row>
    <row r="1020" spans="9:9" ht="12.75" x14ac:dyDescent="0.2">
      <c r="I1020" s="49"/>
    </row>
    <row r="1021" spans="9:9" ht="12.75" x14ac:dyDescent="0.2">
      <c r="I1021" s="49"/>
    </row>
    <row r="1022" spans="9:9" ht="12.75" x14ac:dyDescent="0.2">
      <c r="I1022" s="49"/>
    </row>
    <row r="1023" spans="9:9" ht="12.75" x14ac:dyDescent="0.2">
      <c r="I1023" s="49"/>
    </row>
    <row r="1024" spans="9:9" ht="12.75" x14ac:dyDescent="0.2">
      <c r="I1024" s="49"/>
    </row>
    <row r="1025" spans="9:9" ht="12.75" x14ac:dyDescent="0.2">
      <c r="I1025" s="49"/>
    </row>
    <row r="1026" spans="9:9" ht="12.75" x14ac:dyDescent="0.2">
      <c r="I1026" s="49"/>
    </row>
    <row r="1027" spans="9:9" ht="12.75" x14ac:dyDescent="0.2">
      <c r="I1027" s="49"/>
    </row>
    <row r="1028" spans="9:9" ht="12.75" x14ac:dyDescent="0.2">
      <c r="I1028" s="49"/>
    </row>
    <row r="1029" spans="9:9" ht="12.75" x14ac:dyDescent="0.2">
      <c r="I1029" s="49"/>
    </row>
    <row r="1030" spans="9:9" ht="12.75" x14ac:dyDescent="0.2">
      <c r="I1030" s="49"/>
    </row>
    <row r="1031" spans="9:9" ht="12.75" x14ac:dyDescent="0.2">
      <c r="I1031" s="49"/>
    </row>
    <row r="1032" spans="9:9" ht="12.75" x14ac:dyDescent="0.2">
      <c r="I1032" s="49"/>
    </row>
    <row r="1033" spans="9:9" ht="12.75" x14ac:dyDescent="0.2">
      <c r="I1033" s="49"/>
    </row>
    <row r="1034" spans="9:9" ht="12.75" x14ac:dyDescent="0.2">
      <c r="I1034" s="49"/>
    </row>
    <row r="1035" spans="9:9" ht="12.75" x14ac:dyDescent="0.2">
      <c r="I1035" s="49"/>
    </row>
    <row r="1036" spans="9:9" ht="12.75" x14ac:dyDescent="0.2">
      <c r="I1036" s="49"/>
    </row>
    <row r="1037" spans="9:9" ht="12.75" x14ac:dyDescent="0.2">
      <c r="I1037" s="49"/>
    </row>
    <row r="1038" spans="9:9" ht="12.75" x14ac:dyDescent="0.2">
      <c r="I1038" s="49"/>
    </row>
    <row r="1039" spans="9:9" ht="12.75" x14ac:dyDescent="0.2">
      <c r="I1039" s="49"/>
    </row>
    <row r="1040" spans="9:9" ht="12.75" x14ac:dyDescent="0.2">
      <c r="I1040" s="49"/>
    </row>
    <row r="1041" spans="9:9" ht="12.75" x14ac:dyDescent="0.2">
      <c r="I1041" s="49"/>
    </row>
    <row r="1042" spans="9:9" ht="12.75" x14ac:dyDescent="0.2">
      <c r="I1042" s="49"/>
    </row>
    <row r="1043" spans="9:9" ht="12.75" x14ac:dyDescent="0.2">
      <c r="I1043" s="49"/>
    </row>
    <row r="1044" spans="9:9" ht="12.75" x14ac:dyDescent="0.2">
      <c r="I1044" s="49"/>
    </row>
    <row r="1045" spans="9:9" ht="12.75" x14ac:dyDescent="0.2">
      <c r="I1045" s="49"/>
    </row>
    <row r="1046" spans="9:9" ht="12.75" x14ac:dyDescent="0.2">
      <c r="I1046" s="49"/>
    </row>
    <row r="1047" spans="9:9" ht="12.75" x14ac:dyDescent="0.2">
      <c r="I1047" s="49"/>
    </row>
    <row r="1048" spans="9:9" ht="12.75" x14ac:dyDescent="0.2">
      <c r="I1048" s="49"/>
    </row>
    <row r="1049" spans="9:9" ht="12.75" x14ac:dyDescent="0.2">
      <c r="I1049" s="49"/>
    </row>
    <row r="1050" spans="9:9" ht="12.75" x14ac:dyDescent="0.2">
      <c r="I1050" s="49"/>
    </row>
    <row r="1051" spans="9:9" ht="12.75" x14ac:dyDescent="0.2">
      <c r="I1051" s="49"/>
    </row>
    <row r="1052" spans="9:9" ht="12.75" x14ac:dyDescent="0.2">
      <c r="I1052" s="49"/>
    </row>
    <row r="1053" spans="9:9" ht="12.75" x14ac:dyDescent="0.2">
      <c r="I1053" s="49"/>
    </row>
    <row r="1054" spans="9:9" ht="12.75" x14ac:dyDescent="0.2">
      <c r="I1054" s="49"/>
    </row>
    <row r="1055" spans="9:9" ht="12.75" x14ac:dyDescent="0.2">
      <c r="I1055" s="49"/>
    </row>
    <row r="1056" spans="9:9" ht="12.75" x14ac:dyDescent="0.2">
      <c r="I1056" s="49"/>
    </row>
    <row r="1057" spans="9:9" ht="12.75" x14ac:dyDescent="0.2">
      <c r="I1057" s="49"/>
    </row>
    <row r="1058" spans="9:9" ht="12.75" x14ac:dyDescent="0.2">
      <c r="I1058" s="49"/>
    </row>
    <row r="1059" spans="9:9" ht="12.75" x14ac:dyDescent="0.2">
      <c r="I1059" s="49"/>
    </row>
    <row r="1060" spans="9:9" ht="12.75" x14ac:dyDescent="0.2">
      <c r="I1060" s="49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69">
    <cfRule type="cellIs" dxfId="15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outlinePr summaryBelow="0" summaryRight="0"/>
  </sheetPr>
  <dimension ref="A1:R151"/>
  <sheetViews>
    <sheetView topLeftCell="A131" workbookViewId="0">
      <selection activeCell="A152" sqref="A152:XFD159"/>
    </sheetView>
  </sheetViews>
  <sheetFormatPr defaultColWidth="14.42578125" defaultRowHeight="15" customHeight="1" x14ac:dyDescent="0.2"/>
  <cols>
    <col min="3" max="3" width="12.28515625" customWidth="1"/>
    <col min="4" max="4" width="13" customWidth="1"/>
    <col min="5" max="5" width="11.5703125" customWidth="1"/>
    <col min="6" max="6" width="12.140625" customWidth="1"/>
    <col min="7" max="7" width="12.28515625" customWidth="1"/>
    <col min="8" max="8" width="11.7109375" customWidth="1"/>
    <col min="10" max="10" width="12.85546875" customWidth="1"/>
    <col min="11" max="11" width="13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30" t="s">
        <v>2</v>
      </c>
      <c r="B4" s="132" t="s">
        <v>3</v>
      </c>
      <c r="C4" s="133"/>
      <c r="D4" s="132" t="s">
        <v>4</v>
      </c>
      <c r="E4" s="136"/>
      <c r="F4" s="138" t="str">
        <f>+"Cao trình nghiệm thu [m] ("&amp;TEXT(A16,"dd/mm/yy")&amp;")"</f>
        <v>Cao trình nghiệm thu [m] (17/03/25)</v>
      </c>
      <c r="G4" s="107"/>
      <c r="H4" s="107"/>
      <c r="I4" s="107"/>
      <c r="J4" s="107"/>
      <c r="K4" s="107"/>
      <c r="L4" s="115" t="s">
        <v>5</v>
      </c>
      <c r="M4" s="107"/>
      <c r="N4" s="107"/>
      <c r="O4" s="107"/>
      <c r="P4" s="132" t="s">
        <v>6</v>
      </c>
      <c r="Q4" s="136"/>
      <c r="R4" s="139"/>
    </row>
    <row r="5" spans="1:18" ht="15" customHeight="1" x14ac:dyDescent="0.2">
      <c r="A5" s="131"/>
      <c r="B5" s="134"/>
      <c r="C5" s="135"/>
      <c r="D5" s="134"/>
      <c r="E5" s="137"/>
      <c r="F5" s="6" t="s">
        <v>7</v>
      </c>
      <c r="G5" s="141" t="s">
        <v>8</v>
      </c>
      <c r="H5" s="116"/>
      <c r="I5" s="141" t="s">
        <v>9</v>
      </c>
      <c r="J5" s="116"/>
      <c r="K5" s="6" t="s">
        <v>10</v>
      </c>
      <c r="L5" s="115" t="s">
        <v>11</v>
      </c>
      <c r="M5" s="116"/>
      <c r="N5" s="115" t="s">
        <v>12</v>
      </c>
      <c r="O5" s="107"/>
      <c r="P5" s="134"/>
      <c r="Q5" s="137"/>
      <c r="R5" s="140"/>
    </row>
    <row r="6" spans="1:18" ht="15" customHeight="1" x14ac:dyDescent="0.2">
      <c r="A6" s="151" t="s">
        <v>13</v>
      </c>
      <c r="B6" s="152" t="s">
        <v>14</v>
      </c>
      <c r="C6" s="118"/>
      <c r="D6" s="153"/>
      <c r="E6" s="118"/>
      <c r="F6" s="7"/>
      <c r="G6" s="143"/>
      <c r="H6" s="118"/>
      <c r="I6" s="143"/>
      <c r="J6" s="118"/>
      <c r="K6" s="8"/>
      <c r="L6" s="117"/>
      <c r="M6" s="118"/>
      <c r="N6" s="117"/>
      <c r="O6" s="118"/>
      <c r="P6" s="119" t="s">
        <v>15</v>
      </c>
      <c r="Q6" s="120"/>
      <c r="R6" s="121"/>
    </row>
    <row r="7" spans="1:18" ht="15" customHeight="1" x14ac:dyDescent="0.2">
      <c r="A7" s="149"/>
      <c r="B7" s="145" t="s">
        <v>16</v>
      </c>
      <c r="C7" s="123"/>
      <c r="D7" s="124"/>
      <c r="E7" s="123"/>
      <c r="F7" s="9"/>
      <c r="G7" s="146"/>
      <c r="H7" s="123"/>
      <c r="I7" s="146"/>
      <c r="J7" s="123"/>
      <c r="K7" s="10"/>
      <c r="L7" s="122"/>
      <c r="M7" s="123"/>
      <c r="N7" s="122"/>
      <c r="O7" s="123"/>
      <c r="P7" s="124" t="s">
        <v>83</v>
      </c>
      <c r="Q7" s="125"/>
      <c r="R7" s="126"/>
    </row>
    <row r="8" spans="1:18" ht="15" customHeight="1" x14ac:dyDescent="0.2">
      <c r="A8" s="150"/>
      <c r="B8" s="154" t="s">
        <v>17</v>
      </c>
      <c r="C8" s="100"/>
      <c r="D8" s="155"/>
      <c r="E8" s="100"/>
      <c r="F8" s="11"/>
      <c r="G8" s="99"/>
      <c r="H8" s="100"/>
      <c r="I8" s="99"/>
      <c r="J8" s="100"/>
      <c r="K8" s="12"/>
      <c r="L8" s="102"/>
      <c r="M8" s="100"/>
      <c r="N8" s="102"/>
      <c r="O8" s="100"/>
      <c r="P8" s="103"/>
      <c r="Q8" s="104"/>
      <c r="R8" s="105"/>
    </row>
    <row r="9" spans="1:18" ht="15" customHeight="1" x14ac:dyDescent="0.2">
      <c r="A9" s="1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48" t="s">
        <v>19</v>
      </c>
      <c r="B11" s="106" t="s">
        <v>20</v>
      </c>
      <c r="C11" s="107"/>
      <c r="D11" s="107"/>
      <c r="E11" s="107"/>
      <c r="F11" s="107"/>
      <c r="G11" s="106" t="s">
        <v>21</v>
      </c>
      <c r="H11" s="107"/>
      <c r="I11" s="107"/>
      <c r="J11" s="107"/>
      <c r="K11" s="107"/>
      <c r="L11" s="106" t="s">
        <v>22</v>
      </c>
      <c r="M11" s="107"/>
      <c r="N11" s="107"/>
      <c r="O11" s="107"/>
      <c r="P11" s="107"/>
      <c r="Q11" s="108" t="s">
        <v>84</v>
      </c>
      <c r="R11" s="112" t="s">
        <v>85</v>
      </c>
    </row>
    <row r="12" spans="1:18" ht="15" customHeight="1" x14ac:dyDescent="0.2">
      <c r="A12" s="149"/>
      <c r="B12" s="108" t="s">
        <v>23</v>
      </c>
      <c r="C12" s="108" t="s">
        <v>33</v>
      </c>
      <c r="D12" s="108" t="s">
        <v>24</v>
      </c>
      <c r="E12" s="108" t="s">
        <v>34</v>
      </c>
      <c r="F12" s="108" t="s">
        <v>25</v>
      </c>
      <c r="G12" s="108" t="s">
        <v>23</v>
      </c>
      <c r="H12" s="108" t="s">
        <v>33</v>
      </c>
      <c r="I12" s="108" t="s">
        <v>24</v>
      </c>
      <c r="J12" s="108" t="s">
        <v>34</v>
      </c>
      <c r="K12" s="108" t="s">
        <v>25</v>
      </c>
      <c r="L12" s="108" t="s">
        <v>23</v>
      </c>
      <c r="M12" s="108" t="s">
        <v>33</v>
      </c>
      <c r="N12" s="108" t="s">
        <v>24</v>
      </c>
      <c r="O12" s="108" t="s">
        <v>34</v>
      </c>
      <c r="P12" s="108" t="s">
        <v>25</v>
      </c>
      <c r="Q12" s="111"/>
      <c r="R12" s="113"/>
    </row>
    <row r="13" spans="1:18" ht="15" customHeight="1" x14ac:dyDescent="0.2">
      <c r="A13" s="14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13"/>
    </row>
    <row r="14" spans="1:18" ht="15" customHeight="1" x14ac:dyDescent="0.2">
      <c r="A14" s="150"/>
      <c r="B14" s="14" t="s">
        <v>28</v>
      </c>
      <c r="C14" s="15" t="s">
        <v>26</v>
      </c>
      <c r="D14" s="15" t="s">
        <v>27</v>
      </c>
      <c r="E14" s="15" t="s">
        <v>26</v>
      </c>
      <c r="F14" s="15" t="s">
        <v>27</v>
      </c>
      <c r="G14" s="14" t="s">
        <v>28</v>
      </c>
      <c r="H14" s="15" t="s">
        <v>26</v>
      </c>
      <c r="I14" s="15" t="s">
        <v>27</v>
      </c>
      <c r="J14" s="15" t="s">
        <v>26</v>
      </c>
      <c r="K14" s="15" t="s">
        <v>27</v>
      </c>
      <c r="L14" s="14" t="s">
        <v>28</v>
      </c>
      <c r="M14" s="15" t="s">
        <v>26</v>
      </c>
      <c r="N14" s="15" t="s">
        <v>27</v>
      </c>
      <c r="O14" s="15" t="s">
        <v>26</v>
      </c>
      <c r="P14" s="15" t="s">
        <v>27</v>
      </c>
      <c r="Q14" s="17" t="s">
        <v>29</v>
      </c>
      <c r="R14" s="114"/>
    </row>
    <row r="15" spans="1:18" ht="15" customHeight="1" x14ac:dyDescent="0.2">
      <c r="A15" s="18">
        <v>1</v>
      </c>
      <c r="B15" s="19">
        <f t="shared" ref="B15:R15" si="0">+A15+1</f>
        <v>2</v>
      </c>
      <c r="C15" s="19">
        <f t="shared" si="0"/>
        <v>3</v>
      </c>
      <c r="D15" s="19">
        <f t="shared" si="0"/>
        <v>4</v>
      </c>
      <c r="E15" s="19">
        <f t="shared" si="0"/>
        <v>5</v>
      </c>
      <c r="F15" s="19">
        <f t="shared" si="0"/>
        <v>6</v>
      </c>
      <c r="G15" s="19">
        <f t="shared" si="0"/>
        <v>7</v>
      </c>
      <c r="H15" s="19">
        <f t="shared" si="0"/>
        <v>8</v>
      </c>
      <c r="I15" s="19">
        <f t="shared" si="0"/>
        <v>9</v>
      </c>
      <c r="J15" s="19">
        <f t="shared" si="0"/>
        <v>10</v>
      </c>
      <c r="K15" s="19">
        <f t="shared" si="0"/>
        <v>11</v>
      </c>
      <c r="L15" s="19">
        <f t="shared" si="0"/>
        <v>12</v>
      </c>
      <c r="M15" s="19">
        <f t="shared" si="0"/>
        <v>13</v>
      </c>
      <c r="N15" s="19">
        <f t="shared" si="0"/>
        <v>14</v>
      </c>
      <c r="O15" s="19">
        <f t="shared" si="0"/>
        <v>15</v>
      </c>
      <c r="P15" s="19">
        <f t="shared" si="0"/>
        <v>16</v>
      </c>
      <c r="Q15" s="19">
        <f t="shared" si="0"/>
        <v>17</v>
      </c>
      <c r="R15" s="19">
        <f t="shared" si="0"/>
        <v>18</v>
      </c>
    </row>
    <row r="16" spans="1:18" ht="15" customHeight="1" x14ac:dyDescent="0.2">
      <c r="A16" s="21">
        <v>45733</v>
      </c>
      <c r="B16" s="22">
        <v>1</v>
      </c>
      <c r="C16" s="23">
        <v>2137</v>
      </c>
      <c r="D16" s="24">
        <v>-1898</v>
      </c>
      <c r="E16" s="25">
        <f t="shared" ref="E16:E148" si="1">C16-D16</f>
        <v>4035</v>
      </c>
      <c r="F16" s="22">
        <v>0</v>
      </c>
      <c r="G16" s="22">
        <v>1</v>
      </c>
      <c r="H16" s="25">
        <v>2127</v>
      </c>
      <c r="I16" s="24">
        <v>-1658</v>
      </c>
      <c r="J16" s="28">
        <f t="shared" ref="J16:J148" si="2">H16-I16</f>
        <v>3785</v>
      </c>
      <c r="K16" s="22">
        <v>0</v>
      </c>
      <c r="L16" s="22">
        <v>1</v>
      </c>
      <c r="M16" s="23">
        <v>2182</v>
      </c>
      <c r="N16" s="24">
        <v>-1155</v>
      </c>
      <c r="O16" s="28">
        <f t="shared" ref="O16:O38" si="3">M16-N16</f>
        <v>3337</v>
      </c>
      <c r="P16" s="22">
        <v>0</v>
      </c>
      <c r="Q16" s="29"/>
      <c r="R16" s="30"/>
    </row>
    <row r="17" spans="1:18" ht="15" customHeight="1" x14ac:dyDescent="0.2">
      <c r="A17" s="21">
        <v>45734</v>
      </c>
      <c r="B17" s="22">
        <f t="shared" ref="B17:B148" si="4">B16+1</f>
        <v>2</v>
      </c>
      <c r="C17" s="25">
        <f t="shared" ref="C17:C147" si="5">$C$16-F17</f>
        <v>2137</v>
      </c>
      <c r="D17" s="24">
        <v>-1898</v>
      </c>
      <c r="E17" s="25">
        <f t="shared" si="1"/>
        <v>4035</v>
      </c>
      <c r="F17" s="26">
        <f t="shared" ref="F17:F148" si="6">$D$16-D17</f>
        <v>0</v>
      </c>
      <c r="G17" s="22">
        <f t="shared" ref="G17:G148" si="7">G16+1</f>
        <v>2</v>
      </c>
      <c r="H17" s="25">
        <f t="shared" ref="H17:H147" si="8">$H$16-K17</f>
        <v>2127</v>
      </c>
      <c r="I17" s="24">
        <v>-1658</v>
      </c>
      <c r="J17" s="28">
        <f t="shared" si="2"/>
        <v>3785</v>
      </c>
      <c r="K17" s="22">
        <f t="shared" ref="K17:K148" si="9">$I$16-I17</f>
        <v>0</v>
      </c>
      <c r="L17" s="22">
        <f t="shared" ref="L17:L148" si="10">L16+1</f>
        <v>2</v>
      </c>
      <c r="M17" s="25">
        <f t="shared" ref="M17:M148" si="11">$M$16-P17</f>
        <v>2182</v>
      </c>
      <c r="N17" s="24">
        <v>-1155</v>
      </c>
      <c r="O17" s="28">
        <f t="shared" si="3"/>
        <v>3337</v>
      </c>
      <c r="P17" s="22">
        <f t="shared" ref="P17:P38" si="12">$N$16-N17</f>
        <v>0</v>
      </c>
      <c r="Q17" s="29"/>
      <c r="R17" s="30"/>
    </row>
    <row r="18" spans="1:18" ht="15" customHeight="1" x14ac:dyDescent="0.2">
      <c r="A18" s="21">
        <v>45735</v>
      </c>
      <c r="B18" s="22">
        <f t="shared" si="4"/>
        <v>3</v>
      </c>
      <c r="C18" s="25">
        <f t="shared" si="5"/>
        <v>2137</v>
      </c>
      <c r="D18" s="24">
        <v>-1898</v>
      </c>
      <c r="E18" s="25">
        <f t="shared" si="1"/>
        <v>4035</v>
      </c>
      <c r="F18" s="26">
        <f t="shared" si="6"/>
        <v>0</v>
      </c>
      <c r="G18" s="22">
        <f t="shared" si="7"/>
        <v>3</v>
      </c>
      <c r="H18" s="25">
        <f t="shared" si="8"/>
        <v>2127</v>
      </c>
      <c r="I18" s="24">
        <v>-1658</v>
      </c>
      <c r="J18" s="28">
        <f t="shared" si="2"/>
        <v>3785</v>
      </c>
      <c r="K18" s="22">
        <f t="shared" si="9"/>
        <v>0</v>
      </c>
      <c r="L18" s="22">
        <f t="shared" si="10"/>
        <v>3</v>
      </c>
      <c r="M18" s="25">
        <f t="shared" si="11"/>
        <v>2182</v>
      </c>
      <c r="N18" s="24">
        <v>-1155</v>
      </c>
      <c r="O18" s="28">
        <f t="shared" si="3"/>
        <v>3337</v>
      </c>
      <c r="P18" s="22">
        <f t="shared" si="12"/>
        <v>0</v>
      </c>
      <c r="Q18" s="29"/>
      <c r="R18" s="30"/>
    </row>
    <row r="19" spans="1:18" ht="15" customHeight="1" x14ac:dyDescent="0.2">
      <c r="A19" s="21">
        <v>45736</v>
      </c>
      <c r="B19" s="22">
        <f t="shared" si="4"/>
        <v>4</v>
      </c>
      <c r="C19" s="25">
        <f t="shared" si="5"/>
        <v>2137</v>
      </c>
      <c r="D19" s="24">
        <v>-1898</v>
      </c>
      <c r="E19" s="25">
        <f t="shared" si="1"/>
        <v>4035</v>
      </c>
      <c r="F19" s="26">
        <f t="shared" si="6"/>
        <v>0</v>
      </c>
      <c r="G19" s="22">
        <f t="shared" si="7"/>
        <v>4</v>
      </c>
      <c r="H19" s="25">
        <f t="shared" si="8"/>
        <v>2127</v>
      </c>
      <c r="I19" s="24">
        <v>-1658</v>
      </c>
      <c r="J19" s="28">
        <f t="shared" si="2"/>
        <v>3785</v>
      </c>
      <c r="K19" s="22">
        <f t="shared" si="9"/>
        <v>0</v>
      </c>
      <c r="L19" s="22">
        <f t="shared" si="10"/>
        <v>4</v>
      </c>
      <c r="M19" s="25">
        <f t="shared" si="11"/>
        <v>2182</v>
      </c>
      <c r="N19" s="24">
        <v>-1155</v>
      </c>
      <c r="O19" s="28">
        <f t="shared" si="3"/>
        <v>3337</v>
      </c>
      <c r="P19" s="22">
        <f t="shared" si="12"/>
        <v>0</v>
      </c>
      <c r="Q19" s="29"/>
      <c r="R19" s="30"/>
    </row>
    <row r="20" spans="1:18" ht="15" customHeight="1" x14ac:dyDescent="0.2">
      <c r="A20" s="21">
        <v>45737</v>
      </c>
      <c r="B20" s="22">
        <f t="shared" si="4"/>
        <v>5</v>
      </c>
      <c r="C20" s="25">
        <f t="shared" si="5"/>
        <v>2127</v>
      </c>
      <c r="D20" s="24">
        <v>-1908</v>
      </c>
      <c r="E20" s="25">
        <f t="shared" si="1"/>
        <v>4035</v>
      </c>
      <c r="F20" s="26">
        <f t="shared" si="6"/>
        <v>10</v>
      </c>
      <c r="G20" s="22">
        <f t="shared" si="7"/>
        <v>5</v>
      </c>
      <c r="H20" s="25">
        <f t="shared" si="8"/>
        <v>2109</v>
      </c>
      <c r="I20" s="24">
        <v>-1676</v>
      </c>
      <c r="J20" s="28">
        <f t="shared" si="2"/>
        <v>3785</v>
      </c>
      <c r="K20" s="22">
        <f t="shared" si="9"/>
        <v>18</v>
      </c>
      <c r="L20" s="22">
        <f t="shared" si="10"/>
        <v>5</v>
      </c>
      <c r="M20" s="25">
        <f t="shared" si="11"/>
        <v>2162</v>
      </c>
      <c r="N20" s="24">
        <v>-1175</v>
      </c>
      <c r="O20" s="28">
        <f t="shared" si="3"/>
        <v>3337</v>
      </c>
      <c r="P20" s="22">
        <f t="shared" si="12"/>
        <v>20</v>
      </c>
      <c r="Q20" s="29"/>
      <c r="R20" s="30"/>
    </row>
    <row r="21" spans="1:18" ht="15" customHeight="1" x14ac:dyDescent="0.2">
      <c r="A21" s="21">
        <v>45738</v>
      </c>
      <c r="B21" s="22">
        <f t="shared" si="4"/>
        <v>6</v>
      </c>
      <c r="C21" s="25">
        <f t="shared" si="5"/>
        <v>2107</v>
      </c>
      <c r="D21" s="24">
        <v>-1928</v>
      </c>
      <c r="E21" s="25">
        <f t="shared" si="1"/>
        <v>4035</v>
      </c>
      <c r="F21" s="26">
        <f t="shared" si="6"/>
        <v>30</v>
      </c>
      <c r="G21" s="22">
        <f t="shared" si="7"/>
        <v>6</v>
      </c>
      <c r="H21" s="25">
        <f t="shared" si="8"/>
        <v>2089</v>
      </c>
      <c r="I21" s="24">
        <v>-1696</v>
      </c>
      <c r="J21" s="28">
        <f t="shared" si="2"/>
        <v>3785</v>
      </c>
      <c r="K21" s="22">
        <f t="shared" si="9"/>
        <v>38</v>
      </c>
      <c r="L21" s="22">
        <f t="shared" si="10"/>
        <v>6</v>
      </c>
      <c r="M21" s="25">
        <f t="shared" si="11"/>
        <v>2147</v>
      </c>
      <c r="N21" s="24">
        <v>-1190</v>
      </c>
      <c r="O21" s="28">
        <f t="shared" si="3"/>
        <v>3337</v>
      </c>
      <c r="P21" s="22">
        <f t="shared" si="12"/>
        <v>35</v>
      </c>
      <c r="Q21" s="29"/>
      <c r="R21" s="30"/>
    </row>
    <row r="22" spans="1:18" ht="15" customHeight="1" x14ac:dyDescent="0.2">
      <c r="A22" s="21">
        <v>45739</v>
      </c>
      <c r="B22" s="22">
        <f t="shared" si="4"/>
        <v>7</v>
      </c>
      <c r="C22" s="25">
        <f t="shared" si="5"/>
        <v>2077</v>
      </c>
      <c r="D22" s="24">
        <v>-1958</v>
      </c>
      <c r="E22" s="25">
        <f t="shared" si="1"/>
        <v>4035</v>
      </c>
      <c r="F22" s="26">
        <f t="shared" si="6"/>
        <v>60</v>
      </c>
      <c r="G22" s="22">
        <f t="shared" si="7"/>
        <v>7</v>
      </c>
      <c r="H22" s="25">
        <f t="shared" si="8"/>
        <v>2069</v>
      </c>
      <c r="I22" s="24">
        <v>-1716</v>
      </c>
      <c r="J22" s="28">
        <f t="shared" si="2"/>
        <v>3785</v>
      </c>
      <c r="K22" s="22">
        <f t="shared" si="9"/>
        <v>58</v>
      </c>
      <c r="L22" s="22">
        <f t="shared" si="10"/>
        <v>7</v>
      </c>
      <c r="M22" s="25">
        <f t="shared" si="11"/>
        <v>2132</v>
      </c>
      <c r="N22" s="24">
        <v>-1205</v>
      </c>
      <c r="O22" s="28">
        <f t="shared" si="3"/>
        <v>3337</v>
      </c>
      <c r="P22" s="22">
        <f t="shared" si="12"/>
        <v>50</v>
      </c>
      <c r="Q22" s="29"/>
      <c r="R22" s="30"/>
    </row>
    <row r="23" spans="1:18" ht="15" customHeight="1" x14ac:dyDescent="0.2">
      <c r="A23" s="21">
        <v>45740</v>
      </c>
      <c r="B23" s="22">
        <f t="shared" si="4"/>
        <v>8</v>
      </c>
      <c r="C23" s="25">
        <f t="shared" si="5"/>
        <v>2055</v>
      </c>
      <c r="D23" s="24">
        <v>-1980</v>
      </c>
      <c r="E23" s="25">
        <f t="shared" si="1"/>
        <v>4035</v>
      </c>
      <c r="F23" s="26">
        <f t="shared" si="6"/>
        <v>82</v>
      </c>
      <c r="G23" s="22">
        <f t="shared" si="7"/>
        <v>8</v>
      </c>
      <c r="H23" s="25">
        <f t="shared" si="8"/>
        <v>2046</v>
      </c>
      <c r="I23" s="24">
        <v>-1739</v>
      </c>
      <c r="J23" s="28">
        <f t="shared" si="2"/>
        <v>3785</v>
      </c>
      <c r="K23" s="22">
        <f t="shared" si="9"/>
        <v>81</v>
      </c>
      <c r="L23" s="22">
        <f t="shared" si="10"/>
        <v>8</v>
      </c>
      <c r="M23" s="25">
        <f t="shared" si="11"/>
        <v>2115</v>
      </c>
      <c r="N23" s="24">
        <v>-1222</v>
      </c>
      <c r="O23" s="28">
        <f t="shared" si="3"/>
        <v>3337</v>
      </c>
      <c r="P23" s="22">
        <f t="shared" si="12"/>
        <v>67</v>
      </c>
      <c r="Q23" s="29"/>
      <c r="R23" s="30"/>
    </row>
    <row r="24" spans="1:18" ht="15" customHeight="1" x14ac:dyDescent="0.2">
      <c r="A24" s="21">
        <v>45741</v>
      </c>
      <c r="B24" s="22">
        <f t="shared" si="4"/>
        <v>9</v>
      </c>
      <c r="C24" s="25">
        <f t="shared" si="5"/>
        <v>2030</v>
      </c>
      <c r="D24" s="24">
        <v>-2005</v>
      </c>
      <c r="E24" s="25">
        <f t="shared" si="1"/>
        <v>4035</v>
      </c>
      <c r="F24" s="26">
        <f t="shared" si="6"/>
        <v>107</v>
      </c>
      <c r="G24" s="22">
        <f t="shared" si="7"/>
        <v>9</v>
      </c>
      <c r="H24" s="25">
        <f t="shared" si="8"/>
        <v>2025</v>
      </c>
      <c r="I24" s="24">
        <v>-1760</v>
      </c>
      <c r="J24" s="28">
        <f t="shared" si="2"/>
        <v>3785</v>
      </c>
      <c r="K24" s="22">
        <f t="shared" si="9"/>
        <v>102</v>
      </c>
      <c r="L24" s="22">
        <f t="shared" si="10"/>
        <v>9</v>
      </c>
      <c r="M24" s="25">
        <f t="shared" si="11"/>
        <v>2095</v>
      </c>
      <c r="N24" s="24">
        <v>-1242</v>
      </c>
      <c r="O24" s="28">
        <f t="shared" si="3"/>
        <v>3337</v>
      </c>
      <c r="P24" s="22">
        <f t="shared" si="12"/>
        <v>87</v>
      </c>
      <c r="Q24" s="29"/>
      <c r="R24" s="30"/>
    </row>
    <row r="25" spans="1:18" ht="15" customHeight="1" x14ac:dyDescent="0.2">
      <c r="A25" s="21">
        <v>45742</v>
      </c>
      <c r="B25" s="22">
        <f t="shared" si="4"/>
        <v>10</v>
      </c>
      <c r="C25" s="25">
        <f t="shared" si="5"/>
        <v>2013</v>
      </c>
      <c r="D25" s="24">
        <v>-2022</v>
      </c>
      <c r="E25" s="25">
        <f t="shared" si="1"/>
        <v>4035</v>
      </c>
      <c r="F25" s="26">
        <f t="shared" si="6"/>
        <v>124</v>
      </c>
      <c r="G25" s="22">
        <f t="shared" si="7"/>
        <v>10</v>
      </c>
      <c r="H25" s="25">
        <f t="shared" si="8"/>
        <v>2007</v>
      </c>
      <c r="I25" s="24">
        <v>-1778</v>
      </c>
      <c r="J25" s="28">
        <f t="shared" si="2"/>
        <v>3785</v>
      </c>
      <c r="K25" s="22">
        <f t="shared" si="9"/>
        <v>120</v>
      </c>
      <c r="L25" s="22">
        <f t="shared" si="10"/>
        <v>10</v>
      </c>
      <c r="M25" s="25">
        <f t="shared" si="11"/>
        <v>2103</v>
      </c>
      <c r="N25" s="24">
        <v>-1234</v>
      </c>
      <c r="O25" s="28">
        <f t="shared" si="3"/>
        <v>3337</v>
      </c>
      <c r="P25" s="22">
        <f t="shared" si="12"/>
        <v>79</v>
      </c>
      <c r="Q25" s="29"/>
      <c r="R25" s="30"/>
    </row>
    <row r="26" spans="1:18" ht="15" customHeight="1" x14ac:dyDescent="0.2">
      <c r="A26" s="21">
        <v>45743</v>
      </c>
      <c r="B26" s="22">
        <f t="shared" si="4"/>
        <v>11</v>
      </c>
      <c r="C26" s="25">
        <f t="shared" si="5"/>
        <v>2007</v>
      </c>
      <c r="D26" s="24">
        <v>-2028</v>
      </c>
      <c r="E26" s="25">
        <f t="shared" si="1"/>
        <v>4035</v>
      </c>
      <c r="F26" s="26">
        <f t="shared" si="6"/>
        <v>130</v>
      </c>
      <c r="G26" s="22">
        <f t="shared" si="7"/>
        <v>11</v>
      </c>
      <c r="H26" s="25">
        <f t="shared" si="8"/>
        <v>2001</v>
      </c>
      <c r="I26" s="24">
        <v>-1784</v>
      </c>
      <c r="J26" s="28">
        <f t="shared" si="2"/>
        <v>3785</v>
      </c>
      <c r="K26" s="22">
        <f t="shared" si="9"/>
        <v>126</v>
      </c>
      <c r="L26" s="22">
        <f t="shared" si="10"/>
        <v>11</v>
      </c>
      <c r="M26" s="25">
        <f t="shared" si="11"/>
        <v>2077</v>
      </c>
      <c r="N26" s="24">
        <v>-1260</v>
      </c>
      <c r="O26" s="28">
        <f t="shared" si="3"/>
        <v>3337</v>
      </c>
      <c r="P26" s="22">
        <f t="shared" si="12"/>
        <v>105</v>
      </c>
      <c r="Q26" s="29"/>
      <c r="R26" s="30"/>
    </row>
    <row r="27" spans="1:18" ht="15" customHeight="1" x14ac:dyDescent="0.2">
      <c r="A27" s="21">
        <v>45744</v>
      </c>
      <c r="B27" s="22">
        <f t="shared" si="4"/>
        <v>12</v>
      </c>
      <c r="C27" s="25">
        <f t="shared" si="5"/>
        <v>2002</v>
      </c>
      <c r="D27" s="24">
        <v>-2033</v>
      </c>
      <c r="E27" s="25">
        <f t="shared" si="1"/>
        <v>4035</v>
      </c>
      <c r="F27" s="26">
        <f t="shared" si="6"/>
        <v>135</v>
      </c>
      <c r="G27" s="22">
        <f t="shared" si="7"/>
        <v>12</v>
      </c>
      <c r="H27" s="25">
        <f t="shared" si="8"/>
        <v>1992</v>
      </c>
      <c r="I27" s="24">
        <v>-1793</v>
      </c>
      <c r="J27" s="28">
        <f t="shared" si="2"/>
        <v>3785</v>
      </c>
      <c r="K27" s="22">
        <f t="shared" si="9"/>
        <v>135</v>
      </c>
      <c r="L27" s="22">
        <f t="shared" si="10"/>
        <v>12</v>
      </c>
      <c r="M27" s="25">
        <f t="shared" si="11"/>
        <v>2071</v>
      </c>
      <c r="N27" s="24">
        <v>-1266</v>
      </c>
      <c r="O27" s="28">
        <f t="shared" si="3"/>
        <v>3337</v>
      </c>
      <c r="P27" s="22">
        <f t="shared" si="12"/>
        <v>111</v>
      </c>
      <c r="Q27" s="29"/>
      <c r="R27" s="30"/>
    </row>
    <row r="28" spans="1:18" ht="15" customHeight="1" x14ac:dyDescent="0.2">
      <c r="A28" s="21">
        <v>45745</v>
      </c>
      <c r="B28" s="22">
        <f t="shared" si="4"/>
        <v>13</v>
      </c>
      <c r="C28" s="25">
        <f t="shared" si="5"/>
        <v>1995</v>
      </c>
      <c r="D28" s="24">
        <v>-2040</v>
      </c>
      <c r="E28" s="25">
        <f t="shared" si="1"/>
        <v>4035</v>
      </c>
      <c r="F28" s="26">
        <f t="shared" si="6"/>
        <v>142</v>
      </c>
      <c r="G28" s="22">
        <f t="shared" si="7"/>
        <v>13</v>
      </c>
      <c r="H28" s="25">
        <f t="shared" si="8"/>
        <v>1985</v>
      </c>
      <c r="I28" s="24">
        <v>-1800</v>
      </c>
      <c r="J28" s="28">
        <f t="shared" si="2"/>
        <v>3785</v>
      </c>
      <c r="K28" s="22">
        <f t="shared" si="9"/>
        <v>142</v>
      </c>
      <c r="L28" s="22">
        <f t="shared" si="10"/>
        <v>13</v>
      </c>
      <c r="M28" s="25">
        <f t="shared" si="11"/>
        <v>2066</v>
      </c>
      <c r="N28" s="24">
        <v>-1271</v>
      </c>
      <c r="O28" s="28">
        <f t="shared" si="3"/>
        <v>3337</v>
      </c>
      <c r="P28" s="22">
        <f t="shared" si="12"/>
        <v>116</v>
      </c>
      <c r="Q28" s="29"/>
      <c r="R28" s="30"/>
    </row>
    <row r="29" spans="1:18" ht="15" customHeight="1" x14ac:dyDescent="0.2">
      <c r="A29" s="21">
        <v>45746</v>
      </c>
      <c r="B29" s="22">
        <f t="shared" si="4"/>
        <v>14</v>
      </c>
      <c r="C29" s="25">
        <f t="shared" si="5"/>
        <v>1988</v>
      </c>
      <c r="D29" s="24">
        <v>-2047</v>
      </c>
      <c r="E29" s="25">
        <f t="shared" si="1"/>
        <v>4035</v>
      </c>
      <c r="F29" s="26">
        <f t="shared" si="6"/>
        <v>149</v>
      </c>
      <c r="G29" s="22">
        <f t="shared" si="7"/>
        <v>14</v>
      </c>
      <c r="H29" s="25">
        <f t="shared" si="8"/>
        <v>1977</v>
      </c>
      <c r="I29" s="24">
        <v>-1808</v>
      </c>
      <c r="J29" s="28">
        <f t="shared" si="2"/>
        <v>3785</v>
      </c>
      <c r="K29" s="22">
        <f t="shared" si="9"/>
        <v>150</v>
      </c>
      <c r="L29" s="22">
        <f t="shared" si="10"/>
        <v>14</v>
      </c>
      <c r="M29" s="25">
        <f t="shared" si="11"/>
        <v>2061</v>
      </c>
      <c r="N29" s="24">
        <v>-1276</v>
      </c>
      <c r="O29" s="28">
        <f t="shared" si="3"/>
        <v>3337</v>
      </c>
      <c r="P29" s="22">
        <f t="shared" si="12"/>
        <v>121</v>
      </c>
      <c r="Q29" s="29"/>
      <c r="R29" s="30"/>
    </row>
    <row r="30" spans="1:18" ht="15" customHeight="1" x14ac:dyDescent="0.2">
      <c r="A30" s="21">
        <v>45747</v>
      </c>
      <c r="B30" s="22">
        <f t="shared" si="4"/>
        <v>15</v>
      </c>
      <c r="C30" s="25">
        <f t="shared" si="5"/>
        <v>1982</v>
      </c>
      <c r="D30" s="24">
        <v>-2053</v>
      </c>
      <c r="E30" s="25">
        <f t="shared" si="1"/>
        <v>4035</v>
      </c>
      <c r="F30" s="26">
        <f t="shared" si="6"/>
        <v>155</v>
      </c>
      <c r="G30" s="22">
        <f t="shared" si="7"/>
        <v>15</v>
      </c>
      <c r="H30" s="25">
        <f t="shared" si="8"/>
        <v>1970</v>
      </c>
      <c r="I30" s="24">
        <v>-1815</v>
      </c>
      <c r="J30" s="28">
        <f t="shared" si="2"/>
        <v>3785</v>
      </c>
      <c r="K30" s="22">
        <f t="shared" si="9"/>
        <v>157</v>
      </c>
      <c r="L30" s="22">
        <f t="shared" si="10"/>
        <v>15</v>
      </c>
      <c r="M30" s="25">
        <f t="shared" si="11"/>
        <v>2055</v>
      </c>
      <c r="N30" s="24">
        <v>-1282</v>
      </c>
      <c r="O30" s="28">
        <f t="shared" si="3"/>
        <v>3337</v>
      </c>
      <c r="P30" s="22">
        <f t="shared" si="12"/>
        <v>127</v>
      </c>
      <c r="Q30" s="36"/>
      <c r="R30" s="30"/>
    </row>
    <row r="31" spans="1:18" ht="15" customHeight="1" x14ac:dyDescent="0.2">
      <c r="A31" s="21">
        <v>45748</v>
      </c>
      <c r="B31" s="22">
        <f t="shared" si="4"/>
        <v>16</v>
      </c>
      <c r="C31" s="25">
        <f t="shared" si="5"/>
        <v>1977</v>
      </c>
      <c r="D31" s="24">
        <v>-2058</v>
      </c>
      <c r="E31" s="25">
        <f t="shared" si="1"/>
        <v>4035</v>
      </c>
      <c r="F31" s="26">
        <f t="shared" si="6"/>
        <v>160</v>
      </c>
      <c r="G31" s="22">
        <f t="shared" si="7"/>
        <v>16</v>
      </c>
      <c r="H31" s="25">
        <f t="shared" si="8"/>
        <v>1957</v>
      </c>
      <c r="I31" s="24">
        <v>-1828</v>
      </c>
      <c r="J31" s="28">
        <f t="shared" si="2"/>
        <v>3785</v>
      </c>
      <c r="K31" s="22">
        <f t="shared" si="9"/>
        <v>170</v>
      </c>
      <c r="L31" s="22">
        <f t="shared" si="10"/>
        <v>16</v>
      </c>
      <c r="M31" s="25">
        <f t="shared" si="11"/>
        <v>2051</v>
      </c>
      <c r="N31" s="24">
        <v>-1286</v>
      </c>
      <c r="O31" s="28">
        <f t="shared" si="3"/>
        <v>3337</v>
      </c>
      <c r="P31" s="22">
        <f t="shared" si="12"/>
        <v>131</v>
      </c>
      <c r="Q31" s="36"/>
      <c r="R31" s="30"/>
    </row>
    <row r="32" spans="1:18" ht="15" customHeight="1" x14ac:dyDescent="0.2">
      <c r="A32" s="21">
        <v>45749</v>
      </c>
      <c r="B32" s="22">
        <f t="shared" si="4"/>
        <v>17</v>
      </c>
      <c r="C32" s="25">
        <f t="shared" si="5"/>
        <v>1971</v>
      </c>
      <c r="D32" s="24">
        <v>-2064</v>
      </c>
      <c r="E32" s="25">
        <f t="shared" si="1"/>
        <v>4035</v>
      </c>
      <c r="F32" s="26">
        <f t="shared" si="6"/>
        <v>166</v>
      </c>
      <c r="G32" s="22">
        <f t="shared" si="7"/>
        <v>17</v>
      </c>
      <c r="H32" s="25">
        <f t="shared" si="8"/>
        <v>1945</v>
      </c>
      <c r="I32" s="24">
        <v>-1840</v>
      </c>
      <c r="J32" s="28">
        <f t="shared" si="2"/>
        <v>3785</v>
      </c>
      <c r="K32" s="22">
        <f t="shared" si="9"/>
        <v>182</v>
      </c>
      <c r="L32" s="22">
        <f t="shared" si="10"/>
        <v>17</v>
      </c>
      <c r="M32" s="25">
        <f t="shared" si="11"/>
        <v>2047</v>
      </c>
      <c r="N32" s="24">
        <v>-1290</v>
      </c>
      <c r="O32" s="28">
        <f t="shared" si="3"/>
        <v>3337</v>
      </c>
      <c r="P32" s="22">
        <f t="shared" si="12"/>
        <v>135</v>
      </c>
      <c r="Q32" s="36"/>
      <c r="R32" s="30"/>
    </row>
    <row r="33" spans="1:18" ht="15" customHeight="1" x14ac:dyDescent="0.2">
      <c r="A33" s="21">
        <v>45750</v>
      </c>
      <c r="B33" s="22">
        <f t="shared" si="4"/>
        <v>18</v>
      </c>
      <c r="C33" s="25">
        <f t="shared" si="5"/>
        <v>1956</v>
      </c>
      <c r="D33" s="24">
        <v>-2079</v>
      </c>
      <c r="E33" s="25">
        <f t="shared" si="1"/>
        <v>4035</v>
      </c>
      <c r="F33" s="26">
        <f t="shared" si="6"/>
        <v>181</v>
      </c>
      <c r="G33" s="22">
        <f t="shared" si="7"/>
        <v>18</v>
      </c>
      <c r="H33" s="25">
        <f t="shared" si="8"/>
        <v>1940</v>
      </c>
      <c r="I33" s="24">
        <v>-1845</v>
      </c>
      <c r="J33" s="28">
        <f t="shared" si="2"/>
        <v>3785</v>
      </c>
      <c r="K33" s="22">
        <f t="shared" si="9"/>
        <v>187</v>
      </c>
      <c r="L33" s="22">
        <f t="shared" si="10"/>
        <v>18</v>
      </c>
      <c r="M33" s="25">
        <f t="shared" si="11"/>
        <v>2040</v>
      </c>
      <c r="N33" s="24">
        <v>-1297</v>
      </c>
      <c r="O33" s="28">
        <f t="shared" si="3"/>
        <v>3337</v>
      </c>
      <c r="P33" s="22">
        <f t="shared" si="12"/>
        <v>142</v>
      </c>
      <c r="Q33" s="36"/>
      <c r="R33" s="30"/>
    </row>
    <row r="34" spans="1:18" ht="15" customHeight="1" x14ac:dyDescent="0.2">
      <c r="A34" s="21">
        <v>45751</v>
      </c>
      <c r="B34" s="22">
        <f t="shared" si="4"/>
        <v>19</v>
      </c>
      <c r="C34" s="25">
        <f t="shared" si="5"/>
        <v>1950</v>
      </c>
      <c r="D34" s="24">
        <v>-2085</v>
      </c>
      <c r="E34" s="25">
        <f t="shared" si="1"/>
        <v>4035</v>
      </c>
      <c r="F34" s="26">
        <f t="shared" si="6"/>
        <v>187</v>
      </c>
      <c r="G34" s="22">
        <f t="shared" si="7"/>
        <v>19</v>
      </c>
      <c r="H34" s="25">
        <f t="shared" si="8"/>
        <v>1935</v>
      </c>
      <c r="I34" s="24">
        <v>-1850</v>
      </c>
      <c r="J34" s="28">
        <f t="shared" si="2"/>
        <v>3785</v>
      </c>
      <c r="K34" s="22">
        <f t="shared" si="9"/>
        <v>192</v>
      </c>
      <c r="L34" s="22">
        <f t="shared" si="10"/>
        <v>19</v>
      </c>
      <c r="M34" s="25">
        <f t="shared" si="11"/>
        <v>2032</v>
      </c>
      <c r="N34" s="24">
        <v>-1305</v>
      </c>
      <c r="O34" s="28">
        <f t="shared" si="3"/>
        <v>3337</v>
      </c>
      <c r="P34" s="22">
        <f t="shared" si="12"/>
        <v>150</v>
      </c>
      <c r="Q34" s="36"/>
      <c r="R34" s="30"/>
    </row>
    <row r="35" spans="1:18" ht="15" customHeight="1" x14ac:dyDescent="0.2">
      <c r="A35" s="21">
        <v>45752</v>
      </c>
      <c r="B35" s="22">
        <f t="shared" si="4"/>
        <v>20</v>
      </c>
      <c r="C35" s="25">
        <f t="shared" si="5"/>
        <v>1948</v>
      </c>
      <c r="D35" s="24">
        <v>-2087</v>
      </c>
      <c r="E35" s="25">
        <f t="shared" si="1"/>
        <v>4035</v>
      </c>
      <c r="F35" s="26">
        <f t="shared" si="6"/>
        <v>189</v>
      </c>
      <c r="G35" s="22">
        <f t="shared" si="7"/>
        <v>20</v>
      </c>
      <c r="H35" s="25">
        <f t="shared" si="8"/>
        <v>1930</v>
      </c>
      <c r="I35" s="24">
        <v>-1855</v>
      </c>
      <c r="J35" s="28">
        <f t="shared" si="2"/>
        <v>3785</v>
      </c>
      <c r="K35" s="22">
        <f t="shared" si="9"/>
        <v>197</v>
      </c>
      <c r="L35" s="22">
        <f t="shared" si="10"/>
        <v>20</v>
      </c>
      <c r="M35" s="25">
        <f t="shared" si="11"/>
        <v>2022</v>
      </c>
      <c r="N35" s="24">
        <v>-1315</v>
      </c>
      <c r="O35" s="28">
        <f t="shared" si="3"/>
        <v>3337</v>
      </c>
      <c r="P35" s="22">
        <f t="shared" si="12"/>
        <v>160</v>
      </c>
      <c r="Q35" s="36"/>
      <c r="R35" s="30"/>
    </row>
    <row r="36" spans="1:18" ht="15" customHeight="1" x14ac:dyDescent="0.2">
      <c r="A36" s="21">
        <v>45753</v>
      </c>
      <c r="B36" s="22">
        <f t="shared" si="4"/>
        <v>21</v>
      </c>
      <c r="C36" s="25">
        <f t="shared" si="5"/>
        <v>1945</v>
      </c>
      <c r="D36" s="24">
        <v>-2090</v>
      </c>
      <c r="E36" s="25">
        <f t="shared" si="1"/>
        <v>4035</v>
      </c>
      <c r="F36" s="26">
        <f t="shared" si="6"/>
        <v>192</v>
      </c>
      <c r="G36" s="22">
        <f t="shared" si="7"/>
        <v>21</v>
      </c>
      <c r="H36" s="25">
        <f t="shared" si="8"/>
        <v>1925</v>
      </c>
      <c r="I36" s="24">
        <v>-1860</v>
      </c>
      <c r="J36" s="28">
        <f t="shared" si="2"/>
        <v>3785</v>
      </c>
      <c r="K36" s="22">
        <f t="shared" si="9"/>
        <v>202</v>
      </c>
      <c r="L36" s="22">
        <f t="shared" si="10"/>
        <v>21</v>
      </c>
      <c r="M36" s="25">
        <f t="shared" si="11"/>
        <v>2015</v>
      </c>
      <c r="N36" s="24">
        <v>-1322</v>
      </c>
      <c r="O36" s="28">
        <f t="shared" si="3"/>
        <v>3337</v>
      </c>
      <c r="P36" s="22">
        <f t="shared" si="12"/>
        <v>167</v>
      </c>
      <c r="Q36" s="36"/>
      <c r="R36" s="30"/>
    </row>
    <row r="37" spans="1:18" ht="15" customHeight="1" x14ac:dyDescent="0.2">
      <c r="A37" s="21">
        <v>45754</v>
      </c>
      <c r="B37" s="22">
        <f t="shared" si="4"/>
        <v>22</v>
      </c>
      <c r="C37" s="25">
        <f t="shared" si="5"/>
        <v>1940</v>
      </c>
      <c r="D37" s="24">
        <v>-2095</v>
      </c>
      <c r="E37" s="25">
        <f t="shared" si="1"/>
        <v>4035</v>
      </c>
      <c r="F37" s="26">
        <f t="shared" si="6"/>
        <v>197</v>
      </c>
      <c r="G37" s="22">
        <f t="shared" si="7"/>
        <v>22</v>
      </c>
      <c r="H37" s="25">
        <f t="shared" si="8"/>
        <v>1918</v>
      </c>
      <c r="I37" s="24">
        <v>-1867</v>
      </c>
      <c r="J37" s="28">
        <f t="shared" si="2"/>
        <v>3785</v>
      </c>
      <c r="K37" s="22">
        <f t="shared" si="9"/>
        <v>209</v>
      </c>
      <c r="L37" s="22">
        <f t="shared" si="10"/>
        <v>22</v>
      </c>
      <c r="M37" s="25">
        <f t="shared" si="11"/>
        <v>2012</v>
      </c>
      <c r="N37" s="24">
        <v>-1325</v>
      </c>
      <c r="O37" s="28">
        <f t="shared" si="3"/>
        <v>3337</v>
      </c>
      <c r="P37" s="22">
        <f t="shared" si="12"/>
        <v>170</v>
      </c>
      <c r="Q37" s="36"/>
      <c r="R37" s="30"/>
    </row>
    <row r="38" spans="1:18" ht="12.75" x14ac:dyDescent="0.2">
      <c r="A38" s="21">
        <v>45755</v>
      </c>
      <c r="B38" s="22">
        <f t="shared" si="4"/>
        <v>23</v>
      </c>
      <c r="C38" s="25">
        <f t="shared" si="5"/>
        <v>1935</v>
      </c>
      <c r="D38" s="24">
        <v>-2100</v>
      </c>
      <c r="E38" s="25">
        <f t="shared" si="1"/>
        <v>4035</v>
      </c>
      <c r="F38" s="26">
        <f t="shared" si="6"/>
        <v>202</v>
      </c>
      <c r="G38" s="22">
        <f t="shared" si="7"/>
        <v>23</v>
      </c>
      <c r="H38" s="25">
        <f t="shared" si="8"/>
        <v>1912</v>
      </c>
      <c r="I38" s="24">
        <v>-1873</v>
      </c>
      <c r="J38" s="28">
        <f t="shared" si="2"/>
        <v>3785</v>
      </c>
      <c r="K38" s="22">
        <f t="shared" si="9"/>
        <v>215</v>
      </c>
      <c r="L38" s="22">
        <f t="shared" si="10"/>
        <v>23</v>
      </c>
      <c r="M38" s="25">
        <f t="shared" si="11"/>
        <v>2009</v>
      </c>
      <c r="N38" s="24">
        <v>-1328</v>
      </c>
      <c r="O38" s="28">
        <f t="shared" si="3"/>
        <v>3337</v>
      </c>
      <c r="P38" s="22">
        <f t="shared" si="12"/>
        <v>173</v>
      </c>
      <c r="Q38" s="36"/>
      <c r="R38" s="30"/>
    </row>
    <row r="39" spans="1:18" ht="12.75" x14ac:dyDescent="0.2">
      <c r="A39" s="21">
        <v>45756</v>
      </c>
      <c r="B39" s="22">
        <f t="shared" si="4"/>
        <v>24</v>
      </c>
      <c r="C39" s="25">
        <f t="shared" si="5"/>
        <v>1926</v>
      </c>
      <c r="D39" s="24">
        <v>-2109</v>
      </c>
      <c r="E39" s="25">
        <f t="shared" si="1"/>
        <v>4035</v>
      </c>
      <c r="F39" s="26">
        <f t="shared" si="6"/>
        <v>211</v>
      </c>
      <c r="G39" s="22">
        <f t="shared" si="7"/>
        <v>24</v>
      </c>
      <c r="H39" s="25">
        <f t="shared" si="8"/>
        <v>1901</v>
      </c>
      <c r="I39" s="24">
        <v>-1884</v>
      </c>
      <c r="J39" s="28">
        <f t="shared" si="2"/>
        <v>3785</v>
      </c>
      <c r="K39" s="22">
        <f t="shared" si="9"/>
        <v>226</v>
      </c>
      <c r="L39" s="22">
        <f t="shared" si="10"/>
        <v>24</v>
      </c>
      <c r="M39" s="25">
        <f t="shared" si="11"/>
        <v>2002</v>
      </c>
      <c r="N39" s="24">
        <v>-1330</v>
      </c>
      <c r="O39" s="28">
        <f>M39-N40</f>
        <v>3337</v>
      </c>
      <c r="P39" s="22">
        <f>$N$16-N40</f>
        <v>180</v>
      </c>
      <c r="Q39" s="36"/>
      <c r="R39" s="30"/>
    </row>
    <row r="40" spans="1:18" ht="12.75" x14ac:dyDescent="0.2">
      <c r="A40" s="21">
        <v>45757</v>
      </c>
      <c r="B40" s="22">
        <f t="shared" si="4"/>
        <v>25</v>
      </c>
      <c r="C40" s="25">
        <f t="shared" si="5"/>
        <v>1915</v>
      </c>
      <c r="D40" s="24">
        <v>-2120</v>
      </c>
      <c r="E40" s="25">
        <f t="shared" si="1"/>
        <v>4035</v>
      </c>
      <c r="F40" s="26">
        <f t="shared" si="6"/>
        <v>222</v>
      </c>
      <c r="G40" s="22">
        <f t="shared" si="7"/>
        <v>25</v>
      </c>
      <c r="H40" s="25">
        <f t="shared" si="8"/>
        <v>1895</v>
      </c>
      <c r="I40" s="24">
        <v>-1890</v>
      </c>
      <c r="J40" s="28">
        <f t="shared" si="2"/>
        <v>3785</v>
      </c>
      <c r="K40" s="22">
        <f t="shared" si="9"/>
        <v>232</v>
      </c>
      <c r="L40" s="22">
        <f t="shared" si="10"/>
        <v>25</v>
      </c>
      <c r="M40" s="23" t="e">
        <f t="shared" si="11"/>
        <v>#REF!</v>
      </c>
      <c r="N40" s="24">
        <v>-1335</v>
      </c>
      <c r="O40" s="28" t="e">
        <f>M40-#REF!</f>
        <v>#REF!</v>
      </c>
      <c r="P40" s="22" t="e">
        <f>$N$16-#REF!</f>
        <v>#REF!</v>
      </c>
      <c r="Q40" s="36"/>
      <c r="R40" s="30"/>
    </row>
    <row r="41" spans="1:18" ht="12.75" x14ac:dyDescent="0.2">
      <c r="A41" s="21">
        <v>45758</v>
      </c>
      <c r="B41" s="22">
        <f t="shared" si="4"/>
        <v>26</v>
      </c>
      <c r="C41" s="25">
        <f t="shared" si="5"/>
        <v>1913</v>
      </c>
      <c r="D41" s="24">
        <v>-2122</v>
      </c>
      <c r="E41" s="25">
        <f t="shared" si="1"/>
        <v>4035</v>
      </c>
      <c r="F41" s="26">
        <f t="shared" si="6"/>
        <v>224</v>
      </c>
      <c r="G41" s="22">
        <f t="shared" si="7"/>
        <v>26</v>
      </c>
      <c r="H41" s="25">
        <f t="shared" si="8"/>
        <v>1885</v>
      </c>
      <c r="I41" s="24">
        <v>-1900</v>
      </c>
      <c r="J41" s="28">
        <f t="shared" si="2"/>
        <v>3785</v>
      </c>
      <c r="K41" s="22">
        <f t="shared" si="9"/>
        <v>242</v>
      </c>
      <c r="L41" s="22">
        <f t="shared" si="10"/>
        <v>26</v>
      </c>
      <c r="M41" s="25">
        <f t="shared" si="11"/>
        <v>1997</v>
      </c>
      <c r="N41" s="24">
        <v>-1340</v>
      </c>
      <c r="O41" s="28">
        <f t="shared" ref="O41:O148" si="13">M41-N41</f>
        <v>3337</v>
      </c>
      <c r="P41" s="22">
        <f t="shared" ref="P41:P148" si="14">$N$16-N41</f>
        <v>185</v>
      </c>
      <c r="Q41" s="36"/>
      <c r="R41" s="30"/>
    </row>
    <row r="42" spans="1:18" ht="12.75" x14ac:dyDescent="0.2">
      <c r="A42" s="21">
        <v>45759</v>
      </c>
      <c r="B42" s="22">
        <f t="shared" si="4"/>
        <v>27</v>
      </c>
      <c r="C42" s="25">
        <f t="shared" si="5"/>
        <v>1910</v>
      </c>
      <c r="D42" s="24">
        <v>-2125</v>
      </c>
      <c r="E42" s="25">
        <f t="shared" si="1"/>
        <v>4035</v>
      </c>
      <c r="F42" s="26">
        <f t="shared" si="6"/>
        <v>227</v>
      </c>
      <c r="G42" s="22">
        <f t="shared" si="7"/>
        <v>27</v>
      </c>
      <c r="H42" s="25">
        <f t="shared" si="8"/>
        <v>1880</v>
      </c>
      <c r="I42" s="24">
        <v>-1905</v>
      </c>
      <c r="J42" s="28">
        <f t="shared" si="2"/>
        <v>3785</v>
      </c>
      <c r="K42" s="22">
        <f t="shared" si="9"/>
        <v>247</v>
      </c>
      <c r="L42" s="22">
        <f t="shared" si="10"/>
        <v>27</v>
      </c>
      <c r="M42" s="25">
        <f t="shared" si="11"/>
        <v>1992</v>
      </c>
      <c r="N42" s="24">
        <v>-1345</v>
      </c>
      <c r="O42" s="28">
        <f t="shared" si="13"/>
        <v>3337</v>
      </c>
      <c r="P42" s="22">
        <f t="shared" si="14"/>
        <v>190</v>
      </c>
      <c r="Q42" s="36"/>
      <c r="R42" s="30"/>
    </row>
    <row r="43" spans="1:18" ht="12.75" x14ac:dyDescent="0.2">
      <c r="A43" s="21">
        <v>45760</v>
      </c>
      <c r="B43" s="22">
        <f t="shared" si="4"/>
        <v>28</v>
      </c>
      <c r="C43" s="25">
        <f t="shared" si="5"/>
        <v>1905</v>
      </c>
      <c r="D43" s="24">
        <v>-2130</v>
      </c>
      <c r="E43" s="25">
        <f t="shared" si="1"/>
        <v>4035</v>
      </c>
      <c r="F43" s="26">
        <f t="shared" si="6"/>
        <v>232</v>
      </c>
      <c r="G43" s="22">
        <f t="shared" si="7"/>
        <v>28</v>
      </c>
      <c r="H43" s="25">
        <f t="shared" si="8"/>
        <v>1873</v>
      </c>
      <c r="I43" s="24">
        <v>-1912</v>
      </c>
      <c r="J43" s="28">
        <f t="shared" si="2"/>
        <v>3785</v>
      </c>
      <c r="K43" s="22">
        <f t="shared" si="9"/>
        <v>254</v>
      </c>
      <c r="L43" s="22">
        <f t="shared" si="10"/>
        <v>28</v>
      </c>
      <c r="M43" s="25">
        <f t="shared" si="11"/>
        <v>1987</v>
      </c>
      <c r="N43" s="24">
        <v>-1350</v>
      </c>
      <c r="O43" s="28">
        <f t="shared" si="13"/>
        <v>3337</v>
      </c>
      <c r="P43" s="22">
        <f t="shared" si="14"/>
        <v>195</v>
      </c>
      <c r="Q43" s="36"/>
      <c r="R43" s="30"/>
    </row>
    <row r="44" spans="1:18" ht="12.75" x14ac:dyDescent="0.2">
      <c r="A44" s="21">
        <v>45761</v>
      </c>
      <c r="B44" s="22">
        <f t="shared" si="4"/>
        <v>29</v>
      </c>
      <c r="C44" s="25">
        <f t="shared" si="5"/>
        <v>1900</v>
      </c>
      <c r="D44" s="24">
        <v>-2135</v>
      </c>
      <c r="E44" s="25">
        <f t="shared" si="1"/>
        <v>4035</v>
      </c>
      <c r="F44" s="26">
        <f t="shared" si="6"/>
        <v>237</v>
      </c>
      <c r="G44" s="22">
        <f t="shared" si="7"/>
        <v>29</v>
      </c>
      <c r="H44" s="25">
        <f t="shared" si="8"/>
        <v>1870</v>
      </c>
      <c r="I44" s="24">
        <v>-1915</v>
      </c>
      <c r="J44" s="28">
        <f t="shared" si="2"/>
        <v>3785</v>
      </c>
      <c r="K44" s="22">
        <f t="shared" si="9"/>
        <v>257</v>
      </c>
      <c r="L44" s="22">
        <f t="shared" si="10"/>
        <v>29</v>
      </c>
      <c r="M44" s="25">
        <f t="shared" si="11"/>
        <v>1982</v>
      </c>
      <c r="N44" s="24">
        <v>-1355</v>
      </c>
      <c r="O44" s="28">
        <f t="shared" si="13"/>
        <v>3337</v>
      </c>
      <c r="P44" s="22">
        <f t="shared" si="14"/>
        <v>200</v>
      </c>
      <c r="Q44" s="36"/>
      <c r="R44" s="30"/>
    </row>
    <row r="45" spans="1:18" ht="12.75" x14ac:dyDescent="0.2">
      <c r="A45" s="21">
        <v>45762</v>
      </c>
      <c r="B45" s="22">
        <f t="shared" si="4"/>
        <v>30</v>
      </c>
      <c r="C45" s="25">
        <f t="shared" si="5"/>
        <v>1895</v>
      </c>
      <c r="D45" s="24">
        <v>-2140</v>
      </c>
      <c r="E45" s="25">
        <f t="shared" si="1"/>
        <v>4035</v>
      </c>
      <c r="F45" s="26">
        <f t="shared" si="6"/>
        <v>242</v>
      </c>
      <c r="G45" s="22">
        <f t="shared" si="7"/>
        <v>30</v>
      </c>
      <c r="H45" s="25">
        <f t="shared" si="8"/>
        <v>1867</v>
      </c>
      <c r="I45" s="24">
        <v>-1918</v>
      </c>
      <c r="J45" s="28">
        <f t="shared" si="2"/>
        <v>3785</v>
      </c>
      <c r="K45" s="22">
        <f t="shared" si="9"/>
        <v>260</v>
      </c>
      <c r="L45" s="22">
        <f t="shared" si="10"/>
        <v>30</v>
      </c>
      <c r="M45" s="25">
        <f t="shared" si="11"/>
        <v>1977</v>
      </c>
      <c r="N45" s="24">
        <v>-1360</v>
      </c>
      <c r="O45" s="28">
        <f t="shared" si="13"/>
        <v>3337</v>
      </c>
      <c r="P45" s="22">
        <f t="shared" si="14"/>
        <v>205</v>
      </c>
      <c r="Q45" s="36"/>
      <c r="R45" s="30"/>
    </row>
    <row r="46" spans="1:18" ht="12.75" x14ac:dyDescent="0.2">
      <c r="A46" s="21">
        <v>45763</v>
      </c>
      <c r="B46" s="22">
        <f t="shared" si="4"/>
        <v>31</v>
      </c>
      <c r="C46" s="25">
        <f t="shared" si="5"/>
        <v>1890</v>
      </c>
      <c r="D46" s="24">
        <v>-2145</v>
      </c>
      <c r="E46" s="25">
        <f t="shared" si="1"/>
        <v>4035</v>
      </c>
      <c r="F46" s="26">
        <f t="shared" si="6"/>
        <v>247</v>
      </c>
      <c r="G46" s="22">
        <f t="shared" si="7"/>
        <v>31</v>
      </c>
      <c r="H46" s="25">
        <f t="shared" si="8"/>
        <v>1860</v>
      </c>
      <c r="I46" s="24">
        <v>-1925</v>
      </c>
      <c r="J46" s="28">
        <f t="shared" si="2"/>
        <v>3785</v>
      </c>
      <c r="K46" s="22">
        <f t="shared" si="9"/>
        <v>267</v>
      </c>
      <c r="L46" s="22">
        <f t="shared" si="10"/>
        <v>31</v>
      </c>
      <c r="M46" s="25">
        <f t="shared" si="11"/>
        <v>1972</v>
      </c>
      <c r="N46" s="24">
        <v>-1365</v>
      </c>
      <c r="O46" s="28">
        <f t="shared" si="13"/>
        <v>3337</v>
      </c>
      <c r="P46" s="22">
        <f t="shared" si="14"/>
        <v>210</v>
      </c>
      <c r="Q46" s="36"/>
      <c r="R46" s="30"/>
    </row>
    <row r="47" spans="1:18" ht="12.75" x14ac:dyDescent="0.2">
      <c r="A47" s="21">
        <v>45764</v>
      </c>
      <c r="B47" s="22">
        <f t="shared" si="4"/>
        <v>32</v>
      </c>
      <c r="C47" s="25">
        <f t="shared" si="5"/>
        <v>1885</v>
      </c>
      <c r="D47" s="24">
        <v>-2150</v>
      </c>
      <c r="E47" s="25">
        <f t="shared" si="1"/>
        <v>4035</v>
      </c>
      <c r="F47" s="26">
        <f t="shared" si="6"/>
        <v>252</v>
      </c>
      <c r="G47" s="22">
        <f t="shared" si="7"/>
        <v>32</v>
      </c>
      <c r="H47" s="25">
        <f t="shared" si="8"/>
        <v>1853</v>
      </c>
      <c r="I47" s="24">
        <v>-1932</v>
      </c>
      <c r="J47" s="28">
        <f t="shared" si="2"/>
        <v>3785</v>
      </c>
      <c r="K47" s="22">
        <f t="shared" si="9"/>
        <v>274</v>
      </c>
      <c r="L47" s="22">
        <f t="shared" si="10"/>
        <v>32</v>
      </c>
      <c r="M47" s="25">
        <f t="shared" si="11"/>
        <v>1967</v>
      </c>
      <c r="N47" s="24">
        <v>-1370</v>
      </c>
      <c r="O47" s="28">
        <f t="shared" si="13"/>
        <v>3337</v>
      </c>
      <c r="P47" s="22">
        <f t="shared" si="14"/>
        <v>215</v>
      </c>
      <c r="Q47" s="36"/>
      <c r="R47" s="30"/>
    </row>
    <row r="48" spans="1:18" ht="12.75" x14ac:dyDescent="0.2">
      <c r="A48" s="21">
        <v>45765</v>
      </c>
      <c r="B48" s="22">
        <f t="shared" si="4"/>
        <v>33</v>
      </c>
      <c r="C48" s="25">
        <f t="shared" si="5"/>
        <v>1878</v>
      </c>
      <c r="D48" s="24">
        <v>-2157</v>
      </c>
      <c r="E48" s="25">
        <f t="shared" si="1"/>
        <v>4035</v>
      </c>
      <c r="F48" s="26">
        <f t="shared" si="6"/>
        <v>259</v>
      </c>
      <c r="G48" s="22">
        <f t="shared" si="7"/>
        <v>33</v>
      </c>
      <c r="H48" s="25">
        <f t="shared" si="8"/>
        <v>1846</v>
      </c>
      <c r="I48" s="24">
        <v>-1939</v>
      </c>
      <c r="J48" s="28">
        <f t="shared" si="2"/>
        <v>3785</v>
      </c>
      <c r="K48" s="22">
        <f t="shared" si="9"/>
        <v>281</v>
      </c>
      <c r="L48" s="22">
        <f t="shared" si="10"/>
        <v>33</v>
      </c>
      <c r="M48" s="25">
        <f t="shared" si="11"/>
        <v>1959</v>
      </c>
      <c r="N48" s="24">
        <v>-1378</v>
      </c>
      <c r="O48" s="28">
        <f t="shared" si="13"/>
        <v>3337</v>
      </c>
      <c r="P48" s="22">
        <f t="shared" si="14"/>
        <v>223</v>
      </c>
      <c r="Q48" s="36"/>
      <c r="R48" s="30"/>
    </row>
    <row r="49" spans="1:18" ht="12.75" x14ac:dyDescent="0.2">
      <c r="A49" s="21">
        <v>45766</v>
      </c>
      <c r="B49" s="22">
        <f t="shared" si="4"/>
        <v>34</v>
      </c>
      <c r="C49" s="25">
        <f t="shared" si="5"/>
        <v>1871</v>
      </c>
      <c r="D49" s="24">
        <v>-2164</v>
      </c>
      <c r="E49" s="25">
        <f t="shared" si="1"/>
        <v>4035</v>
      </c>
      <c r="F49" s="26">
        <f t="shared" si="6"/>
        <v>266</v>
      </c>
      <c r="G49" s="22">
        <f t="shared" si="7"/>
        <v>34</v>
      </c>
      <c r="H49" s="25">
        <f t="shared" si="8"/>
        <v>1838</v>
      </c>
      <c r="I49" s="24">
        <v>-1947</v>
      </c>
      <c r="J49" s="28">
        <f t="shared" si="2"/>
        <v>3785</v>
      </c>
      <c r="K49" s="22">
        <f t="shared" si="9"/>
        <v>289</v>
      </c>
      <c r="L49" s="22">
        <f t="shared" si="10"/>
        <v>34</v>
      </c>
      <c r="M49" s="25">
        <f t="shared" si="11"/>
        <v>1951</v>
      </c>
      <c r="N49" s="24">
        <v>-1386</v>
      </c>
      <c r="O49" s="28">
        <f t="shared" si="13"/>
        <v>3337</v>
      </c>
      <c r="P49" s="22">
        <f t="shared" si="14"/>
        <v>231</v>
      </c>
      <c r="Q49" s="36"/>
      <c r="R49" s="30"/>
    </row>
    <row r="50" spans="1:18" ht="12.75" x14ac:dyDescent="0.2">
      <c r="A50" s="21">
        <v>45767</v>
      </c>
      <c r="B50" s="22">
        <f t="shared" si="4"/>
        <v>35</v>
      </c>
      <c r="C50" s="25">
        <f t="shared" si="5"/>
        <v>1864</v>
      </c>
      <c r="D50" s="24">
        <v>-2171</v>
      </c>
      <c r="E50" s="25">
        <f t="shared" si="1"/>
        <v>4035</v>
      </c>
      <c r="F50" s="26">
        <f t="shared" si="6"/>
        <v>273</v>
      </c>
      <c r="G50" s="22">
        <f t="shared" si="7"/>
        <v>35</v>
      </c>
      <c r="H50" s="25">
        <f t="shared" si="8"/>
        <v>1830</v>
      </c>
      <c r="I50" s="24">
        <v>-1955</v>
      </c>
      <c r="J50" s="28">
        <f t="shared" si="2"/>
        <v>3785</v>
      </c>
      <c r="K50" s="22">
        <f t="shared" si="9"/>
        <v>297</v>
      </c>
      <c r="L50" s="22">
        <f t="shared" si="10"/>
        <v>35</v>
      </c>
      <c r="M50" s="25">
        <f t="shared" si="11"/>
        <v>1944</v>
      </c>
      <c r="N50" s="24">
        <v>-1393</v>
      </c>
      <c r="O50" s="28">
        <f t="shared" si="13"/>
        <v>3337</v>
      </c>
      <c r="P50" s="22">
        <f t="shared" si="14"/>
        <v>238</v>
      </c>
      <c r="Q50" s="36"/>
      <c r="R50" s="30"/>
    </row>
    <row r="51" spans="1:18" ht="12.75" x14ac:dyDescent="0.2">
      <c r="A51" s="21">
        <v>45768</v>
      </c>
      <c r="B51" s="22">
        <f t="shared" si="4"/>
        <v>36</v>
      </c>
      <c r="C51" s="25">
        <f t="shared" si="5"/>
        <v>1857</v>
      </c>
      <c r="D51" s="24">
        <v>-2178</v>
      </c>
      <c r="E51" s="25">
        <f t="shared" si="1"/>
        <v>4035</v>
      </c>
      <c r="F51" s="26">
        <f t="shared" si="6"/>
        <v>280</v>
      </c>
      <c r="G51" s="22">
        <f t="shared" si="7"/>
        <v>36</v>
      </c>
      <c r="H51" s="25">
        <f t="shared" si="8"/>
        <v>1822</v>
      </c>
      <c r="I51" s="24">
        <v>-1963</v>
      </c>
      <c r="J51" s="28">
        <f t="shared" si="2"/>
        <v>3785</v>
      </c>
      <c r="K51" s="22">
        <f t="shared" si="9"/>
        <v>305</v>
      </c>
      <c r="L51" s="22">
        <f t="shared" si="10"/>
        <v>36</v>
      </c>
      <c r="M51" s="25">
        <f t="shared" si="11"/>
        <v>1933</v>
      </c>
      <c r="N51" s="24">
        <v>-1404</v>
      </c>
      <c r="O51" s="28">
        <f t="shared" si="13"/>
        <v>3337</v>
      </c>
      <c r="P51" s="22">
        <f t="shared" si="14"/>
        <v>249</v>
      </c>
      <c r="Q51" s="36"/>
      <c r="R51" s="30"/>
    </row>
    <row r="52" spans="1:18" ht="12.75" x14ac:dyDescent="0.2">
      <c r="A52" s="21">
        <v>45769</v>
      </c>
      <c r="B52" s="22">
        <f t="shared" si="4"/>
        <v>37</v>
      </c>
      <c r="C52" s="25">
        <f t="shared" si="5"/>
        <v>1850</v>
      </c>
      <c r="D52" s="24">
        <v>-2185</v>
      </c>
      <c r="E52" s="25">
        <f t="shared" si="1"/>
        <v>4035</v>
      </c>
      <c r="F52" s="26">
        <f t="shared" si="6"/>
        <v>287</v>
      </c>
      <c r="G52" s="22">
        <f t="shared" si="7"/>
        <v>37</v>
      </c>
      <c r="H52" s="25">
        <f t="shared" si="8"/>
        <v>1815</v>
      </c>
      <c r="I52" s="24">
        <v>-1970</v>
      </c>
      <c r="J52" s="28">
        <f t="shared" si="2"/>
        <v>3785</v>
      </c>
      <c r="K52" s="22">
        <f t="shared" si="9"/>
        <v>312</v>
      </c>
      <c r="L52" s="22">
        <f t="shared" si="10"/>
        <v>37</v>
      </c>
      <c r="M52" s="25">
        <f t="shared" si="11"/>
        <v>1923</v>
      </c>
      <c r="N52" s="24">
        <v>-1414</v>
      </c>
      <c r="O52" s="28">
        <f t="shared" si="13"/>
        <v>3337</v>
      </c>
      <c r="P52" s="22">
        <f t="shared" si="14"/>
        <v>259</v>
      </c>
      <c r="Q52" s="36"/>
      <c r="R52" s="30"/>
    </row>
    <row r="53" spans="1:18" ht="12.75" x14ac:dyDescent="0.2">
      <c r="A53" s="21">
        <v>45770</v>
      </c>
      <c r="B53" s="22">
        <f t="shared" si="4"/>
        <v>38</v>
      </c>
      <c r="C53" s="25">
        <f t="shared" si="5"/>
        <v>1843</v>
      </c>
      <c r="D53" s="24">
        <v>-2192</v>
      </c>
      <c r="E53" s="25">
        <f t="shared" si="1"/>
        <v>4035</v>
      </c>
      <c r="F53" s="26">
        <f t="shared" si="6"/>
        <v>294</v>
      </c>
      <c r="G53" s="22">
        <f t="shared" si="7"/>
        <v>38</v>
      </c>
      <c r="H53" s="25">
        <f t="shared" si="8"/>
        <v>1808</v>
      </c>
      <c r="I53" s="24">
        <v>-1977</v>
      </c>
      <c r="J53" s="28">
        <f t="shared" si="2"/>
        <v>3785</v>
      </c>
      <c r="K53" s="22">
        <f t="shared" si="9"/>
        <v>319</v>
      </c>
      <c r="L53" s="22">
        <f t="shared" si="10"/>
        <v>38</v>
      </c>
      <c r="M53" s="25">
        <f t="shared" si="11"/>
        <v>1914</v>
      </c>
      <c r="N53" s="24">
        <v>-1423</v>
      </c>
      <c r="O53" s="28">
        <f t="shared" si="13"/>
        <v>3337</v>
      </c>
      <c r="P53" s="22">
        <f t="shared" si="14"/>
        <v>268</v>
      </c>
      <c r="Q53" s="36"/>
      <c r="R53" s="30"/>
    </row>
    <row r="54" spans="1:18" ht="12.75" x14ac:dyDescent="0.2">
      <c r="A54" s="21">
        <v>45771</v>
      </c>
      <c r="B54" s="22">
        <f t="shared" si="4"/>
        <v>39</v>
      </c>
      <c r="C54" s="25">
        <f t="shared" si="5"/>
        <v>1838</v>
      </c>
      <c r="D54" s="24">
        <v>-2197</v>
      </c>
      <c r="E54" s="25">
        <f t="shared" si="1"/>
        <v>4035</v>
      </c>
      <c r="F54" s="26">
        <f t="shared" si="6"/>
        <v>299</v>
      </c>
      <c r="G54" s="22">
        <f t="shared" si="7"/>
        <v>39</v>
      </c>
      <c r="H54" s="25">
        <f t="shared" si="8"/>
        <v>1802</v>
      </c>
      <c r="I54" s="24">
        <v>-1983</v>
      </c>
      <c r="J54" s="28">
        <f t="shared" si="2"/>
        <v>3785</v>
      </c>
      <c r="K54" s="22">
        <f t="shared" si="9"/>
        <v>325</v>
      </c>
      <c r="L54" s="22">
        <f t="shared" si="10"/>
        <v>39</v>
      </c>
      <c r="M54" s="25">
        <f t="shared" si="11"/>
        <v>1909</v>
      </c>
      <c r="N54" s="24">
        <v>-1428</v>
      </c>
      <c r="O54" s="28">
        <f t="shared" si="13"/>
        <v>3337</v>
      </c>
      <c r="P54" s="22">
        <f t="shared" si="14"/>
        <v>273</v>
      </c>
      <c r="Q54" s="36"/>
      <c r="R54" s="30"/>
    </row>
    <row r="55" spans="1:18" ht="12.75" x14ac:dyDescent="0.2">
      <c r="A55" s="21">
        <v>45772</v>
      </c>
      <c r="B55" s="22">
        <f t="shared" si="4"/>
        <v>40</v>
      </c>
      <c r="C55" s="25">
        <f t="shared" si="5"/>
        <v>1835</v>
      </c>
      <c r="D55" s="24">
        <v>-2200</v>
      </c>
      <c r="E55" s="25">
        <f t="shared" si="1"/>
        <v>4035</v>
      </c>
      <c r="F55" s="26">
        <f t="shared" si="6"/>
        <v>302</v>
      </c>
      <c r="G55" s="22">
        <f t="shared" si="7"/>
        <v>40</v>
      </c>
      <c r="H55" s="25">
        <f t="shared" si="8"/>
        <v>1798</v>
      </c>
      <c r="I55" s="24">
        <v>-1987</v>
      </c>
      <c r="J55" s="28">
        <f t="shared" si="2"/>
        <v>3785</v>
      </c>
      <c r="K55" s="22">
        <f t="shared" si="9"/>
        <v>329</v>
      </c>
      <c r="L55" s="22">
        <f t="shared" si="10"/>
        <v>40</v>
      </c>
      <c r="M55" s="25">
        <f t="shared" si="11"/>
        <v>1907</v>
      </c>
      <c r="N55" s="24">
        <v>-1430</v>
      </c>
      <c r="O55" s="28">
        <f t="shared" si="13"/>
        <v>3337</v>
      </c>
      <c r="P55" s="22">
        <f t="shared" si="14"/>
        <v>275</v>
      </c>
      <c r="Q55" s="36"/>
      <c r="R55" s="30"/>
    </row>
    <row r="56" spans="1:18" ht="12.75" x14ac:dyDescent="0.2">
      <c r="A56" s="21">
        <v>45773</v>
      </c>
      <c r="B56" s="22">
        <f t="shared" si="4"/>
        <v>41</v>
      </c>
      <c r="C56" s="25">
        <f t="shared" si="5"/>
        <v>1832</v>
      </c>
      <c r="D56" s="24">
        <v>-2203</v>
      </c>
      <c r="E56" s="25">
        <f t="shared" si="1"/>
        <v>4035</v>
      </c>
      <c r="F56" s="26">
        <f t="shared" si="6"/>
        <v>305</v>
      </c>
      <c r="G56" s="22">
        <f t="shared" si="7"/>
        <v>41</v>
      </c>
      <c r="H56" s="25">
        <f t="shared" si="8"/>
        <v>1795</v>
      </c>
      <c r="I56" s="24">
        <v>-1990</v>
      </c>
      <c r="J56" s="28">
        <f t="shared" si="2"/>
        <v>3785</v>
      </c>
      <c r="K56" s="22">
        <f t="shared" si="9"/>
        <v>332</v>
      </c>
      <c r="L56" s="22">
        <f t="shared" si="10"/>
        <v>41</v>
      </c>
      <c r="M56" s="25">
        <f t="shared" si="11"/>
        <v>1905</v>
      </c>
      <c r="N56" s="24">
        <v>-1432</v>
      </c>
      <c r="O56" s="28">
        <f t="shared" si="13"/>
        <v>3337</v>
      </c>
      <c r="P56" s="22">
        <f t="shared" si="14"/>
        <v>277</v>
      </c>
      <c r="Q56" s="36"/>
      <c r="R56" s="30"/>
    </row>
    <row r="57" spans="1:18" ht="12.75" x14ac:dyDescent="0.2">
      <c r="A57" s="21">
        <v>45774</v>
      </c>
      <c r="B57" s="22">
        <f t="shared" si="4"/>
        <v>42</v>
      </c>
      <c r="C57" s="25">
        <f t="shared" si="5"/>
        <v>1825</v>
      </c>
      <c r="D57" s="24">
        <v>-2210</v>
      </c>
      <c r="E57" s="25">
        <f t="shared" si="1"/>
        <v>4035</v>
      </c>
      <c r="F57" s="26">
        <f t="shared" si="6"/>
        <v>312</v>
      </c>
      <c r="G57" s="22">
        <f t="shared" si="7"/>
        <v>42</v>
      </c>
      <c r="H57" s="25">
        <f t="shared" si="8"/>
        <v>1790</v>
      </c>
      <c r="I57" s="24">
        <v>-1995</v>
      </c>
      <c r="J57" s="28">
        <f t="shared" si="2"/>
        <v>3785</v>
      </c>
      <c r="K57" s="22">
        <f t="shared" si="9"/>
        <v>337</v>
      </c>
      <c r="L57" s="22">
        <f t="shared" si="10"/>
        <v>42</v>
      </c>
      <c r="M57" s="25">
        <f t="shared" si="11"/>
        <v>1899</v>
      </c>
      <c r="N57" s="24">
        <v>-1438</v>
      </c>
      <c r="O57" s="28">
        <f t="shared" si="13"/>
        <v>3337</v>
      </c>
      <c r="P57" s="22">
        <f t="shared" si="14"/>
        <v>283</v>
      </c>
      <c r="Q57" s="36"/>
      <c r="R57" s="30"/>
    </row>
    <row r="58" spans="1:18" ht="12.75" x14ac:dyDescent="0.2">
      <c r="A58" s="21">
        <v>45775</v>
      </c>
      <c r="B58" s="22">
        <f t="shared" si="4"/>
        <v>43</v>
      </c>
      <c r="C58" s="25">
        <f t="shared" si="5"/>
        <v>1818</v>
      </c>
      <c r="D58" s="24">
        <v>-2217</v>
      </c>
      <c r="E58" s="25">
        <f t="shared" si="1"/>
        <v>4035</v>
      </c>
      <c r="F58" s="26">
        <f t="shared" si="6"/>
        <v>319</v>
      </c>
      <c r="G58" s="22">
        <f t="shared" si="7"/>
        <v>43</v>
      </c>
      <c r="H58" s="25">
        <f t="shared" si="8"/>
        <v>1785</v>
      </c>
      <c r="I58" s="24">
        <v>-2000</v>
      </c>
      <c r="J58" s="28">
        <f t="shared" si="2"/>
        <v>3785</v>
      </c>
      <c r="K58" s="22">
        <f t="shared" si="9"/>
        <v>342</v>
      </c>
      <c r="L58" s="22">
        <f t="shared" si="10"/>
        <v>43</v>
      </c>
      <c r="M58" s="25">
        <f t="shared" si="11"/>
        <v>1893</v>
      </c>
      <c r="N58" s="24">
        <v>-1444</v>
      </c>
      <c r="O58" s="28">
        <f t="shared" si="13"/>
        <v>3337</v>
      </c>
      <c r="P58" s="22">
        <f t="shared" si="14"/>
        <v>289</v>
      </c>
      <c r="Q58" s="36"/>
      <c r="R58" s="30"/>
    </row>
    <row r="59" spans="1:18" ht="12.75" x14ac:dyDescent="0.2">
      <c r="A59" s="21">
        <v>45776</v>
      </c>
      <c r="B59" s="22">
        <f t="shared" si="4"/>
        <v>44</v>
      </c>
      <c r="C59" s="25">
        <f t="shared" si="5"/>
        <v>1811</v>
      </c>
      <c r="D59" s="24">
        <v>-2224</v>
      </c>
      <c r="E59" s="25">
        <f t="shared" si="1"/>
        <v>4035</v>
      </c>
      <c r="F59" s="26">
        <f t="shared" si="6"/>
        <v>326</v>
      </c>
      <c r="G59" s="22">
        <f t="shared" si="7"/>
        <v>44</v>
      </c>
      <c r="H59" s="25">
        <f t="shared" si="8"/>
        <v>1780</v>
      </c>
      <c r="I59" s="24">
        <v>-2005</v>
      </c>
      <c r="J59" s="28">
        <f t="shared" si="2"/>
        <v>3785</v>
      </c>
      <c r="K59" s="22">
        <f t="shared" si="9"/>
        <v>347</v>
      </c>
      <c r="L59" s="22">
        <f t="shared" si="10"/>
        <v>44</v>
      </c>
      <c r="M59" s="25">
        <f t="shared" si="11"/>
        <v>1887</v>
      </c>
      <c r="N59" s="24">
        <v>-1450</v>
      </c>
      <c r="O59" s="28">
        <f t="shared" si="13"/>
        <v>3337</v>
      </c>
      <c r="P59" s="22">
        <f t="shared" si="14"/>
        <v>295</v>
      </c>
      <c r="Q59" s="36"/>
      <c r="R59" s="30"/>
    </row>
    <row r="60" spans="1:18" ht="12.75" x14ac:dyDescent="0.2">
      <c r="A60" s="21">
        <v>45777</v>
      </c>
      <c r="B60" s="22">
        <f t="shared" si="4"/>
        <v>45</v>
      </c>
      <c r="C60" s="25">
        <f t="shared" si="5"/>
        <v>1804</v>
      </c>
      <c r="D60" s="24">
        <v>-2231</v>
      </c>
      <c r="E60" s="25">
        <f t="shared" si="1"/>
        <v>4035</v>
      </c>
      <c r="F60" s="26">
        <f t="shared" si="6"/>
        <v>333</v>
      </c>
      <c r="G60" s="22">
        <f t="shared" si="7"/>
        <v>45</v>
      </c>
      <c r="H60" s="25">
        <f t="shared" si="8"/>
        <v>1775</v>
      </c>
      <c r="I60" s="24">
        <v>-2010</v>
      </c>
      <c r="J60" s="28">
        <f t="shared" si="2"/>
        <v>3785</v>
      </c>
      <c r="K60" s="22">
        <f t="shared" si="9"/>
        <v>352</v>
      </c>
      <c r="L60" s="22">
        <f t="shared" si="10"/>
        <v>45</v>
      </c>
      <c r="M60" s="25">
        <f t="shared" si="11"/>
        <v>1881</v>
      </c>
      <c r="N60" s="24">
        <v>-1456</v>
      </c>
      <c r="O60" s="28">
        <f t="shared" si="13"/>
        <v>3337</v>
      </c>
      <c r="P60" s="22">
        <f t="shared" si="14"/>
        <v>301</v>
      </c>
      <c r="Q60" s="36"/>
      <c r="R60" s="30"/>
    </row>
    <row r="61" spans="1:18" ht="12.75" x14ac:dyDescent="0.2">
      <c r="A61" s="21">
        <v>45778</v>
      </c>
      <c r="B61" s="22">
        <f t="shared" si="4"/>
        <v>46</v>
      </c>
      <c r="C61" s="25">
        <f t="shared" si="5"/>
        <v>1801</v>
      </c>
      <c r="D61" s="24">
        <v>-2234</v>
      </c>
      <c r="E61" s="25">
        <f t="shared" si="1"/>
        <v>4035</v>
      </c>
      <c r="F61" s="26">
        <f t="shared" si="6"/>
        <v>336</v>
      </c>
      <c r="G61" s="22">
        <f t="shared" si="7"/>
        <v>46</v>
      </c>
      <c r="H61" s="25">
        <f t="shared" si="8"/>
        <v>1770</v>
      </c>
      <c r="I61" s="24">
        <v>-2015</v>
      </c>
      <c r="J61" s="28">
        <f t="shared" si="2"/>
        <v>3785</v>
      </c>
      <c r="K61" s="22">
        <f t="shared" si="9"/>
        <v>357</v>
      </c>
      <c r="L61" s="22">
        <f t="shared" si="10"/>
        <v>46</v>
      </c>
      <c r="M61" s="25">
        <f t="shared" si="11"/>
        <v>1875</v>
      </c>
      <c r="N61" s="24">
        <v>-1462</v>
      </c>
      <c r="O61" s="28">
        <f t="shared" si="13"/>
        <v>3337</v>
      </c>
      <c r="P61" s="22">
        <f t="shared" si="14"/>
        <v>307</v>
      </c>
      <c r="Q61" s="36"/>
      <c r="R61" s="30"/>
    </row>
    <row r="62" spans="1:18" ht="12.75" x14ac:dyDescent="0.2">
      <c r="A62" s="21">
        <v>45779</v>
      </c>
      <c r="B62" s="22">
        <f t="shared" si="4"/>
        <v>47</v>
      </c>
      <c r="C62" s="25">
        <f t="shared" si="5"/>
        <v>1798</v>
      </c>
      <c r="D62" s="24">
        <v>-2237</v>
      </c>
      <c r="E62" s="25">
        <f t="shared" si="1"/>
        <v>4035</v>
      </c>
      <c r="F62" s="26">
        <f t="shared" si="6"/>
        <v>339</v>
      </c>
      <c r="G62" s="22">
        <f t="shared" si="7"/>
        <v>47</v>
      </c>
      <c r="H62" s="25">
        <f t="shared" si="8"/>
        <v>1762</v>
      </c>
      <c r="I62" s="24">
        <v>-2023</v>
      </c>
      <c r="J62" s="28">
        <f t="shared" si="2"/>
        <v>3785</v>
      </c>
      <c r="K62" s="22">
        <f t="shared" si="9"/>
        <v>365</v>
      </c>
      <c r="L62" s="22">
        <f t="shared" si="10"/>
        <v>47</v>
      </c>
      <c r="M62" s="25">
        <f t="shared" si="11"/>
        <v>1872</v>
      </c>
      <c r="N62" s="24">
        <v>-1465</v>
      </c>
      <c r="O62" s="28">
        <f t="shared" si="13"/>
        <v>3337</v>
      </c>
      <c r="P62" s="22">
        <f t="shared" si="14"/>
        <v>310</v>
      </c>
      <c r="Q62" s="36"/>
      <c r="R62" s="30"/>
    </row>
    <row r="63" spans="1:18" ht="12.75" x14ac:dyDescent="0.2">
      <c r="A63" s="21">
        <v>45780</v>
      </c>
      <c r="B63" s="22">
        <f t="shared" si="4"/>
        <v>48</v>
      </c>
      <c r="C63" s="25">
        <f t="shared" si="5"/>
        <v>1794</v>
      </c>
      <c r="D63" s="24">
        <v>-2241</v>
      </c>
      <c r="E63" s="25">
        <f t="shared" si="1"/>
        <v>4035</v>
      </c>
      <c r="F63" s="26">
        <f t="shared" si="6"/>
        <v>343</v>
      </c>
      <c r="G63" s="22">
        <f t="shared" si="7"/>
        <v>48</v>
      </c>
      <c r="H63" s="25">
        <f t="shared" si="8"/>
        <v>1752</v>
      </c>
      <c r="I63" s="24">
        <v>-2033</v>
      </c>
      <c r="J63" s="28">
        <f t="shared" si="2"/>
        <v>3785</v>
      </c>
      <c r="K63" s="22">
        <f t="shared" si="9"/>
        <v>375</v>
      </c>
      <c r="L63" s="22">
        <f t="shared" si="10"/>
        <v>48</v>
      </c>
      <c r="M63" s="25">
        <f t="shared" si="11"/>
        <v>1870</v>
      </c>
      <c r="N63" s="24">
        <v>-1467</v>
      </c>
      <c r="O63" s="28">
        <f t="shared" si="13"/>
        <v>3337</v>
      </c>
      <c r="P63" s="22">
        <f t="shared" si="14"/>
        <v>312</v>
      </c>
      <c r="Q63" s="36"/>
      <c r="R63" s="30"/>
    </row>
    <row r="64" spans="1:18" ht="12.75" x14ac:dyDescent="0.2">
      <c r="A64" s="21">
        <v>45781</v>
      </c>
      <c r="B64" s="22">
        <f t="shared" si="4"/>
        <v>49</v>
      </c>
      <c r="C64" s="25">
        <f t="shared" si="5"/>
        <v>1790</v>
      </c>
      <c r="D64" s="24">
        <v>-2245</v>
      </c>
      <c r="E64" s="25">
        <f t="shared" si="1"/>
        <v>4035</v>
      </c>
      <c r="F64" s="26">
        <f t="shared" si="6"/>
        <v>347</v>
      </c>
      <c r="G64" s="22">
        <f t="shared" si="7"/>
        <v>49</v>
      </c>
      <c r="H64" s="25">
        <f t="shared" si="8"/>
        <v>1746</v>
      </c>
      <c r="I64" s="24">
        <v>-2039</v>
      </c>
      <c r="J64" s="28">
        <f t="shared" si="2"/>
        <v>3785</v>
      </c>
      <c r="K64" s="22">
        <f t="shared" si="9"/>
        <v>381</v>
      </c>
      <c r="L64" s="22">
        <f t="shared" si="10"/>
        <v>49</v>
      </c>
      <c r="M64" s="25">
        <f t="shared" si="11"/>
        <v>1867</v>
      </c>
      <c r="N64" s="24">
        <v>-1470</v>
      </c>
      <c r="O64" s="28">
        <f t="shared" si="13"/>
        <v>3337</v>
      </c>
      <c r="P64" s="22">
        <f t="shared" si="14"/>
        <v>315</v>
      </c>
      <c r="Q64" s="36"/>
      <c r="R64" s="30"/>
    </row>
    <row r="65" spans="1:18" ht="12.75" x14ac:dyDescent="0.2">
      <c r="A65" s="21">
        <v>45782</v>
      </c>
      <c r="B65" s="22">
        <f t="shared" si="4"/>
        <v>50</v>
      </c>
      <c r="C65" s="25">
        <f t="shared" si="5"/>
        <v>1787</v>
      </c>
      <c r="D65" s="24">
        <v>-2248</v>
      </c>
      <c r="E65" s="25">
        <f t="shared" si="1"/>
        <v>4035</v>
      </c>
      <c r="F65" s="26">
        <f t="shared" si="6"/>
        <v>350</v>
      </c>
      <c r="G65" s="22">
        <f t="shared" si="7"/>
        <v>50</v>
      </c>
      <c r="H65" s="25">
        <f t="shared" si="8"/>
        <v>1741</v>
      </c>
      <c r="I65" s="24">
        <v>-2044</v>
      </c>
      <c r="J65" s="28">
        <f t="shared" si="2"/>
        <v>3785</v>
      </c>
      <c r="K65" s="22">
        <f t="shared" si="9"/>
        <v>386</v>
      </c>
      <c r="L65" s="22">
        <f t="shared" si="10"/>
        <v>50</v>
      </c>
      <c r="M65" s="25">
        <f t="shared" si="11"/>
        <v>1863</v>
      </c>
      <c r="N65" s="24">
        <v>-1474</v>
      </c>
      <c r="O65" s="28">
        <f t="shared" si="13"/>
        <v>3337</v>
      </c>
      <c r="P65" s="22">
        <f t="shared" si="14"/>
        <v>319</v>
      </c>
      <c r="Q65" s="36"/>
      <c r="R65" s="30"/>
    </row>
    <row r="66" spans="1:18" ht="12.75" x14ac:dyDescent="0.2">
      <c r="A66" s="21">
        <v>45783</v>
      </c>
      <c r="B66" s="22">
        <f t="shared" si="4"/>
        <v>51</v>
      </c>
      <c r="C66" s="25">
        <f t="shared" si="5"/>
        <v>1785</v>
      </c>
      <c r="D66" s="24">
        <v>-2250</v>
      </c>
      <c r="E66" s="25">
        <f t="shared" si="1"/>
        <v>4035</v>
      </c>
      <c r="F66" s="26">
        <f t="shared" si="6"/>
        <v>352</v>
      </c>
      <c r="G66" s="22">
        <f t="shared" si="7"/>
        <v>51</v>
      </c>
      <c r="H66" s="25">
        <f t="shared" si="8"/>
        <v>1736</v>
      </c>
      <c r="I66" s="24">
        <v>-2049</v>
      </c>
      <c r="J66" s="28">
        <f t="shared" si="2"/>
        <v>3785</v>
      </c>
      <c r="K66" s="22">
        <f t="shared" si="9"/>
        <v>391</v>
      </c>
      <c r="L66" s="22">
        <f t="shared" si="10"/>
        <v>51</v>
      </c>
      <c r="M66" s="25">
        <f t="shared" si="11"/>
        <v>1860</v>
      </c>
      <c r="N66" s="24">
        <v>-1477</v>
      </c>
      <c r="O66" s="28">
        <f t="shared" si="13"/>
        <v>3337</v>
      </c>
      <c r="P66" s="22">
        <f t="shared" si="14"/>
        <v>322</v>
      </c>
      <c r="Q66" s="36"/>
      <c r="R66" s="30"/>
    </row>
    <row r="67" spans="1:18" ht="12.75" x14ac:dyDescent="0.2">
      <c r="A67" s="21">
        <v>45784</v>
      </c>
      <c r="B67" s="22">
        <f t="shared" si="4"/>
        <v>52</v>
      </c>
      <c r="C67" s="25">
        <f t="shared" si="5"/>
        <v>1780</v>
      </c>
      <c r="D67" s="24">
        <v>-2255</v>
      </c>
      <c r="E67" s="25">
        <f t="shared" si="1"/>
        <v>4035</v>
      </c>
      <c r="F67" s="26">
        <f t="shared" si="6"/>
        <v>357</v>
      </c>
      <c r="G67" s="22">
        <f t="shared" si="7"/>
        <v>52</v>
      </c>
      <c r="H67" s="25">
        <f t="shared" si="8"/>
        <v>1730</v>
      </c>
      <c r="I67" s="24">
        <v>-2055</v>
      </c>
      <c r="J67" s="28">
        <f t="shared" si="2"/>
        <v>3785</v>
      </c>
      <c r="K67" s="22">
        <f t="shared" si="9"/>
        <v>397</v>
      </c>
      <c r="L67" s="22">
        <f t="shared" si="10"/>
        <v>52</v>
      </c>
      <c r="M67" s="25">
        <f t="shared" si="11"/>
        <v>1857</v>
      </c>
      <c r="N67" s="24">
        <v>-1480</v>
      </c>
      <c r="O67" s="28">
        <f t="shared" si="13"/>
        <v>3337</v>
      </c>
      <c r="P67" s="22">
        <f t="shared" si="14"/>
        <v>325</v>
      </c>
      <c r="Q67" s="36"/>
      <c r="R67" s="30"/>
    </row>
    <row r="68" spans="1:18" ht="12.75" x14ac:dyDescent="0.2">
      <c r="A68" s="21">
        <v>45785</v>
      </c>
      <c r="B68" s="22">
        <f t="shared" si="4"/>
        <v>53</v>
      </c>
      <c r="C68" s="25">
        <f t="shared" si="5"/>
        <v>1775</v>
      </c>
      <c r="D68" s="24">
        <v>-2260</v>
      </c>
      <c r="E68" s="25">
        <f t="shared" si="1"/>
        <v>4035</v>
      </c>
      <c r="F68" s="26">
        <f t="shared" si="6"/>
        <v>362</v>
      </c>
      <c r="G68" s="22">
        <f t="shared" si="7"/>
        <v>53</v>
      </c>
      <c r="H68" s="25">
        <f t="shared" si="8"/>
        <v>1727</v>
      </c>
      <c r="I68" s="24">
        <v>-2058</v>
      </c>
      <c r="J68" s="28">
        <f t="shared" si="2"/>
        <v>3785</v>
      </c>
      <c r="K68" s="22">
        <f t="shared" si="9"/>
        <v>400</v>
      </c>
      <c r="L68" s="22">
        <f t="shared" si="10"/>
        <v>53</v>
      </c>
      <c r="M68" s="25">
        <f t="shared" si="11"/>
        <v>1854</v>
      </c>
      <c r="N68" s="24">
        <v>-1483</v>
      </c>
      <c r="O68" s="28">
        <f t="shared" si="13"/>
        <v>3337</v>
      </c>
      <c r="P68" s="22">
        <f t="shared" si="14"/>
        <v>328</v>
      </c>
      <c r="Q68" s="36"/>
      <c r="R68" s="30"/>
    </row>
    <row r="69" spans="1:18" ht="12.75" x14ac:dyDescent="0.2">
      <c r="A69" s="21">
        <v>45786</v>
      </c>
      <c r="B69" s="22">
        <f t="shared" si="4"/>
        <v>54</v>
      </c>
      <c r="C69" s="25">
        <f t="shared" si="5"/>
        <v>1770</v>
      </c>
      <c r="D69" s="24">
        <v>-2265</v>
      </c>
      <c r="E69" s="25">
        <f t="shared" si="1"/>
        <v>4035</v>
      </c>
      <c r="F69" s="26">
        <f t="shared" si="6"/>
        <v>367</v>
      </c>
      <c r="G69" s="22">
        <f t="shared" si="7"/>
        <v>54</v>
      </c>
      <c r="H69" s="25">
        <f t="shared" si="8"/>
        <v>1723</v>
      </c>
      <c r="I69" s="24">
        <v>-2062</v>
      </c>
      <c r="J69" s="28">
        <f t="shared" si="2"/>
        <v>3785</v>
      </c>
      <c r="K69" s="22">
        <f t="shared" si="9"/>
        <v>404</v>
      </c>
      <c r="L69" s="22">
        <f t="shared" si="10"/>
        <v>54</v>
      </c>
      <c r="M69" s="25">
        <f t="shared" si="11"/>
        <v>1851</v>
      </c>
      <c r="N69" s="24">
        <v>-1486</v>
      </c>
      <c r="O69" s="28">
        <f t="shared" si="13"/>
        <v>3337</v>
      </c>
      <c r="P69" s="22">
        <f t="shared" si="14"/>
        <v>331</v>
      </c>
      <c r="Q69" s="36"/>
      <c r="R69" s="30"/>
    </row>
    <row r="70" spans="1:18" ht="12.75" x14ac:dyDescent="0.2">
      <c r="A70" s="21">
        <v>45787</v>
      </c>
      <c r="B70" s="22">
        <f t="shared" si="4"/>
        <v>55</v>
      </c>
      <c r="C70" s="25">
        <f t="shared" si="5"/>
        <v>1763</v>
      </c>
      <c r="D70" s="24">
        <v>-2272</v>
      </c>
      <c r="E70" s="25">
        <f t="shared" si="1"/>
        <v>4035</v>
      </c>
      <c r="F70" s="26">
        <f t="shared" si="6"/>
        <v>374</v>
      </c>
      <c r="G70" s="22">
        <f t="shared" si="7"/>
        <v>55</v>
      </c>
      <c r="H70" s="25">
        <f t="shared" si="8"/>
        <v>1718</v>
      </c>
      <c r="I70" s="24">
        <v>-2067</v>
      </c>
      <c r="J70" s="28">
        <f t="shared" si="2"/>
        <v>3785</v>
      </c>
      <c r="K70" s="22">
        <f t="shared" si="9"/>
        <v>409</v>
      </c>
      <c r="L70" s="22">
        <f t="shared" si="10"/>
        <v>55</v>
      </c>
      <c r="M70" s="25">
        <f t="shared" si="11"/>
        <v>1847</v>
      </c>
      <c r="N70" s="24">
        <v>-1490</v>
      </c>
      <c r="O70" s="28">
        <f t="shared" si="13"/>
        <v>3337</v>
      </c>
      <c r="P70" s="22">
        <f t="shared" si="14"/>
        <v>335</v>
      </c>
      <c r="Q70" s="36"/>
      <c r="R70" s="30"/>
    </row>
    <row r="71" spans="1:18" ht="12.75" x14ac:dyDescent="0.2">
      <c r="A71" s="21">
        <v>45788</v>
      </c>
      <c r="B71" s="22">
        <f t="shared" si="4"/>
        <v>56</v>
      </c>
      <c r="C71" s="25">
        <f t="shared" si="5"/>
        <v>1756</v>
      </c>
      <c r="D71" s="24">
        <v>-2279</v>
      </c>
      <c r="E71" s="25">
        <f t="shared" si="1"/>
        <v>4035</v>
      </c>
      <c r="F71" s="26">
        <f t="shared" si="6"/>
        <v>381</v>
      </c>
      <c r="G71" s="22">
        <f t="shared" si="7"/>
        <v>56</v>
      </c>
      <c r="H71" s="25">
        <f t="shared" si="8"/>
        <v>1713</v>
      </c>
      <c r="I71" s="24">
        <v>-2072</v>
      </c>
      <c r="J71" s="28">
        <f t="shared" si="2"/>
        <v>3785</v>
      </c>
      <c r="K71" s="22">
        <f t="shared" si="9"/>
        <v>414</v>
      </c>
      <c r="L71" s="22">
        <f t="shared" si="10"/>
        <v>56</v>
      </c>
      <c r="M71" s="25">
        <f t="shared" si="11"/>
        <v>1842</v>
      </c>
      <c r="N71" s="24">
        <v>-1495</v>
      </c>
      <c r="O71" s="28">
        <f t="shared" si="13"/>
        <v>3337</v>
      </c>
      <c r="P71" s="22">
        <f t="shared" si="14"/>
        <v>340</v>
      </c>
      <c r="Q71" s="36"/>
      <c r="R71" s="30"/>
    </row>
    <row r="72" spans="1:18" ht="12.75" x14ac:dyDescent="0.2">
      <c r="A72" s="21">
        <v>45789</v>
      </c>
      <c r="B72" s="22">
        <f t="shared" si="4"/>
        <v>57</v>
      </c>
      <c r="C72" s="25">
        <f t="shared" si="5"/>
        <v>1749</v>
      </c>
      <c r="D72" s="24">
        <v>-2286</v>
      </c>
      <c r="E72" s="25">
        <f t="shared" si="1"/>
        <v>4035</v>
      </c>
      <c r="F72" s="26">
        <f t="shared" si="6"/>
        <v>388</v>
      </c>
      <c r="G72" s="22">
        <f t="shared" si="7"/>
        <v>57</v>
      </c>
      <c r="H72" s="25">
        <f t="shared" si="8"/>
        <v>1707</v>
      </c>
      <c r="I72" s="24">
        <v>-2078</v>
      </c>
      <c r="J72" s="28">
        <f t="shared" si="2"/>
        <v>3785</v>
      </c>
      <c r="K72" s="22">
        <f t="shared" si="9"/>
        <v>420</v>
      </c>
      <c r="L72" s="22">
        <f t="shared" si="10"/>
        <v>57</v>
      </c>
      <c r="M72" s="25">
        <f t="shared" si="11"/>
        <v>1837</v>
      </c>
      <c r="N72" s="24">
        <v>-1500</v>
      </c>
      <c r="O72" s="28">
        <f t="shared" si="13"/>
        <v>3337</v>
      </c>
      <c r="P72" s="22">
        <f t="shared" si="14"/>
        <v>345</v>
      </c>
      <c r="Q72" s="36"/>
      <c r="R72" s="30"/>
    </row>
    <row r="73" spans="1:18" ht="12.75" x14ac:dyDescent="0.2">
      <c r="A73" s="21">
        <v>45790</v>
      </c>
      <c r="B73" s="22">
        <f t="shared" si="4"/>
        <v>58</v>
      </c>
      <c r="C73" s="25">
        <f t="shared" si="5"/>
        <v>1742</v>
      </c>
      <c r="D73" s="24">
        <v>-2293</v>
      </c>
      <c r="E73" s="25">
        <f t="shared" si="1"/>
        <v>4035</v>
      </c>
      <c r="F73" s="26">
        <f t="shared" si="6"/>
        <v>395</v>
      </c>
      <c r="G73" s="22">
        <f t="shared" si="7"/>
        <v>58</v>
      </c>
      <c r="H73" s="25">
        <f t="shared" si="8"/>
        <v>1701</v>
      </c>
      <c r="I73" s="24">
        <v>-2084</v>
      </c>
      <c r="J73" s="28">
        <f t="shared" si="2"/>
        <v>3785</v>
      </c>
      <c r="K73" s="22">
        <f t="shared" si="9"/>
        <v>426</v>
      </c>
      <c r="L73" s="22">
        <f t="shared" si="10"/>
        <v>58</v>
      </c>
      <c r="M73" s="25">
        <f t="shared" si="11"/>
        <v>1832</v>
      </c>
      <c r="N73" s="24">
        <v>-1505</v>
      </c>
      <c r="O73" s="28">
        <f t="shared" si="13"/>
        <v>3337</v>
      </c>
      <c r="P73" s="22">
        <f t="shared" si="14"/>
        <v>350</v>
      </c>
      <c r="Q73" s="36"/>
      <c r="R73" s="30"/>
    </row>
    <row r="74" spans="1:18" ht="12.75" x14ac:dyDescent="0.2">
      <c r="A74" s="21">
        <v>45791</v>
      </c>
      <c r="B74" s="22">
        <f t="shared" si="4"/>
        <v>59</v>
      </c>
      <c r="C74" s="25">
        <f t="shared" si="5"/>
        <v>1740</v>
      </c>
      <c r="D74" s="24">
        <v>-2295</v>
      </c>
      <c r="E74" s="25">
        <f t="shared" si="1"/>
        <v>4035</v>
      </c>
      <c r="F74" s="26">
        <f t="shared" si="6"/>
        <v>397</v>
      </c>
      <c r="G74" s="22">
        <f t="shared" si="7"/>
        <v>59</v>
      </c>
      <c r="H74" s="25">
        <f t="shared" si="8"/>
        <v>1697</v>
      </c>
      <c r="I74" s="24">
        <v>-2088</v>
      </c>
      <c r="J74" s="28">
        <f t="shared" si="2"/>
        <v>3785</v>
      </c>
      <c r="K74" s="22">
        <f t="shared" si="9"/>
        <v>430</v>
      </c>
      <c r="L74" s="22">
        <f t="shared" si="10"/>
        <v>59</v>
      </c>
      <c r="M74" s="25">
        <f t="shared" si="11"/>
        <v>1829</v>
      </c>
      <c r="N74" s="24">
        <v>-1508</v>
      </c>
      <c r="O74" s="28">
        <f t="shared" si="13"/>
        <v>3337</v>
      </c>
      <c r="P74" s="22">
        <f t="shared" si="14"/>
        <v>353</v>
      </c>
      <c r="Q74" s="36"/>
      <c r="R74" s="30"/>
    </row>
    <row r="75" spans="1:18" ht="12.75" x14ac:dyDescent="0.2">
      <c r="A75" s="21">
        <v>45792</v>
      </c>
      <c r="B75" s="22">
        <f t="shared" si="4"/>
        <v>60</v>
      </c>
      <c r="C75" s="25">
        <f t="shared" si="5"/>
        <v>1738</v>
      </c>
      <c r="D75" s="24">
        <v>-2297</v>
      </c>
      <c r="E75" s="25">
        <f t="shared" si="1"/>
        <v>4035</v>
      </c>
      <c r="F75" s="26">
        <f t="shared" si="6"/>
        <v>399</v>
      </c>
      <c r="G75" s="22">
        <f t="shared" si="7"/>
        <v>60</v>
      </c>
      <c r="H75" s="25">
        <f t="shared" si="8"/>
        <v>1694</v>
      </c>
      <c r="I75" s="24">
        <v>-2091</v>
      </c>
      <c r="J75" s="28">
        <f t="shared" si="2"/>
        <v>3785</v>
      </c>
      <c r="K75" s="22">
        <f t="shared" si="9"/>
        <v>433</v>
      </c>
      <c r="L75" s="22">
        <f t="shared" si="10"/>
        <v>60</v>
      </c>
      <c r="M75" s="25">
        <f t="shared" si="11"/>
        <v>1825</v>
      </c>
      <c r="N75" s="24">
        <v>-1512</v>
      </c>
      <c r="O75" s="28">
        <f t="shared" si="13"/>
        <v>3337</v>
      </c>
      <c r="P75" s="22">
        <f t="shared" si="14"/>
        <v>357</v>
      </c>
      <c r="Q75" s="36"/>
      <c r="R75" s="30"/>
    </row>
    <row r="76" spans="1:18" ht="12.75" x14ac:dyDescent="0.2">
      <c r="A76" s="21">
        <v>45793</v>
      </c>
      <c r="B76" s="22">
        <f t="shared" si="4"/>
        <v>61</v>
      </c>
      <c r="C76" s="25">
        <f t="shared" si="5"/>
        <v>1737</v>
      </c>
      <c r="D76" s="24">
        <v>-2298</v>
      </c>
      <c r="E76" s="25">
        <f t="shared" si="1"/>
        <v>4035</v>
      </c>
      <c r="F76" s="26">
        <f t="shared" si="6"/>
        <v>400</v>
      </c>
      <c r="G76" s="22">
        <f t="shared" si="7"/>
        <v>61</v>
      </c>
      <c r="H76" s="25">
        <f t="shared" si="8"/>
        <v>1690</v>
      </c>
      <c r="I76" s="24">
        <v>-2095</v>
      </c>
      <c r="J76" s="28">
        <f t="shared" si="2"/>
        <v>3785</v>
      </c>
      <c r="K76" s="22">
        <f t="shared" si="9"/>
        <v>437</v>
      </c>
      <c r="L76" s="22">
        <f t="shared" si="10"/>
        <v>61</v>
      </c>
      <c r="M76" s="25">
        <f t="shared" si="11"/>
        <v>1821</v>
      </c>
      <c r="N76" s="24">
        <v>-1516</v>
      </c>
      <c r="O76" s="28">
        <f t="shared" si="13"/>
        <v>3337</v>
      </c>
      <c r="P76" s="22">
        <f t="shared" si="14"/>
        <v>361</v>
      </c>
      <c r="Q76" s="36"/>
      <c r="R76" s="30"/>
    </row>
    <row r="77" spans="1:18" ht="12.75" x14ac:dyDescent="0.2">
      <c r="A77" s="21">
        <v>45794</v>
      </c>
      <c r="B77" s="22">
        <f t="shared" si="4"/>
        <v>62</v>
      </c>
      <c r="C77" s="25">
        <f t="shared" si="5"/>
        <v>1734</v>
      </c>
      <c r="D77" s="24">
        <v>-2301</v>
      </c>
      <c r="E77" s="25">
        <f t="shared" si="1"/>
        <v>4035</v>
      </c>
      <c r="F77" s="26">
        <f t="shared" si="6"/>
        <v>403</v>
      </c>
      <c r="G77" s="22">
        <f t="shared" si="7"/>
        <v>62</v>
      </c>
      <c r="H77" s="25">
        <f t="shared" si="8"/>
        <v>1681</v>
      </c>
      <c r="I77" s="24">
        <v>-2104</v>
      </c>
      <c r="J77" s="28">
        <f t="shared" si="2"/>
        <v>3785</v>
      </c>
      <c r="K77" s="22">
        <f t="shared" si="9"/>
        <v>446</v>
      </c>
      <c r="L77" s="22">
        <f t="shared" si="10"/>
        <v>62</v>
      </c>
      <c r="M77" s="25">
        <f t="shared" si="11"/>
        <v>1817</v>
      </c>
      <c r="N77" s="24">
        <v>-1520</v>
      </c>
      <c r="O77" s="28">
        <f t="shared" si="13"/>
        <v>3337</v>
      </c>
      <c r="P77" s="22">
        <f t="shared" si="14"/>
        <v>365</v>
      </c>
      <c r="Q77" s="36"/>
      <c r="R77" s="30"/>
    </row>
    <row r="78" spans="1:18" ht="12.75" x14ac:dyDescent="0.2">
      <c r="A78" s="21">
        <v>45795</v>
      </c>
      <c r="B78" s="22">
        <f t="shared" si="4"/>
        <v>63</v>
      </c>
      <c r="C78" s="25">
        <f t="shared" si="5"/>
        <v>1731</v>
      </c>
      <c r="D78" s="24">
        <v>-2304</v>
      </c>
      <c r="E78" s="25">
        <f t="shared" si="1"/>
        <v>4035</v>
      </c>
      <c r="F78" s="26">
        <f t="shared" si="6"/>
        <v>406</v>
      </c>
      <c r="G78" s="22">
        <f t="shared" si="7"/>
        <v>63</v>
      </c>
      <c r="H78" s="25">
        <f t="shared" si="8"/>
        <v>1675</v>
      </c>
      <c r="I78" s="24">
        <v>-2110</v>
      </c>
      <c r="J78" s="28">
        <f t="shared" si="2"/>
        <v>3785</v>
      </c>
      <c r="K78" s="22">
        <f t="shared" si="9"/>
        <v>452</v>
      </c>
      <c r="L78" s="22">
        <f t="shared" si="10"/>
        <v>63</v>
      </c>
      <c r="M78" s="25">
        <f t="shared" si="11"/>
        <v>1813</v>
      </c>
      <c r="N78" s="24">
        <v>-1524</v>
      </c>
      <c r="O78" s="28">
        <f t="shared" si="13"/>
        <v>3337</v>
      </c>
      <c r="P78" s="22">
        <f t="shared" si="14"/>
        <v>369</v>
      </c>
      <c r="Q78" s="36"/>
      <c r="R78" s="30"/>
    </row>
    <row r="79" spans="1:18" ht="12.75" x14ac:dyDescent="0.2">
      <c r="A79" s="21">
        <v>45796</v>
      </c>
      <c r="B79" s="22">
        <f t="shared" si="4"/>
        <v>64</v>
      </c>
      <c r="C79" s="25">
        <f t="shared" si="5"/>
        <v>1727</v>
      </c>
      <c r="D79" s="24">
        <v>-2308</v>
      </c>
      <c r="E79" s="25">
        <f t="shared" si="1"/>
        <v>4035</v>
      </c>
      <c r="F79" s="26">
        <f t="shared" si="6"/>
        <v>410</v>
      </c>
      <c r="G79" s="22">
        <f t="shared" si="7"/>
        <v>64</v>
      </c>
      <c r="H79" s="25">
        <f t="shared" si="8"/>
        <v>1669</v>
      </c>
      <c r="I79" s="24">
        <v>-2116</v>
      </c>
      <c r="J79" s="28">
        <f t="shared" si="2"/>
        <v>3785</v>
      </c>
      <c r="K79" s="22">
        <f t="shared" si="9"/>
        <v>458</v>
      </c>
      <c r="L79" s="22">
        <f t="shared" si="10"/>
        <v>64</v>
      </c>
      <c r="M79" s="25">
        <f t="shared" si="11"/>
        <v>1809</v>
      </c>
      <c r="N79" s="24">
        <v>-1528</v>
      </c>
      <c r="O79" s="28">
        <f t="shared" si="13"/>
        <v>3337</v>
      </c>
      <c r="P79" s="22">
        <f t="shared" si="14"/>
        <v>373</v>
      </c>
      <c r="Q79" s="36"/>
      <c r="R79" s="30"/>
    </row>
    <row r="80" spans="1:18" ht="12.75" x14ac:dyDescent="0.2">
      <c r="A80" s="21">
        <v>45797</v>
      </c>
      <c r="B80" s="22">
        <f t="shared" si="4"/>
        <v>65</v>
      </c>
      <c r="C80" s="25">
        <f t="shared" si="5"/>
        <v>1719</v>
      </c>
      <c r="D80" s="24">
        <v>-2316</v>
      </c>
      <c r="E80" s="25">
        <f t="shared" si="1"/>
        <v>4035</v>
      </c>
      <c r="F80" s="26">
        <f t="shared" si="6"/>
        <v>418</v>
      </c>
      <c r="G80" s="22">
        <f t="shared" si="7"/>
        <v>65</v>
      </c>
      <c r="H80" s="25">
        <f t="shared" si="8"/>
        <v>1663</v>
      </c>
      <c r="I80" s="24">
        <v>-2122</v>
      </c>
      <c r="J80" s="28">
        <f t="shared" si="2"/>
        <v>3785</v>
      </c>
      <c r="K80" s="22">
        <f t="shared" si="9"/>
        <v>464</v>
      </c>
      <c r="L80" s="22">
        <f t="shared" si="10"/>
        <v>65</v>
      </c>
      <c r="M80" s="25">
        <f t="shared" si="11"/>
        <v>1805</v>
      </c>
      <c r="N80" s="24">
        <v>-1532</v>
      </c>
      <c r="O80" s="28">
        <f t="shared" si="13"/>
        <v>3337</v>
      </c>
      <c r="P80" s="22">
        <f t="shared" si="14"/>
        <v>377</v>
      </c>
      <c r="Q80" s="36"/>
      <c r="R80" s="30"/>
    </row>
    <row r="81" spans="1:18" ht="12.75" x14ac:dyDescent="0.2">
      <c r="A81" s="21">
        <v>45798</v>
      </c>
      <c r="B81" s="22">
        <f t="shared" si="4"/>
        <v>66</v>
      </c>
      <c r="C81" s="25">
        <f t="shared" si="5"/>
        <v>1711</v>
      </c>
      <c r="D81" s="24">
        <v>-2324</v>
      </c>
      <c r="E81" s="25">
        <f t="shared" si="1"/>
        <v>4035</v>
      </c>
      <c r="F81" s="26">
        <f t="shared" si="6"/>
        <v>426</v>
      </c>
      <c r="G81" s="22">
        <f t="shared" si="7"/>
        <v>66</v>
      </c>
      <c r="H81" s="25">
        <f t="shared" si="8"/>
        <v>1657</v>
      </c>
      <c r="I81" s="24">
        <v>-2128</v>
      </c>
      <c r="J81" s="28">
        <f t="shared" si="2"/>
        <v>3785</v>
      </c>
      <c r="K81" s="22">
        <f t="shared" si="9"/>
        <v>470</v>
      </c>
      <c r="L81" s="22">
        <f t="shared" si="10"/>
        <v>66</v>
      </c>
      <c r="M81" s="25">
        <f t="shared" si="11"/>
        <v>1803</v>
      </c>
      <c r="N81" s="24">
        <v>-1534</v>
      </c>
      <c r="O81" s="28">
        <f t="shared" si="13"/>
        <v>3337</v>
      </c>
      <c r="P81" s="22">
        <f t="shared" si="14"/>
        <v>379</v>
      </c>
      <c r="Q81" s="36"/>
      <c r="R81" s="30"/>
    </row>
    <row r="82" spans="1:18" ht="12.75" x14ac:dyDescent="0.2">
      <c r="A82" s="21">
        <v>45799</v>
      </c>
      <c r="B82" s="22">
        <f t="shared" si="4"/>
        <v>67</v>
      </c>
      <c r="C82" s="25">
        <f t="shared" si="5"/>
        <v>1703</v>
      </c>
      <c r="D82" s="24">
        <v>-2332</v>
      </c>
      <c r="E82" s="25">
        <f t="shared" si="1"/>
        <v>4035</v>
      </c>
      <c r="F82" s="26">
        <f t="shared" si="6"/>
        <v>434</v>
      </c>
      <c r="G82" s="22">
        <f t="shared" si="7"/>
        <v>67</v>
      </c>
      <c r="H82" s="25">
        <f t="shared" si="8"/>
        <v>1656</v>
      </c>
      <c r="I82" s="24">
        <v>-2129</v>
      </c>
      <c r="J82" s="28">
        <f t="shared" si="2"/>
        <v>3785</v>
      </c>
      <c r="K82" s="22">
        <f t="shared" si="9"/>
        <v>471</v>
      </c>
      <c r="L82" s="22">
        <f t="shared" si="10"/>
        <v>67</v>
      </c>
      <c r="M82" s="25">
        <f t="shared" si="11"/>
        <v>1801</v>
      </c>
      <c r="N82" s="24">
        <v>-1536</v>
      </c>
      <c r="O82" s="28">
        <f t="shared" si="13"/>
        <v>3337</v>
      </c>
      <c r="P82" s="22">
        <f t="shared" si="14"/>
        <v>381</v>
      </c>
      <c r="Q82" s="36"/>
      <c r="R82" s="30"/>
    </row>
    <row r="83" spans="1:18" ht="12.75" x14ac:dyDescent="0.2">
      <c r="A83" s="21">
        <v>45800</v>
      </c>
      <c r="B83" s="22">
        <f t="shared" si="4"/>
        <v>68</v>
      </c>
      <c r="C83" s="25">
        <f t="shared" si="5"/>
        <v>1697</v>
      </c>
      <c r="D83" s="24">
        <v>-2338</v>
      </c>
      <c r="E83" s="25">
        <f t="shared" si="1"/>
        <v>4035</v>
      </c>
      <c r="F83" s="26">
        <f t="shared" si="6"/>
        <v>440</v>
      </c>
      <c r="G83" s="22">
        <f t="shared" si="7"/>
        <v>68</v>
      </c>
      <c r="H83" s="25">
        <f t="shared" si="8"/>
        <v>1655</v>
      </c>
      <c r="I83" s="24">
        <v>-2130</v>
      </c>
      <c r="J83" s="28">
        <f t="shared" si="2"/>
        <v>3785</v>
      </c>
      <c r="K83" s="22">
        <f t="shared" si="9"/>
        <v>472</v>
      </c>
      <c r="L83" s="22">
        <f t="shared" si="10"/>
        <v>68</v>
      </c>
      <c r="M83" s="25">
        <f t="shared" si="11"/>
        <v>1799</v>
      </c>
      <c r="N83" s="24">
        <v>-1538</v>
      </c>
      <c r="O83" s="28">
        <f t="shared" si="13"/>
        <v>3337</v>
      </c>
      <c r="P83" s="22">
        <f t="shared" si="14"/>
        <v>383</v>
      </c>
      <c r="Q83" s="36"/>
      <c r="R83" s="30"/>
    </row>
    <row r="84" spans="1:18" ht="12.75" x14ac:dyDescent="0.2">
      <c r="A84" s="21">
        <v>45801</v>
      </c>
      <c r="B84" s="22">
        <f t="shared" si="4"/>
        <v>69</v>
      </c>
      <c r="C84" s="25">
        <f t="shared" si="5"/>
        <v>1695</v>
      </c>
      <c r="D84" s="24">
        <v>-2340</v>
      </c>
      <c r="E84" s="25">
        <f t="shared" si="1"/>
        <v>4035</v>
      </c>
      <c r="F84" s="26">
        <f t="shared" si="6"/>
        <v>442</v>
      </c>
      <c r="G84" s="22">
        <f t="shared" si="7"/>
        <v>69</v>
      </c>
      <c r="H84" s="25">
        <f t="shared" si="8"/>
        <v>1654</v>
      </c>
      <c r="I84" s="24">
        <v>-2131</v>
      </c>
      <c r="J84" s="28">
        <f t="shared" si="2"/>
        <v>3785</v>
      </c>
      <c r="K84" s="22">
        <f t="shared" si="9"/>
        <v>473</v>
      </c>
      <c r="L84" s="22">
        <f t="shared" si="10"/>
        <v>69</v>
      </c>
      <c r="M84" s="25">
        <f t="shared" si="11"/>
        <v>1797</v>
      </c>
      <c r="N84" s="24">
        <v>-1540</v>
      </c>
      <c r="O84" s="28">
        <f t="shared" si="13"/>
        <v>3337</v>
      </c>
      <c r="P84" s="22">
        <f t="shared" si="14"/>
        <v>385</v>
      </c>
      <c r="Q84" s="36"/>
      <c r="R84" s="30"/>
    </row>
    <row r="85" spans="1:18" ht="12.75" x14ac:dyDescent="0.2">
      <c r="A85" s="21">
        <v>45802</v>
      </c>
      <c r="B85" s="22">
        <f t="shared" si="4"/>
        <v>70</v>
      </c>
      <c r="C85" s="25">
        <f t="shared" si="5"/>
        <v>1695</v>
      </c>
      <c r="D85" s="24">
        <v>-2340</v>
      </c>
      <c r="E85" s="25">
        <f t="shared" si="1"/>
        <v>4035</v>
      </c>
      <c r="F85" s="26">
        <f t="shared" si="6"/>
        <v>442</v>
      </c>
      <c r="G85" s="22">
        <f t="shared" si="7"/>
        <v>70</v>
      </c>
      <c r="H85" s="25">
        <f t="shared" si="8"/>
        <v>1653</v>
      </c>
      <c r="I85" s="24">
        <v>-2132</v>
      </c>
      <c r="J85" s="28">
        <f t="shared" si="2"/>
        <v>3785</v>
      </c>
      <c r="K85" s="22">
        <f t="shared" si="9"/>
        <v>474</v>
      </c>
      <c r="L85" s="22">
        <f t="shared" si="10"/>
        <v>70</v>
      </c>
      <c r="M85" s="25">
        <f t="shared" si="11"/>
        <v>1795</v>
      </c>
      <c r="N85" s="24">
        <v>-1542</v>
      </c>
      <c r="O85" s="28">
        <f t="shared" si="13"/>
        <v>3337</v>
      </c>
      <c r="P85" s="22">
        <f t="shared" si="14"/>
        <v>387</v>
      </c>
      <c r="Q85" s="36"/>
      <c r="R85" s="30"/>
    </row>
    <row r="86" spans="1:18" ht="12.75" x14ac:dyDescent="0.2">
      <c r="A86" s="21">
        <v>45803</v>
      </c>
      <c r="B86" s="22">
        <f t="shared" si="4"/>
        <v>71</v>
      </c>
      <c r="C86" s="25">
        <f t="shared" si="5"/>
        <v>1695</v>
      </c>
      <c r="D86" s="24">
        <v>-2340</v>
      </c>
      <c r="E86" s="25">
        <f t="shared" si="1"/>
        <v>4035</v>
      </c>
      <c r="F86" s="26">
        <f t="shared" si="6"/>
        <v>442</v>
      </c>
      <c r="G86" s="22">
        <f t="shared" si="7"/>
        <v>71</v>
      </c>
      <c r="H86" s="25">
        <f t="shared" si="8"/>
        <v>1652</v>
      </c>
      <c r="I86" s="24">
        <v>-2133</v>
      </c>
      <c r="J86" s="28">
        <f t="shared" si="2"/>
        <v>3785</v>
      </c>
      <c r="K86" s="22">
        <f t="shared" si="9"/>
        <v>475</v>
      </c>
      <c r="L86" s="22">
        <f t="shared" si="10"/>
        <v>71</v>
      </c>
      <c r="M86" s="25">
        <f t="shared" si="11"/>
        <v>1793</v>
      </c>
      <c r="N86" s="24">
        <v>-1544</v>
      </c>
      <c r="O86" s="28">
        <f t="shared" si="13"/>
        <v>3337</v>
      </c>
      <c r="P86" s="22">
        <f t="shared" si="14"/>
        <v>389</v>
      </c>
      <c r="Q86" s="36"/>
      <c r="R86" s="30"/>
    </row>
    <row r="87" spans="1:18" ht="12.75" x14ac:dyDescent="0.2">
      <c r="A87" s="21">
        <v>45804</v>
      </c>
      <c r="B87" s="22">
        <f t="shared" si="4"/>
        <v>72</v>
      </c>
      <c r="C87" s="25">
        <f t="shared" si="5"/>
        <v>1695</v>
      </c>
      <c r="D87" s="24">
        <v>-2340</v>
      </c>
      <c r="E87" s="25">
        <f t="shared" si="1"/>
        <v>4035</v>
      </c>
      <c r="F87" s="26">
        <f t="shared" si="6"/>
        <v>442</v>
      </c>
      <c r="G87" s="22">
        <f t="shared" si="7"/>
        <v>72</v>
      </c>
      <c r="H87" s="25">
        <f t="shared" si="8"/>
        <v>1651</v>
      </c>
      <c r="I87" s="24">
        <v>-2134</v>
      </c>
      <c r="J87" s="28">
        <f t="shared" si="2"/>
        <v>3785</v>
      </c>
      <c r="K87" s="22">
        <f t="shared" si="9"/>
        <v>476</v>
      </c>
      <c r="L87" s="22">
        <f t="shared" si="10"/>
        <v>72</v>
      </c>
      <c r="M87" s="25">
        <f t="shared" si="11"/>
        <v>1791</v>
      </c>
      <c r="N87" s="24">
        <v>-1546</v>
      </c>
      <c r="O87" s="28">
        <f t="shared" si="13"/>
        <v>3337</v>
      </c>
      <c r="P87" s="22">
        <f t="shared" si="14"/>
        <v>391</v>
      </c>
      <c r="Q87" s="36"/>
      <c r="R87" s="30"/>
    </row>
    <row r="88" spans="1:18" ht="12.75" x14ac:dyDescent="0.2">
      <c r="A88" s="21">
        <v>45805</v>
      </c>
      <c r="B88" s="22">
        <f t="shared" si="4"/>
        <v>73</v>
      </c>
      <c r="C88" s="25">
        <f t="shared" si="5"/>
        <v>1695</v>
      </c>
      <c r="D88" s="24">
        <v>-2340</v>
      </c>
      <c r="E88" s="25">
        <f t="shared" si="1"/>
        <v>4035</v>
      </c>
      <c r="F88" s="26">
        <f t="shared" si="6"/>
        <v>442</v>
      </c>
      <c r="G88" s="22">
        <f t="shared" si="7"/>
        <v>73</v>
      </c>
      <c r="H88" s="25">
        <f t="shared" si="8"/>
        <v>1650</v>
      </c>
      <c r="I88" s="24">
        <v>-2135</v>
      </c>
      <c r="J88" s="28">
        <f t="shared" si="2"/>
        <v>3785</v>
      </c>
      <c r="K88" s="22">
        <f t="shared" si="9"/>
        <v>477</v>
      </c>
      <c r="L88" s="22">
        <f t="shared" si="10"/>
        <v>73</v>
      </c>
      <c r="M88" s="25">
        <f t="shared" si="11"/>
        <v>1789</v>
      </c>
      <c r="N88" s="24">
        <v>-1548</v>
      </c>
      <c r="O88" s="28">
        <f t="shared" si="13"/>
        <v>3337</v>
      </c>
      <c r="P88" s="22">
        <f t="shared" si="14"/>
        <v>393</v>
      </c>
      <c r="Q88" s="36"/>
      <c r="R88" s="30"/>
    </row>
    <row r="89" spans="1:18" ht="12.75" x14ac:dyDescent="0.2">
      <c r="A89" s="21">
        <v>45806</v>
      </c>
      <c r="B89" s="22">
        <f t="shared" si="4"/>
        <v>74</v>
      </c>
      <c r="C89" s="25">
        <f t="shared" si="5"/>
        <v>1695</v>
      </c>
      <c r="D89" s="24">
        <v>-2340</v>
      </c>
      <c r="E89" s="25">
        <f t="shared" si="1"/>
        <v>4035</v>
      </c>
      <c r="F89" s="26">
        <f t="shared" si="6"/>
        <v>442</v>
      </c>
      <c r="G89" s="22">
        <f t="shared" si="7"/>
        <v>74</v>
      </c>
      <c r="H89" s="25">
        <f t="shared" si="8"/>
        <v>1649</v>
      </c>
      <c r="I89" s="24">
        <v>-2136</v>
      </c>
      <c r="J89" s="28">
        <f t="shared" si="2"/>
        <v>3785</v>
      </c>
      <c r="K89" s="22">
        <f t="shared" si="9"/>
        <v>478</v>
      </c>
      <c r="L89" s="22">
        <f t="shared" si="10"/>
        <v>74</v>
      </c>
      <c r="M89" s="25">
        <f t="shared" si="11"/>
        <v>1787</v>
      </c>
      <c r="N89" s="24">
        <v>-1550</v>
      </c>
      <c r="O89" s="28">
        <f t="shared" si="13"/>
        <v>3337</v>
      </c>
      <c r="P89" s="22">
        <f t="shared" si="14"/>
        <v>395</v>
      </c>
      <c r="Q89" s="36"/>
      <c r="R89" s="30"/>
    </row>
    <row r="90" spans="1:18" ht="12.75" x14ac:dyDescent="0.2">
      <c r="A90" s="21">
        <v>45807</v>
      </c>
      <c r="B90" s="22">
        <f t="shared" si="4"/>
        <v>75</v>
      </c>
      <c r="C90" s="25">
        <f t="shared" si="5"/>
        <v>1695</v>
      </c>
      <c r="D90" s="24">
        <v>-2340</v>
      </c>
      <c r="E90" s="25">
        <f t="shared" si="1"/>
        <v>4035</v>
      </c>
      <c r="F90" s="26">
        <f t="shared" si="6"/>
        <v>442</v>
      </c>
      <c r="G90" s="22">
        <f t="shared" si="7"/>
        <v>75</v>
      </c>
      <c r="H90" s="25">
        <f t="shared" si="8"/>
        <v>1649</v>
      </c>
      <c r="I90" s="24">
        <v>-2136</v>
      </c>
      <c r="J90" s="28">
        <f t="shared" si="2"/>
        <v>3785</v>
      </c>
      <c r="K90" s="22">
        <f t="shared" si="9"/>
        <v>478</v>
      </c>
      <c r="L90" s="22">
        <f t="shared" si="10"/>
        <v>75</v>
      </c>
      <c r="M90" s="25">
        <f t="shared" si="11"/>
        <v>1787</v>
      </c>
      <c r="N90" s="24">
        <v>-1550</v>
      </c>
      <c r="O90" s="28">
        <f t="shared" si="13"/>
        <v>3337</v>
      </c>
      <c r="P90" s="22">
        <f t="shared" si="14"/>
        <v>395</v>
      </c>
      <c r="Q90" s="36"/>
      <c r="R90" s="30"/>
    </row>
    <row r="91" spans="1:18" ht="12.75" x14ac:dyDescent="0.2">
      <c r="A91" s="21">
        <v>45808</v>
      </c>
      <c r="B91" s="22">
        <f t="shared" si="4"/>
        <v>76</v>
      </c>
      <c r="C91" s="25">
        <f t="shared" si="5"/>
        <v>1695</v>
      </c>
      <c r="D91" s="24">
        <v>-2340</v>
      </c>
      <c r="E91" s="25">
        <f t="shared" si="1"/>
        <v>4035</v>
      </c>
      <c r="F91" s="26">
        <f t="shared" si="6"/>
        <v>442</v>
      </c>
      <c r="G91" s="22">
        <f t="shared" si="7"/>
        <v>76</v>
      </c>
      <c r="H91" s="25">
        <f t="shared" si="8"/>
        <v>1649</v>
      </c>
      <c r="I91" s="24">
        <v>-2136</v>
      </c>
      <c r="J91" s="28">
        <f t="shared" si="2"/>
        <v>3785</v>
      </c>
      <c r="K91" s="22">
        <f t="shared" si="9"/>
        <v>478</v>
      </c>
      <c r="L91" s="22">
        <f t="shared" si="10"/>
        <v>76</v>
      </c>
      <c r="M91" s="25">
        <f t="shared" si="11"/>
        <v>1787</v>
      </c>
      <c r="N91" s="24">
        <v>-1550</v>
      </c>
      <c r="O91" s="28">
        <f t="shared" si="13"/>
        <v>3337</v>
      </c>
      <c r="P91" s="22">
        <f t="shared" si="14"/>
        <v>395</v>
      </c>
      <c r="Q91" s="36"/>
      <c r="R91" s="30"/>
    </row>
    <row r="92" spans="1:18" ht="12.75" x14ac:dyDescent="0.2">
      <c r="A92" s="21">
        <v>45809</v>
      </c>
      <c r="B92" s="22">
        <f t="shared" si="4"/>
        <v>77</v>
      </c>
      <c r="C92" s="25">
        <f t="shared" si="5"/>
        <v>1695</v>
      </c>
      <c r="D92" s="24">
        <v>-2340</v>
      </c>
      <c r="E92" s="25">
        <f t="shared" si="1"/>
        <v>4035</v>
      </c>
      <c r="F92" s="26">
        <f t="shared" si="6"/>
        <v>442</v>
      </c>
      <c r="G92" s="22">
        <f t="shared" si="7"/>
        <v>77</v>
      </c>
      <c r="H92" s="25">
        <f t="shared" si="8"/>
        <v>1649</v>
      </c>
      <c r="I92" s="24">
        <v>-2136</v>
      </c>
      <c r="J92" s="28">
        <f t="shared" si="2"/>
        <v>3785</v>
      </c>
      <c r="K92" s="22">
        <f t="shared" si="9"/>
        <v>478</v>
      </c>
      <c r="L92" s="22">
        <f t="shared" si="10"/>
        <v>77</v>
      </c>
      <c r="M92" s="25">
        <f t="shared" si="11"/>
        <v>1787</v>
      </c>
      <c r="N92" s="24">
        <v>-1550</v>
      </c>
      <c r="O92" s="28">
        <f t="shared" si="13"/>
        <v>3337</v>
      </c>
      <c r="P92" s="22">
        <f t="shared" si="14"/>
        <v>395</v>
      </c>
      <c r="Q92" s="36"/>
      <c r="R92" s="30"/>
    </row>
    <row r="93" spans="1:18" ht="12.75" x14ac:dyDescent="0.2">
      <c r="A93" s="21">
        <v>45810</v>
      </c>
      <c r="B93" s="22">
        <f t="shared" si="4"/>
        <v>78</v>
      </c>
      <c r="C93" s="25">
        <f t="shared" si="5"/>
        <v>1692</v>
      </c>
      <c r="D93" s="24">
        <v>-2343</v>
      </c>
      <c r="E93" s="25">
        <f t="shared" si="1"/>
        <v>4035</v>
      </c>
      <c r="F93" s="26">
        <f t="shared" si="6"/>
        <v>445</v>
      </c>
      <c r="G93" s="22">
        <f t="shared" si="7"/>
        <v>78</v>
      </c>
      <c r="H93" s="25">
        <f t="shared" si="8"/>
        <v>1647</v>
      </c>
      <c r="I93" s="24">
        <v>-2138</v>
      </c>
      <c r="J93" s="28">
        <f t="shared" si="2"/>
        <v>3785</v>
      </c>
      <c r="K93" s="22">
        <f t="shared" si="9"/>
        <v>480</v>
      </c>
      <c r="L93" s="22">
        <f t="shared" si="10"/>
        <v>78</v>
      </c>
      <c r="M93" s="25">
        <f t="shared" si="11"/>
        <v>1782</v>
      </c>
      <c r="N93" s="24">
        <v>-1555</v>
      </c>
      <c r="O93" s="28">
        <f t="shared" si="13"/>
        <v>3337</v>
      </c>
      <c r="P93" s="22">
        <f t="shared" si="14"/>
        <v>400</v>
      </c>
      <c r="Q93" s="36"/>
      <c r="R93" s="30"/>
    </row>
    <row r="94" spans="1:18" ht="12.75" x14ac:dyDescent="0.2">
      <c r="A94" s="21">
        <v>45811</v>
      </c>
      <c r="B94" s="22">
        <f t="shared" si="4"/>
        <v>79</v>
      </c>
      <c r="C94" s="25">
        <f t="shared" si="5"/>
        <v>1692</v>
      </c>
      <c r="D94" s="24">
        <v>-2343</v>
      </c>
      <c r="E94" s="25">
        <f t="shared" si="1"/>
        <v>4035</v>
      </c>
      <c r="F94" s="26">
        <f t="shared" si="6"/>
        <v>445</v>
      </c>
      <c r="G94" s="22">
        <f t="shared" si="7"/>
        <v>79</v>
      </c>
      <c r="H94" s="25">
        <f t="shared" si="8"/>
        <v>1647</v>
      </c>
      <c r="I94" s="24">
        <v>-2138</v>
      </c>
      <c r="J94" s="28">
        <f t="shared" si="2"/>
        <v>3785</v>
      </c>
      <c r="K94" s="22">
        <f t="shared" si="9"/>
        <v>480</v>
      </c>
      <c r="L94" s="22">
        <f t="shared" si="10"/>
        <v>79</v>
      </c>
      <c r="M94" s="25">
        <f t="shared" si="11"/>
        <v>1782</v>
      </c>
      <c r="N94" s="24">
        <v>-1555</v>
      </c>
      <c r="O94" s="28">
        <f t="shared" si="13"/>
        <v>3337</v>
      </c>
      <c r="P94" s="22">
        <f t="shared" si="14"/>
        <v>400</v>
      </c>
      <c r="Q94" s="36"/>
      <c r="R94" s="30"/>
    </row>
    <row r="95" spans="1:18" ht="12.75" x14ac:dyDescent="0.2">
      <c r="A95" s="21">
        <v>45812</v>
      </c>
      <c r="B95" s="22">
        <f t="shared" si="4"/>
        <v>80</v>
      </c>
      <c r="C95" s="25">
        <f t="shared" si="5"/>
        <v>1687</v>
      </c>
      <c r="D95" s="24">
        <v>-2348</v>
      </c>
      <c r="E95" s="25">
        <f t="shared" si="1"/>
        <v>4035</v>
      </c>
      <c r="F95" s="26">
        <f t="shared" si="6"/>
        <v>450</v>
      </c>
      <c r="G95" s="22">
        <f t="shared" si="7"/>
        <v>80</v>
      </c>
      <c r="H95" s="25">
        <f t="shared" si="8"/>
        <v>1637</v>
      </c>
      <c r="I95" s="24">
        <v>-2148</v>
      </c>
      <c r="J95" s="28">
        <f t="shared" si="2"/>
        <v>3785</v>
      </c>
      <c r="K95" s="22">
        <f t="shared" si="9"/>
        <v>490</v>
      </c>
      <c r="L95" s="22">
        <f t="shared" si="10"/>
        <v>80</v>
      </c>
      <c r="M95" s="25">
        <f t="shared" si="11"/>
        <v>1776</v>
      </c>
      <c r="N95" s="24">
        <v>-1561</v>
      </c>
      <c r="O95" s="28">
        <f t="shared" si="13"/>
        <v>3337</v>
      </c>
      <c r="P95" s="22">
        <f t="shared" si="14"/>
        <v>406</v>
      </c>
      <c r="Q95" s="36"/>
      <c r="R95" s="30"/>
    </row>
    <row r="96" spans="1:18" ht="12.75" x14ac:dyDescent="0.2">
      <c r="A96" s="21">
        <v>45813</v>
      </c>
      <c r="B96" s="22">
        <f t="shared" si="4"/>
        <v>81</v>
      </c>
      <c r="C96" s="25">
        <f t="shared" si="5"/>
        <v>1677</v>
      </c>
      <c r="D96" s="24">
        <v>-2358</v>
      </c>
      <c r="E96" s="25">
        <f t="shared" si="1"/>
        <v>4035</v>
      </c>
      <c r="F96" s="26">
        <f t="shared" si="6"/>
        <v>460</v>
      </c>
      <c r="G96" s="22">
        <f t="shared" si="7"/>
        <v>81</v>
      </c>
      <c r="H96" s="25">
        <f t="shared" si="8"/>
        <v>1627</v>
      </c>
      <c r="I96" s="24">
        <v>-2158</v>
      </c>
      <c r="J96" s="28">
        <f t="shared" si="2"/>
        <v>3785</v>
      </c>
      <c r="K96" s="22">
        <f t="shared" si="9"/>
        <v>500</v>
      </c>
      <c r="L96" s="22">
        <f t="shared" si="10"/>
        <v>81</v>
      </c>
      <c r="M96" s="25">
        <f t="shared" si="11"/>
        <v>1766</v>
      </c>
      <c r="N96" s="24">
        <v>-1571</v>
      </c>
      <c r="O96" s="28">
        <f t="shared" si="13"/>
        <v>3337</v>
      </c>
      <c r="P96" s="22">
        <f t="shared" si="14"/>
        <v>416</v>
      </c>
      <c r="Q96" s="36"/>
      <c r="R96" s="30"/>
    </row>
    <row r="97" spans="1:18" ht="12.75" x14ac:dyDescent="0.2">
      <c r="A97" s="21">
        <v>45814</v>
      </c>
      <c r="B97" s="22">
        <f t="shared" si="4"/>
        <v>82</v>
      </c>
      <c r="C97" s="25">
        <f t="shared" si="5"/>
        <v>1669</v>
      </c>
      <c r="D97" s="24">
        <v>-2366</v>
      </c>
      <c r="E97" s="25">
        <f t="shared" si="1"/>
        <v>4035</v>
      </c>
      <c r="F97" s="26">
        <f t="shared" si="6"/>
        <v>468</v>
      </c>
      <c r="G97" s="22">
        <f t="shared" si="7"/>
        <v>82</v>
      </c>
      <c r="H97" s="25">
        <f t="shared" si="8"/>
        <v>1617</v>
      </c>
      <c r="I97" s="24">
        <v>-2168</v>
      </c>
      <c r="J97" s="28">
        <f t="shared" si="2"/>
        <v>3785</v>
      </c>
      <c r="K97" s="22">
        <f t="shared" si="9"/>
        <v>510</v>
      </c>
      <c r="L97" s="22">
        <f t="shared" si="10"/>
        <v>82</v>
      </c>
      <c r="M97" s="25">
        <f t="shared" si="11"/>
        <v>1756</v>
      </c>
      <c r="N97" s="24">
        <v>-1581</v>
      </c>
      <c r="O97" s="28">
        <f t="shared" si="13"/>
        <v>3337</v>
      </c>
      <c r="P97" s="22">
        <f t="shared" si="14"/>
        <v>426</v>
      </c>
      <c r="Q97" s="36"/>
      <c r="R97" s="30"/>
    </row>
    <row r="98" spans="1:18" ht="12.75" x14ac:dyDescent="0.2">
      <c r="A98" s="21">
        <v>45815</v>
      </c>
      <c r="B98" s="22">
        <f t="shared" si="4"/>
        <v>83</v>
      </c>
      <c r="C98" s="25">
        <f t="shared" si="5"/>
        <v>1666</v>
      </c>
      <c r="D98" s="24">
        <v>-2369</v>
      </c>
      <c r="E98" s="25">
        <f t="shared" si="1"/>
        <v>4035</v>
      </c>
      <c r="F98" s="26">
        <f t="shared" si="6"/>
        <v>471</v>
      </c>
      <c r="G98" s="22">
        <f t="shared" si="7"/>
        <v>83</v>
      </c>
      <c r="H98" s="25">
        <f t="shared" si="8"/>
        <v>1611</v>
      </c>
      <c r="I98" s="24">
        <v>-2174</v>
      </c>
      <c r="J98" s="28">
        <f t="shared" si="2"/>
        <v>3785</v>
      </c>
      <c r="K98" s="22">
        <f t="shared" si="9"/>
        <v>516</v>
      </c>
      <c r="L98" s="22">
        <f t="shared" si="10"/>
        <v>83</v>
      </c>
      <c r="M98" s="25">
        <f t="shared" si="11"/>
        <v>1756</v>
      </c>
      <c r="N98" s="24">
        <v>-1581</v>
      </c>
      <c r="O98" s="28">
        <f t="shared" si="13"/>
        <v>3337</v>
      </c>
      <c r="P98" s="22">
        <f t="shared" si="14"/>
        <v>426</v>
      </c>
      <c r="Q98" s="36"/>
      <c r="R98" s="30"/>
    </row>
    <row r="99" spans="1:18" ht="12.75" x14ac:dyDescent="0.2">
      <c r="A99" s="21">
        <v>45816</v>
      </c>
      <c r="B99" s="22">
        <f t="shared" si="4"/>
        <v>84</v>
      </c>
      <c r="C99" s="25">
        <f t="shared" si="5"/>
        <v>1663</v>
      </c>
      <c r="D99" s="24">
        <v>-2372</v>
      </c>
      <c r="E99" s="25">
        <f t="shared" si="1"/>
        <v>4035</v>
      </c>
      <c r="F99" s="26">
        <f t="shared" si="6"/>
        <v>474</v>
      </c>
      <c r="G99" s="22">
        <f t="shared" si="7"/>
        <v>84</v>
      </c>
      <c r="H99" s="25">
        <f t="shared" si="8"/>
        <v>1608</v>
      </c>
      <c r="I99" s="24">
        <v>-2177</v>
      </c>
      <c r="J99" s="28">
        <f t="shared" si="2"/>
        <v>3785</v>
      </c>
      <c r="K99" s="22">
        <f t="shared" si="9"/>
        <v>519</v>
      </c>
      <c r="L99" s="22">
        <f t="shared" si="10"/>
        <v>84</v>
      </c>
      <c r="M99" s="25">
        <f t="shared" si="11"/>
        <v>1755</v>
      </c>
      <c r="N99" s="24">
        <v>-1582</v>
      </c>
      <c r="O99" s="28">
        <f t="shared" si="13"/>
        <v>3337</v>
      </c>
      <c r="P99" s="22">
        <f t="shared" si="14"/>
        <v>427</v>
      </c>
      <c r="Q99" s="36"/>
      <c r="R99" s="30"/>
    </row>
    <row r="100" spans="1:18" ht="12.75" x14ac:dyDescent="0.2">
      <c r="A100" s="21">
        <v>45817</v>
      </c>
      <c r="B100" s="22">
        <f t="shared" si="4"/>
        <v>85</v>
      </c>
      <c r="C100" s="25">
        <f t="shared" si="5"/>
        <v>1660</v>
      </c>
      <c r="D100" s="24">
        <v>-2375</v>
      </c>
      <c r="E100" s="25">
        <f t="shared" si="1"/>
        <v>4035</v>
      </c>
      <c r="F100" s="26">
        <f t="shared" si="6"/>
        <v>477</v>
      </c>
      <c r="G100" s="22">
        <f t="shared" si="7"/>
        <v>85</v>
      </c>
      <c r="H100" s="25">
        <f t="shared" si="8"/>
        <v>1605</v>
      </c>
      <c r="I100" s="24">
        <v>-2180</v>
      </c>
      <c r="J100" s="28">
        <f t="shared" si="2"/>
        <v>3785</v>
      </c>
      <c r="K100" s="22">
        <f t="shared" si="9"/>
        <v>522</v>
      </c>
      <c r="L100" s="22">
        <f t="shared" si="10"/>
        <v>85</v>
      </c>
      <c r="M100" s="25">
        <f t="shared" si="11"/>
        <v>1735</v>
      </c>
      <c r="N100" s="24">
        <v>-1602</v>
      </c>
      <c r="O100" s="28">
        <f t="shared" si="13"/>
        <v>3337</v>
      </c>
      <c r="P100" s="22">
        <f t="shared" si="14"/>
        <v>447</v>
      </c>
      <c r="Q100" s="36"/>
      <c r="R100" s="30"/>
    </row>
    <row r="101" spans="1:18" ht="12.75" x14ac:dyDescent="0.2">
      <c r="A101" s="21">
        <v>45818</v>
      </c>
      <c r="B101" s="22">
        <f t="shared" si="4"/>
        <v>86</v>
      </c>
      <c r="C101" s="25">
        <f t="shared" si="5"/>
        <v>1657</v>
      </c>
      <c r="D101" s="24">
        <v>-2378</v>
      </c>
      <c r="E101" s="25">
        <f t="shared" si="1"/>
        <v>4035</v>
      </c>
      <c r="F101" s="26">
        <f t="shared" si="6"/>
        <v>480</v>
      </c>
      <c r="G101" s="22">
        <f t="shared" si="7"/>
        <v>86</v>
      </c>
      <c r="H101" s="25">
        <f t="shared" si="8"/>
        <v>1595</v>
      </c>
      <c r="I101" s="24">
        <v>-2190</v>
      </c>
      <c r="J101" s="28">
        <f t="shared" si="2"/>
        <v>3785</v>
      </c>
      <c r="K101" s="22">
        <f t="shared" si="9"/>
        <v>532</v>
      </c>
      <c r="L101" s="22">
        <f t="shared" si="10"/>
        <v>86</v>
      </c>
      <c r="M101" s="25">
        <f t="shared" si="11"/>
        <v>1732</v>
      </c>
      <c r="N101" s="24">
        <v>-1605</v>
      </c>
      <c r="O101" s="28">
        <f t="shared" si="13"/>
        <v>3337</v>
      </c>
      <c r="P101" s="22">
        <f t="shared" si="14"/>
        <v>450</v>
      </c>
      <c r="Q101" s="36"/>
      <c r="R101" s="30"/>
    </row>
    <row r="102" spans="1:18" ht="12.75" x14ac:dyDescent="0.2">
      <c r="A102" s="21">
        <v>45819</v>
      </c>
      <c r="B102" s="22">
        <f t="shared" si="4"/>
        <v>87</v>
      </c>
      <c r="C102" s="25">
        <f t="shared" si="5"/>
        <v>1654</v>
      </c>
      <c r="D102" s="24">
        <v>-2381</v>
      </c>
      <c r="E102" s="25">
        <f t="shared" si="1"/>
        <v>4035</v>
      </c>
      <c r="F102" s="26">
        <f t="shared" si="6"/>
        <v>483</v>
      </c>
      <c r="G102" s="22">
        <f t="shared" si="7"/>
        <v>87</v>
      </c>
      <c r="H102" s="25">
        <f t="shared" si="8"/>
        <v>1592</v>
      </c>
      <c r="I102" s="24">
        <v>-2193</v>
      </c>
      <c r="J102" s="28">
        <f t="shared" si="2"/>
        <v>3785</v>
      </c>
      <c r="K102" s="22">
        <f t="shared" si="9"/>
        <v>535</v>
      </c>
      <c r="L102" s="22">
        <f t="shared" si="10"/>
        <v>87</v>
      </c>
      <c r="M102" s="25">
        <f t="shared" si="11"/>
        <v>1729</v>
      </c>
      <c r="N102" s="24">
        <v>-1608</v>
      </c>
      <c r="O102" s="28">
        <f t="shared" si="13"/>
        <v>3337</v>
      </c>
      <c r="P102" s="22">
        <f t="shared" si="14"/>
        <v>453</v>
      </c>
      <c r="Q102" s="36"/>
      <c r="R102" s="30"/>
    </row>
    <row r="103" spans="1:18" ht="12.75" x14ac:dyDescent="0.2">
      <c r="A103" s="21">
        <v>45820</v>
      </c>
      <c r="B103" s="22">
        <f t="shared" si="4"/>
        <v>88</v>
      </c>
      <c r="C103" s="25">
        <f t="shared" si="5"/>
        <v>1651</v>
      </c>
      <c r="D103" s="24">
        <v>-2384</v>
      </c>
      <c r="E103" s="25">
        <f t="shared" si="1"/>
        <v>4035</v>
      </c>
      <c r="F103" s="26">
        <f t="shared" si="6"/>
        <v>486</v>
      </c>
      <c r="G103" s="22">
        <f t="shared" si="7"/>
        <v>88</v>
      </c>
      <c r="H103" s="25">
        <f t="shared" si="8"/>
        <v>1589</v>
      </c>
      <c r="I103" s="24">
        <v>-2196</v>
      </c>
      <c r="J103" s="28">
        <f t="shared" si="2"/>
        <v>3785</v>
      </c>
      <c r="K103" s="22">
        <f t="shared" si="9"/>
        <v>538</v>
      </c>
      <c r="L103" s="22">
        <f t="shared" si="10"/>
        <v>88</v>
      </c>
      <c r="M103" s="25">
        <f t="shared" si="11"/>
        <v>1726</v>
      </c>
      <c r="N103" s="24">
        <v>-1611</v>
      </c>
      <c r="O103" s="28">
        <f t="shared" si="13"/>
        <v>3337</v>
      </c>
      <c r="P103" s="22">
        <f t="shared" si="14"/>
        <v>456</v>
      </c>
      <c r="Q103" s="36"/>
      <c r="R103" s="30"/>
    </row>
    <row r="104" spans="1:18" ht="12.75" x14ac:dyDescent="0.2">
      <c r="A104" s="21">
        <v>45821</v>
      </c>
      <c r="B104" s="22">
        <f t="shared" si="4"/>
        <v>89</v>
      </c>
      <c r="C104" s="25">
        <f t="shared" si="5"/>
        <v>1648</v>
      </c>
      <c r="D104" s="24">
        <v>-2387</v>
      </c>
      <c r="E104" s="25">
        <f t="shared" si="1"/>
        <v>4035</v>
      </c>
      <c r="F104" s="26">
        <f t="shared" si="6"/>
        <v>489</v>
      </c>
      <c r="G104" s="22">
        <f t="shared" si="7"/>
        <v>89</v>
      </c>
      <c r="H104" s="25">
        <f t="shared" si="8"/>
        <v>1586</v>
      </c>
      <c r="I104" s="24">
        <v>-2199</v>
      </c>
      <c r="J104" s="28">
        <f t="shared" si="2"/>
        <v>3785</v>
      </c>
      <c r="K104" s="22">
        <f t="shared" si="9"/>
        <v>541</v>
      </c>
      <c r="L104" s="22">
        <f t="shared" si="10"/>
        <v>89</v>
      </c>
      <c r="M104" s="25">
        <f t="shared" si="11"/>
        <v>1723</v>
      </c>
      <c r="N104" s="24">
        <v>-1614</v>
      </c>
      <c r="O104" s="28">
        <f t="shared" si="13"/>
        <v>3337</v>
      </c>
      <c r="P104" s="22">
        <f t="shared" si="14"/>
        <v>459</v>
      </c>
      <c r="Q104" s="36"/>
      <c r="R104" s="30"/>
    </row>
    <row r="105" spans="1:18" ht="12.75" x14ac:dyDescent="0.2">
      <c r="A105" s="21">
        <v>45822</v>
      </c>
      <c r="B105" s="22">
        <f t="shared" si="4"/>
        <v>90</v>
      </c>
      <c r="C105" s="25">
        <f t="shared" si="5"/>
        <v>1645</v>
      </c>
      <c r="D105" s="24">
        <v>-2390</v>
      </c>
      <c r="E105" s="25">
        <f t="shared" si="1"/>
        <v>4035</v>
      </c>
      <c r="F105" s="26">
        <f t="shared" si="6"/>
        <v>492</v>
      </c>
      <c r="G105" s="22">
        <f t="shared" si="7"/>
        <v>90</v>
      </c>
      <c r="H105" s="25">
        <f t="shared" si="8"/>
        <v>1583</v>
      </c>
      <c r="I105" s="24">
        <v>-2202</v>
      </c>
      <c r="J105" s="28">
        <f t="shared" si="2"/>
        <v>3785</v>
      </c>
      <c r="K105" s="22">
        <f t="shared" si="9"/>
        <v>544</v>
      </c>
      <c r="L105" s="22">
        <f t="shared" si="10"/>
        <v>90</v>
      </c>
      <c r="M105" s="25">
        <f t="shared" si="11"/>
        <v>1720</v>
      </c>
      <c r="N105" s="24">
        <v>-1617</v>
      </c>
      <c r="O105" s="28">
        <f t="shared" si="13"/>
        <v>3337</v>
      </c>
      <c r="P105" s="22">
        <f t="shared" si="14"/>
        <v>462</v>
      </c>
      <c r="Q105" s="36"/>
      <c r="R105" s="30"/>
    </row>
    <row r="106" spans="1:18" ht="12.75" x14ac:dyDescent="0.2">
      <c r="A106" s="21">
        <v>45823</v>
      </c>
      <c r="B106" s="22">
        <f t="shared" si="4"/>
        <v>91</v>
      </c>
      <c r="C106" s="25">
        <f t="shared" si="5"/>
        <v>1642</v>
      </c>
      <c r="D106" s="24">
        <v>-2393</v>
      </c>
      <c r="E106" s="25">
        <f t="shared" si="1"/>
        <v>4035</v>
      </c>
      <c r="F106" s="26">
        <f t="shared" si="6"/>
        <v>495</v>
      </c>
      <c r="G106" s="22">
        <f t="shared" si="7"/>
        <v>91</v>
      </c>
      <c r="H106" s="25">
        <f t="shared" si="8"/>
        <v>1580</v>
      </c>
      <c r="I106" s="24">
        <v>-2205</v>
      </c>
      <c r="J106" s="28">
        <f t="shared" si="2"/>
        <v>3785</v>
      </c>
      <c r="K106" s="22">
        <f t="shared" si="9"/>
        <v>547</v>
      </c>
      <c r="L106" s="22">
        <f t="shared" si="10"/>
        <v>91</v>
      </c>
      <c r="M106" s="25">
        <f t="shared" si="11"/>
        <v>1717</v>
      </c>
      <c r="N106" s="24">
        <v>-1620</v>
      </c>
      <c r="O106" s="28">
        <f t="shared" si="13"/>
        <v>3337</v>
      </c>
      <c r="P106" s="22">
        <f t="shared" si="14"/>
        <v>465</v>
      </c>
      <c r="Q106" s="36"/>
      <c r="R106" s="30"/>
    </row>
    <row r="107" spans="1:18" ht="12.75" x14ac:dyDescent="0.2">
      <c r="A107" s="21">
        <v>45824</v>
      </c>
      <c r="B107" s="22">
        <f t="shared" si="4"/>
        <v>92</v>
      </c>
      <c r="C107" s="25">
        <f t="shared" si="5"/>
        <v>1639</v>
      </c>
      <c r="D107" s="24">
        <v>-2396</v>
      </c>
      <c r="E107" s="25">
        <f t="shared" si="1"/>
        <v>4035</v>
      </c>
      <c r="F107" s="26">
        <f t="shared" si="6"/>
        <v>498</v>
      </c>
      <c r="G107" s="22">
        <f t="shared" si="7"/>
        <v>92</v>
      </c>
      <c r="H107" s="25">
        <f t="shared" si="8"/>
        <v>1577</v>
      </c>
      <c r="I107" s="24">
        <v>-2208</v>
      </c>
      <c r="J107" s="28">
        <f t="shared" si="2"/>
        <v>3785</v>
      </c>
      <c r="K107" s="22">
        <f t="shared" si="9"/>
        <v>550</v>
      </c>
      <c r="L107" s="22">
        <f t="shared" si="10"/>
        <v>92</v>
      </c>
      <c r="M107" s="25">
        <f t="shared" si="11"/>
        <v>1714</v>
      </c>
      <c r="N107" s="24">
        <v>-1623</v>
      </c>
      <c r="O107" s="28">
        <f t="shared" si="13"/>
        <v>3337</v>
      </c>
      <c r="P107" s="22">
        <f t="shared" si="14"/>
        <v>468</v>
      </c>
      <c r="Q107" s="36"/>
      <c r="R107" s="30"/>
    </row>
    <row r="108" spans="1:18" ht="12.75" x14ac:dyDescent="0.2">
      <c r="A108" s="21">
        <v>45825</v>
      </c>
      <c r="B108" s="22">
        <f t="shared" si="4"/>
        <v>93</v>
      </c>
      <c r="C108" s="25">
        <f t="shared" si="5"/>
        <v>1636</v>
      </c>
      <c r="D108" s="24">
        <v>-2399</v>
      </c>
      <c r="E108" s="25">
        <f t="shared" si="1"/>
        <v>4035</v>
      </c>
      <c r="F108" s="26">
        <f t="shared" si="6"/>
        <v>501</v>
      </c>
      <c r="G108" s="22">
        <f t="shared" si="7"/>
        <v>93</v>
      </c>
      <c r="H108" s="25">
        <f t="shared" si="8"/>
        <v>1574</v>
      </c>
      <c r="I108" s="24">
        <v>-2211</v>
      </c>
      <c r="J108" s="28">
        <f t="shared" si="2"/>
        <v>3785</v>
      </c>
      <c r="K108" s="22">
        <f t="shared" si="9"/>
        <v>553</v>
      </c>
      <c r="L108" s="22">
        <f t="shared" si="10"/>
        <v>93</v>
      </c>
      <c r="M108" s="25">
        <f t="shared" si="11"/>
        <v>1711</v>
      </c>
      <c r="N108" s="24">
        <v>-1626</v>
      </c>
      <c r="O108" s="28">
        <f t="shared" si="13"/>
        <v>3337</v>
      </c>
      <c r="P108" s="22">
        <f t="shared" si="14"/>
        <v>471</v>
      </c>
      <c r="Q108" s="36"/>
      <c r="R108" s="30"/>
    </row>
    <row r="109" spans="1:18" ht="12.75" x14ac:dyDescent="0.2">
      <c r="A109" s="21">
        <v>45826</v>
      </c>
      <c r="B109" s="22">
        <f t="shared" si="4"/>
        <v>94</v>
      </c>
      <c r="C109" s="25">
        <f t="shared" si="5"/>
        <v>1633</v>
      </c>
      <c r="D109" s="24">
        <v>-2402</v>
      </c>
      <c r="E109" s="25">
        <f t="shared" si="1"/>
        <v>4035</v>
      </c>
      <c r="F109" s="26">
        <f t="shared" si="6"/>
        <v>504</v>
      </c>
      <c r="G109" s="22">
        <f t="shared" si="7"/>
        <v>94</v>
      </c>
      <c r="H109" s="25">
        <f t="shared" si="8"/>
        <v>1571</v>
      </c>
      <c r="I109" s="24">
        <v>-2214</v>
      </c>
      <c r="J109" s="28">
        <f t="shared" si="2"/>
        <v>3785</v>
      </c>
      <c r="K109" s="22">
        <f t="shared" si="9"/>
        <v>556</v>
      </c>
      <c r="L109" s="22">
        <f t="shared" si="10"/>
        <v>94</v>
      </c>
      <c r="M109" s="25">
        <f t="shared" si="11"/>
        <v>1708</v>
      </c>
      <c r="N109" s="24">
        <v>-1629</v>
      </c>
      <c r="O109" s="28">
        <f t="shared" si="13"/>
        <v>3337</v>
      </c>
      <c r="P109" s="22">
        <f t="shared" si="14"/>
        <v>474</v>
      </c>
      <c r="Q109" s="36"/>
      <c r="R109" s="30"/>
    </row>
    <row r="110" spans="1:18" ht="12.75" x14ac:dyDescent="0.2">
      <c r="A110" s="21">
        <v>45827</v>
      </c>
      <c r="B110" s="22">
        <f t="shared" si="4"/>
        <v>95</v>
      </c>
      <c r="C110" s="25">
        <f t="shared" si="5"/>
        <v>1630</v>
      </c>
      <c r="D110" s="24">
        <v>-2405</v>
      </c>
      <c r="E110" s="25">
        <f t="shared" si="1"/>
        <v>4035</v>
      </c>
      <c r="F110" s="26">
        <f t="shared" si="6"/>
        <v>507</v>
      </c>
      <c r="G110" s="22">
        <f t="shared" si="7"/>
        <v>95</v>
      </c>
      <c r="H110" s="25">
        <f t="shared" si="8"/>
        <v>1568</v>
      </c>
      <c r="I110" s="24">
        <v>-2217</v>
      </c>
      <c r="J110" s="28">
        <f t="shared" si="2"/>
        <v>3785</v>
      </c>
      <c r="K110" s="22">
        <f t="shared" si="9"/>
        <v>559</v>
      </c>
      <c r="L110" s="22">
        <f t="shared" si="10"/>
        <v>95</v>
      </c>
      <c r="M110" s="25">
        <f t="shared" si="11"/>
        <v>1705</v>
      </c>
      <c r="N110" s="24">
        <v>-1632</v>
      </c>
      <c r="O110" s="28">
        <f t="shared" si="13"/>
        <v>3337</v>
      </c>
      <c r="P110" s="22">
        <f t="shared" si="14"/>
        <v>477</v>
      </c>
      <c r="Q110" s="36"/>
      <c r="R110" s="30"/>
    </row>
    <row r="111" spans="1:18" ht="12.75" x14ac:dyDescent="0.2">
      <c r="A111" s="21">
        <v>45828</v>
      </c>
      <c r="B111" s="22">
        <f t="shared" si="4"/>
        <v>96</v>
      </c>
      <c r="C111" s="25">
        <f t="shared" si="5"/>
        <v>1627</v>
      </c>
      <c r="D111" s="24">
        <v>-2408</v>
      </c>
      <c r="E111" s="25">
        <f t="shared" si="1"/>
        <v>4035</v>
      </c>
      <c r="F111" s="26">
        <f t="shared" si="6"/>
        <v>510</v>
      </c>
      <c r="G111" s="22">
        <f t="shared" si="7"/>
        <v>96</v>
      </c>
      <c r="H111" s="25">
        <f t="shared" si="8"/>
        <v>1565</v>
      </c>
      <c r="I111" s="24">
        <v>-2220</v>
      </c>
      <c r="J111" s="28">
        <f t="shared" si="2"/>
        <v>3785</v>
      </c>
      <c r="K111" s="22">
        <f t="shared" si="9"/>
        <v>562</v>
      </c>
      <c r="L111" s="22">
        <f t="shared" si="10"/>
        <v>96</v>
      </c>
      <c r="M111" s="25">
        <f t="shared" si="11"/>
        <v>1702</v>
      </c>
      <c r="N111" s="24">
        <v>-1635</v>
      </c>
      <c r="O111" s="28">
        <f t="shared" si="13"/>
        <v>3337</v>
      </c>
      <c r="P111" s="22">
        <f t="shared" si="14"/>
        <v>480</v>
      </c>
      <c r="Q111" s="36"/>
      <c r="R111" s="30"/>
    </row>
    <row r="112" spans="1:18" ht="12.75" x14ac:dyDescent="0.2">
      <c r="A112" s="21">
        <v>45829</v>
      </c>
      <c r="B112" s="22">
        <f t="shared" si="4"/>
        <v>97</v>
      </c>
      <c r="C112" s="25">
        <f t="shared" si="5"/>
        <v>1617</v>
      </c>
      <c r="D112" s="24">
        <v>-2418</v>
      </c>
      <c r="E112" s="25">
        <f t="shared" si="1"/>
        <v>4035</v>
      </c>
      <c r="F112" s="26">
        <f t="shared" si="6"/>
        <v>520</v>
      </c>
      <c r="G112" s="22">
        <f t="shared" si="7"/>
        <v>97</v>
      </c>
      <c r="H112" s="25">
        <f t="shared" si="8"/>
        <v>1562</v>
      </c>
      <c r="I112" s="24">
        <v>-2223</v>
      </c>
      <c r="J112" s="28">
        <f t="shared" si="2"/>
        <v>3785</v>
      </c>
      <c r="K112" s="22">
        <f t="shared" si="9"/>
        <v>565</v>
      </c>
      <c r="L112" s="22">
        <f t="shared" si="10"/>
        <v>97</v>
      </c>
      <c r="M112" s="25">
        <f t="shared" si="11"/>
        <v>1699</v>
      </c>
      <c r="N112" s="24">
        <v>-1638</v>
      </c>
      <c r="O112" s="28">
        <f t="shared" si="13"/>
        <v>3337</v>
      </c>
      <c r="P112" s="22">
        <f t="shared" si="14"/>
        <v>483</v>
      </c>
      <c r="Q112" s="36"/>
      <c r="R112" s="30"/>
    </row>
    <row r="113" spans="1:18" ht="12.75" x14ac:dyDescent="0.2">
      <c r="A113" s="21">
        <v>45830</v>
      </c>
      <c r="B113" s="22">
        <f t="shared" si="4"/>
        <v>98</v>
      </c>
      <c r="C113" s="25">
        <f t="shared" si="5"/>
        <v>1620</v>
      </c>
      <c r="D113" s="24">
        <v>-2415</v>
      </c>
      <c r="E113" s="25">
        <f t="shared" si="1"/>
        <v>4035</v>
      </c>
      <c r="F113" s="26">
        <f t="shared" si="6"/>
        <v>517</v>
      </c>
      <c r="G113" s="22">
        <f t="shared" si="7"/>
        <v>98</v>
      </c>
      <c r="H113" s="25">
        <f t="shared" si="8"/>
        <v>1559</v>
      </c>
      <c r="I113" s="24">
        <v>-2226</v>
      </c>
      <c r="J113" s="28">
        <f t="shared" si="2"/>
        <v>3785</v>
      </c>
      <c r="K113" s="22">
        <f t="shared" si="9"/>
        <v>568</v>
      </c>
      <c r="L113" s="22">
        <f t="shared" si="10"/>
        <v>98</v>
      </c>
      <c r="M113" s="25">
        <f t="shared" si="11"/>
        <v>1696</v>
      </c>
      <c r="N113" s="24">
        <v>-1641</v>
      </c>
      <c r="O113" s="28">
        <f t="shared" si="13"/>
        <v>3337</v>
      </c>
      <c r="P113" s="22">
        <f t="shared" si="14"/>
        <v>486</v>
      </c>
      <c r="Q113" s="36"/>
      <c r="R113" s="30"/>
    </row>
    <row r="114" spans="1:18" ht="12.75" x14ac:dyDescent="0.2">
      <c r="A114" s="21">
        <v>45831</v>
      </c>
      <c r="B114" s="22">
        <f t="shared" si="4"/>
        <v>99</v>
      </c>
      <c r="C114" s="25">
        <f t="shared" si="5"/>
        <v>1615</v>
      </c>
      <c r="D114" s="24">
        <v>-2420</v>
      </c>
      <c r="E114" s="25">
        <f t="shared" si="1"/>
        <v>4035</v>
      </c>
      <c r="F114" s="26">
        <f t="shared" si="6"/>
        <v>522</v>
      </c>
      <c r="G114" s="22">
        <f t="shared" si="7"/>
        <v>99</v>
      </c>
      <c r="H114" s="25">
        <f t="shared" si="8"/>
        <v>1556</v>
      </c>
      <c r="I114" s="24">
        <v>-2229</v>
      </c>
      <c r="J114" s="28">
        <f t="shared" si="2"/>
        <v>3785</v>
      </c>
      <c r="K114" s="22">
        <f t="shared" si="9"/>
        <v>571</v>
      </c>
      <c r="L114" s="22">
        <f t="shared" si="10"/>
        <v>99</v>
      </c>
      <c r="M114" s="25">
        <f t="shared" si="11"/>
        <v>1693</v>
      </c>
      <c r="N114" s="24">
        <v>-1644</v>
      </c>
      <c r="O114" s="28">
        <f t="shared" si="13"/>
        <v>3337</v>
      </c>
      <c r="P114" s="22">
        <f t="shared" si="14"/>
        <v>489</v>
      </c>
      <c r="Q114" s="36"/>
      <c r="R114" s="30"/>
    </row>
    <row r="115" spans="1:18" ht="12.75" x14ac:dyDescent="0.2">
      <c r="A115" s="21">
        <v>45832</v>
      </c>
      <c r="B115" s="22">
        <f t="shared" si="4"/>
        <v>100</v>
      </c>
      <c r="C115" s="25">
        <f t="shared" si="5"/>
        <v>1610</v>
      </c>
      <c r="D115" s="24">
        <v>-2425</v>
      </c>
      <c r="E115" s="25">
        <f t="shared" si="1"/>
        <v>4035</v>
      </c>
      <c r="F115" s="26">
        <f t="shared" si="6"/>
        <v>527</v>
      </c>
      <c r="G115" s="22">
        <f t="shared" si="7"/>
        <v>100</v>
      </c>
      <c r="H115" s="25">
        <f t="shared" si="8"/>
        <v>1553</v>
      </c>
      <c r="I115" s="24">
        <v>-2232</v>
      </c>
      <c r="J115" s="28">
        <f t="shared" si="2"/>
        <v>3785</v>
      </c>
      <c r="K115" s="22">
        <f t="shared" si="9"/>
        <v>574</v>
      </c>
      <c r="L115" s="22">
        <f t="shared" si="10"/>
        <v>100</v>
      </c>
      <c r="M115" s="25">
        <f t="shared" si="11"/>
        <v>1690</v>
      </c>
      <c r="N115" s="24">
        <v>-1647</v>
      </c>
      <c r="O115" s="28">
        <f t="shared" si="13"/>
        <v>3337</v>
      </c>
      <c r="P115" s="22">
        <f t="shared" si="14"/>
        <v>492</v>
      </c>
      <c r="Q115" s="36"/>
      <c r="R115" s="30"/>
    </row>
    <row r="116" spans="1:18" ht="12.75" x14ac:dyDescent="0.2">
      <c r="A116" s="21">
        <v>45833</v>
      </c>
      <c r="B116" s="22">
        <f t="shared" si="4"/>
        <v>101</v>
      </c>
      <c r="C116" s="25">
        <f t="shared" si="5"/>
        <v>1605</v>
      </c>
      <c r="D116" s="24">
        <v>-2430</v>
      </c>
      <c r="E116" s="25">
        <f t="shared" si="1"/>
        <v>4035</v>
      </c>
      <c r="F116" s="26">
        <f t="shared" si="6"/>
        <v>532</v>
      </c>
      <c r="G116" s="22">
        <f t="shared" si="7"/>
        <v>101</v>
      </c>
      <c r="H116" s="25">
        <f t="shared" si="8"/>
        <v>1550</v>
      </c>
      <c r="I116" s="24">
        <v>-2235</v>
      </c>
      <c r="J116" s="28">
        <f t="shared" si="2"/>
        <v>3785</v>
      </c>
      <c r="K116" s="22">
        <f t="shared" si="9"/>
        <v>577</v>
      </c>
      <c r="L116" s="22">
        <f t="shared" si="10"/>
        <v>101</v>
      </c>
      <c r="M116" s="25">
        <f t="shared" si="11"/>
        <v>1687</v>
      </c>
      <c r="N116" s="24">
        <v>-1650</v>
      </c>
      <c r="O116" s="28">
        <f t="shared" si="13"/>
        <v>3337</v>
      </c>
      <c r="P116" s="22">
        <f t="shared" si="14"/>
        <v>495</v>
      </c>
      <c r="Q116" s="36"/>
      <c r="R116" s="30"/>
    </row>
    <row r="117" spans="1:18" ht="12.75" x14ac:dyDescent="0.2">
      <c r="A117" s="21">
        <v>45834</v>
      </c>
      <c r="B117" s="22">
        <f t="shared" si="4"/>
        <v>102</v>
      </c>
      <c r="C117" s="25">
        <f t="shared" si="5"/>
        <v>1600</v>
      </c>
      <c r="D117" s="24">
        <v>-2435</v>
      </c>
      <c r="E117" s="25">
        <f t="shared" si="1"/>
        <v>4035</v>
      </c>
      <c r="F117" s="26">
        <f t="shared" si="6"/>
        <v>537</v>
      </c>
      <c r="G117" s="22">
        <f t="shared" si="7"/>
        <v>102</v>
      </c>
      <c r="H117" s="25">
        <f t="shared" si="8"/>
        <v>1535</v>
      </c>
      <c r="I117" s="24">
        <v>-2250</v>
      </c>
      <c r="J117" s="28">
        <f t="shared" si="2"/>
        <v>3785</v>
      </c>
      <c r="K117" s="22">
        <f t="shared" si="9"/>
        <v>592</v>
      </c>
      <c r="L117" s="22">
        <f t="shared" si="10"/>
        <v>102</v>
      </c>
      <c r="M117" s="25">
        <f t="shared" si="11"/>
        <v>1684</v>
      </c>
      <c r="N117" s="24">
        <v>-1653</v>
      </c>
      <c r="O117" s="28">
        <f t="shared" si="13"/>
        <v>3337</v>
      </c>
      <c r="P117" s="22">
        <f t="shared" si="14"/>
        <v>498</v>
      </c>
      <c r="Q117" s="36"/>
      <c r="R117" s="30"/>
    </row>
    <row r="118" spans="1:18" ht="12.75" x14ac:dyDescent="0.2">
      <c r="A118" s="21">
        <v>45835</v>
      </c>
      <c r="B118" s="22">
        <f t="shared" si="4"/>
        <v>103</v>
      </c>
      <c r="C118" s="25">
        <f t="shared" si="5"/>
        <v>1600</v>
      </c>
      <c r="D118" s="24">
        <v>-2435</v>
      </c>
      <c r="E118" s="25">
        <f t="shared" si="1"/>
        <v>4035</v>
      </c>
      <c r="F118" s="26">
        <f t="shared" si="6"/>
        <v>537</v>
      </c>
      <c r="G118" s="22">
        <f t="shared" si="7"/>
        <v>103</v>
      </c>
      <c r="H118" s="25">
        <f t="shared" si="8"/>
        <v>1535</v>
      </c>
      <c r="I118" s="24">
        <v>-2250</v>
      </c>
      <c r="J118" s="28">
        <f t="shared" si="2"/>
        <v>3785</v>
      </c>
      <c r="K118" s="22">
        <f t="shared" si="9"/>
        <v>592</v>
      </c>
      <c r="L118" s="22">
        <f t="shared" si="10"/>
        <v>103</v>
      </c>
      <c r="M118" s="25">
        <f t="shared" si="11"/>
        <v>1684</v>
      </c>
      <c r="N118" s="24">
        <v>-1653</v>
      </c>
      <c r="O118" s="28">
        <f t="shared" si="13"/>
        <v>3337</v>
      </c>
      <c r="P118" s="22">
        <f t="shared" si="14"/>
        <v>498</v>
      </c>
      <c r="Q118" s="36"/>
      <c r="R118" s="30"/>
    </row>
    <row r="119" spans="1:18" ht="12.75" x14ac:dyDescent="0.2">
      <c r="A119" s="21">
        <v>45836</v>
      </c>
      <c r="B119" s="22">
        <f t="shared" si="4"/>
        <v>104</v>
      </c>
      <c r="C119" s="25">
        <f t="shared" si="5"/>
        <v>1600</v>
      </c>
      <c r="D119" s="24">
        <v>-2435</v>
      </c>
      <c r="E119" s="25">
        <f t="shared" si="1"/>
        <v>4035</v>
      </c>
      <c r="F119" s="26">
        <f t="shared" si="6"/>
        <v>537</v>
      </c>
      <c r="G119" s="22">
        <f t="shared" si="7"/>
        <v>104</v>
      </c>
      <c r="H119" s="25">
        <f t="shared" si="8"/>
        <v>1535</v>
      </c>
      <c r="I119" s="24">
        <v>-2250</v>
      </c>
      <c r="J119" s="28">
        <f t="shared" si="2"/>
        <v>3785</v>
      </c>
      <c r="K119" s="22">
        <f t="shared" si="9"/>
        <v>592</v>
      </c>
      <c r="L119" s="22">
        <f t="shared" si="10"/>
        <v>104</v>
      </c>
      <c r="M119" s="25">
        <f t="shared" si="11"/>
        <v>1684</v>
      </c>
      <c r="N119" s="24">
        <v>-1653</v>
      </c>
      <c r="O119" s="28">
        <f t="shared" si="13"/>
        <v>3337</v>
      </c>
      <c r="P119" s="22">
        <f t="shared" si="14"/>
        <v>498</v>
      </c>
      <c r="Q119" s="36"/>
      <c r="R119" s="30"/>
    </row>
    <row r="120" spans="1:18" ht="12.75" x14ac:dyDescent="0.2">
      <c r="A120" s="21">
        <v>45837</v>
      </c>
      <c r="B120" s="22">
        <f t="shared" si="4"/>
        <v>105</v>
      </c>
      <c r="C120" s="25">
        <f t="shared" si="5"/>
        <v>1600</v>
      </c>
      <c r="D120" s="24">
        <v>-2435</v>
      </c>
      <c r="E120" s="25">
        <f t="shared" si="1"/>
        <v>4035</v>
      </c>
      <c r="F120" s="26">
        <f t="shared" si="6"/>
        <v>537</v>
      </c>
      <c r="G120" s="22">
        <f t="shared" si="7"/>
        <v>105</v>
      </c>
      <c r="H120" s="25">
        <f t="shared" si="8"/>
        <v>1535</v>
      </c>
      <c r="I120" s="24">
        <v>-2250</v>
      </c>
      <c r="J120" s="28">
        <f t="shared" si="2"/>
        <v>3785</v>
      </c>
      <c r="K120" s="22">
        <f t="shared" si="9"/>
        <v>592</v>
      </c>
      <c r="L120" s="22">
        <f t="shared" si="10"/>
        <v>105</v>
      </c>
      <c r="M120" s="25">
        <f t="shared" si="11"/>
        <v>1684</v>
      </c>
      <c r="N120" s="24">
        <v>-1653</v>
      </c>
      <c r="O120" s="28">
        <f t="shared" si="13"/>
        <v>3337</v>
      </c>
      <c r="P120" s="22">
        <f t="shared" si="14"/>
        <v>498</v>
      </c>
      <c r="Q120" s="36"/>
      <c r="R120" s="30"/>
    </row>
    <row r="121" spans="1:18" ht="12.75" x14ac:dyDescent="0.2">
      <c r="A121" s="21">
        <v>45838</v>
      </c>
      <c r="B121" s="22">
        <f t="shared" si="4"/>
        <v>106</v>
      </c>
      <c r="C121" s="25">
        <f t="shared" si="5"/>
        <v>1600</v>
      </c>
      <c r="D121" s="24">
        <v>-2435</v>
      </c>
      <c r="E121" s="25">
        <f t="shared" si="1"/>
        <v>4035</v>
      </c>
      <c r="F121" s="26">
        <f t="shared" si="6"/>
        <v>537</v>
      </c>
      <c r="G121" s="22">
        <f t="shared" si="7"/>
        <v>106</v>
      </c>
      <c r="H121" s="25">
        <f t="shared" si="8"/>
        <v>1535</v>
      </c>
      <c r="I121" s="24">
        <v>-2250</v>
      </c>
      <c r="J121" s="28">
        <f t="shared" si="2"/>
        <v>3785</v>
      </c>
      <c r="K121" s="22">
        <f t="shared" si="9"/>
        <v>592</v>
      </c>
      <c r="L121" s="22">
        <f t="shared" si="10"/>
        <v>106</v>
      </c>
      <c r="M121" s="25">
        <f t="shared" si="11"/>
        <v>1684</v>
      </c>
      <c r="N121" s="24">
        <v>-1653</v>
      </c>
      <c r="O121" s="28">
        <f t="shared" si="13"/>
        <v>3337</v>
      </c>
      <c r="P121" s="22">
        <f t="shared" si="14"/>
        <v>498</v>
      </c>
      <c r="Q121" s="36"/>
      <c r="R121" s="30"/>
    </row>
    <row r="122" spans="1:18" ht="12.75" x14ac:dyDescent="0.2">
      <c r="A122" s="21">
        <v>45839</v>
      </c>
      <c r="B122" s="22">
        <f t="shared" si="4"/>
        <v>107</v>
      </c>
      <c r="C122" s="25">
        <f t="shared" si="5"/>
        <v>1600</v>
      </c>
      <c r="D122" s="24">
        <v>-2435</v>
      </c>
      <c r="E122" s="25">
        <f t="shared" si="1"/>
        <v>4035</v>
      </c>
      <c r="F122" s="26">
        <f t="shared" si="6"/>
        <v>537</v>
      </c>
      <c r="G122" s="22">
        <f t="shared" si="7"/>
        <v>107</v>
      </c>
      <c r="H122" s="25">
        <f t="shared" si="8"/>
        <v>1535</v>
      </c>
      <c r="I122" s="24">
        <v>-2250</v>
      </c>
      <c r="J122" s="28">
        <f t="shared" si="2"/>
        <v>3785</v>
      </c>
      <c r="K122" s="22">
        <f t="shared" si="9"/>
        <v>592</v>
      </c>
      <c r="L122" s="22">
        <f t="shared" si="10"/>
        <v>107</v>
      </c>
      <c r="M122" s="25">
        <f t="shared" si="11"/>
        <v>1684</v>
      </c>
      <c r="N122" s="24">
        <v>-1653</v>
      </c>
      <c r="O122" s="28">
        <f t="shared" si="13"/>
        <v>3337</v>
      </c>
      <c r="P122" s="22">
        <f t="shared" si="14"/>
        <v>498</v>
      </c>
      <c r="Q122" s="36"/>
      <c r="R122" s="30"/>
    </row>
    <row r="123" spans="1:18" ht="12.75" x14ac:dyDescent="0.2">
      <c r="A123" s="21">
        <v>45840</v>
      </c>
      <c r="B123" s="22">
        <f t="shared" si="4"/>
        <v>108</v>
      </c>
      <c r="C123" s="25">
        <f t="shared" si="5"/>
        <v>1600</v>
      </c>
      <c r="D123" s="24">
        <v>-2435</v>
      </c>
      <c r="E123" s="25">
        <f t="shared" si="1"/>
        <v>4035</v>
      </c>
      <c r="F123" s="26">
        <f t="shared" si="6"/>
        <v>537</v>
      </c>
      <c r="G123" s="22">
        <f t="shared" si="7"/>
        <v>108</v>
      </c>
      <c r="H123" s="25">
        <f t="shared" si="8"/>
        <v>1535</v>
      </c>
      <c r="I123" s="24">
        <v>-2250</v>
      </c>
      <c r="J123" s="28">
        <f t="shared" si="2"/>
        <v>3785</v>
      </c>
      <c r="K123" s="22">
        <f t="shared" si="9"/>
        <v>592</v>
      </c>
      <c r="L123" s="22">
        <f t="shared" si="10"/>
        <v>108</v>
      </c>
      <c r="M123" s="25">
        <f t="shared" si="11"/>
        <v>1684</v>
      </c>
      <c r="N123" s="24">
        <v>-1653</v>
      </c>
      <c r="O123" s="28">
        <f t="shared" si="13"/>
        <v>3337</v>
      </c>
      <c r="P123" s="22">
        <f t="shared" si="14"/>
        <v>498</v>
      </c>
      <c r="Q123" s="36"/>
      <c r="R123" s="30"/>
    </row>
    <row r="124" spans="1:18" ht="12.75" x14ac:dyDescent="0.2">
      <c r="A124" s="21">
        <v>45841</v>
      </c>
      <c r="B124" s="22">
        <f t="shared" si="4"/>
        <v>109</v>
      </c>
      <c r="C124" s="25">
        <f t="shared" si="5"/>
        <v>1600</v>
      </c>
      <c r="D124" s="24">
        <v>-2435</v>
      </c>
      <c r="E124" s="25">
        <f t="shared" si="1"/>
        <v>4035</v>
      </c>
      <c r="F124" s="26">
        <f t="shared" si="6"/>
        <v>537</v>
      </c>
      <c r="G124" s="22">
        <f t="shared" si="7"/>
        <v>109</v>
      </c>
      <c r="H124" s="25">
        <f t="shared" si="8"/>
        <v>1535</v>
      </c>
      <c r="I124" s="24">
        <v>-2250</v>
      </c>
      <c r="J124" s="28">
        <f t="shared" si="2"/>
        <v>3785</v>
      </c>
      <c r="K124" s="22">
        <f t="shared" si="9"/>
        <v>592</v>
      </c>
      <c r="L124" s="22">
        <f t="shared" si="10"/>
        <v>109</v>
      </c>
      <c r="M124" s="25">
        <f t="shared" si="11"/>
        <v>1684</v>
      </c>
      <c r="N124" s="24">
        <v>-1653</v>
      </c>
      <c r="O124" s="28">
        <f t="shared" si="13"/>
        <v>3337</v>
      </c>
      <c r="P124" s="22">
        <f t="shared" si="14"/>
        <v>498</v>
      </c>
      <c r="Q124" s="36"/>
      <c r="R124" s="30"/>
    </row>
    <row r="125" spans="1:18" ht="12.75" x14ac:dyDescent="0.2">
      <c r="A125" s="21">
        <v>45842</v>
      </c>
      <c r="B125" s="22">
        <f t="shared" si="4"/>
        <v>110</v>
      </c>
      <c r="C125" s="25">
        <f t="shared" si="5"/>
        <v>1600</v>
      </c>
      <c r="D125" s="24">
        <v>-2435</v>
      </c>
      <c r="E125" s="25">
        <f t="shared" si="1"/>
        <v>4035</v>
      </c>
      <c r="F125" s="26">
        <f t="shared" si="6"/>
        <v>537</v>
      </c>
      <c r="G125" s="22">
        <f t="shared" si="7"/>
        <v>110</v>
      </c>
      <c r="H125" s="25">
        <f t="shared" si="8"/>
        <v>1535</v>
      </c>
      <c r="I125" s="24">
        <v>-2250</v>
      </c>
      <c r="J125" s="28">
        <f t="shared" si="2"/>
        <v>3785</v>
      </c>
      <c r="K125" s="22">
        <f t="shared" si="9"/>
        <v>592</v>
      </c>
      <c r="L125" s="22">
        <f t="shared" si="10"/>
        <v>110</v>
      </c>
      <c r="M125" s="25">
        <f t="shared" si="11"/>
        <v>1684</v>
      </c>
      <c r="N125" s="24">
        <v>-1653</v>
      </c>
      <c r="O125" s="28">
        <f t="shared" si="13"/>
        <v>3337</v>
      </c>
      <c r="P125" s="22">
        <f t="shared" si="14"/>
        <v>498</v>
      </c>
      <c r="Q125" s="36"/>
      <c r="R125" s="30"/>
    </row>
    <row r="126" spans="1:18" ht="12.75" x14ac:dyDescent="0.2">
      <c r="A126" s="21">
        <v>45843</v>
      </c>
      <c r="B126" s="22">
        <f t="shared" si="4"/>
        <v>111</v>
      </c>
      <c r="C126" s="25">
        <f t="shared" si="5"/>
        <v>1595</v>
      </c>
      <c r="D126" s="24">
        <v>-2440</v>
      </c>
      <c r="E126" s="25">
        <f t="shared" si="1"/>
        <v>4035</v>
      </c>
      <c r="F126" s="26">
        <f t="shared" si="6"/>
        <v>542</v>
      </c>
      <c r="G126" s="22">
        <f t="shared" si="7"/>
        <v>111</v>
      </c>
      <c r="H126" s="25">
        <f t="shared" si="8"/>
        <v>1535</v>
      </c>
      <c r="I126" s="24">
        <v>-2250</v>
      </c>
      <c r="J126" s="28">
        <f t="shared" si="2"/>
        <v>3785</v>
      </c>
      <c r="K126" s="22">
        <f t="shared" si="9"/>
        <v>592</v>
      </c>
      <c r="L126" s="22">
        <f t="shared" si="10"/>
        <v>111</v>
      </c>
      <c r="M126" s="25">
        <f t="shared" si="11"/>
        <v>1684</v>
      </c>
      <c r="N126" s="24">
        <v>-1653</v>
      </c>
      <c r="O126" s="28">
        <f t="shared" si="13"/>
        <v>3337</v>
      </c>
      <c r="P126" s="22">
        <f t="shared" si="14"/>
        <v>498</v>
      </c>
      <c r="Q126" s="36"/>
      <c r="R126" s="30"/>
    </row>
    <row r="127" spans="1:18" ht="12.75" x14ac:dyDescent="0.2">
      <c r="A127" s="21">
        <v>45844</v>
      </c>
      <c r="B127" s="22">
        <f t="shared" si="4"/>
        <v>112</v>
      </c>
      <c r="C127" s="25">
        <f t="shared" si="5"/>
        <v>1591</v>
      </c>
      <c r="D127" s="24">
        <v>-2444</v>
      </c>
      <c r="E127" s="25">
        <f t="shared" si="1"/>
        <v>4035</v>
      </c>
      <c r="F127" s="26">
        <f t="shared" si="6"/>
        <v>546</v>
      </c>
      <c r="G127" s="22">
        <f t="shared" si="7"/>
        <v>112</v>
      </c>
      <c r="H127" s="25">
        <f t="shared" si="8"/>
        <v>1535</v>
      </c>
      <c r="I127" s="24">
        <v>-2250</v>
      </c>
      <c r="J127" s="28">
        <f t="shared" si="2"/>
        <v>3785</v>
      </c>
      <c r="K127" s="22">
        <f t="shared" si="9"/>
        <v>592</v>
      </c>
      <c r="L127" s="22">
        <f t="shared" si="10"/>
        <v>112</v>
      </c>
      <c r="M127" s="25">
        <f t="shared" si="11"/>
        <v>1684</v>
      </c>
      <c r="N127" s="24">
        <v>-1653</v>
      </c>
      <c r="O127" s="28">
        <f t="shared" si="13"/>
        <v>3337</v>
      </c>
      <c r="P127" s="22">
        <f t="shared" si="14"/>
        <v>498</v>
      </c>
      <c r="Q127" s="36"/>
      <c r="R127" s="30"/>
    </row>
    <row r="128" spans="1:18" ht="12.75" x14ac:dyDescent="0.2">
      <c r="A128" s="21">
        <v>45845</v>
      </c>
      <c r="B128" s="22">
        <f t="shared" si="4"/>
        <v>113</v>
      </c>
      <c r="C128" s="25">
        <f t="shared" si="5"/>
        <v>1587</v>
      </c>
      <c r="D128" s="24">
        <v>-2448</v>
      </c>
      <c r="E128" s="25">
        <f t="shared" si="1"/>
        <v>4035</v>
      </c>
      <c r="F128" s="26">
        <f t="shared" si="6"/>
        <v>550</v>
      </c>
      <c r="G128" s="22">
        <f t="shared" si="7"/>
        <v>113</v>
      </c>
      <c r="H128" s="25">
        <f t="shared" si="8"/>
        <v>1535</v>
      </c>
      <c r="I128" s="24">
        <v>-2250</v>
      </c>
      <c r="J128" s="28">
        <f t="shared" si="2"/>
        <v>3785</v>
      </c>
      <c r="K128" s="22">
        <f t="shared" si="9"/>
        <v>592</v>
      </c>
      <c r="L128" s="22">
        <f t="shared" si="10"/>
        <v>113</v>
      </c>
      <c r="M128" s="25">
        <f t="shared" si="11"/>
        <v>1684</v>
      </c>
      <c r="N128" s="24">
        <v>-1653</v>
      </c>
      <c r="O128" s="28">
        <f t="shared" si="13"/>
        <v>3337</v>
      </c>
      <c r="P128" s="22">
        <f t="shared" si="14"/>
        <v>498</v>
      </c>
      <c r="Q128" s="36"/>
      <c r="R128" s="30"/>
    </row>
    <row r="129" spans="1:18" ht="12.75" x14ac:dyDescent="0.2">
      <c r="A129" s="21">
        <v>45846</v>
      </c>
      <c r="B129" s="22">
        <f t="shared" si="4"/>
        <v>114</v>
      </c>
      <c r="C129" s="25">
        <f t="shared" si="5"/>
        <v>1583</v>
      </c>
      <c r="D129" s="24">
        <v>-2452</v>
      </c>
      <c r="E129" s="25">
        <f t="shared" si="1"/>
        <v>4035</v>
      </c>
      <c r="F129" s="26">
        <f t="shared" si="6"/>
        <v>554</v>
      </c>
      <c r="G129" s="22">
        <f t="shared" si="7"/>
        <v>114</v>
      </c>
      <c r="H129" s="25">
        <f t="shared" si="8"/>
        <v>1535</v>
      </c>
      <c r="I129" s="24">
        <v>-2250</v>
      </c>
      <c r="J129" s="28">
        <f t="shared" si="2"/>
        <v>3785</v>
      </c>
      <c r="K129" s="22">
        <f t="shared" si="9"/>
        <v>592</v>
      </c>
      <c r="L129" s="22">
        <f t="shared" si="10"/>
        <v>114</v>
      </c>
      <c r="M129" s="25">
        <f t="shared" si="11"/>
        <v>1684</v>
      </c>
      <c r="N129" s="24">
        <v>-1653</v>
      </c>
      <c r="O129" s="28">
        <f t="shared" si="13"/>
        <v>3337</v>
      </c>
      <c r="P129" s="22">
        <f t="shared" si="14"/>
        <v>498</v>
      </c>
      <c r="Q129" s="36"/>
      <c r="R129" s="30"/>
    </row>
    <row r="130" spans="1:18" ht="12.75" x14ac:dyDescent="0.2">
      <c r="A130" s="21">
        <v>45847</v>
      </c>
      <c r="B130" s="22">
        <f t="shared" si="4"/>
        <v>115</v>
      </c>
      <c r="C130" s="25">
        <f t="shared" si="5"/>
        <v>1579</v>
      </c>
      <c r="D130" s="24">
        <v>-2456</v>
      </c>
      <c r="E130" s="25">
        <f t="shared" si="1"/>
        <v>4035</v>
      </c>
      <c r="F130" s="26">
        <f t="shared" si="6"/>
        <v>558</v>
      </c>
      <c r="G130" s="22">
        <f t="shared" si="7"/>
        <v>115</v>
      </c>
      <c r="H130" s="25">
        <f t="shared" si="8"/>
        <v>1532</v>
      </c>
      <c r="I130" s="24">
        <v>-2253</v>
      </c>
      <c r="J130" s="28">
        <f t="shared" si="2"/>
        <v>3785</v>
      </c>
      <c r="K130" s="22">
        <f t="shared" si="9"/>
        <v>595</v>
      </c>
      <c r="L130" s="22">
        <f t="shared" si="10"/>
        <v>115</v>
      </c>
      <c r="M130" s="25">
        <f t="shared" si="11"/>
        <v>1684</v>
      </c>
      <c r="N130" s="24">
        <v>-1653</v>
      </c>
      <c r="O130" s="28">
        <f t="shared" si="13"/>
        <v>3337</v>
      </c>
      <c r="P130" s="22">
        <f t="shared" si="14"/>
        <v>498</v>
      </c>
      <c r="Q130" s="36"/>
      <c r="R130" s="30"/>
    </row>
    <row r="131" spans="1:18" ht="12.75" x14ac:dyDescent="0.2">
      <c r="A131" s="21">
        <v>45848</v>
      </c>
      <c r="B131" s="22">
        <f t="shared" si="4"/>
        <v>116</v>
      </c>
      <c r="C131" s="25">
        <f t="shared" si="5"/>
        <v>1575</v>
      </c>
      <c r="D131" s="24">
        <v>-2460</v>
      </c>
      <c r="E131" s="25">
        <f t="shared" si="1"/>
        <v>4035</v>
      </c>
      <c r="F131" s="26">
        <f t="shared" si="6"/>
        <v>562</v>
      </c>
      <c r="G131" s="22">
        <f t="shared" si="7"/>
        <v>116</v>
      </c>
      <c r="H131" s="25">
        <f t="shared" si="8"/>
        <v>1527</v>
      </c>
      <c r="I131" s="24">
        <v>-2258</v>
      </c>
      <c r="J131" s="28">
        <f t="shared" si="2"/>
        <v>3785</v>
      </c>
      <c r="K131" s="22">
        <f t="shared" si="9"/>
        <v>600</v>
      </c>
      <c r="L131" s="22">
        <f t="shared" si="10"/>
        <v>116</v>
      </c>
      <c r="M131" s="25">
        <f t="shared" si="11"/>
        <v>1684</v>
      </c>
      <c r="N131" s="24">
        <v>-1653</v>
      </c>
      <c r="O131" s="28">
        <f t="shared" si="13"/>
        <v>3337</v>
      </c>
      <c r="P131" s="22">
        <f t="shared" si="14"/>
        <v>498</v>
      </c>
      <c r="Q131" s="36"/>
      <c r="R131" s="30"/>
    </row>
    <row r="132" spans="1:18" ht="12.75" x14ac:dyDescent="0.2">
      <c r="A132" s="21">
        <v>45849</v>
      </c>
      <c r="B132" s="22">
        <f t="shared" si="4"/>
        <v>117</v>
      </c>
      <c r="C132" s="25">
        <f t="shared" si="5"/>
        <v>1571</v>
      </c>
      <c r="D132" s="24">
        <v>-2464</v>
      </c>
      <c r="E132" s="25">
        <f t="shared" si="1"/>
        <v>4035</v>
      </c>
      <c r="F132" s="26">
        <f t="shared" si="6"/>
        <v>566</v>
      </c>
      <c r="G132" s="22">
        <f t="shared" si="7"/>
        <v>117</v>
      </c>
      <c r="H132" s="25">
        <f t="shared" si="8"/>
        <v>1522</v>
      </c>
      <c r="I132" s="24">
        <v>-2263</v>
      </c>
      <c r="J132" s="28">
        <f t="shared" si="2"/>
        <v>3785</v>
      </c>
      <c r="K132" s="22">
        <f t="shared" si="9"/>
        <v>605</v>
      </c>
      <c r="L132" s="22">
        <f t="shared" si="10"/>
        <v>117</v>
      </c>
      <c r="M132" s="25">
        <f t="shared" si="11"/>
        <v>1684</v>
      </c>
      <c r="N132" s="24">
        <v>-1653</v>
      </c>
      <c r="O132" s="28">
        <f t="shared" si="13"/>
        <v>3337</v>
      </c>
      <c r="P132" s="22">
        <f t="shared" si="14"/>
        <v>498</v>
      </c>
      <c r="Q132" s="36"/>
      <c r="R132" s="30"/>
    </row>
    <row r="133" spans="1:18" ht="12.75" x14ac:dyDescent="0.2">
      <c r="A133" s="21">
        <v>45850</v>
      </c>
      <c r="B133" s="22">
        <f t="shared" si="4"/>
        <v>118</v>
      </c>
      <c r="C133" s="25">
        <f t="shared" si="5"/>
        <v>1567</v>
      </c>
      <c r="D133" s="24">
        <v>-2468</v>
      </c>
      <c r="E133" s="25">
        <f t="shared" si="1"/>
        <v>4035</v>
      </c>
      <c r="F133" s="26">
        <f t="shared" si="6"/>
        <v>570</v>
      </c>
      <c r="G133" s="22">
        <f t="shared" si="7"/>
        <v>118</v>
      </c>
      <c r="H133" s="25">
        <f t="shared" si="8"/>
        <v>1517</v>
      </c>
      <c r="I133" s="24">
        <v>-2268</v>
      </c>
      <c r="J133" s="28">
        <f t="shared" si="2"/>
        <v>3785</v>
      </c>
      <c r="K133" s="22">
        <f t="shared" si="9"/>
        <v>610</v>
      </c>
      <c r="L133" s="22">
        <f t="shared" si="10"/>
        <v>118</v>
      </c>
      <c r="M133" s="25">
        <f t="shared" si="11"/>
        <v>1684</v>
      </c>
      <c r="N133" s="24">
        <v>-1653</v>
      </c>
      <c r="O133" s="28">
        <f t="shared" si="13"/>
        <v>3337</v>
      </c>
      <c r="P133" s="22">
        <f t="shared" si="14"/>
        <v>498</v>
      </c>
      <c r="Q133" s="36"/>
      <c r="R133" s="30"/>
    </row>
    <row r="134" spans="1:18" ht="12.75" x14ac:dyDescent="0.2">
      <c r="A134" s="21">
        <v>45851</v>
      </c>
      <c r="B134" s="22">
        <f t="shared" si="4"/>
        <v>119</v>
      </c>
      <c r="C134" s="25">
        <f t="shared" si="5"/>
        <v>1563</v>
      </c>
      <c r="D134" s="24">
        <v>-2472</v>
      </c>
      <c r="E134" s="25">
        <f t="shared" si="1"/>
        <v>4035</v>
      </c>
      <c r="F134" s="26">
        <f t="shared" si="6"/>
        <v>574</v>
      </c>
      <c r="G134" s="22">
        <f t="shared" si="7"/>
        <v>119</v>
      </c>
      <c r="H134" s="25">
        <f t="shared" si="8"/>
        <v>1512</v>
      </c>
      <c r="I134" s="24">
        <v>-2273</v>
      </c>
      <c r="J134" s="28">
        <f t="shared" si="2"/>
        <v>3785</v>
      </c>
      <c r="K134" s="22">
        <f t="shared" si="9"/>
        <v>615</v>
      </c>
      <c r="L134" s="22">
        <f t="shared" si="10"/>
        <v>119</v>
      </c>
      <c r="M134" s="25">
        <f t="shared" si="11"/>
        <v>1684</v>
      </c>
      <c r="N134" s="24">
        <v>-1653</v>
      </c>
      <c r="O134" s="28">
        <f t="shared" si="13"/>
        <v>3337</v>
      </c>
      <c r="P134" s="22">
        <f t="shared" si="14"/>
        <v>498</v>
      </c>
      <c r="Q134" s="36"/>
      <c r="R134" s="30"/>
    </row>
    <row r="135" spans="1:18" ht="12.75" x14ac:dyDescent="0.2">
      <c r="A135" s="21">
        <v>45852</v>
      </c>
      <c r="B135" s="22">
        <f t="shared" si="4"/>
        <v>120</v>
      </c>
      <c r="C135" s="25">
        <f t="shared" si="5"/>
        <v>1559</v>
      </c>
      <c r="D135" s="24">
        <v>-2476</v>
      </c>
      <c r="E135" s="25">
        <f t="shared" si="1"/>
        <v>4035</v>
      </c>
      <c r="F135" s="26">
        <f t="shared" si="6"/>
        <v>578</v>
      </c>
      <c r="G135" s="22">
        <f t="shared" si="7"/>
        <v>120</v>
      </c>
      <c r="H135" s="25">
        <f t="shared" si="8"/>
        <v>1507</v>
      </c>
      <c r="I135" s="24">
        <v>-2278</v>
      </c>
      <c r="J135" s="28">
        <f t="shared" si="2"/>
        <v>3785</v>
      </c>
      <c r="K135" s="22">
        <f t="shared" si="9"/>
        <v>620</v>
      </c>
      <c r="L135" s="22">
        <f t="shared" si="10"/>
        <v>120</v>
      </c>
      <c r="M135" s="25">
        <f t="shared" si="11"/>
        <v>1684</v>
      </c>
      <c r="N135" s="24">
        <v>-1653</v>
      </c>
      <c r="O135" s="28">
        <f t="shared" si="13"/>
        <v>3337</v>
      </c>
      <c r="P135" s="22">
        <f t="shared" si="14"/>
        <v>498</v>
      </c>
      <c r="Q135" s="36"/>
      <c r="R135" s="30"/>
    </row>
    <row r="136" spans="1:18" ht="12.75" x14ac:dyDescent="0.2">
      <c r="A136" s="21">
        <v>45853</v>
      </c>
      <c r="B136" s="22">
        <f t="shared" si="4"/>
        <v>121</v>
      </c>
      <c r="C136" s="25">
        <f t="shared" si="5"/>
        <v>1555</v>
      </c>
      <c r="D136" s="24">
        <v>-2480</v>
      </c>
      <c r="E136" s="25">
        <f t="shared" si="1"/>
        <v>4035</v>
      </c>
      <c r="F136" s="26">
        <f t="shared" si="6"/>
        <v>582</v>
      </c>
      <c r="G136" s="22">
        <f t="shared" si="7"/>
        <v>121</v>
      </c>
      <c r="H136" s="25">
        <f t="shared" si="8"/>
        <v>1502</v>
      </c>
      <c r="I136" s="24">
        <v>-2283</v>
      </c>
      <c r="J136" s="28">
        <f t="shared" si="2"/>
        <v>3785</v>
      </c>
      <c r="K136" s="22">
        <f t="shared" si="9"/>
        <v>625</v>
      </c>
      <c r="L136" s="22">
        <f t="shared" si="10"/>
        <v>121</v>
      </c>
      <c r="M136" s="25">
        <f t="shared" si="11"/>
        <v>1681</v>
      </c>
      <c r="N136" s="24">
        <v>-1656</v>
      </c>
      <c r="O136" s="28">
        <f t="shared" si="13"/>
        <v>3337</v>
      </c>
      <c r="P136" s="22">
        <f t="shared" si="14"/>
        <v>501</v>
      </c>
      <c r="Q136" s="36"/>
      <c r="R136" s="30"/>
    </row>
    <row r="137" spans="1:18" ht="12.75" x14ac:dyDescent="0.2">
      <c r="A137" s="21">
        <v>45854</v>
      </c>
      <c r="B137" s="22">
        <f t="shared" si="4"/>
        <v>122</v>
      </c>
      <c r="C137" s="25">
        <f t="shared" si="5"/>
        <v>1551</v>
      </c>
      <c r="D137" s="24">
        <v>-2484</v>
      </c>
      <c r="E137" s="25">
        <f t="shared" si="1"/>
        <v>4035</v>
      </c>
      <c r="F137" s="26">
        <f t="shared" si="6"/>
        <v>586</v>
      </c>
      <c r="G137" s="22">
        <f t="shared" si="7"/>
        <v>122</v>
      </c>
      <c r="H137" s="25">
        <f t="shared" si="8"/>
        <v>1497</v>
      </c>
      <c r="I137" s="24">
        <v>-2288</v>
      </c>
      <c r="J137" s="28">
        <f t="shared" si="2"/>
        <v>3785</v>
      </c>
      <c r="K137" s="22">
        <f t="shared" si="9"/>
        <v>630</v>
      </c>
      <c r="L137" s="22">
        <f t="shared" si="10"/>
        <v>122</v>
      </c>
      <c r="M137" s="25">
        <f t="shared" si="11"/>
        <v>1676</v>
      </c>
      <c r="N137" s="24">
        <v>-1661</v>
      </c>
      <c r="O137" s="28">
        <f t="shared" si="13"/>
        <v>3337</v>
      </c>
      <c r="P137" s="22">
        <f t="shared" si="14"/>
        <v>506</v>
      </c>
      <c r="Q137" s="36"/>
      <c r="R137" s="30"/>
    </row>
    <row r="138" spans="1:18" ht="12.75" x14ac:dyDescent="0.2">
      <c r="A138" s="21">
        <v>45855</v>
      </c>
      <c r="B138" s="22">
        <f t="shared" si="4"/>
        <v>123</v>
      </c>
      <c r="C138" s="25">
        <f t="shared" si="5"/>
        <v>1547</v>
      </c>
      <c r="D138" s="24">
        <v>-2488</v>
      </c>
      <c r="E138" s="25">
        <f t="shared" si="1"/>
        <v>4035</v>
      </c>
      <c r="F138" s="26">
        <f t="shared" si="6"/>
        <v>590</v>
      </c>
      <c r="G138" s="22">
        <f t="shared" si="7"/>
        <v>123</v>
      </c>
      <c r="H138" s="25">
        <f t="shared" si="8"/>
        <v>1492</v>
      </c>
      <c r="I138" s="24">
        <v>-2293</v>
      </c>
      <c r="J138" s="28">
        <f t="shared" si="2"/>
        <v>3785</v>
      </c>
      <c r="K138" s="22">
        <f t="shared" si="9"/>
        <v>635</v>
      </c>
      <c r="L138" s="22">
        <f t="shared" si="10"/>
        <v>123</v>
      </c>
      <c r="M138" s="25">
        <f t="shared" si="11"/>
        <v>1671</v>
      </c>
      <c r="N138" s="24">
        <v>-1666</v>
      </c>
      <c r="O138" s="28">
        <f t="shared" si="13"/>
        <v>3337</v>
      </c>
      <c r="P138" s="22">
        <f t="shared" si="14"/>
        <v>511</v>
      </c>
      <c r="Q138" s="36"/>
      <c r="R138" s="30"/>
    </row>
    <row r="139" spans="1:18" ht="12.75" x14ac:dyDescent="0.2">
      <c r="A139" s="21">
        <v>45856</v>
      </c>
      <c r="B139" s="22">
        <f t="shared" si="4"/>
        <v>124</v>
      </c>
      <c r="C139" s="25">
        <f t="shared" si="5"/>
        <v>1543</v>
      </c>
      <c r="D139" s="24">
        <v>-2492</v>
      </c>
      <c r="E139" s="25">
        <f t="shared" si="1"/>
        <v>4035</v>
      </c>
      <c r="F139" s="26">
        <f t="shared" si="6"/>
        <v>594</v>
      </c>
      <c r="G139" s="22">
        <f t="shared" si="7"/>
        <v>124</v>
      </c>
      <c r="H139" s="25">
        <f t="shared" si="8"/>
        <v>1487</v>
      </c>
      <c r="I139" s="24">
        <v>-2298</v>
      </c>
      <c r="J139" s="28">
        <f t="shared" si="2"/>
        <v>3785</v>
      </c>
      <c r="K139" s="22">
        <f t="shared" si="9"/>
        <v>640</v>
      </c>
      <c r="L139" s="22">
        <f t="shared" si="10"/>
        <v>124</v>
      </c>
      <c r="M139" s="25">
        <f t="shared" si="11"/>
        <v>1666</v>
      </c>
      <c r="N139" s="24">
        <v>-1671</v>
      </c>
      <c r="O139" s="28">
        <f t="shared" si="13"/>
        <v>3337</v>
      </c>
      <c r="P139" s="22">
        <f t="shared" si="14"/>
        <v>516</v>
      </c>
      <c r="Q139" s="36"/>
      <c r="R139" s="30"/>
    </row>
    <row r="140" spans="1:18" ht="12.75" x14ac:dyDescent="0.2">
      <c r="A140" s="21">
        <v>45857</v>
      </c>
      <c r="B140" s="22">
        <f t="shared" si="4"/>
        <v>125</v>
      </c>
      <c r="C140" s="25">
        <f t="shared" si="5"/>
        <v>1539</v>
      </c>
      <c r="D140" s="24">
        <v>-2496</v>
      </c>
      <c r="E140" s="25">
        <f t="shared" si="1"/>
        <v>4035</v>
      </c>
      <c r="F140" s="26">
        <f t="shared" si="6"/>
        <v>598</v>
      </c>
      <c r="G140" s="22">
        <f t="shared" si="7"/>
        <v>125</v>
      </c>
      <c r="H140" s="25">
        <f t="shared" si="8"/>
        <v>1482</v>
      </c>
      <c r="I140" s="24">
        <v>-2303</v>
      </c>
      <c r="J140" s="28">
        <f t="shared" si="2"/>
        <v>3785</v>
      </c>
      <c r="K140" s="22">
        <f t="shared" si="9"/>
        <v>645</v>
      </c>
      <c r="L140" s="22">
        <f t="shared" si="10"/>
        <v>125</v>
      </c>
      <c r="M140" s="25">
        <f t="shared" si="11"/>
        <v>1661</v>
      </c>
      <c r="N140" s="24">
        <v>-1676</v>
      </c>
      <c r="O140" s="28">
        <f t="shared" si="13"/>
        <v>3337</v>
      </c>
      <c r="P140" s="22">
        <f t="shared" si="14"/>
        <v>521</v>
      </c>
      <c r="Q140" s="36"/>
      <c r="R140" s="30"/>
    </row>
    <row r="141" spans="1:18" ht="12.75" x14ac:dyDescent="0.2">
      <c r="A141" s="21">
        <v>45858</v>
      </c>
      <c r="B141" s="22">
        <f t="shared" si="4"/>
        <v>126</v>
      </c>
      <c r="C141" s="25">
        <f t="shared" si="5"/>
        <v>1535</v>
      </c>
      <c r="D141" s="24">
        <v>-2500</v>
      </c>
      <c r="E141" s="25">
        <f t="shared" si="1"/>
        <v>4035</v>
      </c>
      <c r="F141" s="26">
        <f t="shared" si="6"/>
        <v>602</v>
      </c>
      <c r="G141" s="22">
        <f t="shared" si="7"/>
        <v>126</v>
      </c>
      <c r="H141" s="25">
        <f t="shared" si="8"/>
        <v>1477</v>
      </c>
      <c r="I141" s="24">
        <v>-2308</v>
      </c>
      <c r="J141" s="28">
        <f t="shared" si="2"/>
        <v>3785</v>
      </c>
      <c r="K141" s="22">
        <f t="shared" si="9"/>
        <v>650</v>
      </c>
      <c r="L141" s="22">
        <f t="shared" si="10"/>
        <v>126</v>
      </c>
      <c r="M141" s="25">
        <f t="shared" si="11"/>
        <v>1656</v>
      </c>
      <c r="N141" s="24">
        <v>-1681</v>
      </c>
      <c r="O141" s="28">
        <f t="shared" si="13"/>
        <v>3337</v>
      </c>
      <c r="P141" s="22">
        <f t="shared" si="14"/>
        <v>526</v>
      </c>
      <c r="Q141" s="36"/>
      <c r="R141" s="30"/>
    </row>
    <row r="142" spans="1:18" ht="12.75" x14ac:dyDescent="0.2">
      <c r="A142" s="21">
        <v>45859</v>
      </c>
      <c r="B142" s="22">
        <f t="shared" si="4"/>
        <v>127</v>
      </c>
      <c r="C142" s="25">
        <f t="shared" si="5"/>
        <v>1531</v>
      </c>
      <c r="D142" s="24">
        <v>-2504</v>
      </c>
      <c r="E142" s="25">
        <f t="shared" si="1"/>
        <v>4035</v>
      </c>
      <c r="F142" s="26">
        <f t="shared" si="6"/>
        <v>606</v>
      </c>
      <c r="G142" s="22">
        <f t="shared" si="7"/>
        <v>127</v>
      </c>
      <c r="H142" s="25">
        <f t="shared" si="8"/>
        <v>1472</v>
      </c>
      <c r="I142" s="24">
        <v>-2313</v>
      </c>
      <c r="J142" s="28">
        <f t="shared" si="2"/>
        <v>3785</v>
      </c>
      <c r="K142" s="22">
        <f t="shared" si="9"/>
        <v>655</v>
      </c>
      <c r="L142" s="22">
        <f t="shared" si="10"/>
        <v>127</v>
      </c>
      <c r="M142" s="25">
        <f t="shared" si="11"/>
        <v>1651</v>
      </c>
      <c r="N142" s="24">
        <v>-1686</v>
      </c>
      <c r="O142" s="28">
        <f t="shared" si="13"/>
        <v>3337</v>
      </c>
      <c r="P142" s="22">
        <f t="shared" si="14"/>
        <v>531</v>
      </c>
      <c r="Q142" s="36"/>
      <c r="R142" s="30"/>
    </row>
    <row r="143" spans="1:18" ht="12.75" x14ac:dyDescent="0.2">
      <c r="A143" s="21">
        <v>45860</v>
      </c>
      <c r="B143" s="22">
        <f t="shared" si="4"/>
        <v>128</v>
      </c>
      <c r="C143" s="25">
        <f t="shared" si="5"/>
        <v>1527</v>
      </c>
      <c r="D143" s="24">
        <v>-2508</v>
      </c>
      <c r="E143" s="25">
        <f t="shared" si="1"/>
        <v>4035</v>
      </c>
      <c r="F143" s="26">
        <f t="shared" si="6"/>
        <v>610</v>
      </c>
      <c r="G143" s="22">
        <f t="shared" si="7"/>
        <v>128</v>
      </c>
      <c r="H143" s="25">
        <f t="shared" si="8"/>
        <v>1467</v>
      </c>
      <c r="I143" s="24">
        <v>-2318</v>
      </c>
      <c r="J143" s="28">
        <f t="shared" si="2"/>
        <v>3785</v>
      </c>
      <c r="K143" s="22">
        <f t="shared" si="9"/>
        <v>660</v>
      </c>
      <c r="L143" s="22">
        <f t="shared" si="10"/>
        <v>128</v>
      </c>
      <c r="M143" s="25">
        <f t="shared" si="11"/>
        <v>1646</v>
      </c>
      <c r="N143" s="24">
        <v>-1691</v>
      </c>
      <c r="O143" s="28">
        <f t="shared" si="13"/>
        <v>3337</v>
      </c>
      <c r="P143" s="22">
        <f t="shared" si="14"/>
        <v>536</v>
      </c>
      <c r="Q143" s="36"/>
      <c r="R143" s="30"/>
    </row>
    <row r="144" spans="1:18" ht="12.75" x14ac:dyDescent="0.2">
      <c r="A144" s="21">
        <v>45861</v>
      </c>
      <c r="B144" s="22">
        <f t="shared" si="4"/>
        <v>129</v>
      </c>
      <c r="C144" s="25">
        <f t="shared" si="5"/>
        <v>1523</v>
      </c>
      <c r="D144" s="24">
        <v>-2512</v>
      </c>
      <c r="E144" s="25">
        <f t="shared" si="1"/>
        <v>4035</v>
      </c>
      <c r="F144" s="26">
        <f t="shared" si="6"/>
        <v>614</v>
      </c>
      <c r="G144" s="22">
        <f t="shared" si="7"/>
        <v>129</v>
      </c>
      <c r="H144" s="25">
        <f t="shared" si="8"/>
        <v>1462</v>
      </c>
      <c r="I144" s="24">
        <v>-2323</v>
      </c>
      <c r="J144" s="28">
        <f t="shared" si="2"/>
        <v>3785</v>
      </c>
      <c r="K144" s="22">
        <f t="shared" si="9"/>
        <v>665</v>
      </c>
      <c r="L144" s="22">
        <f t="shared" si="10"/>
        <v>129</v>
      </c>
      <c r="M144" s="25">
        <f t="shared" si="11"/>
        <v>1641</v>
      </c>
      <c r="N144" s="24">
        <v>-1696</v>
      </c>
      <c r="O144" s="28">
        <f t="shared" si="13"/>
        <v>3337</v>
      </c>
      <c r="P144" s="22">
        <f t="shared" si="14"/>
        <v>541</v>
      </c>
      <c r="Q144" s="36"/>
      <c r="R144" s="30"/>
    </row>
    <row r="145" spans="1:18" ht="12.75" x14ac:dyDescent="0.2">
      <c r="A145" s="21">
        <v>45862</v>
      </c>
      <c r="B145" s="22">
        <f t="shared" si="4"/>
        <v>130</v>
      </c>
      <c r="C145" s="25">
        <f t="shared" si="5"/>
        <v>1519</v>
      </c>
      <c r="D145" s="24">
        <v>-2516</v>
      </c>
      <c r="E145" s="25">
        <f t="shared" si="1"/>
        <v>4035</v>
      </c>
      <c r="F145" s="26">
        <f t="shared" si="6"/>
        <v>618</v>
      </c>
      <c r="G145" s="22">
        <f t="shared" si="7"/>
        <v>130</v>
      </c>
      <c r="H145" s="25">
        <f t="shared" si="8"/>
        <v>1457</v>
      </c>
      <c r="I145" s="24">
        <v>-2328</v>
      </c>
      <c r="J145" s="28">
        <f t="shared" si="2"/>
        <v>3785</v>
      </c>
      <c r="K145" s="22">
        <f t="shared" si="9"/>
        <v>670</v>
      </c>
      <c r="L145" s="22">
        <f t="shared" si="10"/>
        <v>130</v>
      </c>
      <c r="M145" s="25">
        <f t="shared" si="11"/>
        <v>1636</v>
      </c>
      <c r="N145" s="24">
        <v>-1701</v>
      </c>
      <c r="O145" s="28">
        <f t="shared" si="13"/>
        <v>3337</v>
      </c>
      <c r="P145" s="22">
        <f t="shared" si="14"/>
        <v>546</v>
      </c>
      <c r="Q145" s="36"/>
      <c r="R145" s="30"/>
    </row>
    <row r="146" spans="1:18" ht="12.75" x14ac:dyDescent="0.2">
      <c r="A146" s="21">
        <v>45863</v>
      </c>
      <c r="B146" s="22">
        <f t="shared" si="4"/>
        <v>131</v>
      </c>
      <c r="C146" s="25">
        <f t="shared" si="5"/>
        <v>1515</v>
      </c>
      <c r="D146" s="24">
        <v>-2520</v>
      </c>
      <c r="E146" s="25">
        <f t="shared" si="1"/>
        <v>4035</v>
      </c>
      <c r="F146" s="26">
        <f t="shared" si="6"/>
        <v>622</v>
      </c>
      <c r="G146" s="22">
        <f t="shared" si="7"/>
        <v>131</v>
      </c>
      <c r="H146" s="25">
        <f t="shared" si="8"/>
        <v>1452</v>
      </c>
      <c r="I146" s="24">
        <v>-2333</v>
      </c>
      <c r="J146" s="28">
        <f t="shared" si="2"/>
        <v>3785</v>
      </c>
      <c r="K146" s="22">
        <f t="shared" si="9"/>
        <v>675</v>
      </c>
      <c r="L146" s="22">
        <f t="shared" si="10"/>
        <v>131</v>
      </c>
      <c r="M146" s="25">
        <f t="shared" si="11"/>
        <v>1631</v>
      </c>
      <c r="N146" s="24">
        <v>-1706</v>
      </c>
      <c r="O146" s="28">
        <f t="shared" si="13"/>
        <v>3337</v>
      </c>
      <c r="P146" s="22">
        <f t="shared" si="14"/>
        <v>551</v>
      </c>
      <c r="Q146" s="36"/>
      <c r="R146" s="30"/>
    </row>
    <row r="147" spans="1:18" ht="12.75" x14ac:dyDescent="0.2">
      <c r="A147" s="21">
        <v>45864</v>
      </c>
      <c r="B147" s="22">
        <f t="shared" si="4"/>
        <v>132</v>
      </c>
      <c r="C147" s="25">
        <f t="shared" si="5"/>
        <v>1511</v>
      </c>
      <c r="D147" s="24">
        <v>-2524</v>
      </c>
      <c r="E147" s="25">
        <f t="shared" si="1"/>
        <v>4035</v>
      </c>
      <c r="F147" s="26">
        <f t="shared" si="6"/>
        <v>626</v>
      </c>
      <c r="G147" s="22">
        <f t="shared" si="7"/>
        <v>132</v>
      </c>
      <c r="H147" s="25">
        <f t="shared" si="8"/>
        <v>1447</v>
      </c>
      <c r="I147" s="24">
        <v>-2338</v>
      </c>
      <c r="J147" s="28">
        <f t="shared" si="2"/>
        <v>3785</v>
      </c>
      <c r="K147" s="22">
        <f t="shared" si="9"/>
        <v>680</v>
      </c>
      <c r="L147" s="22">
        <f t="shared" si="10"/>
        <v>132</v>
      </c>
      <c r="M147" s="25">
        <f t="shared" si="11"/>
        <v>1626</v>
      </c>
      <c r="N147" s="24">
        <v>-1711</v>
      </c>
      <c r="O147" s="28">
        <f t="shared" si="13"/>
        <v>3337</v>
      </c>
      <c r="P147" s="22">
        <f t="shared" si="14"/>
        <v>556</v>
      </c>
      <c r="Q147" s="36"/>
      <c r="R147" s="30"/>
    </row>
    <row r="148" spans="1:18" ht="12.75" x14ac:dyDescent="0.2">
      <c r="A148" s="21">
        <v>45865</v>
      </c>
      <c r="B148" s="22">
        <f t="shared" si="4"/>
        <v>133</v>
      </c>
      <c r="C148" s="23">
        <v>1572</v>
      </c>
      <c r="D148" s="24">
        <v>-2528</v>
      </c>
      <c r="E148" s="25">
        <f t="shared" si="1"/>
        <v>4100</v>
      </c>
      <c r="F148" s="26">
        <f t="shared" si="6"/>
        <v>630</v>
      </c>
      <c r="G148" s="22">
        <f t="shared" si="7"/>
        <v>133</v>
      </c>
      <c r="H148" s="25">
        <v>1597</v>
      </c>
      <c r="I148" s="24">
        <v>-2343</v>
      </c>
      <c r="J148" s="28">
        <f t="shared" si="2"/>
        <v>3940</v>
      </c>
      <c r="K148" s="22">
        <f t="shared" si="9"/>
        <v>685</v>
      </c>
      <c r="L148" s="22">
        <f t="shared" si="10"/>
        <v>133</v>
      </c>
      <c r="M148" s="25">
        <f t="shared" si="11"/>
        <v>1621</v>
      </c>
      <c r="N148" s="24">
        <v>-1716</v>
      </c>
      <c r="O148" s="28">
        <f t="shared" si="13"/>
        <v>3337</v>
      </c>
      <c r="P148" s="22">
        <f t="shared" si="14"/>
        <v>561</v>
      </c>
      <c r="Q148" s="36"/>
      <c r="R148" s="30"/>
    </row>
    <row r="149" spans="1:18" ht="12.75" x14ac:dyDescent="0.2">
      <c r="A149" s="42"/>
      <c r="B149" s="43"/>
      <c r="C149" s="44"/>
      <c r="D149" s="44"/>
      <c r="E149" s="45"/>
      <c r="F149" s="46"/>
      <c r="G149" s="43"/>
      <c r="H149" s="44"/>
      <c r="I149" s="44"/>
      <c r="J149" s="45"/>
      <c r="K149" s="46"/>
      <c r="L149" s="43"/>
      <c r="M149" s="44"/>
      <c r="N149" s="44"/>
      <c r="O149" s="45"/>
      <c r="P149" s="46"/>
      <c r="Q149" s="47"/>
      <c r="R149" s="48"/>
    </row>
    <row r="150" spans="1:18" ht="12.75" x14ac:dyDescent="0.2">
      <c r="A150" s="42"/>
      <c r="B150" s="43"/>
      <c r="C150" s="44"/>
      <c r="D150" s="44"/>
      <c r="E150" s="45"/>
      <c r="F150" s="46"/>
      <c r="G150" s="43"/>
      <c r="H150" s="44"/>
      <c r="I150" s="44"/>
      <c r="J150" s="45"/>
      <c r="K150" s="46"/>
      <c r="L150" s="43"/>
      <c r="M150" s="44"/>
      <c r="N150" s="44"/>
      <c r="O150" s="45"/>
      <c r="P150" s="46"/>
      <c r="Q150" s="47"/>
      <c r="R150" s="48"/>
    </row>
    <row r="151" spans="1:18" ht="12.75" x14ac:dyDescent="0.2">
      <c r="A151" s="42"/>
      <c r="B151" s="43"/>
      <c r="C151" s="44"/>
      <c r="D151" s="44"/>
      <c r="E151" s="45"/>
      <c r="F151" s="46"/>
      <c r="G151" s="43"/>
      <c r="H151" s="44"/>
      <c r="I151" s="44"/>
      <c r="J151" s="45"/>
      <c r="K151" s="46"/>
      <c r="L151" s="43"/>
      <c r="M151" s="44"/>
      <c r="N151" s="44"/>
      <c r="O151" s="45"/>
      <c r="P151" s="46"/>
      <c r="Q151" s="47"/>
      <c r="R151" s="48"/>
    </row>
  </sheetData>
  <mergeCells count="54">
    <mergeCell ref="A11:A14"/>
    <mergeCell ref="B12:B13"/>
    <mergeCell ref="E12:E13"/>
    <mergeCell ref="F12:F13"/>
    <mergeCell ref="N7:O7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L6:M6"/>
    <mergeCell ref="N6:O6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P6:R6"/>
    <mergeCell ref="Q11:Q13"/>
    <mergeCell ref="R11:R14"/>
    <mergeCell ref="C12:C13"/>
    <mergeCell ref="D12:D13"/>
    <mergeCell ref="O12:O13"/>
    <mergeCell ref="P12:P13"/>
    <mergeCell ref="J12:J13"/>
    <mergeCell ref="K12:K13"/>
    <mergeCell ref="L12:L13"/>
    <mergeCell ref="M12:M13"/>
    <mergeCell ref="N12:N13"/>
    <mergeCell ref="G12:G13"/>
    <mergeCell ref="H12:H13"/>
    <mergeCell ref="I12:I13"/>
    <mergeCell ref="B8:C8"/>
    <mergeCell ref="D8:E8"/>
    <mergeCell ref="B11:F11"/>
    <mergeCell ref="G11:K11"/>
    <mergeCell ref="L11:P11"/>
    <mergeCell ref="G8:H8"/>
    <mergeCell ref="I8:J8"/>
    <mergeCell ref="L8:M8"/>
    <mergeCell ref="N8:O8"/>
    <mergeCell ref="P8:R8"/>
  </mergeCells>
  <conditionalFormatting sqref="Q3 Q9:Q14 Q16:Q151">
    <cfRule type="cellIs" dxfId="14" priority="1" operator="lessThan">
      <formula>60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outlinePr summaryBelow="0" summaryRight="0"/>
  </sheetPr>
  <dimension ref="A1:R117"/>
  <sheetViews>
    <sheetView topLeftCell="A114" workbookViewId="0">
      <selection activeCell="A118" sqref="A118:XFD129"/>
    </sheetView>
  </sheetViews>
  <sheetFormatPr defaultColWidth="14.42578125" defaultRowHeight="15" customHeight="1" x14ac:dyDescent="0.2"/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30" t="s">
        <v>2</v>
      </c>
      <c r="B4" s="132" t="s">
        <v>3</v>
      </c>
      <c r="C4" s="133"/>
      <c r="D4" s="132" t="s">
        <v>4</v>
      </c>
      <c r="E4" s="136"/>
      <c r="F4" s="138" t="str">
        <f>+"Cao trình nghiệm thu [m] ("&amp;TEXT(A16,"dd/mm/yy")&amp;")"</f>
        <v>Cao trình nghiệm thu [m] (20/07/25)</v>
      </c>
      <c r="G4" s="107"/>
      <c r="H4" s="107"/>
      <c r="I4" s="107"/>
      <c r="J4" s="107"/>
      <c r="K4" s="107"/>
      <c r="L4" s="115" t="s">
        <v>5</v>
      </c>
      <c r="M4" s="107"/>
      <c r="N4" s="107"/>
      <c r="O4" s="107"/>
      <c r="P4" s="132" t="s">
        <v>6</v>
      </c>
      <c r="Q4" s="136"/>
      <c r="R4" s="139"/>
    </row>
    <row r="5" spans="1:18" ht="15" customHeight="1" x14ac:dyDescent="0.2">
      <c r="A5" s="131"/>
      <c r="B5" s="134"/>
      <c r="C5" s="135"/>
      <c r="D5" s="134"/>
      <c r="E5" s="137"/>
      <c r="F5" s="6" t="s">
        <v>7</v>
      </c>
      <c r="G5" s="141" t="s">
        <v>8</v>
      </c>
      <c r="H5" s="116"/>
      <c r="I5" s="141" t="s">
        <v>9</v>
      </c>
      <c r="J5" s="116"/>
      <c r="K5" s="6" t="s">
        <v>10</v>
      </c>
      <c r="L5" s="115" t="s">
        <v>11</v>
      </c>
      <c r="M5" s="116"/>
      <c r="N5" s="115" t="s">
        <v>12</v>
      </c>
      <c r="O5" s="107"/>
      <c r="P5" s="134"/>
      <c r="Q5" s="137"/>
      <c r="R5" s="140"/>
    </row>
    <row r="6" spans="1:18" ht="15" customHeight="1" x14ac:dyDescent="0.2">
      <c r="A6" s="151" t="s">
        <v>13</v>
      </c>
      <c r="B6" s="152" t="s">
        <v>14</v>
      </c>
      <c r="C6" s="118"/>
      <c r="D6" s="153"/>
      <c r="E6" s="118"/>
      <c r="F6" s="7"/>
      <c r="G6" s="143"/>
      <c r="H6" s="118"/>
      <c r="I6" s="143"/>
      <c r="J6" s="118"/>
      <c r="K6" s="8"/>
      <c r="L6" s="117"/>
      <c r="M6" s="118"/>
      <c r="N6" s="117"/>
      <c r="O6" s="118"/>
      <c r="P6" s="119" t="s">
        <v>15</v>
      </c>
      <c r="Q6" s="120"/>
      <c r="R6" s="121"/>
    </row>
    <row r="7" spans="1:18" ht="15" customHeight="1" x14ac:dyDescent="0.2">
      <c r="A7" s="149"/>
      <c r="B7" s="145" t="s">
        <v>16</v>
      </c>
      <c r="C7" s="123"/>
      <c r="D7" s="124"/>
      <c r="E7" s="123"/>
      <c r="F7" s="9"/>
      <c r="G7" s="146"/>
      <c r="H7" s="123"/>
      <c r="I7" s="146"/>
      <c r="J7" s="123"/>
      <c r="K7" s="10"/>
      <c r="L7" s="122"/>
      <c r="M7" s="123"/>
      <c r="N7" s="122"/>
      <c r="O7" s="123"/>
      <c r="P7" s="124" t="s">
        <v>86</v>
      </c>
      <c r="Q7" s="125"/>
      <c r="R7" s="126"/>
    </row>
    <row r="8" spans="1:18" ht="15" customHeight="1" x14ac:dyDescent="0.2">
      <c r="A8" s="150"/>
      <c r="B8" s="154" t="s">
        <v>17</v>
      </c>
      <c r="C8" s="100"/>
      <c r="D8" s="155"/>
      <c r="E8" s="100"/>
      <c r="F8" s="11"/>
      <c r="G8" s="99"/>
      <c r="H8" s="100"/>
      <c r="I8" s="99"/>
      <c r="J8" s="100"/>
      <c r="K8" s="12"/>
      <c r="L8" s="102"/>
      <c r="M8" s="100"/>
      <c r="N8" s="102"/>
      <c r="O8" s="100"/>
      <c r="P8" s="103"/>
      <c r="Q8" s="104"/>
      <c r="R8" s="105"/>
    </row>
    <row r="9" spans="1:18" ht="15" customHeight="1" x14ac:dyDescent="0.2">
      <c r="A9" s="1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48" t="s">
        <v>19</v>
      </c>
      <c r="B11" s="106" t="s">
        <v>20</v>
      </c>
      <c r="C11" s="107"/>
      <c r="D11" s="107"/>
      <c r="E11" s="107"/>
      <c r="F11" s="107"/>
      <c r="G11" s="106" t="s">
        <v>21</v>
      </c>
      <c r="H11" s="107"/>
      <c r="I11" s="107"/>
      <c r="J11" s="107"/>
      <c r="K11" s="107"/>
      <c r="L11" s="106" t="s">
        <v>22</v>
      </c>
      <c r="M11" s="107"/>
      <c r="N11" s="107"/>
      <c r="O11" s="107"/>
      <c r="P11" s="107"/>
      <c r="Q11" s="108" t="s">
        <v>87</v>
      </c>
      <c r="R11" s="112" t="s">
        <v>88</v>
      </c>
    </row>
    <row r="12" spans="1:18" ht="15" customHeight="1" x14ac:dyDescent="0.2">
      <c r="A12" s="149"/>
      <c r="B12" s="108" t="s">
        <v>23</v>
      </c>
      <c r="C12" s="108" t="s">
        <v>33</v>
      </c>
      <c r="D12" s="108" t="s">
        <v>24</v>
      </c>
      <c r="E12" s="108" t="s">
        <v>34</v>
      </c>
      <c r="F12" s="108" t="s">
        <v>25</v>
      </c>
      <c r="G12" s="108" t="s">
        <v>23</v>
      </c>
      <c r="H12" s="108" t="s">
        <v>33</v>
      </c>
      <c r="I12" s="108" t="s">
        <v>24</v>
      </c>
      <c r="J12" s="108" t="s">
        <v>34</v>
      </c>
      <c r="K12" s="108" t="s">
        <v>25</v>
      </c>
      <c r="L12" s="108" t="s">
        <v>23</v>
      </c>
      <c r="M12" s="108" t="s">
        <v>33</v>
      </c>
      <c r="N12" s="108" t="s">
        <v>24</v>
      </c>
      <c r="O12" s="108" t="s">
        <v>34</v>
      </c>
      <c r="P12" s="108" t="s">
        <v>25</v>
      </c>
      <c r="Q12" s="111"/>
      <c r="R12" s="113"/>
    </row>
    <row r="13" spans="1:18" ht="15" customHeight="1" x14ac:dyDescent="0.2">
      <c r="A13" s="14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13"/>
    </row>
    <row r="14" spans="1:18" ht="15" customHeight="1" x14ac:dyDescent="0.2">
      <c r="A14" s="150"/>
      <c r="B14" s="14" t="s">
        <v>28</v>
      </c>
      <c r="C14" s="15" t="s">
        <v>26</v>
      </c>
      <c r="D14" s="15" t="s">
        <v>27</v>
      </c>
      <c r="E14" s="15" t="s">
        <v>26</v>
      </c>
      <c r="F14" s="15" t="s">
        <v>27</v>
      </c>
      <c r="G14" s="14" t="s">
        <v>28</v>
      </c>
      <c r="H14" s="15" t="s">
        <v>26</v>
      </c>
      <c r="I14" s="15" t="s">
        <v>27</v>
      </c>
      <c r="J14" s="15" t="s">
        <v>26</v>
      </c>
      <c r="K14" s="15" t="s">
        <v>27</v>
      </c>
      <c r="L14" s="14" t="s">
        <v>28</v>
      </c>
      <c r="M14" s="15" t="s">
        <v>26</v>
      </c>
      <c r="N14" s="15" t="s">
        <v>27</v>
      </c>
      <c r="O14" s="15" t="s">
        <v>26</v>
      </c>
      <c r="P14" s="15" t="s">
        <v>27</v>
      </c>
      <c r="Q14" s="17" t="s">
        <v>29</v>
      </c>
      <c r="R14" s="114"/>
    </row>
    <row r="15" spans="1:18" ht="15" customHeight="1" x14ac:dyDescent="0.2">
      <c r="A15" s="18">
        <v>1</v>
      </c>
      <c r="B15" s="19">
        <f t="shared" ref="B15:R15" si="0">+A15+1</f>
        <v>2</v>
      </c>
      <c r="C15" s="19">
        <f t="shared" si="0"/>
        <v>3</v>
      </c>
      <c r="D15" s="19">
        <f t="shared" si="0"/>
        <v>4</v>
      </c>
      <c r="E15" s="19">
        <f t="shared" si="0"/>
        <v>5</v>
      </c>
      <c r="F15" s="19">
        <f t="shared" si="0"/>
        <v>6</v>
      </c>
      <c r="G15" s="19">
        <f t="shared" si="0"/>
        <v>7</v>
      </c>
      <c r="H15" s="19">
        <f t="shared" si="0"/>
        <v>8</v>
      </c>
      <c r="I15" s="19">
        <f t="shared" si="0"/>
        <v>9</v>
      </c>
      <c r="J15" s="19">
        <f t="shared" si="0"/>
        <v>10</v>
      </c>
      <c r="K15" s="19">
        <f t="shared" si="0"/>
        <v>11</v>
      </c>
      <c r="L15" s="19">
        <f t="shared" si="0"/>
        <v>12</v>
      </c>
      <c r="M15" s="19">
        <f t="shared" si="0"/>
        <v>13</v>
      </c>
      <c r="N15" s="19">
        <f t="shared" si="0"/>
        <v>14</v>
      </c>
      <c r="O15" s="19">
        <f t="shared" si="0"/>
        <v>15</v>
      </c>
      <c r="P15" s="19">
        <f t="shared" si="0"/>
        <v>16</v>
      </c>
      <c r="Q15" s="19">
        <f t="shared" si="0"/>
        <v>17</v>
      </c>
      <c r="R15" s="19">
        <f t="shared" si="0"/>
        <v>18</v>
      </c>
    </row>
    <row r="16" spans="1:18" ht="15" customHeight="1" x14ac:dyDescent="0.2">
      <c r="A16" s="21">
        <v>45858</v>
      </c>
      <c r="B16" s="22">
        <v>1</v>
      </c>
      <c r="C16" s="23">
        <v>1767</v>
      </c>
      <c r="D16" s="24">
        <v>-1208</v>
      </c>
      <c r="E16" s="25">
        <f t="shared" ref="E16:E23" si="1">C16-D16</f>
        <v>2975</v>
      </c>
      <c r="F16" s="22">
        <v>0</v>
      </c>
      <c r="G16" s="22">
        <v>1</v>
      </c>
      <c r="H16" s="25">
        <v>1632</v>
      </c>
      <c r="I16" s="24">
        <v>-1188</v>
      </c>
      <c r="J16" s="28">
        <f t="shared" ref="J16:J23" si="2">H16-I16</f>
        <v>2820</v>
      </c>
      <c r="K16" s="22">
        <v>0</v>
      </c>
      <c r="L16" s="22">
        <v>1</v>
      </c>
      <c r="M16" s="23">
        <v>1727</v>
      </c>
      <c r="N16" s="24">
        <v>-1127</v>
      </c>
      <c r="O16" s="28">
        <f t="shared" ref="O16:O23" si="3">M16-N16</f>
        <v>2854</v>
      </c>
      <c r="P16" s="22">
        <v>0</v>
      </c>
      <c r="Q16" s="29"/>
      <c r="R16" s="30"/>
    </row>
    <row r="17" spans="1:18" ht="15" customHeight="1" x14ac:dyDescent="0.2">
      <c r="A17" s="21">
        <v>45737</v>
      </c>
      <c r="B17" s="22">
        <f t="shared" ref="B17:B23" si="4">B16+1</f>
        <v>2</v>
      </c>
      <c r="C17" s="25">
        <f t="shared" ref="C17:C23" si="5">$C$16-F17</f>
        <v>1737</v>
      </c>
      <c r="D17" s="24">
        <v>-1238</v>
      </c>
      <c r="E17" s="25">
        <f t="shared" si="1"/>
        <v>2975</v>
      </c>
      <c r="F17" s="26">
        <f t="shared" ref="F17:F23" si="6">$D$16-D17</f>
        <v>30</v>
      </c>
      <c r="G17" s="22">
        <f t="shared" ref="G17:G23" si="7">G16+1</f>
        <v>2</v>
      </c>
      <c r="H17" s="25">
        <f t="shared" ref="H17:H23" si="8">$H$16-K17</f>
        <v>1627</v>
      </c>
      <c r="I17" s="24">
        <v>-1193</v>
      </c>
      <c r="J17" s="28">
        <f t="shared" si="2"/>
        <v>2820</v>
      </c>
      <c r="K17" s="22">
        <f t="shared" ref="K17:K23" si="9">$I$16-I17</f>
        <v>5</v>
      </c>
      <c r="L17" s="22">
        <f t="shared" ref="L17:L23" si="10">L16+1</f>
        <v>2</v>
      </c>
      <c r="M17" s="25">
        <f t="shared" ref="M17:M23" si="11">$M$16-P17</f>
        <v>1725</v>
      </c>
      <c r="N17" s="24">
        <v>-1129</v>
      </c>
      <c r="O17" s="28">
        <f t="shared" si="3"/>
        <v>2854</v>
      </c>
      <c r="P17" s="22">
        <f t="shared" ref="P17:P23" si="12">$N$16-N17</f>
        <v>2</v>
      </c>
      <c r="Q17" s="29"/>
      <c r="R17" s="30"/>
    </row>
    <row r="18" spans="1:18" ht="15" customHeight="1" x14ac:dyDescent="0.2">
      <c r="A18" s="21">
        <v>45738</v>
      </c>
      <c r="B18" s="22">
        <f t="shared" si="4"/>
        <v>3</v>
      </c>
      <c r="C18" s="25">
        <f t="shared" si="5"/>
        <v>1727</v>
      </c>
      <c r="D18" s="24">
        <v>-1248</v>
      </c>
      <c r="E18" s="25">
        <f t="shared" si="1"/>
        <v>2975</v>
      </c>
      <c r="F18" s="26">
        <f t="shared" si="6"/>
        <v>40</v>
      </c>
      <c r="G18" s="22">
        <f t="shared" si="7"/>
        <v>3</v>
      </c>
      <c r="H18" s="25">
        <f t="shared" si="8"/>
        <v>1617</v>
      </c>
      <c r="I18" s="24">
        <v>-1203</v>
      </c>
      <c r="J18" s="28">
        <f t="shared" si="2"/>
        <v>2820</v>
      </c>
      <c r="K18" s="22">
        <f t="shared" si="9"/>
        <v>15</v>
      </c>
      <c r="L18" s="22">
        <f t="shared" si="10"/>
        <v>3</v>
      </c>
      <c r="M18" s="25">
        <f t="shared" si="11"/>
        <v>1723</v>
      </c>
      <c r="N18" s="24">
        <v>-1131</v>
      </c>
      <c r="O18" s="28">
        <f t="shared" si="3"/>
        <v>2854</v>
      </c>
      <c r="P18" s="22">
        <f t="shared" si="12"/>
        <v>4</v>
      </c>
      <c r="Q18" s="29"/>
      <c r="R18" s="30"/>
    </row>
    <row r="19" spans="1:18" ht="15" customHeight="1" x14ac:dyDescent="0.2">
      <c r="A19" s="21">
        <v>45739</v>
      </c>
      <c r="B19" s="22">
        <f t="shared" si="4"/>
        <v>4</v>
      </c>
      <c r="C19" s="25">
        <f t="shared" si="5"/>
        <v>1717</v>
      </c>
      <c r="D19" s="24">
        <v>-1258</v>
      </c>
      <c r="E19" s="25">
        <f t="shared" si="1"/>
        <v>2975</v>
      </c>
      <c r="F19" s="26">
        <f t="shared" si="6"/>
        <v>50</v>
      </c>
      <c r="G19" s="22">
        <f t="shared" si="7"/>
        <v>4</v>
      </c>
      <c r="H19" s="25">
        <f t="shared" si="8"/>
        <v>1599</v>
      </c>
      <c r="I19" s="24">
        <v>-1221</v>
      </c>
      <c r="J19" s="28">
        <f t="shared" si="2"/>
        <v>2820</v>
      </c>
      <c r="K19" s="22">
        <f t="shared" si="9"/>
        <v>33</v>
      </c>
      <c r="L19" s="22">
        <f t="shared" si="10"/>
        <v>4</v>
      </c>
      <c r="M19" s="25">
        <f t="shared" si="11"/>
        <v>1713</v>
      </c>
      <c r="N19" s="24">
        <v>-1141</v>
      </c>
      <c r="O19" s="28">
        <f t="shared" si="3"/>
        <v>2854</v>
      </c>
      <c r="P19" s="22">
        <f t="shared" si="12"/>
        <v>14</v>
      </c>
      <c r="Q19" s="29"/>
      <c r="R19" s="30"/>
    </row>
    <row r="20" spans="1:18" ht="15" customHeight="1" x14ac:dyDescent="0.2">
      <c r="A20" s="21">
        <v>45740</v>
      </c>
      <c r="B20" s="22">
        <f t="shared" si="4"/>
        <v>5</v>
      </c>
      <c r="C20" s="25">
        <f t="shared" si="5"/>
        <v>1707</v>
      </c>
      <c r="D20" s="24">
        <v>-1268</v>
      </c>
      <c r="E20" s="25">
        <f t="shared" si="1"/>
        <v>2975</v>
      </c>
      <c r="F20" s="26">
        <f t="shared" si="6"/>
        <v>60</v>
      </c>
      <c r="G20" s="22">
        <f t="shared" si="7"/>
        <v>5</v>
      </c>
      <c r="H20" s="25">
        <f t="shared" si="8"/>
        <v>1581</v>
      </c>
      <c r="I20" s="24">
        <v>-1239</v>
      </c>
      <c r="J20" s="28">
        <f t="shared" si="2"/>
        <v>2820</v>
      </c>
      <c r="K20" s="22">
        <f t="shared" si="9"/>
        <v>51</v>
      </c>
      <c r="L20" s="22">
        <f t="shared" si="10"/>
        <v>5</v>
      </c>
      <c r="M20" s="25">
        <f t="shared" si="11"/>
        <v>1703</v>
      </c>
      <c r="N20" s="24">
        <v>-1151</v>
      </c>
      <c r="O20" s="28">
        <f t="shared" si="3"/>
        <v>2854</v>
      </c>
      <c r="P20" s="22">
        <f t="shared" si="12"/>
        <v>24</v>
      </c>
      <c r="Q20" s="29"/>
      <c r="R20" s="30"/>
    </row>
    <row r="21" spans="1:18" ht="15" customHeight="1" x14ac:dyDescent="0.2">
      <c r="A21" s="21">
        <v>45741</v>
      </c>
      <c r="B21" s="22">
        <f t="shared" si="4"/>
        <v>6</v>
      </c>
      <c r="C21" s="25">
        <f t="shared" si="5"/>
        <v>1697</v>
      </c>
      <c r="D21" s="24">
        <v>-1278</v>
      </c>
      <c r="E21" s="25">
        <f t="shared" si="1"/>
        <v>2975</v>
      </c>
      <c r="F21" s="26">
        <f t="shared" si="6"/>
        <v>70</v>
      </c>
      <c r="G21" s="22">
        <f t="shared" si="7"/>
        <v>6</v>
      </c>
      <c r="H21" s="25">
        <f t="shared" si="8"/>
        <v>1563</v>
      </c>
      <c r="I21" s="24">
        <v>-1257</v>
      </c>
      <c r="J21" s="28">
        <f t="shared" si="2"/>
        <v>2820</v>
      </c>
      <c r="K21" s="22">
        <f t="shared" si="9"/>
        <v>69</v>
      </c>
      <c r="L21" s="22">
        <f t="shared" si="10"/>
        <v>6</v>
      </c>
      <c r="M21" s="25">
        <f t="shared" si="11"/>
        <v>1693</v>
      </c>
      <c r="N21" s="24">
        <v>-1161</v>
      </c>
      <c r="O21" s="28">
        <f t="shared" si="3"/>
        <v>2854</v>
      </c>
      <c r="P21" s="22">
        <f t="shared" si="12"/>
        <v>34</v>
      </c>
      <c r="Q21" s="29"/>
      <c r="R21" s="30"/>
    </row>
    <row r="22" spans="1:18" ht="15" customHeight="1" x14ac:dyDescent="0.2">
      <c r="A22" s="21">
        <v>45742</v>
      </c>
      <c r="B22" s="22">
        <f t="shared" si="4"/>
        <v>7</v>
      </c>
      <c r="C22" s="25">
        <f t="shared" si="5"/>
        <v>1687</v>
      </c>
      <c r="D22" s="24">
        <v>-1288</v>
      </c>
      <c r="E22" s="25">
        <f t="shared" si="1"/>
        <v>2975</v>
      </c>
      <c r="F22" s="26">
        <f t="shared" si="6"/>
        <v>80</v>
      </c>
      <c r="G22" s="22">
        <f t="shared" si="7"/>
        <v>7</v>
      </c>
      <c r="H22" s="25">
        <f t="shared" si="8"/>
        <v>1545</v>
      </c>
      <c r="I22" s="24">
        <v>-1275</v>
      </c>
      <c r="J22" s="28">
        <f t="shared" si="2"/>
        <v>2820</v>
      </c>
      <c r="K22" s="22">
        <f t="shared" si="9"/>
        <v>87</v>
      </c>
      <c r="L22" s="22">
        <f t="shared" si="10"/>
        <v>7</v>
      </c>
      <c r="M22" s="25">
        <f t="shared" si="11"/>
        <v>1683</v>
      </c>
      <c r="N22" s="24">
        <v>-1171</v>
      </c>
      <c r="O22" s="28">
        <f t="shared" si="3"/>
        <v>2854</v>
      </c>
      <c r="P22" s="22">
        <f t="shared" si="12"/>
        <v>44</v>
      </c>
      <c r="Q22" s="29"/>
      <c r="R22" s="30"/>
    </row>
    <row r="23" spans="1:18" ht="15" customHeight="1" x14ac:dyDescent="0.2">
      <c r="A23" s="21">
        <v>45865</v>
      </c>
      <c r="B23" s="22">
        <f t="shared" si="4"/>
        <v>8</v>
      </c>
      <c r="C23" s="25">
        <f t="shared" si="5"/>
        <v>1677</v>
      </c>
      <c r="D23" s="24">
        <v>-1298</v>
      </c>
      <c r="E23" s="25">
        <f t="shared" si="1"/>
        <v>2975</v>
      </c>
      <c r="F23" s="26">
        <f t="shared" si="6"/>
        <v>90</v>
      </c>
      <c r="G23" s="22">
        <f t="shared" si="7"/>
        <v>8</v>
      </c>
      <c r="H23" s="25">
        <f t="shared" si="8"/>
        <v>1527</v>
      </c>
      <c r="I23" s="24">
        <v>-1293</v>
      </c>
      <c r="J23" s="28">
        <f t="shared" si="2"/>
        <v>2820</v>
      </c>
      <c r="K23" s="22">
        <f t="shared" si="9"/>
        <v>105</v>
      </c>
      <c r="L23" s="22">
        <f t="shared" si="10"/>
        <v>8</v>
      </c>
      <c r="M23" s="25">
        <f t="shared" si="11"/>
        <v>1673</v>
      </c>
      <c r="N23" s="24">
        <v>-1181</v>
      </c>
      <c r="O23" s="28">
        <f t="shared" si="3"/>
        <v>2854</v>
      </c>
      <c r="P23" s="22">
        <f t="shared" si="12"/>
        <v>54</v>
      </c>
      <c r="Q23" s="29"/>
      <c r="R23" s="30"/>
    </row>
    <row r="24" spans="1:18" ht="15" customHeight="1" x14ac:dyDescent="0.2">
      <c r="A24" s="21"/>
      <c r="B24" s="22"/>
      <c r="C24" s="23"/>
      <c r="D24" s="24"/>
      <c r="E24" s="25"/>
      <c r="F24" s="26"/>
      <c r="G24" s="22"/>
      <c r="H24" s="25"/>
      <c r="I24" s="24"/>
      <c r="J24" s="28"/>
      <c r="K24" s="22"/>
      <c r="L24" s="22"/>
      <c r="M24" s="23"/>
      <c r="N24" s="24"/>
      <c r="O24" s="28"/>
      <c r="P24" s="22"/>
      <c r="Q24" s="29"/>
      <c r="R24" s="30"/>
    </row>
    <row r="25" spans="1:18" ht="15" customHeight="1" x14ac:dyDescent="0.2">
      <c r="A25" s="21"/>
      <c r="B25" s="22"/>
      <c r="C25" s="23"/>
      <c r="D25" s="24"/>
      <c r="E25" s="25"/>
      <c r="F25" s="26"/>
      <c r="G25" s="22"/>
      <c r="H25" s="25"/>
      <c r="I25" s="24"/>
      <c r="J25" s="28"/>
      <c r="K25" s="22"/>
      <c r="L25" s="22"/>
      <c r="M25" s="23"/>
      <c r="N25" s="24"/>
      <c r="O25" s="28"/>
      <c r="P25" s="22"/>
      <c r="Q25" s="29"/>
      <c r="R25" s="30"/>
    </row>
    <row r="26" spans="1:18" ht="15" customHeight="1" x14ac:dyDescent="0.2">
      <c r="A26" s="21"/>
      <c r="B26" s="22"/>
      <c r="C26" s="23"/>
      <c r="D26" s="24"/>
      <c r="E26" s="25"/>
      <c r="F26" s="26"/>
      <c r="G26" s="22"/>
      <c r="H26" s="25"/>
      <c r="I26" s="24"/>
      <c r="J26" s="28"/>
      <c r="K26" s="22"/>
      <c r="L26" s="22"/>
      <c r="M26" s="23"/>
      <c r="N26" s="24"/>
      <c r="O26" s="28"/>
      <c r="P26" s="22"/>
      <c r="Q26" s="29"/>
      <c r="R26" s="30"/>
    </row>
    <row r="27" spans="1:18" ht="15" customHeight="1" x14ac:dyDescent="0.2">
      <c r="A27" s="21"/>
      <c r="B27" s="22"/>
      <c r="C27" s="23"/>
      <c r="D27" s="24"/>
      <c r="E27" s="25"/>
      <c r="F27" s="26"/>
      <c r="G27" s="22"/>
      <c r="H27" s="25"/>
      <c r="I27" s="24"/>
      <c r="J27" s="28"/>
      <c r="K27" s="22"/>
      <c r="L27" s="22"/>
      <c r="M27" s="23"/>
      <c r="N27" s="24"/>
      <c r="O27" s="28"/>
      <c r="P27" s="22"/>
      <c r="Q27" s="29"/>
      <c r="R27" s="30"/>
    </row>
    <row r="28" spans="1:18" ht="15" customHeight="1" x14ac:dyDescent="0.2">
      <c r="A28" s="21"/>
      <c r="B28" s="22"/>
      <c r="C28" s="23"/>
      <c r="D28" s="24"/>
      <c r="E28" s="25"/>
      <c r="F28" s="26"/>
      <c r="G28" s="22"/>
      <c r="H28" s="25"/>
      <c r="I28" s="24"/>
      <c r="J28" s="28"/>
      <c r="K28" s="22"/>
      <c r="L28" s="22"/>
      <c r="M28" s="23"/>
      <c r="N28" s="24"/>
      <c r="O28" s="28"/>
      <c r="P28" s="22"/>
      <c r="Q28" s="29"/>
      <c r="R28" s="30"/>
    </row>
    <row r="29" spans="1:18" ht="15" customHeight="1" x14ac:dyDescent="0.2">
      <c r="A29" s="21"/>
      <c r="B29" s="22"/>
      <c r="C29" s="23"/>
      <c r="D29" s="24"/>
      <c r="E29" s="25"/>
      <c r="F29" s="26"/>
      <c r="G29" s="22"/>
      <c r="H29" s="25"/>
      <c r="I29" s="24"/>
      <c r="J29" s="28"/>
      <c r="K29" s="22"/>
      <c r="L29" s="22"/>
      <c r="M29" s="23"/>
      <c r="N29" s="24"/>
      <c r="O29" s="28"/>
      <c r="P29" s="22"/>
      <c r="Q29" s="29"/>
      <c r="R29" s="30"/>
    </row>
    <row r="30" spans="1:18" ht="15" customHeight="1" x14ac:dyDescent="0.2">
      <c r="A30" s="21"/>
      <c r="B30" s="22"/>
      <c r="C30" s="23"/>
      <c r="D30" s="24"/>
      <c r="E30" s="25"/>
      <c r="F30" s="26"/>
      <c r="G30" s="22"/>
      <c r="H30" s="25"/>
      <c r="I30" s="24"/>
      <c r="J30" s="28"/>
      <c r="K30" s="22"/>
      <c r="L30" s="22"/>
      <c r="M30" s="23"/>
      <c r="N30" s="24"/>
      <c r="O30" s="28"/>
      <c r="P30" s="22"/>
      <c r="Q30" s="36"/>
      <c r="R30" s="30"/>
    </row>
    <row r="31" spans="1:18" ht="15" customHeight="1" x14ac:dyDescent="0.2">
      <c r="A31" s="21"/>
      <c r="B31" s="22"/>
      <c r="C31" s="23"/>
      <c r="D31" s="24"/>
      <c r="E31" s="25"/>
      <c r="F31" s="26"/>
      <c r="G31" s="22"/>
      <c r="H31" s="25"/>
      <c r="I31" s="24"/>
      <c r="J31" s="28"/>
      <c r="K31" s="22"/>
      <c r="L31" s="22"/>
      <c r="M31" s="23"/>
      <c r="N31" s="24"/>
      <c r="O31" s="28"/>
      <c r="P31" s="22"/>
      <c r="Q31" s="36"/>
      <c r="R31" s="30"/>
    </row>
    <row r="32" spans="1:18" ht="15" customHeight="1" x14ac:dyDescent="0.2">
      <c r="A32" s="21"/>
      <c r="B32" s="22"/>
      <c r="C32" s="23"/>
      <c r="D32" s="24"/>
      <c r="E32" s="25"/>
      <c r="F32" s="26"/>
      <c r="G32" s="22"/>
      <c r="H32" s="25"/>
      <c r="I32" s="24"/>
      <c r="J32" s="28"/>
      <c r="K32" s="22"/>
      <c r="L32" s="22"/>
      <c r="M32" s="23"/>
      <c r="N32" s="24"/>
      <c r="O32" s="28"/>
      <c r="P32" s="22"/>
      <c r="Q32" s="36"/>
      <c r="R32" s="30"/>
    </row>
    <row r="33" spans="1:18" ht="15" customHeight="1" x14ac:dyDescent="0.2">
      <c r="A33" s="21"/>
      <c r="B33" s="22"/>
      <c r="C33" s="23"/>
      <c r="D33" s="24"/>
      <c r="E33" s="25"/>
      <c r="F33" s="26"/>
      <c r="G33" s="22"/>
      <c r="H33" s="25"/>
      <c r="I33" s="24"/>
      <c r="J33" s="28"/>
      <c r="K33" s="22"/>
      <c r="L33" s="22"/>
      <c r="M33" s="23"/>
      <c r="N33" s="24"/>
      <c r="O33" s="28"/>
      <c r="P33" s="22"/>
      <c r="Q33" s="36"/>
      <c r="R33" s="30"/>
    </row>
    <row r="34" spans="1:18" ht="15" customHeight="1" x14ac:dyDescent="0.2">
      <c r="A34" s="21"/>
      <c r="B34" s="22"/>
      <c r="C34" s="23"/>
      <c r="D34" s="24"/>
      <c r="E34" s="25"/>
      <c r="F34" s="26"/>
      <c r="G34" s="22"/>
      <c r="H34" s="25"/>
      <c r="I34" s="24"/>
      <c r="J34" s="28"/>
      <c r="K34" s="22"/>
      <c r="L34" s="22"/>
      <c r="M34" s="23"/>
      <c r="N34" s="24"/>
      <c r="O34" s="28"/>
      <c r="P34" s="22"/>
      <c r="Q34" s="36"/>
      <c r="R34" s="30"/>
    </row>
    <row r="35" spans="1:18" ht="15" customHeight="1" x14ac:dyDescent="0.2">
      <c r="A35" s="21"/>
      <c r="B35" s="22"/>
      <c r="C35" s="23"/>
      <c r="D35" s="24"/>
      <c r="E35" s="25"/>
      <c r="F35" s="26"/>
      <c r="G35" s="22"/>
      <c r="H35" s="25"/>
      <c r="I35" s="24"/>
      <c r="J35" s="28"/>
      <c r="K35" s="22"/>
      <c r="L35" s="22"/>
      <c r="M35" s="23"/>
      <c r="N35" s="24"/>
      <c r="O35" s="28"/>
      <c r="P35" s="22"/>
      <c r="Q35" s="36"/>
      <c r="R35" s="30"/>
    </row>
    <row r="36" spans="1:18" ht="15" customHeight="1" x14ac:dyDescent="0.2">
      <c r="A36" s="21"/>
      <c r="B36" s="22"/>
      <c r="C36" s="23"/>
      <c r="D36" s="24"/>
      <c r="E36" s="25"/>
      <c r="F36" s="26"/>
      <c r="G36" s="22"/>
      <c r="H36" s="25"/>
      <c r="I36" s="24"/>
      <c r="J36" s="28"/>
      <c r="K36" s="22"/>
      <c r="L36" s="22"/>
      <c r="M36" s="23"/>
      <c r="N36" s="24"/>
      <c r="O36" s="28"/>
      <c r="P36" s="22"/>
      <c r="Q36" s="36"/>
      <c r="R36" s="30"/>
    </row>
    <row r="37" spans="1:18" ht="15" customHeight="1" x14ac:dyDescent="0.2">
      <c r="A37" s="21"/>
      <c r="B37" s="22"/>
      <c r="C37" s="23"/>
      <c r="D37" s="24"/>
      <c r="E37" s="25"/>
      <c r="F37" s="26"/>
      <c r="G37" s="22"/>
      <c r="H37" s="25"/>
      <c r="I37" s="24"/>
      <c r="J37" s="28"/>
      <c r="K37" s="22"/>
      <c r="L37" s="22"/>
      <c r="M37" s="23"/>
      <c r="N37" s="24"/>
      <c r="O37" s="28"/>
      <c r="P37" s="22"/>
      <c r="Q37" s="36"/>
      <c r="R37" s="30"/>
    </row>
    <row r="38" spans="1:18" ht="12.75" x14ac:dyDescent="0.2">
      <c r="A38" s="21"/>
      <c r="B38" s="22"/>
      <c r="C38" s="23"/>
      <c r="D38" s="24"/>
      <c r="E38" s="25"/>
      <c r="F38" s="26"/>
      <c r="G38" s="22"/>
      <c r="H38" s="25"/>
      <c r="I38" s="24"/>
      <c r="J38" s="28"/>
      <c r="K38" s="22"/>
      <c r="L38" s="22"/>
      <c r="M38" s="23"/>
      <c r="N38" s="24"/>
      <c r="O38" s="28"/>
      <c r="P38" s="22"/>
      <c r="Q38" s="36"/>
      <c r="R38" s="30"/>
    </row>
    <row r="39" spans="1:18" ht="12.75" x14ac:dyDescent="0.2">
      <c r="A39" s="21"/>
      <c r="B39" s="22"/>
      <c r="C39" s="23"/>
      <c r="D39" s="24"/>
      <c r="E39" s="25"/>
      <c r="F39" s="26"/>
      <c r="G39" s="22"/>
      <c r="H39" s="25"/>
      <c r="I39" s="24"/>
      <c r="J39" s="28"/>
      <c r="K39" s="22"/>
      <c r="L39" s="22"/>
      <c r="M39" s="23"/>
      <c r="N39" s="24"/>
      <c r="O39" s="28"/>
      <c r="P39" s="22"/>
      <c r="Q39" s="36"/>
      <c r="R39" s="30"/>
    </row>
    <row r="40" spans="1:18" ht="12.75" x14ac:dyDescent="0.2">
      <c r="A40" s="21"/>
      <c r="B40" s="22"/>
      <c r="C40" s="23"/>
      <c r="D40" s="24"/>
      <c r="E40" s="25"/>
      <c r="F40" s="26"/>
      <c r="G40" s="22"/>
      <c r="H40" s="25"/>
      <c r="I40" s="24"/>
      <c r="J40" s="28"/>
      <c r="K40" s="22"/>
      <c r="L40" s="22"/>
      <c r="M40" s="23"/>
      <c r="N40" s="24"/>
      <c r="O40" s="28"/>
      <c r="P40" s="22"/>
      <c r="Q40" s="36"/>
      <c r="R40" s="30"/>
    </row>
    <row r="41" spans="1:18" ht="12.75" x14ac:dyDescent="0.2">
      <c r="A41" s="21"/>
      <c r="B41" s="22"/>
      <c r="C41" s="23"/>
      <c r="D41" s="24"/>
      <c r="E41" s="25"/>
      <c r="F41" s="26"/>
      <c r="G41" s="22"/>
      <c r="H41" s="25"/>
      <c r="I41" s="24"/>
      <c r="J41" s="28"/>
      <c r="K41" s="22"/>
      <c r="L41" s="22"/>
      <c r="M41" s="23"/>
      <c r="N41" s="24"/>
      <c r="O41" s="28"/>
      <c r="P41" s="22"/>
      <c r="Q41" s="36"/>
      <c r="R41" s="30"/>
    </row>
    <row r="42" spans="1:18" ht="12.75" x14ac:dyDescent="0.2">
      <c r="A42" s="21"/>
      <c r="B42" s="22"/>
      <c r="C42" s="23"/>
      <c r="D42" s="24"/>
      <c r="E42" s="25"/>
      <c r="F42" s="26"/>
      <c r="G42" s="22"/>
      <c r="H42" s="25"/>
      <c r="I42" s="24"/>
      <c r="J42" s="28"/>
      <c r="K42" s="22"/>
      <c r="L42" s="22"/>
      <c r="M42" s="23"/>
      <c r="N42" s="24"/>
      <c r="O42" s="28"/>
      <c r="P42" s="22"/>
      <c r="Q42" s="36"/>
      <c r="R42" s="30"/>
    </row>
    <row r="43" spans="1:18" ht="12.75" x14ac:dyDescent="0.2">
      <c r="A43" s="21"/>
      <c r="B43" s="22"/>
      <c r="C43" s="23"/>
      <c r="D43" s="24"/>
      <c r="E43" s="25"/>
      <c r="F43" s="26"/>
      <c r="G43" s="22"/>
      <c r="H43" s="25"/>
      <c r="I43" s="24"/>
      <c r="J43" s="28"/>
      <c r="K43" s="22"/>
      <c r="L43" s="22"/>
      <c r="M43" s="23"/>
      <c r="N43" s="24"/>
      <c r="O43" s="28"/>
      <c r="P43" s="22"/>
      <c r="Q43" s="36"/>
      <c r="R43" s="30"/>
    </row>
    <row r="44" spans="1:18" ht="12.75" x14ac:dyDescent="0.2">
      <c r="A44" s="21"/>
      <c r="B44" s="22"/>
      <c r="C44" s="23"/>
      <c r="D44" s="24"/>
      <c r="E44" s="25"/>
      <c r="F44" s="26"/>
      <c r="G44" s="22"/>
      <c r="H44" s="25"/>
      <c r="I44" s="24"/>
      <c r="J44" s="28"/>
      <c r="K44" s="22"/>
      <c r="L44" s="22"/>
      <c r="M44" s="23"/>
      <c r="N44" s="24"/>
      <c r="O44" s="28"/>
      <c r="P44" s="22"/>
      <c r="Q44" s="36"/>
      <c r="R44" s="30"/>
    </row>
    <row r="45" spans="1:18" ht="12.75" x14ac:dyDescent="0.2">
      <c r="A45" s="21"/>
      <c r="B45" s="22"/>
      <c r="C45" s="23"/>
      <c r="D45" s="24"/>
      <c r="E45" s="25"/>
      <c r="F45" s="26"/>
      <c r="G45" s="22"/>
      <c r="H45" s="25"/>
      <c r="I45" s="24"/>
      <c r="J45" s="28"/>
      <c r="K45" s="22"/>
      <c r="L45" s="22"/>
      <c r="M45" s="23"/>
      <c r="N45" s="24"/>
      <c r="O45" s="28"/>
      <c r="P45" s="22"/>
      <c r="Q45" s="36"/>
      <c r="R45" s="30"/>
    </row>
    <row r="46" spans="1:18" ht="12.75" x14ac:dyDescent="0.2">
      <c r="A46" s="21"/>
      <c r="B46" s="22"/>
      <c r="C46" s="23"/>
      <c r="D46" s="24"/>
      <c r="E46" s="25"/>
      <c r="F46" s="26"/>
      <c r="G46" s="22"/>
      <c r="H46" s="25"/>
      <c r="I46" s="24"/>
      <c r="J46" s="28"/>
      <c r="K46" s="22"/>
      <c r="L46" s="22"/>
      <c r="M46" s="23"/>
      <c r="N46" s="24"/>
      <c r="O46" s="28"/>
      <c r="P46" s="22"/>
      <c r="Q46" s="36"/>
      <c r="R46" s="30"/>
    </row>
    <row r="47" spans="1:18" ht="12.75" x14ac:dyDescent="0.2">
      <c r="A47" s="21"/>
      <c r="B47" s="22"/>
      <c r="C47" s="23"/>
      <c r="D47" s="24"/>
      <c r="E47" s="25"/>
      <c r="F47" s="26"/>
      <c r="G47" s="22"/>
      <c r="H47" s="25"/>
      <c r="I47" s="24"/>
      <c r="J47" s="28"/>
      <c r="K47" s="22"/>
      <c r="L47" s="22"/>
      <c r="M47" s="23"/>
      <c r="N47" s="24"/>
      <c r="O47" s="28"/>
      <c r="P47" s="22"/>
      <c r="Q47" s="36"/>
      <c r="R47" s="30"/>
    </row>
    <row r="48" spans="1:18" ht="12.75" x14ac:dyDescent="0.2">
      <c r="A48" s="21"/>
      <c r="B48" s="22"/>
      <c r="C48" s="23"/>
      <c r="D48" s="24"/>
      <c r="E48" s="25"/>
      <c r="F48" s="26"/>
      <c r="G48" s="22"/>
      <c r="H48" s="25"/>
      <c r="I48" s="24"/>
      <c r="J48" s="28"/>
      <c r="K48" s="22"/>
      <c r="L48" s="22"/>
      <c r="M48" s="23"/>
      <c r="N48" s="24"/>
      <c r="O48" s="28"/>
      <c r="P48" s="22"/>
      <c r="Q48" s="36"/>
      <c r="R48" s="30"/>
    </row>
    <row r="49" spans="1:18" ht="12.75" x14ac:dyDescent="0.2">
      <c r="A49" s="21"/>
      <c r="B49" s="22"/>
      <c r="C49" s="23"/>
      <c r="D49" s="24"/>
      <c r="E49" s="25"/>
      <c r="F49" s="26"/>
      <c r="G49" s="22"/>
      <c r="H49" s="25"/>
      <c r="I49" s="24"/>
      <c r="J49" s="28"/>
      <c r="K49" s="22"/>
      <c r="L49" s="22"/>
      <c r="M49" s="23"/>
      <c r="N49" s="24"/>
      <c r="O49" s="28"/>
      <c r="P49" s="22"/>
      <c r="Q49" s="36"/>
      <c r="R49" s="30"/>
    </row>
    <row r="50" spans="1:18" ht="12.75" x14ac:dyDescent="0.2">
      <c r="A50" s="21"/>
      <c r="B50" s="22"/>
      <c r="C50" s="23"/>
      <c r="D50" s="24"/>
      <c r="E50" s="25"/>
      <c r="F50" s="26"/>
      <c r="G50" s="22"/>
      <c r="H50" s="25"/>
      <c r="I50" s="24"/>
      <c r="J50" s="28"/>
      <c r="K50" s="22"/>
      <c r="L50" s="22"/>
      <c r="M50" s="23"/>
      <c r="N50" s="24"/>
      <c r="O50" s="28"/>
      <c r="P50" s="22"/>
      <c r="Q50" s="36"/>
      <c r="R50" s="30"/>
    </row>
    <row r="51" spans="1:18" ht="12.75" x14ac:dyDescent="0.2">
      <c r="A51" s="21"/>
      <c r="B51" s="22"/>
      <c r="C51" s="23"/>
      <c r="D51" s="24"/>
      <c r="E51" s="25"/>
      <c r="F51" s="26"/>
      <c r="G51" s="22"/>
      <c r="H51" s="25"/>
      <c r="I51" s="24"/>
      <c r="J51" s="28"/>
      <c r="K51" s="22"/>
      <c r="L51" s="22"/>
      <c r="M51" s="23"/>
      <c r="N51" s="24"/>
      <c r="O51" s="28"/>
      <c r="P51" s="22"/>
      <c r="Q51" s="36"/>
      <c r="R51" s="30"/>
    </row>
    <row r="52" spans="1:18" ht="12.75" x14ac:dyDescent="0.2">
      <c r="A52" s="21"/>
      <c r="B52" s="22"/>
      <c r="C52" s="23"/>
      <c r="D52" s="24"/>
      <c r="E52" s="25"/>
      <c r="F52" s="26"/>
      <c r="G52" s="22"/>
      <c r="H52" s="25"/>
      <c r="I52" s="24"/>
      <c r="J52" s="28"/>
      <c r="K52" s="22"/>
      <c r="L52" s="22"/>
      <c r="M52" s="23"/>
      <c r="N52" s="24"/>
      <c r="O52" s="28"/>
      <c r="P52" s="22"/>
      <c r="Q52" s="36"/>
      <c r="R52" s="30"/>
    </row>
    <row r="53" spans="1:18" ht="12.75" x14ac:dyDescent="0.2">
      <c r="A53" s="21"/>
      <c r="B53" s="22"/>
      <c r="C53" s="23"/>
      <c r="D53" s="24"/>
      <c r="E53" s="25"/>
      <c r="F53" s="26"/>
      <c r="G53" s="22"/>
      <c r="H53" s="25"/>
      <c r="I53" s="24"/>
      <c r="J53" s="28"/>
      <c r="K53" s="22"/>
      <c r="L53" s="22"/>
      <c r="M53" s="23"/>
      <c r="N53" s="24"/>
      <c r="O53" s="28"/>
      <c r="P53" s="22"/>
      <c r="Q53" s="36"/>
      <c r="R53" s="30"/>
    </row>
    <row r="54" spans="1:18" ht="12.75" x14ac:dyDescent="0.2">
      <c r="A54" s="21"/>
      <c r="B54" s="22"/>
      <c r="C54" s="23"/>
      <c r="D54" s="24"/>
      <c r="E54" s="25"/>
      <c r="F54" s="26"/>
      <c r="G54" s="22"/>
      <c r="H54" s="25"/>
      <c r="I54" s="24"/>
      <c r="J54" s="28"/>
      <c r="K54" s="22"/>
      <c r="L54" s="22"/>
      <c r="M54" s="23"/>
      <c r="N54" s="24"/>
      <c r="O54" s="28"/>
      <c r="P54" s="22"/>
      <c r="Q54" s="36"/>
      <c r="R54" s="30"/>
    </row>
    <row r="55" spans="1:18" ht="12.75" x14ac:dyDescent="0.2">
      <c r="A55" s="21"/>
      <c r="B55" s="22"/>
      <c r="C55" s="23"/>
      <c r="D55" s="24"/>
      <c r="E55" s="25"/>
      <c r="F55" s="26"/>
      <c r="G55" s="22"/>
      <c r="H55" s="25"/>
      <c r="I55" s="24"/>
      <c r="J55" s="28"/>
      <c r="K55" s="22"/>
      <c r="L55" s="22"/>
      <c r="M55" s="23"/>
      <c r="N55" s="24"/>
      <c r="O55" s="28"/>
      <c r="P55" s="22"/>
      <c r="Q55" s="36"/>
      <c r="R55" s="30"/>
    </row>
    <row r="56" spans="1:18" ht="12.75" x14ac:dyDescent="0.2">
      <c r="A56" s="21"/>
      <c r="B56" s="22"/>
      <c r="C56" s="23"/>
      <c r="D56" s="24"/>
      <c r="E56" s="25"/>
      <c r="F56" s="26"/>
      <c r="G56" s="22"/>
      <c r="H56" s="25"/>
      <c r="I56" s="24"/>
      <c r="J56" s="28"/>
      <c r="K56" s="22"/>
      <c r="L56" s="22"/>
      <c r="M56" s="23"/>
      <c r="N56" s="24"/>
      <c r="O56" s="28"/>
      <c r="P56" s="22"/>
      <c r="Q56" s="36"/>
      <c r="R56" s="30"/>
    </row>
    <row r="57" spans="1:18" ht="12.75" x14ac:dyDescent="0.2">
      <c r="A57" s="21"/>
      <c r="B57" s="22"/>
      <c r="C57" s="23"/>
      <c r="D57" s="24"/>
      <c r="E57" s="25"/>
      <c r="F57" s="26"/>
      <c r="G57" s="22"/>
      <c r="H57" s="25"/>
      <c r="I57" s="24"/>
      <c r="J57" s="28"/>
      <c r="K57" s="22"/>
      <c r="L57" s="22"/>
      <c r="M57" s="23"/>
      <c r="N57" s="24"/>
      <c r="O57" s="28"/>
      <c r="P57" s="22"/>
      <c r="Q57" s="36"/>
      <c r="R57" s="30"/>
    </row>
    <row r="58" spans="1:18" ht="12.75" x14ac:dyDescent="0.2">
      <c r="A58" s="21"/>
      <c r="B58" s="22"/>
      <c r="C58" s="23"/>
      <c r="D58" s="24"/>
      <c r="E58" s="25"/>
      <c r="F58" s="26"/>
      <c r="G58" s="22"/>
      <c r="H58" s="25"/>
      <c r="I58" s="24"/>
      <c r="J58" s="28"/>
      <c r="K58" s="22"/>
      <c r="L58" s="22"/>
      <c r="M58" s="23"/>
      <c r="N58" s="24"/>
      <c r="O58" s="28"/>
      <c r="P58" s="22"/>
      <c r="Q58" s="36"/>
      <c r="R58" s="30"/>
    </row>
    <row r="59" spans="1:18" ht="12.75" x14ac:dyDescent="0.2">
      <c r="A59" s="21"/>
      <c r="B59" s="22"/>
      <c r="C59" s="23"/>
      <c r="D59" s="24"/>
      <c r="E59" s="25"/>
      <c r="F59" s="26"/>
      <c r="G59" s="22"/>
      <c r="H59" s="25"/>
      <c r="I59" s="24"/>
      <c r="J59" s="28"/>
      <c r="K59" s="22"/>
      <c r="L59" s="22"/>
      <c r="M59" s="23"/>
      <c r="N59" s="24"/>
      <c r="O59" s="28"/>
      <c r="P59" s="22"/>
      <c r="Q59" s="36"/>
      <c r="R59" s="30"/>
    </row>
    <row r="60" spans="1:18" ht="12.75" x14ac:dyDescent="0.2">
      <c r="A60" s="21"/>
      <c r="B60" s="22"/>
      <c r="C60" s="23"/>
      <c r="D60" s="24"/>
      <c r="E60" s="25"/>
      <c r="F60" s="26"/>
      <c r="G60" s="22"/>
      <c r="H60" s="25"/>
      <c r="I60" s="24"/>
      <c r="J60" s="28"/>
      <c r="K60" s="22"/>
      <c r="L60" s="22"/>
      <c r="M60" s="23"/>
      <c r="N60" s="24"/>
      <c r="O60" s="28"/>
      <c r="P60" s="22"/>
      <c r="Q60" s="36"/>
      <c r="R60" s="30"/>
    </row>
    <row r="61" spans="1:18" ht="12.75" x14ac:dyDescent="0.2">
      <c r="A61" s="21"/>
      <c r="B61" s="22"/>
      <c r="C61" s="23"/>
      <c r="D61" s="24"/>
      <c r="E61" s="25"/>
      <c r="F61" s="26"/>
      <c r="G61" s="22"/>
      <c r="H61" s="25"/>
      <c r="I61" s="24"/>
      <c r="J61" s="28"/>
      <c r="K61" s="22"/>
      <c r="L61" s="22"/>
      <c r="M61" s="23"/>
      <c r="N61" s="24"/>
      <c r="O61" s="28"/>
      <c r="P61" s="22"/>
      <c r="Q61" s="36"/>
      <c r="R61" s="30"/>
    </row>
    <row r="62" spans="1:18" ht="12.75" x14ac:dyDescent="0.2">
      <c r="A62" s="21"/>
      <c r="B62" s="22"/>
      <c r="C62" s="23"/>
      <c r="D62" s="24"/>
      <c r="E62" s="25"/>
      <c r="F62" s="26"/>
      <c r="G62" s="22"/>
      <c r="H62" s="25"/>
      <c r="I62" s="24"/>
      <c r="J62" s="28"/>
      <c r="K62" s="22"/>
      <c r="L62" s="22"/>
      <c r="M62" s="23"/>
      <c r="N62" s="24"/>
      <c r="O62" s="28"/>
      <c r="P62" s="22"/>
      <c r="Q62" s="36"/>
      <c r="R62" s="30"/>
    </row>
    <row r="63" spans="1:18" ht="12.75" x14ac:dyDescent="0.2">
      <c r="A63" s="21"/>
      <c r="B63" s="22"/>
      <c r="C63" s="23"/>
      <c r="D63" s="24"/>
      <c r="E63" s="25"/>
      <c r="F63" s="26"/>
      <c r="G63" s="22"/>
      <c r="H63" s="25"/>
      <c r="I63" s="24"/>
      <c r="J63" s="28"/>
      <c r="K63" s="22"/>
      <c r="L63" s="22"/>
      <c r="M63" s="23"/>
      <c r="N63" s="24"/>
      <c r="O63" s="28"/>
      <c r="P63" s="22"/>
      <c r="Q63" s="36"/>
      <c r="R63" s="30"/>
    </row>
    <row r="64" spans="1:18" ht="12.75" x14ac:dyDescent="0.2">
      <c r="A64" s="21"/>
      <c r="B64" s="22"/>
      <c r="C64" s="23"/>
      <c r="D64" s="24"/>
      <c r="E64" s="25"/>
      <c r="F64" s="26"/>
      <c r="G64" s="22"/>
      <c r="H64" s="25"/>
      <c r="I64" s="24"/>
      <c r="J64" s="28"/>
      <c r="K64" s="22"/>
      <c r="L64" s="22"/>
      <c r="M64" s="23"/>
      <c r="N64" s="24"/>
      <c r="O64" s="28"/>
      <c r="P64" s="22"/>
      <c r="Q64" s="36"/>
      <c r="R64" s="30"/>
    </row>
    <row r="65" spans="1:18" ht="12.75" x14ac:dyDescent="0.2">
      <c r="A65" s="21"/>
      <c r="B65" s="22"/>
      <c r="C65" s="23"/>
      <c r="D65" s="24"/>
      <c r="E65" s="25"/>
      <c r="F65" s="26"/>
      <c r="G65" s="22"/>
      <c r="H65" s="25"/>
      <c r="I65" s="24"/>
      <c r="J65" s="28"/>
      <c r="K65" s="22"/>
      <c r="L65" s="22"/>
      <c r="M65" s="23"/>
      <c r="N65" s="24"/>
      <c r="O65" s="28"/>
      <c r="P65" s="22"/>
      <c r="Q65" s="36"/>
      <c r="R65" s="30"/>
    </row>
    <row r="66" spans="1:18" ht="12.75" x14ac:dyDescent="0.2">
      <c r="A66" s="21"/>
      <c r="B66" s="22"/>
      <c r="C66" s="23"/>
      <c r="D66" s="24"/>
      <c r="E66" s="25"/>
      <c r="F66" s="26"/>
      <c r="G66" s="22"/>
      <c r="H66" s="25"/>
      <c r="I66" s="24"/>
      <c r="J66" s="28"/>
      <c r="K66" s="22"/>
      <c r="L66" s="22"/>
      <c r="M66" s="23"/>
      <c r="N66" s="24"/>
      <c r="O66" s="28"/>
      <c r="P66" s="22"/>
      <c r="Q66" s="36"/>
      <c r="R66" s="30"/>
    </row>
    <row r="67" spans="1:18" ht="12.75" x14ac:dyDescent="0.2">
      <c r="A67" s="21"/>
      <c r="B67" s="22"/>
      <c r="C67" s="23"/>
      <c r="D67" s="24"/>
      <c r="E67" s="25"/>
      <c r="F67" s="26"/>
      <c r="G67" s="22"/>
      <c r="H67" s="25"/>
      <c r="I67" s="24"/>
      <c r="J67" s="28"/>
      <c r="K67" s="22"/>
      <c r="L67" s="22"/>
      <c r="M67" s="23"/>
      <c r="N67" s="24"/>
      <c r="O67" s="28"/>
      <c r="P67" s="22"/>
      <c r="Q67" s="36"/>
      <c r="R67" s="30"/>
    </row>
    <row r="68" spans="1:18" ht="12.75" x14ac:dyDescent="0.2">
      <c r="A68" s="21"/>
      <c r="B68" s="22"/>
      <c r="C68" s="23"/>
      <c r="D68" s="24"/>
      <c r="E68" s="25"/>
      <c r="F68" s="26"/>
      <c r="G68" s="22"/>
      <c r="H68" s="25"/>
      <c r="I68" s="24"/>
      <c r="J68" s="28"/>
      <c r="K68" s="22"/>
      <c r="L68" s="22"/>
      <c r="M68" s="23"/>
      <c r="N68" s="24"/>
      <c r="O68" s="28"/>
      <c r="P68" s="22"/>
      <c r="Q68" s="36"/>
      <c r="R68" s="30"/>
    </row>
    <row r="69" spans="1:18" ht="12.75" x14ac:dyDescent="0.2">
      <c r="A69" s="21"/>
      <c r="B69" s="22"/>
      <c r="C69" s="23"/>
      <c r="D69" s="24"/>
      <c r="E69" s="25"/>
      <c r="F69" s="26"/>
      <c r="G69" s="22"/>
      <c r="H69" s="25"/>
      <c r="I69" s="24"/>
      <c r="J69" s="28"/>
      <c r="K69" s="22"/>
      <c r="L69" s="22"/>
      <c r="M69" s="23"/>
      <c r="N69" s="24"/>
      <c r="O69" s="28"/>
      <c r="P69" s="22"/>
      <c r="Q69" s="36"/>
      <c r="R69" s="30"/>
    </row>
    <row r="70" spans="1:18" ht="12.75" x14ac:dyDescent="0.2">
      <c r="A70" s="21"/>
      <c r="B70" s="22"/>
      <c r="C70" s="23"/>
      <c r="D70" s="24"/>
      <c r="E70" s="25"/>
      <c r="F70" s="26"/>
      <c r="G70" s="22"/>
      <c r="H70" s="25"/>
      <c r="I70" s="24"/>
      <c r="J70" s="28"/>
      <c r="K70" s="22"/>
      <c r="L70" s="22"/>
      <c r="M70" s="23"/>
      <c r="N70" s="24"/>
      <c r="O70" s="28"/>
      <c r="P70" s="22"/>
      <c r="Q70" s="36"/>
      <c r="R70" s="30"/>
    </row>
    <row r="71" spans="1:18" ht="12.75" x14ac:dyDescent="0.2">
      <c r="A71" s="21"/>
      <c r="B71" s="22"/>
      <c r="C71" s="23"/>
      <c r="D71" s="24"/>
      <c r="E71" s="25"/>
      <c r="F71" s="26"/>
      <c r="G71" s="22"/>
      <c r="H71" s="25"/>
      <c r="I71" s="24"/>
      <c r="J71" s="28"/>
      <c r="K71" s="22"/>
      <c r="L71" s="22"/>
      <c r="M71" s="23"/>
      <c r="N71" s="24"/>
      <c r="O71" s="28"/>
      <c r="P71" s="22"/>
      <c r="Q71" s="36"/>
      <c r="R71" s="30"/>
    </row>
    <row r="72" spans="1:18" ht="12.75" x14ac:dyDescent="0.2">
      <c r="A72" s="21"/>
      <c r="B72" s="22"/>
      <c r="C72" s="23"/>
      <c r="D72" s="24"/>
      <c r="E72" s="25"/>
      <c r="F72" s="26"/>
      <c r="G72" s="22"/>
      <c r="H72" s="25"/>
      <c r="I72" s="24"/>
      <c r="J72" s="28"/>
      <c r="K72" s="22"/>
      <c r="L72" s="22"/>
      <c r="M72" s="23"/>
      <c r="N72" s="24"/>
      <c r="O72" s="28"/>
      <c r="P72" s="22"/>
      <c r="Q72" s="36"/>
      <c r="R72" s="30"/>
    </row>
    <row r="73" spans="1:18" ht="12.75" x14ac:dyDescent="0.2">
      <c r="A73" s="21"/>
      <c r="B73" s="22"/>
      <c r="C73" s="23"/>
      <c r="D73" s="24"/>
      <c r="E73" s="25"/>
      <c r="F73" s="26"/>
      <c r="G73" s="22"/>
      <c r="H73" s="25"/>
      <c r="I73" s="24"/>
      <c r="J73" s="28"/>
      <c r="K73" s="22"/>
      <c r="L73" s="22"/>
      <c r="M73" s="23"/>
      <c r="N73" s="24"/>
      <c r="O73" s="28"/>
      <c r="P73" s="22"/>
      <c r="Q73" s="36"/>
      <c r="R73" s="30"/>
    </row>
    <row r="74" spans="1:18" ht="12.75" x14ac:dyDescent="0.2">
      <c r="A74" s="21"/>
      <c r="B74" s="22"/>
      <c r="C74" s="23"/>
      <c r="D74" s="24"/>
      <c r="E74" s="25"/>
      <c r="F74" s="26"/>
      <c r="G74" s="22"/>
      <c r="H74" s="25"/>
      <c r="I74" s="24"/>
      <c r="J74" s="28"/>
      <c r="K74" s="22"/>
      <c r="L74" s="22"/>
      <c r="M74" s="23"/>
      <c r="N74" s="24"/>
      <c r="O74" s="28"/>
      <c r="P74" s="22"/>
      <c r="Q74" s="36"/>
      <c r="R74" s="30"/>
    </row>
    <row r="75" spans="1:18" ht="12.75" x14ac:dyDescent="0.2">
      <c r="A75" s="21"/>
      <c r="B75" s="22"/>
      <c r="C75" s="23"/>
      <c r="D75" s="24"/>
      <c r="E75" s="25"/>
      <c r="F75" s="26"/>
      <c r="G75" s="22"/>
      <c r="H75" s="25"/>
      <c r="I75" s="24"/>
      <c r="J75" s="28"/>
      <c r="K75" s="22"/>
      <c r="L75" s="22"/>
      <c r="M75" s="23"/>
      <c r="N75" s="24"/>
      <c r="O75" s="28"/>
      <c r="P75" s="22"/>
      <c r="Q75" s="36"/>
      <c r="R75" s="30"/>
    </row>
    <row r="76" spans="1:18" ht="12.75" x14ac:dyDescent="0.2">
      <c r="A76" s="21"/>
      <c r="B76" s="22"/>
      <c r="C76" s="23"/>
      <c r="D76" s="24"/>
      <c r="E76" s="25"/>
      <c r="F76" s="26"/>
      <c r="G76" s="22"/>
      <c r="H76" s="25"/>
      <c r="I76" s="24"/>
      <c r="J76" s="28"/>
      <c r="K76" s="22"/>
      <c r="L76" s="22"/>
      <c r="M76" s="23"/>
      <c r="N76" s="24"/>
      <c r="O76" s="28"/>
      <c r="P76" s="22"/>
      <c r="Q76" s="36"/>
      <c r="R76" s="30"/>
    </row>
    <row r="77" spans="1:18" ht="12.75" x14ac:dyDescent="0.2">
      <c r="A77" s="21"/>
      <c r="B77" s="22"/>
      <c r="C77" s="23"/>
      <c r="D77" s="24"/>
      <c r="E77" s="25"/>
      <c r="F77" s="26"/>
      <c r="G77" s="22"/>
      <c r="H77" s="25"/>
      <c r="I77" s="24"/>
      <c r="J77" s="28"/>
      <c r="K77" s="22"/>
      <c r="L77" s="22"/>
      <c r="M77" s="23"/>
      <c r="N77" s="24"/>
      <c r="O77" s="28"/>
      <c r="P77" s="22"/>
      <c r="Q77" s="36"/>
      <c r="R77" s="30"/>
    </row>
    <row r="78" spans="1:18" ht="12.75" x14ac:dyDescent="0.2">
      <c r="A78" s="21"/>
      <c r="B78" s="22"/>
      <c r="C78" s="23"/>
      <c r="D78" s="24"/>
      <c r="E78" s="25"/>
      <c r="F78" s="26"/>
      <c r="G78" s="22"/>
      <c r="H78" s="25"/>
      <c r="I78" s="24"/>
      <c r="J78" s="28"/>
      <c r="K78" s="22"/>
      <c r="L78" s="22"/>
      <c r="M78" s="23"/>
      <c r="N78" s="24"/>
      <c r="O78" s="28"/>
      <c r="P78" s="22"/>
      <c r="Q78" s="36"/>
      <c r="R78" s="30"/>
    </row>
    <row r="79" spans="1:18" ht="12.75" x14ac:dyDescent="0.2">
      <c r="A79" s="21"/>
      <c r="B79" s="22"/>
      <c r="C79" s="23"/>
      <c r="D79" s="24"/>
      <c r="E79" s="25"/>
      <c r="F79" s="26"/>
      <c r="G79" s="22"/>
      <c r="H79" s="25"/>
      <c r="I79" s="24"/>
      <c r="J79" s="28"/>
      <c r="K79" s="22"/>
      <c r="L79" s="22"/>
      <c r="M79" s="23"/>
      <c r="N79" s="24"/>
      <c r="O79" s="28"/>
      <c r="P79" s="22"/>
      <c r="Q79" s="36"/>
      <c r="R79" s="30"/>
    </row>
    <row r="80" spans="1:18" ht="12.75" x14ac:dyDescent="0.2">
      <c r="A80" s="21"/>
      <c r="B80" s="22"/>
      <c r="C80" s="23"/>
      <c r="D80" s="24"/>
      <c r="E80" s="25"/>
      <c r="F80" s="26"/>
      <c r="G80" s="22"/>
      <c r="H80" s="25"/>
      <c r="I80" s="24"/>
      <c r="J80" s="28"/>
      <c r="K80" s="22"/>
      <c r="L80" s="22"/>
      <c r="M80" s="23"/>
      <c r="N80" s="24"/>
      <c r="O80" s="28"/>
      <c r="P80" s="22"/>
      <c r="Q80" s="36"/>
      <c r="R80" s="30"/>
    </row>
    <row r="81" spans="1:18" ht="12.75" x14ac:dyDescent="0.2">
      <c r="A81" s="21"/>
      <c r="B81" s="22"/>
      <c r="C81" s="23"/>
      <c r="D81" s="24"/>
      <c r="E81" s="25"/>
      <c r="F81" s="26"/>
      <c r="G81" s="22"/>
      <c r="H81" s="25"/>
      <c r="I81" s="24"/>
      <c r="J81" s="28"/>
      <c r="K81" s="22"/>
      <c r="L81" s="22"/>
      <c r="M81" s="23"/>
      <c r="N81" s="24"/>
      <c r="O81" s="28"/>
      <c r="P81" s="22"/>
      <c r="Q81" s="36"/>
      <c r="R81" s="30"/>
    </row>
    <row r="82" spans="1:18" ht="12.75" x14ac:dyDescent="0.2">
      <c r="A82" s="21"/>
      <c r="B82" s="22"/>
      <c r="C82" s="23"/>
      <c r="D82" s="24"/>
      <c r="E82" s="25"/>
      <c r="F82" s="26"/>
      <c r="G82" s="22"/>
      <c r="H82" s="25"/>
      <c r="I82" s="24"/>
      <c r="J82" s="28"/>
      <c r="K82" s="22"/>
      <c r="L82" s="22"/>
      <c r="M82" s="23"/>
      <c r="N82" s="24"/>
      <c r="O82" s="28"/>
      <c r="P82" s="22"/>
      <c r="Q82" s="36"/>
      <c r="R82" s="30"/>
    </row>
    <row r="83" spans="1:18" ht="12.75" x14ac:dyDescent="0.2">
      <c r="A83" s="21"/>
      <c r="B83" s="22"/>
      <c r="C83" s="23"/>
      <c r="D83" s="24"/>
      <c r="E83" s="25"/>
      <c r="F83" s="26"/>
      <c r="G83" s="22"/>
      <c r="H83" s="25"/>
      <c r="I83" s="24"/>
      <c r="J83" s="28"/>
      <c r="K83" s="22"/>
      <c r="L83" s="22"/>
      <c r="M83" s="23"/>
      <c r="N83" s="24"/>
      <c r="O83" s="28"/>
      <c r="P83" s="22"/>
      <c r="Q83" s="36"/>
      <c r="R83" s="30"/>
    </row>
    <row r="84" spans="1:18" ht="12.75" x14ac:dyDescent="0.2">
      <c r="A84" s="21"/>
      <c r="B84" s="22"/>
      <c r="C84" s="23"/>
      <c r="D84" s="24"/>
      <c r="E84" s="25"/>
      <c r="F84" s="26"/>
      <c r="G84" s="22"/>
      <c r="H84" s="25"/>
      <c r="I84" s="24"/>
      <c r="J84" s="28"/>
      <c r="K84" s="22"/>
      <c r="L84" s="22"/>
      <c r="M84" s="23"/>
      <c r="N84" s="24"/>
      <c r="O84" s="28"/>
      <c r="P84" s="22"/>
      <c r="Q84" s="36"/>
      <c r="R84" s="30"/>
    </row>
    <row r="85" spans="1:18" ht="12.75" x14ac:dyDescent="0.2">
      <c r="A85" s="21"/>
      <c r="B85" s="22"/>
      <c r="C85" s="23"/>
      <c r="D85" s="24"/>
      <c r="E85" s="25"/>
      <c r="F85" s="26"/>
      <c r="G85" s="22"/>
      <c r="H85" s="25"/>
      <c r="I85" s="24"/>
      <c r="J85" s="28"/>
      <c r="K85" s="22"/>
      <c r="L85" s="22"/>
      <c r="M85" s="23"/>
      <c r="N85" s="24"/>
      <c r="O85" s="28"/>
      <c r="P85" s="22"/>
      <c r="Q85" s="36"/>
      <c r="R85" s="30"/>
    </row>
    <row r="86" spans="1:18" ht="12.75" x14ac:dyDescent="0.2">
      <c r="A86" s="21"/>
      <c r="B86" s="22"/>
      <c r="C86" s="23"/>
      <c r="D86" s="24"/>
      <c r="E86" s="25"/>
      <c r="F86" s="26"/>
      <c r="G86" s="22"/>
      <c r="H86" s="25"/>
      <c r="I86" s="24"/>
      <c r="J86" s="28"/>
      <c r="K86" s="22"/>
      <c r="L86" s="22"/>
      <c r="M86" s="23"/>
      <c r="N86" s="24"/>
      <c r="O86" s="28"/>
      <c r="P86" s="22"/>
      <c r="Q86" s="36"/>
      <c r="R86" s="30"/>
    </row>
    <row r="87" spans="1:18" ht="12.75" x14ac:dyDescent="0.2">
      <c r="A87" s="21"/>
      <c r="B87" s="22"/>
      <c r="C87" s="23"/>
      <c r="D87" s="24"/>
      <c r="E87" s="25"/>
      <c r="F87" s="26"/>
      <c r="G87" s="22"/>
      <c r="H87" s="25"/>
      <c r="I87" s="24"/>
      <c r="J87" s="28"/>
      <c r="K87" s="22"/>
      <c r="L87" s="22"/>
      <c r="M87" s="23"/>
      <c r="N87" s="24"/>
      <c r="O87" s="28"/>
      <c r="P87" s="22"/>
      <c r="Q87" s="36"/>
      <c r="R87" s="30"/>
    </row>
    <row r="88" spans="1:18" ht="12.75" x14ac:dyDescent="0.2">
      <c r="A88" s="21"/>
      <c r="B88" s="22"/>
      <c r="C88" s="23"/>
      <c r="D88" s="24"/>
      <c r="E88" s="25"/>
      <c r="F88" s="26"/>
      <c r="G88" s="22"/>
      <c r="H88" s="25"/>
      <c r="I88" s="24"/>
      <c r="J88" s="28"/>
      <c r="K88" s="22"/>
      <c r="L88" s="22"/>
      <c r="M88" s="23"/>
      <c r="N88" s="24"/>
      <c r="O88" s="28"/>
      <c r="P88" s="22"/>
      <c r="Q88" s="36"/>
      <c r="R88" s="30"/>
    </row>
    <row r="89" spans="1:18" ht="12.75" x14ac:dyDescent="0.2">
      <c r="A89" s="21"/>
      <c r="B89" s="22"/>
      <c r="C89" s="23"/>
      <c r="D89" s="24"/>
      <c r="E89" s="25"/>
      <c r="F89" s="26"/>
      <c r="G89" s="22"/>
      <c r="H89" s="25"/>
      <c r="I89" s="24"/>
      <c r="J89" s="28"/>
      <c r="K89" s="22"/>
      <c r="L89" s="22"/>
      <c r="M89" s="23"/>
      <c r="N89" s="24"/>
      <c r="O89" s="28"/>
      <c r="P89" s="22"/>
      <c r="Q89" s="36"/>
      <c r="R89" s="30"/>
    </row>
    <row r="90" spans="1:18" ht="12.75" x14ac:dyDescent="0.2">
      <c r="A90" s="21"/>
      <c r="B90" s="22"/>
      <c r="C90" s="23"/>
      <c r="D90" s="24"/>
      <c r="E90" s="25"/>
      <c r="F90" s="26"/>
      <c r="G90" s="22"/>
      <c r="H90" s="25"/>
      <c r="I90" s="24"/>
      <c r="J90" s="28"/>
      <c r="K90" s="22"/>
      <c r="L90" s="22"/>
      <c r="M90" s="23"/>
      <c r="N90" s="24"/>
      <c r="O90" s="28"/>
      <c r="P90" s="22"/>
      <c r="Q90" s="36"/>
      <c r="R90" s="30"/>
    </row>
    <row r="91" spans="1:18" ht="12.75" x14ac:dyDescent="0.2">
      <c r="A91" s="21"/>
      <c r="B91" s="22"/>
      <c r="C91" s="23"/>
      <c r="D91" s="24"/>
      <c r="E91" s="25"/>
      <c r="F91" s="26"/>
      <c r="G91" s="22"/>
      <c r="H91" s="25"/>
      <c r="I91" s="24"/>
      <c r="J91" s="28"/>
      <c r="K91" s="22"/>
      <c r="L91" s="22"/>
      <c r="M91" s="23"/>
      <c r="N91" s="24"/>
      <c r="O91" s="28"/>
      <c r="P91" s="22"/>
      <c r="Q91" s="36"/>
      <c r="R91" s="30"/>
    </row>
    <row r="92" spans="1:18" ht="12.75" x14ac:dyDescent="0.2">
      <c r="A92" s="21"/>
      <c r="B92" s="22"/>
      <c r="C92" s="23"/>
      <c r="D92" s="24"/>
      <c r="E92" s="25"/>
      <c r="F92" s="26"/>
      <c r="G92" s="22"/>
      <c r="H92" s="25"/>
      <c r="I92" s="24"/>
      <c r="J92" s="28"/>
      <c r="K92" s="22"/>
      <c r="L92" s="22"/>
      <c r="M92" s="23"/>
      <c r="N92" s="24"/>
      <c r="O92" s="28"/>
      <c r="P92" s="22"/>
      <c r="Q92" s="36"/>
      <c r="R92" s="30"/>
    </row>
    <row r="93" spans="1:18" ht="12.75" x14ac:dyDescent="0.2">
      <c r="A93" s="21"/>
      <c r="B93" s="22"/>
      <c r="C93" s="23"/>
      <c r="D93" s="24"/>
      <c r="E93" s="25"/>
      <c r="F93" s="26"/>
      <c r="G93" s="22"/>
      <c r="H93" s="25"/>
      <c r="I93" s="24"/>
      <c r="J93" s="28"/>
      <c r="K93" s="22"/>
      <c r="L93" s="22"/>
      <c r="M93" s="23"/>
      <c r="N93" s="24"/>
      <c r="O93" s="28"/>
      <c r="P93" s="22"/>
      <c r="Q93" s="36"/>
      <c r="R93" s="30"/>
    </row>
    <row r="94" spans="1:18" ht="12.75" x14ac:dyDescent="0.2">
      <c r="A94" s="21"/>
      <c r="B94" s="22"/>
      <c r="C94" s="23"/>
      <c r="D94" s="24"/>
      <c r="E94" s="25"/>
      <c r="F94" s="26"/>
      <c r="G94" s="22"/>
      <c r="H94" s="25"/>
      <c r="I94" s="24"/>
      <c r="J94" s="28"/>
      <c r="K94" s="22"/>
      <c r="L94" s="22"/>
      <c r="M94" s="23"/>
      <c r="N94" s="24"/>
      <c r="O94" s="28"/>
      <c r="P94" s="22"/>
      <c r="Q94" s="36"/>
      <c r="R94" s="30"/>
    </row>
    <row r="95" spans="1:18" ht="12.75" x14ac:dyDescent="0.2">
      <c r="A95" s="21"/>
      <c r="B95" s="22"/>
      <c r="C95" s="23"/>
      <c r="D95" s="24"/>
      <c r="E95" s="25"/>
      <c r="F95" s="26"/>
      <c r="G95" s="22"/>
      <c r="H95" s="25"/>
      <c r="I95" s="24"/>
      <c r="J95" s="28"/>
      <c r="K95" s="22"/>
      <c r="L95" s="22"/>
      <c r="M95" s="23"/>
      <c r="N95" s="24"/>
      <c r="O95" s="28"/>
      <c r="P95" s="22"/>
      <c r="Q95" s="36"/>
      <c r="R95" s="30"/>
    </row>
    <row r="96" spans="1:18" ht="12.75" x14ac:dyDescent="0.2">
      <c r="A96" s="21"/>
      <c r="B96" s="22"/>
      <c r="C96" s="23"/>
      <c r="D96" s="24"/>
      <c r="E96" s="25"/>
      <c r="F96" s="26"/>
      <c r="G96" s="22"/>
      <c r="H96" s="25"/>
      <c r="I96" s="24"/>
      <c r="J96" s="28"/>
      <c r="K96" s="22"/>
      <c r="L96" s="22"/>
      <c r="M96" s="23"/>
      <c r="N96" s="24"/>
      <c r="O96" s="28"/>
      <c r="P96" s="22"/>
      <c r="Q96" s="36"/>
      <c r="R96" s="30"/>
    </row>
    <row r="97" spans="1:18" ht="12.75" x14ac:dyDescent="0.2">
      <c r="A97" s="21"/>
      <c r="B97" s="22"/>
      <c r="C97" s="23"/>
      <c r="D97" s="24"/>
      <c r="E97" s="25"/>
      <c r="F97" s="26"/>
      <c r="G97" s="22"/>
      <c r="H97" s="25"/>
      <c r="I97" s="24"/>
      <c r="J97" s="28"/>
      <c r="K97" s="22"/>
      <c r="L97" s="22"/>
      <c r="M97" s="23"/>
      <c r="N97" s="24"/>
      <c r="O97" s="28"/>
      <c r="P97" s="22"/>
      <c r="Q97" s="36"/>
      <c r="R97" s="30"/>
    </row>
    <row r="98" spans="1:18" ht="12.75" x14ac:dyDescent="0.2">
      <c r="A98" s="21"/>
      <c r="B98" s="22"/>
      <c r="C98" s="23"/>
      <c r="D98" s="24"/>
      <c r="E98" s="25"/>
      <c r="F98" s="26"/>
      <c r="G98" s="22"/>
      <c r="H98" s="25"/>
      <c r="I98" s="24"/>
      <c r="J98" s="28"/>
      <c r="K98" s="22"/>
      <c r="L98" s="22"/>
      <c r="M98" s="23"/>
      <c r="N98" s="24"/>
      <c r="O98" s="28"/>
      <c r="P98" s="22"/>
      <c r="Q98" s="36"/>
      <c r="R98" s="30"/>
    </row>
    <row r="99" spans="1:18" ht="12.75" x14ac:dyDescent="0.2">
      <c r="A99" s="21"/>
      <c r="B99" s="22"/>
      <c r="C99" s="23"/>
      <c r="D99" s="24"/>
      <c r="E99" s="25"/>
      <c r="F99" s="26"/>
      <c r="G99" s="22"/>
      <c r="H99" s="25"/>
      <c r="I99" s="24"/>
      <c r="J99" s="28"/>
      <c r="K99" s="22"/>
      <c r="L99" s="22"/>
      <c r="M99" s="23"/>
      <c r="N99" s="24"/>
      <c r="O99" s="28"/>
      <c r="P99" s="22"/>
      <c r="Q99" s="36"/>
      <c r="R99" s="30"/>
    </row>
    <row r="100" spans="1:18" ht="12.75" x14ac:dyDescent="0.2">
      <c r="A100" s="21"/>
      <c r="B100" s="22"/>
      <c r="C100" s="23"/>
      <c r="D100" s="24"/>
      <c r="E100" s="25"/>
      <c r="F100" s="26"/>
      <c r="G100" s="22"/>
      <c r="H100" s="25"/>
      <c r="I100" s="24"/>
      <c r="J100" s="28"/>
      <c r="K100" s="22"/>
      <c r="L100" s="22"/>
      <c r="M100" s="23"/>
      <c r="N100" s="24"/>
      <c r="O100" s="28"/>
      <c r="P100" s="22"/>
      <c r="Q100" s="36"/>
      <c r="R100" s="30"/>
    </row>
    <row r="101" spans="1:18" ht="12.75" x14ac:dyDescent="0.2">
      <c r="A101" s="21"/>
      <c r="B101" s="22"/>
      <c r="C101" s="23"/>
      <c r="D101" s="24"/>
      <c r="E101" s="25"/>
      <c r="F101" s="26"/>
      <c r="G101" s="22"/>
      <c r="H101" s="25"/>
      <c r="I101" s="24"/>
      <c r="J101" s="28"/>
      <c r="K101" s="22"/>
      <c r="L101" s="22"/>
      <c r="M101" s="23"/>
      <c r="N101" s="24"/>
      <c r="O101" s="28"/>
      <c r="P101" s="22"/>
      <c r="Q101" s="36"/>
      <c r="R101" s="30"/>
    </row>
    <row r="102" spans="1:18" ht="12.75" x14ac:dyDescent="0.2">
      <c r="A102" s="21"/>
      <c r="B102" s="22"/>
      <c r="C102" s="23"/>
      <c r="D102" s="24"/>
      <c r="E102" s="25"/>
      <c r="F102" s="26"/>
      <c r="G102" s="22"/>
      <c r="H102" s="25"/>
      <c r="I102" s="24"/>
      <c r="J102" s="28"/>
      <c r="K102" s="22"/>
      <c r="L102" s="22"/>
      <c r="M102" s="23"/>
      <c r="N102" s="24"/>
      <c r="O102" s="28"/>
      <c r="P102" s="22"/>
      <c r="Q102" s="36"/>
      <c r="R102" s="30"/>
    </row>
    <row r="103" spans="1:18" ht="12.75" x14ac:dyDescent="0.2">
      <c r="A103" s="21"/>
      <c r="B103" s="22"/>
      <c r="C103" s="23"/>
      <c r="D103" s="24"/>
      <c r="E103" s="25"/>
      <c r="F103" s="26"/>
      <c r="G103" s="22"/>
      <c r="H103" s="25"/>
      <c r="I103" s="24"/>
      <c r="J103" s="28"/>
      <c r="K103" s="22"/>
      <c r="L103" s="22"/>
      <c r="M103" s="23"/>
      <c r="N103" s="24"/>
      <c r="O103" s="28"/>
      <c r="P103" s="22"/>
      <c r="Q103" s="36"/>
      <c r="R103" s="30"/>
    </row>
    <row r="104" spans="1:18" ht="12.75" x14ac:dyDescent="0.2">
      <c r="A104" s="21"/>
      <c r="B104" s="22"/>
      <c r="C104" s="23"/>
      <c r="D104" s="24"/>
      <c r="E104" s="25"/>
      <c r="F104" s="26"/>
      <c r="G104" s="22"/>
      <c r="H104" s="25"/>
      <c r="I104" s="24"/>
      <c r="J104" s="28"/>
      <c r="K104" s="22"/>
      <c r="L104" s="22"/>
      <c r="M104" s="23"/>
      <c r="N104" s="24"/>
      <c r="O104" s="28"/>
      <c r="P104" s="22"/>
      <c r="Q104" s="36"/>
      <c r="R104" s="30"/>
    </row>
    <row r="105" spans="1:18" ht="12.75" x14ac:dyDescent="0.2">
      <c r="A105" s="21"/>
      <c r="B105" s="22"/>
      <c r="C105" s="23"/>
      <c r="D105" s="24"/>
      <c r="E105" s="25"/>
      <c r="F105" s="26"/>
      <c r="G105" s="22"/>
      <c r="H105" s="25"/>
      <c r="I105" s="24"/>
      <c r="J105" s="28"/>
      <c r="K105" s="22"/>
      <c r="L105" s="22"/>
      <c r="M105" s="23"/>
      <c r="N105" s="24"/>
      <c r="O105" s="28"/>
      <c r="P105" s="22"/>
      <c r="Q105" s="36"/>
      <c r="R105" s="30"/>
    </row>
    <row r="106" spans="1:18" ht="12.75" x14ac:dyDescent="0.2">
      <c r="A106" s="21"/>
      <c r="B106" s="22"/>
      <c r="C106" s="23"/>
      <c r="D106" s="24"/>
      <c r="E106" s="25"/>
      <c r="F106" s="26"/>
      <c r="G106" s="22"/>
      <c r="H106" s="25"/>
      <c r="I106" s="24"/>
      <c r="J106" s="28"/>
      <c r="K106" s="22"/>
      <c r="L106" s="22"/>
      <c r="M106" s="23"/>
      <c r="N106" s="24"/>
      <c r="O106" s="28"/>
      <c r="P106" s="22"/>
      <c r="Q106" s="36"/>
      <c r="R106" s="30"/>
    </row>
    <row r="107" spans="1:18" ht="12.75" x14ac:dyDescent="0.2">
      <c r="A107" s="21"/>
      <c r="B107" s="22"/>
      <c r="C107" s="23"/>
      <c r="D107" s="24"/>
      <c r="E107" s="25"/>
      <c r="F107" s="26"/>
      <c r="G107" s="22"/>
      <c r="H107" s="25"/>
      <c r="I107" s="24"/>
      <c r="J107" s="28"/>
      <c r="K107" s="22"/>
      <c r="L107" s="22"/>
      <c r="M107" s="23"/>
      <c r="N107" s="24"/>
      <c r="O107" s="28"/>
      <c r="P107" s="22"/>
      <c r="Q107" s="36"/>
      <c r="R107" s="30"/>
    </row>
    <row r="108" spans="1:18" ht="12.75" x14ac:dyDescent="0.2">
      <c r="A108" s="21"/>
      <c r="B108" s="22"/>
      <c r="C108" s="23"/>
      <c r="D108" s="24"/>
      <c r="E108" s="25"/>
      <c r="F108" s="26"/>
      <c r="G108" s="22"/>
      <c r="H108" s="25"/>
      <c r="I108" s="24"/>
      <c r="J108" s="28"/>
      <c r="K108" s="22"/>
      <c r="L108" s="22"/>
      <c r="M108" s="23"/>
      <c r="N108" s="24"/>
      <c r="O108" s="28"/>
      <c r="P108" s="22"/>
      <c r="Q108" s="36"/>
      <c r="R108" s="30"/>
    </row>
    <row r="109" spans="1:18" ht="12.75" x14ac:dyDescent="0.2">
      <c r="A109" s="21"/>
      <c r="B109" s="22"/>
      <c r="C109" s="23"/>
      <c r="D109" s="24"/>
      <c r="E109" s="25"/>
      <c r="F109" s="26"/>
      <c r="G109" s="22"/>
      <c r="H109" s="25"/>
      <c r="I109" s="24"/>
      <c r="J109" s="28"/>
      <c r="K109" s="22"/>
      <c r="L109" s="22"/>
      <c r="M109" s="23"/>
      <c r="N109" s="24"/>
      <c r="O109" s="28"/>
      <c r="P109" s="22"/>
      <c r="Q109" s="36"/>
      <c r="R109" s="30"/>
    </row>
    <row r="110" spans="1:18" ht="12.75" x14ac:dyDescent="0.2">
      <c r="A110" s="21"/>
      <c r="B110" s="22"/>
      <c r="C110" s="23"/>
      <c r="D110" s="24"/>
      <c r="E110" s="25"/>
      <c r="F110" s="26"/>
      <c r="G110" s="22"/>
      <c r="H110" s="25"/>
      <c r="I110" s="24"/>
      <c r="J110" s="28"/>
      <c r="K110" s="22"/>
      <c r="L110" s="22"/>
      <c r="M110" s="23"/>
      <c r="N110" s="24"/>
      <c r="O110" s="28"/>
      <c r="P110" s="22"/>
      <c r="Q110" s="36"/>
      <c r="R110" s="30"/>
    </row>
    <row r="111" spans="1:18" ht="12.75" x14ac:dyDescent="0.2">
      <c r="A111" s="21"/>
      <c r="B111" s="22"/>
      <c r="C111" s="23"/>
      <c r="D111" s="24"/>
      <c r="E111" s="25"/>
      <c r="F111" s="26"/>
      <c r="G111" s="22"/>
      <c r="H111" s="25"/>
      <c r="I111" s="24"/>
      <c r="J111" s="28"/>
      <c r="K111" s="22"/>
      <c r="L111" s="22"/>
      <c r="M111" s="23"/>
      <c r="N111" s="24"/>
      <c r="O111" s="28"/>
      <c r="P111" s="22"/>
      <c r="Q111" s="36"/>
      <c r="R111" s="30"/>
    </row>
    <row r="112" spans="1:18" ht="12.75" x14ac:dyDescent="0.2">
      <c r="A112" s="21"/>
      <c r="B112" s="22"/>
      <c r="C112" s="23"/>
      <c r="D112" s="24"/>
      <c r="E112" s="25"/>
      <c r="F112" s="26"/>
      <c r="G112" s="22"/>
      <c r="H112" s="25"/>
      <c r="I112" s="24"/>
      <c r="J112" s="28"/>
      <c r="K112" s="22"/>
      <c r="L112" s="22"/>
      <c r="M112" s="23"/>
      <c r="N112" s="24"/>
      <c r="O112" s="28"/>
      <c r="P112" s="22"/>
      <c r="Q112" s="57"/>
      <c r="R112" s="58"/>
    </row>
    <row r="113" spans="1:18" ht="12.75" x14ac:dyDescent="0.2">
      <c r="A113" s="21"/>
      <c r="B113" s="22"/>
      <c r="C113" s="23"/>
      <c r="D113" s="24"/>
      <c r="E113" s="25"/>
      <c r="F113" s="26"/>
      <c r="G113" s="22"/>
      <c r="H113" s="25"/>
      <c r="I113" s="24"/>
      <c r="J113" s="28"/>
      <c r="K113" s="22"/>
      <c r="L113" s="22"/>
      <c r="M113" s="23"/>
      <c r="N113" s="24"/>
      <c r="O113" s="28"/>
      <c r="P113" s="22"/>
      <c r="Q113" s="36"/>
      <c r="R113" s="30"/>
    </row>
    <row r="114" spans="1:18" ht="12.75" x14ac:dyDescent="0.2">
      <c r="A114" s="21"/>
      <c r="B114" s="22"/>
      <c r="C114" s="23"/>
      <c r="D114" s="24"/>
      <c r="E114" s="25"/>
      <c r="F114" s="26"/>
      <c r="G114" s="22"/>
      <c r="H114" s="25"/>
      <c r="I114" s="24"/>
      <c r="J114" s="28"/>
      <c r="K114" s="22"/>
      <c r="L114" s="22"/>
      <c r="M114" s="23"/>
      <c r="N114" s="24"/>
      <c r="O114" s="28"/>
      <c r="P114" s="22"/>
      <c r="Q114" s="57"/>
      <c r="R114" s="58"/>
    </row>
    <row r="115" spans="1:18" ht="12.75" x14ac:dyDescent="0.2">
      <c r="A115" s="21"/>
      <c r="B115" s="22"/>
      <c r="C115" s="23"/>
      <c r="D115" s="24"/>
      <c r="E115" s="25"/>
      <c r="F115" s="26"/>
      <c r="G115" s="22"/>
      <c r="H115" s="25"/>
      <c r="I115" s="24"/>
      <c r="J115" s="28"/>
      <c r="K115" s="22"/>
      <c r="L115" s="22"/>
      <c r="M115" s="23"/>
      <c r="N115" s="24"/>
      <c r="O115" s="28"/>
      <c r="P115" s="22"/>
      <c r="Q115" s="36"/>
      <c r="R115" s="30"/>
    </row>
    <row r="116" spans="1:18" ht="12.75" x14ac:dyDescent="0.2">
      <c r="A116" s="21"/>
      <c r="B116" s="22"/>
      <c r="C116" s="23"/>
      <c r="D116" s="24"/>
      <c r="E116" s="25"/>
      <c r="F116" s="26"/>
      <c r="G116" s="22"/>
      <c r="H116" s="25"/>
      <c r="I116" s="24"/>
      <c r="J116" s="28"/>
      <c r="K116" s="22"/>
      <c r="L116" s="22"/>
      <c r="M116" s="23"/>
      <c r="N116" s="24"/>
      <c r="O116" s="28"/>
      <c r="P116" s="22"/>
      <c r="Q116" s="57"/>
      <c r="R116" s="58"/>
    </row>
    <row r="117" spans="1:18" ht="12.75" x14ac:dyDescent="0.2">
      <c r="A117" s="21"/>
      <c r="B117" s="22"/>
      <c r="C117" s="23"/>
      <c r="D117" s="24"/>
      <c r="E117" s="25"/>
      <c r="F117" s="26"/>
      <c r="G117" s="22"/>
      <c r="H117" s="25"/>
      <c r="I117" s="24"/>
      <c r="J117" s="28"/>
      <c r="K117" s="22"/>
      <c r="L117" s="22"/>
      <c r="M117" s="23"/>
      <c r="N117" s="24"/>
      <c r="O117" s="28"/>
      <c r="P117" s="22"/>
      <c r="Q117" s="36"/>
      <c r="R117" s="30"/>
    </row>
  </sheetData>
  <mergeCells count="54">
    <mergeCell ref="A11:A14"/>
    <mergeCell ref="B12:B13"/>
    <mergeCell ref="E12:E13"/>
    <mergeCell ref="F12:F13"/>
    <mergeCell ref="N7:O7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L6:M6"/>
    <mergeCell ref="N6:O6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P6:R6"/>
    <mergeCell ref="Q11:Q13"/>
    <mergeCell ref="R11:R14"/>
    <mergeCell ref="C12:C13"/>
    <mergeCell ref="D12:D13"/>
    <mergeCell ref="O12:O13"/>
    <mergeCell ref="P12:P13"/>
    <mergeCell ref="J12:J13"/>
    <mergeCell ref="K12:K13"/>
    <mergeCell ref="L12:L13"/>
    <mergeCell ref="M12:M13"/>
    <mergeCell ref="N12:N13"/>
    <mergeCell ref="G12:G13"/>
    <mergeCell ref="H12:H13"/>
    <mergeCell ref="I12:I13"/>
    <mergeCell ref="B8:C8"/>
    <mergeCell ref="D8:E8"/>
    <mergeCell ref="B11:F11"/>
    <mergeCell ref="G11:K11"/>
    <mergeCell ref="L11:P11"/>
    <mergeCell ref="G8:H8"/>
    <mergeCell ref="I8:J8"/>
    <mergeCell ref="L8:M8"/>
    <mergeCell ref="N8:O8"/>
    <mergeCell ref="P8:R8"/>
  </mergeCells>
  <conditionalFormatting sqref="Q3 Q9:Q14 Q16:Q117">
    <cfRule type="cellIs" dxfId="13" priority="1" operator="lessThan">
      <formula>60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8">
    <tabColor rgb="FF00FF00"/>
  </sheetPr>
  <dimension ref="A1:AA1093"/>
  <sheetViews>
    <sheetView topLeftCell="A204" workbookViewId="0">
      <selection activeCell="M235" sqref="M235"/>
    </sheetView>
  </sheetViews>
  <sheetFormatPr defaultColWidth="14.42578125" defaultRowHeight="15" customHeight="1" outlineLevelRow="2" x14ac:dyDescent="0.2"/>
  <cols>
    <col min="1" max="1" width="12.140625" customWidth="1"/>
    <col min="2" max="17" width="8.7109375" customWidth="1"/>
    <col min="18" max="18" width="12.140625" customWidth="1"/>
    <col min="19" max="19" width="12.42578125" customWidth="1"/>
    <col min="20" max="27" width="10.42578125" customWidth="1"/>
  </cols>
  <sheetData>
    <row r="1" spans="1:27" ht="21.75" customHeight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  <c r="S1" s="2"/>
      <c r="T1" s="59"/>
      <c r="U1" s="2"/>
      <c r="V1" s="2"/>
      <c r="W1" s="2"/>
      <c r="X1" s="2"/>
      <c r="Y1" s="2"/>
      <c r="Z1" s="2"/>
      <c r="AA1" s="2"/>
    </row>
    <row r="2" spans="1:27" ht="19.5" customHeight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  <c r="S2" s="2"/>
      <c r="T2" s="59"/>
      <c r="U2" s="2"/>
      <c r="V2" s="2"/>
      <c r="W2" s="2"/>
      <c r="X2" s="2"/>
      <c r="Y2" s="2"/>
      <c r="Z2" s="2"/>
      <c r="AA2" s="2"/>
    </row>
    <row r="3" spans="1:27" ht="38.25" customHeight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  <c r="S3" s="2"/>
      <c r="T3" s="59"/>
      <c r="U3" s="2"/>
      <c r="V3" s="2"/>
      <c r="W3" s="2"/>
      <c r="X3" s="2"/>
      <c r="Y3" s="2"/>
      <c r="Z3" s="2"/>
      <c r="AA3" s="2"/>
    </row>
    <row r="4" spans="1:27" ht="22.5" customHeight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  <c r="S4" s="2"/>
      <c r="T4" s="59"/>
      <c r="U4" s="2"/>
      <c r="V4" s="2"/>
      <c r="W4" s="2"/>
      <c r="X4" s="2"/>
      <c r="Y4" s="2"/>
      <c r="Z4" s="2"/>
      <c r="AA4" s="2"/>
    </row>
    <row r="5" spans="1:27" ht="38.25" customHeight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  <c r="S5" s="2"/>
      <c r="T5" s="59"/>
      <c r="U5" s="2"/>
      <c r="V5" s="2"/>
      <c r="W5" s="2"/>
      <c r="X5" s="2"/>
      <c r="Y5" s="2"/>
      <c r="Z5" s="2"/>
      <c r="AA5" s="2"/>
    </row>
    <row r="6" spans="1:27" ht="15" customHeight="1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  <c r="S6" s="2"/>
      <c r="T6" s="59"/>
      <c r="U6" s="2"/>
      <c r="V6" s="2"/>
      <c r="W6" s="2"/>
      <c r="X6" s="2"/>
      <c r="Y6" s="2"/>
      <c r="Z6" s="2"/>
      <c r="AA6" s="2"/>
    </row>
    <row r="7" spans="1:27" ht="19.5" customHeight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  <c r="S7" s="2"/>
      <c r="T7" s="59"/>
      <c r="U7" s="2"/>
      <c r="V7" s="2"/>
      <c r="W7" s="2"/>
      <c r="X7" s="2"/>
      <c r="Y7" s="2"/>
      <c r="Z7" s="2"/>
      <c r="AA7" s="2"/>
    </row>
    <row r="8" spans="1:27" ht="11.2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  <c r="S8" s="2"/>
      <c r="T8" s="59"/>
      <c r="U8" s="2"/>
      <c r="V8" s="2"/>
      <c r="W8" s="2"/>
      <c r="X8" s="2"/>
      <c r="Y8" s="2"/>
      <c r="Z8" s="2"/>
      <c r="AA8" s="2"/>
    </row>
    <row r="9" spans="1:27" ht="12" customHeight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e">
        <f>+"Cao trình nghiệm thu [m] ("&amp;TEXT(A21,"dd/mm/yy")&amp;")"</f>
        <v>#REF!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  <c r="S9" s="2"/>
      <c r="T9" s="59"/>
      <c r="U9" s="2"/>
      <c r="V9" s="2"/>
      <c r="W9" s="2"/>
      <c r="X9" s="2"/>
      <c r="Y9" s="2"/>
      <c r="Z9" s="2"/>
      <c r="AA9" s="2"/>
    </row>
    <row r="10" spans="1:27" ht="34.5" customHeight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1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  <c r="S10" s="2" t="s">
        <v>89</v>
      </c>
      <c r="T10" s="59" t="s">
        <v>90</v>
      </c>
      <c r="U10" s="2"/>
      <c r="V10" s="2"/>
      <c r="W10" s="2"/>
      <c r="X10" s="2"/>
      <c r="Y10" s="2"/>
      <c r="Z10" s="2"/>
      <c r="AA10" s="2"/>
    </row>
    <row r="11" spans="1:27" ht="12.75" customHeight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3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  <c r="S11" s="2">
        <v>1</v>
      </c>
      <c r="T11" s="59">
        <v>1</v>
      </c>
      <c r="U11" s="2"/>
      <c r="V11" s="2"/>
      <c r="W11" s="2"/>
      <c r="X11" s="2"/>
      <c r="Y11" s="2"/>
      <c r="Z11" s="2"/>
      <c r="AA11" s="2"/>
    </row>
    <row r="12" spans="1:27" ht="12.75" customHeight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6"/>
      <c r="J12" s="123"/>
      <c r="K12" s="10"/>
      <c r="L12" s="122"/>
      <c r="M12" s="123"/>
      <c r="N12" s="122"/>
      <c r="O12" s="123"/>
      <c r="P12" s="124" t="s">
        <v>91</v>
      </c>
      <c r="Q12" s="125"/>
      <c r="R12" s="126"/>
      <c r="S12" s="2"/>
      <c r="T12" s="59"/>
      <c r="U12" s="2"/>
      <c r="V12" s="2"/>
      <c r="W12" s="2"/>
      <c r="X12" s="2"/>
      <c r="Y12" s="2"/>
      <c r="Z12" s="2"/>
      <c r="AA12" s="2"/>
    </row>
    <row r="13" spans="1:27" ht="12.75" customHeight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99"/>
      <c r="J13" s="100"/>
      <c r="K13" s="12"/>
      <c r="L13" s="102"/>
      <c r="M13" s="100"/>
      <c r="N13" s="102"/>
      <c r="O13" s="100"/>
      <c r="P13" s="103"/>
      <c r="Q13" s="104"/>
      <c r="R13" s="105"/>
      <c r="S13" s="2"/>
      <c r="T13" s="59"/>
      <c r="U13" s="2"/>
      <c r="V13" s="2"/>
      <c r="W13" s="2"/>
      <c r="X13" s="2"/>
      <c r="Y13" s="2"/>
      <c r="Z13" s="2"/>
      <c r="AA13" s="2"/>
    </row>
    <row r="14" spans="1:27" ht="11.25" customHeight="1" x14ac:dyDescent="0.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2"/>
      <c r="T14" s="59"/>
      <c r="U14" s="2"/>
      <c r="V14" s="2"/>
      <c r="W14" s="2"/>
      <c r="X14" s="2"/>
      <c r="Y14" s="2"/>
      <c r="Z14" s="2"/>
      <c r="AA14" s="2"/>
    </row>
    <row r="15" spans="1:27" ht="11.2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  <c r="S15" s="2"/>
      <c r="T15" s="59"/>
      <c r="U15" s="2"/>
      <c r="V15" s="2"/>
      <c r="W15" s="2"/>
      <c r="X15" s="2"/>
      <c r="Y15" s="2"/>
      <c r="Z15" s="2"/>
      <c r="AA15" s="2"/>
    </row>
    <row r="16" spans="1:27" ht="12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92</v>
      </c>
      <c r="R16" s="112" t="s">
        <v>93</v>
      </c>
      <c r="S16" s="2"/>
      <c r="T16" s="59"/>
      <c r="U16" s="2"/>
      <c r="V16" s="2"/>
      <c r="W16" s="2"/>
      <c r="X16" s="2"/>
      <c r="Y16" s="2"/>
      <c r="Z16" s="2"/>
      <c r="AA16" s="2"/>
    </row>
    <row r="17" spans="1:27" ht="19.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08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  <c r="S17" s="2"/>
      <c r="T17" s="59"/>
      <c r="U17" s="2"/>
      <c r="V17" s="2"/>
      <c r="W17" s="2"/>
      <c r="X17" s="2"/>
      <c r="Y17" s="2"/>
      <c r="Z17" s="2"/>
      <c r="AA17" s="2"/>
    </row>
    <row r="18" spans="1:27" ht="24.7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  <c r="S18" s="2"/>
      <c r="T18" s="59"/>
      <c r="U18" s="2"/>
      <c r="V18" s="2"/>
      <c r="W18" s="2"/>
      <c r="X18" s="2"/>
      <c r="Y18" s="2"/>
      <c r="Z18" s="2"/>
      <c r="AA18" s="2"/>
    </row>
    <row r="19" spans="1:27" ht="11.2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5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  <c r="S19" s="2"/>
      <c r="T19" s="59"/>
      <c r="U19" s="59"/>
      <c r="V19" s="59"/>
      <c r="W19" s="59"/>
      <c r="X19" s="2"/>
      <c r="Y19" s="2"/>
      <c r="Z19" s="2"/>
      <c r="AA19" s="2"/>
    </row>
    <row r="20" spans="1:27" ht="11.25" customHeight="1" x14ac:dyDescent="0.2">
      <c r="A20" s="18">
        <v>1</v>
      </c>
      <c r="B20" s="19">
        <f t="shared" ref="B20:T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19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  <c r="S20" s="60">
        <f t="shared" si="0"/>
        <v>19</v>
      </c>
      <c r="T20" s="61">
        <f t="shared" si="0"/>
        <v>20</v>
      </c>
      <c r="U20" s="60"/>
      <c r="V20" s="60"/>
      <c r="W20" s="60"/>
      <c r="X20" s="60"/>
      <c r="Y20" s="60"/>
      <c r="Z20" s="60"/>
      <c r="AA20" s="60"/>
    </row>
    <row r="21" spans="1:27" ht="22.5" customHeight="1" outlineLevel="1" x14ac:dyDescent="0.2">
      <c r="A21" s="62" t="e">
        <f>#REF!</f>
        <v>#REF!</v>
      </c>
      <c r="B21" s="22" t="e">
        <f t="shared" ref="B21:B205" si="1">+A21-$A$21</f>
        <v>#REF!</v>
      </c>
      <c r="C21" s="38">
        <v>1550</v>
      </c>
      <c r="D21" s="39">
        <v>-1753</v>
      </c>
      <c r="E21" s="28">
        <v>3303</v>
      </c>
      <c r="F21" s="22">
        <v>0</v>
      </c>
      <c r="G21" s="22" t="e">
        <f t="shared" ref="G21:G205" si="2">B21</f>
        <v>#REF!</v>
      </c>
      <c r="H21" s="28">
        <v>1553</v>
      </c>
      <c r="I21" s="39">
        <v>-956</v>
      </c>
      <c r="J21" s="28">
        <v>2509</v>
      </c>
      <c r="K21" s="22">
        <v>0</v>
      </c>
      <c r="L21" s="22" t="e">
        <f t="shared" ref="L21:L205" si="3">B21</f>
        <v>#REF!</v>
      </c>
      <c r="M21" s="38">
        <v>1529</v>
      </c>
      <c r="N21" s="39">
        <v>-1107</v>
      </c>
      <c r="O21" s="28">
        <v>2636</v>
      </c>
      <c r="P21" s="22">
        <v>0</v>
      </c>
      <c r="Q21" s="29" t="e">
        <f>VLOOKUP(A21,#REF!,10,0)</f>
        <v>#REF!</v>
      </c>
      <c r="R21" s="30"/>
      <c r="S21" s="63" t="e">
        <f t="shared" ref="S21:S41" si="4">+A21</f>
        <v>#REF!</v>
      </c>
      <c r="T21" s="64" t="e">
        <f t="shared" ref="T21:T22" si="5">+(#REF!+2*J21+O21)/4</f>
        <v>#REF!</v>
      </c>
      <c r="U21" s="65"/>
      <c r="V21" s="65"/>
      <c r="W21" s="66"/>
      <c r="X21" s="65"/>
      <c r="Y21" s="65"/>
      <c r="Z21" s="65"/>
      <c r="AA21" s="65"/>
    </row>
    <row r="22" spans="1:27" ht="22.5" hidden="1" customHeight="1" outlineLevel="2" x14ac:dyDescent="0.2">
      <c r="A22" s="62" t="e">
        <f>#REF!</f>
        <v>#REF!</v>
      </c>
      <c r="B22" s="22" t="e">
        <f t="shared" si="1"/>
        <v>#REF!</v>
      </c>
      <c r="C22" s="28">
        <f t="shared" ref="C22:C204" si="6">$C$21-F22</f>
        <v>1541</v>
      </c>
      <c r="D22" s="39">
        <v>-1762</v>
      </c>
      <c r="E22" s="28">
        <v>3303</v>
      </c>
      <c r="F22" s="22">
        <f t="shared" ref="F22:F205" si="7">+$D$21-D22</f>
        <v>9</v>
      </c>
      <c r="G22" s="22" t="e">
        <f t="shared" si="2"/>
        <v>#REF!</v>
      </c>
      <c r="H22" s="28">
        <f t="shared" ref="H22:H204" si="8">$H$21-K22</f>
        <v>1523</v>
      </c>
      <c r="I22" s="39">
        <v>-986</v>
      </c>
      <c r="J22" s="28">
        <v>2509</v>
      </c>
      <c r="K22" s="22">
        <f t="shared" ref="K22:K205" si="9">+$I$21-I22</f>
        <v>30</v>
      </c>
      <c r="L22" s="22" t="e">
        <f t="shared" si="3"/>
        <v>#REF!</v>
      </c>
      <c r="M22" s="28">
        <f t="shared" ref="M22:M204" si="10">$M$21-P22</f>
        <v>1523</v>
      </c>
      <c r="N22" s="39">
        <v>-1113</v>
      </c>
      <c r="O22" s="28">
        <v>2636</v>
      </c>
      <c r="P22" s="22">
        <f t="shared" ref="P22:P205" si="11">+$N$21-N22</f>
        <v>6</v>
      </c>
      <c r="Q22" s="29" t="e">
        <f>VLOOKUP(A22,#REF!,10,0)</f>
        <v>#REF!</v>
      </c>
      <c r="R22" s="30"/>
      <c r="S22" s="63" t="e">
        <f t="shared" si="4"/>
        <v>#REF!</v>
      </c>
      <c r="T22" s="64" t="e">
        <f t="shared" si="5"/>
        <v>#REF!</v>
      </c>
      <c r="U22" s="65"/>
      <c r="V22" s="67"/>
      <c r="W22" s="68"/>
      <c r="X22" s="67"/>
      <c r="Y22" s="67"/>
      <c r="Z22" s="67"/>
      <c r="AA22" s="67"/>
    </row>
    <row r="23" spans="1:27" ht="22.5" hidden="1" customHeight="1" outlineLevel="2" x14ac:dyDescent="0.2">
      <c r="A23" s="62" t="e">
        <f>#REF!</f>
        <v>#REF!</v>
      </c>
      <c r="B23" s="22" t="e">
        <f t="shared" si="1"/>
        <v>#REF!</v>
      </c>
      <c r="C23" s="28">
        <f t="shared" si="6"/>
        <v>1514</v>
      </c>
      <c r="D23" s="39">
        <v>-1789</v>
      </c>
      <c r="E23" s="28">
        <v>3303</v>
      </c>
      <c r="F23" s="22">
        <f t="shared" si="7"/>
        <v>36</v>
      </c>
      <c r="G23" s="22" t="e">
        <f t="shared" si="2"/>
        <v>#REF!</v>
      </c>
      <c r="H23" s="28">
        <f t="shared" si="8"/>
        <v>1498</v>
      </c>
      <c r="I23" s="39">
        <v>-1011</v>
      </c>
      <c r="J23" s="28">
        <v>2509</v>
      </c>
      <c r="K23" s="22">
        <f t="shared" si="9"/>
        <v>55</v>
      </c>
      <c r="L23" s="22" t="e">
        <f t="shared" si="3"/>
        <v>#REF!</v>
      </c>
      <c r="M23" s="28">
        <f t="shared" si="10"/>
        <v>1492</v>
      </c>
      <c r="N23" s="39">
        <v>-1144</v>
      </c>
      <c r="O23" s="28">
        <v>2636</v>
      </c>
      <c r="P23" s="22">
        <f t="shared" si="11"/>
        <v>37</v>
      </c>
      <c r="Q23" s="29" t="e">
        <f>VLOOKUP(A23,#REF!,10,0)</f>
        <v>#REF!</v>
      </c>
      <c r="R23" s="30"/>
      <c r="S23" s="63" t="e">
        <f t="shared" si="4"/>
        <v>#REF!</v>
      </c>
      <c r="T23" s="64">
        <f>+(E22+2*J23+O23)/4</f>
        <v>2739.25</v>
      </c>
      <c r="U23" s="65"/>
      <c r="V23" s="67"/>
      <c r="W23" s="68"/>
      <c r="X23" s="67"/>
      <c r="Y23" s="67"/>
      <c r="Z23" s="67"/>
      <c r="AA23" s="67"/>
    </row>
    <row r="24" spans="1:27" ht="22.5" hidden="1" customHeight="1" outlineLevel="2" x14ac:dyDescent="0.2">
      <c r="A24" s="62" t="e">
        <f>#REF!</f>
        <v>#REF!</v>
      </c>
      <c r="B24" s="22" t="e">
        <f t="shared" si="1"/>
        <v>#REF!</v>
      </c>
      <c r="C24" s="28">
        <f t="shared" si="6"/>
        <v>1482</v>
      </c>
      <c r="D24" s="39">
        <v>-1821</v>
      </c>
      <c r="E24" s="28">
        <v>3303</v>
      </c>
      <c r="F24" s="22">
        <f t="shared" si="7"/>
        <v>68</v>
      </c>
      <c r="G24" s="22" t="e">
        <f t="shared" si="2"/>
        <v>#REF!</v>
      </c>
      <c r="H24" s="28">
        <f t="shared" si="8"/>
        <v>1457</v>
      </c>
      <c r="I24" s="39">
        <v>-1052</v>
      </c>
      <c r="J24" s="28">
        <v>2509</v>
      </c>
      <c r="K24" s="22">
        <f t="shared" si="9"/>
        <v>96</v>
      </c>
      <c r="L24" s="22" t="e">
        <f t="shared" si="3"/>
        <v>#REF!</v>
      </c>
      <c r="M24" s="28">
        <f t="shared" si="10"/>
        <v>1466</v>
      </c>
      <c r="N24" s="39">
        <v>-1170</v>
      </c>
      <c r="O24" s="28">
        <v>2636</v>
      </c>
      <c r="P24" s="22">
        <f t="shared" si="11"/>
        <v>63</v>
      </c>
      <c r="Q24" s="29" t="e">
        <f>VLOOKUP(A24,#REF!,10,0)</f>
        <v>#REF!</v>
      </c>
      <c r="R24" s="30"/>
      <c r="S24" s="63" t="e">
        <f t="shared" si="4"/>
        <v>#REF!</v>
      </c>
      <c r="T24" s="64">
        <f t="shared" ref="T24:T26" si="12">+(E24+2*J24+O24)/4</f>
        <v>2739.25</v>
      </c>
      <c r="U24" s="65"/>
      <c r="V24" s="67"/>
      <c r="W24" s="68"/>
      <c r="X24" s="67"/>
      <c r="Y24" s="67"/>
      <c r="Z24" s="67"/>
      <c r="AA24" s="67"/>
    </row>
    <row r="25" spans="1:27" ht="22.5" hidden="1" customHeight="1" outlineLevel="2" x14ac:dyDescent="0.2">
      <c r="A25" s="62" t="e">
        <f>#REF!</f>
        <v>#REF!</v>
      </c>
      <c r="B25" s="22" t="e">
        <f t="shared" si="1"/>
        <v>#REF!</v>
      </c>
      <c r="C25" s="28">
        <f t="shared" si="6"/>
        <v>1455</v>
      </c>
      <c r="D25" s="39">
        <v>-1848</v>
      </c>
      <c r="E25" s="28">
        <v>3303</v>
      </c>
      <c r="F25" s="22">
        <f t="shared" si="7"/>
        <v>95</v>
      </c>
      <c r="G25" s="22" t="e">
        <f t="shared" si="2"/>
        <v>#REF!</v>
      </c>
      <c r="H25" s="28">
        <f t="shared" si="8"/>
        <v>1422</v>
      </c>
      <c r="I25" s="39">
        <v>-1087</v>
      </c>
      <c r="J25" s="28">
        <v>2509</v>
      </c>
      <c r="K25" s="22">
        <f t="shared" si="9"/>
        <v>131</v>
      </c>
      <c r="L25" s="22" t="e">
        <f t="shared" si="3"/>
        <v>#REF!</v>
      </c>
      <c r="M25" s="28">
        <f t="shared" si="10"/>
        <v>1436</v>
      </c>
      <c r="N25" s="39">
        <v>-1200</v>
      </c>
      <c r="O25" s="28">
        <v>2636</v>
      </c>
      <c r="P25" s="22">
        <f t="shared" si="11"/>
        <v>93</v>
      </c>
      <c r="Q25" s="29" t="e">
        <f>VLOOKUP(A25,#REF!,10,0)</f>
        <v>#REF!</v>
      </c>
      <c r="R25" s="30"/>
      <c r="S25" s="63" t="e">
        <f t="shared" si="4"/>
        <v>#REF!</v>
      </c>
      <c r="T25" s="64">
        <f t="shared" si="12"/>
        <v>2739.25</v>
      </c>
      <c r="U25" s="65"/>
      <c r="V25" s="67"/>
      <c r="W25" s="68"/>
      <c r="X25" s="67"/>
      <c r="Y25" s="67"/>
      <c r="Z25" s="67"/>
      <c r="AA25" s="67"/>
    </row>
    <row r="26" spans="1:27" ht="22.5" hidden="1" customHeight="1" outlineLevel="2" x14ac:dyDescent="0.2">
      <c r="A26" s="62" t="e">
        <f>#REF!</f>
        <v>#REF!</v>
      </c>
      <c r="B26" s="22" t="e">
        <f t="shared" si="1"/>
        <v>#REF!</v>
      </c>
      <c r="C26" s="28">
        <f t="shared" si="6"/>
        <v>1423</v>
      </c>
      <c r="D26" s="39">
        <v>-1880</v>
      </c>
      <c r="E26" s="28">
        <v>3303</v>
      </c>
      <c r="F26" s="22">
        <f t="shared" si="7"/>
        <v>127</v>
      </c>
      <c r="G26" s="22" t="e">
        <f t="shared" si="2"/>
        <v>#REF!</v>
      </c>
      <c r="H26" s="28">
        <f t="shared" si="8"/>
        <v>1383</v>
      </c>
      <c r="I26" s="39">
        <v>-1126</v>
      </c>
      <c r="J26" s="28">
        <v>2509</v>
      </c>
      <c r="K26" s="22">
        <f t="shared" si="9"/>
        <v>170</v>
      </c>
      <c r="L26" s="22" t="e">
        <f t="shared" si="3"/>
        <v>#REF!</v>
      </c>
      <c r="M26" s="28">
        <f t="shared" si="10"/>
        <v>1405</v>
      </c>
      <c r="N26" s="39">
        <v>-1231</v>
      </c>
      <c r="O26" s="28">
        <v>2636</v>
      </c>
      <c r="P26" s="22">
        <f t="shared" si="11"/>
        <v>124</v>
      </c>
      <c r="Q26" s="29" t="e">
        <f>VLOOKUP(A26,#REF!,10,0)</f>
        <v>#REF!</v>
      </c>
      <c r="R26" s="30"/>
      <c r="S26" s="63" t="e">
        <f t="shared" si="4"/>
        <v>#REF!</v>
      </c>
      <c r="T26" s="64">
        <f t="shared" si="12"/>
        <v>2739.25</v>
      </c>
      <c r="U26" s="65"/>
      <c r="V26" s="67"/>
      <c r="W26" s="68"/>
      <c r="X26" s="67"/>
      <c r="Y26" s="67"/>
      <c r="Z26" s="67"/>
      <c r="AA26" s="67"/>
    </row>
    <row r="27" spans="1:27" ht="22.5" customHeight="1" outlineLevel="1" collapsed="1" x14ac:dyDescent="0.2">
      <c r="A27" s="62" t="e">
        <f>#REF!</f>
        <v>#REF!</v>
      </c>
      <c r="B27" s="22" t="e">
        <f t="shared" si="1"/>
        <v>#REF!</v>
      </c>
      <c r="C27" s="28">
        <f t="shared" si="6"/>
        <v>1407</v>
      </c>
      <c r="D27" s="39">
        <v>-1896</v>
      </c>
      <c r="E27" s="28">
        <v>3303</v>
      </c>
      <c r="F27" s="22">
        <f t="shared" si="7"/>
        <v>143</v>
      </c>
      <c r="G27" s="22" t="e">
        <f t="shared" si="2"/>
        <v>#REF!</v>
      </c>
      <c r="H27" s="28">
        <f t="shared" si="8"/>
        <v>1361</v>
      </c>
      <c r="I27" s="39">
        <v>-1148</v>
      </c>
      <c r="J27" s="28">
        <v>2509</v>
      </c>
      <c r="K27" s="22">
        <f t="shared" si="9"/>
        <v>192</v>
      </c>
      <c r="L27" s="22" t="e">
        <f t="shared" si="3"/>
        <v>#REF!</v>
      </c>
      <c r="M27" s="28">
        <f t="shared" si="10"/>
        <v>1390</v>
      </c>
      <c r="N27" s="39">
        <v>-1246</v>
      </c>
      <c r="O27" s="28">
        <v>2636</v>
      </c>
      <c r="P27" s="22">
        <f t="shared" si="11"/>
        <v>139</v>
      </c>
      <c r="Q27" s="29" t="e">
        <f>VLOOKUP(A27,#REF!,10,0)</f>
        <v>#REF!</v>
      </c>
      <c r="R27" s="30"/>
      <c r="S27" s="63" t="e">
        <f t="shared" si="4"/>
        <v>#REF!</v>
      </c>
      <c r="T27" s="64" t="e">
        <f>+(#REF!+2*J27+O27)/4</f>
        <v>#REF!</v>
      </c>
      <c r="U27" s="65"/>
      <c r="V27" s="67"/>
      <c r="W27" s="68"/>
      <c r="X27" s="67"/>
      <c r="Y27" s="67"/>
      <c r="Z27" s="67"/>
      <c r="AA27" s="67"/>
    </row>
    <row r="28" spans="1:27" ht="22.5" customHeight="1" outlineLevel="1" x14ac:dyDescent="0.2">
      <c r="A28" s="62" t="e">
        <f>#REF!</f>
        <v>#REF!</v>
      </c>
      <c r="B28" s="22" t="e">
        <f t="shared" si="1"/>
        <v>#REF!</v>
      </c>
      <c r="C28" s="28">
        <f t="shared" si="6"/>
        <v>1379</v>
      </c>
      <c r="D28" s="39">
        <v>-1924</v>
      </c>
      <c r="E28" s="28">
        <v>3303</v>
      </c>
      <c r="F28" s="22">
        <f t="shared" si="7"/>
        <v>171</v>
      </c>
      <c r="G28" s="22" t="e">
        <f t="shared" si="2"/>
        <v>#REF!</v>
      </c>
      <c r="H28" s="28">
        <f t="shared" si="8"/>
        <v>1325</v>
      </c>
      <c r="I28" s="39">
        <v>-1184</v>
      </c>
      <c r="J28" s="28">
        <v>2509</v>
      </c>
      <c r="K28" s="22">
        <f t="shared" si="9"/>
        <v>228</v>
      </c>
      <c r="L28" s="22" t="e">
        <f t="shared" si="3"/>
        <v>#REF!</v>
      </c>
      <c r="M28" s="28">
        <f t="shared" si="10"/>
        <v>1387</v>
      </c>
      <c r="N28" s="39">
        <v>-1249</v>
      </c>
      <c r="O28" s="28">
        <v>2636</v>
      </c>
      <c r="P28" s="22">
        <f t="shared" si="11"/>
        <v>142</v>
      </c>
      <c r="Q28" s="29" t="e">
        <f>VLOOKUP(A28,#REF!,10,0)</f>
        <v>#REF!</v>
      </c>
      <c r="R28" s="30"/>
      <c r="S28" s="63" t="e">
        <f t="shared" si="4"/>
        <v>#REF!</v>
      </c>
      <c r="T28" s="64">
        <f t="shared" ref="T28:T41" si="13">+(E28+2*J28+O28)/4</f>
        <v>2739.25</v>
      </c>
      <c r="U28" s="65"/>
      <c r="V28" s="67"/>
      <c r="W28" s="68"/>
      <c r="X28" s="67"/>
      <c r="Y28" s="67"/>
      <c r="Z28" s="67"/>
      <c r="AA28" s="67"/>
    </row>
    <row r="29" spans="1:27" ht="22.5" hidden="1" customHeight="1" outlineLevel="2" x14ac:dyDescent="0.2">
      <c r="A29" s="62" t="e">
        <f>#REF!</f>
        <v>#REF!</v>
      </c>
      <c r="B29" s="22" t="e">
        <f t="shared" si="1"/>
        <v>#REF!</v>
      </c>
      <c r="C29" s="28">
        <f t="shared" si="6"/>
        <v>1372</v>
      </c>
      <c r="D29" s="39">
        <v>-1931</v>
      </c>
      <c r="E29" s="28">
        <v>3303</v>
      </c>
      <c r="F29" s="22">
        <f t="shared" si="7"/>
        <v>178</v>
      </c>
      <c r="G29" s="22" t="e">
        <f t="shared" si="2"/>
        <v>#REF!</v>
      </c>
      <c r="H29" s="28">
        <f t="shared" si="8"/>
        <v>1312</v>
      </c>
      <c r="I29" s="39">
        <v>-1197</v>
      </c>
      <c r="J29" s="28">
        <v>2509</v>
      </c>
      <c r="K29" s="22">
        <f t="shared" si="9"/>
        <v>241</v>
      </c>
      <c r="L29" s="22" t="e">
        <f t="shared" si="3"/>
        <v>#REF!</v>
      </c>
      <c r="M29" s="28">
        <f t="shared" si="10"/>
        <v>1378</v>
      </c>
      <c r="N29" s="39">
        <v>-1258</v>
      </c>
      <c r="O29" s="28">
        <v>2636</v>
      </c>
      <c r="P29" s="22">
        <f t="shared" si="11"/>
        <v>151</v>
      </c>
      <c r="Q29" s="29" t="e">
        <f>VLOOKUP(A29,#REF!,10,0)</f>
        <v>#REF!</v>
      </c>
      <c r="R29" s="30"/>
      <c r="S29" s="63" t="e">
        <f t="shared" si="4"/>
        <v>#REF!</v>
      </c>
      <c r="T29" s="64">
        <f t="shared" si="13"/>
        <v>2739.25</v>
      </c>
      <c r="U29" s="65"/>
      <c r="V29" s="67"/>
      <c r="W29" s="68"/>
      <c r="X29" s="67"/>
      <c r="Y29" s="67"/>
      <c r="Z29" s="67"/>
      <c r="AA29" s="67"/>
    </row>
    <row r="30" spans="1:27" ht="22.5" hidden="1" customHeight="1" outlineLevel="2" x14ac:dyDescent="0.2">
      <c r="A30" s="62" t="e">
        <f>#REF!</f>
        <v>#REF!</v>
      </c>
      <c r="B30" s="22" t="e">
        <f t="shared" si="1"/>
        <v>#REF!</v>
      </c>
      <c r="C30" s="28">
        <f t="shared" si="6"/>
        <v>1353</v>
      </c>
      <c r="D30" s="39">
        <v>-1950</v>
      </c>
      <c r="E30" s="28">
        <v>3303</v>
      </c>
      <c r="F30" s="22">
        <f t="shared" si="7"/>
        <v>197</v>
      </c>
      <c r="G30" s="22" t="e">
        <f t="shared" si="2"/>
        <v>#REF!</v>
      </c>
      <c r="H30" s="28">
        <f t="shared" si="8"/>
        <v>1290</v>
      </c>
      <c r="I30" s="39">
        <v>-1219</v>
      </c>
      <c r="J30" s="28">
        <v>2509</v>
      </c>
      <c r="K30" s="22">
        <f t="shared" si="9"/>
        <v>263</v>
      </c>
      <c r="L30" s="22" t="e">
        <f t="shared" si="3"/>
        <v>#REF!</v>
      </c>
      <c r="M30" s="28">
        <f t="shared" si="10"/>
        <v>1357</v>
      </c>
      <c r="N30" s="39">
        <v>-1279</v>
      </c>
      <c r="O30" s="28">
        <v>2636</v>
      </c>
      <c r="P30" s="22">
        <f t="shared" si="11"/>
        <v>172</v>
      </c>
      <c r="Q30" s="29" t="e">
        <f>VLOOKUP(A30,#REF!,10,0)</f>
        <v>#REF!</v>
      </c>
      <c r="R30" s="30"/>
      <c r="S30" s="63" t="e">
        <f t="shared" si="4"/>
        <v>#REF!</v>
      </c>
      <c r="T30" s="64">
        <f t="shared" si="13"/>
        <v>2739.25</v>
      </c>
      <c r="U30" s="65"/>
      <c r="V30" s="67"/>
      <c r="W30" s="68"/>
      <c r="X30" s="67"/>
      <c r="Y30" s="67"/>
      <c r="Z30" s="67"/>
      <c r="AA30" s="67"/>
    </row>
    <row r="31" spans="1:27" ht="22.5" hidden="1" customHeight="1" outlineLevel="2" x14ac:dyDescent="0.2">
      <c r="A31" s="62" t="e">
        <f>#REF!</f>
        <v>#REF!</v>
      </c>
      <c r="B31" s="22" t="e">
        <f t="shared" si="1"/>
        <v>#REF!</v>
      </c>
      <c r="C31" s="28">
        <f t="shared" si="6"/>
        <v>1329</v>
      </c>
      <c r="D31" s="39">
        <v>-1974</v>
      </c>
      <c r="E31" s="28">
        <v>3303</v>
      </c>
      <c r="F31" s="22">
        <f t="shared" si="7"/>
        <v>221</v>
      </c>
      <c r="G31" s="22" t="e">
        <f t="shared" si="2"/>
        <v>#REF!</v>
      </c>
      <c r="H31" s="28">
        <f t="shared" si="8"/>
        <v>1263</v>
      </c>
      <c r="I31" s="39">
        <v>-1246</v>
      </c>
      <c r="J31" s="28">
        <v>2509</v>
      </c>
      <c r="K31" s="22">
        <f t="shared" si="9"/>
        <v>290</v>
      </c>
      <c r="L31" s="22" t="e">
        <f t="shared" si="3"/>
        <v>#REF!</v>
      </c>
      <c r="M31" s="28">
        <f t="shared" si="10"/>
        <v>1317</v>
      </c>
      <c r="N31" s="39">
        <v>-1319</v>
      </c>
      <c r="O31" s="28">
        <v>2636</v>
      </c>
      <c r="P31" s="22">
        <f t="shared" si="11"/>
        <v>212</v>
      </c>
      <c r="Q31" s="29"/>
      <c r="R31" s="30"/>
      <c r="S31" s="63" t="e">
        <f t="shared" si="4"/>
        <v>#REF!</v>
      </c>
      <c r="T31" s="64">
        <f t="shared" si="13"/>
        <v>2739.25</v>
      </c>
      <c r="U31" s="65"/>
      <c r="V31" s="67"/>
      <c r="W31" s="68"/>
      <c r="X31" s="67"/>
      <c r="Y31" s="67"/>
      <c r="Z31" s="67"/>
      <c r="AA31" s="67"/>
    </row>
    <row r="32" spans="1:27" ht="22.5" hidden="1" customHeight="1" outlineLevel="2" x14ac:dyDescent="0.2">
      <c r="A32" s="62" t="e">
        <f>#REF!</f>
        <v>#REF!</v>
      </c>
      <c r="B32" s="22" t="e">
        <f t="shared" si="1"/>
        <v>#REF!</v>
      </c>
      <c r="C32" s="28">
        <f t="shared" si="6"/>
        <v>1307</v>
      </c>
      <c r="D32" s="39">
        <v>-1996</v>
      </c>
      <c r="E32" s="28">
        <v>3303</v>
      </c>
      <c r="F32" s="22">
        <f t="shared" si="7"/>
        <v>243</v>
      </c>
      <c r="G32" s="22" t="e">
        <f t="shared" si="2"/>
        <v>#REF!</v>
      </c>
      <c r="H32" s="28">
        <f t="shared" si="8"/>
        <v>1237</v>
      </c>
      <c r="I32" s="39">
        <v>-1272</v>
      </c>
      <c r="J32" s="28">
        <v>2509</v>
      </c>
      <c r="K32" s="22">
        <f t="shared" si="9"/>
        <v>316</v>
      </c>
      <c r="L32" s="22" t="e">
        <f t="shared" si="3"/>
        <v>#REF!</v>
      </c>
      <c r="M32" s="28">
        <f t="shared" si="10"/>
        <v>1306</v>
      </c>
      <c r="N32" s="39">
        <v>-1330</v>
      </c>
      <c r="O32" s="28">
        <v>2636</v>
      </c>
      <c r="P32" s="22">
        <f t="shared" si="11"/>
        <v>223</v>
      </c>
      <c r="Q32" s="29"/>
      <c r="R32" s="30"/>
      <c r="S32" s="63" t="e">
        <f t="shared" si="4"/>
        <v>#REF!</v>
      </c>
      <c r="T32" s="64">
        <f t="shared" si="13"/>
        <v>2739.25</v>
      </c>
      <c r="U32" s="65"/>
      <c r="V32" s="67"/>
      <c r="W32" s="68"/>
      <c r="X32" s="67"/>
      <c r="Y32" s="67"/>
      <c r="Z32" s="67"/>
      <c r="AA32" s="67"/>
    </row>
    <row r="33" spans="1:27" ht="22.5" hidden="1" customHeight="1" outlineLevel="2" x14ac:dyDescent="0.2">
      <c r="A33" s="62" t="e">
        <f>#REF!</f>
        <v>#REF!</v>
      </c>
      <c r="B33" s="22" t="e">
        <f t="shared" si="1"/>
        <v>#REF!</v>
      </c>
      <c r="C33" s="28">
        <f t="shared" si="6"/>
        <v>1292</v>
      </c>
      <c r="D33" s="39">
        <v>-2011</v>
      </c>
      <c r="E33" s="28">
        <v>3303</v>
      </c>
      <c r="F33" s="22">
        <f t="shared" si="7"/>
        <v>258</v>
      </c>
      <c r="G33" s="22" t="e">
        <f t="shared" si="2"/>
        <v>#REF!</v>
      </c>
      <c r="H33" s="28">
        <f t="shared" si="8"/>
        <v>1218</v>
      </c>
      <c r="I33" s="39">
        <v>-1291</v>
      </c>
      <c r="J33" s="28">
        <v>2509</v>
      </c>
      <c r="K33" s="22">
        <f t="shared" si="9"/>
        <v>335</v>
      </c>
      <c r="L33" s="22" t="e">
        <f t="shared" si="3"/>
        <v>#REF!</v>
      </c>
      <c r="M33" s="28">
        <f t="shared" si="10"/>
        <v>1288</v>
      </c>
      <c r="N33" s="39">
        <v>-1348</v>
      </c>
      <c r="O33" s="28">
        <v>2636</v>
      </c>
      <c r="P33" s="22">
        <f t="shared" si="11"/>
        <v>241</v>
      </c>
      <c r="Q33" s="29"/>
      <c r="R33" s="30"/>
      <c r="S33" s="63" t="e">
        <f t="shared" si="4"/>
        <v>#REF!</v>
      </c>
      <c r="T33" s="64">
        <f t="shared" si="13"/>
        <v>2739.25</v>
      </c>
      <c r="U33" s="65"/>
      <c r="V33" s="67"/>
      <c r="W33" s="68"/>
      <c r="X33" s="67"/>
      <c r="Y33" s="67"/>
      <c r="Z33" s="67"/>
      <c r="AA33" s="67"/>
    </row>
    <row r="34" spans="1:27" ht="22.5" hidden="1" customHeight="1" outlineLevel="2" x14ac:dyDescent="0.2">
      <c r="A34" s="62" t="e">
        <f>#REF!</f>
        <v>#REF!</v>
      </c>
      <c r="B34" s="22" t="e">
        <f t="shared" si="1"/>
        <v>#REF!</v>
      </c>
      <c r="C34" s="28">
        <f t="shared" si="6"/>
        <v>1280</v>
      </c>
      <c r="D34" s="39">
        <v>-2023</v>
      </c>
      <c r="E34" s="28">
        <v>3303</v>
      </c>
      <c r="F34" s="22">
        <f t="shared" si="7"/>
        <v>270</v>
      </c>
      <c r="G34" s="22" t="e">
        <f t="shared" si="2"/>
        <v>#REF!</v>
      </c>
      <c r="H34" s="28">
        <f t="shared" si="8"/>
        <v>1195</v>
      </c>
      <c r="I34" s="39">
        <v>-1314</v>
      </c>
      <c r="J34" s="28">
        <v>2509</v>
      </c>
      <c r="K34" s="22">
        <f t="shared" si="9"/>
        <v>358</v>
      </c>
      <c r="L34" s="22" t="e">
        <f t="shared" si="3"/>
        <v>#REF!</v>
      </c>
      <c r="M34" s="28">
        <f t="shared" si="10"/>
        <v>1267</v>
      </c>
      <c r="N34" s="39">
        <v>-1369</v>
      </c>
      <c r="O34" s="28">
        <v>2636</v>
      </c>
      <c r="P34" s="22">
        <f t="shared" si="11"/>
        <v>262</v>
      </c>
      <c r="Q34" s="29"/>
      <c r="R34" s="30"/>
      <c r="S34" s="63" t="e">
        <f t="shared" si="4"/>
        <v>#REF!</v>
      </c>
      <c r="T34" s="64">
        <f t="shared" si="13"/>
        <v>2739.25</v>
      </c>
      <c r="U34" s="65"/>
      <c r="V34" s="67"/>
      <c r="W34" s="68"/>
      <c r="X34" s="67"/>
      <c r="Y34" s="67"/>
      <c r="Z34" s="67"/>
      <c r="AA34" s="67"/>
    </row>
    <row r="35" spans="1:27" ht="22.5" hidden="1" customHeight="1" outlineLevel="2" x14ac:dyDescent="0.2">
      <c r="A35" s="62" t="e">
        <f>#REF!</f>
        <v>#REF!</v>
      </c>
      <c r="B35" s="22" t="e">
        <f t="shared" si="1"/>
        <v>#REF!</v>
      </c>
      <c r="C35" s="28">
        <f t="shared" si="6"/>
        <v>1271</v>
      </c>
      <c r="D35" s="39">
        <v>-2032</v>
      </c>
      <c r="E35" s="28">
        <v>3303</v>
      </c>
      <c r="F35" s="22">
        <f t="shared" si="7"/>
        <v>279</v>
      </c>
      <c r="G35" s="22" t="e">
        <f t="shared" si="2"/>
        <v>#REF!</v>
      </c>
      <c r="H35" s="28">
        <f t="shared" si="8"/>
        <v>1187</v>
      </c>
      <c r="I35" s="39">
        <v>-1322</v>
      </c>
      <c r="J35" s="28">
        <v>2509</v>
      </c>
      <c r="K35" s="22">
        <f t="shared" si="9"/>
        <v>366</v>
      </c>
      <c r="L35" s="22" t="e">
        <f t="shared" si="3"/>
        <v>#REF!</v>
      </c>
      <c r="M35" s="28">
        <f t="shared" si="10"/>
        <v>1258</v>
      </c>
      <c r="N35" s="39">
        <v>-1378</v>
      </c>
      <c r="O35" s="28">
        <v>2636</v>
      </c>
      <c r="P35" s="22">
        <f t="shared" si="11"/>
        <v>271</v>
      </c>
      <c r="Q35" s="36"/>
      <c r="R35" s="30"/>
      <c r="S35" s="63" t="e">
        <f t="shared" si="4"/>
        <v>#REF!</v>
      </c>
      <c r="T35" s="64">
        <f t="shared" si="13"/>
        <v>2739.25</v>
      </c>
      <c r="U35" s="65"/>
      <c r="V35" s="67"/>
      <c r="W35" s="68"/>
      <c r="X35" s="67"/>
      <c r="Y35" s="67"/>
      <c r="Z35" s="67"/>
      <c r="AA35" s="67"/>
    </row>
    <row r="36" spans="1:27" ht="22.5" hidden="1" customHeight="1" outlineLevel="2" x14ac:dyDescent="0.2">
      <c r="A36" s="62" t="e">
        <f>#REF!</f>
        <v>#REF!</v>
      </c>
      <c r="B36" s="22" t="e">
        <f t="shared" si="1"/>
        <v>#REF!</v>
      </c>
      <c r="C36" s="28">
        <f t="shared" si="6"/>
        <v>1263</v>
      </c>
      <c r="D36" s="39">
        <v>-2040</v>
      </c>
      <c r="E36" s="28">
        <v>3303</v>
      </c>
      <c r="F36" s="22">
        <f t="shared" si="7"/>
        <v>287</v>
      </c>
      <c r="G36" s="22" t="e">
        <f t="shared" si="2"/>
        <v>#REF!</v>
      </c>
      <c r="H36" s="28">
        <f t="shared" si="8"/>
        <v>1178</v>
      </c>
      <c r="I36" s="39">
        <v>-1331</v>
      </c>
      <c r="J36" s="28">
        <v>2509</v>
      </c>
      <c r="K36" s="22">
        <f t="shared" si="9"/>
        <v>375</v>
      </c>
      <c r="L36" s="22" t="e">
        <f t="shared" si="3"/>
        <v>#REF!</v>
      </c>
      <c r="M36" s="28">
        <f t="shared" si="10"/>
        <v>1250</v>
      </c>
      <c r="N36" s="39">
        <v>-1386</v>
      </c>
      <c r="O36" s="28">
        <v>2636</v>
      </c>
      <c r="P36" s="22">
        <f t="shared" si="11"/>
        <v>279</v>
      </c>
      <c r="Q36" s="36"/>
      <c r="R36" s="30"/>
      <c r="S36" s="63" t="e">
        <f t="shared" si="4"/>
        <v>#REF!</v>
      </c>
      <c r="T36" s="64">
        <f t="shared" si="13"/>
        <v>2739.25</v>
      </c>
      <c r="U36" s="65"/>
      <c r="V36" s="67"/>
      <c r="W36" s="68"/>
      <c r="X36" s="67"/>
      <c r="Y36" s="67"/>
      <c r="Z36" s="67"/>
      <c r="AA36" s="67"/>
    </row>
    <row r="37" spans="1:27" ht="22.5" hidden="1" customHeight="1" outlineLevel="2" x14ac:dyDescent="0.2">
      <c r="A37" s="62" t="e">
        <f>#REF!</f>
        <v>#REF!</v>
      </c>
      <c r="B37" s="22" t="e">
        <f t="shared" si="1"/>
        <v>#REF!</v>
      </c>
      <c r="C37" s="28">
        <f t="shared" si="6"/>
        <v>1246</v>
      </c>
      <c r="D37" s="39">
        <v>-2057</v>
      </c>
      <c r="E37" s="28">
        <v>3303</v>
      </c>
      <c r="F37" s="22">
        <f t="shared" si="7"/>
        <v>304</v>
      </c>
      <c r="G37" s="22" t="e">
        <f t="shared" si="2"/>
        <v>#REF!</v>
      </c>
      <c r="H37" s="28">
        <f t="shared" si="8"/>
        <v>1157</v>
      </c>
      <c r="I37" s="39">
        <v>-1352</v>
      </c>
      <c r="J37" s="28">
        <v>2509</v>
      </c>
      <c r="K37" s="22">
        <f t="shared" si="9"/>
        <v>396</v>
      </c>
      <c r="L37" s="22" t="e">
        <f t="shared" si="3"/>
        <v>#REF!</v>
      </c>
      <c r="M37" s="28">
        <f t="shared" si="10"/>
        <v>1235</v>
      </c>
      <c r="N37" s="39">
        <v>-1401</v>
      </c>
      <c r="O37" s="28">
        <v>2636</v>
      </c>
      <c r="P37" s="22">
        <f t="shared" si="11"/>
        <v>294</v>
      </c>
      <c r="Q37" s="36"/>
      <c r="R37" s="30"/>
      <c r="S37" s="63" t="e">
        <f t="shared" si="4"/>
        <v>#REF!</v>
      </c>
      <c r="T37" s="64">
        <f t="shared" si="13"/>
        <v>2739.25</v>
      </c>
      <c r="U37" s="65"/>
      <c r="V37" s="67"/>
      <c r="W37" s="68"/>
      <c r="X37" s="67"/>
      <c r="Y37" s="67"/>
      <c r="Z37" s="67"/>
      <c r="AA37" s="67"/>
    </row>
    <row r="38" spans="1:27" ht="22.5" hidden="1" customHeight="1" outlineLevel="2" x14ac:dyDescent="0.2">
      <c r="A38" s="62" t="e">
        <f>#REF!</f>
        <v>#REF!</v>
      </c>
      <c r="B38" s="22" t="e">
        <f t="shared" si="1"/>
        <v>#REF!</v>
      </c>
      <c r="C38" s="28">
        <f t="shared" si="6"/>
        <v>1225</v>
      </c>
      <c r="D38" s="39">
        <v>-2078</v>
      </c>
      <c r="E38" s="28">
        <v>3303</v>
      </c>
      <c r="F38" s="22">
        <f t="shared" si="7"/>
        <v>325</v>
      </c>
      <c r="G38" s="22" t="e">
        <f t="shared" si="2"/>
        <v>#REF!</v>
      </c>
      <c r="H38" s="28">
        <f t="shared" si="8"/>
        <v>1130</v>
      </c>
      <c r="I38" s="39">
        <v>-1379</v>
      </c>
      <c r="J38" s="28">
        <v>2509</v>
      </c>
      <c r="K38" s="22">
        <f t="shared" si="9"/>
        <v>423</v>
      </c>
      <c r="L38" s="22" t="e">
        <f t="shared" si="3"/>
        <v>#REF!</v>
      </c>
      <c r="M38" s="28">
        <f t="shared" si="10"/>
        <v>1216</v>
      </c>
      <c r="N38" s="39">
        <v>-1420</v>
      </c>
      <c r="O38" s="28">
        <v>2636</v>
      </c>
      <c r="P38" s="22">
        <f t="shared" si="11"/>
        <v>313</v>
      </c>
      <c r="Q38" s="36"/>
      <c r="R38" s="30"/>
      <c r="S38" s="63" t="e">
        <f t="shared" si="4"/>
        <v>#REF!</v>
      </c>
      <c r="T38" s="64">
        <f t="shared" si="13"/>
        <v>2739.25</v>
      </c>
      <c r="U38" s="65"/>
      <c r="V38" s="67"/>
      <c r="W38" s="68"/>
      <c r="X38" s="67"/>
      <c r="Y38" s="67"/>
      <c r="Z38" s="67"/>
      <c r="AA38" s="67"/>
    </row>
    <row r="39" spans="1:27" ht="22.5" hidden="1" customHeight="1" outlineLevel="2" x14ac:dyDescent="0.2">
      <c r="A39" s="62" t="e">
        <f>#REF!</f>
        <v>#REF!</v>
      </c>
      <c r="B39" s="22" t="e">
        <f t="shared" si="1"/>
        <v>#REF!</v>
      </c>
      <c r="C39" s="28">
        <f t="shared" si="6"/>
        <v>1204</v>
      </c>
      <c r="D39" s="39">
        <v>-2099</v>
      </c>
      <c r="E39" s="28">
        <v>3303</v>
      </c>
      <c r="F39" s="22">
        <f t="shared" si="7"/>
        <v>346</v>
      </c>
      <c r="G39" s="22" t="e">
        <f t="shared" si="2"/>
        <v>#REF!</v>
      </c>
      <c r="H39" s="28">
        <f t="shared" si="8"/>
        <v>1114</v>
      </c>
      <c r="I39" s="39">
        <v>-1395</v>
      </c>
      <c r="J39" s="28">
        <v>2509</v>
      </c>
      <c r="K39" s="22">
        <f t="shared" si="9"/>
        <v>439</v>
      </c>
      <c r="L39" s="22" t="e">
        <f t="shared" si="3"/>
        <v>#REF!</v>
      </c>
      <c r="M39" s="28">
        <f t="shared" si="10"/>
        <v>1201</v>
      </c>
      <c r="N39" s="39">
        <v>-1435</v>
      </c>
      <c r="O39" s="28">
        <v>2636</v>
      </c>
      <c r="P39" s="22">
        <f t="shared" si="11"/>
        <v>328</v>
      </c>
      <c r="Q39" s="36"/>
      <c r="R39" s="30"/>
      <c r="S39" s="63" t="e">
        <f t="shared" si="4"/>
        <v>#REF!</v>
      </c>
      <c r="T39" s="64">
        <f t="shared" si="13"/>
        <v>2739.25</v>
      </c>
      <c r="U39" s="65"/>
      <c r="V39" s="67"/>
      <c r="W39" s="68"/>
      <c r="X39" s="67"/>
      <c r="Y39" s="67"/>
      <c r="Z39" s="67"/>
      <c r="AA39" s="67"/>
    </row>
    <row r="40" spans="1:27" ht="22.5" hidden="1" customHeight="1" outlineLevel="2" x14ac:dyDescent="0.2">
      <c r="A40" s="62" t="e">
        <f>#REF!</f>
        <v>#REF!</v>
      </c>
      <c r="B40" s="22" t="e">
        <f t="shared" si="1"/>
        <v>#REF!</v>
      </c>
      <c r="C40" s="28">
        <f t="shared" si="6"/>
        <v>1194</v>
      </c>
      <c r="D40" s="39">
        <v>-2109</v>
      </c>
      <c r="E40" s="28">
        <v>3303</v>
      </c>
      <c r="F40" s="22">
        <f t="shared" si="7"/>
        <v>356</v>
      </c>
      <c r="G40" s="22" t="e">
        <f t="shared" si="2"/>
        <v>#REF!</v>
      </c>
      <c r="H40" s="28">
        <f t="shared" si="8"/>
        <v>1097</v>
      </c>
      <c r="I40" s="39">
        <v>-1412</v>
      </c>
      <c r="J40" s="28">
        <v>2509</v>
      </c>
      <c r="K40" s="22">
        <f t="shared" si="9"/>
        <v>456</v>
      </c>
      <c r="L40" s="22" t="e">
        <f t="shared" si="3"/>
        <v>#REF!</v>
      </c>
      <c r="M40" s="28">
        <f t="shared" si="10"/>
        <v>1189</v>
      </c>
      <c r="N40" s="39">
        <v>-1447</v>
      </c>
      <c r="O40" s="28">
        <v>2636</v>
      </c>
      <c r="P40" s="22">
        <f t="shared" si="11"/>
        <v>340</v>
      </c>
      <c r="Q40" s="36"/>
      <c r="R40" s="30"/>
      <c r="S40" s="63" t="e">
        <f t="shared" si="4"/>
        <v>#REF!</v>
      </c>
      <c r="T40" s="64">
        <f t="shared" si="13"/>
        <v>2739.25</v>
      </c>
      <c r="U40" s="65"/>
      <c r="V40" s="67"/>
      <c r="W40" s="68"/>
      <c r="X40" s="67"/>
      <c r="Y40" s="67"/>
      <c r="Z40" s="67"/>
      <c r="AA40" s="67"/>
    </row>
    <row r="41" spans="1:27" ht="22.5" hidden="1" customHeight="1" outlineLevel="2" x14ac:dyDescent="0.2">
      <c r="A41" s="62" t="e">
        <f>#REF!</f>
        <v>#REF!</v>
      </c>
      <c r="B41" s="22" t="e">
        <f t="shared" si="1"/>
        <v>#REF!</v>
      </c>
      <c r="C41" s="28">
        <f t="shared" si="6"/>
        <v>1181</v>
      </c>
      <c r="D41" s="39">
        <v>-2122</v>
      </c>
      <c r="E41" s="28">
        <v>3303</v>
      </c>
      <c r="F41" s="22">
        <f t="shared" si="7"/>
        <v>369</v>
      </c>
      <c r="G41" s="22" t="e">
        <f t="shared" si="2"/>
        <v>#REF!</v>
      </c>
      <c r="H41" s="28">
        <f t="shared" si="8"/>
        <v>1079</v>
      </c>
      <c r="I41" s="39">
        <v>-1430</v>
      </c>
      <c r="J41" s="28">
        <v>2509</v>
      </c>
      <c r="K41" s="22">
        <f t="shared" si="9"/>
        <v>474</v>
      </c>
      <c r="L41" s="22" t="e">
        <f t="shared" si="3"/>
        <v>#REF!</v>
      </c>
      <c r="M41" s="28">
        <f t="shared" si="10"/>
        <v>1178</v>
      </c>
      <c r="N41" s="39">
        <v>-1458</v>
      </c>
      <c r="O41" s="28">
        <v>2636</v>
      </c>
      <c r="P41" s="22">
        <f t="shared" si="11"/>
        <v>351</v>
      </c>
      <c r="Q41" s="36"/>
      <c r="R41" s="30"/>
      <c r="S41" s="63" t="e">
        <f t="shared" si="4"/>
        <v>#REF!</v>
      </c>
      <c r="T41" s="64">
        <f t="shared" si="13"/>
        <v>2739.25</v>
      </c>
      <c r="U41" s="65"/>
      <c r="V41" s="65"/>
      <c r="W41" s="66"/>
      <c r="X41" s="65"/>
      <c r="Y41" s="65"/>
      <c r="Z41" s="65"/>
      <c r="AA41" s="65"/>
    </row>
    <row r="42" spans="1:27" ht="22.5" hidden="1" customHeight="1" outlineLevel="2" x14ac:dyDescent="0.2">
      <c r="A42" s="62" t="e">
        <f>#REF!</f>
        <v>#REF!</v>
      </c>
      <c r="B42" s="22" t="e">
        <f t="shared" si="1"/>
        <v>#REF!</v>
      </c>
      <c r="C42" s="28">
        <f t="shared" si="6"/>
        <v>1168</v>
      </c>
      <c r="D42" s="39">
        <v>-2135</v>
      </c>
      <c r="E42" s="28">
        <v>3303</v>
      </c>
      <c r="F42" s="22">
        <f t="shared" si="7"/>
        <v>382</v>
      </c>
      <c r="G42" s="22" t="e">
        <f t="shared" si="2"/>
        <v>#REF!</v>
      </c>
      <c r="H42" s="28">
        <f t="shared" si="8"/>
        <v>1063</v>
      </c>
      <c r="I42" s="39">
        <v>-1446</v>
      </c>
      <c r="J42" s="28">
        <v>2509</v>
      </c>
      <c r="K42" s="22">
        <f t="shared" si="9"/>
        <v>490</v>
      </c>
      <c r="L42" s="22" t="e">
        <f t="shared" si="3"/>
        <v>#REF!</v>
      </c>
      <c r="M42" s="28">
        <f t="shared" si="10"/>
        <v>1164</v>
      </c>
      <c r="N42" s="39">
        <v>-1472</v>
      </c>
      <c r="O42" s="28">
        <v>2636</v>
      </c>
      <c r="P42" s="22">
        <f t="shared" si="11"/>
        <v>365</v>
      </c>
      <c r="Q42" s="36"/>
      <c r="R42" s="30"/>
      <c r="S42" s="63"/>
      <c r="T42" s="64"/>
      <c r="U42" s="65"/>
      <c r="V42" s="65"/>
      <c r="W42" s="66"/>
      <c r="X42" s="65"/>
      <c r="Y42" s="65"/>
      <c r="Z42" s="65"/>
      <c r="AA42" s="65"/>
    </row>
    <row r="43" spans="1:27" ht="22.5" hidden="1" customHeight="1" outlineLevel="2" x14ac:dyDescent="0.2">
      <c r="A43" s="62" t="e">
        <f>#REF!</f>
        <v>#REF!</v>
      </c>
      <c r="B43" s="22" t="e">
        <f t="shared" si="1"/>
        <v>#REF!</v>
      </c>
      <c r="C43" s="28">
        <f t="shared" si="6"/>
        <v>1147</v>
      </c>
      <c r="D43" s="39">
        <v>-2156</v>
      </c>
      <c r="E43" s="28">
        <v>3303</v>
      </c>
      <c r="F43" s="22">
        <f t="shared" si="7"/>
        <v>403</v>
      </c>
      <c r="G43" s="22" t="e">
        <f t="shared" si="2"/>
        <v>#REF!</v>
      </c>
      <c r="H43" s="28">
        <f t="shared" si="8"/>
        <v>1049</v>
      </c>
      <c r="I43" s="39">
        <v>-1460</v>
      </c>
      <c r="J43" s="28">
        <v>2509</v>
      </c>
      <c r="K43" s="22">
        <f t="shared" si="9"/>
        <v>504</v>
      </c>
      <c r="L43" s="22" t="e">
        <f t="shared" si="3"/>
        <v>#REF!</v>
      </c>
      <c r="M43" s="28">
        <f t="shared" si="10"/>
        <v>1146</v>
      </c>
      <c r="N43" s="39">
        <v>-1490</v>
      </c>
      <c r="O43" s="28">
        <v>2636</v>
      </c>
      <c r="P43" s="22">
        <f t="shared" si="11"/>
        <v>383</v>
      </c>
      <c r="Q43" s="36"/>
      <c r="R43" s="30"/>
      <c r="S43" s="63" t="e">
        <f t="shared" ref="S43:S66" si="14">+A43</f>
        <v>#REF!</v>
      </c>
      <c r="T43" s="64">
        <f t="shared" ref="T43:T66" si="15">+(E43+2*J43+O43)/4</f>
        <v>2739.25</v>
      </c>
      <c r="U43" s="65"/>
      <c r="V43" s="65"/>
      <c r="W43" s="66"/>
      <c r="X43" s="65"/>
      <c r="Y43" s="65"/>
      <c r="Z43" s="65"/>
      <c r="AA43" s="65"/>
    </row>
    <row r="44" spans="1:27" ht="22.5" hidden="1" customHeight="1" outlineLevel="2" x14ac:dyDescent="0.2">
      <c r="A44" s="62" t="e">
        <f>#REF!</f>
        <v>#REF!</v>
      </c>
      <c r="B44" s="22" t="e">
        <f t="shared" si="1"/>
        <v>#REF!</v>
      </c>
      <c r="C44" s="28">
        <f t="shared" si="6"/>
        <v>1143</v>
      </c>
      <c r="D44" s="39">
        <v>-2160</v>
      </c>
      <c r="E44" s="28">
        <v>3303</v>
      </c>
      <c r="F44" s="22">
        <f t="shared" si="7"/>
        <v>407</v>
      </c>
      <c r="G44" s="22" t="e">
        <f t="shared" si="2"/>
        <v>#REF!</v>
      </c>
      <c r="H44" s="28">
        <f t="shared" si="8"/>
        <v>1030</v>
      </c>
      <c r="I44" s="39">
        <v>-1479</v>
      </c>
      <c r="J44" s="28">
        <v>2509</v>
      </c>
      <c r="K44" s="22">
        <f t="shared" si="9"/>
        <v>523</v>
      </c>
      <c r="L44" s="22" t="e">
        <f t="shared" si="3"/>
        <v>#REF!</v>
      </c>
      <c r="M44" s="28">
        <f t="shared" si="10"/>
        <v>1132</v>
      </c>
      <c r="N44" s="39">
        <v>-1504</v>
      </c>
      <c r="O44" s="28">
        <v>2636</v>
      </c>
      <c r="P44" s="22">
        <f t="shared" si="11"/>
        <v>397</v>
      </c>
      <c r="Q44" s="36"/>
      <c r="R44" s="30"/>
      <c r="S44" s="63" t="e">
        <f t="shared" si="14"/>
        <v>#REF!</v>
      </c>
      <c r="T44" s="64">
        <f t="shared" si="15"/>
        <v>2739.25</v>
      </c>
      <c r="U44" s="65"/>
      <c r="V44" s="65"/>
      <c r="W44" s="66"/>
      <c r="X44" s="65"/>
      <c r="Y44" s="65"/>
      <c r="Z44" s="65"/>
      <c r="AA44" s="65"/>
    </row>
    <row r="45" spans="1:27" ht="22.5" hidden="1" customHeight="1" outlineLevel="2" x14ac:dyDescent="0.2">
      <c r="A45" s="62" t="e">
        <f>#REF!</f>
        <v>#REF!</v>
      </c>
      <c r="B45" s="22" t="e">
        <f t="shared" si="1"/>
        <v>#REF!</v>
      </c>
      <c r="C45" s="28">
        <f t="shared" si="6"/>
        <v>1140</v>
      </c>
      <c r="D45" s="39">
        <v>-2163</v>
      </c>
      <c r="E45" s="28">
        <v>3303</v>
      </c>
      <c r="F45" s="22">
        <f t="shared" si="7"/>
        <v>410</v>
      </c>
      <c r="G45" s="22" t="e">
        <f t="shared" si="2"/>
        <v>#REF!</v>
      </c>
      <c r="H45" s="28">
        <f t="shared" si="8"/>
        <v>1027</v>
      </c>
      <c r="I45" s="39">
        <v>-1482</v>
      </c>
      <c r="J45" s="28">
        <v>2509</v>
      </c>
      <c r="K45" s="22">
        <f t="shared" si="9"/>
        <v>526</v>
      </c>
      <c r="L45" s="22" t="e">
        <f t="shared" si="3"/>
        <v>#REF!</v>
      </c>
      <c r="M45" s="28">
        <f t="shared" si="10"/>
        <v>1130</v>
      </c>
      <c r="N45" s="39">
        <v>-1506</v>
      </c>
      <c r="O45" s="28">
        <v>2636</v>
      </c>
      <c r="P45" s="22">
        <f t="shared" si="11"/>
        <v>399</v>
      </c>
      <c r="Q45" s="36"/>
      <c r="R45" s="30"/>
      <c r="S45" s="63" t="e">
        <f t="shared" si="14"/>
        <v>#REF!</v>
      </c>
      <c r="T45" s="64">
        <f t="shared" si="15"/>
        <v>2739.25</v>
      </c>
      <c r="U45" s="65"/>
      <c r="V45" s="65"/>
      <c r="W45" s="66"/>
      <c r="X45" s="65"/>
      <c r="Y45" s="65"/>
      <c r="Z45" s="65"/>
      <c r="AA45" s="65"/>
    </row>
    <row r="46" spans="1:27" ht="22.5" hidden="1" customHeight="1" outlineLevel="2" x14ac:dyDescent="0.2">
      <c r="A46" s="62" t="e">
        <f>#REF!</f>
        <v>#REF!</v>
      </c>
      <c r="B46" s="22" t="e">
        <f t="shared" si="1"/>
        <v>#REF!</v>
      </c>
      <c r="C46" s="28">
        <f t="shared" si="6"/>
        <v>1138</v>
      </c>
      <c r="D46" s="39">
        <v>-2165</v>
      </c>
      <c r="E46" s="28">
        <v>3303</v>
      </c>
      <c r="F46" s="22">
        <f t="shared" si="7"/>
        <v>412</v>
      </c>
      <c r="G46" s="22" t="e">
        <f t="shared" si="2"/>
        <v>#REF!</v>
      </c>
      <c r="H46" s="28">
        <f t="shared" si="8"/>
        <v>1024</v>
      </c>
      <c r="I46" s="39">
        <v>-1485</v>
      </c>
      <c r="J46" s="28">
        <v>2509</v>
      </c>
      <c r="K46" s="22">
        <f t="shared" si="9"/>
        <v>529</v>
      </c>
      <c r="L46" s="22" t="e">
        <f t="shared" si="3"/>
        <v>#REF!</v>
      </c>
      <c r="M46" s="28">
        <f t="shared" si="10"/>
        <v>1128</v>
      </c>
      <c r="N46" s="39">
        <v>-1508</v>
      </c>
      <c r="O46" s="28">
        <v>2636</v>
      </c>
      <c r="P46" s="22">
        <f t="shared" si="11"/>
        <v>401</v>
      </c>
      <c r="Q46" s="36"/>
      <c r="R46" s="30"/>
      <c r="S46" s="63" t="e">
        <f t="shared" si="14"/>
        <v>#REF!</v>
      </c>
      <c r="T46" s="64">
        <f t="shared" si="15"/>
        <v>2739.25</v>
      </c>
      <c r="U46" s="65"/>
      <c r="V46" s="65"/>
      <c r="W46" s="66"/>
      <c r="X46" s="65"/>
      <c r="Y46" s="65"/>
      <c r="Z46" s="65"/>
      <c r="AA46" s="65"/>
    </row>
    <row r="47" spans="1:27" ht="22.5" hidden="1" customHeight="1" outlineLevel="2" x14ac:dyDescent="0.2">
      <c r="A47" s="62" t="e">
        <f>#REF!</f>
        <v>#REF!</v>
      </c>
      <c r="B47" s="22" t="e">
        <f t="shared" si="1"/>
        <v>#REF!</v>
      </c>
      <c r="C47" s="28">
        <f t="shared" si="6"/>
        <v>1135</v>
      </c>
      <c r="D47" s="39">
        <v>-2168</v>
      </c>
      <c r="E47" s="28">
        <v>3303</v>
      </c>
      <c r="F47" s="22">
        <f t="shared" si="7"/>
        <v>415</v>
      </c>
      <c r="G47" s="22" t="e">
        <f t="shared" si="2"/>
        <v>#REF!</v>
      </c>
      <c r="H47" s="28">
        <f t="shared" si="8"/>
        <v>1020</v>
      </c>
      <c r="I47" s="39">
        <v>-1489</v>
      </c>
      <c r="J47" s="28">
        <v>2509</v>
      </c>
      <c r="K47" s="22">
        <f t="shared" si="9"/>
        <v>533</v>
      </c>
      <c r="L47" s="22" t="e">
        <f t="shared" si="3"/>
        <v>#REF!</v>
      </c>
      <c r="M47" s="28">
        <f t="shared" si="10"/>
        <v>1127</v>
      </c>
      <c r="N47" s="39">
        <v>-1509</v>
      </c>
      <c r="O47" s="28">
        <v>2636</v>
      </c>
      <c r="P47" s="22">
        <f t="shared" si="11"/>
        <v>402</v>
      </c>
      <c r="Q47" s="36"/>
      <c r="R47" s="30"/>
      <c r="S47" s="63" t="e">
        <f t="shared" si="14"/>
        <v>#REF!</v>
      </c>
      <c r="T47" s="64">
        <f t="shared" si="15"/>
        <v>2739.25</v>
      </c>
      <c r="U47" s="65"/>
      <c r="V47" s="65"/>
      <c r="W47" s="66"/>
      <c r="X47" s="65"/>
      <c r="Y47" s="65"/>
      <c r="Z47" s="65"/>
      <c r="AA47" s="65"/>
    </row>
    <row r="48" spans="1:27" ht="22.5" hidden="1" customHeight="1" outlineLevel="2" x14ac:dyDescent="0.2">
      <c r="A48" s="62" t="e">
        <f>#REF!</f>
        <v>#REF!</v>
      </c>
      <c r="B48" s="22" t="e">
        <f t="shared" si="1"/>
        <v>#REF!</v>
      </c>
      <c r="C48" s="28">
        <f t="shared" si="6"/>
        <v>1130</v>
      </c>
      <c r="D48" s="39">
        <v>-2173</v>
      </c>
      <c r="E48" s="28">
        <v>3303</v>
      </c>
      <c r="F48" s="22">
        <f t="shared" si="7"/>
        <v>420</v>
      </c>
      <c r="G48" s="22" t="e">
        <f t="shared" si="2"/>
        <v>#REF!</v>
      </c>
      <c r="H48" s="28">
        <f t="shared" si="8"/>
        <v>1014</v>
      </c>
      <c r="I48" s="39">
        <v>-1495</v>
      </c>
      <c r="J48" s="28">
        <v>2509</v>
      </c>
      <c r="K48" s="22">
        <f t="shared" si="9"/>
        <v>539</v>
      </c>
      <c r="L48" s="22" t="e">
        <f t="shared" si="3"/>
        <v>#REF!</v>
      </c>
      <c r="M48" s="28">
        <f t="shared" si="10"/>
        <v>1121</v>
      </c>
      <c r="N48" s="39">
        <v>-1515</v>
      </c>
      <c r="O48" s="28">
        <v>2636</v>
      </c>
      <c r="P48" s="22">
        <f t="shared" si="11"/>
        <v>408</v>
      </c>
      <c r="Q48" s="36"/>
      <c r="R48" s="30"/>
      <c r="S48" s="63" t="e">
        <f t="shared" si="14"/>
        <v>#REF!</v>
      </c>
      <c r="T48" s="64">
        <f t="shared" si="15"/>
        <v>2739.25</v>
      </c>
      <c r="U48" s="65"/>
      <c r="V48" s="65"/>
      <c r="W48" s="66"/>
      <c r="X48" s="65"/>
      <c r="Y48" s="65"/>
      <c r="Z48" s="65"/>
      <c r="AA48" s="65"/>
    </row>
    <row r="49" spans="1:27" ht="22.5" hidden="1" customHeight="1" outlineLevel="2" x14ac:dyDescent="0.2">
      <c r="A49" s="62" t="e">
        <f>#REF!</f>
        <v>#REF!</v>
      </c>
      <c r="B49" s="22" t="e">
        <f t="shared" si="1"/>
        <v>#REF!</v>
      </c>
      <c r="C49" s="28">
        <f t="shared" si="6"/>
        <v>1125</v>
      </c>
      <c r="D49" s="39">
        <v>-2178</v>
      </c>
      <c r="E49" s="28">
        <v>3303</v>
      </c>
      <c r="F49" s="22">
        <f t="shared" si="7"/>
        <v>425</v>
      </c>
      <c r="G49" s="22" t="e">
        <f t="shared" si="2"/>
        <v>#REF!</v>
      </c>
      <c r="H49" s="28">
        <f t="shared" si="8"/>
        <v>1009</v>
      </c>
      <c r="I49" s="39">
        <v>-1500</v>
      </c>
      <c r="J49" s="28">
        <v>2509</v>
      </c>
      <c r="K49" s="22">
        <f t="shared" si="9"/>
        <v>544</v>
      </c>
      <c r="L49" s="22" t="e">
        <f t="shared" si="3"/>
        <v>#REF!</v>
      </c>
      <c r="M49" s="28">
        <f t="shared" si="10"/>
        <v>1114</v>
      </c>
      <c r="N49" s="39">
        <v>-1522</v>
      </c>
      <c r="O49" s="28">
        <v>2636</v>
      </c>
      <c r="P49" s="22">
        <f t="shared" si="11"/>
        <v>415</v>
      </c>
      <c r="Q49" s="36"/>
      <c r="R49" s="30"/>
      <c r="S49" s="63" t="e">
        <f t="shared" si="14"/>
        <v>#REF!</v>
      </c>
      <c r="T49" s="64">
        <f t="shared" si="15"/>
        <v>2739.25</v>
      </c>
      <c r="U49" s="65"/>
      <c r="V49" s="65"/>
      <c r="W49" s="66"/>
      <c r="X49" s="65"/>
      <c r="Y49" s="65"/>
      <c r="Z49" s="65"/>
      <c r="AA49" s="65"/>
    </row>
    <row r="50" spans="1:27" ht="22.5" hidden="1" customHeight="1" outlineLevel="2" x14ac:dyDescent="0.2">
      <c r="A50" s="62" t="e">
        <f>#REF!</f>
        <v>#REF!</v>
      </c>
      <c r="B50" s="22" t="e">
        <f t="shared" si="1"/>
        <v>#REF!</v>
      </c>
      <c r="C50" s="28">
        <f t="shared" si="6"/>
        <v>1118</v>
      </c>
      <c r="D50" s="39">
        <v>-2185</v>
      </c>
      <c r="E50" s="28">
        <v>3303</v>
      </c>
      <c r="F50" s="22">
        <f t="shared" si="7"/>
        <v>432</v>
      </c>
      <c r="G50" s="22" t="e">
        <f t="shared" si="2"/>
        <v>#REF!</v>
      </c>
      <c r="H50" s="28">
        <f t="shared" si="8"/>
        <v>999</v>
      </c>
      <c r="I50" s="39">
        <v>-1510</v>
      </c>
      <c r="J50" s="28">
        <v>2509</v>
      </c>
      <c r="K50" s="22">
        <f t="shared" si="9"/>
        <v>554</v>
      </c>
      <c r="L50" s="22" t="e">
        <f t="shared" si="3"/>
        <v>#REF!</v>
      </c>
      <c r="M50" s="28">
        <f t="shared" si="10"/>
        <v>1109</v>
      </c>
      <c r="N50" s="39">
        <v>-1527</v>
      </c>
      <c r="O50" s="28">
        <v>2636</v>
      </c>
      <c r="P50" s="22">
        <f t="shared" si="11"/>
        <v>420</v>
      </c>
      <c r="Q50" s="36"/>
      <c r="R50" s="30"/>
      <c r="S50" s="63" t="e">
        <f t="shared" si="14"/>
        <v>#REF!</v>
      </c>
      <c r="T50" s="64">
        <f t="shared" si="15"/>
        <v>2739.25</v>
      </c>
      <c r="U50" s="65"/>
      <c r="V50" s="65"/>
      <c r="W50" s="66"/>
      <c r="X50" s="65"/>
      <c r="Y50" s="65"/>
      <c r="Z50" s="65"/>
      <c r="AA50" s="65"/>
    </row>
    <row r="51" spans="1:27" ht="22.5" hidden="1" customHeight="1" outlineLevel="2" x14ac:dyDescent="0.2">
      <c r="A51" s="62" t="e">
        <f>#REF!</f>
        <v>#REF!</v>
      </c>
      <c r="B51" s="22" t="e">
        <f t="shared" si="1"/>
        <v>#REF!</v>
      </c>
      <c r="C51" s="28">
        <f t="shared" si="6"/>
        <v>1113</v>
      </c>
      <c r="D51" s="39">
        <v>-2190</v>
      </c>
      <c r="E51" s="28">
        <v>3303</v>
      </c>
      <c r="F51" s="22">
        <f t="shared" si="7"/>
        <v>437</v>
      </c>
      <c r="G51" s="22" t="e">
        <f t="shared" si="2"/>
        <v>#REF!</v>
      </c>
      <c r="H51" s="28">
        <f t="shared" si="8"/>
        <v>989</v>
      </c>
      <c r="I51" s="39">
        <v>-1520</v>
      </c>
      <c r="J51" s="28">
        <v>2509</v>
      </c>
      <c r="K51" s="22">
        <f t="shared" si="9"/>
        <v>564</v>
      </c>
      <c r="L51" s="22" t="e">
        <f t="shared" si="3"/>
        <v>#REF!</v>
      </c>
      <c r="M51" s="28">
        <f t="shared" si="10"/>
        <v>1102</v>
      </c>
      <c r="N51" s="39">
        <v>-1534</v>
      </c>
      <c r="O51" s="28">
        <v>2636</v>
      </c>
      <c r="P51" s="22">
        <f t="shared" si="11"/>
        <v>427</v>
      </c>
      <c r="Q51" s="36"/>
      <c r="R51" s="30"/>
      <c r="S51" s="63" t="e">
        <f t="shared" si="14"/>
        <v>#REF!</v>
      </c>
      <c r="T51" s="64">
        <f t="shared" si="15"/>
        <v>2739.25</v>
      </c>
      <c r="U51" s="65"/>
      <c r="V51" s="65"/>
      <c r="W51" s="66"/>
      <c r="X51" s="65"/>
      <c r="Y51" s="65"/>
      <c r="Z51" s="65"/>
      <c r="AA51" s="65"/>
    </row>
    <row r="52" spans="1:27" ht="22.5" hidden="1" customHeight="1" outlineLevel="2" x14ac:dyDescent="0.2">
      <c r="A52" s="62" t="e">
        <f>#REF!</f>
        <v>#REF!</v>
      </c>
      <c r="B52" s="22" t="e">
        <f t="shared" si="1"/>
        <v>#REF!</v>
      </c>
      <c r="C52" s="28">
        <f t="shared" si="6"/>
        <v>1105</v>
      </c>
      <c r="D52" s="39">
        <v>-2198</v>
      </c>
      <c r="E52" s="28">
        <v>3303</v>
      </c>
      <c r="F52" s="22">
        <f t="shared" si="7"/>
        <v>445</v>
      </c>
      <c r="G52" s="22" t="e">
        <f t="shared" si="2"/>
        <v>#REF!</v>
      </c>
      <c r="H52" s="28">
        <f t="shared" si="8"/>
        <v>983</v>
      </c>
      <c r="I52" s="39">
        <v>-1526</v>
      </c>
      <c r="J52" s="28">
        <v>2509</v>
      </c>
      <c r="K52" s="22">
        <f t="shared" si="9"/>
        <v>570</v>
      </c>
      <c r="L52" s="22" t="e">
        <f t="shared" si="3"/>
        <v>#REF!</v>
      </c>
      <c r="M52" s="28">
        <f t="shared" si="10"/>
        <v>1098</v>
      </c>
      <c r="N52" s="39">
        <v>-1538</v>
      </c>
      <c r="O52" s="28">
        <v>2636</v>
      </c>
      <c r="P52" s="22">
        <f t="shared" si="11"/>
        <v>431</v>
      </c>
      <c r="Q52" s="36"/>
      <c r="R52" s="30"/>
      <c r="S52" s="63" t="e">
        <f t="shared" si="14"/>
        <v>#REF!</v>
      </c>
      <c r="T52" s="64">
        <f t="shared" si="15"/>
        <v>2739.25</v>
      </c>
      <c r="U52" s="65"/>
      <c r="V52" s="65"/>
      <c r="W52" s="66"/>
      <c r="X52" s="65"/>
      <c r="Y52" s="65"/>
      <c r="Z52" s="65"/>
      <c r="AA52" s="65"/>
    </row>
    <row r="53" spans="1:27" ht="22.5" hidden="1" customHeight="1" outlineLevel="2" x14ac:dyDescent="0.2">
      <c r="A53" s="62" t="e">
        <f>#REF!</f>
        <v>#REF!</v>
      </c>
      <c r="B53" s="22" t="e">
        <f t="shared" si="1"/>
        <v>#REF!</v>
      </c>
      <c r="C53" s="28">
        <f t="shared" si="6"/>
        <v>1103</v>
      </c>
      <c r="D53" s="39">
        <v>-2200</v>
      </c>
      <c r="E53" s="28">
        <v>3303</v>
      </c>
      <c r="F53" s="22">
        <f t="shared" si="7"/>
        <v>447</v>
      </c>
      <c r="G53" s="22" t="e">
        <f t="shared" si="2"/>
        <v>#REF!</v>
      </c>
      <c r="H53" s="28">
        <f t="shared" si="8"/>
        <v>974</v>
      </c>
      <c r="I53" s="39">
        <v>-1535</v>
      </c>
      <c r="J53" s="28">
        <v>2509</v>
      </c>
      <c r="K53" s="22">
        <f t="shared" si="9"/>
        <v>579</v>
      </c>
      <c r="L53" s="22" t="e">
        <f t="shared" si="3"/>
        <v>#REF!</v>
      </c>
      <c r="M53" s="28">
        <f t="shared" si="10"/>
        <v>1090</v>
      </c>
      <c r="N53" s="39">
        <v>-1546</v>
      </c>
      <c r="O53" s="28">
        <v>2636</v>
      </c>
      <c r="P53" s="22">
        <f t="shared" si="11"/>
        <v>439</v>
      </c>
      <c r="Q53" s="36"/>
      <c r="R53" s="30"/>
      <c r="S53" s="63" t="e">
        <f t="shared" si="14"/>
        <v>#REF!</v>
      </c>
      <c r="T53" s="64">
        <f t="shared" si="15"/>
        <v>2739.25</v>
      </c>
      <c r="U53" s="65"/>
      <c r="V53" s="65"/>
      <c r="W53" s="66"/>
      <c r="X53" s="65"/>
      <c r="Y53" s="65"/>
      <c r="Z53" s="65"/>
      <c r="AA53" s="65"/>
    </row>
    <row r="54" spans="1:27" ht="22.5" hidden="1" customHeight="1" outlineLevel="2" x14ac:dyDescent="0.2">
      <c r="A54" s="62" t="e">
        <f>#REF!</f>
        <v>#REF!</v>
      </c>
      <c r="B54" s="22" t="e">
        <f t="shared" si="1"/>
        <v>#REF!</v>
      </c>
      <c r="C54" s="28">
        <f t="shared" si="6"/>
        <v>1100</v>
      </c>
      <c r="D54" s="39">
        <v>-2203</v>
      </c>
      <c r="E54" s="28">
        <v>3303</v>
      </c>
      <c r="F54" s="22">
        <f t="shared" si="7"/>
        <v>450</v>
      </c>
      <c r="G54" s="22" t="e">
        <f t="shared" si="2"/>
        <v>#REF!</v>
      </c>
      <c r="H54" s="28">
        <f t="shared" si="8"/>
        <v>965</v>
      </c>
      <c r="I54" s="39">
        <v>-1544</v>
      </c>
      <c r="J54" s="28">
        <v>2509</v>
      </c>
      <c r="K54" s="22">
        <f t="shared" si="9"/>
        <v>588</v>
      </c>
      <c r="L54" s="22" t="e">
        <f t="shared" si="3"/>
        <v>#REF!</v>
      </c>
      <c r="M54" s="28">
        <f t="shared" si="10"/>
        <v>1082</v>
      </c>
      <c r="N54" s="39">
        <v>-1554</v>
      </c>
      <c r="O54" s="28">
        <v>2636</v>
      </c>
      <c r="P54" s="22">
        <f t="shared" si="11"/>
        <v>447</v>
      </c>
      <c r="Q54" s="36"/>
      <c r="R54" s="30"/>
      <c r="S54" s="63" t="e">
        <f t="shared" si="14"/>
        <v>#REF!</v>
      </c>
      <c r="T54" s="64">
        <f t="shared" si="15"/>
        <v>2739.25</v>
      </c>
      <c r="U54" s="65"/>
      <c r="V54" s="65"/>
      <c r="W54" s="66"/>
      <c r="X54" s="65"/>
      <c r="Y54" s="65"/>
      <c r="Z54" s="65"/>
      <c r="AA54" s="65"/>
    </row>
    <row r="55" spans="1:27" ht="22.5" hidden="1" customHeight="1" outlineLevel="2" x14ac:dyDescent="0.2">
      <c r="A55" s="62" t="e">
        <f>#REF!</f>
        <v>#REF!</v>
      </c>
      <c r="B55" s="22" t="e">
        <f t="shared" si="1"/>
        <v>#REF!</v>
      </c>
      <c r="C55" s="28">
        <f t="shared" si="6"/>
        <v>1097</v>
      </c>
      <c r="D55" s="39">
        <v>-2206</v>
      </c>
      <c r="E55" s="28">
        <v>3303</v>
      </c>
      <c r="F55" s="22">
        <f t="shared" si="7"/>
        <v>453</v>
      </c>
      <c r="G55" s="22" t="e">
        <f t="shared" si="2"/>
        <v>#REF!</v>
      </c>
      <c r="H55" s="28">
        <f t="shared" si="8"/>
        <v>956</v>
      </c>
      <c r="I55" s="39">
        <v>-1553</v>
      </c>
      <c r="J55" s="28">
        <v>2509</v>
      </c>
      <c r="K55" s="22">
        <f t="shared" si="9"/>
        <v>597</v>
      </c>
      <c r="L55" s="22" t="e">
        <f t="shared" si="3"/>
        <v>#REF!</v>
      </c>
      <c r="M55" s="28">
        <f t="shared" si="10"/>
        <v>1074</v>
      </c>
      <c r="N55" s="39">
        <v>-1562</v>
      </c>
      <c r="O55" s="28">
        <v>2636</v>
      </c>
      <c r="P55" s="22">
        <f t="shared" si="11"/>
        <v>455</v>
      </c>
      <c r="Q55" s="36"/>
      <c r="R55" s="30"/>
      <c r="S55" s="63" t="e">
        <f t="shared" si="14"/>
        <v>#REF!</v>
      </c>
      <c r="T55" s="64">
        <f t="shared" si="15"/>
        <v>2739.25</v>
      </c>
      <c r="U55" s="65"/>
      <c r="V55" s="65"/>
      <c r="W55" s="66"/>
      <c r="X55" s="65"/>
      <c r="Y55" s="65"/>
      <c r="Z55" s="65"/>
      <c r="AA55" s="65"/>
    </row>
    <row r="56" spans="1:27" ht="22.5" hidden="1" customHeight="1" outlineLevel="2" x14ac:dyDescent="0.2">
      <c r="A56" s="62" t="e">
        <f>#REF!</f>
        <v>#REF!</v>
      </c>
      <c r="B56" s="22" t="e">
        <f t="shared" si="1"/>
        <v>#REF!</v>
      </c>
      <c r="C56" s="28">
        <f t="shared" si="6"/>
        <v>1094</v>
      </c>
      <c r="D56" s="39">
        <v>-2209</v>
      </c>
      <c r="E56" s="28">
        <v>3303</v>
      </c>
      <c r="F56" s="22">
        <f t="shared" si="7"/>
        <v>456</v>
      </c>
      <c r="G56" s="22" t="e">
        <f t="shared" si="2"/>
        <v>#REF!</v>
      </c>
      <c r="H56" s="28">
        <f t="shared" si="8"/>
        <v>947</v>
      </c>
      <c r="I56" s="39">
        <v>-1562</v>
      </c>
      <c r="J56" s="28">
        <v>2509</v>
      </c>
      <c r="K56" s="22">
        <f t="shared" si="9"/>
        <v>606</v>
      </c>
      <c r="L56" s="22" t="e">
        <f t="shared" si="3"/>
        <v>#REF!</v>
      </c>
      <c r="M56" s="28">
        <f t="shared" si="10"/>
        <v>1066</v>
      </c>
      <c r="N56" s="39">
        <v>-1570</v>
      </c>
      <c r="O56" s="28">
        <v>2636</v>
      </c>
      <c r="P56" s="22">
        <f t="shared" si="11"/>
        <v>463</v>
      </c>
      <c r="Q56" s="36"/>
      <c r="R56" s="30"/>
      <c r="S56" s="63" t="e">
        <f t="shared" si="14"/>
        <v>#REF!</v>
      </c>
      <c r="T56" s="64">
        <f t="shared" si="15"/>
        <v>2739.25</v>
      </c>
      <c r="U56" s="65"/>
      <c r="V56" s="65"/>
      <c r="W56" s="66"/>
      <c r="X56" s="65"/>
      <c r="Y56" s="65"/>
      <c r="Z56" s="65"/>
      <c r="AA56" s="65"/>
    </row>
    <row r="57" spans="1:27" ht="22.5" hidden="1" customHeight="1" outlineLevel="2" x14ac:dyDescent="0.2">
      <c r="A57" s="62" t="e">
        <f>#REF!</f>
        <v>#REF!</v>
      </c>
      <c r="B57" s="22" t="e">
        <f t="shared" si="1"/>
        <v>#REF!</v>
      </c>
      <c r="C57" s="28">
        <f t="shared" si="6"/>
        <v>1091</v>
      </c>
      <c r="D57" s="39">
        <v>-2212</v>
      </c>
      <c r="E57" s="28">
        <v>3303</v>
      </c>
      <c r="F57" s="22">
        <f t="shared" si="7"/>
        <v>459</v>
      </c>
      <c r="G57" s="22" t="e">
        <f t="shared" si="2"/>
        <v>#REF!</v>
      </c>
      <c r="H57" s="28">
        <f t="shared" si="8"/>
        <v>938</v>
      </c>
      <c r="I57" s="39">
        <v>-1571</v>
      </c>
      <c r="J57" s="28">
        <v>2509</v>
      </c>
      <c r="K57" s="22">
        <f t="shared" si="9"/>
        <v>615</v>
      </c>
      <c r="L57" s="22" t="e">
        <f t="shared" si="3"/>
        <v>#REF!</v>
      </c>
      <c r="M57" s="28">
        <f t="shared" si="10"/>
        <v>1059</v>
      </c>
      <c r="N57" s="39">
        <v>-1577</v>
      </c>
      <c r="O57" s="28">
        <v>2636</v>
      </c>
      <c r="P57" s="22">
        <f t="shared" si="11"/>
        <v>470</v>
      </c>
      <c r="Q57" s="36"/>
      <c r="R57" s="30"/>
      <c r="S57" s="69" t="e">
        <f t="shared" si="14"/>
        <v>#REF!</v>
      </c>
      <c r="T57" s="70">
        <f t="shared" si="15"/>
        <v>2739.25</v>
      </c>
      <c r="U57" s="71"/>
      <c r="V57" s="71"/>
      <c r="W57" s="72"/>
      <c r="X57" s="71"/>
      <c r="Y57" s="71"/>
      <c r="Z57" s="71"/>
      <c r="AA57" s="71"/>
    </row>
    <row r="58" spans="1:27" ht="22.5" customHeight="1" outlineLevel="1" collapsed="1" x14ac:dyDescent="0.2">
      <c r="A58" s="62" t="e">
        <f>#REF!</f>
        <v>#REF!</v>
      </c>
      <c r="B58" s="22" t="e">
        <f t="shared" si="1"/>
        <v>#REF!</v>
      </c>
      <c r="C58" s="28">
        <f t="shared" si="6"/>
        <v>1088</v>
      </c>
      <c r="D58" s="39">
        <v>-2215</v>
      </c>
      <c r="E58" s="28">
        <v>3303</v>
      </c>
      <c r="F58" s="22">
        <f t="shared" si="7"/>
        <v>462</v>
      </c>
      <c r="G58" s="22" t="e">
        <f t="shared" si="2"/>
        <v>#REF!</v>
      </c>
      <c r="H58" s="28">
        <f t="shared" si="8"/>
        <v>929</v>
      </c>
      <c r="I58" s="39">
        <v>-1580</v>
      </c>
      <c r="J58" s="28">
        <v>2509</v>
      </c>
      <c r="K58" s="22">
        <f t="shared" si="9"/>
        <v>624</v>
      </c>
      <c r="L58" s="22" t="e">
        <f t="shared" si="3"/>
        <v>#REF!</v>
      </c>
      <c r="M58" s="28">
        <f t="shared" si="10"/>
        <v>1052</v>
      </c>
      <c r="N58" s="39">
        <v>-1584</v>
      </c>
      <c r="O58" s="28">
        <v>2636</v>
      </c>
      <c r="P58" s="22">
        <f t="shared" si="11"/>
        <v>477</v>
      </c>
      <c r="Q58" s="36"/>
      <c r="R58" s="30"/>
      <c r="S58" s="69" t="e">
        <f t="shared" si="14"/>
        <v>#REF!</v>
      </c>
      <c r="T58" s="70">
        <f t="shared" si="15"/>
        <v>2739.25</v>
      </c>
      <c r="U58" s="71"/>
      <c r="V58" s="71"/>
      <c r="W58" s="72"/>
      <c r="X58" s="71"/>
      <c r="Y58" s="71"/>
      <c r="Z58" s="71"/>
      <c r="AA58" s="71"/>
    </row>
    <row r="59" spans="1:27" ht="22.5" customHeight="1" outlineLevel="1" x14ac:dyDescent="0.2">
      <c r="A59" s="62" t="e">
        <f>#REF!</f>
        <v>#REF!</v>
      </c>
      <c r="B59" s="22" t="e">
        <f t="shared" si="1"/>
        <v>#REF!</v>
      </c>
      <c r="C59" s="28">
        <f t="shared" si="6"/>
        <v>1085</v>
      </c>
      <c r="D59" s="39">
        <v>-2218</v>
      </c>
      <c r="E59" s="28">
        <v>3303</v>
      </c>
      <c r="F59" s="22">
        <f t="shared" si="7"/>
        <v>465</v>
      </c>
      <c r="G59" s="22" t="e">
        <f t="shared" si="2"/>
        <v>#REF!</v>
      </c>
      <c r="H59" s="28">
        <f t="shared" si="8"/>
        <v>920</v>
      </c>
      <c r="I59" s="39">
        <v>-1589</v>
      </c>
      <c r="J59" s="28">
        <v>2509</v>
      </c>
      <c r="K59" s="22">
        <f t="shared" si="9"/>
        <v>633</v>
      </c>
      <c r="L59" s="22" t="e">
        <f t="shared" si="3"/>
        <v>#REF!</v>
      </c>
      <c r="M59" s="28">
        <f t="shared" si="10"/>
        <v>1045</v>
      </c>
      <c r="N59" s="39">
        <v>-1591</v>
      </c>
      <c r="O59" s="28">
        <v>2636</v>
      </c>
      <c r="P59" s="22">
        <f t="shared" si="11"/>
        <v>484</v>
      </c>
      <c r="Q59" s="36"/>
      <c r="R59" s="30"/>
      <c r="S59" s="69" t="e">
        <f t="shared" si="14"/>
        <v>#REF!</v>
      </c>
      <c r="T59" s="70">
        <f t="shared" si="15"/>
        <v>2739.25</v>
      </c>
      <c r="U59" s="71"/>
      <c r="V59" s="71"/>
      <c r="W59" s="72"/>
      <c r="X59" s="71"/>
      <c r="Y59" s="71"/>
      <c r="Z59" s="71"/>
      <c r="AA59" s="71"/>
    </row>
    <row r="60" spans="1:27" ht="22.5" hidden="1" customHeight="1" outlineLevel="2" x14ac:dyDescent="0.2">
      <c r="A60" s="62" t="e">
        <f>#REF!</f>
        <v>#REF!</v>
      </c>
      <c r="B60" s="22" t="e">
        <f t="shared" si="1"/>
        <v>#REF!</v>
      </c>
      <c r="C60" s="28">
        <f t="shared" si="6"/>
        <v>1082</v>
      </c>
      <c r="D60" s="39">
        <v>-2221</v>
      </c>
      <c r="E60" s="28">
        <v>3303</v>
      </c>
      <c r="F60" s="22">
        <f t="shared" si="7"/>
        <v>468</v>
      </c>
      <c r="G60" s="22" t="e">
        <f t="shared" si="2"/>
        <v>#REF!</v>
      </c>
      <c r="H60" s="28">
        <f t="shared" si="8"/>
        <v>912</v>
      </c>
      <c r="I60" s="39">
        <v>-1597</v>
      </c>
      <c r="J60" s="28">
        <v>2509</v>
      </c>
      <c r="K60" s="22">
        <f t="shared" si="9"/>
        <v>641</v>
      </c>
      <c r="L60" s="22" t="e">
        <f t="shared" si="3"/>
        <v>#REF!</v>
      </c>
      <c r="M60" s="28">
        <f t="shared" si="10"/>
        <v>1038</v>
      </c>
      <c r="N60" s="39">
        <v>-1598</v>
      </c>
      <c r="O60" s="28">
        <v>2636</v>
      </c>
      <c r="P60" s="22">
        <f t="shared" si="11"/>
        <v>491</v>
      </c>
      <c r="Q60" s="36"/>
      <c r="R60" s="30"/>
      <c r="S60" s="69" t="e">
        <f t="shared" si="14"/>
        <v>#REF!</v>
      </c>
      <c r="T60" s="70">
        <f t="shared" si="15"/>
        <v>2739.25</v>
      </c>
      <c r="U60" s="71"/>
      <c r="V60" s="71"/>
      <c r="W60" s="72"/>
      <c r="X60" s="71"/>
      <c r="Y60" s="71"/>
      <c r="Z60" s="71"/>
      <c r="AA60" s="71"/>
    </row>
    <row r="61" spans="1:27" ht="22.5" hidden="1" customHeight="1" outlineLevel="2" x14ac:dyDescent="0.2">
      <c r="A61" s="62" t="e">
        <f>#REF!</f>
        <v>#REF!</v>
      </c>
      <c r="B61" s="22" t="e">
        <f t="shared" si="1"/>
        <v>#REF!</v>
      </c>
      <c r="C61" s="28">
        <f t="shared" si="6"/>
        <v>1078</v>
      </c>
      <c r="D61" s="39">
        <v>-2225</v>
      </c>
      <c r="E61" s="28">
        <v>3303</v>
      </c>
      <c r="F61" s="22">
        <f t="shared" si="7"/>
        <v>472</v>
      </c>
      <c r="G61" s="22" t="e">
        <f t="shared" si="2"/>
        <v>#REF!</v>
      </c>
      <c r="H61" s="28">
        <f t="shared" si="8"/>
        <v>903</v>
      </c>
      <c r="I61" s="39">
        <v>-1606</v>
      </c>
      <c r="J61" s="28">
        <v>2509</v>
      </c>
      <c r="K61" s="22">
        <f t="shared" si="9"/>
        <v>650</v>
      </c>
      <c r="L61" s="22" t="e">
        <f t="shared" si="3"/>
        <v>#REF!</v>
      </c>
      <c r="M61" s="28">
        <f t="shared" si="10"/>
        <v>1031</v>
      </c>
      <c r="N61" s="39">
        <v>-1605</v>
      </c>
      <c r="O61" s="28">
        <v>2636</v>
      </c>
      <c r="P61" s="22">
        <f t="shared" si="11"/>
        <v>498</v>
      </c>
      <c r="Q61" s="36"/>
      <c r="R61" s="30"/>
      <c r="S61" s="69" t="e">
        <f t="shared" si="14"/>
        <v>#REF!</v>
      </c>
      <c r="T61" s="70">
        <f t="shared" si="15"/>
        <v>2739.25</v>
      </c>
      <c r="U61" s="71"/>
      <c r="V61" s="71"/>
      <c r="W61" s="72"/>
      <c r="X61" s="71"/>
      <c r="Y61" s="71"/>
      <c r="Z61" s="71"/>
      <c r="AA61" s="71"/>
    </row>
    <row r="62" spans="1:27" ht="22.5" hidden="1" customHeight="1" outlineLevel="2" x14ac:dyDescent="0.2">
      <c r="A62" s="62" t="e">
        <f>#REF!</f>
        <v>#REF!</v>
      </c>
      <c r="B62" s="22" t="e">
        <f t="shared" si="1"/>
        <v>#REF!</v>
      </c>
      <c r="C62" s="28">
        <f t="shared" si="6"/>
        <v>1068</v>
      </c>
      <c r="D62" s="39">
        <v>-2235</v>
      </c>
      <c r="E62" s="28">
        <v>3303</v>
      </c>
      <c r="F62" s="22">
        <f t="shared" si="7"/>
        <v>482</v>
      </c>
      <c r="G62" s="22" t="e">
        <f t="shared" si="2"/>
        <v>#REF!</v>
      </c>
      <c r="H62" s="28">
        <f t="shared" si="8"/>
        <v>894</v>
      </c>
      <c r="I62" s="39">
        <v>-1615</v>
      </c>
      <c r="J62" s="28">
        <v>2509</v>
      </c>
      <c r="K62" s="22">
        <f t="shared" si="9"/>
        <v>659</v>
      </c>
      <c r="L62" s="22" t="e">
        <f t="shared" si="3"/>
        <v>#REF!</v>
      </c>
      <c r="M62" s="28">
        <f t="shared" si="10"/>
        <v>1022</v>
      </c>
      <c r="N62" s="39">
        <v>-1614</v>
      </c>
      <c r="O62" s="28">
        <v>2636</v>
      </c>
      <c r="P62" s="22">
        <f t="shared" si="11"/>
        <v>507</v>
      </c>
      <c r="Q62" s="36"/>
      <c r="R62" s="30"/>
      <c r="S62" s="69" t="e">
        <f t="shared" si="14"/>
        <v>#REF!</v>
      </c>
      <c r="T62" s="70">
        <f t="shared" si="15"/>
        <v>2739.25</v>
      </c>
      <c r="U62" s="71"/>
      <c r="V62" s="71"/>
      <c r="W62" s="72"/>
      <c r="X62" s="71"/>
      <c r="Y62" s="71"/>
      <c r="Z62" s="71"/>
      <c r="AA62" s="71"/>
    </row>
    <row r="63" spans="1:27" ht="22.5" hidden="1" customHeight="1" outlineLevel="2" x14ac:dyDescent="0.2">
      <c r="A63" s="62" t="e">
        <f>#REF!</f>
        <v>#REF!</v>
      </c>
      <c r="B63" s="22" t="e">
        <f t="shared" si="1"/>
        <v>#REF!</v>
      </c>
      <c r="C63" s="28">
        <f t="shared" si="6"/>
        <v>1053</v>
      </c>
      <c r="D63" s="39">
        <v>-2250</v>
      </c>
      <c r="E63" s="28">
        <v>3303</v>
      </c>
      <c r="F63" s="22">
        <f t="shared" si="7"/>
        <v>497</v>
      </c>
      <c r="G63" s="22" t="e">
        <f t="shared" si="2"/>
        <v>#REF!</v>
      </c>
      <c r="H63" s="28">
        <f t="shared" si="8"/>
        <v>885</v>
      </c>
      <c r="I63" s="39">
        <v>-1624</v>
      </c>
      <c r="J63" s="28">
        <v>2509</v>
      </c>
      <c r="K63" s="22">
        <f t="shared" si="9"/>
        <v>668</v>
      </c>
      <c r="L63" s="22" t="e">
        <f t="shared" si="3"/>
        <v>#REF!</v>
      </c>
      <c r="M63" s="28">
        <f t="shared" si="10"/>
        <v>1013</v>
      </c>
      <c r="N63" s="39">
        <v>-1623</v>
      </c>
      <c r="O63" s="28">
        <v>2636</v>
      </c>
      <c r="P63" s="22">
        <f t="shared" si="11"/>
        <v>516</v>
      </c>
      <c r="Q63" s="36"/>
      <c r="R63" s="30"/>
      <c r="S63" s="69" t="e">
        <f t="shared" si="14"/>
        <v>#REF!</v>
      </c>
      <c r="T63" s="70">
        <f t="shared" si="15"/>
        <v>2739.25</v>
      </c>
      <c r="U63" s="71"/>
      <c r="V63" s="71"/>
      <c r="W63" s="72"/>
      <c r="X63" s="71"/>
      <c r="Y63" s="71"/>
      <c r="Z63" s="71"/>
      <c r="AA63" s="71"/>
    </row>
    <row r="64" spans="1:27" ht="22.5" hidden="1" customHeight="1" outlineLevel="2" x14ac:dyDescent="0.2">
      <c r="A64" s="62" t="e">
        <f>#REF!</f>
        <v>#REF!</v>
      </c>
      <c r="B64" s="22" t="e">
        <f t="shared" si="1"/>
        <v>#REF!</v>
      </c>
      <c r="C64" s="28">
        <f t="shared" si="6"/>
        <v>1047</v>
      </c>
      <c r="D64" s="39">
        <v>-2256</v>
      </c>
      <c r="E64" s="28">
        <v>3303</v>
      </c>
      <c r="F64" s="22">
        <f t="shared" si="7"/>
        <v>503</v>
      </c>
      <c r="G64" s="22" t="e">
        <f t="shared" si="2"/>
        <v>#REF!</v>
      </c>
      <c r="H64" s="28">
        <f t="shared" si="8"/>
        <v>879</v>
      </c>
      <c r="I64" s="39">
        <v>-1630</v>
      </c>
      <c r="J64" s="28">
        <v>2509</v>
      </c>
      <c r="K64" s="22">
        <f t="shared" si="9"/>
        <v>674</v>
      </c>
      <c r="L64" s="22" t="e">
        <f t="shared" si="3"/>
        <v>#REF!</v>
      </c>
      <c r="M64" s="28">
        <f t="shared" si="10"/>
        <v>1007</v>
      </c>
      <c r="N64" s="39">
        <v>-1629</v>
      </c>
      <c r="O64" s="28">
        <v>2636</v>
      </c>
      <c r="P64" s="22">
        <f t="shared" si="11"/>
        <v>522</v>
      </c>
      <c r="Q64" s="36"/>
      <c r="R64" s="30"/>
      <c r="S64" s="69" t="e">
        <f t="shared" si="14"/>
        <v>#REF!</v>
      </c>
      <c r="T64" s="70">
        <f t="shared" si="15"/>
        <v>2739.25</v>
      </c>
      <c r="U64" s="71"/>
      <c r="V64" s="71"/>
      <c r="W64" s="72"/>
      <c r="X64" s="71"/>
      <c r="Y64" s="71"/>
      <c r="Z64" s="71"/>
      <c r="AA64" s="71"/>
    </row>
    <row r="65" spans="1:27" ht="22.5" hidden="1" customHeight="1" outlineLevel="2" x14ac:dyDescent="0.2">
      <c r="A65" s="62" t="e">
        <f>#REF!</f>
        <v>#REF!</v>
      </c>
      <c r="B65" s="22" t="e">
        <f t="shared" si="1"/>
        <v>#REF!</v>
      </c>
      <c r="C65" s="28">
        <f t="shared" si="6"/>
        <v>1042</v>
      </c>
      <c r="D65" s="39">
        <v>-2261</v>
      </c>
      <c r="E65" s="28">
        <v>3303</v>
      </c>
      <c r="F65" s="22">
        <f t="shared" si="7"/>
        <v>508</v>
      </c>
      <c r="G65" s="22" t="e">
        <f t="shared" si="2"/>
        <v>#REF!</v>
      </c>
      <c r="H65" s="28">
        <f t="shared" si="8"/>
        <v>873</v>
      </c>
      <c r="I65" s="39">
        <v>-1636</v>
      </c>
      <c r="J65" s="28">
        <v>2509</v>
      </c>
      <c r="K65" s="22">
        <f t="shared" si="9"/>
        <v>680</v>
      </c>
      <c r="L65" s="22" t="e">
        <f t="shared" si="3"/>
        <v>#REF!</v>
      </c>
      <c r="M65" s="28">
        <f t="shared" si="10"/>
        <v>1002</v>
      </c>
      <c r="N65" s="39">
        <v>-1634</v>
      </c>
      <c r="O65" s="28">
        <v>2636</v>
      </c>
      <c r="P65" s="22">
        <f t="shared" si="11"/>
        <v>527</v>
      </c>
      <c r="Q65" s="36"/>
      <c r="R65" s="30"/>
      <c r="S65" s="69" t="e">
        <f t="shared" si="14"/>
        <v>#REF!</v>
      </c>
      <c r="T65" s="70">
        <f t="shared" si="15"/>
        <v>2739.25</v>
      </c>
      <c r="U65" s="71"/>
      <c r="V65" s="71"/>
      <c r="W65" s="72"/>
      <c r="X65" s="71"/>
      <c r="Y65" s="71"/>
      <c r="Z65" s="71"/>
      <c r="AA65" s="71"/>
    </row>
    <row r="66" spans="1:27" ht="22.5" hidden="1" customHeight="1" outlineLevel="2" x14ac:dyDescent="0.2">
      <c r="A66" s="62" t="e">
        <f>#REF!</f>
        <v>#REF!</v>
      </c>
      <c r="B66" s="22" t="e">
        <f t="shared" si="1"/>
        <v>#REF!</v>
      </c>
      <c r="C66" s="28">
        <f t="shared" si="6"/>
        <v>1027</v>
      </c>
      <c r="D66" s="39">
        <v>-2276</v>
      </c>
      <c r="E66" s="28">
        <v>3303</v>
      </c>
      <c r="F66" s="22">
        <f t="shared" si="7"/>
        <v>523</v>
      </c>
      <c r="G66" s="22" t="e">
        <f t="shared" si="2"/>
        <v>#REF!</v>
      </c>
      <c r="H66" s="28">
        <f t="shared" si="8"/>
        <v>868</v>
      </c>
      <c r="I66" s="39">
        <v>-1641</v>
      </c>
      <c r="J66" s="28">
        <v>2509</v>
      </c>
      <c r="K66" s="22">
        <f t="shared" si="9"/>
        <v>685</v>
      </c>
      <c r="L66" s="22" t="e">
        <f t="shared" si="3"/>
        <v>#REF!</v>
      </c>
      <c r="M66" s="28">
        <f t="shared" si="10"/>
        <v>997</v>
      </c>
      <c r="N66" s="39">
        <v>-1639</v>
      </c>
      <c r="O66" s="28">
        <v>2636</v>
      </c>
      <c r="P66" s="22">
        <f t="shared" si="11"/>
        <v>532</v>
      </c>
      <c r="Q66" s="36"/>
      <c r="R66" s="30"/>
      <c r="S66" s="69" t="e">
        <f t="shared" si="14"/>
        <v>#REF!</v>
      </c>
      <c r="T66" s="70">
        <f t="shared" si="15"/>
        <v>2739.25</v>
      </c>
      <c r="U66" s="71"/>
      <c r="V66" s="71"/>
      <c r="W66" s="72"/>
      <c r="X66" s="71"/>
      <c r="Y66" s="71"/>
      <c r="Z66" s="71"/>
      <c r="AA66" s="71"/>
    </row>
    <row r="67" spans="1:27" ht="22.5" hidden="1" customHeight="1" outlineLevel="2" x14ac:dyDescent="0.2">
      <c r="A67" s="62" t="e">
        <f>#REF!</f>
        <v>#REF!</v>
      </c>
      <c r="B67" s="22" t="e">
        <f t="shared" si="1"/>
        <v>#REF!</v>
      </c>
      <c r="C67" s="28">
        <f t="shared" si="6"/>
        <v>1013</v>
      </c>
      <c r="D67" s="39">
        <v>-2290</v>
      </c>
      <c r="E67" s="28">
        <v>3303</v>
      </c>
      <c r="F67" s="22">
        <f t="shared" si="7"/>
        <v>537</v>
      </c>
      <c r="G67" s="22" t="e">
        <f t="shared" si="2"/>
        <v>#REF!</v>
      </c>
      <c r="H67" s="28">
        <f t="shared" si="8"/>
        <v>861</v>
      </c>
      <c r="I67" s="39">
        <v>-1648</v>
      </c>
      <c r="J67" s="28">
        <v>2509</v>
      </c>
      <c r="K67" s="22">
        <f t="shared" si="9"/>
        <v>692</v>
      </c>
      <c r="L67" s="22" t="e">
        <f t="shared" si="3"/>
        <v>#REF!</v>
      </c>
      <c r="M67" s="28">
        <f t="shared" si="10"/>
        <v>994</v>
      </c>
      <c r="N67" s="39">
        <v>-1642</v>
      </c>
      <c r="O67" s="28">
        <v>2636</v>
      </c>
      <c r="P67" s="22">
        <f t="shared" si="11"/>
        <v>535</v>
      </c>
      <c r="Q67" s="36"/>
      <c r="R67" s="30"/>
      <c r="S67" s="69"/>
      <c r="T67" s="70"/>
      <c r="U67" s="71"/>
      <c r="V67" s="71"/>
      <c r="W67" s="72"/>
      <c r="X67" s="71"/>
      <c r="Y67" s="71"/>
      <c r="Z67" s="71"/>
      <c r="AA67" s="71"/>
    </row>
    <row r="68" spans="1:27" ht="22.5" hidden="1" customHeight="1" outlineLevel="2" x14ac:dyDescent="0.2">
      <c r="A68" s="62" t="e">
        <f>#REF!</f>
        <v>#REF!</v>
      </c>
      <c r="B68" s="22" t="e">
        <f t="shared" si="1"/>
        <v>#REF!</v>
      </c>
      <c r="C68" s="28">
        <f t="shared" si="6"/>
        <v>1000</v>
      </c>
      <c r="D68" s="39">
        <v>-2303</v>
      </c>
      <c r="E68" s="28">
        <v>3303</v>
      </c>
      <c r="F68" s="22">
        <f t="shared" si="7"/>
        <v>550</v>
      </c>
      <c r="G68" s="22" t="e">
        <f t="shared" si="2"/>
        <v>#REF!</v>
      </c>
      <c r="H68" s="28">
        <f t="shared" si="8"/>
        <v>855</v>
      </c>
      <c r="I68" s="39">
        <v>-1654</v>
      </c>
      <c r="J68" s="28">
        <v>2509</v>
      </c>
      <c r="K68" s="22">
        <f t="shared" si="9"/>
        <v>698</v>
      </c>
      <c r="L68" s="22" t="e">
        <f t="shared" si="3"/>
        <v>#REF!</v>
      </c>
      <c r="M68" s="28">
        <f t="shared" si="10"/>
        <v>991</v>
      </c>
      <c r="N68" s="39">
        <v>-1645</v>
      </c>
      <c r="O68" s="28">
        <v>2636</v>
      </c>
      <c r="P68" s="22">
        <f t="shared" si="11"/>
        <v>538</v>
      </c>
      <c r="Q68" s="36"/>
      <c r="R68" s="30"/>
      <c r="S68" s="73" t="e">
        <f t="shared" ref="S68:S100" si="16">+A68</f>
        <v>#REF!</v>
      </c>
      <c r="T68" s="74">
        <f>+(E68+2*J68+O68)/4</f>
        <v>2739.25</v>
      </c>
      <c r="U68" s="75"/>
      <c r="V68" s="75"/>
      <c r="W68" s="76"/>
      <c r="X68" s="75"/>
      <c r="Y68" s="75"/>
      <c r="Z68" s="75"/>
      <c r="AA68" s="75"/>
    </row>
    <row r="69" spans="1:27" ht="22.5" hidden="1" customHeight="1" outlineLevel="2" x14ac:dyDescent="0.2">
      <c r="A69" s="62" t="e">
        <f>#REF!</f>
        <v>#REF!</v>
      </c>
      <c r="B69" s="22" t="e">
        <f t="shared" si="1"/>
        <v>#REF!</v>
      </c>
      <c r="C69" s="28">
        <f t="shared" si="6"/>
        <v>990</v>
      </c>
      <c r="D69" s="39">
        <v>-2313</v>
      </c>
      <c r="E69" s="28">
        <v>3303</v>
      </c>
      <c r="F69" s="22">
        <f t="shared" si="7"/>
        <v>560</v>
      </c>
      <c r="G69" s="22" t="e">
        <f t="shared" si="2"/>
        <v>#REF!</v>
      </c>
      <c r="H69" s="28">
        <f t="shared" si="8"/>
        <v>851</v>
      </c>
      <c r="I69" s="39">
        <v>-1658</v>
      </c>
      <c r="J69" s="28">
        <v>2509</v>
      </c>
      <c r="K69" s="22">
        <f t="shared" si="9"/>
        <v>702</v>
      </c>
      <c r="L69" s="22" t="e">
        <f t="shared" si="3"/>
        <v>#REF!</v>
      </c>
      <c r="M69" s="28">
        <f t="shared" si="10"/>
        <v>988</v>
      </c>
      <c r="N69" s="39">
        <v>-1648</v>
      </c>
      <c r="O69" s="28">
        <v>2636</v>
      </c>
      <c r="P69" s="22">
        <f t="shared" si="11"/>
        <v>541</v>
      </c>
      <c r="Q69" s="36"/>
      <c r="R69" s="30"/>
      <c r="S69" s="69" t="e">
        <f t="shared" si="16"/>
        <v>#REF!</v>
      </c>
      <c r="T69" s="70">
        <f>+(E72+2*J69+O69)/4</f>
        <v>2739.25</v>
      </c>
      <c r="U69" s="71"/>
      <c r="V69" s="71"/>
      <c r="W69" s="72"/>
      <c r="X69" s="71"/>
      <c r="Y69" s="71"/>
      <c r="Z69" s="71"/>
      <c r="AA69" s="71"/>
    </row>
    <row r="70" spans="1:27" ht="22.5" hidden="1" customHeight="1" outlineLevel="2" x14ac:dyDescent="0.2">
      <c r="A70" s="62" t="e">
        <f>#REF!</f>
        <v>#REF!</v>
      </c>
      <c r="B70" s="22" t="e">
        <f t="shared" si="1"/>
        <v>#REF!</v>
      </c>
      <c r="C70" s="28">
        <f t="shared" si="6"/>
        <v>980</v>
      </c>
      <c r="D70" s="39">
        <v>-2323</v>
      </c>
      <c r="E70" s="28">
        <v>3303</v>
      </c>
      <c r="F70" s="22">
        <f t="shared" si="7"/>
        <v>570</v>
      </c>
      <c r="G70" s="22" t="e">
        <f t="shared" si="2"/>
        <v>#REF!</v>
      </c>
      <c r="H70" s="28">
        <f t="shared" si="8"/>
        <v>840</v>
      </c>
      <c r="I70" s="39">
        <v>-1669</v>
      </c>
      <c r="J70" s="28">
        <v>2509</v>
      </c>
      <c r="K70" s="22">
        <f t="shared" si="9"/>
        <v>713</v>
      </c>
      <c r="L70" s="22" t="e">
        <f t="shared" si="3"/>
        <v>#REF!</v>
      </c>
      <c r="M70" s="28">
        <f t="shared" si="10"/>
        <v>979</v>
      </c>
      <c r="N70" s="39">
        <v>-1657</v>
      </c>
      <c r="O70" s="28">
        <v>2636</v>
      </c>
      <c r="P70" s="22">
        <f t="shared" si="11"/>
        <v>550</v>
      </c>
      <c r="Q70" s="36"/>
      <c r="R70" s="30"/>
      <c r="S70" s="69" t="e">
        <f t="shared" si="16"/>
        <v>#REF!</v>
      </c>
      <c r="T70" s="70">
        <f t="shared" ref="T70:T71" si="17">+(E70+2*J70+O70)/4</f>
        <v>2739.25</v>
      </c>
      <c r="U70" s="71"/>
      <c r="V70" s="71"/>
      <c r="W70" s="72"/>
      <c r="X70" s="71"/>
      <c r="Y70" s="71"/>
      <c r="Z70" s="71"/>
      <c r="AA70" s="71"/>
    </row>
    <row r="71" spans="1:27" ht="22.5" hidden="1" customHeight="1" outlineLevel="2" x14ac:dyDescent="0.2">
      <c r="A71" s="62" t="e">
        <f>#REF!</f>
        <v>#REF!</v>
      </c>
      <c r="B71" s="22" t="e">
        <f t="shared" si="1"/>
        <v>#REF!</v>
      </c>
      <c r="C71" s="28">
        <f t="shared" si="6"/>
        <v>970</v>
      </c>
      <c r="D71" s="39">
        <v>-2333</v>
      </c>
      <c r="E71" s="28">
        <v>3303</v>
      </c>
      <c r="F71" s="22">
        <f t="shared" si="7"/>
        <v>580</v>
      </c>
      <c r="G71" s="22" t="e">
        <f t="shared" si="2"/>
        <v>#REF!</v>
      </c>
      <c r="H71" s="28">
        <f t="shared" si="8"/>
        <v>830</v>
      </c>
      <c r="I71" s="39">
        <v>-1679</v>
      </c>
      <c r="J71" s="28">
        <v>2509</v>
      </c>
      <c r="K71" s="22">
        <f t="shared" si="9"/>
        <v>723</v>
      </c>
      <c r="L71" s="22" t="e">
        <f t="shared" si="3"/>
        <v>#REF!</v>
      </c>
      <c r="M71" s="28">
        <f t="shared" si="10"/>
        <v>969</v>
      </c>
      <c r="N71" s="39">
        <v>-1667</v>
      </c>
      <c r="O71" s="28">
        <v>2636</v>
      </c>
      <c r="P71" s="22">
        <f t="shared" si="11"/>
        <v>560</v>
      </c>
      <c r="Q71" s="36"/>
      <c r="R71" s="30"/>
      <c r="S71" s="69" t="e">
        <f t="shared" si="16"/>
        <v>#REF!</v>
      </c>
      <c r="T71" s="70">
        <f t="shared" si="17"/>
        <v>2739.25</v>
      </c>
      <c r="U71" s="71"/>
      <c r="V71" s="71"/>
      <c r="W71" s="72"/>
      <c r="X71" s="71"/>
      <c r="Y71" s="71"/>
      <c r="Z71" s="71"/>
      <c r="AA71" s="71"/>
    </row>
    <row r="72" spans="1:27" ht="22.5" hidden="1" customHeight="1" outlineLevel="2" x14ac:dyDescent="0.2">
      <c r="A72" s="62" t="e">
        <f>#REF!</f>
        <v>#REF!</v>
      </c>
      <c r="B72" s="22" t="e">
        <f t="shared" si="1"/>
        <v>#REF!</v>
      </c>
      <c r="C72" s="28">
        <f t="shared" si="6"/>
        <v>960</v>
      </c>
      <c r="D72" s="39">
        <v>-2343</v>
      </c>
      <c r="E72" s="28">
        <v>3303</v>
      </c>
      <c r="F72" s="22">
        <f t="shared" si="7"/>
        <v>590</v>
      </c>
      <c r="G72" s="22" t="e">
        <f t="shared" si="2"/>
        <v>#REF!</v>
      </c>
      <c r="H72" s="28">
        <f t="shared" si="8"/>
        <v>820</v>
      </c>
      <c r="I72" s="39">
        <v>-1689</v>
      </c>
      <c r="J72" s="28">
        <v>2509</v>
      </c>
      <c r="K72" s="22">
        <f t="shared" si="9"/>
        <v>733</v>
      </c>
      <c r="L72" s="22" t="e">
        <f t="shared" si="3"/>
        <v>#REF!</v>
      </c>
      <c r="M72" s="28">
        <f t="shared" si="10"/>
        <v>958</v>
      </c>
      <c r="N72" s="39">
        <v>-1678</v>
      </c>
      <c r="O72" s="28">
        <v>2636</v>
      </c>
      <c r="P72" s="22">
        <f t="shared" si="11"/>
        <v>571</v>
      </c>
      <c r="Q72" s="36"/>
      <c r="R72" s="30"/>
      <c r="S72" s="69" t="e">
        <f t="shared" si="16"/>
        <v>#REF!</v>
      </c>
      <c r="T72" s="70" t="e">
        <f>+(#REF!+2*J72+O72)/4</f>
        <v>#REF!</v>
      </c>
      <c r="U72" s="71"/>
      <c r="V72" s="71"/>
      <c r="W72" s="72"/>
      <c r="X72" s="71"/>
      <c r="Y72" s="71"/>
      <c r="Z72" s="71"/>
      <c r="AA72" s="71"/>
    </row>
    <row r="73" spans="1:27" ht="22.5" hidden="1" customHeight="1" outlineLevel="2" x14ac:dyDescent="0.2">
      <c r="A73" s="62" t="e">
        <f>#REF!</f>
        <v>#REF!</v>
      </c>
      <c r="B73" s="22" t="e">
        <f t="shared" si="1"/>
        <v>#REF!</v>
      </c>
      <c r="C73" s="28">
        <f t="shared" si="6"/>
        <v>956</v>
      </c>
      <c r="D73" s="39">
        <v>-2347</v>
      </c>
      <c r="E73" s="28">
        <v>3303</v>
      </c>
      <c r="F73" s="22">
        <f t="shared" si="7"/>
        <v>594</v>
      </c>
      <c r="G73" s="22" t="e">
        <f t="shared" si="2"/>
        <v>#REF!</v>
      </c>
      <c r="H73" s="28">
        <f t="shared" si="8"/>
        <v>815</v>
      </c>
      <c r="I73" s="39">
        <v>-1694</v>
      </c>
      <c r="J73" s="28">
        <v>2509</v>
      </c>
      <c r="K73" s="22">
        <f t="shared" si="9"/>
        <v>738</v>
      </c>
      <c r="L73" s="22" t="e">
        <f t="shared" si="3"/>
        <v>#REF!</v>
      </c>
      <c r="M73" s="28">
        <f t="shared" si="10"/>
        <v>952</v>
      </c>
      <c r="N73" s="39">
        <v>-1684</v>
      </c>
      <c r="O73" s="28">
        <v>2636</v>
      </c>
      <c r="P73" s="22">
        <f t="shared" si="11"/>
        <v>577</v>
      </c>
      <c r="Q73" s="36"/>
      <c r="R73" s="30"/>
      <c r="S73" s="69" t="e">
        <f t="shared" si="16"/>
        <v>#REF!</v>
      </c>
      <c r="T73" s="70">
        <f t="shared" ref="T73:T100" si="18">+(E73+2*J73+O73)/4</f>
        <v>2739.25</v>
      </c>
      <c r="U73" s="71"/>
      <c r="V73" s="71"/>
      <c r="W73" s="72"/>
      <c r="X73" s="71"/>
      <c r="Y73" s="71"/>
      <c r="Z73" s="71"/>
      <c r="AA73" s="71"/>
    </row>
    <row r="74" spans="1:27" ht="22.5" hidden="1" customHeight="1" outlineLevel="2" x14ac:dyDescent="0.2">
      <c r="A74" s="62" t="e">
        <f>#REF!</f>
        <v>#REF!</v>
      </c>
      <c r="B74" s="22" t="e">
        <f t="shared" si="1"/>
        <v>#REF!</v>
      </c>
      <c r="C74" s="28">
        <f t="shared" si="6"/>
        <v>953</v>
      </c>
      <c r="D74" s="39">
        <v>-2350</v>
      </c>
      <c r="E74" s="28">
        <v>3303</v>
      </c>
      <c r="F74" s="22">
        <f t="shared" si="7"/>
        <v>597</v>
      </c>
      <c r="G74" s="22" t="e">
        <f t="shared" si="2"/>
        <v>#REF!</v>
      </c>
      <c r="H74" s="28">
        <f t="shared" si="8"/>
        <v>810</v>
      </c>
      <c r="I74" s="39">
        <v>-1699</v>
      </c>
      <c r="J74" s="28">
        <v>2509</v>
      </c>
      <c r="K74" s="22">
        <f t="shared" si="9"/>
        <v>743</v>
      </c>
      <c r="L74" s="22" t="e">
        <f t="shared" si="3"/>
        <v>#REF!</v>
      </c>
      <c r="M74" s="28">
        <f t="shared" si="10"/>
        <v>947</v>
      </c>
      <c r="N74" s="39">
        <v>-1689</v>
      </c>
      <c r="O74" s="28">
        <v>2636</v>
      </c>
      <c r="P74" s="22">
        <f t="shared" si="11"/>
        <v>582</v>
      </c>
      <c r="Q74" s="36"/>
      <c r="R74" s="30"/>
      <c r="S74" s="69" t="e">
        <f t="shared" si="16"/>
        <v>#REF!</v>
      </c>
      <c r="T74" s="70">
        <f t="shared" si="18"/>
        <v>2739.25</v>
      </c>
      <c r="U74" s="71"/>
      <c r="V74" s="71"/>
      <c r="W74" s="72"/>
      <c r="X74" s="71"/>
      <c r="Y74" s="71"/>
      <c r="Z74" s="71"/>
      <c r="AA74" s="71"/>
    </row>
    <row r="75" spans="1:27" ht="22.5" hidden="1" customHeight="1" outlineLevel="2" x14ac:dyDescent="0.2">
      <c r="A75" s="62" t="e">
        <f>#REF!</f>
        <v>#REF!</v>
      </c>
      <c r="B75" s="22" t="e">
        <f t="shared" si="1"/>
        <v>#REF!</v>
      </c>
      <c r="C75" s="28">
        <f t="shared" si="6"/>
        <v>950</v>
      </c>
      <c r="D75" s="39">
        <v>-2353</v>
      </c>
      <c r="E75" s="28">
        <v>3303</v>
      </c>
      <c r="F75" s="22">
        <f t="shared" si="7"/>
        <v>600</v>
      </c>
      <c r="G75" s="22" t="e">
        <f t="shared" si="2"/>
        <v>#REF!</v>
      </c>
      <c r="H75" s="28">
        <f t="shared" si="8"/>
        <v>805</v>
      </c>
      <c r="I75" s="39">
        <v>-1704</v>
      </c>
      <c r="J75" s="28">
        <v>2509</v>
      </c>
      <c r="K75" s="22">
        <f t="shared" si="9"/>
        <v>748</v>
      </c>
      <c r="L75" s="22" t="e">
        <f t="shared" si="3"/>
        <v>#REF!</v>
      </c>
      <c r="M75" s="28">
        <f t="shared" si="10"/>
        <v>942</v>
      </c>
      <c r="N75" s="39">
        <v>-1694</v>
      </c>
      <c r="O75" s="28">
        <v>2636</v>
      </c>
      <c r="P75" s="22">
        <f t="shared" si="11"/>
        <v>587</v>
      </c>
      <c r="Q75" s="36"/>
      <c r="R75" s="30"/>
      <c r="S75" s="69" t="e">
        <f t="shared" si="16"/>
        <v>#REF!</v>
      </c>
      <c r="T75" s="70">
        <f t="shared" si="18"/>
        <v>2739.25</v>
      </c>
      <c r="U75" s="71"/>
      <c r="V75" s="71"/>
      <c r="W75" s="72"/>
      <c r="X75" s="71"/>
      <c r="Y75" s="71"/>
      <c r="Z75" s="71"/>
      <c r="AA75" s="71"/>
    </row>
    <row r="76" spans="1:27" ht="22.5" hidden="1" customHeight="1" outlineLevel="2" x14ac:dyDescent="0.2">
      <c r="A76" s="62" t="e">
        <f>#REF!</f>
        <v>#REF!</v>
      </c>
      <c r="B76" s="22" t="e">
        <f t="shared" si="1"/>
        <v>#REF!</v>
      </c>
      <c r="C76" s="28">
        <f t="shared" si="6"/>
        <v>946</v>
      </c>
      <c r="D76" s="39">
        <v>-2357</v>
      </c>
      <c r="E76" s="28">
        <v>3303</v>
      </c>
      <c r="F76" s="22">
        <f t="shared" si="7"/>
        <v>604</v>
      </c>
      <c r="G76" s="22" t="e">
        <f t="shared" si="2"/>
        <v>#REF!</v>
      </c>
      <c r="H76" s="28">
        <f t="shared" si="8"/>
        <v>803</v>
      </c>
      <c r="I76" s="39">
        <v>-1706</v>
      </c>
      <c r="J76" s="28">
        <v>2509</v>
      </c>
      <c r="K76" s="22">
        <f t="shared" si="9"/>
        <v>750</v>
      </c>
      <c r="L76" s="22" t="e">
        <f t="shared" si="3"/>
        <v>#REF!</v>
      </c>
      <c r="M76" s="28">
        <f t="shared" si="10"/>
        <v>940</v>
      </c>
      <c r="N76" s="39">
        <v>-1696</v>
      </c>
      <c r="O76" s="28">
        <v>2636</v>
      </c>
      <c r="P76" s="22">
        <f t="shared" si="11"/>
        <v>589</v>
      </c>
      <c r="Q76" s="36"/>
      <c r="R76" s="30"/>
      <c r="S76" s="69" t="e">
        <f t="shared" si="16"/>
        <v>#REF!</v>
      </c>
      <c r="T76" s="70">
        <f t="shared" si="18"/>
        <v>2739.25</v>
      </c>
      <c r="U76" s="71"/>
      <c r="V76" s="71"/>
      <c r="W76" s="72"/>
      <c r="X76" s="71"/>
      <c r="Y76" s="71"/>
      <c r="Z76" s="71"/>
      <c r="AA76" s="71"/>
    </row>
    <row r="77" spans="1:27" ht="22.5" hidden="1" customHeight="1" outlineLevel="2" x14ac:dyDescent="0.2">
      <c r="A77" s="62" t="e">
        <f>#REF!</f>
        <v>#REF!</v>
      </c>
      <c r="B77" s="22" t="e">
        <f t="shared" si="1"/>
        <v>#REF!</v>
      </c>
      <c r="C77" s="28">
        <f t="shared" si="6"/>
        <v>943</v>
      </c>
      <c r="D77" s="39">
        <v>-2360</v>
      </c>
      <c r="E77" s="28">
        <v>3303</v>
      </c>
      <c r="F77" s="22">
        <f t="shared" si="7"/>
        <v>607</v>
      </c>
      <c r="G77" s="22" t="e">
        <f t="shared" si="2"/>
        <v>#REF!</v>
      </c>
      <c r="H77" s="28">
        <f t="shared" si="8"/>
        <v>801</v>
      </c>
      <c r="I77" s="39">
        <v>-1708</v>
      </c>
      <c r="J77" s="28">
        <v>2509</v>
      </c>
      <c r="K77" s="22">
        <f t="shared" si="9"/>
        <v>752</v>
      </c>
      <c r="L77" s="22" t="e">
        <f t="shared" si="3"/>
        <v>#REF!</v>
      </c>
      <c r="M77" s="28">
        <f t="shared" si="10"/>
        <v>938</v>
      </c>
      <c r="N77" s="39">
        <v>-1698</v>
      </c>
      <c r="O77" s="28">
        <v>2636</v>
      </c>
      <c r="P77" s="22">
        <f t="shared" si="11"/>
        <v>591</v>
      </c>
      <c r="Q77" s="36"/>
      <c r="R77" s="30"/>
      <c r="S77" s="69" t="e">
        <f t="shared" si="16"/>
        <v>#REF!</v>
      </c>
      <c r="T77" s="70">
        <f t="shared" si="18"/>
        <v>2739.25</v>
      </c>
      <c r="U77" s="71"/>
      <c r="V77" s="71"/>
      <c r="W77" s="72"/>
      <c r="X77" s="71"/>
      <c r="Y77" s="71"/>
      <c r="Z77" s="71"/>
      <c r="AA77" s="71"/>
    </row>
    <row r="78" spans="1:27" ht="22.5" hidden="1" customHeight="1" outlineLevel="2" x14ac:dyDescent="0.2">
      <c r="A78" s="62" t="e">
        <f>#REF!</f>
        <v>#REF!</v>
      </c>
      <c r="B78" s="22" t="e">
        <f t="shared" si="1"/>
        <v>#REF!</v>
      </c>
      <c r="C78" s="28">
        <f t="shared" si="6"/>
        <v>940</v>
      </c>
      <c r="D78" s="39">
        <v>-2363</v>
      </c>
      <c r="E78" s="28">
        <v>3303</v>
      </c>
      <c r="F78" s="22">
        <f t="shared" si="7"/>
        <v>610</v>
      </c>
      <c r="G78" s="22" t="e">
        <f t="shared" si="2"/>
        <v>#REF!</v>
      </c>
      <c r="H78" s="28">
        <f t="shared" si="8"/>
        <v>800</v>
      </c>
      <c r="I78" s="39">
        <v>-1709</v>
      </c>
      <c r="J78" s="28">
        <v>2509</v>
      </c>
      <c r="K78" s="22">
        <f t="shared" si="9"/>
        <v>753</v>
      </c>
      <c r="L78" s="22" t="e">
        <f t="shared" si="3"/>
        <v>#REF!</v>
      </c>
      <c r="M78" s="28">
        <f t="shared" si="10"/>
        <v>937</v>
      </c>
      <c r="N78" s="39">
        <v>-1699</v>
      </c>
      <c r="O78" s="28">
        <v>2636</v>
      </c>
      <c r="P78" s="22">
        <f t="shared" si="11"/>
        <v>592</v>
      </c>
      <c r="Q78" s="36"/>
      <c r="R78" s="30"/>
      <c r="S78" s="69" t="e">
        <f t="shared" si="16"/>
        <v>#REF!</v>
      </c>
      <c r="T78" s="70">
        <f t="shared" si="18"/>
        <v>2739.25</v>
      </c>
      <c r="U78" s="71"/>
      <c r="V78" s="71"/>
      <c r="W78" s="72"/>
      <c r="X78" s="71"/>
      <c r="Y78" s="71"/>
      <c r="Z78" s="71"/>
      <c r="AA78" s="71"/>
    </row>
    <row r="79" spans="1:27" ht="22.5" hidden="1" customHeight="1" outlineLevel="2" x14ac:dyDescent="0.2">
      <c r="A79" s="62">
        <v>45709</v>
      </c>
      <c r="B79" s="22" t="e">
        <f t="shared" si="1"/>
        <v>#REF!</v>
      </c>
      <c r="C79" s="28">
        <f t="shared" si="6"/>
        <v>937</v>
      </c>
      <c r="D79" s="39">
        <v>-2366</v>
      </c>
      <c r="E79" s="28">
        <v>3303</v>
      </c>
      <c r="F79" s="22">
        <f t="shared" si="7"/>
        <v>613</v>
      </c>
      <c r="G79" s="22" t="e">
        <f t="shared" si="2"/>
        <v>#REF!</v>
      </c>
      <c r="H79" s="28">
        <f t="shared" si="8"/>
        <v>799</v>
      </c>
      <c r="I79" s="39">
        <v>-1710</v>
      </c>
      <c r="J79" s="28">
        <v>2509</v>
      </c>
      <c r="K79" s="22">
        <f t="shared" si="9"/>
        <v>754</v>
      </c>
      <c r="L79" s="22" t="e">
        <f t="shared" si="3"/>
        <v>#REF!</v>
      </c>
      <c r="M79" s="28">
        <f t="shared" si="10"/>
        <v>935</v>
      </c>
      <c r="N79" s="39">
        <v>-1701</v>
      </c>
      <c r="O79" s="28">
        <v>2636</v>
      </c>
      <c r="P79" s="22">
        <f t="shared" si="11"/>
        <v>594</v>
      </c>
      <c r="Q79" s="36"/>
      <c r="R79" s="30"/>
      <c r="S79" s="69">
        <f t="shared" si="16"/>
        <v>45709</v>
      </c>
      <c r="T79" s="70">
        <f t="shared" si="18"/>
        <v>2739.25</v>
      </c>
      <c r="U79" s="71"/>
      <c r="V79" s="71"/>
      <c r="W79" s="72"/>
      <c r="X79" s="71"/>
      <c r="Y79" s="71"/>
      <c r="Z79" s="71"/>
      <c r="AA79" s="71"/>
    </row>
    <row r="80" spans="1:27" ht="22.5" hidden="1" customHeight="1" outlineLevel="2" x14ac:dyDescent="0.2">
      <c r="A80" s="62">
        <v>45710</v>
      </c>
      <c r="B80" s="22" t="e">
        <f t="shared" si="1"/>
        <v>#REF!</v>
      </c>
      <c r="C80" s="28">
        <f t="shared" si="6"/>
        <v>934</v>
      </c>
      <c r="D80" s="39">
        <v>-2369</v>
      </c>
      <c r="E80" s="28">
        <v>3303</v>
      </c>
      <c r="F80" s="22">
        <f t="shared" si="7"/>
        <v>616</v>
      </c>
      <c r="G80" s="22" t="e">
        <f t="shared" si="2"/>
        <v>#REF!</v>
      </c>
      <c r="H80" s="28">
        <f t="shared" si="8"/>
        <v>798</v>
      </c>
      <c r="I80" s="39">
        <v>-1711</v>
      </c>
      <c r="J80" s="28">
        <v>2509</v>
      </c>
      <c r="K80" s="22">
        <f t="shared" si="9"/>
        <v>755</v>
      </c>
      <c r="L80" s="22" t="e">
        <f t="shared" si="3"/>
        <v>#REF!</v>
      </c>
      <c r="M80" s="28">
        <f t="shared" si="10"/>
        <v>933</v>
      </c>
      <c r="N80" s="39">
        <v>-1703</v>
      </c>
      <c r="O80" s="28">
        <v>2636</v>
      </c>
      <c r="P80" s="22">
        <f t="shared" si="11"/>
        <v>596</v>
      </c>
      <c r="Q80" s="36"/>
      <c r="R80" s="30"/>
      <c r="S80" s="69">
        <f t="shared" si="16"/>
        <v>45710</v>
      </c>
      <c r="T80" s="70">
        <f t="shared" si="18"/>
        <v>2739.25</v>
      </c>
      <c r="U80" s="71"/>
      <c r="V80" s="71"/>
      <c r="W80" s="72"/>
      <c r="X80" s="71"/>
      <c r="Y80" s="71"/>
      <c r="Z80" s="71"/>
      <c r="AA80" s="71"/>
    </row>
    <row r="81" spans="1:27" ht="22.5" hidden="1" customHeight="1" outlineLevel="2" x14ac:dyDescent="0.2">
      <c r="A81" s="62">
        <v>45711</v>
      </c>
      <c r="B81" s="22" t="e">
        <f t="shared" si="1"/>
        <v>#REF!</v>
      </c>
      <c r="C81" s="28">
        <f t="shared" si="6"/>
        <v>928</v>
      </c>
      <c r="D81" s="39">
        <v>-2375</v>
      </c>
      <c r="E81" s="28">
        <v>3303</v>
      </c>
      <c r="F81" s="22">
        <f t="shared" si="7"/>
        <v>622</v>
      </c>
      <c r="G81" s="22" t="e">
        <f t="shared" si="2"/>
        <v>#REF!</v>
      </c>
      <c r="H81" s="28">
        <f t="shared" si="8"/>
        <v>787</v>
      </c>
      <c r="I81" s="39">
        <v>-1722</v>
      </c>
      <c r="J81" s="28">
        <v>2509</v>
      </c>
      <c r="K81" s="22">
        <f t="shared" si="9"/>
        <v>766</v>
      </c>
      <c r="L81" s="22" t="e">
        <f t="shared" si="3"/>
        <v>#REF!</v>
      </c>
      <c r="M81" s="28">
        <f t="shared" si="10"/>
        <v>929</v>
      </c>
      <c r="N81" s="39">
        <v>-1707</v>
      </c>
      <c r="O81" s="28">
        <v>2636</v>
      </c>
      <c r="P81" s="22">
        <f t="shared" si="11"/>
        <v>600</v>
      </c>
      <c r="Q81" s="36"/>
      <c r="R81" s="30"/>
      <c r="S81" s="69">
        <f t="shared" si="16"/>
        <v>45711</v>
      </c>
      <c r="T81" s="70">
        <f t="shared" si="18"/>
        <v>2739.25</v>
      </c>
      <c r="U81" s="71"/>
      <c r="V81" s="71"/>
      <c r="W81" s="72"/>
      <c r="X81" s="71"/>
      <c r="Y81" s="71"/>
      <c r="Z81" s="71"/>
      <c r="AA81" s="71"/>
    </row>
    <row r="82" spans="1:27" ht="22.5" hidden="1" customHeight="1" outlineLevel="2" x14ac:dyDescent="0.2">
      <c r="A82" s="62">
        <v>45712</v>
      </c>
      <c r="B82" s="22" t="e">
        <f t="shared" si="1"/>
        <v>#REF!</v>
      </c>
      <c r="C82" s="28">
        <f t="shared" si="6"/>
        <v>923</v>
      </c>
      <c r="D82" s="39">
        <v>-2380</v>
      </c>
      <c r="E82" s="28">
        <v>3303</v>
      </c>
      <c r="F82" s="22">
        <f t="shared" si="7"/>
        <v>627</v>
      </c>
      <c r="G82" s="22" t="e">
        <f t="shared" si="2"/>
        <v>#REF!</v>
      </c>
      <c r="H82" s="28">
        <f t="shared" si="8"/>
        <v>776</v>
      </c>
      <c r="I82" s="39">
        <v>-1733</v>
      </c>
      <c r="J82" s="28">
        <v>2509</v>
      </c>
      <c r="K82" s="22">
        <f t="shared" si="9"/>
        <v>777</v>
      </c>
      <c r="L82" s="22" t="e">
        <f t="shared" si="3"/>
        <v>#REF!</v>
      </c>
      <c r="M82" s="28">
        <f t="shared" si="10"/>
        <v>922</v>
      </c>
      <c r="N82" s="39">
        <v>-1714</v>
      </c>
      <c r="O82" s="28">
        <v>2636</v>
      </c>
      <c r="P82" s="22">
        <f t="shared" si="11"/>
        <v>607</v>
      </c>
      <c r="Q82" s="36"/>
      <c r="R82" s="30"/>
      <c r="S82" s="69">
        <f t="shared" si="16"/>
        <v>45712</v>
      </c>
      <c r="T82" s="70">
        <f t="shared" si="18"/>
        <v>2739.25</v>
      </c>
      <c r="U82" s="71"/>
      <c r="V82" s="71"/>
      <c r="W82" s="72"/>
      <c r="X82" s="71"/>
      <c r="Y82" s="71"/>
      <c r="Z82" s="71"/>
      <c r="AA82" s="71"/>
    </row>
    <row r="83" spans="1:27" ht="22.5" hidden="1" customHeight="1" outlineLevel="2" x14ac:dyDescent="0.2">
      <c r="A83" s="62">
        <v>45713</v>
      </c>
      <c r="B83" s="22" t="e">
        <f t="shared" si="1"/>
        <v>#REF!</v>
      </c>
      <c r="C83" s="28">
        <f t="shared" si="6"/>
        <v>910</v>
      </c>
      <c r="D83" s="39">
        <v>-2393</v>
      </c>
      <c r="E83" s="28">
        <v>3303</v>
      </c>
      <c r="F83" s="22">
        <f t="shared" si="7"/>
        <v>640</v>
      </c>
      <c r="G83" s="22" t="e">
        <f t="shared" si="2"/>
        <v>#REF!</v>
      </c>
      <c r="H83" s="28">
        <f t="shared" si="8"/>
        <v>765</v>
      </c>
      <c r="I83" s="39">
        <v>-1744</v>
      </c>
      <c r="J83" s="28">
        <v>2509</v>
      </c>
      <c r="K83" s="22">
        <f t="shared" si="9"/>
        <v>788</v>
      </c>
      <c r="L83" s="22" t="e">
        <f t="shared" si="3"/>
        <v>#REF!</v>
      </c>
      <c r="M83" s="28">
        <f t="shared" si="10"/>
        <v>913</v>
      </c>
      <c r="N83" s="39">
        <v>-1723</v>
      </c>
      <c r="O83" s="28">
        <v>2636</v>
      </c>
      <c r="P83" s="22">
        <f t="shared" si="11"/>
        <v>616</v>
      </c>
      <c r="Q83" s="36"/>
      <c r="R83" s="30"/>
      <c r="S83" s="69">
        <f t="shared" si="16"/>
        <v>45713</v>
      </c>
      <c r="T83" s="70">
        <f t="shared" si="18"/>
        <v>2739.25</v>
      </c>
      <c r="U83" s="71"/>
      <c r="V83" s="71"/>
      <c r="W83" s="72"/>
      <c r="X83" s="71"/>
      <c r="Y83" s="71"/>
      <c r="Z83" s="71"/>
      <c r="AA83" s="71"/>
    </row>
    <row r="84" spans="1:27" ht="22.5" hidden="1" customHeight="1" outlineLevel="2" x14ac:dyDescent="0.2">
      <c r="A84" s="62">
        <v>45714</v>
      </c>
      <c r="B84" s="22" t="e">
        <f t="shared" si="1"/>
        <v>#REF!</v>
      </c>
      <c r="C84" s="28">
        <f t="shared" si="6"/>
        <v>903</v>
      </c>
      <c r="D84" s="39">
        <v>-2400</v>
      </c>
      <c r="E84" s="28">
        <v>3303</v>
      </c>
      <c r="F84" s="22">
        <f t="shared" si="7"/>
        <v>647</v>
      </c>
      <c r="G84" s="22" t="e">
        <f t="shared" si="2"/>
        <v>#REF!</v>
      </c>
      <c r="H84" s="28">
        <f t="shared" si="8"/>
        <v>756</v>
      </c>
      <c r="I84" s="39">
        <v>-1753</v>
      </c>
      <c r="J84" s="28">
        <v>2509</v>
      </c>
      <c r="K84" s="22">
        <f t="shared" si="9"/>
        <v>797</v>
      </c>
      <c r="L84" s="22" t="e">
        <f t="shared" si="3"/>
        <v>#REF!</v>
      </c>
      <c r="M84" s="28">
        <f t="shared" si="10"/>
        <v>905</v>
      </c>
      <c r="N84" s="39">
        <v>-1731</v>
      </c>
      <c r="O84" s="28">
        <v>2636</v>
      </c>
      <c r="P84" s="22">
        <f t="shared" si="11"/>
        <v>624</v>
      </c>
      <c r="Q84" s="36"/>
      <c r="R84" s="30"/>
      <c r="S84" s="69">
        <f t="shared" si="16"/>
        <v>45714</v>
      </c>
      <c r="T84" s="70">
        <f t="shared" si="18"/>
        <v>2739.25</v>
      </c>
      <c r="U84" s="71"/>
      <c r="V84" s="71"/>
      <c r="W84" s="72"/>
      <c r="X84" s="71"/>
      <c r="Y84" s="71"/>
      <c r="Z84" s="71"/>
      <c r="AA84" s="71"/>
    </row>
    <row r="85" spans="1:27" ht="22.5" hidden="1" customHeight="1" outlineLevel="2" x14ac:dyDescent="0.2">
      <c r="A85" s="62">
        <v>45715</v>
      </c>
      <c r="B85" s="22" t="e">
        <f t="shared" si="1"/>
        <v>#REF!</v>
      </c>
      <c r="C85" s="28">
        <f t="shared" si="6"/>
        <v>897</v>
      </c>
      <c r="D85" s="39">
        <v>-2406</v>
      </c>
      <c r="E85" s="28">
        <v>3303</v>
      </c>
      <c r="F85" s="22">
        <f t="shared" si="7"/>
        <v>653</v>
      </c>
      <c r="G85" s="22" t="e">
        <f t="shared" si="2"/>
        <v>#REF!</v>
      </c>
      <c r="H85" s="28">
        <f t="shared" si="8"/>
        <v>747</v>
      </c>
      <c r="I85" s="39">
        <v>-1762</v>
      </c>
      <c r="J85" s="28">
        <v>2509</v>
      </c>
      <c r="K85" s="22">
        <f t="shared" si="9"/>
        <v>806</v>
      </c>
      <c r="L85" s="22" t="e">
        <f t="shared" si="3"/>
        <v>#REF!</v>
      </c>
      <c r="M85" s="28">
        <f t="shared" si="10"/>
        <v>897</v>
      </c>
      <c r="N85" s="39">
        <v>-1739</v>
      </c>
      <c r="O85" s="28">
        <v>2636</v>
      </c>
      <c r="P85" s="22">
        <f t="shared" si="11"/>
        <v>632</v>
      </c>
      <c r="Q85" s="36"/>
      <c r="R85" s="30"/>
      <c r="S85" s="69">
        <f t="shared" si="16"/>
        <v>45715</v>
      </c>
      <c r="T85" s="70">
        <f t="shared" si="18"/>
        <v>2739.25</v>
      </c>
      <c r="U85" s="71"/>
      <c r="V85" s="71"/>
      <c r="W85" s="72"/>
      <c r="X85" s="71"/>
      <c r="Y85" s="71"/>
      <c r="Z85" s="71"/>
      <c r="AA85" s="71"/>
    </row>
    <row r="86" spans="1:27" ht="22.5" customHeight="1" outlineLevel="1" collapsed="1" x14ac:dyDescent="0.2">
      <c r="A86" s="62">
        <v>45716</v>
      </c>
      <c r="B86" s="22" t="e">
        <f t="shared" si="1"/>
        <v>#REF!</v>
      </c>
      <c r="C86" s="28">
        <f t="shared" si="6"/>
        <v>891</v>
      </c>
      <c r="D86" s="39">
        <v>-2412</v>
      </c>
      <c r="E86" s="28">
        <v>3303</v>
      </c>
      <c r="F86" s="22">
        <f t="shared" si="7"/>
        <v>659</v>
      </c>
      <c r="G86" s="22" t="e">
        <f t="shared" si="2"/>
        <v>#REF!</v>
      </c>
      <c r="H86" s="28">
        <f t="shared" si="8"/>
        <v>741</v>
      </c>
      <c r="I86" s="39">
        <v>-1768</v>
      </c>
      <c r="J86" s="28">
        <v>2509</v>
      </c>
      <c r="K86" s="22">
        <f t="shared" si="9"/>
        <v>812</v>
      </c>
      <c r="L86" s="22" t="e">
        <f t="shared" si="3"/>
        <v>#REF!</v>
      </c>
      <c r="M86" s="28">
        <f t="shared" si="10"/>
        <v>891</v>
      </c>
      <c r="N86" s="39">
        <v>-1745</v>
      </c>
      <c r="O86" s="28">
        <v>2636</v>
      </c>
      <c r="P86" s="22">
        <f t="shared" si="11"/>
        <v>638</v>
      </c>
      <c r="Q86" s="36"/>
      <c r="R86" s="30"/>
      <c r="S86" s="69">
        <f t="shared" si="16"/>
        <v>45716</v>
      </c>
      <c r="T86" s="70">
        <f t="shared" si="18"/>
        <v>2739.25</v>
      </c>
      <c r="U86" s="71"/>
      <c r="V86" s="71"/>
      <c r="W86" s="72"/>
      <c r="X86" s="71"/>
      <c r="Y86" s="71"/>
      <c r="Z86" s="71"/>
      <c r="AA86" s="71"/>
    </row>
    <row r="87" spans="1:27" ht="22.5" customHeight="1" outlineLevel="1" x14ac:dyDescent="0.2">
      <c r="A87" s="62">
        <v>45717</v>
      </c>
      <c r="B87" s="22" t="e">
        <f t="shared" si="1"/>
        <v>#REF!</v>
      </c>
      <c r="C87" s="28">
        <f t="shared" si="6"/>
        <v>885</v>
      </c>
      <c r="D87" s="39">
        <v>-2418</v>
      </c>
      <c r="E87" s="28">
        <v>3303</v>
      </c>
      <c r="F87" s="22">
        <f t="shared" si="7"/>
        <v>665</v>
      </c>
      <c r="G87" s="22" t="e">
        <f t="shared" si="2"/>
        <v>#REF!</v>
      </c>
      <c r="H87" s="28">
        <f t="shared" si="8"/>
        <v>735</v>
      </c>
      <c r="I87" s="39">
        <v>-1774</v>
      </c>
      <c r="J87" s="28">
        <v>2509</v>
      </c>
      <c r="K87" s="22">
        <f t="shared" si="9"/>
        <v>818</v>
      </c>
      <c r="L87" s="22" t="e">
        <f t="shared" si="3"/>
        <v>#REF!</v>
      </c>
      <c r="M87" s="28">
        <f t="shared" si="10"/>
        <v>887</v>
      </c>
      <c r="N87" s="39">
        <v>-1749</v>
      </c>
      <c r="O87" s="28">
        <v>2636</v>
      </c>
      <c r="P87" s="22">
        <f t="shared" si="11"/>
        <v>642</v>
      </c>
      <c r="Q87" s="36"/>
      <c r="R87" s="30"/>
      <c r="S87" s="69">
        <f t="shared" si="16"/>
        <v>45717</v>
      </c>
      <c r="T87" s="70">
        <f t="shared" si="18"/>
        <v>2739.25</v>
      </c>
      <c r="U87" s="71"/>
      <c r="V87" s="71"/>
      <c r="W87" s="72"/>
      <c r="X87" s="71"/>
      <c r="Y87" s="71"/>
      <c r="Z87" s="71"/>
      <c r="AA87" s="71"/>
    </row>
    <row r="88" spans="1:27" ht="22.5" customHeight="1" outlineLevel="1" x14ac:dyDescent="0.2">
      <c r="A88" s="62">
        <v>45718</v>
      </c>
      <c r="B88" s="22" t="e">
        <f t="shared" si="1"/>
        <v>#REF!</v>
      </c>
      <c r="C88" s="28">
        <f t="shared" si="6"/>
        <v>879</v>
      </c>
      <c r="D88" s="39">
        <v>-2424</v>
      </c>
      <c r="E88" s="28">
        <v>3303</v>
      </c>
      <c r="F88" s="22">
        <f t="shared" si="7"/>
        <v>671</v>
      </c>
      <c r="G88" s="22" t="e">
        <f t="shared" si="2"/>
        <v>#REF!</v>
      </c>
      <c r="H88" s="28">
        <f t="shared" si="8"/>
        <v>721</v>
      </c>
      <c r="I88" s="39">
        <v>-1788</v>
      </c>
      <c r="J88" s="28">
        <v>2509</v>
      </c>
      <c r="K88" s="22">
        <f t="shared" si="9"/>
        <v>832</v>
      </c>
      <c r="L88" s="22" t="e">
        <f t="shared" si="3"/>
        <v>#REF!</v>
      </c>
      <c r="M88" s="28">
        <f t="shared" si="10"/>
        <v>877</v>
      </c>
      <c r="N88" s="39">
        <v>-1759</v>
      </c>
      <c r="O88" s="28">
        <v>2636</v>
      </c>
      <c r="P88" s="22">
        <f t="shared" si="11"/>
        <v>652</v>
      </c>
      <c r="Q88" s="36"/>
      <c r="R88" s="30"/>
      <c r="S88" s="69">
        <f t="shared" si="16"/>
        <v>45718</v>
      </c>
      <c r="T88" s="70">
        <f t="shared" si="18"/>
        <v>2739.25</v>
      </c>
      <c r="U88" s="71"/>
      <c r="V88" s="71"/>
      <c r="W88" s="72"/>
      <c r="X88" s="71"/>
      <c r="Y88" s="71"/>
      <c r="Z88" s="71"/>
      <c r="AA88" s="71"/>
    </row>
    <row r="89" spans="1:27" ht="22.5" customHeight="1" outlineLevel="1" x14ac:dyDescent="0.2">
      <c r="A89" s="62">
        <v>45719</v>
      </c>
      <c r="B89" s="22" t="e">
        <f t="shared" si="1"/>
        <v>#REF!</v>
      </c>
      <c r="C89" s="28">
        <f t="shared" si="6"/>
        <v>873</v>
      </c>
      <c r="D89" s="39">
        <v>-2430</v>
      </c>
      <c r="E89" s="28">
        <v>3303</v>
      </c>
      <c r="F89" s="22">
        <f t="shared" si="7"/>
        <v>677</v>
      </c>
      <c r="G89" s="22" t="e">
        <f t="shared" si="2"/>
        <v>#REF!</v>
      </c>
      <c r="H89" s="28">
        <f t="shared" si="8"/>
        <v>716</v>
      </c>
      <c r="I89" s="39">
        <v>-1793</v>
      </c>
      <c r="J89" s="28">
        <v>2509</v>
      </c>
      <c r="K89" s="22">
        <f t="shared" si="9"/>
        <v>837</v>
      </c>
      <c r="L89" s="22" t="e">
        <f t="shared" si="3"/>
        <v>#REF!</v>
      </c>
      <c r="M89" s="28">
        <f t="shared" si="10"/>
        <v>874</v>
      </c>
      <c r="N89" s="39">
        <v>-1762</v>
      </c>
      <c r="O89" s="28">
        <v>2636</v>
      </c>
      <c r="P89" s="22">
        <f t="shared" si="11"/>
        <v>655</v>
      </c>
      <c r="Q89" s="36"/>
      <c r="R89" s="30"/>
      <c r="S89" s="69">
        <f t="shared" si="16"/>
        <v>45719</v>
      </c>
      <c r="T89" s="70">
        <f t="shared" si="18"/>
        <v>2739.25</v>
      </c>
      <c r="U89" s="71"/>
      <c r="V89" s="71"/>
      <c r="W89" s="72"/>
      <c r="X89" s="71"/>
      <c r="Y89" s="71"/>
      <c r="Z89" s="71"/>
      <c r="AA89" s="71"/>
    </row>
    <row r="90" spans="1:27" ht="22.5" customHeight="1" outlineLevel="1" x14ac:dyDescent="0.2">
      <c r="A90" s="62">
        <v>45720</v>
      </c>
      <c r="B90" s="22" t="e">
        <f t="shared" si="1"/>
        <v>#REF!</v>
      </c>
      <c r="C90" s="28">
        <f t="shared" si="6"/>
        <v>870</v>
      </c>
      <c r="D90" s="39">
        <v>-2433</v>
      </c>
      <c r="E90" s="28">
        <v>3303</v>
      </c>
      <c r="F90" s="22">
        <f t="shared" si="7"/>
        <v>680</v>
      </c>
      <c r="G90" s="22" t="e">
        <f t="shared" si="2"/>
        <v>#REF!</v>
      </c>
      <c r="H90" s="28">
        <f t="shared" si="8"/>
        <v>714</v>
      </c>
      <c r="I90" s="39">
        <v>-1795</v>
      </c>
      <c r="J90" s="28">
        <v>2509</v>
      </c>
      <c r="K90" s="22">
        <f t="shared" si="9"/>
        <v>839</v>
      </c>
      <c r="L90" s="22" t="e">
        <f t="shared" si="3"/>
        <v>#REF!</v>
      </c>
      <c r="M90" s="28">
        <f t="shared" si="10"/>
        <v>870</v>
      </c>
      <c r="N90" s="39">
        <v>-1766</v>
      </c>
      <c r="O90" s="28">
        <v>2636</v>
      </c>
      <c r="P90" s="22">
        <f t="shared" si="11"/>
        <v>659</v>
      </c>
      <c r="Q90" s="36"/>
      <c r="R90" s="30"/>
      <c r="S90" s="69">
        <f t="shared" si="16"/>
        <v>45720</v>
      </c>
      <c r="T90" s="70">
        <f t="shared" si="18"/>
        <v>2739.25</v>
      </c>
      <c r="U90" s="71"/>
      <c r="V90" s="71"/>
      <c r="W90" s="72"/>
      <c r="X90" s="71"/>
      <c r="Y90" s="71"/>
      <c r="Z90" s="71"/>
      <c r="AA90" s="71"/>
    </row>
    <row r="91" spans="1:27" ht="22.5" customHeight="1" outlineLevel="1" x14ac:dyDescent="0.2">
      <c r="A91" s="62">
        <v>45721</v>
      </c>
      <c r="B91" s="22" t="e">
        <f t="shared" si="1"/>
        <v>#REF!</v>
      </c>
      <c r="C91" s="28">
        <f t="shared" si="6"/>
        <v>868</v>
      </c>
      <c r="D91" s="39">
        <v>-2435</v>
      </c>
      <c r="E91" s="28">
        <v>3303</v>
      </c>
      <c r="F91" s="22">
        <f t="shared" si="7"/>
        <v>682</v>
      </c>
      <c r="G91" s="22" t="e">
        <f t="shared" si="2"/>
        <v>#REF!</v>
      </c>
      <c r="H91" s="28">
        <f t="shared" si="8"/>
        <v>712</v>
      </c>
      <c r="I91" s="39">
        <v>-1797</v>
      </c>
      <c r="J91" s="28">
        <v>2509</v>
      </c>
      <c r="K91" s="22">
        <f t="shared" si="9"/>
        <v>841</v>
      </c>
      <c r="L91" s="22" t="e">
        <f t="shared" si="3"/>
        <v>#REF!</v>
      </c>
      <c r="M91" s="28">
        <f t="shared" si="10"/>
        <v>864</v>
      </c>
      <c r="N91" s="39">
        <v>-1772</v>
      </c>
      <c r="O91" s="28">
        <v>2636</v>
      </c>
      <c r="P91" s="22">
        <f t="shared" si="11"/>
        <v>665</v>
      </c>
      <c r="Q91" s="36"/>
      <c r="R91" s="30"/>
      <c r="S91" s="69">
        <f t="shared" si="16"/>
        <v>45721</v>
      </c>
      <c r="T91" s="70">
        <f t="shared" si="18"/>
        <v>2739.25</v>
      </c>
      <c r="U91" s="71"/>
      <c r="V91" s="71"/>
      <c r="W91" s="72"/>
      <c r="X91" s="71"/>
      <c r="Y91" s="71"/>
      <c r="Z91" s="71"/>
      <c r="AA91" s="71"/>
    </row>
    <row r="92" spans="1:27" ht="22.5" customHeight="1" outlineLevel="1" x14ac:dyDescent="0.2">
      <c r="A92" s="62">
        <v>45722</v>
      </c>
      <c r="B92" s="22" t="e">
        <f t="shared" si="1"/>
        <v>#REF!</v>
      </c>
      <c r="C92" s="28">
        <f t="shared" si="6"/>
        <v>867</v>
      </c>
      <c r="D92" s="39">
        <v>-2436</v>
      </c>
      <c r="E92" s="28">
        <v>3303</v>
      </c>
      <c r="F92" s="22">
        <f t="shared" si="7"/>
        <v>683</v>
      </c>
      <c r="G92" s="22" t="e">
        <f t="shared" si="2"/>
        <v>#REF!</v>
      </c>
      <c r="H92" s="28">
        <f t="shared" si="8"/>
        <v>711</v>
      </c>
      <c r="I92" s="39">
        <v>-1798</v>
      </c>
      <c r="J92" s="28">
        <v>2509</v>
      </c>
      <c r="K92" s="22">
        <f t="shared" si="9"/>
        <v>842</v>
      </c>
      <c r="L92" s="22" t="e">
        <f t="shared" si="3"/>
        <v>#REF!</v>
      </c>
      <c r="M92" s="28">
        <f t="shared" si="10"/>
        <v>859</v>
      </c>
      <c r="N92" s="39">
        <v>-1777</v>
      </c>
      <c r="O92" s="28">
        <v>2636</v>
      </c>
      <c r="P92" s="22">
        <f t="shared" si="11"/>
        <v>670</v>
      </c>
      <c r="Q92" s="36"/>
      <c r="R92" s="30"/>
      <c r="S92" s="69">
        <f t="shared" si="16"/>
        <v>45722</v>
      </c>
      <c r="T92" s="70">
        <f t="shared" si="18"/>
        <v>2739.25</v>
      </c>
      <c r="U92" s="71"/>
      <c r="V92" s="71"/>
      <c r="W92" s="72"/>
      <c r="X92" s="71"/>
      <c r="Y92" s="71"/>
      <c r="Z92" s="71"/>
      <c r="AA92" s="71"/>
    </row>
    <row r="93" spans="1:27" ht="22.5" customHeight="1" outlineLevel="1" x14ac:dyDescent="0.2">
      <c r="A93" s="62">
        <v>45723</v>
      </c>
      <c r="B93" s="22" t="e">
        <f t="shared" si="1"/>
        <v>#REF!</v>
      </c>
      <c r="C93" s="28">
        <f t="shared" si="6"/>
        <v>866</v>
      </c>
      <c r="D93" s="39">
        <v>-2437</v>
      </c>
      <c r="E93" s="28">
        <v>3303</v>
      </c>
      <c r="F93" s="22">
        <f t="shared" si="7"/>
        <v>684</v>
      </c>
      <c r="G93" s="22" t="e">
        <f t="shared" si="2"/>
        <v>#REF!</v>
      </c>
      <c r="H93" s="28">
        <f t="shared" si="8"/>
        <v>709</v>
      </c>
      <c r="I93" s="39">
        <v>-1800</v>
      </c>
      <c r="J93" s="28">
        <v>2509</v>
      </c>
      <c r="K93" s="22">
        <f t="shared" si="9"/>
        <v>844</v>
      </c>
      <c r="L93" s="22" t="e">
        <f t="shared" si="3"/>
        <v>#REF!</v>
      </c>
      <c r="M93" s="28">
        <f t="shared" si="10"/>
        <v>856</v>
      </c>
      <c r="N93" s="39">
        <v>-1780</v>
      </c>
      <c r="O93" s="28">
        <v>2636</v>
      </c>
      <c r="P93" s="22">
        <f t="shared" si="11"/>
        <v>673</v>
      </c>
      <c r="Q93" s="36"/>
      <c r="R93" s="30"/>
      <c r="S93" s="69">
        <f t="shared" si="16"/>
        <v>45723</v>
      </c>
      <c r="T93" s="70">
        <f t="shared" si="18"/>
        <v>2739.25</v>
      </c>
      <c r="U93" s="71"/>
      <c r="V93" s="71"/>
      <c r="W93" s="72"/>
      <c r="X93" s="71"/>
      <c r="Y93" s="71"/>
      <c r="Z93" s="71"/>
      <c r="AA93" s="71"/>
    </row>
    <row r="94" spans="1:27" ht="22.5" customHeight="1" outlineLevel="1" x14ac:dyDescent="0.2">
      <c r="A94" s="62">
        <v>45724</v>
      </c>
      <c r="B94" s="22" t="e">
        <f t="shared" si="1"/>
        <v>#REF!</v>
      </c>
      <c r="C94" s="28">
        <f t="shared" si="6"/>
        <v>858</v>
      </c>
      <c r="D94" s="39">
        <v>-2445</v>
      </c>
      <c r="E94" s="28">
        <v>3303</v>
      </c>
      <c r="F94" s="22">
        <f t="shared" si="7"/>
        <v>692</v>
      </c>
      <c r="G94" s="22" t="e">
        <f t="shared" si="2"/>
        <v>#REF!</v>
      </c>
      <c r="H94" s="28">
        <f t="shared" si="8"/>
        <v>698</v>
      </c>
      <c r="I94" s="39">
        <v>-1811</v>
      </c>
      <c r="J94" s="28">
        <v>2509</v>
      </c>
      <c r="K94" s="22">
        <f t="shared" si="9"/>
        <v>855</v>
      </c>
      <c r="L94" s="22" t="e">
        <f t="shared" si="3"/>
        <v>#REF!</v>
      </c>
      <c r="M94" s="28">
        <f t="shared" si="10"/>
        <v>846</v>
      </c>
      <c r="N94" s="39">
        <v>-1790</v>
      </c>
      <c r="O94" s="28">
        <v>2636</v>
      </c>
      <c r="P94" s="22">
        <f t="shared" si="11"/>
        <v>683</v>
      </c>
      <c r="Q94" s="36"/>
      <c r="R94" s="30"/>
      <c r="S94" s="69">
        <f t="shared" si="16"/>
        <v>45724</v>
      </c>
      <c r="T94" s="70">
        <f t="shared" si="18"/>
        <v>2739.25</v>
      </c>
      <c r="U94" s="71"/>
      <c r="V94" s="71"/>
      <c r="W94" s="72"/>
      <c r="X94" s="71"/>
      <c r="Y94" s="71"/>
      <c r="Z94" s="71"/>
      <c r="AA94" s="71"/>
    </row>
    <row r="95" spans="1:27" ht="22.5" customHeight="1" outlineLevel="1" x14ac:dyDescent="0.2">
      <c r="A95" s="62">
        <v>45725</v>
      </c>
      <c r="B95" s="22" t="e">
        <f t="shared" si="1"/>
        <v>#REF!</v>
      </c>
      <c r="C95" s="28">
        <f t="shared" si="6"/>
        <v>848</v>
      </c>
      <c r="D95" s="39">
        <v>-2455</v>
      </c>
      <c r="E95" s="28">
        <v>3303</v>
      </c>
      <c r="F95" s="22">
        <f t="shared" si="7"/>
        <v>702</v>
      </c>
      <c r="G95" s="22" t="e">
        <f t="shared" si="2"/>
        <v>#REF!</v>
      </c>
      <c r="H95" s="28">
        <f t="shared" si="8"/>
        <v>688</v>
      </c>
      <c r="I95" s="39">
        <v>-1821</v>
      </c>
      <c r="J95" s="28">
        <v>2509</v>
      </c>
      <c r="K95" s="22">
        <f t="shared" si="9"/>
        <v>865</v>
      </c>
      <c r="L95" s="22" t="e">
        <f t="shared" si="3"/>
        <v>#REF!</v>
      </c>
      <c r="M95" s="28">
        <f t="shared" si="10"/>
        <v>836</v>
      </c>
      <c r="N95" s="39">
        <v>-1800</v>
      </c>
      <c r="O95" s="28">
        <v>2636</v>
      </c>
      <c r="P95" s="22">
        <f t="shared" si="11"/>
        <v>693</v>
      </c>
      <c r="Q95" s="36"/>
      <c r="R95" s="30"/>
      <c r="S95" s="69">
        <f t="shared" si="16"/>
        <v>45725</v>
      </c>
      <c r="T95" s="70">
        <f t="shared" si="18"/>
        <v>2739.25</v>
      </c>
      <c r="U95" s="71"/>
      <c r="V95" s="71"/>
      <c r="W95" s="72"/>
      <c r="X95" s="71"/>
      <c r="Y95" s="71"/>
      <c r="Z95" s="71"/>
      <c r="AA95" s="71"/>
    </row>
    <row r="96" spans="1:27" ht="22.5" customHeight="1" outlineLevel="1" x14ac:dyDescent="0.2">
      <c r="A96" s="62">
        <v>45726</v>
      </c>
      <c r="B96" s="22" t="e">
        <f t="shared" si="1"/>
        <v>#REF!</v>
      </c>
      <c r="C96" s="28">
        <f t="shared" si="6"/>
        <v>838</v>
      </c>
      <c r="D96" s="39">
        <v>-2465</v>
      </c>
      <c r="E96" s="28">
        <v>3303</v>
      </c>
      <c r="F96" s="22">
        <f t="shared" si="7"/>
        <v>712</v>
      </c>
      <c r="G96" s="22" t="e">
        <f t="shared" si="2"/>
        <v>#REF!</v>
      </c>
      <c r="H96" s="28">
        <f t="shared" si="8"/>
        <v>678</v>
      </c>
      <c r="I96" s="39">
        <v>-1831</v>
      </c>
      <c r="J96" s="28">
        <v>2509</v>
      </c>
      <c r="K96" s="22">
        <f t="shared" si="9"/>
        <v>875</v>
      </c>
      <c r="L96" s="22" t="e">
        <f t="shared" si="3"/>
        <v>#REF!</v>
      </c>
      <c r="M96" s="28">
        <f t="shared" si="10"/>
        <v>830</v>
      </c>
      <c r="N96" s="39">
        <v>-1806</v>
      </c>
      <c r="O96" s="28">
        <v>2636</v>
      </c>
      <c r="P96" s="22">
        <f t="shared" si="11"/>
        <v>699</v>
      </c>
      <c r="Q96" s="36"/>
      <c r="R96" s="30"/>
      <c r="S96" s="69">
        <f t="shared" si="16"/>
        <v>45726</v>
      </c>
      <c r="T96" s="70">
        <f t="shared" si="18"/>
        <v>2739.25</v>
      </c>
      <c r="U96" s="71"/>
      <c r="V96" s="71"/>
      <c r="W96" s="72"/>
      <c r="X96" s="71"/>
      <c r="Y96" s="71"/>
      <c r="Z96" s="71"/>
      <c r="AA96" s="71"/>
    </row>
    <row r="97" spans="1:27" ht="22.5" customHeight="1" outlineLevel="1" x14ac:dyDescent="0.2">
      <c r="A97" s="62">
        <v>45727</v>
      </c>
      <c r="B97" s="22" t="e">
        <f t="shared" si="1"/>
        <v>#REF!</v>
      </c>
      <c r="C97" s="28">
        <f t="shared" si="6"/>
        <v>832</v>
      </c>
      <c r="D97" s="39">
        <v>-2471</v>
      </c>
      <c r="E97" s="28">
        <v>3303</v>
      </c>
      <c r="F97" s="22">
        <f t="shared" si="7"/>
        <v>718</v>
      </c>
      <c r="G97" s="22" t="e">
        <f t="shared" si="2"/>
        <v>#REF!</v>
      </c>
      <c r="H97" s="28">
        <f t="shared" si="8"/>
        <v>668</v>
      </c>
      <c r="I97" s="39">
        <v>-1841</v>
      </c>
      <c r="J97" s="28">
        <v>2509</v>
      </c>
      <c r="K97" s="22">
        <f t="shared" si="9"/>
        <v>885</v>
      </c>
      <c r="L97" s="22" t="e">
        <f t="shared" si="3"/>
        <v>#REF!</v>
      </c>
      <c r="M97" s="28">
        <f t="shared" si="10"/>
        <v>823</v>
      </c>
      <c r="N97" s="39">
        <v>-1813</v>
      </c>
      <c r="O97" s="28">
        <v>2636</v>
      </c>
      <c r="P97" s="22">
        <f t="shared" si="11"/>
        <v>706</v>
      </c>
      <c r="Q97" s="36"/>
      <c r="R97" s="30"/>
      <c r="S97" s="69">
        <f t="shared" si="16"/>
        <v>45727</v>
      </c>
      <c r="T97" s="70">
        <f t="shared" si="18"/>
        <v>2739.25</v>
      </c>
      <c r="U97" s="71"/>
      <c r="V97" s="71"/>
      <c r="W97" s="72"/>
      <c r="X97" s="71"/>
      <c r="Y97" s="71"/>
      <c r="Z97" s="71"/>
      <c r="AA97" s="71"/>
    </row>
    <row r="98" spans="1:27" ht="22.5" customHeight="1" outlineLevel="1" x14ac:dyDescent="0.2">
      <c r="A98" s="62">
        <v>45728</v>
      </c>
      <c r="B98" s="22" t="e">
        <f t="shared" si="1"/>
        <v>#REF!</v>
      </c>
      <c r="C98" s="28">
        <f t="shared" si="6"/>
        <v>825</v>
      </c>
      <c r="D98" s="39">
        <v>-2478</v>
      </c>
      <c r="E98" s="28">
        <v>3303</v>
      </c>
      <c r="F98" s="22">
        <f t="shared" si="7"/>
        <v>725</v>
      </c>
      <c r="G98" s="22" t="e">
        <f t="shared" si="2"/>
        <v>#REF!</v>
      </c>
      <c r="H98" s="28">
        <f t="shared" si="8"/>
        <v>658</v>
      </c>
      <c r="I98" s="39">
        <v>-1851</v>
      </c>
      <c r="J98" s="28">
        <v>2509</v>
      </c>
      <c r="K98" s="22">
        <f t="shared" si="9"/>
        <v>895</v>
      </c>
      <c r="L98" s="22" t="e">
        <f t="shared" si="3"/>
        <v>#REF!</v>
      </c>
      <c r="M98" s="28">
        <f t="shared" si="10"/>
        <v>817</v>
      </c>
      <c r="N98" s="39">
        <v>-1819</v>
      </c>
      <c r="O98" s="28">
        <v>2636</v>
      </c>
      <c r="P98" s="22">
        <f t="shared" si="11"/>
        <v>712</v>
      </c>
      <c r="Q98" s="36"/>
      <c r="R98" s="30"/>
      <c r="S98" s="69">
        <f t="shared" si="16"/>
        <v>45728</v>
      </c>
      <c r="T98" s="70">
        <f t="shared" si="18"/>
        <v>2739.25</v>
      </c>
      <c r="U98" s="71"/>
      <c r="V98" s="71"/>
      <c r="W98" s="72"/>
      <c r="X98" s="71"/>
      <c r="Y98" s="71"/>
      <c r="Z98" s="71"/>
      <c r="AA98" s="71"/>
    </row>
    <row r="99" spans="1:27" ht="22.5" customHeight="1" outlineLevel="1" x14ac:dyDescent="0.2">
      <c r="A99" s="62">
        <v>45729</v>
      </c>
      <c r="B99" s="22" t="e">
        <f t="shared" si="1"/>
        <v>#REF!</v>
      </c>
      <c r="C99" s="28">
        <f t="shared" si="6"/>
        <v>818</v>
      </c>
      <c r="D99" s="39">
        <v>-2485</v>
      </c>
      <c r="E99" s="28">
        <v>3303</v>
      </c>
      <c r="F99" s="22">
        <f t="shared" si="7"/>
        <v>732</v>
      </c>
      <c r="G99" s="22" t="e">
        <f t="shared" si="2"/>
        <v>#REF!</v>
      </c>
      <c r="H99" s="28">
        <f t="shared" si="8"/>
        <v>648</v>
      </c>
      <c r="I99" s="39">
        <v>-1861</v>
      </c>
      <c r="J99" s="28">
        <v>2509</v>
      </c>
      <c r="K99" s="22">
        <f t="shared" si="9"/>
        <v>905</v>
      </c>
      <c r="L99" s="22" t="e">
        <f t="shared" si="3"/>
        <v>#REF!</v>
      </c>
      <c r="M99" s="28">
        <f t="shared" si="10"/>
        <v>810</v>
      </c>
      <c r="N99" s="39">
        <v>-1826</v>
      </c>
      <c r="O99" s="28">
        <v>2636</v>
      </c>
      <c r="P99" s="22">
        <f t="shared" si="11"/>
        <v>719</v>
      </c>
      <c r="Q99" s="36"/>
      <c r="R99" s="30"/>
      <c r="S99" s="69">
        <f t="shared" si="16"/>
        <v>45729</v>
      </c>
      <c r="T99" s="70">
        <f t="shared" si="18"/>
        <v>2739.25</v>
      </c>
      <c r="U99" s="71"/>
      <c r="V99" s="71"/>
      <c r="W99" s="72"/>
      <c r="X99" s="71"/>
      <c r="Y99" s="71"/>
      <c r="Z99" s="71"/>
      <c r="AA99" s="71"/>
    </row>
    <row r="100" spans="1:27" ht="22.5" customHeight="1" outlineLevel="1" x14ac:dyDescent="0.2">
      <c r="A100" s="62">
        <v>45730</v>
      </c>
      <c r="B100" s="22" t="e">
        <f t="shared" si="1"/>
        <v>#REF!</v>
      </c>
      <c r="C100" s="28">
        <f t="shared" si="6"/>
        <v>810</v>
      </c>
      <c r="D100" s="39">
        <v>-2493</v>
      </c>
      <c r="E100" s="28">
        <v>3303</v>
      </c>
      <c r="F100" s="22">
        <f t="shared" si="7"/>
        <v>740</v>
      </c>
      <c r="G100" s="22" t="e">
        <f t="shared" si="2"/>
        <v>#REF!</v>
      </c>
      <c r="H100" s="28">
        <f t="shared" si="8"/>
        <v>645</v>
      </c>
      <c r="I100" s="39">
        <v>-1864</v>
      </c>
      <c r="J100" s="28">
        <v>2509</v>
      </c>
      <c r="K100" s="22">
        <f t="shared" si="9"/>
        <v>908</v>
      </c>
      <c r="L100" s="22" t="e">
        <f t="shared" si="3"/>
        <v>#REF!</v>
      </c>
      <c r="M100" s="28">
        <f t="shared" si="10"/>
        <v>805</v>
      </c>
      <c r="N100" s="39">
        <v>-1831</v>
      </c>
      <c r="O100" s="28">
        <v>2636</v>
      </c>
      <c r="P100" s="22">
        <f t="shared" si="11"/>
        <v>724</v>
      </c>
      <c r="Q100" s="36"/>
      <c r="R100" s="30"/>
      <c r="S100" s="69">
        <f t="shared" si="16"/>
        <v>45730</v>
      </c>
      <c r="T100" s="70">
        <f t="shared" si="18"/>
        <v>2739.25</v>
      </c>
      <c r="U100" s="71"/>
      <c r="V100" s="71"/>
      <c r="W100" s="72"/>
      <c r="X100" s="71"/>
      <c r="Y100" s="71"/>
      <c r="Z100" s="71"/>
      <c r="AA100" s="71"/>
    </row>
    <row r="101" spans="1:27" ht="22.5" customHeight="1" outlineLevel="1" x14ac:dyDescent="0.2">
      <c r="A101" s="62">
        <v>45731</v>
      </c>
      <c r="B101" s="22" t="e">
        <f t="shared" si="1"/>
        <v>#REF!</v>
      </c>
      <c r="C101" s="28">
        <f t="shared" si="6"/>
        <v>803</v>
      </c>
      <c r="D101" s="39">
        <v>-2500</v>
      </c>
      <c r="E101" s="28">
        <v>3303</v>
      </c>
      <c r="F101" s="22">
        <f t="shared" si="7"/>
        <v>747</v>
      </c>
      <c r="G101" s="22" t="e">
        <f t="shared" si="2"/>
        <v>#REF!</v>
      </c>
      <c r="H101" s="28">
        <f t="shared" si="8"/>
        <v>643</v>
      </c>
      <c r="I101" s="39">
        <v>-1866</v>
      </c>
      <c r="J101" s="28">
        <v>2509</v>
      </c>
      <c r="K101" s="22">
        <f t="shared" si="9"/>
        <v>910</v>
      </c>
      <c r="L101" s="22" t="e">
        <f t="shared" si="3"/>
        <v>#REF!</v>
      </c>
      <c r="M101" s="28">
        <f t="shared" si="10"/>
        <v>800</v>
      </c>
      <c r="N101" s="39">
        <v>-1836</v>
      </c>
      <c r="O101" s="28">
        <v>2636</v>
      </c>
      <c r="P101" s="22">
        <f t="shared" si="11"/>
        <v>729</v>
      </c>
      <c r="Q101" s="36"/>
      <c r="R101" s="30"/>
      <c r="S101" s="69"/>
      <c r="T101" s="70"/>
      <c r="U101" s="71"/>
      <c r="V101" s="71"/>
      <c r="W101" s="72"/>
      <c r="X101" s="71"/>
      <c r="Y101" s="71"/>
      <c r="Z101" s="71"/>
      <c r="AA101" s="71"/>
    </row>
    <row r="102" spans="1:27" ht="22.5" customHeight="1" outlineLevel="1" x14ac:dyDescent="0.2">
      <c r="A102" s="62">
        <v>45732</v>
      </c>
      <c r="B102" s="22" t="e">
        <f t="shared" si="1"/>
        <v>#REF!</v>
      </c>
      <c r="C102" s="28">
        <f t="shared" si="6"/>
        <v>799</v>
      </c>
      <c r="D102" s="24">
        <v>-2504</v>
      </c>
      <c r="E102" s="28">
        <v>3303</v>
      </c>
      <c r="F102" s="22">
        <f t="shared" si="7"/>
        <v>751</v>
      </c>
      <c r="G102" s="22" t="e">
        <f t="shared" si="2"/>
        <v>#REF!</v>
      </c>
      <c r="H102" s="28">
        <f t="shared" si="8"/>
        <v>635</v>
      </c>
      <c r="I102" s="24">
        <v>-1874</v>
      </c>
      <c r="J102" s="28">
        <v>2509</v>
      </c>
      <c r="K102" s="22">
        <f t="shared" si="9"/>
        <v>918</v>
      </c>
      <c r="L102" s="22" t="e">
        <f t="shared" si="3"/>
        <v>#REF!</v>
      </c>
      <c r="M102" s="28">
        <f t="shared" si="10"/>
        <v>794</v>
      </c>
      <c r="N102" s="24">
        <v>-1842</v>
      </c>
      <c r="O102" s="28">
        <v>2636</v>
      </c>
      <c r="P102" s="22">
        <f t="shared" si="11"/>
        <v>735</v>
      </c>
      <c r="Q102" s="36"/>
      <c r="R102" s="30"/>
      <c r="S102" s="69"/>
      <c r="T102" s="70"/>
      <c r="U102" s="71"/>
      <c r="V102" s="71"/>
      <c r="W102" s="72"/>
      <c r="X102" s="71"/>
      <c r="Y102" s="71"/>
      <c r="Z102" s="71"/>
      <c r="AA102" s="71"/>
    </row>
    <row r="103" spans="1:27" ht="22.5" customHeight="1" outlineLevel="1" x14ac:dyDescent="0.2">
      <c r="A103" s="62">
        <v>45733</v>
      </c>
      <c r="B103" s="22" t="e">
        <f t="shared" si="1"/>
        <v>#REF!</v>
      </c>
      <c r="C103" s="28">
        <f t="shared" si="6"/>
        <v>795</v>
      </c>
      <c r="D103" s="24">
        <v>-2508</v>
      </c>
      <c r="E103" s="28">
        <v>3303</v>
      </c>
      <c r="F103" s="22">
        <f t="shared" si="7"/>
        <v>755</v>
      </c>
      <c r="G103" s="22" t="e">
        <f t="shared" si="2"/>
        <v>#REF!</v>
      </c>
      <c r="H103" s="28">
        <f t="shared" si="8"/>
        <v>627</v>
      </c>
      <c r="I103" s="24">
        <v>-1882</v>
      </c>
      <c r="J103" s="28">
        <v>2509</v>
      </c>
      <c r="K103" s="22">
        <f t="shared" si="9"/>
        <v>926</v>
      </c>
      <c r="L103" s="22" t="e">
        <f t="shared" si="3"/>
        <v>#REF!</v>
      </c>
      <c r="M103" s="28">
        <f t="shared" si="10"/>
        <v>787</v>
      </c>
      <c r="N103" s="24">
        <v>-1849</v>
      </c>
      <c r="O103" s="28">
        <v>2636</v>
      </c>
      <c r="P103" s="22">
        <f t="shared" si="11"/>
        <v>742</v>
      </c>
      <c r="Q103" s="36"/>
      <c r="R103" s="30"/>
      <c r="S103" s="69"/>
      <c r="T103" s="70"/>
      <c r="U103" s="71"/>
      <c r="V103" s="71"/>
      <c r="W103" s="72"/>
      <c r="X103" s="71"/>
      <c r="Y103" s="71"/>
      <c r="Z103" s="71"/>
      <c r="AA103" s="71"/>
    </row>
    <row r="104" spans="1:27" ht="22.5" customHeight="1" outlineLevel="1" x14ac:dyDescent="0.2">
      <c r="A104" s="62">
        <v>45734</v>
      </c>
      <c r="B104" s="22" t="e">
        <f t="shared" si="1"/>
        <v>#REF!</v>
      </c>
      <c r="C104" s="28">
        <f t="shared" si="6"/>
        <v>791</v>
      </c>
      <c r="D104" s="24">
        <v>-2512</v>
      </c>
      <c r="E104" s="28">
        <v>3303</v>
      </c>
      <c r="F104" s="22">
        <f t="shared" si="7"/>
        <v>759</v>
      </c>
      <c r="G104" s="22" t="e">
        <f t="shared" si="2"/>
        <v>#REF!</v>
      </c>
      <c r="H104" s="28">
        <f t="shared" si="8"/>
        <v>618</v>
      </c>
      <c r="I104" s="24">
        <v>-1891</v>
      </c>
      <c r="J104" s="28">
        <v>2509</v>
      </c>
      <c r="K104" s="22">
        <f t="shared" si="9"/>
        <v>935</v>
      </c>
      <c r="L104" s="22" t="e">
        <f t="shared" si="3"/>
        <v>#REF!</v>
      </c>
      <c r="M104" s="28">
        <f t="shared" si="10"/>
        <v>780</v>
      </c>
      <c r="N104" s="24">
        <v>-1856</v>
      </c>
      <c r="O104" s="28">
        <v>2636</v>
      </c>
      <c r="P104" s="22">
        <f t="shared" si="11"/>
        <v>749</v>
      </c>
      <c r="Q104" s="36"/>
      <c r="R104" s="30"/>
      <c r="S104" s="69"/>
      <c r="T104" s="70"/>
      <c r="U104" s="71"/>
      <c r="V104" s="71"/>
      <c r="W104" s="72"/>
      <c r="X104" s="71"/>
      <c r="Y104" s="71"/>
      <c r="Z104" s="71"/>
      <c r="AA104" s="71"/>
    </row>
    <row r="105" spans="1:27" ht="22.5" customHeight="1" outlineLevel="1" x14ac:dyDescent="0.2">
      <c r="A105" s="62">
        <v>45735</v>
      </c>
      <c r="B105" s="22" t="e">
        <f t="shared" si="1"/>
        <v>#REF!</v>
      </c>
      <c r="C105" s="28">
        <f t="shared" si="6"/>
        <v>791</v>
      </c>
      <c r="D105" s="24">
        <v>-2512</v>
      </c>
      <c r="E105" s="28">
        <v>3303</v>
      </c>
      <c r="F105" s="22">
        <f t="shared" si="7"/>
        <v>759</v>
      </c>
      <c r="G105" s="22" t="e">
        <f t="shared" si="2"/>
        <v>#REF!</v>
      </c>
      <c r="H105" s="28">
        <f t="shared" si="8"/>
        <v>618</v>
      </c>
      <c r="I105" s="24">
        <v>-1891</v>
      </c>
      <c r="J105" s="28">
        <v>2509</v>
      </c>
      <c r="K105" s="22">
        <f t="shared" si="9"/>
        <v>935</v>
      </c>
      <c r="L105" s="22" t="e">
        <f t="shared" si="3"/>
        <v>#REF!</v>
      </c>
      <c r="M105" s="28">
        <f t="shared" si="10"/>
        <v>780</v>
      </c>
      <c r="N105" s="24">
        <v>-1856</v>
      </c>
      <c r="O105" s="28">
        <v>2636</v>
      </c>
      <c r="P105" s="22">
        <f t="shared" si="11"/>
        <v>749</v>
      </c>
      <c r="Q105" s="36"/>
      <c r="R105" s="30"/>
      <c r="S105" s="69"/>
      <c r="T105" s="70"/>
      <c r="U105" s="71"/>
      <c r="V105" s="71"/>
      <c r="W105" s="72"/>
      <c r="X105" s="71"/>
      <c r="Y105" s="71"/>
      <c r="Z105" s="71"/>
      <c r="AA105" s="71"/>
    </row>
    <row r="106" spans="1:27" ht="22.5" customHeight="1" outlineLevel="1" x14ac:dyDescent="0.2">
      <c r="A106" s="62">
        <v>45736</v>
      </c>
      <c r="B106" s="22" t="e">
        <f t="shared" si="1"/>
        <v>#REF!</v>
      </c>
      <c r="C106" s="28">
        <f t="shared" si="6"/>
        <v>791</v>
      </c>
      <c r="D106" s="24">
        <v>-2512</v>
      </c>
      <c r="E106" s="28">
        <v>3303</v>
      </c>
      <c r="F106" s="22">
        <f t="shared" si="7"/>
        <v>759</v>
      </c>
      <c r="G106" s="22" t="e">
        <f t="shared" si="2"/>
        <v>#REF!</v>
      </c>
      <c r="H106" s="28">
        <f t="shared" si="8"/>
        <v>618</v>
      </c>
      <c r="I106" s="24">
        <v>-1891</v>
      </c>
      <c r="J106" s="28">
        <v>2509</v>
      </c>
      <c r="K106" s="22">
        <f t="shared" si="9"/>
        <v>935</v>
      </c>
      <c r="L106" s="22" t="e">
        <f t="shared" si="3"/>
        <v>#REF!</v>
      </c>
      <c r="M106" s="28">
        <f t="shared" si="10"/>
        <v>780</v>
      </c>
      <c r="N106" s="24">
        <v>-1856</v>
      </c>
      <c r="O106" s="28">
        <v>2636</v>
      </c>
      <c r="P106" s="22">
        <f t="shared" si="11"/>
        <v>749</v>
      </c>
      <c r="Q106" s="36"/>
      <c r="R106" s="30"/>
      <c r="S106" s="69"/>
      <c r="T106" s="70"/>
      <c r="U106" s="71"/>
      <c r="V106" s="71"/>
      <c r="W106" s="72"/>
      <c r="X106" s="71"/>
      <c r="Y106" s="71"/>
      <c r="Z106" s="71"/>
      <c r="AA106" s="71"/>
    </row>
    <row r="107" spans="1:27" ht="22.5" customHeight="1" outlineLevel="1" x14ac:dyDescent="0.2">
      <c r="A107" s="62">
        <v>45737</v>
      </c>
      <c r="B107" s="22" t="e">
        <f t="shared" si="1"/>
        <v>#REF!</v>
      </c>
      <c r="C107" s="28">
        <f t="shared" si="6"/>
        <v>789</v>
      </c>
      <c r="D107" s="24">
        <v>-2514</v>
      </c>
      <c r="E107" s="28">
        <v>3303</v>
      </c>
      <c r="F107" s="22">
        <f t="shared" si="7"/>
        <v>761</v>
      </c>
      <c r="G107" s="22" t="e">
        <f t="shared" si="2"/>
        <v>#REF!</v>
      </c>
      <c r="H107" s="28">
        <f t="shared" si="8"/>
        <v>609</v>
      </c>
      <c r="I107" s="24">
        <v>-1900</v>
      </c>
      <c r="J107" s="28">
        <v>2509</v>
      </c>
      <c r="K107" s="22">
        <f t="shared" si="9"/>
        <v>944</v>
      </c>
      <c r="L107" s="22" t="e">
        <f t="shared" si="3"/>
        <v>#REF!</v>
      </c>
      <c r="M107" s="28">
        <f t="shared" si="10"/>
        <v>775</v>
      </c>
      <c r="N107" s="24">
        <v>-1861</v>
      </c>
      <c r="O107" s="28">
        <v>2636</v>
      </c>
      <c r="P107" s="22">
        <f t="shared" si="11"/>
        <v>754</v>
      </c>
      <c r="Q107" s="36"/>
      <c r="R107" s="30"/>
      <c r="S107" s="69"/>
      <c r="T107" s="70"/>
      <c r="U107" s="71"/>
      <c r="V107" s="71"/>
      <c r="W107" s="72"/>
      <c r="X107" s="71"/>
      <c r="Y107" s="71"/>
      <c r="Z107" s="71"/>
      <c r="AA107" s="71"/>
    </row>
    <row r="108" spans="1:27" ht="22.5" customHeight="1" outlineLevel="1" x14ac:dyDescent="0.2">
      <c r="A108" s="62">
        <v>45738</v>
      </c>
      <c r="B108" s="22" t="e">
        <f t="shared" si="1"/>
        <v>#REF!</v>
      </c>
      <c r="C108" s="28">
        <f t="shared" si="6"/>
        <v>782</v>
      </c>
      <c r="D108" s="24">
        <v>-2521</v>
      </c>
      <c r="E108" s="28">
        <v>3303</v>
      </c>
      <c r="F108" s="22">
        <f t="shared" si="7"/>
        <v>768</v>
      </c>
      <c r="G108" s="22" t="e">
        <f t="shared" si="2"/>
        <v>#REF!</v>
      </c>
      <c r="H108" s="28">
        <f t="shared" si="8"/>
        <v>601</v>
      </c>
      <c r="I108" s="24">
        <v>-1908</v>
      </c>
      <c r="J108" s="28">
        <v>2509</v>
      </c>
      <c r="K108" s="22">
        <f t="shared" si="9"/>
        <v>952</v>
      </c>
      <c r="L108" s="22" t="e">
        <f t="shared" si="3"/>
        <v>#REF!</v>
      </c>
      <c r="M108" s="28">
        <f t="shared" si="10"/>
        <v>771</v>
      </c>
      <c r="N108" s="24">
        <v>-1865</v>
      </c>
      <c r="O108" s="28">
        <v>2636</v>
      </c>
      <c r="P108" s="22">
        <f t="shared" si="11"/>
        <v>758</v>
      </c>
      <c r="Q108" s="36"/>
      <c r="R108" s="30"/>
      <c r="S108" s="69"/>
      <c r="T108" s="70"/>
      <c r="U108" s="71"/>
      <c r="V108" s="71"/>
      <c r="W108" s="72"/>
      <c r="X108" s="71"/>
      <c r="Y108" s="71"/>
      <c r="Z108" s="71"/>
      <c r="AA108" s="71"/>
    </row>
    <row r="109" spans="1:27" ht="22.5" customHeight="1" outlineLevel="1" x14ac:dyDescent="0.2">
      <c r="A109" s="62">
        <v>45739</v>
      </c>
      <c r="B109" s="22" t="e">
        <f t="shared" si="1"/>
        <v>#REF!</v>
      </c>
      <c r="C109" s="28">
        <f t="shared" si="6"/>
        <v>773</v>
      </c>
      <c r="D109" s="24">
        <v>-2530</v>
      </c>
      <c r="E109" s="28">
        <v>3303</v>
      </c>
      <c r="F109" s="22">
        <f t="shared" si="7"/>
        <v>777</v>
      </c>
      <c r="G109" s="22" t="e">
        <f t="shared" si="2"/>
        <v>#REF!</v>
      </c>
      <c r="H109" s="28">
        <f t="shared" si="8"/>
        <v>593</v>
      </c>
      <c r="I109" s="24">
        <v>-1916</v>
      </c>
      <c r="J109" s="28">
        <v>2509</v>
      </c>
      <c r="K109" s="22">
        <f t="shared" si="9"/>
        <v>960</v>
      </c>
      <c r="L109" s="22" t="e">
        <f t="shared" si="3"/>
        <v>#REF!</v>
      </c>
      <c r="M109" s="28">
        <f t="shared" si="10"/>
        <v>765</v>
      </c>
      <c r="N109" s="24">
        <v>-1871</v>
      </c>
      <c r="O109" s="28">
        <v>2636</v>
      </c>
      <c r="P109" s="22">
        <f t="shared" si="11"/>
        <v>764</v>
      </c>
      <c r="Q109" s="36"/>
      <c r="R109" s="30"/>
      <c r="S109" s="69"/>
      <c r="T109" s="70"/>
      <c r="U109" s="71"/>
      <c r="V109" s="71"/>
      <c r="W109" s="72"/>
      <c r="X109" s="71"/>
      <c r="Y109" s="71"/>
      <c r="Z109" s="71"/>
      <c r="AA109" s="71"/>
    </row>
    <row r="110" spans="1:27" ht="22.5" customHeight="1" outlineLevel="1" x14ac:dyDescent="0.2">
      <c r="A110" s="62">
        <v>45740</v>
      </c>
      <c r="B110" s="22" t="e">
        <f t="shared" si="1"/>
        <v>#REF!</v>
      </c>
      <c r="C110" s="28">
        <f t="shared" si="6"/>
        <v>770</v>
      </c>
      <c r="D110" s="24">
        <v>-2533</v>
      </c>
      <c r="E110" s="28">
        <v>3303</v>
      </c>
      <c r="F110" s="22">
        <f t="shared" si="7"/>
        <v>780</v>
      </c>
      <c r="G110" s="22" t="e">
        <f t="shared" si="2"/>
        <v>#REF!</v>
      </c>
      <c r="H110" s="28">
        <f t="shared" si="8"/>
        <v>590</v>
      </c>
      <c r="I110" s="24">
        <v>-1919</v>
      </c>
      <c r="J110" s="28">
        <v>2509</v>
      </c>
      <c r="K110" s="22">
        <f t="shared" si="9"/>
        <v>963</v>
      </c>
      <c r="L110" s="22" t="e">
        <f t="shared" si="3"/>
        <v>#REF!</v>
      </c>
      <c r="M110" s="28">
        <f t="shared" si="10"/>
        <v>760</v>
      </c>
      <c r="N110" s="24">
        <v>-1876</v>
      </c>
      <c r="O110" s="28">
        <v>2636</v>
      </c>
      <c r="P110" s="22">
        <f t="shared" si="11"/>
        <v>769</v>
      </c>
      <c r="Q110" s="36"/>
      <c r="R110" s="30"/>
      <c r="S110" s="69"/>
      <c r="T110" s="70"/>
      <c r="U110" s="71"/>
      <c r="V110" s="71"/>
      <c r="W110" s="72"/>
      <c r="X110" s="71"/>
      <c r="Y110" s="71"/>
      <c r="Z110" s="71"/>
      <c r="AA110" s="71"/>
    </row>
    <row r="111" spans="1:27" ht="22.5" customHeight="1" outlineLevel="1" x14ac:dyDescent="0.2">
      <c r="A111" s="62">
        <v>45741</v>
      </c>
      <c r="B111" s="22" t="e">
        <f t="shared" si="1"/>
        <v>#REF!</v>
      </c>
      <c r="C111" s="28">
        <f t="shared" si="6"/>
        <v>767</v>
      </c>
      <c r="D111" s="24">
        <v>-2536</v>
      </c>
      <c r="E111" s="28">
        <v>3303</v>
      </c>
      <c r="F111" s="22">
        <f t="shared" si="7"/>
        <v>783</v>
      </c>
      <c r="G111" s="22" t="e">
        <f t="shared" si="2"/>
        <v>#REF!</v>
      </c>
      <c r="H111" s="28">
        <f t="shared" si="8"/>
        <v>586</v>
      </c>
      <c r="I111" s="24">
        <v>-1923</v>
      </c>
      <c r="J111" s="28">
        <v>2509</v>
      </c>
      <c r="K111" s="22">
        <f t="shared" si="9"/>
        <v>967</v>
      </c>
      <c r="L111" s="22" t="e">
        <f t="shared" si="3"/>
        <v>#REF!</v>
      </c>
      <c r="M111" s="28">
        <f t="shared" si="10"/>
        <v>754</v>
      </c>
      <c r="N111" s="24">
        <v>-1882</v>
      </c>
      <c r="O111" s="28">
        <v>2636</v>
      </c>
      <c r="P111" s="22">
        <f t="shared" si="11"/>
        <v>775</v>
      </c>
      <c r="Q111" s="36"/>
      <c r="R111" s="30"/>
      <c r="S111" s="69"/>
      <c r="T111" s="70"/>
      <c r="U111" s="71"/>
      <c r="V111" s="71"/>
      <c r="W111" s="72"/>
      <c r="X111" s="71"/>
      <c r="Y111" s="71"/>
      <c r="Z111" s="71"/>
      <c r="AA111" s="71"/>
    </row>
    <row r="112" spans="1:27" ht="22.5" customHeight="1" outlineLevel="1" x14ac:dyDescent="0.2">
      <c r="A112" s="62">
        <v>45742</v>
      </c>
      <c r="B112" s="22" t="e">
        <f t="shared" si="1"/>
        <v>#REF!</v>
      </c>
      <c r="C112" s="28">
        <f t="shared" si="6"/>
        <v>762</v>
      </c>
      <c r="D112" s="24">
        <v>-2541</v>
      </c>
      <c r="E112" s="28">
        <v>3303</v>
      </c>
      <c r="F112" s="22">
        <f t="shared" si="7"/>
        <v>788</v>
      </c>
      <c r="G112" s="22" t="e">
        <f t="shared" si="2"/>
        <v>#REF!</v>
      </c>
      <c r="H112" s="28">
        <f t="shared" si="8"/>
        <v>582</v>
      </c>
      <c r="I112" s="24">
        <v>-1927</v>
      </c>
      <c r="J112" s="28">
        <v>2509</v>
      </c>
      <c r="K112" s="22">
        <f t="shared" si="9"/>
        <v>971</v>
      </c>
      <c r="L112" s="22" t="e">
        <f t="shared" si="3"/>
        <v>#REF!</v>
      </c>
      <c r="M112" s="28">
        <f t="shared" si="10"/>
        <v>751</v>
      </c>
      <c r="N112" s="24">
        <v>-1885</v>
      </c>
      <c r="O112" s="28">
        <v>2636</v>
      </c>
      <c r="P112" s="22">
        <f t="shared" si="11"/>
        <v>778</v>
      </c>
      <c r="Q112" s="36"/>
      <c r="R112" s="30"/>
      <c r="S112" s="69"/>
      <c r="T112" s="70"/>
      <c r="U112" s="71"/>
      <c r="V112" s="71"/>
      <c r="W112" s="72"/>
      <c r="X112" s="71"/>
      <c r="Y112" s="71"/>
      <c r="Z112" s="71"/>
      <c r="AA112" s="71"/>
    </row>
    <row r="113" spans="1:27" ht="22.5" customHeight="1" outlineLevel="1" x14ac:dyDescent="0.2">
      <c r="A113" s="62">
        <v>45743</v>
      </c>
      <c r="B113" s="22" t="e">
        <f t="shared" si="1"/>
        <v>#REF!</v>
      </c>
      <c r="C113" s="28">
        <f t="shared" si="6"/>
        <v>756</v>
      </c>
      <c r="D113" s="24">
        <v>-2547</v>
      </c>
      <c r="E113" s="28">
        <v>3303</v>
      </c>
      <c r="F113" s="22">
        <f t="shared" si="7"/>
        <v>794</v>
      </c>
      <c r="G113" s="22" t="e">
        <f t="shared" si="2"/>
        <v>#REF!</v>
      </c>
      <c r="H113" s="28">
        <f t="shared" si="8"/>
        <v>573</v>
      </c>
      <c r="I113" s="24">
        <v>-1936</v>
      </c>
      <c r="J113" s="28">
        <v>2509</v>
      </c>
      <c r="K113" s="22">
        <f t="shared" si="9"/>
        <v>980</v>
      </c>
      <c r="L113" s="22" t="e">
        <f t="shared" si="3"/>
        <v>#REF!</v>
      </c>
      <c r="M113" s="28">
        <f t="shared" si="10"/>
        <v>743</v>
      </c>
      <c r="N113" s="24">
        <v>-1893</v>
      </c>
      <c r="O113" s="28">
        <v>2636</v>
      </c>
      <c r="P113" s="22">
        <f t="shared" si="11"/>
        <v>786</v>
      </c>
      <c r="Q113" s="36"/>
      <c r="R113" s="30"/>
      <c r="S113" s="69"/>
      <c r="T113" s="70"/>
      <c r="U113" s="71"/>
      <c r="V113" s="71"/>
      <c r="W113" s="72"/>
      <c r="X113" s="71"/>
      <c r="Y113" s="71"/>
      <c r="Z113" s="71"/>
      <c r="AA113" s="71"/>
    </row>
    <row r="114" spans="1:27" ht="22.5" customHeight="1" outlineLevel="1" x14ac:dyDescent="0.2">
      <c r="A114" s="62">
        <v>45744</v>
      </c>
      <c r="B114" s="22" t="e">
        <f t="shared" si="1"/>
        <v>#REF!</v>
      </c>
      <c r="C114" s="28">
        <f t="shared" si="6"/>
        <v>750</v>
      </c>
      <c r="D114" s="24">
        <v>-2553</v>
      </c>
      <c r="E114" s="28">
        <v>3303</v>
      </c>
      <c r="F114" s="22">
        <f t="shared" si="7"/>
        <v>800</v>
      </c>
      <c r="G114" s="22" t="e">
        <f t="shared" si="2"/>
        <v>#REF!</v>
      </c>
      <c r="H114" s="28">
        <f t="shared" si="8"/>
        <v>564</v>
      </c>
      <c r="I114" s="24">
        <v>-1945</v>
      </c>
      <c r="J114" s="28">
        <v>2509</v>
      </c>
      <c r="K114" s="22">
        <f t="shared" si="9"/>
        <v>989</v>
      </c>
      <c r="L114" s="22" t="e">
        <f t="shared" si="3"/>
        <v>#REF!</v>
      </c>
      <c r="M114" s="28">
        <f t="shared" si="10"/>
        <v>733</v>
      </c>
      <c r="N114" s="24">
        <v>-1903</v>
      </c>
      <c r="O114" s="28">
        <v>2636</v>
      </c>
      <c r="P114" s="22">
        <f t="shared" si="11"/>
        <v>796</v>
      </c>
      <c r="Q114" s="36"/>
      <c r="R114" s="30"/>
      <c r="S114" s="69"/>
      <c r="T114" s="70"/>
      <c r="U114" s="71"/>
      <c r="V114" s="71"/>
      <c r="W114" s="72"/>
      <c r="X114" s="71"/>
      <c r="Y114" s="71"/>
      <c r="Z114" s="71"/>
      <c r="AA114" s="71"/>
    </row>
    <row r="115" spans="1:27" ht="22.5" customHeight="1" outlineLevel="1" x14ac:dyDescent="0.2">
      <c r="A115" s="62">
        <v>45745</v>
      </c>
      <c r="B115" s="22" t="e">
        <f t="shared" si="1"/>
        <v>#REF!</v>
      </c>
      <c r="C115" s="28">
        <f t="shared" si="6"/>
        <v>748</v>
      </c>
      <c r="D115" s="24">
        <v>-2555</v>
      </c>
      <c r="E115" s="28">
        <v>3303</v>
      </c>
      <c r="F115" s="22">
        <f t="shared" si="7"/>
        <v>802</v>
      </c>
      <c r="G115" s="22" t="e">
        <f t="shared" si="2"/>
        <v>#REF!</v>
      </c>
      <c r="H115" s="28">
        <f t="shared" si="8"/>
        <v>562</v>
      </c>
      <c r="I115" s="24">
        <v>-1947</v>
      </c>
      <c r="J115" s="28">
        <v>2509</v>
      </c>
      <c r="K115" s="22">
        <f t="shared" si="9"/>
        <v>991</v>
      </c>
      <c r="L115" s="22" t="e">
        <f t="shared" si="3"/>
        <v>#REF!</v>
      </c>
      <c r="M115" s="28">
        <f t="shared" si="10"/>
        <v>733</v>
      </c>
      <c r="N115" s="24">
        <v>-1903</v>
      </c>
      <c r="O115" s="28">
        <v>2636</v>
      </c>
      <c r="P115" s="22">
        <f t="shared" si="11"/>
        <v>796</v>
      </c>
      <c r="Q115" s="36"/>
      <c r="R115" s="30"/>
      <c r="S115" s="69"/>
      <c r="T115" s="70"/>
      <c r="U115" s="71"/>
      <c r="V115" s="71"/>
      <c r="W115" s="72"/>
      <c r="X115" s="71"/>
      <c r="Y115" s="71"/>
      <c r="Z115" s="71"/>
      <c r="AA115" s="71"/>
    </row>
    <row r="116" spans="1:27" ht="22.5" customHeight="1" outlineLevel="1" x14ac:dyDescent="0.2">
      <c r="A116" s="62">
        <v>45746</v>
      </c>
      <c r="B116" s="22" t="e">
        <f t="shared" si="1"/>
        <v>#REF!</v>
      </c>
      <c r="C116" s="28">
        <f t="shared" si="6"/>
        <v>746</v>
      </c>
      <c r="D116" s="24">
        <v>-2557</v>
      </c>
      <c r="E116" s="28">
        <v>3303</v>
      </c>
      <c r="F116" s="22">
        <f t="shared" si="7"/>
        <v>804</v>
      </c>
      <c r="G116" s="22" t="e">
        <f t="shared" si="2"/>
        <v>#REF!</v>
      </c>
      <c r="H116" s="28">
        <f t="shared" si="8"/>
        <v>560</v>
      </c>
      <c r="I116" s="24">
        <v>-1949</v>
      </c>
      <c r="J116" s="28">
        <v>2509</v>
      </c>
      <c r="K116" s="22">
        <f t="shared" si="9"/>
        <v>993</v>
      </c>
      <c r="L116" s="22" t="e">
        <f t="shared" si="3"/>
        <v>#REF!</v>
      </c>
      <c r="M116" s="28">
        <f t="shared" si="10"/>
        <v>732</v>
      </c>
      <c r="N116" s="24">
        <v>-1904</v>
      </c>
      <c r="O116" s="28">
        <v>2636</v>
      </c>
      <c r="P116" s="22">
        <f t="shared" si="11"/>
        <v>797</v>
      </c>
      <c r="Q116" s="36"/>
      <c r="R116" s="30"/>
      <c r="S116" s="69"/>
      <c r="T116" s="70"/>
      <c r="U116" s="71"/>
      <c r="V116" s="71"/>
      <c r="W116" s="72"/>
      <c r="X116" s="71"/>
      <c r="Y116" s="71"/>
      <c r="Z116" s="71"/>
      <c r="AA116" s="71"/>
    </row>
    <row r="117" spans="1:27" ht="22.5" customHeight="1" outlineLevel="1" x14ac:dyDescent="0.2">
      <c r="A117" s="62">
        <v>45747</v>
      </c>
      <c r="B117" s="22" t="e">
        <f t="shared" si="1"/>
        <v>#REF!</v>
      </c>
      <c r="C117" s="28">
        <f t="shared" si="6"/>
        <v>743</v>
      </c>
      <c r="D117" s="24">
        <v>-2560</v>
      </c>
      <c r="E117" s="28">
        <v>3303</v>
      </c>
      <c r="F117" s="22">
        <f t="shared" si="7"/>
        <v>807</v>
      </c>
      <c r="G117" s="22" t="e">
        <f t="shared" si="2"/>
        <v>#REF!</v>
      </c>
      <c r="H117" s="28">
        <f t="shared" si="8"/>
        <v>557</v>
      </c>
      <c r="I117" s="24">
        <v>-1952</v>
      </c>
      <c r="J117" s="28">
        <v>2509</v>
      </c>
      <c r="K117" s="22">
        <f t="shared" si="9"/>
        <v>996</v>
      </c>
      <c r="L117" s="22" t="e">
        <f t="shared" si="3"/>
        <v>#REF!</v>
      </c>
      <c r="M117" s="28">
        <f t="shared" si="10"/>
        <v>732</v>
      </c>
      <c r="N117" s="24">
        <v>-1904</v>
      </c>
      <c r="O117" s="28">
        <v>2636</v>
      </c>
      <c r="P117" s="22">
        <f t="shared" si="11"/>
        <v>797</v>
      </c>
      <c r="Q117" s="36"/>
      <c r="R117" s="30"/>
      <c r="S117" s="69"/>
      <c r="T117" s="70"/>
      <c r="U117" s="71"/>
      <c r="V117" s="71"/>
      <c r="W117" s="72"/>
      <c r="X117" s="71"/>
      <c r="Y117" s="71"/>
      <c r="Z117" s="71"/>
      <c r="AA117" s="71"/>
    </row>
    <row r="118" spans="1:27" ht="22.5" customHeight="1" outlineLevel="1" x14ac:dyDescent="0.2">
      <c r="A118" s="62">
        <v>45748</v>
      </c>
      <c r="B118" s="22" t="e">
        <f t="shared" si="1"/>
        <v>#REF!</v>
      </c>
      <c r="C118" s="28">
        <f t="shared" si="6"/>
        <v>737</v>
      </c>
      <c r="D118" s="24">
        <v>-2566</v>
      </c>
      <c r="E118" s="28">
        <v>3303</v>
      </c>
      <c r="F118" s="22">
        <f t="shared" si="7"/>
        <v>813</v>
      </c>
      <c r="G118" s="22" t="e">
        <f t="shared" si="2"/>
        <v>#REF!</v>
      </c>
      <c r="H118" s="28">
        <f t="shared" si="8"/>
        <v>549</v>
      </c>
      <c r="I118" s="24">
        <v>-1960</v>
      </c>
      <c r="J118" s="28">
        <v>2509</v>
      </c>
      <c r="K118" s="22">
        <f t="shared" si="9"/>
        <v>1004</v>
      </c>
      <c r="L118" s="22" t="e">
        <f t="shared" si="3"/>
        <v>#REF!</v>
      </c>
      <c r="M118" s="28">
        <f t="shared" si="10"/>
        <v>725</v>
      </c>
      <c r="N118" s="24">
        <v>-1911</v>
      </c>
      <c r="O118" s="28">
        <v>2636</v>
      </c>
      <c r="P118" s="22">
        <f t="shared" si="11"/>
        <v>804</v>
      </c>
      <c r="Q118" s="36"/>
      <c r="R118" s="30"/>
      <c r="S118" s="69"/>
      <c r="T118" s="70"/>
      <c r="U118" s="71"/>
      <c r="V118" s="71"/>
      <c r="W118" s="72"/>
      <c r="X118" s="71"/>
      <c r="Y118" s="71"/>
      <c r="Z118" s="71"/>
      <c r="AA118" s="71"/>
    </row>
    <row r="119" spans="1:27" ht="22.5" customHeight="1" outlineLevel="1" x14ac:dyDescent="0.2">
      <c r="A119" s="62">
        <v>45749</v>
      </c>
      <c r="B119" s="22" t="e">
        <f t="shared" si="1"/>
        <v>#REF!</v>
      </c>
      <c r="C119" s="28">
        <f t="shared" si="6"/>
        <v>731</v>
      </c>
      <c r="D119" s="24">
        <v>-2572</v>
      </c>
      <c r="E119" s="28">
        <v>3303</v>
      </c>
      <c r="F119" s="22">
        <f t="shared" si="7"/>
        <v>819</v>
      </c>
      <c r="G119" s="22" t="e">
        <f t="shared" si="2"/>
        <v>#REF!</v>
      </c>
      <c r="H119" s="28">
        <f t="shared" si="8"/>
        <v>541</v>
      </c>
      <c r="I119" s="24">
        <v>-1968</v>
      </c>
      <c r="J119" s="28">
        <v>2509</v>
      </c>
      <c r="K119" s="22">
        <f t="shared" si="9"/>
        <v>1012</v>
      </c>
      <c r="L119" s="22" t="e">
        <f t="shared" si="3"/>
        <v>#REF!</v>
      </c>
      <c r="M119" s="28">
        <f t="shared" si="10"/>
        <v>718</v>
      </c>
      <c r="N119" s="24">
        <v>-1918</v>
      </c>
      <c r="O119" s="28">
        <v>2636</v>
      </c>
      <c r="P119" s="22">
        <f t="shared" si="11"/>
        <v>811</v>
      </c>
      <c r="Q119" s="36"/>
      <c r="R119" s="30"/>
      <c r="S119" s="69"/>
      <c r="T119" s="70"/>
      <c r="U119" s="71"/>
      <c r="V119" s="71"/>
      <c r="W119" s="72"/>
      <c r="X119" s="71"/>
      <c r="Y119" s="71"/>
      <c r="Z119" s="71"/>
      <c r="AA119" s="71"/>
    </row>
    <row r="120" spans="1:27" ht="22.5" customHeight="1" outlineLevel="1" x14ac:dyDescent="0.2">
      <c r="A120" s="62">
        <v>45750</v>
      </c>
      <c r="B120" s="22" t="e">
        <f t="shared" si="1"/>
        <v>#REF!</v>
      </c>
      <c r="C120" s="28">
        <f t="shared" si="6"/>
        <v>726</v>
      </c>
      <c r="D120" s="24">
        <v>-2577</v>
      </c>
      <c r="E120" s="28">
        <v>3303</v>
      </c>
      <c r="F120" s="22">
        <f t="shared" si="7"/>
        <v>824</v>
      </c>
      <c r="G120" s="22" t="e">
        <f t="shared" si="2"/>
        <v>#REF!</v>
      </c>
      <c r="H120" s="28">
        <f t="shared" si="8"/>
        <v>536</v>
      </c>
      <c r="I120" s="24">
        <v>-1973</v>
      </c>
      <c r="J120" s="28">
        <v>2509</v>
      </c>
      <c r="K120" s="22">
        <f t="shared" si="9"/>
        <v>1017</v>
      </c>
      <c r="L120" s="22" t="e">
        <f t="shared" si="3"/>
        <v>#REF!</v>
      </c>
      <c r="M120" s="28">
        <f t="shared" si="10"/>
        <v>715</v>
      </c>
      <c r="N120" s="24">
        <v>-1921</v>
      </c>
      <c r="O120" s="28">
        <v>2636</v>
      </c>
      <c r="P120" s="22">
        <f t="shared" si="11"/>
        <v>814</v>
      </c>
      <c r="Q120" s="36"/>
      <c r="R120" s="30"/>
      <c r="S120" s="69"/>
      <c r="T120" s="70"/>
      <c r="U120" s="71"/>
      <c r="V120" s="71"/>
      <c r="W120" s="72"/>
      <c r="X120" s="71"/>
      <c r="Y120" s="71"/>
      <c r="Z120" s="71"/>
      <c r="AA120" s="71"/>
    </row>
    <row r="121" spans="1:27" ht="22.5" customHeight="1" outlineLevel="1" x14ac:dyDescent="0.2">
      <c r="A121" s="62">
        <v>45751</v>
      </c>
      <c r="B121" s="22" t="e">
        <f t="shared" si="1"/>
        <v>#REF!</v>
      </c>
      <c r="C121" s="28">
        <f t="shared" si="6"/>
        <v>721</v>
      </c>
      <c r="D121" s="24">
        <v>-2582</v>
      </c>
      <c r="E121" s="28">
        <v>3303</v>
      </c>
      <c r="F121" s="22">
        <f t="shared" si="7"/>
        <v>829</v>
      </c>
      <c r="G121" s="22" t="e">
        <f t="shared" si="2"/>
        <v>#REF!</v>
      </c>
      <c r="H121" s="28">
        <f t="shared" si="8"/>
        <v>531</v>
      </c>
      <c r="I121" s="24">
        <v>-1978</v>
      </c>
      <c r="J121" s="28">
        <v>2509</v>
      </c>
      <c r="K121" s="22">
        <f t="shared" si="9"/>
        <v>1022</v>
      </c>
      <c r="L121" s="22" t="e">
        <f t="shared" si="3"/>
        <v>#REF!</v>
      </c>
      <c r="M121" s="28">
        <f t="shared" si="10"/>
        <v>713</v>
      </c>
      <c r="N121" s="24">
        <v>-1923</v>
      </c>
      <c r="O121" s="28">
        <v>2636</v>
      </c>
      <c r="P121" s="22">
        <f t="shared" si="11"/>
        <v>816</v>
      </c>
      <c r="Q121" s="36"/>
      <c r="R121" s="30"/>
      <c r="S121" s="69"/>
      <c r="T121" s="70"/>
      <c r="U121" s="71"/>
      <c r="V121" s="71"/>
      <c r="W121" s="72"/>
      <c r="X121" s="71"/>
      <c r="Y121" s="71"/>
      <c r="Z121" s="71"/>
      <c r="AA121" s="71"/>
    </row>
    <row r="122" spans="1:27" ht="22.5" customHeight="1" outlineLevel="1" x14ac:dyDescent="0.2">
      <c r="A122" s="62">
        <v>45752</v>
      </c>
      <c r="B122" s="22" t="e">
        <f t="shared" si="1"/>
        <v>#REF!</v>
      </c>
      <c r="C122" s="28">
        <f t="shared" si="6"/>
        <v>718</v>
      </c>
      <c r="D122" s="24">
        <v>-2585</v>
      </c>
      <c r="E122" s="28">
        <v>3303</v>
      </c>
      <c r="F122" s="22">
        <f t="shared" si="7"/>
        <v>832</v>
      </c>
      <c r="G122" s="22" t="e">
        <f t="shared" si="2"/>
        <v>#REF!</v>
      </c>
      <c r="H122" s="28">
        <f t="shared" si="8"/>
        <v>527</v>
      </c>
      <c r="I122" s="24">
        <v>-1982</v>
      </c>
      <c r="J122" s="28">
        <v>2509</v>
      </c>
      <c r="K122" s="22">
        <f t="shared" si="9"/>
        <v>1026</v>
      </c>
      <c r="L122" s="22" t="e">
        <f t="shared" si="3"/>
        <v>#REF!</v>
      </c>
      <c r="M122" s="28">
        <f t="shared" si="10"/>
        <v>711</v>
      </c>
      <c r="N122" s="24">
        <v>-1925</v>
      </c>
      <c r="O122" s="28">
        <v>2636</v>
      </c>
      <c r="P122" s="22">
        <f t="shared" si="11"/>
        <v>818</v>
      </c>
      <c r="Q122" s="36"/>
      <c r="R122" s="30"/>
      <c r="S122" s="69"/>
      <c r="T122" s="70"/>
      <c r="U122" s="71"/>
      <c r="V122" s="71"/>
      <c r="W122" s="72"/>
      <c r="X122" s="71"/>
      <c r="Y122" s="71"/>
      <c r="Z122" s="71"/>
      <c r="AA122" s="71"/>
    </row>
    <row r="123" spans="1:27" ht="22.5" customHeight="1" outlineLevel="1" x14ac:dyDescent="0.2">
      <c r="A123" s="62">
        <v>45753</v>
      </c>
      <c r="B123" s="22" t="e">
        <f t="shared" si="1"/>
        <v>#REF!</v>
      </c>
      <c r="C123" s="28">
        <f t="shared" si="6"/>
        <v>715</v>
      </c>
      <c r="D123" s="24">
        <v>-2588</v>
      </c>
      <c r="E123" s="28">
        <v>3303</v>
      </c>
      <c r="F123" s="22">
        <f t="shared" si="7"/>
        <v>835</v>
      </c>
      <c r="G123" s="22" t="e">
        <f t="shared" si="2"/>
        <v>#REF!</v>
      </c>
      <c r="H123" s="28">
        <f t="shared" si="8"/>
        <v>524</v>
      </c>
      <c r="I123" s="24">
        <v>-1985</v>
      </c>
      <c r="J123" s="28">
        <v>2509</v>
      </c>
      <c r="K123" s="22">
        <f t="shared" si="9"/>
        <v>1029</v>
      </c>
      <c r="L123" s="22" t="e">
        <f t="shared" si="3"/>
        <v>#REF!</v>
      </c>
      <c r="M123" s="28">
        <f t="shared" si="10"/>
        <v>709</v>
      </c>
      <c r="N123" s="24">
        <v>-1927</v>
      </c>
      <c r="O123" s="28">
        <v>2636</v>
      </c>
      <c r="P123" s="22">
        <f t="shared" si="11"/>
        <v>820</v>
      </c>
      <c r="Q123" s="36"/>
      <c r="R123" s="30"/>
      <c r="S123" s="69"/>
      <c r="T123" s="70"/>
      <c r="U123" s="71"/>
      <c r="V123" s="71"/>
      <c r="W123" s="72"/>
      <c r="X123" s="71"/>
      <c r="Y123" s="71"/>
      <c r="Z123" s="71"/>
      <c r="AA123" s="71"/>
    </row>
    <row r="124" spans="1:27" ht="22.5" customHeight="1" outlineLevel="1" x14ac:dyDescent="0.2">
      <c r="A124" s="62">
        <v>45754</v>
      </c>
      <c r="B124" s="22" t="e">
        <f t="shared" si="1"/>
        <v>#REF!</v>
      </c>
      <c r="C124" s="28">
        <f t="shared" si="6"/>
        <v>712</v>
      </c>
      <c r="D124" s="24">
        <v>-2591</v>
      </c>
      <c r="E124" s="28">
        <v>3303</v>
      </c>
      <c r="F124" s="22">
        <f t="shared" si="7"/>
        <v>838</v>
      </c>
      <c r="G124" s="22" t="e">
        <f t="shared" si="2"/>
        <v>#REF!</v>
      </c>
      <c r="H124" s="28">
        <f t="shared" si="8"/>
        <v>521</v>
      </c>
      <c r="I124" s="24">
        <v>-1988</v>
      </c>
      <c r="J124" s="28">
        <v>2509</v>
      </c>
      <c r="K124" s="22">
        <f t="shared" si="9"/>
        <v>1032</v>
      </c>
      <c r="L124" s="22" t="e">
        <f t="shared" si="3"/>
        <v>#REF!</v>
      </c>
      <c r="M124" s="28">
        <f t="shared" si="10"/>
        <v>706</v>
      </c>
      <c r="N124" s="24">
        <v>-1930</v>
      </c>
      <c r="O124" s="28">
        <v>2636</v>
      </c>
      <c r="P124" s="22">
        <f t="shared" si="11"/>
        <v>823</v>
      </c>
      <c r="Q124" s="36"/>
      <c r="R124" s="30"/>
      <c r="S124" s="69"/>
      <c r="T124" s="70"/>
      <c r="U124" s="71"/>
      <c r="V124" s="71"/>
      <c r="W124" s="72"/>
      <c r="X124" s="71"/>
      <c r="Y124" s="71"/>
      <c r="Z124" s="71"/>
      <c r="AA124" s="71"/>
    </row>
    <row r="125" spans="1:27" ht="22.5" customHeight="1" outlineLevel="1" x14ac:dyDescent="0.2">
      <c r="A125" s="62">
        <v>45755</v>
      </c>
      <c r="B125" s="22" t="e">
        <f t="shared" si="1"/>
        <v>#REF!</v>
      </c>
      <c r="C125" s="28">
        <f t="shared" si="6"/>
        <v>704</v>
      </c>
      <c r="D125" s="24">
        <v>-2599</v>
      </c>
      <c r="E125" s="28">
        <v>3303</v>
      </c>
      <c r="F125" s="22">
        <f t="shared" si="7"/>
        <v>846</v>
      </c>
      <c r="G125" s="22" t="e">
        <f t="shared" si="2"/>
        <v>#REF!</v>
      </c>
      <c r="H125" s="28">
        <f t="shared" si="8"/>
        <v>512</v>
      </c>
      <c r="I125" s="24">
        <v>-1997</v>
      </c>
      <c r="J125" s="28">
        <v>2509</v>
      </c>
      <c r="K125" s="22">
        <f t="shared" si="9"/>
        <v>1041</v>
      </c>
      <c r="L125" s="22" t="e">
        <f t="shared" si="3"/>
        <v>#REF!</v>
      </c>
      <c r="M125" s="28">
        <f t="shared" si="10"/>
        <v>695</v>
      </c>
      <c r="N125" s="24">
        <v>-1941</v>
      </c>
      <c r="O125" s="28">
        <v>2636</v>
      </c>
      <c r="P125" s="22">
        <f t="shared" si="11"/>
        <v>834</v>
      </c>
      <c r="Q125" s="36"/>
      <c r="R125" s="30"/>
      <c r="S125" s="69"/>
      <c r="T125" s="70"/>
      <c r="U125" s="71"/>
      <c r="V125" s="71"/>
      <c r="W125" s="72"/>
      <c r="X125" s="71"/>
      <c r="Y125" s="71"/>
      <c r="Z125" s="71"/>
      <c r="AA125" s="71"/>
    </row>
    <row r="126" spans="1:27" ht="22.5" customHeight="1" outlineLevel="1" x14ac:dyDescent="0.2">
      <c r="A126" s="62">
        <v>45756</v>
      </c>
      <c r="B126" s="22" t="e">
        <f t="shared" si="1"/>
        <v>#REF!</v>
      </c>
      <c r="C126" s="28">
        <f t="shared" si="6"/>
        <v>700</v>
      </c>
      <c r="D126" s="24">
        <v>-2603</v>
      </c>
      <c r="E126" s="28">
        <v>3303</v>
      </c>
      <c r="F126" s="22">
        <f t="shared" si="7"/>
        <v>850</v>
      </c>
      <c r="G126" s="22" t="e">
        <f t="shared" si="2"/>
        <v>#REF!</v>
      </c>
      <c r="H126" s="28">
        <f t="shared" si="8"/>
        <v>506</v>
      </c>
      <c r="I126" s="24">
        <v>-2003</v>
      </c>
      <c r="J126" s="28">
        <v>2509</v>
      </c>
      <c r="K126" s="22">
        <f t="shared" si="9"/>
        <v>1047</v>
      </c>
      <c r="L126" s="22" t="e">
        <f t="shared" si="3"/>
        <v>#REF!</v>
      </c>
      <c r="M126" s="28">
        <f t="shared" si="10"/>
        <v>683</v>
      </c>
      <c r="N126" s="24">
        <v>-1953</v>
      </c>
      <c r="O126" s="28">
        <v>2636</v>
      </c>
      <c r="P126" s="22">
        <f t="shared" si="11"/>
        <v>846</v>
      </c>
      <c r="Q126" s="36"/>
      <c r="R126" s="30"/>
      <c r="S126" s="69"/>
      <c r="T126" s="70"/>
      <c r="U126" s="71"/>
      <c r="V126" s="71"/>
      <c r="W126" s="72"/>
      <c r="X126" s="71"/>
      <c r="Y126" s="71"/>
      <c r="Z126" s="71"/>
      <c r="AA126" s="71"/>
    </row>
    <row r="127" spans="1:27" ht="22.5" customHeight="1" outlineLevel="1" x14ac:dyDescent="0.2">
      <c r="A127" s="62">
        <v>45757</v>
      </c>
      <c r="B127" s="22" t="e">
        <f t="shared" si="1"/>
        <v>#REF!</v>
      </c>
      <c r="C127" s="28">
        <f t="shared" si="6"/>
        <v>697</v>
      </c>
      <c r="D127" s="24">
        <v>-2606</v>
      </c>
      <c r="E127" s="28">
        <v>3303</v>
      </c>
      <c r="F127" s="22">
        <f t="shared" si="7"/>
        <v>853</v>
      </c>
      <c r="G127" s="22" t="e">
        <f t="shared" si="2"/>
        <v>#REF!</v>
      </c>
      <c r="H127" s="28">
        <f t="shared" si="8"/>
        <v>502</v>
      </c>
      <c r="I127" s="24">
        <v>-2007</v>
      </c>
      <c r="J127" s="28">
        <v>2509</v>
      </c>
      <c r="K127" s="22">
        <f t="shared" si="9"/>
        <v>1051</v>
      </c>
      <c r="L127" s="22" t="e">
        <f t="shared" si="3"/>
        <v>#REF!</v>
      </c>
      <c r="M127" s="28">
        <f t="shared" si="10"/>
        <v>680</v>
      </c>
      <c r="N127" s="24">
        <v>-1956</v>
      </c>
      <c r="O127" s="28">
        <v>2636</v>
      </c>
      <c r="P127" s="22">
        <f t="shared" si="11"/>
        <v>849</v>
      </c>
      <c r="Q127" s="36"/>
      <c r="R127" s="30"/>
      <c r="S127" s="69"/>
      <c r="T127" s="70"/>
      <c r="U127" s="71"/>
      <c r="V127" s="71"/>
      <c r="W127" s="72"/>
      <c r="X127" s="71"/>
      <c r="Y127" s="71"/>
      <c r="Z127" s="71"/>
      <c r="AA127" s="71"/>
    </row>
    <row r="128" spans="1:27" ht="22.5" customHeight="1" outlineLevel="1" x14ac:dyDescent="0.2">
      <c r="A128" s="62">
        <v>45758</v>
      </c>
      <c r="B128" s="22" t="e">
        <f t="shared" si="1"/>
        <v>#REF!</v>
      </c>
      <c r="C128" s="28">
        <f t="shared" si="6"/>
        <v>694</v>
      </c>
      <c r="D128" s="24">
        <v>-2609</v>
      </c>
      <c r="E128" s="28">
        <v>3303</v>
      </c>
      <c r="F128" s="22">
        <f t="shared" si="7"/>
        <v>856</v>
      </c>
      <c r="G128" s="22" t="e">
        <f t="shared" si="2"/>
        <v>#REF!</v>
      </c>
      <c r="H128" s="28">
        <f t="shared" si="8"/>
        <v>499</v>
      </c>
      <c r="I128" s="24">
        <v>-2010</v>
      </c>
      <c r="J128" s="28">
        <v>2509</v>
      </c>
      <c r="K128" s="22">
        <f t="shared" si="9"/>
        <v>1054</v>
      </c>
      <c r="L128" s="22" t="e">
        <f t="shared" si="3"/>
        <v>#REF!</v>
      </c>
      <c r="M128" s="28">
        <f t="shared" si="10"/>
        <v>677</v>
      </c>
      <c r="N128" s="24">
        <v>-1959</v>
      </c>
      <c r="O128" s="28">
        <v>2636</v>
      </c>
      <c r="P128" s="22">
        <f t="shared" si="11"/>
        <v>852</v>
      </c>
      <c r="Q128" s="36"/>
      <c r="R128" s="30"/>
      <c r="S128" s="69"/>
      <c r="T128" s="70"/>
      <c r="U128" s="71"/>
      <c r="V128" s="71"/>
      <c r="W128" s="72"/>
      <c r="X128" s="71"/>
      <c r="Y128" s="71"/>
      <c r="Z128" s="71"/>
      <c r="AA128" s="71"/>
    </row>
    <row r="129" spans="1:27" ht="22.5" customHeight="1" outlineLevel="1" x14ac:dyDescent="0.2">
      <c r="A129" s="62">
        <v>45759</v>
      </c>
      <c r="B129" s="22" t="e">
        <f t="shared" si="1"/>
        <v>#REF!</v>
      </c>
      <c r="C129" s="28">
        <f t="shared" si="6"/>
        <v>692</v>
      </c>
      <c r="D129" s="24">
        <v>-2611</v>
      </c>
      <c r="E129" s="28">
        <v>3303</v>
      </c>
      <c r="F129" s="22">
        <f t="shared" si="7"/>
        <v>858</v>
      </c>
      <c r="G129" s="22" t="e">
        <f t="shared" si="2"/>
        <v>#REF!</v>
      </c>
      <c r="H129" s="28">
        <f t="shared" si="8"/>
        <v>495</v>
      </c>
      <c r="I129" s="24">
        <v>-2014</v>
      </c>
      <c r="J129" s="28">
        <v>2509</v>
      </c>
      <c r="K129" s="22">
        <f t="shared" si="9"/>
        <v>1058</v>
      </c>
      <c r="L129" s="22" t="e">
        <f t="shared" si="3"/>
        <v>#REF!</v>
      </c>
      <c r="M129" s="28">
        <f t="shared" si="10"/>
        <v>674</v>
      </c>
      <c r="N129" s="24">
        <v>-1962</v>
      </c>
      <c r="O129" s="28">
        <v>2636</v>
      </c>
      <c r="P129" s="22">
        <f t="shared" si="11"/>
        <v>855</v>
      </c>
      <c r="Q129" s="36"/>
      <c r="R129" s="30"/>
      <c r="S129" s="69"/>
      <c r="T129" s="70"/>
      <c r="U129" s="71"/>
      <c r="V129" s="71"/>
      <c r="W129" s="72"/>
      <c r="X129" s="71"/>
      <c r="Y129" s="71"/>
      <c r="Z129" s="71"/>
      <c r="AA129" s="71"/>
    </row>
    <row r="130" spans="1:27" ht="22.5" customHeight="1" outlineLevel="1" x14ac:dyDescent="0.2">
      <c r="A130" s="62">
        <v>45760</v>
      </c>
      <c r="B130" s="22" t="e">
        <f t="shared" si="1"/>
        <v>#REF!</v>
      </c>
      <c r="C130" s="28">
        <f t="shared" si="6"/>
        <v>688</v>
      </c>
      <c r="D130" s="24">
        <v>-2615</v>
      </c>
      <c r="E130" s="28">
        <v>3303</v>
      </c>
      <c r="F130" s="22">
        <f t="shared" si="7"/>
        <v>862</v>
      </c>
      <c r="G130" s="22" t="e">
        <f t="shared" si="2"/>
        <v>#REF!</v>
      </c>
      <c r="H130" s="28">
        <f t="shared" si="8"/>
        <v>492</v>
      </c>
      <c r="I130" s="24">
        <v>-2017</v>
      </c>
      <c r="J130" s="28">
        <v>2509</v>
      </c>
      <c r="K130" s="22">
        <f t="shared" si="9"/>
        <v>1061</v>
      </c>
      <c r="L130" s="22" t="e">
        <f t="shared" si="3"/>
        <v>#REF!</v>
      </c>
      <c r="M130" s="28">
        <f t="shared" si="10"/>
        <v>672</v>
      </c>
      <c r="N130" s="24">
        <v>-1964</v>
      </c>
      <c r="O130" s="28">
        <v>2636</v>
      </c>
      <c r="P130" s="22">
        <f t="shared" si="11"/>
        <v>857</v>
      </c>
      <c r="Q130" s="36"/>
      <c r="R130" s="30"/>
      <c r="S130" s="69"/>
      <c r="T130" s="70"/>
      <c r="U130" s="71"/>
      <c r="V130" s="71"/>
      <c r="W130" s="72"/>
      <c r="X130" s="71"/>
      <c r="Y130" s="71"/>
      <c r="Z130" s="71"/>
      <c r="AA130" s="71"/>
    </row>
    <row r="131" spans="1:27" ht="22.5" customHeight="1" outlineLevel="1" x14ac:dyDescent="0.2">
      <c r="A131" s="62">
        <v>45761</v>
      </c>
      <c r="B131" s="22" t="e">
        <f t="shared" si="1"/>
        <v>#REF!</v>
      </c>
      <c r="C131" s="28">
        <f t="shared" si="6"/>
        <v>685</v>
      </c>
      <c r="D131" s="24">
        <v>-2618</v>
      </c>
      <c r="E131" s="28">
        <v>3303</v>
      </c>
      <c r="F131" s="22">
        <f t="shared" si="7"/>
        <v>865</v>
      </c>
      <c r="G131" s="22" t="e">
        <f t="shared" si="2"/>
        <v>#REF!</v>
      </c>
      <c r="H131" s="28">
        <f t="shared" si="8"/>
        <v>489</v>
      </c>
      <c r="I131" s="24">
        <v>-2020</v>
      </c>
      <c r="J131" s="28">
        <v>2509</v>
      </c>
      <c r="K131" s="22">
        <f t="shared" si="9"/>
        <v>1064</v>
      </c>
      <c r="L131" s="22" t="e">
        <f t="shared" si="3"/>
        <v>#REF!</v>
      </c>
      <c r="M131" s="28">
        <f t="shared" si="10"/>
        <v>670</v>
      </c>
      <c r="N131" s="24">
        <v>-1966</v>
      </c>
      <c r="O131" s="28">
        <v>2636</v>
      </c>
      <c r="P131" s="22">
        <f t="shared" si="11"/>
        <v>859</v>
      </c>
      <c r="Q131" s="36"/>
      <c r="R131" s="30"/>
      <c r="S131" s="69"/>
      <c r="T131" s="70"/>
      <c r="U131" s="71"/>
      <c r="V131" s="71"/>
      <c r="W131" s="72"/>
      <c r="X131" s="71"/>
      <c r="Y131" s="71"/>
      <c r="Z131" s="71"/>
      <c r="AA131" s="71"/>
    </row>
    <row r="132" spans="1:27" ht="22.5" customHeight="1" outlineLevel="1" x14ac:dyDescent="0.2">
      <c r="A132" s="62">
        <v>45762</v>
      </c>
      <c r="B132" s="22" t="e">
        <f t="shared" si="1"/>
        <v>#REF!</v>
      </c>
      <c r="C132" s="28">
        <f t="shared" si="6"/>
        <v>681</v>
      </c>
      <c r="D132" s="24">
        <v>-2622</v>
      </c>
      <c r="E132" s="28">
        <v>3303</v>
      </c>
      <c r="F132" s="22">
        <f t="shared" si="7"/>
        <v>869</v>
      </c>
      <c r="G132" s="22" t="e">
        <f t="shared" si="2"/>
        <v>#REF!</v>
      </c>
      <c r="H132" s="28">
        <f t="shared" si="8"/>
        <v>486</v>
      </c>
      <c r="I132" s="24">
        <v>-2023</v>
      </c>
      <c r="J132" s="28">
        <v>2509</v>
      </c>
      <c r="K132" s="22">
        <f t="shared" si="9"/>
        <v>1067</v>
      </c>
      <c r="L132" s="22" t="e">
        <f t="shared" si="3"/>
        <v>#REF!</v>
      </c>
      <c r="M132" s="28">
        <f t="shared" si="10"/>
        <v>668</v>
      </c>
      <c r="N132" s="24">
        <v>-1968</v>
      </c>
      <c r="O132" s="28">
        <v>2636</v>
      </c>
      <c r="P132" s="22">
        <f t="shared" si="11"/>
        <v>861</v>
      </c>
      <c r="Q132" s="36"/>
      <c r="R132" s="30"/>
      <c r="S132" s="69"/>
      <c r="T132" s="70"/>
      <c r="U132" s="71"/>
      <c r="V132" s="71"/>
      <c r="W132" s="72"/>
      <c r="X132" s="71"/>
      <c r="Y132" s="71"/>
      <c r="Z132" s="71"/>
      <c r="AA132" s="71"/>
    </row>
    <row r="133" spans="1:27" ht="22.5" customHeight="1" outlineLevel="1" x14ac:dyDescent="0.2">
      <c r="A133" s="62">
        <v>45763</v>
      </c>
      <c r="B133" s="22" t="e">
        <f t="shared" si="1"/>
        <v>#REF!</v>
      </c>
      <c r="C133" s="28">
        <f t="shared" si="6"/>
        <v>677</v>
      </c>
      <c r="D133" s="24">
        <v>-2626</v>
      </c>
      <c r="E133" s="28">
        <v>3303</v>
      </c>
      <c r="F133" s="22">
        <f t="shared" si="7"/>
        <v>873</v>
      </c>
      <c r="G133" s="22" t="e">
        <f t="shared" si="2"/>
        <v>#REF!</v>
      </c>
      <c r="H133" s="28">
        <f t="shared" si="8"/>
        <v>482</v>
      </c>
      <c r="I133" s="24">
        <v>-2027</v>
      </c>
      <c r="J133" s="28">
        <v>2509</v>
      </c>
      <c r="K133" s="22">
        <f t="shared" si="9"/>
        <v>1071</v>
      </c>
      <c r="L133" s="22" t="e">
        <f t="shared" si="3"/>
        <v>#REF!</v>
      </c>
      <c r="M133" s="28">
        <f t="shared" si="10"/>
        <v>665</v>
      </c>
      <c r="N133" s="24">
        <v>-1971</v>
      </c>
      <c r="O133" s="28">
        <v>2636</v>
      </c>
      <c r="P133" s="22">
        <f t="shared" si="11"/>
        <v>864</v>
      </c>
      <c r="Q133" s="36"/>
      <c r="R133" s="30"/>
      <c r="S133" s="69"/>
      <c r="T133" s="70"/>
      <c r="U133" s="71"/>
      <c r="V133" s="71"/>
      <c r="W133" s="72"/>
      <c r="X133" s="71"/>
      <c r="Y133" s="71"/>
      <c r="Z133" s="71"/>
      <c r="AA133" s="71"/>
    </row>
    <row r="134" spans="1:27" ht="22.5" customHeight="1" outlineLevel="1" x14ac:dyDescent="0.2">
      <c r="A134" s="62">
        <v>45764</v>
      </c>
      <c r="B134" s="22" t="e">
        <f t="shared" si="1"/>
        <v>#REF!</v>
      </c>
      <c r="C134" s="28">
        <f t="shared" si="6"/>
        <v>673</v>
      </c>
      <c r="D134" s="24">
        <v>-2630</v>
      </c>
      <c r="E134" s="28">
        <v>3303</v>
      </c>
      <c r="F134" s="22">
        <f t="shared" si="7"/>
        <v>877</v>
      </c>
      <c r="G134" s="22" t="e">
        <f t="shared" si="2"/>
        <v>#REF!</v>
      </c>
      <c r="H134" s="28">
        <f t="shared" si="8"/>
        <v>479</v>
      </c>
      <c r="I134" s="24">
        <v>-2030</v>
      </c>
      <c r="J134" s="28">
        <v>2509</v>
      </c>
      <c r="K134" s="22">
        <f t="shared" si="9"/>
        <v>1074</v>
      </c>
      <c r="L134" s="22" t="e">
        <f t="shared" si="3"/>
        <v>#REF!</v>
      </c>
      <c r="M134" s="28">
        <f t="shared" si="10"/>
        <v>661</v>
      </c>
      <c r="N134" s="24">
        <v>-1975</v>
      </c>
      <c r="O134" s="28">
        <v>2636</v>
      </c>
      <c r="P134" s="22">
        <f t="shared" si="11"/>
        <v>868</v>
      </c>
      <c r="Q134" s="36"/>
      <c r="R134" s="30"/>
      <c r="S134" s="69"/>
      <c r="T134" s="70"/>
      <c r="U134" s="71"/>
      <c r="V134" s="71"/>
      <c r="W134" s="72"/>
      <c r="X134" s="71"/>
      <c r="Y134" s="71"/>
      <c r="Z134" s="71"/>
      <c r="AA134" s="71"/>
    </row>
    <row r="135" spans="1:27" ht="22.5" customHeight="1" outlineLevel="1" x14ac:dyDescent="0.2">
      <c r="A135" s="62">
        <v>45765</v>
      </c>
      <c r="B135" s="22" t="e">
        <f t="shared" si="1"/>
        <v>#REF!</v>
      </c>
      <c r="C135" s="28">
        <f t="shared" si="6"/>
        <v>668</v>
      </c>
      <c r="D135" s="24">
        <v>-2635</v>
      </c>
      <c r="E135" s="28">
        <v>3303</v>
      </c>
      <c r="F135" s="22">
        <f t="shared" si="7"/>
        <v>882</v>
      </c>
      <c r="G135" s="22" t="e">
        <f t="shared" si="2"/>
        <v>#REF!</v>
      </c>
      <c r="H135" s="28">
        <f t="shared" si="8"/>
        <v>473</v>
      </c>
      <c r="I135" s="24">
        <v>-2036</v>
      </c>
      <c r="J135" s="28">
        <v>2509</v>
      </c>
      <c r="K135" s="22">
        <f t="shared" si="9"/>
        <v>1080</v>
      </c>
      <c r="L135" s="22" t="e">
        <f t="shared" si="3"/>
        <v>#REF!</v>
      </c>
      <c r="M135" s="28">
        <f t="shared" si="10"/>
        <v>656</v>
      </c>
      <c r="N135" s="24">
        <v>-1980</v>
      </c>
      <c r="O135" s="28">
        <v>2636</v>
      </c>
      <c r="P135" s="22">
        <f t="shared" si="11"/>
        <v>873</v>
      </c>
      <c r="Q135" s="36"/>
      <c r="R135" s="30"/>
      <c r="S135" s="69"/>
      <c r="T135" s="70"/>
      <c r="U135" s="71"/>
      <c r="V135" s="71"/>
      <c r="W135" s="72"/>
      <c r="X135" s="71"/>
      <c r="Y135" s="71"/>
      <c r="Z135" s="71"/>
      <c r="AA135" s="71"/>
    </row>
    <row r="136" spans="1:27" ht="22.5" customHeight="1" outlineLevel="1" x14ac:dyDescent="0.2">
      <c r="A136" s="62">
        <v>45766</v>
      </c>
      <c r="B136" s="22" t="e">
        <f t="shared" si="1"/>
        <v>#REF!</v>
      </c>
      <c r="C136" s="28">
        <f t="shared" si="6"/>
        <v>663</v>
      </c>
      <c r="D136" s="24">
        <v>-2640</v>
      </c>
      <c r="E136" s="28">
        <v>3303</v>
      </c>
      <c r="F136" s="22">
        <f t="shared" si="7"/>
        <v>887</v>
      </c>
      <c r="G136" s="22" t="e">
        <f t="shared" si="2"/>
        <v>#REF!</v>
      </c>
      <c r="H136" s="28">
        <f t="shared" si="8"/>
        <v>467</v>
      </c>
      <c r="I136" s="24">
        <v>-2042</v>
      </c>
      <c r="J136" s="28">
        <v>2509</v>
      </c>
      <c r="K136" s="22">
        <f t="shared" si="9"/>
        <v>1086</v>
      </c>
      <c r="L136" s="22" t="e">
        <f t="shared" si="3"/>
        <v>#REF!</v>
      </c>
      <c r="M136" s="28">
        <f t="shared" si="10"/>
        <v>651</v>
      </c>
      <c r="N136" s="24">
        <v>-1985</v>
      </c>
      <c r="O136" s="28">
        <v>2636</v>
      </c>
      <c r="P136" s="22">
        <f t="shared" si="11"/>
        <v>878</v>
      </c>
      <c r="Q136" s="36"/>
      <c r="R136" s="30"/>
      <c r="S136" s="69"/>
      <c r="T136" s="70"/>
      <c r="U136" s="71"/>
      <c r="V136" s="71"/>
      <c r="W136" s="72"/>
      <c r="X136" s="71"/>
      <c r="Y136" s="71"/>
      <c r="Z136" s="71"/>
      <c r="AA136" s="71"/>
    </row>
    <row r="137" spans="1:27" ht="22.5" customHeight="1" outlineLevel="1" x14ac:dyDescent="0.2">
      <c r="A137" s="62">
        <v>45767</v>
      </c>
      <c r="B137" s="22" t="e">
        <f t="shared" si="1"/>
        <v>#REF!</v>
      </c>
      <c r="C137" s="28">
        <f t="shared" si="6"/>
        <v>658</v>
      </c>
      <c r="D137" s="24">
        <v>-2645</v>
      </c>
      <c r="E137" s="28">
        <v>3303</v>
      </c>
      <c r="F137" s="22">
        <f t="shared" si="7"/>
        <v>892</v>
      </c>
      <c r="G137" s="22" t="e">
        <f t="shared" si="2"/>
        <v>#REF!</v>
      </c>
      <c r="H137" s="28">
        <f t="shared" si="8"/>
        <v>461</v>
      </c>
      <c r="I137" s="24">
        <v>-2048</v>
      </c>
      <c r="J137" s="28">
        <v>2509</v>
      </c>
      <c r="K137" s="22">
        <f t="shared" si="9"/>
        <v>1092</v>
      </c>
      <c r="L137" s="22" t="e">
        <f t="shared" si="3"/>
        <v>#REF!</v>
      </c>
      <c r="M137" s="28">
        <f t="shared" si="10"/>
        <v>646</v>
      </c>
      <c r="N137" s="24">
        <v>-1990</v>
      </c>
      <c r="O137" s="28">
        <v>2636</v>
      </c>
      <c r="P137" s="22">
        <f t="shared" si="11"/>
        <v>883</v>
      </c>
      <c r="Q137" s="36"/>
      <c r="R137" s="30"/>
      <c r="S137" s="69"/>
      <c r="T137" s="70"/>
      <c r="U137" s="71"/>
      <c r="V137" s="71"/>
      <c r="W137" s="72"/>
      <c r="X137" s="71"/>
      <c r="Y137" s="71"/>
      <c r="Z137" s="71"/>
      <c r="AA137" s="71"/>
    </row>
    <row r="138" spans="1:27" ht="22.5" customHeight="1" outlineLevel="1" x14ac:dyDescent="0.2">
      <c r="A138" s="62">
        <v>45768</v>
      </c>
      <c r="B138" s="22" t="e">
        <f t="shared" si="1"/>
        <v>#REF!</v>
      </c>
      <c r="C138" s="28">
        <f t="shared" si="6"/>
        <v>652</v>
      </c>
      <c r="D138" s="24">
        <v>-2651</v>
      </c>
      <c r="E138" s="28">
        <v>3303</v>
      </c>
      <c r="F138" s="22">
        <f t="shared" si="7"/>
        <v>898</v>
      </c>
      <c r="G138" s="22" t="e">
        <f t="shared" si="2"/>
        <v>#REF!</v>
      </c>
      <c r="H138" s="28">
        <f t="shared" si="8"/>
        <v>455</v>
      </c>
      <c r="I138" s="24">
        <v>-2054</v>
      </c>
      <c r="J138" s="28">
        <v>2509</v>
      </c>
      <c r="K138" s="22">
        <f t="shared" si="9"/>
        <v>1098</v>
      </c>
      <c r="L138" s="22" t="e">
        <f t="shared" si="3"/>
        <v>#REF!</v>
      </c>
      <c r="M138" s="28">
        <f t="shared" si="10"/>
        <v>641</v>
      </c>
      <c r="N138" s="24">
        <v>-1995</v>
      </c>
      <c r="O138" s="28">
        <v>2636</v>
      </c>
      <c r="P138" s="22">
        <f t="shared" si="11"/>
        <v>888</v>
      </c>
      <c r="Q138" s="36"/>
      <c r="R138" s="30"/>
      <c r="S138" s="69"/>
      <c r="T138" s="70"/>
      <c r="U138" s="71"/>
      <c r="V138" s="71"/>
      <c r="W138" s="72"/>
      <c r="X138" s="71"/>
      <c r="Y138" s="71"/>
      <c r="Z138" s="71"/>
      <c r="AA138" s="71"/>
    </row>
    <row r="139" spans="1:27" ht="22.5" customHeight="1" outlineLevel="1" x14ac:dyDescent="0.2">
      <c r="A139" s="62">
        <v>45769</v>
      </c>
      <c r="B139" s="22" t="e">
        <f t="shared" si="1"/>
        <v>#REF!</v>
      </c>
      <c r="C139" s="28">
        <f t="shared" si="6"/>
        <v>650</v>
      </c>
      <c r="D139" s="24">
        <v>-2653</v>
      </c>
      <c r="E139" s="28">
        <v>3303</v>
      </c>
      <c r="F139" s="22">
        <f t="shared" si="7"/>
        <v>900</v>
      </c>
      <c r="G139" s="22" t="e">
        <f t="shared" si="2"/>
        <v>#REF!</v>
      </c>
      <c r="H139" s="28">
        <f t="shared" si="8"/>
        <v>451</v>
      </c>
      <c r="I139" s="24">
        <v>-2058</v>
      </c>
      <c r="J139" s="28">
        <v>2509</v>
      </c>
      <c r="K139" s="22">
        <f t="shared" si="9"/>
        <v>1102</v>
      </c>
      <c r="L139" s="22" t="e">
        <f t="shared" si="3"/>
        <v>#REF!</v>
      </c>
      <c r="M139" s="28">
        <f t="shared" si="10"/>
        <v>636</v>
      </c>
      <c r="N139" s="24">
        <v>-2000</v>
      </c>
      <c r="O139" s="28">
        <v>2636</v>
      </c>
      <c r="P139" s="22">
        <f t="shared" si="11"/>
        <v>893</v>
      </c>
      <c r="Q139" s="36"/>
      <c r="R139" s="30"/>
      <c r="S139" s="69"/>
      <c r="T139" s="70"/>
      <c r="U139" s="71"/>
      <c r="V139" s="71"/>
      <c r="W139" s="72"/>
      <c r="X139" s="71"/>
      <c r="Y139" s="71"/>
      <c r="Z139" s="71"/>
      <c r="AA139" s="71"/>
    </row>
    <row r="140" spans="1:27" ht="22.5" customHeight="1" outlineLevel="1" x14ac:dyDescent="0.2">
      <c r="A140" s="62">
        <v>45770</v>
      </c>
      <c r="B140" s="22" t="e">
        <f t="shared" si="1"/>
        <v>#REF!</v>
      </c>
      <c r="C140" s="28">
        <f t="shared" si="6"/>
        <v>648</v>
      </c>
      <c r="D140" s="24">
        <v>-2655</v>
      </c>
      <c r="E140" s="28">
        <v>3303</v>
      </c>
      <c r="F140" s="22">
        <f t="shared" si="7"/>
        <v>902</v>
      </c>
      <c r="G140" s="22" t="e">
        <f t="shared" si="2"/>
        <v>#REF!</v>
      </c>
      <c r="H140" s="28">
        <f t="shared" si="8"/>
        <v>447</v>
      </c>
      <c r="I140" s="24">
        <v>-2062</v>
      </c>
      <c r="J140" s="28">
        <v>2509</v>
      </c>
      <c r="K140" s="22">
        <f t="shared" si="9"/>
        <v>1106</v>
      </c>
      <c r="L140" s="22" t="e">
        <f t="shared" si="3"/>
        <v>#REF!</v>
      </c>
      <c r="M140" s="28">
        <f t="shared" si="10"/>
        <v>632</v>
      </c>
      <c r="N140" s="24">
        <v>-2004</v>
      </c>
      <c r="O140" s="28">
        <v>2636</v>
      </c>
      <c r="P140" s="22">
        <f t="shared" si="11"/>
        <v>897</v>
      </c>
      <c r="Q140" s="36"/>
      <c r="R140" s="30"/>
      <c r="S140" s="69"/>
      <c r="T140" s="70"/>
      <c r="U140" s="71"/>
      <c r="V140" s="71"/>
      <c r="W140" s="72"/>
      <c r="X140" s="71"/>
      <c r="Y140" s="71"/>
      <c r="Z140" s="71"/>
      <c r="AA140" s="71"/>
    </row>
    <row r="141" spans="1:27" ht="22.5" customHeight="1" outlineLevel="1" x14ac:dyDescent="0.2">
      <c r="A141" s="62">
        <v>45771</v>
      </c>
      <c r="B141" s="22" t="e">
        <f t="shared" si="1"/>
        <v>#REF!</v>
      </c>
      <c r="C141" s="28">
        <f t="shared" si="6"/>
        <v>646</v>
      </c>
      <c r="D141" s="24">
        <v>-2657</v>
      </c>
      <c r="E141" s="28">
        <v>3303</v>
      </c>
      <c r="F141" s="22">
        <f t="shared" si="7"/>
        <v>904</v>
      </c>
      <c r="G141" s="22" t="e">
        <f t="shared" si="2"/>
        <v>#REF!</v>
      </c>
      <c r="H141" s="28">
        <f t="shared" si="8"/>
        <v>443</v>
      </c>
      <c r="I141" s="24">
        <v>-2066</v>
      </c>
      <c r="J141" s="28">
        <v>2509</v>
      </c>
      <c r="K141" s="22">
        <f t="shared" si="9"/>
        <v>1110</v>
      </c>
      <c r="L141" s="22" t="e">
        <f t="shared" si="3"/>
        <v>#REF!</v>
      </c>
      <c r="M141" s="28">
        <f t="shared" si="10"/>
        <v>628</v>
      </c>
      <c r="N141" s="24">
        <v>-2008</v>
      </c>
      <c r="O141" s="28">
        <v>2636</v>
      </c>
      <c r="P141" s="22">
        <f t="shared" si="11"/>
        <v>901</v>
      </c>
      <c r="Q141" s="36"/>
      <c r="R141" s="30"/>
      <c r="S141" s="69"/>
      <c r="T141" s="70"/>
      <c r="U141" s="71"/>
      <c r="V141" s="71"/>
      <c r="W141" s="72"/>
      <c r="X141" s="71"/>
      <c r="Y141" s="71"/>
      <c r="Z141" s="71"/>
      <c r="AA141" s="71"/>
    </row>
    <row r="142" spans="1:27" ht="22.5" customHeight="1" outlineLevel="1" x14ac:dyDescent="0.2">
      <c r="A142" s="62">
        <v>45772</v>
      </c>
      <c r="B142" s="22" t="e">
        <f t="shared" si="1"/>
        <v>#REF!</v>
      </c>
      <c r="C142" s="28">
        <f t="shared" si="6"/>
        <v>640</v>
      </c>
      <c r="D142" s="24">
        <v>-2663</v>
      </c>
      <c r="E142" s="28">
        <v>3303</v>
      </c>
      <c r="F142" s="22">
        <f t="shared" si="7"/>
        <v>910</v>
      </c>
      <c r="G142" s="22" t="e">
        <f t="shared" si="2"/>
        <v>#REF!</v>
      </c>
      <c r="H142" s="28">
        <f t="shared" si="8"/>
        <v>437</v>
      </c>
      <c r="I142" s="24">
        <v>-2072</v>
      </c>
      <c r="J142" s="28">
        <v>2509</v>
      </c>
      <c r="K142" s="22">
        <f t="shared" si="9"/>
        <v>1116</v>
      </c>
      <c r="L142" s="22" t="e">
        <f t="shared" si="3"/>
        <v>#REF!</v>
      </c>
      <c r="M142" s="28">
        <f t="shared" si="10"/>
        <v>621</v>
      </c>
      <c r="N142" s="24">
        <v>-2015</v>
      </c>
      <c r="O142" s="28">
        <v>2636</v>
      </c>
      <c r="P142" s="22">
        <f t="shared" si="11"/>
        <v>908</v>
      </c>
      <c r="Q142" s="36"/>
      <c r="R142" s="30"/>
      <c r="S142" s="69"/>
      <c r="T142" s="70"/>
      <c r="U142" s="71"/>
      <c r="V142" s="71"/>
      <c r="W142" s="72"/>
      <c r="X142" s="71"/>
      <c r="Y142" s="71"/>
      <c r="Z142" s="71"/>
      <c r="AA142" s="71"/>
    </row>
    <row r="143" spans="1:27" ht="22.5" customHeight="1" outlineLevel="1" x14ac:dyDescent="0.2">
      <c r="A143" s="62">
        <v>45773</v>
      </c>
      <c r="B143" s="22" t="e">
        <f t="shared" si="1"/>
        <v>#REF!</v>
      </c>
      <c r="C143" s="28">
        <f t="shared" si="6"/>
        <v>635</v>
      </c>
      <c r="D143" s="24">
        <v>-2668</v>
      </c>
      <c r="E143" s="28">
        <v>3303</v>
      </c>
      <c r="F143" s="22">
        <f t="shared" si="7"/>
        <v>915</v>
      </c>
      <c r="G143" s="22" t="e">
        <f t="shared" si="2"/>
        <v>#REF!</v>
      </c>
      <c r="H143" s="28">
        <f t="shared" si="8"/>
        <v>431</v>
      </c>
      <c r="I143" s="24">
        <v>-2078</v>
      </c>
      <c r="J143" s="28">
        <v>2509</v>
      </c>
      <c r="K143" s="22">
        <f t="shared" si="9"/>
        <v>1122</v>
      </c>
      <c r="L143" s="22" t="e">
        <f t="shared" si="3"/>
        <v>#REF!</v>
      </c>
      <c r="M143" s="28">
        <f t="shared" si="10"/>
        <v>615</v>
      </c>
      <c r="N143" s="24">
        <v>-2021</v>
      </c>
      <c r="O143" s="28">
        <v>2636</v>
      </c>
      <c r="P143" s="22">
        <f t="shared" si="11"/>
        <v>914</v>
      </c>
      <c r="Q143" s="36"/>
      <c r="R143" s="30"/>
      <c r="S143" s="69"/>
      <c r="T143" s="70"/>
      <c r="U143" s="71"/>
      <c r="V143" s="71"/>
      <c r="W143" s="72"/>
      <c r="X143" s="71"/>
      <c r="Y143" s="71"/>
      <c r="Z143" s="71"/>
      <c r="AA143" s="71"/>
    </row>
    <row r="144" spans="1:27" ht="22.5" customHeight="1" outlineLevel="1" x14ac:dyDescent="0.2">
      <c r="A144" s="62">
        <v>45774</v>
      </c>
      <c r="B144" s="22" t="e">
        <f t="shared" si="1"/>
        <v>#REF!</v>
      </c>
      <c r="C144" s="28">
        <f t="shared" si="6"/>
        <v>632</v>
      </c>
      <c r="D144" s="24">
        <v>-2671</v>
      </c>
      <c r="E144" s="28">
        <v>3303</v>
      </c>
      <c r="F144" s="22">
        <f t="shared" si="7"/>
        <v>918</v>
      </c>
      <c r="G144" s="22" t="e">
        <f t="shared" si="2"/>
        <v>#REF!</v>
      </c>
      <c r="H144" s="28">
        <f t="shared" si="8"/>
        <v>427</v>
      </c>
      <c r="I144" s="24">
        <v>-2082</v>
      </c>
      <c r="J144" s="28">
        <v>2509</v>
      </c>
      <c r="K144" s="22">
        <f t="shared" si="9"/>
        <v>1126</v>
      </c>
      <c r="L144" s="22" t="e">
        <f t="shared" si="3"/>
        <v>#REF!</v>
      </c>
      <c r="M144" s="28">
        <f t="shared" si="10"/>
        <v>612</v>
      </c>
      <c r="N144" s="24">
        <v>-2024</v>
      </c>
      <c r="O144" s="28">
        <v>2636</v>
      </c>
      <c r="P144" s="22">
        <f t="shared" si="11"/>
        <v>917</v>
      </c>
      <c r="Q144" s="36"/>
      <c r="R144" s="30"/>
      <c r="S144" s="69"/>
      <c r="T144" s="70"/>
      <c r="U144" s="71"/>
      <c r="V144" s="71"/>
      <c r="W144" s="72"/>
      <c r="X144" s="71"/>
      <c r="Y144" s="71"/>
      <c r="Z144" s="71"/>
      <c r="AA144" s="71"/>
    </row>
    <row r="145" spans="1:27" ht="22.5" customHeight="1" outlineLevel="1" x14ac:dyDescent="0.2">
      <c r="A145" s="62">
        <v>45775</v>
      </c>
      <c r="B145" s="22" t="e">
        <f t="shared" si="1"/>
        <v>#REF!</v>
      </c>
      <c r="C145" s="28">
        <f t="shared" si="6"/>
        <v>629</v>
      </c>
      <c r="D145" s="24">
        <v>-2674</v>
      </c>
      <c r="E145" s="28">
        <v>3303</v>
      </c>
      <c r="F145" s="22">
        <f t="shared" si="7"/>
        <v>921</v>
      </c>
      <c r="G145" s="22" t="e">
        <f t="shared" si="2"/>
        <v>#REF!</v>
      </c>
      <c r="H145" s="28">
        <f t="shared" si="8"/>
        <v>424</v>
      </c>
      <c r="I145" s="24">
        <v>-2085</v>
      </c>
      <c r="J145" s="28">
        <v>2509</v>
      </c>
      <c r="K145" s="22">
        <f t="shared" si="9"/>
        <v>1129</v>
      </c>
      <c r="L145" s="22" t="e">
        <f t="shared" si="3"/>
        <v>#REF!</v>
      </c>
      <c r="M145" s="28">
        <f t="shared" si="10"/>
        <v>609</v>
      </c>
      <c r="N145" s="24">
        <v>-2027</v>
      </c>
      <c r="O145" s="28">
        <v>2636</v>
      </c>
      <c r="P145" s="22">
        <f t="shared" si="11"/>
        <v>920</v>
      </c>
      <c r="Q145" s="36"/>
      <c r="R145" s="30"/>
      <c r="S145" s="69"/>
      <c r="T145" s="70"/>
      <c r="U145" s="71"/>
      <c r="V145" s="71"/>
      <c r="W145" s="72"/>
      <c r="X145" s="71"/>
      <c r="Y145" s="71"/>
      <c r="Z145" s="71"/>
      <c r="AA145" s="71"/>
    </row>
    <row r="146" spans="1:27" ht="22.5" customHeight="1" outlineLevel="1" x14ac:dyDescent="0.2">
      <c r="A146" s="62">
        <v>45776</v>
      </c>
      <c r="B146" s="22" t="e">
        <f t="shared" si="1"/>
        <v>#REF!</v>
      </c>
      <c r="C146" s="28">
        <f t="shared" si="6"/>
        <v>625</v>
      </c>
      <c r="D146" s="24">
        <v>-2678</v>
      </c>
      <c r="E146" s="28">
        <v>3303</v>
      </c>
      <c r="F146" s="22">
        <f t="shared" si="7"/>
        <v>925</v>
      </c>
      <c r="G146" s="22" t="e">
        <f t="shared" si="2"/>
        <v>#REF!</v>
      </c>
      <c r="H146" s="28">
        <f t="shared" si="8"/>
        <v>421</v>
      </c>
      <c r="I146" s="24">
        <v>-2088</v>
      </c>
      <c r="J146" s="28">
        <v>2509</v>
      </c>
      <c r="K146" s="22">
        <f t="shared" si="9"/>
        <v>1132</v>
      </c>
      <c r="L146" s="22" t="e">
        <f t="shared" si="3"/>
        <v>#REF!</v>
      </c>
      <c r="M146" s="28">
        <f t="shared" si="10"/>
        <v>605</v>
      </c>
      <c r="N146" s="24">
        <v>-2031</v>
      </c>
      <c r="O146" s="28">
        <v>2636</v>
      </c>
      <c r="P146" s="22">
        <f t="shared" si="11"/>
        <v>924</v>
      </c>
      <c r="Q146" s="36"/>
      <c r="R146" s="30"/>
      <c r="S146" s="69"/>
      <c r="T146" s="70"/>
      <c r="U146" s="71"/>
      <c r="V146" s="71"/>
      <c r="W146" s="72"/>
      <c r="X146" s="71"/>
      <c r="Y146" s="71"/>
      <c r="Z146" s="71"/>
      <c r="AA146" s="71"/>
    </row>
    <row r="147" spans="1:27" ht="22.5" customHeight="1" outlineLevel="1" x14ac:dyDescent="0.2">
      <c r="A147" s="62">
        <v>45777</v>
      </c>
      <c r="B147" s="22" t="e">
        <f t="shared" si="1"/>
        <v>#REF!</v>
      </c>
      <c r="C147" s="28">
        <f t="shared" si="6"/>
        <v>621</v>
      </c>
      <c r="D147" s="24">
        <v>-2682</v>
      </c>
      <c r="E147" s="28">
        <v>3303</v>
      </c>
      <c r="F147" s="22">
        <f t="shared" si="7"/>
        <v>929</v>
      </c>
      <c r="G147" s="22" t="e">
        <f t="shared" si="2"/>
        <v>#REF!</v>
      </c>
      <c r="H147" s="28">
        <f t="shared" si="8"/>
        <v>418</v>
      </c>
      <c r="I147" s="24">
        <v>-2091</v>
      </c>
      <c r="J147" s="28">
        <v>2509</v>
      </c>
      <c r="K147" s="22">
        <f t="shared" si="9"/>
        <v>1135</v>
      </c>
      <c r="L147" s="22" t="e">
        <f t="shared" si="3"/>
        <v>#REF!</v>
      </c>
      <c r="M147" s="28">
        <f t="shared" si="10"/>
        <v>601</v>
      </c>
      <c r="N147" s="24">
        <v>-2035</v>
      </c>
      <c r="O147" s="28">
        <v>2636</v>
      </c>
      <c r="P147" s="22">
        <f t="shared" si="11"/>
        <v>928</v>
      </c>
      <c r="Q147" s="36"/>
      <c r="R147" s="30"/>
      <c r="S147" s="69"/>
      <c r="T147" s="70"/>
      <c r="U147" s="71"/>
      <c r="V147" s="71"/>
      <c r="W147" s="72"/>
      <c r="X147" s="71"/>
      <c r="Y147" s="71"/>
      <c r="Z147" s="71"/>
      <c r="AA147" s="71"/>
    </row>
    <row r="148" spans="1:27" ht="22.5" customHeight="1" outlineLevel="1" x14ac:dyDescent="0.2">
      <c r="A148" s="62">
        <v>45778</v>
      </c>
      <c r="B148" s="22" t="e">
        <f t="shared" si="1"/>
        <v>#REF!</v>
      </c>
      <c r="C148" s="28">
        <f t="shared" si="6"/>
        <v>617</v>
      </c>
      <c r="D148" s="24">
        <v>-2686</v>
      </c>
      <c r="E148" s="28">
        <v>3303</v>
      </c>
      <c r="F148" s="22">
        <f t="shared" si="7"/>
        <v>933</v>
      </c>
      <c r="G148" s="22" t="e">
        <f t="shared" si="2"/>
        <v>#REF!</v>
      </c>
      <c r="H148" s="28">
        <f t="shared" si="8"/>
        <v>412</v>
      </c>
      <c r="I148" s="24">
        <v>-2097</v>
      </c>
      <c r="J148" s="28">
        <v>2509</v>
      </c>
      <c r="K148" s="22">
        <f t="shared" si="9"/>
        <v>1141</v>
      </c>
      <c r="L148" s="22" t="e">
        <f t="shared" si="3"/>
        <v>#REF!</v>
      </c>
      <c r="M148" s="28">
        <f t="shared" si="10"/>
        <v>597</v>
      </c>
      <c r="N148" s="24">
        <v>-2039</v>
      </c>
      <c r="O148" s="28">
        <v>2636</v>
      </c>
      <c r="P148" s="22">
        <f t="shared" si="11"/>
        <v>932</v>
      </c>
      <c r="Q148" s="36"/>
      <c r="R148" s="30"/>
      <c r="S148" s="69"/>
      <c r="T148" s="70"/>
      <c r="U148" s="71"/>
      <c r="V148" s="71"/>
      <c r="W148" s="72"/>
      <c r="X148" s="71"/>
      <c r="Y148" s="71"/>
      <c r="Z148" s="71"/>
      <c r="AA148" s="71"/>
    </row>
    <row r="149" spans="1:27" ht="22.5" customHeight="1" outlineLevel="1" x14ac:dyDescent="0.2">
      <c r="A149" s="62">
        <v>45779</v>
      </c>
      <c r="B149" s="22" t="e">
        <f t="shared" si="1"/>
        <v>#REF!</v>
      </c>
      <c r="C149" s="28">
        <f t="shared" si="6"/>
        <v>611</v>
      </c>
      <c r="D149" s="24">
        <v>-2692</v>
      </c>
      <c r="E149" s="28">
        <v>3303</v>
      </c>
      <c r="F149" s="22">
        <f t="shared" si="7"/>
        <v>939</v>
      </c>
      <c r="G149" s="22" t="e">
        <f t="shared" si="2"/>
        <v>#REF!</v>
      </c>
      <c r="H149" s="28">
        <f t="shared" si="8"/>
        <v>404</v>
      </c>
      <c r="I149" s="24">
        <v>-2105</v>
      </c>
      <c r="J149" s="28">
        <v>2509</v>
      </c>
      <c r="K149" s="22">
        <f t="shared" si="9"/>
        <v>1149</v>
      </c>
      <c r="L149" s="22" t="e">
        <f t="shared" si="3"/>
        <v>#REF!</v>
      </c>
      <c r="M149" s="28">
        <f t="shared" si="10"/>
        <v>590</v>
      </c>
      <c r="N149" s="24">
        <v>-2046</v>
      </c>
      <c r="O149" s="28">
        <v>2636</v>
      </c>
      <c r="P149" s="22">
        <f t="shared" si="11"/>
        <v>939</v>
      </c>
      <c r="Q149" s="36"/>
      <c r="R149" s="30"/>
      <c r="S149" s="69"/>
      <c r="T149" s="70"/>
      <c r="U149" s="71"/>
      <c r="V149" s="71"/>
      <c r="W149" s="72"/>
      <c r="X149" s="71"/>
      <c r="Y149" s="71"/>
      <c r="Z149" s="71"/>
      <c r="AA149" s="71"/>
    </row>
    <row r="150" spans="1:27" ht="22.5" customHeight="1" outlineLevel="1" x14ac:dyDescent="0.2">
      <c r="A150" s="62">
        <v>45780</v>
      </c>
      <c r="B150" s="22" t="e">
        <f t="shared" si="1"/>
        <v>#REF!</v>
      </c>
      <c r="C150" s="28">
        <f t="shared" si="6"/>
        <v>605</v>
      </c>
      <c r="D150" s="24">
        <v>-2698</v>
      </c>
      <c r="E150" s="28">
        <v>3303</v>
      </c>
      <c r="F150" s="22">
        <f t="shared" si="7"/>
        <v>945</v>
      </c>
      <c r="G150" s="22" t="e">
        <f t="shared" si="2"/>
        <v>#REF!</v>
      </c>
      <c r="H150" s="28">
        <f t="shared" si="8"/>
        <v>398</v>
      </c>
      <c r="I150" s="24">
        <v>-2111</v>
      </c>
      <c r="J150" s="28">
        <v>2509</v>
      </c>
      <c r="K150" s="22">
        <f t="shared" si="9"/>
        <v>1155</v>
      </c>
      <c r="L150" s="22" t="e">
        <f t="shared" si="3"/>
        <v>#REF!</v>
      </c>
      <c r="M150" s="28">
        <f t="shared" si="10"/>
        <v>583</v>
      </c>
      <c r="N150" s="24">
        <v>-2053</v>
      </c>
      <c r="O150" s="28">
        <v>2636</v>
      </c>
      <c r="P150" s="22">
        <f t="shared" si="11"/>
        <v>946</v>
      </c>
      <c r="Q150" s="36"/>
      <c r="R150" s="30"/>
      <c r="S150" s="69"/>
      <c r="T150" s="70"/>
      <c r="U150" s="71"/>
      <c r="V150" s="71"/>
      <c r="W150" s="72"/>
      <c r="X150" s="71"/>
      <c r="Y150" s="71"/>
      <c r="Z150" s="71"/>
      <c r="AA150" s="71"/>
    </row>
    <row r="151" spans="1:27" ht="22.5" customHeight="1" outlineLevel="1" x14ac:dyDescent="0.2">
      <c r="A151" s="62">
        <v>45781</v>
      </c>
      <c r="B151" s="22" t="e">
        <f t="shared" si="1"/>
        <v>#REF!</v>
      </c>
      <c r="C151" s="28">
        <f t="shared" si="6"/>
        <v>600</v>
      </c>
      <c r="D151" s="24">
        <v>-2703</v>
      </c>
      <c r="E151" s="28">
        <v>3303</v>
      </c>
      <c r="F151" s="22">
        <f t="shared" si="7"/>
        <v>950</v>
      </c>
      <c r="G151" s="22" t="e">
        <f t="shared" si="2"/>
        <v>#REF!</v>
      </c>
      <c r="H151" s="28">
        <f t="shared" si="8"/>
        <v>394</v>
      </c>
      <c r="I151" s="24">
        <v>-2115</v>
      </c>
      <c r="J151" s="28">
        <v>2509</v>
      </c>
      <c r="K151" s="22">
        <f t="shared" si="9"/>
        <v>1159</v>
      </c>
      <c r="L151" s="22" t="e">
        <f t="shared" si="3"/>
        <v>#REF!</v>
      </c>
      <c r="M151" s="28">
        <f t="shared" si="10"/>
        <v>580</v>
      </c>
      <c r="N151" s="24">
        <v>-2056</v>
      </c>
      <c r="O151" s="28">
        <v>2636</v>
      </c>
      <c r="P151" s="22">
        <f t="shared" si="11"/>
        <v>949</v>
      </c>
      <c r="Q151" s="36"/>
      <c r="R151" s="30"/>
      <c r="S151" s="69"/>
      <c r="T151" s="70"/>
      <c r="U151" s="71"/>
      <c r="V151" s="71"/>
      <c r="W151" s="72"/>
      <c r="X151" s="71"/>
      <c r="Y151" s="71"/>
      <c r="Z151" s="71"/>
      <c r="AA151" s="71"/>
    </row>
    <row r="152" spans="1:27" ht="22.5" customHeight="1" outlineLevel="1" x14ac:dyDescent="0.2">
      <c r="A152" s="62">
        <v>45782</v>
      </c>
      <c r="B152" s="22" t="e">
        <f t="shared" si="1"/>
        <v>#REF!</v>
      </c>
      <c r="C152" s="28">
        <f t="shared" si="6"/>
        <v>597</v>
      </c>
      <c r="D152" s="24">
        <v>-2706</v>
      </c>
      <c r="E152" s="28">
        <v>3303</v>
      </c>
      <c r="F152" s="22">
        <f t="shared" si="7"/>
        <v>953</v>
      </c>
      <c r="G152" s="22" t="e">
        <f t="shared" si="2"/>
        <v>#REF!</v>
      </c>
      <c r="H152" s="28">
        <f t="shared" si="8"/>
        <v>390</v>
      </c>
      <c r="I152" s="24">
        <v>-2119</v>
      </c>
      <c r="J152" s="28">
        <v>2509</v>
      </c>
      <c r="K152" s="22">
        <f t="shared" si="9"/>
        <v>1163</v>
      </c>
      <c r="L152" s="22" t="e">
        <f t="shared" si="3"/>
        <v>#REF!</v>
      </c>
      <c r="M152" s="28">
        <f t="shared" si="10"/>
        <v>574</v>
      </c>
      <c r="N152" s="24">
        <v>-2062</v>
      </c>
      <c r="O152" s="28">
        <v>2636</v>
      </c>
      <c r="P152" s="22">
        <f t="shared" si="11"/>
        <v>955</v>
      </c>
      <c r="Q152" s="36"/>
      <c r="R152" s="30"/>
      <c r="S152" s="69"/>
      <c r="T152" s="70"/>
      <c r="U152" s="71"/>
      <c r="V152" s="71"/>
      <c r="W152" s="72"/>
      <c r="X152" s="71"/>
      <c r="Y152" s="71"/>
      <c r="Z152" s="71"/>
      <c r="AA152" s="71"/>
    </row>
    <row r="153" spans="1:27" ht="22.5" customHeight="1" outlineLevel="1" x14ac:dyDescent="0.2">
      <c r="A153" s="62">
        <v>45783</v>
      </c>
      <c r="B153" s="22" t="e">
        <f t="shared" si="1"/>
        <v>#REF!</v>
      </c>
      <c r="C153" s="28">
        <f t="shared" si="6"/>
        <v>594</v>
      </c>
      <c r="D153" s="24">
        <v>-2709</v>
      </c>
      <c r="E153" s="28">
        <v>3303</v>
      </c>
      <c r="F153" s="22">
        <f t="shared" si="7"/>
        <v>956</v>
      </c>
      <c r="G153" s="22" t="e">
        <f t="shared" si="2"/>
        <v>#REF!</v>
      </c>
      <c r="H153" s="28">
        <f t="shared" si="8"/>
        <v>386</v>
      </c>
      <c r="I153" s="24">
        <v>-2123</v>
      </c>
      <c r="J153" s="28">
        <v>2509</v>
      </c>
      <c r="K153" s="22">
        <f t="shared" si="9"/>
        <v>1167</v>
      </c>
      <c r="L153" s="22" t="e">
        <f t="shared" si="3"/>
        <v>#REF!</v>
      </c>
      <c r="M153" s="28">
        <f t="shared" si="10"/>
        <v>571</v>
      </c>
      <c r="N153" s="24">
        <v>-2065</v>
      </c>
      <c r="O153" s="28">
        <v>2636</v>
      </c>
      <c r="P153" s="22">
        <f t="shared" si="11"/>
        <v>958</v>
      </c>
      <c r="Q153" s="36"/>
      <c r="R153" s="30"/>
      <c r="S153" s="69"/>
      <c r="T153" s="70"/>
      <c r="U153" s="71"/>
      <c r="V153" s="71"/>
      <c r="W153" s="72"/>
      <c r="X153" s="71"/>
      <c r="Y153" s="71"/>
      <c r="Z153" s="71"/>
      <c r="AA153" s="71"/>
    </row>
    <row r="154" spans="1:27" ht="22.5" customHeight="1" outlineLevel="1" x14ac:dyDescent="0.2">
      <c r="A154" s="62">
        <v>45784</v>
      </c>
      <c r="B154" s="22" t="e">
        <f t="shared" si="1"/>
        <v>#REF!</v>
      </c>
      <c r="C154" s="28">
        <f t="shared" si="6"/>
        <v>591</v>
      </c>
      <c r="D154" s="24">
        <v>-2712</v>
      </c>
      <c r="E154" s="28">
        <v>3303</v>
      </c>
      <c r="F154" s="22">
        <f t="shared" si="7"/>
        <v>959</v>
      </c>
      <c r="G154" s="22" t="e">
        <f t="shared" si="2"/>
        <v>#REF!</v>
      </c>
      <c r="H154" s="28">
        <f t="shared" si="8"/>
        <v>381</v>
      </c>
      <c r="I154" s="24">
        <v>-2128</v>
      </c>
      <c r="J154" s="28">
        <v>2509</v>
      </c>
      <c r="K154" s="22">
        <f t="shared" si="9"/>
        <v>1172</v>
      </c>
      <c r="L154" s="22" t="e">
        <f t="shared" si="3"/>
        <v>#REF!</v>
      </c>
      <c r="M154" s="28">
        <f t="shared" si="10"/>
        <v>568</v>
      </c>
      <c r="N154" s="24">
        <v>-2068</v>
      </c>
      <c r="O154" s="28">
        <v>2636</v>
      </c>
      <c r="P154" s="22">
        <f t="shared" si="11"/>
        <v>961</v>
      </c>
      <c r="Q154" s="36"/>
      <c r="R154" s="30"/>
      <c r="S154" s="69"/>
      <c r="T154" s="70"/>
      <c r="U154" s="71"/>
      <c r="V154" s="71"/>
      <c r="W154" s="72"/>
      <c r="X154" s="71"/>
      <c r="Y154" s="71"/>
      <c r="Z154" s="71"/>
      <c r="AA154" s="71"/>
    </row>
    <row r="155" spans="1:27" ht="22.5" customHeight="1" outlineLevel="1" x14ac:dyDescent="0.2">
      <c r="A155" s="62">
        <v>45785</v>
      </c>
      <c r="B155" s="22" t="e">
        <f t="shared" si="1"/>
        <v>#REF!</v>
      </c>
      <c r="C155" s="28">
        <f t="shared" si="6"/>
        <v>586</v>
      </c>
      <c r="D155" s="24">
        <v>-2717</v>
      </c>
      <c r="E155" s="28">
        <v>3303</v>
      </c>
      <c r="F155" s="22">
        <f t="shared" si="7"/>
        <v>964</v>
      </c>
      <c r="G155" s="22" t="e">
        <f t="shared" si="2"/>
        <v>#REF!</v>
      </c>
      <c r="H155" s="28">
        <f t="shared" si="8"/>
        <v>376</v>
      </c>
      <c r="I155" s="24">
        <v>-2133</v>
      </c>
      <c r="J155" s="28">
        <v>2509</v>
      </c>
      <c r="K155" s="22">
        <f t="shared" si="9"/>
        <v>1177</v>
      </c>
      <c r="L155" s="22" t="e">
        <f t="shared" si="3"/>
        <v>#REF!</v>
      </c>
      <c r="M155" s="28">
        <f t="shared" si="10"/>
        <v>563</v>
      </c>
      <c r="N155" s="24">
        <v>-2073</v>
      </c>
      <c r="O155" s="28">
        <v>2636</v>
      </c>
      <c r="P155" s="22">
        <f t="shared" si="11"/>
        <v>966</v>
      </c>
      <c r="Q155" s="36"/>
      <c r="R155" s="30"/>
      <c r="S155" s="69"/>
      <c r="T155" s="70"/>
      <c r="U155" s="71"/>
      <c r="V155" s="71"/>
      <c r="W155" s="72"/>
      <c r="X155" s="71"/>
      <c r="Y155" s="71"/>
      <c r="Z155" s="71"/>
      <c r="AA155" s="71"/>
    </row>
    <row r="156" spans="1:27" ht="22.5" customHeight="1" outlineLevel="1" x14ac:dyDescent="0.2">
      <c r="A156" s="62">
        <v>45786</v>
      </c>
      <c r="B156" s="22" t="e">
        <f t="shared" si="1"/>
        <v>#REF!</v>
      </c>
      <c r="C156" s="28">
        <f t="shared" si="6"/>
        <v>581</v>
      </c>
      <c r="D156" s="24">
        <v>-2722</v>
      </c>
      <c r="E156" s="28">
        <v>3303</v>
      </c>
      <c r="F156" s="22">
        <f t="shared" si="7"/>
        <v>969</v>
      </c>
      <c r="G156" s="22" t="e">
        <f t="shared" si="2"/>
        <v>#REF!</v>
      </c>
      <c r="H156" s="28">
        <f t="shared" si="8"/>
        <v>371</v>
      </c>
      <c r="I156" s="24">
        <v>-2138</v>
      </c>
      <c r="J156" s="28">
        <v>2509</v>
      </c>
      <c r="K156" s="22">
        <f t="shared" si="9"/>
        <v>1182</v>
      </c>
      <c r="L156" s="22" t="e">
        <f t="shared" si="3"/>
        <v>#REF!</v>
      </c>
      <c r="M156" s="28">
        <f t="shared" si="10"/>
        <v>559</v>
      </c>
      <c r="N156" s="24">
        <v>-2077</v>
      </c>
      <c r="O156" s="28">
        <v>2636</v>
      </c>
      <c r="P156" s="22">
        <f t="shared" si="11"/>
        <v>970</v>
      </c>
      <c r="Q156" s="36"/>
      <c r="R156" s="30"/>
      <c r="S156" s="69"/>
      <c r="T156" s="70"/>
      <c r="U156" s="71"/>
      <c r="V156" s="71"/>
      <c r="W156" s="72"/>
      <c r="X156" s="71"/>
      <c r="Y156" s="71"/>
      <c r="Z156" s="71"/>
      <c r="AA156" s="71"/>
    </row>
    <row r="157" spans="1:27" ht="22.5" customHeight="1" outlineLevel="1" x14ac:dyDescent="0.2">
      <c r="A157" s="62">
        <v>45787</v>
      </c>
      <c r="B157" s="22" t="e">
        <f t="shared" si="1"/>
        <v>#REF!</v>
      </c>
      <c r="C157" s="28">
        <f t="shared" si="6"/>
        <v>576</v>
      </c>
      <c r="D157" s="24">
        <v>-2727</v>
      </c>
      <c r="E157" s="28">
        <v>3303</v>
      </c>
      <c r="F157" s="22">
        <f t="shared" si="7"/>
        <v>974</v>
      </c>
      <c r="G157" s="22" t="e">
        <f t="shared" si="2"/>
        <v>#REF!</v>
      </c>
      <c r="H157" s="28">
        <f t="shared" si="8"/>
        <v>367</v>
      </c>
      <c r="I157" s="24">
        <v>-2142</v>
      </c>
      <c r="J157" s="28">
        <v>2509</v>
      </c>
      <c r="K157" s="22">
        <f t="shared" si="9"/>
        <v>1186</v>
      </c>
      <c r="L157" s="22" t="e">
        <f t="shared" si="3"/>
        <v>#REF!</v>
      </c>
      <c r="M157" s="28">
        <f t="shared" si="10"/>
        <v>555</v>
      </c>
      <c r="N157" s="24">
        <v>-2081</v>
      </c>
      <c r="O157" s="28">
        <v>2636</v>
      </c>
      <c r="P157" s="22">
        <f t="shared" si="11"/>
        <v>974</v>
      </c>
      <c r="Q157" s="36"/>
      <c r="R157" s="30"/>
      <c r="S157" s="69"/>
      <c r="T157" s="70"/>
      <c r="U157" s="71"/>
      <c r="V157" s="71"/>
      <c r="W157" s="72"/>
      <c r="X157" s="71"/>
      <c r="Y157" s="71"/>
      <c r="Z157" s="71"/>
      <c r="AA157" s="71"/>
    </row>
    <row r="158" spans="1:27" ht="22.5" customHeight="1" outlineLevel="1" x14ac:dyDescent="0.2">
      <c r="A158" s="62">
        <v>45788</v>
      </c>
      <c r="B158" s="22" t="e">
        <f t="shared" si="1"/>
        <v>#REF!</v>
      </c>
      <c r="C158" s="28">
        <f t="shared" si="6"/>
        <v>571</v>
      </c>
      <c r="D158" s="24">
        <v>-2732</v>
      </c>
      <c r="E158" s="28">
        <v>3303</v>
      </c>
      <c r="F158" s="22">
        <f t="shared" si="7"/>
        <v>979</v>
      </c>
      <c r="G158" s="22" t="e">
        <f t="shared" si="2"/>
        <v>#REF!</v>
      </c>
      <c r="H158" s="28">
        <f t="shared" si="8"/>
        <v>364</v>
      </c>
      <c r="I158" s="24">
        <v>-2145</v>
      </c>
      <c r="J158" s="28">
        <v>2509</v>
      </c>
      <c r="K158" s="22">
        <f t="shared" si="9"/>
        <v>1189</v>
      </c>
      <c r="L158" s="22" t="e">
        <f t="shared" si="3"/>
        <v>#REF!</v>
      </c>
      <c r="M158" s="28">
        <f t="shared" si="10"/>
        <v>551</v>
      </c>
      <c r="N158" s="24">
        <v>-2085</v>
      </c>
      <c r="O158" s="28">
        <v>2636</v>
      </c>
      <c r="P158" s="22">
        <f t="shared" si="11"/>
        <v>978</v>
      </c>
      <c r="Q158" s="36"/>
      <c r="R158" s="30"/>
      <c r="S158" s="69"/>
      <c r="T158" s="70"/>
      <c r="U158" s="71"/>
      <c r="V158" s="71"/>
      <c r="W158" s="72"/>
      <c r="X158" s="71"/>
      <c r="Y158" s="71"/>
      <c r="Z158" s="71"/>
      <c r="AA158" s="71"/>
    </row>
    <row r="159" spans="1:27" ht="22.5" customHeight="1" outlineLevel="1" x14ac:dyDescent="0.2">
      <c r="A159" s="62">
        <v>45789</v>
      </c>
      <c r="B159" s="22" t="e">
        <f t="shared" si="1"/>
        <v>#REF!</v>
      </c>
      <c r="C159" s="28">
        <f t="shared" si="6"/>
        <v>567</v>
      </c>
      <c r="D159" s="24">
        <v>-2736</v>
      </c>
      <c r="E159" s="28">
        <v>3303</v>
      </c>
      <c r="F159" s="22">
        <f t="shared" si="7"/>
        <v>983</v>
      </c>
      <c r="G159" s="22" t="e">
        <f t="shared" si="2"/>
        <v>#REF!</v>
      </c>
      <c r="H159" s="28">
        <f t="shared" si="8"/>
        <v>361</v>
      </c>
      <c r="I159" s="24">
        <v>-2148</v>
      </c>
      <c r="J159" s="28">
        <v>2509</v>
      </c>
      <c r="K159" s="22">
        <f t="shared" si="9"/>
        <v>1192</v>
      </c>
      <c r="L159" s="22" t="e">
        <f t="shared" si="3"/>
        <v>#REF!</v>
      </c>
      <c r="M159" s="28">
        <f t="shared" si="10"/>
        <v>548</v>
      </c>
      <c r="N159" s="24">
        <v>-2088</v>
      </c>
      <c r="O159" s="28">
        <v>2636</v>
      </c>
      <c r="P159" s="22">
        <f t="shared" si="11"/>
        <v>981</v>
      </c>
      <c r="Q159" s="36"/>
      <c r="R159" s="30"/>
      <c r="S159" s="69"/>
      <c r="T159" s="70"/>
      <c r="U159" s="71"/>
      <c r="V159" s="71"/>
      <c r="W159" s="72"/>
      <c r="X159" s="71"/>
      <c r="Y159" s="71"/>
      <c r="Z159" s="71"/>
      <c r="AA159" s="71"/>
    </row>
    <row r="160" spans="1:27" ht="22.5" customHeight="1" outlineLevel="1" x14ac:dyDescent="0.2">
      <c r="A160" s="62">
        <v>45790</v>
      </c>
      <c r="B160" s="22" t="e">
        <f t="shared" si="1"/>
        <v>#REF!</v>
      </c>
      <c r="C160" s="28">
        <f t="shared" si="6"/>
        <v>563</v>
      </c>
      <c r="D160" s="24">
        <v>-2740</v>
      </c>
      <c r="E160" s="28">
        <v>3303</v>
      </c>
      <c r="F160" s="22">
        <f t="shared" si="7"/>
        <v>987</v>
      </c>
      <c r="G160" s="22" t="e">
        <f t="shared" si="2"/>
        <v>#REF!</v>
      </c>
      <c r="H160" s="28">
        <f t="shared" si="8"/>
        <v>357</v>
      </c>
      <c r="I160" s="24">
        <v>-2152</v>
      </c>
      <c r="J160" s="28">
        <v>2509</v>
      </c>
      <c r="K160" s="22">
        <f t="shared" si="9"/>
        <v>1196</v>
      </c>
      <c r="L160" s="22" t="e">
        <f t="shared" si="3"/>
        <v>#REF!</v>
      </c>
      <c r="M160" s="28">
        <f t="shared" si="10"/>
        <v>545</v>
      </c>
      <c r="N160" s="24">
        <v>-2091</v>
      </c>
      <c r="O160" s="28">
        <v>2636</v>
      </c>
      <c r="P160" s="22">
        <f t="shared" si="11"/>
        <v>984</v>
      </c>
      <c r="Q160" s="36"/>
      <c r="R160" s="30"/>
      <c r="S160" s="69"/>
      <c r="T160" s="70"/>
      <c r="U160" s="71"/>
      <c r="V160" s="71"/>
      <c r="W160" s="72"/>
      <c r="X160" s="71"/>
      <c r="Y160" s="71"/>
      <c r="Z160" s="71"/>
      <c r="AA160" s="71"/>
    </row>
    <row r="161" spans="1:27" ht="22.5" customHeight="1" outlineLevel="1" x14ac:dyDescent="0.2">
      <c r="A161" s="62">
        <v>45791</v>
      </c>
      <c r="B161" s="22" t="e">
        <f t="shared" si="1"/>
        <v>#REF!</v>
      </c>
      <c r="C161" s="28">
        <f t="shared" si="6"/>
        <v>559</v>
      </c>
      <c r="D161" s="24">
        <v>-2744</v>
      </c>
      <c r="E161" s="28">
        <v>3303</v>
      </c>
      <c r="F161" s="22">
        <f t="shared" si="7"/>
        <v>991</v>
      </c>
      <c r="G161" s="22" t="e">
        <f t="shared" si="2"/>
        <v>#REF!</v>
      </c>
      <c r="H161" s="28">
        <f t="shared" si="8"/>
        <v>346</v>
      </c>
      <c r="I161" s="24">
        <v>-2163</v>
      </c>
      <c r="J161" s="28">
        <v>2509</v>
      </c>
      <c r="K161" s="22">
        <f t="shared" si="9"/>
        <v>1207</v>
      </c>
      <c r="L161" s="22" t="e">
        <f t="shared" si="3"/>
        <v>#REF!</v>
      </c>
      <c r="M161" s="28">
        <f t="shared" si="10"/>
        <v>542</v>
      </c>
      <c r="N161" s="24">
        <v>-2094</v>
      </c>
      <c r="O161" s="28">
        <v>2636</v>
      </c>
      <c r="P161" s="22">
        <f t="shared" si="11"/>
        <v>987</v>
      </c>
      <c r="Q161" s="36"/>
      <c r="R161" s="30"/>
      <c r="S161" s="69"/>
      <c r="T161" s="70"/>
      <c r="U161" s="71"/>
      <c r="V161" s="71"/>
      <c r="W161" s="72"/>
      <c r="X161" s="71"/>
      <c r="Y161" s="71"/>
      <c r="Z161" s="71"/>
      <c r="AA161" s="71"/>
    </row>
    <row r="162" spans="1:27" ht="22.5" customHeight="1" outlineLevel="1" x14ac:dyDescent="0.2">
      <c r="A162" s="62">
        <v>45792</v>
      </c>
      <c r="B162" s="22" t="e">
        <f t="shared" si="1"/>
        <v>#REF!</v>
      </c>
      <c r="C162" s="28">
        <f t="shared" si="6"/>
        <v>554</v>
      </c>
      <c r="D162" s="24">
        <v>-2749</v>
      </c>
      <c r="E162" s="28">
        <v>3303</v>
      </c>
      <c r="F162" s="22">
        <f t="shared" si="7"/>
        <v>996</v>
      </c>
      <c r="G162" s="22" t="e">
        <f t="shared" si="2"/>
        <v>#REF!</v>
      </c>
      <c r="H162" s="28">
        <f t="shared" si="8"/>
        <v>342</v>
      </c>
      <c r="I162" s="24">
        <v>-2167</v>
      </c>
      <c r="J162" s="28">
        <v>2509</v>
      </c>
      <c r="K162" s="22">
        <f t="shared" si="9"/>
        <v>1211</v>
      </c>
      <c r="L162" s="22" t="e">
        <f t="shared" si="3"/>
        <v>#REF!</v>
      </c>
      <c r="M162" s="28">
        <f t="shared" si="10"/>
        <v>537</v>
      </c>
      <c r="N162" s="24">
        <v>-2099</v>
      </c>
      <c r="O162" s="28">
        <v>2636</v>
      </c>
      <c r="P162" s="22">
        <f t="shared" si="11"/>
        <v>992</v>
      </c>
      <c r="Q162" s="36"/>
      <c r="R162" s="30"/>
      <c r="S162" s="69"/>
      <c r="T162" s="70"/>
      <c r="U162" s="71"/>
      <c r="V162" s="71"/>
      <c r="W162" s="72"/>
      <c r="X162" s="71"/>
      <c r="Y162" s="71"/>
      <c r="Z162" s="71"/>
      <c r="AA162" s="71"/>
    </row>
    <row r="163" spans="1:27" ht="22.5" customHeight="1" outlineLevel="1" x14ac:dyDescent="0.2">
      <c r="A163" s="62">
        <v>45793</v>
      </c>
      <c r="B163" s="22" t="e">
        <f t="shared" si="1"/>
        <v>#REF!</v>
      </c>
      <c r="C163" s="28">
        <f t="shared" si="6"/>
        <v>550</v>
      </c>
      <c r="D163" s="24">
        <v>-2753</v>
      </c>
      <c r="E163" s="28">
        <v>3303</v>
      </c>
      <c r="F163" s="22">
        <f t="shared" si="7"/>
        <v>1000</v>
      </c>
      <c r="G163" s="22" t="e">
        <f t="shared" si="2"/>
        <v>#REF!</v>
      </c>
      <c r="H163" s="28">
        <f t="shared" si="8"/>
        <v>338</v>
      </c>
      <c r="I163" s="24">
        <v>-2171</v>
      </c>
      <c r="J163" s="28">
        <v>2509</v>
      </c>
      <c r="K163" s="22">
        <f t="shared" si="9"/>
        <v>1215</v>
      </c>
      <c r="L163" s="22" t="e">
        <f t="shared" si="3"/>
        <v>#REF!</v>
      </c>
      <c r="M163" s="28">
        <f t="shared" si="10"/>
        <v>531</v>
      </c>
      <c r="N163" s="24">
        <v>-2105</v>
      </c>
      <c r="O163" s="28">
        <v>2636</v>
      </c>
      <c r="P163" s="22">
        <f t="shared" si="11"/>
        <v>998</v>
      </c>
      <c r="Q163" s="36"/>
      <c r="R163" s="30"/>
      <c r="S163" s="69"/>
      <c r="T163" s="70"/>
      <c r="U163" s="71"/>
      <c r="V163" s="71"/>
      <c r="W163" s="72"/>
      <c r="X163" s="71"/>
      <c r="Y163" s="71"/>
      <c r="Z163" s="71"/>
      <c r="AA163" s="71"/>
    </row>
    <row r="164" spans="1:27" ht="22.5" customHeight="1" outlineLevel="1" x14ac:dyDescent="0.2">
      <c r="A164" s="62">
        <v>45794</v>
      </c>
      <c r="B164" s="22" t="e">
        <f t="shared" si="1"/>
        <v>#REF!</v>
      </c>
      <c r="C164" s="28">
        <f t="shared" si="6"/>
        <v>546</v>
      </c>
      <c r="D164" s="24">
        <v>-2757</v>
      </c>
      <c r="E164" s="28">
        <v>3303</v>
      </c>
      <c r="F164" s="22">
        <f t="shared" si="7"/>
        <v>1004</v>
      </c>
      <c r="G164" s="22" t="e">
        <f t="shared" si="2"/>
        <v>#REF!</v>
      </c>
      <c r="H164" s="28">
        <f t="shared" si="8"/>
        <v>334</v>
      </c>
      <c r="I164" s="24">
        <v>-2175</v>
      </c>
      <c r="J164" s="28">
        <v>2509</v>
      </c>
      <c r="K164" s="22">
        <f t="shared" si="9"/>
        <v>1219</v>
      </c>
      <c r="L164" s="22" t="e">
        <f t="shared" si="3"/>
        <v>#REF!</v>
      </c>
      <c r="M164" s="28">
        <f t="shared" si="10"/>
        <v>527</v>
      </c>
      <c r="N164" s="24">
        <v>-2109</v>
      </c>
      <c r="O164" s="28">
        <v>2636</v>
      </c>
      <c r="P164" s="22">
        <f t="shared" si="11"/>
        <v>1002</v>
      </c>
      <c r="Q164" s="36"/>
      <c r="R164" s="30"/>
      <c r="S164" s="69"/>
      <c r="T164" s="70"/>
      <c r="U164" s="71"/>
      <c r="V164" s="71"/>
      <c r="W164" s="72"/>
      <c r="X164" s="71"/>
      <c r="Y164" s="71"/>
      <c r="Z164" s="71"/>
      <c r="AA164" s="71"/>
    </row>
    <row r="165" spans="1:27" ht="22.5" customHeight="1" outlineLevel="1" x14ac:dyDescent="0.2">
      <c r="A165" s="62">
        <v>45795</v>
      </c>
      <c r="B165" s="22" t="e">
        <f t="shared" si="1"/>
        <v>#REF!</v>
      </c>
      <c r="C165" s="28">
        <f t="shared" si="6"/>
        <v>542</v>
      </c>
      <c r="D165" s="24">
        <v>-2761</v>
      </c>
      <c r="E165" s="28">
        <v>3303</v>
      </c>
      <c r="F165" s="22">
        <f t="shared" si="7"/>
        <v>1008</v>
      </c>
      <c r="G165" s="22" t="e">
        <f t="shared" si="2"/>
        <v>#REF!</v>
      </c>
      <c r="H165" s="28">
        <f t="shared" si="8"/>
        <v>330</v>
      </c>
      <c r="I165" s="24">
        <v>-2179</v>
      </c>
      <c r="J165" s="28">
        <v>2509</v>
      </c>
      <c r="K165" s="22">
        <f t="shared" si="9"/>
        <v>1223</v>
      </c>
      <c r="L165" s="22" t="e">
        <f t="shared" si="3"/>
        <v>#REF!</v>
      </c>
      <c r="M165" s="28">
        <f t="shared" si="10"/>
        <v>522</v>
      </c>
      <c r="N165" s="24">
        <v>-2114</v>
      </c>
      <c r="O165" s="28">
        <v>2636</v>
      </c>
      <c r="P165" s="22">
        <f t="shared" si="11"/>
        <v>1007</v>
      </c>
      <c r="Q165" s="36"/>
      <c r="R165" s="30"/>
      <c r="S165" s="69"/>
      <c r="T165" s="70"/>
      <c r="U165" s="71"/>
      <c r="V165" s="71"/>
      <c r="W165" s="72"/>
      <c r="X165" s="71"/>
      <c r="Y165" s="71"/>
      <c r="Z165" s="71"/>
      <c r="AA165" s="71"/>
    </row>
    <row r="166" spans="1:27" ht="22.5" customHeight="1" outlineLevel="1" x14ac:dyDescent="0.2">
      <c r="A166" s="62">
        <v>45796</v>
      </c>
      <c r="B166" s="22" t="e">
        <f t="shared" si="1"/>
        <v>#REF!</v>
      </c>
      <c r="C166" s="28">
        <f t="shared" si="6"/>
        <v>538</v>
      </c>
      <c r="D166" s="24">
        <v>-2765</v>
      </c>
      <c r="E166" s="28">
        <v>3303</v>
      </c>
      <c r="F166" s="22">
        <f t="shared" si="7"/>
        <v>1012</v>
      </c>
      <c r="G166" s="22" t="e">
        <f t="shared" si="2"/>
        <v>#REF!</v>
      </c>
      <c r="H166" s="28">
        <f t="shared" si="8"/>
        <v>326</v>
      </c>
      <c r="I166" s="24">
        <v>-2183</v>
      </c>
      <c r="J166" s="28">
        <v>2509</v>
      </c>
      <c r="K166" s="22">
        <f t="shared" si="9"/>
        <v>1227</v>
      </c>
      <c r="L166" s="22" t="e">
        <f t="shared" si="3"/>
        <v>#REF!</v>
      </c>
      <c r="M166" s="28">
        <f t="shared" si="10"/>
        <v>518</v>
      </c>
      <c r="N166" s="24">
        <v>-2118</v>
      </c>
      <c r="O166" s="28">
        <v>2636</v>
      </c>
      <c r="P166" s="22">
        <f t="shared" si="11"/>
        <v>1011</v>
      </c>
      <c r="Q166" s="36"/>
      <c r="R166" s="30"/>
      <c r="S166" s="69"/>
      <c r="T166" s="70"/>
      <c r="U166" s="71"/>
      <c r="V166" s="71"/>
      <c r="W166" s="72"/>
      <c r="X166" s="71"/>
      <c r="Y166" s="71"/>
      <c r="Z166" s="71"/>
      <c r="AA166" s="71"/>
    </row>
    <row r="167" spans="1:27" ht="22.5" customHeight="1" outlineLevel="1" x14ac:dyDescent="0.2">
      <c r="A167" s="62">
        <v>45797</v>
      </c>
      <c r="B167" s="22" t="e">
        <f t="shared" si="1"/>
        <v>#REF!</v>
      </c>
      <c r="C167" s="28">
        <f t="shared" si="6"/>
        <v>538</v>
      </c>
      <c r="D167" s="24">
        <v>-2765</v>
      </c>
      <c r="E167" s="28">
        <v>3303</v>
      </c>
      <c r="F167" s="22">
        <f t="shared" si="7"/>
        <v>1012</v>
      </c>
      <c r="G167" s="22" t="e">
        <f t="shared" si="2"/>
        <v>#REF!</v>
      </c>
      <c r="H167" s="28">
        <f t="shared" si="8"/>
        <v>326</v>
      </c>
      <c r="I167" s="24">
        <v>-2183</v>
      </c>
      <c r="J167" s="28">
        <v>2509</v>
      </c>
      <c r="K167" s="22">
        <f t="shared" si="9"/>
        <v>1227</v>
      </c>
      <c r="L167" s="22" t="e">
        <f t="shared" si="3"/>
        <v>#REF!</v>
      </c>
      <c r="M167" s="28">
        <f t="shared" si="10"/>
        <v>518</v>
      </c>
      <c r="N167" s="24">
        <v>-2118</v>
      </c>
      <c r="O167" s="28">
        <v>2636</v>
      </c>
      <c r="P167" s="22">
        <f t="shared" si="11"/>
        <v>1011</v>
      </c>
      <c r="Q167" s="36"/>
      <c r="R167" s="30"/>
      <c r="S167" s="69"/>
      <c r="T167" s="70"/>
      <c r="U167" s="71"/>
      <c r="V167" s="71"/>
      <c r="W167" s="72"/>
      <c r="X167" s="71"/>
      <c r="Y167" s="71"/>
      <c r="Z167" s="71"/>
      <c r="AA167" s="71"/>
    </row>
    <row r="168" spans="1:27" ht="22.5" customHeight="1" outlineLevel="1" x14ac:dyDescent="0.2">
      <c r="A168" s="62">
        <v>45798</v>
      </c>
      <c r="B168" s="22" t="e">
        <f t="shared" si="1"/>
        <v>#REF!</v>
      </c>
      <c r="C168" s="28">
        <f t="shared" si="6"/>
        <v>538</v>
      </c>
      <c r="D168" s="24">
        <v>-2765</v>
      </c>
      <c r="E168" s="28">
        <v>3303</v>
      </c>
      <c r="F168" s="22">
        <f t="shared" si="7"/>
        <v>1012</v>
      </c>
      <c r="G168" s="22" t="e">
        <f t="shared" si="2"/>
        <v>#REF!</v>
      </c>
      <c r="H168" s="28">
        <f t="shared" si="8"/>
        <v>326</v>
      </c>
      <c r="I168" s="24">
        <v>-2183</v>
      </c>
      <c r="J168" s="28">
        <v>2509</v>
      </c>
      <c r="K168" s="22">
        <f t="shared" si="9"/>
        <v>1227</v>
      </c>
      <c r="L168" s="22" t="e">
        <f t="shared" si="3"/>
        <v>#REF!</v>
      </c>
      <c r="M168" s="28">
        <f t="shared" si="10"/>
        <v>518</v>
      </c>
      <c r="N168" s="24">
        <v>-2118</v>
      </c>
      <c r="O168" s="28">
        <v>2636</v>
      </c>
      <c r="P168" s="22">
        <f t="shared" si="11"/>
        <v>1011</v>
      </c>
      <c r="Q168" s="36"/>
      <c r="R168" s="30"/>
      <c r="S168" s="69"/>
      <c r="T168" s="70"/>
      <c r="U168" s="71"/>
      <c r="V168" s="71"/>
      <c r="W168" s="72"/>
      <c r="X168" s="71"/>
      <c r="Y168" s="71"/>
      <c r="Z168" s="71"/>
      <c r="AA168" s="71"/>
    </row>
    <row r="169" spans="1:27" ht="22.5" customHeight="1" outlineLevel="1" x14ac:dyDescent="0.2">
      <c r="A169" s="62">
        <v>45799</v>
      </c>
      <c r="B169" s="22" t="e">
        <f t="shared" si="1"/>
        <v>#REF!</v>
      </c>
      <c r="C169" s="28">
        <f t="shared" si="6"/>
        <v>538</v>
      </c>
      <c r="D169" s="24">
        <v>-2765</v>
      </c>
      <c r="E169" s="28">
        <v>3303</v>
      </c>
      <c r="F169" s="22">
        <f t="shared" si="7"/>
        <v>1012</v>
      </c>
      <c r="G169" s="22" t="e">
        <f t="shared" si="2"/>
        <v>#REF!</v>
      </c>
      <c r="H169" s="28">
        <f t="shared" si="8"/>
        <v>326</v>
      </c>
      <c r="I169" s="24">
        <v>-2183</v>
      </c>
      <c r="J169" s="28">
        <v>2509</v>
      </c>
      <c r="K169" s="22">
        <f t="shared" si="9"/>
        <v>1227</v>
      </c>
      <c r="L169" s="22" t="e">
        <f t="shared" si="3"/>
        <v>#REF!</v>
      </c>
      <c r="M169" s="28">
        <f t="shared" si="10"/>
        <v>518</v>
      </c>
      <c r="N169" s="24">
        <v>-2118</v>
      </c>
      <c r="O169" s="28">
        <v>2636</v>
      </c>
      <c r="P169" s="22">
        <f t="shared" si="11"/>
        <v>1011</v>
      </c>
      <c r="Q169" s="36"/>
      <c r="R169" s="30"/>
      <c r="S169" s="69"/>
      <c r="T169" s="70"/>
      <c r="U169" s="71"/>
      <c r="V169" s="71"/>
      <c r="W169" s="72"/>
      <c r="X169" s="71"/>
      <c r="Y169" s="71"/>
      <c r="Z169" s="71"/>
      <c r="AA169" s="71"/>
    </row>
    <row r="170" spans="1:27" ht="22.5" customHeight="1" outlineLevel="1" x14ac:dyDescent="0.2">
      <c r="A170" s="62">
        <v>45800</v>
      </c>
      <c r="B170" s="22" t="e">
        <f t="shared" si="1"/>
        <v>#REF!</v>
      </c>
      <c r="C170" s="28">
        <f t="shared" si="6"/>
        <v>531</v>
      </c>
      <c r="D170" s="24">
        <v>-2772</v>
      </c>
      <c r="E170" s="28">
        <v>3303</v>
      </c>
      <c r="F170" s="22">
        <f t="shared" si="7"/>
        <v>1019</v>
      </c>
      <c r="G170" s="22" t="e">
        <f t="shared" si="2"/>
        <v>#REF!</v>
      </c>
      <c r="H170" s="28">
        <f t="shared" si="8"/>
        <v>315</v>
      </c>
      <c r="I170" s="24">
        <v>-2194</v>
      </c>
      <c r="J170" s="28">
        <v>2509</v>
      </c>
      <c r="K170" s="22">
        <f t="shared" si="9"/>
        <v>1238</v>
      </c>
      <c r="L170" s="22" t="e">
        <f t="shared" si="3"/>
        <v>#REF!</v>
      </c>
      <c r="M170" s="28">
        <f t="shared" si="10"/>
        <v>508</v>
      </c>
      <c r="N170" s="24">
        <v>-2128</v>
      </c>
      <c r="O170" s="28">
        <v>2636</v>
      </c>
      <c r="P170" s="22">
        <f t="shared" si="11"/>
        <v>1021</v>
      </c>
      <c r="Q170" s="36"/>
      <c r="R170" s="30"/>
      <c r="S170" s="69"/>
      <c r="T170" s="70"/>
      <c r="U170" s="71"/>
      <c r="V170" s="71"/>
      <c r="W170" s="72"/>
      <c r="X170" s="71"/>
      <c r="Y170" s="71"/>
      <c r="Z170" s="71"/>
      <c r="AA170" s="71"/>
    </row>
    <row r="171" spans="1:27" ht="22.5" customHeight="1" outlineLevel="1" x14ac:dyDescent="0.2">
      <c r="A171" s="62">
        <v>45801</v>
      </c>
      <c r="B171" s="22" t="e">
        <f t="shared" si="1"/>
        <v>#REF!</v>
      </c>
      <c r="C171" s="28">
        <f t="shared" si="6"/>
        <v>530</v>
      </c>
      <c r="D171" s="24">
        <v>-2773</v>
      </c>
      <c r="E171" s="28">
        <v>3303</v>
      </c>
      <c r="F171" s="22">
        <f t="shared" si="7"/>
        <v>1020</v>
      </c>
      <c r="G171" s="22" t="e">
        <f t="shared" si="2"/>
        <v>#REF!</v>
      </c>
      <c r="H171" s="28">
        <f t="shared" si="8"/>
        <v>313</v>
      </c>
      <c r="I171" s="24">
        <v>-2196</v>
      </c>
      <c r="J171" s="28">
        <v>2509</v>
      </c>
      <c r="K171" s="22">
        <f t="shared" si="9"/>
        <v>1240</v>
      </c>
      <c r="L171" s="22" t="e">
        <f t="shared" si="3"/>
        <v>#REF!</v>
      </c>
      <c r="M171" s="28">
        <f t="shared" si="10"/>
        <v>507</v>
      </c>
      <c r="N171" s="24">
        <v>-2129</v>
      </c>
      <c r="O171" s="28">
        <v>2636</v>
      </c>
      <c r="P171" s="22">
        <f t="shared" si="11"/>
        <v>1022</v>
      </c>
      <c r="Q171" s="36"/>
      <c r="R171" s="30"/>
      <c r="S171" s="69"/>
      <c r="T171" s="70"/>
      <c r="U171" s="71"/>
      <c r="V171" s="71"/>
      <c r="W171" s="72"/>
      <c r="X171" s="71"/>
      <c r="Y171" s="71"/>
      <c r="Z171" s="71"/>
      <c r="AA171" s="71"/>
    </row>
    <row r="172" spans="1:27" ht="22.5" customHeight="1" outlineLevel="1" x14ac:dyDescent="0.2">
      <c r="A172" s="62">
        <v>45802</v>
      </c>
      <c r="B172" s="22" t="e">
        <f t="shared" si="1"/>
        <v>#REF!</v>
      </c>
      <c r="C172" s="28">
        <f t="shared" si="6"/>
        <v>529</v>
      </c>
      <c r="D172" s="24">
        <v>-2774</v>
      </c>
      <c r="E172" s="28">
        <v>3303</v>
      </c>
      <c r="F172" s="22">
        <f t="shared" si="7"/>
        <v>1021</v>
      </c>
      <c r="G172" s="22" t="e">
        <f t="shared" si="2"/>
        <v>#REF!</v>
      </c>
      <c r="H172" s="28">
        <f t="shared" si="8"/>
        <v>311</v>
      </c>
      <c r="I172" s="24">
        <v>-2198</v>
      </c>
      <c r="J172" s="28">
        <v>2509</v>
      </c>
      <c r="K172" s="22">
        <f t="shared" si="9"/>
        <v>1242</v>
      </c>
      <c r="L172" s="22" t="e">
        <f t="shared" si="3"/>
        <v>#REF!</v>
      </c>
      <c r="M172" s="28">
        <f t="shared" si="10"/>
        <v>506</v>
      </c>
      <c r="N172" s="24">
        <v>-2130</v>
      </c>
      <c r="O172" s="28">
        <v>2636</v>
      </c>
      <c r="P172" s="22">
        <f t="shared" si="11"/>
        <v>1023</v>
      </c>
      <c r="Q172" s="36"/>
      <c r="R172" s="30"/>
      <c r="S172" s="69"/>
      <c r="T172" s="70"/>
      <c r="U172" s="71"/>
      <c r="V172" s="71"/>
      <c r="W172" s="72"/>
      <c r="X172" s="71"/>
      <c r="Y172" s="71"/>
      <c r="Z172" s="71"/>
      <c r="AA172" s="71"/>
    </row>
    <row r="173" spans="1:27" ht="22.5" customHeight="1" outlineLevel="1" x14ac:dyDescent="0.2">
      <c r="A173" s="62">
        <v>45803</v>
      </c>
      <c r="B173" s="22" t="e">
        <f t="shared" si="1"/>
        <v>#REF!</v>
      </c>
      <c r="C173" s="28">
        <f t="shared" si="6"/>
        <v>528</v>
      </c>
      <c r="D173" s="24">
        <v>-2775</v>
      </c>
      <c r="E173" s="28">
        <v>3303</v>
      </c>
      <c r="F173" s="22">
        <f t="shared" si="7"/>
        <v>1022</v>
      </c>
      <c r="G173" s="22" t="e">
        <f t="shared" si="2"/>
        <v>#REF!</v>
      </c>
      <c r="H173" s="28">
        <f t="shared" si="8"/>
        <v>309</v>
      </c>
      <c r="I173" s="24">
        <v>-2200</v>
      </c>
      <c r="J173" s="28">
        <v>2509</v>
      </c>
      <c r="K173" s="22">
        <f t="shared" si="9"/>
        <v>1244</v>
      </c>
      <c r="L173" s="22" t="e">
        <f t="shared" si="3"/>
        <v>#REF!</v>
      </c>
      <c r="M173" s="28">
        <f t="shared" si="10"/>
        <v>505</v>
      </c>
      <c r="N173" s="24">
        <v>-2131</v>
      </c>
      <c r="O173" s="28">
        <v>2636</v>
      </c>
      <c r="P173" s="22">
        <f t="shared" si="11"/>
        <v>1024</v>
      </c>
      <c r="Q173" s="36"/>
      <c r="R173" s="30"/>
      <c r="S173" s="69"/>
      <c r="T173" s="70"/>
      <c r="U173" s="71"/>
      <c r="V173" s="71"/>
      <c r="W173" s="72"/>
      <c r="X173" s="71"/>
      <c r="Y173" s="71"/>
      <c r="Z173" s="71"/>
      <c r="AA173" s="71"/>
    </row>
    <row r="174" spans="1:27" ht="22.5" customHeight="1" outlineLevel="1" x14ac:dyDescent="0.2">
      <c r="A174" s="62">
        <v>45804</v>
      </c>
      <c r="B174" s="22" t="e">
        <f t="shared" si="1"/>
        <v>#REF!</v>
      </c>
      <c r="C174" s="28">
        <f t="shared" si="6"/>
        <v>527</v>
      </c>
      <c r="D174" s="24">
        <v>-2776</v>
      </c>
      <c r="E174" s="28">
        <v>3303</v>
      </c>
      <c r="F174" s="22">
        <f t="shared" si="7"/>
        <v>1023</v>
      </c>
      <c r="G174" s="22" t="e">
        <f t="shared" si="2"/>
        <v>#REF!</v>
      </c>
      <c r="H174" s="28">
        <f t="shared" si="8"/>
        <v>307</v>
      </c>
      <c r="I174" s="24">
        <v>-2202</v>
      </c>
      <c r="J174" s="28">
        <v>2509</v>
      </c>
      <c r="K174" s="22">
        <f t="shared" si="9"/>
        <v>1246</v>
      </c>
      <c r="L174" s="22" t="e">
        <f t="shared" si="3"/>
        <v>#REF!</v>
      </c>
      <c r="M174" s="28">
        <f t="shared" si="10"/>
        <v>504</v>
      </c>
      <c r="N174" s="24">
        <v>-2132</v>
      </c>
      <c r="O174" s="28">
        <v>2636</v>
      </c>
      <c r="P174" s="22">
        <f t="shared" si="11"/>
        <v>1025</v>
      </c>
      <c r="Q174" s="36"/>
      <c r="R174" s="30"/>
      <c r="S174" s="69"/>
      <c r="T174" s="70"/>
      <c r="U174" s="71"/>
      <c r="V174" s="71"/>
      <c r="W174" s="72"/>
      <c r="X174" s="71"/>
      <c r="Y174" s="71"/>
      <c r="Z174" s="71"/>
      <c r="AA174" s="71"/>
    </row>
    <row r="175" spans="1:27" ht="22.5" customHeight="1" outlineLevel="1" x14ac:dyDescent="0.2">
      <c r="A175" s="62">
        <v>45805</v>
      </c>
      <c r="B175" s="22" t="e">
        <f t="shared" si="1"/>
        <v>#REF!</v>
      </c>
      <c r="C175" s="28">
        <f t="shared" si="6"/>
        <v>527</v>
      </c>
      <c r="D175" s="24">
        <v>-2776</v>
      </c>
      <c r="E175" s="28">
        <v>3303</v>
      </c>
      <c r="F175" s="22">
        <f t="shared" si="7"/>
        <v>1023</v>
      </c>
      <c r="G175" s="22" t="e">
        <f t="shared" si="2"/>
        <v>#REF!</v>
      </c>
      <c r="H175" s="28">
        <f t="shared" si="8"/>
        <v>307</v>
      </c>
      <c r="I175" s="24">
        <v>-2202</v>
      </c>
      <c r="J175" s="28">
        <v>2509</v>
      </c>
      <c r="K175" s="22">
        <f t="shared" si="9"/>
        <v>1246</v>
      </c>
      <c r="L175" s="22" t="e">
        <f t="shared" si="3"/>
        <v>#REF!</v>
      </c>
      <c r="M175" s="28">
        <f t="shared" si="10"/>
        <v>504</v>
      </c>
      <c r="N175" s="24">
        <v>-2132</v>
      </c>
      <c r="O175" s="28">
        <v>2636</v>
      </c>
      <c r="P175" s="22">
        <f t="shared" si="11"/>
        <v>1025</v>
      </c>
      <c r="Q175" s="36"/>
      <c r="R175" s="30"/>
      <c r="S175" s="69"/>
      <c r="T175" s="70"/>
      <c r="U175" s="71"/>
      <c r="V175" s="71"/>
      <c r="W175" s="72"/>
      <c r="X175" s="71"/>
      <c r="Y175" s="71"/>
      <c r="Z175" s="71"/>
      <c r="AA175" s="71"/>
    </row>
    <row r="176" spans="1:27" ht="22.5" customHeight="1" outlineLevel="1" x14ac:dyDescent="0.2">
      <c r="A176" s="62">
        <v>45806</v>
      </c>
      <c r="B176" s="22" t="e">
        <f t="shared" si="1"/>
        <v>#REF!</v>
      </c>
      <c r="C176" s="28">
        <f t="shared" si="6"/>
        <v>527</v>
      </c>
      <c r="D176" s="24">
        <v>-2776</v>
      </c>
      <c r="E176" s="28">
        <v>3303</v>
      </c>
      <c r="F176" s="22">
        <f t="shared" si="7"/>
        <v>1023</v>
      </c>
      <c r="G176" s="22" t="e">
        <f t="shared" si="2"/>
        <v>#REF!</v>
      </c>
      <c r="H176" s="28">
        <f t="shared" si="8"/>
        <v>307</v>
      </c>
      <c r="I176" s="24">
        <v>-2202</v>
      </c>
      <c r="J176" s="28">
        <v>2509</v>
      </c>
      <c r="K176" s="22">
        <f t="shared" si="9"/>
        <v>1246</v>
      </c>
      <c r="L176" s="22" t="e">
        <f t="shared" si="3"/>
        <v>#REF!</v>
      </c>
      <c r="M176" s="28">
        <f t="shared" si="10"/>
        <v>504</v>
      </c>
      <c r="N176" s="24">
        <v>-2132</v>
      </c>
      <c r="O176" s="28">
        <v>2636</v>
      </c>
      <c r="P176" s="22">
        <f t="shared" si="11"/>
        <v>1025</v>
      </c>
      <c r="Q176" s="36"/>
      <c r="R176" s="30"/>
      <c r="S176" s="69"/>
      <c r="T176" s="70"/>
      <c r="U176" s="71"/>
      <c r="V176" s="71"/>
      <c r="W176" s="72"/>
      <c r="X176" s="71"/>
      <c r="Y176" s="71"/>
      <c r="Z176" s="71"/>
      <c r="AA176" s="71"/>
    </row>
    <row r="177" spans="1:27" ht="22.5" customHeight="1" outlineLevel="1" x14ac:dyDescent="0.2">
      <c r="A177" s="62">
        <v>45807</v>
      </c>
      <c r="B177" s="22" t="e">
        <f t="shared" si="1"/>
        <v>#REF!</v>
      </c>
      <c r="C177" s="28">
        <f t="shared" si="6"/>
        <v>527</v>
      </c>
      <c r="D177" s="24">
        <v>-2776</v>
      </c>
      <c r="E177" s="28">
        <v>3303</v>
      </c>
      <c r="F177" s="22">
        <f t="shared" si="7"/>
        <v>1023</v>
      </c>
      <c r="G177" s="22" t="e">
        <f t="shared" si="2"/>
        <v>#REF!</v>
      </c>
      <c r="H177" s="28">
        <f t="shared" si="8"/>
        <v>307</v>
      </c>
      <c r="I177" s="24">
        <v>-2202</v>
      </c>
      <c r="J177" s="28">
        <v>2509</v>
      </c>
      <c r="K177" s="22">
        <f t="shared" si="9"/>
        <v>1246</v>
      </c>
      <c r="L177" s="22" t="e">
        <f t="shared" si="3"/>
        <v>#REF!</v>
      </c>
      <c r="M177" s="28">
        <f t="shared" si="10"/>
        <v>504</v>
      </c>
      <c r="N177" s="24">
        <v>-2132</v>
      </c>
      <c r="O177" s="28">
        <v>2636</v>
      </c>
      <c r="P177" s="22">
        <f t="shared" si="11"/>
        <v>1025</v>
      </c>
      <c r="Q177" s="36"/>
      <c r="R177" s="30"/>
      <c r="S177" s="69"/>
      <c r="T177" s="70"/>
      <c r="U177" s="71"/>
      <c r="V177" s="71"/>
      <c r="W177" s="72"/>
      <c r="X177" s="71"/>
      <c r="Y177" s="71"/>
      <c r="Z177" s="71"/>
      <c r="AA177" s="71"/>
    </row>
    <row r="178" spans="1:27" ht="22.5" customHeight="1" outlineLevel="1" x14ac:dyDescent="0.2">
      <c r="A178" s="62">
        <v>45808</v>
      </c>
      <c r="B178" s="22" t="e">
        <f t="shared" si="1"/>
        <v>#REF!</v>
      </c>
      <c r="C178" s="28">
        <f t="shared" si="6"/>
        <v>527</v>
      </c>
      <c r="D178" s="24">
        <v>-2776</v>
      </c>
      <c r="E178" s="28">
        <v>3303</v>
      </c>
      <c r="F178" s="22">
        <f t="shared" si="7"/>
        <v>1023</v>
      </c>
      <c r="G178" s="22" t="e">
        <f t="shared" si="2"/>
        <v>#REF!</v>
      </c>
      <c r="H178" s="28">
        <f t="shared" si="8"/>
        <v>307</v>
      </c>
      <c r="I178" s="24">
        <v>-2202</v>
      </c>
      <c r="J178" s="28">
        <v>2509</v>
      </c>
      <c r="K178" s="22">
        <f t="shared" si="9"/>
        <v>1246</v>
      </c>
      <c r="L178" s="22" t="e">
        <f t="shared" si="3"/>
        <v>#REF!</v>
      </c>
      <c r="M178" s="28">
        <f t="shared" si="10"/>
        <v>504</v>
      </c>
      <c r="N178" s="24">
        <v>-2132</v>
      </c>
      <c r="O178" s="28">
        <v>2636</v>
      </c>
      <c r="P178" s="22">
        <f t="shared" si="11"/>
        <v>1025</v>
      </c>
      <c r="Q178" s="36"/>
      <c r="R178" s="30"/>
      <c r="S178" s="69"/>
      <c r="T178" s="70"/>
      <c r="U178" s="71"/>
      <c r="V178" s="71"/>
      <c r="W178" s="72"/>
      <c r="X178" s="71"/>
      <c r="Y178" s="71"/>
      <c r="Z178" s="71"/>
      <c r="AA178" s="71"/>
    </row>
    <row r="179" spans="1:27" ht="22.5" customHeight="1" outlineLevel="1" x14ac:dyDescent="0.2">
      <c r="A179" s="62">
        <v>45809</v>
      </c>
      <c r="B179" s="22" t="e">
        <f t="shared" si="1"/>
        <v>#REF!</v>
      </c>
      <c r="C179" s="28">
        <f t="shared" si="6"/>
        <v>527</v>
      </c>
      <c r="D179" s="24">
        <v>-2776</v>
      </c>
      <c r="E179" s="28">
        <v>3303</v>
      </c>
      <c r="F179" s="22">
        <f t="shared" si="7"/>
        <v>1023</v>
      </c>
      <c r="G179" s="22" t="e">
        <f t="shared" si="2"/>
        <v>#REF!</v>
      </c>
      <c r="H179" s="28">
        <f t="shared" si="8"/>
        <v>307</v>
      </c>
      <c r="I179" s="24">
        <v>-2202</v>
      </c>
      <c r="J179" s="28">
        <v>2509</v>
      </c>
      <c r="K179" s="22">
        <f t="shared" si="9"/>
        <v>1246</v>
      </c>
      <c r="L179" s="22" t="e">
        <f t="shared" si="3"/>
        <v>#REF!</v>
      </c>
      <c r="M179" s="28">
        <f t="shared" si="10"/>
        <v>504</v>
      </c>
      <c r="N179" s="24">
        <v>-2132</v>
      </c>
      <c r="O179" s="28">
        <v>2636</v>
      </c>
      <c r="P179" s="22">
        <f t="shared" si="11"/>
        <v>1025</v>
      </c>
      <c r="Q179" s="36"/>
      <c r="R179" s="30"/>
      <c r="S179" s="69"/>
      <c r="T179" s="70"/>
      <c r="U179" s="71"/>
      <c r="V179" s="71"/>
      <c r="W179" s="72"/>
      <c r="X179" s="71"/>
      <c r="Y179" s="71"/>
      <c r="Z179" s="71"/>
      <c r="AA179" s="71"/>
    </row>
    <row r="180" spans="1:27" ht="22.5" customHeight="1" outlineLevel="1" x14ac:dyDescent="0.2">
      <c r="A180" s="62">
        <v>45810</v>
      </c>
      <c r="B180" s="22" t="e">
        <f t="shared" si="1"/>
        <v>#REF!</v>
      </c>
      <c r="C180" s="28">
        <f t="shared" si="6"/>
        <v>527</v>
      </c>
      <c r="D180" s="24">
        <v>-2776</v>
      </c>
      <c r="E180" s="28">
        <v>3303</v>
      </c>
      <c r="F180" s="22">
        <f t="shared" si="7"/>
        <v>1023</v>
      </c>
      <c r="G180" s="22" t="e">
        <f t="shared" si="2"/>
        <v>#REF!</v>
      </c>
      <c r="H180" s="28">
        <f t="shared" si="8"/>
        <v>307</v>
      </c>
      <c r="I180" s="24">
        <v>-2202</v>
      </c>
      <c r="J180" s="28">
        <v>2509</v>
      </c>
      <c r="K180" s="22">
        <f t="shared" si="9"/>
        <v>1246</v>
      </c>
      <c r="L180" s="22" t="e">
        <f t="shared" si="3"/>
        <v>#REF!</v>
      </c>
      <c r="M180" s="28">
        <f t="shared" si="10"/>
        <v>504</v>
      </c>
      <c r="N180" s="24">
        <v>-2132</v>
      </c>
      <c r="O180" s="28">
        <v>2636</v>
      </c>
      <c r="P180" s="22">
        <f t="shared" si="11"/>
        <v>1025</v>
      </c>
      <c r="Q180" s="36"/>
      <c r="R180" s="30"/>
      <c r="S180" s="69"/>
      <c r="T180" s="70"/>
      <c r="U180" s="71"/>
      <c r="V180" s="71"/>
      <c r="W180" s="72"/>
      <c r="X180" s="71"/>
      <c r="Y180" s="71"/>
      <c r="Z180" s="71"/>
      <c r="AA180" s="71"/>
    </row>
    <row r="181" spans="1:27" ht="22.5" customHeight="1" outlineLevel="1" x14ac:dyDescent="0.2">
      <c r="A181" s="62">
        <v>45811</v>
      </c>
      <c r="B181" s="22" t="e">
        <f t="shared" si="1"/>
        <v>#REF!</v>
      </c>
      <c r="C181" s="28">
        <f t="shared" si="6"/>
        <v>527</v>
      </c>
      <c r="D181" s="24">
        <v>-2776</v>
      </c>
      <c r="E181" s="28">
        <v>3303</v>
      </c>
      <c r="F181" s="22">
        <f t="shared" si="7"/>
        <v>1023</v>
      </c>
      <c r="G181" s="22" t="e">
        <f t="shared" si="2"/>
        <v>#REF!</v>
      </c>
      <c r="H181" s="28">
        <f t="shared" si="8"/>
        <v>307</v>
      </c>
      <c r="I181" s="24">
        <v>-2202</v>
      </c>
      <c r="J181" s="28">
        <v>2509</v>
      </c>
      <c r="K181" s="22">
        <f t="shared" si="9"/>
        <v>1246</v>
      </c>
      <c r="L181" s="22" t="e">
        <f t="shared" si="3"/>
        <v>#REF!</v>
      </c>
      <c r="M181" s="28">
        <f t="shared" si="10"/>
        <v>504</v>
      </c>
      <c r="N181" s="24">
        <v>-2132</v>
      </c>
      <c r="O181" s="28">
        <v>2636</v>
      </c>
      <c r="P181" s="22">
        <f t="shared" si="11"/>
        <v>1025</v>
      </c>
      <c r="Q181" s="36"/>
      <c r="R181" s="30"/>
      <c r="S181" s="69"/>
      <c r="T181" s="70"/>
      <c r="U181" s="71"/>
      <c r="V181" s="71"/>
      <c r="W181" s="72"/>
      <c r="X181" s="71"/>
      <c r="Y181" s="71"/>
      <c r="Z181" s="71"/>
      <c r="AA181" s="71"/>
    </row>
    <row r="182" spans="1:27" ht="22.5" customHeight="1" outlineLevel="1" x14ac:dyDescent="0.2">
      <c r="A182" s="62">
        <v>45812</v>
      </c>
      <c r="B182" s="22" t="e">
        <f t="shared" si="1"/>
        <v>#REF!</v>
      </c>
      <c r="C182" s="28">
        <f t="shared" si="6"/>
        <v>527</v>
      </c>
      <c r="D182" s="24">
        <v>-2776</v>
      </c>
      <c r="E182" s="28">
        <v>3303</v>
      </c>
      <c r="F182" s="22">
        <f t="shared" si="7"/>
        <v>1023</v>
      </c>
      <c r="G182" s="22" t="e">
        <f t="shared" si="2"/>
        <v>#REF!</v>
      </c>
      <c r="H182" s="28">
        <f t="shared" si="8"/>
        <v>307</v>
      </c>
      <c r="I182" s="24">
        <v>-2202</v>
      </c>
      <c r="J182" s="28">
        <v>2509</v>
      </c>
      <c r="K182" s="22">
        <f t="shared" si="9"/>
        <v>1246</v>
      </c>
      <c r="L182" s="22" t="e">
        <f t="shared" si="3"/>
        <v>#REF!</v>
      </c>
      <c r="M182" s="28">
        <f t="shared" si="10"/>
        <v>504</v>
      </c>
      <c r="N182" s="24">
        <v>-2132</v>
      </c>
      <c r="O182" s="28">
        <v>2636</v>
      </c>
      <c r="P182" s="22">
        <f t="shared" si="11"/>
        <v>1025</v>
      </c>
      <c r="Q182" s="36"/>
      <c r="R182" s="30"/>
      <c r="S182" s="69"/>
      <c r="T182" s="70"/>
      <c r="U182" s="71"/>
      <c r="V182" s="71"/>
      <c r="W182" s="72"/>
      <c r="X182" s="71"/>
      <c r="Y182" s="71"/>
      <c r="Z182" s="71"/>
      <c r="AA182" s="71"/>
    </row>
    <row r="183" spans="1:27" ht="22.5" customHeight="1" outlineLevel="1" x14ac:dyDescent="0.2">
      <c r="A183" s="62">
        <v>45813</v>
      </c>
      <c r="B183" s="22" t="e">
        <f t="shared" si="1"/>
        <v>#REF!</v>
      </c>
      <c r="C183" s="28">
        <f t="shared" si="6"/>
        <v>527</v>
      </c>
      <c r="D183" s="24">
        <v>-2776</v>
      </c>
      <c r="E183" s="28">
        <v>3303</v>
      </c>
      <c r="F183" s="22">
        <f t="shared" si="7"/>
        <v>1023</v>
      </c>
      <c r="G183" s="22" t="e">
        <f t="shared" si="2"/>
        <v>#REF!</v>
      </c>
      <c r="H183" s="28">
        <f t="shared" si="8"/>
        <v>307</v>
      </c>
      <c r="I183" s="24">
        <v>-2202</v>
      </c>
      <c r="J183" s="28">
        <v>2509</v>
      </c>
      <c r="K183" s="22">
        <f t="shared" si="9"/>
        <v>1246</v>
      </c>
      <c r="L183" s="22" t="e">
        <f t="shared" si="3"/>
        <v>#REF!</v>
      </c>
      <c r="M183" s="28">
        <f t="shared" si="10"/>
        <v>504</v>
      </c>
      <c r="N183" s="24">
        <v>-2132</v>
      </c>
      <c r="O183" s="28">
        <v>2636</v>
      </c>
      <c r="P183" s="22">
        <f t="shared" si="11"/>
        <v>1025</v>
      </c>
      <c r="Q183" s="36"/>
      <c r="R183" s="30"/>
      <c r="S183" s="69"/>
      <c r="T183" s="70"/>
      <c r="U183" s="71"/>
      <c r="V183" s="71"/>
      <c r="W183" s="72"/>
      <c r="X183" s="71"/>
      <c r="Y183" s="71"/>
      <c r="Z183" s="71"/>
      <c r="AA183" s="71"/>
    </row>
    <row r="184" spans="1:27" ht="22.5" customHeight="1" outlineLevel="1" x14ac:dyDescent="0.2">
      <c r="A184" s="62">
        <v>45814</v>
      </c>
      <c r="B184" s="22" t="e">
        <f t="shared" si="1"/>
        <v>#REF!</v>
      </c>
      <c r="C184" s="28">
        <f t="shared" si="6"/>
        <v>527</v>
      </c>
      <c r="D184" s="24">
        <v>-2776</v>
      </c>
      <c r="E184" s="28">
        <v>3303</v>
      </c>
      <c r="F184" s="22">
        <f t="shared" si="7"/>
        <v>1023</v>
      </c>
      <c r="G184" s="22" t="e">
        <f t="shared" si="2"/>
        <v>#REF!</v>
      </c>
      <c r="H184" s="28">
        <f t="shared" si="8"/>
        <v>307</v>
      </c>
      <c r="I184" s="24">
        <v>-2202</v>
      </c>
      <c r="J184" s="28">
        <v>2509</v>
      </c>
      <c r="K184" s="22">
        <f t="shared" si="9"/>
        <v>1246</v>
      </c>
      <c r="L184" s="22" t="e">
        <f t="shared" si="3"/>
        <v>#REF!</v>
      </c>
      <c r="M184" s="28">
        <f t="shared" si="10"/>
        <v>504</v>
      </c>
      <c r="N184" s="24">
        <v>-2132</v>
      </c>
      <c r="O184" s="28">
        <v>2636</v>
      </c>
      <c r="P184" s="22">
        <f t="shared" si="11"/>
        <v>1025</v>
      </c>
      <c r="Q184" s="36"/>
      <c r="R184" s="30"/>
      <c r="S184" s="69"/>
      <c r="T184" s="70"/>
      <c r="U184" s="71"/>
      <c r="V184" s="71"/>
      <c r="W184" s="72"/>
      <c r="X184" s="71"/>
      <c r="Y184" s="71"/>
      <c r="Z184" s="71"/>
      <c r="AA184" s="71"/>
    </row>
    <row r="185" spans="1:27" ht="22.5" customHeight="1" outlineLevel="1" x14ac:dyDescent="0.2">
      <c r="A185" s="62">
        <v>45815</v>
      </c>
      <c r="B185" s="22" t="e">
        <f t="shared" si="1"/>
        <v>#REF!</v>
      </c>
      <c r="C185" s="28">
        <f t="shared" si="6"/>
        <v>527</v>
      </c>
      <c r="D185" s="24">
        <v>-2776</v>
      </c>
      <c r="E185" s="28">
        <v>3303</v>
      </c>
      <c r="F185" s="22">
        <f t="shared" si="7"/>
        <v>1023</v>
      </c>
      <c r="G185" s="22" t="e">
        <f t="shared" si="2"/>
        <v>#REF!</v>
      </c>
      <c r="H185" s="28">
        <f t="shared" si="8"/>
        <v>307</v>
      </c>
      <c r="I185" s="24">
        <v>-2202</v>
      </c>
      <c r="J185" s="28">
        <v>2509</v>
      </c>
      <c r="K185" s="22">
        <f t="shared" si="9"/>
        <v>1246</v>
      </c>
      <c r="L185" s="22" t="e">
        <f t="shared" si="3"/>
        <v>#REF!</v>
      </c>
      <c r="M185" s="28">
        <f t="shared" si="10"/>
        <v>504</v>
      </c>
      <c r="N185" s="24">
        <v>-2132</v>
      </c>
      <c r="O185" s="28">
        <v>2636</v>
      </c>
      <c r="P185" s="22">
        <f t="shared" si="11"/>
        <v>1025</v>
      </c>
      <c r="Q185" s="36"/>
      <c r="R185" s="30"/>
      <c r="S185" s="69"/>
      <c r="T185" s="70"/>
      <c r="U185" s="71"/>
      <c r="V185" s="71"/>
      <c r="W185" s="72"/>
      <c r="X185" s="71"/>
      <c r="Y185" s="71"/>
      <c r="Z185" s="71"/>
      <c r="AA185" s="71"/>
    </row>
    <row r="186" spans="1:27" ht="22.5" customHeight="1" outlineLevel="1" x14ac:dyDescent="0.2">
      <c r="A186" s="62">
        <v>45816</v>
      </c>
      <c r="B186" s="22" t="e">
        <f t="shared" si="1"/>
        <v>#REF!</v>
      </c>
      <c r="C186" s="28">
        <f t="shared" si="6"/>
        <v>527</v>
      </c>
      <c r="D186" s="24">
        <v>-2776</v>
      </c>
      <c r="E186" s="28">
        <v>3303</v>
      </c>
      <c r="F186" s="22">
        <f t="shared" si="7"/>
        <v>1023</v>
      </c>
      <c r="G186" s="22" t="e">
        <f t="shared" si="2"/>
        <v>#REF!</v>
      </c>
      <c r="H186" s="28">
        <f t="shared" si="8"/>
        <v>307</v>
      </c>
      <c r="I186" s="24">
        <v>-2202</v>
      </c>
      <c r="J186" s="28">
        <v>2509</v>
      </c>
      <c r="K186" s="22">
        <f t="shared" si="9"/>
        <v>1246</v>
      </c>
      <c r="L186" s="22" t="e">
        <f t="shared" si="3"/>
        <v>#REF!</v>
      </c>
      <c r="M186" s="28">
        <f t="shared" si="10"/>
        <v>504</v>
      </c>
      <c r="N186" s="24">
        <v>-2132</v>
      </c>
      <c r="O186" s="28">
        <v>2636</v>
      </c>
      <c r="P186" s="22">
        <f t="shared" si="11"/>
        <v>1025</v>
      </c>
      <c r="Q186" s="36"/>
      <c r="R186" s="30"/>
      <c r="S186" s="69"/>
      <c r="T186" s="70"/>
      <c r="U186" s="71"/>
      <c r="V186" s="71"/>
      <c r="W186" s="72"/>
      <c r="X186" s="71"/>
      <c r="Y186" s="71"/>
      <c r="Z186" s="71"/>
      <c r="AA186" s="71"/>
    </row>
    <row r="187" spans="1:27" ht="22.5" customHeight="1" outlineLevel="1" x14ac:dyDescent="0.2">
      <c r="A187" s="62">
        <v>45817</v>
      </c>
      <c r="B187" s="22" t="e">
        <f t="shared" si="1"/>
        <v>#REF!</v>
      </c>
      <c r="C187" s="28">
        <f t="shared" si="6"/>
        <v>527</v>
      </c>
      <c r="D187" s="24">
        <v>-2776</v>
      </c>
      <c r="E187" s="28">
        <v>3303</v>
      </c>
      <c r="F187" s="22">
        <f t="shared" si="7"/>
        <v>1023</v>
      </c>
      <c r="G187" s="22" t="e">
        <f t="shared" si="2"/>
        <v>#REF!</v>
      </c>
      <c r="H187" s="28">
        <f t="shared" si="8"/>
        <v>307</v>
      </c>
      <c r="I187" s="24">
        <v>-2202</v>
      </c>
      <c r="J187" s="28">
        <v>2509</v>
      </c>
      <c r="K187" s="22">
        <f t="shared" si="9"/>
        <v>1246</v>
      </c>
      <c r="L187" s="22" t="e">
        <f t="shared" si="3"/>
        <v>#REF!</v>
      </c>
      <c r="M187" s="28">
        <f t="shared" si="10"/>
        <v>504</v>
      </c>
      <c r="N187" s="24">
        <v>-2132</v>
      </c>
      <c r="O187" s="28">
        <v>2636</v>
      </c>
      <c r="P187" s="22">
        <f t="shared" si="11"/>
        <v>1025</v>
      </c>
      <c r="Q187" s="36"/>
      <c r="R187" s="30"/>
      <c r="S187" s="69"/>
      <c r="T187" s="70"/>
      <c r="U187" s="71"/>
      <c r="V187" s="71"/>
      <c r="W187" s="72"/>
      <c r="X187" s="71"/>
      <c r="Y187" s="71"/>
      <c r="Z187" s="71"/>
      <c r="AA187" s="71"/>
    </row>
    <row r="188" spans="1:27" ht="22.5" customHeight="1" outlineLevel="1" x14ac:dyDescent="0.2">
      <c r="A188" s="62">
        <v>45818</v>
      </c>
      <c r="B188" s="22" t="e">
        <f t="shared" si="1"/>
        <v>#REF!</v>
      </c>
      <c r="C188" s="28">
        <f t="shared" si="6"/>
        <v>527</v>
      </c>
      <c r="D188" s="24">
        <v>-2776</v>
      </c>
      <c r="E188" s="28">
        <v>3303</v>
      </c>
      <c r="F188" s="22">
        <f t="shared" si="7"/>
        <v>1023</v>
      </c>
      <c r="G188" s="22" t="e">
        <f t="shared" si="2"/>
        <v>#REF!</v>
      </c>
      <c r="H188" s="28">
        <f t="shared" si="8"/>
        <v>307</v>
      </c>
      <c r="I188" s="24">
        <v>-2202</v>
      </c>
      <c r="J188" s="28">
        <v>2509</v>
      </c>
      <c r="K188" s="22">
        <f t="shared" si="9"/>
        <v>1246</v>
      </c>
      <c r="L188" s="22" t="e">
        <f t="shared" si="3"/>
        <v>#REF!</v>
      </c>
      <c r="M188" s="28">
        <f t="shared" si="10"/>
        <v>504</v>
      </c>
      <c r="N188" s="24">
        <v>-2132</v>
      </c>
      <c r="O188" s="28">
        <v>2636</v>
      </c>
      <c r="P188" s="22">
        <f t="shared" si="11"/>
        <v>1025</v>
      </c>
      <c r="Q188" s="36"/>
      <c r="R188" s="30"/>
      <c r="S188" s="69"/>
      <c r="T188" s="70"/>
      <c r="U188" s="71"/>
      <c r="V188" s="71"/>
      <c r="W188" s="72"/>
      <c r="X188" s="71"/>
      <c r="Y188" s="71"/>
      <c r="Z188" s="71"/>
      <c r="AA188" s="71"/>
    </row>
    <row r="189" spans="1:27" ht="22.5" customHeight="1" outlineLevel="1" x14ac:dyDescent="0.2">
      <c r="A189" s="62">
        <v>45819</v>
      </c>
      <c r="B189" s="22" t="e">
        <f t="shared" si="1"/>
        <v>#REF!</v>
      </c>
      <c r="C189" s="28">
        <f t="shared" si="6"/>
        <v>527</v>
      </c>
      <c r="D189" s="24">
        <v>-2776</v>
      </c>
      <c r="E189" s="28">
        <v>3303</v>
      </c>
      <c r="F189" s="22">
        <f t="shared" si="7"/>
        <v>1023</v>
      </c>
      <c r="G189" s="22" t="e">
        <f t="shared" si="2"/>
        <v>#REF!</v>
      </c>
      <c r="H189" s="28">
        <f t="shared" si="8"/>
        <v>307</v>
      </c>
      <c r="I189" s="24">
        <v>-2202</v>
      </c>
      <c r="J189" s="28">
        <v>2509</v>
      </c>
      <c r="K189" s="22">
        <f t="shared" si="9"/>
        <v>1246</v>
      </c>
      <c r="L189" s="22" t="e">
        <f t="shared" si="3"/>
        <v>#REF!</v>
      </c>
      <c r="M189" s="28">
        <f t="shared" si="10"/>
        <v>504</v>
      </c>
      <c r="N189" s="24">
        <v>-2132</v>
      </c>
      <c r="O189" s="28">
        <v>2636</v>
      </c>
      <c r="P189" s="22">
        <f t="shared" si="11"/>
        <v>1025</v>
      </c>
      <c r="Q189" s="36"/>
      <c r="R189" s="30"/>
      <c r="S189" s="69"/>
      <c r="T189" s="70"/>
      <c r="U189" s="71"/>
      <c r="V189" s="71"/>
      <c r="W189" s="72"/>
      <c r="X189" s="71"/>
      <c r="Y189" s="71"/>
      <c r="Z189" s="71"/>
      <c r="AA189" s="71"/>
    </row>
    <row r="190" spans="1:27" ht="22.5" customHeight="1" outlineLevel="1" x14ac:dyDescent="0.2">
      <c r="A190" s="62">
        <v>45820</v>
      </c>
      <c r="B190" s="22" t="e">
        <f t="shared" si="1"/>
        <v>#REF!</v>
      </c>
      <c r="C190" s="28">
        <f t="shared" si="6"/>
        <v>527</v>
      </c>
      <c r="D190" s="24">
        <v>-2776</v>
      </c>
      <c r="E190" s="28">
        <v>3303</v>
      </c>
      <c r="F190" s="22">
        <f t="shared" si="7"/>
        <v>1023</v>
      </c>
      <c r="G190" s="22" t="e">
        <f t="shared" si="2"/>
        <v>#REF!</v>
      </c>
      <c r="H190" s="28">
        <f t="shared" si="8"/>
        <v>307</v>
      </c>
      <c r="I190" s="24">
        <v>-2202</v>
      </c>
      <c r="J190" s="28">
        <v>2509</v>
      </c>
      <c r="K190" s="22">
        <f t="shared" si="9"/>
        <v>1246</v>
      </c>
      <c r="L190" s="22" t="e">
        <f t="shared" si="3"/>
        <v>#REF!</v>
      </c>
      <c r="M190" s="28">
        <f t="shared" si="10"/>
        <v>504</v>
      </c>
      <c r="N190" s="24">
        <v>-2132</v>
      </c>
      <c r="O190" s="28">
        <v>2636</v>
      </c>
      <c r="P190" s="22">
        <f t="shared" si="11"/>
        <v>1025</v>
      </c>
      <c r="Q190" s="36"/>
      <c r="R190" s="30"/>
      <c r="S190" s="69"/>
      <c r="T190" s="70"/>
      <c r="U190" s="71"/>
      <c r="V190" s="71"/>
      <c r="W190" s="72"/>
      <c r="X190" s="71"/>
      <c r="Y190" s="71"/>
      <c r="Z190" s="71"/>
      <c r="AA190" s="71"/>
    </row>
    <row r="191" spans="1:27" ht="22.5" customHeight="1" outlineLevel="1" x14ac:dyDescent="0.2">
      <c r="A191" s="62">
        <v>45821</v>
      </c>
      <c r="B191" s="22" t="e">
        <f t="shared" si="1"/>
        <v>#REF!</v>
      </c>
      <c r="C191" s="28">
        <f t="shared" si="6"/>
        <v>527</v>
      </c>
      <c r="D191" s="24">
        <v>-2776</v>
      </c>
      <c r="E191" s="28">
        <v>3303</v>
      </c>
      <c r="F191" s="22">
        <f t="shared" si="7"/>
        <v>1023</v>
      </c>
      <c r="G191" s="22" t="e">
        <f t="shared" si="2"/>
        <v>#REF!</v>
      </c>
      <c r="H191" s="28">
        <f t="shared" si="8"/>
        <v>307</v>
      </c>
      <c r="I191" s="24">
        <v>-2202</v>
      </c>
      <c r="J191" s="28">
        <v>2509</v>
      </c>
      <c r="K191" s="22">
        <f t="shared" si="9"/>
        <v>1246</v>
      </c>
      <c r="L191" s="22" t="e">
        <f t="shared" si="3"/>
        <v>#REF!</v>
      </c>
      <c r="M191" s="28">
        <f t="shared" si="10"/>
        <v>504</v>
      </c>
      <c r="N191" s="24">
        <v>-2132</v>
      </c>
      <c r="O191" s="28">
        <v>2636</v>
      </c>
      <c r="P191" s="22">
        <f t="shared" si="11"/>
        <v>1025</v>
      </c>
      <c r="Q191" s="36"/>
      <c r="R191" s="30"/>
      <c r="S191" s="69"/>
      <c r="T191" s="70"/>
      <c r="U191" s="71"/>
      <c r="V191" s="71"/>
      <c r="W191" s="72"/>
      <c r="X191" s="71"/>
      <c r="Y191" s="71"/>
      <c r="Z191" s="71"/>
      <c r="AA191" s="71"/>
    </row>
    <row r="192" spans="1:27" ht="22.5" customHeight="1" outlineLevel="1" x14ac:dyDescent="0.2">
      <c r="A192" s="62">
        <v>45822</v>
      </c>
      <c r="B192" s="22" t="e">
        <f t="shared" si="1"/>
        <v>#REF!</v>
      </c>
      <c r="C192" s="28">
        <f t="shared" si="6"/>
        <v>527</v>
      </c>
      <c r="D192" s="24">
        <v>-2776</v>
      </c>
      <c r="E192" s="28">
        <v>3303</v>
      </c>
      <c r="F192" s="22">
        <f t="shared" si="7"/>
        <v>1023</v>
      </c>
      <c r="G192" s="22" t="e">
        <f t="shared" si="2"/>
        <v>#REF!</v>
      </c>
      <c r="H192" s="28">
        <f t="shared" si="8"/>
        <v>307</v>
      </c>
      <c r="I192" s="24">
        <v>-2202</v>
      </c>
      <c r="J192" s="28">
        <v>2509</v>
      </c>
      <c r="K192" s="22">
        <f t="shared" si="9"/>
        <v>1246</v>
      </c>
      <c r="L192" s="22" t="e">
        <f t="shared" si="3"/>
        <v>#REF!</v>
      </c>
      <c r="M192" s="28">
        <f t="shared" si="10"/>
        <v>504</v>
      </c>
      <c r="N192" s="24">
        <v>-2132</v>
      </c>
      <c r="O192" s="28">
        <v>2636</v>
      </c>
      <c r="P192" s="22">
        <f t="shared" si="11"/>
        <v>1025</v>
      </c>
      <c r="Q192" s="36"/>
      <c r="R192" s="30"/>
      <c r="S192" s="69"/>
      <c r="T192" s="70"/>
      <c r="U192" s="71"/>
      <c r="V192" s="71"/>
      <c r="W192" s="72"/>
      <c r="X192" s="71"/>
      <c r="Y192" s="71"/>
      <c r="Z192" s="71"/>
      <c r="AA192" s="71"/>
    </row>
    <row r="193" spans="1:27" ht="22.5" customHeight="1" outlineLevel="1" x14ac:dyDescent="0.2">
      <c r="A193" s="62">
        <v>45823</v>
      </c>
      <c r="B193" s="22" t="e">
        <f t="shared" si="1"/>
        <v>#REF!</v>
      </c>
      <c r="C193" s="28">
        <f t="shared" si="6"/>
        <v>527</v>
      </c>
      <c r="D193" s="24">
        <v>-2776</v>
      </c>
      <c r="E193" s="28">
        <v>3303</v>
      </c>
      <c r="F193" s="22">
        <f t="shared" si="7"/>
        <v>1023</v>
      </c>
      <c r="G193" s="22" t="e">
        <f t="shared" si="2"/>
        <v>#REF!</v>
      </c>
      <c r="H193" s="28">
        <f t="shared" si="8"/>
        <v>307</v>
      </c>
      <c r="I193" s="24">
        <v>-2202</v>
      </c>
      <c r="J193" s="28">
        <v>2509</v>
      </c>
      <c r="K193" s="22">
        <f t="shared" si="9"/>
        <v>1246</v>
      </c>
      <c r="L193" s="22" t="e">
        <f t="shared" si="3"/>
        <v>#REF!</v>
      </c>
      <c r="M193" s="28">
        <f t="shared" si="10"/>
        <v>504</v>
      </c>
      <c r="N193" s="24">
        <v>-2132</v>
      </c>
      <c r="O193" s="28">
        <v>2636</v>
      </c>
      <c r="P193" s="22">
        <f t="shared" si="11"/>
        <v>1025</v>
      </c>
      <c r="Q193" s="36"/>
      <c r="R193" s="30"/>
      <c r="S193" s="69"/>
      <c r="T193" s="70"/>
      <c r="U193" s="71"/>
      <c r="V193" s="71"/>
      <c r="W193" s="72"/>
      <c r="X193" s="71"/>
      <c r="Y193" s="71"/>
      <c r="Z193" s="71"/>
      <c r="AA193" s="71"/>
    </row>
    <row r="194" spans="1:27" ht="22.5" customHeight="1" outlineLevel="1" x14ac:dyDescent="0.2">
      <c r="A194" s="62">
        <v>45824</v>
      </c>
      <c r="B194" s="22" t="e">
        <f t="shared" si="1"/>
        <v>#REF!</v>
      </c>
      <c r="C194" s="28">
        <f t="shared" si="6"/>
        <v>527</v>
      </c>
      <c r="D194" s="24">
        <v>-2776</v>
      </c>
      <c r="E194" s="28">
        <v>3303</v>
      </c>
      <c r="F194" s="22">
        <f t="shared" si="7"/>
        <v>1023</v>
      </c>
      <c r="G194" s="22" t="e">
        <f t="shared" si="2"/>
        <v>#REF!</v>
      </c>
      <c r="H194" s="28">
        <f t="shared" si="8"/>
        <v>307</v>
      </c>
      <c r="I194" s="24">
        <v>-2202</v>
      </c>
      <c r="J194" s="28">
        <v>2509</v>
      </c>
      <c r="K194" s="22">
        <f t="shared" si="9"/>
        <v>1246</v>
      </c>
      <c r="L194" s="22" t="e">
        <f t="shared" si="3"/>
        <v>#REF!</v>
      </c>
      <c r="M194" s="28">
        <f t="shared" si="10"/>
        <v>504</v>
      </c>
      <c r="N194" s="24">
        <v>-2132</v>
      </c>
      <c r="O194" s="28">
        <v>2636</v>
      </c>
      <c r="P194" s="22">
        <f t="shared" si="11"/>
        <v>1025</v>
      </c>
      <c r="Q194" s="36"/>
      <c r="R194" s="30"/>
      <c r="S194" s="69"/>
      <c r="T194" s="70"/>
      <c r="U194" s="71"/>
      <c r="V194" s="71"/>
      <c r="W194" s="72"/>
      <c r="X194" s="71"/>
      <c r="Y194" s="71"/>
      <c r="Z194" s="71"/>
      <c r="AA194" s="71"/>
    </row>
    <row r="195" spans="1:27" ht="22.5" customHeight="1" outlineLevel="1" x14ac:dyDescent="0.2">
      <c r="A195" s="62">
        <v>45825</v>
      </c>
      <c r="B195" s="22" t="e">
        <f t="shared" si="1"/>
        <v>#REF!</v>
      </c>
      <c r="C195" s="28">
        <f t="shared" si="6"/>
        <v>527</v>
      </c>
      <c r="D195" s="24">
        <v>-2776</v>
      </c>
      <c r="E195" s="28">
        <v>3303</v>
      </c>
      <c r="F195" s="22">
        <f t="shared" si="7"/>
        <v>1023</v>
      </c>
      <c r="G195" s="22" t="e">
        <f t="shared" si="2"/>
        <v>#REF!</v>
      </c>
      <c r="H195" s="28">
        <f t="shared" si="8"/>
        <v>307</v>
      </c>
      <c r="I195" s="24">
        <v>-2202</v>
      </c>
      <c r="J195" s="28">
        <v>2509</v>
      </c>
      <c r="K195" s="22">
        <f t="shared" si="9"/>
        <v>1246</v>
      </c>
      <c r="L195" s="22" t="e">
        <f t="shared" si="3"/>
        <v>#REF!</v>
      </c>
      <c r="M195" s="28">
        <f t="shared" si="10"/>
        <v>504</v>
      </c>
      <c r="N195" s="24">
        <v>-2132</v>
      </c>
      <c r="O195" s="28">
        <v>2636</v>
      </c>
      <c r="P195" s="22">
        <f t="shared" si="11"/>
        <v>1025</v>
      </c>
      <c r="Q195" s="36"/>
      <c r="R195" s="30"/>
      <c r="S195" s="69"/>
      <c r="T195" s="70"/>
      <c r="U195" s="71"/>
      <c r="V195" s="71"/>
      <c r="W195" s="72"/>
      <c r="X195" s="71"/>
      <c r="Y195" s="71"/>
      <c r="Z195" s="71"/>
      <c r="AA195" s="71"/>
    </row>
    <row r="196" spans="1:27" ht="22.5" customHeight="1" outlineLevel="1" x14ac:dyDescent="0.2">
      <c r="A196" s="62">
        <v>45826</v>
      </c>
      <c r="B196" s="22" t="e">
        <f t="shared" si="1"/>
        <v>#REF!</v>
      </c>
      <c r="C196" s="28">
        <f t="shared" si="6"/>
        <v>527</v>
      </c>
      <c r="D196" s="24">
        <v>-2776</v>
      </c>
      <c r="E196" s="28">
        <v>3303</v>
      </c>
      <c r="F196" s="22">
        <f t="shared" si="7"/>
        <v>1023</v>
      </c>
      <c r="G196" s="22" t="e">
        <f t="shared" si="2"/>
        <v>#REF!</v>
      </c>
      <c r="H196" s="28">
        <f t="shared" si="8"/>
        <v>307</v>
      </c>
      <c r="I196" s="24">
        <v>-2202</v>
      </c>
      <c r="J196" s="28">
        <v>2509</v>
      </c>
      <c r="K196" s="22">
        <f t="shared" si="9"/>
        <v>1246</v>
      </c>
      <c r="L196" s="22" t="e">
        <f t="shared" si="3"/>
        <v>#REF!</v>
      </c>
      <c r="M196" s="28">
        <f t="shared" si="10"/>
        <v>504</v>
      </c>
      <c r="N196" s="24">
        <v>-2132</v>
      </c>
      <c r="O196" s="28">
        <v>2636</v>
      </c>
      <c r="P196" s="22">
        <f t="shared" si="11"/>
        <v>1025</v>
      </c>
      <c r="Q196" s="36"/>
      <c r="R196" s="30"/>
      <c r="S196" s="69"/>
      <c r="T196" s="70"/>
      <c r="U196" s="71"/>
      <c r="V196" s="71"/>
      <c r="W196" s="72"/>
      <c r="X196" s="71"/>
      <c r="Y196" s="71"/>
      <c r="Z196" s="71"/>
      <c r="AA196" s="71"/>
    </row>
    <row r="197" spans="1:27" ht="22.5" customHeight="1" outlineLevel="1" x14ac:dyDescent="0.2">
      <c r="A197" s="62">
        <v>45827</v>
      </c>
      <c r="B197" s="22" t="e">
        <f t="shared" si="1"/>
        <v>#REF!</v>
      </c>
      <c r="C197" s="28">
        <f t="shared" si="6"/>
        <v>527</v>
      </c>
      <c r="D197" s="24">
        <v>-2776</v>
      </c>
      <c r="E197" s="28">
        <v>3303</v>
      </c>
      <c r="F197" s="22">
        <f t="shared" si="7"/>
        <v>1023</v>
      </c>
      <c r="G197" s="22" t="e">
        <f t="shared" si="2"/>
        <v>#REF!</v>
      </c>
      <c r="H197" s="28">
        <f t="shared" si="8"/>
        <v>307</v>
      </c>
      <c r="I197" s="24">
        <v>-2202</v>
      </c>
      <c r="J197" s="28">
        <v>2509</v>
      </c>
      <c r="K197" s="22">
        <f t="shared" si="9"/>
        <v>1246</v>
      </c>
      <c r="L197" s="22" t="e">
        <f t="shared" si="3"/>
        <v>#REF!</v>
      </c>
      <c r="M197" s="28">
        <f t="shared" si="10"/>
        <v>504</v>
      </c>
      <c r="N197" s="24">
        <v>-2132</v>
      </c>
      <c r="O197" s="28">
        <v>2636</v>
      </c>
      <c r="P197" s="22">
        <f t="shared" si="11"/>
        <v>1025</v>
      </c>
      <c r="Q197" s="36"/>
      <c r="R197" s="30"/>
      <c r="S197" s="69"/>
      <c r="T197" s="70"/>
      <c r="U197" s="71"/>
      <c r="V197" s="71"/>
      <c r="W197" s="72"/>
      <c r="X197" s="71"/>
      <c r="Y197" s="71"/>
      <c r="Z197" s="71"/>
      <c r="AA197" s="71"/>
    </row>
    <row r="198" spans="1:27" ht="22.5" customHeight="1" outlineLevel="1" x14ac:dyDescent="0.2">
      <c r="A198" s="62">
        <v>45828</v>
      </c>
      <c r="B198" s="22" t="e">
        <f t="shared" si="1"/>
        <v>#REF!</v>
      </c>
      <c r="C198" s="28">
        <f t="shared" si="6"/>
        <v>527</v>
      </c>
      <c r="D198" s="24">
        <v>-2776</v>
      </c>
      <c r="E198" s="28">
        <v>3303</v>
      </c>
      <c r="F198" s="22">
        <f t="shared" si="7"/>
        <v>1023</v>
      </c>
      <c r="G198" s="22" t="e">
        <f t="shared" si="2"/>
        <v>#REF!</v>
      </c>
      <c r="H198" s="28">
        <f t="shared" si="8"/>
        <v>307</v>
      </c>
      <c r="I198" s="24">
        <v>-2202</v>
      </c>
      <c r="J198" s="28">
        <v>2509</v>
      </c>
      <c r="K198" s="22">
        <f t="shared" si="9"/>
        <v>1246</v>
      </c>
      <c r="L198" s="22" t="e">
        <f t="shared" si="3"/>
        <v>#REF!</v>
      </c>
      <c r="M198" s="28">
        <f t="shared" si="10"/>
        <v>504</v>
      </c>
      <c r="N198" s="24">
        <v>-2132</v>
      </c>
      <c r="O198" s="28">
        <v>2636</v>
      </c>
      <c r="P198" s="22">
        <f t="shared" si="11"/>
        <v>1025</v>
      </c>
      <c r="Q198" s="36"/>
      <c r="R198" s="30"/>
      <c r="S198" s="69"/>
      <c r="T198" s="70"/>
      <c r="U198" s="71"/>
      <c r="V198" s="71"/>
      <c r="W198" s="72"/>
      <c r="X198" s="71"/>
      <c r="Y198" s="71"/>
      <c r="Z198" s="71"/>
      <c r="AA198" s="71"/>
    </row>
    <row r="199" spans="1:27" ht="22.5" customHeight="1" outlineLevel="1" x14ac:dyDescent="0.2">
      <c r="A199" s="62">
        <v>45829</v>
      </c>
      <c r="B199" s="22" t="e">
        <f t="shared" si="1"/>
        <v>#REF!</v>
      </c>
      <c r="C199" s="28">
        <f t="shared" si="6"/>
        <v>527</v>
      </c>
      <c r="D199" s="24">
        <v>-2776</v>
      </c>
      <c r="E199" s="28">
        <v>3303</v>
      </c>
      <c r="F199" s="22">
        <f t="shared" si="7"/>
        <v>1023</v>
      </c>
      <c r="G199" s="22" t="e">
        <f t="shared" si="2"/>
        <v>#REF!</v>
      </c>
      <c r="H199" s="28">
        <f t="shared" si="8"/>
        <v>307</v>
      </c>
      <c r="I199" s="24">
        <v>-2202</v>
      </c>
      <c r="J199" s="28">
        <v>2509</v>
      </c>
      <c r="K199" s="22">
        <f t="shared" si="9"/>
        <v>1246</v>
      </c>
      <c r="L199" s="22" t="e">
        <f t="shared" si="3"/>
        <v>#REF!</v>
      </c>
      <c r="M199" s="28">
        <f t="shared" si="10"/>
        <v>504</v>
      </c>
      <c r="N199" s="24">
        <v>-2132</v>
      </c>
      <c r="O199" s="28">
        <v>2636</v>
      </c>
      <c r="P199" s="22">
        <f t="shared" si="11"/>
        <v>1025</v>
      </c>
      <c r="Q199" s="36"/>
      <c r="R199" s="30"/>
      <c r="S199" s="69"/>
      <c r="T199" s="70"/>
      <c r="U199" s="71"/>
      <c r="V199" s="71"/>
      <c r="W199" s="72"/>
      <c r="X199" s="71"/>
      <c r="Y199" s="71"/>
      <c r="Z199" s="71"/>
      <c r="AA199" s="71"/>
    </row>
    <row r="200" spans="1:27" ht="22.5" customHeight="1" outlineLevel="1" x14ac:dyDescent="0.2">
      <c r="A200" s="62">
        <v>45830</v>
      </c>
      <c r="B200" s="22" t="e">
        <f t="shared" si="1"/>
        <v>#REF!</v>
      </c>
      <c r="C200" s="28">
        <f t="shared" si="6"/>
        <v>525</v>
      </c>
      <c r="D200" s="24">
        <v>-2778</v>
      </c>
      <c r="E200" s="28">
        <v>3303</v>
      </c>
      <c r="F200" s="22">
        <f t="shared" si="7"/>
        <v>1025</v>
      </c>
      <c r="G200" s="22" t="e">
        <f t="shared" si="2"/>
        <v>#REF!</v>
      </c>
      <c r="H200" s="28">
        <f t="shared" si="8"/>
        <v>306</v>
      </c>
      <c r="I200" s="24">
        <v>-2203</v>
      </c>
      <c r="J200" s="28">
        <v>2509</v>
      </c>
      <c r="K200" s="22">
        <f t="shared" si="9"/>
        <v>1247</v>
      </c>
      <c r="L200" s="22" t="e">
        <f t="shared" si="3"/>
        <v>#REF!</v>
      </c>
      <c r="M200" s="28">
        <f t="shared" si="10"/>
        <v>502</v>
      </c>
      <c r="N200" s="24">
        <v>-2134</v>
      </c>
      <c r="O200" s="28">
        <v>2636</v>
      </c>
      <c r="P200" s="22">
        <f t="shared" si="11"/>
        <v>1027</v>
      </c>
      <c r="Q200" s="36"/>
      <c r="R200" s="30"/>
      <c r="S200" s="69"/>
      <c r="T200" s="70"/>
      <c r="U200" s="71"/>
      <c r="V200" s="71"/>
      <c r="W200" s="72"/>
      <c r="X200" s="71"/>
      <c r="Y200" s="71"/>
      <c r="Z200" s="71"/>
      <c r="AA200" s="71"/>
    </row>
    <row r="201" spans="1:27" ht="22.5" customHeight="1" outlineLevel="1" x14ac:dyDescent="0.2">
      <c r="A201" s="62">
        <v>45831</v>
      </c>
      <c r="B201" s="22" t="e">
        <f t="shared" si="1"/>
        <v>#REF!</v>
      </c>
      <c r="C201" s="28">
        <f t="shared" si="6"/>
        <v>522</v>
      </c>
      <c r="D201" s="24">
        <v>-2781</v>
      </c>
      <c r="E201" s="28">
        <v>3303</v>
      </c>
      <c r="F201" s="22">
        <f t="shared" si="7"/>
        <v>1028</v>
      </c>
      <c r="G201" s="22" t="e">
        <f t="shared" si="2"/>
        <v>#REF!</v>
      </c>
      <c r="H201" s="28">
        <f t="shared" si="8"/>
        <v>303</v>
      </c>
      <c r="I201" s="24">
        <v>-2206</v>
      </c>
      <c r="J201" s="28">
        <v>2509</v>
      </c>
      <c r="K201" s="22">
        <f t="shared" si="9"/>
        <v>1250</v>
      </c>
      <c r="L201" s="22" t="e">
        <f t="shared" si="3"/>
        <v>#REF!</v>
      </c>
      <c r="M201" s="28">
        <f t="shared" si="10"/>
        <v>500</v>
      </c>
      <c r="N201" s="24">
        <v>-2136</v>
      </c>
      <c r="O201" s="28">
        <v>2636</v>
      </c>
      <c r="P201" s="22">
        <f t="shared" si="11"/>
        <v>1029</v>
      </c>
      <c r="Q201" s="36"/>
      <c r="R201" s="30"/>
      <c r="S201" s="69"/>
      <c r="T201" s="70"/>
      <c r="U201" s="71"/>
      <c r="V201" s="71"/>
      <c r="W201" s="72"/>
      <c r="X201" s="71"/>
      <c r="Y201" s="71"/>
      <c r="Z201" s="71"/>
      <c r="AA201" s="71"/>
    </row>
    <row r="202" spans="1:27" ht="22.5" customHeight="1" outlineLevel="1" x14ac:dyDescent="0.2">
      <c r="A202" s="62">
        <v>45832</v>
      </c>
      <c r="B202" s="22" t="e">
        <f t="shared" si="1"/>
        <v>#REF!</v>
      </c>
      <c r="C202" s="28">
        <f t="shared" si="6"/>
        <v>519</v>
      </c>
      <c r="D202" s="24">
        <v>-2784</v>
      </c>
      <c r="E202" s="28">
        <v>3303</v>
      </c>
      <c r="F202" s="22">
        <f t="shared" si="7"/>
        <v>1031</v>
      </c>
      <c r="G202" s="22" t="e">
        <f t="shared" si="2"/>
        <v>#REF!</v>
      </c>
      <c r="H202" s="28">
        <f t="shared" si="8"/>
        <v>300</v>
      </c>
      <c r="I202" s="24">
        <v>-2209</v>
      </c>
      <c r="J202" s="28">
        <v>2509</v>
      </c>
      <c r="K202" s="22">
        <f t="shared" si="9"/>
        <v>1253</v>
      </c>
      <c r="L202" s="22" t="e">
        <f t="shared" si="3"/>
        <v>#REF!</v>
      </c>
      <c r="M202" s="28">
        <f t="shared" si="10"/>
        <v>498</v>
      </c>
      <c r="N202" s="24">
        <v>-2138</v>
      </c>
      <c r="O202" s="28">
        <v>2636</v>
      </c>
      <c r="P202" s="22">
        <f t="shared" si="11"/>
        <v>1031</v>
      </c>
      <c r="Q202" s="36"/>
      <c r="R202" s="30"/>
      <c r="S202" s="69"/>
      <c r="T202" s="70"/>
      <c r="U202" s="71"/>
      <c r="V202" s="71"/>
      <c r="W202" s="72"/>
      <c r="X202" s="71"/>
      <c r="Y202" s="71"/>
      <c r="Z202" s="71"/>
      <c r="AA202" s="71"/>
    </row>
    <row r="203" spans="1:27" ht="22.5" customHeight="1" outlineLevel="1" x14ac:dyDescent="0.2">
      <c r="A203" s="62">
        <v>45833</v>
      </c>
      <c r="B203" s="22" t="e">
        <f t="shared" si="1"/>
        <v>#REF!</v>
      </c>
      <c r="C203" s="28">
        <f t="shared" si="6"/>
        <v>516</v>
      </c>
      <c r="D203" s="24">
        <v>-2787</v>
      </c>
      <c r="E203" s="28">
        <v>3303</v>
      </c>
      <c r="F203" s="22">
        <f t="shared" si="7"/>
        <v>1034</v>
      </c>
      <c r="G203" s="22" t="e">
        <f t="shared" si="2"/>
        <v>#REF!</v>
      </c>
      <c r="H203" s="28">
        <f t="shared" si="8"/>
        <v>297</v>
      </c>
      <c r="I203" s="24">
        <v>-2212</v>
      </c>
      <c r="J203" s="28">
        <v>2509</v>
      </c>
      <c r="K203" s="22">
        <f t="shared" si="9"/>
        <v>1256</v>
      </c>
      <c r="L203" s="22" t="e">
        <f t="shared" si="3"/>
        <v>#REF!</v>
      </c>
      <c r="M203" s="28">
        <f t="shared" si="10"/>
        <v>496</v>
      </c>
      <c r="N203" s="24">
        <v>-2140</v>
      </c>
      <c r="O203" s="28">
        <v>2636</v>
      </c>
      <c r="P203" s="22">
        <f t="shared" si="11"/>
        <v>1033</v>
      </c>
      <c r="Q203" s="36"/>
      <c r="R203" s="30"/>
      <c r="S203" s="69"/>
      <c r="T203" s="70"/>
      <c r="U203" s="71"/>
      <c r="V203" s="71"/>
      <c r="W203" s="72"/>
      <c r="X203" s="71"/>
      <c r="Y203" s="71"/>
      <c r="Z203" s="71"/>
      <c r="AA203" s="71"/>
    </row>
    <row r="204" spans="1:27" ht="22.5" customHeight="1" outlineLevel="1" x14ac:dyDescent="0.2">
      <c r="A204" s="62">
        <v>45834</v>
      </c>
      <c r="B204" s="22" t="e">
        <f t="shared" si="1"/>
        <v>#REF!</v>
      </c>
      <c r="C204" s="28">
        <f t="shared" si="6"/>
        <v>513</v>
      </c>
      <c r="D204" s="24">
        <v>-2790</v>
      </c>
      <c r="E204" s="28">
        <v>3303</v>
      </c>
      <c r="F204" s="22">
        <f t="shared" si="7"/>
        <v>1037</v>
      </c>
      <c r="G204" s="22" t="e">
        <f t="shared" si="2"/>
        <v>#REF!</v>
      </c>
      <c r="H204" s="28">
        <f t="shared" si="8"/>
        <v>294</v>
      </c>
      <c r="I204" s="24">
        <v>-2215</v>
      </c>
      <c r="J204" s="28">
        <v>2509</v>
      </c>
      <c r="K204" s="22">
        <f t="shared" si="9"/>
        <v>1259</v>
      </c>
      <c r="L204" s="22" t="e">
        <f t="shared" si="3"/>
        <v>#REF!</v>
      </c>
      <c r="M204" s="28">
        <f t="shared" si="10"/>
        <v>494</v>
      </c>
      <c r="N204" s="24">
        <v>-2142</v>
      </c>
      <c r="O204" s="28">
        <v>2636</v>
      </c>
      <c r="P204" s="22">
        <f t="shared" si="11"/>
        <v>1035</v>
      </c>
      <c r="Q204" s="36"/>
      <c r="R204" s="30"/>
      <c r="S204" s="69"/>
      <c r="T204" s="70"/>
      <c r="U204" s="71"/>
      <c r="V204" s="71"/>
      <c r="W204" s="72"/>
      <c r="X204" s="71"/>
      <c r="Y204" s="71"/>
      <c r="Z204" s="71"/>
      <c r="AA204" s="71"/>
    </row>
    <row r="205" spans="1:27" ht="22.5" customHeight="1" outlineLevel="1" x14ac:dyDescent="0.2">
      <c r="A205" s="62">
        <v>45835</v>
      </c>
      <c r="B205" s="22" t="e">
        <f t="shared" si="1"/>
        <v>#REF!</v>
      </c>
      <c r="C205" s="25">
        <v>1392</v>
      </c>
      <c r="D205" s="24">
        <v>-2793</v>
      </c>
      <c r="E205" s="28">
        <v>3303</v>
      </c>
      <c r="F205" s="22">
        <f t="shared" si="7"/>
        <v>1040</v>
      </c>
      <c r="G205" s="22" t="e">
        <f t="shared" si="2"/>
        <v>#REF!</v>
      </c>
      <c r="H205" s="25">
        <v>1407</v>
      </c>
      <c r="I205" s="24">
        <v>-2218</v>
      </c>
      <c r="J205" s="28">
        <v>2509</v>
      </c>
      <c r="K205" s="22">
        <f t="shared" si="9"/>
        <v>1262</v>
      </c>
      <c r="L205" s="22" t="e">
        <f t="shared" si="3"/>
        <v>#REF!</v>
      </c>
      <c r="M205" s="25">
        <v>1332</v>
      </c>
      <c r="N205" s="24">
        <v>-2144</v>
      </c>
      <c r="O205" s="28">
        <v>2636</v>
      </c>
      <c r="P205" s="22">
        <f t="shared" si="11"/>
        <v>1037</v>
      </c>
      <c r="Q205" s="36"/>
      <c r="R205" s="30"/>
      <c r="S205" s="69"/>
      <c r="T205" s="70"/>
      <c r="U205" s="71"/>
      <c r="V205" s="71"/>
      <c r="W205" s="72"/>
      <c r="X205" s="71"/>
      <c r="Y205" s="71"/>
      <c r="Z205" s="71"/>
      <c r="AA205" s="71"/>
    </row>
    <row r="206" spans="1:27" ht="22.5" customHeight="1" outlineLevel="1" x14ac:dyDescent="0.2">
      <c r="A206" s="62"/>
      <c r="B206" s="22"/>
      <c r="C206" s="28"/>
      <c r="D206" s="24"/>
      <c r="E206" s="28"/>
      <c r="F206" s="22"/>
      <c r="G206" s="22"/>
      <c r="H206" s="28"/>
      <c r="I206" s="24"/>
      <c r="J206" s="28"/>
      <c r="K206" s="22"/>
      <c r="L206" s="22"/>
      <c r="M206" s="28"/>
      <c r="N206" s="24"/>
      <c r="O206" s="28"/>
      <c r="P206" s="22"/>
      <c r="Q206" s="36"/>
      <c r="R206" s="30"/>
      <c r="S206" s="69"/>
      <c r="T206" s="70"/>
      <c r="U206" s="71"/>
      <c r="V206" s="71"/>
      <c r="W206" s="72"/>
      <c r="X206" s="71"/>
      <c r="Y206" s="71"/>
      <c r="Z206" s="71"/>
      <c r="AA206" s="71"/>
    </row>
    <row r="207" spans="1:27" ht="22.5" customHeight="1" outlineLevel="1" x14ac:dyDescent="0.2">
      <c r="A207" s="62"/>
      <c r="B207" s="22"/>
      <c r="C207" s="28"/>
      <c r="D207" s="24"/>
      <c r="E207" s="28"/>
      <c r="F207" s="22"/>
      <c r="G207" s="22"/>
      <c r="H207" s="28"/>
      <c r="I207" s="24"/>
      <c r="J207" s="28"/>
      <c r="K207" s="22"/>
      <c r="L207" s="22"/>
      <c r="M207" s="28"/>
      <c r="N207" s="24"/>
      <c r="O207" s="28"/>
      <c r="P207" s="22"/>
      <c r="Q207" s="36"/>
      <c r="R207" s="30"/>
      <c r="S207" s="69"/>
      <c r="T207" s="70"/>
      <c r="U207" s="71"/>
      <c r="V207" s="71"/>
      <c r="W207" s="72"/>
      <c r="X207" s="71"/>
      <c r="Y207" s="71"/>
      <c r="Z207" s="71"/>
      <c r="AA207" s="71"/>
    </row>
    <row r="208" spans="1:27" ht="22.5" customHeight="1" outlineLevel="1" x14ac:dyDescent="0.2">
      <c r="A208" s="77"/>
      <c r="B208" s="52"/>
      <c r="C208" s="78"/>
      <c r="D208" s="79"/>
      <c r="E208" s="78"/>
      <c r="F208" s="52"/>
      <c r="G208" s="52"/>
      <c r="H208" s="78"/>
      <c r="I208" s="79"/>
      <c r="J208" s="78"/>
      <c r="K208" s="52"/>
      <c r="L208" s="52"/>
      <c r="M208" s="78"/>
      <c r="N208" s="79"/>
      <c r="O208" s="78"/>
      <c r="P208" s="52"/>
      <c r="Q208" s="57"/>
      <c r="R208" s="58"/>
      <c r="S208" s="69"/>
      <c r="T208" s="70"/>
      <c r="U208" s="71"/>
      <c r="V208" s="71"/>
      <c r="W208" s="72"/>
      <c r="X208" s="71"/>
      <c r="Y208" s="71"/>
      <c r="Z208" s="71"/>
      <c r="AA208" s="71"/>
    </row>
    <row r="209" spans="1:27" ht="22.5" customHeight="1" outlineLevel="1" x14ac:dyDescent="0.2">
      <c r="A209" s="77"/>
      <c r="B209" s="52"/>
      <c r="C209" s="78"/>
      <c r="D209" s="79"/>
      <c r="E209" s="78"/>
      <c r="F209" s="52"/>
      <c r="G209" s="52"/>
      <c r="H209" s="78"/>
      <c r="I209" s="79"/>
      <c r="J209" s="78"/>
      <c r="K209" s="52"/>
      <c r="L209" s="52"/>
      <c r="M209" s="78"/>
      <c r="N209" s="79"/>
      <c r="O209" s="78"/>
      <c r="P209" s="52"/>
      <c r="Q209" s="57"/>
      <c r="R209" s="58"/>
      <c r="S209" s="69"/>
      <c r="T209" s="70"/>
      <c r="U209" s="71"/>
      <c r="V209" s="71"/>
      <c r="W209" s="72"/>
      <c r="X209" s="71"/>
      <c r="Y209" s="71"/>
      <c r="Z209" s="71"/>
      <c r="AA209" s="71"/>
    </row>
    <row r="210" spans="1:27" ht="22.5" customHeight="1" outlineLevel="1" x14ac:dyDescent="0.2">
      <c r="A210" s="77"/>
      <c r="B210" s="52"/>
      <c r="C210" s="78"/>
      <c r="D210" s="79"/>
      <c r="E210" s="78"/>
      <c r="F210" s="52"/>
      <c r="G210" s="52"/>
      <c r="H210" s="78"/>
      <c r="I210" s="79"/>
      <c r="J210" s="78"/>
      <c r="K210" s="52"/>
      <c r="L210" s="52"/>
      <c r="M210" s="78"/>
      <c r="N210" s="79"/>
      <c r="O210" s="78"/>
      <c r="P210" s="52"/>
      <c r="Q210" s="57"/>
      <c r="R210" s="58"/>
      <c r="S210" s="69"/>
      <c r="T210" s="70"/>
      <c r="U210" s="71"/>
      <c r="V210" s="71"/>
      <c r="W210" s="72"/>
      <c r="X210" s="71"/>
      <c r="Y210" s="71"/>
      <c r="Z210" s="71"/>
      <c r="AA210" s="71"/>
    </row>
    <row r="211" spans="1:27" ht="11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59"/>
      <c r="U211" s="2"/>
      <c r="V211" s="2"/>
      <c r="W211" s="2"/>
      <c r="X211" s="2"/>
      <c r="Y211" s="2"/>
      <c r="Z211" s="2"/>
      <c r="AA211" s="2"/>
    </row>
    <row r="212" spans="1:27" ht="11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59"/>
      <c r="U212" s="2"/>
      <c r="V212" s="2"/>
      <c r="W212" s="2"/>
      <c r="X212" s="2"/>
      <c r="Y212" s="2"/>
      <c r="Z212" s="2"/>
      <c r="AA212" s="2"/>
    </row>
    <row r="213" spans="1:27" ht="11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59"/>
      <c r="U213" s="2"/>
      <c r="V213" s="2"/>
      <c r="W213" s="2"/>
      <c r="X213" s="2"/>
      <c r="Y213" s="2"/>
      <c r="Z213" s="2"/>
      <c r="AA213" s="2"/>
    </row>
    <row r="214" spans="1:27" ht="11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59"/>
      <c r="U214" s="2"/>
      <c r="V214" s="2"/>
      <c r="W214" s="2"/>
      <c r="X214" s="2"/>
      <c r="Y214" s="2"/>
      <c r="Z214" s="2"/>
      <c r="AA214" s="2"/>
    </row>
    <row r="215" spans="1:27" ht="11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59"/>
      <c r="U215" s="2"/>
      <c r="V215" s="2"/>
      <c r="W215" s="2"/>
      <c r="X215" s="2"/>
      <c r="Y215" s="2"/>
      <c r="Z215" s="2"/>
      <c r="AA215" s="2"/>
    </row>
    <row r="216" spans="1:27" ht="11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59"/>
      <c r="U216" s="2"/>
      <c r="V216" s="2"/>
      <c r="W216" s="2"/>
      <c r="X216" s="2"/>
      <c r="Y216" s="2"/>
      <c r="Z216" s="2"/>
      <c r="AA216" s="2"/>
    </row>
    <row r="217" spans="1:27" ht="11.25" customHeight="1" x14ac:dyDescent="0.2">
      <c r="A217" s="161"/>
      <c r="B217" s="128"/>
      <c r="C217" s="161"/>
      <c r="D217" s="128"/>
      <c r="E217" s="128"/>
      <c r="F217" s="128"/>
      <c r="G217" s="128"/>
      <c r="H217" s="128"/>
      <c r="I217" s="128"/>
      <c r="J217" s="161"/>
      <c r="K217" s="128"/>
      <c r="L217" s="162"/>
      <c r="M217" s="128"/>
      <c r="N217" s="128"/>
      <c r="O217" s="128"/>
      <c r="P217" s="128"/>
      <c r="Q217" s="128"/>
      <c r="R217" s="128"/>
      <c r="S217" s="2"/>
      <c r="T217" s="59"/>
      <c r="U217" s="2"/>
      <c r="V217" s="2"/>
      <c r="W217" s="2"/>
      <c r="X217" s="2"/>
      <c r="Y217" s="2"/>
      <c r="Z217" s="2"/>
      <c r="AA217" s="2"/>
    </row>
    <row r="218" spans="1:27" ht="11.25" customHeight="1" x14ac:dyDescent="0.2">
      <c r="A218" s="164"/>
      <c r="B218" s="128"/>
      <c r="C218" s="163"/>
      <c r="D218" s="128"/>
      <c r="E218" s="128"/>
      <c r="F218" s="128"/>
      <c r="G218" s="128"/>
      <c r="H218" s="128"/>
      <c r="I218" s="128"/>
      <c r="J218" s="164"/>
      <c r="K218" s="128"/>
      <c r="L218" s="162"/>
      <c r="M218" s="128"/>
      <c r="N218" s="128"/>
      <c r="O218" s="128"/>
      <c r="P218" s="128"/>
      <c r="Q218" s="128"/>
      <c r="R218" s="128"/>
      <c r="S218" s="2"/>
      <c r="T218" s="59"/>
      <c r="U218" s="2"/>
      <c r="V218" s="2"/>
      <c r="W218" s="2"/>
      <c r="X218" s="2"/>
      <c r="Y218" s="2"/>
      <c r="Z218" s="2"/>
      <c r="AA218" s="2"/>
    </row>
    <row r="219" spans="1:27" ht="11.25" customHeight="1" x14ac:dyDescent="0.2">
      <c r="A219" s="164"/>
      <c r="B219" s="128"/>
      <c r="C219" s="163"/>
      <c r="D219" s="128"/>
      <c r="E219" s="128"/>
      <c r="F219" s="128"/>
      <c r="G219" s="128"/>
      <c r="H219" s="128"/>
      <c r="I219" s="128"/>
      <c r="J219" s="164"/>
      <c r="K219" s="128"/>
      <c r="L219" s="162"/>
      <c r="M219" s="128"/>
      <c r="N219" s="128"/>
      <c r="O219" s="128"/>
      <c r="P219" s="128"/>
      <c r="Q219" s="128"/>
      <c r="R219" s="128"/>
      <c r="S219" s="2"/>
      <c r="T219" s="59"/>
      <c r="U219" s="2"/>
      <c r="V219" s="2"/>
      <c r="W219" s="2"/>
      <c r="X219" s="2"/>
      <c r="Y219" s="2"/>
      <c r="Z219" s="2"/>
      <c r="AA219" s="2"/>
    </row>
    <row r="220" spans="1:27" ht="11.25" customHeight="1" x14ac:dyDescent="0.2">
      <c r="A220" s="164"/>
      <c r="B220" s="128"/>
      <c r="C220" s="163"/>
      <c r="D220" s="128"/>
      <c r="E220" s="128"/>
      <c r="F220" s="128"/>
      <c r="G220" s="128"/>
      <c r="H220" s="128"/>
      <c r="I220" s="128"/>
      <c r="J220" s="164"/>
      <c r="K220" s="128"/>
      <c r="L220" s="162"/>
      <c r="M220" s="128"/>
      <c r="N220" s="128"/>
      <c r="O220" s="128"/>
      <c r="P220" s="128"/>
      <c r="Q220" s="128"/>
      <c r="R220" s="128"/>
      <c r="S220" s="2"/>
      <c r="T220" s="59"/>
      <c r="U220" s="2"/>
      <c r="V220" s="2"/>
      <c r="W220" s="2"/>
      <c r="X220" s="2"/>
      <c r="Y220" s="2"/>
      <c r="Z220" s="2"/>
      <c r="AA220" s="2"/>
    </row>
    <row r="221" spans="1:27" ht="11.25" customHeight="1" x14ac:dyDescent="0.2">
      <c r="A221" s="164"/>
      <c r="B221" s="128"/>
      <c r="C221" s="163"/>
      <c r="D221" s="128"/>
      <c r="E221" s="128"/>
      <c r="F221" s="128"/>
      <c r="G221" s="128"/>
      <c r="H221" s="128"/>
      <c r="I221" s="128"/>
      <c r="J221" s="164"/>
      <c r="K221" s="128"/>
      <c r="L221" s="162"/>
      <c r="M221" s="128"/>
      <c r="N221" s="128"/>
      <c r="O221" s="128"/>
      <c r="P221" s="128"/>
      <c r="Q221" s="128"/>
      <c r="R221" s="128"/>
      <c r="S221" s="2"/>
      <c r="T221" s="59"/>
      <c r="U221" s="2"/>
      <c r="V221" s="2"/>
      <c r="W221" s="2"/>
      <c r="X221" s="2"/>
      <c r="Y221" s="2"/>
      <c r="Z221" s="2"/>
      <c r="AA221" s="2"/>
    </row>
    <row r="222" spans="1:27" ht="11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59"/>
      <c r="U222" s="2"/>
      <c r="V222" s="2"/>
      <c r="W222" s="2"/>
      <c r="X222" s="2"/>
      <c r="Y222" s="2"/>
      <c r="Z222" s="2"/>
      <c r="AA222" s="2"/>
    </row>
    <row r="223" spans="1:27" ht="11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59"/>
      <c r="U223" s="2"/>
      <c r="V223" s="2"/>
      <c r="W223" s="2"/>
      <c r="X223" s="2"/>
      <c r="Y223" s="2"/>
      <c r="Z223" s="2"/>
      <c r="AA223" s="2"/>
    </row>
    <row r="224" spans="1:27" ht="11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59"/>
      <c r="U224" s="2"/>
      <c r="V224" s="2"/>
      <c r="W224" s="2"/>
      <c r="X224" s="2"/>
      <c r="Y224" s="2"/>
      <c r="Z224" s="2"/>
      <c r="AA224" s="2"/>
    </row>
    <row r="225" spans="1:27" ht="11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59"/>
      <c r="U225" s="2"/>
      <c r="V225" s="2"/>
      <c r="W225" s="2"/>
      <c r="X225" s="2"/>
      <c r="Y225" s="2"/>
      <c r="Z225" s="2"/>
      <c r="AA225" s="2"/>
    </row>
    <row r="226" spans="1:27" ht="11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59"/>
      <c r="U226" s="2"/>
      <c r="V226" s="2"/>
      <c r="W226" s="2"/>
      <c r="X226" s="2"/>
      <c r="Y226" s="2"/>
      <c r="Z226" s="2"/>
      <c r="AA226" s="2"/>
    </row>
    <row r="227" spans="1:27" ht="11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59"/>
      <c r="U227" s="2"/>
      <c r="V227" s="2"/>
      <c r="W227" s="2"/>
      <c r="X227" s="2"/>
      <c r="Y227" s="2"/>
      <c r="Z227" s="2"/>
      <c r="AA227" s="2"/>
    </row>
    <row r="228" spans="1:27" ht="11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59"/>
      <c r="U228" s="2"/>
      <c r="V228" s="2"/>
      <c r="W228" s="2"/>
      <c r="X228" s="2"/>
      <c r="Y228" s="2"/>
      <c r="Z228" s="2"/>
      <c r="AA228" s="2"/>
    </row>
    <row r="229" spans="1:27" ht="11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59"/>
      <c r="U229" s="2"/>
      <c r="V229" s="2"/>
      <c r="W229" s="2"/>
      <c r="X229" s="2"/>
      <c r="Y229" s="2"/>
      <c r="Z229" s="2"/>
      <c r="AA229" s="2"/>
    </row>
    <row r="230" spans="1:27" ht="11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59"/>
      <c r="U230" s="2"/>
      <c r="V230" s="2"/>
      <c r="W230" s="2"/>
      <c r="X230" s="2"/>
      <c r="Y230" s="2"/>
      <c r="Z230" s="2"/>
      <c r="AA230" s="2"/>
    </row>
    <row r="231" spans="1:27" ht="11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59"/>
      <c r="U231" s="2"/>
      <c r="V231" s="2"/>
      <c r="W231" s="2"/>
      <c r="X231" s="2"/>
      <c r="Y231" s="2"/>
      <c r="Z231" s="2"/>
      <c r="AA231" s="2"/>
    </row>
    <row r="232" spans="1:27" ht="11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59"/>
      <c r="U232" s="2"/>
      <c r="V232" s="2"/>
      <c r="W232" s="2"/>
      <c r="X232" s="2"/>
      <c r="Y232" s="2"/>
      <c r="Z232" s="2"/>
      <c r="AA232" s="2"/>
    </row>
    <row r="233" spans="1:27" ht="11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59"/>
      <c r="U233" s="2"/>
      <c r="V233" s="2"/>
      <c r="W233" s="2"/>
      <c r="X233" s="2"/>
      <c r="Y233" s="2"/>
      <c r="Z233" s="2"/>
      <c r="AA233" s="2"/>
    </row>
    <row r="234" spans="1:27" ht="11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59"/>
      <c r="U234" s="2"/>
      <c r="V234" s="2"/>
      <c r="W234" s="2"/>
      <c r="X234" s="2"/>
      <c r="Y234" s="2"/>
      <c r="Z234" s="2"/>
      <c r="AA234" s="2"/>
    </row>
    <row r="235" spans="1:27" ht="11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59"/>
      <c r="U235" s="2"/>
      <c r="V235" s="2"/>
      <c r="W235" s="2"/>
      <c r="X235" s="2"/>
      <c r="Y235" s="2"/>
      <c r="Z235" s="2"/>
      <c r="AA235" s="2"/>
    </row>
    <row r="236" spans="1:27" ht="11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59"/>
      <c r="U236" s="2"/>
      <c r="V236" s="2"/>
      <c r="W236" s="2"/>
      <c r="X236" s="2"/>
      <c r="Y236" s="2"/>
      <c r="Z236" s="2"/>
      <c r="AA236" s="2"/>
    </row>
    <row r="237" spans="1:27" ht="11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59"/>
      <c r="U237" s="2"/>
      <c r="V237" s="2"/>
      <c r="W237" s="2"/>
      <c r="X237" s="2"/>
      <c r="Y237" s="2"/>
      <c r="Z237" s="2"/>
      <c r="AA237" s="2"/>
    </row>
    <row r="238" spans="1:27" ht="11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59"/>
      <c r="U238" s="2"/>
      <c r="V238" s="2"/>
      <c r="W238" s="2"/>
      <c r="X238" s="2"/>
      <c r="Y238" s="2"/>
      <c r="Z238" s="2"/>
      <c r="AA238" s="2"/>
    </row>
    <row r="239" spans="1:27" ht="11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59"/>
      <c r="U239" s="2"/>
      <c r="V239" s="2"/>
      <c r="W239" s="2"/>
      <c r="X239" s="2"/>
      <c r="Y239" s="2"/>
      <c r="Z239" s="2"/>
      <c r="AA239" s="2"/>
    </row>
    <row r="240" spans="1:27" ht="11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59"/>
      <c r="U240" s="2"/>
      <c r="V240" s="2"/>
      <c r="W240" s="2"/>
      <c r="X240" s="2"/>
      <c r="Y240" s="2"/>
      <c r="Z240" s="2"/>
      <c r="AA240" s="2"/>
    </row>
    <row r="241" spans="1:27" ht="11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59"/>
      <c r="U241" s="2"/>
      <c r="V241" s="2"/>
      <c r="W241" s="2"/>
      <c r="X241" s="2"/>
      <c r="Y241" s="2"/>
      <c r="Z241" s="2"/>
      <c r="AA241" s="2"/>
    </row>
    <row r="242" spans="1:27" ht="11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59"/>
      <c r="U242" s="2"/>
      <c r="V242" s="2"/>
      <c r="W242" s="2"/>
      <c r="X242" s="2"/>
      <c r="Y242" s="2"/>
      <c r="Z242" s="2"/>
      <c r="AA242" s="2"/>
    </row>
    <row r="243" spans="1:27" ht="11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59"/>
      <c r="U243" s="2"/>
      <c r="V243" s="2"/>
      <c r="W243" s="2"/>
      <c r="X243" s="2"/>
      <c r="Y243" s="2"/>
      <c r="Z243" s="2"/>
      <c r="AA243" s="2"/>
    </row>
    <row r="244" spans="1:27" ht="11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59"/>
      <c r="U244" s="2"/>
      <c r="V244" s="2"/>
      <c r="W244" s="2"/>
      <c r="X244" s="2"/>
      <c r="Y244" s="2"/>
      <c r="Z244" s="2"/>
      <c r="AA244" s="2"/>
    </row>
    <row r="245" spans="1:27" ht="11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59"/>
      <c r="U245" s="2"/>
      <c r="V245" s="2"/>
      <c r="W245" s="2"/>
      <c r="X245" s="2"/>
      <c r="Y245" s="2"/>
      <c r="Z245" s="2"/>
      <c r="AA245" s="2"/>
    </row>
    <row r="246" spans="1:27" ht="11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59"/>
      <c r="U246" s="2"/>
      <c r="V246" s="2"/>
      <c r="W246" s="2"/>
      <c r="X246" s="2"/>
      <c r="Y246" s="2"/>
      <c r="Z246" s="2"/>
      <c r="AA246" s="2"/>
    </row>
    <row r="247" spans="1:27" ht="11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59"/>
      <c r="U247" s="2"/>
      <c r="V247" s="2"/>
      <c r="W247" s="2"/>
      <c r="X247" s="2"/>
      <c r="Y247" s="2"/>
      <c r="Z247" s="2"/>
      <c r="AA247" s="2"/>
    </row>
    <row r="248" spans="1:27" ht="11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59"/>
      <c r="U248" s="2"/>
      <c r="V248" s="2"/>
      <c r="W248" s="2"/>
      <c r="X248" s="2"/>
      <c r="Y248" s="2"/>
      <c r="Z248" s="2"/>
      <c r="AA248" s="2"/>
    </row>
    <row r="249" spans="1:27" ht="11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59"/>
      <c r="U249" s="2"/>
      <c r="V249" s="2"/>
      <c r="W249" s="2"/>
      <c r="X249" s="2"/>
      <c r="Y249" s="2"/>
      <c r="Z249" s="2"/>
      <c r="AA249" s="2"/>
    </row>
    <row r="250" spans="1:27" ht="11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59"/>
      <c r="U250" s="2"/>
      <c r="V250" s="2"/>
      <c r="W250" s="2"/>
      <c r="X250" s="2"/>
      <c r="Y250" s="2"/>
      <c r="Z250" s="2"/>
      <c r="AA250" s="2"/>
    </row>
    <row r="251" spans="1:27" ht="11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59"/>
      <c r="U251" s="2"/>
      <c r="V251" s="2"/>
      <c r="W251" s="2"/>
      <c r="X251" s="2"/>
      <c r="Y251" s="2"/>
      <c r="Z251" s="2"/>
      <c r="AA251" s="2"/>
    </row>
    <row r="252" spans="1:27" ht="11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59"/>
      <c r="U252" s="2"/>
      <c r="V252" s="2"/>
      <c r="W252" s="2"/>
      <c r="X252" s="2"/>
      <c r="Y252" s="2"/>
      <c r="Z252" s="2"/>
      <c r="AA252" s="2"/>
    </row>
    <row r="253" spans="1:27" ht="11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59"/>
      <c r="U253" s="2"/>
      <c r="V253" s="2"/>
      <c r="W253" s="2"/>
      <c r="X253" s="2"/>
      <c r="Y253" s="2"/>
      <c r="Z253" s="2"/>
      <c r="AA253" s="2"/>
    </row>
    <row r="254" spans="1:27" ht="11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59"/>
      <c r="U254" s="2"/>
      <c r="V254" s="2"/>
      <c r="W254" s="2"/>
      <c r="X254" s="2"/>
      <c r="Y254" s="2"/>
      <c r="Z254" s="2"/>
      <c r="AA254" s="2"/>
    </row>
    <row r="255" spans="1:27" ht="11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59"/>
      <c r="U255" s="2"/>
      <c r="V255" s="2"/>
      <c r="W255" s="2"/>
      <c r="X255" s="2"/>
      <c r="Y255" s="2"/>
      <c r="Z255" s="2"/>
      <c r="AA255" s="2"/>
    </row>
    <row r="256" spans="1:27" ht="11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59"/>
      <c r="U256" s="2"/>
      <c r="V256" s="2"/>
      <c r="W256" s="2"/>
      <c r="X256" s="2"/>
      <c r="Y256" s="2"/>
      <c r="Z256" s="2"/>
      <c r="AA256" s="2"/>
    </row>
    <row r="257" spans="1:27" ht="11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59"/>
      <c r="U257" s="2"/>
      <c r="V257" s="2"/>
      <c r="W257" s="2"/>
      <c r="X257" s="2"/>
      <c r="Y257" s="2"/>
      <c r="Z257" s="2"/>
      <c r="AA257" s="2"/>
    </row>
    <row r="258" spans="1:27" ht="11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59"/>
      <c r="U258" s="2"/>
      <c r="V258" s="2"/>
      <c r="W258" s="2"/>
      <c r="X258" s="2"/>
      <c r="Y258" s="2"/>
      <c r="Z258" s="2"/>
      <c r="AA258" s="2"/>
    </row>
    <row r="259" spans="1:27" ht="11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59"/>
      <c r="U259" s="2"/>
      <c r="V259" s="2"/>
      <c r="W259" s="2"/>
      <c r="X259" s="2"/>
      <c r="Y259" s="2"/>
      <c r="Z259" s="2"/>
      <c r="AA259" s="2"/>
    </row>
    <row r="260" spans="1:27" ht="11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59"/>
      <c r="U260" s="2"/>
      <c r="V260" s="2"/>
      <c r="W260" s="2"/>
      <c r="X260" s="2"/>
      <c r="Y260" s="2"/>
      <c r="Z260" s="2"/>
      <c r="AA260" s="2"/>
    </row>
    <row r="261" spans="1:27" ht="11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59"/>
      <c r="U261" s="2"/>
      <c r="V261" s="2"/>
      <c r="W261" s="2"/>
      <c r="X261" s="2"/>
      <c r="Y261" s="2"/>
      <c r="Z261" s="2"/>
      <c r="AA261" s="2"/>
    </row>
    <row r="262" spans="1:27" ht="11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59"/>
      <c r="U262" s="2"/>
      <c r="V262" s="2"/>
      <c r="W262" s="2"/>
      <c r="X262" s="2"/>
      <c r="Y262" s="2"/>
      <c r="Z262" s="2"/>
      <c r="AA262" s="2"/>
    </row>
    <row r="263" spans="1:27" ht="11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59"/>
      <c r="U263" s="2"/>
      <c r="V263" s="2"/>
      <c r="W263" s="2"/>
      <c r="X263" s="2"/>
      <c r="Y263" s="2"/>
      <c r="Z263" s="2"/>
      <c r="AA263" s="2"/>
    </row>
    <row r="264" spans="1:27" ht="11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59"/>
      <c r="U264" s="2"/>
      <c r="V264" s="2"/>
      <c r="W264" s="2"/>
      <c r="X264" s="2"/>
      <c r="Y264" s="2"/>
      <c r="Z264" s="2"/>
      <c r="AA264" s="2"/>
    </row>
    <row r="265" spans="1:27" ht="11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59"/>
      <c r="U265" s="2"/>
      <c r="V265" s="2"/>
      <c r="W265" s="2"/>
      <c r="X265" s="2"/>
      <c r="Y265" s="2"/>
      <c r="Z265" s="2"/>
      <c r="AA265" s="2"/>
    </row>
    <row r="266" spans="1:27" ht="11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59"/>
      <c r="U266" s="2"/>
      <c r="V266" s="2"/>
      <c r="W266" s="2"/>
      <c r="X266" s="2"/>
      <c r="Y266" s="2"/>
      <c r="Z266" s="2"/>
      <c r="AA266" s="2"/>
    </row>
    <row r="267" spans="1:27" ht="11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59"/>
      <c r="U267" s="2"/>
      <c r="V267" s="2"/>
      <c r="W267" s="2"/>
      <c r="X267" s="2"/>
      <c r="Y267" s="2"/>
      <c r="Z267" s="2"/>
      <c r="AA267" s="2"/>
    </row>
    <row r="268" spans="1:27" ht="11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59"/>
      <c r="U268" s="2"/>
      <c r="V268" s="2"/>
      <c r="W268" s="2"/>
      <c r="X268" s="2"/>
      <c r="Y268" s="2"/>
      <c r="Z268" s="2"/>
      <c r="AA268" s="2"/>
    </row>
    <row r="269" spans="1:27" ht="11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59"/>
      <c r="U269" s="2"/>
      <c r="V269" s="2"/>
      <c r="W269" s="2"/>
      <c r="X269" s="2"/>
      <c r="Y269" s="2"/>
      <c r="Z269" s="2"/>
      <c r="AA269" s="2"/>
    </row>
    <row r="270" spans="1:27" ht="11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59"/>
      <c r="U270" s="2"/>
      <c r="V270" s="2"/>
      <c r="W270" s="2"/>
      <c r="X270" s="2"/>
      <c r="Y270" s="2"/>
      <c r="Z270" s="2"/>
      <c r="AA270" s="2"/>
    </row>
    <row r="271" spans="1:27" ht="11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59"/>
      <c r="U271" s="2"/>
      <c r="V271" s="2"/>
      <c r="W271" s="2"/>
      <c r="X271" s="2"/>
      <c r="Y271" s="2"/>
      <c r="Z271" s="2"/>
      <c r="AA271" s="2"/>
    </row>
    <row r="272" spans="1:27" ht="11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59"/>
      <c r="U272" s="2"/>
      <c r="V272" s="2"/>
      <c r="W272" s="2"/>
      <c r="X272" s="2"/>
      <c r="Y272" s="2"/>
      <c r="Z272" s="2"/>
      <c r="AA272" s="2"/>
    </row>
    <row r="273" spans="1:27" ht="11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59"/>
      <c r="U273" s="2"/>
      <c r="V273" s="2"/>
      <c r="W273" s="2"/>
      <c r="X273" s="2"/>
      <c r="Y273" s="2"/>
      <c r="Z273" s="2"/>
      <c r="AA273" s="2"/>
    </row>
    <row r="274" spans="1:27" ht="11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59"/>
      <c r="U274" s="2"/>
      <c r="V274" s="2"/>
      <c r="W274" s="2"/>
      <c r="X274" s="2"/>
      <c r="Y274" s="2"/>
      <c r="Z274" s="2"/>
      <c r="AA274" s="2"/>
    </row>
    <row r="275" spans="1:27" ht="11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59"/>
      <c r="U275" s="2"/>
      <c r="V275" s="2"/>
      <c r="W275" s="2"/>
      <c r="X275" s="2"/>
      <c r="Y275" s="2"/>
      <c r="Z275" s="2"/>
      <c r="AA275" s="2"/>
    </row>
    <row r="276" spans="1:27" ht="11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59"/>
      <c r="U276" s="2"/>
      <c r="V276" s="2"/>
      <c r="W276" s="2"/>
      <c r="X276" s="2"/>
      <c r="Y276" s="2"/>
      <c r="Z276" s="2"/>
      <c r="AA276" s="2"/>
    </row>
    <row r="277" spans="1:27" ht="11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59"/>
      <c r="U277" s="2"/>
      <c r="V277" s="2"/>
      <c r="W277" s="2"/>
      <c r="X277" s="2"/>
      <c r="Y277" s="2"/>
      <c r="Z277" s="2"/>
      <c r="AA277" s="2"/>
    </row>
    <row r="278" spans="1:27" ht="11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59"/>
      <c r="U278" s="2"/>
      <c r="V278" s="2"/>
      <c r="W278" s="2"/>
      <c r="X278" s="2"/>
      <c r="Y278" s="2"/>
      <c r="Z278" s="2"/>
      <c r="AA278" s="2"/>
    </row>
    <row r="279" spans="1:27" ht="11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59"/>
      <c r="U279" s="2"/>
      <c r="V279" s="2"/>
      <c r="W279" s="2"/>
      <c r="X279" s="2"/>
      <c r="Y279" s="2"/>
      <c r="Z279" s="2"/>
      <c r="AA279" s="2"/>
    </row>
    <row r="280" spans="1:27" ht="11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59"/>
      <c r="U280" s="2"/>
      <c r="V280" s="2"/>
      <c r="W280" s="2"/>
      <c r="X280" s="2"/>
      <c r="Y280" s="2"/>
      <c r="Z280" s="2"/>
      <c r="AA280" s="2"/>
    </row>
    <row r="281" spans="1:27" ht="11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59"/>
      <c r="U281" s="2"/>
      <c r="V281" s="2"/>
      <c r="W281" s="2"/>
      <c r="X281" s="2"/>
      <c r="Y281" s="2"/>
      <c r="Z281" s="2"/>
      <c r="AA281" s="2"/>
    </row>
    <row r="282" spans="1:27" ht="11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59"/>
      <c r="U282" s="2"/>
      <c r="V282" s="2"/>
      <c r="W282" s="2"/>
      <c r="X282" s="2"/>
      <c r="Y282" s="2"/>
      <c r="Z282" s="2"/>
      <c r="AA282" s="2"/>
    </row>
    <row r="283" spans="1:27" ht="11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59"/>
      <c r="U283" s="2"/>
      <c r="V283" s="2"/>
      <c r="W283" s="2"/>
      <c r="X283" s="2"/>
      <c r="Y283" s="2"/>
      <c r="Z283" s="2"/>
      <c r="AA283" s="2"/>
    </row>
    <row r="284" spans="1:27" ht="11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59"/>
      <c r="U284" s="2"/>
      <c r="V284" s="2"/>
      <c r="W284" s="2"/>
      <c r="X284" s="2"/>
      <c r="Y284" s="2"/>
      <c r="Z284" s="2"/>
      <c r="AA284" s="2"/>
    </row>
    <row r="285" spans="1:27" ht="11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59"/>
      <c r="U285" s="2"/>
      <c r="V285" s="2"/>
      <c r="W285" s="2"/>
      <c r="X285" s="2"/>
      <c r="Y285" s="2"/>
      <c r="Z285" s="2"/>
      <c r="AA285" s="2"/>
    </row>
    <row r="286" spans="1:27" ht="11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59"/>
      <c r="U286" s="2"/>
      <c r="V286" s="2"/>
      <c r="W286" s="2"/>
      <c r="X286" s="2"/>
      <c r="Y286" s="2"/>
      <c r="Z286" s="2"/>
      <c r="AA286" s="2"/>
    </row>
    <row r="287" spans="1:27" ht="11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59"/>
      <c r="U287" s="2"/>
      <c r="V287" s="2"/>
      <c r="W287" s="2"/>
      <c r="X287" s="2"/>
      <c r="Y287" s="2"/>
      <c r="Z287" s="2"/>
      <c r="AA287" s="2"/>
    </row>
    <row r="288" spans="1:27" ht="11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59"/>
      <c r="U288" s="2"/>
      <c r="V288" s="2"/>
      <c r="W288" s="2"/>
      <c r="X288" s="2"/>
      <c r="Y288" s="2"/>
      <c r="Z288" s="2"/>
      <c r="AA288" s="2"/>
    </row>
    <row r="289" spans="1:27" ht="11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59"/>
      <c r="U289" s="2"/>
      <c r="V289" s="2"/>
      <c r="W289" s="2"/>
      <c r="X289" s="2"/>
      <c r="Y289" s="2"/>
      <c r="Z289" s="2"/>
      <c r="AA289" s="2"/>
    </row>
    <row r="290" spans="1:27" ht="11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59"/>
      <c r="U290" s="2"/>
      <c r="V290" s="2"/>
      <c r="W290" s="2"/>
      <c r="X290" s="2"/>
      <c r="Y290" s="2"/>
      <c r="Z290" s="2"/>
      <c r="AA290" s="2"/>
    </row>
    <row r="291" spans="1:27" ht="11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59"/>
      <c r="U291" s="2"/>
      <c r="V291" s="2"/>
      <c r="W291" s="2"/>
      <c r="X291" s="2"/>
      <c r="Y291" s="2"/>
      <c r="Z291" s="2"/>
      <c r="AA291" s="2"/>
    </row>
    <row r="292" spans="1:27" ht="11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59"/>
      <c r="U292" s="2"/>
      <c r="V292" s="2"/>
      <c r="W292" s="2"/>
      <c r="X292" s="2"/>
      <c r="Y292" s="2"/>
      <c r="Z292" s="2"/>
      <c r="AA292" s="2"/>
    </row>
    <row r="293" spans="1:27" ht="11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59"/>
      <c r="U293" s="2"/>
      <c r="V293" s="2"/>
      <c r="W293" s="2"/>
      <c r="X293" s="2"/>
      <c r="Y293" s="2"/>
      <c r="Z293" s="2"/>
      <c r="AA293" s="2"/>
    </row>
    <row r="294" spans="1:27" ht="11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59"/>
      <c r="U294" s="2"/>
      <c r="V294" s="2"/>
      <c r="W294" s="2"/>
      <c r="X294" s="2"/>
      <c r="Y294" s="2"/>
      <c r="Z294" s="2"/>
      <c r="AA294" s="2"/>
    </row>
    <row r="295" spans="1:27" ht="11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59"/>
      <c r="U295" s="2"/>
      <c r="V295" s="2"/>
      <c r="W295" s="2"/>
      <c r="X295" s="2"/>
      <c r="Y295" s="2"/>
      <c r="Z295" s="2"/>
      <c r="AA295" s="2"/>
    </row>
    <row r="296" spans="1:27" ht="11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59"/>
      <c r="U296" s="2"/>
      <c r="V296" s="2"/>
      <c r="W296" s="2"/>
      <c r="X296" s="2"/>
      <c r="Y296" s="2"/>
      <c r="Z296" s="2"/>
      <c r="AA296" s="2"/>
    </row>
    <row r="297" spans="1:27" ht="11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59"/>
      <c r="U297" s="2"/>
      <c r="V297" s="2"/>
      <c r="W297" s="2"/>
      <c r="X297" s="2"/>
      <c r="Y297" s="2"/>
      <c r="Z297" s="2"/>
      <c r="AA297" s="2"/>
    </row>
    <row r="298" spans="1:27" ht="11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59"/>
      <c r="U298" s="2"/>
      <c r="V298" s="2"/>
      <c r="W298" s="2"/>
      <c r="X298" s="2"/>
      <c r="Y298" s="2"/>
      <c r="Z298" s="2"/>
      <c r="AA298" s="2"/>
    </row>
    <row r="299" spans="1:27" ht="11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59"/>
      <c r="U299" s="2"/>
      <c r="V299" s="2"/>
      <c r="W299" s="2"/>
      <c r="X299" s="2"/>
      <c r="Y299" s="2"/>
      <c r="Z299" s="2"/>
      <c r="AA299" s="2"/>
    </row>
    <row r="300" spans="1:27" ht="11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59"/>
      <c r="U300" s="2"/>
      <c r="V300" s="2"/>
      <c r="W300" s="2"/>
      <c r="X300" s="2"/>
      <c r="Y300" s="2"/>
      <c r="Z300" s="2"/>
      <c r="AA300" s="2"/>
    </row>
    <row r="301" spans="1:27" ht="11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59"/>
      <c r="U301" s="2"/>
      <c r="V301" s="2"/>
      <c r="W301" s="2"/>
      <c r="X301" s="2"/>
      <c r="Y301" s="2"/>
      <c r="Z301" s="2"/>
      <c r="AA301" s="2"/>
    </row>
    <row r="302" spans="1:27" ht="11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59"/>
      <c r="U302" s="2"/>
      <c r="V302" s="2"/>
      <c r="W302" s="2"/>
      <c r="X302" s="2"/>
      <c r="Y302" s="2"/>
      <c r="Z302" s="2"/>
      <c r="AA302" s="2"/>
    </row>
    <row r="303" spans="1:27" ht="11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59"/>
      <c r="U303" s="2"/>
      <c r="V303" s="2"/>
      <c r="W303" s="2"/>
      <c r="X303" s="2"/>
      <c r="Y303" s="2"/>
      <c r="Z303" s="2"/>
      <c r="AA303" s="2"/>
    </row>
    <row r="304" spans="1:27" ht="11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59"/>
      <c r="U304" s="2"/>
      <c r="V304" s="2"/>
      <c r="W304" s="2"/>
      <c r="X304" s="2"/>
      <c r="Y304" s="2"/>
      <c r="Z304" s="2"/>
      <c r="AA304" s="2"/>
    </row>
    <row r="305" spans="1:27" ht="11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59"/>
      <c r="U305" s="2"/>
      <c r="V305" s="2"/>
      <c r="W305" s="2"/>
      <c r="X305" s="2"/>
      <c r="Y305" s="2"/>
      <c r="Z305" s="2"/>
      <c r="AA305" s="2"/>
    </row>
    <row r="306" spans="1:27" ht="11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59"/>
      <c r="U306" s="2"/>
      <c r="V306" s="2"/>
      <c r="W306" s="2"/>
      <c r="X306" s="2"/>
      <c r="Y306" s="2"/>
      <c r="Z306" s="2"/>
      <c r="AA306" s="2"/>
    </row>
    <row r="307" spans="1:27" ht="11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59"/>
      <c r="U307" s="2"/>
      <c r="V307" s="2"/>
      <c r="W307" s="2"/>
      <c r="X307" s="2"/>
      <c r="Y307" s="2"/>
      <c r="Z307" s="2"/>
      <c r="AA307" s="2"/>
    </row>
    <row r="308" spans="1:27" ht="11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59"/>
      <c r="U308" s="2"/>
      <c r="V308" s="2"/>
      <c r="W308" s="2"/>
      <c r="X308" s="2"/>
      <c r="Y308" s="2"/>
      <c r="Z308" s="2"/>
      <c r="AA308" s="2"/>
    </row>
    <row r="309" spans="1:27" ht="11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59"/>
      <c r="U309" s="2"/>
      <c r="V309" s="2"/>
      <c r="W309" s="2"/>
      <c r="X309" s="2"/>
      <c r="Y309" s="2"/>
      <c r="Z309" s="2"/>
      <c r="AA309" s="2"/>
    </row>
    <row r="310" spans="1:27" ht="11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59"/>
      <c r="U310" s="2"/>
      <c r="V310" s="2"/>
      <c r="W310" s="2"/>
      <c r="X310" s="2"/>
      <c r="Y310" s="2"/>
      <c r="Z310" s="2"/>
      <c r="AA310" s="2"/>
    </row>
    <row r="311" spans="1:27" ht="11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59"/>
      <c r="U311" s="2"/>
      <c r="V311" s="2"/>
      <c r="W311" s="2"/>
      <c r="X311" s="2"/>
      <c r="Y311" s="2"/>
      <c r="Z311" s="2"/>
      <c r="AA311" s="2"/>
    </row>
    <row r="312" spans="1:27" ht="11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59"/>
      <c r="U312" s="2"/>
      <c r="V312" s="2"/>
      <c r="W312" s="2"/>
      <c r="X312" s="2"/>
      <c r="Y312" s="2"/>
      <c r="Z312" s="2"/>
      <c r="AA312" s="2"/>
    </row>
    <row r="313" spans="1:27" ht="11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59"/>
      <c r="U313" s="2"/>
      <c r="V313" s="2"/>
      <c r="W313" s="2"/>
      <c r="X313" s="2"/>
      <c r="Y313" s="2"/>
      <c r="Z313" s="2"/>
      <c r="AA313" s="2"/>
    </row>
    <row r="314" spans="1:27" ht="11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59"/>
      <c r="U314" s="2"/>
      <c r="V314" s="2"/>
      <c r="W314" s="2"/>
      <c r="X314" s="2"/>
      <c r="Y314" s="2"/>
      <c r="Z314" s="2"/>
      <c r="AA314" s="2"/>
    </row>
    <row r="315" spans="1:27" ht="11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59"/>
      <c r="U315" s="2"/>
      <c r="V315" s="2"/>
      <c r="W315" s="2"/>
      <c r="X315" s="2"/>
      <c r="Y315" s="2"/>
      <c r="Z315" s="2"/>
      <c r="AA315" s="2"/>
    </row>
    <row r="316" spans="1:27" ht="11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59"/>
      <c r="U316" s="2"/>
      <c r="V316" s="2"/>
      <c r="W316" s="2"/>
      <c r="X316" s="2"/>
      <c r="Y316" s="2"/>
      <c r="Z316" s="2"/>
      <c r="AA316" s="2"/>
    </row>
    <row r="317" spans="1:27" ht="11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59"/>
      <c r="U317" s="2"/>
      <c r="V317" s="2"/>
      <c r="W317" s="2"/>
      <c r="X317" s="2"/>
      <c r="Y317" s="2"/>
      <c r="Z317" s="2"/>
      <c r="AA317" s="2"/>
    </row>
    <row r="318" spans="1:27" ht="11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59"/>
      <c r="U318" s="2"/>
      <c r="V318" s="2"/>
      <c r="W318" s="2"/>
      <c r="X318" s="2"/>
      <c r="Y318" s="2"/>
      <c r="Z318" s="2"/>
      <c r="AA318" s="2"/>
    </row>
    <row r="319" spans="1:27" ht="11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59"/>
      <c r="U319" s="2"/>
      <c r="V319" s="2"/>
      <c r="W319" s="2"/>
      <c r="X319" s="2"/>
      <c r="Y319" s="2"/>
      <c r="Z319" s="2"/>
      <c r="AA319" s="2"/>
    </row>
    <row r="320" spans="1:27" ht="11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59"/>
      <c r="U320" s="2"/>
      <c r="V320" s="2"/>
      <c r="W320" s="2"/>
      <c r="X320" s="2"/>
      <c r="Y320" s="2"/>
      <c r="Z320" s="2"/>
      <c r="AA320" s="2"/>
    </row>
    <row r="321" spans="1:27" ht="11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59"/>
      <c r="U321" s="2"/>
      <c r="V321" s="2"/>
      <c r="W321" s="2"/>
      <c r="X321" s="2"/>
      <c r="Y321" s="2"/>
      <c r="Z321" s="2"/>
      <c r="AA321" s="2"/>
    </row>
    <row r="322" spans="1:27" ht="11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59"/>
      <c r="U322" s="2"/>
      <c r="V322" s="2"/>
      <c r="W322" s="2"/>
      <c r="X322" s="2"/>
      <c r="Y322" s="2"/>
      <c r="Z322" s="2"/>
      <c r="AA322" s="2"/>
    </row>
    <row r="323" spans="1:27" ht="11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59"/>
      <c r="U323" s="2"/>
      <c r="V323" s="2"/>
      <c r="W323" s="2"/>
      <c r="X323" s="2"/>
      <c r="Y323" s="2"/>
      <c r="Z323" s="2"/>
      <c r="AA323" s="2"/>
    </row>
    <row r="324" spans="1:27" ht="11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59"/>
      <c r="U324" s="2"/>
      <c r="V324" s="2"/>
      <c r="W324" s="2"/>
      <c r="X324" s="2"/>
      <c r="Y324" s="2"/>
      <c r="Z324" s="2"/>
      <c r="AA324" s="2"/>
    </row>
    <row r="325" spans="1:27" ht="11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59"/>
      <c r="U325" s="2"/>
      <c r="V325" s="2"/>
      <c r="W325" s="2"/>
      <c r="X325" s="2"/>
      <c r="Y325" s="2"/>
      <c r="Z325" s="2"/>
      <c r="AA325" s="2"/>
    </row>
    <row r="326" spans="1:27" ht="11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59"/>
      <c r="U326" s="2"/>
      <c r="V326" s="2"/>
      <c r="W326" s="2"/>
      <c r="X326" s="2"/>
      <c r="Y326" s="2"/>
      <c r="Z326" s="2"/>
      <c r="AA326" s="2"/>
    </row>
    <row r="327" spans="1:27" ht="11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59"/>
      <c r="U327" s="2"/>
      <c r="V327" s="2"/>
      <c r="W327" s="2"/>
      <c r="X327" s="2"/>
      <c r="Y327" s="2"/>
      <c r="Z327" s="2"/>
      <c r="AA327" s="2"/>
    </row>
    <row r="328" spans="1:27" ht="11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59"/>
      <c r="U328" s="2"/>
      <c r="V328" s="2"/>
      <c r="W328" s="2"/>
      <c r="X328" s="2"/>
      <c r="Y328" s="2"/>
      <c r="Z328" s="2"/>
      <c r="AA328" s="2"/>
    </row>
    <row r="329" spans="1:27" ht="11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59"/>
      <c r="U329" s="2"/>
      <c r="V329" s="2"/>
      <c r="W329" s="2"/>
      <c r="X329" s="2"/>
      <c r="Y329" s="2"/>
      <c r="Z329" s="2"/>
      <c r="AA329" s="2"/>
    </row>
    <row r="330" spans="1:27" ht="11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59"/>
      <c r="U330" s="2"/>
      <c r="V330" s="2"/>
      <c r="W330" s="2"/>
      <c r="X330" s="2"/>
      <c r="Y330" s="2"/>
      <c r="Z330" s="2"/>
      <c r="AA330" s="2"/>
    </row>
    <row r="331" spans="1:27" ht="11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59"/>
      <c r="U331" s="2"/>
      <c r="V331" s="2"/>
      <c r="W331" s="2"/>
      <c r="X331" s="2"/>
      <c r="Y331" s="2"/>
      <c r="Z331" s="2"/>
      <c r="AA331" s="2"/>
    </row>
    <row r="332" spans="1:27" ht="11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59"/>
      <c r="U332" s="2"/>
      <c r="V332" s="2"/>
      <c r="W332" s="2"/>
      <c r="X332" s="2"/>
      <c r="Y332" s="2"/>
      <c r="Z332" s="2"/>
      <c r="AA332" s="2"/>
    </row>
    <row r="333" spans="1:27" ht="11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59"/>
      <c r="U333" s="2"/>
      <c r="V333" s="2"/>
      <c r="W333" s="2"/>
      <c r="X333" s="2"/>
      <c r="Y333" s="2"/>
      <c r="Z333" s="2"/>
      <c r="AA333" s="2"/>
    </row>
    <row r="334" spans="1:27" ht="11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59"/>
      <c r="U334" s="2"/>
      <c r="V334" s="2"/>
      <c r="W334" s="2"/>
      <c r="X334" s="2"/>
      <c r="Y334" s="2"/>
      <c r="Z334" s="2"/>
      <c r="AA334" s="2"/>
    </row>
    <row r="335" spans="1:27" ht="11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59"/>
      <c r="U335" s="2"/>
      <c r="V335" s="2"/>
      <c r="W335" s="2"/>
      <c r="X335" s="2"/>
      <c r="Y335" s="2"/>
      <c r="Z335" s="2"/>
      <c r="AA335" s="2"/>
    </row>
    <row r="336" spans="1:27" ht="11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59"/>
      <c r="U336" s="2"/>
      <c r="V336" s="2"/>
      <c r="W336" s="2"/>
      <c r="X336" s="2"/>
      <c r="Y336" s="2"/>
      <c r="Z336" s="2"/>
      <c r="AA336" s="2"/>
    </row>
    <row r="337" spans="1:27" ht="11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59"/>
      <c r="U337" s="2"/>
      <c r="V337" s="2"/>
      <c r="W337" s="2"/>
      <c r="X337" s="2"/>
      <c r="Y337" s="2"/>
      <c r="Z337" s="2"/>
      <c r="AA337" s="2"/>
    </row>
    <row r="338" spans="1:27" ht="11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59"/>
      <c r="U338" s="2"/>
      <c r="V338" s="2"/>
      <c r="W338" s="2"/>
      <c r="X338" s="2"/>
      <c r="Y338" s="2"/>
      <c r="Z338" s="2"/>
      <c r="AA338" s="2"/>
    </row>
    <row r="339" spans="1:27" ht="11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59"/>
      <c r="U339" s="2"/>
      <c r="V339" s="2"/>
      <c r="W339" s="2"/>
      <c r="X339" s="2"/>
      <c r="Y339" s="2"/>
      <c r="Z339" s="2"/>
      <c r="AA339" s="2"/>
    </row>
    <row r="340" spans="1:27" ht="11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59"/>
      <c r="U340" s="2"/>
      <c r="V340" s="2"/>
      <c r="W340" s="2"/>
      <c r="X340" s="2"/>
      <c r="Y340" s="2"/>
      <c r="Z340" s="2"/>
      <c r="AA340" s="2"/>
    </row>
    <row r="341" spans="1:27" ht="11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59"/>
      <c r="U341" s="2"/>
      <c r="V341" s="2"/>
      <c r="W341" s="2"/>
      <c r="X341" s="2"/>
      <c r="Y341" s="2"/>
      <c r="Z341" s="2"/>
      <c r="AA341" s="2"/>
    </row>
    <row r="342" spans="1:27" ht="11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59"/>
      <c r="U342" s="2"/>
      <c r="V342" s="2"/>
      <c r="W342" s="2"/>
      <c r="X342" s="2"/>
      <c r="Y342" s="2"/>
      <c r="Z342" s="2"/>
      <c r="AA342" s="2"/>
    </row>
    <row r="343" spans="1:27" ht="11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59"/>
      <c r="U343" s="2"/>
      <c r="V343" s="2"/>
      <c r="W343" s="2"/>
      <c r="X343" s="2"/>
      <c r="Y343" s="2"/>
      <c r="Z343" s="2"/>
      <c r="AA343" s="2"/>
    </row>
    <row r="344" spans="1:27" ht="11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59"/>
      <c r="U344" s="2"/>
      <c r="V344" s="2"/>
      <c r="W344" s="2"/>
      <c r="X344" s="2"/>
      <c r="Y344" s="2"/>
      <c r="Z344" s="2"/>
      <c r="AA344" s="2"/>
    </row>
    <row r="345" spans="1:27" ht="11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59"/>
      <c r="U345" s="2"/>
      <c r="V345" s="2"/>
      <c r="W345" s="2"/>
      <c r="X345" s="2"/>
      <c r="Y345" s="2"/>
      <c r="Z345" s="2"/>
      <c r="AA345" s="2"/>
    </row>
    <row r="346" spans="1:27" ht="11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59"/>
      <c r="U346" s="2"/>
      <c r="V346" s="2"/>
      <c r="W346" s="2"/>
      <c r="X346" s="2"/>
      <c r="Y346" s="2"/>
      <c r="Z346" s="2"/>
      <c r="AA346" s="2"/>
    </row>
    <row r="347" spans="1:27" ht="11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59"/>
      <c r="U347" s="2"/>
      <c r="V347" s="2"/>
      <c r="W347" s="2"/>
      <c r="X347" s="2"/>
      <c r="Y347" s="2"/>
      <c r="Z347" s="2"/>
      <c r="AA347" s="2"/>
    </row>
    <row r="348" spans="1:27" ht="11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59"/>
      <c r="U348" s="2"/>
      <c r="V348" s="2"/>
      <c r="W348" s="2"/>
      <c r="X348" s="2"/>
      <c r="Y348" s="2"/>
      <c r="Z348" s="2"/>
      <c r="AA348" s="2"/>
    </row>
    <row r="349" spans="1:27" ht="11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59"/>
      <c r="U349" s="2"/>
      <c r="V349" s="2"/>
      <c r="W349" s="2"/>
      <c r="X349" s="2"/>
      <c r="Y349" s="2"/>
      <c r="Z349" s="2"/>
      <c r="AA349" s="2"/>
    </row>
    <row r="350" spans="1:27" ht="11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59"/>
      <c r="U350" s="2"/>
      <c r="V350" s="2"/>
      <c r="W350" s="2"/>
      <c r="X350" s="2"/>
      <c r="Y350" s="2"/>
      <c r="Z350" s="2"/>
      <c r="AA350" s="2"/>
    </row>
    <row r="351" spans="1:27" ht="11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59"/>
      <c r="U351" s="2"/>
      <c r="V351" s="2"/>
      <c r="W351" s="2"/>
      <c r="X351" s="2"/>
      <c r="Y351" s="2"/>
      <c r="Z351" s="2"/>
      <c r="AA351" s="2"/>
    </row>
    <row r="352" spans="1:27" ht="11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59"/>
      <c r="U352" s="2"/>
      <c r="V352" s="2"/>
      <c r="W352" s="2"/>
      <c r="X352" s="2"/>
      <c r="Y352" s="2"/>
      <c r="Z352" s="2"/>
      <c r="AA352" s="2"/>
    </row>
    <row r="353" spans="1:27" ht="11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59"/>
      <c r="U353" s="2"/>
      <c r="V353" s="2"/>
      <c r="W353" s="2"/>
      <c r="X353" s="2"/>
      <c r="Y353" s="2"/>
      <c r="Z353" s="2"/>
      <c r="AA353" s="2"/>
    </row>
    <row r="354" spans="1:27" ht="11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59"/>
      <c r="U354" s="2"/>
      <c r="V354" s="2"/>
      <c r="W354" s="2"/>
      <c r="X354" s="2"/>
      <c r="Y354" s="2"/>
      <c r="Z354" s="2"/>
      <c r="AA354" s="2"/>
    </row>
    <row r="355" spans="1:27" ht="11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59"/>
      <c r="U355" s="2"/>
      <c r="V355" s="2"/>
      <c r="W355" s="2"/>
      <c r="X355" s="2"/>
      <c r="Y355" s="2"/>
      <c r="Z355" s="2"/>
      <c r="AA355" s="2"/>
    </row>
    <row r="356" spans="1:27" ht="11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59"/>
      <c r="U356" s="2"/>
      <c r="V356" s="2"/>
      <c r="W356" s="2"/>
      <c r="X356" s="2"/>
      <c r="Y356" s="2"/>
      <c r="Z356" s="2"/>
      <c r="AA356" s="2"/>
    </row>
    <row r="357" spans="1:27" ht="11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59"/>
      <c r="U357" s="2"/>
      <c r="V357" s="2"/>
      <c r="W357" s="2"/>
      <c r="X357" s="2"/>
      <c r="Y357" s="2"/>
      <c r="Z357" s="2"/>
      <c r="AA357" s="2"/>
    </row>
    <row r="358" spans="1:27" ht="11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59"/>
      <c r="U358" s="2"/>
      <c r="V358" s="2"/>
      <c r="W358" s="2"/>
      <c r="X358" s="2"/>
      <c r="Y358" s="2"/>
      <c r="Z358" s="2"/>
      <c r="AA358" s="2"/>
    </row>
    <row r="359" spans="1:27" ht="11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59"/>
      <c r="U359" s="2"/>
      <c r="V359" s="2"/>
      <c r="W359" s="2"/>
      <c r="X359" s="2"/>
      <c r="Y359" s="2"/>
      <c r="Z359" s="2"/>
      <c r="AA359" s="2"/>
    </row>
    <row r="360" spans="1:27" ht="11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59"/>
      <c r="U360" s="2"/>
      <c r="V360" s="2"/>
      <c r="W360" s="2"/>
      <c r="X360" s="2"/>
      <c r="Y360" s="2"/>
      <c r="Z360" s="2"/>
      <c r="AA360" s="2"/>
    </row>
    <row r="361" spans="1:27" ht="11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59"/>
      <c r="U361" s="2"/>
      <c r="V361" s="2"/>
      <c r="W361" s="2"/>
      <c r="X361" s="2"/>
      <c r="Y361" s="2"/>
      <c r="Z361" s="2"/>
      <c r="AA361" s="2"/>
    </row>
    <row r="362" spans="1:27" ht="11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59"/>
      <c r="U362" s="2"/>
      <c r="V362" s="2"/>
      <c r="W362" s="2"/>
      <c r="X362" s="2"/>
      <c r="Y362" s="2"/>
      <c r="Z362" s="2"/>
      <c r="AA362" s="2"/>
    </row>
    <row r="363" spans="1:27" ht="11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59"/>
      <c r="U363" s="2"/>
      <c r="V363" s="2"/>
      <c r="W363" s="2"/>
      <c r="X363" s="2"/>
      <c r="Y363" s="2"/>
      <c r="Z363" s="2"/>
      <c r="AA363" s="2"/>
    </row>
    <row r="364" spans="1:27" ht="11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59"/>
      <c r="U364" s="2"/>
      <c r="V364" s="2"/>
      <c r="W364" s="2"/>
      <c r="X364" s="2"/>
      <c r="Y364" s="2"/>
      <c r="Z364" s="2"/>
      <c r="AA364" s="2"/>
    </row>
    <row r="365" spans="1:27" ht="11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59"/>
      <c r="U365" s="2"/>
      <c r="V365" s="2"/>
      <c r="W365" s="2"/>
      <c r="X365" s="2"/>
      <c r="Y365" s="2"/>
      <c r="Z365" s="2"/>
      <c r="AA365" s="2"/>
    </row>
    <row r="366" spans="1:27" ht="11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59"/>
      <c r="U366" s="2"/>
      <c r="V366" s="2"/>
      <c r="W366" s="2"/>
      <c r="X366" s="2"/>
      <c r="Y366" s="2"/>
      <c r="Z366" s="2"/>
      <c r="AA366" s="2"/>
    </row>
    <row r="367" spans="1:27" ht="11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59"/>
      <c r="U367" s="2"/>
      <c r="V367" s="2"/>
      <c r="W367" s="2"/>
      <c r="X367" s="2"/>
      <c r="Y367" s="2"/>
      <c r="Z367" s="2"/>
      <c r="AA367" s="2"/>
    </row>
    <row r="368" spans="1:27" ht="11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59"/>
      <c r="U368" s="2"/>
      <c r="V368" s="2"/>
      <c r="W368" s="2"/>
      <c r="X368" s="2"/>
      <c r="Y368" s="2"/>
      <c r="Z368" s="2"/>
      <c r="AA368" s="2"/>
    </row>
    <row r="369" spans="1:27" ht="11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59"/>
      <c r="U369" s="2"/>
      <c r="V369" s="2"/>
      <c r="W369" s="2"/>
      <c r="X369" s="2"/>
      <c r="Y369" s="2"/>
      <c r="Z369" s="2"/>
      <c r="AA369" s="2"/>
    </row>
    <row r="370" spans="1:27" ht="11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59"/>
      <c r="U370" s="2"/>
      <c r="V370" s="2"/>
      <c r="W370" s="2"/>
      <c r="X370" s="2"/>
      <c r="Y370" s="2"/>
      <c r="Z370" s="2"/>
      <c r="AA370" s="2"/>
    </row>
    <row r="371" spans="1:27" ht="11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59"/>
      <c r="U371" s="2"/>
      <c r="V371" s="2"/>
      <c r="W371" s="2"/>
      <c r="X371" s="2"/>
      <c r="Y371" s="2"/>
      <c r="Z371" s="2"/>
      <c r="AA371" s="2"/>
    </row>
    <row r="372" spans="1:27" ht="11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59"/>
      <c r="U372" s="2"/>
      <c r="V372" s="2"/>
      <c r="W372" s="2"/>
      <c r="X372" s="2"/>
      <c r="Y372" s="2"/>
      <c r="Z372" s="2"/>
      <c r="AA372" s="2"/>
    </row>
    <row r="373" spans="1:27" ht="11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59"/>
      <c r="U373" s="2"/>
      <c r="V373" s="2"/>
      <c r="W373" s="2"/>
      <c r="X373" s="2"/>
      <c r="Y373" s="2"/>
      <c r="Z373" s="2"/>
      <c r="AA373" s="2"/>
    </row>
    <row r="374" spans="1:27" ht="11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59"/>
      <c r="U374" s="2"/>
      <c r="V374" s="2"/>
      <c r="W374" s="2"/>
      <c r="X374" s="2"/>
      <c r="Y374" s="2"/>
      <c r="Z374" s="2"/>
      <c r="AA374" s="2"/>
    </row>
    <row r="375" spans="1:27" ht="11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59"/>
      <c r="U375" s="2"/>
      <c r="V375" s="2"/>
      <c r="W375" s="2"/>
      <c r="X375" s="2"/>
      <c r="Y375" s="2"/>
      <c r="Z375" s="2"/>
      <c r="AA375" s="2"/>
    </row>
    <row r="376" spans="1:27" ht="11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59"/>
      <c r="U376" s="2"/>
      <c r="V376" s="2"/>
      <c r="W376" s="2"/>
      <c r="X376" s="2"/>
      <c r="Y376" s="2"/>
      <c r="Z376" s="2"/>
      <c r="AA376" s="2"/>
    </row>
    <row r="377" spans="1:27" ht="11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59"/>
      <c r="U377" s="2"/>
      <c r="V377" s="2"/>
      <c r="W377" s="2"/>
      <c r="X377" s="2"/>
      <c r="Y377" s="2"/>
      <c r="Z377" s="2"/>
      <c r="AA377" s="2"/>
    </row>
    <row r="378" spans="1:27" ht="11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59"/>
      <c r="U378" s="2"/>
      <c r="V378" s="2"/>
      <c r="W378" s="2"/>
      <c r="X378" s="2"/>
      <c r="Y378" s="2"/>
      <c r="Z378" s="2"/>
      <c r="AA378" s="2"/>
    </row>
    <row r="379" spans="1:27" ht="11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59"/>
      <c r="U379" s="2"/>
      <c r="V379" s="2"/>
      <c r="W379" s="2"/>
      <c r="X379" s="2"/>
      <c r="Y379" s="2"/>
      <c r="Z379" s="2"/>
      <c r="AA379" s="2"/>
    </row>
    <row r="380" spans="1:27" ht="11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59"/>
      <c r="U380" s="2"/>
      <c r="V380" s="2"/>
      <c r="W380" s="2"/>
      <c r="X380" s="2"/>
      <c r="Y380" s="2"/>
      <c r="Z380" s="2"/>
      <c r="AA380" s="2"/>
    </row>
    <row r="381" spans="1:27" ht="11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59"/>
      <c r="U381" s="2"/>
      <c r="V381" s="2"/>
      <c r="W381" s="2"/>
      <c r="X381" s="2"/>
      <c r="Y381" s="2"/>
      <c r="Z381" s="2"/>
      <c r="AA381" s="2"/>
    </row>
    <row r="382" spans="1:27" ht="11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59"/>
      <c r="U382" s="2"/>
      <c r="V382" s="2"/>
      <c r="W382" s="2"/>
      <c r="X382" s="2"/>
      <c r="Y382" s="2"/>
      <c r="Z382" s="2"/>
      <c r="AA382" s="2"/>
    </row>
    <row r="383" spans="1:27" ht="11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59"/>
      <c r="U383" s="2"/>
      <c r="V383" s="2"/>
      <c r="W383" s="2"/>
      <c r="X383" s="2"/>
      <c r="Y383" s="2"/>
      <c r="Z383" s="2"/>
      <c r="AA383" s="2"/>
    </row>
    <row r="384" spans="1:27" ht="11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59"/>
      <c r="U384" s="2"/>
      <c r="V384" s="2"/>
      <c r="W384" s="2"/>
      <c r="X384" s="2"/>
      <c r="Y384" s="2"/>
      <c r="Z384" s="2"/>
      <c r="AA384" s="2"/>
    </row>
    <row r="385" spans="1:27" ht="11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59"/>
      <c r="U385" s="2"/>
      <c r="V385" s="2"/>
      <c r="W385" s="2"/>
      <c r="X385" s="2"/>
      <c r="Y385" s="2"/>
      <c r="Z385" s="2"/>
      <c r="AA385" s="2"/>
    </row>
    <row r="386" spans="1:27" ht="11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59"/>
      <c r="U386" s="2"/>
      <c r="V386" s="2"/>
      <c r="W386" s="2"/>
      <c r="X386" s="2"/>
      <c r="Y386" s="2"/>
      <c r="Z386" s="2"/>
      <c r="AA386" s="2"/>
    </row>
    <row r="387" spans="1:27" ht="11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59"/>
      <c r="U387" s="2"/>
      <c r="V387" s="2"/>
      <c r="W387" s="2"/>
      <c r="X387" s="2"/>
      <c r="Y387" s="2"/>
      <c r="Z387" s="2"/>
      <c r="AA387" s="2"/>
    </row>
    <row r="388" spans="1:27" ht="11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59"/>
      <c r="U388" s="2"/>
      <c r="V388" s="2"/>
      <c r="W388" s="2"/>
      <c r="X388" s="2"/>
      <c r="Y388" s="2"/>
      <c r="Z388" s="2"/>
      <c r="AA388" s="2"/>
    </row>
    <row r="389" spans="1:27" ht="11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59"/>
      <c r="U389" s="2"/>
      <c r="V389" s="2"/>
      <c r="W389" s="2"/>
      <c r="X389" s="2"/>
      <c r="Y389" s="2"/>
      <c r="Z389" s="2"/>
      <c r="AA389" s="2"/>
    </row>
    <row r="390" spans="1:27" ht="11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59"/>
      <c r="U390" s="2"/>
      <c r="V390" s="2"/>
      <c r="W390" s="2"/>
      <c r="X390" s="2"/>
      <c r="Y390" s="2"/>
      <c r="Z390" s="2"/>
      <c r="AA390" s="2"/>
    </row>
    <row r="391" spans="1:27" ht="11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59"/>
      <c r="U391" s="2"/>
      <c r="V391" s="2"/>
      <c r="W391" s="2"/>
      <c r="X391" s="2"/>
      <c r="Y391" s="2"/>
      <c r="Z391" s="2"/>
      <c r="AA391" s="2"/>
    </row>
    <row r="392" spans="1:27" ht="11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59"/>
      <c r="U392" s="2"/>
      <c r="V392" s="2"/>
      <c r="W392" s="2"/>
      <c r="X392" s="2"/>
      <c r="Y392" s="2"/>
      <c r="Z392" s="2"/>
      <c r="AA392" s="2"/>
    </row>
    <row r="393" spans="1:27" ht="11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59"/>
      <c r="U393" s="2"/>
      <c r="V393" s="2"/>
      <c r="W393" s="2"/>
      <c r="X393" s="2"/>
      <c r="Y393" s="2"/>
      <c r="Z393" s="2"/>
      <c r="AA393" s="2"/>
    </row>
    <row r="394" spans="1:27" ht="11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59"/>
      <c r="U394" s="2"/>
      <c r="V394" s="2"/>
      <c r="W394" s="2"/>
      <c r="X394" s="2"/>
      <c r="Y394" s="2"/>
      <c r="Z394" s="2"/>
      <c r="AA394" s="2"/>
    </row>
    <row r="395" spans="1:27" ht="11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59"/>
      <c r="U395" s="2"/>
      <c r="V395" s="2"/>
      <c r="W395" s="2"/>
      <c r="X395" s="2"/>
      <c r="Y395" s="2"/>
      <c r="Z395" s="2"/>
      <c r="AA395" s="2"/>
    </row>
    <row r="396" spans="1:27" ht="11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59"/>
      <c r="U396" s="2"/>
      <c r="V396" s="2"/>
      <c r="W396" s="2"/>
      <c r="X396" s="2"/>
      <c r="Y396" s="2"/>
      <c r="Z396" s="2"/>
      <c r="AA396" s="2"/>
    </row>
    <row r="397" spans="1:27" ht="11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59"/>
      <c r="U397" s="2"/>
      <c r="V397" s="2"/>
      <c r="W397" s="2"/>
      <c r="X397" s="2"/>
      <c r="Y397" s="2"/>
      <c r="Z397" s="2"/>
      <c r="AA397" s="2"/>
    </row>
    <row r="398" spans="1:27" ht="11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59"/>
      <c r="U398" s="2"/>
      <c r="V398" s="2"/>
      <c r="W398" s="2"/>
      <c r="X398" s="2"/>
      <c r="Y398" s="2"/>
      <c r="Z398" s="2"/>
      <c r="AA398" s="2"/>
    </row>
    <row r="399" spans="1:27" ht="11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59"/>
      <c r="U399" s="2"/>
      <c r="V399" s="2"/>
      <c r="W399" s="2"/>
      <c r="X399" s="2"/>
      <c r="Y399" s="2"/>
      <c r="Z399" s="2"/>
      <c r="AA399" s="2"/>
    </row>
    <row r="400" spans="1:27" ht="11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59"/>
      <c r="U400" s="2"/>
      <c r="V400" s="2"/>
      <c r="W400" s="2"/>
      <c r="X400" s="2"/>
      <c r="Y400" s="2"/>
      <c r="Z400" s="2"/>
      <c r="AA400" s="2"/>
    </row>
    <row r="401" spans="1:27" ht="11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59"/>
      <c r="U401" s="2"/>
      <c r="V401" s="2"/>
      <c r="W401" s="2"/>
      <c r="X401" s="2"/>
      <c r="Y401" s="2"/>
      <c r="Z401" s="2"/>
      <c r="AA401" s="2"/>
    </row>
    <row r="402" spans="1:27" ht="11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59"/>
      <c r="U402" s="2"/>
      <c r="V402" s="2"/>
      <c r="W402" s="2"/>
      <c r="X402" s="2"/>
      <c r="Y402" s="2"/>
      <c r="Z402" s="2"/>
      <c r="AA402" s="2"/>
    </row>
    <row r="403" spans="1:27" ht="11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59"/>
      <c r="U403" s="2"/>
      <c r="V403" s="2"/>
      <c r="W403" s="2"/>
      <c r="X403" s="2"/>
      <c r="Y403" s="2"/>
      <c r="Z403" s="2"/>
      <c r="AA403" s="2"/>
    </row>
    <row r="404" spans="1:27" ht="11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59"/>
      <c r="U404" s="2"/>
      <c r="V404" s="2"/>
      <c r="W404" s="2"/>
      <c r="X404" s="2"/>
      <c r="Y404" s="2"/>
      <c r="Z404" s="2"/>
      <c r="AA404" s="2"/>
    </row>
    <row r="405" spans="1:27" ht="11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59"/>
      <c r="U405" s="2"/>
      <c r="V405" s="2"/>
      <c r="W405" s="2"/>
      <c r="X405" s="2"/>
      <c r="Y405" s="2"/>
      <c r="Z405" s="2"/>
      <c r="AA405" s="2"/>
    </row>
    <row r="406" spans="1:27" ht="15.75" customHeight="1" x14ac:dyDescent="0.2"/>
    <row r="407" spans="1:27" ht="15.75" customHeight="1" x14ac:dyDescent="0.2"/>
    <row r="408" spans="1:27" ht="15.75" customHeight="1" x14ac:dyDescent="0.2"/>
    <row r="409" spans="1:27" ht="15.75" customHeight="1" x14ac:dyDescent="0.2"/>
    <row r="410" spans="1:27" ht="15.75" customHeight="1" x14ac:dyDescent="0.2"/>
    <row r="411" spans="1:27" ht="15.75" customHeight="1" x14ac:dyDescent="0.2"/>
    <row r="412" spans="1:27" ht="15.75" customHeight="1" x14ac:dyDescent="0.2"/>
    <row r="413" spans="1:27" ht="15.75" customHeight="1" x14ac:dyDescent="0.2"/>
    <row r="414" spans="1:27" ht="15.75" customHeight="1" x14ac:dyDescent="0.2"/>
    <row r="415" spans="1:27" ht="15.75" customHeight="1" x14ac:dyDescent="0.2"/>
    <row r="416" spans="1:27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</sheetData>
  <mergeCells count="83">
    <mergeCell ref="Q16:Q18"/>
    <mergeCell ref="R16:R19"/>
    <mergeCell ref="G17:G18"/>
    <mergeCell ref="P17:P18"/>
    <mergeCell ref="A16:A19"/>
    <mergeCell ref="B16:F16"/>
    <mergeCell ref="B17:B18"/>
    <mergeCell ref="C17:C18"/>
    <mergeCell ref="D17:D18"/>
    <mergeCell ref="E17:E18"/>
    <mergeCell ref="F17:F18"/>
    <mergeCell ref="H17:H18"/>
    <mergeCell ref="I17:I18"/>
    <mergeCell ref="J17:J18"/>
    <mergeCell ref="K17:K18"/>
    <mergeCell ref="L17:L18"/>
    <mergeCell ref="M17:M18"/>
    <mergeCell ref="N17:N18"/>
    <mergeCell ref="O17:O18"/>
    <mergeCell ref="G13:H13"/>
    <mergeCell ref="I13:J13"/>
    <mergeCell ref="G16:K16"/>
    <mergeCell ref="L16:P16"/>
    <mergeCell ref="A221:B221"/>
    <mergeCell ref="C221:I221"/>
    <mergeCell ref="J221:K221"/>
    <mergeCell ref="L221:R221"/>
    <mergeCell ref="A218:B218"/>
    <mergeCell ref="A219:B219"/>
    <mergeCell ref="C219:I219"/>
    <mergeCell ref="J219:K219"/>
    <mergeCell ref="L219:R219"/>
    <mergeCell ref="A220:B220"/>
    <mergeCell ref="C220:I220"/>
    <mergeCell ref="J220:K220"/>
    <mergeCell ref="L220:R220"/>
    <mergeCell ref="A217:B217"/>
    <mergeCell ref="C217:I217"/>
    <mergeCell ref="J217:K217"/>
    <mergeCell ref="L217:R217"/>
    <mergeCell ref="C218:I218"/>
    <mergeCell ref="J218:K218"/>
    <mergeCell ref="L218:R218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L9:O9"/>
    <mergeCell ref="P9:R10"/>
    <mergeCell ref="G10:H10"/>
    <mergeCell ref="I10:J10"/>
    <mergeCell ref="A11:A13"/>
    <mergeCell ref="B11:C11"/>
    <mergeCell ref="D11:E11"/>
    <mergeCell ref="G11:H11"/>
    <mergeCell ref="I11:J11"/>
    <mergeCell ref="A9:A10"/>
    <mergeCell ref="B9:C10"/>
    <mergeCell ref="D9:E10"/>
    <mergeCell ref="F9:K9"/>
    <mergeCell ref="N12:O12"/>
    <mergeCell ref="P12:R12"/>
    <mergeCell ref="B13:C13"/>
    <mergeCell ref="M5:R5"/>
    <mergeCell ref="A1:R1"/>
    <mergeCell ref="A2:R2"/>
    <mergeCell ref="A3:R3"/>
    <mergeCell ref="A4:F4"/>
    <mergeCell ref="G4:L4"/>
    <mergeCell ref="M4:R4"/>
    <mergeCell ref="A5:F5"/>
    <mergeCell ref="G5:L5"/>
  </mergeCells>
  <conditionalFormatting sqref="Q7:Q11 Q14:Q19 Q21:Q1093">
    <cfRule type="cellIs" dxfId="12" priority="1" operator="lessThan">
      <formula>60</formula>
    </cfRule>
  </conditionalFormatting>
  <printOptions horizontalCentered="1"/>
  <pageMargins left="0.59055118110236227" right="0.31496062992125984" top="1.0910223443164941" bottom="0.39370078740157483" header="0" footer="0"/>
  <pageSetup paperSize="9" scale="85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2">
    <tabColor rgb="FF00FF00"/>
  </sheetPr>
  <dimension ref="A1:AA1091"/>
  <sheetViews>
    <sheetView tabSelected="1" workbookViewId="0">
      <pane ySplit="20" topLeftCell="A192" activePane="bottomLeft" state="frozen"/>
      <selection pane="bottomLeft" activeCell="H203" sqref="A203:H203"/>
    </sheetView>
  </sheetViews>
  <sheetFormatPr defaultColWidth="14.42578125" defaultRowHeight="15" customHeight="1" outlineLevelRow="1" x14ac:dyDescent="0.2"/>
  <cols>
    <col min="1" max="1" width="12.140625" customWidth="1"/>
    <col min="2" max="17" width="8.7109375" customWidth="1"/>
    <col min="18" max="18" width="12.140625" customWidth="1"/>
    <col min="19" max="19" width="12.42578125" customWidth="1"/>
    <col min="20" max="27" width="10.42578125" customWidth="1"/>
  </cols>
  <sheetData>
    <row r="1" spans="1:27" ht="21.75" hidden="1" customHeight="1" outlineLevel="1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  <c r="S1" s="2"/>
      <c r="T1" s="59"/>
      <c r="U1" s="2"/>
      <c r="V1" s="2"/>
      <c r="W1" s="2"/>
      <c r="X1" s="2"/>
      <c r="Y1" s="2"/>
      <c r="Z1" s="2"/>
      <c r="AA1" s="2"/>
    </row>
    <row r="2" spans="1:27" ht="19.5" hidden="1" customHeight="1" outlineLevel="1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  <c r="S2" s="2"/>
      <c r="T2" s="59"/>
      <c r="U2" s="2"/>
      <c r="V2" s="2"/>
      <c r="W2" s="2"/>
      <c r="X2" s="2"/>
      <c r="Y2" s="2"/>
      <c r="Z2" s="2"/>
      <c r="AA2" s="2"/>
    </row>
    <row r="3" spans="1:27" ht="38.25" hidden="1" customHeight="1" outlineLevel="1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  <c r="S3" s="2"/>
      <c r="T3" s="59"/>
      <c r="U3" s="2"/>
      <c r="V3" s="2"/>
      <c r="W3" s="2"/>
      <c r="X3" s="2"/>
      <c r="Y3" s="2"/>
      <c r="Z3" s="2"/>
      <c r="AA3" s="2"/>
    </row>
    <row r="4" spans="1:27" ht="22.5" hidden="1" customHeight="1" outlineLevel="1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  <c r="S4" s="2"/>
      <c r="T4" s="59"/>
      <c r="U4" s="2"/>
      <c r="V4" s="2"/>
      <c r="W4" s="2"/>
      <c r="X4" s="2"/>
      <c r="Y4" s="2"/>
      <c r="Z4" s="2"/>
      <c r="AA4" s="2"/>
    </row>
    <row r="5" spans="1:27" ht="38.25" hidden="1" customHeight="1" outlineLevel="1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  <c r="S5" s="2"/>
      <c r="T5" s="59"/>
      <c r="U5" s="2"/>
      <c r="V5" s="2"/>
      <c r="W5" s="2"/>
      <c r="X5" s="2"/>
      <c r="Y5" s="2"/>
      <c r="Z5" s="2"/>
      <c r="AA5" s="2"/>
    </row>
    <row r="6" spans="1:27" ht="15" hidden="1" customHeight="1" outlineLevel="1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  <c r="S6" s="2"/>
      <c r="T6" s="59"/>
      <c r="U6" s="2"/>
      <c r="V6" s="2"/>
      <c r="W6" s="2"/>
      <c r="X6" s="2"/>
      <c r="Y6" s="2"/>
      <c r="Z6" s="2"/>
      <c r="AA6" s="2"/>
    </row>
    <row r="7" spans="1:27" ht="19.5" hidden="1" customHeight="1" outlineLevel="1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  <c r="S7" s="2"/>
      <c r="T7" s="59"/>
      <c r="U7" s="2"/>
      <c r="V7" s="2"/>
      <c r="W7" s="2"/>
      <c r="X7" s="2"/>
      <c r="Y7" s="2"/>
      <c r="Z7" s="2"/>
      <c r="AA7" s="2"/>
    </row>
    <row r="8" spans="1:27" ht="11.25" hidden="1" customHeight="1" outlineLevel="1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  <c r="S8" s="2"/>
      <c r="T8" s="59"/>
      <c r="U8" s="2"/>
      <c r="V8" s="2"/>
      <c r="W8" s="2"/>
      <c r="X8" s="2"/>
      <c r="Y8" s="2"/>
      <c r="Z8" s="2"/>
      <c r="AA8" s="2"/>
    </row>
    <row r="9" spans="1:27" ht="12" hidden="1" customHeight="1" outlineLevel="1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e">
        <f>+"Cao trình nghiệm thu [m] ("&amp;TEXT(A21,"dd/mm/yy")&amp;")"</f>
        <v>#REF!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  <c r="S9" s="2"/>
      <c r="T9" s="59"/>
      <c r="U9" s="2"/>
      <c r="V9" s="2"/>
      <c r="W9" s="2"/>
      <c r="X9" s="2"/>
      <c r="Y9" s="2"/>
      <c r="Z9" s="2"/>
      <c r="AA9" s="2"/>
    </row>
    <row r="10" spans="1:27" ht="34.5" hidden="1" customHeight="1" outlineLevel="1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1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  <c r="S10" s="2" t="s">
        <v>89</v>
      </c>
      <c r="T10" s="59" t="s">
        <v>90</v>
      </c>
      <c r="U10" s="2"/>
      <c r="V10" s="2"/>
      <c r="W10" s="2"/>
      <c r="X10" s="2"/>
      <c r="Y10" s="2"/>
      <c r="Z10" s="2"/>
      <c r="AA10" s="2"/>
    </row>
    <row r="11" spans="1:27" ht="12.75" hidden="1" customHeight="1" outlineLevel="1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3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  <c r="S11" s="2">
        <v>1</v>
      </c>
      <c r="T11" s="59">
        <v>1</v>
      </c>
      <c r="U11" s="2"/>
      <c r="V11" s="2"/>
      <c r="W11" s="2"/>
      <c r="X11" s="2"/>
      <c r="Y11" s="2"/>
      <c r="Z11" s="2"/>
      <c r="AA11" s="2"/>
    </row>
    <row r="12" spans="1:27" ht="12.75" hidden="1" customHeight="1" outlineLevel="1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6"/>
      <c r="J12" s="123"/>
      <c r="K12" s="10"/>
      <c r="L12" s="122"/>
      <c r="M12" s="123"/>
      <c r="N12" s="122"/>
      <c r="O12" s="123"/>
      <c r="P12" s="124" t="s">
        <v>94</v>
      </c>
      <c r="Q12" s="125"/>
      <c r="R12" s="126"/>
      <c r="S12" s="2"/>
      <c r="T12" s="59"/>
      <c r="U12" s="2"/>
      <c r="V12" s="2"/>
      <c r="W12" s="2"/>
      <c r="X12" s="2"/>
      <c r="Y12" s="2"/>
      <c r="Z12" s="2"/>
      <c r="AA12" s="2"/>
    </row>
    <row r="13" spans="1:27" ht="12.75" hidden="1" customHeight="1" outlineLevel="1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99"/>
      <c r="J13" s="100"/>
      <c r="K13" s="12"/>
      <c r="L13" s="102"/>
      <c r="M13" s="100"/>
      <c r="N13" s="102"/>
      <c r="O13" s="100"/>
      <c r="P13" s="103"/>
      <c r="Q13" s="104"/>
      <c r="R13" s="105"/>
      <c r="S13" s="2"/>
      <c r="T13" s="59"/>
      <c r="U13" s="2"/>
      <c r="V13" s="2"/>
      <c r="W13" s="2"/>
      <c r="X13" s="2"/>
      <c r="Y13" s="2"/>
      <c r="Z13" s="2"/>
      <c r="AA13" s="2"/>
    </row>
    <row r="14" spans="1:27" ht="11.25" customHeight="1" collapsed="1" x14ac:dyDescent="0.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2"/>
      <c r="T14" s="59"/>
      <c r="U14" s="2"/>
      <c r="V14" s="2"/>
      <c r="W14" s="2"/>
      <c r="X14" s="2"/>
      <c r="Y14" s="2"/>
      <c r="Z14" s="2"/>
      <c r="AA14" s="2"/>
    </row>
    <row r="15" spans="1:27" ht="11.2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  <c r="S15" s="2"/>
      <c r="T15" s="59"/>
      <c r="U15" s="2"/>
      <c r="V15" s="2"/>
      <c r="W15" s="2"/>
      <c r="X15" s="2"/>
      <c r="Y15" s="2"/>
      <c r="Z15" s="2"/>
      <c r="AA15" s="2"/>
    </row>
    <row r="16" spans="1:27" ht="12" customHeight="1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95</v>
      </c>
      <c r="R16" s="112" t="s">
        <v>96</v>
      </c>
      <c r="S16" s="2"/>
      <c r="T16" s="59"/>
      <c r="U16" s="2"/>
      <c r="V16" s="2"/>
      <c r="W16" s="2"/>
      <c r="X16" s="2"/>
      <c r="Y16" s="2"/>
      <c r="Z16" s="2"/>
      <c r="AA16" s="2"/>
    </row>
    <row r="17" spans="1:27" ht="19.5" customHeight="1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08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  <c r="S17" s="2"/>
      <c r="T17" s="59"/>
      <c r="U17" s="2"/>
      <c r="V17" s="2"/>
      <c r="W17" s="2"/>
      <c r="X17" s="2"/>
      <c r="Y17" s="2"/>
      <c r="Z17" s="2"/>
      <c r="AA17" s="2"/>
    </row>
    <row r="18" spans="1:27" ht="24.75" customHeight="1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  <c r="S18" s="2"/>
      <c r="T18" s="59"/>
      <c r="U18" s="2"/>
      <c r="V18" s="2"/>
      <c r="W18" s="2"/>
      <c r="X18" s="2"/>
      <c r="Y18" s="2"/>
      <c r="Z18" s="2"/>
      <c r="AA18" s="2"/>
    </row>
    <row r="19" spans="1:27" ht="11.25" customHeight="1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5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  <c r="S19" s="2"/>
      <c r="T19" s="59"/>
      <c r="U19" s="59"/>
      <c r="V19" s="59"/>
      <c r="W19" s="59"/>
      <c r="X19" s="2"/>
      <c r="Y19" s="2"/>
      <c r="Z19" s="2"/>
      <c r="AA19" s="2"/>
    </row>
    <row r="20" spans="1:27" ht="11.25" customHeight="1" x14ac:dyDescent="0.2">
      <c r="A20" s="82">
        <v>1</v>
      </c>
      <c r="B20" s="83">
        <f t="shared" ref="B20:T20" si="0">+A20+1</f>
        <v>2</v>
      </c>
      <c r="C20" s="83">
        <f t="shared" si="0"/>
        <v>3</v>
      </c>
      <c r="D20" s="83">
        <f t="shared" si="0"/>
        <v>4</v>
      </c>
      <c r="E20" s="83">
        <f t="shared" si="0"/>
        <v>5</v>
      </c>
      <c r="F20" s="83">
        <f t="shared" si="0"/>
        <v>6</v>
      </c>
      <c r="G20" s="83">
        <f t="shared" si="0"/>
        <v>7</v>
      </c>
      <c r="H20" s="83">
        <f t="shared" si="0"/>
        <v>8</v>
      </c>
      <c r="I20" s="83">
        <f t="shared" si="0"/>
        <v>9</v>
      </c>
      <c r="J20" s="83">
        <f t="shared" si="0"/>
        <v>10</v>
      </c>
      <c r="K20" s="83">
        <f t="shared" si="0"/>
        <v>11</v>
      </c>
      <c r="L20" s="83">
        <f t="shared" si="0"/>
        <v>12</v>
      </c>
      <c r="M20" s="83">
        <f t="shared" si="0"/>
        <v>13</v>
      </c>
      <c r="N20" s="83">
        <f t="shared" si="0"/>
        <v>14</v>
      </c>
      <c r="O20" s="83">
        <f t="shared" si="0"/>
        <v>15</v>
      </c>
      <c r="P20" s="83">
        <f t="shared" si="0"/>
        <v>16</v>
      </c>
      <c r="Q20" s="83">
        <f t="shared" si="0"/>
        <v>17</v>
      </c>
      <c r="R20" s="83">
        <f t="shared" si="0"/>
        <v>18</v>
      </c>
      <c r="S20" s="60">
        <f t="shared" si="0"/>
        <v>19</v>
      </c>
      <c r="T20" s="61">
        <f t="shared" si="0"/>
        <v>20</v>
      </c>
      <c r="U20" s="60"/>
      <c r="V20" s="60"/>
      <c r="W20" s="60"/>
      <c r="X20" s="60"/>
      <c r="Y20" s="60"/>
      <c r="Z20" s="60"/>
      <c r="AA20" s="60"/>
    </row>
    <row r="21" spans="1:27" ht="22.5" customHeight="1" outlineLevel="1" x14ac:dyDescent="0.25">
      <c r="A21" s="62" t="e">
        <f>'QTL-Km118+890,00'!A21</f>
        <v>#REF!</v>
      </c>
      <c r="B21" s="22" t="e">
        <f>'QTL-Km118+890,00'!B21</f>
        <v>#REF!</v>
      </c>
      <c r="C21" s="38">
        <v>1565</v>
      </c>
      <c r="D21" s="84">
        <v>-756</v>
      </c>
      <c r="E21" s="40">
        <v>2.371</v>
      </c>
      <c r="F21" s="22">
        <v>0</v>
      </c>
      <c r="G21" s="22" t="e">
        <f>'QTL-Km118+890,00'!G21</f>
        <v>#REF!</v>
      </c>
      <c r="H21" s="28">
        <v>1600</v>
      </c>
      <c r="I21" s="84">
        <v>-746</v>
      </c>
      <c r="J21" s="40">
        <v>2.3959999999999999</v>
      </c>
      <c r="K21" s="22">
        <v>0</v>
      </c>
      <c r="L21" s="22" t="e">
        <f>'QTL-Km118+890,00'!L21</f>
        <v>#REF!</v>
      </c>
      <c r="M21" s="38">
        <v>1572</v>
      </c>
      <c r="N21" s="39">
        <v>-1436</v>
      </c>
      <c r="O21" s="40">
        <v>3.008</v>
      </c>
      <c r="P21" s="22">
        <v>0</v>
      </c>
      <c r="Q21" s="36" t="e">
        <f>VLOOKUP(A21,#REF!,10,0)</f>
        <v>#REF!</v>
      </c>
      <c r="R21" s="30"/>
      <c r="S21" s="63" t="e">
        <f t="shared" ref="S21:S41" si="1">+A21</f>
        <v>#REF!</v>
      </c>
      <c r="T21" s="64" t="e">
        <f>+(#REF!+2*J21+O21)/4</f>
        <v>#REF!</v>
      </c>
      <c r="U21" s="65"/>
      <c r="V21" s="65"/>
      <c r="W21" s="66"/>
      <c r="X21" s="65"/>
      <c r="Y21" s="65"/>
      <c r="Z21" s="65"/>
      <c r="AA21" s="65"/>
    </row>
    <row r="22" spans="1:27" ht="22.5" customHeight="1" outlineLevel="1" x14ac:dyDescent="0.25">
      <c r="A22" s="62" t="e">
        <f>'QTL-Km118+890,00'!A22</f>
        <v>#REF!</v>
      </c>
      <c r="B22" s="22" t="e">
        <f>'QTL-Km118+890,00'!B22</f>
        <v>#REF!</v>
      </c>
      <c r="C22" s="28">
        <f t="shared" ref="C22:C204" si="2">$C$21-F22</f>
        <v>1552</v>
      </c>
      <c r="D22" s="84">
        <v>-769</v>
      </c>
      <c r="E22" s="40">
        <v>2.371</v>
      </c>
      <c r="F22" s="22">
        <f t="shared" ref="F22:F205" si="3">+$D$21-D22</f>
        <v>13</v>
      </c>
      <c r="G22" s="22" t="e">
        <f>'QTL-Km118+890,00'!G22</f>
        <v>#REF!</v>
      </c>
      <c r="H22" s="28">
        <f t="shared" ref="H22:H204" si="4">$H$21-K22</f>
        <v>1573</v>
      </c>
      <c r="I22" s="84">
        <v>-773</v>
      </c>
      <c r="J22" s="40">
        <v>2.3959999999999999</v>
      </c>
      <c r="K22" s="22">
        <f t="shared" ref="K22:K205" si="5">+$I$21-I22</f>
        <v>27</v>
      </c>
      <c r="L22" s="22" t="e">
        <f>'QTL-Km118+890,00'!L22</f>
        <v>#REF!</v>
      </c>
      <c r="M22" s="28">
        <f t="shared" ref="M22:M204" si="6">$M$21-P22</f>
        <v>1562</v>
      </c>
      <c r="N22" s="39">
        <v>-1446</v>
      </c>
      <c r="O22" s="40">
        <v>3.008</v>
      </c>
      <c r="P22" s="22">
        <f t="shared" ref="P22:P205" si="7">+$N$21-N22</f>
        <v>10</v>
      </c>
      <c r="Q22" s="36" t="e">
        <f>VLOOKUP(A22,#REF!,10,0)</f>
        <v>#REF!</v>
      </c>
      <c r="R22" s="30"/>
      <c r="S22" s="63" t="e">
        <f t="shared" si="1"/>
        <v>#REF!</v>
      </c>
      <c r="T22" s="64">
        <f t="shared" ref="T22:T41" si="8">+(E22+2*J22+O22)/4</f>
        <v>2.5427499999999998</v>
      </c>
      <c r="U22" s="65"/>
      <c r="V22" s="67"/>
      <c r="W22" s="68"/>
      <c r="X22" s="67"/>
      <c r="Y22" s="67"/>
      <c r="Z22" s="67"/>
      <c r="AA22" s="67"/>
    </row>
    <row r="23" spans="1:27" ht="22.5" customHeight="1" outlineLevel="1" x14ac:dyDescent="0.25">
      <c r="A23" s="62" t="e">
        <f>'QTL-Km118+890,00'!A23</f>
        <v>#REF!</v>
      </c>
      <c r="B23" s="22" t="e">
        <f>'QTL-Km118+890,00'!B23</f>
        <v>#REF!</v>
      </c>
      <c r="C23" s="28">
        <f t="shared" si="2"/>
        <v>1528</v>
      </c>
      <c r="D23" s="84">
        <v>-793</v>
      </c>
      <c r="E23" s="40">
        <v>2.371</v>
      </c>
      <c r="F23" s="22">
        <f t="shared" si="3"/>
        <v>37</v>
      </c>
      <c r="G23" s="22" t="e">
        <f>'QTL-Km118+890,00'!G23</f>
        <v>#REF!</v>
      </c>
      <c r="H23" s="28">
        <f t="shared" si="4"/>
        <v>1556</v>
      </c>
      <c r="I23" s="84">
        <v>-790</v>
      </c>
      <c r="J23" s="40">
        <v>2.3959999999999999</v>
      </c>
      <c r="K23" s="22">
        <f t="shared" si="5"/>
        <v>44</v>
      </c>
      <c r="L23" s="22" t="e">
        <f>'QTL-Km118+890,00'!L23</f>
        <v>#REF!</v>
      </c>
      <c r="M23" s="28">
        <f t="shared" si="6"/>
        <v>1548</v>
      </c>
      <c r="N23" s="39">
        <v>-1460</v>
      </c>
      <c r="O23" s="40">
        <v>3.008</v>
      </c>
      <c r="P23" s="22">
        <f t="shared" si="7"/>
        <v>24</v>
      </c>
      <c r="Q23" s="36" t="e">
        <f>VLOOKUP(A23,#REF!,10,0)</f>
        <v>#REF!</v>
      </c>
      <c r="R23" s="30"/>
      <c r="S23" s="63" t="e">
        <f t="shared" si="1"/>
        <v>#REF!</v>
      </c>
      <c r="T23" s="64">
        <f t="shared" si="8"/>
        <v>2.5427499999999998</v>
      </c>
      <c r="U23" s="65"/>
      <c r="V23" s="67"/>
      <c r="W23" s="68"/>
      <c r="X23" s="67"/>
      <c r="Y23" s="67"/>
      <c r="Z23" s="67"/>
      <c r="AA23" s="67"/>
    </row>
    <row r="24" spans="1:27" ht="22.5" customHeight="1" outlineLevel="1" x14ac:dyDescent="0.25">
      <c r="A24" s="62" t="e">
        <f>'QTL-Km118+890,00'!A24</f>
        <v>#REF!</v>
      </c>
      <c r="B24" s="22" t="e">
        <f>'QTL-Km118+890,00'!B24</f>
        <v>#REF!</v>
      </c>
      <c r="C24" s="28">
        <f t="shared" si="2"/>
        <v>1493</v>
      </c>
      <c r="D24" s="84">
        <v>-828</v>
      </c>
      <c r="E24" s="40">
        <v>2.371</v>
      </c>
      <c r="F24" s="22">
        <f t="shared" si="3"/>
        <v>72</v>
      </c>
      <c r="G24" s="22" t="e">
        <f>'QTL-Km118+890,00'!G24</f>
        <v>#REF!</v>
      </c>
      <c r="H24" s="28">
        <f t="shared" si="4"/>
        <v>1511</v>
      </c>
      <c r="I24" s="84">
        <v>-835</v>
      </c>
      <c r="J24" s="40">
        <v>2.3959999999999999</v>
      </c>
      <c r="K24" s="22">
        <f t="shared" si="5"/>
        <v>89</v>
      </c>
      <c r="L24" s="22" t="e">
        <f>'QTL-Km118+890,00'!L24</f>
        <v>#REF!</v>
      </c>
      <c r="M24" s="28">
        <f t="shared" si="6"/>
        <v>1514</v>
      </c>
      <c r="N24" s="39">
        <v>-1494</v>
      </c>
      <c r="O24" s="40">
        <v>3.008</v>
      </c>
      <c r="P24" s="22">
        <f t="shared" si="7"/>
        <v>58</v>
      </c>
      <c r="Q24" s="36" t="e">
        <f>VLOOKUP(A24,#REF!,10,0)</f>
        <v>#REF!</v>
      </c>
      <c r="R24" s="30"/>
      <c r="S24" s="63" t="e">
        <f t="shared" si="1"/>
        <v>#REF!</v>
      </c>
      <c r="T24" s="64">
        <f t="shared" si="8"/>
        <v>2.5427499999999998</v>
      </c>
      <c r="U24" s="65"/>
      <c r="V24" s="67"/>
      <c r="W24" s="68"/>
      <c r="X24" s="67"/>
      <c r="Y24" s="67"/>
      <c r="Z24" s="67"/>
      <c r="AA24" s="67"/>
    </row>
    <row r="25" spans="1:27" ht="22.5" customHeight="1" outlineLevel="1" x14ac:dyDescent="0.25">
      <c r="A25" s="62" t="e">
        <f>'QTL-Km118+890,00'!A25</f>
        <v>#REF!</v>
      </c>
      <c r="B25" s="22" t="e">
        <f>'QTL-Km118+890,00'!B25</f>
        <v>#REF!</v>
      </c>
      <c r="C25" s="28">
        <f t="shared" si="2"/>
        <v>1455</v>
      </c>
      <c r="D25" s="84">
        <v>-866</v>
      </c>
      <c r="E25" s="40">
        <v>2.371</v>
      </c>
      <c r="F25" s="22">
        <f t="shared" si="3"/>
        <v>110</v>
      </c>
      <c r="G25" s="22" t="e">
        <f>'QTL-Km118+890,00'!G25</f>
        <v>#REF!</v>
      </c>
      <c r="H25" s="28">
        <f t="shared" si="4"/>
        <v>1459</v>
      </c>
      <c r="I25" s="84">
        <v>-887</v>
      </c>
      <c r="J25" s="40">
        <v>2.3959999999999999</v>
      </c>
      <c r="K25" s="22">
        <f t="shared" si="5"/>
        <v>141</v>
      </c>
      <c r="L25" s="22" t="e">
        <f>'QTL-Km118+890,00'!L25</f>
        <v>#REF!</v>
      </c>
      <c r="M25" s="28">
        <f t="shared" si="6"/>
        <v>1476</v>
      </c>
      <c r="N25" s="39">
        <v>-1532</v>
      </c>
      <c r="O25" s="40">
        <v>3.008</v>
      </c>
      <c r="P25" s="22">
        <f t="shared" si="7"/>
        <v>96</v>
      </c>
      <c r="Q25" s="36" t="e">
        <f>VLOOKUP(A25,#REF!,10,0)</f>
        <v>#REF!</v>
      </c>
      <c r="R25" s="30"/>
      <c r="S25" s="63" t="e">
        <f t="shared" si="1"/>
        <v>#REF!</v>
      </c>
      <c r="T25" s="64">
        <f t="shared" si="8"/>
        <v>2.5427499999999998</v>
      </c>
      <c r="U25" s="65"/>
      <c r="V25" s="67"/>
      <c r="W25" s="68"/>
      <c r="X25" s="67"/>
      <c r="Y25" s="67"/>
      <c r="Z25" s="67"/>
      <c r="AA25" s="67"/>
    </row>
    <row r="26" spans="1:27" ht="22.5" customHeight="1" outlineLevel="1" x14ac:dyDescent="0.25">
      <c r="A26" s="62" t="e">
        <f>'QTL-Km118+890,00'!A26</f>
        <v>#REF!</v>
      </c>
      <c r="B26" s="22" t="e">
        <f>'QTL-Km118+890,00'!B26</f>
        <v>#REF!</v>
      </c>
      <c r="C26" s="28">
        <f t="shared" si="2"/>
        <v>1425</v>
      </c>
      <c r="D26" s="84">
        <v>-896</v>
      </c>
      <c r="E26" s="40">
        <v>2.371</v>
      </c>
      <c r="F26" s="22">
        <f t="shared" si="3"/>
        <v>140</v>
      </c>
      <c r="G26" s="22" t="e">
        <f>'QTL-Km118+890,00'!G26</f>
        <v>#REF!</v>
      </c>
      <c r="H26" s="28">
        <f t="shared" si="4"/>
        <v>1425</v>
      </c>
      <c r="I26" s="84">
        <v>-921</v>
      </c>
      <c r="J26" s="40">
        <v>2.3959999999999999</v>
      </c>
      <c r="K26" s="22">
        <f t="shared" si="5"/>
        <v>175</v>
      </c>
      <c r="L26" s="22" t="e">
        <f>'QTL-Km118+890,00'!L26</f>
        <v>#REF!</v>
      </c>
      <c r="M26" s="28">
        <f t="shared" si="6"/>
        <v>1451</v>
      </c>
      <c r="N26" s="39">
        <v>-1557</v>
      </c>
      <c r="O26" s="40">
        <v>3.008</v>
      </c>
      <c r="P26" s="22">
        <f t="shared" si="7"/>
        <v>121</v>
      </c>
      <c r="Q26" s="36" t="e">
        <f>VLOOKUP(A26,#REF!,10,0)</f>
        <v>#REF!</v>
      </c>
      <c r="R26" s="30"/>
      <c r="S26" s="63" t="e">
        <f t="shared" si="1"/>
        <v>#REF!</v>
      </c>
      <c r="T26" s="64">
        <f t="shared" si="8"/>
        <v>2.5427499999999998</v>
      </c>
      <c r="U26" s="65"/>
      <c r="V26" s="67"/>
      <c r="W26" s="68"/>
      <c r="X26" s="67"/>
      <c r="Y26" s="67"/>
      <c r="Z26" s="67"/>
      <c r="AA26" s="67"/>
    </row>
    <row r="27" spans="1:27" ht="22.5" customHeight="1" outlineLevel="1" x14ac:dyDescent="0.25">
      <c r="A27" s="62" t="e">
        <f>'QTL-Km118+890,00'!A27</f>
        <v>#REF!</v>
      </c>
      <c r="B27" s="22" t="e">
        <f>'QTL-Km118+890,00'!B27</f>
        <v>#REF!</v>
      </c>
      <c r="C27" s="28">
        <f t="shared" si="2"/>
        <v>1406</v>
      </c>
      <c r="D27" s="84">
        <v>-915</v>
      </c>
      <c r="E27" s="40">
        <v>2.371</v>
      </c>
      <c r="F27" s="22">
        <f t="shared" si="3"/>
        <v>159</v>
      </c>
      <c r="G27" s="22" t="e">
        <f>'QTL-Km118+890,00'!G27</f>
        <v>#REF!</v>
      </c>
      <c r="H27" s="28">
        <f t="shared" si="4"/>
        <v>1404</v>
      </c>
      <c r="I27" s="84">
        <v>-942</v>
      </c>
      <c r="J27" s="40">
        <v>2.3959999999999999</v>
      </c>
      <c r="K27" s="22">
        <f t="shared" si="5"/>
        <v>196</v>
      </c>
      <c r="L27" s="22" t="e">
        <f>'QTL-Km118+890,00'!L27</f>
        <v>#REF!</v>
      </c>
      <c r="M27" s="28">
        <f t="shared" si="6"/>
        <v>1432</v>
      </c>
      <c r="N27" s="39">
        <v>-1576</v>
      </c>
      <c r="O27" s="40">
        <v>3.008</v>
      </c>
      <c r="P27" s="22">
        <f t="shared" si="7"/>
        <v>140</v>
      </c>
      <c r="Q27" s="36" t="e">
        <f>VLOOKUP(A27,#REF!,10,0)</f>
        <v>#REF!</v>
      </c>
      <c r="R27" s="30"/>
      <c r="S27" s="63" t="e">
        <f t="shared" si="1"/>
        <v>#REF!</v>
      </c>
      <c r="T27" s="64">
        <f t="shared" si="8"/>
        <v>2.5427499999999998</v>
      </c>
      <c r="U27" s="65"/>
      <c r="V27" s="67"/>
      <c r="W27" s="68"/>
      <c r="X27" s="67"/>
      <c r="Y27" s="67"/>
      <c r="Z27" s="67"/>
      <c r="AA27" s="67"/>
    </row>
    <row r="28" spans="1:27" ht="22.5" customHeight="1" outlineLevel="1" x14ac:dyDescent="0.25">
      <c r="A28" s="62" t="e">
        <f>'QTL-Km118+890,00'!A28</f>
        <v>#REF!</v>
      </c>
      <c r="B28" s="22" t="e">
        <f>'QTL-Km118+890,00'!B28</f>
        <v>#REF!</v>
      </c>
      <c r="C28" s="28">
        <f t="shared" si="2"/>
        <v>1376</v>
      </c>
      <c r="D28" s="84">
        <v>-945</v>
      </c>
      <c r="E28" s="40">
        <v>2.371</v>
      </c>
      <c r="F28" s="22">
        <f t="shared" si="3"/>
        <v>189</v>
      </c>
      <c r="G28" s="22" t="e">
        <f>'QTL-Km118+890,00'!G28</f>
        <v>#REF!</v>
      </c>
      <c r="H28" s="28">
        <f t="shared" si="4"/>
        <v>1373</v>
      </c>
      <c r="I28" s="84">
        <v>-973</v>
      </c>
      <c r="J28" s="40">
        <v>2.3959999999999999</v>
      </c>
      <c r="K28" s="22">
        <f t="shared" si="5"/>
        <v>227</v>
      </c>
      <c r="L28" s="22" t="e">
        <f>'QTL-Km118+890,00'!L28</f>
        <v>#REF!</v>
      </c>
      <c r="M28" s="28">
        <f t="shared" si="6"/>
        <v>1405</v>
      </c>
      <c r="N28" s="39">
        <v>-1603</v>
      </c>
      <c r="O28" s="40">
        <v>3.008</v>
      </c>
      <c r="P28" s="22">
        <f t="shared" si="7"/>
        <v>167</v>
      </c>
      <c r="Q28" s="36" t="e">
        <f>VLOOKUP(A28,#REF!,10,0)</f>
        <v>#REF!</v>
      </c>
      <c r="R28" s="30"/>
      <c r="S28" s="63" t="e">
        <f t="shared" si="1"/>
        <v>#REF!</v>
      </c>
      <c r="T28" s="64">
        <f t="shared" si="8"/>
        <v>2.5427499999999998</v>
      </c>
      <c r="U28" s="65"/>
      <c r="V28" s="67"/>
      <c r="W28" s="68"/>
      <c r="X28" s="67"/>
      <c r="Y28" s="67"/>
      <c r="Z28" s="67"/>
      <c r="AA28" s="67"/>
    </row>
    <row r="29" spans="1:27" ht="22.5" customHeight="1" outlineLevel="1" x14ac:dyDescent="0.25">
      <c r="A29" s="62" t="e">
        <f>'QTL-Km118+890,00'!A29</f>
        <v>#REF!</v>
      </c>
      <c r="B29" s="22" t="e">
        <f>'QTL-Km118+890,00'!B29</f>
        <v>#REF!</v>
      </c>
      <c r="C29" s="28">
        <f t="shared" si="2"/>
        <v>1372</v>
      </c>
      <c r="D29" s="84">
        <v>-949</v>
      </c>
      <c r="E29" s="40">
        <v>2.371</v>
      </c>
      <c r="F29" s="22">
        <f t="shared" si="3"/>
        <v>193</v>
      </c>
      <c r="G29" s="22" t="e">
        <f>'QTL-Km118+890,00'!G29</f>
        <v>#REF!</v>
      </c>
      <c r="H29" s="28">
        <f t="shared" si="4"/>
        <v>1362</v>
      </c>
      <c r="I29" s="84">
        <v>-984</v>
      </c>
      <c r="J29" s="40">
        <v>2.3959999999999999</v>
      </c>
      <c r="K29" s="22">
        <f t="shared" si="5"/>
        <v>238</v>
      </c>
      <c r="L29" s="22" t="e">
        <f>'QTL-Km118+890,00'!L29</f>
        <v>#REF!</v>
      </c>
      <c r="M29" s="28">
        <f t="shared" si="6"/>
        <v>1399</v>
      </c>
      <c r="N29" s="39">
        <v>-1609</v>
      </c>
      <c r="O29" s="40">
        <v>3.008</v>
      </c>
      <c r="P29" s="22">
        <f t="shared" si="7"/>
        <v>173</v>
      </c>
      <c r="Q29" s="36" t="e">
        <f>VLOOKUP(A29,#REF!,10,0)</f>
        <v>#REF!</v>
      </c>
      <c r="R29" s="30"/>
      <c r="S29" s="63" t="e">
        <f t="shared" si="1"/>
        <v>#REF!</v>
      </c>
      <c r="T29" s="64">
        <f t="shared" si="8"/>
        <v>2.5427499999999998</v>
      </c>
      <c r="U29" s="65"/>
      <c r="V29" s="67"/>
      <c r="W29" s="68"/>
      <c r="X29" s="67"/>
      <c r="Y29" s="67"/>
      <c r="Z29" s="67"/>
      <c r="AA29" s="67"/>
    </row>
    <row r="30" spans="1:27" ht="22.5" customHeight="1" outlineLevel="1" x14ac:dyDescent="0.25">
      <c r="A30" s="62" t="e">
        <f>'QTL-Km118+890,00'!A30</f>
        <v>#REF!</v>
      </c>
      <c r="B30" s="22" t="e">
        <f>'QTL-Km118+890,00'!B30</f>
        <v>#REF!</v>
      </c>
      <c r="C30" s="28">
        <f t="shared" si="2"/>
        <v>1347</v>
      </c>
      <c r="D30" s="84">
        <v>-974</v>
      </c>
      <c r="E30" s="40">
        <v>2.371</v>
      </c>
      <c r="F30" s="22">
        <f t="shared" si="3"/>
        <v>218</v>
      </c>
      <c r="G30" s="22" t="e">
        <f>'QTL-Km118+890,00'!G30</f>
        <v>#REF!</v>
      </c>
      <c r="H30" s="28">
        <f t="shared" si="4"/>
        <v>1336</v>
      </c>
      <c r="I30" s="84">
        <v>-1010</v>
      </c>
      <c r="J30" s="40">
        <v>2.3959999999999999</v>
      </c>
      <c r="K30" s="22">
        <f t="shared" si="5"/>
        <v>264</v>
      </c>
      <c r="L30" s="22" t="e">
        <f>'QTL-Km118+890,00'!L30</f>
        <v>#REF!</v>
      </c>
      <c r="M30" s="28">
        <f t="shared" si="6"/>
        <v>1380</v>
      </c>
      <c r="N30" s="39">
        <v>-1628</v>
      </c>
      <c r="O30" s="40">
        <v>3.008</v>
      </c>
      <c r="P30" s="22">
        <f t="shared" si="7"/>
        <v>192</v>
      </c>
      <c r="Q30" s="36" t="e">
        <f>VLOOKUP(A30,#REF!,10,0)</f>
        <v>#REF!</v>
      </c>
      <c r="R30" s="30"/>
      <c r="S30" s="63" t="e">
        <f t="shared" si="1"/>
        <v>#REF!</v>
      </c>
      <c r="T30" s="64">
        <f t="shared" si="8"/>
        <v>2.5427499999999998</v>
      </c>
      <c r="U30" s="65"/>
      <c r="V30" s="67"/>
      <c r="W30" s="68"/>
      <c r="X30" s="67"/>
      <c r="Y30" s="67"/>
      <c r="Z30" s="67"/>
      <c r="AA30" s="67"/>
    </row>
    <row r="31" spans="1:27" ht="22.5" customHeight="1" outlineLevel="1" x14ac:dyDescent="0.25">
      <c r="A31" s="62" t="e">
        <f>'QTL-Km118+890,00'!A31</f>
        <v>#REF!</v>
      </c>
      <c r="B31" s="22" t="e">
        <f>'QTL-Km118+890,00'!B31</f>
        <v>#REF!</v>
      </c>
      <c r="C31" s="28">
        <f t="shared" si="2"/>
        <v>1330</v>
      </c>
      <c r="D31" s="84">
        <v>-991</v>
      </c>
      <c r="E31" s="40">
        <v>2.371</v>
      </c>
      <c r="F31" s="22">
        <f t="shared" si="3"/>
        <v>235</v>
      </c>
      <c r="G31" s="22" t="e">
        <f>'QTL-Km118+890,00'!G31</f>
        <v>#REF!</v>
      </c>
      <c r="H31" s="28">
        <f t="shared" si="4"/>
        <v>1318</v>
      </c>
      <c r="I31" s="84">
        <v>-1028</v>
      </c>
      <c r="J31" s="40">
        <v>2.3959999999999999</v>
      </c>
      <c r="K31" s="22">
        <f t="shared" si="5"/>
        <v>282</v>
      </c>
      <c r="L31" s="22" t="e">
        <f>'QTL-Km118+890,00'!L31</f>
        <v>#REF!</v>
      </c>
      <c r="M31" s="28">
        <f t="shared" si="6"/>
        <v>1367</v>
      </c>
      <c r="N31" s="39">
        <v>-1641</v>
      </c>
      <c r="O31" s="40">
        <v>3.008</v>
      </c>
      <c r="P31" s="22">
        <f t="shared" si="7"/>
        <v>205</v>
      </c>
      <c r="Q31" s="36"/>
      <c r="R31" s="30"/>
      <c r="S31" s="63" t="e">
        <f t="shared" si="1"/>
        <v>#REF!</v>
      </c>
      <c r="T31" s="64">
        <f t="shared" si="8"/>
        <v>2.5427499999999998</v>
      </c>
      <c r="U31" s="65"/>
      <c r="V31" s="67"/>
      <c r="W31" s="68"/>
      <c r="X31" s="67"/>
      <c r="Y31" s="67"/>
      <c r="Z31" s="67"/>
      <c r="AA31" s="67"/>
    </row>
    <row r="32" spans="1:27" ht="22.5" customHeight="1" outlineLevel="1" x14ac:dyDescent="0.25">
      <c r="A32" s="62" t="e">
        <f>'QTL-Km118+890,00'!A32</f>
        <v>#REF!</v>
      </c>
      <c r="B32" s="22" t="e">
        <f>'QTL-Km118+890,00'!B32</f>
        <v>#REF!</v>
      </c>
      <c r="C32" s="28">
        <f t="shared" si="2"/>
        <v>1311</v>
      </c>
      <c r="D32" s="84">
        <v>-1010</v>
      </c>
      <c r="E32" s="40">
        <v>2.371</v>
      </c>
      <c r="F32" s="22">
        <f t="shared" si="3"/>
        <v>254</v>
      </c>
      <c r="G32" s="22" t="e">
        <f>'QTL-Km118+890,00'!G32</f>
        <v>#REF!</v>
      </c>
      <c r="H32" s="28">
        <f t="shared" si="4"/>
        <v>1301</v>
      </c>
      <c r="I32" s="84">
        <v>-1045</v>
      </c>
      <c r="J32" s="40">
        <v>2.3959999999999999</v>
      </c>
      <c r="K32" s="22">
        <f t="shared" si="5"/>
        <v>299</v>
      </c>
      <c r="L32" s="22" t="e">
        <f>'QTL-Km118+890,00'!L32</f>
        <v>#REF!</v>
      </c>
      <c r="M32" s="28">
        <f t="shared" si="6"/>
        <v>1344</v>
      </c>
      <c r="N32" s="39">
        <v>-1664</v>
      </c>
      <c r="O32" s="40">
        <v>3.008</v>
      </c>
      <c r="P32" s="22">
        <f t="shared" si="7"/>
        <v>228</v>
      </c>
      <c r="Q32" s="36"/>
      <c r="R32" s="30"/>
      <c r="S32" s="63" t="e">
        <f t="shared" si="1"/>
        <v>#REF!</v>
      </c>
      <c r="T32" s="64">
        <f t="shared" si="8"/>
        <v>2.5427499999999998</v>
      </c>
      <c r="U32" s="65"/>
      <c r="V32" s="67"/>
      <c r="W32" s="68"/>
      <c r="X32" s="67"/>
      <c r="Y32" s="67"/>
      <c r="Z32" s="67"/>
      <c r="AA32" s="67"/>
    </row>
    <row r="33" spans="1:27" ht="22.5" customHeight="1" outlineLevel="1" x14ac:dyDescent="0.25">
      <c r="A33" s="62" t="e">
        <f>'QTL-Km118+890,00'!A33</f>
        <v>#REF!</v>
      </c>
      <c r="B33" s="22" t="e">
        <f>'QTL-Km118+890,00'!B33</f>
        <v>#REF!</v>
      </c>
      <c r="C33" s="28">
        <f t="shared" si="2"/>
        <v>1299</v>
      </c>
      <c r="D33" s="84">
        <v>-1022</v>
      </c>
      <c r="E33" s="40">
        <v>2.371</v>
      </c>
      <c r="F33" s="22">
        <f t="shared" si="3"/>
        <v>266</v>
      </c>
      <c r="G33" s="22" t="e">
        <f>'QTL-Km118+890,00'!G33</f>
        <v>#REF!</v>
      </c>
      <c r="H33" s="28">
        <f t="shared" si="4"/>
        <v>1296</v>
      </c>
      <c r="I33" s="84">
        <v>-1050</v>
      </c>
      <c r="J33" s="40">
        <v>2.3959999999999999</v>
      </c>
      <c r="K33" s="22">
        <f t="shared" si="5"/>
        <v>304</v>
      </c>
      <c r="L33" s="22" t="e">
        <f>'QTL-Km118+890,00'!L33</f>
        <v>#REF!</v>
      </c>
      <c r="M33" s="28">
        <f t="shared" si="6"/>
        <v>1332</v>
      </c>
      <c r="N33" s="39">
        <v>-1676</v>
      </c>
      <c r="O33" s="40">
        <v>3.008</v>
      </c>
      <c r="P33" s="22">
        <f t="shared" si="7"/>
        <v>240</v>
      </c>
      <c r="Q33" s="36"/>
      <c r="R33" s="30"/>
      <c r="S33" s="63" t="e">
        <f t="shared" si="1"/>
        <v>#REF!</v>
      </c>
      <c r="T33" s="64">
        <f t="shared" si="8"/>
        <v>2.5427499999999998</v>
      </c>
      <c r="U33" s="65"/>
      <c r="V33" s="67"/>
      <c r="W33" s="68"/>
      <c r="X33" s="67"/>
      <c r="Y33" s="67"/>
      <c r="Z33" s="67"/>
      <c r="AA33" s="67"/>
    </row>
    <row r="34" spans="1:27" ht="22.5" customHeight="1" outlineLevel="1" x14ac:dyDescent="0.25">
      <c r="A34" s="62" t="e">
        <f>'QTL-Km118+890,00'!A34</f>
        <v>#REF!</v>
      </c>
      <c r="B34" s="22" t="e">
        <f>'QTL-Km118+890,00'!B34</f>
        <v>#REF!</v>
      </c>
      <c r="C34" s="28">
        <f t="shared" si="2"/>
        <v>1282</v>
      </c>
      <c r="D34" s="84">
        <v>-1039</v>
      </c>
      <c r="E34" s="40">
        <v>2.371</v>
      </c>
      <c r="F34" s="22">
        <f t="shared" si="3"/>
        <v>283</v>
      </c>
      <c r="G34" s="22" t="e">
        <f>'QTL-Km118+890,00'!G34</f>
        <v>#REF!</v>
      </c>
      <c r="H34" s="28">
        <f t="shared" si="4"/>
        <v>1262</v>
      </c>
      <c r="I34" s="84">
        <v>-1084</v>
      </c>
      <c r="J34" s="40">
        <v>2.3959999999999999</v>
      </c>
      <c r="K34" s="22">
        <f t="shared" si="5"/>
        <v>338</v>
      </c>
      <c r="L34" s="22" t="e">
        <f>'QTL-Km118+890,00'!L34</f>
        <v>#REF!</v>
      </c>
      <c r="M34" s="28">
        <f t="shared" si="6"/>
        <v>1324</v>
      </c>
      <c r="N34" s="39">
        <v>-1684</v>
      </c>
      <c r="O34" s="40">
        <v>3.008</v>
      </c>
      <c r="P34" s="22">
        <f t="shared" si="7"/>
        <v>248</v>
      </c>
      <c r="Q34" s="36"/>
      <c r="R34" s="30"/>
      <c r="S34" s="63" t="e">
        <f t="shared" si="1"/>
        <v>#REF!</v>
      </c>
      <c r="T34" s="64">
        <f t="shared" si="8"/>
        <v>2.5427499999999998</v>
      </c>
      <c r="U34" s="65"/>
      <c r="V34" s="67"/>
      <c r="W34" s="68"/>
      <c r="X34" s="67"/>
      <c r="Y34" s="67"/>
      <c r="Z34" s="67"/>
      <c r="AA34" s="67"/>
    </row>
    <row r="35" spans="1:27" ht="22.5" customHeight="1" outlineLevel="1" x14ac:dyDescent="0.25">
      <c r="A35" s="62" t="e">
        <f>'QTL-Km118+890,00'!A35</f>
        <v>#REF!</v>
      </c>
      <c r="B35" s="22" t="e">
        <f>'QTL-Km118+890,00'!B35</f>
        <v>#REF!</v>
      </c>
      <c r="C35" s="28">
        <f t="shared" si="2"/>
        <v>1274</v>
      </c>
      <c r="D35" s="84">
        <v>-1047</v>
      </c>
      <c r="E35" s="40">
        <v>2.371</v>
      </c>
      <c r="F35" s="22">
        <f t="shared" si="3"/>
        <v>291</v>
      </c>
      <c r="G35" s="22" t="e">
        <f>'QTL-Km118+890,00'!G35</f>
        <v>#REF!</v>
      </c>
      <c r="H35" s="28">
        <f t="shared" si="4"/>
        <v>1252</v>
      </c>
      <c r="I35" s="84">
        <v>-1094</v>
      </c>
      <c r="J35" s="40">
        <v>2.3959999999999999</v>
      </c>
      <c r="K35" s="22">
        <f t="shared" si="5"/>
        <v>348</v>
      </c>
      <c r="L35" s="22" t="e">
        <f>'QTL-Km118+890,00'!L35</f>
        <v>#REF!</v>
      </c>
      <c r="M35" s="28">
        <f t="shared" si="6"/>
        <v>1314</v>
      </c>
      <c r="N35" s="39">
        <v>-1694</v>
      </c>
      <c r="O35" s="40">
        <v>3.008</v>
      </c>
      <c r="P35" s="22">
        <f t="shared" si="7"/>
        <v>258</v>
      </c>
      <c r="Q35" s="36"/>
      <c r="R35" s="30"/>
      <c r="S35" s="63" t="e">
        <f t="shared" si="1"/>
        <v>#REF!</v>
      </c>
      <c r="T35" s="64">
        <f t="shared" si="8"/>
        <v>2.5427499999999998</v>
      </c>
      <c r="U35" s="65"/>
      <c r="V35" s="67"/>
      <c r="W35" s="68"/>
      <c r="X35" s="67"/>
      <c r="Y35" s="67"/>
      <c r="Z35" s="67"/>
      <c r="AA35" s="67"/>
    </row>
    <row r="36" spans="1:27" ht="22.5" customHeight="1" outlineLevel="1" x14ac:dyDescent="0.25">
      <c r="A36" s="62" t="e">
        <f>'QTL-Km118+890,00'!A36</f>
        <v>#REF!</v>
      </c>
      <c r="B36" s="22" t="e">
        <f>'QTL-Km118+890,00'!B36</f>
        <v>#REF!</v>
      </c>
      <c r="C36" s="28">
        <f t="shared" si="2"/>
        <v>1265</v>
      </c>
      <c r="D36" s="84">
        <v>-1056</v>
      </c>
      <c r="E36" s="40">
        <v>2.371</v>
      </c>
      <c r="F36" s="22">
        <f t="shared" si="3"/>
        <v>300</v>
      </c>
      <c r="G36" s="22" t="e">
        <f>'QTL-Km118+890,00'!G36</f>
        <v>#REF!</v>
      </c>
      <c r="H36" s="28">
        <f t="shared" si="4"/>
        <v>1226</v>
      </c>
      <c r="I36" s="24">
        <v>-1120</v>
      </c>
      <c r="J36" s="40">
        <v>2.3959999999999999</v>
      </c>
      <c r="K36" s="22">
        <f t="shared" si="5"/>
        <v>374</v>
      </c>
      <c r="L36" s="22" t="e">
        <f>'QTL-Km118+890,00'!L36</f>
        <v>#REF!</v>
      </c>
      <c r="M36" s="28">
        <f t="shared" si="6"/>
        <v>1301</v>
      </c>
      <c r="N36" s="39">
        <v>-1707</v>
      </c>
      <c r="O36" s="40">
        <v>3.008</v>
      </c>
      <c r="P36" s="22">
        <f t="shared" si="7"/>
        <v>271</v>
      </c>
      <c r="Q36" s="36"/>
      <c r="R36" s="30"/>
      <c r="S36" s="63" t="e">
        <f t="shared" si="1"/>
        <v>#REF!</v>
      </c>
      <c r="T36" s="64">
        <f t="shared" si="8"/>
        <v>2.5427499999999998</v>
      </c>
      <c r="U36" s="65"/>
      <c r="V36" s="67"/>
      <c r="W36" s="68"/>
      <c r="X36" s="67"/>
      <c r="Y36" s="67"/>
      <c r="Z36" s="67"/>
      <c r="AA36" s="67"/>
    </row>
    <row r="37" spans="1:27" ht="22.5" customHeight="1" outlineLevel="1" x14ac:dyDescent="0.2">
      <c r="A37" s="62" t="e">
        <f>'QTL-Km118+890,00'!A37</f>
        <v>#REF!</v>
      </c>
      <c r="B37" s="22" t="e">
        <f>'QTL-Km118+890,00'!B37</f>
        <v>#REF!</v>
      </c>
      <c r="C37" s="28">
        <f t="shared" si="2"/>
        <v>1241</v>
      </c>
      <c r="D37" s="24">
        <v>-1080</v>
      </c>
      <c r="E37" s="40">
        <v>2.371</v>
      </c>
      <c r="F37" s="22">
        <f t="shared" si="3"/>
        <v>324</v>
      </c>
      <c r="G37" s="22" t="e">
        <f>'QTL-Km118+890,00'!G37</f>
        <v>#REF!</v>
      </c>
      <c r="H37" s="28">
        <f t="shared" si="4"/>
        <v>1196</v>
      </c>
      <c r="I37" s="24">
        <v>-1150</v>
      </c>
      <c r="J37" s="40">
        <v>2.3959999999999999</v>
      </c>
      <c r="K37" s="22">
        <f t="shared" si="5"/>
        <v>404</v>
      </c>
      <c r="L37" s="22" t="e">
        <f>'QTL-Km118+890,00'!L37</f>
        <v>#REF!</v>
      </c>
      <c r="M37" s="28">
        <f t="shared" si="6"/>
        <v>1281</v>
      </c>
      <c r="N37" s="39">
        <v>-1727</v>
      </c>
      <c r="O37" s="40">
        <v>3.008</v>
      </c>
      <c r="P37" s="22">
        <f t="shared" si="7"/>
        <v>291</v>
      </c>
      <c r="Q37" s="36"/>
      <c r="R37" s="30"/>
      <c r="S37" s="63" t="e">
        <f t="shared" si="1"/>
        <v>#REF!</v>
      </c>
      <c r="T37" s="64">
        <f t="shared" si="8"/>
        <v>2.5427499999999998</v>
      </c>
      <c r="U37" s="65"/>
      <c r="V37" s="67"/>
      <c r="W37" s="68"/>
      <c r="X37" s="67"/>
      <c r="Y37" s="67"/>
      <c r="Z37" s="67"/>
      <c r="AA37" s="67"/>
    </row>
    <row r="38" spans="1:27" ht="22.5" customHeight="1" outlineLevel="1" x14ac:dyDescent="0.2">
      <c r="A38" s="62" t="e">
        <f>'QTL-Km118+890,00'!A38</f>
        <v>#REF!</v>
      </c>
      <c r="B38" s="22" t="e">
        <f>'QTL-Km118+890,00'!B38</f>
        <v>#REF!</v>
      </c>
      <c r="C38" s="28">
        <f t="shared" si="2"/>
        <v>1219</v>
      </c>
      <c r="D38" s="24">
        <v>-1102</v>
      </c>
      <c r="E38" s="40">
        <v>2.371</v>
      </c>
      <c r="F38" s="22">
        <f t="shared" si="3"/>
        <v>346</v>
      </c>
      <c r="G38" s="22" t="e">
        <f>'QTL-Km118+890,00'!G38</f>
        <v>#REF!</v>
      </c>
      <c r="H38" s="28">
        <f t="shared" si="4"/>
        <v>1166</v>
      </c>
      <c r="I38" s="24">
        <v>-1180</v>
      </c>
      <c r="J38" s="40">
        <v>2.3959999999999999</v>
      </c>
      <c r="K38" s="22">
        <f t="shared" si="5"/>
        <v>434</v>
      </c>
      <c r="L38" s="22" t="e">
        <f>'QTL-Km118+890,00'!L38</f>
        <v>#REF!</v>
      </c>
      <c r="M38" s="28">
        <f t="shared" si="6"/>
        <v>1259</v>
      </c>
      <c r="N38" s="39">
        <v>-1749</v>
      </c>
      <c r="O38" s="40">
        <v>3.008</v>
      </c>
      <c r="P38" s="22">
        <f t="shared" si="7"/>
        <v>313</v>
      </c>
      <c r="Q38" s="36"/>
      <c r="R38" s="30"/>
      <c r="S38" s="63" t="e">
        <f t="shared" si="1"/>
        <v>#REF!</v>
      </c>
      <c r="T38" s="64">
        <f t="shared" si="8"/>
        <v>2.5427499999999998</v>
      </c>
      <c r="U38" s="65"/>
      <c r="V38" s="67"/>
      <c r="W38" s="68"/>
      <c r="X38" s="67"/>
      <c r="Y38" s="67"/>
      <c r="Z38" s="67"/>
      <c r="AA38" s="67"/>
    </row>
    <row r="39" spans="1:27" ht="22.5" customHeight="1" outlineLevel="1" x14ac:dyDescent="0.2">
      <c r="A39" s="62" t="e">
        <f>'QTL-Km118+890,00'!A39</f>
        <v>#REF!</v>
      </c>
      <c r="B39" s="22" t="e">
        <f>'QTL-Km118+890,00'!B39</f>
        <v>#REF!</v>
      </c>
      <c r="C39" s="28">
        <f t="shared" si="2"/>
        <v>1186</v>
      </c>
      <c r="D39" s="24">
        <v>-1135</v>
      </c>
      <c r="E39" s="40">
        <v>2.371</v>
      </c>
      <c r="F39" s="22">
        <f t="shared" si="3"/>
        <v>379</v>
      </c>
      <c r="G39" s="22" t="e">
        <f>'QTL-Km118+890,00'!G39</f>
        <v>#REF!</v>
      </c>
      <c r="H39" s="28">
        <f t="shared" si="4"/>
        <v>1141</v>
      </c>
      <c r="I39" s="39">
        <v>-1205</v>
      </c>
      <c r="J39" s="40">
        <v>2.3959999999999999</v>
      </c>
      <c r="K39" s="22">
        <f t="shared" si="5"/>
        <v>459</v>
      </c>
      <c r="L39" s="22" t="e">
        <f>'QTL-Km118+890,00'!L39</f>
        <v>#REF!</v>
      </c>
      <c r="M39" s="28">
        <f t="shared" si="6"/>
        <v>1254</v>
      </c>
      <c r="N39" s="39">
        <v>-1754</v>
      </c>
      <c r="O39" s="40">
        <v>3.008</v>
      </c>
      <c r="P39" s="22">
        <f t="shared" si="7"/>
        <v>318</v>
      </c>
      <c r="Q39" s="36"/>
      <c r="R39" s="30"/>
      <c r="S39" s="63" t="e">
        <f t="shared" si="1"/>
        <v>#REF!</v>
      </c>
      <c r="T39" s="64">
        <f t="shared" si="8"/>
        <v>2.5427499999999998</v>
      </c>
      <c r="U39" s="65"/>
      <c r="V39" s="67"/>
      <c r="W39" s="68"/>
      <c r="X39" s="67"/>
      <c r="Y39" s="67"/>
      <c r="Z39" s="67"/>
      <c r="AA39" s="67"/>
    </row>
    <row r="40" spans="1:27" ht="22.5" customHeight="1" outlineLevel="1" x14ac:dyDescent="0.2">
      <c r="A40" s="62" t="e">
        <f>'QTL-Km118+890,00'!A40</f>
        <v>#REF!</v>
      </c>
      <c r="B40" s="22" t="e">
        <f>'QTL-Km118+890,00'!B40</f>
        <v>#REF!</v>
      </c>
      <c r="C40" s="28">
        <f t="shared" si="2"/>
        <v>1161</v>
      </c>
      <c r="D40" s="24">
        <v>-1160</v>
      </c>
      <c r="E40" s="40">
        <v>2.371</v>
      </c>
      <c r="F40" s="22">
        <f t="shared" si="3"/>
        <v>404</v>
      </c>
      <c r="G40" s="22" t="e">
        <f>'QTL-Km118+890,00'!G40</f>
        <v>#REF!</v>
      </c>
      <c r="H40" s="28">
        <f t="shared" si="4"/>
        <v>1124</v>
      </c>
      <c r="I40" s="39">
        <v>-1222</v>
      </c>
      <c r="J40" s="40">
        <v>2.3959999999999999</v>
      </c>
      <c r="K40" s="22">
        <f t="shared" si="5"/>
        <v>476</v>
      </c>
      <c r="L40" s="22" t="e">
        <f>'QTL-Km118+890,00'!L40</f>
        <v>#REF!</v>
      </c>
      <c r="M40" s="28">
        <f t="shared" si="6"/>
        <v>1248</v>
      </c>
      <c r="N40" s="39">
        <v>-1760</v>
      </c>
      <c r="O40" s="40">
        <v>3.008</v>
      </c>
      <c r="P40" s="22">
        <f t="shared" si="7"/>
        <v>324</v>
      </c>
      <c r="Q40" s="36"/>
      <c r="R40" s="30"/>
      <c r="S40" s="63" t="e">
        <f t="shared" si="1"/>
        <v>#REF!</v>
      </c>
      <c r="T40" s="64">
        <f t="shared" si="8"/>
        <v>2.5427499999999998</v>
      </c>
      <c r="U40" s="65"/>
      <c r="V40" s="67"/>
      <c r="W40" s="68"/>
      <c r="X40" s="67"/>
      <c r="Y40" s="67"/>
      <c r="Z40" s="67"/>
      <c r="AA40" s="67"/>
    </row>
    <row r="41" spans="1:27" ht="22.5" customHeight="1" outlineLevel="1" x14ac:dyDescent="0.2">
      <c r="A41" s="62" t="e">
        <f>'QTL-Km118+890,00'!A41</f>
        <v>#REF!</v>
      </c>
      <c r="B41" s="22" t="e">
        <f>'QTL-Km118+890,00'!B41</f>
        <v>#REF!</v>
      </c>
      <c r="C41" s="28">
        <f t="shared" si="2"/>
        <v>1141</v>
      </c>
      <c r="D41" s="39">
        <v>-1180</v>
      </c>
      <c r="E41" s="40">
        <v>2.371</v>
      </c>
      <c r="F41" s="22">
        <f t="shared" si="3"/>
        <v>424</v>
      </c>
      <c r="G41" s="22" t="e">
        <f>'QTL-Km118+890,00'!G41</f>
        <v>#REF!</v>
      </c>
      <c r="H41" s="28">
        <f t="shared" si="4"/>
        <v>1109</v>
      </c>
      <c r="I41" s="39">
        <v>-1237</v>
      </c>
      <c r="J41" s="40">
        <v>2.3959999999999999</v>
      </c>
      <c r="K41" s="22">
        <f t="shared" si="5"/>
        <v>491</v>
      </c>
      <c r="L41" s="22" t="e">
        <f>'QTL-Km118+890,00'!L41</f>
        <v>#REF!</v>
      </c>
      <c r="M41" s="28">
        <f t="shared" si="6"/>
        <v>1240</v>
      </c>
      <c r="N41" s="39">
        <v>-1768</v>
      </c>
      <c r="O41" s="40">
        <v>3.008</v>
      </c>
      <c r="P41" s="22">
        <f t="shared" si="7"/>
        <v>332</v>
      </c>
      <c r="Q41" s="36"/>
      <c r="R41" s="30"/>
      <c r="S41" s="63" t="e">
        <f t="shared" si="1"/>
        <v>#REF!</v>
      </c>
      <c r="T41" s="64">
        <f t="shared" si="8"/>
        <v>2.5427499999999998</v>
      </c>
      <c r="U41" s="65"/>
      <c r="V41" s="65"/>
      <c r="W41" s="66"/>
      <c r="X41" s="65"/>
      <c r="Y41" s="65"/>
      <c r="Z41" s="65"/>
      <c r="AA41" s="65"/>
    </row>
    <row r="42" spans="1:27" ht="22.5" customHeight="1" outlineLevel="1" x14ac:dyDescent="0.2">
      <c r="A42" s="62" t="e">
        <f>'QTL-Km118+890,00'!A42</f>
        <v>#REF!</v>
      </c>
      <c r="B42" s="22" t="e">
        <f>'QTL-Km118+890,00'!B42</f>
        <v>#REF!</v>
      </c>
      <c r="C42" s="28">
        <f t="shared" si="2"/>
        <v>1126</v>
      </c>
      <c r="D42" s="39">
        <v>-1195</v>
      </c>
      <c r="E42" s="40">
        <v>2.371</v>
      </c>
      <c r="F42" s="22">
        <f t="shared" si="3"/>
        <v>439</v>
      </c>
      <c r="G42" s="22" t="e">
        <f>'QTL-Km118+890,00'!G42</f>
        <v>#REF!</v>
      </c>
      <c r="H42" s="28">
        <f t="shared" si="4"/>
        <v>1095</v>
      </c>
      <c r="I42" s="39">
        <v>-1251</v>
      </c>
      <c r="J42" s="40">
        <v>2.3959999999999999</v>
      </c>
      <c r="K42" s="22">
        <f t="shared" si="5"/>
        <v>505</v>
      </c>
      <c r="L42" s="22" t="e">
        <f>'QTL-Km118+890,00'!L42</f>
        <v>#REF!</v>
      </c>
      <c r="M42" s="28">
        <f t="shared" si="6"/>
        <v>1232</v>
      </c>
      <c r="N42" s="39">
        <v>-1776</v>
      </c>
      <c r="O42" s="40">
        <v>3.008</v>
      </c>
      <c r="P42" s="22">
        <f t="shared" si="7"/>
        <v>340</v>
      </c>
      <c r="Q42" s="36"/>
      <c r="R42" s="30"/>
      <c r="S42" s="63"/>
      <c r="T42" s="64"/>
      <c r="U42" s="65"/>
      <c r="V42" s="65"/>
      <c r="W42" s="66"/>
      <c r="X42" s="65"/>
      <c r="Y42" s="65"/>
      <c r="Z42" s="65"/>
      <c r="AA42" s="65"/>
    </row>
    <row r="43" spans="1:27" ht="22.5" customHeight="1" outlineLevel="1" x14ac:dyDescent="0.2">
      <c r="A43" s="62" t="e">
        <f>'QTL-Km118+890,00'!A43</f>
        <v>#REF!</v>
      </c>
      <c r="B43" s="22" t="e">
        <f>'QTL-Km118+890,00'!B43</f>
        <v>#REF!</v>
      </c>
      <c r="C43" s="28">
        <f t="shared" si="2"/>
        <v>1114</v>
      </c>
      <c r="D43" s="39">
        <v>-1207</v>
      </c>
      <c r="E43" s="40">
        <v>2.371</v>
      </c>
      <c r="F43" s="22">
        <f t="shared" si="3"/>
        <v>451</v>
      </c>
      <c r="G43" s="22" t="e">
        <f>'QTL-Km118+890,00'!G43</f>
        <v>#REF!</v>
      </c>
      <c r="H43" s="28">
        <f t="shared" si="4"/>
        <v>1080</v>
      </c>
      <c r="I43" s="39">
        <v>-1266</v>
      </c>
      <c r="J43" s="40">
        <v>2.3959999999999999</v>
      </c>
      <c r="K43" s="22">
        <f t="shared" si="5"/>
        <v>520</v>
      </c>
      <c r="L43" s="22" t="e">
        <f>'QTL-Km118+890,00'!L43</f>
        <v>#REF!</v>
      </c>
      <c r="M43" s="28">
        <f t="shared" si="6"/>
        <v>1224</v>
      </c>
      <c r="N43" s="39">
        <v>-1784</v>
      </c>
      <c r="O43" s="40">
        <v>3.008</v>
      </c>
      <c r="P43" s="22">
        <f t="shared" si="7"/>
        <v>348</v>
      </c>
      <c r="Q43" s="36"/>
      <c r="R43" s="30"/>
      <c r="S43" s="63" t="e">
        <f t="shared" ref="S43:S66" si="9">+A43</f>
        <v>#REF!</v>
      </c>
      <c r="T43" s="64">
        <f t="shared" ref="T43:T66" si="10">+(E43+2*J43+O43)/4</f>
        <v>2.5427499999999998</v>
      </c>
      <c r="U43" s="65"/>
      <c r="V43" s="65"/>
      <c r="W43" s="66"/>
      <c r="X43" s="65"/>
      <c r="Y43" s="65"/>
      <c r="Z43" s="65"/>
      <c r="AA43" s="65"/>
    </row>
    <row r="44" spans="1:27" ht="22.5" customHeight="1" outlineLevel="1" x14ac:dyDescent="0.2">
      <c r="A44" s="62" t="e">
        <f>'QTL-Km118+890,00'!A44</f>
        <v>#REF!</v>
      </c>
      <c r="B44" s="22" t="e">
        <f>'QTL-Km118+890,00'!B44</f>
        <v>#REF!</v>
      </c>
      <c r="C44" s="28">
        <f t="shared" si="2"/>
        <v>1102</v>
      </c>
      <c r="D44" s="39">
        <v>-1219</v>
      </c>
      <c r="E44" s="40">
        <v>2.371</v>
      </c>
      <c r="F44" s="22">
        <f t="shared" si="3"/>
        <v>463</v>
      </c>
      <c r="G44" s="22" t="e">
        <f>'QTL-Km118+890,00'!G44</f>
        <v>#REF!</v>
      </c>
      <c r="H44" s="28">
        <f t="shared" si="4"/>
        <v>1067</v>
      </c>
      <c r="I44" s="39">
        <v>-1279</v>
      </c>
      <c r="J44" s="40">
        <v>2.3959999999999999</v>
      </c>
      <c r="K44" s="22">
        <f t="shared" si="5"/>
        <v>533</v>
      </c>
      <c r="L44" s="22" t="e">
        <f>'QTL-Km118+890,00'!L44</f>
        <v>#REF!</v>
      </c>
      <c r="M44" s="28">
        <f t="shared" si="6"/>
        <v>1209</v>
      </c>
      <c r="N44" s="39">
        <v>-1799</v>
      </c>
      <c r="O44" s="40">
        <v>3.008</v>
      </c>
      <c r="P44" s="22">
        <f t="shared" si="7"/>
        <v>363</v>
      </c>
      <c r="Q44" s="36"/>
      <c r="R44" s="30"/>
      <c r="S44" s="63" t="e">
        <f t="shared" si="9"/>
        <v>#REF!</v>
      </c>
      <c r="T44" s="64">
        <f t="shared" si="10"/>
        <v>2.5427499999999998</v>
      </c>
      <c r="U44" s="65"/>
      <c r="V44" s="65"/>
      <c r="W44" s="66"/>
      <c r="X44" s="65"/>
      <c r="Y44" s="65"/>
      <c r="Z44" s="65"/>
      <c r="AA44" s="65"/>
    </row>
    <row r="45" spans="1:27" ht="22.5" customHeight="1" outlineLevel="1" x14ac:dyDescent="0.2">
      <c r="A45" s="62" t="e">
        <f>'QTL-Km118+890,00'!A45</f>
        <v>#REF!</v>
      </c>
      <c r="B45" s="22" t="e">
        <f>'QTL-Km118+890,00'!B45</f>
        <v>#REF!</v>
      </c>
      <c r="C45" s="28">
        <f t="shared" si="2"/>
        <v>1098</v>
      </c>
      <c r="D45" s="39">
        <v>-1223</v>
      </c>
      <c r="E45" s="40">
        <v>2.371</v>
      </c>
      <c r="F45" s="22">
        <f t="shared" si="3"/>
        <v>467</v>
      </c>
      <c r="G45" s="22" t="e">
        <f>'QTL-Km118+890,00'!G45</f>
        <v>#REF!</v>
      </c>
      <c r="H45" s="28">
        <f t="shared" si="4"/>
        <v>1062</v>
      </c>
      <c r="I45" s="39">
        <v>-1284</v>
      </c>
      <c r="J45" s="40">
        <v>2.3959999999999999</v>
      </c>
      <c r="K45" s="22">
        <f t="shared" si="5"/>
        <v>538</v>
      </c>
      <c r="L45" s="22" t="e">
        <f>'QTL-Km118+890,00'!L45</f>
        <v>#REF!</v>
      </c>
      <c r="M45" s="28">
        <f t="shared" si="6"/>
        <v>1207</v>
      </c>
      <c r="N45" s="39">
        <v>-1801</v>
      </c>
      <c r="O45" s="40">
        <v>3.008</v>
      </c>
      <c r="P45" s="22">
        <f t="shared" si="7"/>
        <v>365</v>
      </c>
      <c r="Q45" s="36"/>
      <c r="R45" s="30"/>
      <c r="S45" s="63" t="e">
        <f t="shared" si="9"/>
        <v>#REF!</v>
      </c>
      <c r="T45" s="64">
        <f t="shared" si="10"/>
        <v>2.5427499999999998</v>
      </c>
      <c r="U45" s="65"/>
      <c r="V45" s="65"/>
      <c r="W45" s="66"/>
      <c r="X45" s="65"/>
      <c r="Y45" s="65"/>
      <c r="Z45" s="65"/>
      <c r="AA45" s="65"/>
    </row>
    <row r="46" spans="1:27" ht="22.5" customHeight="1" outlineLevel="1" x14ac:dyDescent="0.2">
      <c r="A46" s="62" t="e">
        <f>'QTL-Km118+890,00'!A46</f>
        <v>#REF!</v>
      </c>
      <c r="B46" s="22" t="e">
        <f>'QTL-Km118+890,00'!B46</f>
        <v>#REF!</v>
      </c>
      <c r="C46" s="28">
        <f t="shared" si="2"/>
        <v>1095</v>
      </c>
      <c r="D46" s="39">
        <v>-1226</v>
      </c>
      <c r="E46" s="40">
        <v>2.371</v>
      </c>
      <c r="F46" s="22">
        <f t="shared" si="3"/>
        <v>470</v>
      </c>
      <c r="G46" s="22" t="e">
        <f>'QTL-Km118+890,00'!G46</f>
        <v>#REF!</v>
      </c>
      <c r="H46" s="28">
        <f t="shared" si="4"/>
        <v>1057</v>
      </c>
      <c r="I46" s="39">
        <v>-1289</v>
      </c>
      <c r="J46" s="40">
        <v>2.3959999999999999</v>
      </c>
      <c r="K46" s="22">
        <f t="shared" si="5"/>
        <v>543</v>
      </c>
      <c r="L46" s="22" t="e">
        <f>'QTL-Km118+890,00'!L46</f>
        <v>#REF!</v>
      </c>
      <c r="M46" s="28">
        <f t="shared" si="6"/>
        <v>1205</v>
      </c>
      <c r="N46" s="39">
        <v>-1803</v>
      </c>
      <c r="O46" s="40">
        <v>3.008</v>
      </c>
      <c r="P46" s="22">
        <f t="shared" si="7"/>
        <v>367</v>
      </c>
      <c r="Q46" s="36"/>
      <c r="R46" s="30"/>
      <c r="S46" s="63" t="e">
        <f t="shared" si="9"/>
        <v>#REF!</v>
      </c>
      <c r="T46" s="64">
        <f t="shared" si="10"/>
        <v>2.5427499999999998</v>
      </c>
      <c r="U46" s="65"/>
      <c r="V46" s="65"/>
      <c r="W46" s="66"/>
      <c r="X46" s="65"/>
      <c r="Y46" s="65"/>
      <c r="Z46" s="65"/>
      <c r="AA46" s="65"/>
    </row>
    <row r="47" spans="1:27" ht="22.5" customHeight="1" outlineLevel="1" x14ac:dyDescent="0.2">
      <c r="A47" s="62" t="e">
        <f>'QTL-Km118+890,00'!A47</f>
        <v>#REF!</v>
      </c>
      <c r="B47" s="22" t="e">
        <f>'QTL-Km118+890,00'!B47</f>
        <v>#REF!</v>
      </c>
      <c r="C47" s="28">
        <f t="shared" si="2"/>
        <v>1092</v>
      </c>
      <c r="D47" s="39">
        <v>-1229</v>
      </c>
      <c r="E47" s="40">
        <v>2.371</v>
      </c>
      <c r="F47" s="22">
        <f t="shared" si="3"/>
        <v>473</v>
      </c>
      <c r="G47" s="22" t="e">
        <f>'QTL-Km118+890,00'!G47</f>
        <v>#REF!</v>
      </c>
      <c r="H47" s="28">
        <f t="shared" si="4"/>
        <v>1052</v>
      </c>
      <c r="I47" s="39">
        <v>-1294</v>
      </c>
      <c r="J47" s="40">
        <v>2.3959999999999999</v>
      </c>
      <c r="K47" s="22">
        <f t="shared" si="5"/>
        <v>548</v>
      </c>
      <c r="L47" s="22" t="e">
        <f>'QTL-Km118+890,00'!L47</f>
        <v>#REF!</v>
      </c>
      <c r="M47" s="28">
        <f t="shared" si="6"/>
        <v>1204</v>
      </c>
      <c r="N47" s="39">
        <v>-1804</v>
      </c>
      <c r="O47" s="40">
        <v>3.008</v>
      </c>
      <c r="P47" s="22">
        <f t="shared" si="7"/>
        <v>368</v>
      </c>
      <c r="Q47" s="36"/>
      <c r="R47" s="30"/>
      <c r="S47" s="63" t="e">
        <f t="shared" si="9"/>
        <v>#REF!</v>
      </c>
      <c r="T47" s="64">
        <f t="shared" si="10"/>
        <v>2.5427499999999998</v>
      </c>
      <c r="U47" s="65"/>
      <c r="V47" s="65"/>
      <c r="W47" s="66"/>
      <c r="X47" s="65"/>
      <c r="Y47" s="65"/>
      <c r="Z47" s="65"/>
      <c r="AA47" s="65"/>
    </row>
    <row r="48" spans="1:27" ht="22.5" customHeight="1" outlineLevel="1" x14ac:dyDescent="0.2">
      <c r="A48" s="62" t="e">
        <f>'QTL-Km118+890,00'!A48</f>
        <v>#REF!</v>
      </c>
      <c r="B48" s="22" t="e">
        <f>'QTL-Km118+890,00'!B48</f>
        <v>#REF!</v>
      </c>
      <c r="C48" s="28">
        <f t="shared" si="2"/>
        <v>1084</v>
      </c>
      <c r="D48" s="39">
        <v>-1237</v>
      </c>
      <c r="E48" s="40">
        <v>2.371</v>
      </c>
      <c r="F48" s="22">
        <f t="shared" si="3"/>
        <v>481</v>
      </c>
      <c r="G48" s="22" t="e">
        <f>'QTL-Km118+890,00'!G48</f>
        <v>#REF!</v>
      </c>
      <c r="H48" s="28">
        <f t="shared" si="4"/>
        <v>1047</v>
      </c>
      <c r="I48" s="39">
        <v>-1299</v>
      </c>
      <c r="J48" s="40">
        <v>2.3959999999999999</v>
      </c>
      <c r="K48" s="22">
        <f t="shared" si="5"/>
        <v>553</v>
      </c>
      <c r="L48" s="22" t="e">
        <f>'QTL-Km118+890,00'!L48</f>
        <v>#REF!</v>
      </c>
      <c r="M48" s="28">
        <f t="shared" si="6"/>
        <v>1200</v>
      </c>
      <c r="N48" s="39">
        <v>-1808</v>
      </c>
      <c r="O48" s="40">
        <v>3.008</v>
      </c>
      <c r="P48" s="22">
        <f t="shared" si="7"/>
        <v>372</v>
      </c>
      <c r="Q48" s="36"/>
      <c r="R48" s="30"/>
      <c r="S48" s="63" t="e">
        <f t="shared" si="9"/>
        <v>#REF!</v>
      </c>
      <c r="T48" s="64">
        <f t="shared" si="10"/>
        <v>2.5427499999999998</v>
      </c>
      <c r="U48" s="65"/>
      <c r="V48" s="65"/>
      <c r="W48" s="66"/>
      <c r="X48" s="65"/>
      <c r="Y48" s="65"/>
      <c r="Z48" s="65"/>
      <c r="AA48" s="65"/>
    </row>
    <row r="49" spans="1:27" ht="22.5" customHeight="1" outlineLevel="1" x14ac:dyDescent="0.2">
      <c r="A49" s="62" t="e">
        <f>'QTL-Km118+890,00'!A49</f>
        <v>#REF!</v>
      </c>
      <c r="B49" s="22" t="e">
        <f>'QTL-Km118+890,00'!B49</f>
        <v>#REF!</v>
      </c>
      <c r="C49" s="28">
        <f t="shared" si="2"/>
        <v>1078</v>
      </c>
      <c r="D49" s="39">
        <v>-1243</v>
      </c>
      <c r="E49" s="40">
        <v>2.371</v>
      </c>
      <c r="F49" s="22">
        <f t="shared" si="3"/>
        <v>487</v>
      </c>
      <c r="G49" s="22" t="e">
        <f>'QTL-Km118+890,00'!G49</f>
        <v>#REF!</v>
      </c>
      <c r="H49" s="28">
        <f t="shared" si="4"/>
        <v>1042</v>
      </c>
      <c r="I49" s="39">
        <v>-1304</v>
      </c>
      <c r="J49" s="40">
        <v>2.3959999999999999</v>
      </c>
      <c r="K49" s="22">
        <f t="shared" si="5"/>
        <v>558</v>
      </c>
      <c r="L49" s="22" t="e">
        <f>'QTL-Km118+890,00'!L49</f>
        <v>#REF!</v>
      </c>
      <c r="M49" s="28">
        <f t="shared" si="6"/>
        <v>1196</v>
      </c>
      <c r="N49" s="39">
        <v>-1812</v>
      </c>
      <c r="O49" s="40">
        <v>3.008</v>
      </c>
      <c r="P49" s="22">
        <f t="shared" si="7"/>
        <v>376</v>
      </c>
      <c r="Q49" s="36"/>
      <c r="R49" s="30"/>
      <c r="S49" s="63" t="e">
        <f t="shared" si="9"/>
        <v>#REF!</v>
      </c>
      <c r="T49" s="64">
        <f t="shared" si="10"/>
        <v>2.5427499999999998</v>
      </c>
      <c r="U49" s="65"/>
      <c r="V49" s="65"/>
      <c r="W49" s="66"/>
      <c r="X49" s="65"/>
      <c r="Y49" s="65"/>
      <c r="Z49" s="65"/>
      <c r="AA49" s="65"/>
    </row>
    <row r="50" spans="1:27" ht="22.5" customHeight="1" outlineLevel="1" x14ac:dyDescent="0.2">
      <c r="A50" s="62" t="e">
        <f>'QTL-Km118+890,00'!A50</f>
        <v>#REF!</v>
      </c>
      <c r="B50" s="22" t="e">
        <f>'QTL-Km118+890,00'!B50</f>
        <v>#REF!</v>
      </c>
      <c r="C50" s="28">
        <f t="shared" si="2"/>
        <v>1071</v>
      </c>
      <c r="D50" s="39">
        <v>-1250</v>
      </c>
      <c r="E50" s="40">
        <v>2.371</v>
      </c>
      <c r="F50" s="22">
        <f t="shared" si="3"/>
        <v>494</v>
      </c>
      <c r="G50" s="22" t="e">
        <f>'QTL-Km118+890,00'!G50</f>
        <v>#REF!</v>
      </c>
      <c r="H50" s="28">
        <f t="shared" si="4"/>
        <v>1037</v>
      </c>
      <c r="I50" s="39">
        <v>-1309</v>
      </c>
      <c r="J50" s="40">
        <v>2.3959999999999999</v>
      </c>
      <c r="K50" s="22">
        <f t="shared" si="5"/>
        <v>563</v>
      </c>
      <c r="L50" s="22" t="e">
        <f>'QTL-Km118+890,00'!L50</f>
        <v>#REF!</v>
      </c>
      <c r="M50" s="28">
        <f t="shared" si="6"/>
        <v>1192</v>
      </c>
      <c r="N50" s="39">
        <v>-1816</v>
      </c>
      <c r="O50" s="40">
        <v>3.008</v>
      </c>
      <c r="P50" s="22">
        <f t="shared" si="7"/>
        <v>380</v>
      </c>
      <c r="Q50" s="36"/>
      <c r="R50" s="30"/>
      <c r="S50" s="63" t="e">
        <f t="shared" si="9"/>
        <v>#REF!</v>
      </c>
      <c r="T50" s="64">
        <f t="shared" si="10"/>
        <v>2.5427499999999998</v>
      </c>
      <c r="U50" s="65"/>
      <c r="V50" s="65"/>
      <c r="W50" s="66"/>
      <c r="X50" s="65"/>
      <c r="Y50" s="65"/>
      <c r="Z50" s="65"/>
      <c r="AA50" s="65"/>
    </row>
    <row r="51" spans="1:27" ht="22.5" customHeight="1" outlineLevel="1" x14ac:dyDescent="0.2">
      <c r="A51" s="62" t="e">
        <f>'QTL-Km118+890,00'!A51</f>
        <v>#REF!</v>
      </c>
      <c r="B51" s="22" t="e">
        <f>'QTL-Km118+890,00'!B51</f>
        <v>#REF!</v>
      </c>
      <c r="C51" s="28">
        <f t="shared" si="2"/>
        <v>1062</v>
      </c>
      <c r="D51" s="39">
        <v>-1259</v>
      </c>
      <c r="E51" s="40">
        <v>2.371</v>
      </c>
      <c r="F51" s="22">
        <f t="shared" si="3"/>
        <v>503</v>
      </c>
      <c r="G51" s="22" t="e">
        <f>'QTL-Km118+890,00'!G51</f>
        <v>#REF!</v>
      </c>
      <c r="H51" s="28">
        <f t="shared" si="4"/>
        <v>1032</v>
      </c>
      <c r="I51" s="39">
        <v>-1314</v>
      </c>
      <c r="J51" s="40">
        <v>2.3959999999999999</v>
      </c>
      <c r="K51" s="22">
        <f t="shared" si="5"/>
        <v>568</v>
      </c>
      <c r="L51" s="22" t="e">
        <f>'QTL-Km118+890,00'!L51</f>
        <v>#REF!</v>
      </c>
      <c r="M51" s="28">
        <f t="shared" si="6"/>
        <v>1189</v>
      </c>
      <c r="N51" s="39">
        <v>-1819</v>
      </c>
      <c r="O51" s="40">
        <v>3.008</v>
      </c>
      <c r="P51" s="22">
        <f t="shared" si="7"/>
        <v>383</v>
      </c>
      <c r="Q51" s="36"/>
      <c r="R51" s="30"/>
      <c r="S51" s="63" t="e">
        <f t="shared" si="9"/>
        <v>#REF!</v>
      </c>
      <c r="T51" s="64">
        <f t="shared" si="10"/>
        <v>2.5427499999999998</v>
      </c>
      <c r="U51" s="65"/>
      <c r="V51" s="65"/>
      <c r="W51" s="66"/>
      <c r="X51" s="65"/>
      <c r="Y51" s="65"/>
      <c r="Z51" s="65"/>
      <c r="AA51" s="65"/>
    </row>
    <row r="52" spans="1:27" ht="22.5" customHeight="1" outlineLevel="1" x14ac:dyDescent="0.2">
      <c r="A52" s="62" t="e">
        <f>'QTL-Km118+890,00'!A52</f>
        <v>#REF!</v>
      </c>
      <c r="B52" s="22" t="e">
        <f>'QTL-Km118+890,00'!B52</f>
        <v>#REF!</v>
      </c>
      <c r="C52" s="28">
        <f t="shared" si="2"/>
        <v>1058</v>
      </c>
      <c r="D52" s="39">
        <v>-1263</v>
      </c>
      <c r="E52" s="40">
        <v>2.371</v>
      </c>
      <c r="F52" s="22">
        <f t="shared" si="3"/>
        <v>507</v>
      </c>
      <c r="G52" s="22" t="e">
        <f>'QTL-Km118+890,00'!G52</f>
        <v>#REF!</v>
      </c>
      <c r="H52" s="28">
        <f t="shared" si="4"/>
        <v>1027</v>
      </c>
      <c r="I52" s="39">
        <v>-1319</v>
      </c>
      <c r="J52" s="40">
        <v>2.3959999999999999</v>
      </c>
      <c r="K52" s="22">
        <f t="shared" si="5"/>
        <v>573</v>
      </c>
      <c r="L52" s="22" t="e">
        <f>'QTL-Km118+890,00'!L52</f>
        <v>#REF!</v>
      </c>
      <c r="M52" s="28">
        <f t="shared" si="6"/>
        <v>1186</v>
      </c>
      <c r="N52" s="39">
        <v>-1822</v>
      </c>
      <c r="O52" s="40">
        <v>3.008</v>
      </c>
      <c r="P52" s="22">
        <f t="shared" si="7"/>
        <v>386</v>
      </c>
      <c r="Q52" s="36"/>
      <c r="R52" s="30"/>
      <c r="S52" s="63" t="e">
        <f t="shared" si="9"/>
        <v>#REF!</v>
      </c>
      <c r="T52" s="64">
        <f t="shared" si="10"/>
        <v>2.5427499999999998</v>
      </c>
      <c r="U52" s="65"/>
      <c r="V52" s="65"/>
      <c r="W52" s="66"/>
      <c r="X52" s="65"/>
      <c r="Y52" s="65"/>
      <c r="Z52" s="65"/>
      <c r="AA52" s="65"/>
    </row>
    <row r="53" spans="1:27" ht="22.5" customHeight="1" outlineLevel="1" x14ac:dyDescent="0.2">
      <c r="A53" s="62" t="e">
        <f>'QTL-Km118+890,00'!A53</f>
        <v>#REF!</v>
      </c>
      <c r="B53" s="22" t="e">
        <f>'QTL-Km118+890,00'!B53</f>
        <v>#REF!</v>
      </c>
      <c r="C53" s="28">
        <f t="shared" si="2"/>
        <v>1053</v>
      </c>
      <c r="D53" s="39">
        <v>-1268</v>
      </c>
      <c r="E53" s="40">
        <v>2.371</v>
      </c>
      <c r="F53" s="22">
        <f t="shared" si="3"/>
        <v>512</v>
      </c>
      <c r="G53" s="22" t="e">
        <f>'QTL-Km118+890,00'!G53</f>
        <v>#REF!</v>
      </c>
      <c r="H53" s="28">
        <f t="shared" si="4"/>
        <v>1020</v>
      </c>
      <c r="I53" s="39">
        <v>-1326</v>
      </c>
      <c r="J53" s="40">
        <v>2.3959999999999999</v>
      </c>
      <c r="K53" s="22">
        <f t="shared" si="5"/>
        <v>580</v>
      </c>
      <c r="L53" s="22" t="e">
        <f>'QTL-Km118+890,00'!L53</f>
        <v>#REF!</v>
      </c>
      <c r="M53" s="28">
        <f t="shared" si="6"/>
        <v>1179</v>
      </c>
      <c r="N53" s="39">
        <v>-1829</v>
      </c>
      <c r="O53" s="40">
        <v>3.008</v>
      </c>
      <c r="P53" s="22">
        <f t="shared" si="7"/>
        <v>393</v>
      </c>
      <c r="Q53" s="36"/>
      <c r="R53" s="30"/>
      <c r="S53" s="63" t="e">
        <f t="shared" si="9"/>
        <v>#REF!</v>
      </c>
      <c r="T53" s="64">
        <f t="shared" si="10"/>
        <v>2.5427499999999998</v>
      </c>
      <c r="U53" s="65"/>
      <c r="V53" s="65"/>
      <c r="W53" s="66"/>
      <c r="X53" s="65"/>
      <c r="Y53" s="65"/>
      <c r="Z53" s="65"/>
      <c r="AA53" s="65"/>
    </row>
    <row r="54" spans="1:27" ht="22.5" customHeight="1" outlineLevel="1" x14ac:dyDescent="0.2">
      <c r="A54" s="62" t="e">
        <f>'QTL-Km118+890,00'!A54</f>
        <v>#REF!</v>
      </c>
      <c r="B54" s="22" t="e">
        <f>'QTL-Km118+890,00'!B54</f>
        <v>#REF!</v>
      </c>
      <c r="C54" s="28">
        <f t="shared" si="2"/>
        <v>1046</v>
      </c>
      <c r="D54" s="39">
        <v>-1275</v>
      </c>
      <c r="E54" s="40">
        <v>2.371</v>
      </c>
      <c r="F54" s="22">
        <f t="shared" si="3"/>
        <v>519</v>
      </c>
      <c r="G54" s="22" t="e">
        <f>'QTL-Km118+890,00'!G54</f>
        <v>#REF!</v>
      </c>
      <c r="H54" s="28">
        <f t="shared" si="4"/>
        <v>1013</v>
      </c>
      <c r="I54" s="39">
        <v>-1333</v>
      </c>
      <c r="J54" s="40">
        <v>2.3959999999999999</v>
      </c>
      <c r="K54" s="22">
        <f t="shared" si="5"/>
        <v>587</v>
      </c>
      <c r="L54" s="22" t="e">
        <f>'QTL-Km118+890,00'!L54</f>
        <v>#REF!</v>
      </c>
      <c r="M54" s="28">
        <f t="shared" si="6"/>
        <v>1172</v>
      </c>
      <c r="N54" s="39">
        <v>-1836</v>
      </c>
      <c r="O54" s="40">
        <v>3.008</v>
      </c>
      <c r="P54" s="22">
        <f t="shared" si="7"/>
        <v>400</v>
      </c>
      <c r="Q54" s="36"/>
      <c r="R54" s="30"/>
      <c r="S54" s="63" t="e">
        <f t="shared" si="9"/>
        <v>#REF!</v>
      </c>
      <c r="T54" s="64">
        <f t="shared" si="10"/>
        <v>2.5427499999999998</v>
      </c>
      <c r="U54" s="65"/>
      <c r="V54" s="65"/>
      <c r="W54" s="66"/>
      <c r="X54" s="65"/>
      <c r="Y54" s="65"/>
      <c r="Z54" s="65"/>
      <c r="AA54" s="65"/>
    </row>
    <row r="55" spans="1:27" ht="22.5" customHeight="1" outlineLevel="1" x14ac:dyDescent="0.2">
      <c r="A55" s="62" t="e">
        <f>'QTL-Km118+890,00'!A55</f>
        <v>#REF!</v>
      </c>
      <c r="B55" s="22" t="e">
        <f>'QTL-Km118+890,00'!B55</f>
        <v>#REF!</v>
      </c>
      <c r="C55" s="28">
        <f t="shared" si="2"/>
        <v>1041</v>
      </c>
      <c r="D55" s="39">
        <v>-1280</v>
      </c>
      <c r="E55" s="40">
        <v>2.371</v>
      </c>
      <c r="F55" s="22">
        <f t="shared" si="3"/>
        <v>524</v>
      </c>
      <c r="G55" s="22" t="e">
        <f>'QTL-Km118+890,00'!G55</f>
        <v>#REF!</v>
      </c>
      <c r="H55" s="28">
        <f t="shared" si="4"/>
        <v>1006</v>
      </c>
      <c r="I55" s="39">
        <v>-1340</v>
      </c>
      <c r="J55" s="40">
        <v>2.3959999999999999</v>
      </c>
      <c r="K55" s="22">
        <f t="shared" si="5"/>
        <v>594</v>
      </c>
      <c r="L55" s="22" t="e">
        <f>'QTL-Km118+890,00'!L55</f>
        <v>#REF!</v>
      </c>
      <c r="M55" s="28">
        <f t="shared" si="6"/>
        <v>1165</v>
      </c>
      <c r="N55" s="39">
        <v>-1843</v>
      </c>
      <c r="O55" s="40">
        <v>3.008</v>
      </c>
      <c r="P55" s="22">
        <f t="shared" si="7"/>
        <v>407</v>
      </c>
      <c r="Q55" s="36"/>
      <c r="R55" s="30"/>
      <c r="S55" s="63" t="e">
        <f t="shared" si="9"/>
        <v>#REF!</v>
      </c>
      <c r="T55" s="64">
        <f t="shared" si="10"/>
        <v>2.5427499999999998</v>
      </c>
      <c r="U55" s="65"/>
      <c r="V55" s="65"/>
      <c r="W55" s="66"/>
      <c r="X55" s="65"/>
      <c r="Y55" s="65"/>
      <c r="Z55" s="65"/>
      <c r="AA55" s="65"/>
    </row>
    <row r="56" spans="1:27" ht="22.5" customHeight="1" outlineLevel="1" x14ac:dyDescent="0.2">
      <c r="A56" s="62" t="e">
        <f>'QTL-Km118+890,00'!A56</f>
        <v>#REF!</v>
      </c>
      <c r="B56" s="22" t="e">
        <f>'QTL-Km118+890,00'!B56</f>
        <v>#REF!</v>
      </c>
      <c r="C56" s="28">
        <f t="shared" si="2"/>
        <v>1035</v>
      </c>
      <c r="D56" s="39">
        <v>-1286</v>
      </c>
      <c r="E56" s="40">
        <v>2.371</v>
      </c>
      <c r="F56" s="22">
        <f t="shared" si="3"/>
        <v>530</v>
      </c>
      <c r="G56" s="22" t="e">
        <f>'QTL-Km118+890,00'!G56</f>
        <v>#REF!</v>
      </c>
      <c r="H56" s="28">
        <f t="shared" si="4"/>
        <v>999</v>
      </c>
      <c r="I56" s="39">
        <v>-1347</v>
      </c>
      <c r="J56" s="40">
        <v>2.3959999999999999</v>
      </c>
      <c r="K56" s="22">
        <f t="shared" si="5"/>
        <v>601</v>
      </c>
      <c r="L56" s="22" t="e">
        <f>'QTL-Km118+890,00'!L56</f>
        <v>#REF!</v>
      </c>
      <c r="M56" s="28">
        <f t="shared" si="6"/>
        <v>1158</v>
      </c>
      <c r="N56" s="39">
        <v>-1850</v>
      </c>
      <c r="O56" s="40">
        <v>3.008</v>
      </c>
      <c r="P56" s="22">
        <f t="shared" si="7"/>
        <v>414</v>
      </c>
      <c r="Q56" s="36"/>
      <c r="R56" s="30"/>
      <c r="S56" s="63" t="e">
        <f t="shared" si="9"/>
        <v>#REF!</v>
      </c>
      <c r="T56" s="64">
        <f t="shared" si="10"/>
        <v>2.5427499999999998</v>
      </c>
      <c r="U56" s="65"/>
      <c r="V56" s="65"/>
      <c r="W56" s="66"/>
      <c r="X56" s="65"/>
      <c r="Y56" s="65"/>
      <c r="Z56" s="65"/>
      <c r="AA56" s="65"/>
    </row>
    <row r="57" spans="1:27" ht="22.5" customHeight="1" outlineLevel="1" x14ac:dyDescent="0.2">
      <c r="A57" s="62" t="e">
        <f>'QTL-Km118+890,00'!A57</f>
        <v>#REF!</v>
      </c>
      <c r="B57" s="22" t="e">
        <f>'QTL-Km118+890,00'!B57</f>
        <v>#REF!</v>
      </c>
      <c r="C57" s="28">
        <f t="shared" si="2"/>
        <v>1029</v>
      </c>
      <c r="D57" s="39">
        <v>-1292</v>
      </c>
      <c r="E57" s="40">
        <v>2.371</v>
      </c>
      <c r="F57" s="22">
        <f t="shared" si="3"/>
        <v>536</v>
      </c>
      <c r="G57" s="22" t="e">
        <f>'QTL-Km118+890,00'!G57</f>
        <v>#REF!</v>
      </c>
      <c r="H57" s="28">
        <f t="shared" si="4"/>
        <v>993</v>
      </c>
      <c r="I57" s="39">
        <v>-1353</v>
      </c>
      <c r="J57" s="40">
        <v>2.3959999999999999</v>
      </c>
      <c r="K57" s="22">
        <f t="shared" si="5"/>
        <v>607</v>
      </c>
      <c r="L57" s="22" t="e">
        <f>'QTL-Km118+890,00'!L57</f>
        <v>#REF!</v>
      </c>
      <c r="M57" s="28">
        <f t="shared" si="6"/>
        <v>1151</v>
      </c>
      <c r="N57" s="39">
        <v>-1857</v>
      </c>
      <c r="O57" s="40">
        <v>3.008</v>
      </c>
      <c r="P57" s="22">
        <f t="shared" si="7"/>
        <v>421</v>
      </c>
      <c r="Q57" s="36"/>
      <c r="R57" s="30"/>
      <c r="S57" s="63" t="e">
        <f t="shared" si="9"/>
        <v>#REF!</v>
      </c>
      <c r="T57" s="64">
        <f t="shared" si="10"/>
        <v>2.5427499999999998</v>
      </c>
      <c r="U57" s="65"/>
      <c r="V57" s="65"/>
      <c r="W57" s="66"/>
      <c r="X57" s="65"/>
      <c r="Y57" s="65"/>
      <c r="Z57" s="65"/>
      <c r="AA57" s="65"/>
    </row>
    <row r="58" spans="1:27" ht="22.5" customHeight="1" outlineLevel="1" x14ac:dyDescent="0.2">
      <c r="A58" s="62" t="e">
        <f>'QTL-Km118+890,00'!A58</f>
        <v>#REF!</v>
      </c>
      <c r="B58" s="22" t="e">
        <f>'QTL-Km118+890,00'!B58</f>
        <v>#REF!</v>
      </c>
      <c r="C58" s="28">
        <f t="shared" si="2"/>
        <v>1023</v>
      </c>
      <c r="D58" s="39">
        <v>-1298</v>
      </c>
      <c r="E58" s="40">
        <v>2.371</v>
      </c>
      <c r="F58" s="22">
        <f t="shared" si="3"/>
        <v>542</v>
      </c>
      <c r="G58" s="22" t="e">
        <f>'QTL-Km118+890,00'!G58</f>
        <v>#REF!</v>
      </c>
      <c r="H58" s="28">
        <f t="shared" si="4"/>
        <v>986</v>
      </c>
      <c r="I58" s="39">
        <v>-1360</v>
      </c>
      <c r="J58" s="40">
        <v>2.3959999999999999</v>
      </c>
      <c r="K58" s="22">
        <f t="shared" si="5"/>
        <v>614</v>
      </c>
      <c r="L58" s="22" t="e">
        <f>'QTL-Km118+890,00'!L58</f>
        <v>#REF!</v>
      </c>
      <c r="M58" s="28">
        <f t="shared" si="6"/>
        <v>1145</v>
      </c>
      <c r="N58" s="39">
        <v>-1863</v>
      </c>
      <c r="O58" s="40">
        <v>3.008</v>
      </c>
      <c r="P58" s="22">
        <f t="shared" si="7"/>
        <v>427</v>
      </c>
      <c r="Q58" s="36"/>
      <c r="R58" s="30"/>
      <c r="S58" s="63" t="e">
        <f t="shared" si="9"/>
        <v>#REF!</v>
      </c>
      <c r="T58" s="64">
        <f t="shared" si="10"/>
        <v>2.5427499999999998</v>
      </c>
      <c r="U58" s="65"/>
      <c r="V58" s="65"/>
      <c r="W58" s="66"/>
      <c r="X58" s="65"/>
      <c r="Y58" s="65"/>
      <c r="Z58" s="65"/>
      <c r="AA58" s="65"/>
    </row>
    <row r="59" spans="1:27" ht="22.5" customHeight="1" outlineLevel="1" x14ac:dyDescent="0.2">
      <c r="A59" s="62" t="e">
        <f>'QTL-Km118+890,00'!A59</f>
        <v>#REF!</v>
      </c>
      <c r="B59" s="22" t="e">
        <f>'QTL-Km118+890,00'!B59</f>
        <v>#REF!</v>
      </c>
      <c r="C59" s="28">
        <f t="shared" si="2"/>
        <v>1017</v>
      </c>
      <c r="D59" s="39">
        <v>-1304</v>
      </c>
      <c r="E59" s="40">
        <v>2.371</v>
      </c>
      <c r="F59" s="22">
        <f t="shared" si="3"/>
        <v>548</v>
      </c>
      <c r="G59" s="22" t="e">
        <f>'QTL-Km118+890,00'!G59</f>
        <v>#REF!</v>
      </c>
      <c r="H59" s="28">
        <f t="shared" si="4"/>
        <v>979</v>
      </c>
      <c r="I59" s="39">
        <v>-1367</v>
      </c>
      <c r="J59" s="40">
        <v>2.3959999999999999</v>
      </c>
      <c r="K59" s="22">
        <f t="shared" si="5"/>
        <v>621</v>
      </c>
      <c r="L59" s="22" t="e">
        <f>'QTL-Km118+890,00'!L59</f>
        <v>#REF!</v>
      </c>
      <c r="M59" s="28">
        <f t="shared" si="6"/>
        <v>1138</v>
      </c>
      <c r="N59" s="39">
        <v>-1870</v>
      </c>
      <c r="O59" s="40">
        <v>3.008</v>
      </c>
      <c r="P59" s="22">
        <f t="shared" si="7"/>
        <v>434</v>
      </c>
      <c r="Q59" s="36"/>
      <c r="R59" s="30"/>
      <c r="S59" s="63" t="e">
        <f t="shared" si="9"/>
        <v>#REF!</v>
      </c>
      <c r="T59" s="64">
        <f t="shared" si="10"/>
        <v>2.5427499999999998</v>
      </c>
      <c r="U59" s="65"/>
      <c r="V59" s="65"/>
      <c r="W59" s="66"/>
      <c r="X59" s="65"/>
      <c r="Y59" s="65"/>
      <c r="Z59" s="65"/>
      <c r="AA59" s="65"/>
    </row>
    <row r="60" spans="1:27" ht="22.5" customHeight="1" outlineLevel="1" x14ac:dyDescent="0.2">
      <c r="A60" s="62" t="e">
        <f>'QTL-Km118+890,00'!A60</f>
        <v>#REF!</v>
      </c>
      <c r="B60" s="22" t="e">
        <f>'QTL-Km118+890,00'!B60</f>
        <v>#REF!</v>
      </c>
      <c r="C60" s="28">
        <f t="shared" si="2"/>
        <v>1012</v>
      </c>
      <c r="D60" s="39">
        <v>-1309</v>
      </c>
      <c r="E60" s="40">
        <v>2.371</v>
      </c>
      <c r="F60" s="22">
        <f t="shared" si="3"/>
        <v>553</v>
      </c>
      <c r="G60" s="22" t="e">
        <f>'QTL-Km118+890,00'!G60</f>
        <v>#REF!</v>
      </c>
      <c r="H60" s="28">
        <f t="shared" si="4"/>
        <v>968</v>
      </c>
      <c r="I60" s="39">
        <v>-1378</v>
      </c>
      <c r="J60" s="40">
        <v>2.3959999999999999</v>
      </c>
      <c r="K60" s="22">
        <f t="shared" si="5"/>
        <v>632</v>
      </c>
      <c r="L60" s="22" t="e">
        <f>'QTL-Km118+890,00'!L60</f>
        <v>#REF!</v>
      </c>
      <c r="M60" s="28">
        <f t="shared" si="6"/>
        <v>1131</v>
      </c>
      <c r="N60" s="39">
        <v>-1877</v>
      </c>
      <c r="O60" s="40">
        <v>3.008</v>
      </c>
      <c r="P60" s="22">
        <f t="shared" si="7"/>
        <v>441</v>
      </c>
      <c r="Q60" s="36"/>
      <c r="R60" s="30"/>
      <c r="S60" s="63" t="e">
        <f t="shared" si="9"/>
        <v>#REF!</v>
      </c>
      <c r="T60" s="64">
        <f t="shared" si="10"/>
        <v>2.5427499999999998</v>
      </c>
      <c r="U60" s="65"/>
      <c r="V60" s="65"/>
      <c r="W60" s="66"/>
      <c r="X60" s="65"/>
      <c r="Y60" s="65"/>
      <c r="Z60" s="65"/>
      <c r="AA60" s="65"/>
    </row>
    <row r="61" spans="1:27" ht="22.5" customHeight="1" outlineLevel="1" x14ac:dyDescent="0.2">
      <c r="A61" s="62" t="e">
        <f>'QTL-Km118+890,00'!A61</f>
        <v>#REF!</v>
      </c>
      <c r="B61" s="22" t="e">
        <f>'QTL-Km118+890,00'!B61</f>
        <v>#REF!</v>
      </c>
      <c r="C61" s="28">
        <f t="shared" si="2"/>
        <v>1007</v>
      </c>
      <c r="D61" s="39">
        <v>-1314</v>
      </c>
      <c r="E61" s="40">
        <v>2.371</v>
      </c>
      <c r="F61" s="22">
        <f t="shared" si="3"/>
        <v>558</v>
      </c>
      <c r="G61" s="22" t="e">
        <f>'QTL-Km118+890,00'!G61</f>
        <v>#REF!</v>
      </c>
      <c r="H61" s="28">
        <f t="shared" si="4"/>
        <v>962</v>
      </c>
      <c r="I61" s="39">
        <v>-1384</v>
      </c>
      <c r="J61" s="40">
        <v>2.3959999999999999</v>
      </c>
      <c r="K61" s="22">
        <f t="shared" si="5"/>
        <v>638</v>
      </c>
      <c r="L61" s="22" t="e">
        <f>'QTL-Km118+890,00'!L61</f>
        <v>#REF!</v>
      </c>
      <c r="M61" s="28">
        <f t="shared" si="6"/>
        <v>1124</v>
      </c>
      <c r="N61" s="39">
        <v>-1884</v>
      </c>
      <c r="O61" s="40">
        <v>3.008</v>
      </c>
      <c r="P61" s="22">
        <f t="shared" si="7"/>
        <v>448</v>
      </c>
      <c r="Q61" s="36"/>
      <c r="R61" s="30"/>
      <c r="S61" s="63" t="e">
        <f t="shared" si="9"/>
        <v>#REF!</v>
      </c>
      <c r="T61" s="64">
        <f t="shared" si="10"/>
        <v>2.5427499999999998</v>
      </c>
      <c r="U61" s="65"/>
      <c r="V61" s="65"/>
      <c r="W61" s="66"/>
      <c r="X61" s="65"/>
      <c r="Y61" s="65"/>
      <c r="Z61" s="65"/>
      <c r="AA61" s="65"/>
    </row>
    <row r="62" spans="1:27" ht="22.5" customHeight="1" outlineLevel="1" x14ac:dyDescent="0.2">
      <c r="A62" s="62" t="e">
        <f>'QTL-Km118+890,00'!A62</f>
        <v>#REF!</v>
      </c>
      <c r="B62" s="22" t="e">
        <f>'QTL-Km118+890,00'!B62</f>
        <v>#REF!</v>
      </c>
      <c r="C62" s="28">
        <f t="shared" si="2"/>
        <v>999</v>
      </c>
      <c r="D62" s="39">
        <v>-1322</v>
      </c>
      <c r="E62" s="40">
        <v>2.371</v>
      </c>
      <c r="F62" s="22">
        <f t="shared" si="3"/>
        <v>566</v>
      </c>
      <c r="G62" s="22" t="e">
        <f>'QTL-Km118+890,00'!G62</f>
        <v>#REF!</v>
      </c>
      <c r="H62" s="28">
        <f t="shared" si="4"/>
        <v>954</v>
      </c>
      <c r="I62" s="39">
        <v>-1392</v>
      </c>
      <c r="J62" s="40">
        <v>2.3959999999999999</v>
      </c>
      <c r="K62" s="22">
        <f t="shared" si="5"/>
        <v>646</v>
      </c>
      <c r="L62" s="22" t="e">
        <f>'QTL-Km118+890,00'!L62</f>
        <v>#REF!</v>
      </c>
      <c r="M62" s="28">
        <f t="shared" si="6"/>
        <v>1117</v>
      </c>
      <c r="N62" s="39">
        <v>-1891</v>
      </c>
      <c r="O62" s="40">
        <v>3.008</v>
      </c>
      <c r="P62" s="22">
        <f t="shared" si="7"/>
        <v>455</v>
      </c>
      <c r="Q62" s="36"/>
      <c r="R62" s="30"/>
      <c r="S62" s="63" t="e">
        <f t="shared" si="9"/>
        <v>#REF!</v>
      </c>
      <c r="T62" s="64">
        <f t="shared" si="10"/>
        <v>2.5427499999999998</v>
      </c>
      <c r="U62" s="65"/>
      <c r="V62" s="65"/>
      <c r="W62" s="66"/>
      <c r="X62" s="65"/>
      <c r="Y62" s="65"/>
      <c r="Z62" s="65"/>
      <c r="AA62" s="65"/>
    </row>
    <row r="63" spans="1:27" ht="22.5" customHeight="1" outlineLevel="1" x14ac:dyDescent="0.2">
      <c r="A63" s="62" t="e">
        <f>'QTL-Km118+890,00'!A63</f>
        <v>#REF!</v>
      </c>
      <c r="B63" s="22" t="e">
        <f>'QTL-Km118+890,00'!B63</f>
        <v>#REF!</v>
      </c>
      <c r="C63" s="28">
        <f t="shared" si="2"/>
        <v>992</v>
      </c>
      <c r="D63" s="39">
        <v>-1329</v>
      </c>
      <c r="E63" s="40">
        <v>2.371</v>
      </c>
      <c r="F63" s="22">
        <f t="shared" si="3"/>
        <v>573</v>
      </c>
      <c r="G63" s="22" t="e">
        <f>'QTL-Km118+890,00'!G63</f>
        <v>#REF!</v>
      </c>
      <c r="H63" s="28">
        <f t="shared" si="4"/>
        <v>947</v>
      </c>
      <c r="I63" s="39">
        <v>-1399</v>
      </c>
      <c r="J63" s="40">
        <v>2.3959999999999999</v>
      </c>
      <c r="K63" s="22">
        <f t="shared" si="5"/>
        <v>653</v>
      </c>
      <c r="L63" s="22" t="e">
        <f>'QTL-Km118+890,00'!L63</f>
        <v>#REF!</v>
      </c>
      <c r="M63" s="28">
        <f t="shared" si="6"/>
        <v>1109</v>
      </c>
      <c r="N63" s="39">
        <v>-1899</v>
      </c>
      <c r="O63" s="28">
        <v>3008</v>
      </c>
      <c r="P63" s="22">
        <f t="shared" si="7"/>
        <v>463</v>
      </c>
      <c r="Q63" s="36"/>
      <c r="R63" s="30"/>
      <c r="S63" s="63" t="e">
        <f t="shared" si="9"/>
        <v>#REF!</v>
      </c>
      <c r="T63" s="64">
        <f t="shared" si="10"/>
        <v>753.79075</v>
      </c>
      <c r="U63" s="65"/>
      <c r="V63" s="65"/>
      <c r="W63" s="66"/>
      <c r="X63" s="65"/>
      <c r="Y63" s="65"/>
      <c r="Z63" s="65"/>
      <c r="AA63" s="65"/>
    </row>
    <row r="64" spans="1:27" ht="22.5" customHeight="1" outlineLevel="1" x14ac:dyDescent="0.2">
      <c r="A64" s="62" t="e">
        <f>'QTL-Km118+890,00'!A64</f>
        <v>#REF!</v>
      </c>
      <c r="B64" s="22" t="e">
        <f>'QTL-Km118+890,00'!B64</f>
        <v>#REF!</v>
      </c>
      <c r="C64" s="28">
        <f t="shared" si="2"/>
        <v>987</v>
      </c>
      <c r="D64" s="39">
        <v>-1334</v>
      </c>
      <c r="E64" s="28">
        <v>2371</v>
      </c>
      <c r="F64" s="22">
        <f t="shared" si="3"/>
        <v>578</v>
      </c>
      <c r="G64" s="22" t="e">
        <f>'QTL-Km118+890,00'!G64</f>
        <v>#REF!</v>
      </c>
      <c r="H64" s="28">
        <f t="shared" si="4"/>
        <v>942</v>
      </c>
      <c r="I64" s="39">
        <v>-1404</v>
      </c>
      <c r="J64" s="40">
        <v>2.3959999999999999</v>
      </c>
      <c r="K64" s="22">
        <f t="shared" si="5"/>
        <v>658</v>
      </c>
      <c r="L64" s="22" t="e">
        <f>'QTL-Km118+890,00'!L64</f>
        <v>#REF!</v>
      </c>
      <c r="M64" s="28">
        <f t="shared" si="6"/>
        <v>1113</v>
      </c>
      <c r="N64" s="39">
        <v>-1895</v>
      </c>
      <c r="O64" s="28">
        <v>3008</v>
      </c>
      <c r="P64" s="22">
        <f t="shared" si="7"/>
        <v>459</v>
      </c>
      <c r="Q64" s="36"/>
      <c r="R64" s="30"/>
      <c r="S64" s="63" t="e">
        <f t="shared" si="9"/>
        <v>#REF!</v>
      </c>
      <c r="T64" s="64">
        <f t="shared" si="10"/>
        <v>1345.9479999999999</v>
      </c>
      <c r="U64" s="65"/>
      <c r="V64" s="65"/>
      <c r="W64" s="66"/>
      <c r="X64" s="65"/>
      <c r="Y64" s="65"/>
      <c r="Z64" s="65"/>
      <c r="AA64" s="65"/>
    </row>
    <row r="65" spans="1:27" ht="22.5" customHeight="1" outlineLevel="1" x14ac:dyDescent="0.2">
      <c r="A65" s="62" t="e">
        <f>'QTL-Km118+890,00'!A65</f>
        <v>#REF!</v>
      </c>
      <c r="B65" s="22" t="e">
        <f>'QTL-Km118+890,00'!B65</f>
        <v>#REF!</v>
      </c>
      <c r="C65" s="28">
        <f t="shared" si="2"/>
        <v>982</v>
      </c>
      <c r="D65" s="39">
        <v>-1339</v>
      </c>
      <c r="E65" s="28">
        <v>2371</v>
      </c>
      <c r="F65" s="22">
        <f t="shared" si="3"/>
        <v>583</v>
      </c>
      <c r="G65" s="22" t="e">
        <f>'QTL-Km118+890,00'!G65</f>
        <v>#REF!</v>
      </c>
      <c r="H65" s="28">
        <f t="shared" si="4"/>
        <v>937</v>
      </c>
      <c r="I65" s="39">
        <v>-1409</v>
      </c>
      <c r="J65" s="40">
        <v>2.3959999999999999</v>
      </c>
      <c r="K65" s="22">
        <f t="shared" si="5"/>
        <v>663</v>
      </c>
      <c r="L65" s="22" t="e">
        <f>'QTL-Km118+890,00'!L65</f>
        <v>#REF!</v>
      </c>
      <c r="M65" s="28">
        <f t="shared" si="6"/>
        <v>1108</v>
      </c>
      <c r="N65" s="39">
        <v>-1900</v>
      </c>
      <c r="O65" s="28">
        <v>3008</v>
      </c>
      <c r="P65" s="22">
        <f t="shared" si="7"/>
        <v>464</v>
      </c>
      <c r="Q65" s="36"/>
      <c r="R65" s="30"/>
      <c r="S65" s="80" t="e">
        <f t="shared" si="9"/>
        <v>#REF!</v>
      </c>
      <c r="T65" s="59">
        <f t="shared" si="10"/>
        <v>1345.9479999999999</v>
      </c>
      <c r="U65" s="2"/>
      <c r="V65" s="2"/>
      <c r="W65" s="81"/>
      <c r="X65" s="2"/>
      <c r="Y65" s="2"/>
      <c r="Z65" s="2"/>
      <c r="AA65" s="2"/>
    </row>
    <row r="66" spans="1:27" ht="22.5" customHeight="1" outlineLevel="1" x14ac:dyDescent="0.2">
      <c r="A66" s="62" t="e">
        <f>'QTL-Km118+890,00'!A66</f>
        <v>#REF!</v>
      </c>
      <c r="B66" s="22" t="e">
        <f>'QTL-Km118+890,00'!B66</f>
        <v>#REF!</v>
      </c>
      <c r="C66" s="28">
        <f t="shared" si="2"/>
        <v>977</v>
      </c>
      <c r="D66" s="39">
        <v>-1344</v>
      </c>
      <c r="E66" s="28">
        <v>2371</v>
      </c>
      <c r="F66" s="22">
        <f t="shared" si="3"/>
        <v>588</v>
      </c>
      <c r="G66" s="22" t="e">
        <f>'QTL-Km118+890,00'!G66</f>
        <v>#REF!</v>
      </c>
      <c r="H66" s="28">
        <f t="shared" si="4"/>
        <v>933</v>
      </c>
      <c r="I66" s="39">
        <v>-1413</v>
      </c>
      <c r="J66" s="40">
        <v>2.3959999999999999</v>
      </c>
      <c r="K66" s="22">
        <f t="shared" si="5"/>
        <v>667</v>
      </c>
      <c r="L66" s="22" t="e">
        <f>'QTL-Km118+890,00'!L66</f>
        <v>#REF!</v>
      </c>
      <c r="M66" s="28">
        <f t="shared" si="6"/>
        <v>1103</v>
      </c>
      <c r="N66" s="39">
        <v>-1905</v>
      </c>
      <c r="O66" s="28">
        <v>3008</v>
      </c>
      <c r="P66" s="22">
        <f t="shared" si="7"/>
        <v>469</v>
      </c>
      <c r="Q66" s="36"/>
      <c r="R66" s="30"/>
      <c r="S66" s="80" t="e">
        <f t="shared" si="9"/>
        <v>#REF!</v>
      </c>
      <c r="T66" s="59">
        <f t="shared" si="10"/>
        <v>1345.9479999999999</v>
      </c>
      <c r="U66" s="2"/>
      <c r="V66" s="2"/>
      <c r="W66" s="81"/>
      <c r="X66" s="2"/>
      <c r="Y66" s="2"/>
      <c r="Z66" s="2"/>
      <c r="AA66" s="2"/>
    </row>
    <row r="67" spans="1:27" ht="22.5" customHeight="1" outlineLevel="1" x14ac:dyDescent="0.2">
      <c r="A67" s="62" t="e">
        <f>'QTL-Km118+890,00'!A67</f>
        <v>#REF!</v>
      </c>
      <c r="B67" s="22" t="e">
        <f>'QTL-Km118+890,00'!B67</f>
        <v>#REF!</v>
      </c>
      <c r="C67" s="28">
        <f t="shared" si="2"/>
        <v>972</v>
      </c>
      <c r="D67" s="39">
        <v>-1349</v>
      </c>
      <c r="E67" s="28">
        <v>2371</v>
      </c>
      <c r="F67" s="22">
        <f t="shared" si="3"/>
        <v>593</v>
      </c>
      <c r="G67" s="22" t="e">
        <f>'QTL-Km118+890,00'!G67</f>
        <v>#REF!</v>
      </c>
      <c r="H67" s="28">
        <f t="shared" si="4"/>
        <v>1027</v>
      </c>
      <c r="I67" s="39">
        <v>-1319</v>
      </c>
      <c r="J67" s="40">
        <v>2.3959999999999999</v>
      </c>
      <c r="K67" s="22">
        <f t="shared" si="5"/>
        <v>573</v>
      </c>
      <c r="L67" s="22" t="e">
        <f>'QTL-Km118+890,00'!L67</f>
        <v>#REF!</v>
      </c>
      <c r="M67" s="28">
        <f t="shared" si="6"/>
        <v>1099</v>
      </c>
      <c r="N67" s="39">
        <v>-1909</v>
      </c>
      <c r="O67" s="28">
        <v>3008</v>
      </c>
      <c r="P67" s="22">
        <f t="shared" si="7"/>
        <v>473</v>
      </c>
      <c r="Q67" s="36"/>
      <c r="R67" s="30"/>
      <c r="S67" s="80"/>
      <c r="T67" s="59"/>
      <c r="U67" s="2"/>
      <c r="V67" s="2"/>
      <c r="W67" s="81"/>
      <c r="X67" s="2"/>
      <c r="Y67" s="2"/>
      <c r="Z67" s="2"/>
      <c r="AA67" s="2"/>
    </row>
    <row r="68" spans="1:27" ht="22.5" customHeight="1" outlineLevel="1" x14ac:dyDescent="0.2">
      <c r="A68" s="62" t="e">
        <f>'QTL-Km118+890,00'!A68</f>
        <v>#REF!</v>
      </c>
      <c r="B68" s="22" t="e">
        <f>'QTL-Km118+890,00'!B68</f>
        <v>#REF!</v>
      </c>
      <c r="C68" s="28">
        <f t="shared" si="2"/>
        <v>967</v>
      </c>
      <c r="D68" s="39">
        <v>-1354</v>
      </c>
      <c r="E68" s="28">
        <v>2371</v>
      </c>
      <c r="F68" s="22">
        <f t="shared" si="3"/>
        <v>598</v>
      </c>
      <c r="G68" s="22" t="e">
        <f>'QTL-Km118+890,00'!G68</f>
        <v>#REF!</v>
      </c>
      <c r="H68" s="28">
        <f t="shared" si="4"/>
        <v>922</v>
      </c>
      <c r="I68" s="39">
        <v>-1424</v>
      </c>
      <c r="J68" s="40">
        <v>2.3959999999999999</v>
      </c>
      <c r="K68" s="22">
        <f t="shared" si="5"/>
        <v>678</v>
      </c>
      <c r="L68" s="22" t="e">
        <f>'QTL-Km118+890,00'!L68</f>
        <v>#REF!</v>
      </c>
      <c r="M68" s="28">
        <f t="shared" si="6"/>
        <v>1094</v>
      </c>
      <c r="N68" s="39">
        <v>-1914</v>
      </c>
      <c r="O68" s="28">
        <v>3008</v>
      </c>
      <c r="P68" s="22">
        <f t="shared" si="7"/>
        <v>478</v>
      </c>
      <c r="Q68" s="36"/>
      <c r="R68" s="30"/>
      <c r="S68" s="85" t="e">
        <f t="shared" ref="S68:S99" si="11">+A68</f>
        <v>#REF!</v>
      </c>
      <c r="T68" s="86">
        <f t="shared" ref="T68:T99" si="12">+(E68+2*J68+O68)/4</f>
        <v>1345.9479999999999</v>
      </c>
      <c r="U68" s="87"/>
      <c r="V68" s="87"/>
      <c r="W68" s="88"/>
      <c r="X68" s="87"/>
      <c r="Y68" s="87"/>
      <c r="Z68" s="87"/>
      <c r="AA68" s="87"/>
    </row>
    <row r="69" spans="1:27" ht="22.5" customHeight="1" outlineLevel="1" x14ac:dyDescent="0.2">
      <c r="A69" s="62" t="e">
        <f>'QTL-Km118+890,00'!A69</f>
        <v>#REF!</v>
      </c>
      <c r="B69" s="22" t="e">
        <f>'QTL-Km118+890,00'!B69</f>
        <v>#REF!</v>
      </c>
      <c r="C69" s="28">
        <f t="shared" si="2"/>
        <v>963</v>
      </c>
      <c r="D69" s="39">
        <v>-1358</v>
      </c>
      <c r="E69" s="28">
        <v>2371</v>
      </c>
      <c r="F69" s="22">
        <f t="shared" si="3"/>
        <v>602</v>
      </c>
      <c r="G69" s="22" t="e">
        <f>'QTL-Km118+890,00'!G69</f>
        <v>#REF!</v>
      </c>
      <c r="H69" s="28">
        <f t="shared" si="4"/>
        <v>918</v>
      </c>
      <c r="I69" s="39">
        <v>-1428</v>
      </c>
      <c r="J69" s="40">
        <v>2.3959999999999999</v>
      </c>
      <c r="K69" s="22">
        <f t="shared" si="5"/>
        <v>682</v>
      </c>
      <c r="L69" s="22" t="e">
        <f>'QTL-Km118+890,00'!L69</f>
        <v>#REF!</v>
      </c>
      <c r="M69" s="28">
        <f t="shared" si="6"/>
        <v>1090</v>
      </c>
      <c r="N69" s="39">
        <v>-1918</v>
      </c>
      <c r="O69" s="28">
        <v>3008</v>
      </c>
      <c r="P69" s="22">
        <f t="shared" si="7"/>
        <v>482</v>
      </c>
      <c r="Q69" s="36"/>
      <c r="R69" s="30"/>
      <c r="S69" s="80" t="e">
        <f t="shared" si="11"/>
        <v>#REF!</v>
      </c>
      <c r="T69" s="59">
        <f t="shared" si="12"/>
        <v>1345.9479999999999</v>
      </c>
      <c r="U69" s="2"/>
      <c r="V69" s="2"/>
      <c r="W69" s="81"/>
      <c r="X69" s="2"/>
      <c r="Y69" s="2"/>
      <c r="Z69" s="2"/>
      <c r="AA69" s="2"/>
    </row>
    <row r="70" spans="1:27" ht="22.5" customHeight="1" outlineLevel="1" x14ac:dyDescent="0.2">
      <c r="A70" s="62" t="e">
        <f>'QTL-Km118+890,00'!A70</f>
        <v>#REF!</v>
      </c>
      <c r="B70" s="22" t="e">
        <f>'QTL-Km118+890,00'!B70</f>
        <v>#REF!</v>
      </c>
      <c r="C70" s="28">
        <f t="shared" si="2"/>
        <v>954</v>
      </c>
      <c r="D70" s="39">
        <v>-1367</v>
      </c>
      <c r="E70" s="28">
        <v>2371</v>
      </c>
      <c r="F70" s="22">
        <f t="shared" si="3"/>
        <v>611</v>
      </c>
      <c r="G70" s="22" t="e">
        <f>'QTL-Km118+890,00'!G70</f>
        <v>#REF!</v>
      </c>
      <c r="H70" s="28">
        <f t="shared" si="4"/>
        <v>908</v>
      </c>
      <c r="I70" s="39">
        <v>-1438</v>
      </c>
      <c r="J70" s="40">
        <v>2.3959999999999999</v>
      </c>
      <c r="K70" s="22">
        <f t="shared" si="5"/>
        <v>692</v>
      </c>
      <c r="L70" s="22" t="e">
        <f>'QTL-Km118+890,00'!L70</f>
        <v>#REF!</v>
      </c>
      <c r="M70" s="28">
        <f t="shared" si="6"/>
        <v>1081</v>
      </c>
      <c r="N70" s="39">
        <v>-1927</v>
      </c>
      <c r="O70" s="28">
        <v>3008</v>
      </c>
      <c r="P70" s="22">
        <f t="shared" si="7"/>
        <v>491</v>
      </c>
      <c r="Q70" s="36"/>
      <c r="R70" s="30"/>
      <c r="S70" s="80" t="e">
        <f t="shared" si="11"/>
        <v>#REF!</v>
      </c>
      <c r="T70" s="59">
        <f t="shared" si="12"/>
        <v>1345.9479999999999</v>
      </c>
      <c r="U70" s="2"/>
      <c r="V70" s="2"/>
      <c r="W70" s="81"/>
      <c r="X70" s="2"/>
      <c r="Y70" s="2"/>
      <c r="Z70" s="2"/>
      <c r="AA70" s="2"/>
    </row>
    <row r="71" spans="1:27" ht="22.5" customHeight="1" outlineLevel="1" x14ac:dyDescent="0.2">
      <c r="A71" s="62" t="e">
        <f>'QTL-Km118+890,00'!A71</f>
        <v>#REF!</v>
      </c>
      <c r="B71" s="22" t="e">
        <f>'QTL-Km118+890,00'!B71</f>
        <v>#REF!</v>
      </c>
      <c r="C71" s="28">
        <f t="shared" si="2"/>
        <v>946</v>
      </c>
      <c r="D71" s="39">
        <v>-1375</v>
      </c>
      <c r="E71" s="28">
        <v>2371</v>
      </c>
      <c r="F71" s="22">
        <f t="shared" si="3"/>
        <v>619</v>
      </c>
      <c r="G71" s="22" t="e">
        <f>'QTL-Km118+890,00'!G71</f>
        <v>#REF!</v>
      </c>
      <c r="H71" s="28">
        <f t="shared" si="4"/>
        <v>898</v>
      </c>
      <c r="I71" s="39">
        <v>-1448</v>
      </c>
      <c r="J71" s="40">
        <v>2.3959999999999999</v>
      </c>
      <c r="K71" s="22">
        <f t="shared" si="5"/>
        <v>702</v>
      </c>
      <c r="L71" s="22" t="e">
        <f>'QTL-Km118+890,00'!L71</f>
        <v>#REF!</v>
      </c>
      <c r="M71" s="28">
        <f t="shared" si="6"/>
        <v>1072</v>
      </c>
      <c r="N71" s="39">
        <v>-1936</v>
      </c>
      <c r="O71" s="28">
        <v>3008</v>
      </c>
      <c r="P71" s="22">
        <f t="shared" si="7"/>
        <v>500</v>
      </c>
      <c r="Q71" s="36"/>
      <c r="R71" s="30"/>
      <c r="S71" s="80" t="e">
        <f t="shared" si="11"/>
        <v>#REF!</v>
      </c>
      <c r="T71" s="59">
        <f t="shared" si="12"/>
        <v>1345.9479999999999</v>
      </c>
      <c r="U71" s="2"/>
      <c r="V71" s="2"/>
      <c r="W71" s="81"/>
      <c r="X71" s="2"/>
      <c r="Y71" s="2"/>
      <c r="Z71" s="2"/>
      <c r="AA71" s="2"/>
    </row>
    <row r="72" spans="1:27" ht="22.5" customHeight="1" outlineLevel="1" x14ac:dyDescent="0.2">
      <c r="A72" s="62" t="e">
        <f>'QTL-Km118+890,00'!A72</f>
        <v>#REF!</v>
      </c>
      <c r="B72" s="22" t="e">
        <f>'QTL-Km118+890,00'!B72</f>
        <v>#REF!</v>
      </c>
      <c r="C72" s="28">
        <f t="shared" si="2"/>
        <v>937</v>
      </c>
      <c r="D72" s="39">
        <v>-1384</v>
      </c>
      <c r="E72" s="28">
        <v>2371</v>
      </c>
      <c r="F72" s="22">
        <f t="shared" si="3"/>
        <v>628</v>
      </c>
      <c r="G72" s="22" t="e">
        <f>'QTL-Km118+890,00'!G72</f>
        <v>#REF!</v>
      </c>
      <c r="H72" s="28">
        <f t="shared" si="4"/>
        <v>889</v>
      </c>
      <c r="I72" s="39">
        <v>-1457</v>
      </c>
      <c r="J72" s="40">
        <v>2.3959999999999999</v>
      </c>
      <c r="K72" s="22">
        <f t="shared" si="5"/>
        <v>711</v>
      </c>
      <c r="L72" s="22" t="e">
        <f>'QTL-Km118+890,00'!L72</f>
        <v>#REF!</v>
      </c>
      <c r="M72" s="28">
        <f t="shared" si="6"/>
        <v>1064</v>
      </c>
      <c r="N72" s="39">
        <v>-1944</v>
      </c>
      <c r="O72" s="28">
        <v>3008</v>
      </c>
      <c r="P72" s="22">
        <f t="shared" si="7"/>
        <v>508</v>
      </c>
      <c r="Q72" s="36"/>
      <c r="R72" s="30"/>
      <c r="S72" s="80" t="e">
        <f t="shared" si="11"/>
        <v>#REF!</v>
      </c>
      <c r="T72" s="59">
        <f t="shared" si="12"/>
        <v>1345.9479999999999</v>
      </c>
      <c r="U72" s="2"/>
      <c r="V72" s="2"/>
      <c r="W72" s="81"/>
      <c r="X72" s="2"/>
      <c r="Y72" s="2"/>
      <c r="Z72" s="2"/>
      <c r="AA72" s="2"/>
    </row>
    <row r="73" spans="1:27" ht="22.5" customHeight="1" outlineLevel="1" x14ac:dyDescent="0.2">
      <c r="A73" s="62" t="e">
        <f>'QTL-Km118+890,00'!A73</f>
        <v>#REF!</v>
      </c>
      <c r="B73" s="22" t="e">
        <f>'QTL-Km118+890,00'!B73</f>
        <v>#REF!</v>
      </c>
      <c r="C73" s="28">
        <f t="shared" si="2"/>
        <v>934</v>
      </c>
      <c r="D73" s="39">
        <v>-1387</v>
      </c>
      <c r="E73" s="28">
        <v>2371</v>
      </c>
      <c r="F73" s="22">
        <f t="shared" si="3"/>
        <v>631</v>
      </c>
      <c r="G73" s="22" t="e">
        <f>'QTL-Km118+890,00'!G73</f>
        <v>#REF!</v>
      </c>
      <c r="H73" s="28">
        <f t="shared" si="4"/>
        <v>885</v>
      </c>
      <c r="I73" s="39">
        <v>-1461</v>
      </c>
      <c r="J73" s="40">
        <v>2.3959999999999999</v>
      </c>
      <c r="K73" s="22">
        <f t="shared" si="5"/>
        <v>715</v>
      </c>
      <c r="L73" s="22" t="e">
        <f>'QTL-Km118+890,00'!L73</f>
        <v>#REF!</v>
      </c>
      <c r="M73" s="28">
        <f t="shared" si="6"/>
        <v>1060</v>
      </c>
      <c r="N73" s="39">
        <v>-1948</v>
      </c>
      <c r="O73" s="28">
        <v>3008</v>
      </c>
      <c r="P73" s="22">
        <f t="shared" si="7"/>
        <v>512</v>
      </c>
      <c r="Q73" s="36"/>
      <c r="R73" s="30"/>
      <c r="S73" s="80" t="e">
        <f t="shared" si="11"/>
        <v>#REF!</v>
      </c>
      <c r="T73" s="59">
        <f t="shared" si="12"/>
        <v>1345.9479999999999</v>
      </c>
      <c r="U73" s="2"/>
      <c r="V73" s="2"/>
      <c r="W73" s="81"/>
      <c r="X73" s="2"/>
      <c r="Y73" s="2"/>
      <c r="Z73" s="2"/>
      <c r="AA73" s="2"/>
    </row>
    <row r="74" spans="1:27" ht="22.5" customHeight="1" outlineLevel="1" x14ac:dyDescent="0.2">
      <c r="A74" s="62" t="e">
        <f>'QTL-Km118+890,00'!A74</f>
        <v>#REF!</v>
      </c>
      <c r="B74" s="22" t="e">
        <f>'QTL-Km118+890,00'!B74</f>
        <v>#REF!</v>
      </c>
      <c r="C74" s="28">
        <f t="shared" si="2"/>
        <v>930</v>
      </c>
      <c r="D74" s="39">
        <v>-1391</v>
      </c>
      <c r="E74" s="28">
        <v>2371</v>
      </c>
      <c r="F74" s="22">
        <f t="shared" si="3"/>
        <v>635</v>
      </c>
      <c r="G74" s="22" t="e">
        <f>'QTL-Km118+890,00'!G74</f>
        <v>#REF!</v>
      </c>
      <c r="H74" s="28">
        <f t="shared" si="4"/>
        <v>881</v>
      </c>
      <c r="I74" s="39">
        <v>-1465</v>
      </c>
      <c r="J74" s="40">
        <v>2.3959999999999999</v>
      </c>
      <c r="K74" s="22">
        <f t="shared" si="5"/>
        <v>719</v>
      </c>
      <c r="L74" s="22" t="e">
        <f>'QTL-Km118+890,00'!L74</f>
        <v>#REF!</v>
      </c>
      <c r="M74" s="28">
        <f t="shared" si="6"/>
        <v>1056</v>
      </c>
      <c r="N74" s="39">
        <v>-1952</v>
      </c>
      <c r="O74" s="28">
        <v>3008</v>
      </c>
      <c r="P74" s="22">
        <f t="shared" si="7"/>
        <v>516</v>
      </c>
      <c r="Q74" s="36"/>
      <c r="R74" s="30"/>
      <c r="S74" s="80" t="e">
        <f t="shared" si="11"/>
        <v>#REF!</v>
      </c>
      <c r="T74" s="59">
        <f t="shared" si="12"/>
        <v>1345.9479999999999</v>
      </c>
      <c r="U74" s="2"/>
      <c r="V74" s="2"/>
      <c r="W74" s="81"/>
      <c r="X74" s="2"/>
      <c r="Y74" s="2"/>
      <c r="Z74" s="2"/>
      <c r="AA74" s="2"/>
    </row>
    <row r="75" spans="1:27" ht="22.5" customHeight="1" outlineLevel="1" x14ac:dyDescent="0.2">
      <c r="A75" s="62" t="e">
        <f>'QTL-Km118+890,00'!A75</f>
        <v>#REF!</v>
      </c>
      <c r="B75" s="22" t="e">
        <f>'QTL-Km118+890,00'!B75</f>
        <v>#REF!</v>
      </c>
      <c r="C75" s="28">
        <f t="shared" si="2"/>
        <v>927</v>
      </c>
      <c r="D75" s="39">
        <v>-1394</v>
      </c>
      <c r="E75" s="28">
        <v>2371</v>
      </c>
      <c r="F75" s="22">
        <f t="shared" si="3"/>
        <v>638</v>
      </c>
      <c r="G75" s="22" t="e">
        <f>'QTL-Km118+890,00'!G75</f>
        <v>#REF!</v>
      </c>
      <c r="H75" s="28">
        <f t="shared" si="4"/>
        <v>877</v>
      </c>
      <c r="I75" s="39">
        <v>-1469</v>
      </c>
      <c r="J75" s="40">
        <v>2.3959999999999999</v>
      </c>
      <c r="K75" s="22">
        <f t="shared" si="5"/>
        <v>723</v>
      </c>
      <c r="L75" s="22" t="e">
        <f>'QTL-Km118+890,00'!L75</f>
        <v>#REF!</v>
      </c>
      <c r="M75" s="28">
        <f t="shared" si="6"/>
        <v>1054</v>
      </c>
      <c r="N75" s="39">
        <v>-1954</v>
      </c>
      <c r="O75" s="28">
        <v>3008</v>
      </c>
      <c r="P75" s="22">
        <f t="shared" si="7"/>
        <v>518</v>
      </c>
      <c r="Q75" s="36"/>
      <c r="R75" s="30"/>
      <c r="S75" s="80" t="e">
        <f t="shared" si="11"/>
        <v>#REF!</v>
      </c>
      <c r="T75" s="59">
        <f t="shared" si="12"/>
        <v>1345.9479999999999</v>
      </c>
      <c r="U75" s="2"/>
      <c r="V75" s="2"/>
      <c r="W75" s="81"/>
      <c r="X75" s="2"/>
      <c r="Y75" s="2"/>
      <c r="Z75" s="2"/>
      <c r="AA75" s="2"/>
    </row>
    <row r="76" spans="1:27" ht="22.5" customHeight="1" outlineLevel="1" x14ac:dyDescent="0.2">
      <c r="A76" s="62" t="e">
        <f>'QTL-Km118+890,00'!A76</f>
        <v>#REF!</v>
      </c>
      <c r="B76" s="22" t="e">
        <f>'QTL-Km118+890,00'!B76</f>
        <v>#REF!</v>
      </c>
      <c r="C76" s="28">
        <f t="shared" si="2"/>
        <v>923</v>
      </c>
      <c r="D76" s="39">
        <v>-1398</v>
      </c>
      <c r="E76" s="28">
        <v>2371</v>
      </c>
      <c r="F76" s="22">
        <f t="shared" si="3"/>
        <v>642</v>
      </c>
      <c r="G76" s="22" t="e">
        <f>'QTL-Km118+890,00'!G76</f>
        <v>#REF!</v>
      </c>
      <c r="H76" s="28">
        <f t="shared" si="4"/>
        <v>875</v>
      </c>
      <c r="I76" s="39">
        <v>-1471</v>
      </c>
      <c r="J76" s="40">
        <v>2.3959999999999999</v>
      </c>
      <c r="K76" s="22">
        <f t="shared" si="5"/>
        <v>725</v>
      </c>
      <c r="L76" s="22" t="e">
        <f>'QTL-Km118+890,00'!L76</f>
        <v>#REF!</v>
      </c>
      <c r="M76" s="28">
        <f t="shared" si="6"/>
        <v>1052</v>
      </c>
      <c r="N76" s="39">
        <v>-1956</v>
      </c>
      <c r="O76" s="28">
        <v>3008</v>
      </c>
      <c r="P76" s="22">
        <f t="shared" si="7"/>
        <v>520</v>
      </c>
      <c r="Q76" s="36"/>
      <c r="R76" s="30"/>
      <c r="S76" s="80" t="e">
        <f t="shared" si="11"/>
        <v>#REF!</v>
      </c>
      <c r="T76" s="59">
        <f t="shared" si="12"/>
        <v>1345.9479999999999</v>
      </c>
      <c r="U76" s="2"/>
      <c r="V76" s="2"/>
      <c r="W76" s="81"/>
      <c r="X76" s="2"/>
      <c r="Y76" s="2"/>
      <c r="Z76" s="2"/>
      <c r="AA76" s="2"/>
    </row>
    <row r="77" spans="1:27" ht="22.5" customHeight="1" outlineLevel="1" x14ac:dyDescent="0.2">
      <c r="A77" s="62" t="e">
        <f>'QTL-Km118+890,00'!A77</f>
        <v>#REF!</v>
      </c>
      <c r="B77" s="22" t="e">
        <f>'QTL-Km118+890,00'!B77</f>
        <v>#REF!</v>
      </c>
      <c r="C77" s="28">
        <f t="shared" si="2"/>
        <v>919</v>
      </c>
      <c r="D77" s="39">
        <v>-1402</v>
      </c>
      <c r="E77" s="28">
        <v>2371</v>
      </c>
      <c r="F77" s="22">
        <f t="shared" si="3"/>
        <v>646</v>
      </c>
      <c r="G77" s="22" t="e">
        <f>'QTL-Km118+890,00'!G77</f>
        <v>#REF!</v>
      </c>
      <c r="H77" s="28">
        <f t="shared" si="4"/>
        <v>873</v>
      </c>
      <c r="I77" s="39">
        <v>-1473</v>
      </c>
      <c r="J77" s="40">
        <v>2.3959999999999999</v>
      </c>
      <c r="K77" s="22">
        <f t="shared" si="5"/>
        <v>727</v>
      </c>
      <c r="L77" s="22" t="e">
        <f>'QTL-Km118+890,00'!L77</f>
        <v>#REF!</v>
      </c>
      <c r="M77" s="28">
        <f t="shared" si="6"/>
        <v>1050</v>
      </c>
      <c r="N77" s="39">
        <v>-1958</v>
      </c>
      <c r="O77" s="28">
        <v>3008</v>
      </c>
      <c r="P77" s="22">
        <f t="shared" si="7"/>
        <v>522</v>
      </c>
      <c r="Q77" s="36"/>
      <c r="R77" s="30"/>
      <c r="S77" s="80" t="e">
        <f t="shared" si="11"/>
        <v>#REF!</v>
      </c>
      <c r="T77" s="59">
        <f t="shared" si="12"/>
        <v>1345.9479999999999</v>
      </c>
      <c r="U77" s="2"/>
      <c r="V77" s="2"/>
      <c r="W77" s="81"/>
      <c r="X77" s="2"/>
      <c r="Y77" s="2"/>
      <c r="Z77" s="2"/>
      <c r="AA77" s="2"/>
    </row>
    <row r="78" spans="1:27" ht="22.5" customHeight="1" outlineLevel="1" x14ac:dyDescent="0.2">
      <c r="A78" s="62" t="e">
        <f>'QTL-Km118+890,00'!A78</f>
        <v>#REF!</v>
      </c>
      <c r="B78" s="22" t="e">
        <f>'QTL-Km118+890,00'!B78</f>
        <v>#REF!</v>
      </c>
      <c r="C78" s="28">
        <f t="shared" si="2"/>
        <v>917</v>
      </c>
      <c r="D78" s="39">
        <v>-1404</v>
      </c>
      <c r="E78" s="28">
        <v>2371</v>
      </c>
      <c r="F78" s="22">
        <f t="shared" si="3"/>
        <v>648</v>
      </c>
      <c r="G78" s="22" t="e">
        <f>'QTL-Km118+890,00'!G78</f>
        <v>#REF!</v>
      </c>
      <c r="H78" s="28">
        <f t="shared" si="4"/>
        <v>872</v>
      </c>
      <c r="I78" s="39">
        <v>-1474</v>
      </c>
      <c r="J78" s="40">
        <v>2.3959999999999999</v>
      </c>
      <c r="K78" s="22">
        <f t="shared" si="5"/>
        <v>728</v>
      </c>
      <c r="L78" s="22" t="e">
        <f>'QTL-Km118+890,00'!L78</f>
        <v>#REF!</v>
      </c>
      <c r="M78" s="28">
        <f t="shared" si="6"/>
        <v>1049</v>
      </c>
      <c r="N78" s="39">
        <v>-1959</v>
      </c>
      <c r="O78" s="28">
        <v>3008</v>
      </c>
      <c r="P78" s="22">
        <f t="shared" si="7"/>
        <v>523</v>
      </c>
      <c r="Q78" s="36"/>
      <c r="R78" s="30"/>
      <c r="S78" s="80" t="e">
        <f t="shared" si="11"/>
        <v>#REF!</v>
      </c>
      <c r="T78" s="59">
        <f t="shared" si="12"/>
        <v>1345.9479999999999</v>
      </c>
      <c r="U78" s="2"/>
      <c r="V78" s="2"/>
      <c r="W78" s="81"/>
      <c r="X78" s="2"/>
      <c r="Y78" s="2"/>
      <c r="Z78" s="2"/>
      <c r="AA78" s="2"/>
    </row>
    <row r="79" spans="1:27" ht="22.5" customHeight="1" outlineLevel="1" x14ac:dyDescent="0.2">
      <c r="A79" s="62">
        <f>'QTL-Km118+890,00'!A79</f>
        <v>45709</v>
      </c>
      <c r="B79" s="22" t="e">
        <f>'QTL-Km118+890,00'!B79</f>
        <v>#REF!</v>
      </c>
      <c r="C79" s="28">
        <f t="shared" si="2"/>
        <v>915</v>
      </c>
      <c r="D79" s="39">
        <v>-1406</v>
      </c>
      <c r="E79" s="28">
        <v>2371</v>
      </c>
      <c r="F79" s="22">
        <f t="shared" si="3"/>
        <v>650</v>
      </c>
      <c r="G79" s="22" t="e">
        <f>'QTL-Km118+890,00'!G79</f>
        <v>#REF!</v>
      </c>
      <c r="H79" s="28">
        <f t="shared" si="4"/>
        <v>870</v>
      </c>
      <c r="I79" s="39">
        <v>-1476</v>
      </c>
      <c r="J79" s="40">
        <v>2.3959999999999999</v>
      </c>
      <c r="K79" s="22">
        <f t="shared" si="5"/>
        <v>730</v>
      </c>
      <c r="L79" s="22" t="e">
        <f>'QTL-Km118+890,00'!L79</f>
        <v>#REF!</v>
      </c>
      <c r="M79" s="28">
        <f t="shared" si="6"/>
        <v>1047</v>
      </c>
      <c r="N79" s="39">
        <v>-1961</v>
      </c>
      <c r="O79" s="28">
        <v>3008</v>
      </c>
      <c r="P79" s="22">
        <f t="shared" si="7"/>
        <v>525</v>
      </c>
      <c r="Q79" s="36"/>
      <c r="R79" s="30"/>
      <c r="S79" s="80">
        <f t="shared" si="11"/>
        <v>45709</v>
      </c>
      <c r="T79" s="59">
        <f t="shared" si="12"/>
        <v>1345.9479999999999</v>
      </c>
      <c r="U79" s="2"/>
      <c r="V79" s="2"/>
      <c r="W79" s="81"/>
      <c r="X79" s="2"/>
      <c r="Y79" s="2"/>
      <c r="Z79" s="2"/>
      <c r="AA79" s="2"/>
    </row>
    <row r="80" spans="1:27" ht="22.5" customHeight="1" outlineLevel="1" x14ac:dyDescent="0.2">
      <c r="A80" s="62">
        <f>'QTL-Km118+890,00'!A80</f>
        <v>45710</v>
      </c>
      <c r="B80" s="22" t="e">
        <f>'QTL-Km118+890,00'!B80</f>
        <v>#REF!</v>
      </c>
      <c r="C80" s="28">
        <f t="shared" si="2"/>
        <v>913</v>
      </c>
      <c r="D80" s="39">
        <v>-1408</v>
      </c>
      <c r="E80" s="28">
        <v>2371</v>
      </c>
      <c r="F80" s="22">
        <f t="shared" si="3"/>
        <v>652</v>
      </c>
      <c r="G80" s="22" t="e">
        <f>'QTL-Km118+890,00'!G80</f>
        <v>#REF!</v>
      </c>
      <c r="H80" s="28">
        <f t="shared" si="4"/>
        <v>869</v>
      </c>
      <c r="I80" s="39">
        <v>-1477</v>
      </c>
      <c r="J80" s="40">
        <v>2.3959999999999999</v>
      </c>
      <c r="K80" s="22">
        <f t="shared" si="5"/>
        <v>731</v>
      </c>
      <c r="L80" s="22" t="e">
        <f>'QTL-Km118+890,00'!L80</f>
        <v>#REF!</v>
      </c>
      <c r="M80" s="28">
        <f t="shared" si="6"/>
        <v>1045</v>
      </c>
      <c r="N80" s="39">
        <v>-1963</v>
      </c>
      <c r="O80" s="28">
        <v>3008</v>
      </c>
      <c r="P80" s="22">
        <f t="shared" si="7"/>
        <v>527</v>
      </c>
      <c r="Q80" s="36"/>
      <c r="R80" s="30"/>
      <c r="S80" s="80">
        <f t="shared" si="11"/>
        <v>45710</v>
      </c>
      <c r="T80" s="59">
        <f t="shared" si="12"/>
        <v>1345.9479999999999</v>
      </c>
      <c r="U80" s="2"/>
      <c r="V80" s="2"/>
      <c r="W80" s="81"/>
      <c r="X80" s="2"/>
      <c r="Y80" s="2"/>
      <c r="Z80" s="2"/>
      <c r="AA80" s="2"/>
    </row>
    <row r="81" spans="1:27" ht="22.5" customHeight="1" outlineLevel="1" x14ac:dyDescent="0.2">
      <c r="A81" s="62">
        <f>'QTL-Km118+890,00'!A81</f>
        <v>45711</v>
      </c>
      <c r="B81" s="22" t="e">
        <f>'QTL-Km118+890,00'!B81</f>
        <v>#REF!</v>
      </c>
      <c r="C81" s="28">
        <f t="shared" si="2"/>
        <v>908</v>
      </c>
      <c r="D81" s="39">
        <v>-1413</v>
      </c>
      <c r="E81" s="28">
        <v>2371</v>
      </c>
      <c r="F81" s="22">
        <f t="shared" si="3"/>
        <v>657</v>
      </c>
      <c r="G81" s="22" t="e">
        <f>'QTL-Km118+890,00'!G81</f>
        <v>#REF!</v>
      </c>
      <c r="H81" s="28">
        <f t="shared" si="4"/>
        <v>861</v>
      </c>
      <c r="I81" s="39">
        <v>-1485</v>
      </c>
      <c r="J81" s="40">
        <v>2.3959999999999999</v>
      </c>
      <c r="K81" s="22">
        <f t="shared" si="5"/>
        <v>739</v>
      </c>
      <c r="L81" s="22" t="e">
        <f>'QTL-Km118+890,00'!L81</f>
        <v>#REF!</v>
      </c>
      <c r="M81" s="28">
        <f t="shared" si="6"/>
        <v>1040</v>
      </c>
      <c r="N81" s="39">
        <v>-1968</v>
      </c>
      <c r="O81" s="28">
        <v>3008</v>
      </c>
      <c r="P81" s="22">
        <f t="shared" si="7"/>
        <v>532</v>
      </c>
      <c r="Q81" s="36"/>
      <c r="R81" s="30"/>
      <c r="S81" s="80">
        <f t="shared" si="11"/>
        <v>45711</v>
      </c>
      <c r="T81" s="59">
        <f t="shared" si="12"/>
        <v>1345.9479999999999</v>
      </c>
      <c r="U81" s="2"/>
      <c r="V81" s="2"/>
      <c r="W81" s="81"/>
      <c r="X81" s="2"/>
      <c r="Y81" s="2"/>
      <c r="Z81" s="2"/>
      <c r="AA81" s="2"/>
    </row>
    <row r="82" spans="1:27" ht="22.5" customHeight="1" outlineLevel="1" x14ac:dyDescent="0.2">
      <c r="A82" s="62">
        <f>'QTL-Km118+890,00'!A82</f>
        <v>45712</v>
      </c>
      <c r="B82" s="22" t="e">
        <f>'QTL-Km118+890,00'!B82</f>
        <v>#REF!</v>
      </c>
      <c r="C82" s="28">
        <f t="shared" si="2"/>
        <v>901</v>
      </c>
      <c r="D82" s="39">
        <v>-1420</v>
      </c>
      <c r="E82" s="28">
        <v>2371</v>
      </c>
      <c r="F82" s="22">
        <f t="shared" si="3"/>
        <v>664</v>
      </c>
      <c r="G82" s="22" t="e">
        <f>'QTL-Km118+890,00'!G82</f>
        <v>#REF!</v>
      </c>
      <c r="H82" s="28">
        <f t="shared" si="4"/>
        <v>855</v>
      </c>
      <c r="I82" s="39">
        <v>-1491</v>
      </c>
      <c r="J82" s="40">
        <v>2.3959999999999999</v>
      </c>
      <c r="K82" s="22">
        <f t="shared" si="5"/>
        <v>745</v>
      </c>
      <c r="L82" s="22" t="e">
        <f>'QTL-Km118+890,00'!L82</f>
        <v>#REF!</v>
      </c>
      <c r="M82" s="28">
        <f t="shared" si="6"/>
        <v>1035</v>
      </c>
      <c r="N82" s="39">
        <v>-1973</v>
      </c>
      <c r="O82" s="28">
        <v>3008</v>
      </c>
      <c r="P82" s="22">
        <f t="shared" si="7"/>
        <v>537</v>
      </c>
      <c r="Q82" s="36"/>
      <c r="R82" s="30"/>
      <c r="S82" s="80">
        <f t="shared" si="11"/>
        <v>45712</v>
      </c>
      <c r="T82" s="59">
        <f t="shared" si="12"/>
        <v>1345.9479999999999</v>
      </c>
      <c r="U82" s="2"/>
      <c r="V82" s="2"/>
      <c r="W82" s="81"/>
      <c r="X82" s="2"/>
      <c r="Y82" s="2"/>
      <c r="Z82" s="2"/>
      <c r="AA82" s="2"/>
    </row>
    <row r="83" spans="1:27" ht="22.5" customHeight="1" outlineLevel="1" x14ac:dyDescent="0.2">
      <c r="A83" s="62">
        <f>'QTL-Km118+890,00'!A83</f>
        <v>45713</v>
      </c>
      <c r="B83" s="22" t="e">
        <f>'QTL-Km118+890,00'!B83</f>
        <v>#REF!</v>
      </c>
      <c r="C83" s="28">
        <f t="shared" si="2"/>
        <v>893</v>
      </c>
      <c r="D83" s="39">
        <v>-1428</v>
      </c>
      <c r="E83" s="28">
        <v>2371</v>
      </c>
      <c r="F83" s="22">
        <f t="shared" si="3"/>
        <v>672</v>
      </c>
      <c r="G83" s="22" t="e">
        <f>'QTL-Km118+890,00'!G83</f>
        <v>#REF!</v>
      </c>
      <c r="H83" s="28">
        <f t="shared" si="4"/>
        <v>847</v>
      </c>
      <c r="I83" s="39">
        <v>-1499</v>
      </c>
      <c r="J83" s="40">
        <v>2.3959999999999999</v>
      </c>
      <c r="K83" s="22">
        <f t="shared" si="5"/>
        <v>753</v>
      </c>
      <c r="L83" s="22" t="e">
        <f>'QTL-Km118+890,00'!L83</f>
        <v>#REF!</v>
      </c>
      <c r="M83" s="28">
        <f t="shared" si="6"/>
        <v>1029</v>
      </c>
      <c r="N83" s="39">
        <v>-1979</v>
      </c>
      <c r="O83" s="28">
        <v>3008</v>
      </c>
      <c r="P83" s="22">
        <f t="shared" si="7"/>
        <v>543</v>
      </c>
      <c r="Q83" s="36"/>
      <c r="R83" s="30"/>
      <c r="S83" s="80">
        <f t="shared" si="11"/>
        <v>45713</v>
      </c>
      <c r="T83" s="59">
        <f t="shared" si="12"/>
        <v>1345.9479999999999</v>
      </c>
      <c r="U83" s="2"/>
      <c r="V83" s="2"/>
      <c r="W83" s="81"/>
      <c r="X83" s="2"/>
      <c r="Y83" s="2"/>
      <c r="Z83" s="2"/>
      <c r="AA83" s="2"/>
    </row>
    <row r="84" spans="1:27" ht="22.5" customHeight="1" outlineLevel="1" x14ac:dyDescent="0.2">
      <c r="A84" s="62">
        <f>'QTL-Km118+890,00'!A84</f>
        <v>45714</v>
      </c>
      <c r="B84" s="22" t="e">
        <f>'QTL-Km118+890,00'!B84</f>
        <v>#REF!</v>
      </c>
      <c r="C84" s="28">
        <f t="shared" si="2"/>
        <v>890</v>
      </c>
      <c r="D84" s="39">
        <v>-1431</v>
      </c>
      <c r="E84" s="28">
        <v>2371</v>
      </c>
      <c r="F84" s="22">
        <f t="shared" si="3"/>
        <v>675</v>
      </c>
      <c r="G84" s="22" t="e">
        <f>'QTL-Km118+890,00'!G84</f>
        <v>#REF!</v>
      </c>
      <c r="H84" s="28">
        <f t="shared" si="4"/>
        <v>838</v>
      </c>
      <c r="I84" s="39">
        <v>-1508</v>
      </c>
      <c r="J84" s="40">
        <v>2.3959999999999999</v>
      </c>
      <c r="K84" s="22">
        <f t="shared" si="5"/>
        <v>762</v>
      </c>
      <c r="L84" s="22" t="e">
        <f>'QTL-Km118+890,00'!L84</f>
        <v>#REF!</v>
      </c>
      <c r="M84" s="28">
        <f t="shared" si="6"/>
        <v>1022</v>
      </c>
      <c r="N84" s="39">
        <v>-1986</v>
      </c>
      <c r="O84" s="28">
        <v>3008</v>
      </c>
      <c r="P84" s="22">
        <f t="shared" si="7"/>
        <v>550</v>
      </c>
      <c r="Q84" s="36"/>
      <c r="R84" s="30"/>
      <c r="S84" s="80">
        <f t="shared" si="11"/>
        <v>45714</v>
      </c>
      <c r="T84" s="59">
        <f t="shared" si="12"/>
        <v>1345.9479999999999</v>
      </c>
      <c r="U84" s="2"/>
      <c r="V84" s="2"/>
      <c r="W84" s="81"/>
      <c r="X84" s="2"/>
      <c r="Y84" s="2"/>
      <c r="Z84" s="2"/>
      <c r="AA84" s="2"/>
    </row>
    <row r="85" spans="1:27" ht="22.5" customHeight="1" outlineLevel="1" x14ac:dyDescent="0.2">
      <c r="A85" s="62">
        <f>'QTL-Km118+890,00'!A85</f>
        <v>45715</v>
      </c>
      <c r="B85" s="22" t="e">
        <f>'QTL-Km118+890,00'!B85</f>
        <v>#REF!</v>
      </c>
      <c r="C85" s="28">
        <f t="shared" si="2"/>
        <v>887</v>
      </c>
      <c r="D85" s="39">
        <v>-1434</v>
      </c>
      <c r="E85" s="28">
        <v>2371</v>
      </c>
      <c r="F85" s="22">
        <f t="shared" si="3"/>
        <v>678</v>
      </c>
      <c r="G85" s="22" t="e">
        <f>'QTL-Km118+890,00'!G85</f>
        <v>#REF!</v>
      </c>
      <c r="H85" s="28">
        <f t="shared" si="4"/>
        <v>828</v>
      </c>
      <c r="I85" s="39">
        <v>-1518</v>
      </c>
      <c r="J85" s="40">
        <v>2.3959999999999999</v>
      </c>
      <c r="K85" s="22">
        <f t="shared" si="5"/>
        <v>772</v>
      </c>
      <c r="L85" s="22" t="e">
        <f>'QTL-Km118+890,00'!L85</f>
        <v>#REF!</v>
      </c>
      <c r="M85" s="28">
        <f t="shared" si="6"/>
        <v>1014</v>
      </c>
      <c r="N85" s="39">
        <v>-1994</v>
      </c>
      <c r="O85" s="28">
        <v>3008</v>
      </c>
      <c r="P85" s="22">
        <f t="shared" si="7"/>
        <v>558</v>
      </c>
      <c r="Q85" s="36"/>
      <c r="R85" s="30"/>
      <c r="S85" s="80">
        <f t="shared" si="11"/>
        <v>45715</v>
      </c>
      <c r="T85" s="59">
        <f t="shared" si="12"/>
        <v>1345.9479999999999</v>
      </c>
      <c r="U85" s="2"/>
      <c r="V85" s="2"/>
      <c r="W85" s="81"/>
      <c r="X85" s="2"/>
      <c r="Y85" s="2"/>
      <c r="Z85" s="2"/>
      <c r="AA85" s="2"/>
    </row>
    <row r="86" spans="1:27" ht="22.5" customHeight="1" outlineLevel="1" x14ac:dyDescent="0.2">
      <c r="A86" s="62">
        <f>'QTL-Km118+890,00'!A86</f>
        <v>45716</v>
      </c>
      <c r="B86" s="22" t="e">
        <f>'QTL-Km118+890,00'!B86</f>
        <v>#REF!</v>
      </c>
      <c r="C86" s="28">
        <f t="shared" si="2"/>
        <v>882</v>
      </c>
      <c r="D86" s="39">
        <v>-1439</v>
      </c>
      <c r="E86" s="28">
        <v>2371</v>
      </c>
      <c r="F86" s="22">
        <f t="shared" si="3"/>
        <v>683</v>
      </c>
      <c r="G86" s="22" t="e">
        <f>'QTL-Km118+890,00'!G86</f>
        <v>#REF!</v>
      </c>
      <c r="H86" s="28">
        <f t="shared" si="4"/>
        <v>825</v>
      </c>
      <c r="I86" s="39">
        <v>-1521</v>
      </c>
      <c r="J86" s="40">
        <v>2.3959999999999999</v>
      </c>
      <c r="K86" s="22">
        <f t="shared" si="5"/>
        <v>775</v>
      </c>
      <c r="L86" s="22" t="e">
        <f>'QTL-Km118+890,00'!L86</f>
        <v>#REF!</v>
      </c>
      <c r="M86" s="28">
        <f t="shared" si="6"/>
        <v>1008</v>
      </c>
      <c r="N86" s="39">
        <v>-2000</v>
      </c>
      <c r="O86" s="28">
        <v>3008</v>
      </c>
      <c r="P86" s="22">
        <f t="shared" si="7"/>
        <v>564</v>
      </c>
      <c r="Q86" s="36"/>
      <c r="R86" s="30"/>
      <c r="S86" s="80">
        <f t="shared" si="11"/>
        <v>45716</v>
      </c>
      <c r="T86" s="59">
        <f t="shared" si="12"/>
        <v>1345.9479999999999</v>
      </c>
      <c r="U86" s="2"/>
      <c r="V86" s="2"/>
      <c r="W86" s="81"/>
      <c r="X86" s="2"/>
      <c r="Y86" s="2"/>
      <c r="Z86" s="2"/>
      <c r="AA86" s="2"/>
    </row>
    <row r="87" spans="1:27" ht="22.5" customHeight="1" outlineLevel="1" x14ac:dyDescent="0.2">
      <c r="A87" s="62">
        <f>'QTL-Km118+890,00'!A87</f>
        <v>45717</v>
      </c>
      <c r="B87" s="22" t="e">
        <f>'QTL-Km118+890,00'!B87</f>
        <v>#REF!</v>
      </c>
      <c r="C87" s="28">
        <f t="shared" si="2"/>
        <v>877</v>
      </c>
      <c r="D87" s="39">
        <v>-1444</v>
      </c>
      <c r="E87" s="28">
        <v>2371</v>
      </c>
      <c r="F87" s="22">
        <f t="shared" si="3"/>
        <v>688</v>
      </c>
      <c r="G87" s="22" t="e">
        <f>'QTL-Km118+890,00'!G87</f>
        <v>#REF!</v>
      </c>
      <c r="H87" s="28">
        <f t="shared" si="4"/>
        <v>822</v>
      </c>
      <c r="I87" s="39">
        <v>-1524</v>
      </c>
      <c r="J87" s="40">
        <v>2.3959999999999999</v>
      </c>
      <c r="K87" s="22">
        <f t="shared" si="5"/>
        <v>778</v>
      </c>
      <c r="L87" s="22" t="e">
        <f>'QTL-Km118+890,00'!L87</f>
        <v>#REF!</v>
      </c>
      <c r="M87" s="28">
        <f t="shared" si="6"/>
        <v>1004</v>
      </c>
      <c r="N87" s="39">
        <v>-2004</v>
      </c>
      <c r="O87" s="28">
        <v>3008</v>
      </c>
      <c r="P87" s="22">
        <f t="shared" si="7"/>
        <v>568</v>
      </c>
      <c r="Q87" s="36"/>
      <c r="R87" s="30"/>
      <c r="S87" s="80">
        <f t="shared" si="11"/>
        <v>45717</v>
      </c>
      <c r="T87" s="59">
        <f t="shared" si="12"/>
        <v>1345.9479999999999</v>
      </c>
      <c r="U87" s="2"/>
      <c r="V87" s="2"/>
      <c r="W87" s="81"/>
      <c r="X87" s="2"/>
      <c r="Y87" s="2"/>
      <c r="Z87" s="2"/>
      <c r="AA87" s="2"/>
    </row>
    <row r="88" spans="1:27" ht="22.5" customHeight="1" outlineLevel="1" x14ac:dyDescent="0.2">
      <c r="A88" s="62">
        <f>'QTL-Km118+890,00'!A88</f>
        <v>45718</v>
      </c>
      <c r="B88" s="22" t="e">
        <f>'QTL-Km118+890,00'!B88</f>
        <v>#REF!</v>
      </c>
      <c r="C88" s="28">
        <f t="shared" si="2"/>
        <v>862</v>
      </c>
      <c r="D88" s="39">
        <v>-1459</v>
      </c>
      <c r="E88" s="28">
        <v>2371</v>
      </c>
      <c r="F88" s="22">
        <f t="shared" si="3"/>
        <v>703</v>
      </c>
      <c r="G88" s="22" t="e">
        <f>'QTL-Km118+890,00'!G88</f>
        <v>#REF!</v>
      </c>
      <c r="H88" s="28">
        <f t="shared" si="4"/>
        <v>809</v>
      </c>
      <c r="I88" s="39">
        <v>-1537</v>
      </c>
      <c r="J88" s="40">
        <v>2.3959999999999999</v>
      </c>
      <c r="K88" s="22">
        <f t="shared" si="5"/>
        <v>791</v>
      </c>
      <c r="L88" s="22" t="e">
        <f>'QTL-Km118+890,00'!L88</f>
        <v>#REF!</v>
      </c>
      <c r="M88" s="28">
        <f t="shared" si="6"/>
        <v>992</v>
      </c>
      <c r="N88" s="39">
        <v>-2016</v>
      </c>
      <c r="O88" s="28">
        <v>3008</v>
      </c>
      <c r="P88" s="22">
        <f t="shared" si="7"/>
        <v>580</v>
      </c>
      <c r="Q88" s="36"/>
      <c r="R88" s="30"/>
      <c r="S88" s="80">
        <f t="shared" si="11"/>
        <v>45718</v>
      </c>
      <c r="T88" s="59">
        <f t="shared" si="12"/>
        <v>1345.9479999999999</v>
      </c>
      <c r="U88" s="2"/>
      <c r="V88" s="2"/>
      <c r="W88" s="81"/>
      <c r="X88" s="2"/>
      <c r="Y88" s="2"/>
      <c r="Z88" s="2"/>
      <c r="AA88" s="2"/>
    </row>
    <row r="89" spans="1:27" ht="22.5" customHeight="1" outlineLevel="1" x14ac:dyDescent="0.2">
      <c r="A89" s="62">
        <f>'QTL-Km118+890,00'!A89</f>
        <v>45719</v>
      </c>
      <c r="B89" s="22" t="e">
        <f>'QTL-Km118+890,00'!B89</f>
        <v>#REF!</v>
      </c>
      <c r="C89" s="28">
        <f t="shared" si="2"/>
        <v>858</v>
      </c>
      <c r="D89" s="39">
        <v>-1463</v>
      </c>
      <c r="E89" s="28">
        <v>2371</v>
      </c>
      <c r="F89" s="22">
        <f t="shared" si="3"/>
        <v>707</v>
      </c>
      <c r="G89" s="22" t="e">
        <f>'QTL-Km118+890,00'!G89</f>
        <v>#REF!</v>
      </c>
      <c r="H89" s="28">
        <f t="shared" si="4"/>
        <v>804</v>
      </c>
      <c r="I89" s="39">
        <v>-1542</v>
      </c>
      <c r="J89" s="40">
        <v>2.3959999999999999</v>
      </c>
      <c r="K89" s="22">
        <f t="shared" si="5"/>
        <v>796</v>
      </c>
      <c r="L89" s="22" t="e">
        <f>'QTL-Km118+890,00'!L89</f>
        <v>#REF!</v>
      </c>
      <c r="M89" s="28">
        <f t="shared" si="6"/>
        <v>988</v>
      </c>
      <c r="N89" s="39">
        <v>-2020</v>
      </c>
      <c r="O89" s="28">
        <v>3008</v>
      </c>
      <c r="P89" s="22">
        <f t="shared" si="7"/>
        <v>584</v>
      </c>
      <c r="Q89" s="36"/>
      <c r="R89" s="30"/>
      <c r="S89" s="80">
        <f t="shared" si="11"/>
        <v>45719</v>
      </c>
      <c r="T89" s="59">
        <f t="shared" si="12"/>
        <v>1345.9479999999999</v>
      </c>
      <c r="U89" s="2"/>
      <c r="V89" s="2"/>
      <c r="W89" s="81"/>
      <c r="X89" s="2"/>
      <c r="Y89" s="2"/>
      <c r="Z89" s="2"/>
      <c r="AA89" s="2"/>
    </row>
    <row r="90" spans="1:27" ht="22.5" customHeight="1" outlineLevel="1" x14ac:dyDescent="0.2">
      <c r="A90" s="62">
        <f>'QTL-Km118+890,00'!A90</f>
        <v>45720</v>
      </c>
      <c r="B90" s="22" t="e">
        <f>'QTL-Km118+890,00'!B90</f>
        <v>#REF!</v>
      </c>
      <c r="C90" s="28">
        <f t="shared" si="2"/>
        <v>853</v>
      </c>
      <c r="D90" s="39">
        <v>-1468</v>
      </c>
      <c r="E90" s="28">
        <v>2371</v>
      </c>
      <c r="F90" s="22">
        <f t="shared" si="3"/>
        <v>712</v>
      </c>
      <c r="G90" s="22" t="e">
        <f>'QTL-Km118+890,00'!G90</f>
        <v>#REF!</v>
      </c>
      <c r="H90" s="28">
        <f t="shared" si="4"/>
        <v>799</v>
      </c>
      <c r="I90" s="39">
        <v>-1547</v>
      </c>
      <c r="J90" s="40">
        <v>2.3959999999999999</v>
      </c>
      <c r="K90" s="22">
        <f t="shared" si="5"/>
        <v>801</v>
      </c>
      <c r="L90" s="22" t="e">
        <f>'QTL-Km118+890,00'!L90</f>
        <v>#REF!</v>
      </c>
      <c r="M90" s="28">
        <f t="shared" si="6"/>
        <v>985</v>
      </c>
      <c r="N90" s="39">
        <v>-2023</v>
      </c>
      <c r="O90" s="28">
        <v>3008</v>
      </c>
      <c r="P90" s="22">
        <f t="shared" si="7"/>
        <v>587</v>
      </c>
      <c r="Q90" s="36"/>
      <c r="R90" s="30"/>
      <c r="S90" s="80">
        <f t="shared" si="11"/>
        <v>45720</v>
      </c>
      <c r="T90" s="59">
        <f t="shared" si="12"/>
        <v>1345.9479999999999</v>
      </c>
      <c r="U90" s="2"/>
      <c r="V90" s="2"/>
      <c r="W90" s="81"/>
      <c r="X90" s="2"/>
      <c r="Y90" s="2"/>
      <c r="Z90" s="2"/>
      <c r="AA90" s="2"/>
    </row>
    <row r="91" spans="1:27" ht="22.5" customHeight="1" outlineLevel="1" x14ac:dyDescent="0.2">
      <c r="A91" s="62">
        <f>'QTL-Km118+890,00'!A91</f>
        <v>45721</v>
      </c>
      <c r="B91" s="22" t="e">
        <f>'QTL-Km118+890,00'!B91</f>
        <v>#REF!</v>
      </c>
      <c r="C91" s="28">
        <f t="shared" si="2"/>
        <v>851</v>
      </c>
      <c r="D91" s="39">
        <v>-1470</v>
      </c>
      <c r="E91" s="28">
        <v>2371</v>
      </c>
      <c r="F91" s="22">
        <f t="shared" si="3"/>
        <v>714</v>
      </c>
      <c r="G91" s="22" t="e">
        <f>'QTL-Km118+890,00'!G91</f>
        <v>#REF!</v>
      </c>
      <c r="H91" s="28">
        <f t="shared" si="4"/>
        <v>794</v>
      </c>
      <c r="I91" s="39">
        <v>-1552</v>
      </c>
      <c r="J91" s="40">
        <v>2.3959999999999999</v>
      </c>
      <c r="K91" s="22">
        <f t="shared" si="5"/>
        <v>806</v>
      </c>
      <c r="L91" s="22" t="e">
        <f>'QTL-Km118+890,00'!L91</f>
        <v>#REF!</v>
      </c>
      <c r="M91" s="28">
        <f t="shared" si="6"/>
        <v>982</v>
      </c>
      <c r="N91" s="39">
        <v>-2026</v>
      </c>
      <c r="O91" s="28">
        <v>3008</v>
      </c>
      <c r="P91" s="22">
        <f t="shared" si="7"/>
        <v>590</v>
      </c>
      <c r="Q91" s="36"/>
      <c r="R91" s="30"/>
      <c r="S91" s="80">
        <f t="shared" si="11"/>
        <v>45721</v>
      </c>
      <c r="T91" s="59">
        <f t="shared" si="12"/>
        <v>1345.9479999999999</v>
      </c>
      <c r="U91" s="2"/>
      <c r="V91" s="2"/>
      <c r="W91" s="81"/>
      <c r="X91" s="2"/>
      <c r="Y91" s="2"/>
      <c r="Z91" s="2"/>
      <c r="AA91" s="2"/>
    </row>
    <row r="92" spans="1:27" ht="22.5" customHeight="1" outlineLevel="1" x14ac:dyDescent="0.2">
      <c r="A92" s="62">
        <f>'QTL-Km118+890,00'!A92</f>
        <v>45722</v>
      </c>
      <c r="B92" s="22" t="e">
        <f>'QTL-Km118+890,00'!B92</f>
        <v>#REF!</v>
      </c>
      <c r="C92" s="28">
        <f t="shared" si="2"/>
        <v>849</v>
      </c>
      <c r="D92" s="39">
        <v>-1472</v>
      </c>
      <c r="E92" s="28">
        <v>2371</v>
      </c>
      <c r="F92" s="22">
        <f t="shared" si="3"/>
        <v>716</v>
      </c>
      <c r="G92" s="22" t="e">
        <f>'QTL-Km118+890,00'!G92</f>
        <v>#REF!</v>
      </c>
      <c r="H92" s="28">
        <f t="shared" si="4"/>
        <v>789</v>
      </c>
      <c r="I92" s="39">
        <v>-1557</v>
      </c>
      <c r="J92" s="40">
        <v>2.3959999999999999</v>
      </c>
      <c r="K92" s="22">
        <f t="shared" si="5"/>
        <v>811</v>
      </c>
      <c r="L92" s="22" t="e">
        <f>'QTL-Km118+890,00'!L92</f>
        <v>#REF!</v>
      </c>
      <c r="M92" s="28">
        <f t="shared" si="6"/>
        <v>980</v>
      </c>
      <c r="N92" s="39">
        <v>-2028</v>
      </c>
      <c r="O92" s="28">
        <v>3008</v>
      </c>
      <c r="P92" s="22">
        <f t="shared" si="7"/>
        <v>592</v>
      </c>
      <c r="Q92" s="36"/>
      <c r="R92" s="30"/>
      <c r="S92" s="80">
        <f t="shared" si="11"/>
        <v>45722</v>
      </c>
      <c r="T92" s="59">
        <f t="shared" si="12"/>
        <v>1345.9479999999999</v>
      </c>
      <c r="U92" s="2"/>
      <c r="V92" s="2"/>
      <c r="W92" s="81"/>
      <c r="X92" s="2"/>
      <c r="Y92" s="2"/>
      <c r="Z92" s="2"/>
      <c r="AA92" s="2"/>
    </row>
    <row r="93" spans="1:27" ht="22.5" customHeight="1" outlineLevel="1" x14ac:dyDescent="0.2">
      <c r="A93" s="62">
        <f>'QTL-Km118+890,00'!A93</f>
        <v>45723</v>
      </c>
      <c r="B93" s="22" t="e">
        <f>'QTL-Km118+890,00'!B93</f>
        <v>#REF!</v>
      </c>
      <c r="C93" s="28">
        <f t="shared" si="2"/>
        <v>847</v>
      </c>
      <c r="D93" s="39">
        <v>-1474</v>
      </c>
      <c r="E93" s="28">
        <v>2371</v>
      </c>
      <c r="F93" s="22">
        <f t="shared" si="3"/>
        <v>718</v>
      </c>
      <c r="G93" s="22" t="e">
        <f>'QTL-Km118+890,00'!G93</f>
        <v>#REF!</v>
      </c>
      <c r="H93" s="28">
        <f t="shared" si="4"/>
        <v>786</v>
      </c>
      <c r="I93" s="39">
        <v>-1560</v>
      </c>
      <c r="J93" s="40">
        <v>2.3959999999999999</v>
      </c>
      <c r="K93" s="22">
        <f t="shared" si="5"/>
        <v>814</v>
      </c>
      <c r="L93" s="22" t="e">
        <f>'QTL-Km118+890,00'!L93</f>
        <v>#REF!</v>
      </c>
      <c r="M93" s="28">
        <f t="shared" si="6"/>
        <v>978</v>
      </c>
      <c r="N93" s="39">
        <v>-2030</v>
      </c>
      <c r="O93" s="28">
        <v>3008</v>
      </c>
      <c r="P93" s="22">
        <f t="shared" si="7"/>
        <v>594</v>
      </c>
      <c r="Q93" s="36"/>
      <c r="R93" s="30"/>
      <c r="S93" s="80">
        <f t="shared" si="11"/>
        <v>45723</v>
      </c>
      <c r="T93" s="59">
        <f t="shared" si="12"/>
        <v>1345.9479999999999</v>
      </c>
      <c r="U93" s="2"/>
      <c r="V93" s="2"/>
      <c r="W93" s="81"/>
      <c r="X93" s="2"/>
      <c r="Y93" s="2"/>
      <c r="Z93" s="2"/>
      <c r="AA93" s="2"/>
    </row>
    <row r="94" spans="1:27" ht="22.5" customHeight="1" outlineLevel="1" x14ac:dyDescent="0.2">
      <c r="A94" s="62">
        <f>'QTL-Km118+890,00'!A94</f>
        <v>45724</v>
      </c>
      <c r="B94" s="22" t="e">
        <f>'QTL-Km118+890,00'!B94</f>
        <v>#REF!</v>
      </c>
      <c r="C94" s="28">
        <f t="shared" si="2"/>
        <v>841</v>
      </c>
      <c r="D94" s="39">
        <v>-1480</v>
      </c>
      <c r="E94" s="28">
        <v>2371</v>
      </c>
      <c r="F94" s="22">
        <f t="shared" si="3"/>
        <v>724</v>
      </c>
      <c r="G94" s="22" t="e">
        <f>'QTL-Km118+890,00'!G94</f>
        <v>#REF!</v>
      </c>
      <c r="H94" s="28">
        <f t="shared" si="4"/>
        <v>780</v>
      </c>
      <c r="I94" s="39">
        <v>-1566</v>
      </c>
      <c r="J94" s="40">
        <v>2.3959999999999999</v>
      </c>
      <c r="K94" s="22">
        <f t="shared" si="5"/>
        <v>820</v>
      </c>
      <c r="L94" s="22" t="e">
        <f>'QTL-Km118+890,00'!L94</f>
        <v>#REF!</v>
      </c>
      <c r="M94" s="28">
        <f t="shared" si="6"/>
        <v>973</v>
      </c>
      <c r="N94" s="39">
        <v>-2035</v>
      </c>
      <c r="O94" s="28">
        <v>3008</v>
      </c>
      <c r="P94" s="22">
        <f t="shared" si="7"/>
        <v>599</v>
      </c>
      <c r="Q94" s="36"/>
      <c r="R94" s="30"/>
      <c r="S94" s="80">
        <f t="shared" si="11"/>
        <v>45724</v>
      </c>
      <c r="T94" s="59">
        <f t="shared" si="12"/>
        <v>1345.9479999999999</v>
      </c>
      <c r="U94" s="2"/>
      <c r="V94" s="2"/>
      <c r="W94" s="81"/>
      <c r="X94" s="2"/>
      <c r="Y94" s="2"/>
      <c r="Z94" s="2"/>
      <c r="AA94" s="2"/>
    </row>
    <row r="95" spans="1:27" ht="22.5" customHeight="1" outlineLevel="1" x14ac:dyDescent="0.2">
      <c r="A95" s="62">
        <f>'QTL-Km118+890,00'!A95</f>
        <v>45725</v>
      </c>
      <c r="B95" s="22" t="e">
        <f>'QTL-Km118+890,00'!B95</f>
        <v>#REF!</v>
      </c>
      <c r="C95" s="28">
        <f t="shared" si="2"/>
        <v>836</v>
      </c>
      <c r="D95" s="39">
        <v>-1485</v>
      </c>
      <c r="E95" s="28">
        <v>2371</v>
      </c>
      <c r="F95" s="22">
        <f t="shared" si="3"/>
        <v>729</v>
      </c>
      <c r="G95" s="22" t="e">
        <f>'QTL-Km118+890,00'!G95</f>
        <v>#REF!</v>
      </c>
      <c r="H95" s="28">
        <f t="shared" si="4"/>
        <v>776</v>
      </c>
      <c r="I95" s="39">
        <v>-1570</v>
      </c>
      <c r="J95" s="40">
        <v>2.3959999999999999</v>
      </c>
      <c r="K95" s="22">
        <f t="shared" si="5"/>
        <v>824</v>
      </c>
      <c r="L95" s="22" t="e">
        <f>'QTL-Km118+890,00'!L95</f>
        <v>#REF!</v>
      </c>
      <c r="M95" s="28">
        <f t="shared" si="6"/>
        <v>969</v>
      </c>
      <c r="N95" s="39">
        <v>-2039</v>
      </c>
      <c r="O95" s="28">
        <v>3008</v>
      </c>
      <c r="P95" s="22">
        <f t="shared" si="7"/>
        <v>603</v>
      </c>
      <c r="Q95" s="36"/>
      <c r="R95" s="30"/>
      <c r="S95" s="80">
        <f t="shared" si="11"/>
        <v>45725</v>
      </c>
      <c r="T95" s="59">
        <f t="shared" si="12"/>
        <v>1345.9479999999999</v>
      </c>
      <c r="U95" s="2"/>
      <c r="V95" s="2"/>
      <c r="W95" s="81"/>
      <c r="X95" s="2"/>
      <c r="Y95" s="2"/>
      <c r="Z95" s="2"/>
      <c r="AA95" s="2"/>
    </row>
    <row r="96" spans="1:27" ht="22.5" customHeight="1" outlineLevel="1" x14ac:dyDescent="0.2">
      <c r="A96" s="62">
        <f>'QTL-Km118+890,00'!A96</f>
        <v>45726</v>
      </c>
      <c r="B96" s="22" t="e">
        <f>'QTL-Km118+890,00'!B96</f>
        <v>#REF!</v>
      </c>
      <c r="C96" s="28">
        <f t="shared" si="2"/>
        <v>830</v>
      </c>
      <c r="D96" s="39">
        <v>-1491</v>
      </c>
      <c r="E96" s="28">
        <v>2371</v>
      </c>
      <c r="F96" s="22">
        <f t="shared" si="3"/>
        <v>735</v>
      </c>
      <c r="G96" s="22" t="e">
        <f>'QTL-Km118+890,00'!G96</f>
        <v>#REF!</v>
      </c>
      <c r="H96" s="28">
        <f t="shared" si="4"/>
        <v>770</v>
      </c>
      <c r="I96" s="39">
        <v>-1576</v>
      </c>
      <c r="J96" s="40">
        <v>2.3959999999999999</v>
      </c>
      <c r="K96" s="22">
        <f t="shared" si="5"/>
        <v>830</v>
      </c>
      <c r="L96" s="22" t="e">
        <f>'QTL-Km118+890,00'!L96</f>
        <v>#REF!</v>
      </c>
      <c r="M96" s="28">
        <f t="shared" si="6"/>
        <v>964</v>
      </c>
      <c r="N96" s="39">
        <v>-2044</v>
      </c>
      <c r="O96" s="28">
        <v>3008</v>
      </c>
      <c r="P96" s="22">
        <f t="shared" si="7"/>
        <v>608</v>
      </c>
      <c r="Q96" s="36"/>
      <c r="R96" s="30"/>
      <c r="S96" s="80">
        <f t="shared" si="11"/>
        <v>45726</v>
      </c>
      <c r="T96" s="59">
        <f t="shared" si="12"/>
        <v>1345.9479999999999</v>
      </c>
      <c r="U96" s="2"/>
      <c r="V96" s="2"/>
      <c r="W96" s="81"/>
      <c r="X96" s="2"/>
      <c r="Y96" s="2"/>
      <c r="Z96" s="2"/>
      <c r="AA96" s="2"/>
    </row>
    <row r="97" spans="1:27" ht="22.5" customHeight="1" outlineLevel="1" x14ac:dyDescent="0.2">
      <c r="A97" s="62">
        <f>'QTL-Km118+890,00'!A97</f>
        <v>45727</v>
      </c>
      <c r="B97" s="22" t="e">
        <f>'QTL-Km118+890,00'!B97</f>
        <v>#REF!</v>
      </c>
      <c r="C97" s="28">
        <f t="shared" si="2"/>
        <v>825</v>
      </c>
      <c r="D97" s="39">
        <v>-1496</v>
      </c>
      <c r="E97" s="28">
        <v>2371</v>
      </c>
      <c r="F97" s="22">
        <f t="shared" si="3"/>
        <v>740</v>
      </c>
      <c r="G97" s="22" t="e">
        <f>'QTL-Km118+890,00'!G97</f>
        <v>#REF!</v>
      </c>
      <c r="H97" s="28">
        <f t="shared" si="4"/>
        <v>765</v>
      </c>
      <c r="I97" s="39">
        <v>-1581</v>
      </c>
      <c r="J97" s="40">
        <v>2.3959999999999999</v>
      </c>
      <c r="K97" s="22">
        <f t="shared" si="5"/>
        <v>835</v>
      </c>
      <c r="L97" s="22" t="e">
        <f>'QTL-Km118+890,00'!L97</f>
        <v>#REF!</v>
      </c>
      <c r="M97" s="28">
        <f t="shared" si="6"/>
        <v>958</v>
      </c>
      <c r="N97" s="39">
        <v>-2050</v>
      </c>
      <c r="O97" s="28">
        <v>3008</v>
      </c>
      <c r="P97" s="22">
        <f t="shared" si="7"/>
        <v>614</v>
      </c>
      <c r="Q97" s="36"/>
      <c r="R97" s="30"/>
      <c r="S97" s="80">
        <f t="shared" si="11"/>
        <v>45727</v>
      </c>
      <c r="T97" s="59">
        <f t="shared" si="12"/>
        <v>1345.9479999999999</v>
      </c>
      <c r="U97" s="2"/>
      <c r="V97" s="2"/>
      <c r="W97" s="81"/>
      <c r="X97" s="2"/>
      <c r="Y97" s="2"/>
      <c r="Z97" s="2"/>
      <c r="AA97" s="2"/>
    </row>
    <row r="98" spans="1:27" ht="22.5" customHeight="1" outlineLevel="1" x14ac:dyDescent="0.2">
      <c r="A98" s="62">
        <f>'QTL-Km118+890,00'!A98</f>
        <v>45728</v>
      </c>
      <c r="B98" s="22" t="e">
        <f>'QTL-Km118+890,00'!B98</f>
        <v>#REF!</v>
      </c>
      <c r="C98" s="28">
        <f t="shared" si="2"/>
        <v>820</v>
      </c>
      <c r="D98" s="39">
        <v>-1501</v>
      </c>
      <c r="E98" s="28">
        <v>2371</v>
      </c>
      <c r="F98" s="22">
        <f t="shared" si="3"/>
        <v>745</v>
      </c>
      <c r="G98" s="22" t="e">
        <f>'QTL-Km118+890,00'!G98</f>
        <v>#REF!</v>
      </c>
      <c r="H98" s="28">
        <f t="shared" si="4"/>
        <v>760</v>
      </c>
      <c r="I98" s="39">
        <v>-1586</v>
      </c>
      <c r="J98" s="40">
        <v>2.3959999999999999</v>
      </c>
      <c r="K98" s="22">
        <f t="shared" si="5"/>
        <v>840</v>
      </c>
      <c r="L98" s="22" t="e">
        <f>'QTL-Km118+890,00'!L98</f>
        <v>#REF!</v>
      </c>
      <c r="M98" s="28">
        <f t="shared" si="6"/>
        <v>952</v>
      </c>
      <c r="N98" s="39">
        <v>-2056</v>
      </c>
      <c r="O98" s="28">
        <v>3008</v>
      </c>
      <c r="P98" s="22">
        <f t="shared" si="7"/>
        <v>620</v>
      </c>
      <c r="Q98" s="36"/>
      <c r="R98" s="30"/>
      <c r="S98" s="80">
        <f t="shared" si="11"/>
        <v>45728</v>
      </c>
      <c r="T98" s="59">
        <f t="shared" si="12"/>
        <v>1345.9479999999999</v>
      </c>
      <c r="U98" s="2"/>
      <c r="V98" s="2"/>
      <c r="W98" s="81"/>
      <c r="X98" s="2"/>
      <c r="Y98" s="2"/>
      <c r="Z98" s="2"/>
      <c r="AA98" s="2"/>
    </row>
    <row r="99" spans="1:27" ht="22.5" customHeight="1" outlineLevel="1" x14ac:dyDescent="0.2">
      <c r="A99" s="62">
        <f>'QTL-Km118+890,00'!A99</f>
        <v>45729</v>
      </c>
      <c r="B99" s="22" t="e">
        <f>'QTL-Km118+890,00'!B99</f>
        <v>#REF!</v>
      </c>
      <c r="C99" s="28">
        <f t="shared" si="2"/>
        <v>815</v>
      </c>
      <c r="D99" s="39">
        <v>-1506</v>
      </c>
      <c r="E99" s="28">
        <v>2371</v>
      </c>
      <c r="F99" s="22">
        <f t="shared" si="3"/>
        <v>750</v>
      </c>
      <c r="G99" s="22" t="e">
        <f>'QTL-Km118+890,00'!G99</f>
        <v>#REF!</v>
      </c>
      <c r="H99" s="28">
        <f t="shared" si="4"/>
        <v>753</v>
      </c>
      <c r="I99" s="39">
        <v>-1593</v>
      </c>
      <c r="J99" s="40">
        <v>2.3959999999999999</v>
      </c>
      <c r="K99" s="22">
        <f t="shared" si="5"/>
        <v>847</v>
      </c>
      <c r="L99" s="22" t="e">
        <f>'QTL-Km118+890,00'!L99</f>
        <v>#REF!</v>
      </c>
      <c r="M99" s="28">
        <f t="shared" si="6"/>
        <v>947</v>
      </c>
      <c r="N99" s="39">
        <v>-2061</v>
      </c>
      <c r="O99" s="28">
        <v>3008</v>
      </c>
      <c r="P99" s="22">
        <f t="shared" si="7"/>
        <v>625</v>
      </c>
      <c r="Q99" s="36"/>
      <c r="R99" s="30"/>
      <c r="S99" s="80">
        <f t="shared" si="11"/>
        <v>45729</v>
      </c>
      <c r="T99" s="59">
        <f t="shared" si="12"/>
        <v>1345.9479999999999</v>
      </c>
      <c r="U99" s="2"/>
      <c r="V99" s="2"/>
      <c r="W99" s="81"/>
      <c r="X99" s="2"/>
      <c r="Y99" s="2"/>
      <c r="Z99" s="2"/>
      <c r="AA99" s="2"/>
    </row>
    <row r="100" spans="1:27" ht="22.5" customHeight="1" outlineLevel="1" x14ac:dyDescent="0.2">
      <c r="A100" s="62">
        <f>'QTL-Km118+890,00'!A100</f>
        <v>45730</v>
      </c>
      <c r="B100" s="22" t="e">
        <f>'QTL-Km118+890,00'!B100</f>
        <v>#REF!</v>
      </c>
      <c r="C100" s="28">
        <f t="shared" si="2"/>
        <v>806</v>
      </c>
      <c r="D100" s="39">
        <v>-1515</v>
      </c>
      <c r="E100" s="28">
        <v>2371</v>
      </c>
      <c r="F100" s="22">
        <f t="shared" si="3"/>
        <v>759</v>
      </c>
      <c r="G100" s="22" t="e">
        <f>'QTL-Km118+890,00'!G100</f>
        <v>#REF!</v>
      </c>
      <c r="H100" s="28">
        <f t="shared" si="4"/>
        <v>746</v>
      </c>
      <c r="I100" s="39">
        <v>-1600</v>
      </c>
      <c r="J100" s="40">
        <v>2.3959999999999999</v>
      </c>
      <c r="K100" s="22">
        <f t="shared" si="5"/>
        <v>854</v>
      </c>
      <c r="L100" s="22" t="e">
        <f>'QTL-Km118+890,00'!L100</f>
        <v>#REF!</v>
      </c>
      <c r="M100" s="28">
        <f t="shared" si="6"/>
        <v>942</v>
      </c>
      <c r="N100" s="39">
        <v>-2066</v>
      </c>
      <c r="O100" s="28">
        <v>3008</v>
      </c>
      <c r="P100" s="22">
        <f t="shared" si="7"/>
        <v>630</v>
      </c>
      <c r="Q100" s="36"/>
      <c r="R100" s="30"/>
      <c r="S100" s="80"/>
      <c r="T100" s="59"/>
      <c r="U100" s="2"/>
      <c r="V100" s="2"/>
      <c r="W100" s="81"/>
      <c r="X100" s="2"/>
      <c r="Y100" s="2"/>
      <c r="Z100" s="2"/>
      <c r="AA100" s="2"/>
    </row>
    <row r="101" spans="1:27" ht="22.5" customHeight="1" outlineLevel="1" x14ac:dyDescent="0.2">
      <c r="A101" s="62">
        <f>'QTL-Km118+890,00'!A101</f>
        <v>45731</v>
      </c>
      <c r="B101" s="22" t="e">
        <f>'QTL-Km118+890,00'!B101</f>
        <v>#REF!</v>
      </c>
      <c r="C101" s="28">
        <f t="shared" si="2"/>
        <v>797</v>
      </c>
      <c r="D101" s="39">
        <v>-1524</v>
      </c>
      <c r="E101" s="28">
        <v>2371</v>
      </c>
      <c r="F101" s="22">
        <f t="shared" si="3"/>
        <v>768</v>
      </c>
      <c r="G101" s="22" t="e">
        <f>'QTL-Km118+890,00'!G101</f>
        <v>#REF!</v>
      </c>
      <c r="H101" s="28">
        <f t="shared" si="4"/>
        <v>740</v>
      </c>
      <c r="I101" s="39">
        <v>-1606</v>
      </c>
      <c r="J101" s="40">
        <v>2.3959999999999999</v>
      </c>
      <c r="K101" s="22">
        <f t="shared" si="5"/>
        <v>860</v>
      </c>
      <c r="L101" s="22" t="e">
        <f>'QTL-Km118+890,00'!L101</f>
        <v>#REF!</v>
      </c>
      <c r="M101" s="28">
        <f t="shared" si="6"/>
        <v>938</v>
      </c>
      <c r="N101" s="39">
        <v>-2070</v>
      </c>
      <c r="O101" s="28">
        <v>3008</v>
      </c>
      <c r="P101" s="22">
        <f t="shared" si="7"/>
        <v>634</v>
      </c>
      <c r="Q101" s="36"/>
      <c r="R101" s="30"/>
      <c r="S101" s="80"/>
      <c r="T101" s="59"/>
      <c r="U101" s="2"/>
      <c r="V101" s="2"/>
      <c r="W101" s="81"/>
      <c r="X101" s="2"/>
      <c r="Y101" s="2"/>
      <c r="Z101" s="2"/>
      <c r="AA101" s="2"/>
    </row>
    <row r="102" spans="1:27" ht="22.5" customHeight="1" outlineLevel="1" x14ac:dyDescent="0.2">
      <c r="A102" s="62">
        <f>'QTL-Km118+890,00'!A102</f>
        <v>45732</v>
      </c>
      <c r="B102" s="22" t="e">
        <f>'QTL-Km118+890,00'!B102</f>
        <v>#REF!</v>
      </c>
      <c r="C102" s="28">
        <f t="shared" si="2"/>
        <v>797</v>
      </c>
      <c r="D102" s="39">
        <v>-1524</v>
      </c>
      <c r="E102" s="28">
        <v>2371</v>
      </c>
      <c r="F102" s="22">
        <f t="shared" si="3"/>
        <v>768</v>
      </c>
      <c r="G102" s="22" t="e">
        <f>'QTL-Km118+890,00'!G102</f>
        <v>#REF!</v>
      </c>
      <c r="H102" s="28">
        <f t="shared" si="4"/>
        <v>736</v>
      </c>
      <c r="I102" s="24">
        <v>-1610</v>
      </c>
      <c r="J102" s="40">
        <v>2.3959999999999999</v>
      </c>
      <c r="K102" s="22">
        <f t="shared" si="5"/>
        <v>864</v>
      </c>
      <c r="L102" s="22" t="e">
        <f>'QTL-Km118+890,00'!L102</f>
        <v>#REF!</v>
      </c>
      <c r="M102" s="28">
        <f t="shared" si="6"/>
        <v>935</v>
      </c>
      <c r="N102" s="24">
        <v>-2073</v>
      </c>
      <c r="O102" s="28">
        <v>3008</v>
      </c>
      <c r="P102" s="22">
        <f t="shared" si="7"/>
        <v>637</v>
      </c>
      <c r="Q102" s="36"/>
      <c r="R102" s="30"/>
      <c r="S102" s="80"/>
      <c r="T102" s="59"/>
      <c r="U102" s="2"/>
      <c r="V102" s="2"/>
      <c r="W102" s="81"/>
      <c r="X102" s="2"/>
      <c r="Y102" s="2"/>
      <c r="Z102" s="2"/>
      <c r="AA102" s="2"/>
    </row>
    <row r="103" spans="1:27" ht="22.5" customHeight="1" outlineLevel="1" x14ac:dyDescent="0.2">
      <c r="A103" s="62">
        <f>'QTL-Km118+890,00'!A103</f>
        <v>45733</v>
      </c>
      <c r="B103" s="22" t="e">
        <f>'QTL-Km118+890,00'!B103</f>
        <v>#REF!</v>
      </c>
      <c r="C103" s="28">
        <f t="shared" si="2"/>
        <v>797</v>
      </c>
      <c r="D103" s="39">
        <v>-1524</v>
      </c>
      <c r="E103" s="28">
        <v>2371</v>
      </c>
      <c r="F103" s="22">
        <f t="shared" si="3"/>
        <v>768</v>
      </c>
      <c r="G103" s="22" t="e">
        <f>'QTL-Km118+890,00'!G103</f>
        <v>#REF!</v>
      </c>
      <c r="H103" s="28">
        <f t="shared" si="4"/>
        <v>731</v>
      </c>
      <c r="I103" s="24">
        <v>-1615</v>
      </c>
      <c r="J103" s="40">
        <v>2.3959999999999999</v>
      </c>
      <c r="K103" s="22">
        <f t="shared" si="5"/>
        <v>869</v>
      </c>
      <c r="L103" s="22" t="e">
        <f>'QTL-Km118+890,00'!L103</f>
        <v>#REF!</v>
      </c>
      <c r="M103" s="28">
        <f t="shared" si="6"/>
        <v>932</v>
      </c>
      <c r="N103" s="24">
        <v>-2076</v>
      </c>
      <c r="O103" s="28">
        <v>3008</v>
      </c>
      <c r="P103" s="22">
        <f t="shared" si="7"/>
        <v>640</v>
      </c>
      <c r="Q103" s="36"/>
      <c r="R103" s="30"/>
      <c r="S103" s="80"/>
      <c r="T103" s="59"/>
      <c r="U103" s="2"/>
      <c r="V103" s="2"/>
      <c r="W103" s="81"/>
      <c r="X103" s="2"/>
      <c r="Y103" s="2"/>
      <c r="Z103" s="2"/>
      <c r="AA103" s="2"/>
    </row>
    <row r="104" spans="1:27" ht="22.5" customHeight="1" outlineLevel="1" x14ac:dyDescent="0.2">
      <c r="A104" s="62">
        <f>'QTL-Km118+890,00'!A104</f>
        <v>45734</v>
      </c>
      <c r="B104" s="22" t="e">
        <f>'QTL-Km118+890,00'!B104</f>
        <v>#REF!</v>
      </c>
      <c r="C104" s="28">
        <f t="shared" si="2"/>
        <v>787</v>
      </c>
      <c r="D104" s="24">
        <v>-1534</v>
      </c>
      <c r="E104" s="28">
        <v>2371</v>
      </c>
      <c r="F104" s="22">
        <f t="shared" si="3"/>
        <v>778</v>
      </c>
      <c r="G104" s="22" t="e">
        <f>'QTL-Km118+890,00'!G104</f>
        <v>#REF!</v>
      </c>
      <c r="H104" s="28">
        <f t="shared" si="4"/>
        <v>725</v>
      </c>
      <c r="I104" s="24">
        <v>-1621</v>
      </c>
      <c r="J104" s="40">
        <v>2.3959999999999999</v>
      </c>
      <c r="K104" s="22">
        <f t="shared" si="5"/>
        <v>875</v>
      </c>
      <c r="L104" s="22" t="e">
        <f>'QTL-Km118+890,00'!L104</f>
        <v>#REF!</v>
      </c>
      <c r="M104" s="28">
        <f t="shared" si="6"/>
        <v>929</v>
      </c>
      <c r="N104" s="24">
        <v>-2079</v>
      </c>
      <c r="O104" s="28">
        <v>3008</v>
      </c>
      <c r="P104" s="22">
        <f t="shared" si="7"/>
        <v>643</v>
      </c>
      <c r="Q104" s="36"/>
      <c r="R104" s="30"/>
      <c r="S104" s="80"/>
      <c r="T104" s="59"/>
      <c r="U104" s="2"/>
      <c r="V104" s="2"/>
      <c r="W104" s="81"/>
      <c r="X104" s="2"/>
      <c r="Y104" s="2"/>
      <c r="Z104" s="2"/>
      <c r="AA104" s="2"/>
    </row>
    <row r="105" spans="1:27" ht="22.5" customHeight="1" outlineLevel="1" x14ac:dyDescent="0.2">
      <c r="A105" s="62">
        <f>'QTL-Km118+890,00'!A105</f>
        <v>45735</v>
      </c>
      <c r="B105" s="22" t="e">
        <f>'QTL-Km118+890,00'!B105</f>
        <v>#REF!</v>
      </c>
      <c r="C105" s="28">
        <f t="shared" si="2"/>
        <v>787</v>
      </c>
      <c r="D105" s="24">
        <v>-1534</v>
      </c>
      <c r="E105" s="28">
        <v>2371</v>
      </c>
      <c r="F105" s="22">
        <f t="shared" si="3"/>
        <v>778</v>
      </c>
      <c r="G105" s="22" t="e">
        <f>'QTL-Km118+890,00'!G105</f>
        <v>#REF!</v>
      </c>
      <c r="H105" s="28">
        <f t="shared" si="4"/>
        <v>725</v>
      </c>
      <c r="I105" s="24">
        <v>-1621</v>
      </c>
      <c r="J105" s="40">
        <v>2.3959999999999999</v>
      </c>
      <c r="K105" s="22">
        <f t="shared" si="5"/>
        <v>875</v>
      </c>
      <c r="L105" s="22" t="e">
        <f>'QTL-Km118+890,00'!L105</f>
        <v>#REF!</v>
      </c>
      <c r="M105" s="28">
        <f t="shared" si="6"/>
        <v>929</v>
      </c>
      <c r="N105" s="24">
        <v>-2079</v>
      </c>
      <c r="O105" s="28">
        <v>3008</v>
      </c>
      <c r="P105" s="22">
        <f t="shared" si="7"/>
        <v>643</v>
      </c>
      <c r="Q105" s="36"/>
      <c r="R105" s="30"/>
      <c r="S105" s="80"/>
      <c r="T105" s="59"/>
      <c r="U105" s="2"/>
      <c r="V105" s="2"/>
      <c r="W105" s="81"/>
      <c r="X105" s="2"/>
      <c r="Y105" s="2"/>
      <c r="Z105" s="2"/>
      <c r="AA105" s="2"/>
    </row>
    <row r="106" spans="1:27" ht="22.5" customHeight="1" outlineLevel="1" x14ac:dyDescent="0.2">
      <c r="A106" s="62">
        <f>'QTL-Km118+890,00'!A106</f>
        <v>45736</v>
      </c>
      <c r="B106" s="22" t="e">
        <f>'QTL-Km118+890,00'!B106</f>
        <v>#REF!</v>
      </c>
      <c r="C106" s="28">
        <f t="shared" si="2"/>
        <v>787</v>
      </c>
      <c r="D106" s="24">
        <v>-1534</v>
      </c>
      <c r="E106" s="28">
        <v>2371</v>
      </c>
      <c r="F106" s="22">
        <f t="shared" si="3"/>
        <v>778</v>
      </c>
      <c r="G106" s="22" t="e">
        <f>'QTL-Km118+890,00'!G106</f>
        <v>#REF!</v>
      </c>
      <c r="H106" s="28">
        <f t="shared" si="4"/>
        <v>725</v>
      </c>
      <c r="I106" s="24">
        <v>-1621</v>
      </c>
      <c r="J106" s="40">
        <v>2.3959999999999999</v>
      </c>
      <c r="K106" s="22">
        <f t="shared" si="5"/>
        <v>875</v>
      </c>
      <c r="L106" s="22" t="e">
        <f>'QTL-Km118+890,00'!L106</f>
        <v>#REF!</v>
      </c>
      <c r="M106" s="28">
        <f t="shared" si="6"/>
        <v>929</v>
      </c>
      <c r="N106" s="24">
        <v>-2079</v>
      </c>
      <c r="O106" s="28">
        <v>3008</v>
      </c>
      <c r="P106" s="22">
        <f t="shared" si="7"/>
        <v>643</v>
      </c>
      <c r="Q106" s="36"/>
      <c r="R106" s="30"/>
      <c r="S106" s="80"/>
      <c r="T106" s="59"/>
      <c r="U106" s="2"/>
      <c r="V106" s="2"/>
      <c r="W106" s="81"/>
      <c r="X106" s="2"/>
      <c r="Y106" s="2"/>
      <c r="Z106" s="2"/>
      <c r="AA106" s="2"/>
    </row>
    <row r="107" spans="1:27" ht="22.5" customHeight="1" outlineLevel="1" x14ac:dyDescent="0.2">
      <c r="A107" s="62">
        <f>'QTL-Km118+890,00'!A107</f>
        <v>45737</v>
      </c>
      <c r="B107" s="22" t="e">
        <f>'QTL-Km118+890,00'!B107</f>
        <v>#REF!</v>
      </c>
      <c r="C107" s="28">
        <f t="shared" si="2"/>
        <v>787</v>
      </c>
      <c r="D107" s="24">
        <v>-1534</v>
      </c>
      <c r="E107" s="28">
        <v>2371</v>
      </c>
      <c r="F107" s="22">
        <f t="shared" si="3"/>
        <v>778</v>
      </c>
      <c r="G107" s="22" t="e">
        <f>'QTL-Km118+890,00'!G107</f>
        <v>#REF!</v>
      </c>
      <c r="H107" s="28">
        <f t="shared" si="4"/>
        <v>721</v>
      </c>
      <c r="I107" s="24">
        <v>-1625</v>
      </c>
      <c r="J107" s="40">
        <v>2.3959999999999999</v>
      </c>
      <c r="K107" s="22">
        <f t="shared" si="5"/>
        <v>879</v>
      </c>
      <c r="L107" s="22" t="e">
        <f>'QTL-Km118+890,00'!L107</f>
        <v>#REF!</v>
      </c>
      <c r="M107" s="28">
        <f t="shared" si="6"/>
        <v>925</v>
      </c>
      <c r="N107" s="24">
        <v>-2083</v>
      </c>
      <c r="O107" s="28">
        <v>3008</v>
      </c>
      <c r="P107" s="22">
        <f t="shared" si="7"/>
        <v>647</v>
      </c>
      <c r="Q107" s="36"/>
      <c r="R107" s="30"/>
      <c r="S107" s="80"/>
      <c r="T107" s="59"/>
      <c r="U107" s="2"/>
      <c r="V107" s="2"/>
      <c r="W107" s="81"/>
      <c r="X107" s="2"/>
      <c r="Y107" s="2"/>
      <c r="Z107" s="2"/>
      <c r="AA107" s="2"/>
    </row>
    <row r="108" spans="1:27" ht="22.5" customHeight="1" outlineLevel="1" x14ac:dyDescent="0.2">
      <c r="A108" s="62">
        <f>'QTL-Km118+890,00'!A108</f>
        <v>45738</v>
      </c>
      <c r="B108" s="22" t="e">
        <f>'QTL-Km118+890,00'!B108</f>
        <v>#REF!</v>
      </c>
      <c r="C108" s="28">
        <f t="shared" si="2"/>
        <v>783</v>
      </c>
      <c r="D108" s="24">
        <v>-1538</v>
      </c>
      <c r="E108" s="28">
        <v>2371</v>
      </c>
      <c r="F108" s="22">
        <f t="shared" si="3"/>
        <v>782</v>
      </c>
      <c r="G108" s="22" t="e">
        <f>'QTL-Km118+890,00'!G108</f>
        <v>#REF!</v>
      </c>
      <c r="H108" s="28">
        <f t="shared" si="4"/>
        <v>718</v>
      </c>
      <c r="I108" s="24">
        <v>-1628</v>
      </c>
      <c r="J108" s="40">
        <v>2.3959999999999999</v>
      </c>
      <c r="K108" s="22">
        <f t="shared" si="5"/>
        <v>882</v>
      </c>
      <c r="L108" s="22" t="e">
        <f>'QTL-Km118+890,00'!L108</f>
        <v>#REF!</v>
      </c>
      <c r="M108" s="28">
        <f t="shared" si="6"/>
        <v>921</v>
      </c>
      <c r="N108" s="24">
        <v>-2087</v>
      </c>
      <c r="O108" s="28">
        <v>3008</v>
      </c>
      <c r="P108" s="22">
        <f t="shared" si="7"/>
        <v>651</v>
      </c>
      <c r="Q108" s="36"/>
      <c r="R108" s="30"/>
      <c r="S108" s="80"/>
      <c r="T108" s="59"/>
      <c r="U108" s="2"/>
      <c r="V108" s="2"/>
      <c r="W108" s="81"/>
      <c r="X108" s="2"/>
      <c r="Y108" s="2"/>
      <c r="Z108" s="2"/>
      <c r="AA108" s="2"/>
    </row>
    <row r="109" spans="1:27" ht="22.5" customHeight="1" outlineLevel="1" x14ac:dyDescent="0.2">
      <c r="A109" s="62">
        <f>'QTL-Km118+890,00'!A109</f>
        <v>45739</v>
      </c>
      <c r="B109" s="22" t="e">
        <f>'QTL-Km118+890,00'!B109</f>
        <v>#REF!</v>
      </c>
      <c r="C109" s="28">
        <f t="shared" si="2"/>
        <v>779</v>
      </c>
      <c r="D109" s="24">
        <v>-1542</v>
      </c>
      <c r="E109" s="28">
        <v>2371</v>
      </c>
      <c r="F109" s="22">
        <f t="shared" si="3"/>
        <v>786</v>
      </c>
      <c r="G109" s="22" t="e">
        <f>'QTL-Km118+890,00'!G109</f>
        <v>#REF!</v>
      </c>
      <c r="H109" s="28">
        <f t="shared" si="4"/>
        <v>715</v>
      </c>
      <c r="I109" s="24">
        <v>-1631</v>
      </c>
      <c r="J109" s="40">
        <v>2.3959999999999999</v>
      </c>
      <c r="K109" s="22">
        <f t="shared" si="5"/>
        <v>885</v>
      </c>
      <c r="L109" s="22" t="e">
        <f>'QTL-Km118+890,00'!L109</f>
        <v>#REF!</v>
      </c>
      <c r="M109" s="28">
        <f t="shared" si="6"/>
        <v>917</v>
      </c>
      <c r="N109" s="24">
        <v>-2091</v>
      </c>
      <c r="O109" s="28">
        <v>3008</v>
      </c>
      <c r="P109" s="22">
        <f t="shared" si="7"/>
        <v>655</v>
      </c>
      <c r="Q109" s="36"/>
      <c r="R109" s="30"/>
      <c r="S109" s="80"/>
      <c r="T109" s="59"/>
      <c r="U109" s="2"/>
      <c r="V109" s="2"/>
      <c r="W109" s="81"/>
      <c r="X109" s="2"/>
      <c r="Y109" s="2"/>
      <c r="Z109" s="2"/>
      <c r="AA109" s="2"/>
    </row>
    <row r="110" spans="1:27" ht="22.5" customHeight="1" outlineLevel="1" x14ac:dyDescent="0.2">
      <c r="A110" s="62">
        <f>'QTL-Km118+890,00'!A110</f>
        <v>45740</v>
      </c>
      <c r="B110" s="22" t="e">
        <f>'QTL-Km118+890,00'!B110</f>
        <v>#REF!</v>
      </c>
      <c r="C110" s="28">
        <f t="shared" si="2"/>
        <v>774</v>
      </c>
      <c r="D110" s="24">
        <v>-1547</v>
      </c>
      <c r="E110" s="28">
        <v>2371</v>
      </c>
      <c r="F110" s="22">
        <f t="shared" si="3"/>
        <v>791</v>
      </c>
      <c r="G110" s="22" t="e">
        <f>'QTL-Km118+890,00'!G110</f>
        <v>#REF!</v>
      </c>
      <c r="H110" s="28">
        <f t="shared" si="4"/>
        <v>708</v>
      </c>
      <c r="I110" s="24">
        <v>-1638</v>
      </c>
      <c r="J110" s="40">
        <v>2.3959999999999999</v>
      </c>
      <c r="K110" s="22">
        <f t="shared" si="5"/>
        <v>892</v>
      </c>
      <c r="L110" s="22" t="e">
        <f>'QTL-Km118+890,00'!L110</f>
        <v>#REF!</v>
      </c>
      <c r="M110" s="28">
        <f t="shared" si="6"/>
        <v>916</v>
      </c>
      <c r="N110" s="24">
        <v>-2092</v>
      </c>
      <c r="O110" s="28">
        <v>3008</v>
      </c>
      <c r="P110" s="22">
        <f t="shared" si="7"/>
        <v>656</v>
      </c>
      <c r="Q110" s="36"/>
      <c r="R110" s="30"/>
      <c r="S110" s="80"/>
      <c r="T110" s="59"/>
      <c r="U110" s="2"/>
      <c r="V110" s="2"/>
      <c r="W110" s="81"/>
      <c r="X110" s="2"/>
      <c r="Y110" s="2"/>
      <c r="Z110" s="2"/>
      <c r="AA110" s="2"/>
    </row>
    <row r="111" spans="1:27" ht="22.5" customHeight="1" outlineLevel="1" x14ac:dyDescent="0.2">
      <c r="A111" s="62">
        <f>'QTL-Km118+890,00'!A111</f>
        <v>45741</v>
      </c>
      <c r="B111" s="22" t="e">
        <f>'QTL-Km118+890,00'!B111</f>
        <v>#REF!</v>
      </c>
      <c r="C111" s="28">
        <f t="shared" si="2"/>
        <v>768</v>
      </c>
      <c r="D111" s="24">
        <v>-1553</v>
      </c>
      <c r="E111" s="28">
        <v>2371</v>
      </c>
      <c r="F111" s="22">
        <f t="shared" si="3"/>
        <v>797</v>
      </c>
      <c r="G111" s="22" t="e">
        <f>'QTL-Km118+890,00'!G111</f>
        <v>#REF!</v>
      </c>
      <c r="H111" s="28">
        <f t="shared" si="4"/>
        <v>701</v>
      </c>
      <c r="I111" s="24">
        <v>-1645</v>
      </c>
      <c r="J111" s="40">
        <v>2.3959999999999999</v>
      </c>
      <c r="K111" s="22">
        <f t="shared" si="5"/>
        <v>899</v>
      </c>
      <c r="L111" s="22" t="e">
        <f>'QTL-Km118+890,00'!L111</f>
        <v>#REF!</v>
      </c>
      <c r="M111" s="28">
        <f t="shared" si="6"/>
        <v>915</v>
      </c>
      <c r="N111" s="24">
        <v>-2093</v>
      </c>
      <c r="O111" s="28">
        <v>3008</v>
      </c>
      <c r="P111" s="22">
        <f t="shared" si="7"/>
        <v>657</v>
      </c>
      <c r="Q111" s="36"/>
      <c r="R111" s="30"/>
      <c r="S111" s="80"/>
      <c r="T111" s="59"/>
      <c r="U111" s="2"/>
      <c r="V111" s="2"/>
      <c r="W111" s="81"/>
      <c r="X111" s="2"/>
      <c r="Y111" s="2"/>
      <c r="Z111" s="2"/>
      <c r="AA111" s="2"/>
    </row>
    <row r="112" spans="1:27" ht="22.5" customHeight="1" outlineLevel="1" x14ac:dyDescent="0.2">
      <c r="A112" s="62">
        <f>'QTL-Km118+890,00'!A112</f>
        <v>45742</v>
      </c>
      <c r="B112" s="22" t="e">
        <f>'QTL-Km118+890,00'!B112</f>
        <v>#REF!</v>
      </c>
      <c r="C112" s="28">
        <f t="shared" si="2"/>
        <v>766</v>
      </c>
      <c r="D112" s="24">
        <v>-1555</v>
      </c>
      <c r="E112" s="28">
        <v>2371</v>
      </c>
      <c r="F112" s="22">
        <f t="shared" si="3"/>
        <v>799</v>
      </c>
      <c r="G112" s="22" t="e">
        <f>'QTL-Km118+890,00'!G112</f>
        <v>#REF!</v>
      </c>
      <c r="H112" s="28">
        <f t="shared" si="4"/>
        <v>698</v>
      </c>
      <c r="I112" s="24">
        <v>-1648</v>
      </c>
      <c r="J112" s="40">
        <v>2.3959999999999999</v>
      </c>
      <c r="K112" s="22">
        <f t="shared" si="5"/>
        <v>902</v>
      </c>
      <c r="L112" s="22" t="e">
        <f>'QTL-Km118+890,00'!L112</f>
        <v>#REF!</v>
      </c>
      <c r="M112" s="28">
        <f t="shared" si="6"/>
        <v>912</v>
      </c>
      <c r="N112" s="24">
        <v>-2096</v>
      </c>
      <c r="O112" s="28">
        <v>3008</v>
      </c>
      <c r="P112" s="22">
        <f t="shared" si="7"/>
        <v>660</v>
      </c>
      <c r="Q112" s="36"/>
      <c r="R112" s="30"/>
      <c r="S112" s="80"/>
      <c r="T112" s="59"/>
      <c r="U112" s="2"/>
      <c r="V112" s="2"/>
      <c r="W112" s="81"/>
      <c r="X112" s="2"/>
      <c r="Y112" s="2"/>
      <c r="Z112" s="2"/>
      <c r="AA112" s="2"/>
    </row>
    <row r="113" spans="1:27" ht="22.5" customHeight="1" outlineLevel="1" x14ac:dyDescent="0.2">
      <c r="A113" s="62">
        <f>'QTL-Km118+890,00'!A113</f>
        <v>45743</v>
      </c>
      <c r="B113" s="22" t="e">
        <f>'QTL-Km118+890,00'!B113</f>
        <v>#REF!</v>
      </c>
      <c r="C113" s="28">
        <f t="shared" si="2"/>
        <v>762</v>
      </c>
      <c r="D113" s="24">
        <v>-1559</v>
      </c>
      <c r="E113" s="28">
        <v>2371</v>
      </c>
      <c r="F113" s="22">
        <f t="shared" si="3"/>
        <v>803</v>
      </c>
      <c r="G113" s="22" t="e">
        <f>'QTL-Km118+890,00'!G113</f>
        <v>#REF!</v>
      </c>
      <c r="H113" s="28">
        <f t="shared" si="4"/>
        <v>695</v>
      </c>
      <c r="I113" s="24">
        <v>-1651</v>
      </c>
      <c r="J113" s="40">
        <v>2.3959999999999999</v>
      </c>
      <c r="K113" s="22">
        <f t="shared" si="5"/>
        <v>905</v>
      </c>
      <c r="L113" s="22" t="e">
        <f>'QTL-Km118+890,00'!L113</f>
        <v>#REF!</v>
      </c>
      <c r="M113" s="28">
        <f t="shared" si="6"/>
        <v>908</v>
      </c>
      <c r="N113" s="24">
        <v>-2100</v>
      </c>
      <c r="O113" s="28">
        <v>3008</v>
      </c>
      <c r="P113" s="22">
        <f t="shared" si="7"/>
        <v>664</v>
      </c>
      <c r="Q113" s="36"/>
      <c r="R113" s="30"/>
      <c r="S113" s="80"/>
      <c r="T113" s="59"/>
      <c r="U113" s="2"/>
      <c r="V113" s="2"/>
      <c r="W113" s="81"/>
      <c r="X113" s="2"/>
      <c r="Y113" s="2"/>
      <c r="Z113" s="2"/>
      <c r="AA113" s="2"/>
    </row>
    <row r="114" spans="1:27" ht="22.5" customHeight="1" outlineLevel="1" x14ac:dyDescent="0.2">
      <c r="A114" s="62">
        <f>'QTL-Km118+890,00'!A114</f>
        <v>45744</v>
      </c>
      <c r="B114" s="22" t="e">
        <f>'QTL-Km118+890,00'!B114</f>
        <v>#REF!</v>
      </c>
      <c r="C114" s="28">
        <f t="shared" si="2"/>
        <v>757</v>
      </c>
      <c r="D114" s="24">
        <v>-1564</v>
      </c>
      <c r="E114" s="28">
        <v>2371</v>
      </c>
      <c r="F114" s="22">
        <f t="shared" si="3"/>
        <v>808</v>
      </c>
      <c r="G114" s="22" t="e">
        <f>'QTL-Km118+890,00'!G114</f>
        <v>#REF!</v>
      </c>
      <c r="H114" s="28">
        <f t="shared" si="4"/>
        <v>692</v>
      </c>
      <c r="I114" s="24">
        <v>-1654</v>
      </c>
      <c r="J114" s="40">
        <v>2.3959999999999999</v>
      </c>
      <c r="K114" s="22">
        <f t="shared" si="5"/>
        <v>908</v>
      </c>
      <c r="L114" s="22" t="e">
        <f>'QTL-Km118+890,00'!L114</f>
        <v>#REF!</v>
      </c>
      <c r="M114" s="28">
        <f t="shared" si="6"/>
        <v>904</v>
      </c>
      <c r="N114" s="24">
        <v>-2104</v>
      </c>
      <c r="O114" s="28">
        <v>3008</v>
      </c>
      <c r="P114" s="22">
        <f t="shared" si="7"/>
        <v>668</v>
      </c>
      <c r="Q114" s="36"/>
      <c r="R114" s="30"/>
      <c r="S114" s="80"/>
      <c r="T114" s="59"/>
      <c r="U114" s="2"/>
      <c r="V114" s="2"/>
      <c r="W114" s="81"/>
      <c r="X114" s="2"/>
      <c r="Y114" s="2"/>
      <c r="Z114" s="2"/>
      <c r="AA114" s="2"/>
    </row>
    <row r="115" spans="1:27" ht="22.5" customHeight="1" outlineLevel="1" x14ac:dyDescent="0.2">
      <c r="A115" s="62">
        <f>'QTL-Km118+890,00'!A115</f>
        <v>45745</v>
      </c>
      <c r="B115" s="22" t="e">
        <f>'QTL-Km118+890,00'!B115</f>
        <v>#REF!</v>
      </c>
      <c r="C115" s="28">
        <f t="shared" si="2"/>
        <v>754</v>
      </c>
      <c r="D115" s="24">
        <v>-1567</v>
      </c>
      <c r="E115" s="28">
        <v>2371</v>
      </c>
      <c r="F115" s="22">
        <f t="shared" si="3"/>
        <v>811</v>
      </c>
      <c r="G115" s="22" t="e">
        <f>'QTL-Km118+890,00'!G115</f>
        <v>#REF!</v>
      </c>
      <c r="H115" s="28">
        <f t="shared" si="4"/>
        <v>689</v>
      </c>
      <c r="I115" s="24">
        <v>-1657</v>
      </c>
      <c r="J115" s="40">
        <v>2.3959999999999999</v>
      </c>
      <c r="K115" s="22">
        <f t="shared" si="5"/>
        <v>911</v>
      </c>
      <c r="L115" s="22" t="e">
        <f>'QTL-Km118+890,00'!L115</f>
        <v>#REF!</v>
      </c>
      <c r="M115" s="28">
        <f t="shared" si="6"/>
        <v>899</v>
      </c>
      <c r="N115" s="24">
        <v>-2109</v>
      </c>
      <c r="O115" s="28">
        <v>3008</v>
      </c>
      <c r="P115" s="22">
        <f t="shared" si="7"/>
        <v>673</v>
      </c>
      <c r="Q115" s="36"/>
      <c r="R115" s="30"/>
      <c r="S115" s="80"/>
      <c r="T115" s="59"/>
      <c r="U115" s="2"/>
      <c r="V115" s="2"/>
      <c r="W115" s="81"/>
      <c r="X115" s="2"/>
      <c r="Y115" s="2"/>
      <c r="Z115" s="2"/>
      <c r="AA115" s="2"/>
    </row>
    <row r="116" spans="1:27" ht="22.5" customHeight="1" outlineLevel="1" x14ac:dyDescent="0.2">
      <c r="A116" s="62">
        <f>'QTL-Km118+890,00'!A116</f>
        <v>45746</v>
      </c>
      <c r="B116" s="22" t="e">
        <f>'QTL-Km118+890,00'!B116</f>
        <v>#REF!</v>
      </c>
      <c r="C116" s="28">
        <f t="shared" si="2"/>
        <v>751</v>
      </c>
      <c r="D116" s="24">
        <v>-1570</v>
      </c>
      <c r="E116" s="28">
        <v>2371</v>
      </c>
      <c r="F116" s="22">
        <f t="shared" si="3"/>
        <v>814</v>
      </c>
      <c r="G116" s="22" t="e">
        <f>'QTL-Km118+890,00'!G116</f>
        <v>#REF!</v>
      </c>
      <c r="H116" s="28">
        <f t="shared" si="4"/>
        <v>686</v>
      </c>
      <c r="I116" s="24">
        <v>-1660</v>
      </c>
      <c r="J116" s="40">
        <v>2.3959999999999999</v>
      </c>
      <c r="K116" s="22">
        <f t="shared" si="5"/>
        <v>914</v>
      </c>
      <c r="L116" s="22" t="e">
        <f>'QTL-Km118+890,00'!L116</f>
        <v>#REF!</v>
      </c>
      <c r="M116" s="28">
        <f t="shared" si="6"/>
        <v>895</v>
      </c>
      <c r="N116" s="24">
        <v>-2113</v>
      </c>
      <c r="O116" s="28">
        <v>3008</v>
      </c>
      <c r="P116" s="22">
        <f t="shared" si="7"/>
        <v>677</v>
      </c>
      <c r="Q116" s="36"/>
      <c r="R116" s="30"/>
      <c r="S116" s="80"/>
      <c r="T116" s="59"/>
      <c r="U116" s="2"/>
      <c r="V116" s="2"/>
      <c r="W116" s="81"/>
      <c r="X116" s="2"/>
      <c r="Y116" s="2"/>
      <c r="Z116" s="2"/>
      <c r="AA116" s="2"/>
    </row>
    <row r="117" spans="1:27" ht="22.5" customHeight="1" outlineLevel="1" x14ac:dyDescent="0.2">
      <c r="A117" s="62">
        <f>'QTL-Km118+890,00'!A117</f>
        <v>45747</v>
      </c>
      <c r="B117" s="22" t="e">
        <f>'QTL-Km118+890,00'!B117</f>
        <v>#REF!</v>
      </c>
      <c r="C117" s="28">
        <f t="shared" si="2"/>
        <v>749</v>
      </c>
      <c r="D117" s="24">
        <v>-1572</v>
      </c>
      <c r="E117" s="28">
        <v>2371</v>
      </c>
      <c r="F117" s="22">
        <f t="shared" si="3"/>
        <v>816</v>
      </c>
      <c r="G117" s="22" t="e">
        <f>'QTL-Km118+890,00'!G117</f>
        <v>#REF!</v>
      </c>
      <c r="H117" s="28">
        <f t="shared" si="4"/>
        <v>684</v>
      </c>
      <c r="I117" s="24">
        <v>-1662</v>
      </c>
      <c r="J117" s="40">
        <v>2.3959999999999999</v>
      </c>
      <c r="K117" s="22">
        <f t="shared" si="5"/>
        <v>916</v>
      </c>
      <c r="L117" s="22" t="e">
        <f>'QTL-Km118+890,00'!L117</f>
        <v>#REF!</v>
      </c>
      <c r="M117" s="28">
        <f t="shared" si="6"/>
        <v>891</v>
      </c>
      <c r="N117" s="24">
        <v>-2117</v>
      </c>
      <c r="O117" s="28">
        <v>3008</v>
      </c>
      <c r="P117" s="22">
        <f t="shared" si="7"/>
        <v>681</v>
      </c>
      <c r="Q117" s="36"/>
      <c r="R117" s="30"/>
      <c r="S117" s="80"/>
      <c r="T117" s="59"/>
      <c r="U117" s="2"/>
      <c r="V117" s="2"/>
      <c r="W117" s="81"/>
      <c r="X117" s="2"/>
      <c r="Y117" s="2"/>
      <c r="Z117" s="2"/>
      <c r="AA117" s="2"/>
    </row>
    <row r="118" spans="1:27" ht="22.5" customHeight="1" outlineLevel="1" x14ac:dyDescent="0.2">
      <c r="A118" s="62">
        <f>'QTL-Km118+890,00'!A118</f>
        <v>45748</v>
      </c>
      <c r="B118" s="22" t="e">
        <f>'QTL-Km118+890,00'!B118</f>
        <v>#REF!</v>
      </c>
      <c r="C118" s="28">
        <f t="shared" si="2"/>
        <v>745</v>
      </c>
      <c r="D118" s="24">
        <v>-1576</v>
      </c>
      <c r="E118" s="28">
        <v>2371</v>
      </c>
      <c r="F118" s="22">
        <f t="shared" si="3"/>
        <v>820</v>
      </c>
      <c r="G118" s="22" t="e">
        <f>'QTL-Km118+890,00'!G118</f>
        <v>#REF!</v>
      </c>
      <c r="H118" s="28">
        <f t="shared" si="4"/>
        <v>681</v>
      </c>
      <c r="I118" s="24">
        <v>-1665</v>
      </c>
      <c r="J118" s="40">
        <v>2.3959999999999999</v>
      </c>
      <c r="K118" s="22">
        <f t="shared" si="5"/>
        <v>919</v>
      </c>
      <c r="L118" s="22" t="e">
        <f>'QTL-Km118+890,00'!L118</f>
        <v>#REF!</v>
      </c>
      <c r="M118" s="28">
        <f t="shared" si="6"/>
        <v>889</v>
      </c>
      <c r="N118" s="24">
        <v>-2119</v>
      </c>
      <c r="O118" s="28">
        <v>3008</v>
      </c>
      <c r="P118" s="22">
        <f t="shared" si="7"/>
        <v>683</v>
      </c>
      <c r="Q118" s="36"/>
      <c r="R118" s="30"/>
      <c r="S118" s="80"/>
      <c r="T118" s="59"/>
      <c r="U118" s="2"/>
      <c r="V118" s="2"/>
      <c r="W118" s="81"/>
      <c r="X118" s="2"/>
      <c r="Y118" s="2"/>
      <c r="Z118" s="2"/>
      <c r="AA118" s="2"/>
    </row>
    <row r="119" spans="1:27" ht="22.5" customHeight="1" outlineLevel="1" x14ac:dyDescent="0.2">
      <c r="A119" s="62">
        <f>'QTL-Km118+890,00'!A119</f>
        <v>45749</v>
      </c>
      <c r="B119" s="22" t="e">
        <f>'QTL-Km118+890,00'!B119</f>
        <v>#REF!</v>
      </c>
      <c r="C119" s="28">
        <f t="shared" si="2"/>
        <v>741</v>
      </c>
      <c r="D119" s="24">
        <v>-1580</v>
      </c>
      <c r="E119" s="28">
        <v>2371</v>
      </c>
      <c r="F119" s="22">
        <f t="shared" si="3"/>
        <v>824</v>
      </c>
      <c r="G119" s="22" t="e">
        <f>'QTL-Km118+890,00'!G119</f>
        <v>#REF!</v>
      </c>
      <c r="H119" s="28">
        <f t="shared" si="4"/>
        <v>679</v>
      </c>
      <c r="I119" s="24">
        <v>-1667</v>
      </c>
      <c r="J119" s="40">
        <v>2.3959999999999999</v>
      </c>
      <c r="K119" s="22">
        <f t="shared" si="5"/>
        <v>921</v>
      </c>
      <c r="L119" s="22" t="e">
        <f>'QTL-Km118+890,00'!L119</f>
        <v>#REF!</v>
      </c>
      <c r="M119" s="28">
        <f t="shared" si="6"/>
        <v>888</v>
      </c>
      <c r="N119" s="24">
        <v>-2120</v>
      </c>
      <c r="O119" s="28">
        <v>3008</v>
      </c>
      <c r="P119" s="22">
        <f t="shared" si="7"/>
        <v>684</v>
      </c>
      <c r="Q119" s="36"/>
      <c r="R119" s="30"/>
      <c r="S119" s="80">
        <f>+A119</f>
        <v>45749</v>
      </c>
      <c r="T119" s="59">
        <f>+(E119+2*J119+O119)/4</f>
        <v>1345.9479999999999</v>
      </c>
      <c r="U119" s="2"/>
      <c r="V119" s="2"/>
      <c r="W119" s="81"/>
      <c r="X119" s="2"/>
      <c r="Y119" s="2"/>
      <c r="Z119" s="2"/>
      <c r="AA119" s="2"/>
    </row>
    <row r="120" spans="1:27" ht="22.5" customHeight="1" outlineLevel="1" x14ac:dyDescent="0.2">
      <c r="A120" s="62">
        <f>'QTL-Km118+890,00'!A120</f>
        <v>45750</v>
      </c>
      <c r="B120" s="22" t="e">
        <f>'QTL-Km118+890,00'!B120</f>
        <v>#REF!</v>
      </c>
      <c r="C120" s="28">
        <f t="shared" si="2"/>
        <v>736</v>
      </c>
      <c r="D120" s="24">
        <v>-1585</v>
      </c>
      <c r="E120" s="28">
        <v>2371</v>
      </c>
      <c r="F120" s="22">
        <f t="shared" si="3"/>
        <v>829</v>
      </c>
      <c r="G120" s="22" t="e">
        <f>'QTL-Km118+890,00'!G120</f>
        <v>#REF!</v>
      </c>
      <c r="H120" s="28">
        <f t="shared" si="4"/>
        <v>677</v>
      </c>
      <c r="I120" s="24">
        <v>-1669</v>
      </c>
      <c r="J120" s="40">
        <v>2.3959999999999999</v>
      </c>
      <c r="K120" s="22">
        <f t="shared" si="5"/>
        <v>923</v>
      </c>
      <c r="L120" s="22" t="e">
        <f>'QTL-Km118+890,00'!L120</f>
        <v>#REF!</v>
      </c>
      <c r="M120" s="28">
        <f t="shared" si="6"/>
        <v>882</v>
      </c>
      <c r="N120" s="24">
        <v>-2126</v>
      </c>
      <c r="O120" s="28">
        <v>3008</v>
      </c>
      <c r="P120" s="22">
        <f t="shared" si="7"/>
        <v>690</v>
      </c>
      <c r="Q120" s="89"/>
      <c r="R120" s="5"/>
      <c r="S120" s="80"/>
      <c r="T120" s="59"/>
      <c r="U120" s="2"/>
      <c r="V120" s="2"/>
      <c r="W120" s="81"/>
      <c r="X120" s="2"/>
      <c r="Y120" s="2"/>
      <c r="Z120" s="2"/>
      <c r="AA120" s="2"/>
    </row>
    <row r="121" spans="1:27" ht="22.5" customHeight="1" outlineLevel="1" x14ac:dyDescent="0.2">
      <c r="A121" s="62">
        <f>'QTL-Km118+890,00'!A121</f>
        <v>45751</v>
      </c>
      <c r="B121" s="22" t="e">
        <f>'QTL-Km118+890,00'!B121</f>
        <v>#REF!</v>
      </c>
      <c r="C121" s="28">
        <f t="shared" si="2"/>
        <v>731</v>
      </c>
      <c r="D121" s="24">
        <v>-1590</v>
      </c>
      <c r="E121" s="28">
        <v>2371</v>
      </c>
      <c r="F121" s="22">
        <f t="shared" si="3"/>
        <v>834</v>
      </c>
      <c r="G121" s="22" t="e">
        <f>'QTL-Km118+890,00'!G121</f>
        <v>#REF!</v>
      </c>
      <c r="H121" s="28">
        <f t="shared" si="4"/>
        <v>676</v>
      </c>
      <c r="I121" s="24">
        <v>-1670</v>
      </c>
      <c r="J121" s="40">
        <v>2.3959999999999999</v>
      </c>
      <c r="K121" s="22">
        <f t="shared" si="5"/>
        <v>924</v>
      </c>
      <c r="L121" s="22" t="e">
        <f>'QTL-Km118+890,00'!L121</f>
        <v>#REF!</v>
      </c>
      <c r="M121" s="28">
        <f t="shared" si="6"/>
        <v>876</v>
      </c>
      <c r="N121" s="24">
        <v>-2132</v>
      </c>
      <c r="O121" s="28">
        <v>3008</v>
      </c>
      <c r="P121" s="22">
        <f t="shared" si="7"/>
        <v>696</v>
      </c>
      <c r="Q121" s="89"/>
      <c r="R121" s="5"/>
      <c r="S121" s="80"/>
      <c r="T121" s="59"/>
      <c r="U121" s="2"/>
      <c r="V121" s="2"/>
      <c r="W121" s="81"/>
      <c r="X121" s="2"/>
      <c r="Y121" s="2"/>
      <c r="Z121" s="2"/>
      <c r="AA121" s="2"/>
    </row>
    <row r="122" spans="1:27" ht="22.5" customHeight="1" outlineLevel="1" x14ac:dyDescent="0.2">
      <c r="A122" s="62">
        <f>'QTL-Km118+890,00'!A122</f>
        <v>45752</v>
      </c>
      <c r="B122" s="22" t="e">
        <f>'QTL-Km118+890,00'!B122</f>
        <v>#REF!</v>
      </c>
      <c r="C122" s="28">
        <f t="shared" si="2"/>
        <v>727</v>
      </c>
      <c r="D122" s="24">
        <v>-1594</v>
      </c>
      <c r="E122" s="28">
        <v>2371</v>
      </c>
      <c r="F122" s="22">
        <f t="shared" si="3"/>
        <v>838</v>
      </c>
      <c r="G122" s="22" t="e">
        <f>'QTL-Km118+890,00'!G122</f>
        <v>#REF!</v>
      </c>
      <c r="H122" s="28">
        <f t="shared" si="4"/>
        <v>674</v>
      </c>
      <c r="I122" s="24">
        <v>-1672</v>
      </c>
      <c r="J122" s="40">
        <v>2.3959999999999999</v>
      </c>
      <c r="K122" s="22">
        <f t="shared" si="5"/>
        <v>926</v>
      </c>
      <c r="L122" s="22" t="e">
        <f>'QTL-Km118+890,00'!L122</f>
        <v>#REF!</v>
      </c>
      <c r="M122" s="28">
        <f t="shared" si="6"/>
        <v>873</v>
      </c>
      <c r="N122" s="24">
        <v>-2135</v>
      </c>
      <c r="O122" s="28">
        <v>3008</v>
      </c>
      <c r="P122" s="22">
        <f t="shared" si="7"/>
        <v>699</v>
      </c>
      <c r="Q122" s="36"/>
      <c r="R122" s="30"/>
      <c r="S122" s="80"/>
      <c r="T122" s="59"/>
      <c r="U122" s="2"/>
      <c r="V122" s="2"/>
      <c r="W122" s="81"/>
      <c r="X122" s="2"/>
      <c r="Y122" s="2"/>
      <c r="Z122" s="2"/>
      <c r="AA122" s="2"/>
    </row>
    <row r="123" spans="1:27" ht="22.5" customHeight="1" outlineLevel="1" x14ac:dyDescent="0.2">
      <c r="A123" s="62">
        <f>'QTL-Km118+890,00'!A123</f>
        <v>45753</v>
      </c>
      <c r="B123" s="22" t="e">
        <f>'QTL-Km118+890,00'!B123</f>
        <v>#REF!</v>
      </c>
      <c r="C123" s="28">
        <f t="shared" si="2"/>
        <v>723</v>
      </c>
      <c r="D123" s="24">
        <v>-1598</v>
      </c>
      <c r="E123" s="28">
        <v>2371</v>
      </c>
      <c r="F123" s="22">
        <f t="shared" si="3"/>
        <v>842</v>
      </c>
      <c r="G123" s="22" t="e">
        <f>'QTL-Km118+890,00'!G123</f>
        <v>#REF!</v>
      </c>
      <c r="H123" s="28">
        <f t="shared" si="4"/>
        <v>673</v>
      </c>
      <c r="I123" s="24">
        <v>-1673</v>
      </c>
      <c r="J123" s="40">
        <v>2.3959999999999999</v>
      </c>
      <c r="K123" s="22">
        <f t="shared" si="5"/>
        <v>927</v>
      </c>
      <c r="L123" s="22" t="e">
        <f>'QTL-Km118+890,00'!L123</f>
        <v>#REF!</v>
      </c>
      <c r="M123" s="28">
        <f t="shared" si="6"/>
        <v>870</v>
      </c>
      <c r="N123" s="24">
        <v>-2138</v>
      </c>
      <c r="O123" s="28">
        <v>3008</v>
      </c>
      <c r="P123" s="22">
        <f t="shared" si="7"/>
        <v>702</v>
      </c>
      <c r="Q123" s="36"/>
      <c r="R123" s="30"/>
      <c r="S123" s="80"/>
      <c r="T123" s="59"/>
      <c r="U123" s="2"/>
      <c r="V123" s="2"/>
      <c r="W123" s="81"/>
      <c r="X123" s="2"/>
      <c r="Y123" s="2"/>
      <c r="Z123" s="2"/>
      <c r="AA123" s="2"/>
    </row>
    <row r="124" spans="1:27" ht="22.5" customHeight="1" outlineLevel="1" x14ac:dyDescent="0.2">
      <c r="A124" s="62">
        <f>'QTL-Km118+890,00'!A124</f>
        <v>45754</v>
      </c>
      <c r="B124" s="22" t="e">
        <f>'QTL-Km118+890,00'!B124</f>
        <v>#REF!</v>
      </c>
      <c r="C124" s="28">
        <f t="shared" si="2"/>
        <v>719</v>
      </c>
      <c r="D124" s="24">
        <v>-1602</v>
      </c>
      <c r="E124" s="28">
        <v>2371</v>
      </c>
      <c r="F124" s="22">
        <f t="shared" si="3"/>
        <v>846</v>
      </c>
      <c r="G124" s="22" t="e">
        <f>'QTL-Km118+890,00'!G124</f>
        <v>#REF!</v>
      </c>
      <c r="H124" s="28">
        <f t="shared" si="4"/>
        <v>671</v>
      </c>
      <c r="I124" s="24">
        <v>-1675</v>
      </c>
      <c r="J124" s="40">
        <v>2.3959999999999999</v>
      </c>
      <c r="K124" s="22">
        <f t="shared" si="5"/>
        <v>929</v>
      </c>
      <c r="L124" s="22" t="e">
        <f>'QTL-Km118+890,00'!L124</f>
        <v>#REF!</v>
      </c>
      <c r="M124" s="28">
        <f t="shared" si="6"/>
        <v>867</v>
      </c>
      <c r="N124" s="24">
        <v>-2141</v>
      </c>
      <c r="O124" s="28">
        <v>3008</v>
      </c>
      <c r="P124" s="22">
        <f t="shared" si="7"/>
        <v>705</v>
      </c>
      <c r="Q124" s="36"/>
      <c r="R124" s="30"/>
      <c r="S124" s="80"/>
      <c r="T124" s="59"/>
      <c r="U124" s="2"/>
      <c r="V124" s="2"/>
      <c r="W124" s="81"/>
      <c r="X124" s="2"/>
      <c r="Y124" s="2"/>
      <c r="Z124" s="2"/>
      <c r="AA124" s="2"/>
    </row>
    <row r="125" spans="1:27" ht="22.5" customHeight="1" outlineLevel="1" x14ac:dyDescent="0.2">
      <c r="A125" s="62">
        <f>'QTL-Km118+890,00'!A125</f>
        <v>45755</v>
      </c>
      <c r="B125" s="22" t="e">
        <f>'QTL-Km118+890,00'!B125</f>
        <v>#REF!</v>
      </c>
      <c r="C125" s="28">
        <f t="shared" si="2"/>
        <v>716</v>
      </c>
      <c r="D125" s="24">
        <v>-1605</v>
      </c>
      <c r="E125" s="28">
        <v>2371</v>
      </c>
      <c r="F125" s="22">
        <f t="shared" si="3"/>
        <v>849</v>
      </c>
      <c r="G125" s="22" t="e">
        <f>'QTL-Km118+890,00'!G125</f>
        <v>#REF!</v>
      </c>
      <c r="H125" s="28">
        <f t="shared" si="4"/>
        <v>661</v>
      </c>
      <c r="I125" s="24">
        <v>-1685</v>
      </c>
      <c r="J125" s="40">
        <v>2.3959999999999999</v>
      </c>
      <c r="K125" s="22">
        <f t="shared" si="5"/>
        <v>939</v>
      </c>
      <c r="L125" s="22" t="e">
        <f>'QTL-Km118+890,00'!L125</f>
        <v>#REF!</v>
      </c>
      <c r="M125" s="28">
        <f t="shared" si="6"/>
        <v>861</v>
      </c>
      <c r="N125" s="24">
        <v>-2147</v>
      </c>
      <c r="O125" s="28">
        <v>3008</v>
      </c>
      <c r="P125" s="22">
        <f t="shared" si="7"/>
        <v>711</v>
      </c>
      <c r="Q125" s="36"/>
      <c r="R125" s="30"/>
      <c r="S125" s="80"/>
      <c r="T125" s="59"/>
      <c r="U125" s="2"/>
      <c r="V125" s="2"/>
      <c r="W125" s="81"/>
      <c r="X125" s="2"/>
      <c r="Y125" s="2"/>
      <c r="Z125" s="2"/>
      <c r="AA125" s="2"/>
    </row>
    <row r="126" spans="1:27" ht="22.5" customHeight="1" outlineLevel="1" x14ac:dyDescent="0.2">
      <c r="A126" s="62">
        <f>'QTL-Km118+890,00'!A126</f>
        <v>45756</v>
      </c>
      <c r="B126" s="22" t="e">
        <f>'QTL-Km118+890,00'!B126</f>
        <v>#REF!</v>
      </c>
      <c r="C126" s="28">
        <f t="shared" si="2"/>
        <v>714</v>
      </c>
      <c r="D126" s="24">
        <v>-1607</v>
      </c>
      <c r="E126" s="28">
        <v>2371</v>
      </c>
      <c r="F126" s="22">
        <f t="shared" si="3"/>
        <v>851</v>
      </c>
      <c r="G126" s="22" t="e">
        <f>'QTL-Km118+890,00'!G126</f>
        <v>#REF!</v>
      </c>
      <c r="H126" s="28">
        <f t="shared" si="4"/>
        <v>651</v>
      </c>
      <c r="I126" s="24">
        <v>-1695</v>
      </c>
      <c r="J126" s="40">
        <v>2.3959999999999999</v>
      </c>
      <c r="K126" s="22">
        <f t="shared" si="5"/>
        <v>949</v>
      </c>
      <c r="L126" s="22" t="e">
        <f>'QTL-Km118+890,00'!L126</f>
        <v>#REF!</v>
      </c>
      <c r="M126" s="28">
        <f t="shared" si="6"/>
        <v>854</v>
      </c>
      <c r="N126" s="24">
        <v>-2154</v>
      </c>
      <c r="O126" s="28">
        <v>3008</v>
      </c>
      <c r="P126" s="22">
        <f t="shared" si="7"/>
        <v>718</v>
      </c>
      <c r="Q126" s="36"/>
      <c r="R126" s="30"/>
      <c r="S126" s="80"/>
      <c r="T126" s="59"/>
      <c r="U126" s="2"/>
      <c r="V126" s="2"/>
      <c r="W126" s="81"/>
      <c r="X126" s="2"/>
      <c r="Y126" s="2"/>
      <c r="Z126" s="2"/>
      <c r="AA126" s="2"/>
    </row>
    <row r="127" spans="1:27" ht="22.5" customHeight="1" outlineLevel="1" x14ac:dyDescent="0.2">
      <c r="A127" s="62">
        <f>'QTL-Km118+890,00'!A127</f>
        <v>45757</v>
      </c>
      <c r="B127" s="22" t="e">
        <f>'QTL-Km118+890,00'!B127</f>
        <v>#REF!</v>
      </c>
      <c r="C127" s="28">
        <f t="shared" si="2"/>
        <v>713</v>
      </c>
      <c r="D127" s="24">
        <v>-1608</v>
      </c>
      <c r="E127" s="28">
        <v>2371</v>
      </c>
      <c r="F127" s="22">
        <f t="shared" si="3"/>
        <v>852</v>
      </c>
      <c r="G127" s="22" t="e">
        <f>'QTL-Km118+890,00'!G127</f>
        <v>#REF!</v>
      </c>
      <c r="H127" s="28">
        <f t="shared" si="4"/>
        <v>648</v>
      </c>
      <c r="I127" s="24">
        <v>-1698</v>
      </c>
      <c r="J127" s="40">
        <v>2.3959999999999999</v>
      </c>
      <c r="K127" s="22">
        <f t="shared" si="5"/>
        <v>952</v>
      </c>
      <c r="L127" s="22" t="e">
        <f>'QTL-Km118+890,00'!L127</f>
        <v>#REF!</v>
      </c>
      <c r="M127" s="28">
        <f t="shared" si="6"/>
        <v>851</v>
      </c>
      <c r="N127" s="24">
        <v>-2157</v>
      </c>
      <c r="O127" s="28">
        <v>3008</v>
      </c>
      <c r="P127" s="22">
        <f t="shared" si="7"/>
        <v>721</v>
      </c>
      <c r="Q127" s="36"/>
      <c r="R127" s="30"/>
      <c r="S127" s="80"/>
      <c r="T127" s="59"/>
      <c r="U127" s="2"/>
      <c r="V127" s="2"/>
      <c r="W127" s="81"/>
      <c r="X127" s="2"/>
      <c r="Y127" s="2"/>
      <c r="Z127" s="2"/>
      <c r="AA127" s="2"/>
    </row>
    <row r="128" spans="1:27" ht="22.5" customHeight="1" outlineLevel="1" x14ac:dyDescent="0.2">
      <c r="A128" s="62">
        <f>'QTL-Km118+890,00'!A128</f>
        <v>45758</v>
      </c>
      <c r="B128" s="22" t="e">
        <f>'QTL-Km118+890,00'!B128</f>
        <v>#REF!</v>
      </c>
      <c r="C128" s="28">
        <f t="shared" si="2"/>
        <v>711</v>
      </c>
      <c r="D128" s="24">
        <v>-1610</v>
      </c>
      <c r="E128" s="28">
        <v>2371</v>
      </c>
      <c r="F128" s="22">
        <f t="shared" si="3"/>
        <v>854</v>
      </c>
      <c r="G128" s="22" t="e">
        <f>'QTL-Km118+890,00'!G128</f>
        <v>#REF!</v>
      </c>
      <c r="H128" s="28">
        <f t="shared" si="4"/>
        <v>644</v>
      </c>
      <c r="I128" s="24">
        <v>-1702</v>
      </c>
      <c r="J128" s="40">
        <v>2.3959999999999999</v>
      </c>
      <c r="K128" s="22">
        <f t="shared" si="5"/>
        <v>956</v>
      </c>
      <c r="L128" s="22" t="e">
        <f>'QTL-Km118+890,00'!L128</f>
        <v>#REF!</v>
      </c>
      <c r="M128" s="28">
        <f t="shared" si="6"/>
        <v>848</v>
      </c>
      <c r="N128" s="24">
        <v>-2160</v>
      </c>
      <c r="O128" s="28">
        <v>3008</v>
      </c>
      <c r="P128" s="22">
        <f t="shared" si="7"/>
        <v>724</v>
      </c>
      <c r="Q128" s="36"/>
      <c r="R128" s="30"/>
      <c r="S128" s="80"/>
      <c r="T128" s="59"/>
      <c r="U128" s="2"/>
      <c r="V128" s="2"/>
      <c r="W128" s="81"/>
      <c r="X128" s="2"/>
      <c r="Y128" s="2"/>
      <c r="Z128" s="2"/>
      <c r="AA128" s="2"/>
    </row>
    <row r="129" spans="1:27" ht="22.5" customHeight="1" outlineLevel="1" x14ac:dyDescent="0.2">
      <c r="A129" s="62">
        <f>'QTL-Km118+890,00'!A129</f>
        <v>45759</v>
      </c>
      <c r="B129" s="22" t="e">
        <f>'QTL-Km118+890,00'!B129</f>
        <v>#REF!</v>
      </c>
      <c r="C129" s="28">
        <f t="shared" si="2"/>
        <v>709</v>
      </c>
      <c r="D129" s="24">
        <v>-1612</v>
      </c>
      <c r="E129" s="28">
        <v>2371</v>
      </c>
      <c r="F129" s="22">
        <f t="shared" si="3"/>
        <v>856</v>
      </c>
      <c r="G129" s="22" t="e">
        <f>'QTL-Km118+890,00'!G129</f>
        <v>#REF!</v>
      </c>
      <c r="H129" s="28">
        <f t="shared" si="4"/>
        <v>641</v>
      </c>
      <c r="I129" s="24">
        <v>-1705</v>
      </c>
      <c r="J129" s="40">
        <v>2.3959999999999999</v>
      </c>
      <c r="K129" s="22">
        <f t="shared" si="5"/>
        <v>959</v>
      </c>
      <c r="L129" s="22" t="e">
        <f>'QTL-Km118+890,00'!L129</f>
        <v>#REF!</v>
      </c>
      <c r="M129" s="28">
        <f t="shared" si="6"/>
        <v>846</v>
      </c>
      <c r="N129" s="24">
        <v>-2162</v>
      </c>
      <c r="O129" s="28">
        <v>3008</v>
      </c>
      <c r="P129" s="22">
        <f t="shared" si="7"/>
        <v>726</v>
      </c>
      <c r="Q129" s="89"/>
      <c r="R129" s="5"/>
      <c r="S129" s="80"/>
      <c r="T129" s="59"/>
      <c r="U129" s="2"/>
      <c r="V129" s="2"/>
      <c r="W129" s="81"/>
      <c r="X129" s="2"/>
      <c r="Y129" s="2"/>
      <c r="Z129" s="2"/>
      <c r="AA129" s="2"/>
    </row>
    <row r="130" spans="1:27" ht="22.5" customHeight="1" outlineLevel="1" x14ac:dyDescent="0.2">
      <c r="A130" s="62">
        <f>'QTL-Km118+890,00'!A130</f>
        <v>45760</v>
      </c>
      <c r="B130" s="22" t="e">
        <f>'QTL-Km118+890,00'!B130</f>
        <v>#REF!</v>
      </c>
      <c r="C130" s="28">
        <f t="shared" si="2"/>
        <v>709</v>
      </c>
      <c r="D130" s="24">
        <v>-1612</v>
      </c>
      <c r="E130" s="28">
        <v>2371</v>
      </c>
      <c r="F130" s="22">
        <f t="shared" si="3"/>
        <v>856</v>
      </c>
      <c r="G130" s="22" t="e">
        <f>'QTL-Km118+890,00'!G130</f>
        <v>#REF!</v>
      </c>
      <c r="H130" s="28">
        <f t="shared" si="4"/>
        <v>641</v>
      </c>
      <c r="I130" s="24">
        <v>-1705</v>
      </c>
      <c r="J130" s="40">
        <v>2.3959999999999999</v>
      </c>
      <c r="K130" s="22">
        <f t="shared" si="5"/>
        <v>959</v>
      </c>
      <c r="L130" s="22" t="e">
        <f>'QTL-Km118+890,00'!L130</f>
        <v>#REF!</v>
      </c>
      <c r="M130" s="28">
        <f t="shared" si="6"/>
        <v>845</v>
      </c>
      <c r="N130" s="24">
        <v>-2163</v>
      </c>
      <c r="O130" s="28">
        <v>3008</v>
      </c>
      <c r="P130" s="22">
        <f t="shared" si="7"/>
        <v>727</v>
      </c>
      <c r="Q130" s="89"/>
      <c r="R130" s="5"/>
      <c r="S130" s="80"/>
      <c r="T130" s="59"/>
      <c r="U130" s="2"/>
      <c r="V130" s="2"/>
      <c r="W130" s="81"/>
      <c r="X130" s="2"/>
      <c r="Y130" s="2"/>
      <c r="Z130" s="2"/>
      <c r="AA130" s="2"/>
    </row>
    <row r="131" spans="1:27" ht="22.5" customHeight="1" outlineLevel="1" x14ac:dyDescent="0.2">
      <c r="A131" s="62">
        <f>'QTL-Km118+890,00'!A131</f>
        <v>45761</v>
      </c>
      <c r="B131" s="22" t="e">
        <f>'QTL-Km118+890,00'!B131</f>
        <v>#REF!</v>
      </c>
      <c r="C131" s="28">
        <f t="shared" si="2"/>
        <v>709</v>
      </c>
      <c r="D131" s="24">
        <v>-1612</v>
      </c>
      <c r="E131" s="28">
        <v>2371</v>
      </c>
      <c r="F131" s="22">
        <f t="shared" si="3"/>
        <v>856</v>
      </c>
      <c r="G131" s="22" t="e">
        <f>'QTL-Km118+890,00'!G131</f>
        <v>#REF!</v>
      </c>
      <c r="H131" s="28">
        <f t="shared" si="4"/>
        <v>641</v>
      </c>
      <c r="I131" s="24">
        <v>-1705</v>
      </c>
      <c r="J131" s="40">
        <v>2.3959999999999999</v>
      </c>
      <c r="K131" s="22">
        <f t="shared" si="5"/>
        <v>959</v>
      </c>
      <c r="L131" s="22" t="e">
        <f>'QTL-Km118+890,00'!L131</f>
        <v>#REF!</v>
      </c>
      <c r="M131" s="28">
        <f t="shared" si="6"/>
        <v>844</v>
      </c>
      <c r="N131" s="24">
        <v>-2164</v>
      </c>
      <c r="O131" s="28">
        <v>3008</v>
      </c>
      <c r="P131" s="22">
        <f t="shared" si="7"/>
        <v>728</v>
      </c>
      <c r="Q131" s="89"/>
      <c r="R131" s="5"/>
      <c r="S131" s="80"/>
      <c r="T131" s="59"/>
      <c r="U131" s="2"/>
      <c r="V131" s="2"/>
      <c r="W131" s="81"/>
      <c r="X131" s="2"/>
      <c r="Y131" s="2"/>
      <c r="Z131" s="2"/>
      <c r="AA131" s="2"/>
    </row>
    <row r="132" spans="1:27" ht="22.5" customHeight="1" outlineLevel="1" x14ac:dyDescent="0.2">
      <c r="A132" s="62">
        <f>'QTL-Km118+890,00'!A132</f>
        <v>45762</v>
      </c>
      <c r="B132" s="22" t="e">
        <f>'QTL-Km118+890,00'!B132</f>
        <v>#REF!</v>
      </c>
      <c r="C132" s="28">
        <f t="shared" si="2"/>
        <v>698</v>
      </c>
      <c r="D132" s="24">
        <v>-1623</v>
      </c>
      <c r="E132" s="28">
        <v>2371</v>
      </c>
      <c r="F132" s="22">
        <f t="shared" si="3"/>
        <v>867</v>
      </c>
      <c r="G132" s="22" t="e">
        <f>'QTL-Km118+890,00'!G132</f>
        <v>#REF!</v>
      </c>
      <c r="H132" s="28">
        <f t="shared" si="4"/>
        <v>623</v>
      </c>
      <c r="I132" s="24">
        <v>-1723</v>
      </c>
      <c r="J132" s="40">
        <v>2.3959999999999999</v>
      </c>
      <c r="K132" s="22">
        <f t="shared" si="5"/>
        <v>977</v>
      </c>
      <c r="L132" s="22" t="e">
        <f>'QTL-Km118+890,00'!L132</f>
        <v>#REF!</v>
      </c>
      <c r="M132" s="28">
        <f t="shared" si="6"/>
        <v>843</v>
      </c>
      <c r="N132" s="24">
        <v>-2165</v>
      </c>
      <c r="O132" s="28">
        <v>3008</v>
      </c>
      <c r="P132" s="22">
        <f t="shared" si="7"/>
        <v>729</v>
      </c>
      <c r="Q132" s="89"/>
      <c r="R132" s="5"/>
      <c r="S132" s="80"/>
      <c r="T132" s="59"/>
      <c r="U132" s="2"/>
      <c r="V132" s="2"/>
      <c r="W132" s="81"/>
      <c r="X132" s="2"/>
      <c r="Y132" s="2"/>
      <c r="Z132" s="2"/>
      <c r="AA132" s="2"/>
    </row>
    <row r="133" spans="1:27" ht="22.5" customHeight="1" outlineLevel="1" x14ac:dyDescent="0.2">
      <c r="A133" s="62">
        <f>'QTL-Km118+890,00'!A133</f>
        <v>45763</v>
      </c>
      <c r="B133" s="22" t="e">
        <f>'QTL-Km118+890,00'!B133</f>
        <v>#REF!</v>
      </c>
      <c r="C133" s="28">
        <f t="shared" si="2"/>
        <v>691</v>
      </c>
      <c r="D133" s="24">
        <v>-1630</v>
      </c>
      <c r="E133" s="28">
        <v>2371</v>
      </c>
      <c r="F133" s="22">
        <f t="shared" si="3"/>
        <v>874</v>
      </c>
      <c r="G133" s="22" t="e">
        <f>'QTL-Km118+890,00'!G133</f>
        <v>#REF!</v>
      </c>
      <c r="H133" s="28">
        <f t="shared" si="4"/>
        <v>620</v>
      </c>
      <c r="I133" s="24">
        <v>-1726</v>
      </c>
      <c r="J133" s="40">
        <v>2.3959999999999999</v>
      </c>
      <c r="K133" s="22">
        <f t="shared" si="5"/>
        <v>980</v>
      </c>
      <c r="L133" s="22" t="e">
        <f>'QTL-Km118+890,00'!L133</f>
        <v>#REF!</v>
      </c>
      <c r="M133" s="28">
        <f t="shared" si="6"/>
        <v>840</v>
      </c>
      <c r="N133" s="24">
        <v>-2168</v>
      </c>
      <c r="O133" s="28">
        <v>3008</v>
      </c>
      <c r="P133" s="22">
        <f t="shared" si="7"/>
        <v>732</v>
      </c>
      <c r="Q133" s="89"/>
      <c r="R133" s="5"/>
      <c r="S133" s="80"/>
      <c r="T133" s="59"/>
      <c r="U133" s="2"/>
      <c r="V133" s="2"/>
      <c r="W133" s="81"/>
      <c r="X133" s="2"/>
      <c r="Y133" s="2"/>
      <c r="Z133" s="2"/>
      <c r="AA133" s="2"/>
    </row>
    <row r="134" spans="1:27" ht="22.5" customHeight="1" outlineLevel="1" x14ac:dyDescent="0.2">
      <c r="A134" s="62">
        <f>'QTL-Km118+890,00'!A134</f>
        <v>45764</v>
      </c>
      <c r="B134" s="22" t="e">
        <f>'QTL-Km118+890,00'!B134</f>
        <v>#REF!</v>
      </c>
      <c r="C134" s="28">
        <f t="shared" si="2"/>
        <v>686</v>
      </c>
      <c r="D134" s="24">
        <v>-1635</v>
      </c>
      <c r="E134" s="28">
        <v>2371</v>
      </c>
      <c r="F134" s="22">
        <f t="shared" si="3"/>
        <v>879</v>
      </c>
      <c r="G134" s="22" t="e">
        <f>'QTL-Km118+890,00'!G134</f>
        <v>#REF!</v>
      </c>
      <c r="H134" s="28">
        <f t="shared" si="4"/>
        <v>616</v>
      </c>
      <c r="I134" s="24">
        <v>-1730</v>
      </c>
      <c r="J134" s="40">
        <v>2.3959999999999999</v>
      </c>
      <c r="K134" s="22">
        <f t="shared" si="5"/>
        <v>984</v>
      </c>
      <c r="L134" s="22" t="e">
        <f>'QTL-Km118+890,00'!L134</f>
        <v>#REF!</v>
      </c>
      <c r="M134" s="28">
        <f t="shared" si="6"/>
        <v>836</v>
      </c>
      <c r="N134" s="24">
        <v>-2172</v>
      </c>
      <c r="O134" s="28">
        <v>3008</v>
      </c>
      <c r="P134" s="22">
        <f t="shared" si="7"/>
        <v>736</v>
      </c>
      <c r="Q134" s="89"/>
      <c r="R134" s="5"/>
      <c r="S134" s="80"/>
      <c r="T134" s="59"/>
      <c r="U134" s="2"/>
      <c r="V134" s="2"/>
      <c r="W134" s="81"/>
      <c r="X134" s="2"/>
      <c r="Y134" s="2"/>
      <c r="Z134" s="2"/>
      <c r="AA134" s="2"/>
    </row>
    <row r="135" spans="1:27" ht="22.5" customHeight="1" outlineLevel="1" x14ac:dyDescent="0.2">
      <c r="A135" s="62">
        <f>'QTL-Km118+890,00'!A135</f>
        <v>45765</v>
      </c>
      <c r="B135" s="22" t="e">
        <f>'QTL-Km118+890,00'!B135</f>
        <v>#REF!</v>
      </c>
      <c r="C135" s="28">
        <f t="shared" si="2"/>
        <v>676</v>
      </c>
      <c r="D135" s="24">
        <v>-1645</v>
      </c>
      <c r="E135" s="28">
        <v>2371</v>
      </c>
      <c r="F135" s="22">
        <f t="shared" si="3"/>
        <v>889</v>
      </c>
      <c r="G135" s="22" t="e">
        <f>'QTL-Km118+890,00'!G135</f>
        <v>#REF!</v>
      </c>
      <c r="H135" s="28">
        <f t="shared" si="4"/>
        <v>611</v>
      </c>
      <c r="I135" s="24">
        <v>-1735</v>
      </c>
      <c r="J135" s="40">
        <v>2.3959999999999999</v>
      </c>
      <c r="K135" s="22">
        <f t="shared" si="5"/>
        <v>989</v>
      </c>
      <c r="L135" s="22" t="e">
        <f>'QTL-Km118+890,00'!L135</f>
        <v>#REF!</v>
      </c>
      <c r="M135" s="28">
        <f t="shared" si="6"/>
        <v>828</v>
      </c>
      <c r="N135" s="24">
        <v>-2180</v>
      </c>
      <c r="O135" s="28">
        <v>3008</v>
      </c>
      <c r="P135" s="22">
        <f t="shared" si="7"/>
        <v>744</v>
      </c>
      <c r="Q135" s="36"/>
      <c r="R135" s="30"/>
      <c r="S135" s="80"/>
      <c r="T135" s="59"/>
      <c r="U135" s="2"/>
      <c r="V135" s="2"/>
      <c r="W135" s="81"/>
      <c r="X135" s="2"/>
      <c r="Y135" s="2"/>
      <c r="Z135" s="2"/>
      <c r="AA135" s="2"/>
    </row>
    <row r="136" spans="1:27" ht="22.5" customHeight="1" outlineLevel="1" x14ac:dyDescent="0.2">
      <c r="A136" s="62">
        <f>'QTL-Km118+890,00'!A136</f>
        <v>45766</v>
      </c>
      <c r="B136" s="22" t="e">
        <f>'QTL-Km118+890,00'!B136</f>
        <v>#REF!</v>
      </c>
      <c r="C136" s="28">
        <f t="shared" si="2"/>
        <v>666</v>
      </c>
      <c r="D136" s="24">
        <v>-1655</v>
      </c>
      <c r="E136" s="28">
        <v>2371</v>
      </c>
      <c r="F136" s="22">
        <f t="shared" si="3"/>
        <v>899</v>
      </c>
      <c r="G136" s="22" t="e">
        <f>'QTL-Km118+890,00'!G136</f>
        <v>#REF!</v>
      </c>
      <c r="H136" s="28">
        <f t="shared" si="4"/>
        <v>608</v>
      </c>
      <c r="I136" s="24">
        <v>-1738</v>
      </c>
      <c r="J136" s="40">
        <v>2.3959999999999999</v>
      </c>
      <c r="K136" s="22">
        <f t="shared" si="5"/>
        <v>992</v>
      </c>
      <c r="L136" s="22" t="e">
        <f>'QTL-Km118+890,00'!L136</f>
        <v>#REF!</v>
      </c>
      <c r="M136" s="28">
        <f t="shared" si="6"/>
        <v>820</v>
      </c>
      <c r="N136" s="24">
        <v>-2188</v>
      </c>
      <c r="O136" s="28">
        <v>3008</v>
      </c>
      <c r="P136" s="22">
        <f t="shared" si="7"/>
        <v>752</v>
      </c>
      <c r="Q136" s="36"/>
      <c r="R136" s="30"/>
      <c r="S136" s="80"/>
      <c r="T136" s="59"/>
      <c r="U136" s="2"/>
      <c r="V136" s="2"/>
      <c r="W136" s="81"/>
      <c r="X136" s="2"/>
      <c r="Y136" s="2"/>
      <c r="Z136" s="2"/>
      <c r="AA136" s="2"/>
    </row>
    <row r="137" spans="1:27" ht="22.5" customHeight="1" outlineLevel="1" x14ac:dyDescent="0.2">
      <c r="A137" s="62">
        <f>'QTL-Km118+890,00'!A137</f>
        <v>45767</v>
      </c>
      <c r="B137" s="22" t="e">
        <f>'QTL-Km118+890,00'!B137</f>
        <v>#REF!</v>
      </c>
      <c r="C137" s="28">
        <f t="shared" si="2"/>
        <v>654</v>
      </c>
      <c r="D137" s="24">
        <v>-1667</v>
      </c>
      <c r="E137" s="28">
        <v>2371</v>
      </c>
      <c r="F137" s="22">
        <f t="shared" si="3"/>
        <v>911</v>
      </c>
      <c r="G137" s="22" t="e">
        <f>'QTL-Km118+890,00'!G137</f>
        <v>#REF!</v>
      </c>
      <c r="H137" s="28">
        <f t="shared" si="4"/>
        <v>605</v>
      </c>
      <c r="I137" s="24">
        <v>-1741</v>
      </c>
      <c r="J137" s="40">
        <v>2.3959999999999999</v>
      </c>
      <c r="K137" s="22">
        <f t="shared" si="5"/>
        <v>995</v>
      </c>
      <c r="L137" s="22" t="e">
        <f>'QTL-Km118+890,00'!L137</f>
        <v>#REF!</v>
      </c>
      <c r="M137" s="28">
        <f t="shared" si="6"/>
        <v>816</v>
      </c>
      <c r="N137" s="24">
        <v>-2192</v>
      </c>
      <c r="O137" s="28">
        <v>3008</v>
      </c>
      <c r="P137" s="22">
        <f t="shared" si="7"/>
        <v>756</v>
      </c>
      <c r="Q137" s="36"/>
      <c r="R137" s="30"/>
      <c r="S137" s="80"/>
      <c r="T137" s="59"/>
      <c r="U137" s="2"/>
      <c r="V137" s="2"/>
      <c r="W137" s="81"/>
      <c r="X137" s="2"/>
      <c r="Y137" s="2"/>
      <c r="Z137" s="2"/>
      <c r="AA137" s="2"/>
    </row>
    <row r="138" spans="1:27" ht="22.5" customHeight="1" outlineLevel="1" x14ac:dyDescent="0.2">
      <c r="A138" s="62">
        <f>'QTL-Km118+890,00'!A138</f>
        <v>45768</v>
      </c>
      <c r="B138" s="22" t="e">
        <f>'QTL-Km118+890,00'!B138</f>
        <v>#REF!</v>
      </c>
      <c r="C138" s="28">
        <f t="shared" si="2"/>
        <v>641</v>
      </c>
      <c r="D138" s="24">
        <v>-1680</v>
      </c>
      <c r="E138" s="28">
        <v>2371</v>
      </c>
      <c r="F138" s="22">
        <f t="shared" si="3"/>
        <v>924</v>
      </c>
      <c r="G138" s="22" t="e">
        <f>'QTL-Km118+890,00'!G138</f>
        <v>#REF!</v>
      </c>
      <c r="H138" s="28">
        <f t="shared" si="4"/>
        <v>602</v>
      </c>
      <c r="I138" s="24">
        <v>-1744</v>
      </c>
      <c r="J138" s="40">
        <v>2.3959999999999999</v>
      </c>
      <c r="K138" s="22">
        <f t="shared" si="5"/>
        <v>998</v>
      </c>
      <c r="L138" s="22" t="e">
        <f>'QTL-Km118+890,00'!L138</f>
        <v>#REF!</v>
      </c>
      <c r="M138" s="28">
        <f t="shared" si="6"/>
        <v>814</v>
      </c>
      <c r="N138" s="24">
        <v>-2194</v>
      </c>
      <c r="O138" s="28">
        <v>3008</v>
      </c>
      <c r="P138" s="22">
        <f t="shared" si="7"/>
        <v>758</v>
      </c>
      <c r="Q138" s="36"/>
      <c r="R138" s="30"/>
      <c r="S138" s="80"/>
      <c r="T138" s="59"/>
      <c r="U138" s="2"/>
      <c r="V138" s="2"/>
      <c r="W138" s="81"/>
      <c r="X138" s="2"/>
      <c r="Y138" s="2"/>
      <c r="Z138" s="2"/>
      <c r="AA138" s="2"/>
    </row>
    <row r="139" spans="1:27" ht="22.5" customHeight="1" outlineLevel="1" x14ac:dyDescent="0.2">
      <c r="A139" s="62">
        <f>'QTL-Km118+890,00'!A139</f>
        <v>45769</v>
      </c>
      <c r="B139" s="22" t="e">
        <f>'QTL-Km118+890,00'!B139</f>
        <v>#REF!</v>
      </c>
      <c r="C139" s="28">
        <f t="shared" si="2"/>
        <v>641</v>
      </c>
      <c r="D139" s="24">
        <v>-1680</v>
      </c>
      <c r="E139" s="28">
        <v>2371</v>
      </c>
      <c r="F139" s="22">
        <f t="shared" si="3"/>
        <v>924</v>
      </c>
      <c r="G139" s="22" t="e">
        <f>'QTL-Km118+890,00'!G139</f>
        <v>#REF!</v>
      </c>
      <c r="H139" s="28">
        <f t="shared" si="4"/>
        <v>599</v>
      </c>
      <c r="I139" s="24">
        <v>-1747</v>
      </c>
      <c r="J139" s="40">
        <v>2.3959999999999999</v>
      </c>
      <c r="K139" s="22">
        <f t="shared" si="5"/>
        <v>1001</v>
      </c>
      <c r="L139" s="22" t="e">
        <f>'QTL-Km118+890,00'!L139</f>
        <v>#REF!</v>
      </c>
      <c r="M139" s="28">
        <f t="shared" si="6"/>
        <v>812</v>
      </c>
      <c r="N139" s="24">
        <v>-2196</v>
      </c>
      <c r="O139" s="28">
        <v>3008</v>
      </c>
      <c r="P139" s="22">
        <f t="shared" si="7"/>
        <v>760</v>
      </c>
      <c r="Q139" s="36"/>
      <c r="R139" s="30"/>
      <c r="S139" s="80"/>
      <c r="T139" s="59"/>
      <c r="U139" s="2"/>
      <c r="V139" s="2"/>
      <c r="W139" s="81"/>
      <c r="X139" s="2"/>
      <c r="Y139" s="2"/>
      <c r="Z139" s="2"/>
      <c r="AA139" s="2"/>
    </row>
    <row r="140" spans="1:27" ht="22.5" customHeight="1" outlineLevel="1" x14ac:dyDescent="0.2">
      <c r="A140" s="62">
        <f>'QTL-Km118+890,00'!A140</f>
        <v>45770</v>
      </c>
      <c r="B140" s="22" t="e">
        <f>'QTL-Km118+890,00'!B140</f>
        <v>#REF!</v>
      </c>
      <c r="C140" s="28">
        <f t="shared" si="2"/>
        <v>663</v>
      </c>
      <c r="D140" s="24">
        <v>-1658</v>
      </c>
      <c r="E140" s="28">
        <v>2371</v>
      </c>
      <c r="F140" s="22">
        <f t="shared" si="3"/>
        <v>902</v>
      </c>
      <c r="G140" s="22" t="e">
        <f>'QTL-Km118+890,00'!G140</f>
        <v>#REF!</v>
      </c>
      <c r="H140" s="28">
        <f t="shared" si="4"/>
        <v>596</v>
      </c>
      <c r="I140" s="24">
        <v>-1750</v>
      </c>
      <c r="J140" s="40">
        <v>2.3959999999999999</v>
      </c>
      <c r="K140" s="22">
        <f t="shared" si="5"/>
        <v>1004</v>
      </c>
      <c r="L140" s="22" t="e">
        <f>'QTL-Km118+890,00'!L140</f>
        <v>#REF!</v>
      </c>
      <c r="M140" s="28">
        <f t="shared" si="6"/>
        <v>820</v>
      </c>
      <c r="N140" s="24">
        <v>-2188</v>
      </c>
      <c r="O140" s="28">
        <v>3008</v>
      </c>
      <c r="P140" s="22">
        <f t="shared" si="7"/>
        <v>752</v>
      </c>
      <c r="Q140" s="36"/>
      <c r="R140" s="30"/>
      <c r="S140" s="80"/>
      <c r="T140" s="59"/>
      <c r="U140" s="2"/>
      <c r="V140" s="2"/>
      <c r="W140" s="81"/>
      <c r="X140" s="2"/>
      <c r="Y140" s="2"/>
      <c r="Z140" s="2"/>
      <c r="AA140" s="2"/>
    </row>
    <row r="141" spans="1:27" ht="22.5" customHeight="1" outlineLevel="1" x14ac:dyDescent="0.2">
      <c r="A141" s="62">
        <f>'QTL-Km118+890,00'!A141</f>
        <v>45771</v>
      </c>
      <c r="B141" s="22" t="e">
        <f>'QTL-Km118+890,00'!B141</f>
        <v>#REF!</v>
      </c>
      <c r="C141" s="28">
        <f t="shared" si="2"/>
        <v>660</v>
      </c>
      <c r="D141" s="24">
        <v>-1661</v>
      </c>
      <c r="E141" s="28">
        <v>2371</v>
      </c>
      <c r="F141" s="22">
        <f t="shared" si="3"/>
        <v>905</v>
      </c>
      <c r="G141" s="22" t="e">
        <f>'QTL-Km118+890,00'!G141</f>
        <v>#REF!</v>
      </c>
      <c r="H141" s="28">
        <f t="shared" si="4"/>
        <v>593</v>
      </c>
      <c r="I141" s="24">
        <v>-1753</v>
      </c>
      <c r="J141" s="40">
        <v>2.3959999999999999</v>
      </c>
      <c r="K141" s="22">
        <f t="shared" si="5"/>
        <v>1007</v>
      </c>
      <c r="L141" s="22" t="e">
        <f>'QTL-Km118+890,00'!L141</f>
        <v>#REF!</v>
      </c>
      <c r="M141" s="28">
        <f t="shared" si="6"/>
        <v>807</v>
      </c>
      <c r="N141" s="24">
        <v>-2201</v>
      </c>
      <c r="O141" s="28">
        <v>3008</v>
      </c>
      <c r="P141" s="22">
        <f t="shared" si="7"/>
        <v>765</v>
      </c>
      <c r="Q141" s="36"/>
      <c r="R141" s="30"/>
      <c r="S141" s="80"/>
      <c r="T141" s="59"/>
      <c r="U141" s="2"/>
      <c r="V141" s="2"/>
      <c r="W141" s="81"/>
      <c r="X141" s="2"/>
      <c r="Y141" s="2"/>
      <c r="Z141" s="2"/>
      <c r="AA141" s="2"/>
    </row>
    <row r="142" spans="1:27" ht="22.5" customHeight="1" outlineLevel="1" x14ac:dyDescent="0.2">
      <c r="A142" s="62">
        <f>'QTL-Km118+890,00'!A142</f>
        <v>45772</v>
      </c>
      <c r="B142" s="22" t="e">
        <f>'QTL-Km118+890,00'!B142</f>
        <v>#REF!</v>
      </c>
      <c r="C142" s="28">
        <f t="shared" si="2"/>
        <v>655</v>
      </c>
      <c r="D142" s="24">
        <v>-1666</v>
      </c>
      <c r="E142" s="28">
        <v>2371</v>
      </c>
      <c r="F142" s="22">
        <f t="shared" si="3"/>
        <v>910</v>
      </c>
      <c r="G142" s="22" t="e">
        <f>'QTL-Km118+890,00'!G142</f>
        <v>#REF!</v>
      </c>
      <c r="H142" s="28">
        <f t="shared" si="4"/>
        <v>589</v>
      </c>
      <c r="I142" s="24">
        <v>-1757</v>
      </c>
      <c r="J142" s="40">
        <v>2.3959999999999999</v>
      </c>
      <c r="K142" s="22">
        <f t="shared" si="5"/>
        <v>1011</v>
      </c>
      <c r="L142" s="22" t="e">
        <f>'QTL-Km118+890,00'!L142</f>
        <v>#REF!</v>
      </c>
      <c r="M142" s="28">
        <f t="shared" si="6"/>
        <v>804</v>
      </c>
      <c r="N142" s="24">
        <v>-2204</v>
      </c>
      <c r="O142" s="28">
        <v>3008</v>
      </c>
      <c r="P142" s="22">
        <f t="shared" si="7"/>
        <v>768</v>
      </c>
      <c r="Q142" s="89"/>
      <c r="R142" s="5"/>
      <c r="S142" s="80"/>
      <c r="T142" s="59"/>
      <c r="U142" s="2"/>
      <c r="V142" s="2"/>
      <c r="W142" s="81"/>
      <c r="X142" s="2"/>
      <c r="Y142" s="2"/>
      <c r="Z142" s="2"/>
      <c r="AA142" s="2"/>
    </row>
    <row r="143" spans="1:27" ht="22.5" customHeight="1" outlineLevel="1" x14ac:dyDescent="0.2">
      <c r="A143" s="62">
        <f>'QTL-Km118+890,00'!A143</f>
        <v>45773</v>
      </c>
      <c r="B143" s="22" t="e">
        <f>'QTL-Km118+890,00'!B143</f>
        <v>#REF!</v>
      </c>
      <c r="C143" s="28">
        <f t="shared" si="2"/>
        <v>650</v>
      </c>
      <c r="D143" s="24">
        <v>-1671</v>
      </c>
      <c r="E143" s="28">
        <v>2371</v>
      </c>
      <c r="F143" s="22">
        <f t="shared" si="3"/>
        <v>915</v>
      </c>
      <c r="G143" s="22" t="e">
        <f>'QTL-Km118+890,00'!G143</f>
        <v>#REF!</v>
      </c>
      <c r="H143" s="28">
        <f t="shared" si="4"/>
        <v>585</v>
      </c>
      <c r="I143" s="24">
        <v>-1761</v>
      </c>
      <c r="J143" s="40">
        <v>2.3959999999999999</v>
      </c>
      <c r="K143" s="22">
        <f t="shared" si="5"/>
        <v>1015</v>
      </c>
      <c r="L143" s="22" t="e">
        <f>'QTL-Km118+890,00'!L143</f>
        <v>#REF!</v>
      </c>
      <c r="M143" s="28">
        <f t="shared" si="6"/>
        <v>802</v>
      </c>
      <c r="N143" s="24">
        <v>-2206</v>
      </c>
      <c r="O143" s="28">
        <v>3008</v>
      </c>
      <c r="P143" s="22">
        <f t="shared" si="7"/>
        <v>770</v>
      </c>
      <c r="Q143" s="89"/>
      <c r="R143" s="5"/>
      <c r="S143" s="80"/>
      <c r="T143" s="59"/>
      <c r="U143" s="2"/>
      <c r="V143" s="2"/>
      <c r="W143" s="81"/>
      <c r="X143" s="2"/>
      <c r="Y143" s="2"/>
      <c r="Z143" s="2"/>
      <c r="AA143" s="2"/>
    </row>
    <row r="144" spans="1:27" ht="22.5" customHeight="1" outlineLevel="1" x14ac:dyDescent="0.2">
      <c r="A144" s="62">
        <f>'QTL-Km118+890,00'!A144</f>
        <v>45774</v>
      </c>
      <c r="B144" s="22" t="e">
        <f>'QTL-Km118+890,00'!B144</f>
        <v>#REF!</v>
      </c>
      <c r="C144" s="28">
        <f t="shared" si="2"/>
        <v>645</v>
      </c>
      <c r="D144" s="24">
        <v>-1676</v>
      </c>
      <c r="E144" s="28">
        <v>2371</v>
      </c>
      <c r="F144" s="22">
        <f t="shared" si="3"/>
        <v>920</v>
      </c>
      <c r="G144" s="22" t="e">
        <f>'QTL-Km118+890,00'!G144</f>
        <v>#REF!</v>
      </c>
      <c r="H144" s="28">
        <f t="shared" si="4"/>
        <v>581</v>
      </c>
      <c r="I144" s="24">
        <v>-1765</v>
      </c>
      <c r="J144" s="40">
        <v>2.3959999999999999</v>
      </c>
      <c r="K144" s="22">
        <f t="shared" si="5"/>
        <v>1019</v>
      </c>
      <c r="L144" s="22" t="e">
        <f>'QTL-Km118+890,00'!L144</f>
        <v>#REF!</v>
      </c>
      <c r="M144" s="28">
        <f t="shared" si="6"/>
        <v>800</v>
      </c>
      <c r="N144" s="24">
        <v>-2208</v>
      </c>
      <c r="O144" s="28">
        <v>3008</v>
      </c>
      <c r="P144" s="22">
        <f t="shared" si="7"/>
        <v>772</v>
      </c>
      <c r="Q144" s="89"/>
      <c r="R144" s="5"/>
      <c r="S144" s="80"/>
      <c r="T144" s="59"/>
      <c r="U144" s="2"/>
      <c r="V144" s="2"/>
      <c r="W144" s="81"/>
      <c r="X144" s="2"/>
      <c r="Y144" s="2"/>
      <c r="Z144" s="2"/>
      <c r="AA144" s="2"/>
    </row>
    <row r="145" spans="1:27" ht="22.5" customHeight="1" outlineLevel="1" x14ac:dyDescent="0.2">
      <c r="A145" s="62">
        <f>'QTL-Km118+890,00'!A145</f>
        <v>45775</v>
      </c>
      <c r="B145" s="22" t="e">
        <f>'QTL-Km118+890,00'!B145</f>
        <v>#REF!</v>
      </c>
      <c r="C145" s="28">
        <f t="shared" si="2"/>
        <v>641</v>
      </c>
      <c r="D145" s="24">
        <v>-1680</v>
      </c>
      <c r="E145" s="28">
        <v>2371</v>
      </c>
      <c r="F145" s="22">
        <f t="shared" si="3"/>
        <v>924</v>
      </c>
      <c r="G145" s="22" t="e">
        <f>'QTL-Km118+890,00'!G145</f>
        <v>#REF!</v>
      </c>
      <c r="H145" s="28">
        <f t="shared" si="4"/>
        <v>577</v>
      </c>
      <c r="I145" s="24">
        <v>-1769</v>
      </c>
      <c r="J145" s="40">
        <v>2.3959999999999999</v>
      </c>
      <c r="K145" s="22">
        <f t="shared" si="5"/>
        <v>1023</v>
      </c>
      <c r="L145" s="22" t="e">
        <f>'QTL-Km118+890,00'!L145</f>
        <v>#REF!</v>
      </c>
      <c r="M145" s="28">
        <f t="shared" si="6"/>
        <v>798</v>
      </c>
      <c r="N145" s="24">
        <v>-2210</v>
      </c>
      <c r="O145" s="28">
        <v>3008</v>
      </c>
      <c r="P145" s="22">
        <f t="shared" si="7"/>
        <v>774</v>
      </c>
      <c r="Q145" s="89"/>
      <c r="R145" s="5"/>
      <c r="S145" s="80"/>
      <c r="T145" s="59"/>
      <c r="U145" s="2"/>
      <c r="V145" s="2"/>
      <c r="W145" s="81"/>
      <c r="X145" s="2"/>
      <c r="Y145" s="2"/>
      <c r="Z145" s="2"/>
      <c r="AA145" s="2"/>
    </row>
    <row r="146" spans="1:27" ht="22.5" customHeight="1" outlineLevel="1" x14ac:dyDescent="0.2">
      <c r="A146" s="62">
        <f>'QTL-Km118+890,00'!A146</f>
        <v>45776</v>
      </c>
      <c r="B146" s="22" t="e">
        <f>'QTL-Km118+890,00'!B146</f>
        <v>#REF!</v>
      </c>
      <c r="C146" s="28">
        <f t="shared" si="2"/>
        <v>637</v>
      </c>
      <c r="D146" s="24">
        <v>-1684</v>
      </c>
      <c r="E146" s="28">
        <v>2371</v>
      </c>
      <c r="F146" s="22">
        <f t="shared" si="3"/>
        <v>928</v>
      </c>
      <c r="G146" s="22" t="e">
        <f>'QTL-Km118+890,00'!G146</f>
        <v>#REF!</v>
      </c>
      <c r="H146" s="28">
        <f t="shared" si="4"/>
        <v>573</v>
      </c>
      <c r="I146" s="24">
        <v>-1773</v>
      </c>
      <c r="J146" s="40">
        <v>2.3959999999999999</v>
      </c>
      <c r="K146" s="22">
        <f t="shared" si="5"/>
        <v>1027</v>
      </c>
      <c r="L146" s="22" t="e">
        <f>'QTL-Km118+890,00'!L146</f>
        <v>#REF!</v>
      </c>
      <c r="M146" s="28">
        <f t="shared" si="6"/>
        <v>795</v>
      </c>
      <c r="N146" s="24">
        <v>-2213</v>
      </c>
      <c r="O146" s="28">
        <v>3008</v>
      </c>
      <c r="P146" s="22">
        <f t="shared" si="7"/>
        <v>777</v>
      </c>
      <c r="Q146" s="89"/>
      <c r="R146" s="5"/>
      <c r="S146" s="80"/>
      <c r="T146" s="59"/>
      <c r="U146" s="2"/>
      <c r="V146" s="2"/>
      <c r="W146" s="81"/>
      <c r="X146" s="2"/>
      <c r="Y146" s="2"/>
      <c r="Z146" s="2"/>
      <c r="AA146" s="2"/>
    </row>
    <row r="147" spans="1:27" ht="22.5" customHeight="1" outlineLevel="1" x14ac:dyDescent="0.2">
      <c r="A147" s="62">
        <f>'QTL-Km118+890,00'!A147</f>
        <v>45777</v>
      </c>
      <c r="B147" s="22" t="e">
        <f>'QTL-Km118+890,00'!B147</f>
        <v>#REF!</v>
      </c>
      <c r="C147" s="28">
        <f t="shared" si="2"/>
        <v>633</v>
      </c>
      <c r="D147" s="24">
        <v>-1688</v>
      </c>
      <c r="E147" s="28">
        <v>2371</v>
      </c>
      <c r="F147" s="22">
        <f t="shared" si="3"/>
        <v>932</v>
      </c>
      <c r="G147" s="22" t="e">
        <f>'QTL-Km118+890,00'!G147</f>
        <v>#REF!</v>
      </c>
      <c r="H147" s="28">
        <f t="shared" si="4"/>
        <v>569</v>
      </c>
      <c r="I147" s="24">
        <v>-1777</v>
      </c>
      <c r="J147" s="40">
        <v>2.3959999999999999</v>
      </c>
      <c r="K147" s="22">
        <f t="shared" si="5"/>
        <v>1031</v>
      </c>
      <c r="L147" s="22" t="e">
        <f>'QTL-Km118+890,00'!L147</f>
        <v>#REF!</v>
      </c>
      <c r="M147" s="28">
        <f t="shared" si="6"/>
        <v>792</v>
      </c>
      <c r="N147" s="24">
        <v>-2216</v>
      </c>
      <c r="O147" s="28">
        <v>3008</v>
      </c>
      <c r="P147" s="22">
        <f t="shared" si="7"/>
        <v>780</v>
      </c>
      <c r="Q147" s="89"/>
      <c r="R147" s="5"/>
      <c r="S147" s="80"/>
      <c r="T147" s="59"/>
      <c r="U147" s="2"/>
      <c r="V147" s="2"/>
      <c r="W147" s="81"/>
      <c r="X147" s="2"/>
      <c r="Y147" s="2"/>
      <c r="Z147" s="2"/>
      <c r="AA147" s="2"/>
    </row>
    <row r="148" spans="1:27" ht="22.5" customHeight="1" outlineLevel="1" x14ac:dyDescent="0.2">
      <c r="A148" s="62">
        <f>'QTL-Km118+890,00'!A148</f>
        <v>45778</v>
      </c>
      <c r="B148" s="22" t="e">
        <f>'QTL-Km118+890,00'!B148</f>
        <v>#REF!</v>
      </c>
      <c r="C148" s="28">
        <f t="shared" si="2"/>
        <v>629</v>
      </c>
      <c r="D148" s="24">
        <v>-1692</v>
      </c>
      <c r="E148" s="28">
        <v>2371</v>
      </c>
      <c r="F148" s="22">
        <f t="shared" si="3"/>
        <v>936</v>
      </c>
      <c r="G148" s="22" t="e">
        <f>'QTL-Km118+890,00'!G148</f>
        <v>#REF!</v>
      </c>
      <c r="H148" s="28">
        <f t="shared" si="4"/>
        <v>565</v>
      </c>
      <c r="I148" s="24">
        <v>-1781</v>
      </c>
      <c r="J148" s="40">
        <v>2.3959999999999999</v>
      </c>
      <c r="K148" s="22">
        <f t="shared" si="5"/>
        <v>1035</v>
      </c>
      <c r="L148" s="22" t="e">
        <f>'QTL-Km118+890,00'!L148</f>
        <v>#REF!</v>
      </c>
      <c r="M148" s="28">
        <f t="shared" si="6"/>
        <v>789</v>
      </c>
      <c r="N148" s="24">
        <v>-2219</v>
      </c>
      <c r="O148" s="28">
        <v>3008</v>
      </c>
      <c r="P148" s="22">
        <f t="shared" si="7"/>
        <v>783</v>
      </c>
      <c r="Q148" s="89"/>
      <c r="R148" s="5"/>
      <c r="S148" s="80"/>
      <c r="T148" s="59"/>
      <c r="U148" s="2"/>
      <c r="V148" s="2"/>
      <c r="W148" s="81"/>
      <c r="X148" s="2"/>
      <c r="Y148" s="2"/>
      <c r="Z148" s="2"/>
      <c r="AA148" s="2"/>
    </row>
    <row r="149" spans="1:27" ht="22.5" customHeight="1" outlineLevel="1" x14ac:dyDescent="0.2">
      <c r="A149" s="62">
        <f>'QTL-Km118+890,00'!A149</f>
        <v>45779</v>
      </c>
      <c r="B149" s="22" t="e">
        <f>'QTL-Km118+890,00'!B149</f>
        <v>#REF!</v>
      </c>
      <c r="C149" s="28">
        <f t="shared" si="2"/>
        <v>625</v>
      </c>
      <c r="D149" s="24">
        <v>-1696</v>
      </c>
      <c r="E149" s="28">
        <v>2371</v>
      </c>
      <c r="F149" s="22">
        <f t="shared" si="3"/>
        <v>940</v>
      </c>
      <c r="G149" s="22" t="e">
        <f>'QTL-Km118+890,00'!G149</f>
        <v>#REF!</v>
      </c>
      <c r="H149" s="28">
        <f t="shared" si="4"/>
        <v>560</v>
      </c>
      <c r="I149" s="24">
        <v>-1786</v>
      </c>
      <c r="J149" s="40">
        <v>2.3959999999999999</v>
      </c>
      <c r="K149" s="22">
        <f t="shared" si="5"/>
        <v>1040</v>
      </c>
      <c r="L149" s="22" t="e">
        <f>'QTL-Km118+890,00'!L149</f>
        <v>#REF!</v>
      </c>
      <c r="M149" s="28">
        <f t="shared" si="6"/>
        <v>780</v>
      </c>
      <c r="N149" s="24">
        <v>-2228</v>
      </c>
      <c r="O149" s="28">
        <v>3008</v>
      </c>
      <c r="P149" s="22">
        <f t="shared" si="7"/>
        <v>792</v>
      </c>
      <c r="Q149" s="89"/>
      <c r="R149" s="5"/>
      <c r="S149" s="80"/>
      <c r="T149" s="59"/>
      <c r="U149" s="2"/>
      <c r="V149" s="2"/>
      <c r="W149" s="81"/>
      <c r="X149" s="2"/>
      <c r="Y149" s="2"/>
      <c r="Z149" s="2"/>
      <c r="AA149" s="2"/>
    </row>
    <row r="150" spans="1:27" ht="22.5" customHeight="1" outlineLevel="1" x14ac:dyDescent="0.2">
      <c r="A150" s="62">
        <f>'QTL-Km118+890,00'!A150</f>
        <v>45780</v>
      </c>
      <c r="B150" s="22" t="e">
        <f>'QTL-Km118+890,00'!B150</f>
        <v>#REF!</v>
      </c>
      <c r="C150" s="28">
        <f t="shared" si="2"/>
        <v>623</v>
      </c>
      <c r="D150" s="24">
        <v>-1698</v>
      </c>
      <c r="E150" s="28">
        <v>2371</v>
      </c>
      <c r="F150" s="22">
        <f t="shared" si="3"/>
        <v>942</v>
      </c>
      <c r="G150" s="22" t="e">
        <f>'QTL-Km118+890,00'!G150</f>
        <v>#REF!</v>
      </c>
      <c r="H150" s="28">
        <f t="shared" si="4"/>
        <v>553</v>
      </c>
      <c r="I150" s="24">
        <v>-1793</v>
      </c>
      <c r="J150" s="40">
        <v>2.3959999999999999</v>
      </c>
      <c r="K150" s="22">
        <f t="shared" si="5"/>
        <v>1047</v>
      </c>
      <c r="L150" s="22" t="e">
        <f>'QTL-Km118+890,00'!L150</f>
        <v>#REF!</v>
      </c>
      <c r="M150" s="28">
        <f t="shared" si="6"/>
        <v>777</v>
      </c>
      <c r="N150" s="24">
        <v>-2231</v>
      </c>
      <c r="O150" s="28">
        <v>3008</v>
      </c>
      <c r="P150" s="22">
        <f t="shared" si="7"/>
        <v>795</v>
      </c>
      <c r="Q150" s="89"/>
      <c r="R150" s="5"/>
      <c r="S150" s="80"/>
      <c r="T150" s="59"/>
      <c r="U150" s="2"/>
      <c r="V150" s="2"/>
      <c r="W150" s="81"/>
      <c r="X150" s="2"/>
      <c r="Y150" s="2"/>
      <c r="Z150" s="2"/>
      <c r="AA150" s="2"/>
    </row>
    <row r="151" spans="1:27" ht="22.5" customHeight="1" outlineLevel="1" x14ac:dyDescent="0.2">
      <c r="A151" s="62">
        <f>'QTL-Km118+890,00'!A151</f>
        <v>45781</v>
      </c>
      <c r="B151" s="22" t="e">
        <f>'QTL-Km118+890,00'!B151</f>
        <v>#REF!</v>
      </c>
      <c r="C151" s="28">
        <f t="shared" si="2"/>
        <v>619</v>
      </c>
      <c r="D151" s="24">
        <v>-1702</v>
      </c>
      <c r="E151" s="28">
        <v>2371</v>
      </c>
      <c r="F151" s="22">
        <f t="shared" si="3"/>
        <v>946</v>
      </c>
      <c r="G151" s="22" t="e">
        <f>'QTL-Km118+890,00'!G151</f>
        <v>#REF!</v>
      </c>
      <c r="H151" s="28">
        <f t="shared" si="4"/>
        <v>550</v>
      </c>
      <c r="I151" s="24">
        <v>-1796</v>
      </c>
      <c r="J151" s="40">
        <v>2.3959999999999999</v>
      </c>
      <c r="K151" s="22">
        <f t="shared" si="5"/>
        <v>1050</v>
      </c>
      <c r="L151" s="22" t="e">
        <f>'QTL-Km118+890,00'!L151</f>
        <v>#REF!</v>
      </c>
      <c r="M151" s="28">
        <f t="shared" si="6"/>
        <v>773</v>
      </c>
      <c r="N151" s="24">
        <v>-2235</v>
      </c>
      <c r="O151" s="28">
        <v>3008</v>
      </c>
      <c r="P151" s="22">
        <f t="shared" si="7"/>
        <v>799</v>
      </c>
      <c r="Q151" s="89"/>
      <c r="R151" s="5"/>
      <c r="S151" s="80"/>
      <c r="T151" s="59"/>
      <c r="U151" s="2"/>
      <c r="V151" s="2"/>
      <c r="W151" s="81"/>
      <c r="X151" s="2"/>
      <c r="Y151" s="2"/>
      <c r="Z151" s="2"/>
      <c r="AA151" s="2"/>
    </row>
    <row r="152" spans="1:27" ht="22.5" customHeight="1" outlineLevel="1" x14ac:dyDescent="0.2">
      <c r="A152" s="62">
        <f>'QTL-Km118+890,00'!A152</f>
        <v>45782</v>
      </c>
      <c r="B152" s="22" t="e">
        <f>'QTL-Km118+890,00'!B152</f>
        <v>#REF!</v>
      </c>
      <c r="C152" s="28">
        <f t="shared" si="2"/>
        <v>615</v>
      </c>
      <c r="D152" s="24">
        <v>-1706</v>
      </c>
      <c r="E152" s="28">
        <v>2371</v>
      </c>
      <c r="F152" s="22">
        <f t="shared" si="3"/>
        <v>950</v>
      </c>
      <c r="G152" s="22" t="e">
        <f>'QTL-Km118+890,00'!G152</f>
        <v>#REF!</v>
      </c>
      <c r="H152" s="28">
        <f t="shared" si="4"/>
        <v>546</v>
      </c>
      <c r="I152" s="24">
        <v>-1800</v>
      </c>
      <c r="J152" s="40">
        <v>2.3959999999999999</v>
      </c>
      <c r="K152" s="22">
        <f t="shared" si="5"/>
        <v>1054</v>
      </c>
      <c r="L152" s="22" t="e">
        <f>'QTL-Km118+890,00'!L152</f>
        <v>#REF!</v>
      </c>
      <c r="M152" s="28">
        <f t="shared" si="6"/>
        <v>771</v>
      </c>
      <c r="N152" s="24">
        <v>-2237</v>
      </c>
      <c r="O152" s="28">
        <v>3008</v>
      </c>
      <c r="P152" s="22">
        <f t="shared" si="7"/>
        <v>801</v>
      </c>
      <c r="Q152" s="89"/>
      <c r="R152" s="5"/>
      <c r="S152" s="80"/>
      <c r="T152" s="59"/>
      <c r="U152" s="2"/>
      <c r="V152" s="2"/>
      <c r="W152" s="81"/>
      <c r="X152" s="2"/>
      <c r="Y152" s="2"/>
      <c r="Z152" s="2"/>
      <c r="AA152" s="2"/>
    </row>
    <row r="153" spans="1:27" ht="22.5" customHeight="1" outlineLevel="1" x14ac:dyDescent="0.2">
      <c r="A153" s="62">
        <f>'QTL-Km118+890,00'!A153</f>
        <v>45783</v>
      </c>
      <c r="B153" s="22" t="e">
        <f>'QTL-Km118+890,00'!B153</f>
        <v>#REF!</v>
      </c>
      <c r="C153" s="28">
        <f t="shared" si="2"/>
        <v>611</v>
      </c>
      <c r="D153" s="24">
        <v>-1710</v>
      </c>
      <c r="E153" s="28">
        <v>2371</v>
      </c>
      <c r="F153" s="22">
        <f t="shared" si="3"/>
        <v>954</v>
      </c>
      <c r="G153" s="22" t="e">
        <f>'QTL-Km118+890,00'!G153</f>
        <v>#REF!</v>
      </c>
      <c r="H153" s="28">
        <f t="shared" si="4"/>
        <v>542</v>
      </c>
      <c r="I153" s="24">
        <v>-1804</v>
      </c>
      <c r="J153" s="40">
        <v>2.3959999999999999</v>
      </c>
      <c r="K153" s="22">
        <f t="shared" si="5"/>
        <v>1058</v>
      </c>
      <c r="L153" s="22" t="e">
        <f>'QTL-Km118+890,00'!L153</f>
        <v>#REF!</v>
      </c>
      <c r="M153" s="28">
        <f t="shared" si="6"/>
        <v>768</v>
      </c>
      <c r="N153" s="24">
        <v>-2240</v>
      </c>
      <c r="O153" s="28">
        <v>3008</v>
      </c>
      <c r="P153" s="22">
        <f t="shared" si="7"/>
        <v>804</v>
      </c>
      <c r="Q153" s="89"/>
      <c r="R153" s="5"/>
      <c r="S153" s="80"/>
      <c r="T153" s="59"/>
      <c r="U153" s="2"/>
      <c r="V153" s="2"/>
      <c r="W153" s="81"/>
      <c r="X153" s="2"/>
      <c r="Y153" s="2"/>
      <c r="Z153" s="2"/>
      <c r="AA153" s="2"/>
    </row>
    <row r="154" spans="1:27" ht="22.5" customHeight="1" outlineLevel="1" x14ac:dyDescent="0.2">
      <c r="A154" s="62">
        <f>'QTL-Km118+890,00'!A154</f>
        <v>45784</v>
      </c>
      <c r="B154" s="22" t="e">
        <f>'QTL-Km118+890,00'!B154</f>
        <v>#REF!</v>
      </c>
      <c r="C154" s="28">
        <f t="shared" si="2"/>
        <v>607</v>
      </c>
      <c r="D154" s="24">
        <v>-1714</v>
      </c>
      <c r="E154" s="28">
        <v>2371</v>
      </c>
      <c r="F154" s="22">
        <f t="shared" si="3"/>
        <v>958</v>
      </c>
      <c r="G154" s="22" t="e">
        <f>'QTL-Km118+890,00'!G154</f>
        <v>#REF!</v>
      </c>
      <c r="H154" s="28">
        <f t="shared" si="4"/>
        <v>538</v>
      </c>
      <c r="I154" s="24">
        <v>-1808</v>
      </c>
      <c r="J154" s="40">
        <v>2.3959999999999999</v>
      </c>
      <c r="K154" s="22">
        <f t="shared" si="5"/>
        <v>1062</v>
      </c>
      <c r="L154" s="22" t="e">
        <f>'QTL-Km118+890,00'!L154</f>
        <v>#REF!</v>
      </c>
      <c r="M154" s="28">
        <f t="shared" si="6"/>
        <v>765</v>
      </c>
      <c r="N154" s="24">
        <v>-2243</v>
      </c>
      <c r="O154" s="28">
        <v>3008</v>
      </c>
      <c r="P154" s="22">
        <f t="shared" si="7"/>
        <v>807</v>
      </c>
      <c r="Q154" s="89"/>
      <c r="R154" s="5"/>
      <c r="S154" s="80"/>
      <c r="T154" s="59"/>
      <c r="U154" s="2"/>
      <c r="V154" s="2"/>
      <c r="W154" s="81"/>
      <c r="X154" s="2"/>
      <c r="Y154" s="2"/>
      <c r="Z154" s="2"/>
      <c r="AA154" s="2"/>
    </row>
    <row r="155" spans="1:27" ht="22.5" customHeight="1" outlineLevel="1" x14ac:dyDescent="0.2">
      <c r="A155" s="62">
        <f>'QTL-Km118+890,00'!A155</f>
        <v>45785</v>
      </c>
      <c r="B155" s="22" t="e">
        <f>'QTL-Km118+890,00'!B155</f>
        <v>#REF!</v>
      </c>
      <c r="C155" s="28">
        <f t="shared" si="2"/>
        <v>605</v>
      </c>
      <c r="D155" s="24">
        <v>-1716</v>
      </c>
      <c r="E155" s="28">
        <v>2371</v>
      </c>
      <c r="F155" s="22">
        <f t="shared" si="3"/>
        <v>960</v>
      </c>
      <c r="G155" s="22" t="e">
        <f>'QTL-Km118+890,00'!G155</f>
        <v>#REF!</v>
      </c>
      <c r="H155" s="28">
        <f t="shared" si="4"/>
        <v>534</v>
      </c>
      <c r="I155" s="24">
        <v>-1812</v>
      </c>
      <c r="J155" s="40">
        <v>2.3959999999999999</v>
      </c>
      <c r="K155" s="22">
        <f t="shared" si="5"/>
        <v>1066</v>
      </c>
      <c r="L155" s="22" t="e">
        <f>'QTL-Km118+890,00'!L155</f>
        <v>#REF!</v>
      </c>
      <c r="M155" s="28">
        <f t="shared" si="6"/>
        <v>758</v>
      </c>
      <c r="N155" s="24">
        <v>-2250</v>
      </c>
      <c r="O155" s="28">
        <v>3008</v>
      </c>
      <c r="P155" s="22">
        <f t="shared" si="7"/>
        <v>814</v>
      </c>
      <c r="Q155" s="89"/>
      <c r="R155" s="5"/>
      <c r="S155" s="80"/>
      <c r="T155" s="59"/>
      <c r="U155" s="2"/>
      <c r="V155" s="2"/>
      <c r="W155" s="81"/>
      <c r="X155" s="2"/>
      <c r="Y155" s="2"/>
      <c r="Z155" s="2"/>
      <c r="AA155" s="2"/>
    </row>
    <row r="156" spans="1:27" ht="22.5" customHeight="1" outlineLevel="1" x14ac:dyDescent="0.2">
      <c r="A156" s="62">
        <f>'QTL-Km118+890,00'!A156</f>
        <v>45786</v>
      </c>
      <c r="B156" s="22" t="e">
        <f>'QTL-Km118+890,00'!B156</f>
        <v>#REF!</v>
      </c>
      <c r="C156" s="28">
        <f t="shared" si="2"/>
        <v>603</v>
      </c>
      <c r="D156" s="24">
        <v>-1718</v>
      </c>
      <c r="E156" s="28">
        <v>2371</v>
      </c>
      <c r="F156" s="22">
        <f t="shared" si="3"/>
        <v>962</v>
      </c>
      <c r="G156" s="22" t="e">
        <f>'QTL-Km118+890,00'!G156</f>
        <v>#REF!</v>
      </c>
      <c r="H156" s="28">
        <f t="shared" si="4"/>
        <v>530</v>
      </c>
      <c r="I156" s="24">
        <v>-1816</v>
      </c>
      <c r="J156" s="40">
        <v>2.3959999999999999</v>
      </c>
      <c r="K156" s="22">
        <f t="shared" si="5"/>
        <v>1070</v>
      </c>
      <c r="L156" s="22" t="e">
        <f>'QTL-Km118+890,00'!L156</f>
        <v>#REF!</v>
      </c>
      <c r="M156" s="28">
        <f t="shared" si="6"/>
        <v>750</v>
      </c>
      <c r="N156" s="24">
        <v>-2258</v>
      </c>
      <c r="O156" s="28">
        <v>3008</v>
      </c>
      <c r="P156" s="22">
        <f t="shared" si="7"/>
        <v>822</v>
      </c>
      <c r="Q156" s="89"/>
      <c r="R156" s="5"/>
      <c r="S156" s="80"/>
      <c r="T156" s="59"/>
      <c r="U156" s="2"/>
      <c r="V156" s="2"/>
      <c r="W156" s="81"/>
      <c r="X156" s="2"/>
      <c r="Y156" s="2"/>
      <c r="Z156" s="2"/>
      <c r="AA156" s="2"/>
    </row>
    <row r="157" spans="1:27" ht="22.5" customHeight="1" outlineLevel="1" x14ac:dyDescent="0.2">
      <c r="A157" s="62">
        <f>'QTL-Km118+890,00'!A157</f>
        <v>45787</v>
      </c>
      <c r="B157" s="22" t="e">
        <f>'QTL-Km118+890,00'!B157</f>
        <v>#REF!</v>
      </c>
      <c r="C157" s="28">
        <f t="shared" si="2"/>
        <v>599</v>
      </c>
      <c r="D157" s="24">
        <v>-1722</v>
      </c>
      <c r="E157" s="28">
        <v>2371</v>
      </c>
      <c r="F157" s="22">
        <f t="shared" si="3"/>
        <v>966</v>
      </c>
      <c r="G157" s="22" t="e">
        <f>'QTL-Km118+890,00'!G157</f>
        <v>#REF!</v>
      </c>
      <c r="H157" s="28">
        <f t="shared" si="4"/>
        <v>526</v>
      </c>
      <c r="I157" s="24">
        <v>-1820</v>
      </c>
      <c r="J157" s="40">
        <v>2.3959999999999999</v>
      </c>
      <c r="K157" s="22">
        <f t="shared" si="5"/>
        <v>1074</v>
      </c>
      <c r="L157" s="22" t="e">
        <f>'QTL-Km118+890,00'!L157</f>
        <v>#REF!</v>
      </c>
      <c r="M157" s="28">
        <f t="shared" si="6"/>
        <v>746</v>
      </c>
      <c r="N157" s="24">
        <v>-2262</v>
      </c>
      <c r="O157" s="28">
        <v>3008</v>
      </c>
      <c r="P157" s="22">
        <f t="shared" si="7"/>
        <v>826</v>
      </c>
      <c r="Q157" s="89"/>
      <c r="R157" s="5"/>
      <c r="S157" s="80"/>
      <c r="T157" s="59"/>
      <c r="U157" s="2"/>
      <c r="V157" s="2"/>
      <c r="W157" s="81"/>
      <c r="X157" s="2"/>
      <c r="Y157" s="2"/>
      <c r="Z157" s="2"/>
      <c r="AA157" s="2"/>
    </row>
    <row r="158" spans="1:27" ht="22.5" customHeight="1" outlineLevel="1" x14ac:dyDescent="0.2">
      <c r="A158" s="62">
        <f>'QTL-Km118+890,00'!A158</f>
        <v>45788</v>
      </c>
      <c r="B158" s="22" t="e">
        <f>'QTL-Km118+890,00'!B158</f>
        <v>#REF!</v>
      </c>
      <c r="C158" s="28">
        <f t="shared" si="2"/>
        <v>593</v>
      </c>
      <c r="D158" s="24">
        <v>-1728</v>
      </c>
      <c r="E158" s="28">
        <v>2371</v>
      </c>
      <c r="F158" s="22">
        <f t="shared" si="3"/>
        <v>972</v>
      </c>
      <c r="G158" s="22" t="e">
        <f>'QTL-Km118+890,00'!G158</f>
        <v>#REF!</v>
      </c>
      <c r="H158" s="28">
        <f t="shared" si="4"/>
        <v>522</v>
      </c>
      <c r="I158" s="24">
        <v>-1824</v>
      </c>
      <c r="J158" s="40">
        <v>2.3959999999999999</v>
      </c>
      <c r="K158" s="22">
        <f t="shared" si="5"/>
        <v>1078</v>
      </c>
      <c r="L158" s="22" t="e">
        <f>'QTL-Km118+890,00'!L158</f>
        <v>#REF!</v>
      </c>
      <c r="M158" s="28">
        <f t="shared" si="6"/>
        <v>743</v>
      </c>
      <c r="N158" s="24">
        <v>-2265</v>
      </c>
      <c r="O158" s="28">
        <v>3008</v>
      </c>
      <c r="P158" s="22">
        <f t="shared" si="7"/>
        <v>829</v>
      </c>
      <c r="Q158" s="89"/>
      <c r="R158" s="5"/>
      <c r="S158" s="80"/>
      <c r="T158" s="59"/>
      <c r="U158" s="2"/>
      <c r="V158" s="2"/>
      <c r="W158" s="81"/>
      <c r="X158" s="2"/>
      <c r="Y158" s="2"/>
      <c r="Z158" s="2"/>
      <c r="AA158" s="2"/>
    </row>
    <row r="159" spans="1:27" ht="22.5" customHeight="1" outlineLevel="1" x14ac:dyDescent="0.2">
      <c r="A159" s="62">
        <f>'QTL-Km118+890,00'!A159</f>
        <v>45789</v>
      </c>
      <c r="B159" s="22" t="e">
        <f>'QTL-Km118+890,00'!B159</f>
        <v>#REF!</v>
      </c>
      <c r="C159" s="28">
        <f t="shared" si="2"/>
        <v>587</v>
      </c>
      <c r="D159" s="24">
        <v>-1734</v>
      </c>
      <c r="E159" s="28">
        <v>2371</v>
      </c>
      <c r="F159" s="22">
        <f t="shared" si="3"/>
        <v>978</v>
      </c>
      <c r="G159" s="22" t="e">
        <f>'QTL-Km118+890,00'!G159</f>
        <v>#REF!</v>
      </c>
      <c r="H159" s="28">
        <f t="shared" si="4"/>
        <v>519</v>
      </c>
      <c r="I159" s="24">
        <v>-1827</v>
      </c>
      <c r="J159" s="40">
        <v>2.3959999999999999</v>
      </c>
      <c r="K159" s="22">
        <f t="shared" si="5"/>
        <v>1081</v>
      </c>
      <c r="L159" s="22" t="e">
        <f>'QTL-Km118+890,00'!L159</f>
        <v>#REF!</v>
      </c>
      <c r="M159" s="28">
        <f t="shared" si="6"/>
        <v>740</v>
      </c>
      <c r="N159" s="24">
        <v>-2268</v>
      </c>
      <c r="O159" s="28">
        <v>3008</v>
      </c>
      <c r="P159" s="22">
        <f t="shared" si="7"/>
        <v>832</v>
      </c>
      <c r="Q159" s="89"/>
      <c r="R159" s="5"/>
      <c r="S159" s="80"/>
      <c r="T159" s="59"/>
      <c r="U159" s="2"/>
      <c r="V159" s="2"/>
      <c r="W159" s="81"/>
      <c r="X159" s="2"/>
      <c r="Y159" s="2"/>
      <c r="Z159" s="2"/>
      <c r="AA159" s="2"/>
    </row>
    <row r="160" spans="1:27" ht="22.5" customHeight="1" outlineLevel="1" x14ac:dyDescent="0.2">
      <c r="A160" s="62">
        <f>'QTL-Km118+890,00'!A160</f>
        <v>45790</v>
      </c>
      <c r="B160" s="22" t="e">
        <f>'QTL-Km118+890,00'!B160</f>
        <v>#REF!</v>
      </c>
      <c r="C160" s="28">
        <f t="shared" si="2"/>
        <v>580</v>
      </c>
      <c r="D160" s="24">
        <v>-1741</v>
      </c>
      <c r="E160" s="28">
        <v>2371</v>
      </c>
      <c r="F160" s="22">
        <f t="shared" si="3"/>
        <v>985</v>
      </c>
      <c r="G160" s="22" t="e">
        <f>'QTL-Km118+890,00'!G160</f>
        <v>#REF!</v>
      </c>
      <c r="H160" s="28">
        <f t="shared" si="4"/>
        <v>515</v>
      </c>
      <c r="I160" s="24">
        <v>-1831</v>
      </c>
      <c r="J160" s="40">
        <v>2.3959999999999999</v>
      </c>
      <c r="K160" s="22">
        <f t="shared" si="5"/>
        <v>1085</v>
      </c>
      <c r="L160" s="22" t="e">
        <f>'QTL-Km118+890,00'!L160</f>
        <v>#REF!</v>
      </c>
      <c r="M160" s="28">
        <f t="shared" si="6"/>
        <v>737</v>
      </c>
      <c r="N160" s="24">
        <v>-2271</v>
      </c>
      <c r="O160" s="28">
        <v>3008</v>
      </c>
      <c r="P160" s="22">
        <f t="shared" si="7"/>
        <v>835</v>
      </c>
      <c r="Q160" s="89"/>
      <c r="R160" s="5"/>
      <c r="S160" s="80"/>
      <c r="T160" s="59"/>
      <c r="U160" s="2"/>
      <c r="V160" s="2"/>
      <c r="W160" s="81"/>
      <c r="X160" s="2"/>
      <c r="Y160" s="2"/>
      <c r="Z160" s="2"/>
      <c r="AA160" s="2"/>
    </row>
    <row r="161" spans="1:27" ht="22.5" customHeight="1" outlineLevel="1" x14ac:dyDescent="0.2">
      <c r="A161" s="62">
        <f>'QTL-Km118+890,00'!A161</f>
        <v>45791</v>
      </c>
      <c r="B161" s="22" t="e">
        <f>'QTL-Km118+890,00'!B161</f>
        <v>#REF!</v>
      </c>
      <c r="C161" s="28">
        <f t="shared" si="2"/>
        <v>575</v>
      </c>
      <c r="D161" s="24">
        <v>-1746</v>
      </c>
      <c r="E161" s="28">
        <v>2371</v>
      </c>
      <c r="F161" s="22">
        <f t="shared" si="3"/>
        <v>990</v>
      </c>
      <c r="G161" s="22" t="e">
        <f>'QTL-Km118+890,00'!G161</f>
        <v>#REF!</v>
      </c>
      <c r="H161" s="28">
        <f t="shared" si="4"/>
        <v>509</v>
      </c>
      <c r="I161" s="24">
        <v>-1837</v>
      </c>
      <c r="J161" s="40">
        <v>2.3959999999999999</v>
      </c>
      <c r="K161" s="22">
        <f t="shared" si="5"/>
        <v>1091</v>
      </c>
      <c r="L161" s="22" t="e">
        <f>'QTL-Km118+890,00'!L161</f>
        <v>#REF!</v>
      </c>
      <c r="M161" s="28">
        <f t="shared" si="6"/>
        <v>733</v>
      </c>
      <c r="N161" s="24">
        <v>-2275</v>
      </c>
      <c r="O161" s="28">
        <v>3008</v>
      </c>
      <c r="P161" s="22">
        <f t="shared" si="7"/>
        <v>839</v>
      </c>
      <c r="Q161" s="89"/>
      <c r="R161" s="5"/>
      <c r="S161" s="80"/>
      <c r="T161" s="59"/>
      <c r="U161" s="2"/>
      <c r="V161" s="2"/>
      <c r="W161" s="81"/>
      <c r="X161" s="2"/>
      <c r="Y161" s="2"/>
      <c r="Z161" s="2"/>
      <c r="AA161" s="2"/>
    </row>
    <row r="162" spans="1:27" ht="22.5" customHeight="1" outlineLevel="1" x14ac:dyDescent="0.2">
      <c r="A162" s="62">
        <f>'QTL-Km118+890,00'!A162</f>
        <v>45792</v>
      </c>
      <c r="B162" s="22" t="e">
        <f>'QTL-Km118+890,00'!B162</f>
        <v>#REF!</v>
      </c>
      <c r="C162" s="28">
        <f t="shared" si="2"/>
        <v>571</v>
      </c>
      <c r="D162" s="24">
        <v>-1750</v>
      </c>
      <c r="E162" s="28">
        <v>2371</v>
      </c>
      <c r="F162" s="22">
        <f t="shared" si="3"/>
        <v>994</v>
      </c>
      <c r="G162" s="22" t="e">
        <f>'QTL-Km118+890,00'!G162</f>
        <v>#REF!</v>
      </c>
      <c r="H162" s="28">
        <f t="shared" si="4"/>
        <v>502</v>
      </c>
      <c r="I162" s="24">
        <v>-1844</v>
      </c>
      <c r="J162" s="40">
        <v>2.3959999999999999</v>
      </c>
      <c r="K162" s="22">
        <f t="shared" si="5"/>
        <v>1098</v>
      </c>
      <c r="L162" s="22" t="e">
        <f>'QTL-Km118+890,00'!L162</f>
        <v>#REF!</v>
      </c>
      <c r="M162" s="28">
        <f t="shared" si="6"/>
        <v>725</v>
      </c>
      <c r="N162" s="24">
        <v>-2283</v>
      </c>
      <c r="O162" s="28">
        <v>3008</v>
      </c>
      <c r="P162" s="22">
        <f t="shared" si="7"/>
        <v>847</v>
      </c>
      <c r="Q162" s="89"/>
      <c r="R162" s="5"/>
      <c r="S162" s="80"/>
      <c r="T162" s="59"/>
      <c r="U162" s="2"/>
      <c r="V162" s="2"/>
      <c r="W162" s="81"/>
      <c r="X162" s="2"/>
      <c r="Y162" s="2"/>
      <c r="Z162" s="2"/>
      <c r="AA162" s="2"/>
    </row>
    <row r="163" spans="1:27" ht="22.5" customHeight="1" outlineLevel="1" x14ac:dyDescent="0.2">
      <c r="A163" s="62">
        <f>'QTL-Km118+890,00'!A163</f>
        <v>45793</v>
      </c>
      <c r="B163" s="22" t="e">
        <f>'QTL-Km118+890,00'!B163</f>
        <v>#REF!</v>
      </c>
      <c r="C163" s="28">
        <f t="shared" si="2"/>
        <v>568</v>
      </c>
      <c r="D163" s="24">
        <v>-1753</v>
      </c>
      <c r="E163" s="28">
        <v>2371</v>
      </c>
      <c r="F163" s="22">
        <f t="shared" si="3"/>
        <v>997</v>
      </c>
      <c r="G163" s="22" t="e">
        <f>'QTL-Km118+890,00'!G163</f>
        <v>#REF!</v>
      </c>
      <c r="H163" s="28">
        <f t="shared" si="4"/>
        <v>498</v>
      </c>
      <c r="I163" s="24">
        <v>-1848</v>
      </c>
      <c r="J163" s="40">
        <v>2.3959999999999999</v>
      </c>
      <c r="K163" s="22">
        <f t="shared" si="5"/>
        <v>1102</v>
      </c>
      <c r="L163" s="22" t="e">
        <f>'QTL-Km118+890,00'!L163</f>
        <v>#REF!</v>
      </c>
      <c r="M163" s="28">
        <f t="shared" si="6"/>
        <v>720</v>
      </c>
      <c r="N163" s="24">
        <v>-2288</v>
      </c>
      <c r="O163" s="28">
        <v>3008</v>
      </c>
      <c r="P163" s="22">
        <f t="shared" si="7"/>
        <v>852</v>
      </c>
      <c r="Q163" s="89"/>
      <c r="R163" s="5"/>
      <c r="S163" s="80"/>
      <c r="T163" s="59"/>
      <c r="U163" s="2"/>
      <c r="V163" s="2"/>
      <c r="W163" s="81"/>
      <c r="X163" s="2"/>
      <c r="Y163" s="2"/>
      <c r="Z163" s="2"/>
      <c r="AA163" s="2"/>
    </row>
    <row r="164" spans="1:27" ht="22.5" customHeight="1" outlineLevel="1" x14ac:dyDescent="0.2">
      <c r="A164" s="62">
        <f>'QTL-Km118+890,00'!A164</f>
        <v>45794</v>
      </c>
      <c r="B164" s="22" t="e">
        <f>'QTL-Km118+890,00'!B164</f>
        <v>#REF!</v>
      </c>
      <c r="C164" s="28">
        <f t="shared" si="2"/>
        <v>564</v>
      </c>
      <c r="D164" s="24">
        <v>-1757</v>
      </c>
      <c r="E164" s="28">
        <v>2371</v>
      </c>
      <c r="F164" s="22">
        <f t="shared" si="3"/>
        <v>1001</v>
      </c>
      <c r="G164" s="22" t="e">
        <f>'QTL-Km118+890,00'!G164</f>
        <v>#REF!</v>
      </c>
      <c r="H164" s="28">
        <f t="shared" si="4"/>
        <v>496</v>
      </c>
      <c r="I164" s="24">
        <v>-1850</v>
      </c>
      <c r="J164" s="40">
        <v>2.3959999999999999</v>
      </c>
      <c r="K164" s="22">
        <f t="shared" si="5"/>
        <v>1104</v>
      </c>
      <c r="L164" s="22" t="e">
        <f>'QTL-Km118+890,00'!L164</f>
        <v>#REF!</v>
      </c>
      <c r="M164" s="28">
        <f t="shared" si="6"/>
        <v>718</v>
      </c>
      <c r="N164" s="24">
        <v>-2290</v>
      </c>
      <c r="O164" s="28">
        <v>3008</v>
      </c>
      <c r="P164" s="22">
        <f t="shared" si="7"/>
        <v>854</v>
      </c>
      <c r="Q164" s="89"/>
      <c r="R164" s="5"/>
      <c r="S164" s="80"/>
      <c r="T164" s="59"/>
      <c r="U164" s="2"/>
      <c r="V164" s="2"/>
      <c r="W164" s="81"/>
      <c r="X164" s="2"/>
      <c r="Y164" s="2"/>
      <c r="Z164" s="2"/>
      <c r="AA164" s="2"/>
    </row>
    <row r="165" spans="1:27" ht="22.5" customHeight="1" outlineLevel="1" x14ac:dyDescent="0.2">
      <c r="A165" s="62">
        <f>'QTL-Km118+890,00'!A165</f>
        <v>45795</v>
      </c>
      <c r="B165" s="22" t="e">
        <f>'QTL-Km118+890,00'!B165</f>
        <v>#REF!</v>
      </c>
      <c r="C165" s="28">
        <f t="shared" si="2"/>
        <v>563</v>
      </c>
      <c r="D165" s="24">
        <v>-1758</v>
      </c>
      <c r="E165" s="28">
        <v>2371</v>
      </c>
      <c r="F165" s="22">
        <f t="shared" si="3"/>
        <v>1002</v>
      </c>
      <c r="G165" s="22" t="e">
        <f>'QTL-Km118+890,00'!G165</f>
        <v>#REF!</v>
      </c>
      <c r="H165" s="28">
        <f t="shared" si="4"/>
        <v>494</v>
      </c>
      <c r="I165" s="24">
        <v>-1852</v>
      </c>
      <c r="J165" s="40">
        <v>2.3959999999999999</v>
      </c>
      <c r="K165" s="22">
        <f t="shared" si="5"/>
        <v>1106</v>
      </c>
      <c r="L165" s="22" t="e">
        <f>'QTL-Km118+890,00'!L165</f>
        <v>#REF!</v>
      </c>
      <c r="M165" s="28">
        <f t="shared" si="6"/>
        <v>716</v>
      </c>
      <c r="N165" s="24">
        <v>-2292</v>
      </c>
      <c r="O165" s="28">
        <v>3008</v>
      </c>
      <c r="P165" s="22">
        <f t="shared" si="7"/>
        <v>856</v>
      </c>
      <c r="Q165" s="89"/>
      <c r="R165" s="5"/>
      <c r="S165" s="80"/>
      <c r="T165" s="59"/>
      <c r="U165" s="2"/>
      <c r="V165" s="2"/>
      <c r="W165" s="81"/>
      <c r="X165" s="2"/>
      <c r="Y165" s="2"/>
      <c r="Z165" s="2"/>
      <c r="AA165" s="2"/>
    </row>
    <row r="166" spans="1:27" ht="22.5" customHeight="1" outlineLevel="1" x14ac:dyDescent="0.2">
      <c r="A166" s="62">
        <f>'QTL-Km118+890,00'!A166</f>
        <v>45796</v>
      </c>
      <c r="B166" s="22" t="e">
        <f>'QTL-Km118+890,00'!B166</f>
        <v>#REF!</v>
      </c>
      <c r="C166" s="28">
        <f t="shared" si="2"/>
        <v>562</v>
      </c>
      <c r="D166" s="24">
        <v>-1759</v>
      </c>
      <c r="E166" s="28">
        <v>2371</v>
      </c>
      <c r="F166" s="22">
        <f t="shared" si="3"/>
        <v>1003</v>
      </c>
      <c r="G166" s="22" t="e">
        <f>'QTL-Km118+890,00'!G166</f>
        <v>#REF!</v>
      </c>
      <c r="H166" s="28">
        <f t="shared" si="4"/>
        <v>493</v>
      </c>
      <c r="I166" s="24">
        <v>-1853</v>
      </c>
      <c r="J166" s="40">
        <v>2.3959999999999999</v>
      </c>
      <c r="K166" s="22">
        <f t="shared" si="5"/>
        <v>1107</v>
      </c>
      <c r="L166" s="22" t="e">
        <f>'QTL-Km118+890,00'!L166</f>
        <v>#REF!</v>
      </c>
      <c r="M166" s="28">
        <f t="shared" si="6"/>
        <v>715</v>
      </c>
      <c r="N166" s="24">
        <v>-2293</v>
      </c>
      <c r="O166" s="28">
        <v>3008</v>
      </c>
      <c r="P166" s="22">
        <f t="shared" si="7"/>
        <v>857</v>
      </c>
      <c r="Q166" s="89"/>
      <c r="R166" s="5"/>
      <c r="S166" s="80"/>
      <c r="T166" s="59"/>
      <c r="U166" s="2"/>
      <c r="V166" s="2"/>
      <c r="W166" s="81"/>
      <c r="X166" s="2"/>
      <c r="Y166" s="2"/>
      <c r="Z166" s="2"/>
      <c r="AA166" s="2"/>
    </row>
    <row r="167" spans="1:27" ht="22.5" customHeight="1" outlineLevel="1" x14ac:dyDescent="0.2">
      <c r="A167" s="62">
        <f>'QTL-Km118+890,00'!A167</f>
        <v>45797</v>
      </c>
      <c r="B167" s="22" t="e">
        <f>'QTL-Km118+890,00'!B167</f>
        <v>#REF!</v>
      </c>
      <c r="C167" s="28">
        <f t="shared" si="2"/>
        <v>561</v>
      </c>
      <c r="D167" s="24">
        <v>-1760</v>
      </c>
      <c r="E167" s="28">
        <v>2371</v>
      </c>
      <c r="F167" s="22">
        <f t="shared" si="3"/>
        <v>1004</v>
      </c>
      <c r="G167" s="22" t="e">
        <f>'QTL-Km118+890,00'!G167</f>
        <v>#REF!</v>
      </c>
      <c r="H167" s="28">
        <f t="shared" si="4"/>
        <v>492</v>
      </c>
      <c r="I167" s="24">
        <v>-1854</v>
      </c>
      <c r="J167" s="40">
        <v>2.3959999999999999</v>
      </c>
      <c r="K167" s="22">
        <f t="shared" si="5"/>
        <v>1108</v>
      </c>
      <c r="L167" s="22" t="e">
        <f>'QTL-Km118+890,00'!L167</f>
        <v>#REF!</v>
      </c>
      <c r="M167" s="28">
        <f t="shared" si="6"/>
        <v>714</v>
      </c>
      <c r="N167" s="24">
        <v>-2294</v>
      </c>
      <c r="O167" s="28">
        <v>3008</v>
      </c>
      <c r="P167" s="22">
        <f t="shared" si="7"/>
        <v>858</v>
      </c>
      <c r="Q167" s="89"/>
      <c r="R167" s="5"/>
      <c r="S167" s="80"/>
      <c r="T167" s="59"/>
      <c r="U167" s="2"/>
      <c r="V167" s="2"/>
      <c r="W167" s="81"/>
      <c r="X167" s="2"/>
      <c r="Y167" s="2"/>
      <c r="Z167" s="2"/>
      <c r="AA167" s="2"/>
    </row>
    <row r="168" spans="1:27" ht="22.5" customHeight="1" outlineLevel="1" x14ac:dyDescent="0.2">
      <c r="A168" s="62">
        <f>'QTL-Km118+890,00'!A168</f>
        <v>45798</v>
      </c>
      <c r="B168" s="22" t="e">
        <f>'QTL-Km118+890,00'!B168</f>
        <v>#REF!</v>
      </c>
      <c r="C168" s="28">
        <f t="shared" si="2"/>
        <v>560</v>
      </c>
      <c r="D168" s="24">
        <v>-1761</v>
      </c>
      <c r="E168" s="28">
        <v>2371</v>
      </c>
      <c r="F168" s="22">
        <f t="shared" si="3"/>
        <v>1005</v>
      </c>
      <c r="G168" s="22" t="e">
        <f>'QTL-Km118+890,00'!G168</f>
        <v>#REF!</v>
      </c>
      <c r="H168" s="28">
        <f t="shared" si="4"/>
        <v>490</v>
      </c>
      <c r="I168" s="24">
        <v>-1856</v>
      </c>
      <c r="J168" s="40">
        <v>2.3959999999999999</v>
      </c>
      <c r="K168" s="22">
        <f t="shared" si="5"/>
        <v>1110</v>
      </c>
      <c r="L168" s="22" t="e">
        <f>'QTL-Km118+890,00'!L168</f>
        <v>#REF!</v>
      </c>
      <c r="M168" s="28">
        <f t="shared" si="6"/>
        <v>712</v>
      </c>
      <c r="N168" s="24">
        <v>-2296</v>
      </c>
      <c r="O168" s="28">
        <v>3008</v>
      </c>
      <c r="P168" s="22">
        <f t="shared" si="7"/>
        <v>860</v>
      </c>
      <c r="Q168" s="89"/>
      <c r="R168" s="5"/>
      <c r="S168" s="80"/>
      <c r="T168" s="59"/>
      <c r="U168" s="2"/>
      <c r="V168" s="2"/>
      <c r="W168" s="81"/>
      <c r="X168" s="2"/>
      <c r="Y168" s="2"/>
      <c r="Z168" s="2"/>
      <c r="AA168" s="2"/>
    </row>
    <row r="169" spans="1:27" ht="22.5" customHeight="1" outlineLevel="1" x14ac:dyDescent="0.2">
      <c r="A169" s="62">
        <f>'QTL-Km118+890,00'!A169</f>
        <v>45799</v>
      </c>
      <c r="B169" s="22" t="e">
        <f>'QTL-Km118+890,00'!B169</f>
        <v>#REF!</v>
      </c>
      <c r="C169" s="28">
        <f t="shared" si="2"/>
        <v>559</v>
      </c>
      <c r="D169" s="24">
        <v>-1762</v>
      </c>
      <c r="E169" s="28">
        <v>2371</v>
      </c>
      <c r="F169" s="22">
        <f t="shared" si="3"/>
        <v>1006</v>
      </c>
      <c r="G169" s="22" t="e">
        <f>'QTL-Km118+890,00'!G169</f>
        <v>#REF!</v>
      </c>
      <c r="H169" s="28">
        <f t="shared" si="4"/>
        <v>489</v>
      </c>
      <c r="I169" s="24">
        <v>-1857</v>
      </c>
      <c r="J169" s="40">
        <v>2.3959999999999999</v>
      </c>
      <c r="K169" s="22">
        <f t="shared" si="5"/>
        <v>1111</v>
      </c>
      <c r="L169" s="22" t="e">
        <f>'QTL-Km118+890,00'!L169</f>
        <v>#REF!</v>
      </c>
      <c r="M169" s="28">
        <f t="shared" si="6"/>
        <v>711</v>
      </c>
      <c r="N169" s="24">
        <v>-2297</v>
      </c>
      <c r="O169" s="28">
        <v>3008</v>
      </c>
      <c r="P169" s="22">
        <f t="shared" si="7"/>
        <v>861</v>
      </c>
      <c r="Q169" s="89"/>
      <c r="R169" s="5"/>
      <c r="S169" s="80"/>
      <c r="T169" s="59"/>
      <c r="U169" s="2"/>
      <c r="V169" s="2"/>
      <c r="W169" s="81"/>
      <c r="X169" s="2"/>
      <c r="Y169" s="2"/>
      <c r="Z169" s="2"/>
      <c r="AA169" s="2"/>
    </row>
    <row r="170" spans="1:27" ht="22.5" customHeight="1" outlineLevel="1" x14ac:dyDescent="0.2">
      <c r="A170" s="62">
        <f>'QTL-Km118+890,00'!A170</f>
        <v>45800</v>
      </c>
      <c r="B170" s="22" t="e">
        <f>'QTL-Km118+890,00'!B170</f>
        <v>#REF!</v>
      </c>
      <c r="C170" s="28">
        <f t="shared" si="2"/>
        <v>558</v>
      </c>
      <c r="D170" s="24">
        <v>-1763</v>
      </c>
      <c r="E170" s="28">
        <v>2371</v>
      </c>
      <c r="F170" s="22">
        <f t="shared" si="3"/>
        <v>1007</v>
      </c>
      <c r="G170" s="22" t="e">
        <f>'QTL-Km118+890,00'!G170</f>
        <v>#REF!</v>
      </c>
      <c r="H170" s="28">
        <f t="shared" si="4"/>
        <v>488</v>
      </c>
      <c r="I170" s="24">
        <v>-1858</v>
      </c>
      <c r="J170" s="40">
        <v>2.3959999999999999</v>
      </c>
      <c r="K170" s="22">
        <f t="shared" si="5"/>
        <v>1112</v>
      </c>
      <c r="L170" s="22" t="e">
        <f>'QTL-Km118+890,00'!L170</f>
        <v>#REF!</v>
      </c>
      <c r="M170" s="28">
        <f t="shared" si="6"/>
        <v>710</v>
      </c>
      <c r="N170" s="24">
        <v>-2298</v>
      </c>
      <c r="O170" s="28">
        <v>3008</v>
      </c>
      <c r="P170" s="22">
        <f t="shared" si="7"/>
        <v>862</v>
      </c>
      <c r="Q170" s="89"/>
      <c r="R170" s="5"/>
      <c r="S170" s="80"/>
      <c r="T170" s="59"/>
      <c r="U170" s="2"/>
      <c r="V170" s="2"/>
      <c r="W170" s="81"/>
      <c r="X170" s="2"/>
      <c r="Y170" s="2"/>
      <c r="Z170" s="2"/>
      <c r="AA170" s="2"/>
    </row>
    <row r="171" spans="1:27" ht="22.5" customHeight="1" outlineLevel="1" x14ac:dyDescent="0.2">
      <c r="A171" s="62">
        <f>'QTL-Km118+890,00'!A171</f>
        <v>45801</v>
      </c>
      <c r="B171" s="22" t="e">
        <f>'QTL-Km118+890,00'!B171</f>
        <v>#REF!</v>
      </c>
      <c r="C171" s="28">
        <f t="shared" si="2"/>
        <v>557</v>
      </c>
      <c r="D171" s="24">
        <v>-1764</v>
      </c>
      <c r="E171" s="28">
        <v>2371</v>
      </c>
      <c r="F171" s="22">
        <f t="shared" si="3"/>
        <v>1008</v>
      </c>
      <c r="G171" s="22" t="e">
        <f>'QTL-Km118+890,00'!G171</f>
        <v>#REF!</v>
      </c>
      <c r="H171" s="28">
        <f t="shared" si="4"/>
        <v>487</v>
      </c>
      <c r="I171" s="24">
        <v>-1859</v>
      </c>
      <c r="J171" s="40">
        <v>2.3959999999999999</v>
      </c>
      <c r="K171" s="22">
        <f t="shared" si="5"/>
        <v>1113</v>
      </c>
      <c r="L171" s="22" t="e">
        <f>'QTL-Km118+890,00'!L171</f>
        <v>#REF!</v>
      </c>
      <c r="M171" s="28">
        <f t="shared" si="6"/>
        <v>710</v>
      </c>
      <c r="N171" s="24">
        <v>-2298</v>
      </c>
      <c r="O171" s="28">
        <v>3008</v>
      </c>
      <c r="P171" s="22">
        <f t="shared" si="7"/>
        <v>862</v>
      </c>
      <c r="Q171" s="89"/>
      <c r="R171" s="5"/>
      <c r="S171" s="80"/>
      <c r="T171" s="59"/>
      <c r="U171" s="2"/>
      <c r="V171" s="2"/>
      <c r="W171" s="81"/>
      <c r="X171" s="2"/>
      <c r="Y171" s="2"/>
      <c r="Z171" s="2"/>
      <c r="AA171" s="2"/>
    </row>
    <row r="172" spans="1:27" ht="22.5" customHeight="1" outlineLevel="1" x14ac:dyDescent="0.2">
      <c r="A172" s="62">
        <f>'QTL-Km118+890,00'!A172</f>
        <v>45802</v>
      </c>
      <c r="B172" s="22" t="e">
        <f>'QTL-Km118+890,00'!B172</f>
        <v>#REF!</v>
      </c>
      <c r="C172" s="28">
        <f t="shared" si="2"/>
        <v>556</v>
      </c>
      <c r="D172" s="24">
        <v>-1765</v>
      </c>
      <c r="E172" s="28">
        <v>2371</v>
      </c>
      <c r="F172" s="22">
        <f t="shared" si="3"/>
        <v>1009</v>
      </c>
      <c r="G172" s="22" t="e">
        <f>'QTL-Km118+890,00'!G172</f>
        <v>#REF!</v>
      </c>
      <c r="H172" s="28">
        <f t="shared" si="4"/>
        <v>486</v>
      </c>
      <c r="I172" s="24">
        <v>-1860</v>
      </c>
      <c r="J172" s="40">
        <v>2.3959999999999999</v>
      </c>
      <c r="K172" s="22">
        <f t="shared" si="5"/>
        <v>1114</v>
      </c>
      <c r="L172" s="22" t="e">
        <f>'QTL-Km118+890,00'!L172</f>
        <v>#REF!</v>
      </c>
      <c r="M172" s="28">
        <f t="shared" si="6"/>
        <v>710</v>
      </c>
      <c r="N172" s="24">
        <v>-2298</v>
      </c>
      <c r="O172" s="28">
        <v>3008</v>
      </c>
      <c r="P172" s="22">
        <f t="shared" si="7"/>
        <v>862</v>
      </c>
      <c r="Q172" s="89"/>
      <c r="R172" s="5"/>
      <c r="S172" s="80"/>
      <c r="T172" s="59"/>
      <c r="U172" s="2"/>
      <c r="V172" s="2"/>
      <c r="W172" s="81"/>
      <c r="X172" s="2"/>
      <c r="Y172" s="2"/>
      <c r="Z172" s="2"/>
      <c r="AA172" s="2"/>
    </row>
    <row r="173" spans="1:27" ht="22.5" customHeight="1" outlineLevel="1" x14ac:dyDescent="0.2">
      <c r="A173" s="62">
        <f>'QTL-Km118+890,00'!A173</f>
        <v>45803</v>
      </c>
      <c r="B173" s="22" t="e">
        <f>'QTL-Km118+890,00'!B173</f>
        <v>#REF!</v>
      </c>
      <c r="C173" s="28">
        <f t="shared" si="2"/>
        <v>555</v>
      </c>
      <c r="D173" s="24">
        <v>-1766</v>
      </c>
      <c r="E173" s="28">
        <v>2371</v>
      </c>
      <c r="F173" s="22">
        <f t="shared" si="3"/>
        <v>1010</v>
      </c>
      <c r="G173" s="22" t="e">
        <f>'QTL-Km118+890,00'!G173</f>
        <v>#REF!</v>
      </c>
      <c r="H173" s="28">
        <f t="shared" si="4"/>
        <v>485</v>
      </c>
      <c r="I173" s="24">
        <v>-1861</v>
      </c>
      <c r="J173" s="40">
        <v>2.3959999999999999</v>
      </c>
      <c r="K173" s="22">
        <f t="shared" si="5"/>
        <v>1115</v>
      </c>
      <c r="L173" s="22" t="e">
        <f>'QTL-Km118+890,00'!L173</f>
        <v>#REF!</v>
      </c>
      <c r="M173" s="28">
        <f t="shared" si="6"/>
        <v>710</v>
      </c>
      <c r="N173" s="24">
        <v>-2298</v>
      </c>
      <c r="O173" s="28">
        <v>3008</v>
      </c>
      <c r="P173" s="22">
        <f t="shared" si="7"/>
        <v>862</v>
      </c>
      <c r="Q173" s="89"/>
      <c r="R173" s="5"/>
      <c r="S173" s="80"/>
      <c r="T173" s="59"/>
      <c r="U173" s="2"/>
      <c r="V173" s="2"/>
      <c r="W173" s="81"/>
      <c r="X173" s="2"/>
      <c r="Y173" s="2"/>
      <c r="Z173" s="2"/>
      <c r="AA173" s="2"/>
    </row>
    <row r="174" spans="1:27" ht="22.5" customHeight="1" outlineLevel="1" x14ac:dyDescent="0.2">
      <c r="A174" s="62">
        <f>'QTL-Km118+890,00'!A174</f>
        <v>45804</v>
      </c>
      <c r="B174" s="22" t="e">
        <f>'QTL-Km118+890,00'!B174</f>
        <v>#REF!</v>
      </c>
      <c r="C174" s="28">
        <f t="shared" si="2"/>
        <v>554</v>
      </c>
      <c r="D174" s="24">
        <v>-1767</v>
      </c>
      <c r="E174" s="28">
        <v>2371</v>
      </c>
      <c r="F174" s="22">
        <f t="shared" si="3"/>
        <v>1011</v>
      </c>
      <c r="G174" s="22" t="e">
        <f>'QTL-Km118+890,00'!G174</f>
        <v>#REF!</v>
      </c>
      <c r="H174" s="28">
        <f t="shared" si="4"/>
        <v>484</v>
      </c>
      <c r="I174" s="24">
        <v>-1862</v>
      </c>
      <c r="J174" s="40">
        <v>2.3959999999999999</v>
      </c>
      <c r="K174" s="22">
        <f t="shared" si="5"/>
        <v>1116</v>
      </c>
      <c r="L174" s="22" t="e">
        <f>'QTL-Km118+890,00'!L174</f>
        <v>#REF!</v>
      </c>
      <c r="M174" s="28">
        <f t="shared" si="6"/>
        <v>710</v>
      </c>
      <c r="N174" s="24">
        <v>-2298</v>
      </c>
      <c r="O174" s="28">
        <v>3008</v>
      </c>
      <c r="P174" s="22">
        <f t="shared" si="7"/>
        <v>862</v>
      </c>
      <c r="Q174" s="89"/>
      <c r="R174" s="5"/>
      <c r="S174" s="80"/>
      <c r="T174" s="59"/>
      <c r="U174" s="2"/>
      <c r="V174" s="2"/>
      <c r="W174" s="81"/>
      <c r="X174" s="2"/>
      <c r="Y174" s="2"/>
      <c r="Z174" s="2"/>
      <c r="AA174" s="2"/>
    </row>
    <row r="175" spans="1:27" ht="22.5" customHeight="1" outlineLevel="1" x14ac:dyDescent="0.2">
      <c r="A175" s="62">
        <f>'QTL-Km118+890,00'!A175</f>
        <v>45805</v>
      </c>
      <c r="B175" s="22" t="e">
        <f>'QTL-Km118+890,00'!B175</f>
        <v>#REF!</v>
      </c>
      <c r="C175" s="28">
        <f t="shared" si="2"/>
        <v>554</v>
      </c>
      <c r="D175" s="24">
        <v>-1767</v>
      </c>
      <c r="E175" s="28">
        <v>2371</v>
      </c>
      <c r="F175" s="22">
        <f t="shared" si="3"/>
        <v>1011</v>
      </c>
      <c r="G175" s="22" t="e">
        <f>'QTL-Km118+890,00'!G175</f>
        <v>#REF!</v>
      </c>
      <c r="H175" s="28">
        <f t="shared" si="4"/>
        <v>484</v>
      </c>
      <c r="I175" s="24">
        <v>-1862</v>
      </c>
      <c r="J175" s="40">
        <v>2.3959999999999999</v>
      </c>
      <c r="K175" s="22">
        <f t="shared" si="5"/>
        <v>1116</v>
      </c>
      <c r="L175" s="22" t="e">
        <f>'QTL-Km118+890,00'!L175</f>
        <v>#REF!</v>
      </c>
      <c r="M175" s="28">
        <f t="shared" si="6"/>
        <v>710</v>
      </c>
      <c r="N175" s="24">
        <v>-2298</v>
      </c>
      <c r="O175" s="28">
        <v>3008</v>
      </c>
      <c r="P175" s="22">
        <f t="shared" si="7"/>
        <v>862</v>
      </c>
      <c r="Q175" s="89"/>
      <c r="R175" s="5"/>
      <c r="S175" s="80"/>
      <c r="T175" s="59"/>
      <c r="U175" s="2"/>
      <c r="V175" s="2"/>
      <c r="W175" s="81"/>
      <c r="X175" s="2"/>
      <c r="Y175" s="2"/>
      <c r="Z175" s="2"/>
      <c r="AA175" s="2"/>
    </row>
    <row r="176" spans="1:27" ht="22.5" customHeight="1" outlineLevel="1" x14ac:dyDescent="0.2">
      <c r="A176" s="62">
        <f>'QTL-Km118+890,00'!A176</f>
        <v>45806</v>
      </c>
      <c r="B176" s="22" t="e">
        <f>'QTL-Km118+890,00'!B176</f>
        <v>#REF!</v>
      </c>
      <c r="C176" s="28">
        <f t="shared" si="2"/>
        <v>554</v>
      </c>
      <c r="D176" s="24">
        <v>-1767</v>
      </c>
      <c r="E176" s="28">
        <v>2371</v>
      </c>
      <c r="F176" s="22">
        <f t="shared" si="3"/>
        <v>1011</v>
      </c>
      <c r="G176" s="22" t="e">
        <f>'QTL-Km118+890,00'!G176</f>
        <v>#REF!</v>
      </c>
      <c r="H176" s="28">
        <f t="shared" si="4"/>
        <v>484</v>
      </c>
      <c r="I176" s="24">
        <v>-1862</v>
      </c>
      <c r="J176" s="40">
        <v>2.3959999999999999</v>
      </c>
      <c r="K176" s="22">
        <f t="shared" si="5"/>
        <v>1116</v>
      </c>
      <c r="L176" s="22" t="e">
        <f>'QTL-Km118+890,00'!L176</f>
        <v>#REF!</v>
      </c>
      <c r="M176" s="28">
        <f t="shared" si="6"/>
        <v>710</v>
      </c>
      <c r="N176" s="24">
        <v>-2298</v>
      </c>
      <c r="O176" s="28">
        <v>3008</v>
      </c>
      <c r="P176" s="22">
        <f t="shared" si="7"/>
        <v>862</v>
      </c>
      <c r="Q176" s="89"/>
      <c r="R176" s="5"/>
      <c r="S176" s="80"/>
      <c r="T176" s="59"/>
      <c r="U176" s="2"/>
      <c r="V176" s="2"/>
      <c r="W176" s="81"/>
      <c r="X176" s="2"/>
      <c r="Y176" s="2"/>
      <c r="Z176" s="2"/>
      <c r="AA176" s="2"/>
    </row>
    <row r="177" spans="1:27" ht="22.5" customHeight="1" outlineLevel="1" x14ac:dyDescent="0.2">
      <c r="A177" s="62">
        <f>'QTL-Km118+890,00'!A177</f>
        <v>45807</v>
      </c>
      <c r="B177" s="22" t="e">
        <f>'QTL-Km118+890,00'!B177</f>
        <v>#REF!</v>
      </c>
      <c r="C177" s="28">
        <f t="shared" si="2"/>
        <v>554</v>
      </c>
      <c r="D177" s="24">
        <v>-1767</v>
      </c>
      <c r="E177" s="28">
        <v>2371</v>
      </c>
      <c r="F177" s="22">
        <f t="shared" si="3"/>
        <v>1011</v>
      </c>
      <c r="G177" s="22" t="e">
        <f>'QTL-Km118+890,00'!G177</f>
        <v>#REF!</v>
      </c>
      <c r="H177" s="28">
        <f t="shared" si="4"/>
        <v>484</v>
      </c>
      <c r="I177" s="24">
        <v>-1862</v>
      </c>
      <c r="J177" s="40">
        <v>2.3959999999999999</v>
      </c>
      <c r="K177" s="22">
        <f t="shared" si="5"/>
        <v>1116</v>
      </c>
      <c r="L177" s="22" t="e">
        <f>'QTL-Km118+890,00'!L177</f>
        <v>#REF!</v>
      </c>
      <c r="M177" s="28">
        <f t="shared" si="6"/>
        <v>710</v>
      </c>
      <c r="N177" s="24">
        <v>-2298</v>
      </c>
      <c r="O177" s="28">
        <v>3008</v>
      </c>
      <c r="P177" s="22">
        <f t="shared" si="7"/>
        <v>862</v>
      </c>
      <c r="Q177" s="89"/>
      <c r="R177" s="5"/>
      <c r="S177" s="80"/>
      <c r="T177" s="59"/>
      <c r="U177" s="2"/>
      <c r="V177" s="2"/>
      <c r="W177" s="81"/>
      <c r="X177" s="2"/>
      <c r="Y177" s="2"/>
      <c r="Z177" s="2"/>
      <c r="AA177" s="2"/>
    </row>
    <row r="178" spans="1:27" ht="22.5" customHeight="1" outlineLevel="1" x14ac:dyDescent="0.2">
      <c r="A178" s="62">
        <f>'QTL-Km118+890,00'!A178</f>
        <v>45808</v>
      </c>
      <c r="B178" s="22" t="e">
        <f>'QTL-Km118+890,00'!B178</f>
        <v>#REF!</v>
      </c>
      <c r="C178" s="28">
        <f t="shared" si="2"/>
        <v>554</v>
      </c>
      <c r="D178" s="24">
        <v>-1767</v>
      </c>
      <c r="E178" s="28">
        <v>2371</v>
      </c>
      <c r="F178" s="22">
        <f t="shared" si="3"/>
        <v>1011</v>
      </c>
      <c r="G178" s="22" t="e">
        <f>'QTL-Km118+890,00'!G178</f>
        <v>#REF!</v>
      </c>
      <c r="H178" s="28">
        <f t="shared" si="4"/>
        <v>484</v>
      </c>
      <c r="I178" s="24">
        <v>-1862</v>
      </c>
      <c r="J178" s="40">
        <v>2.3959999999999999</v>
      </c>
      <c r="K178" s="22">
        <f t="shared" si="5"/>
        <v>1116</v>
      </c>
      <c r="L178" s="22" t="e">
        <f>'QTL-Km118+890,00'!L178</f>
        <v>#REF!</v>
      </c>
      <c r="M178" s="28">
        <f t="shared" si="6"/>
        <v>710</v>
      </c>
      <c r="N178" s="24">
        <v>-2298</v>
      </c>
      <c r="O178" s="28">
        <v>3008</v>
      </c>
      <c r="P178" s="22">
        <f t="shared" si="7"/>
        <v>862</v>
      </c>
      <c r="Q178" s="89"/>
      <c r="R178" s="5"/>
      <c r="S178" s="80"/>
      <c r="T178" s="59"/>
      <c r="U178" s="2"/>
      <c r="V178" s="2"/>
      <c r="W178" s="81"/>
      <c r="X178" s="2"/>
      <c r="Y178" s="2"/>
      <c r="Z178" s="2"/>
      <c r="AA178" s="2"/>
    </row>
    <row r="179" spans="1:27" ht="22.5" customHeight="1" outlineLevel="1" x14ac:dyDescent="0.2">
      <c r="A179" s="62">
        <f>'QTL-Km118+890,00'!A179</f>
        <v>45809</v>
      </c>
      <c r="B179" s="22" t="e">
        <f>'QTL-Km118+890,00'!B179</f>
        <v>#REF!</v>
      </c>
      <c r="C179" s="28">
        <f t="shared" si="2"/>
        <v>554</v>
      </c>
      <c r="D179" s="24">
        <v>-1767</v>
      </c>
      <c r="E179" s="28">
        <v>2371</v>
      </c>
      <c r="F179" s="22">
        <f t="shared" si="3"/>
        <v>1011</v>
      </c>
      <c r="G179" s="22" t="e">
        <f>'QTL-Km118+890,00'!G179</f>
        <v>#REF!</v>
      </c>
      <c r="H179" s="28">
        <f t="shared" si="4"/>
        <v>484</v>
      </c>
      <c r="I179" s="24">
        <v>-1862</v>
      </c>
      <c r="J179" s="40">
        <v>2.3959999999999999</v>
      </c>
      <c r="K179" s="22">
        <f t="shared" si="5"/>
        <v>1116</v>
      </c>
      <c r="L179" s="22" t="e">
        <f>'QTL-Km118+890,00'!L179</f>
        <v>#REF!</v>
      </c>
      <c r="M179" s="28">
        <f t="shared" si="6"/>
        <v>710</v>
      </c>
      <c r="N179" s="24">
        <v>-2298</v>
      </c>
      <c r="O179" s="28">
        <v>3008</v>
      </c>
      <c r="P179" s="22">
        <f t="shared" si="7"/>
        <v>862</v>
      </c>
      <c r="Q179" s="89"/>
      <c r="R179" s="5"/>
      <c r="S179" s="80"/>
      <c r="T179" s="59"/>
      <c r="U179" s="2"/>
      <c r="V179" s="2"/>
      <c r="W179" s="81"/>
      <c r="X179" s="2"/>
      <c r="Y179" s="2"/>
      <c r="Z179" s="2"/>
      <c r="AA179" s="2"/>
    </row>
    <row r="180" spans="1:27" ht="22.5" customHeight="1" outlineLevel="1" x14ac:dyDescent="0.2">
      <c r="A180" s="62">
        <f>'QTL-Km118+890,00'!A180</f>
        <v>45810</v>
      </c>
      <c r="B180" s="22" t="e">
        <f>'QTL-Km118+890,00'!B180</f>
        <v>#REF!</v>
      </c>
      <c r="C180" s="28">
        <f t="shared" si="2"/>
        <v>554</v>
      </c>
      <c r="D180" s="24">
        <v>-1767</v>
      </c>
      <c r="E180" s="28">
        <v>2371</v>
      </c>
      <c r="F180" s="22">
        <f t="shared" si="3"/>
        <v>1011</v>
      </c>
      <c r="G180" s="22" t="e">
        <f>'QTL-Km118+890,00'!G180</f>
        <v>#REF!</v>
      </c>
      <c r="H180" s="28">
        <f t="shared" si="4"/>
        <v>484</v>
      </c>
      <c r="I180" s="24">
        <v>-1862</v>
      </c>
      <c r="J180" s="40">
        <v>2.3959999999999999</v>
      </c>
      <c r="K180" s="22">
        <f t="shared" si="5"/>
        <v>1116</v>
      </c>
      <c r="L180" s="22" t="e">
        <f>'QTL-Km118+890,00'!L180</f>
        <v>#REF!</v>
      </c>
      <c r="M180" s="28">
        <f t="shared" si="6"/>
        <v>710</v>
      </c>
      <c r="N180" s="24">
        <v>-2298</v>
      </c>
      <c r="O180" s="28">
        <v>3008</v>
      </c>
      <c r="P180" s="22">
        <f t="shared" si="7"/>
        <v>862</v>
      </c>
      <c r="Q180" s="89"/>
      <c r="R180" s="5"/>
      <c r="S180" s="80"/>
      <c r="T180" s="59"/>
      <c r="U180" s="2"/>
      <c r="V180" s="2"/>
      <c r="W180" s="81"/>
      <c r="X180" s="2"/>
      <c r="Y180" s="2"/>
      <c r="Z180" s="2"/>
      <c r="AA180" s="2"/>
    </row>
    <row r="181" spans="1:27" ht="22.5" customHeight="1" outlineLevel="1" x14ac:dyDescent="0.2">
      <c r="A181" s="62">
        <f>'QTL-Km118+890,00'!A181</f>
        <v>45811</v>
      </c>
      <c r="B181" s="22" t="e">
        <f>'QTL-Km118+890,00'!B181</f>
        <v>#REF!</v>
      </c>
      <c r="C181" s="28">
        <f t="shared" si="2"/>
        <v>554</v>
      </c>
      <c r="D181" s="24">
        <v>-1767</v>
      </c>
      <c r="E181" s="28">
        <v>2371</v>
      </c>
      <c r="F181" s="22">
        <f t="shared" si="3"/>
        <v>1011</v>
      </c>
      <c r="G181" s="22" t="e">
        <f>'QTL-Km118+890,00'!G181</f>
        <v>#REF!</v>
      </c>
      <c r="H181" s="28">
        <f t="shared" si="4"/>
        <v>484</v>
      </c>
      <c r="I181" s="24">
        <v>-1862</v>
      </c>
      <c r="J181" s="40">
        <v>2.3959999999999999</v>
      </c>
      <c r="K181" s="22">
        <f t="shared" si="5"/>
        <v>1116</v>
      </c>
      <c r="L181" s="22" t="e">
        <f>'QTL-Km118+890,00'!L181</f>
        <v>#REF!</v>
      </c>
      <c r="M181" s="28">
        <f t="shared" si="6"/>
        <v>710</v>
      </c>
      <c r="N181" s="24">
        <v>-2298</v>
      </c>
      <c r="O181" s="28">
        <v>3008</v>
      </c>
      <c r="P181" s="22">
        <f t="shared" si="7"/>
        <v>862</v>
      </c>
      <c r="Q181" s="89"/>
      <c r="R181" s="5"/>
      <c r="S181" s="80"/>
      <c r="T181" s="59"/>
      <c r="U181" s="2"/>
      <c r="V181" s="2"/>
      <c r="W181" s="81"/>
      <c r="X181" s="2"/>
      <c r="Y181" s="2"/>
      <c r="Z181" s="2"/>
      <c r="AA181" s="2"/>
    </row>
    <row r="182" spans="1:27" ht="22.5" customHeight="1" outlineLevel="1" x14ac:dyDescent="0.2">
      <c r="A182" s="62">
        <f>'QTL-Km118+890,00'!A182</f>
        <v>45812</v>
      </c>
      <c r="B182" s="22" t="e">
        <f>'QTL-Km118+890,00'!B182</f>
        <v>#REF!</v>
      </c>
      <c r="C182" s="28">
        <f t="shared" si="2"/>
        <v>554</v>
      </c>
      <c r="D182" s="24">
        <v>-1767</v>
      </c>
      <c r="E182" s="28">
        <v>2371</v>
      </c>
      <c r="F182" s="22">
        <f t="shared" si="3"/>
        <v>1011</v>
      </c>
      <c r="G182" s="22" t="e">
        <f>'QTL-Km118+890,00'!G182</f>
        <v>#REF!</v>
      </c>
      <c r="H182" s="28">
        <f t="shared" si="4"/>
        <v>484</v>
      </c>
      <c r="I182" s="24">
        <v>-1862</v>
      </c>
      <c r="J182" s="40">
        <v>2.3959999999999999</v>
      </c>
      <c r="K182" s="22">
        <f t="shared" si="5"/>
        <v>1116</v>
      </c>
      <c r="L182" s="22" t="e">
        <f>'QTL-Km118+890,00'!L182</f>
        <v>#REF!</v>
      </c>
      <c r="M182" s="28">
        <f t="shared" si="6"/>
        <v>710</v>
      </c>
      <c r="N182" s="24">
        <v>-2298</v>
      </c>
      <c r="O182" s="28">
        <v>3008</v>
      </c>
      <c r="P182" s="22">
        <f t="shared" si="7"/>
        <v>862</v>
      </c>
      <c r="Q182" s="89"/>
      <c r="R182" s="5"/>
      <c r="S182" s="80"/>
      <c r="T182" s="59"/>
      <c r="U182" s="2"/>
      <c r="V182" s="2"/>
      <c r="W182" s="81"/>
      <c r="X182" s="2"/>
      <c r="Y182" s="2"/>
      <c r="Z182" s="2"/>
      <c r="AA182" s="2"/>
    </row>
    <row r="183" spans="1:27" ht="22.5" customHeight="1" outlineLevel="1" x14ac:dyDescent="0.2">
      <c r="A183" s="62">
        <f>'QTL-Km118+890,00'!A183</f>
        <v>45813</v>
      </c>
      <c r="B183" s="22" t="e">
        <f>'QTL-Km118+890,00'!B183</f>
        <v>#REF!</v>
      </c>
      <c r="C183" s="28">
        <f t="shared" si="2"/>
        <v>554</v>
      </c>
      <c r="D183" s="24">
        <v>-1767</v>
      </c>
      <c r="E183" s="28">
        <v>2371</v>
      </c>
      <c r="F183" s="22">
        <f t="shared" si="3"/>
        <v>1011</v>
      </c>
      <c r="G183" s="22" t="e">
        <f>'QTL-Km118+890,00'!G183</f>
        <v>#REF!</v>
      </c>
      <c r="H183" s="28">
        <f t="shared" si="4"/>
        <v>484</v>
      </c>
      <c r="I183" s="24">
        <v>-1862</v>
      </c>
      <c r="J183" s="40">
        <v>2.3959999999999999</v>
      </c>
      <c r="K183" s="22">
        <f t="shared" si="5"/>
        <v>1116</v>
      </c>
      <c r="L183" s="22" t="e">
        <f>'QTL-Km118+890,00'!L183</f>
        <v>#REF!</v>
      </c>
      <c r="M183" s="28">
        <f t="shared" si="6"/>
        <v>710</v>
      </c>
      <c r="N183" s="24">
        <v>-2298</v>
      </c>
      <c r="O183" s="28">
        <v>3008</v>
      </c>
      <c r="P183" s="22">
        <f t="shared" si="7"/>
        <v>862</v>
      </c>
      <c r="Q183" s="89"/>
      <c r="R183" s="5"/>
      <c r="S183" s="80"/>
      <c r="T183" s="59"/>
      <c r="U183" s="2"/>
      <c r="V183" s="2"/>
      <c r="W183" s="81"/>
      <c r="X183" s="2"/>
      <c r="Y183" s="2"/>
      <c r="Z183" s="2"/>
      <c r="AA183" s="2"/>
    </row>
    <row r="184" spans="1:27" ht="22.5" customHeight="1" outlineLevel="1" x14ac:dyDescent="0.2">
      <c r="A184" s="62">
        <f>'QTL-Km118+890,00'!A184</f>
        <v>45814</v>
      </c>
      <c r="B184" s="22" t="e">
        <f>'QTL-Km118+890,00'!B184</f>
        <v>#REF!</v>
      </c>
      <c r="C184" s="28">
        <f t="shared" si="2"/>
        <v>554</v>
      </c>
      <c r="D184" s="24">
        <v>-1767</v>
      </c>
      <c r="E184" s="28">
        <v>2371</v>
      </c>
      <c r="F184" s="22">
        <f t="shared" si="3"/>
        <v>1011</v>
      </c>
      <c r="G184" s="22" t="e">
        <f>'QTL-Km118+890,00'!G184</f>
        <v>#REF!</v>
      </c>
      <c r="H184" s="28">
        <f t="shared" si="4"/>
        <v>484</v>
      </c>
      <c r="I184" s="24">
        <v>-1862</v>
      </c>
      <c r="J184" s="40">
        <v>2.3959999999999999</v>
      </c>
      <c r="K184" s="22">
        <f t="shared" si="5"/>
        <v>1116</v>
      </c>
      <c r="L184" s="22" t="e">
        <f>'QTL-Km118+890,00'!L184</f>
        <v>#REF!</v>
      </c>
      <c r="M184" s="28">
        <f t="shared" si="6"/>
        <v>710</v>
      </c>
      <c r="N184" s="24">
        <v>-2298</v>
      </c>
      <c r="O184" s="28">
        <v>3008</v>
      </c>
      <c r="P184" s="22">
        <f t="shared" si="7"/>
        <v>862</v>
      </c>
      <c r="Q184" s="89"/>
      <c r="R184" s="5"/>
      <c r="S184" s="80"/>
      <c r="T184" s="59"/>
      <c r="U184" s="2"/>
      <c r="V184" s="2"/>
      <c r="W184" s="81"/>
      <c r="X184" s="2"/>
      <c r="Y184" s="2"/>
      <c r="Z184" s="2"/>
      <c r="AA184" s="2"/>
    </row>
    <row r="185" spans="1:27" ht="22.5" customHeight="1" outlineLevel="1" x14ac:dyDescent="0.2">
      <c r="A185" s="62">
        <f>'QTL-Km118+890,00'!A185</f>
        <v>45815</v>
      </c>
      <c r="B185" s="22" t="e">
        <f>'QTL-Km118+890,00'!B185</f>
        <v>#REF!</v>
      </c>
      <c r="C185" s="28">
        <f t="shared" si="2"/>
        <v>554</v>
      </c>
      <c r="D185" s="24">
        <v>-1767</v>
      </c>
      <c r="E185" s="28">
        <v>2371</v>
      </c>
      <c r="F185" s="22">
        <f t="shared" si="3"/>
        <v>1011</v>
      </c>
      <c r="G185" s="22" t="e">
        <f>'QTL-Km118+890,00'!G185</f>
        <v>#REF!</v>
      </c>
      <c r="H185" s="28">
        <f t="shared" si="4"/>
        <v>484</v>
      </c>
      <c r="I185" s="24">
        <v>-1862</v>
      </c>
      <c r="J185" s="40">
        <v>2.3959999999999999</v>
      </c>
      <c r="K185" s="22">
        <f t="shared" si="5"/>
        <v>1116</v>
      </c>
      <c r="L185" s="22" t="e">
        <f>'QTL-Km118+890,00'!L185</f>
        <v>#REF!</v>
      </c>
      <c r="M185" s="28">
        <f t="shared" si="6"/>
        <v>710</v>
      </c>
      <c r="N185" s="24">
        <v>-2298</v>
      </c>
      <c r="O185" s="28">
        <v>3008</v>
      </c>
      <c r="P185" s="22">
        <f t="shared" si="7"/>
        <v>862</v>
      </c>
      <c r="Q185" s="89"/>
      <c r="R185" s="5"/>
      <c r="S185" s="80"/>
      <c r="T185" s="59"/>
      <c r="U185" s="2"/>
      <c r="V185" s="2"/>
      <c r="W185" s="81"/>
      <c r="X185" s="2"/>
      <c r="Y185" s="2"/>
      <c r="Z185" s="2"/>
      <c r="AA185" s="2"/>
    </row>
    <row r="186" spans="1:27" ht="22.5" customHeight="1" outlineLevel="1" x14ac:dyDescent="0.2">
      <c r="A186" s="62">
        <f>'QTL-Km118+890,00'!A186</f>
        <v>45816</v>
      </c>
      <c r="B186" s="22" t="e">
        <f>'QTL-Km118+890,00'!B186</f>
        <v>#REF!</v>
      </c>
      <c r="C186" s="28">
        <f t="shared" si="2"/>
        <v>554</v>
      </c>
      <c r="D186" s="24">
        <v>-1767</v>
      </c>
      <c r="E186" s="28">
        <v>2371</v>
      </c>
      <c r="F186" s="22">
        <f t="shared" si="3"/>
        <v>1011</v>
      </c>
      <c r="G186" s="22" t="e">
        <f>'QTL-Km118+890,00'!G186</f>
        <v>#REF!</v>
      </c>
      <c r="H186" s="28">
        <f t="shared" si="4"/>
        <v>484</v>
      </c>
      <c r="I186" s="24">
        <v>-1862</v>
      </c>
      <c r="J186" s="40">
        <v>2.3959999999999999</v>
      </c>
      <c r="K186" s="22">
        <f t="shared" si="5"/>
        <v>1116</v>
      </c>
      <c r="L186" s="22" t="e">
        <f>'QTL-Km118+890,00'!L186</f>
        <v>#REF!</v>
      </c>
      <c r="M186" s="28">
        <f t="shared" si="6"/>
        <v>710</v>
      </c>
      <c r="N186" s="24">
        <v>-2298</v>
      </c>
      <c r="O186" s="28">
        <v>3008</v>
      </c>
      <c r="P186" s="22">
        <f t="shared" si="7"/>
        <v>862</v>
      </c>
      <c r="Q186" s="89"/>
      <c r="R186" s="5"/>
      <c r="S186" s="80"/>
      <c r="T186" s="59"/>
      <c r="U186" s="2"/>
      <c r="V186" s="2"/>
      <c r="W186" s="81"/>
      <c r="X186" s="2"/>
      <c r="Y186" s="2"/>
      <c r="Z186" s="2"/>
      <c r="AA186" s="2"/>
    </row>
    <row r="187" spans="1:27" ht="22.5" customHeight="1" outlineLevel="1" x14ac:dyDescent="0.2">
      <c r="A187" s="62">
        <f>'QTL-Km118+890,00'!A187</f>
        <v>45817</v>
      </c>
      <c r="B187" s="22" t="e">
        <f>'QTL-Km118+890,00'!B187</f>
        <v>#REF!</v>
      </c>
      <c r="C187" s="28">
        <f t="shared" si="2"/>
        <v>554</v>
      </c>
      <c r="D187" s="24">
        <v>-1767</v>
      </c>
      <c r="E187" s="28">
        <v>2371</v>
      </c>
      <c r="F187" s="22">
        <f t="shared" si="3"/>
        <v>1011</v>
      </c>
      <c r="G187" s="22" t="e">
        <f>'QTL-Km118+890,00'!G187</f>
        <v>#REF!</v>
      </c>
      <c r="H187" s="28">
        <f t="shared" si="4"/>
        <v>484</v>
      </c>
      <c r="I187" s="24">
        <v>-1862</v>
      </c>
      <c r="J187" s="40">
        <v>2.3959999999999999</v>
      </c>
      <c r="K187" s="22">
        <f t="shared" si="5"/>
        <v>1116</v>
      </c>
      <c r="L187" s="22" t="e">
        <f>'QTL-Km118+890,00'!L187</f>
        <v>#REF!</v>
      </c>
      <c r="M187" s="28">
        <f t="shared" si="6"/>
        <v>710</v>
      </c>
      <c r="N187" s="24">
        <v>-2298</v>
      </c>
      <c r="O187" s="28">
        <v>3008</v>
      </c>
      <c r="P187" s="22">
        <f t="shared" si="7"/>
        <v>862</v>
      </c>
      <c r="Q187" s="89"/>
      <c r="R187" s="5"/>
      <c r="S187" s="80"/>
      <c r="T187" s="59"/>
      <c r="U187" s="2"/>
      <c r="V187" s="2"/>
      <c r="W187" s="81"/>
      <c r="X187" s="2"/>
      <c r="Y187" s="2"/>
      <c r="Z187" s="2"/>
      <c r="AA187" s="2"/>
    </row>
    <row r="188" spans="1:27" ht="22.5" customHeight="1" outlineLevel="1" x14ac:dyDescent="0.2">
      <c r="A188" s="62">
        <f>'QTL-Km118+890,00'!A188</f>
        <v>45818</v>
      </c>
      <c r="B188" s="22" t="e">
        <f>'QTL-Km118+890,00'!B188</f>
        <v>#REF!</v>
      </c>
      <c r="C188" s="28">
        <f t="shared" si="2"/>
        <v>554</v>
      </c>
      <c r="D188" s="24">
        <v>-1767</v>
      </c>
      <c r="E188" s="28">
        <v>2371</v>
      </c>
      <c r="F188" s="22">
        <f t="shared" si="3"/>
        <v>1011</v>
      </c>
      <c r="G188" s="22" t="e">
        <f>'QTL-Km118+890,00'!G188</f>
        <v>#REF!</v>
      </c>
      <c r="H188" s="28">
        <f t="shared" si="4"/>
        <v>484</v>
      </c>
      <c r="I188" s="24">
        <v>-1862</v>
      </c>
      <c r="J188" s="40">
        <v>2.3959999999999999</v>
      </c>
      <c r="K188" s="22">
        <f t="shared" si="5"/>
        <v>1116</v>
      </c>
      <c r="L188" s="22" t="e">
        <f>'QTL-Km118+890,00'!L188</f>
        <v>#REF!</v>
      </c>
      <c r="M188" s="28">
        <f t="shared" si="6"/>
        <v>710</v>
      </c>
      <c r="N188" s="24">
        <v>-2298</v>
      </c>
      <c r="O188" s="28">
        <v>3008</v>
      </c>
      <c r="P188" s="22">
        <f t="shared" si="7"/>
        <v>862</v>
      </c>
      <c r="Q188" s="89"/>
      <c r="R188" s="5"/>
      <c r="S188" s="80"/>
      <c r="T188" s="59"/>
      <c r="U188" s="2"/>
      <c r="V188" s="2"/>
      <c r="W188" s="81"/>
      <c r="X188" s="2"/>
      <c r="Y188" s="2"/>
      <c r="Z188" s="2"/>
      <c r="AA188" s="2"/>
    </row>
    <row r="189" spans="1:27" ht="22.5" customHeight="1" outlineLevel="1" x14ac:dyDescent="0.2">
      <c r="A189" s="62">
        <f>'QTL-Km118+890,00'!A189</f>
        <v>45819</v>
      </c>
      <c r="B189" s="22" t="e">
        <f>'QTL-Km118+890,00'!B189</f>
        <v>#REF!</v>
      </c>
      <c r="C189" s="28">
        <f t="shared" si="2"/>
        <v>554</v>
      </c>
      <c r="D189" s="24">
        <v>-1767</v>
      </c>
      <c r="E189" s="28">
        <v>2371</v>
      </c>
      <c r="F189" s="22">
        <f t="shared" si="3"/>
        <v>1011</v>
      </c>
      <c r="G189" s="22" t="e">
        <f>'QTL-Km118+890,00'!G189</f>
        <v>#REF!</v>
      </c>
      <c r="H189" s="28">
        <f t="shared" si="4"/>
        <v>484</v>
      </c>
      <c r="I189" s="24">
        <v>-1862</v>
      </c>
      <c r="J189" s="40">
        <v>2.3959999999999999</v>
      </c>
      <c r="K189" s="22">
        <f t="shared" si="5"/>
        <v>1116</v>
      </c>
      <c r="L189" s="22" t="e">
        <f>'QTL-Km118+890,00'!L189</f>
        <v>#REF!</v>
      </c>
      <c r="M189" s="28">
        <f t="shared" si="6"/>
        <v>710</v>
      </c>
      <c r="N189" s="24">
        <v>-2298</v>
      </c>
      <c r="O189" s="28">
        <v>3008</v>
      </c>
      <c r="P189" s="22">
        <f t="shared" si="7"/>
        <v>862</v>
      </c>
      <c r="Q189" s="89"/>
      <c r="R189" s="5"/>
      <c r="S189" s="80"/>
      <c r="T189" s="59"/>
      <c r="U189" s="2"/>
      <c r="V189" s="2"/>
      <c r="W189" s="81"/>
      <c r="X189" s="2"/>
      <c r="Y189" s="2"/>
      <c r="Z189" s="2"/>
      <c r="AA189" s="2"/>
    </row>
    <row r="190" spans="1:27" ht="22.5" customHeight="1" outlineLevel="1" x14ac:dyDescent="0.2">
      <c r="A190" s="62">
        <f>'QTL-Km118+890,00'!A190</f>
        <v>45820</v>
      </c>
      <c r="B190" s="22" t="e">
        <f>'QTL-Km118+890,00'!B190</f>
        <v>#REF!</v>
      </c>
      <c r="C190" s="28">
        <f t="shared" si="2"/>
        <v>554</v>
      </c>
      <c r="D190" s="24">
        <v>-1767</v>
      </c>
      <c r="E190" s="28">
        <v>2371</v>
      </c>
      <c r="F190" s="22">
        <f t="shared" si="3"/>
        <v>1011</v>
      </c>
      <c r="G190" s="22" t="e">
        <f>'QTL-Km118+890,00'!G190</f>
        <v>#REF!</v>
      </c>
      <c r="H190" s="28">
        <f t="shared" si="4"/>
        <v>484</v>
      </c>
      <c r="I190" s="24">
        <v>-1862</v>
      </c>
      <c r="J190" s="40">
        <v>2.3959999999999999</v>
      </c>
      <c r="K190" s="22">
        <f t="shared" si="5"/>
        <v>1116</v>
      </c>
      <c r="L190" s="22" t="e">
        <f>'QTL-Km118+890,00'!L190</f>
        <v>#REF!</v>
      </c>
      <c r="M190" s="28">
        <f t="shared" si="6"/>
        <v>710</v>
      </c>
      <c r="N190" s="24">
        <v>-2298</v>
      </c>
      <c r="O190" s="28">
        <v>3008</v>
      </c>
      <c r="P190" s="22">
        <f t="shared" si="7"/>
        <v>862</v>
      </c>
      <c r="Q190" s="89"/>
      <c r="R190" s="5"/>
      <c r="S190" s="80"/>
      <c r="T190" s="59"/>
      <c r="U190" s="2"/>
      <c r="V190" s="2"/>
      <c r="W190" s="81"/>
      <c r="X190" s="2"/>
      <c r="Y190" s="2"/>
      <c r="Z190" s="2"/>
      <c r="AA190" s="2"/>
    </row>
    <row r="191" spans="1:27" ht="22.5" customHeight="1" outlineLevel="1" x14ac:dyDescent="0.2">
      <c r="A191" s="62">
        <f>'QTL-Km118+890,00'!A191</f>
        <v>45821</v>
      </c>
      <c r="B191" s="22" t="e">
        <f>'QTL-Km118+890,00'!B191</f>
        <v>#REF!</v>
      </c>
      <c r="C191" s="28">
        <f t="shared" si="2"/>
        <v>554</v>
      </c>
      <c r="D191" s="24">
        <v>-1767</v>
      </c>
      <c r="E191" s="28">
        <v>2371</v>
      </c>
      <c r="F191" s="22">
        <f t="shared" si="3"/>
        <v>1011</v>
      </c>
      <c r="G191" s="22" t="e">
        <f>'QTL-Km118+890,00'!G191</f>
        <v>#REF!</v>
      </c>
      <c r="H191" s="28">
        <f t="shared" si="4"/>
        <v>484</v>
      </c>
      <c r="I191" s="24">
        <v>-1862</v>
      </c>
      <c r="J191" s="40">
        <v>2.3959999999999999</v>
      </c>
      <c r="K191" s="22">
        <f t="shared" si="5"/>
        <v>1116</v>
      </c>
      <c r="L191" s="22" t="e">
        <f>'QTL-Km118+890,00'!L191</f>
        <v>#REF!</v>
      </c>
      <c r="M191" s="28">
        <f t="shared" si="6"/>
        <v>710</v>
      </c>
      <c r="N191" s="24">
        <v>-2298</v>
      </c>
      <c r="O191" s="28">
        <v>3008</v>
      </c>
      <c r="P191" s="22">
        <f t="shared" si="7"/>
        <v>862</v>
      </c>
      <c r="Q191" s="89"/>
      <c r="R191" s="5"/>
      <c r="S191" s="80"/>
      <c r="T191" s="59"/>
      <c r="U191" s="2"/>
      <c r="V191" s="2"/>
      <c r="W191" s="81"/>
      <c r="X191" s="2"/>
      <c r="Y191" s="2"/>
      <c r="Z191" s="2"/>
      <c r="AA191" s="2"/>
    </row>
    <row r="192" spans="1:27" ht="22.5" customHeight="1" outlineLevel="1" x14ac:dyDescent="0.2">
      <c r="A192" s="62">
        <f>'QTL-Km118+890,00'!A192</f>
        <v>45822</v>
      </c>
      <c r="B192" s="22" t="e">
        <f>'QTL-Km118+890,00'!B192</f>
        <v>#REF!</v>
      </c>
      <c r="C192" s="28">
        <f t="shared" si="2"/>
        <v>554</v>
      </c>
      <c r="D192" s="24">
        <v>-1767</v>
      </c>
      <c r="E192" s="28">
        <v>2371</v>
      </c>
      <c r="F192" s="22">
        <f t="shared" si="3"/>
        <v>1011</v>
      </c>
      <c r="G192" s="22" t="e">
        <f>'QTL-Km118+890,00'!G192</f>
        <v>#REF!</v>
      </c>
      <c r="H192" s="28">
        <f t="shared" si="4"/>
        <v>484</v>
      </c>
      <c r="I192" s="24">
        <v>-1862</v>
      </c>
      <c r="J192" s="40">
        <v>2.3959999999999999</v>
      </c>
      <c r="K192" s="22">
        <f t="shared" si="5"/>
        <v>1116</v>
      </c>
      <c r="L192" s="22" t="e">
        <f>'QTL-Km118+890,00'!L192</f>
        <v>#REF!</v>
      </c>
      <c r="M192" s="28">
        <f t="shared" si="6"/>
        <v>710</v>
      </c>
      <c r="N192" s="24">
        <v>-2298</v>
      </c>
      <c r="O192" s="28">
        <v>3008</v>
      </c>
      <c r="P192" s="22">
        <f t="shared" si="7"/>
        <v>862</v>
      </c>
      <c r="Q192" s="89"/>
      <c r="R192" s="5"/>
      <c r="S192" s="80"/>
      <c r="T192" s="59"/>
      <c r="U192" s="2"/>
      <c r="V192" s="2"/>
      <c r="W192" s="81"/>
      <c r="X192" s="2"/>
      <c r="Y192" s="2"/>
      <c r="Z192" s="2"/>
      <c r="AA192" s="2"/>
    </row>
    <row r="193" spans="1:27" ht="22.5" customHeight="1" outlineLevel="1" x14ac:dyDescent="0.2">
      <c r="A193" s="62">
        <f>'QTL-Km118+890,00'!A193</f>
        <v>45823</v>
      </c>
      <c r="B193" s="22" t="e">
        <f>'QTL-Km118+890,00'!B193</f>
        <v>#REF!</v>
      </c>
      <c r="C193" s="28">
        <f t="shared" si="2"/>
        <v>554</v>
      </c>
      <c r="D193" s="24">
        <v>-1767</v>
      </c>
      <c r="E193" s="28">
        <v>2371</v>
      </c>
      <c r="F193" s="22">
        <f t="shared" si="3"/>
        <v>1011</v>
      </c>
      <c r="G193" s="22" t="e">
        <f>'QTL-Km118+890,00'!G193</f>
        <v>#REF!</v>
      </c>
      <c r="H193" s="28">
        <f t="shared" si="4"/>
        <v>484</v>
      </c>
      <c r="I193" s="24">
        <v>-1862</v>
      </c>
      <c r="J193" s="40">
        <v>2.3959999999999999</v>
      </c>
      <c r="K193" s="22">
        <f t="shared" si="5"/>
        <v>1116</v>
      </c>
      <c r="L193" s="22" t="e">
        <f>'QTL-Km118+890,00'!L193</f>
        <v>#REF!</v>
      </c>
      <c r="M193" s="28">
        <f t="shared" si="6"/>
        <v>710</v>
      </c>
      <c r="N193" s="24">
        <v>-2298</v>
      </c>
      <c r="O193" s="28">
        <v>3008</v>
      </c>
      <c r="P193" s="22">
        <f t="shared" si="7"/>
        <v>862</v>
      </c>
      <c r="Q193" s="89"/>
      <c r="R193" s="5"/>
      <c r="S193" s="80"/>
      <c r="T193" s="59"/>
      <c r="U193" s="2"/>
      <c r="V193" s="2"/>
      <c r="W193" s="81"/>
      <c r="X193" s="2"/>
      <c r="Y193" s="2"/>
      <c r="Z193" s="2"/>
      <c r="AA193" s="2"/>
    </row>
    <row r="194" spans="1:27" ht="22.5" customHeight="1" outlineLevel="1" x14ac:dyDescent="0.2">
      <c r="A194" s="62">
        <f>'QTL-Km118+890,00'!A194</f>
        <v>45824</v>
      </c>
      <c r="B194" s="22" t="e">
        <f>'QTL-Km118+890,00'!B194</f>
        <v>#REF!</v>
      </c>
      <c r="C194" s="28">
        <f t="shared" si="2"/>
        <v>554</v>
      </c>
      <c r="D194" s="24">
        <v>-1767</v>
      </c>
      <c r="E194" s="28">
        <v>2371</v>
      </c>
      <c r="F194" s="22">
        <f t="shared" si="3"/>
        <v>1011</v>
      </c>
      <c r="G194" s="22" t="e">
        <f>'QTL-Km118+890,00'!G194</f>
        <v>#REF!</v>
      </c>
      <c r="H194" s="28">
        <f t="shared" si="4"/>
        <v>484</v>
      </c>
      <c r="I194" s="24">
        <v>-1862</v>
      </c>
      <c r="J194" s="40">
        <v>2.3959999999999999</v>
      </c>
      <c r="K194" s="22">
        <f t="shared" si="5"/>
        <v>1116</v>
      </c>
      <c r="L194" s="22" t="e">
        <f>'QTL-Km118+890,00'!L194</f>
        <v>#REF!</v>
      </c>
      <c r="M194" s="28">
        <f t="shared" si="6"/>
        <v>710</v>
      </c>
      <c r="N194" s="24">
        <v>-2298</v>
      </c>
      <c r="O194" s="28">
        <v>3008</v>
      </c>
      <c r="P194" s="22">
        <f t="shared" si="7"/>
        <v>862</v>
      </c>
      <c r="Q194" s="89"/>
      <c r="R194" s="5"/>
      <c r="S194" s="80"/>
      <c r="T194" s="59"/>
      <c r="U194" s="2"/>
      <c r="V194" s="2"/>
      <c r="W194" s="81"/>
      <c r="X194" s="2"/>
      <c r="Y194" s="2"/>
      <c r="Z194" s="2"/>
      <c r="AA194" s="2"/>
    </row>
    <row r="195" spans="1:27" ht="22.5" customHeight="1" outlineLevel="1" x14ac:dyDescent="0.2">
      <c r="A195" s="62">
        <f>'QTL-Km118+890,00'!A195</f>
        <v>45825</v>
      </c>
      <c r="B195" s="22" t="e">
        <f>'QTL-Km118+890,00'!B195</f>
        <v>#REF!</v>
      </c>
      <c r="C195" s="28">
        <f t="shared" si="2"/>
        <v>554</v>
      </c>
      <c r="D195" s="24">
        <v>-1767</v>
      </c>
      <c r="E195" s="28">
        <v>2371</v>
      </c>
      <c r="F195" s="22">
        <f t="shared" si="3"/>
        <v>1011</v>
      </c>
      <c r="G195" s="22" t="e">
        <f>'QTL-Km118+890,00'!G195</f>
        <v>#REF!</v>
      </c>
      <c r="H195" s="28">
        <f t="shared" si="4"/>
        <v>484</v>
      </c>
      <c r="I195" s="24">
        <v>-1862</v>
      </c>
      <c r="J195" s="40">
        <v>2.3959999999999999</v>
      </c>
      <c r="K195" s="22">
        <f t="shared" si="5"/>
        <v>1116</v>
      </c>
      <c r="L195" s="22" t="e">
        <f>'QTL-Km118+890,00'!L195</f>
        <v>#REF!</v>
      </c>
      <c r="M195" s="28">
        <f t="shared" si="6"/>
        <v>710</v>
      </c>
      <c r="N195" s="24">
        <v>-2298</v>
      </c>
      <c r="O195" s="28">
        <v>3008</v>
      </c>
      <c r="P195" s="22">
        <f t="shared" si="7"/>
        <v>862</v>
      </c>
      <c r="Q195" s="89"/>
      <c r="R195" s="5"/>
      <c r="S195" s="80"/>
      <c r="T195" s="59"/>
      <c r="U195" s="2"/>
      <c r="V195" s="2"/>
      <c r="W195" s="81"/>
      <c r="X195" s="2"/>
      <c r="Y195" s="2"/>
      <c r="Z195" s="2"/>
      <c r="AA195" s="2"/>
    </row>
    <row r="196" spans="1:27" ht="22.5" customHeight="1" outlineLevel="1" x14ac:dyDescent="0.2">
      <c r="A196" s="62">
        <f>'QTL-Km118+890,00'!A196</f>
        <v>45826</v>
      </c>
      <c r="B196" s="22" t="e">
        <f>'QTL-Km118+890,00'!B196</f>
        <v>#REF!</v>
      </c>
      <c r="C196" s="28">
        <f t="shared" si="2"/>
        <v>549</v>
      </c>
      <c r="D196" s="24">
        <v>-1772</v>
      </c>
      <c r="E196" s="28">
        <v>2371</v>
      </c>
      <c r="F196" s="22">
        <f t="shared" si="3"/>
        <v>1016</v>
      </c>
      <c r="G196" s="22" t="e">
        <f>'QTL-Km118+890,00'!G196</f>
        <v>#REF!</v>
      </c>
      <c r="H196" s="28">
        <f t="shared" si="4"/>
        <v>484</v>
      </c>
      <c r="I196" s="24">
        <v>-1862</v>
      </c>
      <c r="J196" s="40">
        <v>2.3959999999999999</v>
      </c>
      <c r="K196" s="22">
        <f t="shared" si="5"/>
        <v>1116</v>
      </c>
      <c r="L196" s="22" t="e">
        <f>'QTL-Km118+890,00'!L196</f>
        <v>#REF!</v>
      </c>
      <c r="M196" s="28">
        <f t="shared" si="6"/>
        <v>710</v>
      </c>
      <c r="N196" s="24">
        <v>-2298</v>
      </c>
      <c r="O196" s="28">
        <v>3008</v>
      </c>
      <c r="P196" s="22">
        <f t="shared" si="7"/>
        <v>862</v>
      </c>
      <c r="Q196" s="89"/>
      <c r="R196" s="5"/>
      <c r="S196" s="80"/>
      <c r="T196" s="59"/>
      <c r="U196" s="2"/>
      <c r="V196" s="2"/>
      <c r="W196" s="81"/>
      <c r="X196" s="2"/>
      <c r="Y196" s="2"/>
      <c r="Z196" s="2"/>
      <c r="AA196" s="2"/>
    </row>
    <row r="197" spans="1:27" ht="22.5" customHeight="1" outlineLevel="1" x14ac:dyDescent="0.2">
      <c r="A197" s="62">
        <f>'QTL-Km118+890,00'!A197</f>
        <v>45827</v>
      </c>
      <c r="B197" s="22" t="e">
        <f>'QTL-Km118+890,00'!B197</f>
        <v>#REF!</v>
      </c>
      <c r="C197" s="28">
        <f t="shared" si="2"/>
        <v>547</v>
      </c>
      <c r="D197" s="24">
        <v>-1774</v>
      </c>
      <c r="E197" s="28">
        <v>2371</v>
      </c>
      <c r="F197" s="22">
        <f t="shared" si="3"/>
        <v>1018</v>
      </c>
      <c r="G197" s="22" t="e">
        <f>'QTL-Km118+890,00'!G197</f>
        <v>#REF!</v>
      </c>
      <c r="H197" s="28">
        <f t="shared" si="4"/>
        <v>482</v>
      </c>
      <c r="I197" s="24">
        <v>-1864</v>
      </c>
      <c r="J197" s="40">
        <v>2.3959999999999999</v>
      </c>
      <c r="K197" s="22">
        <f t="shared" si="5"/>
        <v>1118</v>
      </c>
      <c r="L197" s="22" t="e">
        <f>'QTL-Km118+890,00'!L197</f>
        <v>#REF!</v>
      </c>
      <c r="M197" s="28">
        <f t="shared" si="6"/>
        <v>710</v>
      </c>
      <c r="N197" s="24">
        <v>-2298</v>
      </c>
      <c r="O197" s="28">
        <v>3008</v>
      </c>
      <c r="P197" s="22">
        <f t="shared" si="7"/>
        <v>862</v>
      </c>
      <c r="Q197" s="89"/>
      <c r="R197" s="5"/>
      <c r="S197" s="80"/>
      <c r="T197" s="59"/>
      <c r="U197" s="2"/>
      <c r="V197" s="2"/>
      <c r="W197" s="81"/>
      <c r="X197" s="2"/>
      <c r="Y197" s="2"/>
      <c r="Z197" s="2"/>
      <c r="AA197" s="2"/>
    </row>
    <row r="198" spans="1:27" ht="22.5" customHeight="1" outlineLevel="1" x14ac:dyDescent="0.2">
      <c r="A198" s="62">
        <f>'QTL-Km118+890,00'!A198</f>
        <v>45828</v>
      </c>
      <c r="B198" s="22" t="e">
        <f>'QTL-Km118+890,00'!B198</f>
        <v>#REF!</v>
      </c>
      <c r="C198" s="28">
        <f t="shared" si="2"/>
        <v>545</v>
      </c>
      <c r="D198" s="24">
        <v>-1776</v>
      </c>
      <c r="E198" s="28">
        <v>2371</v>
      </c>
      <c r="F198" s="22">
        <f t="shared" si="3"/>
        <v>1020</v>
      </c>
      <c r="G198" s="22" t="e">
        <f>'QTL-Km118+890,00'!G198</f>
        <v>#REF!</v>
      </c>
      <c r="H198" s="28">
        <f t="shared" si="4"/>
        <v>479</v>
      </c>
      <c r="I198" s="24">
        <v>-1867</v>
      </c>
      <c r="J198" s="40">
        <v>2.3959999999999999</v>
      </c>
      <c r="K198" s="22">
        <f t="shared" si="5"/>
        <v>1121</v>
      </c>
      <c r="L198" s="22" t="e">
        <f>'QTL-Km118+890,00'!L198</f>
        <v>#REF!</v>
      </c>
      <c r="M198" s="28">
        <f t="shared" si="6"/>
        <v>709</v>
      </c>
      <c r="N198" s="24">
        <v>-2299</v>
      </c>
      <c r="O198" s="28">
        <v>3008</v>
      </c>
      <c r="P198" s="22">
        <f t="shared" si="7"/>
        <v>863</v>
      </c>
      <c r="Q198" s="89"/>
      <c r="R198" s="5"/>
      <c r="S198" s="80"/>
      <c r="T198" s="59"/>
      <c r="U198" s="2"/>
      <c r="V198" s="2"/>
      <c r="W198" s="81"/>
      <c r="X198" s="2"/>
      <c r="Y198" s="2"/>
      <c r="Z198" s="2"/>
      <c r="AA198" s="2"/>
    </row>
    <row r="199" spans="1:27" ht="22.5" customHeight="1" outlineLevel="1" x14ac:dyDescent="0.2">
      <c r="A199" s="62">
        <f>'QTL-Km118+890,00'!A199</f>
        <v>45829</v>
      </c>
      <c r="B199" s="22" t="e">
        <f>'QTL-Km118+890,00'!B199</f>
        <v>#REF!</v>
      </c>
      <c r="C199" s="28">
        <f t="shared" si="2"/>
        <v>543</v>
      </c>
      <c r="D199" s="24">
        <v>-1778</v>
      </c>
      <c r="E199" s="28">
        <v>2371</v>
      </c>
      <c r="F199" s="22">
        <f t="shared" si="3"/>
        <v>1022</v>
      </c>
      <c r="G199" s="22" t="e">
        <f>'QTL-Km118+890,00'!G199</f>
        <v>#REF!</v>
      </c>
      <c r="H199" s="28">
        <f t="shared" si="4"/>
        <v>476</v>
      </c>
      <c r="I199" s="24">
        <v>-1870</v>
      </c>
      <c r="J199" s="40">
        <v>2.3959999999999999</v>
      </c>
      <c r="K199" s="22">
        <f t="shared" si="5"/>
        <v>1124</v>
      </c>
      <c r="L199" s="22" t="e">
        <f>'QTL-Km118+890,00'!L199</f>
        <v>#REF!</v>
      </c>
      <c r="M199" s="28">
        <f t="shared" si="6"/>
        <v>706</v>
      </c>
      <c r="N199" s="24">
        <v>-2302</v>
      </c>
      <c r="O199" s="28">
        <v>3008</v>
      </c>
      <c r="P199" s="22">
        <f t="shared" si="7"/>
        <v>866</v>
      </c>
      <c r="Q199" s="89"/>
      <c r="R199" s="5"/>
      <c r="S199" s="80"/>
      <c r="T199" s="59"/>
      <c r="U199" s="2"/>
      <c r="V199" s="2"/>
      <c r="W199" s="81"/>
      <c r="X199" s="2"/>
      <c r="Y199" s="2"/>
      <c r="Z199" s="2"/>
      <c r="AA199" s="2"/>
    </row>
    <row r="200" spans="1:27" ht="22.5" customHeight="1" outlineLevel="1" x14ac:dyDescent="0.2">
      <c r="A200" s="62">
        <f>'QTL-Km118+890,00'!A200</f>
        <v>45830</v>
      </c>
      <c r="B200" s="22" t="e">
        <f>'QTL-Km118+890,00'!B200</f>
        <v>#REF!</v>
      </c>
      <c r="C200" s="28">
        <f t="shared" si="2"/>
        <v>541</v>
      </c>
      <c r="D200" s="24">
        <v>-1780</v>
      </c>
      <c r="E200" s="28">
        <v>2371</v>
      </c>
      <c r="F200" s="22">
        <f t="shared" si="3"/>
        <v>1024</v>
      </c>
      <c r="G200" s="22" t="e">
        <f>'QTL-Km118+890,00'!G200</f>
        <v>#REF!</v>
      </c>
      <c r="H200" s="28">
        <f t="shared" si="4"/>
        <v>473</v>
      </c>
      <c r="I200" s="24">
        <v>-1873</v>
      </c>
      <c r="J200" s="40">
        <v>2.3959999999999999</v>
      </c>
      <c r="K200" s="22">
        <f t="shared" si="5"/>
        <v>1127</v>
      </c>
      <c r="L200" s="22" t="e">
        <f>'QTL-Km118+890,00'!L200</f>
        <v>#REF!</v>
      </c>
      <c r="M200" s="28">
        <f t="shared" si="6"/>
        <v>703</v>
      </c>
      <c r="N200" s="24">
        <v>-2305</v>
      </c>
      <c r="O200" s="28">
        <v>3008</v>
      </c>
      <c r="P200" s="22">
        <f t="shared" si="7"/>
        <v>869</v>
      </c>
      <c r="Q200" s="89"/>
      <c r="R200" s="5"/>
      <c r="S200" s="80"/>
      <c r="T200" s="59"/>
      <c r="U200" s="2"/>
      <c r="V200" s="2"/>
      <c r="W200" s="81"/>
      <c r="X200" s="2"/>
      <c r="Y200" s="2"/>
      <c r="Z200" s="2"/>
      <c r="AA200" s="2"/>
    </row>
    <row r="201" spans="1:27" ht="22.5" customHeight="1" outlineLevel="1" x14ac:dyDescent="0.2">
      <c r="A201" s="62">
        <f>'QTL-Km118+890,00'!A201</f>
        <v>45831</v>
      </c>
      <c r="B201" s="22" t="e">
        <f>'QTL-Km118+890,00'!B201</f>
        <v>#REF!</v>
      </c>
      <c r="C201" s="28">
        <f t="shared" si="2"/>
        <v>539</v>
      </c>
      <c r="D201" s="24">
        <v>-1782</v>
      </c>
      <c r="E201" s="28">
        <v>2371</v>
      </c>
      <c r="F201" s="22">
        <f t="shared" si="3"/>
        <v>1026</v>
      </c>
      <c r="G201" s="22" t="e">
        <f>'QTL-Km118+890,00'!G201</f>
        <v>#REF!</v>
      </c>
      <c r="H201" s="28">
        <f t="shared" si="4"/>
        <v>470</v>
      </c>
      <c r="I201" s="24">
        <v>-1876</v>
      </c>
      <c r="J201" s="40">
        <v>2.3959999999999999</v>
      </c>
      <c r="K201" s="22">
        <f t="shared" si="5"/>
        <v>1130</v>
      </c>
      <c r="L201" s="22" t="e">
        <f>'QTL-Km118+890,00'!L201</f>
        <v>#REF!</v>
      </c>
      <c r="M201" s="28">
        <f t="shared" si="6"/>
        <v>700</v>
      </c>
      <c r="N201" s="24">
        <v>-2308</v>
      </c>
      <c r="O201" s="28">
        <v>3008</v>
      </c>
      <c r="P201" s="22">
        <f t="shared" si="7"/>
        <v>872</v>
      </c>
      <c r="Q201" s="89"/>
      <c r="R201" s="5"/>
      <c r="S201" s="80"/>
      <c r="T201" s="59"/>
      <c r="U201" s="2"/>
      <c r="V201" s="2"/>
      <c r="W201" s="81"/>
      <c r="X201" s="2"/>
      <c r="Y201" s="2"/>
      <c r="Z201" s="2"/>
      <c r="AA201" s="2"/>
    </row>
    <row r="202" spans="1:27" ht="22.5" customHeight="1" outlineLevel="1" x14ac:dyDescent="0.2">
      <c r="A202" s="62">
        <f>'QTL-Km118+890,00'!A202</f>
        <v>45832</v>
      </c>
      <c r="B202" s="22" t="e">
        <f>'QTL-Km118+890,00'!B202</f>
        <v>#REF!</v>
      </c>
      <c r="C202" s="28">
        <f t="shared" si="2"/>
        <v>537</v>
      </c>
      <c r="D202" s="24">
        <v>-1784</v>
      </c>
      <c r="E202" s="28">
        <v>2371</v>
      </c>
      <c r="F202" s="22">
        <f t="shared" si="3"/>
        <v>1028</v>
      </c>
      <c r="G202" s="22" t="e">
        <f>'QTL-Km118+890,00'!G202</f>
        <v>#REF!</v>
      </c>
      <c r="H202" s="28">
        <f t="shared" si="4"/>
        <v>467</v>
      </c>
      <c r="I202" s="24">
        <v>-1879</v>
      </c>
      <c r="J202" s="40">
        <v>2.3959999999999999</v>
      </c>
      <c r="K202" s="22">
        <f t="shared" si="5"/>
        <v>1133</v>
      </c>
      <c r="L202" s="22" t="e">
        <f>'QTL-Km118+890,00'!L202</f>
        <v>#REF!</v>
      </c>
      <c r="M202" s="28">
        <f t="shared" si="6"/>
        <v>697</v>
      </c>
      <c r="N202" s="24">
        <v>-2311</v>
      </c>
      <c r="O202" s="28">
        <v>3008</v>
      </c>
      <c r="P202" s="22">
        <f t="shared" si="7"/>
        <v>875</v>
      </c>
      <c r="Q202" s="89"/>
      <c r="R202" s="5"/>
      <c r="S202" s="80"/>
      <c r="T202" s="59"/>
      <c r="U202" s="2"/>
      <c r="V202" s="2"/>
      <c r="W202" s="81"/>
      <c r="X202" s="2"/>
      <c r="Y202" s="2"/>
      <c r="Z202" s="2"/>
      <c r="AA202" s="2"/>
    </row>
    <row r="203" spans="1:27" ht="22.5" customHeight="1" outlineLevel="1" x14ac:dyDescent="0.2">
      <c r="A203" s="62">
        <f>'QTL-Km118+890,00'!A203</f>
        <v>45833</v>
      </c>
      <c r="B203" s="22" t="e">
        <f>'QTL-Km118+890,00'!B203</f>
        <v>#REF!</v>
      </c>
      <c r="C203" s="28">
        <f t="shared" si="2"/>
        <v>535</v>
      </c>
      <c r="D203" s="24">
        <v>-1786</v>
      </c>
      <c r="E203" s="28">
        <v>2371</v>
      </c>
      <c r="F203" s="22">
        <f t="shared" si="3"/>
        <v>1030</v>
      </c>
      <c r="G203" s="22" t="e">
        <f>'QTL-Km118+890,00'!G203</f>
        <v>#REF!</v>
      </c>
      <c r="H203" s="28">
        <f t="shared" si="4"/>
        <v>464</v>
      </c>
      <c r="I203" s="24">
        <v>-1882</v>
      </c>
      <c r="J203" s="40">
        <v>2.3959999999999999</v>
      </c>
      <c r="K203" s="22">
        <f t="shared" si="5"/>
        <v>1136</v>
      </c>
      <c r="L203" s="22" t="e">
        <f>'QTL-Km118+890,00'!L203</f>
        <v>#REF!</v>
      </c>
      <c r="M203" s="28">
        <f t="shared" si="6"/>
        <v>694</v>
      </c>
      <c r="N203" s="24">
        <v>-2314</v>
      </c>
      <c r="O203" s="28">
        <v>3008</v>
      </c>
      <c r="P203" s="22">
        <f t="shared" si="7"/>
        <v>878</v>
      </c>
      <c r="Q203" s="89"/>
      <c r="R203" s="5"/>
      <c r="S203" s="80"/>
      <c r="T203" s="59"/>
      <c r="U203" s="2"/>
      <c r="V203" s="2"/>
      <c r="W203" s="81"/>
      <c r="X203" s="2"/>
      <c r="Y203" s="2"/>
      <c r="Z203" s="2"/>
      <c r="AA203" s="2"/>
    </row>
    <row r="204" spans="1:27" ht="22.5" customHeight="1" outlineLevel="1" x14ac:dyDescent="0.2">
      <c r="A204" s="62">
        <f>'QTL-Km118+890,00'!A204</f>
        <v>45834</v>
      </c>
      <c r="B204" s="22" t="e">
        <f>'QTL-Km118+890,00'!B204</f>
        <v>#REF!</v>
      </c>
      <c r="C204" s="28">
        <f t="shared" si="2"/>
        <v>533</v>
      </c>
      <c r="D204" s="24">
        <v>-1788</v>
      </c>
      <c r="E204" s="28">
        <v>2371</v>
      </c>
      <c r="F204" s="22">
        <f t="shared" si="3"/>
        <v>1032</v>
      </c>
      <c r="G204" s="22" t="e">
        <f>'QTL-Km118+890,00'!G204</f>
        <v>#REF!</v>
      </c>
      <c r="H204" s="28">
        <f t="shared" si="4"/>
        <v>461</v>
      </c>
      <c r="I204" s="24">
        <v>-1885</v>
      </c>
      <c r="J204" s="40">
        <v>2.3959999999999999</v>
      </c>
      <c r="K204" s="22">
        <f t="shared" si="5"/>
        <v>1139</v>
      </c>
      <c r="L204" s="22" t="e">
        <f>'QTL-Km118+890,00'!L204</f>
        <v>#REF!</v>
      </c>
      <c r="M204" s="28">
        <f t="shared" si="6"/>
        <v>691</v>
      </c>
      <c r="N204" s="24">
        <v>-2317</v>
      </c>
      <c r="O204" s="28">
        <v>3008</v>
      </c>
      <c r="P204" s="22">
        <f t="shared" si="7"/>
        <v>881</v>
      </c>
      <c r="Q204" s="89"/>
      <c r="R204" s="5"/>
      <c r="S204" s="80"/>
      <c r="T204" s="59"/>
      <c r="U204" s="2"/>
      <c r="V204" s="2"/>
      <c r="W204" s="81"/>
      <c r="X204" s="2"/>
      <c r="Y204" s="2"/>
      <c r="Z204" s="2"/>
      <c r="AA204" s="2"/>
    </row>
    <row r="205" spans="1:27" ht="22.5" customHeight="1" outlineLevel="1" x14ac:dyDescent="0.2">
      <c r="A205" s="62">
        <f>'QTL-Km118+890,00'!A205</f>
        <v>45835</v>
      </c>
      <c r="B205" s="22" t="e">
        <f>'QTL-Km118+890,00'!B205</f>
        <v>#REF!</v>
      </c>
      <c r="C205" s="25">
        <v>1652</v>
      </c>
      <c r="D205" s="24">
        <v>-1790</v>
      </c>
      <c r="E205" s="28">
        <v>2371</v>
      </c>
      <c r="F205" s="22">
        <f t="shared" si="3"/>
        <v>1034</v>
      </c>
      <c r="G205" s="22" t="e">
        <f>'QTL-Km118+890,00'!G205</f>
        <v>#REF!</v>
      </c>
      <c r="H205" s="25">
        <v>1622</v>
      </c>
      <c r="I205" s="24">
        <v>-1888</v>
      </c>
      <c r="J205" s="40">
        <v>2.3959999999999999</v>
      </c>
      <c r="K205" s="22">
        <f t="shared" si="5"/>
        <v>1142</v>
      </c>
      <c r="L205" s="22" t="e">
        <f>'QTL-Km118+890,00'!L205</f>
        <v>#REF!</v>
      </c>
      <c r="M205" s="25">
        <v>1622</v>
      </c>
      <c r="N205" s="24">
        <v>-2320</v>
      </c>
      <c r="O205" s="28">
        <v>3008</v>
      </c>
      <c r="P205" s="22">
        <f t="shared" si="7"/>
        <v>884</v>
      </c>
      <c r="Q205" s="89"/>
      <c r="R205" s="5"/>
      <c r="S205" s="80"/>
      <c r="T205" s="59"/>
      <c r="U205" s="2"/>
      <c r="V205" s="2"/>
      <c r="W205" s="81"/>
      <c r="X205" s="2"/>
      <c r="Y205" s="2"/>
      <c r="Z205" s="2"/>
      <c r="AA205" s="2"/>
    </row>
    <row r="206" spans="1:27" ht="22.5" customHeight="1" outlineLevel="1" x14ac:dyDescent="0.2">
      <c r="A206" s="62"/>
      <c r="B206" s="22"/>
      <c r="C206" s="28"/>
      <c r="D206" s="24"/>
      <c r="E206" s="28"/>
      <c r="F206" s="22"/>
      <c r="G206" s="22"/>
      <c r="H206" s="28"/>
      <c r="I206" s="24"/>
      <c r="J206" s="40"/>
      <c r="K206" s="22"/>
      <c r="L206" s="22"/>
      <c r="M206" s="28"/>
      <c r="N206" s="24"/>
      <c r="O206" s="28"/>
      <c r="P206" s="22"/>
      <c r="Q206" s="89"/>
      <c r="R206" s="5"/>
      <c r="S206" s="80"/>
      <c r="T206" s="59"/>
      <c r="U206" s="2"/>
      <c r="V206" s="2"/>
      <c r="W206" s="81"/>
      <c r="X206" s="2"/>
      <c r="Y206" s="2"/>
      <c r="Z206" s="2"/>
      <c r="AA206" s="2"/>
    </row>
    <row r="207" spans="1:27" ht="22.5" customHeight="1" outlineLevel="1" x14ac:dyDescent="0.2">
      <c r="A207" s="90"/>
      <c r="B207" s="91"/>
      <c r="C207" s="92"/>
      <c r="D207" s="93"/>
      <c r="E207" s="92"/>
      <c r="F207" s="94"/>
      <c r="G207" s="94"/>
      <c r="H207" s="92"/>
      <c r="I207" s="93"/>
      <c r="J207" s="95"/>
      <c r="K207" s="96"/>
      <c r="L207" s="94"/>
      <c r="M207" s="92"/>
      <c r="N207" s="93"/>
      <c r="O207" s="92"/>
      <c r="P207" s="94"/>
      <c r="Q207" s="89"/>
      <c r="R207" s="5"/>
      <c r="S207" s="80"/>
      <c r="T207" s="59"/>
      <c r="U207" s="2"/>
      <c r="V207" s="2"/>
      <c r="W207" s="81"/>
      <c r="X207" s="2"/>
      <c r="Y207" s="2"/>
      <c r="Z207" s="2"/>
      <c r="AA207" s="2"/>
    </row>
    <row r="208" spans="1:27" ht="11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59"/>
      <c r="U208" s="2"/>
      <c r="V208" s="2"/>
      <c r="W208" s="2"/>
      <c r="X208" s="2"/>
      <c r="Y208" s="2"/>
      <c r="Z208" s="2"/>
      <c r="AA208" s="2"/>
    </row>
    <row r="209" spans="1:27" ht="11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59"/>
      <c r="U209" s="2"/>
      <c r="V209" s="2"/>
      <c r="W209" s="2"/>
      <c r="X209" s="2"/>
      <c r="Y209" s="2"/>
      <c r="Z209" s="2"/>
      <c r="AA209" s="2"/>
    </row>
    <row r="210" spans="1:27" ht="11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59"/>
      <c r="U210" s="2"/>
      <c r="V210" s="2"/>
      <c r="W210" s="2"/>
      <c r="X210" s="2"/>
      <c r="Y210" s="2"/>
      <c r="Z210" s="2"/>
      <c r="AA210" s="2"/>
    </row>
    <row r="211" spans="1:27" ht="11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59"/>
      <c r="U211" s="2"/>
      <c r="V211" s="2"/>
      <c r="W211" s="2"/>
      <c r="X211" s="2"/>
      <c r="Y211" s="2"/>
      <c r="Z211" s="2"/>
      <c r="AA211" s="2"/>
    </row>
    <row r="212" spans="1:27" ht="11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59"/>
      <c r="U212" s="2"/>
      <c r="V212" s="2"/>
      <c r="W212" s="2"/>
      <c r="X212" s="2"/>
      <c r="Y212" s="2"/>
      <c r="Z212" s="2"/>
      <c r="AA212" s="2"/>
    </row>
    <row r="213" spans="1:27" ht="11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59"/>
      <c r="U213" s="2"/>
      <c r="V213" s="2"/>
      <c r="W213" s="2"/>
      <c r="X213" s="2"/>
      <c r="Y213" s="2"/>
      <c r="Z213" s="2"/>
      <c r="AA213" s="2"/>
    </row>
    <row r="214" spans="1:27" ht="11.25" customHeight="1" x14ac:dyDescent="0.2">
      <c r="A214" s="161"/>
      <c r="B214" s="128"/>
      <c r="C214" s="161"/>
      <c r="D214" s="128"/>
      <c r="E214" s="128"/>
      <c r="F214" s="128"/>
      <c r="G214" s="128"/>
      <c r="H214" s="128"/>
      <c r="I214" s="128"/>
      <c r="J214" s="161"/>
      <c r="K214" s="128"/>
      <c r="L214" s="162"/>
      <c r="M214" s="128"/>
      <c r="N214" s="128"/>
      <c r="O214" s="128"/>
      <c r="P214" s="128"/>
      <c r="Q214" s="128"/>
      <c r="R214" s="128"/>
      <c r="S214" s="2"/>
      <c r="T214" s="59"/>
      <c r="U214" s="2"/>
      <c r="V214" s="2"/>
      <c r="W214" s="2"/>
      <c r="X214" s="2"/>
      <c r="Y214" s="2"/>
      <c r="Z214" s="2"/>
      <c r="AA214" s="2"/>
    </row>
    <row r="215" spans="1:27" ht="11.25" customHeight="1" x14ac:dyDescent="0.2">
      <c r="A215" s="164"/>
      <c r="B215" s="128"/>
      <c r="C215" s="163"/>
      <c r="D215" s="128"/>
      <c r="E215" s="128"/>
      <c r="F215" s="128"/>
      <c r="G215" s="128"/>
      <c r="H215" s="128"/>
      <c r="I215" s="128"/>
      <c r="J215" s="164"/>
      <c r="K215" s="128"/>
      <c r="L215" s="162"/>
      <c r="M215" s="128"/>
      <c r="N215" s="128"/>
      <c r="O215" s="128"/>
      <c r="P215" s="128"/>
      <c r="Q215" s="128"/>
      <c r="R215" s="128"/>
      <c r="S215" s="2"/>
      <c r="T215" s="59"/>
      <c r="U215" s="2"/>
      <c r="V215" s="2"/>
      <c r="W215" s="2"/>
      <c r="X215" s="2"/>
      <c r="Y215" s="2"/>
      <c r="Z215" s="2"/>
      <c r="AA215" s="2"/>
    </row>
    <row r="216" spans="1:27" ht="11.25" customHeight="1" x14ac:dyDescent="0.2">
      <c r="A216" s="164"/>
      <c r="B216" s="128"/>
      <c r="C216" s="163"/>
      <c r="D216" s="128"/>
      <c r="E216" s="128"/>
      <c r="F216" s="128"/>
      <c r="G216" s="128"/>
      <c r="H216" s="128"/>
      <c r="I216" s="128"/>
      <c r="J216" s="164"/>
      <c r="K216" s="128"/>
      <c r="L216" s="162"/>
      <c r="M216" s="128"/>
      <c r="N216" s="128"/>
      <c r="O216" s="128"/>
      <c r="P216" s="128"/>
      <c r="Q216" s="128"/>
      <c r="R216" s="128"/>
      <c r="S216" s="2"/>
      <c r="T216" s="59"/>
      <c r="U216" s="2"/>
      <c r="V216" s="2"/>
      <c r="W216" s="2"/>
      <c r="X216" s="2"/>
      <c r="Y216" s="2"/>
      <c r="Z216" s="2"/>
      <c r="AA216" s="2"/>
    </row>
    <row r="217" spans="1:27" ht="11.25" customHeight="1" x14ac:dyDescent="0.2">
      <c r="A217" s="164"/>
      <c r="B217" s="128"/>
      <c r="C217" s="163"/>
      <c r="D217" s="128"/>
      <c r="E217" s="128"/>
      <c r="F217" s="128"/>
      <c r="G217" s="128"/>
      <c r="H217" s="128"/>
      <c r="I217" s="128"/>
      <c r="J217" s="164"/>
      <c r="K217" s="128"/>
      <c r="L217" s="162"/>
      <c r="M217" s="128"/>
      <c r="N217" s="128"/>
      <c r="O217" s="128"/>
      <c r="P217" s="128"/>
      <c r="Q217" s="128"/>
      <c r="R217" s="128"/>
      <c r="S217" s="2"/>
      <c r="T217" s="59"/>
      <c r="U217" s="2"/>
      <c r="V217" s="2"/>
      <c r="W217" s="2"/>
      <c r="X217" s="2"/>
      <c r="Y217" s="2"/>
      <c r="Z217" s="2"/>
      <c r="AA217" s="2"/>
    </row>
    <row r="218" spans="1:27" ht="11.25" customHeight="1" x14ac:dyDescent="0.2">
      <c r="A218" s="164"/>
      <c r="B218" s="128"/>
      <c r="C218" s="163"/>
      <c r="D218" s="128"/>
      <c r="E218" s="128"/>
      <c r="F218" s="128"/>
      <c r="G218" s="128"/>
      <c r="H218" s="128"/>
      <c r="I218" s="128"/>
      <c r="J218" s="164"/>
      <c r="K218" s="128"/>
      <c r="L218" s="162"/>
      <c r="M218" s="128"/>
      <c r="N218" s="128"/>
      <c r="O218" s="128"/>
      <c r="P218" s="128"/>
      <c r="Q218" s="128"/>
      <c r="R218" s="128"/>
      <c r="S218" s="2"/>
      <c r="T218" s="59"/>
      <c r="U218" s="2"/>
      <c r="V218" s="2"/>
      <c r="W218" s="2"/>
      <c r="X218" s="2"/>
      <c r="Y218" s="2"/>
      <c r="Z218" s="2"/>
      <c r="AA218" s="2"/>
    </row>
    <row r="219" spans="1:27" ht="11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59"/>
      <c r="U219" s="2"/>
      <c r="V219" s="2"/>
      <c r="W219" s="2"/>
      <c r="X219" s="2"/>
      <c r="Y219" s="2"/>
      <c r="Z219" s="2"/>
      <c r="AA219" s="2"/>
    </row>
    <row r="220" spans="1:27" ht="11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59"/>
      <c r="U220" s="2"/>
      <c r="V220" s="2"/>
      <c r="W220" s="2"/>
      <c r="X220" s="2"/>
      <c r="Y220" s="2"/>
      <c r="Z220" s="2"/>
      <c r="AA220" s="2"/>
    </row>
    <row r="221" spans="1:27" ht="11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59"/>
      <c r="U221" s="2"/>
      <c r="V221" s="2"/>
      <c r="W221" s="2"/>
      <c r="X221" s="2"/>
      <c r="Y221" s="2"/>
      <c r="Z221" s="2"/>
      <c r="AA221" s="2"/>
    </row>
    <row r="222" spans="1:27" ht="11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59"/>
      <c r="U222" s="2"/>
      <c r="V222" s="2"/>
      <c r="W222" s="2"/>
      <c r="X222" s="2"/>
      <c r="Y222" s="2"/>
      <c r="Z222" s="2"/>
      <c r="AA222" s="2"/>
    </row>
    <row r="223" spans="1:27" ht="11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59"/>
      <c r="U223" s="2"/>
      <c r="V223" s="2"/>
      <c r="W223" s="2"/>
      <c r="X223" s="2"/>
      <c r="Y223" s="2"/>
      <c r="Z223" s="2"/>
      <c r="AA223" s="2"/>
    </row>
    <row r="224" spans="1:27" ht="11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59"/>
      <c r="U224" s="2"/>
      <c r="V224" s="2"/>
      <c r="W224" s="2"/>
      <c r="X224" s="2"/>
      <c r="Y224" s="2"/>
      <c r="Z224" s="2"/>
      <c r="AA224" s="2"/>
    </row>
    <row r="225" spans="1:27" ht="11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59"/>
      <c r="U225" s="2"/>
      <c r="V225" s="2"/>
      <c r="W225" s="2"/>
      <c r="X225" s="2"/>
      <c r="Y225" s="2"/>
      <c r="Z225" s="2"/>
      <c r="AA225" s="2"/>
    </row>
    <row r="226" spans="1:27" ht="11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59"/>
      <c r="U226" s="2"/>
      <c r="V226" s="2"/>
      <c r="W226" s="2"/>
      <c r="X226" s="2"/>
      <c r="Y226" s="2"/>
      <c r="Z226" s="2"/>
      <c r="AA226" s="2"/>
    </row>
    <row r="227" spans="1:27" ht="11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59"/>
      <c r="U227" s="2"/>
      <c r="V227" s="2"/>
      <c r="W227" s="2"/>
      <c r="X227" s="2"/>
      <c r="Y227" s="2"/>
      <c r="Z227" s="2"/>
      <c r="AA227" s="2"/>
    </row>
    <row r="228" spans="1:27" ht="11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59"/>
      <c r="U228" s="2"/>
      <c r="V228" s="2"/>
      <c r="W228" s="2"/>
      <c r="X228" s="2"/>
      <c r="Y228" s="2"/>
      <c r="Z228" s="2"/>
      <c r="AA228" s="2"/>
    </row>
    <row r="229" spans="1:27" ht="11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59"/>
      <c r="U229" s="2"/>
      <c r="V229" s="2"/>
      <c r="W229" s="2"/>
      <c r="X229" s="2"/>
      <c r="Y229" s="2"/>
      <c r="Z229" s="2"/>
      <c r="AA229" s="2"/>
    </row>
    <row r="230" spans="1:27" ht="11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59"/>
      <c r="U230" s="2"/>
      <c r="V230" s="2"/>
      <c r="W230" s="2"/>
      <c r="X230" s="2"/>
      <c r="Y230" s="2"/>
      <c r="Z230" s="2"/>
      <c r="AA230" s="2"/>
    </row>
    <row r="231" spans="1:27" ht="11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59"/>
      <c r="U231" s="2"/>
      <c r="V231" s="2"/>
      <c r="W231" s="2"/>
      <c r="X231" s="2"/>
      <c r="Y231" s="2"/>
      <c r="Z231" s="2"/>
      <c r="AA231" s="2"/>
    </row>
    <row r="232" spans="1:27" ht="11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59"/>
      <c r="U232" s="2"/>
      <c r="V232" s="2"/>
      <c r="W232" s="2"/>
      <c r="X232" s="2"/>
      <c r="Y232" s="2"/>
      <c r="Z232" s="2"/>
      <c r="AA232" s="2"/>
    </row>
    <row r="233" spans="1:27" ht="11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59"/>
      <c r="U233" s="2"/>
      <c r="V233" s="2"/>
      <c r="W233" s="2"/>
      <c r="X233" s="2"/>
      <c r="Y233" s="2"/>
      <c r="Z233" s="2"/>
      <c r="AA233" s="2"/>
    </row>
    <row r="234" spans="1:27" ht="11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59"/>
      <c r="U234" s="2"/>
      <c r="V234" s="2"/>
      <c r="W234" s="2"/>
      <c r="X234" s="2"/>
      <c r="Y234" s="2"/>
      <c r="Z234" s="2"/>
      <c r="AA234" s="2"/>
    </row>
    <row r="235" spans="1:27" ht="11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59"/>
      <c r="U235" s="2"/>
      <c r="V235" s="2"/>
      <c r="W235" s="2"/>
      <c r="X235" s="2"/>
      <c r="Y235" s="2"/>
      <c r="Z235" s="2"/>
      <c r="AA235" s="2"/>
    </row>
    <row r="236" spans="1:27" ht="11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59"/>
      <c r="U236" s="2"/>
      <c r="V236" s="2"/>
      <c r="W236" s="2"/>
      <c r="X236" s="2"/>
      <c r="Y236" s="2"/>
      <c r="Z236" s="2"/>
      <c r="AA236" s="2"/>
    </row>
    <row r="237" spans="1:27" ht="11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59"/>
      <c r="U237" s="2"/>
      <c r="V237" s="2"/>
      <c r="W237" s="2"/>
      <c r="X237" s="2"/>
      <c r="Y237" s="2"/>
      <c r="Z237" s="2"/>
      <c r="AA237" s="2"/>
    </row>
    <row r="238" spans="1:27" ht="11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59"/>
      <c r="U238" s="2"/>
      <c r="V238" s="2"/>
      <c r="W238" s="2"/>
      <c r="X238" s="2"/>
      <c r="Y238" s="2"/>
      <c r="Z238" s="2"/>
      <c r="AA238" s="2"/>
    </row>
    <row r="239" spans="1:27" ht="11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59"/>
      <c r="U239" s="2"/>
      <c r="V239" s="2"/>
      <c r="W239" s="2"/>
      <c r="X239" s="2"/>
      <c r="Y239" s="2"/>
      <c r="Z239" s="2"/>
      <c r="AA239" s="2"/>
    </row>
    <row r="240" spans="1:27" ht="11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59"/>
      <c r="U240" s="2"/>
      <c r="V240" s="2"/>
      <c r="W240" s="2"/>
      <c r="X240" s="2"/>
      <c r="Y240" s="2"/>
      <c r="Z240" s="2"/>
      <c r="AA240" s="2"/>
    </row>
    <row r="241" spans="1:27" ht="11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59"/>
      <c r="U241" s="2"/>
      <c r="V241" s="2"/>
      <c r="W241" s="2"/>
      <c r="X241" s="2"/>
      <c r="Y241" s="2"/>
      <c r="Z241" s="2"/>
      <c r="AA241" s="2"/>
    </row>
    <row r="242" spans="1:27" ht="11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59"/>
      <c r="U242" s="2"/>
      <c r="V242" s="2"/>
      <c r="W242" s="2"/>
      <c r="X242" s="2"/>
      <c r="Y242" s="2"/>
      <c r="Z242" s="2"/>
      <c r="AA242" s="2"/>
    </row>
    <row r="243" spans="1:27" ht="11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59"/>
      <c r="U243" s="2"/>
      <c r="V243" s="2"/>
      <c r="W243" s="2"/>
      <c r="X243" s="2"/>
      <c r="Y243" s="2"/>
      <c r="Z243" s="2"/>
      <c r="AA243" s="2"/>
    </row>
    <row r="244" spans="1:27" ht="11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59"/>
      <c r="U244" s="2"/>
      <c r="V244" s="2"/>
      <c r="W244" s="2"/>
      <c r="X244" s="2"/>
      <c r="Y244" s="2"/>
      <c r="Z244" s="2"/>
      <c r="AA244" s="2"/>
    </row>
    <row r="245" spans="1:27" ht="11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59"/>
      <c r="U245" s="2"/>
      <c r="V245" s="2"/>
      <c r="W245" s="2"/>
      <c r="X245" s="2"/>
      <c r="Y245" s="2"/>
      <c r="Z245" s="2"/>
      <c r="AA245" s="2"/>
    </row>
    <row r="246" spans="1:27" ht="11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59"/>
      <c r="U246" s="2"/>
      <c r="V246" s="2"/>
      <c r="W246" s="2"/>
      <c r="X246" s="2"/>
      <c r="Y246" s="2"/>
      <c r="Z246" s="2"/>
      <c r="AA246" s="2"/>
    </row>
    <row r="247" spans="1:27" ht="11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59"/>
      <c r="U247" s="2"/>
      <c r="V247" s="2"/>
      <c r="W247" s="2"/>
      <c r="X247" s="2"/>
      <c r="Y247" s="2"/>
      <c r="Z247" s="2"/>
      <c r="AA247" s="2"/>
    </row>
    <row r="248" spans="1:27" ht="11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59"/>
      <c r="U248" s="2"/>
      <c r="V248" s="2"/>
      <c r="W248" s="2"/>
      <c r="X248" s="2"/>
      <c r="Y248" s="2"/>
      <c r="Z248" s="2"/>
      <c r="AA248" s="2"/>
    </row>
    <row r="249" spans="1:27" ht="11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59"/>
      <c r="U249" s="2"/>
      <c r="V249" s="2"/>
      <c r="W249" s="2"/>
      <c r="X249" s="2"/>
      <c r="Y249" s="2"/>
      <c r="Z249" s="2"/>
      <c r="AA249" s="2"/>
    </row>
    <row r="250" spans="1:27" ht="11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59"/>
      <c r="U250" s="2"/>
      <c r="V250" s="2"/>
      <c r="W250" s="2"/>
      <c r="X250" s="2"/>
      <c r="Y250" s="2"/>
      <c r="Z250" s="2"/>
      <c r="AA250" s="2"/>
    </row>
    <row r="251" spans="1:27" ht="11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59"/>
      <c r="U251" s="2"/>
      <c r="V251" s="2"/>
      <c r="W251" s="2"/>
      <c r="X251" s="2"/>
      <c r="Y251" s="2"/>
      <c r="Z251" s="2"/>
      <c r="AA251" s="2"/>
    </row>
    <row r="252" spans="1:27" ht="11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59"/>
      <c r="U252" s="2"/>
      <c r="V252" s="2"/>
      <c r="W252" s="2"/>
      <c r="X252" s="2"/>
      <c r="Y252" s="2"/>
      <c r="Z252" s="2"/>
      <c r="AA252" s="2"/>
    </row>
    <row r="253" spans="1:27" ht="11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59"/>
      <c r="U253" s="2"/>
      <c r="V253" s="2"/>
      <c r="W253" s="2"/>
      <c r="X253" s="2"/>
      <c r="Y253" s="2"/>
      <c r="Z253" s="2"/>
      <c r="AA253" s="2"/>
    </row>
    <row r="254" spans="1:27" ht="11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59"/>
      <c r="U254" s="2"/>
      <c r="V254" s="2"/>
      <c r="W254" s="2"/>
      <c r="X254" s="2"/>
      <c r="Y254" s="2"/>
      <c r="Z254" s="2"/>
      <c r="AA254" s="2"/>
    </row>
    <row r="255" spans="1:27" ht="11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59"/>
      <c r="U255" s="2"/>
      <c r="V255" s="2"/>
      <c r="W255" s="2"/>
      <c r="X255" s="2"/>
      <c r="Y255" s="2"/>
      <c r="Z255" s="2"/>
      <c r="AA255" s="2"/>
    </row>
    <row r="256" spans="1:27" ht="11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59"/>
      <c r="U256" s="2"/>
      <c r="V256" s="2"/>
      <c r="W256" s="2"/>
      <c r="X256" s="2"/>
      <c r="Y256" s="2"/>
      <c r="Z256" s="2"/>
      <c r="AA256" s="2"/>
    </row>
    <row r="257" spans="1:27" ht="11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59"/>
      <c r="U257" s="2"/>
      <c r="V257" s="2"/>
      <c r="W257" s="2"/>
      <c r="X257" s="2"/>
      <c r="Y257" s="2"/>
      <c r="Z257" s="2"/>
      <c r="AA257" s="2"/>
    </row>
    <row r="258" spans="1:27" ht="11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59"/>
      <c r="U258" s="2"/>
      <c r="V258" s="2"/>
      <c r="W258" s="2"/>
      <c r="X258" s="2"/>
      <c r="Y258" s="2"/>
      <c r="Z258" s="2"/>
      <c r="AA258" s="2"/>
    </row>
    <row r="259" spans="1:27" ht="11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59"/>
      <c r="U259" s="2"/>
      <c r="V259" s="2"/>
      <c r="W259" s="2"/>
      <c r="X259" s="2"/>
      <c r="Y259" s="2"/>
      <c r="Z259" s="2"/>
      <c r="AA259" s="2"/>
    </row>
    <row r="260" spans="1:27" ht="11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59"/>
      <c r="U260" s="2"/>
      <c r="V260" s="2"/>
      <c r="W260" s="2"/>
      <c r="X260" s="2"/>
      <c r="Y260" s="2"/>
      <c r="Z260" s="2"/>
      <c r="AA260" s="2"/>
    </row>
    <row r="261" spans="1:27" ht="11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59"/>
      <c r="U261" s="2"/>
      <c r="V261" s="2"/>
      <c r="W261" s="2"/>
      <c r="X261" s="2"/>
      <c r="Y261" s="2"/>
      <c r="Z261" s="2"/>
      <c r="AA261" s="2"/>
    </row>
    <row r="262" spans="1:27" ht="11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59"/>
      <c r="U262" s="2"/>
      <c r="V262" s="2"/>
      <c r="W262" s="2"/>
      <c r="X262" s="2"/>
      <c r="Y262" s="2"/>
      <c r="Z262" s="2"/>
      <c r="AA262" s="2"/>
    </row>
    <row r="263" spans="1:27" ht="11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59"/>
      <c r="U263" s="2"/>
      <c r="V263" s="2"/>
      <c r="W263" s="2"/>
      <c r="X263" s="2"/>
      <c r="Y263" s="2"/>
      <c r="Z263" s="2"/>
      <c r="AA263" s="2"/>
    </row>
    <row r="264" spans="1:27" ht="11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59"/>
      <c r="U264" s="2"/>
      <c r="V264" s="2"/>
      <c r="W264" s="2"/>
      <c r="X264" s="2"/>
      <c r="Y264" s="2"/>
      <c r="Z264" s="2"/>
      <c r="AA264" s="2"/>
    </row>
    <row r="265" spans="1:27" ht="11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59"/>
      <c r="U265" s="2"/>
      <c r="V265" s="2"/>
      <c r="W265" s="2"/>
      <c r="X265" s="2"/>
      <c r="Y265" s="2"/>
      <c r="Z265" s="2"/>
      <c r="AA265" s="2"/>
    </row>
    <row r="266" spans="1:27" ht="11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59"/>
      <c r="U266" s="2"/>
      <c r="V266" s="2"/>
      <c r="W266" s="2"/>
      <c r="X266" s="2"/>
      <c r="Y266" s="2"/>
      <c r="Z266" s="2"/>
      <c r="AA266" s="2"/>
    </row>
    <row r="267" spans="1:27" ht="11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59"/>
      <c r="U267" s="2"/>
      <c r="V267" s="2"/>
      <c r="W267" s="2"/>
      <c r="X267" s="2"/>
      <c r="Y267" s="2"/>
      <c r="Z267" s="2"/>
      <c r="AA267" s="2"/>
    </row>
    <row r="268" spans="1:27" ht="11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59"/>
      <c r="U268" s="2"/>
      <c r="V268" s="2"/>
      <c r="W268" s="2"/>
      <c r="X268" s="2"/>
      <c r="Y268" s="2"/>
      <c r="Z268" s="2"/>
      <c r="AA268" s="2"/>
    </row>
    <row r="269" spans="1:27" ht="11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59"/>
      <c r="U269" s="2"/>
      <c r="V269" s="2"/>
      <c r="W269" s="2"/>
      <c r="X269" s="2"/>
      <c r="Y269" s="2"/>
      <c r="Z269" s="2"/>
      <c r="AA269" s="2"/>
    </row>
    <row r="270" spans="1:27" ht="11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59"/>
      <c r="U270" s="2"/>
      <c r="V270" s="2"/>
      <c r="W270" s="2"/>
      <c r="X270" s="2"/>
      <c r="Y270" s="2"/>
      <c r="Z270" s="2"/>
      <c r="AA270" s="2"/>
    </row>
    <row r="271" spans="1:27" ht="11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59"/>
      <c r="U271" s="2"/>
      <c r="V271" s="2"/>
      <c r="W271" s="2"/>
      <c r="X271" s="2"/>
      <c r="Y271" s="2"/>
      <c r="Z271" s="2"/>
      <c r="AA271" s="2"/>
    </row>
    <row r="272" spans="1:27" ht="11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59"/>
      <c r="U272" s="2"/>
      <c r="V272" s="2"/>
      <c r="W272" s="2"/>
      <c r="X272" s="2"/>
      <c r="Y272" s="2"/>
      <c r="Z272" s="2"/>
      <c r="AA272" s="2"/>
    </row>
    <row r="273" spans="1:27" ht="11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59"/>
      <c r="U273" s="2"/>
      <c r="V273" s="2"/>
      <c r="W273" s="2"/>
      <c r="X273" s="2"/>
      <c r="Y273" s="2"/>
      <c r="Z273" s="2"/>
      <c r="AA273" s="2"/>
    </row>
    <row r="274" spans="1:27" ht="11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59"/>
      <c r="U274" s="2"/>
      <c r="V274" s="2"/>
      <c r="W274" s="2"/>
      <c r="X274" s="2"/>
      <c r="Y274" s="2"/>
      <c r="Z274" s="2"/>
      <c r="AA274" s="2"/>
    </row>
    <row r="275" spans="1:27" ht="11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59"/>
      <c r="U275" s="2"/>
      <c r="V275" s="2"/>
      <c r="W275" s="2"/>
      <c r="X275" s="2"/>
      <c r="Y275" s="2"/>
      <c r="Z275" s="2"/>
      <c r="AA275" s="2"/>
    </row>
    <row r="276" spans="1:27" ht="11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59"/>
      <c r="U276" s="2"/>
      <c r="V276" s="2"/>
      <c r="W276" s="2"/>
      <c r="X276" s="2"/>
      <c r="Y276" s="2"/>
      <c r="Z276" s="2"/>
      <c r="AA276" s="2"/>
    </row>
    <row r="277" spans="1:27" ht="11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59"/>
      <c r="U277" s="2"/>
      <c r="V277" s="2"/>
      <c r="W277" s="2"/>
      <c r="X277" s="2"/>
      <c r="Y277" s="2"/>
      <c r="Z277" s="2"/>
      <c r="AA277" s="2"/>
    </row>
    <row r="278" spans="1:27" ht="11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59"/>
      <c r="U278" s="2"/>
      <c r="V278" s="2"/>
      <c r="W278" s="2"/>
      <c r="X278" s="2"/>
      <c r="Y278" s="2"/>
      <c r="Z278" s="2"/>
      <c r="AA278" s="2"/>
    </row>
    <row r="279" spans="1:27" ht="11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59"/>
      <c r="U279" s="2"/>
      <c r="V279" s="2"/>
      <c r="W279" s="2"/>
      <c r="X279" s="2"/>
      <c r="Y279" s="2"/>
      <c r="Z279" s="2"/>
      <c r="AA279" s="2"/>
    </row>
    <row r="280" spans="1:27" ht="11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59"/>
      <c r="U280" s="2"/>
      <c r="V280" s="2"/>
      <c r="W280" s="2"/>
      <c r="X280" s="2"/>
      <c r="Y280" s="2"/>
      <c r="Z280" s="2"/>
      <c r="AA280" s="2"/>
    </row>
    <row r="281" spans="1:27" ht="11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59"/>
      <c r="U281" s="2"/>
      <c r="V281" s="2"/>
      <c r="W281" s="2"/>
      <c r="X281" s="2"/>
      <c r="Y281" s="2"/>
      <c r="Z281" s="2"/>
      <c r="AA281" s="2"/>
    </row>
    <row r="282" spans="1:27" ht="11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59"/>
      <c r="U282" s="2"/>
      <c r="V282" s="2"/>
      <c r="W282" s="2"/>
      <c r="X282" s="2"/>
      <c r="Y282" s="2"/>
      <c r="Z282" s="2"/>
      <c r="AA282" s="2"/>
    </row>
    <row r="283" spans="1:27" ht="11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59"/>
      <c r="U283" s="2"/>
      <c r="V283" s="2"/>
      <c r="W283" s="2"/>
      <c r="X283" s="2"/>
      <c r="Y283" s="2"/>
      <c r="Z283" s="2"/>
      <c r="AA283" s="2"/>
    </row>
    <row r="284" spans="1:27" ht="11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59"/>
      <c r="U284" s="2"/>
      <c r="V284" s="2"/>
      <c r="W284" s="2"/>
      <c r="X284" s="2"/>
      <c r="Y284" s="2"/>
      <c r="Z284" s="2"/>
      <c r="AA284" s="2"/>
    </row>
    <row r="285" spans="1:27" ht="11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59"/>
      <c r="U285" s="2"/>
      <c r="V285" s="2"/>
      <c r="W285" s="2"/>
      <c r="X285" s="2"/>
      <c r="Y285" s="2"/>
      <c r="Z285" s="2"/>
      <c r="AA285" s="2"/>
    </row>
    <row r="286" spans="1:27" ht="11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59"/>
      <c r="U286" s="2"/>
      <c r="V286" s="2"/>
      <c r="W286" s="2"/>
      <c r="X286" s="2"/>
      <c r="Y286" s="2"/>
      <c r="Z286" s="2"/>
      <c r="AA286" s="2"/>
    </row>
    <row r="287" spans="1:27" ht="11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59"/>
      <c r="U287" s="2"/>
      <c r="V287" s="2"/>
      <c r="W287" s="2"/>
      <c r="X287" s="2"/>
      <c r="Y287" s="2"/>
      <c r="Z287" s="2"/>
      <c r="AA287" s="2"/>
    </row>
    <row r="288" spans="1:27" ht="11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59"/>
      <c r="U288" s="2"/>
      <c r="V288" s="2"/>
      <c r="W288" s="2"/>
      <c r="X288" s="2"/>
      <c r="Y288" s="2"/>
      <c r="Z288" s="2"/>
      <c r="AA288" s="2"/>
    </row>
    <row r="289" spans="1:27" ht="11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59"/>
      <c r="U289" s="2"/>
      <c r="V289" s="2"/>
      <c r="W289" s="2"/>
      <c r="X289" s="2"/>
      <c r="Y289" s="2"/>
      <c r="Z289" s="2"/>
      <c r="AA289" s="2"/>
    </row>
    <row r="290" spans="1:27" ht="11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59"/>
      <c r="U290" s="2"/>
      <c r="V290" s="2"/>
      <c r="W290" s="2"/>
      <c r="X290" s="2"/>
      <c r="Y290" s="2"/>
      <c r="Z290" s="2"/>
      <c r="AA290" s="2"/>
    </row>
    <row r="291" spans="1:27" ht="11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59"/>
      <c r="U291" s="2"/>
      <c r="V291" s="2"/>
      <c r="W291" s="2"/>
      <c r="X291" s="2"/>
      <c r="Y291" s="2"/>
      <c r="Z291" s="2"/>
      <c r="AA291" s="2"/>
    </row>
    <row r="292" spans="1:27" ht="11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59"/>
      <c r="U292" s="2"/>
      <c r="V292" s="2"/>
      <c r="W292" s="2"/>
      <c r="X292" s="2"/>
      <c r="Y292" s="2"/>
      <c r="Z292" s="2"/>
      <c r="AA292" s="2"/>
    </row>
    <row r="293" spans="1:27" ht="11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59"/>
      <c r="U293" s="2"/>
      <c r="V293" s="2"/>
      <c r="W293" s="2"/>
      <c r="X293" s="2"/>
      <c r="Y293" s="2"/>
      <c r="Z293" s="2"/>
      <c r="AA293" s="2"/>
    </row>
    <row r="294" spans="1:27" ht="11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59"/>
      <c r="U294" s="2"/>
      <c r="V294" s="2"/>
      <c r="W294" s="2"/>
      <c r="X294" s="2"/>
      <c r="Y294" s="2"/>
      <c r="Z294" s="2"/>
      <c r="AA294" s="2"/>
    </row>
    <row r="295" spans="1:27" ht="11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59"/>
      <c r="U295" s="2"/>
      <c r="V295" s="2"/>
      <c r="W295" s="2"/>
      <c r="X295" s="2"/>
      <c r="Y295" s="2"/>
      <c r="Z295" s="2"/>
      <c r="AA295" s="2"/>
    </row>
    <row r="296" spans="1:27" ht="11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59"/>
      <c r="U296" s="2"/>
      <c r="V296" s="2"/>
      <c r="W296" s="2"/>
      <c r="X296" s="2"/>
      <c r="Y296" s="2"/>
      <c r="Z296" s="2"/>
      <c r="AA296" s="2"/>
    </row>
    <row r="297" spans="1:27" ht="11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59"/>
      <c r="U297" s="2"/>
      <c r="V297" s="2"/>
      <c r="W297" s="2"/>
      <c r="X297" s="2"/>
      <c r="Y297" s="2"/>
      <c r="Z297" s="2"/>
      <c r="AA297" s="2"/>
    </row>
    <row r="298" spans="1:27" ht="11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59"/>
      <c r="U298" s="2"/>
      <c r="V298" s="2"/>
      <c r="W298" s="2"/>
      <c r="X298" s="2"/>
      <c r="Y298" s="2"/>
      <c r="Z298" s="2"/>
      <c r="AA298" s="2"/>
    </row>
    <row r="299" spans="1:27" ht="11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59"/>
      <c r="U299" s="2"/>
      <c r="V299" s="2"/>
      <c r="W299" s="2"/>
      <c r="X299" s="2"/>
      <c r="Y299" s="2"/>
      <c r="Z299" s="2"/>
      <c r="AA299" s="2"/>
    </row>
    <row r="300" spans="1:27" ht="11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59"/>
      <c r="U300" s="2"/>
      <c r="V300" s="2"/>
      <c r="W300" s="2"/>
      <c r="X300" s="2"/>
      <c r="Y300" s="2"/>
      <c r="Z300" s="2"/>
      <c r="AA300" s="2"/>
    </row>
    <row r="301" spans="1:27" ht="11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59"/>
      <c r="U301" s="2"/>
      <c r="V301" s="2"/>
      <c r="W301" s="2"/>
      <c r="X301" s="2"/>
      <c r="Y301" s="2"/>
      <c r="Z301" s="2"/>
      <c r="AA301" s="2"/>
    </row>
    <row r="302" spans="1:27" ht="11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59"/>
      <c r="U302" s="2"/>
      <c r="V302" s="2"/>
      <c r="W302" s="2"/>
      <c r="X302" s="2"/>
      <c r="Y302" s="2"/>
      <c r="Z302" s="2"/>
      <c r="AA302" s="2"/>
    </row>
    <row r="303" spans="1:27" ht="11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59"/>
      <c r="U303" s="2"/>
      <c r="V303" s="2"/>
      <c r="W303" s="2"/>
      <c r="X303" s="2"/>
      <c r="Y303" s="2"/>
      <c r="Z303" s="2"/>
      <c r="AA303" s="2"/>
    </row>
    <row r="304" spans="1:27" ht="11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59"/>
      <c r="U304" s="2"/>
      <c r="V304" s="2"/>
      <c r="W304" s="2"/>
      <c r="X304" s="2"/>
      <c r="Y304" s="2"/>
      <c r="Z304" s="2"/>
      <c r="AA304" s="2"/>
    </row>
    <row r="305" spans="1:27" ht="11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59"/>
      <c r="U305" s="2"/>
      <c r="V305" s="2"/>
      <c r="W305" s="2"/>
      <c r="X305" s="2"/>
      <c r="Y305" s="2"/>
      <c r="Z305" s="2"/>
      <c r="AA305" s="2"/>
    </row>
    <row r="306" spans="1:27" ht="11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59"/>
      <c r="U306" s="2"/>
      <c r="V306" s="2"/>
      <c r="W306" s="2"/>
      <c r="X306" s="2"/>
      <c r="Y306" s="2"/>
      <c r="Z306" s="2"/>
      <c r="AA306" s="2"/>
    </row>
    <row r="307" spans="1:27" ht="11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59"/>
      <c r="U307" s="2"/>
      <c r="V307" s="2"/>
      <c r="W307" s="2"/>
      <c r="X307" s="2"/>
      <c r="Y307" s="2"/>
      <c r="Z307" s="2"/>
      <c r="AA307" s="2"/>
    </row>
    <row r="308" spans="1:27" ht="11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59"/>
      <c r="U308" s="2"/>
      <c r="V308" s="2"/>
      <c r="W308" s="2"/>
      <c r="X308" s="2"/>
      <c r="Y308" s="2"/>
      <c r="Z308" s="2"/>
      <c r="AA308" s="2"/>
    </row>
    <row r="309" spans="1:27" ht="11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59"/>
      <c r="U309" s="2"/>
      <c r="V309" s="2"/>
      <c r="W309" s="2"/>
      <c r="X309" s="2"/>
      <c r="Y309" s="2"/>
      <c r="Z309" s="2"/>
      <c r="AA309" s="2"/>
    </row>
    <row r="310" spans="1:27" ht="11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59"/>
      <c r="U310" s="2"/>
      <c r="V310" s="2"/>
      <c r="W310" s="2"/>
      <c r="X310" s="2"/>
      <c r="Y310" s="2"/>
      <c r="Z310" s="2"/>
      <c r="AA310" s="2"/>
    </row>
    <row r="311" spans="1:27" ht="11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59"/>
      <c r="U311" s="2"/>
      <c r="V311" s="2"/>
      <c r="W311" s="2"/>
      <c r="X311" s="2"/>
      <c r="Y311" s="2"/>
      <c r="Z311" s="2"/>
      <c r="AA311" s="2"/>
    </row>
    <row r="312" spans="1:27" ht="11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59"/>
      <c r="U312" s="2"/>
      <c r="V312" s="2"/>
      <c r="W312" s="2"/>
      <c r="X312" s="2"/>
      <c r="Y312" s="2"/>
      <c r="Z312" s="2"/>
      <c r="AA312" s="2"/>
    </row>
    <row r="313" spans="1:27" ht="11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59"/>
      <c r="U313" s="2"/>
      <c r="V313" s="2"/>
      <c r="W313" s="2"/>
      <c r="X313" s="2"/>
      <c r="Y313" s="2"/>
      <c r="Z313" s="2"/>
      <c r="AA313" s="2"/>
    </row>
    <row r="314" spans="1:27" ht="11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59"/>
      <c r="U314" s="2"/>
      <c r="V314" s="2"/>
      <c r="W314" s="2"/>
      <c r="X314" s="2"/>
      <c r="Y314" s="2"/>
      <c r="Z314" s="2"/>
      <c r="AA314" s="2"/>
    </row>
    <row r="315" spans="1:27" ht="11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59"/>
      <c r="U315" s="2"/>
      <c r="V315" s="2"/>
      <c r="W315" s="2"/>
      <c r="X315" s="2"/>
      <c r="Y315" s="2"/>
      <c r="Z315" s="2"/>
      <c r="AA315" s="2"/>
    </row>
    <row r="316" spans="1:27" ht="11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59"/>
      <c r="U316" s="2"/>
      <c r="V316" s="2"/>
      <c r="W316" s="2"/>
      <c r="X316" s="2"/>
      <c r="Y316" s="2"/>
      <c r="Z316" s="2"/>
      <c r="AA316" s="2"/>
    </row>
    <row r="317" spans="1:27" ht="11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59"/>
      <c r="U317" s="2"/>
      <c r="V317" s="2"/>
      <c r="W317" s="2"/>
      <c r="X317" s="2"/>
      <c r="Y317" s="2"/>
      <c r="Z317" s="2"/>
      <c r="AA317" s="2"/>
    </row>
    <row r="318" spans="1:27" ht="11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59"/>
      <c r="U318" s="2"/>
      <c r="V318" s="2"/>
      <c r="W318" s="2"/>
      <c r="X318" s="2"/>
      <c r="Y318" s="2"/>
      <c r="Z318" s="2"/>
      <c r="AA318" s="2"/>
    </row>
    <row r="319" spans="1:27" ht="11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59"/>
      <c r="U319" s="2"/>
      <c r="V319" s="2"/>
      <c r="W319" s="2"/>
      <c r="X319" s="2"/>
      <c r="Y319" s="2"/>
      <c r="Z319" s="2"/>
      <c r="AA319" s="2"/>
    </row>
    <row r="320" spans="1:27" ht="11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59"/>
      <c r="U320" s="2"/>
      <c r="V320" s="2"/>
      <c r="W320" s="2"/>
      <c r="X320" s="2"/>
      <c r="Y320" s="2"/>
      <c r="Z320" s="2"/>
      <c r="AA320" s="2"/>
    </row>
    <row r="321" spans="1:27" ht="11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59"/>
      <c r="U321" s="2"/>
      <c r="V321" s="2"/>
      <c r="W321" s="2"/>
      <c r="X321" s="2"/>
      <c r="Y321" s="2"/>
      <c r="Z321" s="2"/>
      <c r="AA321" s="2"/>
    </row>
    <row r="322" spans="1:27" ht="11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59"/>
      <c r="U322" s="2"/>
      <c r="V322" s="2"/>
      <c r="W322" s="2"/>
      <c r="X322" s="2"/>
      <c r="Y322" s="2"/>
      <c r="Z322" s="2"/>
      <c r="AA322" s="2"/>
    </row>
    <row r="323" spans="1:27" ht="11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59"/>
      <c r="U323" s="2"/>
      <c r="V323" s="2"/>
      <c r="W323" s="2"/>
      <c r="X323" s="2"/>
      <c r="Y323" s="2"/>
      <c r="Z323" s="2"/>
      <c r="AA323" s="2"/>
    </row>
    <row r="324" spans="1:27" ht="11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59"/>
      <c r="U324" s="2"/>
      <c r="V324" s="2"/>
      <c r="W324" s="2"/>
      <c r="X324" s="2"/>
      <c r="Y324" s="2"/>
      <c r="Z324" s="2"/>
      <c r="AA324" s="2"/>
    </row>
    <row r="325" spans="1:27" ht="11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59"/>
      <c r="U325" s="2"/>
      <c r="V325" s="2"/>
      <c r="W325" s="2"/>
      <c r="X325" s="2"/>
      <c r="Y325" s="2"/>
      <c r="Z325" s="2"/>
      <c r="AA325" s="2"/>
    </row>
    <row r="326" spans="1:27" ht="11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59"/>
      <c r="U326" s="2"/>
      <c r="V326" s="2"/>
      <c r="W326" s="2"/>
      <c r="X326" s="2"/>
      <c r="Y326" s="2"/>
      <c r="Z326" s="2"/>
      <c r="AA326" s="2"/>
    </row>
    <row r="327" spans="1:27" ht="11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59"/>
      <c r="U327" s="2"/>
      <c r="V327" s="2"/>
      <c r="W327" s="2"/>
      <c r="X327" s="2"/>
      <c r="Y327" s="2"/>
      <c r="Z327" s="2"/>
      <c r="AA327" s="2"/>
    </row>
    <row r="328" spans="1:27" ht="11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59"/>
      <c r="U328" s="2"/>
      <c r="V328" s="2"/>
      <c r="W328" s="2"/>
      <c r="X328" s="2"/>
      <c r="Y328" s="2"/>
      <c r="Z328" s="2"/>
      <c r="AA328" s="2"/>
    </row>
    <row r="329" spans="1:27" ht="11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59"/>
      <c r="U329" s="2"/>
      <c r="V329" s="2"/>
      <c r="W329" s="2"/>
      <c r="X329" s="2"/>
      <c r="Y329" s="2"/>
      <c r="Z329" s="2"/>
      <c r="AA329" s="2"/>
    </row>
    <row r="330" spans="1:27" ht="11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59"/>
      <c r="U330" s="2"/>
      <c r="V330" s="2"/>
      <c r="W330" s="2"/>
      <c r="X330" s="2"/>
      <c r="Y330" s="2"/>
      <c r="Z330" s="2"/>
      <c r="AA330" s="2"/>
    </row>
    <row r="331" spans="1:27" ht="11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59"/>
      <c r="U331" s="2"/>
      <c r="V331" s="2"/>
      <c r="W331" s="2"/>
      <c r="X331" s="2"/>
      <c r="Y331" s="2"/>
      <c r="Z331" s="2"/>
      <c r="AA331" s="2"/>
    </row>
    <row r="332" spans="1:27" ht="11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59"/>
      <c r="U332" s="2"/>
      <c r="V332" s="2"/>
      <c r="W332" s="2"/>
      <c r="X332" s="2"/>
      <c r="Y332" s="2"/>
      <c r="Z332" s="2"/>
      <c r="AA332" s="2"/>
    </row>
    <row r="333" spans="1:27" ht="11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59"/>
      <c r="U333" s="2"/>
      <c r="V333" s="2"/>
      <c r="W333" s="2"/>
      <c r="X333" s="2"/>
      <c r="Y333" s="2"/>
      <c r="Z333" s="2"/>
      <c r="AA333" s="2"/>
    </row>
    <row r="334" spans="1:27" ht="11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59"/>
      <c r="U334" s="2"/>
      <c r="V334" s="2"/>
      <c r="W334" s="2"/>
      <c r="X334" s="2"/>
      <c r="Y334" s="2"/>
      <c r="Z334" s="2"/>
      <c r="AA334" s="2"/>
    </row>
    <row r="335" spans="1:27" ht="11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59"/>
      <c r="U335" s="2"/>
      <c r="V335" s="2"/>
      <c r="W335" s="2"/>
      <c r="X335" s="2"/>
      <c r="Y335" s="2"/>
      <c r="Z335" s="2"/>
      <c r="AA335" s="2"/>
    </row>
    <row r="336" spans="1:27" ht="11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59"/>
      <c r="U336" s="2"/>
      <c r="V336" s="2"/>
      <c r="W336" s="2"/>
      <c r="X336" s="2"/>
      <c r="Y336" s="2"/>
      <c r="Z336" s="2"/>
      <c r="AA336" s="2"/>
    </row>
    <row r="337" spans="1:27" ht="11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59"/>
      <c r="U337" s="2"/>
      <c r="V337" s="2"/>
      <c r="W337" s="2"/>
      <c r="X337" s="2"/>
      <c r="Y337" s="2"/>
      <c r="Z337" s="2"/>
      <c r="AA337" s="2"/>
    </row>
    <row r="338" spans="1:27" ht="11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59"/>
      <c r="U338" s="2"/>
      <c r="V338" s="2"/>
      <c r="W338" s="2"/>
      <c r="X338" s="2"/>
      <c r="Y338" s="2"/>
      <c r="Z338" s="2"/>
      <c r="AA338" s="2"/>
    </row>
    <row r="339" spans="1:27" ht="11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59"/>
      <c r="U339" s="2"/>
      <c r="V339" s="2"/>
      <c r="W339" s="2"/>
      <c r="X339" s="2"/>
      <c r="Y339" s="2"/>
      <c r="Z339" s="2"/>
      <c r="AA339" s="2"/>
    </row>
    <row r="340" spans="1:27" ht="11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59"/>
      <c r="U340" s="2"/>
      <c r="V340" s="2"/>
      <c r="W340" s="2"/>
      <c r="X340" s="2"/>
      <c r="Y340" s="2"/>
      <c r="Z340" s="2"/>
      <c r="AA340" s="2"/>
    </row>
    <row r="341" spans="1:27" ht="11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59"/>
      <c r="U341" s="2"/>
      <c r="V341" s="2"/>
      <c r="W341" s="2"/>
      <c r="X341" s="2"/>
      <c r="Y341" s="2"/>
      <c r="Z341" s="2"/>
      <c r="AA341" s="2"/>
    </row>
    <row r="342" spans="1:27" ht="11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59"/>
      <c r="U342" s="2"/>
      <c r="V342" s="2"/>
      <c r="W342" s="2"/>
      <c r="X342" s="2"/>
      <c r="Y342" s="2"/>
      <c r="Z342" s="2"/>
      <c r="AA342" s="2"/>
    </row>
    <row r="343" spans="1:27" ht="11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59"/>
      <c r="U343" s="2"/>
      <c r="V343" s="2"/>
      <c r="W343" s="2"/>
      <c r="X343" s="2"/>
      <c r="Y343" s="2"/>
      <c r="Z343" s="2"/>
      <c r="AA343" s="2"/>
    </row>
    <row r="344" spans="1:27" ht="11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59"/>
      <c r="U344" s="2"/>
      <c r="V344" s="2"/>
      <c r="W344" s="2"/>
      <c r="X344" s="2"/>
      <c r="Y344" s="2"/>
      <c r="Z344" s="2"/>
      <c r="AA344" s="2"/>
    </row>
    <row r="345" spans="1:27" ht="11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59"/>
      <c r="U345" s="2"/>
      <c r="V345" s="2"/>
      <c r="W345" s="2"/>
      <c r="X345" s="2"/>
      <c r="Y345" s="2"/>
      <c r="Z345" s="2"/>
      <c r="AA345" s="2"/>
    </row>
    <row r="346" spans="1:27" ht="11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59"/>
      <c r="U346" s="2"/>
      <c r="V346" s="2"/>
      <c r="W346" s="2"/>
      <c r="X346" s="2"/>
      <c r="Y346" s="2"/>
      <c r="Z346" s="2"/>
      <c r="AA346" s="2"/>
    </row>
    <row r="347" spans="1:27" ht="11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59"/>
      <c r="U347" s="2"/>
      <c r="V347" s="2"/>
      <c r="W347" s="2"/>
      <c r="X347" s="2"/>
      <c r="Y347" s="2"/>
      <c r="Z347" s="2"/>
      <c r="AA347" s="2"/>
    </row>
    <row r="348" spans="1:27" ht="11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59"/>
      <c r="U348" s="2"/>
      <c r="V348" s="2"/>
      <c r="W348" s="2"/>
      <c r="X348" s="2"/>
      <c r="Y348" s="2"/>
      <c r="Z348" s="2"/>
      <c r="AA348" s="2"/>
    </row>
    <row r="349" spans="1:27" ht="11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59"/>
      <c r="U349" s="2"/>
      <c r="V349" s="2"/>
      <c r="W349" s="2"/>
      <c r="X349" s="2"/>
      <c r="Y349" s="2"/>
      <c r="Z349" s="2"/>
      <c r="AA349" s="2"/>
    </row>
    <row r="350" spans="1:27" ht="11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59"/>
      <c r="U350" s="2"/>
      <c r="V350" s="2"/>
      <c r="W350" s="2"/>
      <c r="X350" s="2"/>
      <c r="Y350" s="2"/>
      <c r="Z350" s="2"/>
      <c r="AA350" s="2"/>
    </row>
    <row r="351" spans="1:27" ht="11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59"/>
      <c r="U351" s="2"/>
      <c r="V351" s="2"/>
      <c r="W351" s="2"/>
      <c r="X351" s="2"/>
      <c r="Y351" s="2"/>
      <c r="Z351" s="2"/>
      <c r="AA351" s="2"/>
    </row>
    <row r="352" spans="1:27" ht="11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59"/>
      <c r="U352" s="2"/>
      <c r="V352" s="2"/>
      <c r="W352" s="2"/>
      <c r="X352" s="2"/>
      <c r="Y352" s="2"/>
      <c r="Z352" s="2"/>
      <c r="AA352" s="2"/>
    </row>
    <row r="353" spans="1:27" ht="11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59"/>
      <c r="U353" s="2"/>
      <c r="V353" s="2"/>
      <c r="W353" s="2"/>
      <c r="X353" s="2"/>
      <c r="Y353" s="2"/>
      <c r="Z353" s="2"/>
      <c r="AA353" s="2"/>
    </row>
    <row r="354" spans="1:27" ht="11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59"/>
      <c r="U354" s="2"/>
      <c r="V354" s="2"/>
      <c r="W354" s="2"/>
      <c r="X354" s="2"/>
      <c r="Y354" s="2"/>
      <c r="Z354" s="2"/>
      <c r="AA354" s="2"/>
    </row>
    <row r="355" spans="1:27" ht="11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59"/>
      <c r="U355" s="2"/>
      <c r="V355" s="2"/>
      <c r="W355" s="2"/>
      <c r="X355" s="2"/>
      <c r="Y355" s="2"/>
      <c r="Z355" s="2"/>
      <c r="AA355" s="2"/>
    </row>
    <row r="356" spans="1:27" ht="11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59"/>
      <c r="U356" s="2"/>
      <c r="V356" s="2"/>
      <c r="W356" s="2"/>
      <c r="X356" s="2"/>
      <c r="Y356" s="2"/>
      <c r="Z356" s="2"/>
      <c r="AA356" s="2"/>
    </row>
    <row r="357" spans="1:27" ht="11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59"/>
      <c r="U357" s="2"/>
      <c r="V357" s="2"/>
      <c r="W357" s="2"/>
      <c r="X357" s="2"/>
      <c r="Y357" s="2"/>
      <c r="Z357" s="2"/>
      <c r="AA357" s="2"/>
    </row>
    <row r="358" spans="1:27" ht="11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59"/>
      <c r="U358" s="2"/>
      <c r="V358" s="2"/>
      <c r="W358" s="2"/>
      <c r="X358" s="2"/>
      <c r="Y358" s="2"/>
      <c r="Z358" s="2"/>
      <c r="AA358" s="2"/>
    </row>
    <row r="359" spans="1:27" ht="11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59"/>
      <c r="U359" s="2"/>
      <c r="V359" s="2"/>
      <c r="W359" s="2"/>
      <c r="X359" s="2"/>
      <c r="Y359" s="2"/>
      <c r="Z359" s="2"/>
      <c r="AA359" s="2"/>
    </row>
    <row r="360" spans="1:27" ht="11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59"/>
      <c r="U360" s="2"/>
      <c r="V360" s="2"/>
      <c r="W360" s="2"/>
      <c r="X360" s="2"/>
      <c r="Y360" s="2"/>
      <c r="Z360" s="2"/>
      <c r="AA360" s="2"/>
    </row>
    <row r="361" spans="1:27" ht="11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59"/>
      <c r="U361" s="2"/>
      <c r="V361" s="2"/>
      <c r="W361" s="2"/>
      <c r="X361" s="2"/>
      <c r="Y361" s="2"/>
      <c r="Z361" s="2"/>
      <c r="AA361" s="2"/>
    </row>
    <row r="362" spans="1:27" ht="11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59"/>
      <c r="U362" s="2"/>
      <c r="V362" s="2"/>
      <c r="W362" s="2"/>
      <c r="X362" s="2"/>
      <c r="Y362" s="2"/>
      <c r="Z362" s="2"/>
      <c r="AA362" s="2"/>
    </row>
    <row r="363" spans="1:27" ht="11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59"/>
      <c r="U363" s="2"/>
      <c r="V363" s="2"/>
      <c r="W363" s="2"/>
      <c r="X363" s="2"/>
      <c r="Y363" s="2"/>
      <c r="Z363" s="2"/>
      <c r="AA363" s="2"/>
    </row>
    <row r="364" spans="1:27" ht="11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59"/>
      <c r="U364" s="2"/>
      <c r="V364" s="2"/>
      <c r="W364" s="2"/>
      <c r="X364" s="2"/>
      <c r="Y364" s="2"/>
      <c r="Z364" s="2"/>
      <c r="AA364" s="2"/>
    </row>
    <row r="365" spans="1:27" ht="11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59"/>
      <c r="U365" s="2"/>
      <c r="V365" s="2"/>
      <c r="W365" s="2"/>
      <c r="X365" s="2"/>
      <c r="Y365" s="2"/>
      <c r="Z365" s="2"/>
      <c r="AA365" s="2"/>
    </row>
    <row r="366" spans="1:27" ht="11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59"/>
      <c r="U366" s="2"/>
      <c r="V366" s="2"/>
      <c r="W366" s="2"/>
      <c r="X366" s="2"/>
      <c r="Y366" s="2"/>
      <c r="Z366" s="2"/>
      <c r="AA366" s="2"/>
    </row>
    <row r="367" spans="1:27" ht="11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59"/>
      <c r="U367" s="2"/>
      <c r="V367" s="2"/>
      <c r="W367" s="2"/>
      <c r="X367" s="2"/>
      <c r="Y367" s="2"/>
      <c r="Z367" s="2"/>
      <c r="AA367" s="2"/>
    </row>
    <row r="368" spans="1:27" ht="11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59"/>
      <c r="U368" s="2"/>
      <c r="V368" s="2"/>
      <c r="W368" s="2"/>
      <c r="X368" s="2"/>
      <c r="Y368" s="2"/>
      <c r="Z368" s="2"/>
      <c r="AA368" s="2"/>
    </row>
    <row r="369" spans="1:27" ht="11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59"/>
      <c r="U369" s="2"/>
      <c r="V369" s="2"/>
      <c r="W369" s="2"/>
      <c r="X369" s="2"/>
      <c r="Y369" s="2"/>
      <c r="Z369" s="2"/>
      <c r="AA369" s="2"/>
    </row>
    <row r="370" spans="1:27" ht="11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59"/>
      <c r="U370" s="2"/>
      <c r="V370" s="2"/>
      <c r="W370" s="2"/>
      <c r="X370" s="2"/>
      <c r="Y370" s="2"/>
      <c r="Z370" s="2"/>
      <c r="AA370" s="2"/>
    </row>
    <row r="371" spans="1:27" ht="11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59"/>
      <c r="U371" s="2"/>
      <c r="V371" s="2"/>
      <c r="W371" s="2"/>
      <c r="X371" s="2"/>
      <c r="Y371" s="2"/>
      <c r="Z371" s="2"/>
      <c r="AA371" s="2"/>
    </row>
    <row r="372" spans="1:27" ht="11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59"/>
      <c r="U372" s="2"/>
      <c r="V372" s="2"/>
      <c r="W372" s="2"/>
      <c r="X372" s="2"/>
      <c r="Y372" s="2"/>
      <c r="Z372" s="2"/>
      <c r="AA372" s="2"/>
    </row>
    <row r="373" spans="1:27" ht="11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59"/>
      <c r="U373" s="2"/>
      <c r="V373" s="2"/>
      <c r="W373" s="2"/>
      <c r="X373" s="2"/>
      <c r="Y373" s="2"/>
      <c r="Z373" s="2"/>
      <c r="AA373" s="2"/>
    </row>
    <row r="374" spans="1:27" ht="11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59"/>
      <c r="U374" s="2"/>
      <c r="V374" s="2"/>
      <c r="W374" s="2"/>
      <c r="X374" s="2"/>
      <c r="Y374" s="2"/>
      <c r="Z374" s="2"/>
      <c r="AA374" s="2"/>
    </row>
    <row r="375" spans="1:27" ht="11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59"/>
      <c r="U375" s="2"/>
      <c r="V375" s="2"/>
      <c r="W375" s="2"/>
      <c r="X375" s="2"/>
      <c r="Y375" s="2"/>
      <c r="Z375" s="2"/>
      <c r="AA375" s="2"/>
    </row>
    <row r="376" spans="1:27" ht="11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59"/>
      <c r="U376" s="2"/>
      <c r="V376" s="2"/>
      <c r="W376" s="2"/>
      <c r="X376" s="2"/>
      <c r="Y376" s="2"/>
      <c r="Z376" s="2"/>
      <c r="AA376" s="2"/>
    </row>
    <row r="377" spans="1:27" ht="11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59"/>
      <c r="U377" s="2"/>
      <c r="V377" s="2"/>
      <c r="W377" s="2"/>
      <c r="X377" s="2"/>
      <c r="Y377" s="2"/>
      <c r="Z377" s="2"/>
      <c r="AA377" s="2"/>
    </row>
    <row r="378" spans="1:27" ht="11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59"/>
      <c r="U378" s="2"/>
      <c r="V378" s="2"/>
      <c r="W378" s="2"/>
      <c r="X378" s="2"/>
      <c r="Y378" s="2"/>
      <c r="Z378" s="2"/>
      <c r="AA378" s="2"/>
    </row>
    <row r="379" spans="1:27" ht="11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59"/>
      <c r="U379" s="2"/>
      <c r="V379" s="2"/>
      <c r="W379" s="2"/>
      <c r="X379" s="2"/>
      <c r="Y379" s="2"/>
      <c r="Z379" s="2"/>
      <c r="AA379" s="2"/>
    </row>
    <row r="380" spans="1:27" ht="11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59"/>
      <c r="U380" s="2"/>
      <c r="V380" s="2"/>
      <c r="W380" s="2"/>
      <c r="X380" s="2"/>
      <c r="Y380" s="2"/>
      <c r="Z380" s="2"/>
      <c r="AA380" s="2"/>
    </row>
    <row r="381" spans="1:27" ht="11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59"/>
      <c r="U381" s="2"/>
      <c r="V381" s="2"/>
      <c r="W381" s="2"/>
      <c r="X381" s="2"/>
      <c r="Y381" s="2"/>
      <c r="Z381" s="2"/>
      <c r="AA381" s="2"/>
    </row>
    <row r="382" spans="1:27" ht="11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59"/>
      <c r="U382" s="2"/>
      <c r="V382" s="2"/>
      <c r="W382" s="2"/>
      <c r="X382" s="2"/>
      <c r="Y382" s="2"/>
      <c r="Z382" s="2"/>
      <c r="AA382" s="2"/>
    </row>
    <row r="383" spans="1:27" ht="11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59"/>
      <c r="U383" s="2"/>
      <c r="V383" s="2"/>
      <c r="W383" s="2"/>
      <c r="X383" s="2"/>
      <c r="Y383" s="2"/>
      <c r="Z383" s="2"/>
      <c r="AA383" s="2"/>
    </row>
    <row r="384" spans="1:27" ht="11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59"/>
      <c r="U384" s="2"/>
      <c r="V384" s="2"/>
      <c r="W384" s="2"/>
      <c r="X384" s="2"/>
      <c r="Y384" s="2"/>
      <c r="Z384" s="2"/>
      <c r="AA384" s="2"/>
    </row>
    <row r="385" spans="1:27" ht="11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59"/>
      <c r="U385" s="2"/>
      <c r="V385" s="2"/>
      <c r="W385" s="2"/>
      <c r="X385" s="2"/>
      <c r="Y385" s="2"/>
      <c r="Z385" s="2"/>
      <c r="AA385" s="2"/>
    </row>
    <row r="386" spans="1:27" ht="11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59"/>
      <c r="U386" s="2"/>
      <c r="V386" s="2"/>
      <c r="W386" s="2"/>
      <c r="X386" s="2"/>
      <c r="Y386" s="2"/>
      <c r="Z386" s="2"/>
      <c r="AA386" s="2"/>
    </row>
    <row r="387" spans="1:27" ht="11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59"/>
      <c r="U387" s="2"/>
      <c r="V387" s="2"/>
      <c r="W387" s="2"/>
      <c r="X387" s="2"/>
      <c r="Y387" s="2"/>
      <c r="Z387" s="2"/>
      <c r="AA387" s="2"/>
    </row>
    <row r="388" spans="1:27" ht="11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59"/>
      <c r="U388" s="2"/>
      <c r="V388" s="2"/>
      <c r="W388" s="2"/>
      <c r="X388" s="2"/>
      <c r="Y388" s="2"/>
      <c r="Z388" s="2"/>
      <c r="AA388" s="2"/>
    </row>
    <row r="389" spans="1:27" ht="11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59"/>
      <c r="U389" s="2"/>
      <c r="V389" s="2"/>
      <c r="W389" s="2"/>
      <c r="X389" s="2"/>
      <c r="Y389" s="2"/>
      <c r="Z389" s="2"/>
      <c r="AA389" s="2"/>
    </row>
    <row r="390" spans="1:27" ht="11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59"/>
      <c r="U390" s="2"/>
      <c r="V390" s="2"/>
      <c r="W390" s="2"/>
      <c r="X390" s="2"/>
      <c r="Y390" s="2"/>
      <c r="Z390" s="2"/>
      <c r="AA390" s="2"/>
    </row>
    <row r="391" spans="1:27" ht="11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59"/>
      <c r="U391" s="2"/>
      <c r="V391" s="2"/>
      <c r="W391" s="2"/>
      <c r="X391" s="2"/>
      <c r="Y391" s="2"/>
      <c r="Z391" s="2"/>
      <c r="AA391" s="2"/>
    </row>
    <row r="392" spans="1:27" ht="11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59"/>
      <c r="U392" s="2"/>
      <c r="V392" s="2"/>
      <c r="W392" s="2"/>
      <c r="X392" s="2"/>
      <c r="Y392" s="2"/>
      <c r="Z392" s="2"/>
      <c r="AA392" s="2"/>
    </row>
    <row r="393" spans="1:27" ht="11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59"/>
      <c r="U393" s="2"/>
      <c r="V393" s="2"/>
      <c r="W393" s="2"/>
      <c r="X393" s="2"/>
      <c r="Y393" s="2"/>
      <c r="Z393" s="2"/>
      <c r="AA393" s="2"/>
    </row>
    <row r="394" spans="1:27" ht="11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59"/>
      <c r="U394" s="2"/>
      <c r="V394" s="2"/>
      <c r="W394" s="2"/>
      <c r="X394" s="2"/>
      <c r="Y394" s="2"/>
      <c r="Z394" s="2"/>
      <c r="AA394" s="2"/>
    </row>
    <row r="395" spans="1:27" ht="11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59"/>
      <c r="U395" s="2"/>
      <c r="V395" s="2"/>
      <c r="W395" s="2"/>
      <c r="X395" s="2"/>
      <c r="Y395" s="2"/>
      <c r="Z395" s="2"/>
      <c r="AA395" s="2"/>
    </row>
    <row r="396" spans="1:27" ht="11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59"/>
      <c r="U396" s="2"/>
      <c r="V396" s="2"/>
      <c r="W396" s="2"/>
      <c r="X396" s="2"/>
      <c r="Y396" s="2"/>
      <c r="Z396" s="2"/>
      <c r="AA396" s="2"/>
    </row>
    <row r="397" spans="1:27" ht="11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59"/>
      <c r="U397" s="2"/>
      <c r="V397" s="2"/>
      <c r="W397" s="2"/>
      <c r="X397" s="2"/>
      <c r="Y397" s="2"/>
      <c r="Z397" s="2"/>
      <c r="AA397" s="2"/>
    </row>
    <row r="398" spans="1:27" ht="11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59"/>
      <c r="U398" s="2"/>
      <c r="V398" s="2"/>
      <c r="W398" s="2"/>
      <c r="X398" s="2"/>
      <c r="Y398" s="2"/>
      <c r="Z398" s="2"/>
      <c r="AA398" s="2"/>
    </row>
    <row r="399" spans="1:27" ht="11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59"/>
      <c r="U399" s="2"/>
      <c r="V399" s="2"/>
      <c r="W399" s="2"/>
      <c r="X399" s="2"/>
      <c r="Y399" s="2"/>
      <c r="Z399" s="2"/>
      <c r="AA399" s="2"/>
    </row>
    <row r="400" spans="1:27" ht="11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59"/>
      <c r="U400" s="2"/>
      <c r="V400" s="2"/>
      <c r="W400" s="2"/>
      <c r="X400" s="2"/>
      <c r="Y400" s="2"/>
      <c r="Z400" s="2"/>
      <c r="AA400" s="2"/>
    </row>
    <row r="401" spans="1:27" ht="11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59"/>
      <c r="U401" s="2"/>
      <c r="V401" s="2"/>
      <c r="W401" s="2"/>
      <c r="X401" s="2"/>
      <c r="Y401" s="2"/>
      <c r="Z401" s="2"/>
      <c r="AA401" s="2"/>
    </row>
    <row r="402" spans="1:27" ht="11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59"/>
      <c r="U402" s="2"/>
      <c r="V402" s="2"/>
      <c r="W402" s="2"/>
      <c r="X402" s="2"/>
      <c r="Y402" s="2"/>
      <c r="Z402" s="2"/>
      <c r="AA402" s="2"/>
    </row>
    <row r="403" spans="1:27" ht="15.75" customHeight="1" x14ac:dyDescent="0.2"/>
    <row r="404" spans="1:27" ht="15.75" customHeight="1" x14ac:dyDescent="0.2"/>
    <row r="405" spans="1:27" ht="15.75" customHeight="1" x14ac:dyDescent="0.2"/>
    <row r="406" spans="1:27" ht="15.75" customHeight="1" x14ac:dyDescent="0.2"/>
    <row r="407" spans="1:27" ht="15.75" customHeight="1" x14ac:dyDescent="0.2"/>
    <row r="408" spans="1:27" ht="15.75" customHeight="1" x14ac:dyDescent="0.2"/>
    <row r="409" spans="1:27" ht="15.75" customHeight="1" x14ac:dyDescent="0.2"/>
    <row r="410" spans="1:27" ht="15.75" customHeight="1" x14ac:dyDescent="0.2"/>
    <row r="411" spans="1:27" ht="15.75" customHeight="1" x14ac:dyDescent="0.2"/>
    <row r="412" spans="1:27" ht="15.75" customHeight="1" x14ac:dyDescent="0.2"/>
    <row r="413" spans="1:27" ht="15.75" customHeight="1" x14ac:dyDescent="0.2"/>
    <row r="414" spans="1:27" ht="15.75" customHeight="1" x14ac:dyDescent="0.2"/>
    <row r="415" spans="1:27" ht="15.75" customHeight="1" x14ac:dyDescent="0.2"/>
    <row r="416" spans="1:27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</sheetData>
  <mergeCells count="83">
    <mergeCell ref="Q16:Q18"/>
    <mergeCell ref="R16:R19"/>
    <mergeCell ref="G17:G18"/>
    <mergeCell ref="P17:P18"/>
    <mergeCell ref="A16:A19"/>
    <mergeCell ref="B16:F16"/>
    <mergeCell ref="B17:B18"/>
    <mergeCell ref="C17:C18"/>
    <mergeCell ref="D17:D18"/>
    <mergeCell ref="E17:E18"/>
    <mergeCell ref="F17:F18"/>
    <mergeCell ref="H17:H18"/>
    <mergeCell ref="I17:I18"/>
    <mergeCell ref="J17:J18"/>
    <mergeCell ref="K17:K18"/>
    <mergeCell ref="L17:L18"/>
    <mergeCell ref="M17:M18"/>
    <mergeCell ref="N17:N18"/>
    <mergeCell ref="O17:O18"/>
    <mergeCell ref="G13:H13"/>
    <mergeCell ref="I13:J13"/>
    <mergeCell ref="G16:K16"/>
    <mergeCell ref="L16:P16"/>
    <mergeCell ref="A218:B218"/>
    <mergeCell ref="C218:I218"/>
    <mergeCell ref="J218:K218"/>
    <mergeCell ref="L218:R218"/>
    <mergeCell ref="A215:B215"/>
    <mergeCell ref="A216:B216"/>
    <mergeCell ref="C216:I216"/>
    <mergeCell ref="J216:K216"/>
    <mergeCell ref="L216:R216"/>
    <mergeCell ref="A217:B217"/>
    <mergeCell ref="C217:I217"/>
    <mergeCell ref="J217:K217"/>
    <mergeCell ref="L217:R217"/>
    <mergeCell ref="A214:B214"/>
    <mergeCell ref="C214:I214"/>
    <mergeCell ref="J214:K214"/>
    <mergeCell ref="L214:R214"/>
    <mergeCell ref="C215:I215"/>
    <mergeCell ref="J215:K215"/>
    <mergeCell ref="L215:R215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L9:O9"/>
    <mergeCell ref="P9:R10"/>
    <mergeCell ref="G10:H10"/>
    <mergeCell ref="I10:J10"/>
    <mergeCell ref="A11:A13"/>
    <mergeCell ref="B11:C11"/>
    <mergeCell ref="D11:E11"/>
    <mergeCell ref="G11:H11"/>
    <mergeCell ref="I11:J11"/>
    <mergeCell ref="A9:A10"/>
    <mergeCell ref="B9:C10"/>
    <mergeCell ref="D9:E10"/>
    <mergeCell ref="F9:K9"/>
    <mergeCell ref="N12:O12"/>
    <mergeCell ref="P12:R12"/>
    <mergeCell ref="B13:C13"/>
    <mergeCell ref="M5:R5"/>
    <mergeCell ref="A1:R1"/>
    <mergeCell ref="A2:R2"/>
    <mergeCell ref="A3:R3"/>
    <mergeCell ref="A4:F4"/>
    <mergeCell ref="G4:L4"/>
    <mergeCell ref="M4:R4"/>
    <mergeCell ref="A5:F5"/>
    <mergeCell ref="G5:L5"/>
  </mergeCells>
  <conditionalFormatting sqref="Q7:Q11 Q14:Q19 Q21:Q1091">
    <cfRule type="cellIs" dxfId="11" priority="1" operator="lessThan">
      <formula>60</formula>
    </cfRule>
  </conditionalFormatting>
  <printOptions horizontalCentered="1"/>
  <pageMargins left="0.31496062992125984" right="0.59055118110236227" top="0.39370078740157483" bottom="0.19685039370078741" header="0" footer="0"/>
  <pageSetup paperSize="9" scale="85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3">
    <outlinePr summaryBelow="0" summaryRight="0"/>
  </sheetPr>
  <dimension ref="A1:R1071"/>
  <sheetViews>
    <sheetView topLeftCell="A162" workbookViewId="0">
      <selection activeCell="A178" sqref="A178:XFD186"/>
    </sheetView>
  </sheetViews>
  <sheetFormatPr defaultColWidth="14.42578125" defaultRowHeight="15" customHeight="1" x14ac:dyDescent="0.2"/>
  <cols>
    <col min="1" max="1" width="13.140625" customWidth="1"/>
    <col min="2" max="2" width="11.28515625" customWidth="1"/>
    <col min="3" max="3" width="8.42578125" customWidth="1"/>
    <col min="4" max="4" width="10.42578125" customWidth="1"/>
    <col min="5" max="5" width="9.85546875" customWidth="1"/>
    <col min="6" max="6" width="11" customWidth="1"/>
    <col min="7" max="7" width="9" customWidth="1"/>
    <col min="8" max="8" width="9.42578125" customWidth="1"/>
    <col min="9" max="9" width="10.85546875" customWidth="1"/>
    <col min="10" max="10" width="10.7109375" customWidth="1"/>
    <col min="11" max="11" width="9.85546875" customWidth="1"/>
    <col min="12" max="12" width="9.28515625" customWidth="1"/>
    <col min="13" max="13" width="10" customWidth="1"/>
    <col min="14" max="14" width="10.5703125" customWidth="1"/>
    <col min="15" max="15" width="10" customWidth="1"/>
    <col min="16" max="16" width="10.42578125" customWidth="1"/>
    <col min="17" max="17" width="9.28515625" customWidth="1"/>
    <col min="18" max="18" width="9.7109375" customWidth="1"/>
  </cols>
  <sheetData>
    <row r="1" spans="1:18" ht="12.75" x14ac:dyDescent="0.2">
      <c r="A1" s="165" t="s">
        <v>97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2.75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2.75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2.75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2.75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(27/02/25)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25.5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1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2.75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3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2.75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6"/>
      <c r="J12" s="123"/>
      <c r="K12" s="10"/>
      <c r="L12" s="122"/>
      <c r="M12" s="123"/>
      <c r="N12" s="122"/>
      <c r="O12" s="123"/>
      <c r="P12" s="124" t="s">
        <v>98</v>
      </c>
      <c r="Q12" s="125"/>
      <c r="R12" s="126"/>
    </row>
    <row r="13" spans="1:18" ht="12.75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99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2.75" x14ac:dyDescent="0.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99</v>
      </c>
      <c r="R16" s="112" t="s">
        <v>100</v>
      </c>
    </row>
    <row r="17" spans="1:18" ht="12.75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08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2.75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2.75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5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2.75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19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ht="15.75" customHeight="1" x14ac:dyDescent="0.2">
      <c r="A21" s="37">
        <v>45715</v>
      </c>
      <c r="B21" s="22">
        <v>1</v>
      </c>
      <c r="C21" s="38">
        <v>1587</v>
      </c>
      <c r="D21" s="39">
        <v>-917</v>
      </c>
      <c r="E21" s="28">
        <v>2505</v>
      </c>
      <c r="F21" s="22">
        <v>0</v>
      </c>
      <c r="G21" s="22">
        <v>1</v>
      </c>
      <c r="H21" s="28">
        <v>1517</v>
      </c>
      <c r="I21" s="39">
        <v>-758</v>
      </c>
      <c r="J21" s="28">
        <v>2275</v>
      </c>
      <c r="K21" s="22">
        <v>0</v>
      </c>
      <c r="L21" s="22">
        <v>1</v>
      </c>
      <c r="M21" s="38">
        <v>1535</v>
      </c>
      <c r="N21" s="39">
        <v>-572</v>
      </c>
      <c r="O21" s="28">
        <v>2107</v>
      </c>
      <c r="P21" s="22">
        <v>0</v>
      </c>
      <c r="Q21" s="29"/>
      <c r="R21" s="30"/>
    </row>
    <row r="22" spans="1:18" ht="15.75" customHeight="1" x14ac:dyDescent="0.2">
      <c r="A22" s="37">
        <v>45716</v>
      </c>
      <c r="B22" s="22">
        <f t="shared" ref="B22:B171" si="1">B21+1</f>
        <v>2</v>
      </c>
      <c r="C22" s="38">
        <v>1587</v>
      </c>
      <c r="D22" s="39">
        <v>-917</v>
      </c>
      <c r="E22" s="28">
        <v>2505</v>
      </c>
      <c r="F22" s="22">
        <v>0</v>
      </c>
      <c r="G22" s="22">
        <f t="shared" ref="G22:G171" si="2">G21+1</f>
        <v>2</v>
      </c>
      <c r="H22" s="28">
        <f t="shared" ref="H22:H170" si="3">$H$21-K22</f>
        <v>1517</v>
      </c>
      <c r="I22" s="39">
        <v>-758</v>
      </c>
      <c r="J22" s="28">
        <v>2275</v>
      </c>
      <c r="K22" s="22">
        <f t="shared" ref="K22:K171" si="4">$I$21-I22</f>
        <v>0</v>
      </c>
      <c r="L22" s="22">
        <f t="shared" ref="L22:L171" si="5">L21+1</f>
        <v>2</v>
      </c>
      <c r="M22" s="28">
        <f t="shared" ref="M22:M170" si="6">$M$21-P22</f>
        <v>1535</v>
      </c>
      <c r="N22" s="39">
        <v>-572</v>
      </c>
      <c r="O22" s="28">
        <v>2107</v>
      </c>
      <c r="P22" s="22">
        <f t="shared" ref="P22:P171" si="7">$N$21-N22</f>
        <v>0</v>
      </c>
      <c r="Q22" s="29"/>
      <c r="R22" s="30"/>
    </row>
    <row r="23" spans="1:18" ht="15.75" customHeight="1" x14ac:dyDescent="0.2">
      <c r="A23" s="37">
        <v>45717</v>
      </c>
      <c r="B23" s="22">
        <f t="shared" si="1"/>
        <v>3</v>
      </c>
      <c r="C23" s="28">
        <f t="shared" ref="C23:C170" si="8">$C$21-F23</f>
        <v>1576</v>
      </c>
      <c r="D23" s="39">
        <v>-928</v>
      </c>
      <c r="E23" s="28">
        <v>2505</v>
      </c>
      <c r="F23" s="22">
        <f t="shared" ref="F23:F171" si="9">D$22-D23</f>
        <v>11</v>
      </c>
      <c r="G23" s="22">
        <f t="shared" si="2"/>
        <v>3</v>
      </c>
      <c r="H23" s="28">
        <f t="shared" si="3"/>
        <v>1496</v>
      </c>
      <c r="I23" s="39">
        <v>-779</v>
      </c>
      <c r="J23" s="28">
        <v>2275</v>
      </c>
      <c r="K23" s="22">
        <f t="shared" si="4"/>
        <v>21</v>
      </c>
      <c r="L23" s="22">
        <f t="shared" si="5"/>
        <v>3</v>
      </c>
      <c r="M23" s="28">
        <f t="shared" si="6"/>
        <v>1523</v>
      </c>
      <c r="N23" s="39">
        <v>-584</v>
      </c>
      <c r="O23" s="28">
        <v>2107</v>
      </c>
      <c r="P23" s="22">
        <f t="shared" si="7"/>
        <v>12</v>
      </c>
      <c r="Q23" s="29"/>
      <c r="R23" s="30"/>
    </row>
    <row r="24" spans="1:18" ht="15.75" customHeight="1" x14ac:dyDescent="0.2">
      <c r="A24" s="37">
        <v>45718</v>
      </c>
      <c r="B24" s="22">
        <f t="shared" si="1"/>
        <v>4</v>
      </c>
      <c r="C24" s="28">
        <f t="shared" si="8"/>
        <v>1544</v>
      </c>
      <c r="D24" s="39">
        <v>-960</v>
      </c>
      <c r="E24" s="28">
        <v>2505</v>
      </c>
      <c r="F24" s="22">
        <f t="shared" si="9"/>
        <v>43</v>
      </c>
      <c r="G24" s="22">
        <f t="shared" si="2"/>
        <v>4</v>
      </c>
      <c r="H24" s="28">
        <f t="shared" si="3"/>
        <v>1461</v>
      </c>
      <c r="I24" s="39">
        <v>-814</v>
      </c>
      <c r="J24" s="28">
        <v>2275</v>
      </c>
      <c r="K24" s="22">
        <f t="shared" si="4"/>
        <v>56</v>
      </c>
      <c r="L24" s="22">
        <f t="shared" si="5"/>
        <v>4</v>
      </c>
      <c r="M24" s="28">
        <f t="shared" si="6"/>
        <v>1492</v>
      </c>
      <c r="N24" s="39">
        <v>-615</v>
      </c>
      <c r="O24" s="28">
        <v>2107</v>
      </c>
      <c r="P24" s="22">
        <f t="shared" si="7"/>
        <v>43</v>
      </c>
      <c r="Q24" s="29"/>
      <c r="R24" s="30"/>
    </row>
    <row r="25" spans="1:18" ht="15.75" customHeight="1" x14ac:dyDescent="0.2">
      <c r="A25" s="37">
        <v>45719</v>
      </c>
      <c r="B25" s="22">
        <f t="shared" si="1"/>
        <v>5</v>
      </c>
      <c r="C25" s="28">
        <f t="shared" si="8"/>
        <v>1504</v>
      </c>
      <c r="D25" s="39">
        <v>-1000</v>
      </c>
      <c r="E25" s="28">
        <v>2505</v>
      </c>
      <c r="F25" s="22">
        <f t="shared" si="9"/>
        <v>83</v>
      </c>
      <c r="G25" s="22">
        <f t="shared" si="2"/>
        <v>5</v>
      </c>
      <c r="H25" s="28">
        <f t="shared" si="3"/>
        <v>1419</v>
      </c>
      <c r="I25" s="39">
        <v>-856</v>
      </c>
      <c r="J25" s="28">
        <v>2275</v>
      </c>
      <c r="K25" s="22">
        <f t="shared" si="4"/>
        <v>98</v>
      </c>
      <c r="L25" s="22">
        <f t="shared" si="5"/>
        <v>5</v>
      </c>
      <c r="M25" s="28">
        <f t="shared" si="6"/>
        <v>1472</v>
      </c>
      <c r="N25" s="39">
        <v>-635</v>
      </c>
      <c r="O25" s="28">
        <v>2107</v>
      </c>
      <c r="P25" s="22">
        <f t="shared" si="7"/>
        <v>63</v>
      </c>
      <c r="Q25" s="29"/>
      <c r="R25" s="30"/>
    </row>
    <row r="26" spans="1:18" ht="15.75" customHeight="1" x14ac:dyDescent="0.2">
      <c r="A26" s="37">
        <v>45720</v>
      </c>
      <c r="B26" s="22">
        <f t="shared" si="1"/>
        <v>6</v>
      </c>
      <c r="C26" s="28">
        <f t="shared" si="8"/>
        <v>1486</v>
      </c>
      <c r="D26" s="39">
        <v>-1018</v>
      </c>
      <c r="E26" s="28">
        <v>2505</v>
      </c>
      <c r="F26" s="22">
        <f t="shared" si="9"/>
        <v>101</v>
      </c>
      <c r="G26" s="22">
        <f t="shared" si="2"/>
        <v>6</v>
      </c>
      <c r="H26" s="28">
        <f t="shared" si="3"/>
        <v>1394</v>
      </c>
      <c r="I26" s="39">
        <v>-881</v>
      </c>
      <c r="J26" s="28">
        <v>2275</v>
      </c>
      <c r="K26" s="22">
        <f t="shared" si="4"/>
        <v>123</v>
      </c>
      <c r="L26" s="22">
        <f t="shared" si="5"/>
        <v>6</v>
      </c>
      <c r="M26" s="28">
        <f t="shared" si="6"/>
        <v>1446</v>
      </c>
      <c r="N26" s="39">
        <v>-661</v>
      </c>
      <c r="O26" s="28">
        <v>2107</v>
      </c>
      <c r="P26" s="22">
        <f t="shared" si="7"/>
        <v>89</v>
      </c>
      <c r="Q26" s="29"/>
      <c r="R26" s="30"/>
    </row>
    <row r="27" spans="1:18" ht="15.75" customHeight="1" x14ac:dyDescent="0.2">
      <c r="A27" s="37">
        <v>45721</v>
      </c>
      <c r="B27" s="22">
        <f t="shared" si="1"/>
        <v>7</v>
      </c>
      <c r="C27" s="28">
        <f t="shared" si="8"/>
        <v>1463</v>
      </c>
      <c r="D27" s="39">
        <v>-1041</v>
      </c>
      <c r="E27" s="28">
        <v>2505</v>
      </c>
      <c r="F27" s="22">
        <f t="shared" si="9"/>
        <v>124</v>
      </c>
      <c r="G27" s="22">
        <f t="shared" si="2"/>
        <v>7</v>
      </c>
      <c r="H27" s="28">
        <f t="shared" si="3"/>
        <v>1364</v>
      </c>
      <c r="I27" s="39">
        <v>-911</v>
      </c>
      <c r="J27" s="28">
        <v>2275</v>
      </c>
      <c r="K27" s="22">
        <f t="shared" si="4"/>
        <v>153</v>
      </c>
      <c r="L27" s="22">
        <f t="shared" si="5"/>
        <v>7</v>
      </c>
      <c r="M27" s="28">
        <f t="shared" si="6"/>
        <v>1426</v>
      </c>
      <c r="N27" s="39">
        <v>-681</v>
      </c>
      <c r="O27" s="28">
        <v>2107</v>
      </c>
      <c r="P27" s="22">
        <f t="shared" si="7"/>
        <v>109</v>
      </c>
      <c r="Q27" s="29"/>
      <c r="R27" s="30"/>
    </row>
    <row r="28" spans="1:18" ht="15.75" customHeight="1" x14ac:dyDescent="0.2">
      <c r="A28" s="37">
        <v>45722</v>
      </c>
      <c r="B28" s="22">
        <f t="shared" si="1"/>
        <v>8</v>
      </c>
      <c r="C28" s="28">
        <f t="shared" si="8"/>
        <v>1442</v>
      </c>
      <c r="D28" s="39">
        <v>-1062</v>
      </c>
      <c r="E28" s="28">
        <v>2505</v>
      </c>
      <c r="F28" s="22">
        <f t="shared" si="9"/>
        <v>145</v>
      </c>
      <c r="G28" s="22">
        <f t="shared" si="2"/>
        <v>8</v>
      </c>
      <c r="H28" s="28">
        <f t="shared" si="3"/>
        <v>1342</v>
      </c>
      <c r="I28" s="39">
        <v>-933</v>
      </c>
      <c r="J28" s="28">
        <v>2275</v>
      </c>
      <c r="K28" s="22">
        <f t="shared" si="4"/>
        <v>175</v>
      </c>
      <c r="L28" s="22">
        <f t="shared" si="5"/>
        <v>8</v>
      </c>
      <c r="M28" s="28">
        <f t="shared" si="6"/>
        <v>1406</v>
      </c>
      <c r="N28" s="39">
        <v>-701</v>
      </c>
      <c r="O28" s="28">
        <v>2107</v>
      </c>
      <c r="P28" s="22">
        <f t="shared" si="7"/>
        <v>129</v>
      </c>
      <c r="Q28" s="29"/>
      <c r="R28" s="30"/>
    </row>
    <row r="29" spans="1:18" ht="15.75" customHeight="1" x14ac:dyDescent="0.2">
      <c r="A29" s="37">
        <v>45723</v>
      </c>
      <c r="B29" s="22">
        <f t="shared" si="1"/>
        <v>9</v>
      </c>
      <c r="C29" s="28">
        <f t="shared" si="8"/>
        <v>1418</v>
      </c>
      <c r="D29" s="39">
        <v>-1086</v>
      </c>
      <c r="E29" s="28">
        <v>2505</v>
      </c>
      <c r="F29" s="22">
        <f t="shared" si="9"/>
        <v>169</v>
      </c>
      <c r="G29" s="22">
        <f t="shared" si="2"/>
        <v>9</v>
      </c>
      <c r="H29" s="28">
        <f t="shared" si="3"/>
        <v>1319</v>
      </c>
      <c r="I29" s="39">
        <v>-956</v>
      </c>
      <c r="J29" s="28">
        <v>2275</v>
      </c>
      <c r="K29" s="22">
        <f t="shared" si="4"/>
        <v>198</v>
      </c>
      <c r="L29" s="22">
        <f t="shared" si="5"/>
        <v>9</v>
      </c>
      <c r="M29" s="28">
        <f t="shared" si="6"/>
        <v>1386</v>
      </c>
      <c r="N29" s="39">
        <v>-721</v>
      </c>
      <c r="O29" s="28">
        <v>2107</v>
      </c>
      <c r="P29" s="22">
        <f t="shared" si="7"/>
        <v>149</v>
      </c>
      <c r="Q29" s="29"/>
      <c r="R29" s="30"/>
    </row>
    <row r="30" spans="1:18" ht="15.75" customHeight="1" x14ac:dyDescent="0.2">
      <c r="A30" s="37">
        <v>45724</v>
      </c>
      <c r="B30" s="22">
        <f t="shared" si="1"/>
        <v>10</v>
      </c>
      <c r="C30" s="28">
        <f t="shared" si="8"/>
        <v>1404</v>
      </c>
      <c r="D30" s="39">
        <v>-1100</v>
      </c>
      <c r="E30" s="28">
        <v>2505</v>
      </c>
      <c r="F30" s="22">
        <f t="shared" si="9"/>
        <v>183</v>
      </c>
      <c r="G30" s="22">
        <f t="shared" si="2"/>
        <v>10</v>
      </c>
      <c r="H30" s="28">
        <f t="shared" si="3"/>
        <v>1306</v>
      </c>
      <c r="I30" s="39">
        <v>-969</v>
      </c>
      <c r="J30" s="28">
        <v>2275</v>
      </c>
      <c r="K30" s="22">
        <f t="shared" si="4"/>
        <v>211</v>
      </c>
      <c r="L30" s="22">
        <f t="shared" si="5"/>
        <v>10</v>
      </c>
      <c r="M30" s="28">
        <f t="shared" si="6"/>
        <v>1381</v>
      </c>
      <c r="N30" s="39">
        <v>-726</v>
      </c>
      <c r="O30" s="28">
        <v>2107</v>
      </c>
      <c r="P30" s="22">
        <f t="shared" si="7"/>
        <v>154</v>
      </c>
      <c r="Q30" s="29"/>
      <c r="R30" s="30"/>
    </row>
    <row r="31" spans="1:18" ht="15.75" customHeight="1" x14ac:dyDescent="0.2">
      <c r="A31" s="37">
        <v>45725</v>
      </c>
      <c r="B31" s="22">
        <f t="shared" si="1"/>
        <v>11</v>
      </c>
      <c r="C31" s="28">
        <f t="shared" si="8"/>
        <v>1389</v>
      </c>
      <c r="D31" s="39">
        <v>-1115</v>
      </c>
      <c r="E31" s="28">
        <v>2505</v>
      </c>
      <c r="F31" s="22">
        <f t="shared" si="9"/>
        <v>198</v>
      </c>
      <c r="G31" s="22">
        <f t="shared" si="2"/>
        <v>11</v>
      </c>
      <c r="H31" s="28">
        <f t="shared" si="3"/>
        <v>1295</v>
      </c>
      <c r="I31" s="39">
        <v>-980</v>
      </c>
      <c r="J31" s="28">
        <v>2275</v>
      </c>
      <c r="K31" s="22">
        <f t="shared" si="4"/>
        <v>222</v>
      </c>
      <c r="L31" s="22">
        <f t="shared" si="5"/>
        <v>11</v>
      </c>
      <c r="M31" s="28">
        <f t="shared" si="6"/>
        <v>1371</v>
      </c>
      <c r="N31" s="39">
        <v>-736</v>
      </c>
      <c r="O31" s="28">
        <v>2107</v>
      </c>
      <c r="P31" s="22">
        <f t="shared" si="7"/>
        <v>164</v>
      </c>
      <c r="Q31" s="29"/>
      <c r="R31" s="30"/>
    </row>
    <row r="32" spans="1:18" ht="15.75" customHeight="1" x14ac:dyDescent="0.2">
      <c r="A32" s="37">
        <v>45726</v>
      </c>
      <c r="B32" s="22">
        <f t="shared" si="1"/>
        <v>12</v>
      </c>
      <c r="C32" s="28">
        <f t="shared" si="8"/>
        <v>1378</v>
      </c>
      <c r="D32" s="39">
        <v>-1126</v>
      </c>
      <c r="E32" s="28">
        <v>2505</v>
      </c>
      <c r="F32" s="22">
        <f t="shared" si="9"/>
        <v>209</v>
      </c>
      <c r="G32" s="22">
        <f t="shared" si="2"/>
        <v>12</v>
      </c>
      <c r="H32" s="28">
        <f t="shared" si="3"/>
        <v>1279</v>
      </c>
      <c r="I32" s="39">
        <v>-996</v>
      </c>
      <c r="J32" s="28">
        <v>2275</v>
      </c>
      <c r="K32" s="22">
        <f t="shared" si="4"/>
        <v>238</v>
      </c>
      <c r="L32" s="22">
        <f t="shared" si="5"/>
        <v>12</v>
      </c>
      <c r="M32" s="28">
        <f t="shared" si="6"/>
        <v>1361</v>
      </c>
      <c r="N32" s="39">
        <v>-746</v>
      </c>
      <c r="O32" s="28">
        <v>2107</v>
      </c>
      <c r="P32" s="22">
        <f t="shared" si="7"/>
        <v>174</v>
      </c>
      <c r="Q32" s="29"/>
      <c r="R32" s="30"/>
    </row>
    <row r="33" spans="1:18" ht="15.75" customHeight="1" x14ac:dyDescent="0.2">
      <c r="A33" s="37">
        <v>45727</v>
      </c>
      <c r="B33" s="22">
        <f t="shared" si="1"/>
        <v>13</v>
      </c>
      <c r="C33" s="28">
        <f t="shared" si="8"/>
        <v>1366</v>
      </c>
      <c r="D33" s="39">
        <v>-1138</v>
      </c>
      <c r="E33" s="28">
        <v>2505</v>
      </c>
      <c r="F33" s="22">
        <f t="shared" si="9"/>
        <v>221</v>
      </c>
      <c r="G33" s="22">
        <f t="shared" si="2"/>
        <v>13</v>
      </c>
      <c r="H33" s="28">
        <f t="shared" si="3"/>
        <v>1260</v>
      </c>
      <c r="I33" s="39">
        <v>-1015</v>
      </c>
      <c r="J33" s="28">
        <v>2275</v>
      </c>
      <c r="K33" s="22">
        <f t="shared" si="4"/>
        <v>257</v>
      </c>
      <c r="L33" s="22">
        <f t="shared" si="5"/>
        <v>13</v>
      </c>
      <c r="M33" s="28">
        <f t="shared" si="6"/>
        <v>1349</v>
      </c>
      <c r="N33" s="39">
        <v>-758</v>
      </c>
      <c r="O33" s="28">
        <v>2107</v>
      </c>
      <c r="P33" s="22">
        <f t="shared" si="7"/>
        <v>186</v>
      </c>
      <c r="Q33" s="29"/>
      <c r="R33" s="30"/>
    </row>
    <row r="34" spans="1:18" ht="15.75" customHeight="1" x14ac:dyDescent="0.2">
      <c r="A34" s="37">
        <v>45728</v>
      </c>
      <c r="B34" s="22">
        <f t="shared" si="1"/>
        <v>14</v>
      </c>
      <c r="C34" s="28">
        <f t="shared" si="8"/>
        <v>1355</v>
      </c>
      <c r="D34" s="39">
        <v>-1149</v>
      </c>
      <c r="E34" s="28">
        <v>2505</v>
      </c>
      <c r="F34" s="22">
        <f t="shared" si="9"/>
        <v>232</v>
      </c>
      <c r="G34" s="22">
        <f t="shared" si="2"/>
        <v>14</v>
      </c>
      <c r="H34" s="28">
        <f t="shared" si="3"/>
        <v>1247</v>
      </c>
      <c r="I34" s="39">
        <v>-1028</v>
      </c>
      <c r="J34" s="28">
        <v>2275</v>
      </c>
      <c r="K34" s="22">
        <f t="shared" si="4"/>
        <v>270</v>
      </c>
      <c r="L34" s="22">
        <f t="shared" si="5"/>
        <v>14</v>
      </c>
      <c r="M34" s="28">
        <f t="shared" si="6"/>
        <v>1337</v>
      </c>
      <c r="N34" s="39">
        <v>-770</v>
      </c>
      <c r="O34" s="28">
        <v>2107</v>
      </c>
      <c r="P34" s="22">
        <f t="shared" si="7"/>
        <v>198</v>
      </c>
      <c r="Q34" s="29"/>
      <c r="R34" s="30"/>
    </row>
    <row r="35" spans="1:18" ht="15.75" customHeight="1" x14ac:dyDescent="0.2">
      <c r="A35" s="37">
        <v>45729</v>
      </c>
      <c r="B35" s="22">
        <f t="shared" si="1"/>
        <v>15</v>
      </c>
      <c r="C35" s="28">
        <f t="shared" si="8"/>
        <v>1343</v>
      </c>
      <c r="D35" s="39">
        <v>-1161</v>
      </c>
      <c r="E35" s="28">
        <v>2505</v>
      </c>
      <c r="F35" s="22">
        <f t="shared" si="9"/>
        <v>244</v>
      </c>
      <c r="G35" s="22">
        <f t="shared" si="2"/>
        <v>15</v>
      </c>
      <c r="H35" s="28">
        <f t="shared" si="3"/>
        <v>1234</v>
      </c>
      <c r="I35" s="39">
        <v>-1041</v>
      </c>
      <c r="J35" s="28">
        <v>2275</v>
      </c>
      <c r="K35" s="22">
        <f t="shared" si="4"/>
        <v>283</v>
      </c>
      <c r="L35" s="22">
        <f t="shared" si="5"/>
        <v>15</v>
      </c>
      <c r="M35" s="28">
        <f t="shared" si="6"/>
        <v>1321</v>
      </c>
      <c r="N35" s="39">
        <v>-786</v>
      </c>
      <c r="O35" s="28">
        <v>2107</v>
      </c>
      <c r="P35" s="22">
        <f t="shared" si="7"/>
        <v>214</v>
      </c>
      <c r="Q35" s="36"/>
      <c r="R35" s="30"/>
    </row>
    <row r="36" spans="1:18" ht="15.75" customHeight="1" x14ac:dyDescent="0.2">
      <c r="A36" s="37">
        <v>45730</v>
      </c>
      <c r="B36" s="22">
        <f t="shared" si="1"/>
        <v>16</v>
      </c>
      <c r="C36" s="28">
        <f t="shared" si="8"/>
        <v>1336</v>
      </c>
      <c r="D36" s="39">
        <v>-1168</v>
      </c>
      <c r="E36" s="28">
        <v>2505</v>
      </c>
      <c r="F36" s="22">
        <f t="shared" si="9"/>
        <v>251</v>
      </c>
      <c r="G36" s="22">
        <f t="shared" si="2"/>
        <v>16</v>
      </c>
      <c r="H36" s="28">
        <f t="shared" si="3"/>
        <v>1222</v>
      </c>
      <c r="I36" s="39">
        <v>-1053</v>
      </c>
      <c r="J36" s="28">
        <v>2275</v>
      </c>
      <c r="K36" s="22">
        <f t="shared" si="4"/>
        <v>295</v>
      </c>
      <c r="L36" s="22">
        <f t="shared" si="5"/>
        <v>16</v>
      </c>
      <c r="M36" s="28">
        <f t="shared" si="6"/>
        <v>1313</v>
      </c>
      <c r="N36" s="39">
        <v>-794</v>
      </c>
      <c r="O36" s="28">
        <v>2107</v>
      </c>
      <c r="P36" s="22">
        <f t="shared" si="7"/>
        <v>222</v>
      </c>
      <c r="Q36" s="36"/>
      <c r="R36" s="30"/>
    </row>
    <row r="37" spans="1:18" ht="15.75" customHeight="1" x14ac:dyDescent="0.2">
      <c r="A37" s="37">
        <v>45731</v>
      </c>
      <c r="B37" s="22">
        <f t="shared" si="1"/>
        <v>17</v>
      </c>
      <c r="C37" s="28">
        <f t="shared" si="8"/>
        <v>1328</v>
      </c>
      <c r="D37" s="39">
        <v>-1176</v>
      </c>
      <c r="E37" s="28">
        <v>2505</v>
      </c>
      <c r="F37" s="22">
        <f t="shared" si="9"/>
        <v>259</v>
      </c>
      <c r="G37" s="22">
        <f t="shared" si="2"/>
        <v>17</v>
      </c>
      <c r="H37" s="28">
        <f t="shared" si="3"/>
        <v>1209</v>
      </c>
      <c r="I37" s="39">
        <v>-1066</v>
      </c>
      <c r="J37" s="28">
        <v>2275</v>
      </c>
      <c r="K37" s="22">
        <f t="shared" si="4"/>
        <v>308</v>
      </c>
      <c r="L37" s="22">
        <f t="shared" si="5"/>
        <v>17</v>
      </c>
      <c r="M37" s="28">
        <f t="shared" si="6"/>
        <v>1306</v>
      </c>
      <c r="N37" s="39">
        <v>-801</v>
      </c>
      <c r="O37" s="28">
        <v>2107</v>
      </c>
      <c r="P37" s="22">
        <f t="shared" si="7"/>
        <v>229</v>
      </c>
      <c r="Q37" s="36"/>
      <c r="R37" s="30"/>
    </row>
    <row r="38" spans="1:18" ht="15.75" customHeight="1" x14ac:dyDescent="0.2">
      <c r="A38" s="37">
        <v>45732</v>
      </c>
      <c r="B38" s="22">
        <f t="shared" si="1"/>
        <v>18</v>
      </c>
      <c r="C38" s="28">
        <f t="shared" si="8"/>
        <v>1318</v>
      </c>
      <c r="D38" s="24">
        <v>-1186</v>
      </c>
      <c r="E38" s="28">
        <v>2505</v>
      </c>
      <c r="F38" s="22">
        <f t="shared" si="9"/>
        <v>269</v>
      </c>
      <c r="G38" s="22">
        <f t="shared" si="2"/>
        <v>18</v>
      </c>
      <c r="H38" s="28">
        <f t="shared" si="3"/>
        <v>1199</v>
      </c>
      <c r="I38" s="24">
        <v>-1076</v>
      </c>
      <c r="J38" s="28">
        <v>2275</v>
      </c>
      <c r="K38" s="22">
        <f t="shared" si="4"/>
        <v>318</v>
      </c>
      <c r="L38" s="22">
        <f t="shared" si="5"/>
        <v>18</v>
      </c>
      <c r="M38" s="28">
        <f t="shared" si="6"/>
        <v>1299</v>
      </c>
      <c r="N38" s="24">
        <v>-808</v>
      </c>
      <c r="O38" s="28">
        <v>2107</v>
      </c>
      <c r="P38" s="22">
        <f t="shared" si="7"/>
        <v>236</v>
      </c>
      <c r="Q38" s="36"/>
      <c r="R38" s="30"/>
    </row>
    <row r="39" spans="1:18" ht="15.75" customHeight="1" x14ac:dyDescent="0.2">
      <c r="A39" s="37">
        <v>45733</v>
      </c>
      <c r="B39" s="22">
        <f t="shared" si="1"/>
        <v>19</v>
      </c>
      <c r="C39" s="28">
        <f t="shared" si="8"/>
        <v>1308</v>
      </c>
      <c r="D39" s="24">
        <v>-1196</v>
      </c>
      <c r="E39" s="28">
        <v>2505</v>
      </c>
      <c r="F39" s="22">
        <f t="shared" si="9"/>
        <v>279</v>
      </c>
      <c r="G39" s="22">
        <f t="shared" si="2"/>
        <v>19</v>
      </c>
      <c r="H39" s="28">
        <f t="shared" si="3"/>
        <v>1189</v>
      </c>
      <c r="I39" s="24">
        <v>-1086</v>
      </c>
      <c r="J39" s="28">
        <v>2275</v>
      </c>
      <c r="K39" s="22">
        <f t="shared" si="4"/>
        <v>328</v>
      </c>
      <c r="L39" s="22">
        <f t="shared" si="5"/>
        <v>19</v>
      </c>
      <c r="M39" s="28">
        <f t="shared" si="6"/>
        <v>1292</v>
      </c>
      <c r="N39" s="24">
        <v>-815</v>
      </c>
      <c r="O39" s="28">
        <v>2107</v>
      </c>
      <c r="P39" s="22">
        <f t="shared" si="7"/>
        <v>243</v>
      </c>
      <c r="Q39" s="36"/>
      <c r="R39" s="30"/>
    </row>
    <row r="40" spans="1:18" ht="15.75" customHeight="1" x14ac:dyDescent="0.2">
      <c r="A40" s="37">
        <v>45734</v>
      </c>
      <c r="B40" s="22">
        <f t="shared" si="1"/>
        <v>20</v>
      </c>
      <c r="C40" s="28">
        <f t="shared" si="8"/>
        <v>1298</v>
      </c>
      <c r="D40" s="24">
        <v>-1206</v>
      </c>
      <c r="E40" s="28">
        <v>2505</v>
      </c>
      <c r="F40" s="22">
        <f t="shared" si="9"/>
        <v>289</v>
      </c>
      <c r="G40" s="22">
        <f t="shared" si="2"/>
        <v>20</v>
      </c>
      <c r="H40" s="28">
        <f t="shared" si="3"/>
        <v>1179</v>
      </c>
      <c r="I40" s="24">
        <v>-1096</v>
      </c>
      <c r="J40" s="28">
        <v>2275</v>
      </c>
      <c r="K40" s="22">
        <f t="shared" si="4"/>
        <v>338</v>
      </c>
      <c r="L40" s="22">
        <f t="shared" si="5"/>
        <v>20</v>
      </c>
      <c r="M40" s="28">
        <f t="shared" si="6"/>
        <v>1286</v>
      </c>
      <c r="N40" s="24">
        <v>-821</v>
      </c>
      <c r="O40" s="28">
        <v>2107</v>
      </c>
      <c r="P40" s="22">
        <f t="shared" si="7"/>
        <v>249</v>
      </c>
      <c r="Q40" s="36"/>
      <c r="R40" s="30"/>
    </row>
    <row r="41" spans="1:18" ht="15.75" customHeight="1" x14ac:dyDescent="0.2">
      <c r="A41" s="37">
        <v>45735</v>
      </c>
      <c r="B41" s="22">
        <f t="shared" si="1"/>
        <v>21</v>
      </c>
      <c r="C41" s="28">
        <f t="shared" si="8"/>
        <v>1298</v>
      </c>
      <c r="D41" s="24">
        <v>-1206</v>
      </c>
      <c r="E41" s="28">
        <v>2505</v>
      </c>
      <c r="F41" s="22">
        <f t="shared" si="9"/>
        <v>289</v>
      </c>
      <c r="G41" s="22">
        <f t="shared" si="2"/>
        <v>21</v>
      </c>
      <c r="H41" s="28">
        <f t="shared" si="3"/>
        <v>1179</v>
      </c>
      <c r="I41" s="24">
        <v>-1096</v>
      </c>
      <c r="J41" s="28">
        <v>2275</v>
      </c>
      <c r="K41" s="22">
        <f t="shared" si="4"/>
        <v>338</v>
      </c>
      <c r="L41" s="22">
        <f t="shared" si="5"/>
        <v>21</v>
      </c>
      <c r="M41" s="28">
        <f t="shared" si="6"/>
        <v>1286</v>
      </c>
      <c r="N41" s="24">
        <v>-821</v>
      </c>
      <c r="O41" s="28">
        <v>2107</v>
      </c>
      <c r="P41" s="22">
        <f t="shared" si="7"/>
        <v>249</v>
      </c>
      <c r="Q41" s="36"/>
      <c r="R41" s="30"/>
    </row>
    <row r="42" spans="1:18" ht="15.75" customHeight="1" x14ac:dyDescent="0.2">
      <c r="A42" s="37">
        <v>45736</v>
      </c>
      <c r="B42" s="22">
        <f t="shared" si="1"/>
        <v>22</v>
      </c>
      <c r="C42" s="28">
        <f t="shared" si="8"/>
        <v>1298</v>
      </c>
      <c r="D42" s="24">
        <v>-1206</v>
      </c>
      <c r="E42" s="28">
        <v>2505</v>
      </c>
      <c r="F42" s="22">
        <f t="shared" si="9"/>
        <v>289</v>
      </c>
      <c r="G42" s="22">
        <f t="shared" si="2"/>
        <v>22</v>
      </c>
      <c r="H42" s="28">
        <f t="shared" si="3"/>
        <v>1179</v>
      </c>
      <c r="I42" s="24">
        <v>-1096</v>
      </c>
      <c r="J42" s="28">
        <v>2275</v>
      </c>
      <c r="K42" s="22">
        <f t="shared" si="4"/>
        <v>338</v>
      </c>
      <c r="L42" s="22">
        <f t="shared" si="5"/>
        <v>22</v>
      </c>
      <c r="M42" s="28">
        <f t="shared" si="6"/>
        <v>1286</v>
      </c>
      <c r="N42" s="24">
        <v>-821</v>
      </c>
      <c r="O42" s="28">
        <v>2107</v>
      </c>
      <c r="P42" s="22">
        <f t="shared" si="7"/>
        <v>249</v>
      </c>
      <c r="Q42" s="36"/>
      <c r="R42" s="30"/>
    </row>
    <row r="43" spans="1:18" ht="15.75" customHeight="1" x14ac:dyDescent="0.2">
      <c r="A43" s="37">
        <v>45737</v>
      </c>
      <c r="B43" s="22">
        <f t="shared" si="1"/>
        <v>23</v>
      </c>
      <c r="C43" s="28">
        <f t="shared" si="8"/>
        <v>1289</v>
      </c>
      <c r="D43" s="24">
        <v>-1215</v>
      </c>
      <c r="E43" s="28">
        <v>2505</v>
      </c>
      <c r="F43" s="22">
        <f t="shared" si="9"/>
        <v>298</v>
      </c>
      <c r="G43" s="22">
        <f t="shared" si="2"/>
        <v>23</v>
      </c>
      <c r="H43" s="28">
        <f t="shared" si="3"/>
        <v>1169</v>
      </c>
      <c r="I43" s="24">
        <v>-1106</v>
      </c>
      <c r="J43" s="28">
        <v>2275</v>
      </c>
      <c r="K43" s="22">
        <f t="shared" si="4"/>
        <v>348</v>
      </c>
      <c r="L43" s="22">
        <f t="shared" si="5"/>
        <v>23</v>
      </c>
      <c r="M43" s="28">
        <f t="shared" si="6"/>
        <v>1277</v>
      </c>
      <c r="N43" s="24">
        <v>-830</v>
      </c>
      <c r="O43" s="28">
        <v>2107</v>
      </c>
      <c r="P43" s="22">
        <f t="shared" si="7"/>
        <v>258</v>
      </c>
      <c r="Q43" s="36"/>
      <c r="R43" s="30"/>
    </row>
    <row r="44" spans="1:18" ht="15.75" customHeight="1" x14ac:dyDescent="0.2">
      <c r="A44" s="37">
        <v>45738</v>
      </c>
      <c r="B44" s="22">
        <f t="shared" si="1"/>
        <v>24</v>
      </c>
      <c r="C44" s="28">
        <f t="shared" si="8"/>
        <v>1281</v>
      </c>
      <c r="D44" s="24">
        <v>-1223</v>
      </c>
      <c r="E44" s="28">
        <v>2505</v>
      </c>
      <c r="F44" s="22">
        <f t="shared" si="9"/>
        <v>306</v>
      </c>
      <c r="G44" s="22">
        <f t="shared" si="2"/>
        <v>24</v>
      </c>
      <c r="H44" s="28">
        <f t="shared" si="3"/>
        <v>1259</v>
      </c>
      <c r="I44" s="24">
        <v>-1016</v>
      </c>
      <c r="J44" s="28">
        <v>2275</v>
      </c>
      <c r="K44" s="22">
        <f t="shared" si="4"/>
        <v>258</v>
      </c>
      <c r="L44" s="22">
        <f t="shared" si="5"/>
        <v>24</v>
      </c>
      <c r="M44" s="28">
        <f t="shared" si="6"/>
        <v>1270</v>
      </c>
      <c r="N44" s="24">
        <v>-837</v>
      </c>
      <c r="O44" s="28">
        <v>2107</v>
      </c>
      <c r="P44" s="22">
        <f t="shared" si="7"/>
        <v>265</v>
      </c>
      <c r="Q44" s="36"/>
      <c r="R44" s="30"/>
    </row>
    <row r="45" spans="1:18" ht="15.75" customHeight="1" x14ac:dyDescent="0.2">
      <c r="A45" s="37">
        <v>45739</v>
      </c>
      <c r="B45" s="22">
        <f t="shared" si="1"/>
        <v>25</v>
      </c>
      <c r="C45" s="28">
        <f t="shared" si="8"/>
        <v>1273</v>
      </c>
      <c r="D45" s="24">
        <v>-1231</v>
      </c>
      <c r="E45" s="28">
        <v>2505</v>
      </c>
      <c r="F45" s="22">
        <f t="shared" si="9"/>
        <v>314</v>
      </c>
      <c r="G45" s="22">
        <f t="shared" si="2"/>
        <v>25</v>
      </c>
      <c r="H45" s="28">
        <f t="shared" si="3"/>
        <v>1149</v>
      </c>
      <c r="I45" s="24">
        <v>-1126</v>
      </c>
      <c r="J45" s="28">
        <v>2275</v>
      </c>
      <c r="K45" s="22">
        <f t="shared" si="4"/>
        <v>368</v>
      </c>
      <c r="L45" s="22">
        <f t="shared" si="5"/>
        <v>25</v>
      </c>
      <c r="M45" s="28">
        <f t="shared" si="6"/>
        <v>1263</v>
      </c>
      <c r="N45" s="24">
        <v>-844</v>
      </c>
      <c r="O45" s="28">
        <v>2107</v>
      </c>
      <c r="P45" s="22">
        <f t="shared" si="7"/>
        <v>272</v>
      </c>
      <c r="Q45" s="36"/>
      <c r="R45" s="30"/>
    </row>
    <row r="46" spans="1:18" ht="15.75" customHeight="1" x14ac:dyDescent="0.2">
      <c r="A46" s="37">
        <v>45740</v>
      </c>
      <c r="B46" s="22">
        <f t="shared" si="1"/>
        <v>26</v>
      </c>
      <c r="C46" s="28">
        <f t="shared" si="8"/>
        <v>1267</v>
      </c>
      <c r="D46" s="24">
        <v>-1237</v>
      </c>
      <c r="E46" s="28">
        <v>2505</v>
      </c>
      <c r="F46" s="22">
        <f t="shared" si="9"/>
        <v>320</v>
      </c>
      <c r="G46" s="22">
        <f t="shared" si="2"/>
        <v>26</v>
      </c>
      <c r="H46" s="28">
        <f t="shared" si="3"/>
        <v>1140</v>
      </c>
      <c r="I46" s="24">
        <v>-1135</v>
      </c>
      <c r="J46" s="28">
        <v>2275</v>
      </c>
      <c r="K46" s="22">
        <f t="shared" si="4"/>
        <v>377</v>
      </c>
      <c r="L46" s="22">
        <f t="shared" si="5"/>
        <v>26</v>
      </c>
      <c r="M46" s="28">
        <f t="shared" si="6"/>
        <v>1257</v>
      </c>
      <c r="N46" s="24">
        <v>-850</v>
      </c>
      <c r="O46" s="28">
        <v>2107</v>
      </c>
      <c r="P46" s="22">
        <f t="shared" si="7"/>
        <v>278</v>
      </c>
      <c r="Q46" s="36"/>
      <c r="R46" s="30"/>
    </row>
    <row r="47" spans="1:18" ht="15.75" customHeight="1" x14ac:dyDescent="0.2">
      <c r="A47" s="37">
        <v>45741</v>
      </c>
      <c r="B47" s="22">
        <f t="shared" si="1"/>
        <v>27</v>
      </c>
      <c r="C47" s="28">
        <f t="shared" si="8"/>
        <v>1261</v>
      </c>
      <c r="D47" s="24">
        <v>-1243</v>
      </c>
      <c r="E47" s="28">
        <v>2505</v>
      </c>
      <c r="F47" s="22">
        <f t="shared" si="9"/>
        <v>326</v>
      </c>
      <c r="G47" s="22">
        <f t="shared" si="2"/>
        <v>27</v>
      </c>
      <c r="H47" s="28">
        <f t="shared" si="3"/>
        <v>1132</v>
      </c>
      <c r="I47" s="24">
        <v>-1143</v>
      </c>
      <c r="J47" s="28">
        <v>2275</v>
      </c>
      <c r="K47" s="22">
        <f t="shared" si="4"/>
        <v>385</v>
      </c>
      <c r="L47" s="22">
        <f t="shared" si="5"/>
        <v>27</v>
      </c>
      <c r="M47" s="28">
        <f t="shared" si="6"/>
        <v>1251</v>
      </c>
      <c r="N47" s="24">
        <v>-856</v>
      </c>
      <c r="O47" s="28">
        <v>2107</v>
      </c>
      <c r="P47" s="22">
        <f t="shared" si="7"/>
        <v>284</v>
      </c>
      <c r="Q47" s="36"/>
      <c r="R47" s="30"/>
    </row>
    <row r="48" spans="1:18" ht="15.75" customHeight="1" x14ac:dyDescent="0.2">
      <c r="A48" s="37">
        <v>45742</v>
      </c>
      <c r="B48" s="22">
        <f t="shared" si="1"/>
        <v>28</v>
      </c>
      <c r="C48" s="28">
        <f t="shared" si="8"/>
        <v>1256</v>
      </c>
      <c r="D48" s="24">
        <v>-1248</v>
      </c>
      <c r="E48" s="28">
        <v>2505</v>
      </c>
      <c r="F48" s="22">
        <f t="shared" si="9"/>
        <v>331</v>
      </c>
      <c r="G48" s="22">
        <f t="shared" si="2"/>
        <v>28</v>
      </c>
      <c r="H48" s="28">
        <f t="shared" si="3"/>
        <v>1126</v>
      </c>
      <c r="I48" s="24">
        <v>-1149</v>
      </c>
      <c r="J48" s="28">
        <v>2275</v>
      </c>
      <c r="K48" s="22">
        <f t="shared" si="4"/>
        <v>391</v>
      </c>
      <c r="L48" s="22">
        <f t="shared" si="5"/>
        <v>28</v>
      </c>
      <c r="M48" s="28">
        <f t="shared" si="6"/>
        <v>1246</v>
      </c>
      <c r="N48" s="24">
        <v>-861</v>
      </c>
      <c r="O48" s="28">
        <v>2107</v>
      </c>
      <c r="P48" s="22">
        <f t="shared" si="7"/>
        <v>289</v>
      </c>
      <c r="Q48" s="36"/>
      <c r="R48" s="30"/>
    </row>
    <row r="49" spans="1:18" ht="15.75" customHeight="1" x14ac:dyDescent="0.2">
      <c r="A49" s="37">
        <v>45743</v>
      </c>
      <c r="B49" s="22">
        <f t="shared" si="1"/>
        <v>29</v>
      </c>
      <c r="C49" s="28">
        <f t="shared" si="8"/>
        <v>1244</v>
      </c>
      <c r="D49" s="24">
        <v>-1260</v>
      </c>
      <c r="E49" s="28">
        <v>2505</v>
      </c>
      <c r="F49" s="22">
        <f t="shared" si="9"/>
        <v>343</v>
      </c>
      <c r="G49" s="22">
        <f t="shared" si="2"/>
        <v>29</v>
      </c>
      <c r="H49" s="28">
        <f t="shared" si="3"/>
        <v>1115</v>
      </c>
      <c r="I49" s="24">
        <v>-1160</v>
      </c>
      <c r="J49" s="28">
        <v>2275</v>
      </c>
      <c r="K49" s="22">
        <f t="shared" si="4"/>
        <v>402</v>
      </c>
      <c r="L49" s="22">
        <f t="shared" si="5"/>
        <v>29</v>
      </c>
      <c r="M49" s="28">
        <f t="shared" si="6"/>
        <v>1235</v>
      </c>
      <c r="N49" s="24">
        <v>-872</v>
      </c>
      <c r="O49" s="28">
        <v>2107</v>
      </c>
      <c r="P49" s="22">
        <f t="shared" si="7"/>
        <v>300</v>
      </c>
      <c r="Q49" s="36"/>
      <c r="R49" s="30"/>
    </row>
    <row r="50" spans="1:18" ht="15.75" customHeight="1" x14ac:dyDescent="0.2">
      <c r="A50" s="37">
        <v>45744</v>
      </c>
      <c r="B50" s="22">
        <f t="shared" si="1"/>
        <v>30</v>
      </c>
      <c r="C50" s="28">
        <f t="shared" si="8"/>
        <v>1227</v>
      </c>
      <c r="D50" s="24">
        <v>-1277</v>
      </c>
      <c r="E50" s="28">
        <v>2505</v>
      </c>
      <c r="F50" s="22">
        <f t="shared" si="9"/>
        <v>360</v>
      </c>
      <c r="G50" s="22">
        <f t="shared" si="2"/>
        <v>30</v>
      </c>
      <c r="H50" s="28">
        <f t="shared" si="3"/>
        <v>1097</v>
      </c>
      <c r="I50" s="24">
        <v>-1178</v>
      </c>
      <c r="J50" s="28">
        <v>2275</v>
      </c>
      <c r="K50" s="22">
        <f t="shared" si="4"/>
        <v>420</v>
      </c>
      <c r="L50" s="22">
        <f t="shared" si="5"/>
        <v>30</v>
      </c>
      <c r="M50" s="28">
        <f t="shared" si="6"/>
        <v>1222</v>
      </c>
      <c r="N50" s="24">
        <v>-885</v>
      </c>
      <c r="O50" s="28">
        <v>2107</v>
      </c>
      <c r="P50" s="22">
        <f t="shared" si="7"/>
        <v>313</v>
      </c>
      <c r="Q50" s="36"/>
      <c r="R50" s="30"/>
    </row>
    <row r="51" spans="1:18" ht="15.75" customHeight="1" x14ac:dyDescent="0.2">
      <c r="A51" s="37">
        <v>45745</v>
      </c>
      <c r="B51" s="22">
        <f t="shared" si="1"/>
        <v>31</v>
      </c>
      <c r="C51" s="28">
        <f t="shared" si="8"/>
        <v>1223</v>
      </c>
      <c r="D51" s="24">
        <v>-1281</v>
      </c>
      <c r="E51" s="28">
        <v>2505</v>
      </c>
      <c r="F51" s="22">
        <f t="shared" si="9"/>
        <v>364</v>
      </c>
      <c r="G51" s="22">
        <f t="shared" si="2"/>
        <v>31</v>
      </c>
      <c r="H51" s="28">
        <f t="shared" si="3"/>
        <v>1094</v>
      </c>
      <c r="I51" s="24">
        <v>-1181</v>
      </c>
      <c r="J51" s="28">
        <v>2275</v>
      </c>
      <c r="K51" s="22">
        <f t="shared" si="4"/>
        <v>423</v>
      </c>
      <c r="L51" s="22">
        <f t="shared" si="5"/>
        <v>31</v>
      </c>
      <c r="M51" s="28">
        <f t="shared" si="6"/>
        <v>1220</v>
      </c>
      <c r="N51" s="24">
        <v>-887</v>
      </c>
      <c r="O51" s="28">
        <v>2107</v>
      </c>
      <c r="P51" s="22">
        <f t="shared" si="7"/>
        <v>315</v>
      </c>
      <c r="Q51" s="36"/>
      <c r="R51" s="30"/>
    </row>
    <row r="52" spans="1:18" ht="15.75" customHeight="1" x14ac:dyDescent="0.2">
      <c r="A52" s="37">
        <v>45746</v>
      </c>
      <c r="B52" s="22">
        <f t="shared" si="1"/>
        <v>32</v>
      </c>
      <c r="C52" s="28">
        <f t="shared" si="8"/>
        <v>1219</v>
      </c>
      <c r="D52" s="24">
        <v>-1285</v>
      </c>
      <c r="E52" s="28">
        <v>2505</v>
      </c>
      <c r="F52" s="22">
        <f t="shared" si="9"/>
        <v>368</v>
      </c>
      <c r="G52" s="22">
        <f t="shared" si="2"/>
        <v>32</v>
      </c>
      <c r="H52" s="28">
        <f t="shared" si="3"/>
        <v>991</v>
      </c>
      <c r="I52" s="24">
        <v>-1284</v>
      </c>
      <c r="J52" s="28">
        <v>2275</v>
      </c>
      <c r="K52" s="22">
        <f t="shared" si="4"/>
        <v>526</v>
      </c>
      <c r="L52" s="22">
        <f t="shared" si="5"/>
        <v>32</v>
      </c>
      <c r="M52" s="28">
        <f t="shared" si="6"/>
        <v>1217</v>
      </c>
      <c r="N52" s="24">
        <v>-890</v>
      </c>
      <c r="O52" s="28">
        <v>2107</v>
      </c>
      <c r="P52" s="22">
        <f t="shared" si="7"/>
        <v>318</v>
      </c>
      <c r="Q52" s="36"/>
      <c r="R52" s="30"/>
    </row>
    <row r="53" spans="1:18" ht="15.75" customHeight="1" x14ac:dyDescent="0.2">
      <c r="A53" s="37">
        <v>45747</v>
      </c>
      <c r="B53" s="22">
        <f t="shared" si="1"/>
        <v>33</v>
      </c>
      <c r="C53" s="28">
        <f t="shared" si="8"/>
        <v>1216</v>
      </c>
      <c r="D53" s="24">
        <v>-1288</v>
      </c>
      <c r="E53" s="28">
        <v>2505</v>
      </c>
      <c r="F53" s="22">
        <f t="shared" si="9"/>
        <v>371</v>
      </c>
      <c r="G53" s="22">
        <f t="shared" si="2"/>
        <v>33</v>
      </c>
      <c r="H53" s="28">
        <f t="shared" si="3"/>
        <v>1087</v>
      </c>
      <c r="I53" s="24">
        <v>-1188</v>
      </c>
      <c r="J53" s="28">
        <v>2275</v>
      </c>
      <c r="K53" s="22">
        <f t="shared" si="4"/>
        <v>430</v>
      </c>
      <c r="L53" s="22">
        <f t="shared" si="5"/>
        <v>33</v>
      </c>
      <c r="M53" s="28">
        <f t="shared" si="6"/>
        <v>1215</v>
      </c>
      <c r="N53" s="24">
        <v>-892</v>
      </c>
      <c r="O53" s="28">
        <v>2107</v>
      </c>
      <c r="P53" s="22">
        <f t="shared" si="7"/>
        <v>320</v>
      </c>
      <c r="Q53" s="36"/>
      <c r="R53" s="30"/>
    </row>
    <row r="54" spans="1:18" ht="15.75" customHeight="1" x14ac:dyDescent="0.2">
      <c r="A54" s="37">
        <v>45748</v>
      </c>
      <c r="B54" s="22">
        <f t="shared" si="1"/>
        <v>34</v>
      </c>
      <c r="C54" s="28">
        <f t="shared" si="8"/>
        <v>1204</v>
      </c>
      <c r="D54" s="24">
        <v>-1300</v>
      </c>
      <c r="E54" s="28">
        <v>2505</v>
      </c>
      <c r="F54" s="22">
        <f t="shared" si="9"/>
        <v>383</v>
      </c>
      <c r="G54" s="22">
        <f t="shared" si="2"/>
        <v>34</v>
      </c>
      <c r="H54" s="28">
        <f t="shared" si="3"/>
        <v>1075</v>
      </c>
      <c r="I54" s="24">
        <v>-1200</v>
      </c>
      <c r="J54" s="28">
        <v>2275</v>
      </c>
      <c r="K54" s="22">
        <f t="shared" si="4"/>
        <v>442</v>
      </c>
      <c r="L54" s="22">
        <f t="shared" si="5"/>
        <v>34</v>
      </c>
      <c r="M54" s="28">
        <f t="shared" si="6"/>
        <v>1197</v>
      </c>
      <c r="N54" s="24">
        <v>-910</v>
      </c>
      <c r="O54" s="28">
        <v>2107</v>
      </c>
      <c r="P54" s="22">
        <f t="shared" si="7"/>
        <v>338</v>
      </c>
      <c r="Q54" s="36"/>
      <c r="R54" s="30"/>
    </row>
    <row r="55" spans="1:18" ht="15.75" customHeight="1" x14ac:dyDescent="0.2">
      <c r="A55" s="37">
        <v>45749</v>
      </c>
      <c r="B55" s="22">
        <f t="shared" si="1"/>
        <v>35</v>
      </c>
      <c r="C55" s="28">
        <f t="shared" si="8"/>
        <v>1194</v>
      </c>
      <c r="D55" s="24">
        <v>-1310</v>
      </c>
      <c r="E55" s="28">
        <v>2505</v>
      </c>
      <c r="F55" s="22">
        <f t="shared" si="9"/>
        <v>393</v>
      </c>
      <c r="G55" s="22">
        <f t="shared" si="2"/>
        <v>35</v>
      </c>
      <c r="H55" s="28">
        <f t="shared" si="3"/>
        <v>1065</v>
      </c>
      <c r="I55" s="24">
        <v>-1210</v>
      </c>
      <c r="J55" s="28">
        <v>2275</v>
      </c>
      <c r="K55" s="22">
        <f t="shared" si="4"/>
        <v>452</v>
      </c>
      <c r="L55" s="22">
        <f t="shared" si="5"/>
        <v>35</v>
      </c>
      <c r="M55" s="28">
        <f t="shared" si="6"/>
        <v>1192</v>
      </c>
      <c r="N55" s="24">
        <v>-915</v>
      </c>
      <c r="O55" s="28">
        <v>2107</v>
      </c>
      <c r="P55" s="22">
        <f t="shared" si="7"/>
        <v>343</v>
      </c>
      <c r="Q55" s="36"/>
      <c r="R55" s="30"/>
    </row>
    <row r="56" spans="1:18" ht="15.75" customHeight="1" x14ac:dyDescent="0.2">
      <c r="A56" s="37">
        <v>45750</v>
      </c>
      <c r="B56" s="22">
        <f t="shared" si="1"/>
        <v>36</v>
      </c>
      <c r="C56" s="28">
        <f t="shared" si="8"/>
        <v>1190</v>
      </c>
      <c r="D56" s="24">
        <v>-1314</v>
      </c>
      <c r="E56" s="28">
        <v>2505</v>
      </c>
      <c r="F56" s="22">
        <f t="shared" si="9"/>
        <v>397</v>
      </c>
      <c r="G56" s="22">
        <f t="shared" si="2"/>
        <v>36</v>
      </c>
      <c r="H56" s="28">
        <f t="shared" si="3"/>
        <v>1057</v>
      </c>
      <c r="I56" s="24">
        <v>-1218</v>
      </c>
      <c r="J56" s="28">
        <v>2275</v>
      </c>
      <c r="K56" s="22">
        <f t="shared" si="4"/>
        <v>460</v>
      </c>
      <c r="L56" s="22">
        <f t="shared" si="5"/>
        <v>36</v>
      </c>
      <c r="M56" s="28">
        <f t="shared" si="6"/>
        <v>1187</v>
      </c>
      <c r="N56" s="24">
        <v>-920</v>
      </c>
      <c r="O56" s="28">
        <v>2107</v>
      </c>
      <c r="P56" s="22">
        <f t="shared" si="7"/>
        <v>348</v>
      </c>
      <c r="Q56" s="36"/>
      <c r="R56" s="30"/>
    </row>
    <row r="57" spans="1:18" ht="15.75" customHeight="1" x14ac:dyDescent="0.2">
      <c r="A57" s="37">
        <v>45751</v>
      </c>
      <c r="B57" s="22">
        <f t="shared" si="1"/>
        <v>37</v>
      </c>
      <c r="C57" s="28">
        <f t="shared" si="8"/>
        <v>1184</v>
      </c>
      <c r="D57" s="24">
        <v>-1320</v>
      </c>
      <c r="E57" s="28">
        <v>2505</v>
      </c>
      <c r="F57" s="22">
        <f t="shared" si="9"/>
        <v>403</v>
      </c>
      <c r="G57" s="22">
        <f t="shared" si="2"/>
        <v>37</v>
      </c>
      <c r="H57" s="28">
        <f t="shared" si="3"/>
        <v>1052</v>
      </c>
      <c r="I57" s="24">
        <v>-1223</v>
      </c>
      <c r="J57" s="28">
        <v>2275</v>
      </c>
      <c r="K57" s="22">
        <f t="shared" si="4"/>
        <v>465</v>
      </c>
      <c r="L57" s="22">
        <f t="shared" si="5"/>
        <v>37</v>
      </c>
      <c r="M57" s="28">
        <f t="shared" si="6"/>
        <v>1182</v>
      </c>
      <c r="N57" s="24">
        <v>-925</v>
      </c>
      <c r="O57" s="28">
        <v>2107</v>
      </c>
      <c r="P57" s="22">
        <f t="shared" si="7"/>
        <v>353</v>
      </c>
      <c r="Q57" s="36"/>
      <c r="R57" s="30"/>
    </row>
    <row r="58" spans="1:18" ht="15.75" customHeight="1" x14ac:dyDescent="0.2">
      <c r="A58" s="37">
        <v>45752</v>
      </c>
      <c r="B58" s="22">
        <f t="shared" si="1"/>
        <v>38</v>
      </c>
      <c r="C58" s="28">
        <f t="shared" si="8"/>
        <v>1176</v>
      </c>
      <c r="D58" s="24">
        <v>-1328</v>
      </c>
      <c r="E58" s="28">
        <v>2505</v>
      </c>
      <c r="F58" s="22">
        <f t="shared" si="9"/>
        <v>411</v>
      </c>
      <c r="G58" s="22">
        <f t="shared" si="2"/>
        <v>38</v>
      </c>
      <c r="H58" s="28">
        <f t="shared" si="3"/>
        <v>1044</v>
      </c>
      <c r="I58" s="24">
        <v>-1231</v>
      </c>
      <c r="J58" s="28">
        <v>2275</v>
      </c>
      <c r="K58" s="22">
        <f t="shared" si="4"/>
        <v>473</v>
      </c>
      <c r="L58" s="22">
        <f t="shared" si="5"/>
        <v>38</v>
      </c>
      <c r="M58" s="28">
        <f t="shared" si="6"/>
        <v>1172</v>
      </c>
      <c r="N58" s="24">
        <v>-935</v>
      </c>
      <c r="O58" s="28">
        <v>2107</v>
      </c>
      <c r="P58" s="22">
        <f t="shared" si="7"/>
        <v>363</v>
      </c>
      <c r="Q58" s="36"/>
      <c r="R58" s="30"/>
    </row>
    <row r="59" spans="1:18" ht="15.75" customHeight="1" x14ac:dyDescent="0.2">
      <c r="A59" s="37">
        <v>45753</v>
      </c>
      <c r="B59" s="22">
        <f t="shared" si="1"/>
        <v>39</v>
      </c>
      <c r="C59" s="28">
        <f t="shared" si="8"/>
        <v>1168</v>
      </c>
      <c r="D59" s="24">
        <v>-1336</v>
      </c>
      <c r="E59" s="28">
        <v>2505</v>
      </c>
      <c r="F59" s="22">
        <f t="shared" si="9"/>
        <v>419</v>
      </c>
      <c r="G59" s="22">
        <f t="shared" si="2"/>
        <v>39</v>
      </c>
      <c r="H59" s="28">
        <f t="shared" si="3"/>
        <v>1036</v>
      </c>
      <c r="I59" s="24">
        <v>-1239</v>
      </c>
      <c r="J59" s="28">
        <v>2275</v>
      </c>
      <c r="K59" s="22">
        <f t="shared" si="4"/>
        <v>481</v>
      </c>
      <c r="L59" s="22">
        <f t="shared" si="5"/>
        <v>39</v>
      </c>
      <c r="M59" s="28">
        <f t="shared" si="6"/>
        <v>1164</v>
      </c>
      <c r="N59" s="24">
        <v>-943</v>
      </c>
      <c r="O59" s="28">
        <v>2107</v>
      </c>
      <c r="P59" s="22">
        <f t="shared" si="7"/>
        <v>371</v>
      </c>
      <c r="Q59" s="36"/>
      <c r="R59" s="30"/>
    </row>
    <row r="60" spans="1:18" ht="15.75" customHeight="1" x14ac:dyDescent="0.2">
      <c r="A60" s="37">
        <v>45754</v>
      </c>
      <c r="B60" s="22">
        <f t="shared" si="1"/>
        <v>40</v>
      </c>
      <c r="C60" s="28">
        <f t="shared" si="8"/>
        <v>1161</v>
      </c>
      <c r="D60" s="24">
        <v>-1343</v>
      </c>
      <c r="E60" s="28">
        <v>2505</v>
      </c>
      <c r="F60" s="22">
        <f t="shared" si="9"/>
        <v>426</v>
      </c>
      <c r="G60" s="22">
        <f t="shared" si="2"/>
        <v>40</v>
      </c>
      <c r="H60" s="28">
        <f t="shared" si="3"/>
        <v>1025</v>
      </c>
      <c r="I60" s="24">
        <v>-1250</v>
      </c>
      <c r="J60" s="28">
        <v>2275</v>
      </c>
      <c r="K60" s="22">
        <f t="shared" si="4"/>
        <v>492</v>
      </c>
      <c r="L60" s="22">
        <f t="shared" si="5"/>
        <v>40</v>
      </c>
      <c r="M60" s="28">
        <f t="shared" si="6"/>
        <v>1182</v>
      </c>
      <c r="N60" s="24">
        <v>-925</v>
      </c>
      <c r="O60" s="28">
        <v>2107</v>
      </c>
      <c r="P60" s="22">
        <f t="shared" si="7"/>
        <v>353</v>
      </c>
      <c r="Q60" s="36"/>
      <c r="R60" s="30"/>
    </row>
    <row r="61" spans="1:18" ht="15.75" customHeight="1" x14ac:dyDescent="0.2">
      <c r="A61" s="37">
        <v>45755</v>
      </c>
      <c r="B61" s="22">
        <f t="shared" si="1"/>
        <v>41</v>
      </c>
      <c r="C61" s="28">
        <f t="shared" si="8"/>
        <v>1153</v>
      </c>
      <c r="D61" s="24">
        <v>-1351</v>
      </c>
      <c r="E61" s="28">
        <v>2505</v>
      </c>
      <c r="F61" s="22">
        <f t="shared" si="9"/>
        <v>434</v>
      </c>
      <c r="G61" s="22">
        <f t="shared" si="2"/>
        <v>41</v>
      </c>
      <c r="H61" s="28">
        <f t="shared" si="3"/>
        <v>1016</v>
      </c>
      <c r="I61" s="24">
        <v>-1259</v>
      </c>
      <c r="J61" s="28">
        <v>2275</v>
      </c>
      <c r="K61" s="22">
        <f t="shared" si="4"/>
        <v>501</v>
      </c>
      <c r="L61" s="22">
        <f t="shared" si="5"/>
        <v>41</v>
      </c>
      <c r="M61" s="28">
        <f t="shared" si="6"/>
        <v>1172</v>
      </c>
      <c r="N61" s="24">
        <v>-935</v>
      </c>
      <c r="O61" s="28">
        <v>2107</v>
      </c>
      <c r="P61" s="22">
        <f t="shared" si="7"/>
        <v>363</v>
      </c>
      <c r="Q61" s="36"/>
      <c r="R61" s="30"/>
    </row>
    <row r="62" spans="1:18" ht="15.75" customHeight="1" x14ac:dyDescent="0.2">
      <c r="A62" s="37">
        <v>45756</v>
      </c>
      <c r="B62" s="22">
        <f t="shared" si="1"/>
        <v>42</v>
      </c>
      <c r="C62" s="28">
        <f t="shared" si="8"/>
        <v>1144</v>
      </c>
      <c r="D62" s="24">
        <v>-1360</v>
      </c>
      <c r="E62" s="28">
        <v>2505</v>
      </c>
      <c r="F62" s="22">
        <f t="shared" si="9"/>
        <v>443</v>
      </c>
      <c r="G62" s="22">
        <f t="shared" si="2"/>
        <v>42</v>
      </c>
      <c r="H62" s="28">
        <f t="shared" si="3"/>
        <v>1007</v>
      </c>
      <c r="I62" s="24">
        <v>-1268</v>
      </c>
      <c r="J62" s="28">
        <v>2275</v>
      </c>
      <c r="K62" s="22">
        <f t="shared" si="4"/>
        <v>510</v>
      </c>
      <c r="L62" s="22">
        <f t="shared" si="5"/>
        <v>42</v>
      </c>
      <c r="M62" s="28">
        <f t="shared" si="6"/>
        <v>1143</v>
      </c>
      <c r="N62" s="24">
        <v>-964</v>
      </c>
      <c r="O62" s="28">
        <v>2107</v>
      </c>
      <c r="P62" s="22">
        <f t="shared" si="7"/>
        <v>392</v>
      </c>
      <c r="Q62" s="36"/>
      <c r="R62" s="30"/>
    </row>
    <row r="63" spans="1:18" ht="15.75" customHeight="1" x14ac:dyDescent="0.2">
      <c r="A63" s="37">
        <v>45757</v>
      </c>
      <c r="B63" s="22">
        <f t="shared" si="1"/>
        <v>43</v>
      </c>
      <c r="C63" s="28">
        <f t="shared" si="8"/>
        <v>1137</v>
      </c>
      <c r="D63" s="24">
        <v>-1367</v>
      </c>
      <c r="E63" s="28">
        <v>2505</v>
      </c>
      <c r="F63" s="22">
        <f t="shared" si="9"/>
        <v>450</v>
      </c>
      <c r="G63" s="22">
        <f t="shared" si="2"/>
        <v>43</v>
      </c>
      <c r="H63" s="28">
        <f t="shared" si="3"/>
        <v>998</v>
      </c>
      <c r="I63" s="24">
        <v>-1277</v>
      </c>
      <c r="J63" s="28">
        <v>2275</v>
      </c>
      <c r="K63" s="22">
        <f t="shared" si="4"/>
        <v>519</v>
      </c>
      <c r="L63" s="22">
        <f t="shared" si="5"/>
        <v>43</v>
      </c>
      <c r="M63" s="28">
        <f t="shared" si="6"/>
        <v>1137</v>
      </c>
      <c r="N63" s="24">
        <v>-970</v>
      </c>
      <c r="O63" s="28">
        <v>2107</v>
      </c>
      <c r="P63" s="22">
        <f t="shared" si="7"/>
        <v>398</v>
      </c>
      <c r="Q63" s="36"/>
      <c r="R63" s="30"/>
    </row>
    <row r="64" spans="1:18" ht="15.75" customHeight="1" x14ac:dyDescent="0.2">
      <c r="A64" s="37">
        <v>45758</v>
      </c>
      <c r="B64" s="22">
        <f t="shared" si="1"/>
        <v>44</v>
      </c>
      <c r="C64" s="28">
        <f t="shared" si="8"/>
        <v>1131</v>
      </c>
      <c r="D64" s="24">
        <v>-1373</v>
      </c>
      <c r="E64" s="28">
        <v>2505</v>
      </c>
      <c r="F64" s="22">
        <f t="shared" si="9"/>
        <v>456</v>
      </c>
      <c r="G64" s="22">
        <f t="shared" si="2"/>
        <v>44</v>
      </c>
      <c r="H64" s="28">
        <f t="shared" si="3"/>
        <v>990</v>
      </c>
      <c r="I64" s="24">
        <v>-1285</v>
      </c>
      <c r="J64" s="28">
        <v>2275</v>
      </c>
      <c r="K64" s="22">
        <f t="shared" si="4"/>
        <v>527</v>
      </c>
      <c r="L64" s="22">
        <f t="shared" si="5"/>
        <v>44</v>
      </c>
      <c r="M64" s="28">
        <f t="shared" si="6"/>
        <v>1127</v>
      </c>
      <c r="N64" s="24">
        <v>-980</v>
      </c>
      <c r="O64" s="28">
        <v>2107</v>
      </c>
      <c r="P64" s="22">
        <f t="shared" si="7"/>
        <v>408</v>
      </c>
      <c r="Q64" s="36"/>
      <c r="R64" s="30"/>
    </row>
    <row r="65" spans="1:18" ht="15.75" customHeight="1" x14ac:dyDescent="0.2">
      <c r="A65" s="37">
        <v>45759</v>
      </c>
      <c r="B65" s="22">
        <f t="shared" si="1"/>
        <v>45</v>
      </c>
      <c r="C65" s="28">
        <f t="shared" si="8"/>
        <v>1129</v>
      </c>
      <c r="D65" s="24">
        <v>-1375</v>
      </c>
      <c r="E65" s="28">
        <v>2505</v>
      </c>
      <c r="F65" s="22">
        <f t="shared" si="9"/>
        <v>458</v>
      </c>
      <c r="G65" s="22">
        <f t="shared" si="2"/>
        <v>45</v>
      </c>
      <c r="H65" s="28">
        <f t="shared" si="3"/>
        <v>989</v>
      </c>
      <c r="I65" s="24">
        <v>-1286</v>
      </c>
      <c r="J65" s="28">
        <v>2275</v>
      </c>
      <c r="K65" s="22">
        <f t="shared" si="4"/>
        <v>528</v>
      </c>
      <c r="L65" s="22">
        <f t="shared" si="5"/>
        <v>45</v>
      </c>
      <c r="M65" s="28">
        <f t="shared" si="6"/>
        <v>1125</v>
      </c>
      <c r="N65" s="24">
        <v>-982</v>
      </c>
      <c r="O65" s="28">
        <v>2107</v>
      </c>
      <c r="P65" s="22">
        <f t="shared" si="7"/>
        <v>410</v>
      </c>
      <c r="Q65" s="36"/>
      <c r="R65" s="30"/>
    </row>
    <row r="66" spans="1:18" ht="15.75" customHeight="1" x14ac:dyDescent="0.2">
      <c r="A66" s="37">
        <v>45760</v>
      </c>
      <c r="B66" s="22">
        <f t="shared" si="1"/>
        <v>46</v>
      </c>
      <c r="C66" s="28">
        <f t="shared" si="8"/>
        <v>1124</v>
      </c>
      <c r="D66" s="24">
        <v>-1380</v>
      </c>
      <c r="E66" s="28">
        <v>2505</v>
      </c>
      <c r="F66" s="22">
        <f t="shared" si="9"/>
        <v>463</v>
      </c>
      <c r="G66" s="22">
        <f t="shared" si="2"/>
        <v>46</v>
      </c>
      <c r="H66" s="28">
        <f t="shared" si="3"/>
        <v>987</v>
      </c>
      <c r="I66" s="24">
        <v>-1288</v>
      </c>
      <c r="J66" s="28">
        <v>2275</v>
      </c>
      <c r="K66" s="22">
        <f t="shared" si="4"/>
        <v>530</v>
      </c>
      <c r="L66" s="22">
        <f t="shared" si="5"/>
        <v>46</v>
      </c>
      <c r="M66" s="28">
        <f t="shared" si="6"/>
        <v>1123</v>
      </c>
      <c r="N66" s="24">
        <v>-984</v>
      </c>
      <c r="O66" s="28">
        <v>2107</v>
      </c>
      <c r="P66" s="22">
        <f t="shared" si="7"/>
        <v>412</v>
      </c>
      <c r="Q66" s="36"/>
      <c r="R66" s="30"/>
    </row>
    <row r="67" spans="1:18" ht="15.75" customHeight="1" x14ac:dyDescent="0.2">
      <c r="A67" s="37">
        <v>45761</v>
      </c>
      <c r="B67" s="22">
        <f t="shared" si="1"/>
        <v>47</v>
      </c>
      <c r="C67" s="28">
        <f t="shared" si="8"/>
        <v>1119</v>
      </c>
      <c r="D67" s="24">
        <v>-1385</v>
      </c>
      <c r="E67" s="28">
        <v>2505</v>
      </c>
      <c r="F67" s="22">
        <f t="shared" si="9"/>
        <v>468</v>
      </c>
      <c r="G67" s="22">
        <f t="shared" si="2"/>
        <v>47</v>
      </c>
      <c r="H67" s="28">
        <f t="shared" si="3"/>
        <v>985</v>
      </c>
      <c r="I67" s="24">
        <v>-1290</v>
      </c>
      <c r="J67" s="28">
        <v>2275</v>
      </c>
      <c r="K67" s="22">
        <f t="shared" si="4"/>
        <v>532</v>
      </c>
      <c r="L67" s="22">
        <f t="shared" si="5"/>
        <v>47</v>
      </c>
      <c r="M67" s="28">
        <f t="shared" si="6"/>
        <v>1120</v>
      </c>
      <c r="N67" s="24">
        <v>-987</v>
      </c>
      <c r="O67" s="28">
        <v>2107</v>
      </c>
      <c r="P67" s="22">
        <f t="shared" si="7"/>
        <v>415</v>
      </c>
      <c r="Q67" s="36"/>
      <c r="R67" s="30"/>
    </row>
    <row r="68" spans="1:18" ht="15.75" customHeight="1" x14ac:dyDescent="0.2">
      <c r="A68" s="37">
        <v>45762</v>
      </c>
      <c r="B68" s="22">
        <f t="shared" si="1"/>
        <v>48</v>
      </c>
      <c r="C68" s="28">
        <f t="shared" si="8"/>
        <v>1117</v>
      </c>
      <c r="D68" s="24">
        <v>-1387</v>
      </c>
      <c r="E68" s="28">
        <v>2505</v>
      </c>
      <c r="F68" s="22">
        <f t="shared" si="9"/>
        <v>470</v>
      </c>
      <c r="G68" s="22">
        <f t="shared" si="2"/>
        <v>48</v>
      </c>
      <c r="H68" s="28">
        <f t="shared" si="3"/>
        <v>981</v>
      </c>
      <c r="I68" s="24">
        <v>-1294</v>
      </c>
      <c r="J68" s="28">
        <v>2275</v>
      </c>
      <c r="K68" s="22">
        <f t="shared" si="4"/>
        <v>536</v>
      </c>
      <c r="L68" s="22">
        <f t="shared" si="5"/>
        <v>48</v>
      </c>
      <c r="M68" s="28">
        <f t="shared" si="6"/>
        <v>1117</v>
      </c>
      <c r="N68" s="24">
        <v>-990</v>
      </c>
      <c r="O68" s="28">
        <v>2107</v>
      </c>
      <c r="P68" s="22">
        <f t="shared" si="7"/>
        <v>418</v>
      </c>
      <c r="Q68" s="36"/>
      <c r="R68" s="30"/>
    </row>
    <row r="69" spans="1:18" ht="15.75" customHeight="1" x14ac:dyDescent="0.2">
      <c r="A69" s="37">
        <v>45763</v>
      </c>
      <c r="B69" s="22">
        <f t="shared" si="1"/>
        <v>49</v>
      </c>
      <c r="C69" s="28">
        <f t="shared" si="8"/>
        <v>1104</v>
      </c>
      <c r="D69" s="24">
        <v>-1400</v>
      </c>
      <c r="E69" s="28">
        <v>2505</v>
      </c>
      <c r="F69" s="22">
        <f t="shared" si="9"/>
        <v>483</v>
      </c>
      <c r="G69" s="22">
        <f t="shared" si="2"/>
        <v>49</v>
      </c>
      <c r="H69" s="28">
        <f t="shared" si="3"/>
        <v>976</v>
      </c>
      <c r="I69" s="24">
        <v>-1299</v>
      </c>
      <c r="J69" s="28">
        <v>2275</v>
      </c>
      <c r="K69" s="22">
        <f t="shared" si="4"/>
        <v>541</v>
      </c>
      <c r="L69" s="22">
        <f t="shared" si="5"/>
        <v>49</v>
      </c>
      <c r="M69" s="28">
        <f t="shared" si="6"/>
        <v>1107</v>
      </c>
      <c r="N69" s="24">
        <v>-1000</v>
      </c>
      <c r="O69" s="28">
        <v>2107</v>
      </c>
      <c r="P69" s="22">
        <f t="shared" si="7"/>
        <v>428</v>
      </c>
      <c r="Q69" s="36"/>
      <c r="R69" s="30"/>
    </row>
    <row r="70" spans="1:18" ht="15.75" customHeight="1" x14ac:dyDescent="0.2">
      <c r="A70" s="37">
        <v>45764</v>
      </c>
      <c r="B70" s="22">
        <f t="shared" si="1"/>
        <v>50</v>
      </c>
      <c r="C70" s="28">
        <f t="shared" si="8"/>
        <v>1087</v>
      </c>
      <c r="D70" s="24">
        <v>-1417</v>
      </c>
      <c r="E70" s="28">
        <v>2505</v>
      </c>
      <c r="F70" s="22">
        <f t="shared" si="9"/>
        <v>500</v>
      </c>
      <c r="G70" s="22">
        <f t="shared" si="2"/>
        <v>50</v>
      </c>
      <c r="H70" s="28">
        <f t="shared" si="3"/>
        <v>965</v>
      </c>
      <c r="I70" s="24">
        <v>-1310</v>
      </c>
      <c r="J70" s="28">
        <v>2275</v>
      </c>
      <c r="K70" s="22">
        <f t="shared" si="4"/>
        <v>552</v>
      </c>
      <c r="L70" s="22">
        <f t="shared" si="5"/>
        <v>50</v>
      </c>
      <c r="M70" s="28">
        <f t="shared" si="6"/>
        <v>1097</v>
      </c>
      <c r="N70" s="24">
        <v>-1010</v>
      </c>
      <c r="O70" s="28">
        <v>2107</v>
      </c>
      <c r="P70" s="22">
        <f t="shared" si="7"/>
        <v>438</v>
      </c>
      <c r="Q70" s="36"/>
      <c r="R70" s="30"/>
    </row>
    <row r="71" spans="1:18" ht="15.75" customHeight="1" x14ac:dyDescent="0.2">
      <c r="A71" s="37">
        <v>45765</v>
      </c>
      <c r="B71" s="22">
        <f t="shared" si="1"/>
        <v>51</v>
      </c>
      <c r="C71" s="28">
        <f t="shared" si="8"/>
        <v>1084</v>
      </c>
      <c r="D71" s="24">
        <v>-1420</v>
      </c>
      <c r="E71" s="28">
        <v>2505</v>
      </c>
      <c r="F71" s="22">
        <f t="shared" si="9"/>
        <v>503</v>
      </c>
      <c r="G71" s="22">
        <f t="shared" si="2"/>
        <v>51</v>
      </c>
      <c r="H71" s="28">
        <f t="shared" si="3"/>
        <v>955</v>
      </c>
      <c r="I71" s="24">
        <v>-1320</v>
      </c>
      <c r="J71" s="28">
        <v>2275</v>
      </c>
      <c r="K71" s="22">
        <f t="shared" si="4"/>
        <v>562</v>
      </c>
      <c r="L71" s="22">
        <f t="shared" si="5"/>
        <v>51</v>
      </c>
      <c r="M71" s="28">
        <f t="shared" si="6"/>
        <v>1094</v>
      </c>
      <c r="N71" s="24">
        <v>-1013</v>
      </c>
      <c r="O71" s="28">
        <v>2107</v>
      </c>
      <c r="P71" s="22">
        <f t="shared" si="7"/>
        <v>441</v>
      </c>
      <c r="Q71" s="36"/>
      <c r="R71" s="30"/>
    </row>
    <row r="72" spans="1:18" ht="15.75" customHeight="1" x14ac:dyDescent="0.2">
      <c r="A72" s="37">
        <v>45766</v>
      </c>
      <c r="B72" s="22">
        <f t="shared" si="1"/>
        <v>52</v>
      </c>
      <c r="C72" s="28">
        <f t="shared" si="8"/>
        <v>1080</v>
      </c>
      <c r="D72" s="24">
        <v>-1424</v>
      </c>
      <c r="E72" s="28">
        <v>2505</v>
      </c>
      <c r="F72" s="22">
        <f t="shared" si="9"/>
        <v>507</v>
      </c>
      <c r="G72" s="22">
        <f t="shared" si="2"/>
        <v>52</v>
      </c>
      <c r="H72" s="28">
        <f t="shared" si="3"/>
        <v>948</v>
      </c>
      <c r="I72" s="24">
        <v>-1327</v>
      </c>
      <c r="J72" s="28">
        <v>2275</v>
      </c>
      <c r="K72" s="22">
        <f t="shared" si="4"/>
        <v>569</v>
      </c>
      <c r="L72" s="22">
        <f t="shared" si="5"/>
        <v>52</v>
      </c>
      <c r="M72" s="28">
        <f t="shared" si="6"/>
        <v>1091</v>
      </c>
      <c r="N72" s="24">
        <v>-1016</v>
      </c>
      <c r="O72" s="28">
        <v>2107</v>
      </c>
      <c r="P72" s="22">
        <f t="shared" si="7"/>
        <v>444</v>
      </c>
      <c r="Q72" s="36"/>
      <c r="R72" s="30"/>
    </row>
    <row r="73" spans="1:18" ht="15.75" customHeight="1" x14ac:dyDescent="0.2">
      <c r="A73" s="37">
        <v>45767</v>
      </c>
      <c r="B73" s="22">
        <f t="shared" si="1"/>
        <v>53</v>
      </c>
      <c r="C73" s="28">
        <f t="shared" si="8"/>
        <v>1077</v>
      </c>
      <c r="D73" s="24">
        <v>-1427</v>
      </c>
      <c r="E73" s="28">
        <v>2505</v>
      </c>
      <c r="F73" s="22">
        <f t="shared" si="9"/>
        <v>510</v>
      </c>
      <c r="G73" s="22">
        <f t="shared" si="2"/>
        <v>53</v>
      </c>
      <c r="H73" s="28">
        <f t="shared" si="3"/>
        <v>941</v>
      </c>
      <c r="I73" s="24">
        <v>-1334</v>
      </c>
      <c r="J73" s="28">
        <v>2275</v>
      </c>
      <c r="K73" s="22">
        <f t="shared" si="4"/>
        <v>576</v>
      </c>
      <c r="L73" s="22">
        <f t="shared" si="5"/>
        <v>53</v>
      </c>
      <c r="M73" s="28">
        <f t="shared" si="6"/>
        <v>1088</v>
      </c>
      <c r="N73" s="24">
        <v>-1019</v>
      </c>
      <c r="O73" s="28">
        <v>2107</v>
      </c>
      <c r="P73" s="22">
        <f t="shared" si="7"/>
        <v>447</v>
      </c>
      <c r="Q73" s="36"/>
      <c r="R73" s="30"/>
    </row>
    <row r="74" spans="1:18" ht="15.75" customHeight="1" x14ac:dyDescent="0.2">
      <c r="A74" s="37">
        <v>45768</v>
      </c>
      <c r="B74" s="22">
        <f t="shared" si="1"/>
        <v>54</v>
      </c>
      <c r="C74" s="28">
        <f t="shared" si="8"/>
        <v>1074</v>
      </c>
      <c r="D74" s="24">
        <v>-1430</v>
      </c>
      <c r="E74" s="28">
        <v>2505</v>
      </c>
      <c r="F74" s="22">
        <f t="shared" si="9"/>
        <v>513</v>
      </c>
      <c r="G74" s="22">
        <f t="shared" si="2"/>
        <v>54</v>
      </c>
      <c r="H74" s="28">
        <f t="shared" si="3"/>
        <v>938</v>
      </c>
      <c r="I74" s="24">
        <v>-1337</v>
      </c>
      <c r="J74" s="28">
        <v>2275</v>
      </c>
      <c r="K74" s="22">
        <f t="shared" si="4"/>
        <v>579</v>
      </c>
      <c r="L74" s="22">
        <f t="shared" si="5"/>
        <v>54</v>
      </c>
      <c r="M74" s="28">
        <f t="shared" si="6"/>
        <v>1086</v>
      </c>
      <c r="N74" s="24">
        <v>-1021</v>
      </c>
      <c r="O74" s="28">
        <v>2107</v>
      </c>
      <c r="P74" s="22">
        <f t="shared" si="7"/>
        <v>449</v>
      </c>
      <c r="Q74" s="36"/>
      <c r="R74" s="30"/>
    </row>
    <row r="75" spans="1:18" ht="15.75" customHeight="1" x14ac:dyDescent="0.2">
      <c r="A75" s="37">
        <v>45769</v>
      </c>
      <c r="B75" s="22">
        <f t="shared" si="1"/>
        <v>55</v>
      </c>
      <c r="C75" s="28">
        <f t="shared" si="8"/>
        <v>1071</v>
      </c>
      <c r="D75" s="24">
        <v>-1433</v>
      </c>
      <c r="E75" s="28">
        <v>2505</v>
      </c>
      <c r="F75" s="22">
        <f t="shared" si="9"/>
        <v>516</v>
      </c>
      <c r="G75" s="22">
        <f t="shared" si="2"/>
        <v>55</v>
      </c>
      <c r="H75" s="28">
        <f t="shared" si="3"/>
        <v>935</v>
      </c>
      <c r="I75" s="24">
        <v>-1340</v>
      </c>
      <c r="J75" s="28">
        <v>2275</v>
      </c>
      <c r="K75" s="22">
        <f t="shared" si="4"/>
        <v>582</v>
      </c>
      <c r="L75" s="22">
        <f t="shared" si="5"/>
        <v>55</v>
      </c>
      <c r="M75" s="28">
        <f t="shared" si="6"/>
        <v>1084</v>
      </c>
      <c r="N75" s="24">
        <v>-1023</v>
      </c>
      <c r="O75" s="28">
        <v>2107</v>
      </c>
      <c r="P75" s="22">
        <f t="shared" si="7"/>
        <v>451</v>
      </c>
      <c r="Q75" s="36"/>
      <c r="R75" s="30"/>
    </row>
    <row r="76" spans="1:18" ht="15.75" customHeight="1" x14ac:dyDescent="0.2">
      <c r="A76" s="37">
        <v>45770</v>
      </c>
      <c r="B76" s="22">
        <f t="shared" si="1"/>
        <v>56</v>
      </c>
      <c r="C76" s="28">
        <f t="shared" si="8"/>
        <v>1065</v>
      </c>
      <c r="D76" s="24">
        <v>-1439</v>
      </c>
      <c r="E76" s="28">
        <v>2505</v>
      </c>
      <c r="F76" s="22">
        <f t="shared" si="9"/>
        <v>522</v>
      </c>
      <c r="G76" s="22">
        <f t="shared" si="2"/>
        <v>56</v>
      </c>
      <c r="H76" s="28">
        <f t="shared" si="3"/>
        <v>932</v>
      </c>
      <c r="I76" s="24">
        <v>-1343</v>
      </c>
      <c r="J76" s="28">
        <v>2275</v>
      </c>
      <c r="K76" s="22">
        <f t="shared" si="4"/>
        <v>585</v>
      </c>
      <c r="L76" s="22">
        <f t="shared" si="5"/>
        <v>56</v>
      </c>
      <c r="M76" s="28">
        <f t="shared" si="6"/>
        <v>1082</v>
      </c>
      <c r="N76" s="24">
        <v>-1025</v>
      </c>
      <c r="O76" s="28">
        <v>2107</v>
      </c>
      <c r="P76" s="22">
        <f t="shared" si="7"/>
        <v>453</v>
      </c>
      <c r="Q76" s="36"/>
      <c r="R76" s="30"/>
    </row>
    <row r="77" spans="1:18" ht="15.75" customHeight="1" x14ac:dyDescent="0.2">
      <c r="A77" s="37">
        <v>45771</v>
      </c>
      <c r="B77" s="22">
        <f t="shared" si="1"/>
        <v>57</v>
      </c>
      <c r="C77" s="28">
        <f t="shared" si="8"/>
        <v>1063</v>
      </c>
      <c r="D77" s="24">
        <v>-1441</v>
      </c>
      <c r="E77" s="28">
        <v>2505</v>
      </c>
      <c r="F77" s="22">
        <f t="shared" si="9"/>
        <v>524</v>
      </c>
      <c r="G77" s="22">
        <f t="shared" si="2"/>
        <v>57</v>
      </c>
      <c r="H77" s="28">
        <f t="shared" si="3"/>
        <v>929</v>
      </c>
      <c r="I77" s="24">
        <v>-1346</v>
      </c>
      <c r="J77" s="28">
        <v>2275</v>
      </c>
      <c r="K77" s="22">
        <f t="shared" si="4"/>
        <v>588</v>
      </c>
      <c r="L77" s="22">
        <f t="shared" si="5"/>
        <v>57</v>
      </c>
      <c r="M77" s="28">
        <f t="shared" si="6"/>
        <v>1080</v>
      </c>
      <c r="N77" s="24">
        <v>-1027</v>
      </c>
      <c r="O77" s="28">
        <v>2107</v>
      </c>
      <c r="P77" s="22">
        <f t="shared" si="7"/>
        <v>455</v>
      </c>
      <c r="Q77" s="36"/>
      <c r="R77" s="30"/>
    </row>
    <row r="78" spans="1:18" ht="15.75" customHeight="1" x14ac:dyDescent="0.2">
      <c r="A78" s="37">
        <v>45772</v>
      </c>
      <c r="B78" s="22">
        <f t="shared" si="1"/>
        <v>58</v>
      </c>
      <c r="C78" s="28">
        <f t="shared" si="8"/>
        <v>1061</v>
      </c>
      <c r="D78" s="24">
        <v>-1443</v>
      </c>
      <c r="E78" s="28">
        <v>2505</v>
      </c>
      <c r="F78" s="22">
        <f t="shared" si="9"/>
        <v>526</v>
      </c>
      <c r="G78" s="22">
        <f t="shared" si="2"/>
        <v>58</v>
      </c>
      <c r="H78" s="28">
        <f t="shared" si="3"/>
        <v>922</v>
      </c>
      <c r="I78" s="24">
        <v>-1353</v>
      </c>
      <c r="J78" s="28">
        <v>2275</v>
      </c>
      <c r="K78" s="22">
        <f t="shared" si="4"/>
        <v>595</v>
      </c>
      <c r="L78" s="22">
        <f t="shared" si="5"/>
        <v>58</v>
      </c>
      <c r="M78" s="28">
        <f t="shared" si="6"/>
        <v>1076</v>
      </c>
      <c r="N78" s="24">
        <v>-1031</v>
      </c>
      <c r="O78" s="28">
        <v>2107</v>
      </c>
      <c r="P78" s="22">
        <f t="shared" si="7"/>
        <v>459</v>
      </c>
      <c r="Q78" s="36"/>
      <c r="R78" s="30"/>
    </row>
    <row r="79" spans="1:18" ht="15.75" customHeight="1" x14ac:dyDescent="0.2">
      <c r="A79" s="37">
        <v>45773</v>
      </c>
      <c r="B79" s="22">
        <f t="shared" si="1"/>
        <v>59</v>
      </c>
      <c r="C79" s="28">
        <f t="shared" si="8"/>
        <v>1058</v>
      </c>
      <c r="D79" s="24">
        <v>-1446</v>
      </c>
      <c r="E79" s="28">
        <v>2505</v>
      </c>
      <c r="F79" s="22">
        <f t="shared" si="9"/>
        <v>529</v>
      </c>
      <c r="G79" s="22">
        <f t="shared" si="2"/>
        <v>59</v>
      </c>
      <c r="H79" s="28">
        <f t="shared" si="3"/>
        <v>916</v>
      </c>
      <c r="I79" s="24">
        <v>-1359</v>
      </c>
      <c r="J79" s="28">
        <v>2275</v>
      </c>
      <c r="K79" s="22">
        <f t="shared" si="4"/>
        <v>601</v>
      </c>
      <c r="L79" s="22">
        <f t="shared" si="5"/>
        <v>59</v>
      </c>
      <c r="M79" s="28">
        <f t="shared" si="6"/>
        <v>1072</v>
      </c>
      <c r="N79" s="24">
        <v>-1035</v>
      </c>
      <c r="O79" s="28">
        <v>2107</v>
      </c>
      <c r="P79" s="22">
        <f t="shared" si="7"/>
        <v>463</v>
      </c>
      <c r="Q79" s="36"/>
      <c r="R79" s="30"/>
    </row>
    <row r="80" spans="1:18" ht="15.75" customHeight="1" x14ac:dyDescent="0.2">
      <c r="A80" s="37">
        <v>45774</v>
      </c>
      <c r="B80" s="22">
        <f t="shared" si="1"/>
        <v>60</v>
      </c>
      <c r="C80" s="28">
        <f t="shared" si="8"/>
        <v>1055</v>
      </c>
      <c r="D80" s="24">
        <v>-1449</v>
      </c>
      <c r="E80" s="28">
        <v>2505</v>
      </c>
      <c r="F80" s="22">
        <f t="shared" si="9"/>
        <v>532</v>
      </c>
      <c r="G80" s="22">
        <f t="shared" si="2"/>
        <v>60</v>
      </c>
      <c r="H80" s="28">
        <f t="shared" si="3"/>
        <v>910</v>
      </c>
      <c r="I80" s="24">
        <v>-1365</v>
      </c>
      <c r="J80" s="28">
        <v>2275</v>
      </c>
      <c r="K80" s="22">
        <f t="shared" si="4"/>
        <v>607</v>
      </c>
      <c r="L80" s="22">
        <f t="shared" si="5"/>
        <v>60</v>
      </c>
      <c r="M80" s="28">
        <f t="shared" si="6"/>
        <v>1068</v>
      </c>
      <c r="N80" s="24">
        <v>-1039</v>
      </c>
      <c r="O80" s="28">
        <v>2107</v>
      </c>
      <c r="P80" s="22">
        <f t="shared" si="7"/>
        <v>467</v>
      </c>
      <c r="Q80" s="36"/>
      <c r="R80" s="30"/>
    </row>
    <row r="81" spans="1:18" ht="15.75" customHeight="1" x14ac:dyDescent="0.2">
      <c r="A81" s="37">
        <v>45775</v>
      </c>
      <c r="B81" s="22">
        <f t="shared" si="1"/>
        <v>61</v>
      </c>
      <c r="C81" s="28">
        <f t="shared" si="8"/>
        <v>1052</v>
      </c>
      <c r="D81" s="24">
        <v>-1452</v>
      </c>
      <c r="E81" s="28">
        <v>2505</v>
      </c>
      <c r="F81" s="22">
        <f t="shared" si="9"/>
        <v>535</v>
      </c>
      <c r="G81" s="22">
        <f t="shared" si="2"/>
        <v>61</v>
      </c>
      <c r="H81" s="28">
        <f t="shared" si="3"/>
        <v>905</v>
      </c>
      <c r="I81" s="24">
        <v>-1370</v>
      </c>
      <c r="J81" s="28">
        <v>2275</v>
      </c>
      <c r="K81" s="22">
        <f t="shared" si="4"/>
        <v>612</v>
      </c>
      <c r="L81" s="22">
        <f t="shared" si="5"/>
        <v>61</v>
      </c>
      <c r="M81" s="28">
        <f t="shared" si="6"/>
        <v>1065</v>
      </c>
      <c r="N81" s="24">
        <v>-1042</v>
      </c>
      <c r="O81" s="28">
        <v>2107</v>
      </c>
      <c r="P81" s="22">
        <f t="shared" si="7"/>
        <v>470</v>
      </c>
      <c r="Q81" s="36"/>
      <c r="R81" s="30"/>
    </row>
    <row r="82" spans="1:18" ht="15.75" customHeight="1" x14ac:dyDescent="0.2">
      <c r="A82" s="37">
        <v>45776</v>
      </c>
      <c r="B82" s="22">
        <f t="shared" si="1"/>
        <v>62</v>
      </c>
      <c r="C82" s="28">
        <f t="shared" si="8"/>
        <v>1048</v>
      </c>
      <c r="D82" s="24">
        <v>-1456</v>
      </c>
      <c r="E82" s="28">
        <v>2505</v>
      </c>
      <c r="F82" s="22">
        <f t="shared" si="9"/>
        <v>539</v>
      </c>
      <c r="G82" s="22">
        <f t="shared" si="2"/>
        <v>62</v>
      </c>
      <c r="H82" s="28">
        <f t="shared" si="3"/>
        <v>900</v>
      </c>
      <c r="I82" s="24">
        <v>-1375</v>
      </c>
      <c r="J82" s="28">
        <v>2275</v>
      </c>
      <c r="K82" s="22">
        <f t="shared" si="4"/>
        <v>617</v>
      </c>
      <c r="L82" s="22">
        <f t="shared" si="5"/>
        <v>62</v>
      </c>
      <c r="M82" s="28">
        <f t="shared" si="6"/>
        <v>1061</v>
      </c>
      <c r="N82" s="24">
        <v>-1046</v>
      </c>
      <c r="O82" s="28">
        <v>2107</v>
      </c>
      <c r="P82" s="22">
        <f t="shared" si="7"/>
        <v>474</v>
      </c>
      <c r="Q82" s="36"/>
      <c r="R82" s="30"/>
    </row>
    <row r="83" spans="1:18" ht="15.75" customHeight="1" x14ac:dyDescent="0.2">
      <c r="A83" s="37">
        <v>45777</v>
      </c>
      <c r="B83" s="22">
        <f t="shared" si="1"/>
        <v>63</v>
      </c>
      <c r="C83" s="28">
        <f t="shared" si="8"/>
        <v>1043</v>
      </c>
      <c r="D83" s="24">
        <v>-1461</v>
      </c>
      <c r="E83" s="28">
        <v>2505</v>
      </c>
      <c r="F83" s="22">
        <f t="shared" si="9"/>
        <v>544</v>
      </c>
      <c r="G83" s="22">
        <f t="shared" si="2"/>
        <v>63</v>
      </c>
      <c r="H83" s="28">
        <f t="shared" si="3"/>
        <v>894</v>
      </c>
      <c r="I83" s="24">
        <v>-1381</v>
      </c>
      <c r="J83" s="28">
        <v>2275</v>
      </c>
      <c r="K83" s="22">
        <f t="shared" si="4"/>
        <v>623</v>
      </c>
      <c r="L83" s="22">
        <f t="shared" si="5"/>
        <v>63</v>
      </c>
      <c r="M83" s="28">
        <f t="shared" si="6"/>
        <v>1056</v>
      </c>
      <c r="N83" s="24">
        <v>-1051</v>
      </c>
      <c r="O83" s="28">
        <v>2107</v>
      </c>
      <c r="P83" s="22">
        <f t="shared" si="7"/>
        <v>479</v>
      </c>
      <c r="Q83" s="36"/>
      <c r="R83" s="30"/>
    </row>
    <row r="84" spans="1:18" ht="15.75" customHeight="1" x14ac:dyDescent="0.2">
      <c r="A84" s="37">
        <v>45778</v>
      </c>
      <c r="B84" s="22">
        <f t="shared" si="1"/>
        <v>64</v>
      </c>
      <c r="C84" s="28">
        <f t="shared" si="8"/>
        <v>1038</v>
      </c>
      <c r="D84" s="24">
        <v>-1466</v>
      </c>
      <c r="E84" s="28">
        <v>2505</v>
      </c>
      <c r="F84" s="22">
        <f t="shared" si="9"/>
        <v>549</v>
      </c>
      <c r="G84" s="22">
        <f t="shared" si="2"/>
        <v>64</v>
      </c>
      <c r="H84" s="28">
        <f t="shared" si="3"/>
        <v>889</v>
      </c>
      <c r="I84" s="24">
        <v>-1386</v>
      </c>
      <c r="J84" s="28">
        <v>2275</v>
      </c>
      <c r="K84" s="22">
        <f t="shared" si="4"/>
        <v>628</v>
      </c>
      <c r="L84" s="22">
        <f t="shared" si="5"/>
        <v>64</v>
      </c>
      <c r="M84" s="28">
        <f t="shared" si="6"/>
        <v>1051</v>
      </c>
      <c r="N84" s="24">
        <v>-1056</v>
      </c>
      <c r="O84" s="28">
        <v>2107</v>
      </c>
      <c r="P84" s="22">
        <f t="shared" si="7"/>
        <v>484</v>
      </c>
      <c r="Q84" s="36"/>
      <c r="R84" s="30"/>
    </row>
    <row r="85" spans="1:18" ht="15.75" customHeight="1" x14ac:dyDescent="0.2">
      <c r="A85" s="37">
        <v>45779</v>
      </c>
      <c r="B85" s="22">
        <f t="shared" si="1"/>
        <v>65</v>
      </c>
      <c r="C85" s="28">
        <f t="shared" si="8"/>
        <v>1033</v>
      </c>
      <c r="D85" s="24">
        <v>-1471</v>
      </c>
      <c r="E85" s="28">
        <v>2505</v>
      </c>
      <c r="F85" s="22">
        <f t="shared" si="9"/>
        <v>554</v>
      </c>
      <c r="G85" s="22">
        <f t="shared" si="2"/>
        <v>65</v>
      </c>
      <c r="H85" s="28">
        <f t="shared" si="3"/>
        <v>875</v>
      </c>
      <c r="I85" s="24">
        <v>-1400</v>
      </c>
      <c r="J85" s="28">
        <v>2275</v>
      </c>
      <c r="K85" s="22">
        <f t="shared" si="4"/>
        <v>642</v>
      </c>
      <c r="L85" s="22">
        <f t="shared" si="5"/>
        <v>65</v>
      </c>
      <c r="M85" s="28">
        <f t="shared" si="6"/>
        <v>1039</v>
      </c>
      <c r="N85" s="24">
        <v>-1068</v>
      </c>
      <c r="O85" s="28">
        <v>2107</v>
      </c>
      <c r="P85" s="22">
        <f t="shared" si="7"/>
        <v>496</v>
      </c>
      <c r="Q85" s="36"/>
      <c r="R85" s="30"/>
    </row>
    <row r="86" spans="1:18" ht="15.75" customHeight="1" x14ac:dyDescent="0.2">
      <c r="A86" s="37">
        <v>45780</v>
      </c>
      <c r="B86" s="22">
        <f t="shared" si="1"/>
        <v>66</v>
      </c>
      <c r="C86" s="28">
        <f t="shared" si="8"/>
        <v>1028</v>
      </c>
      <c r="D86" s="24">
        <v>-1476</v>
      </c>
      <c r="E86" s="28">
        <v>2505</v>
      </c>
      <c r="F86" s="22">
        <f t="shared" si="9"/>
        <v>559</v>
      </c>
      <c r="G86" s="22">
        <f t="shared" si="2"/>
        <v>66</v>
      </c>
      <c r="H86" s="28">
        <f t="shared" si="3"/>
        <v>857</v>
      </c>
      <c r="I86" s="24">
        <v>-1418</v>
      </c>
      <c r="J86" s="28">
        <v>2275</v>
      </c>
      <c r="K86" s="22">
        <f t="shared" si="4"/>
        <v>660</v>
      </c>
      <c r="L86" s="22">
        <f t="shared" si="5"/>
        <v>66</v>
      </c>
      <c r="M86" s="28">
        <f t="shared" si="6"/>
        <v>1029</v>
      </c>
      <c r="N86" s="24">
        <v>-1078</v>
      </c>
      <c r="O86" s="28">
        <v>2107</v>
      </c>
      <c r="P86" s="22">
        <f t="shared" si="7"/>
        <v>506</v>
      </c>
      <c r="Q86" s="36"/>
      <c r="R86" s="30"/>
    </row>
    <row r="87" spans="1:18" ht="15.75" customHeight="1" x14ac:dyDescent="0.2">
      <c r="A87" s="37">
        <v>45781</v>
      </c>
      <c r="B87" s="22">
        <f t="shared" si="1"/>
        <v>67</v>
      </c>
      <c r="C87" s="28">
        <f t="shared" si="8"/>
        <v>1023</v>
      </c>
      <c r="D87" s="24">
        <v>-1481</v>
      </c>
      <c r="E87" s="28">
        <v>2505</v>
      </c>
      <c r="F87" s="22">
        <f t="shared" si="9"/>
        <v>564</v>
      </c>
      <c r="G87" s="22">
        <f t="shared" si="2"/>
        <v>67</v>
      </c>
      <c r="H87" s="28">
        <f t="shared" si="3"/>
        <v>854</v>
      </c>
      <c r="I87" s="24">
        <v>-1421</v>
      </c>
      <c r="J87" s="28">
        <v>2275</v>
      </c>
      <c r="K87" s="22">
        <f t="shared" si="4"/>
        <v>663</v>
      </c>
      <c r="L87" s="22">
        <f t="shared" si="5"/>
        <v>67</v>
      </c>
      <c r="M87" s="28">
        <f t="shared" si="6"/>
        <v>1024</v>
      </c>
      <c r="N87" s="24">
        <v>-1083</v>
      </c>
      <c r="O87" s="28">
        <v>2107</v>
      </c>
      <c r="P87" s="22">
        <f t="shared" si="7"/>
        <v>511</v>
      </c>
      <c r="Q87" s="36"/>
      <c r="R87" s="30"/>
    </row>
    <row r="88" spans="1:18" ht="15.75" customHeight="1" x14ac:dyDescent="0.2">
      <c r="A88" s="37">
        <v>45782</v>
      </c>
      <c r="B88" s="22">
        <f t="shared" si="1"/>
        <v>68</v>
      </c>
      <c r="C88" s="28">
        <f t="shared" si="8"/>
        <v>1017</v>
      </c>
      <c r="D88" s="24">
        <v>-1487</v>
      </c>
      <c r="E88" s="28">
        <v>2505</v>
      </c>
      <c r="F88" s="22">
        <f t="shared" si="9"/>
        <v>570</v>
      </c>
      <c r="G88" s="22">
        <f t="shared" si="2"/>
        <v>68</v>
      </c>
      <c r="H88" s="28">
        <f t="shared" si="3"/>
        <v>851</v>
      </c>
      <c r="I88" s="24">
        <v>-1424</v>
      </c>
      <c r="J88" s="28">
        <v>2275</v>
      </c>
      <c r="K88" s="22">
        <f t="shared" si="4"/>
        <v>666</v>
      </c>
      <c r="L88" s="22">
        <f t="shared" si="5"/>
        <v>68</v>
      </c>
      <c r="M88" s="28">
        <f t="shared" si="6"/>
        <v>1019</v>
      </c>
      <c r="N88" s="24">
        <v>-1088</v>
      </c>
      <c r="O88" s="28">
        <v>2107</v>
      </c>
      <c r="P88" s="22">
        <f t="shared" si="7"/>
        <v>516</v>
      </c>
      <c r="Q88" s="36"/>
      <c r="R88" s="30"/>
    </row>
    <row r="89" spans="1:18" ht="15.75" customHeight="1" x14ac:dyDescent="0.2">
      <c r="A89" s="37">
        <v>45783</v>
      </c>
      <c r="B89" s="22">
        <f t="shared" si="1"/>
        <v>69</v>
      </c>
      <c r="C89" s="28">
        <f t="shared" si="8"/>
        <v>1011</v>
      </c>
      <c r="D89" s="24">
        <v>-1493</v>
      </c>
      <c r="E89" s="28">
        <v>2505</v>
      </c>
      <c r="F89" s="22">
        <f t="shared" si="9"/>
        <v>576</v>
      </c>
      <c r="G89" s="22">
        <f t="shared" si="2"/>
        <v>69</v>
      </c>
      <c r="H89" s="28">
        <f t="shared" si="3"/>
        <v>848</v>
      </c>
      <c r="I89" s="24">
        <v>-1427</v>
      </c>
      <c r="J89" s="28">
        <v>2275</v>
      </c>
      <c r="K89" s="22">
        <f t="shared" si="4"/>
        <v>669</v>
      </c>
      <c r="L89" s="22">
        <f t="shared" si="5"/>
        <v>69</v>
      </c>
      <c r="M89" s="28">
        <f t="shared" si="6"/>
        <v>1014</v>
      </c>
      <c r="N89" s="24">
        <v>-1093</v>
      </c>
      <c r="O89" s="28">
        <v>2107</v>
      </c>
      <c r="P89" s="22">
        <f t="shared" si="7"/>
        <v>521</v>
      </c>
      <c r="Q89" s="36"/>
      <c r="R89" s="30"/>
    </row>
    <row r="90" spans="1:18" ht="15.75" customHeight="1" x14ac:dyDescent="0.2">
      <c r="A90" s="37">
        <v>45784</v>
      </c>
      <c r="B90" s="22">
        <f t="shared" si="1"/>
        <v>70</v>
      </c>
      <c r="C90" s="28">
        <f t="shared" si="8"/>
        <v>1005</v>
      </c>
      <c r="D90" s="24">
        <v>-1499</v>
      </c>
      <c r="E90" s="28">
        <v>2505</v>
      </c>
      <c r="F90" s="22">
        <f t="shared" si="9"/>
        <v>582</v>
      </c>
      <c r="G90" s="22">
        <f t="shared" si="2"/>
        <v>70</v>
      </c>
      <c r="H90" s="28">
        <f t="shared" si="3"/>
        <v>842</v>
      </c>
      <c r="I90" s="24">
        <v>-1433</v>
      </c>
      <c r="J90" s="28">
        <v>2275</v>
      </c>
      <c r="K90" s="22">
        <f t="shared" si="4"/>
        <v>675</v>
      </c>
      <c r="L90" s="22">
        <f t="shared" si="5"/>
        <v>70</v>
      </c>
      <c r="M90" s="28">
        <f t="shared" si="6"/>
        <v>1009</v>
      </c>
      <c r="N90" s="24">
        <v>-1098</v>
      </c>
      <c r="O90" s="28">
        <v>2107</v>
      </c>
      <c r="P90" s="22">
        <f t="shared" si="7"/>
        <v>526</v>
      </c>
      <c r="Q90" s="36"/>
      <c r="R90" s="30"/>
    </row>
    <row r="91" spans="1:18" ht="15.75" customHeight="1" x14ac:dyDescent="0.2">
      <c r="A91" s="37">
        <v>45785</v>
      </c>
      <c r="B91" s="22">
        <f t="shared" si="1"/>
        <v>71</v>
      </c>
      <c r="C91" s="28">
        <f t="shared" si="8"/>
        <v>999</v>
      </c>
      <c r="D91" s="24">
        <v>-1505</v>
      </c>
      <c r="E91" s="28">
        <v>2505</v>
      </c>
      <c r="F91" s="22">
        <f t="shared" si="9"/>
        <v>588</v>
      </c>
      <c r="G91" s="22">
        <f t="shared" si="2"/>
        <v>71</v>
      </c>
      <c r="H91" s="28">
        <f t="shared" si="3"/>
        <v>840</v>
      </c>
      <c r="I91" s="24">
        <v>-1435</v>
      </c>
      <c r="J91" s="28">
        <v>2275</v>
      </c>
      <c r="K91" s="22">
        <f t="shared" si="4"/>
        <v>677</v>
      </c>
      <c r="L91" s="22">
        <f t="shared" si="5"/>
        <v>71</v>
      </c>
      <c r="M91" s="28">
        <f t="shared" si="6"/>
        <v>1007</v>
      </c>
      <c r="N91" s="24">
        <v>-1100</v>
      </c>
      <c r="O91" s="28">
        <v>2107</v>
      </c>
      <c r="P91" s="22">
        <f t="shared" si="7"/>
        <v>528</v>
      </c>
      <c r="Q91" s="36"/>
      <c r="R91" s="30"/>
    </row>
    <row r="92" spans="1:18" ht="15" customHeight="1" x14ac:dyDescent="0.2">
      <c r="A92" s="37">
        <v>45786</v>
      </c>
      <c r="B92" s="22">
        <f t="shared" si="1"/>
        <v>72</v>
      </c>
      <c r="C92" s="28">
        <f t="shared" si="8"/>
        <v>994</v>
      </c>
      <c r="D92" s="24">
        <v>-1510</v>
      </c>
      <c r="E92" s="28">
        <v>2505</v>
      </c>
      <c r="F92" s="22">
        <f t="shared" si="9"/>
        <v>593</v>
      </c>
      <c r="G92" s="22">
        <f t="shared" si="2"/>
        <v>72</v>
      </c>
      <c r="H92" s="28">
        <f t="shared" si="3"/>
        <v>839</v>
      </c>
      <c r="I92" s="24">
        <v>-1436</v>
      </c>
      <c r="J92" s="28">
        <v>2275</v>
      </c>
      <c r="K92" s="22">
        <f t="shared" si="4"/>
        <v>678</v>
      </c>
      <c r="L92" s="22">
        <f t="shared" si="5"/>
        <v>72</v>
      </c>
      <c r="M92" s="28">
        <f t="shared" si="6"/>
        <v>1006</v>
      </c>
      <c r="N92" s="24">
        <v>-1101</v>
      </c>
      <c r="O92" s="28">
        <v>2107</v>
      </c>
      <c r="P92" s="22">
        <f t="shared" si="7"/>
        <v>529</v>
      </c>
      <c r="Q92" s="36"/>
      <c r="R92" s="30"/>
    </row>
    <row r="93" spans="1:18" ht="15" customHeight="1" x14ac:dyDescent="0.2">
      <c r="A93" s="37">
        <v>45787</v>
      </c>
      <c r="B93" s="22">
        <f t="shared" si="1"/>
        <v>73</v>
      </c>
      <c r="C93" s="28">
        <f t="shared" si="8"/>
        <v>988</v>
      </c>
      <c r="D93" s="24">
        <v>-1516</v>
      </c>
      <c r="E93" s="28">
        <v>2505</v>
      </c>
      <c r="F93" s="22">
        <f t="shared" si="9"/>
        <v>599</v>
      </c>
      <c r="G93" s="22">
        <f t="shared" si="2"/>
        <v>73</v>
      </c>
      <c r="H93" s="28">
        <f t="shared" si="3"/>
        <v>837</v>
      </c>
      <c r="I93" s="24">
        <v>-1438</v>
      </c>
      <c r="J93" s="28">
        <v>2275</v>
      </c>
      <c r="K93" s="22">
        <f t="shared" si="4"/>
        <v>680</v>
      </c>
      <c r="L93" s="22">
        <f t="shared" si="5"/>
        <v>73</v>
      </c>
      <c r="M93" s="28">
        <f t="shared" si="6"/>
        <v>1004</v>
      </c>
      <c r="N93" s="24">
        <v>-1103</v>
      </c>
      <c r="O93" s="28">
        <v>2107</v>
      </c>
      <c r="P93" s="22">
        <f t="shared" si="7"/>
        <v>531</v>
      </c>
      <c r="Q93" s="36"/>
      <c r="R93" s="30"/>
    </row>
    <row r="94" spans="1:18" ht="15.75" customHeight="1" x14ac:dyDescent="0.2">
      <c r="A94" s="37">
        <v>45788</v>
      </c>
      <c r="B94" s="22">
        <f t="shared" si="1"/>
        <v>74</v>
      </c>
      <c r="C94" s="28">
        <f t="shared" si="8"/>
        <v>986</v>
      </c>
      <c r="D94" s="24">
        <v>-1518</v>
      </c>
      <c r="E94" s="28">
        <v>2505</v>
      </c>
      <c r="F94" s="22">
        <f t="shared" si="9"/>
        <v>601</v>
      </c>
      <c r="G94" s="22">
        <f t="shared" si="2"/>
        <v>74</v>
      </c>
      <c r="H94" s="28">
        <f t="shared" si="3"/>
        <v>835</v>
      </c>
      <c r="I94" s="24">
        <v>-1440</v>
      </c>
      <c r="J94" s="28">
        <v>2275</v>
      </c>
      <c r="K94" s="22">
        <f t="shared" si="4"/>
        <v>682</v>
      </c>
      <c r="L94" s="22">
        <f t="shared" si="5"/>
        <v>74</v>
      </c>
      <c r="M94" s="28">
        <f t="shared" si="6"/>
        <v>1002</v>
      </c>
      <c r="N94" s="24">
        <v>-1105</v>
      </c>
      <c r="O94" s="28">
        <v>2107</v>
      </c>
      <c r="P94" s="22">
        <f t="shared" si="7"/>
        <v>533</v>
      </c>
      <c r="Q94" s="36"/>
      <c r="R94" s="30"/>
    </row>
    <row r="95" spans="1:18" ht="15.75" customHeight="1" x14ac:dyDescent="0.2">
      <c r="A95" s="37">
        <v>45789</v>
      </c>
      <c r="B95" s="22">
        <f t="shared" si="1"/>
        <v>75</v>
      </c>
      <c r="C95" s="28">
        <f t="shared" si="8"/>
        <v>984</v>
      </c>
      <c r="D95" s="24">
        <v>-1520</v>
      </c>
      <c r="E95" s="28">
        <v>2505</v>
      </c>
      <c r="F95" s="22">
        <f t="shared" si="9"/>
        <v>603</v>
      </c>
      <c r="G95" s="22">
        <f t="shared" si="2"/>
        <v>75</v>
      </c>
      <c r="H95" s="28">
        <f t="shared" si="3"/>
        <v>832</v>
      </c>
      <c r="I95" s="24">
        <v>-1443</v>
      </c>
      <c r="J95" s="28">
        <v>2275</v>
      </c>
      <c r="K95" s="22">
        <f t="shared" si="4"/>
        <v>685</v>
      </c>
      <c r="L95" s="22">
        <f t="shared" si="5"/>
        <v>75</v>
      </c>
      <c r="M95" s="28">
        <f t="shared" si="6"/>
        <v>1000</v>
      </c>
      <c r="N95" s="24">
        <v>-1107</v>
      </c>
      <c r="O95" s="28">
        <v>2107</v>
      </c>
      <c r="P95" s="22">
        <f t="shared" si="7"/>
        <v>535</v>
      </c>
      <c r="Q95" s="36"/>
      <c r="R95" s="30"/>
    </row>
    <row r="96" spans="1:18" ht="15.75" customHeight="1" x14ac:dyDescent="0.2">
      <c r="A96" s="37">
        <v>45790</v>
      </c>
      <c r="B96" s="22">
        <f t="shared" si="1"/>
        <v>76</v>
      </c>
      <c r="C96" s="28">
        <f t="shared" si="8"/>
        <v>982</v>
      </c>
      <c r="D96" s="24">
        <v>-1522</v>
      </c>
      <c r="E96" s="28">
        <v>2505</v>
      </c>
      <c r="F96" s="22">
        <f t="shared" si="9"/>
        <v>605</v>
      </c>
      <c r="G96" s="22">
        <f t="shared" si="2"/>
        <v>76</v>
      </c>
      <c r="H96" s="28">
        <f t="shared" si="3"/>
        <v>829</v>
      </c>
      <c r="I96" s="24">
        <v>-1446</v>
      </c>
      <c r="J96" s="28">
        <v>2275</v>
      </c>
      <c r="K96" s="22">
        <f t="shared" si="4"/>
        <v>688</v>
      </c>
      <c r="L96" s="22">
        <f t="shared" si="5"/>
        <v>76</v>
      </c>
      <c r="M96" s="28">
        <f t="shared" si="6"/>
        <v>998</v>
      </c>
      <c r="N96" s="24">
        <v>-1109</v>
      </c>
      <c r="O96" s="28">
        <v>2107</v>
      </c>
      <c r="P96" s="22">
        <f t="shared" si="7"/>
        <v>537</v>
      </c>
      <c r="Q96" s="36"/>
      <c r="R96" s="30"/>
    </row>
    <row r="97" spans="1:18" ht="15.75" customHeight="1" x14ac:dyDescent="0.2">
      <c r="A97" s="37">
        <v>45791</v>
      </c>
      <c r="B97" s="22">
        <f t="shared" si="1"/>
        <v>77</v>
      </c>
      <c r="C97" s="28">
        <f t="shared" si="8"/>
        <v>972</v>
      </c>
      <c r="D97" s="24">
        <v>-1532</v>
      </c>
      <c r="E97" s="28">
        <v>2505</v>
      </c>
      <c r="F97" s="22">
        <f t="shared" si="9"/>
        <v>615</v>
      </c>
      <c r="G97" s="22">
        <f t="shared" si="2"/>
        <v>77</v>
      </c>
      <c r="H97" s="28">
        <f t="shared" si="3"/>
        <v>820</v>
      </c>
      <c r="I97" s="24">
        <v>-1455</v>
      </c>
      <c r="J97" s="28">
        <v>2275</v>
      </c>
      <c r="K97" s="22">
        <f t="shared" si="4"/>
        <v>697</v>
      </c>
      <c r="L97" s="22">
        <f t="shared" si="5"/>
        <v>77</v>
      </c>
      <c r="M97" s="28">
        <f t="shared" si="6"/>
        <v>992</v>
      </c>
      <c r="N97" s="24">
        <v>-1115</v>
      </c>
      <c r="O97" s="28">
        <v>2107</v>
      </c>
      <c r="P97" s="22">
        <f t="shared" si="7"/>
        <v>543</v>
      </c>
      <c r="Q97" s="36"/>
      <c r="R97" s="30"/>
    </row>
    <row r="98" spans="1:18" ht="15.75" customHeight="1" x14ac:dyDescent="0.2">
      <c r="A98" s="37">
        <v>45792</v>
      </c>
      <c r="B98" s="22">
        <f t="shared" si="1"/>
        <v>78</v>
      </c>
      <c r="C98" s="28">
        <f t="shared" si="8"/>
        <v>962</v>
      </c>
      <c r="D98" s="24">
        <v>-1542</v>
      </c>
      <c r="E98" s="28">
        <v>2505</v>
      </c>
      <c r="F98" s="22">
        <f t="shared" si="9"/>
        <v>625</v>
      </c>
      <c r="G98" s="22">
        <f t="shared" si="2"/>
        <v>78</v>
      </c>
      <c r="H98" s="28">
        <f t="shared" si="3"/>
        <v>812</v>
      </c>
      <c r="I98" s="24">
        <v>-1463</v>
      </c>
      <c r="J98" s="28">
        <v>2275</v>
      </c>
      <c r="K98" s="22">
        <f t="shared" si="4"/>
        <v>705</v>
      </c>
      <c r="L98" s="22">
        <f t="shared" si="5"/>
        <v>78</v>
      </c>
      <c r="M98" s="28">
        <f t="shared" si="6"/>
        <v>985</v>
      </c>
      <c r="N98" s="24">
        <v>-1122</v>
      </c>
      <c r="O98" s="28">
        <v>2107</v>
      </c>
      <c r="P98" s="22">
        <f t="shared" si="7"/>
        <v>550</v>
      </c>
      <c r="Q98" s="36"/>
      <c r="R98" s="30"/>
    </row>
    <row r="99" spans="1:18" ht="15.75" customHeight="1" x14ac:dyDescent="0.2">
      <c r="A99" s="37">
        <v>45793</v>
      </c>
      <c r="B99" s="22">
        <f t="shared" si="1"/>
        <v>79</v>
      </c>
      <c r="C99" s="28">
        <f t="shared" si="8"/>
        <v>951</v>
      </c>
      <c r="D99" s="24">
        <v>-1553</v>
      </c>
      <c r="E99" s="28">
        <v>2505</v>
      </c>
      <c r="F99" s="22">
        <f t="shared" si="9"/>
        <v>636</v>
      </c>
      <c r="G99" s="22">
        <f t="shared" si="2"/>
        <v>79</v>
      </c>
      <c r="H99" s="28">
        <f t="shared" si="3"/>
        <v>803</v>
      </c>
      <c r="I99" s="24">
        <v>-1472</v>
      </c>
      <c r="J99" s="28">
        <v>2275</v>
      </c>
      <c r="K99" s="22">
        <f t="shared" si="4"/>
        <v>714</v>
      </c>
      <c r="L99" s="22">
        <f t="shared" si="5"/>
        <v>79</v>
      </c>
      <c r="M99" s="28">
        <f t="shared" si="6"/>
        <v>970</v>
      </c>
      <c r="N99" s="24">
        <v>-1137</v>
      </c>
      <c r="O99" s="28">
        <v>2107</v>
      </c>
      <c r="P99" s="22">
        <f t="shared" si="7"/>
        <v>565</v>
      </c>
      <c r="Q99" s="36"/>
      <c r="R99" s="30"/>
    </row>
    <row r="100" spans="1:18" ht="15.75" customHeight="1" x14ac:dyDescent="0.2">
      <c r="A100" s="37">
        <v>45794</v>
      </c>
      <c r="B100" s="22">
        <f t="shared" si="1"/>
        <v>80</v>
      </c>
      <c r="C100" s="28">
        <f t="shared" si="8"/>
        <v>948</v>
      </c>
      <c r="D100" s="24">
        <v>-1556</v>
      </c>
      <c r="E100" s="28">
        <v>2505</v>
      </c>
      <c r="F100" s="22">
        <f t="shared" si="9"/>
        <v>639</v>
      </c>
      <c r="G100" s="22">
        <f t="shared" si="2"/>
        <v>80</v>
      </c>
      <c r="H100" s="28">
        <f t="shared" si="3"/>
        <v>800</v>
      </c>
      <c r="I100" s="24">
        <v>-1475</v>
      </c>
      <c r="J100" s="28">
        <v>2275</v>
      </c>
      <c r="K100" s="22">
        <f t="shared" si="4"/>
        <v>717</v>
      </c>
      <c r="L100" s="22">
        <f t="shared" si="5"/>
        <v>80</v>
      </c>
      <c r="M100" s="28">
        <f t="shared" si="6"/>
        <v>967</v>
      </c>
      <c r="N100" s="24">
        <v>-1140</v>
      </c>
      <c r="O100" s="28">
        <v>2107</v>
      </c>
      <c r="P100" s="22">
        <f t="shared" si="7"/>
        <v>568</v>
      </c>
      <c r="Q100" s="36"/>
      <c r="R100" s="30"/>
    </row>
    <row r="101" spans="1:18" ht="15.75" customHeight="1" x14ac:dyDescent="0.2">
      <c r="A101" s="37">
        <v>45795</v>
      </c>
      <c r="B101" s="22">
        <f t="shared" si="1"/>
        <v>81</v>
      </c>
      <c r="C101" s="28">
        <f t="shared" si="8"/>
        <v>945</v>
      </c>
      <c r="D101" s="24">
        <v>-1559</v>
      </c>
      <c r="E101" s="28">
        <v>2505</v>
      </c>
      <c r="F101" s="22">
        <f t="shared" si="9"/>
        <v>642</v>
      </c>
      <c r="G101" s="22">
        <f t="shared" si="2"/>
        <v>81</v>
      </c>
      <c r="H101" s="28">
        <f t="shared" si="3"/>
        <v>797</v>
      </c>
      <c r="I101" s="24">
        <v>-1478</v>
      </c>
      <c r="J101" s="28">
        <v>2275</v>
      </c>
      <c r="K101" s="22">
        <f t="shared" si="4"/>
        <v>720</v>
      </c>
      <c r="L101" s="22">
        <f t="shared" si="5"/>
        <v>81</v>
      </c>
      <c r="M101" s="28">
        <f t="shared" si="6"/>
        <v>964</v>
      </c>
      <c r="N101" s="24">
        <v>-1143</v>
      </c>
      <c r="O101" s="28">
        <v>2107</v>
      </c>
      <c r="P101" s="22">
        <f t="shared" si="7"/>
        <v>571</v>
      </c>
      <c r="Q101" s="36"/>
      <c r="R101" s="30"/>
    </row>
    <row r="102" spans="1:18" ht="15.75" customHeight="1" x14ac:dyDescent="0.2">
      <c r="A102" s="37">
        <v>45796</v>
      </c>
      <c r="B102" s="22">
        <f t="shared" si="1"/>
        <v>82</v>
      </c>
      <c r="C102" s="28">
        <f t="shared" si="8"/>
        <v>941</v>
      </c>
      <c r="D102" s="24">
        <v>-1563</v>
      </c>
      <c r="E102" s="28">
        <v>2505</v>
      </c>
      <c r="F102" s="22">
        <f t="shared" si="9"/>
        <v>646</v>
      </c>
      <c r="G102" s="22">
        <f t="shared" si="2"/>
        <v>82</v>
      </c>
      <c r="H102" s="28">
        <f t="shared" si="3"/>
        <v>796</v>
      </c>
      <c r="I102" s="24">
        <v>-1479</v>
      </c>
      <c r="J102" s="28">
        <v>2275</v>
      </c>
      <c r="K102" s="22">
        <f t="shared" si="4"/>
        <v>721</v>
      </c>
      <c r="L102" s="22">
        <f t="shared" si="5"/>
        <v>82</v>
      </c>
      <c r="M102" s="28">
        <f t="shared" si="6"/>
        <v>961</v>
      </c>
      <c r="N102" s="24">
        <v>-1146</v>
      </c>
      <c r="O102" s="28">
        <v>2107</v>
      </c>
      <c r="P102" s="22">
        <f t="shared" si="7"/>
        <v>574</v>
      </c>
      <c r="Q102" s="36"/>
      <c r="R102" s="30"/>
    </row>
    <row r="103" spans="1:18" ht="15.75" customHeight="1" x14ac:dyDescent="0.2">
      <c r="A103" s="37">
        <v>45797</v>
      </c>
      <c r="B103" s="22">
        <f t="shared" si="1"/>
        <v>83</v>
      </c>
      <c r="C103" s="28">
        <f t="shared" si="8"/>
        <v>941</v>
      </c>
      <c r="D103" s="24">
        <v>-1563</v>
      </c>
      <c r="E103" s="28">
        <v>2505</v>
      </c>
      <c r="F103" s="22">
        <f t="shared" si="9"/>
        <v>646</v>
      </c>
      <c r="G103" s="22">
        <f t="shared" si="2"/>
        <v>83</v>
      </c>
      <c r="H103" s="28">
        <f t="shared" si="3"/>
        <v>795</v>
      </c>
      <c r="I103" s="24">
        <v>-1480</v>
      </c>
      <c r="J103" s="28">
        <v>2275</v>
      </c>
      <c r="K103" s="22">
        <f t="shared" si="4"/>
        <v>722</v>
      </c>
      <c r="L103" s="22">
        <f t="shared" si="5"/>
        <v>83</v>
      </c>
      <c r="M103" s="28">
        <f t="shared" si="6"/>
        <v>961</v>
      </c>
      <c r="N103" s="24">
        <v>-1146</v>
      </c>
      <c r="O103" s="28">
        <v>2107</v>
      </c>
      <c r="P103" s="22">
        <f t="shared" si="7"/>
        <v>574</v>
      </c>
      <c r="Q103" s="36"/>
      <c r="R103" s="30"/>
    </row>
    <row r="104" spans="1:18" ht="15.75" customHeight="1" x14ac:dyDescent="0.2">
      <c r="A104" s="37">
        <v>45798</v>
      </c>
      <c r="B104" s="22">
        <f t="shared" si="1"/>
        <v>84</v>
      </c>
      <c r="C104" s="28">
        <f t="shared" si="8"/>
        <v>941</v>
      </c>
      <c r="D104" s="24">
        <v>-1563</v>
      </c>
      <c r="E104" s="28">
        <v>2505</v>
      </c>
      <c r="F104" s="22">
        <f t="shared" si="9"/>
        <v>646</v>
      </c>
      <c r="G104" s="22">
        <f t="shared" si="2"/>
        <v>84</v>
      </c>
      <c r="H104" s="28">
        <f t="shared" si="3"/>
        <v>794</v>
      </c>
      <c r="I104" s="24">
        <v>-1481</v>
      </c>
      <c r="J104" s="28">
        <v>2275</v>
      </c>
      <c r="K104" s="22">
        <f t="shared" si="4"/>
        <v>723</v>
      </c>
      <c r="L104" s="22">
        <f t="shared" si="5"/>
        <v>84</v>
      </c>
      <c r="M104" s="28">
        <f t="shared" si="6"/>
        <v>961</v>
      </c>
      <c r="N104" s="24">
        <v>-1146</v>
      </c>
      <c r="O104" s="28">
        <v>2107</v>
      </c>
      <c r="P104" s="22">
        <f t="shared" si="7"/>
        <v>574</v>
      </c>
      <c r="Q104" s="36"/>
      <c r="R104" s="30"/>
    </row>
    <row r="105" spans="1:18" ht="15.75" customHeight="1" x14ac:dyDescent="0.2">
      <c r="A105" s="37">
        <v>45799</v>
      </c>
      <c r="B105" s="22">
        <f t="shared" si="1"/>
        <v>85</v>
      </c>
      <c r="C105" s="28">
        <f t="shared" si="8"/>
        <v>941</v>
      </c>
      <c r="D105" s="24">
        <v>-1563</v>
      </c>
      <c r="E105" s="28">
        <v>2505</v>
      </c>
      <c r="F105" s="22">
        <f t="shared" si="9"/>
        <v>646</v>
      </c>
      <c r="G105" s="22">
        <f t="shared" si="2"/>
        <v>85</v>
      </c>
      <c r="H105" s="28">
        <f t="shared" si="3"/>
        <v>793</v>
      </c>
      <c r="I105" s="24">
        <v>-1482</v>
      </c>
      <c r="J105" s="28">
        <v>2275</v>
      </c>
      <c r="K105" s="22">
        <f t="shared" si="4"/>
        <v>724</v>
      </c>
      <c r="L105" s="22">
        <f t="shared" si="5"/>
        <v>85</v>
      </c>
      <c r="M105" s="28">
        <f t="shared" si="6"/>
        <v>961</v>
      </c>
      <c r="N105" s="24">
        <v>-1146</v>
      </c>
      <c r="O105" s="28">
        <v>2107</v>
      </c>
      <c r="P105" s="22">
        <f t="shared" si="7"/>
        <v>574</v>
      </c>
      <c r="Q105" s="36"/>
      <c r="R105" s="30"/>
    </row>
    <row r="106" spans="1:18" ht="15.75" customHeight="1" x14ac:dyDescent="0.2">
      <c r="A106" s="37">
        <v>45800</v>
      </c>
      <c r="B106" s="22">
        <f t="shared" si="1"/>
        <v>86</v>
      </c>
      <c r="C106" s="28">
        <f t="shared" si="8"/>
        <v>927</v>
      </c>
      <c r="D106" s="24">
        <v>-1577</v>
      </c>
      <c r="E106" s="28">
        <v>2505</v>
      </c>
      <c r="F106" s="22">
        <f t="shared" si="9"/>
        <v>660</v>
      </c>
      <c r="G106" s="22">
        <f t="shared" si="2"/>
        <v>86</v>
      </c>
      <c r="H106" s="28">
        <f t="shared" si="3"/>
        <v>781</v>
      </c>
      <c r="I106" s="24">
        <v>-1494</v>
      </c>
      <c r="J106" s="28">
        <v>2275</v>
      </c>
      <c r="K106" s="22">
        <f t="shared" si="4"/>
        <v>736</v>
      </c>
      <c r="L106" s="22">
        <f t="shared" si="5"/>
        <v>86</v>
      </c>
      <c r="M106" s="28">
        <f t="shared" si="6"/>
        <v>952</v>
      </c>
      <c r="N106" s="24">
        <v>-1155</v>
      </c>
      <c r="O106" s="28">
        <v>2107</v>
      </c>
      <c r="P106" s="22">
        <f t="shared" si="7"/>
        <v>583</v>
      </c>
      <c r="Q106" s="36"/>
      <c r="R106" s="30"/>
    </row>
    <row r="107" spans="1:18" ht="15.75" customHeight="1" x14ac:dyDescent="0.2">
      <c r="A107" s="37">
        <v>45801</v>
      </c>
      <c r="B107" s="22">
        <f t="shared" si="1"/>
        <v>87</v>
      </c>
      <c r="C107" s="28">
        <f t="shared" si="8"/>
        <v>919</v>
      </c>
      <c r="D107" s="24">
        <v>-1585</v>
      </c>
      <c r="E107" s="28">
        <v>2505</v>
      </c>
      <c r="F107" s="22">
        <f t="shared" si="9"/>
        <v>668</v>
      </c>
      <c r="G107" s="22">
        <f t="shared" si="2"/>
        <v>87</v>
      </c>
      <c r="H107" s="28">
        <f t="shared" si="3"/>
        <v>770</v>
      </c>
      <c r="I107" s="24">
        <v>-1505</v>
      </c>
      <c r="J107" s="28">
        <v>2275</v>
      </c>
      <c r="K107" s="22">
        <f t="shared" si="4"/>
        <v>747</v>
      </c>
      <c r="L107" s="22">
        <f t="shared" si="5"/>
        <v>87</v>
      </c>
      <c r="M107" s="28">
        <f t="shared" si="6"/>
        <v>943</v>
      </c>
      <c r="N107" s="24">
        <v>-1164</v>
      </c>
      <c r="O107" s="28">
        <v>2107</v>
      </c>
      <c r="P107" s="22">
        <f t="shared" si="7"/>
        <v>592</v>
      </c>
      <c r="Q107" s="36"/>
      <c r="R107" s="30"/>
    </row>
    <row r="108" spans="1:18" ht="15.75" customHeight="1" x14ac:dyDescent="0.2">
      <c r="A108" s="37">
        <v>45802</v>
      </c>
      <c r="B108" s="22">
        <f t="shared" si="1"/>
        <v>88</v>
      </c>
      <c r="C108" s="28">
        <f t="shared" si="8"/>
        <v>911</v>
      </c>
      <c r="D108" s="24">
        <v>-1593</v>
      </c>
      <c r="E108" s="28">
        <v>2505</v>
      </c>
      <c r="F108" s="22">
        <f t="shared" si="9"/>
        <v>676</v>
      </c>
      <c r="G108" s="22">
        <f t="shared" si="2"/>
        <v>88</v>
      </c>
      <c r="H108" s="28">
        <f t="shared" si="3"/>
        <v>769</v>
      </c>
      <c r="I108" s="24">
        <v>-1506</v>
      </c>
      <c r="J108" s="28">
        <v>2275</v>
      </c>
      <c r="K108" s="22">
        <f t="shared" si="4"/>
        <v>748</v>
      </c>
      <c r="L108" s="22">
        <f t="shared" si="5"/>
        <v>88</v>
      </c>
      <c r="M108" s="28">
        <f t="shared" si="6"/>
        <v>934</v>
      </c>
      <c r="N108" s="24">
        <v>-1173</v>
      </c>
      <c r="O108" s="28">
        <v>2107</v>
      </c>
      <c r="P108" s="22">
        <f t="shared" si="7"/>
        <v>601</v>
      </c>
      <c r="Q108" s="36"/>
      <c r="R108" s="30"/>
    </row>
    <row r="109" spans="1:18" ht="15.75" customHeight="1" x14ac:dyDescent="0.2">
      <c r="A109" s="37">
        <v>45803</v>
      </c>
      <c r="B109" s="22">
        <f t="shared" si="1"/>
        <v>89</v>
      </c>
      <c r="C109" s="28">
        <f t="shared" si="8"/>
        <v>903</v>
      </c>
      <c r="D109" s="24">
        <v>-1601</v>
      </c>
      <c r="E109" s="28">
        <v>2505</v>
      </c>
      <c r="F109" s="22">
        <f t="shared" si="9"/>
        <v>684</v>
      </c>
      <c r="G109" s="22">
        <f t="shared" si="2"/>
        <v>89</v>
      </c>
      <c r="H109" s="28">
        <f t="shared" si="3"/>
        <v>763</v>
      </c>
      <c r="I109" s="24">
        <v>-1512</v>
      </c>
      <c r="J109" s="28">
        <v>2275</v>
      </c>
      <c r="K109" s="22">
        <f t="shared" si="4"/>
        <v>754</v>
      </c>
      <c r="L109" s="22">
        <f t="shared" si="5"/>
        <v>89</v>
      </c>
      <c r="M109" s="28">
        <f t="shared" si="6"/>
        <v>925</v>
      </c>
      <c r="N109" s="24">
        <v>-1182</v>
      </c>
      <c r="O109" s="28">
        <v>2107</v>
      </c>
      <c r="P109" s="22">
        <f t="shared" si="7"/>
        <v>610</v>
      </c>
      <c r="Q109" s="36"/>
      <c r="R109" s="30"/>
    </row>
    <row r="110" spans="1:18" ht="15.75" customHeight="1" x14ac:dyDescent="0.2">
      <c r="A110" s="37">
        <v>45804</v>
      </c>
      <c r="B110" s="22">
        <f t="shared" si="1"/>
        <v>90</v>
      </c>
      <c r="C110" s="28">
        <f t="shared" si="8"/>
        <v>895</v>
      </c>
      <c r="D110" s="24">
        <v>-1609</v>
      </c>
      <c r="E110" s="28">
        <v>2505</v>
      </c>
      <c r="F110" s="22">
        <f t="shared" si="9"/>
        <v>692</v>
      </c>
      <c r="G110" s="22">
        <f t="shared" si="2"/>
        <v>90</v>
      </c>
      <c r="H110" s="28">
        <f t="shared" si="3"/>
        <v>757</v>
      </c>
      <c r="I110" s="24">
        <v>-1518</v>
      </c>
      <c r="J110" s="28">
        <v>2275</v>
      </c>
      <c r="K110" s="22">
        <f t="shared" si="4"/>
        <v>760</v>
      </c>
      <c r="L110" s="22">
        <f t="shared" si="5"/>
        <v>90</v>
      </c>
      <c r="M110" s="28">
        <f t="shared" si="6"/>
        <v>916</v>
      </c>
      <c r="N110" s="24">
        <v>-1191</v>
      </c>
      <c r="O110" s="28">
        <v>2107</v>
      </c>
      <c r="P110" s="22">
        <f t="shared" si="7"/>
        <v>619</v>
      </c>
      <c r="Q110" s="36"/>
      <c r="R110" s="30"/>
    </row>
    <row r="111" spans="1:18" ht="15.75" customHeight="1" x14ac:dyDescent="0.2">
      <c r="A111" s="37">
        <v>45805</v>
      </c>
      <c r="B111" s="22">
        <f t="shared" si="1"/>
        <v>91</v>
      </c>
      <c r="C111" s="28">
        <f t="shared" si="8"/>
        <v>895</v>
      </c>
      <c r="D111" s="24">
        <v>-1609</v>
      </c>
      <c r="E111" s="28">
        <v>2505</v>
      </c>
      <c r="F111" s="22">
        <f t="shared" si="9"/>
        <v>692</v>
      </c>
      <c r="G111" s="22">
        <f t="shared" si="2"/>
        <v>91</v>
      </c>
      <c r="H111" s="28">
        <f t="shared" si="3"/>
        <v>757</v>
      </c>
      <c r="I111" s="24">
        <v>-1518</v>
      </c>
      <c r="J111" s="28">
        <v>2275</v>
      </c>
      <c r="K111" s="22">
        <f t="shared" si="4"/>
        <v>760</v>
      </c>
      <c r="L111" s="22">
        <f t="shared" si="5"/>
        <v>91</v>
      </c>
      <c r="M111" s="28">
        <f t="shared" si="6"/>
        <v>916</v>
      </c>
      <c r="N111" s="24">
        <v>-1191</v>
      </c>
      <c r="O111" s="28">
        <v>2107</v>
      </c>
      <c r="P111" s="22">
        <f t="shared" si="7"/>
        <v>619</v>
      </c>
      <c r="Q111" s="36"/>
      <c r="R111" s="30"/>
    </row>
    <row r="112" spans="1:18" ht="15.75" customHeight="1" x14ac:dyDescent="0.2">
      <c r="A112" s="37">
        <v>45806</v>
      </c>
      <c r="B112" s="22">
        <f t="shared" si="1"/>
        <v>92</v>
      </c>
      <c r="C112" s="28">
        <f t="shared" si="8"/>
        <v>895</v>
      </c>
      <c r="D112" s="24">
        <v>-1609</v>
      </c>
      <c r="E112" s="28">
        <v>2505</v>
      </c>
      <c r="F112" s="22">
        <f t="shared" si="9"/>
        <v>692</v>
      </c>
      <c r="G112" s="22">
        <f t="shared" si="2"/>
        <v>92</v>
      </c>
      <c r="H112" s="28">
        <f t="shared" si="3"/>
        <v>757</v>
      </c>
      <c r="I112" s="24">
        <v>-1518</v>
      </c>
      <c r="J112" s="28">
        <v>2275</v>
      </c>
      <c r="K112" s="22">
        <f t="shared" si="4"/>
        <v>760</v>
      </c>
      <c r="L112" s="22">
        <f t="shared" si="5"/>
        <v>92</v>
      </c>
      <c r="M112" s="28">
        <f t="shared" si="6"/>
        <v>916</v>
      </c>
      <c r="N112" s="24">
        <v>-1191</v>
      </c>
      <c r="O112" s="28">
        <v>2107</v>
      </c>
      <c r="P112" s="22">
        <f t="shared" si="7"/>
        <v>619</v>
      </c>
      <c r="Q112" s="36"/>
      <c r="R112" s="30"/>
    </row>
    <row r="113" spans="1:18" ht="15.75" customHeight="1" x14ac:dyDescent="0.2">
      <c r="A113" s="37">
        <v>45807</v>
      </c>
      <c r="B113" s="22">
        <f t="shared" si="1"/>
        <v>93</v>
      </c>
      <c r="C113" s="28">
        <f t="shared" si="8"/>
        <v>895</v>
      </c>
      <c r="D113" s="24">
        <v>-1609</v>
      </c>
      <c r="E113" s="28">
        <v>2505</v>
      </c>
      <c r="F113" s="22">
        <f t="shared" si="9"/>
        <v>692</v>
      </c>
      <c r="G113" s="22">
        <f t="shared" si="2"/>
        <v>93</v>
      </c>
      <c r="H113" s="28">
        <f t="shared" si="3"/>
        <v>757</v>
      </c>
      <c r="I113" s="24">
        <v>-1518</v>
      </c>
      <c r="J113" s="28">
        <v>2275</v>
      </c>
      <c r="K113" s="22">
        <f t="shared" si="4"/>
        <v>760</v>
      </c>
      <c r="L113" s="22">
        <f t="shared" si="5"/>
        <v>93</v>
      </c>
      <c r="M113" s="28">
        <f t="shared" si="6"/>
        <v>916</v>
      </c>
      <c r="N113" s="24">
        <v>-1191</v>
      </c>
      <c r="O113" s="28">
        <v>2107</v>
      </c>
      <c r="P113" s="22">
        <f t="shared" si="7"/>
        <v>619</v>
      </c>
      <c r="Q113" s="36"/>
      <c r="R113" s="30"/>
    </row>
    <row r="114" spans="1:18" ht="15.75" customHeight="1" x14ac:dyDescent="0.2">
      <c r="A114" s="37">
        <v>45808</v>
      </c>
      <c r="B114" s="22">
        <f t="shared" si="1"/>
        <v>94</v>
      </c>
      <c r="C114" s="28">
        <f t="shared" si="8"/>
        <v>895</v>
      </c>
      <c r="D114" s="24">
        <v>-1609</v>
      </c>
      <c r="E114" s="28">
        <v>2505</v>
      </c>
      <c r="F114" s="22">
        <f t="shared" si="9"/>
        <v>692</v>
      </c>
      <c r="G114" s="22">
        <f t="shared" si="2"/>
        <v>94</v>
      </c>
      <c r="H114" s="28">
        <f t="shared" si="3"/>
        <v>757</v>
      </c>
      <c r="I114" s="24">
        <v>-1518</v>
      </c>
      <c r="J114" s="28">
        <v>2275</v>
      </c>
      <c r="K114" s="22">
        <f t="shared" si="4"/>
        <v>760</v>
      </c>
      <c r="L114" s="22">
        <f t="shared" si="5"/>
        <v>94</v>
      </c>
      <c r="M114" s="28">
        <f t="shared" si="6"/>
        <v>916</v>
      </c>
      <c r="N114" s="24">
        <v>-1191</v>
      </c>
      <c r="O114" s="28">
        <v>2107</v>
      </c>
      <c r="P114" s="22">
        <f t="shared" si="7"/>
        <v>619</v>
      </c>
      <c r="Q114" s="36"/>
      <c r="R114" s="30"/>
    </row>
    <row r="115" spans="1:18" ht="15.75" customHeight="1" x14ac:dyDescent="0.2">
      <c r="A115" s="37">
        <v>45809</v>
      </c>
      <c r="B115" s="22">
        <f t="shared" si="1"/>
        <v>95</v>
      </c>
      <c r="C115" s="28">
        <f t="shared" si="8"/>
        <v>895</v>
      </c>
      <c r="D115" s="24">
        <v>-1609</v>
      </c>
      <c r="E115" s="28">
        <v>2505</v>
      </c>
      <c r="F115" s="22">
        <f t="shared" si="9"/>
        <v>692</v>
      </c>
      <c r="G115" s="22">
        <f t="shared" si="2"/>
        <v>95</v>
      </c>
      <c r="H115" s="28">
        <f t="shared" si="3"/>
        <v>757</v>
      </c>
      <c r="I115" s="24">
        <v>-1518</v>
      </c>
      <c r="J115" s="28">
        <v>2275</v>
      </c>
      <c r="K115" s="22">
        <f t="shared" si="4"/>
        <v>760</v>
      </c>
      <c r="L115" s="22">
        <f t="shared" si="5"/>
        <v>95</v>
      </c>
      <c r="M115" s="28">
        <f t="shared" si="6"/>
        <v>916</v>
      </c>
      <c r="N115" s="24">
        <v>-1191</v>
      </c>
      <c r="O115" s="28">
        <v>2107</v>
      </c>
      <c r="P115" s="22">
        <f t="shared" si="7"/>
        <v>619</v>
      </c>
      <c r="Q115" s="36"/>
      <c r="R115" s="30"/>
    </row>
    <row r="116" spans="1:18" ht="15.75" customHeight="1" x14ac:dyDescent="0.2">
      <c r="A116" s="37">
        <v>45810</v>
      </c>
      <c r="B116" s="22">
        <f t="shared" si="1"/>
        <v>96</v>
      </c>
      <c r="C116" s="28">
        <f t="shared" si="8"/>
        <v>895</v>
      </c>
      <c r="D116" s="24">
        <v>-1609</v>
      </c>
      <c r="E116" s="28">
        <v>2505</v>
      </c>
      <c r="F116" s="22">
        <f t="shared" si="9"/>
        <v>692</v>
      </c>
      <c r="G116" s="22">
        <f t="shared" si="2"/>
        <v>96</v>
      </c>
      <c r="H116" s="28">
        <f t="shared" si="3"/>
        <v>757</v>
      </c>
      <c r="I116" s="24">
        <v>-1518</v>
      </c>
      <c r="J116" s="28">
        <v>2275</v>
      </c>
      <c r="K116" s="22">
        <f t="shared" si="4"/>
        <v>760</v>
      </c>
      <c r="L116" s="22">
        <f t="shared" si="5"/>
        <v>96</v>
      </c>
      <c r="M116" s="28">
        <f t="shared" si="6"/>
        <v>916</v>
      </c>
      <c r="N116" s="24">
        <v>-1191</v>
      </c>
      <c r="O116" s="28">
        <v>2107</v>
      </c>
      <c r="P116" s="22">
        <f t="shared" si="7"/>
        <v>619</v>
      </c>
      <c r="Q116" s="36"/>
      <c r="R116" s="30"/>
    </row>
    <row r="117" spans="1:18" ht="15.75" customHeight="1" x14ac:dyDescent="0.2">
      <c r="A117" s="37">
        <v>45811</v>
      </c>
      <c r="B117" s="22">
        <f t="shared" si="1"/>
        <v>97</v>
      </c>
      <c r="C117" s="28">
        <f t="shared" si="8"/>
        <v>893</v>
      </c>
      <c r="D117" s="24">
        <v>-1611</v>
      </c>
      <c r="E117" s="28">
        <v>2505</v>
      </c>
      <c r="F117" s="22">
        <f t="shared" si="9"/>
        <v>694</v>
      </c>
      <c r="G117" s="22">
        <f t="shared" si="2"/>
        <v>97</v>
      </c>
      <c r="H117" s="28">
        <f t="shared" si="3"/>
        <v>755</v>
      </c>
      <c r="I117" s="24">
        <v>-1520</v>
      </c>
      <c r="J117" s="28">
        <v>2275</v>
      </c>
      <c r="K117" s="22">
        <f t="shared" si="4"/>
        <v>762</v>
      </c>
      <c r="L117" s="22">
        <f t="shared" si="5"/>
        <v>97</v>
      </c>
      <c r="M117" s="28">
        <f t="shared" si="6"/>
        <v>914</v>
      </c>
      <c r="N117" s="24">
        <v>-1193</v>
      </c>
      <c r="O117" s="28">
        <v>2107</v>
      </c>
      <c r="P117" s="22">
        <f t="shared" si="7"/>
        <v>621</v>
      </c>
      <c r="Q117" s="36"/>
      <c r="R117" s="30"/>
    </row>
    <row r="118" spans="1:18" ht="15.75" customHeight="1" x14ac:dyDescent="0.2">
      <c r="A118" s="37">
        <v>45812</v>
      </c>
      <c r="B118" s="22">
        <f t="shared" si="1"/>
        <v>98</v>
      </c>
      <c r="C118" s="28">
        <f t="shared" si="8"/>
        <v>893</v>
      </c>
      <c r="D118" s="24">
        <v>-1611</v>
      </c>
      <c r="E118" s="28">
        <v>2505</v>
      </c>
      <c r="F118" s="22">
        <f t="shared" si="9"/>
        <v>694</v>
      </c>
      <c r="G118" s="22">
        <f t="shared" si="2"/>
        <v>98</v>
      </c>
      <c r="H118" s="28">
        <f t="shared" si="3"/>
        <v>755</v>
      </c>
      <c r="I118" s="24">
        <v>-1520</v>
      </c>
      <c r="J118" s="28">
        <v>2275</v>
      </c>
      <c r="K118" s="22">
        <f t="shared" si="4"/>
        <v>762</v>
      </c>
      <c r="L118" s="22">
        <f t="shared" si="5"/>
        <v>98</v>
      </c>
      <c r="M118" s="28">
        <f t="shared" si="6"/>
        <v>914</v>
      </c>
      <c r="N118" s="24">
        <v>-1193</v>
      </c>
      <c r="O118" s="28">
        <v>2107</v>
      </c>
      <c r="P118" s="22">
        <f t="shared" si="7"/>
        <v>621</v>
      </c>
      <c r="Q118" s="36"/>
      <c r="R118" s="30"/>
    </row>
    <row r="119" spans="1:18" ht="15.75" customHeight="1" x14ac:dyDescent="0.2">
      <c r="A119" s="37">
        <v>45813</v>
      </c>
      <c r="B119" s="22">
        <f t="shared" si="1"/>
        <v>99</v>
      </c>
      <c r="C119" s="28">
        <f t="shared" si="8"/>
        <v>893</v>
      </c>
      <c r="D119" s="24">
        <v>-1611</v>
      </c>
      <c r="E119" s="28">
        <v>2505</v>
      </c>
      <c r="F119" s="22">
        <f t="shared" si="9"/>
        <v>694</v>
      </c>
      <c r="G119" s="22">
        <f t="shared" si="2"/>
        <v>99</v>
      </c>
      <c r="H119" s="28">
        <f t="shared" si="3"/>
        <v>755</v>
      </c>
      <c r="I119" s="24">
        <v>-1520</v>
      </c>
      <c r="J119" s="28">
        <v>2275</v>
      </c>
      <c r="K119" s="22">
        <f t="shared" si="4"/>
        <v>762</v>
      </c>
      <c r="L119" s="22">
        <f t="shared" si="5"/>
        <v>99</v>
      </c>
      <c r="M119" s="28">
        <f t="shared" si="6"/>
        <v>914</v>
      </c>
      <c r="N119" s="24">
        <v>-1193</v>
      </c>
      <c r="O119" s="28">
        <v>2107</v>
      </c>
      <c r="P119" s="22">
        <f t="shared" si="7"/>
        <v>621</v>
      </c>
      <c r="Q119" s="36"/>
      <c r="R119" s="30"/>
    </row>
    <row r="120" spans="1:18" ht="15.75" customHeight="1" x14ac:dyDescent="0.2">
      <c r="A120" s="37">
        <v>45814</v>
      </c>
      <c r="B120" s="22">
        <f t="shared" si="1"/>
        <v>100</v>
      </c>
      <c r="C120" s="28">
        <f t="shared" si="8"/>
        <v>893</v>
      </c>
      <c r="D120" s="24">
        <v>-1611</v>
      </c>
      <c r="E120" s="28">
        <v>2505</v>
      </c>
      <c r="F120" s="22">
        <f t="shared" si="9"/>
        <v>694</v>
      </c>
      <c r="G120" s="22">
        <f t="shared" si="2"/>
        <v>100</v>
      </c>
      <c r="H120" s="28">
        <f t="shared" si="3"/>
        <v>755</v>
      </c>
      <c r="I120" s="24">
        <v>-1520</v>
      </c>
      <c r="J120" s="28">
        <v>2275</v>
      </c>
      <c r="K120" s="22">
        <f t="shared" si="4"/>
        <v>762</v>
      </c>
      <c r="L120" s="22">
        <f t="shared" si="5"/>
        <v>100</v>
      </c>
      <c r="M120" s="28">
        <f t="shared" si="6"/>
        <v>914</v>
      </c>
      <c r="N120" s="24">
        <v>-1193</v>
      </c>
      <c r="O120" s="28">
        <v>2107</v>
      </c>
      <c r="P120" s="22">
        <f t="shared" si="7"/>
        <v>621</v>
      </c>
      <c r="Q120" s="36"/>
      <c r="R120" s="30"/>
    </row>
    <row r="121" spans="1:18" ht="15.75" customHeight="1" x14ac:dyDescent="0.2">
      <c r="A121" s="37">
        <v>45815</v>
      </c>
      <c r="B121" s="22">
        <f t="shared" si="1"/>
        <v>101</v>
      </c>
      <c r="C121" s="28">
        <f t="shared" si="8"/>
        <v>893</v>
      </c>
      <c r="D121" s="24">
        <v>-1611</v>
      </c>
      <c r="E121" s="28">
        <v>2505</v>
      </c>
      <c r="F121" s="22">
        <f t="shared" si="9"/>
        <v>694</v>
      </c>
      <c r="G121" s="22">
        <f t="shared" si="2"/>
        <v>101</v>
      </c>
      <c r="H121" s="28">
        <f t="shared" si="3"/>
        <v>755</v>
      </c>
      <c r="I121" s="24">
        <v>-1520</v>
      </c>
      <c r="J121" s="28">
        <v>2275</v>
      </c>
      <c r="K121" s="22">
        <f t="shared" si="4"/>
        <v>762</v>
      </c>
      <c r="L121" s="22">
        <f t="shared" si="5"/>
        <v>101</v>
      </c>
      <c r="M121" s="28">
        <f t="shared" si="6"/>
        <v>914</v>
      </c>
      <c r="N121" s="24">
        <v>-1193</v>
      </c>
      <c r="O121" s="28">
        <v>2107</v>
      </c>
      <c r="P121" s="22">
        <f t="shared" si="7"/>
        <v>621</v>
      </c>
      <c r="Q121" s="36"/>
      <c r="R121" s="30"/>
    </row>
    <row r="122" spans="1:18" ht="15.75" customHeight="1" x14ac:dyDescent="0.2">
      <c r="A122" s="37">
        <v>45816</v>
      </c>
      <c r="B122" s="22">
        <f t="shared" si="1"/>
        <v>102</v>
      </c>
      <c r="C122" s="28">
        <f t="shared" si="8"/>
        <v>893</v>
      </c>
      <c r="D122" s="24">
        <v>-1611</v>
      </c>
      <c r="E122" s="28">
        <v>2505</v>
      </c>
      <c r="F122" s="22">
        <f t="shared" si="9"/>
        <v>694</v>
      </c>
      <c r="G122" s="22">
        <f t="shared" si="2"/>
        <v>102</v>
      </c>
      <c r="H122" s="28">
        <f t="shared" si="3"/>
        <v>755</v>
      </c>
      <c r="I122" s="24">
        <v>-1520</v>
      </c>
      <c r="J122" s="28">
        <v>2275</v>
      </c>
      <c r="K122" s="22">
        <f t="shared" si="4"/>
        <v>762</v>
      </c>
      <c r="L122" s="22">
        <f t="shared" si="5"/>
        <v>102</v>
      </c>
      <c r="M122" s="28">
        <f t="shared" si="6"/>
        <v>914</v>
      </c>
      <c r="N122" s="24">
        <v>-1193</v>
      </c>
      <c r="O122" s="28">
        <v>2107</v>
      </c>
      <c r="P122" s="22">
        <f t="shared" si="7"/>
        <v>621</v>
      </c>
      <c r="Q122" s="36"/>
      <c r="R122" s="30"/>
    </row>
    <row r="123" spans="1:18" ht="15.75" customHeight="1" x14ac:dyDescent="0.2">
      <c r="A123" s="37">
        <v>45817</v>
      </c>
      <c r="B123" s="22">
        <f t="shared" si="1"/>
        <v>103</v>
      </c>
      <c r="C123" s="28">
        <f t="shared" si="8"/>
        <v>893</v>
      </c>
      <c r="D123" s="24">
        <v>-1611</v>
      </c>
      <c r="E123" s="28">
        <v>2505</v>
      </c>
      <c r="F123" s="22">
        <f t="shared" si="9"/>
        <v>694</v>
      </c>
      <c r="G123" s="22">
        <f t="shared" si="2"/>
        <v>103</v>
      </c>
      <c r="H123" s="28">
        <f t="shared" si="3"/>
        <v>755</v>
      </c>
      <c r="I123" s="24">
        <v>-1520</v>
      </c>
      <c r="J123" s="28">
        <v>2275</v>
      </c>
      <c r="K123" s="22">
        <f t="shared" si="4"/>
        <v>762</v>
      </c>
      <c r="L123" s="22">
        <f t="shared" si="5"/>
        <v>103</v>
      </c>
      <c r="M123" s="28">
        <f t="shared" si="6"/>
        <v>914</v>
      </c>
      <c r="N123" s="24">
        <v>-1193</v>
      </c>
      <c r="O123" s="28">
        <v>2107</v>
      </c>
      <c r="P123" s="22">
        <f t="shared" si="7"/>
        <v>621</v>
      </c>
      <c r="Q123" s="36"/>
      <c r="R123" s="30"/>
    </row>
    <row r="124" spans="1:18" ht="15.75" customHeight="1" x14ac:dyDescent="0.2">
      <c r="A124" s="37">
        <v>45818</v>
      </c>
      <c r="B124" s="22">
        <f t="shared" si="1"/>
        <v>104</v>
      </c>
      <c r="C124" s="28">
        <f t="shared" si="8"/>
        <v>893</v>
      </c>
      <c r="D124" s="24">
        <v>-1611</v>
      </c>
      <c r="E124" s="28">
        <v>2505</v>
      </c>
      <c r="F124" s="22">
        <f t="shared" si="9"/>
        <v>694</v>
      </c>
      <c r="G124" s="22">
        <f t="shared" si="2"/>
        <v>104</v>
      </c>
      <c r="H124" s="28">
        <f t="shared" si="3"/>
        <v>755</v>
      </c>
      <c r="I124" s="24">
        <v>-1520</v>
      </c>
      <c r="J124" s="28">
        <v>2275</v>
      </c>
      <c r="K124" s="22">
        <f t="shared" si="4"/>
        <v>762</v>
      </c>
      <c r="L124" s="22">
        <f t="shared" si="5"/>
        <v>104</v>
      </c>
      <c r="M124" s="28">
        <f t="shared" si="6"/>
        <v>914</v>
      </c>
      <c r="N124" s="24">
        <v>-1193</v>
      </c>
      <c r="O124" s="28">
        <v>2107</v>
      </c>
      <c r="P124" s="22">
        <f t="shared" si="7"/>
        <v>621</v>
      </c>
      <c r="Q124" s="36"/>
      <c r="R124" s="30"/>
    </row>
    <row r="125" spans="1:18" ht="15.75" customHeight="1" x14ac:dyDescent="0.2">
      <c r="A125" s="37">
        <v>45819</v>
      </c>
      <c r="B125" s="22">
        <f t="shared" si="1"/>
        <v>105</v>
      </c>
      <c r="C125" s="28">
        <f t="shared" si="8"/>
        <v>893</v>
      </c>
      <c r="D125" s="24">
        <v>-1611</v>
      </c>
      <c r="E125" s="28">
        <v>2505</v>
      </c>
      <c r="F125" s="22">
        <f t="shared" si="9"/>
        <v>694</v>
      </c>
      <c r="G125" s="22">
        <f t="shared" si="2"/>
        <v>105</v>
      </c>
      <c r="H125" s="28">
        <f t="shared" si="3"/>
        <v>755</v>
      </c>
      <c r="I125" s="24">
        <v>-1520</v>
      </c>
      <c r="J125" s="28">
        <v>2275</v>
      </c>
      <c r="K125" s="22">
        <f t="shared" si="4"/>
        <v>762</v>
      </c>
      <c r="L125" s="22">
        <f t="shared" si="5"/>
        <v>105</v>
      </c>
      <c r="M125" s="28">
        <f t="shared" si="6"/>
        <v>914</v>
      </c>
      <c r="N125" s="24">
        <v>-1193</v>
      </c>
      <c r="O125" s="28">
        <v>2107</v>
      </c>
      <c r="P125" s="22">
        <f t="shared" si="7"/>
        <v>621</v>
      </c>
      <c r="Q125" s="36"/>
      <c r="R125" s="30"/>
    </row>
    <row r="126" spans="1:18" ht="15.75" customHeight="1" x14ac:dyDescent="0.2">
      <c r="A126" s="37">
        <v>45820</v>
      </c>
      <c r="B126" s="22">
        <f t="shared" si="1"/>
        <v>106</v>
      </c>
      <c r="C126" s="28">
        <f t="shared" si="8"/>
        <v>893</v>
      </c>
      <c r="D126" s="24">
        <v>-1611</v>
      </c>
      <c r="E126" s="28">
        <v>2505</v>
      </c>
      <c r="F126" s="22">
        <f t="shared" si="9"/>
        <v>694</v>
      </c>
      <c r="G126" s="22">
        <f t="shared" si="2"/>
        <v>106</v>
      </c>
      <c r="H126" s="28">
        <f t="shared" si="3"/>
        <v>755</v>
      </c>
      <c r="I126" s="24">
        <v>-1520</v>
      </c>
      <c r="J126" s="28">
        <v>2275</v>
      </c>
      <c r="K126" s="22">
        <f t="shared" si="4"/>
        <v>762</v>
      </c>
      <c r="L126" s="22">
        <f t="shared" si="5"/>
        <v>106</v>
      </c>
      <c r="M126" s="28">
        <f t="shared" si="6"/>
        <v>914</v>
      </c>
      <c r="N126" s="24">
        <v>-1193</v>
      </c>
      <c r="O126" s="28">
        <v>2107</v>
      </c>
      <c r="P126" s="22">
        <f t="shared" si="7"/>
        <v>621</v>
      </c>
      <c r="Q126" s="36"/>
      <c r="R126" s="30"/>
    </row>
    <row r="127" spans="1:18" ht="15.75" customHeight="1" x14ac:dyDescent="0.2">
      <c r="A127" s="37">
        <v>45821</v>
      </c>
      <c r="B127" s="22">
        <f t="shared" si="1"/>
        <v>107</v>
      </c>
      <c r="C127" s="28">
        <f t="shared" si="8"/>
        <v>893</v>
      </c>
      <c r="D127" s="24">
        <v>-1611</v>
      </c>
      <c r="E127" s="28">
        <v>2505</v>
      </c>
      <c r="F127" s="22">
        <f t="shared" si="9"/>
        <v>694</v>
      </c>
      <c r="G127" s="22">
        <f t="shared" si="2"/>
        <v>107</v>
      </c>
      <c r="H127" s="28">
        <f t="shared" si="3"/>
        <v>755</v>
      </c>
      <c r="I127" s="24">
        <v>-1520</v>
      </c>
      <c r="J127" s="28">
        <v>2275</v>
      </c>
      <c r="K127" s="22">
        <f t="shared" si="4"/>
        <v>762</v>
      </c>
      <c r="L127" s="22">
        <f t="shared" si="5"/>
        <v>107</v>
      </c>
      <c r="M127" s="28">
        <f t="shared" si="6"/>
        <v>914</v>
      </c>
      <c r="N127" s="24">
        <v>-1193</v>
      </c>
      <c r="O127" s="28">
        <v>2107</v>
      </c>
      <c r="P127" s="22">
        <f t="shared" si="7"/>
        <v>621</v>
      </c>
      <c r="Q127" s="36"/>
      <c r="R127" s="30"/>
    </row>
    <row r="128" spans="1:18" ht="15.75" customHeight="1" x14ac:dyDescent="0.2">
      <c r="A128" s="37">
        <v>45822</v>
      </c>
      <c r="B128" s="22">
        <f t="shared" si="1"/>
        <v>108</v>
      </c>
      <c r="C128" s="28">
        <f t="shared" si="8"/>
        <v>893</v>
      </c>
      <c r="D128" s="24">
        <v>-1611</v>
      </c>
      <c r="E128" s="28">
        <v>2505</v>
      </c>
      <c r="F128" s="22">
        <f t="shared" si="9"/>
        <v>694</v>
      </c>
      <c r="G128" s="22">
        <f t="shared" si="2"/>
        <v>108</v>
      </c>
      <c r="H128" s="28">
        <f t="shared" si="3"/>
        <v>755</v>
      </c>
      <c r="I128" s="24">
        <v>-1520</v>
      </c>
      <c r="J128" s="28">
        <v>2275</v>
      </c>
      <c r="K128" s="22">
        <f t="shared" si="4"/>
        <v>762</v>
      </c>
      <c r="L128" s="22">
        <f t="shared" si="5"/>
        <v>108</v>
      </c>
      <c r="M128" s="28">
        <f t="shared" si="6"/>
        <v>914</v>
      </c>
      <c r="N128" s="24">
        <v>-1193</v>
      </c>
      <c r="O128" s="28">
        <v>2107</v>
      </c>
      <c r="P128" s="22">
        <f t="shared" si="7"/>
        <v>621</v>
      </c>
      <c r="Q128" s="36"/>
      <c r="R128" s="30"/>
    </row>
    <row r="129" spans="1:18" ht="15.75" customHeight="1" x14ac:dyDescent="0.2">
      <c r="A129" s="37">
        <v>45823</v>
      </c>
      <c r="B129" s="22">
        <f t="shared" si="1"/>
        <v>109</v>
      </c>
      <c r="C129" s="28">
        <f t="shared" si="8"/>
        <v>893</v>
      </c>
      <c r="D129" s="24">
        <v>-1611</v>
      </c>
      <c r="E129" s="28">
        <v>2505</v>
      </c>
      <c r="F129" s="22">
        <f t="shared" si="9"/>
        <v>694</v>
      </c>
      <c r="G129" s="22">
        <f t="shared" si="2"/>
        <v>109</v>
      </c>
      <c r="H129" s="28">
        <f t="shared" si="3"/>
        <v>755</v>
      </c>
      <c r="I129" s="24">
        <v>-1520</v>
      </c>
      <c r="J129" s="28">
        <v>2275</v>
      </c>
      <c r="K129" s="22">
        <f t="shared" si="4"/>
        <v>762</v>
      </c>
      <c r="L129" s="22">
        <f t="shared" si="5"/>
        <v>109</v>
      </c>
      <c r="M129" s="28">
        <f t="shared" si="6"/>
        <v>914</v>
      </c>
      <c r="N129" s="24">
        <v>-1193</v>
      </c>
      <c r="O129" s="28">
        <v>2107</v>
      </c>
      <c r="P129" s="22">
        <f t="shared" si="7"/>
        <v>621</v>
      </c>
      <c r="Q129" s="36"/>
      <c r="R129" s="30"/>
    </row>
    <row r="130" spans="1:18" ht="15.75" customHeight="1" x14ac:dyDescent="0.2">
      <c r="A130" s="37">
        <v>45824</v>
      </c>
      <c r="B130" s="22">
        <f t="shared" si="1"/>
        <v>110</v>
      </c>
      <c r="C130" s="28">
        <f t="shared" si="8"/>
        <v>893</v>
      </c>
      <c r="D130" s="24">
        <v>-1611</v>
      </c>
      <c r="E130" s="28">
        <v>2505</v>
      </c>
      <c r="F130" s="22">
        <f t="shared" si="9"/>
        <v>694</v>
      </c>
      <c r="G130" s="22">
        <f t="shared" si="2"/>
        <v>110</v>
      </c>
      <c r="H130" s="28">
        <f t="shared" si="3"/>
        <v>755</v>
      </c>
      <c r="I130" s="24">
        <v>-1520</v>
      </c>
      <c r="J130" s="28">
        <v>2275</v>
      </c>
      <c r="K130" s="22">
        <f t="shared" si="4"/>
        <v>762</v>
      </c>
      <c r="L130" s="22">
        <f t="shared" si="5"/>
        <v>110</v>
      </c>
      <c r="M130" s="28">
        <f t="shared" si="6"/>
        <v>914</v>
      </c>
      <c r="N130" s="24">
        <v>-1193</v>
      </c>
      <c r="O130" s="28">
        <v>2107</v>
      </c>
      <c r="P130" s="22">
        <f t="shared" si="7"/>
        <v>621</v>
      </c>
      <c r="Q130" s="36"/>
      <c r="R130" s="30"/>
    </row>
    <row r="131" spans="1:18" ht="15.75" customHeight="1" x14ac:dyDescent="0.2">
      <c r="A131" s="37">
        <v>45825</v>
      </c>
      <c r="B131" s="22">
        <f t="shared" si="1"/>
        <v>111</v>
      </c>
      <c r="C131" s="28">
        <f t="shared" si="8"/>
        <v>893</v>
      </c>
      <c r="D131" s="24">
        <v>-1611</v>
      </c>
      <c r="E131" s="28">
        <v>2505</v>
      </c>
      <c r="F131" s="22">
        <f t="shared" si="9"/>
        <v>694</v>
      </c>
      <c r="G131" s="22">
        <f t="shared" si="2"/>
        <v>111</v>
      </c>
      <c r="H131" s="28">
        <f t="shared" si="3"/>
        <v>755</v>
      </c>
      <c r="I131" s="24">
        <v>-1520</v>
      </c>
      <c r="J131" s="28">
        <v>2275</v>
      </c>
      <c r="K131" s="22">
        <f t="shared" si="4"/>
        <v>762</v>
      </c>
      <c r="L131" s="22">
        <f t="shared" si="5"/>
        <v>111</v>
      </c>
      <c r="M131" s="28">
        <f t="shared" si="6"/>
        <v>914</v>
      </c>
      <c r="N131" s="24">
        <v>-1193</v>
      </c>
      <c r="O131" s="28">
        <v>2107</v>
      </c>
      <c r="P131" s="22">
        <f t="shared" si="7"/>
        <v>621</v>
      </c>
      <c r="Q131" s="36"/>
      <c r="R131" s="30"/>
    </row>
    <row r="132" spans="1:18" ht="15.75" customHeight="1" x14ac:dyDescent="0.2">
      <c r="A132" s="37">
        <v>45826</v>
      </c>
      <c r="B132" s="22">
        <f t="shared" si="1"/>
        <v>112</v>
      </c>
      <c r="C132" s="28">
        <f t="shared" si="8"/>
        <v>893</v>
      </c>
      <c r="D132" s="24">
        <v>-1611</v>
      </c>
      <c r="E132" s="28">
        <v>2505</v>
      </c>
      <c r="F132" s="22">
        <f t="shared" si="9"/>
        <v>694</v>
      </c>
      <c r="G132" s="22">
        <f t="shared" si="2"/>
        <v>112</v>
      </c>
      <c r="H132" s="28">
        <f t="shared" si="3"/>
        <v>755</v>
      </c>
      <c r="I132" s="24">
        <v>-1520</v>
      </c>
      <c r="J132" s="28">
        <v>2275</v>
      </c>
      <c r="K132" s="22">
        <f t="shared" si="4"/>
        <v>762</v>
      </c>
      <c r="L132" s="22">
        <f t="shared" si="5"/>
        <v>112</v>
      </c>
      <c r="M132" s="28">
        <f t="shared" si="6"/>
        <v>914</v>
      </c>
      <c r="N132" s="24">
        <v>-1193</v>
      </c>
      <c r="O132" s="28">
        <v>2107</v>
      </c>
      <c r="P132" s="22">
        <f t="shared" si="7"/>
        <v>621</v>
      </c>
      <c r="Q132" s="36"/>
      <c r="R132" s="30"/>
    </row>
    <row r="133" spans="1:18" ht="15.75" customHeight="1" x14ac:dyDescent="0.2">
      <c r="A133" s="37">
        <v>45827</v>
      </c>
      <c r="B133" s="22">
        <f t="shared" si="1"/>
        <v>113</v>
      </c>
      <c r="C133" s="28">
        <f t="shared" si="8"/>
        <v>893</v>
      </c>
      <c r="D133" s="24">
        <v>-1611</v>
      </c>
      <c r="E133" s="28">
        <v>2505</v>
      </c>
      <c r="F133" s="22">
        <f t="shared" si="9"/>
        <v>694</v>
      </c>
      <c r="G133" s="22">
        <f t="shared" si="2"/>
        <v>113</v>
      </c>
      <c r="H133" s="28">
        <f t="shared" si="3"/>
        <v>755</v>
      </c>
      <c r="I133" s="24">
        <v>-1520</v>
      </c>
      <c r="J133" s="28">
        <v>2275</v>
      </c>
      <c r="K133" s="22">
        <f t="shared" si="4"/>
        <v>762</v>
      </c>
      <c r="L133" s="22">
        <f t="shared" si="5"/>
        <v>113</v>
      </c>
      <c r="M133" s="28">
        <f t="shared" si="6"/>
        <v>914</v>
      </c>
      <c r="N133" s="24">
        <v>-1193</v>
      </c>
      <c r="O133" s="28">
        <v>2107</v>
      </c>
      <c r="P133" s="22">
        <f t="shared" si="7"/>
        <v>621</v>
      </c>
      <c r="Q133" s="36"/>
      <c r="R133" s="30"/>
    </row>
    <row r="134" spans="1:18" ht="15.75" customHeight="1" x14ac:dyDescent="0.2">
      <c r="A134" s="37">
        <v>45828</v>
      </c>
      <c r="B134" s="22">
        <f t="shared" si="1"/>
        <v>114</v>
      </c>
      <c r="C134" s="28">
        <f t="shared" si="8"/>
        <v>893</v>
      </c>
      <c r="D134" s="24">
        <v>-1611</v>
      </c>
      <c r="E134" s="28">
        <v>2505</v>
      </c>
      <c r="F134" s="22">
        <f t="shared" si="9"/>
        <v>694</v>
      </c>
      <c r="G134" s="22">
        <f t="shared" si="2"/>
        <v>114</v>
      </c>
      <c r="H134" s="28">
        <f t="shared" si="3"/>
        <v>755</v>
      </c>
      <c r="I134" s="24">
        <v>-1520</v>
      </c>
      <c r="J134" s="28">
        <v>2275</v>
      </c>
      <c r="K134" s="22">
        <f t="shared" si="4"/>
        <v>762</v>
      </c>
      <c r="L134" s="22">
        <f t="shared" si="5"/>
        <v>114</v>
      </c>
      <c r="M134" s="28">
        <f t="shared" si="6"/>
        <v>914</v>
      </c>
      <c r="N134" s="24">
        <v>-1193</v>
      </c>
      <c r="O134" s="28">
        <v>2107</v>
      </c>
      <c r="P134" s="22">
        <f t="shared" si="7"/>
        <v>621</v>
      </c>
      <c r="Q134" s="36"/>
      <c r="R134" s="30"/>
    </row>
    <row r="135" spans="1:18" ht="15.75" customHeight="1" x14ac:dyDescent="0.2">
      <c r="A135" s="37">
        <v>45829</v>
      </c>
      <c r="B135" s="22">
        <f t="shared" si="1"/>
        <v>115</v>
      </c>
      <c r="C135" s="28">
        <f t="shared" si="8"/>
        <v>893</v>
      </c>
      <c r="D135" s="24">
        <v>-1611</v>
      </c>
      <c r="E135" s="28">
        <v>2505</v>
      </c>
      <c r="F135" s="22">
        <f t="shared" si="9"/>
        <v>694</v>
      </c>
      <c r="G135" s="22">
        <f t="shared" si="2"/>
        <v>115</v>
      </c>
      <c r="H135" s="28">
        <f t="shared" si="3"/>
        <v>755</v>
      </c>
      <c r="I135" s="24">
        <v>-1520</v>
      </c>
      <c r="J135" s="28">
        <v>2275</v>
      </c>
      <c r="K135" s="22">
        <f t="shared" si="4"/>
        <v>762</v>
      </c>
      <c r="L135" s="22">
        <f t="shared" si="5"/>
        <v>115</v>
      </c>
      <c r="M135" s="28">
        <f t="shared" si="6"/>
        <v>914</v>
      </c>
      <c r="N135" s="24">
        <v>-1193</v>
      </c>
      <c r="O135" s="28">
        <v>2107</v>
      </c>
      <c r="P135" s="22">
        <f t="shared" si="7"/>
        <v>621</v>
      </c>
      <c r="Q135" s="36"/>
      <c r="R135" s="30"/>
    </row>
    <row r="136" spans="1:18" ht="15.75" customHeight="1" x14ac:dyDescent="0.2">
      <c r="A136" s="37">
        <v>45830</v>
      </c>
      <c r="B136" s="22">
        <f t="shared" si="1"/>
        <v>116</v>
      </c>
      <c r="C136" s="28">
        <f t="shared" si="8"/>
        <v>893</v>
      </c>
      <c r="D136" s="24">
        <v>-1611</v>
      </c>
      <c r="E136" s="28">
        <v>2505</v>
      </c>
      <c r="F136" s="22">
        <f t="shared" si="9"/>
        <v>694</v>
      </c>
      <c r="G136" s="22">
        <f t="shared" si="2"/>
        <v>116</v>
      </c>
      <c r="H136" s="28">
        <f t="shared" si="3"/>
        <v>755</v>
      </c>
      <c r="I136" s="24">
        <v>-1520</v>
      </c>
      <c r="J136" s="28">
        <v>2275</v>
      </c>
      <c r="K136" s="22">
        <f t="shared" si="4"/>
        <v>762</v>
      </c>
      <c r="L136" s="22">
        <f t="shared" si="5"/>
        <v>116</v>
      </c>
      <c r="M136" s="28">
        <f t="shared" si="6"/>
        <v>914</v>
      </c>
      <c r="N136" s="24">
        <v>-1193</v>
      </c>
      <c r="O136" s="28">
        <v>2107</v>
      </c>
      <c r="P136" s="22">
        <f t="shared" si="7"/>
        <v>621</v>
      </c>
      <c r="Q136" s="36"/>
      <c r="R136" s="30"/>
    </row>
    <row r="137" spans="1:18" ht="15.75" customHeight="1" x14ac:dyDescent="0.2">
      <c r="A137" s="37">
        <v>45831</v>
      </c>
      <c r="B137" s="22">
        <f t="shared" si="1"/>
        <v>117</v>
      </c>
      <c r="C137" s="28">
        <f t="shared" si="8"/>
        <v>893</v>
      </c>
      <c r="D137" s="24">
        <v>-1611</v>
      </c>
      <c r="E137" s="28">
        <v>2505</v>
      </c>
      <c r="F137" s="22">
        <f t="shared" si="9"/>
        <v>694</v>
      </c>
      <c r="G137" s="22">
        <f t="shared" si="2"/>
        <v>117</v>
      </c>
      <c r="H137" s="28">
        <f t="shared" si="3"/>
        <v>755</v>
      </c>
      <c r="I137" s="24">
        <v>-1520</v>
      </c>
      <c r="J137" s="28">
        <v>2275</v>
      </c>
      <c r="K137" s="22">
        <f t="shared" si="4"/>
        <v>762</v>
      </c>
      <c r="L137" s="22">
        <f t="shared" si="5"/>
        <v>117</v>
      </c>
      <c r="M137" s="28">
        <f t="shared" si="6"/>
        <v>914</v>
      </c>
      <c r="N137" s="24">
        <v>-1193</v>
      </c>
      <c r="O137" s="28">
        <v>2107</v>
      </c>
      <c r="P137" s="22">
        <f t="shared" si="7"/>
        <v>621</v>
      </c>
      <c r="Q137" s="36"/>
      <c r="R137" s="30"/>
    </row>
    <row r="138" spans="1:18" ht="15.75" customHeight="1" x14ac:dyDescent="0.2">
      <c r="A138" s="37">
        <v>45832</v>
      </c>
      <c r="B138" s="22">
        <f t="shared" si="1"/>
        <v>118</v>
      </c>
      <c r="C138" s="28">
        <f t="shared" si="8"/>
        <v>893</v>
      </c>
      <c r="D138" s="24">
        <v>-1611</v>
      </c>
      <c r="E138" s="28">
        <v>2505</v>
      </c>
      <c r="F138" s="22">
        <f t="shared" si="9"/>
        <v>694</v>
      </c>
      <c r="G138" s="22">
        <f t="shared" si="2"/>
        <v>118</v>
      </c>
      <c r="H138" s="28">
        <f t="shared" si="3"/>
        <v>755</v>
      </c>
      <c r="I138" s="24">
        <v>-1520</v>
      </c>
      <c r="J138" s="28">
        <v>2275</v>
      </c>
      <c r="K138" s="22">
        <f t="shared" si="4"/>
        <v>762</v>
      </c>
      <c r="L138" s="22">
        <f t="shared" si="5"/>
        <v>118</v>
      </c>
      <c r="M138" s="28">
        <f t="shared" si="6"/>
        <v>914</v>
      </c>
      <c r="N138" s="24">
        <v>-1193</v>
      </c>
      <c r="O138" s="28">
        <v>2107</v>
      </c>
      <c r="P138" s="22">
        <f t="shared" si="7"/>
        <v>621</v>
      </c>
      <c r="Q138" s="36"/>
      <c r="R138" s="30"/>
    </row>
    <row r="139" spans="1:18" ht="15.75" customHeight="1" x14ac:dyDescent="0.2">
      <c r="A139" s="37">
        <v>45833</v>
      </c>
      <c r="B139" s="22">
        <f t="shared" si="1"/>
        <v>119</v>
      </c>
      <c r="C139" s="28">
        <f t="shared" si="8"/>
        <v>893</v>
      </c>
      <c r="D139" s="24">
        <v>-1611</v>
      </c>
      <c r="E139" s="28">
        <v>2505</v>
      </c>
      <c r="F139" s="22">
        <f t="shared" si="9"/>
        <v>694</v>
      </c>
      <c r="G139" s="22">
        <f t="shared" si="2"/>
        <v>119</v>
      </c>
      <c r="H139" s="28">
        <f t="shared" si="3"/>
        <v>755</v>
      </c>
      <c r="I139" s="24">
        <v>-1520</v>
      </c>
      <c r="J139" s="28">
        <v>2275</v>
      </c>
      <c r="K139" s="22">
        <f t="shared" si="4"/>
        <v>762</v>
      </c>
      <c r="L139" s="22">
        <f t="shared" si="5"/>
        <v>119</v>
      </c>
      <c r="M139" s="28">
        <f t="shared" si="6"/>
        <v>914</v>
      </c>
      <c r="N139" s="24">
        <v>-1193</v>
      </c>
      <c r="O139" s="28">
        <v>2107</v>
      </c>
      <c r="P139" s="22">
        <f t="shared" si="7"/>
        <v>621</v>
      </c>
      <c r="Q139" s="36"/>
      <c r="R139" s="30"/>
    </row>
    <row r="140" spans="1:18" ht="15.75" customHeight="1" x14ac:dyDescent="0.2">
      <c r="A140" s="37">
        <v>45834</v>
      </c>
      <c r="B140" s="22">
        <f t="shared" si="1"/>
        <v>120</v>
      </c>
      <c r="C140" s="28">
        <f t="shared" si="8"/>
        <v>893</v>
      </c>
      <c r="D140" s="24">
        <v>-1611</v>
      </c>
      <c r="E140" s="28">
        <v>2505</v>
      </c>
      <c r="F140" s="22">
        <f t="shared" si="9"/>
        <v>694</v>
      </c>
      <c r="G140" s="22">
        <f t="shared" si="2"/>
        <v>120</v>
      </c>
      <c r="H140" s="28">
        <f t="shared" si="3"/>
        <v>755</v>
      </c>
      <c r="I140" s="24">
        <v>-1520</v>
      </c>
      <c r="J140" s="28">
        <v>2275</v>
      </c>
      <c r="K140" s="22">
        <f t="shared" si="4"/>
        <v>762</v>
      </c>
      <c r="L140" s="22">
        <f t="shared" si="5"/>
        <v>120</v>
      </c>
      <c r="M140" s="28">
        <f t="shared" si="6"/>
        <v>914</v>
      </c>
      <c r="N140" s="24">
        <v>-1193</v>
      </c>
      <c r="O140" s="28">
        <v>2107</v>
      </c>
      <c r="P140" s="22">
        <f t="shared" si="7"/>
        <v>621</v>
      </c>
      <c r="Q140" s="36"/>
      <c r="R140" s="30"/>
    </row>
    <row r="141" spans="1:18" ht="15.75" customHeight="1" x14ac:dyDescent="0.2">
      <c r="A141" s="37">
        <v>45835</v>
      </c>
      <c r="B141" s="22">
        <f t="shared" si="1"/>
        <v>121</v>
      </c>
      <c r="C141" s="28">
        <f t="shared" si="8"/>
        <v>893</v>
      </c>
      <c r="D141" s="24">
        <v>-1611</v>
      </c>
      <c r="E141" s="28">
        <v>2505</v>
      </c>
      <c r="F141" s="22">
        <f t="shared" si="9"/>
        <v>694</v>
      </c>
      <c r="G141" s="22">
        <f t="shared" si="2"/>
        <v>121</v>
      </c>
      <c r="H141" s="28">
        <f t="shared" si="3"/>
        <v>755</v>
      </c>
      <c r="I141" s="24">
        <v>-1520</v>
      </c>
      <c r="J141" s="28">
        <v>2275</v>
      </c>
      <c r="K141" s="22">
        <f t="shared" si="4"/>
        <v>762</v>
      </c>
      <c r="L141" s="22">
        <f t="shared" si="5"/>
        <v>121</v>
      </c>
      <c r="M141" s="28">
        <f t="shared" si="6"/>
        <v>914</v>
      </c>
      <c r="N141" s="24">
        <v>-1193</v>
      </c>
      <c r="O141" s="28">
        <v>2107</v>
      </c>
      <c r="P141" s="22">
        <f t="shared" si="7"/>
        <v>621</v>
      </c>
      <c r="Q141" s="36"/>
      <c r="R141" s="30"/>
    </row>
    <row r="142" spans="1:18" ht="15.75" customHeight="1" x14ac:dyDescent="0.2">
      <c r="A142" s="37">
        <v>45836</v>
      </c>
      <c r="B142" s="22">
        <f t="shared" si="1"/>
        <v>122</v>
      </c>
      <c r="C142" s="28">
        <f t="shared" si="8"/>
        <v>893</v>
      </c>
      <c r="D142" s="24">
        <v>-1611</v>
      </c>
      <c r="E142" s="28">
        <v>2505</v>
      </c>
      <c r="F142" s="22">
        <f t="shared" si="9"/>
        <v>694</v>
      </c>
      <c r="G142" s="22">
        <f t="shared" si="2"/>
        <v>122</v>
      </c>
      <c r="H142" s="28">
        <f t="shared" si="3"/>
        <v>755</v>
      </c>
      <c r="I142" s="24">
        <v>-1520</v>
      </c>
      <c r="J142" s="28">
        <v>2275</v>
      </c>
      <c r="K142" s="22">
        <f t="shared" si="4"/>
        <v>762</v>
      </c>
      <c r="L142" s="22">
        <f t="shared" si="5"/>
        <v>122</v>
      </c>
      <c r="M142" s="28">
        <f t="shared" si="6"/>
        <v>914</v>
      </c>
      <c r="N142" s="24">
        <v>-1193</v>
      </c>
      <c r="O142" s="28">
        <v>2107</v>
      </c>
      <c r="P142" s="22">
        <f t="shared" si="7"/>
        <v>621</v>
      </c>
      <c r="Q142" s="36"/>
      <c r="R142" s="30"/>
    </row>
    <row r="143" spans="1:18" ht="15.75" customHeight="1" x14ac:dyDescent="0.2">
      <c r="A143" s="37">
        <v>45837</v>
      </c>
      <c r="B143" s="22">
        <f t="shared" si="1"/>
        <v>123</v>
      </c>
      <c r="C143" s="28">
        <f t="shared" si="8"/>
        <v>893</v>
      </c>
      <c r="D143" s="24">
        <v>-1611</v>
      </c>
      <c r="E143" s="28">
        <v>2505</v>
      </c>
      <c r="F143" s="22">
        <f t="shared" si="9"/>
        <v>694</v>
      </c>
      <c r="G143" s="22">
        <f t="shared" si="2"/>
        <v>123</v>
      </c>
      <c r="H143" s="28">
        <f t="shared" si="3"/>
        <v>755</v>
      </c>
      <c r="I143" s="24">
        <v>-1520</v>
      </c>
      <c r="J143" s="28">
        <v>2275</v>
      </c>
      <c r="K143" s="22">
        <f t="shared" si="4"/>
        <v>762</v>
      </c>
      <c r="L143" s="22">
        <f t="shared" si="5"/>
        <v>123</v>
      </c>
      <c r="M143" s="28">
        <f t="shared" si="6"/>
        <v>914</v>
      </c>
      <c r="N143" s="24">
        <v>-1193</v>
      </c>
      <c r="O143" s="28">
        <v>2107</v>
      </c>
      <c r="P143" s="22">
        <f t="shared" si="7"/>
        <v>621</v>
      </c>
      <c r="Q143" s="36"/>
      <c r="R143" s="30"/>
    </row>
    <row r="144" spans="1:18" ht="15.75" customHeight="1" x14ac:dyDescent="0.2">
      <c r="A144" s="37">
        <v>45838</v>
      </c>
      <c r="B144" s="22">
        <f t="shared" si="1"/>
        <v>124</v>
      </c>
      <c r="C144" s="28">
        <f t="shared" si="8"/>
        <v>891</v>
      </c>
      <c r="D144" s="24">
        <v>-1613</v>
      </c>
      <c r="E144" s="28">
        <v>2505</v>
      </c>
      <c r="F144" s="22">
        <f t="shared" si="9"/>
        <v>696</v>
      </c>
      <c r="G144" s="22">
        <f t="shared" si="2"/>
        <v>124</v>
      </c>
      <c r="H144" s="28">
        <f t="shared" si="3"/>
        <v>753</v>
      </c>
      <c r="I144" s="24">
        <v>-1522</v>
      </c>
      <c r="J144" s="28">
        <v>2275</v>
      </c>
      <c r="K144" s="22">
        <f t="shared" si="4"/>
        <v>764</v>
      </c>
      <c r="L144" s="22">
        <f t="shared" si="5"/>
        <v>124</v>
      </c>
      <c r="M144" s="28">
        <f t="shared" si="6"/>
        <v>914</v>
      </c>
      <c r="N144" s="24">
        <v>-1193</v>
      </c>
      <c r="O144" s="28">
        <v>2107</v>
      </c>
      <c r="P144" s="22">
        <f t="shared" si="7"/>
        <v>621</v>
      </c>
      <c r="Q144" s="36"/>
      <c r="R144" s="30"/>
    </row>
    <row r="145" spans="1:18" ht="15.75" customHeight="1" x14ac:dyDescent="0.2">
      <c r="A145" s="37">
        <v>45839</v>
      </c>
      <c r="B145" s="22">
        <f t="shared" si="1"/>
        <v>125</v>
      </c>
      <c r="C145" s="28">
        <f t="shared" si="8"/>
        <v>889</v>
      </c>
      <c r="D145" s="24">
        <v>-1615</v>
      </c>
      <c r="E145" s="28">
        <v>2505</v>
      </c>
      <c r="F145" s="22">
        <f t="shared" si="9"/>
        <v>698</v>
      </c>
      <c r="G145" s="22">
        <f t="shared" si="2"/>
        <v>125</v>
      </c>
      <c r="H145" s="28">
        <f t="shared" si="3"/>
        <v>751</v>
      </c>
      <c r="I145" s="24">
        <v>-1524</v>
      </c>
      <c r="J145" s="28">
        <v>2275</v>
      </c>
      <c r="K145" s="22">
        <f t="shared" si="4"/>
        <v>766</v>
      </c>
      <c r="L145" s="22">
        <f t="shared" si="5"/>
        <v>125</v>
      </c>
      <c r="M145" s="28">
        <f t="shared" si="6"/>
        <v>914</v>
      </c>
      <c r="N145" s="24">
        <v>-1193</v>
      </c>
      <c r="O145" s="28">
        <v>2107</v>
      </c>
      <c r="P145" s="22">
        <f t="shared" si="7"/>
        <v>621</v>
      </c>
      <c r="Q145" s="36"/>
      <c r="R145" s="30"/>
    </row>
    <row r="146" spans="1:18" ht="15.75" customHeight="1" x14ac:dyDescent="0.2">
      <c r="A146" s="37">
        <v>45840</v>
      </c>
      <c r="B146" s="22">
        <f t="shared" si="1"/>
        <v>126</v>
      </c>
      <c r="C146" s="28">
        <f t="shared" si="8"/>
        <v>887</v>
      </c>
      <c r="D146" s="24">
        <v>-1617</v>
      </c>
      <c r="E146" s="28">
        <v>2505</v>
      </c>
      <c r="F146" s="22">
        <f t="shared" si="9"/>
        <v>700</v>
      </c>
      <c r="G146" s="22">
        <f t="shared" si="2"/>
        <v>126</v>
      </c>
      <c r="H146" s="28">
        <f t="shared" si="3"/>
        <v>749</v>
      </c>
      <c r="I146" s="24">
        <v>-1526</v>
      </c>
      <c r="J146" s="28">
        <v>2275</v>
      </c>
      <c r="K146" s="22">
        <f t="shared" si="4"/>
        <v>768</v>
      </c>
      <c r="L146" s="22">
        <f t="shared" si="5"/>
        <v>126</v>
      </c>
      <c r="M146" s="28">
        <f t="shared" si="6"/>
        <v>914</v>
      </c>
      <c r="N146" s="24">
        <v>-1193</v>
      </c>
      <c r="O146" s="28">
        <v>2107</v>
      </c>
      <c r="P146" s="22">
        <f t="shared" si="7"/>
        <v>621</v>
      </c>
      <c r="Q146" s="36"/>
      <c r="R146" s="30"/>
    </row>
    <row r="147" spans="1:18" ht="15.75" customHeight="1" x14ac:dyDescent="0.2">
      <c r="A147" s="37">
        <v>45841</v>
      </c>
      <c r="B147" s="22">
        <f t="shared" si="1"/>
        <v>127</v>
      </c>
      <c r="C147" s="28">
        <f t="shared" si="8"/>
        <v>885</v>
      </c>
      <c r="D147" s="24">
        <v>-1619</v>
      </c>
      <c r="E147" s="28">
        <v>2505</v>
      </c>
      <c r="F147" s="22">
        <f t="shared" si="9"/>
        <v>702</v>
      </c>
      <c r="G147" s="22">
        <f t="shared" si="2"/>
        <v>127</v>
      </c>
      <c r="H147" s="28">
        <f t="shared" si="3"/>
        <v>747</v>
      </c>
      <c r="I147" s="24">
        <v>-1528</v>
      </c>
      <c r="J147" s="28">
        <v>2275</v>
      </c>
      <c r="K147" s="22">
        <f t="shared" si="4"/>
        <v>770</v>
      </c>
      <c r="L147" s="22">
        <f t="shared" si="5"/>
        <v>127</v>
      </c>
      <c r="M147" s="28">
        <f t="shared" si="6"/>
        <v>914</v>
      </c>
      <c r="N147" s="24">
        <v>-1193</v>
      </c>
      <c r="O147" s="28">
        <v>2107</v>
      </c>
      <c r="P147" s="22">
        <f t="shared" si="7"/>
        <v>621</v>
      </c>
      <c r="Q147" s="36"/>
      <c r="R147" s="30"/>
    </row>
    <row r="148" spans="1:18" ht="15.75" customHeight="1" x14ac:dyDescent="0.2">
      <c r="A148" s="37">
        <v>45842</v>
      </c>
      <c r="B148" s="22">
        <f t="shared" si="1"/>
        <v>128</v>
      </c>
      <c r="C148" s="28">
        <f t="shared" si="8"/>
        <v>883</v>
      </c>
      <c r="D148" s="24">
        <v>-1621</v>
      </c>
      <c r="E148" s="28">
        <v>2505</v>
      </c>
      <c r="F148" s="22">
        <f t="shared" si="9"/>
        <v>704</v>
      </c>
      <c r="G148" s="22">
        <f t="shared" si="2"/>
        <v>128</v>
      </c>
      <c r="H148" s="28">
        <f t="shared" si="3"/>
        <v>745</v>
      </c>
      <c r="I148" s="24">
        <v>-1530</v>
      </c>
      <c r="J148" s="28">
        <v>2275</v>
      </c>
      <c r="K148" s="22">
        <f t="shared" si="4"/>
        <v>772</v>
      </c>
      <c r="L148" s="22">
        <f t="shared" si="5"/>
        <v>128</v>
      </c>
      <c r="M148" s="28">
        <f t="shared" si="6"/>
        <v>914</v>
      </c>
      <c r="N148" s="24">
        <v>-1193</v>
      </c>
      <c r="O148" s="28">
        <v>2107</v>
      </c>
      <c r="P148" s="22">
        <f t="shared" si="7"/>
        <v>621</v>
      </c>
      <c r="Q148" s="36"/>
      <c r="R148" s="30"/>
    </row>
    <row r="149" spans="1:18" ht="15.75" customHeight="1" x14ac:dyDescent="0.2">
      <c r="A149" s="37">
        <v>45843</v>
      </c>
      <c r="B149" s="22">
        <f t="shared" si="1"/>
        <v>129</v>
      </c>
      <c r="C149" s="28">
        <f t="shared" si="8"/>
        <v>881</v>
      </c>
      <c r="D149" s="24">
        <v>-1623</v>
      </c>
      <c r="E149" s="28">
        <v>2505</v>
      </c>
      <c r="F149" s="22">
        <f t="shared" si="9"/>
        <v>706</v>
      </c>
      <c r="G149" s="22">
        <f t="shared" si="2"/>
        <v>129</v>
      </c>
      <c r="H149" s="28">
        <f t="shared" si="3"/>
        <v>743</v>
      </c>
      <c r="I149" s="24">
        <v>-1532</v>
      </c>
      <c r="J149" s="28">
        <v>2275</v>
      </c>
      <c r="K149" s="22">
        <f t="shared" si="4"/>
        <v>774</v>
      </c>
      <c r="L149" s="22">
        <f t="shared" si="5"/>
        <v>129</v>
      </c>
      <c r="M149" s="28">
        <f t="shared" si="6"/>
        <v>914</v>
      </c>
      <c r="N149" s="24">
        <v>-1193</v>
      </c>
      <c r="O149" s="28">
        <v>2107</v>
      </c>
      <c r="P149" s="22">
        <f t="shared" si="7"/>
        <v>621</v>
      </c>
      <c r="Q149" s="36"/>
      <c r="R149" s="30"/>
    </row>
    <row r="150" spans="1:18" ht="15.75" customHeight="1" x14ac:dyDescent="0.2">
      <c r="A150" s="37">
        <v>45844</v>
      </c>
      <c r="B150" s="22">
        <f t="shared" si="1"/>
        <v>130</v>
      </c>
      <c r="C150" s="28">
        <f t="shared" si="8"/>
        <v>879</v>
      </c>
      <c r="D150" s="24">
        <v>-1625</v>
      </c>
      <c r="E150" s="28">
        <v>2505</v>
      </c>
      <c r="F150" s="22">
        <f t="shared" si="9"/>
        <v>708</v>
      </c>
      <c r="G150" s="22">
        <f t="shared" si="2"/>
        <v>130</v>
      </c>
      <c r="H150" s="28">
        <f t="shared" si="3"/>
        <v>741</v>
      </c>
      <c r="I150" s="24">
        <v>-1534</v>
      </c>
      <c r="J150" s="28">
        <v>2275</v>
      </c>
      <c r="K150" s="22">
        <f t="shared" si="4"/>
        <v>776</v>
      </c>
      <c r="L150" s="22">
        <f t="shared" si="5"/>
        <v>130</v>
      </c>
      <c r="M150" s="28">
        <f t="shared" si="6"/>
        <v>914</v>
      </c>
      <c r="N150" s="24">
        <v>-1193</v>
      </c>
      <c r="O150" s="28">
        <v>2107</v>
      </c>
      <c r="P150" s="22">
        <f t="shared" si="7"/>
        <v>621</v>
      </c>
      <c r="Q150" s="36"/>
      <c r="R150" s="30"/>
    </row>
    <row r="151" spans="1:18" ht="15.75" customHeight="1" x14ac:dyDescent="0.2">
      <c r="A151" s="37">
        <v>45845</v>
      </c>
      <c r="B151" s="22">
        <f t="shared" si="1"/>
        <v>131</v>
      </c>
      <c r="C151" s="28">
        <f t="shared" si="8"/>
        <v>877</v>
      </c>
      <c r="D151" s="24">
        <v>-1627</v>
      </c>
      <c r="E151" s="28">
        <v>2505</v>
      </c>
      <c r="F151" s="22">
        <f t="shared" si="9"/>
        <v>710</v>
      </c>
      <c r="G151" s="22">
        <f t="shared" si="2"/>
        <v>131</v>
      </c>
      <c r="H151" s="28">
        <f t="shared" si="3"/>
        <v>739</v>
      </c>
      <c r="I151" s="24">
        <v>-1536</v>
      </c>
      <c r="J151" s="28">
        <v>2275</v>
      </c>
      <c r="K151" s="22">
        <f t="shared" si="4"/>
        <v>778</v>
      </c>
      <c r="L151" s="22">
        <f t="shared" si="5"/>
        <v>131</v>
      </c>
      <c r="M151" s="28">
        <f t="shared" si="6"/>
        <v>914</v>
      </c>
      <c r="N151" s="24">
        <v>-1193</v>
      </c>
      <c r="O151" s="28">
        <v>2107</v>
      </c>
      <c r="P151" s="22">
        <f t="shared" si="7"/>
        <v>621</v>
      </c>
      <c r="Q151" s="36"/>
      <c r="R151" s="30"/>
    </row>
    <row r="152" spans="1:18" ht="15.75" customHeight="1" x14ac:dyDescent="0.2">
      <c r="A152" s="37">
        <v>45846</v>
      </c>
      <c r="B152" s="22">
        <f t="shared" si="1"/>
        <v>132</v>
      </c>
      <c r="C152" s="28">
        <f t="shared" si="8"/>
        <v>875</v>
      </c>
      <c r="D152" s="24">
        <v>-1629</v>
      </c>
      <c r="E152" s="28">
        <v>2505</v>
      </c>
      <c r="F152" s="22">
        <f t="shared" si="9"/>
        <v>712</v>
      </c>
      <c r="G152" s="22">
        <f t="shared" si="2"/>
        <v>132</v>
      </c>
      <c r="H152" s="28">
        <f t="shared" si="3"/>
        <v>737</v>
      </c>
      <c r="I152" s="24">
        <v>-1538</v>
      </c>
      <c r="J152" s="28">
        <v>2275</v>
      </c>
      <c r="K152" s="22">
        <f t="shared" si="4"/>
        <v>780</v>
      </c>
      <c r="L152" s="22">
        <f t="shared" si="5"/>
        <v>132</v>
      </c>
      <c r="M152" s="28">
        <f t="shared" si="6"/>
        <v>914</v>
      </c>
      <c r="N152" s="24">
        <v>-1193</v>
      </c>
      <c r="O152" s="28">
        <v>2107</v>
      </c>
      <c r="P152" s="22">
        <f t="shared" si="7"/>
        <v>621</v>
      </c>
      <c r="Q152" s="36"/>
      <c r="R152" s="30"/>
    </row>
    <row r="153" spans="1:18" ht="15.75" customHeight="1" x14ac:dyDescent="0.2">
      <c r="A153" s="37">
        <v>45847</v>
      </c>
      <c r="B153" s="22">
        <f t="shared" si="1"/>
        <v>133</v>
      </c>
      <c r="C153" s="28">
        <f t="shared" si="8"/>
        <v>873</v>
      </c>
      <c r="D153" s="24">
        <v>-1631</v>
      </c>
      <c r="E153" s="28">
        <v>2505</v>
      </c>
      <c r="F153" s="22">
        <f t="shared" si="9"/>
        <v>714</v>
      </c>
      <c r="G153" s="22">
        <f t="shared" si="2"/>
        <v>133</v>
      </c>
      <c r="H153" s="28">
        <f t="shared" si="3"/>
        <v>735</v>
      </c>
      <c r="I153" s="24">
        <v>-1540</v>
      </c>
      <c r="J153" s="28">
        <v>2275</v>
      </c>
      <c r="K153" s="22">
        <f t="shared" si="4"/>
        <v>782</v>
      </c>
      <c r="L153" s="22">
        <f t="shared" si="5"/>
        <v>133</v>
      </c>
      <c r="M153" s="28">
        <f t="shared" si="6"/>
        <v>914</v>
      </c>
      <c r="N153" s="24">
        <v>-1193</v>
      </c>
      <c r="O153" s="28">
        <v>2107</v>
      </c>
      <c r="P153" s="22">
        <f t="shared" si="7"/>
        <v>621</v>
      </c>
      <c r="Q153" s="36"/>
      <c r="R153" s="30"/>
    </row>
    <row r="154" spans="1:18" ht="15.75" customHeight="1" x14ac:dyDescent="0.2">
      <c r="A154" s="37">
        <v>45848</v>
      </c>
      <c r="B154" s="22">
        <f t="shared" si="1"/>
        <v>134</v>
      </c>
      <c r="C154" s="28">
        <f t="shared" si="8"/>
        <v>871</v>
      </c>
      <c r="D154" s="24">
        <v>-1633</v>
      </c>
      <c r="E154" s="28">
        <v>2505</v>
      </c>
      <c r="F154" s="22">
        <f t="shared" si="9"/>
        <v>716</v>
      </c>
      <c r="G154" s="22">
        <f t="shared" si="2"/>
        <v>134</v>
      </c>
      <c r="H154" s="28">
        <f t="shared" si="3"/>
        <v>733</v>
      </c>
      <c r="I154" s="24">
        <v>-1542</v>
      </c>
      <c r="J154" s="28">
        <v>2275</v>
      </c>
      <c r="K154" s="22">
        <f t="shared" si="4"/>
        <v>784</v>
      </c>
      <c r="L154" s="22">
        <f t="shared" si="5"/>
        <v>134</v>
      </c>
      <c r="M154" s="28">
        <f t="shared" si="6"/>
        <v>914</v>
      </c>
      <c r="N154" s="24">
        <v>-1193</v>
      </c>
      <c r="O154" s="28">
        <v>2107</v>
      </c>
      <c r="P154" s="22">
        <f t="shared" si="7"/>
        <v>621</v>
      </c>
      <c r="Q154" s="36"/>
      <c r="R154" s="30"/>
    </row>
    <row r="155" spans="1:18" ht="15.75" customHeight="1" x14ac:dyDescent="0.2">
      <c r="A155" s="37">
        <v>45849</v>
      </c>
      <c r="B155" s="22">
        <f t="shared" si="1"/>
        <v>135</v>
      </c>
      <c r="C155" s="28">
        <f t="shared" si="8"/>
        <v>869</v>
      </c>
      <c r="D155" s="24">
        <v>-1635</v>
      </c>
      <c r="E155" s="28">
        <v>2505</v>
      </c>
      <c r="F155" s="22">
        <f t="shared" si="9"/>
        <v>718</v>
      </c>
      <c r="G155" s="22">
        <f t="shared" si="2"/>
        <v>135</v>
      </c>
      <c r="H155" s="28">
        <f t="shared" si="3"/>
        <v>731</v>
      </c>
      <c r="I155" s="24">
        <v>-1544</v>
      </c>
      <c r="J155" s="28">
        <v>2275</v>
      </c>
      <c r="K155" s="22">
        <f t="shared" si="4"/>
        <v>786</v>
      </c>
      <c r="L155" s="22">
        <f t="shared" si="5"/>
        <v>135</v>
      </c>
      <c r="M155" s="28">
        <f t="shared" si="6"/>
        <v>914</v>
      </c>
      <c r="N155" s="24">
        <v>-1193</v>
      </c>
      <c r="O155" s="28">
        <v>2107</v>
      </c>
      <c r="P155" s="22">
        <f t="shared" si="7"/>
        <v>621</v>
      </c>
      <c r="Q155" s="36"/>
      <c r="R155" s="30"/>
    </row>
    <row r="156" spans="1:18" ht="15.75" customHeight="1" x14ac:dyDescent="0.2">
      <c r="A156" s="37">
        <v>45850</v>
      </c>
      <c r="B156" s="22">
        <f t="shared" si="1"/>
        <v>136</v>
      </c>
      <c r="C156" s="28">
        <f t="shared" si="8"/>
        <v>867</v>
      </c>
      <c r="D156" s="24">
        <v>-1637</v>
      </c>
      <c r="E156" s="28">
        <v>2505</v>
      </c>
      <c r="F156" s="22">
        <f t="shared" si="9"/>
        <v>720</v>
      </c>
      <c r="G156" s="22">
        <f t="shared" si="2"/>
        <v>136</v>
      </c>
      <c r="H156" s="28">
        <f t="shared" si="3"/>
        <v>731</v>
      </c>
      <c r="I156" s="24">
        <v>-1544</v>
      </c>
      <c r="J156" s="28">
        <v>2275</v>
      </c>
      <c r="K156" s="22">
        <f t="shared" si="4"/>
        <v>786</v>
      </c>
      <c r="L156" s="22">
        <f t="shared" si="5"/>
        <v>136</v>
      </c>
      <c r="M156" s="28">
        <f t="shared" si="6"/>
        <v>914</v>
      </c>
      <c r="N156" s="24">
        <v>-1193</v>
      </c>
      <c r="O156" s="28">
        <v>2107</v>
      </c>
      <c r="P156" s="22">
        <f t="shared" si="7"/>
        <v>621</v>
      </c>
      <c r="Q156" s="36"/>
      <c r="R156" s="30"/>
    </row>
    <row r="157" spans="1:18" ht="15.75" customHeight="1" x14ac:dyDescent="0.2">
      <c r="A157" s="37">
        <v>45851</v>
      </c>
      <c r="B157" s="22">
        <f t="shared" si="1"/>
        <v>137</v>
      </c>
      <c r="C157" s="28">
        <f t="shared" si="8"/>
        <v>865</v>
      </c>
      <c r="D157" s="24">
        <v>-1639</v>
      </c>
      <c r="E157" s="28">
        <v>2505</v>
      </c>
      <c r="F157" s="22">
        <f t="shared" si="9"/>
        <v>722</v>
      </c>
      <c r="G157" s="22">
        <f t="shared" si="2"/>
        <v>137</v>
      </c>
      <c r="H157" s="28">
        <f t="shared" si="3"/>
        <v>715</v>
      </c>
      <c r="I157" s="24">
        <v>-1560</v>
      </c>
      <c r="J157" s="28">
        <v>2275</v>
      </c>
      <c r="K157" s="22">
        <f t="shared" si="4"/>
        <v>802</v>
      </c>
      <c r="L157" s="22">
        <f t="shared" si="5"/>
        <v>137</v>
      </c>
      <c r="M157" s="28">
        <f t="shared" si="6"/>
        <v>914</v>
      </c>
      <c r="N157" s="24">
        <v>-1193</v>
      </c>
      <c r="O157" s="28">
        <v>2107</v>
      </c>
      <c r="P157" s="22">
        <f t="shared" si="7"/>
        <v>621</v>
      </c>
      <c r="Q157" s="36"/>
      <c r="R157" s="30"/>
    </row>
    <row r="158" spans="1:18" ht="15.75" customHeight="1" x14ac:dyDescent="0.2">
      <c r="A158" s="37">
        <v>45852</v>
      </c>
      <c r="B158" s="22">
        <f t="shared" si="1"/>
        <v>138</v>
      </c>
      <c r="C158" s="28">
        <f t="shared" si="8"/>
        <v>863</v>
      </c>
      <c r="D158" s="24">
        <v>-1641</v>
      </c>
      <c r="E158" s="28">
        <v>2505</v>
      </c>
      <c r="F158" s="22">
        <f t="shared" si="9"/>
        <v>724</v>
      </c>
      <c r="G158" s="22">
        <f t="shared" si="2"/>
        <v>138</v>
      </c>
      <c r="H158" s="28">
        <f t="shared" si="3"/>
        <v>705</v>
      </c>
      <c r="I158" s="24">
        <v>-1570</v>
      </c>
      <c r="J158" s="28">
        <v>2275</v>
      </c>
      <c r="K158" s="22">
        <f t="shared" si="4"/>
        <v>812</v>
      </c>
      <c r="L158" s="22">
        <f t="shared" si="5"/>
        <v>138</v>
      </c>
      <c r="M158" s="28">
        <f t="shared" si="6"/>
        <v>914</v>
      </c>
      <c r="N158" s="24">
        <v>-1193</v>
      </c>
      <c r="O158" s="28">
        <v>2107</v>
      </c>
      <c r="P158" s="22">
        <f t="shared" si="7"/>
        <v>621</v>
      </c>
      <c r="Q158" s="36"/>
      <c r="R158" s="30"/>
    </row>
    <row r="159" spans="1:18" ht="15.75" customHeight="1" x14ac:dyDescent="0.2">
      <c r="A159" s="37">
        <v>45853</v>
      </c>
      <c r="B159" s="22">
        <f t="shared" si="1"/>
        <v>139</v>
      </c>
      <c r="C159" s="28">
        <f t="shared" si="8"/>
        <v>861</v>
      </c>
      <c r="D159" s="24">
        <v>-1643</v>
      </c>
      <c r="E159" s="28">
        <v>2505</v>
      </c>
      <c r="F159" s="22">
        <f t="shared" si="9"/>
        <v>726</v>
      </c>
      <c r="G159" s="22">
        <f t="shared" si="2"/>
        <v>139</v>
      </c>
      <c r="H159" s="28">
        <f t="shared" si="3"/>
        <v>695</v>
      </c>
      <c r="I159" s="24">
        <v>-1580</v>
      </c>
      <c r="J159" s="28">
        <v>2275</v>
      </c>
      <c r="K159" s="22">
        <f t="shared" si="4"/>
        <v>822</v>
      </c>
      <c r="L159" s="22">
        <f t="shared" si="5"/>
        <v>139</v>
      </c>
      <c r="M159" s="28">
        <f t="shared" si="6"/>
        <v>914</v>
      </c>
      <c r="N159" s="24">
        <v>-1193</v>
      </c>
      <c r="O159" s="28">
        <v>2107</v>
      </c>
      <c r="P159" s="22">
        <f t="shared" si="7"/>
        <v>621</v>
      </c>
      <c r="Q159" s="36"/>
      <c r="R159" s="30"/>
    </row>
    <row r="160" spans="1:18" ht="15.75" customHeight="1" x14ac:dyDescent="0.2">
      <c r="A160" s="37">
        <v>45854</v>
      </c>
      <c r="B160" s="22">
        <f t="shared" si="1"/>
        <v>140</v>
      </c>
      <c r="C160" s="28">
        <f t="shared" si="8"/>
        <v>859</v>
      </c>
      <c r="D160" s="24">
        <v>-1645</v>
      </c>
      <c r="E160" s="28">
        <v>2505</v>
      </c>
      <c r="F160" s="22">
        <f t="shared" si="9"/>
        <v>728</v>
      </c>
      <c r="G160" s="22">
        <f t="shared" si="2"/>
        <v>140</v>
      </c>
      <c r="H160" s="28">
        <f t="shared" si="3"/>
        <v>685</v>
      </c>
      <c r="I160" s="24">
        <v>-1590</v>
      </c>
      <c r="J160" s="28">
        <v>2275</v>
      </c>
      <c r="K160" s="22">
        <f t="shared" si="4"/>
        <v>832</v>
      </c>
      <c r="L160" s="22">
        <f t="shared" si="5"/>
        <v>140</v>
      </c>
      <c r="M160" s="28">
        <f t="shared" si="6"/>
        <v>914</v>
      </c>
      <c r="N160" s="24">
        <v>-1193</v>
      </c>
      <c r="O160" s="28">
        <v>2107</v>
      </c>
      <c r="P160" s="22">
        <f t="shared" si="7"/>
        <v>621</v>
      </c>
      <c r="Q160" s="36"/>
      <c r="R160" s="30"/>
    </row>
    <row r="161" spans="1:18" ht="15.75" customHeight="1" x14ac:dyDescent="0.2">
      <c r="A161" s="37">
        <v>45855</v>
      </c>
      <c r="B161" s="22">
        <f t="shared" si="1"/>
        <v>141</v>
      </c>
      <c r="C161" s="28">
        <f t="shared" si="8"/>
        <v>857</v>
      </c>
      <c r="D161" s="24">
        <v>-1647</v>
      </c>
      <c r="E161" s="28">
        <v>2505</v>
      </c>
      <c r="F161" s="22">
        <f t="shared" si="9"/>
        <v>730</v>
      </c>
      <c r="G161" s="22">
        <f t="shared" si="2"/>
        <v>141</v>
      </c>
      <c r="H161" s="28">
        <f t="shared" si="3"/>
        <v>675</v>
      </c>
      <c r="I161" s="24">
        <v>-1600</v>
      </c>
      <c r="J161" s="28">
        <v>2275</v>
      </c>
      <c r="K161" s="22">
        <f t="shared" si="4"/>
        <v>842</v>
      </c>
      <c r="L161" s="22">
        <f t="shared" si="5"/>
        <v>141</v>
      </c>
      <c r="M161" s="28">
        <f t="shared" si="6"/>
        <v>914</v>
      </c>
      <c r="N161" s="24">
        <v>-1193</v>
      </c>
      <c r="O161" s="28">
        <v>2107</v>
      </c>
      <c r="P161" s="22">
        <f t="shared" si="7"/>
        <v>621</v>
      </c>
      <c r="Q161" s="36"/>
      <c r="R161" s="30"/>
    </row>
    <row r="162" spans="1:18" ht="15.75" customHeight="1" x14ac:dyDescent="0.2">
      <c r="A162" s="37">
        <v>45856</v>
      </c>
      <c r="B162" s="22">
        <f t="shared" si="1"/>
        <v>142</v>
      </c>
      <c r="C162" s="28">
        <f t="shared" si="8"/>
        <v>855</v>
      </c>
      <c r="D162" s="24">
        <v>-1649</v>
      </c>
      <c r="E162" s="28">
        <v>2505</v>
      </c>
      <c r="F162" s="22">
        <f t="shared" si="9"/>
        <v>732</v>
      </c>
      <c r="G162" s="22">
        <f t="shared" si="2"/>
        <v>142</v>
      </c>
      <c r="H162" s="28">
        <f t="shared" si="3"/>
        <v>665</v>
      </c>
      <c r="I162" s="24">
        <v>-1610</v>
      </c>
      <c r="J162" s="28">
        <v>2275</v>
      </c>
      <c r="K162" s="22">
        <f t="shared" si="4"/>
        <v>852</v>
      </c>
      <c r="L162" s="22">
        <f t="shared" si="5"/>
        <v>142</v>
      </c>
      <c r="M162" s="28">
        <f t="shared" si="6"/>
        <v>914</v>
      </c>
      <c r="N162" s="24">
        <v>-1193</v>
      </c>
      <c r="O162" s="28">
        <v>2107</v>
      </c>
      <c r="P162" s="22">
        <f t="shared" si="7"/>
        <v>621</v>
      </c>
      <c r="Q162" s="36"/>
      <c r="R162" s="30"/>
    </row>
    <row r="163" spans="1:18" ht="15.75" customHeight="1" x14ac:dyDescent="0.2">
      <c r="A163" s="37">
        <v>45857</v>
      </c>
      <c r="B163" s="22">
        <f t="shared" si="1"/>
        <v>143</v>
      </c>
      <c r="C163" s="28">
        <f t="shared" si="8"/>
        <v>855</v>
      </c>
      <c r="D163" s="24">
        <v>-1649</v>
      </c>
      <c r="E163" s="28">
        <v>2505</v>
      </c>
      <c r="F163" s="22">
        <f t="shared" si="9"/>
        <v>732</v>
      </c>
      <c r="G163" s="22">
        <f t="shared" si="2"/>
        <v>143</v>
      </c>
      <c r="H163" s="28">
        <f t="shared" si="3"/>
        <v>655</v>
      </c>
      <c r="I163" s="24">
        <v>-1620</v>
      </c>
      <c r="J163" s="28">
        <v>2275</v>
      </c>
      <c r="K163" s="22">
        <f t="shared" si="4"/>
        <v>862</v>
      </c>
      <c r="L163" s="22">
        <f t="shared" si="5"/>
        <v>143</v>
      </c>
      <c r="M163" s="28">
        <f t="shared" si="6"/>
        <v>914</v>
      </c>
      <c r="N163" s="24">
        <v>-1193</v>
      </c>
      <c r="O163" s="28">
        <v>2107</v>
      </c>
      <c r="P163" s="22">
        <f t="shared" si="7"/>
        <v>621</v>
      </c>
      <c r="Q163" s="36"/>
      <c r="R163" s="30"/>
    </row>
    <row r="164" spans="1:18" ht="15.75" customHeight="1" x14ac:dyDescent="0.2">
      <c r="A164" s="37">
        <v>45858</v>
      </c>
      <c r="B164" s="22">
        <f t="shared" si="1"/>
        <v>144</v>
      </c>
      <c r="C164" s="28">
        <f t="shared" si="8"/>
        <v>852</v>
      </c>
      <c r="D164" s="24">
        <v>-1652</v>
      </c>
      <c r="E164" s="28">
        <v>2505</v>
      </c>
      <c r="F164" s="22">
        <f t="shared" si="9"/>
        <v>735</v>
      </c>
      <c r="G164" s="22">
        <f t="shared" si="2"/>
        <v>144</v>
      </c>
      <c r="H164" s="28">
        <f t="shared" si="3"/>
        <v>645</v>
      </c>
      <c r="I164" s="24">
        <v>-1630</v>
      </c>
      <c r="J164" s="28">
        <v>2275</v>
      </c>
      <c r="K164" s="22">
        <f t="shared" si="4"/>
        <v>872</v>
      </c>
      <c r="L164" s="22">
        <f t="shared" si="5"/>
        <v>144</v>
      </c>
      <c r="M164" s="28">
        <f t="shared" si="6"/>
        <v>914</v>
      </c>
      <c r="N164" s="24">
        <v>-1193</v>
      </c>
      <c r="O164" s="28">
        <v>2107</v>
      </c>
      <c r="P164" s="22">
        <f t="shared" si="7"/>
        <v>621</v>
      </c>
      <c r="Q164" s="36"/>
      <c r="R164" s="30"/>
    </row>
    <row r="165" spans="1:18" ht="15.75" customHeight="1" x14ac:dyDescent="0.2">
      <c r="A165" s="37">
        <v>45859</v>
      </c>
      <c r="B165" s="22">
        <f t="shared" si="1"/>
        <v>145</v>
      </c>
      <c r="C165" s="28">
        <f t="shared" si="8"/>
        <v>842</v>
      </c>
      <c r="D165" s="24">
        <v>-1662</v>
      </c>
      <c r="E165" s="28">
        <v>2505</v>
      </c>
      <c r="F165" s="22">
        <f t="shared" si="9"/>
        <v>745</v>
      </c>
      <c r="G165" s="22">
        <f t="shared" si="2"/>
        <v>145</v>
      </c>
      <c r="H165" s="28">
        <f t="shared" si="3"/>
        <v>635</v>
      </c>
      <c r="I165" s="24">
        <v>-1640</v>
      </c>
      <c r="J165" s="28">
        <v>2275</v>
      </c>
      <c r="K165" s="22">
        <f t="shared" si="4"/>
        <v>882</v>
      </c>
      <c r="L165" s="22">
        <f t="shared" si="5"/>
        <v>145</v>
      </c>
      <c r="M165" s="28">
        <f t="shared" si="6"/>
        <v>914</v>
      </c>
      <c r="N165" s="24">
        <v>-1193</v>
      </c>
      <c r="O165" s="28">
        <v>2107</v>
      </c>
      <c r="P165" s="22">
        <f t="shared" si="7"/>
        <v>621</v>
      </c>
      <c r="Q165" s="36"/>
      <c r="R165" s="30"/>
    </row>
    <row r="166" spans="1:18" ht="15.75" customHeight="1" x14ac:dyDescent="0.2">
      <c r="A166" s="37">
        <v>45860</v>
      </c>
      <c r="B166" s="22">
        <f t="shared" si="1"/>
        <v>146</v>
      </c>
      <c r="C166" s="28">
        <f t="shared" si="8"/>
        <v>832</v>
      </c>
      <c r="D166" s="24">
        <v>-1672</v>
      </c>
      <c r="E166" s="28">
        <v>2505</v>
      </c>
      <c r="F166" s="22">
        <f t="shared" si="9"/>
        <v>755</v>
      </c>
      <c r="G166" s="22">
        <f t="shared" si="2"/>
        <v>146</v>
      </c>
      <c r="H166" s="28">
        <f t="shared" si="3"/>
        <v>625</v>
      </c>
      <c r="I166" s="24">
        <v>-1650</v>
      </c>
      <c r="J166" s="28">
        <v>2275</v>
      </c>
      <c r="K166" s="22">
        <f t="shared" si="4"/>
        <v>892</v>
      </c>
      <c r="L166" s="22">
        <f t="shared" si="5"/>
        <v>146</v>
      </c>
      <c r="M166" s="28">
        <f t="shared" si="6"/>
        <v>914</v>
      </c>
      <c r="N166" s="24">
        <v>-1193</v>
      </c>
      <c r="O166" s="28">
        <v>2107</v>
      </c>
      <c r="P166" s="22">
        <f t="shared" si="7"/>
        <v>621</v>
      </c>
      <c r="Q166" s="36"/>
      <c r="R166" s="30"/>
    </row>
    <row r="167" spans="1:18" ht="15.75" customHeight="1" x14ac:dyDescent="0.2">
      <c r="A167" s="37">
        <v>45861</v>
      </c>
      <c r="B167" s="22">
        <f t="shared" si="1"/>
        <v>147</v>
      </c>
      <c r="C167" s="28">
        <f t="shared" si="8"/>
        <v>822</v>
      </c>
      <c r="D167" s="24">
        <v>-1682</v>
      </c>
      <c r="E167" s="28">
        <v>2505</v>
      </c>
      <c r="F167" s="22">
        <f t="shared" si="9"/>
        <v>765</v>
      </c>
      <c r="G167" s="22">
        <f t="shared" si="2"/>
        <v>147</v>
      </c>
      <c r="H167" s="28">
        <f t="shared" si="3"/>
        <v>615</v>
      </c>
      <c r="I167" s="24">
        <v>-1660</v>
      </c>
      <c r="J167" s="28">
        <v>2275</v>
      </c>
      <c r="K167" s="22">
        <f t="shared" si="4"/>
        <v>902</v>
      </c>
      <c r="L167" s="22">
        <f t="shared" si="5"/>
        <v>147</v>
      </c>
      <c r="M167" s="28">
        <f t="shared" si="6"/>
        <v>909</v>
      </c>
      <c r="N167" s="24">
        <v>-1198</v>
      </c>
      <c r="O167" s="28">
        <v>2107</v>
      </c>
      <c r="P167" s="22">
        <f t="shared" si="7"/>
        <v>626</v>
      </c>
      <c r="Q167" s="36"/>
      <c r="R167" s="30"/>
    </row>
    <row r="168" spans="1:18" ht="15.75" customHeight="1" x14ac:dyDescent="0.2">
      <c r="A168" s="37">
        <v>45862</v>
      </c>
      <c r="B168" s="22">
        <f t="shared" si="1"/>
        <v>148</v>
      </c>
      <c r="C168" s="28">
        <f t="shared" si="8"/>
        <v>812</v>
      </c>
      <c r="D168" s="24">
        <v>-1692</v>
      </c>
      <c r="E168" s="28">
        <v>2505</v>
      </c>
      <c r="F168" s="22">
        <f t="shared" si="9"/>
        <v>775</v>
      </c>
      <c r="G168" s="22">
        <f t="shared" si="2"/>
        <v>148</v>
      </c>
      <c r="H168" s="28">
        <f t="shared" si="3"/>
        <v>605</v>
      </c>
      <c r="I168" s="24">
        <v>-1670</v>
      </c>
      <c r="J168" s="28">
        <v>2275</v>
      </c>
      <c r="K168" s="22">
        <f t="shared" si="4"/>
        <v>912</v>
      </c>
      <c r="L168" s="22">
        <f t="shared" si="5"/>
        <v>148</v>
      </c>
      <c r="M168" s="28">
        <f t="shared" si="6"/>
        <v>899</v>
      </c>
      <c r="N168" s="24">
        <v>-1208</v>
      </c>
      <c r="O168" s="28">
        <v>2107</v>
      </c>
      <c r="P168" s="22">
        <f t="shared" si="7"/>
        <v>636</v>
      </c>
      <c r="Q168" s="36"/>
      <c r="R168" s="30"/>
    </row>
    <row r="169" spans="1:18" ht="15.75" customHeight="1" x14ac:dyDescent="0.2">
      <c r="A169" s="37">
        <v>45863</v>
      </c>
      <c r="B169" s="22">
        <f t="shared" si="1"/>
        <v>149</v>
      </c>
      <c r="C169" s="28">
        <f t="shared" si="8"/>
        <v>802</v>
      </c>
      <c r="D169" s="24">
        <v>-1702</v>
      </c>
      <c r="E169" s="28">
        <v>2505</v>
      </c>
      <c r="F169" s="22">
        <f t="shared" si="9"/>
        <v>785</v>
      </c>
      <c r="G169" s="22">
        <f t="shared" si="2"/>
        <v>149</v>
      </c>
      <c r="H169" s="28">
        <f t="shared" si="3"/>
        <v>595</v>
      </c>
      <c r="I169" s="24">
        <v>-1680</v>
      </c>
      <c r="J169" s="28">
        <v>2275</v>
      </c>
      <c r="K169" s="22">
        <f t="shared" si="4"/>
        <v>922</v>
      </c>
      <c r="L169" s="22">
        <f t="shared" si="5"/>
        <v>149</v>
      </c>
      <c r="M169" s="28">
        <f t="shared" si="6"/>
        <v>889</v>
      </c>
      <c r="N169" s="24">
        <v>-1218</v>
      </c>
      <c r="O169" s="28">
        <v>2107</v>
      </c>
      <c r="P169" s="22">
        <f t="shared" si="7"/>
        <v>646</v>
      </c>
      <c r="Q169" s="36"/>
      <c r="R169" s="30"/>
    </row>
    <row r="170" spans="1:18" ht="15.75" customHeight="1" x14ac:dyDescent="0.2">
      <c r="A170" s="37">
        <v>45864</v>
      </c>
      <c r="B170" s="22">
        <f t="shared" si="1"/>
        <v>150</v>
      </c>
      <c r="C170" s="28">
        <f t="shared" si="8"/>
        <v>792</v>
      </c>
      <c r="D170" s="24">
        <v>-1712</v>
      </c>
      <c r="E170" s="28">
        <v>2505</v>
      </c>
      <c r="F170" s="22">
        <f t="shared" si="9"/>
        <v>795</v>
      </c>
      <c r="G170" s="22">
        <f t="shared" si="2"/>
        <v>150</v>
      </c>
      <c r="H170" s="28">
        <f t="shared" si="3"/>
        <v>585</v>
      </c>
      <c r="I170" s="24">
        <v>-1690</v>
      </c>
      <c r="J170" s="28">
        <v>2275</v>
      </c>
      <c r="K170" s="22">
        <f t="shared" si="4"/>
        <v>932</v>
      </c>
      <c r="L170" s="22">
        <f t="shared" si="5"/>
        <v>150</v>
      </c>
      <c r="M170" s="28">
        <f t="shared" si="6"/>
        <v>879</v>
      </c>
      <c r="N170" s="24">
        <v>-1228</v>
      </c>
      <c r="O170" s="28">
        <v>2107</v>
      </c>
      <c r="P170" s="22">
        <f t="shared" si="7"/>
        <v>656</v>
      </c>
      <c r="Q170" s="36"/>
      <c r="R170" s="30"/>
    </row>
    <row r="171" spans="1:18" ht="15.75" customHeight="1" x14ac:dyDescent="0.2">
      <c r="A171" s="37">
        <v>45865</v>
      </c>
      <c r="B171" s="22">
        <f t="shared" si="1"/>
        <v>151</v>
      </c>
      <c r="C171" s="25">
        <v>1758</v>
      </c>
      <c r="D171" s="24">
        <v>-1722</v>
      </c>
      <c r="E171" s="28">
        <v>2505</v>
      </c>
      <c r="F171" s="22">
        <f t="shared" si="9"/>
        <v>805</v>
      </c>
      <c r="G171" s="22">
        <f t="shared" si="2"/>
        <v>151</v>
      </c>
      <c r="H171" s="25">
        <v>1788</v>
      </c>
      <c r="I171" s="24">
        <v>-1700</v>
      </c>
      <c r="J171" s="28">
        <v>2275</v>
      </c>
      <c r="K171" s="22">
        <f t="shared" si="4"/>
        <v>942</v>
      </c>
      <c r="L171" s="22">
        <f t="shared" si="5"/>
        <v>151</v>
      </c>
      <c r="M171" s="25">
        <v>1633</v>
      </c>
      <c r="N171" s="24">
        <v>-1238</v>
      </c>
      <c r="O171" s="28">
        <v>2107</v>
      </c>
      <c r="P171" s="22">
        <f t="shared" si="7"/>
        <v>666</v>
      </c>
      <c r="Q171" s="36"/>
      <c r="R171" s="30"/>
    </row>
    <row r="172" spans="1:18" ht="15.75" customHeight="1" x14ac:dyDescent="0.2">
      <c r="A172" s="51"/>
      <c r="B172" s="52"/>
      <c r="C172" s="78"/>
      <c r="D172" s="79"/>
      <c r="E172" s="78"/>
      <c r="F172" s="52"/>
      <c r="G172" s="52"/>
      <c r="H172" s="78"/>
      <c r="I172" s="79"/>
      <c r="J172" s="78"/>
      <c r="K172" s="52"/>
      <c r="L172" s="52"/>
      <c r="M172" s="78"/>
      <c r="N172" s="79"/>
      <c r="O172" s="78"/>
      <c r="P172" s="52"/>
      <c r="Q172" s="57"/>
      <c r="R172" s="58"/>
    </row>
    <row r="173" spans="1:18" ht="15.75" customHeight="1" x14ac:dyDescent="0.2">
      <c r="A173" s="51"/>
      <c r="B173" s="52"/>
      <c r="C173" s="78"/>
      <c r="D173" s="79"/>
      <c r="E173" s="78"/>
      <c r="F173" s="52"/>
      <c r="G173" s="52"/>
      <c r="H173" s="78"/>
      <c r="I173" s="79"/>
      <c r="J173" s="78"/>
      <c r="K173" s="52"/>
      <c r="L173" s="52"/>
      <c r="M173" s="78"/>
      <c r="N173" s="79"/>
      <c r="O173" s="78"/>
      <c r="P173" s="52"/>
      <c r="Q173" s="57"/>
      <c r="R173" s="58"/>
    </row>
    <row r="174" spans="1:18" ht="15.75" customHeight="1" x14ac:dyDescent="0.2">
      <c r="A174" s="51"/>
      <c r="B174" s="52"/>
      <c r="C174" s="78"/>
      <c r="D174" s="79"/>
      <c r="E174" s="78"/>
      <c r="F174" s="52"/>
      <c r="G174" s="52"/>
      <c r="H174" s="78"/>
      <c r="I174" s="79"/>
      <c r="J174" s="78"/>
      <c r="K174" s="52"/>
      <c r="L174" s="52"/>
      <c r="M174" s="78"/>
      <c r="N174" s="79"/>
      <c r="O174" s="78"/>
      <c r="P174" s="52"/>
      <c r="Q174" s="57"/>
      <c r="R174" s="58"/>
    </row>
    <row r="175" spans="1:18" ht="15.75" customHeight="1" x14ac:dyDescent="0.2">
      <c r="A175" s="42"/>
      <c r="B175" s="43"/>
      <c r="C175" s="44"/>
      <c r="D175" s="44"/>
      <c r="E175" s="45"/>
      <c r="F175" s="46"/>
      <c r="G175" s="43"/>
      <c r="H175" s="44"/>
      <c r="I175" s="44"/>
      <c r="J175" s="45"/>
      <c r="K175" s="46"/>
      <c r="L175" s="43"/>
      <c r="M175" s="44"/>
      <c r="N175" s="44"/>
      <c r="O175" s="45"/>
      <c r="P175" s="46"/>
      <c r="Q175" s="47"/>
      <c r="R175" s="48"/>
    </row>
    <row r="176" spans="1:18" ht="15.75" customHeight="1" x14ac:dyDescent="0.2">
      <c r="A176" s="42"/>
      <c r="B176" s="43"/>
      <c r="C176" s="44"/>
      <c r="D176" s="44"/>
      <c r="E176" s="45"/>
      <c r="F176" s="46"/>
      <c r="G176" s="43"/>
      <c r="H176" s="44"/>
      <c r="I176" s="44"/>
      <c r="J176" s="45"/>
      <c r="K176" s="46"/>
      <c r="L176" s="43"/>
      <c r="M176" s="44"/>
      <c r="N176" s="44"/>
      <c r="O176" s="45"/>
      <c r="P176" s="46"/>
      <c r="Q176" s="47"/>
      <c r="R176" s="48"/>
    </row>
    <row r="177" spans="1:18" ht="15.75" customHeight="1" x14ac:dyDescent="0.2">
      <c r="A177" s="42"/>
      <c r="B177" s="43"/>
      <c r="C177" s="44"/>
      <c r="D177" s="44"/>
      <c r="E177" s="45"/>
      <c r="F177" s="46"/>
      <c r="G177" s="43"/>
      <c r="H177" s="44"/>
      <c r="I177" s="44"/>
      <c r="J177" s="45"/>
      <c r="K177" s="46"/>
      <c r="L177" s="43"/>
      <c r="M177" s="44"/>
      <c r="N177" s="44"/>
      <c r="O177" s="45"/>
      <c r="P177" s="46"/>
      <c r="Q177" s="47"/>
      <c r="R177" s="48"/>
    </row>
    <row r="178" spans="1:18" ht="15.75" customHeight="1" x14ac:dyDescent="0.2"/>
    <row r="179" spans="1:18" ht="15.75" customHeight="1" x14ac:dyDescent="0.2"/>
    <row r="180" spans="1:18" ht="15.75" customHeight="1" x14ac:dyDescent="0.2"/>
    <row r="181" spans="1:18" ht="15.75" customHeight="1" x14ac:dyDescent="0.2"/>
    <row r="182" spans="1:18" ht="15.75" customHeight="1" x14ac:dyDescent="0.2"/>
    <row r="183" spans="1:18" ht="15.75" customHeight="1" x14ac:dyDescent="0.2"/>
    <row r="184" spans="1:18" ht="15.75" customHeight="1" x14ac:dyDescent="0.2"/>
    <row r="185" spans="1:18" ht="15.75" customHeight="1" x14ac:dyDescent="0.2"/>
    <row r="186" spans="1:18" ht="15.75" customHeight="1" x14ac:dyDescent="0.2"/>
    <row r="187" spans="1:18" ht="15.75" customHeight="1" x14ac:dyDescent="0.2"/>
    <row r="188" spans="1:18" ht="15.75" customHeight="1" x14ac:dyDescent="0.2"/>
    <row r="189" spans="1:18" ht="15.75" customHeight="1" x14ac:dyDescent="0.2"/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77">
    <cfRule type="cellIs" dxfId="10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4">
    <outlinePr summaryBelow="0" summaryRight="0"/>
  </sheetPr>
  <dimension ref="A1:R1071"/>
  <sheetViews>
    <sheetView topLeftCell="A165" workbookViewId="0">
      <selection sqref="A1:R1"/>
    </sheetView>
  </sheetViews>
  <sheetFormatPr defaultColWidth="14.42578125" defaultRowHeight="15" customHeight="1" x14ac:dyDescent="0.2"/>
  <cols>
    <col min="1" max="1" width="12.42578125" customWidth="1"/>
    <col min="2" max="2" width="10.5703125" customWidth="1"/>
    <col min="3" max="3" width="10.7109375" customWidth="1"/>
    <col min="4" max="4" width="10.140625" customWidth="1"/>
    <col min="5" max="5" width="10" customWidth="1"/>
    <col min="6" max="6" width="9" customWidth="1"/>
    <col min="7" max="7" width="9.140625" customWidth="1"/>
    <col min="8" max="8" width="9.28515625" customWidth="1"/>
    <col min="9" max="9" width="9.42578125" customWidth="1"/>
    <col min="10" max="10" width="9.5703125" customWidth="1"/>
    <col min="11" max="11" width="9.28515625" customWidth="1"/>
    <col min="12" max="13" width="8.7109375" customWidth="1"/>
    <col min="14" max="14" width="9.140625" customWidth="1"/>
    <col min="15" max="15" width="9" customWidth="1"/>
    <col min="16" max="16" width="9.5703125" customWidth="1"/>
    <col min="17" max="17" width="9.28515625" customWidth="1"/>
    <col min="18" max="18" width="10" customWidth="1"/>
  </cols>
  <sheetData>
    <row r="1" spans="1:18" ht="12.75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2.75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2.75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2.75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2.75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(27/02/25)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25.5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1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2.75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3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2.75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6"/>
      <c r="J12" s="123"/>
      <c r="K12" s="10"/>
      <c r="L12" s="122"/>
      <c r="M12" s="123"/>
      <c r="N12" s="122"/>
      <c r="O12" s="123"/>
      <c r="P12" s="124" t="s">
        <v>101</v>
      </c>
      <c r="Q12" s="125"/>
      <c r="R12" s="126"/>
    </row>
    <row r="13" spans="1:18" ht="12.75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99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2.75" x14ac:dyDescent="0.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102</v>
      </c>
      <c r="R16" s="112" t="s">
        <v>103</v>
      </c>
    </row>
    <row r="17" spans="1:18" ht="12.75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08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2.75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2.75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5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2.75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19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ht="15.75" customHeight="1" x14ac:dyDescent="0.2">
      <c r="A21" s="37">
        <v>45715</v>
      </c>
      <c r="B21" s="22">
        <v>1</v>
      </c>
      <c r="C21" s="38">
        <v>1865</v>
      </c>
      <c r="D21" s="24">
        <v>-1010</v>
      </c>
      <c r="E21" s="28">
        <v>2985</v>
      </c>
      <c r="F21" s="22">
        <v>0</v>
      </c>
      <c r="G21" s="22">
        <v>1</v>
      </c>
      <c r="H21" s="28">
        <v>1795</v>
      </c>
      <c r="I21" s="24">
        <v>-961</v>
      </c>
      <c r="J21" s="28">
        <v>2856</v>
      </c>
      <c r="K21" s="22">
        <v>0</v>
      </c>
      <c r="L21" s="22">
        <v>1</v>
      </c>
      <c r="M21" s="38">
        <v>1810</v>
      </c>
      <c r="N21" s="24">
        <v>-704</v>
      </c>
      <c r="O21" s="28">
        <v>2614</v>
      </c>
      <c r="P21" s="22">
        <v>0</v>
      </c>
      <c r="Q21" s="29"/>
      <c r="R21" s="30"/>
    </row>
    <row r="22" spans="1:18" ht="15.75" customHeight="1" x14ac:dyDescent="0.2">
      <c r="A22" s="37">
        <v>45716</v>
      </c>
      <c r="B22" s="22">
        <f t="shared" ref="B22:B171" si="1">B21+1</f>
        <v>2</v>
      </c>
      <c r="C22" s="28">
        <f t="shared" ref="C22:C170" si="2">$C$21-F22</f>
        <v>1865</v>
      </c>
      <c r="D22" s="24">
        <v>-1010</v>
      </c>
      <c r="E22" s="28">
        <v>2985</v>
      </c>
      <c r="F22" s="22">
        <f t="shared" ref="F22:F171" si="3">$D$21-D22</f>
        <v>0</v>
      </c>
      <c r="G22" s="22">
        <f t="shared" ref="G22:G171" si="4">G21+1</f>
        <v>2</v>
      </c>
      <c r="H22" s="28">
        <f t="shared" ref="H22:H170" si="5">$H$21-K22</f>
        <v>1795</v>
      </c>
      <c r="I22" s="24">
        <v>-961</v>
      </c>
      <c r="J22" s="28">
        <v>2856</v>
      </c>
      <c r="K22" s="22">
        <f t="shared" ref="K22:K171" si="6">$I$21-I22</f>
        <v>0</v>
      </c>
      <c r="L22" s="22">
        <f t="shared" ref="L22:L171" si="7">L21+1</f>
        <v>2</v>
      </c>
      <c r="M22" s="28">
        <f t="shared" ref="M22:M170" si="8">$M$21-P22</f>
        <v>1810</v>
      </c>
      <c r="N22" s="24">
        <v>-704</v>
      </c>
      <c r="O22" s="28">
        <v>2614</v>
      </c>
      <c r="P22" s="22">
        <f t="shared" ref="P22:P171" si="9">$N$21-N22</f>
        <v>0</v>
      </c>
      <c r="Q22" s="29"/>
      <c r="R22" s="30"/>
    </row>
    <row r="23" spans="1:18" ht="15.75" customHeight="1" x14ac:dyDescent="0.2">
      <c r="A23" s="37">
        <v>45717</v>
      </c>
      <c r="B23" s="22">
        <f t="shared" si="1"/>
        <v>3</v>
      </c>
      <c r="C23" s="28">
        <f t="shared" si="2"/>
        <v>1835</v>
      </c>
      <c r="D23" s="24">
        <v>-1040</v>
      </c>
      <c r="E23" s="28">
        <v>2985</v>
      </c>
      <c r="F23" s="22">
        <f t="shared" si="3"/>
        <v>30</v>
      </c>
      <c r="G23" s="22">
        <f t="shared" si="4"/>
        <v>3</v>
      </c>
      <c r="H23" s="28">
        <f t="shared" si="5"/>
        <v>1765</v>
      </c>
      <c r="I23" s="24">
        <v>-991</v>
      </c>
      <c r="J23" s="28">
        <v>2856</v>
      </c>
      <c r="K23" s="22">
        <f t="shared" si="6"/>
        <v>30</v>
      </c>
      <c r="L23" s="22">
        <f t="shared" si="7"/>
        <v>3</v>
      </c>
      <c r="M23" s="28">
        <f t="shared" si="8"/>
        <v>1778</v>
      </c>
      <c r="N23" s="24">
        <v>-736</v>
      </c>
      <c r="O23" s="28">
        <v>2614</v>
      </c>
      <c r="P23" s="22">
        <f t="shared" si="9"/>
        <v>32</v>
      </c>
      <c r="Q23" s="29"/>
      <c r="R23" s="30"/>
    </row>
    <row r="24" spans="1:18" ht="15.75" customHeight="1" x14ac:dyDescent="0.2">
      <c r="A24" s="37">
        <v>45718</v>
      </c>
      <c r="B24" s="22">
        <f t="shared" si="1"/>
        <v>4</v>
      </c>
      <c r="C24" s="28">
        <f t="shared" si="2"/>
        <v>1795</v>
      </c>
      <c r="D24" s="24">
        <v>-1080</v>
      </c>
      <c r="E24" s="28">
        <v>2985</v>
      </c>
      <c r="F24" s="22">
        <f t="shared" si="3"/>
        <v>70</v>
      </c>
      <c r="G24" s="22">
        <f t="shared" si="4"/>
        <v>4</v>
      </c>
      <c r="H24" s="28">
        <f t="shared" si="5"/>
        <v>1734</v>
      </c>
      <c r="I24" s="24">
        <v>-1022</v>
      </c>
      <c r="J24" s="28">
        <v>2856</v>
      </c>
      <c r="K24" s="22">
        <f t="shared" si="6"/>
        <v>61</v>
      </c>
      <c r="L24" s="22">
        <f t="shared" si="7"/>
        <v>4</v>
      </c>
      <c r="M24" s="28">
        <f t="shared" si="8"/>
        <v>1746</v>
      </c>
      <c r="N24" s="24">
        <v>-768</v>
      </c>
      <c r="O24" s="28">
        <v>2614</v>
      </c>
      <c r="P24" s="22">
        <f t="shared" si="9"/>
        <v>64</v>
      </c>
      <c r="Q24" s="29"/>
      <c r="R24" s="30"/>
    </row>
    <row r="25" spans="1:18" ht="15.75" customHeight="1" x14ac:dyDescent="0.2">
      <c r="A25" s="37">
        <v>45719</v>
      </c>
      <c r="B25" s="22">
        <f t="shared" si="1"/>
        <v>5</v>
      </c>
      <c r="C25" s="28">
        <f t="shared" si="2"/>
        <v>1755</v>
      </c>
      <c r="D25" s="24">
        <v>-1120</v>
      </c>
      <c r="E25" s="28">
        <v>2985</v>
      </c>
      <c r="F25" s="22">
        <f t="shared" si="3"/>
        <v>110</v>
      </c>
      <c r="G25" s="22">
        <f t="shared" si="4"/>
        <v>5</v>
      </c>
      <c r="H25" s="28">
        <f t="shared" si="5"/>
        <v>1703</v>
      </c>
      <c r="I25" s="24">
        <v>-1053</v>
      </c>
      <c r="J25" s="28">
        <v>2856</v>
      </c>
      <c r="K25" s="22">
        <f t="shared" si="6"/>
        <v>92</v>
      </c>
      <c r="L25" s="22">
        <f t="shared" si="7"/>
        <v>5</v>
      </c>
      <c r="M25" s="28">
        <f t="shared" si="8"/>
        <v>1714</v>
      </c>
      <c r="N25" s="24">
        <v>-800</v>
      </c>
      <c r="O25" s="28">
        <v>2614</v>
      </c>
      <c r="P25" s="22">
        <f t="shared" si="9"/>
        <v>96</v>
      </c>
      <c r="Q25" s="29"/>
      <c r="R25" s="30"/>
    </row>
    <row r="26" spans="1:18" ht="15.75" customHeight="1" x14ac:dyDescent="0.2">
      <c r="A26" s="37">
        <v>45720</v>
      </c>
      <c r="B26" s="22">
        <f t="shared" si="1"/>
        <v>6</v>
      </c>
      <c r="C26" s="28">
        <f t="shared" si="2"/>
        <v>1725</v>
      </c>
      <c r="D26" s="24">
        <v>-1150</v>
      </c>
      <c r="E26" s="28">
        <v>2985</v>
      </c>
      <c r="F26" s="22">
        <f t="shared" si="3"/>
        <v>140</v>
      </c>
      <c r="G26" s="22">
        <f t="shared" si="4"/>
        <v>6</v>
      </c>
      <c r="H26" s="28">
        <f t="shared" si="5"/>
        <v>1672</v>
      </c>
      <c r="I26" s="24">
        <v>-1084</v>
      </c>
      <c r="J26" s="28">
        <v>2856</v>
      </c>
      <c r="K26" s="22">
        <f t="shared" si="6"/>
        <v>123</v>
      </c>
      <c r="L26" s="22">
        <f t="shared" si="7"/>
        <v>6</v>
      </c>
      <c r="M26" s="28">
        <f t="shared" si="8"/>
        <v>1682</v>
      </c>
      <c r="N26" s="24">
        <v>-832</v>
      </c>
      <c r="O26" s="28">
        <v>2614</v>
      </c>
      <c r="P26" s="22">
        <f t="shared" si="9"/>
        <v>128</v>
      </c>
      <c r="Q26" s="29"/>
      <c r="R26" s="30"/>
    </row>
    <row r="27" spans="1:18" ht="15.75" customHeight="1" x14ac:dyDescent="0.2">
      <c r="A27" s="37">
        <v>45721</v>
      </c>
      <c r="B27" s="22">
        <f t="shared" si="1"/>
        <v>7</v>
      </c>
      <c r="C27" s="28">
        <f t="shared" si="2"/>
        <v>1695</v>
      </c>
      <c r="D27" s="24">
        <v>-1180</v>
      </c>
      <c r="E27" s="28">
        <v>2985</v>
      </c>
      <c r="F27" s="22">
        <f t="shared" si="3"/>
        <v>170</v>
      </c>
      <c r="G27" s="22">
        <f t="shared" si="4"/>
        <v>7</v>
      </c>
      <c r="H27" s="28">
        <f t="shared" si="5"/>
        <v>1644</v>
      </c>
      <c r="I27" s="24">
        <v>-1112</v>
      </c>
      <c r="J27" s="28">
        <v>2856</v>
      </c>
      <c r="K27" s="22">
        <f t="shared" si="6"/>
        <v>151</v>
      </c>
      <c r="L27" s="22">
        <f t="shared" si="7"/>
        <v>7</v>
      </c>
      <c r="M27" s="28">
        <f t="shared" si="8"/>
        <v>1649</v>
      </c>
      <c r="N27" s="24">
        <v>-865</v>
      </c>
      <c r="O27" s="28">
        <v>2614</v>
      </c>
      <c r="P27" s="22">
        <f t="shared" si="9"/>
        <v>161</v>
      </c>
      <c r="Q27" s="29"/>
      <c r="R27" s="30"/>
    </row>
    <row r="28" spans="1:18" ht="15.75" customHeight="1" x14ac:dyDescent="0.2">
      <c r="A28" s="37">
        <v>45722</v>
      </c>
      <c r="B28" s="22">
        <f t="shared" si="1"/>
        <v>8</v>
      </c>
      <c r="C28" s="28">
        <f t="shared" si="2"/>
        <v>1665</v>
      </c>
      <c r="D28" s="24">
        <v>-1210</v>
      </c>
      <c r="E28" s="28">
        <v>2985</v>
      </c>
      <c r="F28" s="22">
        <f t="shared" si="3"/>
        <v>200</v>
      </c>
      <c r="G28" s="22">
        <f t="shared" si="4"/>
        <v>8</v>
      </c>
      <c r="H28" s="28">
        <f t="shared" si="5"/>
        <v>1613</v>
      </c>
      <c r="I28" s="24">
        <v>-1143</v>
      </c>
      <c r="J28" s="28">
        <v>2856</v>
      </c>
      <c r="K28" s="22">
        <f t="shared" si="6"/>
        <v>182</v>
      </c>
      <c r="L28" s="22">
        <f t="shared" si="7"/>
        <v>8</v>
      </c>
      <c r="M28" s="28">
        <f t="shared" si="8"/>
        <v>1624</v>
      </c>
      <c r="N28" s="24">
        <v>-890</v>
      </c>
      <c r="O28" s="28">
        <v>2614</v>
      </c>
      <c r="P28" s="22">
        <f t="shared" si="9"/>
        <v>186</v>
      </c>
      <c r="Q28" s="29"/>
      <c r="R28" s="30"/>
    </row>
    <row r="29" spans="1:18" ht="15.75" customHeight="1" x14ac:dyDescent="0.2">
      <c r="A29" s="37">
        <v>45723</v>
      </c>
      <c r="B29" s="22">
        <f t="shared" si="1"/>
        <v>9</v>
      </c>
      <c r="C29" s="28">
        <f t="shared" si="2"/>
        <v>1637</v>
      </c>
      <c r="D29" s="24">
        <v>-1238</v>
      </c>
      <c r="E29" s="28">
        <v>2985</v>
      </c>
      <c r="F29" s="22">
        <f t="shared" si="3"/>
        <v>228</v>
      </c>
      <c r="G29" s="22">
        <f t="shared" si="4"/>
        <v>9</v>
      </c>
      <c r="H29" s="28">
        <f t="shared" si="5"/>
        <v>1575</v>
      </c>
      <c r="I29" s="24">
        <v>-1181</v>
      </c>
      <c r="J29" s="28">
        <v>2856</v>
      </c>
      <c r="K29" s="22">
        <f t="shared" si="6"/>
        <v>220</v>
      </c>
      <c r="L29" s="22">
        <f t="shared" si="7"/>
        <v>9</v>
      </c>
      <c r="M29" s="28">
        <f t="shared" si="8"/>
        <v>1599</v>
      </c>
      <c r="N29" s="24">
        <v>-915</v>
      </c>
      <c r="O29" s="28">
        <v>2614</v>
      </c>
      <c r="P29" s="22">
        <f t="shared" si="9"/>
        <v>211</v>
      </c>
      <c r="Q29" s="29"/>
      <c r="R29" s="30"/>
    </row>
    <row r="30" spans="1:18" ht="15.75" customHeight="1" x14ac:dyDescent="0.2">
      <c r="A30" s="37">
        <v>45724</v>
      </c>
      <c r="B30" s="22">
        <f t="shared" si="1"/>
        <v>10</v>
      </c>
      <c r="C30" s="28">
        <f t="shared" si="2"/>
        <v>1606</v>
      </c>
      <c r="D30" s="24">
        <v>-1269</v>
      </c>
      <c r="E30" s="28">
        <v>2985</v>
      </c>
      <c r="F30" s="22">
        <f t="shared" si="3"/>
        <v>259</v>
      </c>
      <c r="G30" s="22">
        <f t="shared" si="4"/>
        <v>10</v>
      </c>
      <c r="H30" s="28">
        <f t="shared" si="5"/>
        <v>1549</v>
      </c>
      <c r="I30" s="24">
        <v>-1207</v>
      </c>
      <c r="J30" s="28">
        <v>2856</v>
      </c>
      <c r="K30" s="22">
        <f t="shared" si="6"/>
        <v>246</v>
      </c>
      <c r="L30" s="22">
        <f t="shared" si="7"/>
        <v>10</v>
      </c>
      <c r="M30" s="28">
        <f t="shared" si="8"/>
        <v>1574</v>
      </c>
      <c r="N30" s="24">
        <v>-940</v>
      </c>
      <c r="O30" s="28">
        <v>2614</v>
      </c>
      <c r="P30" s="22">
        <f t="shared" si="9"/>
        <v>236</v>
      </c>
      <c r="Q30" s="29"/>
      <c r="R30" s="30"/>
    </row>
    <row r="31" spans="1:18" ht="15.75" customHeight="1" x14ac:dyDescent="0.2">
      <c r="A31" s="37">
        <v>45725</v>
      </c>
      <c r="B31" s="22">
        <f t="shared" si="1"/>
        <v>11</v>
      </c>
      <c r="C31" s="28">
        <f t="shared" si="2"/>
        <v>1574</v>
      </c>
      <c r="D31" s="24">
        <v>-1301</v>
      </c>
      <c r="E31" s="28">
        <v>2985</v>
      </c>
      <c r="F31" s="22">
        <f t="shared" si="3"/>
        <v>291</v>
      </c>
      <c r="G31" s="22">
        <f t="shared" si="4"/>
        <v>11</v>
      </c>
      <c r="H31" s="28">
        <f t="shared" si="5"/>
        <v>1524</v>
      </c>
      <c r="I31" s="24">
        <v>-1232</v>
      </c>
      <c r="J31" s="28">
        <v>2856</v>
      </c>
      <c r="K31" s="22">
        <f t="shared" si="6"/>
        <v>271</v>
      </c>
      <c r="L31" s="22">
        <f t="shared" si="7"/>
        <v>11</v>
      </c>
      <c r="M31" s="28">
        <f t="shared" si="8"/>
        <v>1549</v>
      </c>
      <c r="N31" s="24">
        <v>-965</v>
      </c>
      <c r="O31" s="28">
        <v>2614</v>
      </c>
      <c r="P31" s="22">
        <f t="shared" si="9"/>
        <v>261</v>
      </c>
      <c r="Q31" s="29"/>
      <c r="R31" s="30"/>
    </row>
    <row r="32" spans="1:18" ht="15.75" customHeight="1" x14ac:dyDescent="0.2">
      <c r="A32" s="37">
        <v>45726</v>
      </c>
      <c r="B32" s="22">
        <f t="shared" si="1"/>
        <v>12</v>
      </c>
      <c r="C32" s="28">
        <f t="shared" si="2"/>
        <v>1544</v>
      </c>
      <c r="D32" s="24">
        <v>-1331</v>
      </c>
      <c r="E32" s="28">
        <v>2985</v>
      </c>
      <c r="F32" s="22">
        <f t="shared" si="3"/>
        <v>321</v>
      </c>
      <c r="G32" s="22">
        <f t="shared" si="4"/>
        <v>12</v>
      </c>
      <c r="H32" s="28">
        <f t="shared" si="5"/>
        <v>1493</v>
      </c>
      <c r="I32" s="24">
        <v>-1263</v>
      </c>
      <c r="J32" s="28">
        <v>2856</v>
      </c>
      <c r="K32" s="22">
        <f t="shared" si="6"/>
        <v>302</v>
      </c>
      <c r="L32" s="22">
        <f t="shared" si="7"/>
        <v>12</v>
      </c>
      <c r="M32" s="28">
        <f t="shared" si="8"/>
        <v>1519</v>
      </c>
      <c r="N32" s="24">
        <v>-995</v>
      </c>
      <c r="O32" s="28">
        <v>2614</v>
      </c>
      <c r="P32" s="22">
        <f t="shared" si="9"/>
        <v>291</v>
      </c>
      <c r="Q32" s="29"/>
      <c r="R32" s="30"/>
    </row>
    <row r="33" spans="1:18" ht="15.75" customHeight="1" x14ac:dyDescent="0.2">
      <c r="A33" s="37">
        <v>45727</v>
      </c>
      <c r="B33" s="22">
        <f t="shared" si="1"/>
        <v>13</v>
      </c>
      <c r="C33" s="28">
        <f t="shared" si="2"/>
        <v>1517</v>
      </c>
      <c r="D33" s="39">
        <v>-1358</v>
      </c>
      <c r="E33" s="28">
        <v>2985</v>
      </c>
      <c r="F33" s="22">
        <f t="shared" si="3"/>
        <v>348</v>
      </c>
      <c r="G33" s="22">
        <f t="shared" si="4"/>
        <v>13</v>
      </c>
      <c r="H33" s="28">
        <f t="shared" si="5"/>
        <v>1461</v>
      </c>
      <c r="I33" s="24">
        <v>-1295</v>
      </c>
      <c r="J33" s="28">
        <v>2856</v>
      </c>
      <c r="K33" s="22">
        <f t="shared" si="6"/>
        <v>334</v>
      </c>
      <c r="L33" s="22">
        <f t="shared" si="7"/>
        <v>13</v>
      </c>
      <c r="M33" s="28">
        <f t="shared" si="8"/>
        <v>1501</v>
      </c>
      <c r="N33" s="39">
        <v>-1013</v>
      </c>
      <c r="O33" s="28">
        <v>2614</v>
      </c>
      <c r="P33" s="22">
        <f t="shared" si="9"/>
        <v>309</v>
      </c>
      <c r="Q33" s="29"/>
      <c r="R33" s="30"/>
    </row>
    <row r="34" spans="1:18" ht="15.75" customHeight="1" x14ac:dyDescent="0.2">
      <c r="A34" s="37">
        <v>45728</v>
      </c>
      <c r="B34" s="22">
        <f t="shared" si="1"/>
        <v>14</v>
      </c>
      <c r="C34" s="28">
        <f t="shared" si="2"/>
        <v>1507</v>
      </c>
      <c r="D34" s="39">
        <v>-1368</v>
      </c>
      <c r="E34" s="28">
        <v>2985</v>
      </c>
      <c r="F34" s="22">
        <f t="shared" si="3"/>
        <v>358</v>
      </c>
      <c r="G34" s="22">
        <f t="shared" si="4"/>
        <v>14</v>
      </c>
      <c r="H34" s="28">
        <f t="shared" si="5"/>
        <v>1436</v>
      </c>
      <c r="I34" s="24">
        <v>-1320</v>
      </c>
      <c r="J34" s="28">
        <v>2856</v>
      </c>
      <c r="K34" s="22">
        <f t="shared" si="6"/>
        <v>359</v>
      </c>
      <c r="L34" s="22">
        <f t="shared" si="7"/>
        <v>14</v>
      </c>
      <c r="M34" s="28">
        <f t="shared" si="8"/>
        <v>1489</v>
      </c>
      <c r="N34" s="39">
        <v>-1025</v>
      </c>
      <c r="O34" s="28">
        <v>2614</v>
      </c>
      <c r="P34" s="22">
        <f t="shared" si="9"/>
        <v>321</v>
      </c>
      <c r="Q34" s="29"/>
      <c r="R34" s="30"/>
    </row>
    <row r="35" spans="1:18" ht="15.75" customHeight="1" x14ac:dyDescent="0.2">
      <c r="A35" s="37">
        <v>45729</v>
      </c>
      <c r="B35" s="22">
        <f t="shared" si="1"/>
        <v>15</v>
      </c>
      <c r="C35" s="28">
        <f t="shared" si="2"/>
        <v>1497</v>
      </c>
      <c r="D35" s="39">
        <v>-1378</v>
      </c>
      <c r="E35" s="28">
        <v>2985</v>
      </c>
      <c r="F35" s="22">
        <f t="shared" si="3"/>
        <v>368</v>
      </c>
      <c r="G35" s="22">
        <f t="shared" si="4"/>
        <v>15</v>
      </c>
      <c r="H35" s="28">
        <f t="shared" si="5"/>
        <v>1406</v>
      </c>
      <c r="I35" s="24">
        <v>-1350</v>
      </c>
      <c r="J35" s="28">
        <v>2856</v>
      </c>
      <c r="K35" s="22">
        <f t="shared" si="6"/>
        <v>389</v>
      </c>
      <c r="L35" s="22">
        <f t="shared" si="7"/>
        <v>15</v>
      </c>
      <c r="M35" s="28">
        <f t="shared" si="8"/>
        <v>1477</v>
      </c>
      <c r="N35" s="39">
        <v>-1037</v>
      </c>
      <c r="O35" s="28">
        <v>2614</v>
      </c>
      <c r="P35" s="22">
        <f t="shared" si="9"/>
        <v>333</v>
      </c>
      <c r="Q35" s="36"/>
      <c r="R35" s="30"/>
    </row>
    <row r="36" spans="1:18" ht="15.75" customHeight="1" x14ac:dyDescent="0.2">
      <c r="A36" s="37">
        <v>45730</v>
      </c>
      <c r="B36" s="22">
        <f t="shared" si="1"/>
        <v>16</v>
      </c>
      <c r="C36" s="28">
        <f t="shared" si="2"/>
        <v>1477</v>
      </c>
      <c r="D36" s="39">
        <v>-1398</v>
      </c>
      <c r="E36" s="28">
        <v>2985</v>
      </c>
      <c r="F36" s="22">
        <f t="shared" si="3"/>
        <v>388</v>
      </c>
      <c r="G36" s="22">
        <f t="shared" si="4"/>
        <v>16</v>
      </c>
      <c r="H36" s="28">
        <f t="shared" si="5"/>
        <v>1376</v>
      </c>
      <c r="I36" s="24">
        <v>-1380</v>
      </c>
      <c r="J36" s="28">
        <v>2856</v>
      </c>
      <c r="K36" s="22">
        <f t="shared" si="6"/>
        <v>419</v>
      </c>
      <c r="L36" s="22">
        <f t="shared" si="7"/>
        <v>16</v>
      </c>
      <c r="M36" s="28">
        <f t="shared" si="8"/>
        <v>1465</v>
      </c>
      <c r="N36" s="39">
        <v>-1049</v>
      </c>
      <c r="O36" s="28">
        <v>2614</v>
      </c>
      <c r="P36" s="22">
        <f t="shared" si="9"/>
        <v>345</v>
      </c>
      <c r="Q36" s="36"/>
      <c r="R36" s="30"/>
    </row>
    <row r="37" spans="1:18" ht="15.75" customHeight="1" x14ac:dyDescent="0.2">
      <c r="A37" s="37">
        <v>45731</v>
      </c>
      <c r="B37" s="22">
        <f t="shared" si="1"/>
        <v>17</v>
      </c>
      <c r="C37" s="28">
        <f t="shared" si="2"/>
        <v>1458</v>
      </c>
      <c r="D37" s="39">
        <v>-1417</v>
      </c>
      <c r="E37" s="28">
        <v>2985</v>
      </c>
      <c r="F37" s="22">
        <f t="shared" si="3"/>
        <v>407</v>
      </c>
      <c r="G37" s="22">
        <f t="shared" si="4"/>
        <v>17</v>
      </c>
      <c r="H37" s="28">
        <f t="shared" si="5"/>
        <v>1349</v>
      </c>
      <c r="I37" s="39">
        <v>-1407</v>
      </c>
      <c r="J37" s="28">
        <v>2856</v>
      </c>
      <c r="K37" s="22">
        <f t="shared" si="6"/>
        <v>446</v>
      </c>
      <c r="L37" s="22">
        <f t="shared" si="7"/>
        <v>17</v>
      </c>
      <c r="M37" s="28">
        <f t="shared" si="8"/>
        <v>1452</v>
      </c>
      <c r="N37" s="39">
        <v>-1062</v>
      </c>
      <c r="O37" s="28">
        <v>2614</v>
      </c>
      <c r="P37" s="22">
        <f t="shared" si="9"/>
        <v>358</v>
      </c>
      <c r="Q37" s="36"/>
      <c r="R37" s="30"/>
    </row>
    <row r="38" spans="1:18" ht="15.75" customHeight="1" x14ac:dyDescent="0.2">
      <c r="A38" s="37">
        <v>45732</v>
      </c>
      <c r="B38" s="22">
        <f t="shared" si="1"/>
        <v>18</v>
      </c>
      <c r="C38" s="28">
        <f t="shared" si="2"/>
        <v>1449</v>
      </c>
      <c r="D38" s="24">
        <v>-1426</v>
      </c>
      <c r="E38" s="28">
        <v>2985</v>
      </c>
      <c r="F38" s="22">
        <f t="shared" si="3"/>
        <v>416</v>
      </c>
      <c r="G38" s="22">
        <f t="shared" si="4"/>
        <v>18</v>
      </c>
      <c r="H38" s="28">
        <f t="shared" si="5"/>
        <v>1341</v>
      </c>
      <c r="I38" s="24">
        <v>-1415</v>
      </c>
      <c r="J38" s="28">
        <v>2856</v>
      </c>
      <c r="K38" s="22">
        <f t="shared" si="6"/>
        <v>454</v>
      </c>
      <c r="L38" s="22">
        <f t="shared" si="7"/>
        <v>18</v>
      </c>
      <c r="M38" s="28">
        <f t="shared" si="8"/>
        <v>1446</v>
      </c>
      <c r="N38" s="24">
        <v>-1068</v>
      </c>
      <c r="O38" s="28">
        <v>2614</v>
      </c>
      <c r="P38" s="22">
        <f t="shared" si="9"/>
        <v>364</v>
      </c>
      <c r="Q38" s="36"/>
      <c r="R38" s="30"/>
    </row>
    <row r="39" spans="1:18" ht="15.75" customHeight="1" x14ac:dyDescent="0.2">
      <c r="A39" s="37">
        <v>45733</v>
      </c>
      <c r="B39" s="22">
        <f t="shared" si="1"/>
        <v>19</v>
      </c>
      <c r="C39" s="28">
        <f t="shared" si="2"/>
        <v>1440</v>
      </c>
      <c r="D39" s="24">
        <v>-1435</v>
      </c>
      <c r="E39" s="28">
        <v>2985</v>
      </c>
      <c r="F39" s="22">
        <f t="shared" si="3"/>
        <v>425</v>
      </c>
      <c r="G39" s="22">
        <f t="shared" si="4"/>
        <v>19</v>
      </c>
      <c r="H39" s="28">
        <f t="shared" si="5"/>
        <v>1332</v>
      </c>
      <c r="I39" s="24">
        <v>-1424</v>
      </c>
      <c r="J39" s="28">
        <v>2856</v>
      </c>
      <c r="K39" s="22">
        <f t="shared" si="6"/>
        <v>463</v>
      </c>
      <c r="L39" s="22">
        <f t="shared" si="7"/>
        <v>19</v>
      </c>
      <c r="M39" s="28">
        <f t="shared" si="8"/>
        <v>1441</v>
      </c>
      <c r="N39" s="24">
        <v>-1073</v>
      </c>
      <c r="O39" s="28">
        <v>2614</v>
      </c>
      <c r="P39" s="22">
        <f t="shared" si="9"/>
        <v>369</v>
      </c>
      <c r="Q39" s="36"/>
      <c r="R39" s="30"/>
    </row>
    <row r="40" spans="1:18" ht="15.75" customHeight="1" x14ac:dyDescent="0.2">
      <c r="A40" s="37">
        <v>45734</v>
      </c>
      <c r="B40" s="22">
        <f t="shared" si="1"/>
        <v>20</v>
      </c>
      <c r="C40" s="28">
        <f t="shared" si="2"/>
        <v>1433</v>
      </c>
      <c r="D40" s="24">
        <v>-1442</v>
      </c>
      <c r="E40" s="28">
        <v>2985</v>
      </c>
      <c r="F40" s="22">
        <f t="shared" si="3"/>
        <v>432</v>
      </c>
      <c r="G40" s="22">
        <f t="shared" si="4"/>
        <v>20</v>
      </c>
      <c r="H40" s="28">
        <f t="shared" si="5"/>
        <v>1324</v>
      </c>
      <c r="I40" s="24">
        <v>-1432</v>
      </c>
      <c r="J40" s="28">
        <v>2856</v>
      </c>
      <c r="K40" s="22">
        <f t="shared" si="6"/>
        <v>471</v>
      </c>
      <c r="L40" s="22">
        <f t="shared" si="7"/>
        <v>20</v>
      </c>
      <c r="M40" s="28">
        <f t="shared" si="8"/>
        <v>1435</v>
      </c>
      <c r="N40" s="24">
        <v>-1079</v>
      </c>
      <c r="O40" s="28">
        <v>2614</v>
      </c>
      <c r="P40" s="22">
        <f t="shared" si="9"/>
        <v>375</v>
      </c>
      <c r="Q40" s="36"/>
      <c r="R40" s="30"/>
    </row>
    <row r="41" spans="1:18" ht="15.75" customHeight="1" x14ac:dyDescent="0.2">
      <c r="A41" s="37">
        <v>45735</v>
      </c>
      <c r="B41" s="22">
        <f t="shared" si="1"/>
        <v>21</v>
      </c>
      <c r="C41" s="28">
        <f t="shared" si="2"/>
        <v>1433</v>
      </c>
      <c r="D41" s="24">
        <v>-1442</v>
      </c>
      <c r="E41" s="28">
        <v>2985</v>
      </c>
      <c r="F41" s="22">
        <f t="shared" si="3"/>
        <v>432</v>
      </c>
      <c r="G41" s="22">
        <f t="shared" si="4"/>
        <v>21</v>
      </c>
      <c r="H41" s="28">
        <f t="shared" si="5"/>
        <v>1324</v>
      </c>
      <c r="I41" s="24">
        <v>-1432</v>
      </c>
      <c r="J41" s="28">
        <v>2856</v>
      </c>
      <c r="K41" s="22">
        <f t="shared" si="6"/>
        <v>471</v>
      </c>
      <c r="L41" s="22">
        <f t="shared" si="7"/>
        <v>21</v>
      </c>
      <c r="M41" s="28">
        <f t="shared" si="8"/>
        <v>1435</v>
      </c>
      <c r="N41" s="24">
        <v>-1079</v>
      </c>
      <c r="O41" s="28">
        <v>2614</v>
      </c>
      <c r="P41" s="22">
        <f t="shared" si="9"/>
        <v>375</v>
      </c>
      <c r="Q41" s="36"/>
      <c r="R41" s="30"/>
    </row>
    <row r="42" spans="1:18" ht="15.75" customHeight="1" x14ac:dyDescent="0.2">
      <c r="A42" s="37">
        <v>45736</v>
      </c>
      <c r="B42" s="22">
        <f t="shared" si="1"/>
        <v>22</v>
      </c>
      <c r="C42" s="28">
        <f t="shared" si="2"/>
        <v>1433</v>
      </c>
      <c r="D42" s="24">
        <v>-1442</v>
      </c>
      <c r="E42" s="28">
        <v>2985</v>
      </c>
      <c r="F42" s="22">
        <f t="shared" si="3"/>
        <v>432</v>
      </c>
      <c r="G42" s="22">
        <f t="shared" si="4"/>
        <v>22</v>
      </c>
      <c r="H42" s="28">
        <f t="shared" si="5"/>
        <v>1324</v>
      </c>
      <c r="I42" s="24">
        <v>-1432</v>
      </c>
      <c r="J42" s="28">
        <v>2856</v>
      </c>
      <c r="K42" s="22">
        <f t="shared" si="6"/>
        <v>471</v>
      </c>
      <c r="L42" s="22">
        <f t="shared" si="7"/>
        <v>22</v>
      </c>
      <c r="M42" s="28">
        <f t="shared" si="8"/>
        <v>1435</v>
      </c>
      <c r="N42" s="24">
        <v>-1079</v>
      </c>
      <c r="O42" s="28">
        <v>2614</v>
      </c>
      <c r="P42" s="22">
        <f t="shared" si="9"/>
        <v>375</v>
      </c>
      <c r="Q42" s="36"/>
      <c r="R42" s="30"/>
    </row>
    <row r="43" spans="1:18" ht="15.75" customHeight="1" x14ac:dyDescent="0.2">
      <c r="A43" s="37">
        <v>45737</v>
      </c>
      <c r="B43" s="22">
        <f t="shared" si="1"/>
        <v>23</v>
      </c>
      <c r="C43" s="28">
        <f t="shared" si="2"/>
        <v>1425</v>
      </c>
      <c r="D43" s="24">
        <v>-1450</v>
      </c>
      <c r="E43" s="28">
        <v>2985</v>
      </c>
      <c r="F43" s="22">
        <f t="shared" si="3"/>
        <v>440</v>
      </c>
      <c r="G43" s="22">
        <f t="shared" si="4"/>
        <v>23</v>
      </c>
      <c r="H43" s="28">
        <f t="shared" si="5"/>
        <v>1315</v>
      </c>
      <c r="I43" s="24">
        <v>-1441</v>
      </c>
      <c r="J43" s="28">
        <v>2856</v>
      </c>
      <c r="K43" s="22">
        <f t="shared" si="6"/>
        <v>480</v>
      </c>
      <c r="L43" s="22">
        <f t="shared" si="7"/>
        <v>23</v>
      </c>
      <c r="M43" s="28">
        <f t="shared" si="8"/>
        <v>1427</v>
      </c>
      <c r="N43" s="24">
        <v>-1087</v>
      </c>
      <c r="O43" s="28">
        <v>2614</v>
      </c>
      <c r="P43" s="22">
        <f t="shared" si="9"/>
        <v>383</v>
      </c>
      <c r="Q43" s="36"/>
      <c r="R43" s="30"/>
    </row>
    <row r="44" spans="1:18" ht="15.75" customHeight="1" x14ac:dyDescent="0.2">
      <c r="A44" s="37">
        <v>45738</v>
      </c>
      <c r="B44" s="22">
        <f t="shared" si="1"/>
        <v>24</v>
      </c>
      <c r="C44" s="28">
        <f t="shared" si="2"/>
        <v>1416</v>
      </c>
      <c r="D44" s="24">
        <v>-1459</v>
      </c>
      <c r="E44" s="28">
        <v>2985</v>
      </c>
      <c r="F44" s="22">
        <f t="shared" si="3"/>
        <v>449</v>
      </c>
      <c r="G44" s="22">
        <f t="shared" si="4"/>
        <v>24</v>
      </c>
      <c r="H44" s="28">
        <f t="shared" si="5"/>
        <v>1305</v>
      </c>
      <c r="I44" s="24">
        <v>-1451</v>
      </c>
      <c r="J44" s="28">
        <v>2856</v>
      </c>
      <c r="K44" s="22">
        <f t="shared" si="6"/>
        <v>490</v>
      </c>
      <c r="L44" s="22">
        <f t="shared" si="7"/>
        <v>24</v>
      </c>
      <c r="M44" s="28">
        <f t="shared" si="8"/>
        <v>1419</v>
      </c>
      <c r="N44" s="24">
        <v>-1095</v>
      </c>
      <c r="O44" s="28">
        <v>2614</v>
      </c>
      <c r="P44" s="22">
        <f t="shared" si="9"/>
        <v>391</v>
      </c>
      <c r="Q44" s="36"/>
      <c r="R44" s="30"/>
    </row>
    <row r="45" spans="1:18" ht="15.75" customHeight="1" x14ac:dyDescent="0.2">
      <c r="A45" s="37">
        <v>45739</v>
      </c>
      <c r="B45" s="22">
        <f t="shared" si="1"/>
        <v>25</v>
      </c>
      <c r="C45" s="28">
        <f t="shared" si="2"/>
        <v>1409</v>
      </c>
      <c r="D45" s="24">
        <v>-1466</v>
      </c>
      <c r="E45" s="28">
        <v>2985</v>
      </c>
      <c r="F45" s="22">
        <f t="shared" si="3"/>
        <v>456</v>
      </c>
      <c r="G45" s="22">
        <f t="shared" si="4"/>
        <v>25</v>
      </c>
      <c r="H45" s="28">
        <f t="shared" si="5"/>
        <v>1295</v>
      </c>
      <c r="I45" s="24">
        <v>-1461</v>
      </c>
      <c r="J45" s="28">
        <v>2856</v>
      </c>
      <c r="K45" s="22">
        <f t="shared" si="6"/>
        <v>500</v>
      </c>
      <c r="L45" s="22">
        <f t="shared" si="7"/>
        <v>25</v>
      </c>
      <c r="M45" s="28">
        <f t="shared" si="8"/>
        <v>1413</v>
      </c>
      <c r="N45" s="24">
        <v>-1101</v>
      </c>
      <c r="O45" s="28">
        <v>2614</v>
      </c>
      <c r="P45" s="22">
        <f t="shared" si="9"/>
        <v>397</v>
      </c>
      <c r="Q45" s="36"/>
      <c r="R45" s="30"/>
    </row>
    <row r="46" spans="1:18" ht="15.75" customHeight="1" x14ac:dyDescent="0.2">
      <c r="A46" s="37">
        <v>45740</v>
      </c>
      <c r="B46" s="22">
        <f t="shared" si="1"/>
        <v>26</v>
      </c>
      <c r="C46" s="28">
        <f t="shared" si="2"/>
        <v>1403</v>
      </c>
      <c r="D46" s="24">
        <v>-1472</v>
      </c>
      <c r="E46" s="28">
        <v>2985</v>
      </c>
      <c r="F46" s="22">
        <f t="shared" si="3"/>
        <v>462</v>
      </c>
      <c r="G46" s="22">
        <f t="shared" si="4"/>
        <v>26</v>
      </c>
      <c r="H46" s="28">
        <f t="shared" si="5"/>
        <v>1286</v>
      </c>
      <c r="I46" s="24">
        <v>-1470</v>
      </c>
      <c r="J46" s="28">
        <v>2856</v>
      </c>
      <c r="K46" s="22">
        <f t="shared" si="6"/>
        <v>509</v>
      </c>
      <c r="L46" s="22">
        <f t="shared" si="7"/>
        <v>26</v>
      </c>
      <c r="M46" s="28">
        <f t="shared" si="8"/>
        <v>1407</v>
      </c>
      <c r="N46" s="24">
        <v>-1107</v>
      </c>
      <c r="O46" s="28">
        <v>2614</v>
      </c>
      <c r="P46" s="22">
        <f t="shared" si="9"/>
        <v>403</v>
      </c>
      <c r="Q46" s="36"/>
      <c r="R46" s="30"/>
    </row>
    <row r="47" spans="1:18" ht="15.75" customHeight="1" x14ac:dyDescent="0.2">
      <c r="A47" s="37">
        <v>45741</v>
      </c>
      <c r="B47" s="22">
        <f t="shared" si="1"/>
        <v>27</v>
      </c>
      <c r="C47" s="28">
        <f t="shared" si="2"/>
        <v>1397</v>
      </c>
      <c r="D47" s="24">
        <v>-1478</v>
      </c>
      <c r="E47" s="28">
        <v>2985</v>
      </c>
      <c r="F47" s="22">
        <f t="shared" si="3"/>
        <v>468</v>
      </c>
      <c r="G47" s="22">
        <f t="shared" si="4"/>
        <v>27</v>
      </c>
      <c r="H47" s="28">
        <f t="shared" si="5"/>
        <v>1278</v>
      </c>
      <c r="I47" s="24">
        <v>-1478</v>
      </c>
      <c r="J47" s="28">
        <v>2856</v>
      </c>
      <c r="K47" s="22">
        <f t="shared" si="6"/>
        <v>517</v>
      </c>
      <c r="L47" s="22">
        <f t="shared" si="7"/>
        <v>27</v>
      </c>
      <c r="M47" s="28">
        <f t="shared" si="8"/>
        <v>1401</v>
      </c>
      <c r="N47" s="24">
        <v>-1113</v>
      </c>
      <c r="O47" s="28">
        <v>2614</v>
      </c>
      <c r="P47" s="22">
        <f t="shared" si="9"/>
        <v>409</v>
      </c>
      <c r="Q47" s="36"/>
      <c r="R47" s="30"/>
    </row>
    <row r="48" spans="1:18" ht="15.75" customHeight="1" x14ac:dyDescent="0.2">
      <c r="A48" s="37">
        <v>45742</v>
      </c>
      <c r="B48" s="22">
        <f t="shared" si="1"/>
        <v>28</v>
      </c>
      <c r="C48" s="28">
        <f t="shared" si="2"/>
        <v>1389</v>
      </c>
      <c r="D48" s="24">
        <v>-1486</v>
      </c>
      <c r="E48" s="28">
        <v>2985</v>
      </c>
      <c r="F48" s="22">
        <f t="shared" si="3"/>
        <v>476</v>
      </c>
      <c r="G48" s="22">
        <f t="shared" si="4"/>
        <v>28</v>
      </c>
      <c r="H48" s="28">
        <f t="shared" si="5"/>
        <v>1271</v>
      </c>
      <c r="I48" s="24">
        <v>-1485</v>
      </c>
      <c r="J48" s="28">
        <v>2856</v>
      </c>
      <c r="K48" s="22">
        <f t="shared" si="6"/>
        <v>524</v>
      </c>
      <c r="L48" s="22">
        <f t="shared" si="7"/>
        <v>28</v>
      </c>
      <c r="M48" s="28">
        <f t="shared" si="8"/>
        <v>1394</v>
      </c>
      <c r="N48" s="24">
        <v>-1120</v>
      </c>
      <c r="O48" s="28">
        <v>2614</v>
      </c>
      <c r="P48" s="22">
        <f t="shared" si="9"/>
        <v>416</v>
      </c>
      <c r="Q48" s="36"/>
      <c r="R48" s="30"/>
    </row>
    <row r="49" spans="1:18" ht="15.75" customHeight="1" x14ac:dyDescent="0.2">
      <c r="A49" s="37">
        <v>45743</v>
      </c>
      <c r="B49" s="22">
        <f t="shared" si="1"/>
        <v>29</v>
      </c>
      <c r="C49" s="28">
        <f t="shared" si="2"/>
        <v>1389</v>
      </c>
      <c r="D49" s="24">
        <v>-1486</v>
      </c>
      <c r="E49" s="28">
        <v>2985</v>
      </c>
      <c r="F49" s="22">
        <f t="shared" si="3"/>
        <v>476</v>
      </c>
      <c r="G49" s="22">
        <f t="shared" si="4"/>
        <v>29</v>
      </c>
      <c r="H49" s="28">
        <f t="shared" si="5"/>
        <v>1258</v>
      </c>
      <c r="I49" s="24">
        <v>-1498</v>
      </c>
      <c r="J49" s="28">
        <v>2856</v>
      </c>
      <c r="K49" s="22">
        <f t="shared" si="6"/>
        <v>537</v>
      </c>
      <c r="L49" s="22">
        <f t="shared" si="7"/>
        <v>29</v>
      </c>
      <c r="M49" s="28">
        <f t="shared" si="8"/>
        <v>1384</v>
      </c>
      <c r="N49" s="24">
        <v>-1130</v>
      </c>
      <c r="O49" s="28">
        <v>2614</v>
      </c>
      <c r="P49" s="22">
        <f t="shared" si="9"/>
        <v>426</v>
      </c>
      <c r="Q49" s="36"/>
      <c r="R49" s="30"/>
    </row>
    <row r="50" spans="1:18" ht="15.75" customHeight="1" x14ac:dyDescent="0.2">
      <c r="A50" s="37">
        <v>45744</v>
      </c>
      <c r="B50" s="22">
        <f t="shared" si="1"/>
        <v>30</v>
      </c>
      <c r="C50" s="28">
        <f t="shared" si="2"/>
        <v>1368</v>
      </c>
      <c r="D50" s="24">
        <v>-1507</v>
      </c>
      <c r="E50" s="28">
        <v>2985</v>
      </c>
      <c r="F50" s="22">
        <f t="shared" si="3"/>
        <v>497</v>
      </c>
      <c r="G50" s="22">
        <f t="shared" si="4"/>
        <v>30</v>
      </c>
      <c r="H50" s="28">
        <f t="shared" si="5"/>
        <v>1250</v>
      </c>
      <c r="I50" s="24">
        <v>-1506</v>
      </c>
      <c r="J50" s="28">
        <v>2856</v>
      </c>
      <c r="K50" s="22">
        <f t="shared" si="6"/>
        <v>545</v>
      </c>
      <c r="L50" s="22">
        <f t="shared" si="7"/>
        <v>30</v>
      </c>
      <c r="M50" s="28">
        <f t="shared" si="8"/>
        <v>1375</v>
      </c>
      <c r="N50" s="24">
        <v>-1139</v>
      </c>
      <c r="O50" s="28">
        <v>2614</v>
      </c>
      <c r="P50" s="22">
        <f t="shared" si="9"/>
        <v>435</v>
      </c>
      <c r="Q50" s="36"/>
      <c r="R50" s="30"/>
    </row>
    <row r="51" spans="1:18" ht="15.75" customHeight="1" x14ac:dyDescent="0.2">
      <c r="A51" s="37">
        <v>45745</v>
      </c>
      <c r="B51" s="22">
        <f t="shared" si="1"/>
        <v>31</v>
      </c>
      <c r="C51" s="28">
        <f t="shared" si="2"/>
        <v>1363</v>
      </c>
      <c r="D51" s="24">
        <v>-1512</v>
      </c>
      <c r="E51" s="28">
        <v>2985</v>
      </c>
      <c r="F51" s="22">
        <f t="shared" si="3"/>
        <v>502</v>
      </c>
      <c r="G51" s="22">
        <f t="shared" si="4"/>
        <v>31</v>
      </c>
      <c r="H51" s="28">
        <f t="shared" si="5"/>
        <v>1243</v>
      </c>
      <c r="I51" s="24">
        <v>-1513</v>
      </c>
      <c r="J51" s="28">
        <v>2856</v>
      </c>
      <c r="K51" s="22">
        <f t="shared" si="6"/>
        <v>552</v>
      </c>
      <c r="L51" s="22">
        <f t="shared" si="7"/>
        <v>31</v>
      </c>
      <c r="M51" s="28">
        <f t="shared" si="8"/>
        <v>1369</v>
      </c>
      <c r="N51" s="24">
        <v>-1145</v>
      </c>
      <c r="O51" s="28">
        <v>2614</v>
      </c>
      <c r="P51" s="22">
        <f t="shared" si="9"/>
        <v>441</v>
      </c>
      <c r="Q51" s="36"/>
      <c r="R51" s="30"/>
    </row>
    <row r="52" spans="1:18" ht="15.75" customHeight="1" x14ac:dyDescent="0.2">
      <c r="A52" s="37">
        <v>45746</v>
      </c>
      <c r="B52" s="22">
        <f t="shared" si="1"/>
        <v>32</v>
      </c>
      <c r="C52" s="28">
        <f t="shared" si="2"/>
        <v>1358</v>
      </c>
      <c r="D52" s="24">
        <v>-1517</v>
      </c>
      <c r="E52" s="28">
        <v>2985</v>
      </c>
      <c r="F52" s="22">
        <f t="shared" si="3"/>
        <v>507</v>
      </c>
      <c r="G52" s="22">
        <f t="shared" si="4"/>
        <v>32</v>
      </c>
      <c r="H52" s="28">
        <f t="shared" si="5"/>
        <v>1236</v>
      </c>
      <c r="I52" s="24">
        <v>-1520</v>
      </c>
      <c r="J52" s="28">
        <v>2856</v>
      </c>
      <c r="K52" s="22">
        <f t="shared" si="6"/>
        <v>559</v>
      </c>
      <c r="L52" s="22">
        <f t="shared" si="7"/>
        <v>32</v>
      </c>
      <c r="M52" s="28">
        <f t="shared" si="8"/>
        <v>1364</v>
      </c>
      <c r="N52" s="24">
        <v>-1150</v>
      </c>
      <c r="O52" s="28">
        <v>2614</v>
      </c>
      <c r="P52" s="22">
        <f t="shared" si="9"/>
        <v>446</v>
      </c>
      <c r="Q52" s="36"/>
      <c r="R52" s="30"/>
    </row>
    <row r="53" spans="1:18" ht="15.75" customHeight="1" x14ac:dyDescent="0.2">
      <c r="A53" s="37">
        <v>45747</v>
      </c>
      <c r="B53" s="22">
        <f t="shared" si="1"/>
        <v>33</v>
      </c>
      <c r="C53" s="28">
        <f t="shared" si="2"/>
        <v>1354</v>
      </c>
      <c r="D53" s="24">
        <v>-1521</v>
      </c>
      <c r="E53" s="28">
        <v>2985</v>
      </c>
      <c r="F53" s="22">
        <f t="shared" si="3"/>
        <v>511</v>
      </c>
      <c r="G53" s="22">
        <f t="shared" si="4"/>
        <v>33</v>
      </c>
      <c r="H53" s="28">
        <f t="shared" si="5"/>
        <v>1230</v>
      </c>
      <c r="I53" s="24">
        <v>-1526</v>
      </c>
      <c r="J53" s="28">
        <v>2856</v>
      </c>
      <c r="K53" s="22">
        <f t="shared" si="6"/>
        <v>565</v>
      </c>
      <c r="L53" s="22">
        <f t="shared" si="7"/>
        <v>33</v>
      </c>
      <c r="M53" s="28">
        <f t="shared" si="8"/>
        <v>1358</v>
      </c>
      <c r="N53" s="24">
        <v>-1156</v>
      </c>
      <c r="O53" s="28">
        <v>2614</v>
      </c>
      <c r="P53" s="22">
        <f t="shared" si="9"/>
        <v>452</v>
      </c>
      <c r="Q53" s="36"/>
      <c r="R53" s="30"/>
    </row>
    <row r="54" spans="1:18" ht="15.75" customHeight="1" x14ac:dyDescent="0.2">
      <c r="A54" s="37">
        <v>45748</v>
      </c>
      <c r="B54" s="22">
        <f t="shared" si="1"/>
        <v>34</v>
      </c>
      <c r="C54" s="28">
        <f t="shared" si="2"/>
        <v>1349</v>
      </c>
      <c r="D54" s="24">
        <v>-1526</v>
      </c>
      <c r="E54" s="28">
        <v>2985</v>
      </c>
      <c r="F54" s="22">
        <f t="shared" si="3"/>
        <v>516</v>
      </c>
      <c r="G54" s="22">
        <f t="shared" si="4"/>
        <v>34</v>
      </c>
      <c r="H54" s="28">
        <f t="shared" si="5"/>
        <v>1224</v>
      </c>
      <c r="I54" s="24">
        <v>-1532</v>
      </c>
      <c r="J54" s="28">
        <v>2856</v>
      </c>
      <c r="K54" s="22">
        <f t="shared" si="6"/>
        <v>571</v>
      </c>
      <c r="L54" s="22">
        <f t="shared" si="7"/>
        <v>34</v>
      </c>
      <c r="M54" s="28">
        <f t="shared" si="8"/>
        <v>1348</v>
      </c>
      <c r="N54" s="24">
        <v>-1166</v>
      </c>
      <c r="O54" s="28">
        <v>2614</v>
      </c>
      <c r="P54" s="22">
        <f t="shared" si="9"/>
        <v>462</v>
      </c>
      <c r="Q54" s="36"/>
      <c r="R54" s="30"/>
    </row>
    <row r="55" spans="1:18" ht="15.75" customHeight="1" x14ac:dyDescent="0.2">
      <c r="A55" s="37">
        <v>45749</v>
      </c>
      <c r="B55" s="22">
        <f t="shared" si="1"/>
        <v>35</v>
      </c>
      <c r="C55" s="28">
        <f t="shared" si="2"/>
        <v>1343</v>
      </c>
      <c r="D55" s="24">
        <v>-1532</v>
      </c>
      <c r="E55" s="28">
        <v>2985</v>
      </c>
      <c r="F55" s="22">
        <f t="shared" si="3"/>
        <v>522</v>
      </c>
      <c r="G55" s="22">
        <f t="shared" si="4"/>
        <v>35</v>
      </c>
      <c r="H55" s="28">
        <f t="shared" si="5"/>
        <v>1218</v>
      </c>
      <c r="I55" s="24">
        <v>-1538</v>
      </c>
      <c r="J55" s="28">
        <v>2856</v>
      </c>
      <c r="K55" s="22">
        <f t="shared" si="6"/>
        <v>577</v>
      </c>
      <c r="L55" s="22">
        <f t="shared" si="7"/>
        <v>35</v>
      </c>
      <c r="M55" s="28">
        <f t="shared" si="8"/>
        <v>1342</v>
      </c>
      <c r="N55" s="24">
        <v>-1172</v>
      </c>
      <c r="O55" s="28">
        <v>2614</v>
      </c>
      <c r="P55" s="22">
        <f t="shared" si="9"/>
        <v>468</v>
      </c>
      <c r="Q55" s="36"/>
      <c r="R55" s="30"/>
    </row>
    <row r="56" spans="1:18" ht="15.75" customHeight="1" x14ac:dyDescent="0.2">
      <c r="A56" s="37">
        <v>45750</v>
      </c>
      <c r="B56" s="22">
        <f t="shared" si="1"/>
        <v>36</v>
      </c>
      <c r="C56" s="28">
        <f t="shared" si="2"/>
        <v>1334</v>
      </c>
      <c r="D56" s="24">
        <v>-1541</v>
      </c>
      <c r="E56" s="28">
        <v>2985</v>
      </c>
      <c r="F56" s="22">
        <f t="shared" si="3"/>
        <v>531</v>
      </c>
      <c r="G56" s="22">
        <f t="shared" si="4"/>
        <v>36</v>
      </c>
      <c r="H56" s="28">
        <f t="shared" si="5"/>
        <v>1207</v>
      </c>
      <c r="I56" s="24">
        <v>-1549</v>
      </c>
      <c r="J56" s="28">
        <v>2856</v>
      </c>
      <c r="K56" s="22">
        <f t="shared" si="6"/>
        <v>588</v>
      </c>
      <c r="L56" s="22">
        <f t="shared" si="7"/>
        <v>36</v>
      </c>
      <c r="M56" s="28">
        <f t="shared" si="8"/>
        <v>1336</v>
      </c>
      <c r="N56" s="24">
        <v>-1178</v>
      </c>
      <c r="O56" s="28">
        <v>2614</v>
      </c>
      <c r="P56" s="22">
        <f t="shared" si="9"/>
        <v>474</v>
      </c>
      <c r="Q56" s="36"/>
      <c r="R56" s="30"/>
    </row>
    <row r="57" spans="1:18" ht="15.75" customHeight="1" x14ac:dyDescent="0.2">
      <c r="A57" s="37">
        <v>45751</v>
      </c>
      <c r="B57" s="22">
        <f t="shared" si="1"/>
        <v>37</v>
      </c>
      <c r="C57" s="28">
        <f t="shared" si="2"/>
        <v>1325</v>
      </c>
      <c r="D57" s="24">
        <v>-1550</v>
      </c>
      <c r="E57" s="28">
        <v>2985</v>
      </c>
      <c r="F57" s="22">
        <f t="shared" si="3"/>
        <v>540</v>
      </c>
      <c r="G57" s="22">
        <f t="shared" si="4"/>
        <v>37</v>
      </c>
      <c r="H57" s="28">
        <f t="shared" si="5"/>
        <v>1196</v>
      </c>
      <c r="I57" s="24">
        <v>-1560</v>
      </c>
      <c r="J57" s="28">
        <v>2856</v>
      </c>
      <c r="K57" s="22">
        <f t="shared" si="6"/>
        <v>599</v>
      </c>
      <c r="L57" s="22">
        <f t="shared" si="7"/>
        <v>37</v>
      </c>
      <c r="M57" s="28">
        <f t="shared" si="8"/>
        <v>1329</v>
      </c>
      <c r="N57" s="24">
        <v>-1185</v>
      </c>
      <c r="O57" s="28">
        <v>2614</v>
      </c>
      <c r="P57" s="22">
        <f t="shared" si="9"/>
        <v>481</v>
      </c>
      <c r="Q57" s="36"/>
      <c r="R57" s="30"/>
    </row>
    <row r="58" spans="1:18" ht="15.75" customHeight="1" x14ac:dyDescent="0.2">
      <c r="A58" s="37">
        <v>45752</v>
      </c>
      <c r="B58" s="22">
        <f t="shared" si="1"/>
        <v>38</v>
      </c>
      <c r="C58" s="28">
        <f t="shared" si="2"/>
        <v>1317</v>
      </c>
      <c r="D58" s="24">
        <v>-1558</v>
      </c>
      <c r="E58" s="28">
        <v>2985</v>
      </c>
      <c r="F58" s="22">
        <f t="shared" si="3"/>
        <v>548</v>
      </c>
      <c r="G58" s="22">
        <f t="shared" si="4"/>
        <v>38</v>
      </c>
      <c r="H58" s="28">
        <f t="shared" si="5"/>
        <v>1186</v>
      </c>
      <c r="I58" s="24">
        <v>-1570</v>
      </c>
      <c r="J58" s="28">
        <v>2856</v>
      </c>
      <c r="K58" s="22">
        <f t="shared" si="6"/>
        <v>609</v>
      </c>
      <c r="L58" s="22">
        <f t="shared" si="7"/>
        <v>38</v>
      </c>
      <c r="M58" s="28">
        <f t="shared" si="8"/>
        <v>1323</v>
      </c>
      <c r="N58" s="24">
        <v>-1191</v>
      </c>
      <c r="O58" s="28">
        <v>2614</v>
      </c>
      <c r="P58" s="22">
        <f t="shared" si="9"/>
        <v>487</v>
      </c>
      <c r="Q58" s="36"/>
      <c r="R58" s="30"/>
    </row>
    <row r="59" spans="1:18" ht="15.75" customHeight="1" x14ac:dyDescent="0.2">
      <c r="A59" s="37">
        <v>45753</v>
      </c>
      <c r="B59" s="22">
        <f t="shared" si="1"/>
        <v>39</v>
      </c>
      <c r="C59" s="28">
        <f t="shared" si="2"/>
        <v>1309</v>
      </c>
      <c r="D59" s="24">
        <v>-1566</v>
      </c>
      <c r="E59" s="28">
        <v>2985</v>
      </c>
      <c r="F59" s="22">
        <f t="shared" si="3"/>
        <v>556</v>
      </c>
      <c r="G59" s="22">
        <f t="shared" si="4"/>
        <v>39</v>
      </c>
      <c r="H59" s="28">
        <f t="shared" si="5"/>
        <v>1177</v>
      </c>
      <c r="I59" s="24">
        <v>-1579</v>
      </c>
      <c r="J59" s="28">
        <v>2856</v>
      </c>
      <c r="K59" s="22">
        <f t="shared" si="6"/>
        <v>618</v>
      </c>
      <c r="L59" s="22">
        <f t="shared" si="7"/>
        <v>39</v>
      </c>
      <c r="M59" s="28">
        <f t="shared" si="8"/>
        <v>1317</v>
      </c>
      <c r="N59" s="24">
        <v>-1197</v>
      </c>
      <c r="O59" s="28">
        <v>2614</v>
      </c>
      <c r="P59" s="22">
        <f t="shared" si="9"/>
        <v>493</v>
      </c>
      <c r="Q59" s="36"/>
      <c r="R59" s="30"/>
    </row>
    <row r="60" spans="1:18" ht="15.75" customHeight="1" x14ac:dyDescent="0.2">
      <c r="A60" s="37">
        <v>45754</v>
      </c>
      <c r="B60" s="22">
        <f t="shared" si="1"/>
        <v>40</v>
      </c>
      <c r="C60" s="28">
        <f t="shared" si="2"/>
        <v>1303</v>
      </c>
      <c r="D60" s="24">
        <v>-1572</v>
      </c>
      <c r="E60" s="28">
        <v>2985</v>
      </c>
      <c r="F60" s="22">
        <f t="shared" si="3"/>
        <v>562</v>
      </c>
      <c r="G60" s="22">
        <f t="shared" si="4"/>
        <v>40</v>
      </c>
      <c r="H60" s="28">
        <f t="shared" si="5"/>
        <v>1169</v>
      </c>
      <c r="I60" s="24">
        <v>-1587</v>
      </c>
      <c r="J60" s="28">
        <v>2856</v>
      </c>
      <c r="K60" s="22">
        <f t="shared" si="6"/>
        <v>626</v>
      </c>
      <c r="L60" s="22">
        <f t="shared" si="7"/>
        <v>40</v>
      </c>
      <c r="M60" s="28">
        <f t="shared" si="8"/>
        <v>1309</v>
      </c>
      <c r="N60" s="24">
        <v>-1205</v>
      </c>
      <c r="O60" s="28">
        <v>2614</v>
      </c>
      <c r="P60" s="22">
        <f t="shared" si="9"/>
        <v>501</v>
      </c>
      <c r="Q60" s="36"/>
      <c r="R60" s="30"/>
    </row>
    <row r="61" spans="1:18" ht="15.75" customHeight="1" x14ac:dyDescent="0.2">
      <c r="A61" s="37">
        <v>45755</v>
      </c>
      <c r="B61" s="22">
        <f t="shared" si="1"/>
        <v>41</v>
      </c>
      <c r="C61" s="28">
        <f t="shared" si="2"/>
        <v>1290</v>
      </c>
      <c r="D61" s="24">
        <v>-1585</v>
      </c>
      <c r="E61" s="28">
        <v>2985</v>
      </c>
      <c r="F61" s="22">
        <f t="shared" si="3"/>
        <v>575</v>
      </c>
      <c r="G61" s="22">
        <f t="shared" si="4"/>
        <v>41</v>
      </c>
      <c r="H61" s="28">
        <f t="shared" si="5"/>
        <v>1161</v>
      </c>
      <c r="I61" s="24">
        <v>-1595</v>
      </c>
      <c r="J61" s="28">
        <v>2856</v>
      </c>
      <c r="K61" s="22">
        <f t="shared" si="6"/>
        <v>634</v>
      </c>
      <c r="L61" s="22">
        <f t="shared" si="7"/>
        <v>41</v>
      </c>
      <c r="M61" s="28">
        <f t="shared" si="8"/>
        <v>1299</v>
      </c>
      <c r="N61" s="24">
        <v>-1215</v>
      </c>
      <c r="O61" s="28">
        <v>2614</v>
      </c>
      <c r="P61" s="22">
        <f t="shared" si="9"/>
        <v>511</v>
      </c>
      <c r="Q61" s="36"/>
      <c r="R61" s="30"/>
    </row>
    <row r="62" spans="1:18" ht="15.75" customHeight="1" x14ac:dyDescent="0.2">
      <c r="A62" s="37">
        <v>45756</v>
      </c>
      <c r="B62" s="22">
        <f t="shared" si="1"/>
        <v>42</v>
      </c>
      <c r="C62" s="28">
        <f t="shared" si="2"/>
        <v>1278</v>
      </c>
      <c r="D62" s="24">
        <v>-1597</v>
      </c>
      <c r="E62" s="28">
        <v>2985</v>
      </c>
      <c r="F62" s="22">
        <f t="shared" si="3"/>
        <v>587</v>
      </c>
      <c r="G62" s="22">
        <f t="shared" si="4"/>
        <v>42</v>
      </c>
      <c r="H62" s="28">
        <f t="shared" si="5"/>
        <v>1152</v>
      </c>
      <c r="I62" s="24">
        <v>-1604</v>
      </c>
      <c r="J62" s="28">
        <v>2856</v>
      </c>
      <c r="K62" s="22">
        <f t="shared" si="6"/>
        <v>643</v>
      </c>
      <c r="L62" s="22">
        <f t="shared" si="7"/>
        <v>42</v>
      </c>
      <c r="M62" s="28">
        <f t="shared" si="8"/>
        <v>1290</v>
      </c>
      <c r="N62" s="24">
        <v>-1224</v>
      </c>
      <c r="O62" s="28">
        <v>2614</v>
      </c>
      <c r="P62" s="22">
        <f t="shared" si="9"/>
        <v>520</v>
      </c>
      <c r="Q62" s="36"/>
      <c r="R62" s="30"/>
    </row>
    <row r="63" spans="1:18" ht="15.75" customHeight="1" x14ac:dyDescent="0.2">
      <c r="A63" s="37">
        <v>45757</v>
      </c>
      <c r="B63" s="22">
        <f t="shared" si="1"/>
        <v>43</v>
      </c>
      <c r="C63" s="28">
        <f t="shared" si="2"/>
        <v>1270</v>
      </c>
      <c r="D63" s="24">
        <v>-1605</v>
      </c>
      <c r="E63" s="28">
        <v>2985</v>
      </c>
      <c r="F63" s="22">
        <f t="shared" si="3"/>
        <v>595</v>
      </c>
      <c r="G63" s="22">
        <f t="shared" si="4"/>
        <v>43</v>
      </c>
      <c r="H63" s="28">
        <f t="shared" si="5"/>
        <v>1144</v>
      </c>
      <c r="I63" s="24">
        <v>-1612</v>
      </c>
      <c r="J63" s="28">
        <v>2856</v>
      </c>
      <c r="K63" s="22">
        <f t="shared" si="6"/>
        <v>651</v>
      </c>
      <c r="L63" s="22">
        <f t="shared" si="7"/>
        <v>43</v>
      </c>
      <c r="M63" s="28">
        <f t="shared" si="8"/>
        <v>1283</v>
      </c>
      <c r="N63" s="24">
        <v>-1231</v>
      </c>
      <c r="O63" s="28">
        <v>2614</v>
      </c>
      <c r="P63" s="22">
        <f t="shared" si="9"/>
        <v>527</v>
      </c>
      <c r="Q63" s="36"/>
      <c r="R63" s="30"/>
    </row>
    <row r="64" spans="1:18" ht="15.75" customHeight="1" x14ac:dyDescent="0.2">
      <c r="A64" s="37">
        <v>45758</v>
      </c>
      <c r="B64" s="22">
        <f t="shared" si="1"/>
        <v>44</v>
      </c>
      <c r="C64" s="28">
        <f t="shared" si="2"/>
        <v>1267</v>
      </c>
      <c r="D64" s="24">
        <v>-1608</v>
      </c>
      <c r="E64" s="28">
        <v>2985</v>
      </c>
      <c r="F64" s="22">
        <f t="shared" si="3"/>
        <v>598</v>
      </c>
      <c r="G64" s="22">
        <f t="shared" si="4"/>
        <v>44</v>
      </c>
      <c r="H64" s="28">
        <f t="shared" si="5"/>
        <v>1136</v>
      </c>
      <c r="I64" s="24">
        <v>-1620</v>
      </c>
      <c r="J64" s="28">
        <v>2856</v>
      </c>
      <c r="K64" s="22">
        <f t="shared" si="6"/>
        <v>659</v>
      </c>
      <c r="L64" s="22">
        <f t="shared" si="7"/>
        <v>44</v>
      </c>
      <c r="M64" s="28">
        <f t="shared" si="8"/>
        <v>1279</v>
      </c>
      <c r="N64" s="24">
        <v>-1235</v>
      </c>
      <c r="O64" s="28">
        <v>2614</v>
      </c>
      <c r="P64" s="22">
        <f t="shared" si="9"/>
        <v>531</v>
      </c>
      <c r="Q64" s="36"/>
      <c r="R64" s="30"/>
    </row>
    <row r="65" spans="1:18" ht="15.75" customHeight="1" x14ac:dyDescent="0.2">
      <c r="A65" s="37">
        <v>45759</v>
      </c>
      <c r="B65" s="22">
        <f t="shared" si="1"/>
        <v>45</v>
      </c>
      <c r="C65" s="28">
        <f t="shared" si="2"/>
        <v>1265</v>
      </c>
      <c r="D65" s="24">
        <v>-1610</v>
      </c>
      <c r="E65" s="28">
        <v>2985</v>
      </c>
      <c r="F65" s="22">
        <f t="shared" si="3"/>
        <v>600</v>
      </c>
      <c r="G65" s="22">
        <f t="shared" si="4"/>
        <v>45</v>
      </c>
      <c r="H65" s="28">
        <f t="shared" si="5"/>
        <v>1132</v>
      </c>
      <c r="I65" s="24">
        <v>-1624</v>
      </c>
      <c r="J65" s="28">
        <v>2856</v>
      </c>
      <c r="K65" s="22">
        <f t="shared" si="6"/>
        <v>663</v>
      </c>
      <c r="L65" s="22">
        <f t="shared" si="7"/>
        <v>45</v>
      </c>
      <c r="M65" s="28">
        <f t="shared" si="8"/>
        <v>1275</v>
      </c>
      <c r="N65" s="24">
        <v>-1239</v>
      </c>
      <c r="O65" s="28">
        <v>2614</v>
      </c>
      <c r="P65" s="22">
        <f t="shared" si="9"/>
        <v>535</v>
      </c>
      <c r="Q65" s="36"/>
      <c r="R65" s="30"/>
    </row>
    <row r="66" spans="1:18" ht="15.75" customHeight="1" x14ac:dyDescent="0.2">
      <c r="A66" s="37">
        <v>45760</v>
      </c>
      <c r="B66" s="22">
        <f t="shared" si="1"/>
        <v>46</v>
      </c>
      <c r="C66" s="28">
        <f t="shared" si="2"/>
        <v>1262</v>
      </c>
      <c r="D66" s="24">
        <v>-1613</v>
      </c>
      <c r="E66" s="28">
        <v>2985</v>
      </c>
      <c r="F66" s="22">
        <f t="shared" si="3"/>
        <v>603</v>
      </c>
      <c r="G66" s="22">
        <f t="shared" si="4"/>
        <v>46</v>
      </c>
      <c r="H66" s="28">
        <f t="shared" si="5"/>
        <v>1129</v>
      </c>
      <c r="I66" s="24">
        <v>-1627</v>
      </c>
      <c r="J66" s="28">
        <v>2856</v>
      </c>
      <c r="K66" s="22">
        <f t="shared" si="6"/>
        <v>666</v>
      </c>
      <c r="L66" s="22">
        <f t="shared" si="7"/>
        <v>46</v>
      </c>
      <c r="M66" s="28">
        <f t="shared" si="8"/>
        <v>1272</v>
      </c>
      <c r="N66" s="24">
        <v>-1242</v>
      </c>
      <c r="O66" s="28">
        <v>2614</v>
      </c>
      <c r="P66" s="22">
        <f t="shared" si="9"/>
        <v>538</v>
      </c>
      <c r="Q66" s="36"/>
      <c r="R66" s="30"/>
    </row>
    <row r="67" spans="1:18" ht="15.75" customHeight="1" x14ac:dyDescent="0.2">
      <c r="A67" s="37">
        <v>45761</v>
      </c>
      <c r="B67" s="22">
        <f t="shared" si="1"/>
        <v>47</v>
      </c>
      <c r="C67" s="28">
        <f t="shared" si="2"/>
        <v>1257</v>
      </c>
      <c r="D67" s="24">
        <v>-1618</v>
      </c>
      <c r="E67" s="28">
        <v>2985</v>
      </c>
      <c r="F67" s="22">
        <f t="shared" si="3"/>
        <v>608</v>
      </c>
      <c r="G67" s="22">
        <f t="shared" si="4"/>
        <v>47</v>
      </c>
      <c r="H67" s="28">
        <f t="shared" si="5"/>
        <v>1126</v>
      </c>
      <c r="I67" s="24">
        <v>-1630</v>
      </c>
      <c r="J67" s="28">
        <v>2856</v>
      </c>
      <c r="K67" s="22">
        <f t="shared" si="6"/>
        <v>669</v>
      </c>
      <c r="L67" s="22">
        <f t="shared" si="7"/>
        <v>47</v>
      </c>
      <c r="M67" s="28">
        <f t="shared" si="8"/>
        <v>1269</v>
      </c>
      <c r="N67" s="24">
        <v>-1245</v>
      </c>
      <c r="O67" s="28">
        <v>2614</v>
      </c>
      <c r="P67" s="22">
        <f t="shared" si="9"/>
        <v>541</v>
      </c>
      <c r="Q67" s="36"/>
      <c r="R67" s="30"/>
    </row>
    <row r="68" spans="1:18" ht="15.75" customHeight="1" x14ac:dyDescent="0.2">
      <c r="A68" s="37">
        <v>45762</v>
      </c>
      <c r="B68" s="22">
        <f t="shared" si="1"/>
        <v>48</v>
      </c>
      <c r="C68" s="28">
        <f t="shared" si="2"/>
        <v>1252</v>
      </c>
      <c r="D68" s="24">
        <v>-1623</v>
      </c>
      <c r="E68" s="28">
        <v>2985</v>
      </c>
      <c r="F68" s="22">
        <f t="shared" si="3"/>
        <v>613</v>
      </c>
      <c r="G68" s="22">
        <f t="shared" si="4"/>
        <v>48</v>
      </c>
      <c r="H68" s="28">
        <f t="shared" si="5"/>
        <v>1123</v>
      </c>
      <c r="I68" s="24">
        <v>-1633</v>
      </c>
      <c r="J68" s="28">
        <v>2856</v>
      </c>
      <c r="K68" s="22">
        <f t="shared" si="6"/>
        <v>672</v>
      </c>
      <c r="L68" s="22">
        <f t="shared" si="7"/>
        <v>48</v>
      </c>
      <c r="M68" s="28">
        <f t="shared" si="8"/>
        <v>1266</v>
      </c>
      <c r="N68" s="24">
        <v>-1248</v>
      </c>
      <c r="O68" s="28">
        <v>2614</v>
      </c>
      <c r="P68" s="22">
        <f t="shared" si="9"/>
        <v>544</v>
      </c>
      <c r="Q68" s="36"/>
      <c r="R68" s="30"/>
    </row>
    <row r="69" spans="1:18" ht="15.75" customHeight="1" x14ac:dyDescent="0.2">
      <c r="A69" s="37">
        <v>45763</v>
      </c>
      <c r="B69" s="22">
        <f t="shared" si="1"/>
        <v>49</v>
      </c>
      <c r="C69" s="28">
        <f t="shared" si="2"/>
        <v>1239</v>
      </c>
      <c r="D69" s="24">
        <v>-1636</v>
      </c>
      <c r="E69" s="28">
        <v>2985</v>
      </c>
      <c r="F69" s="22">
        <f t="shared" si="3"/>
        <v>626</v>
      </c>
      <c r="G69" s="22">
        <f t="shared" si="4"/>
        <v>49</v>
      </c>
      <c r="H69" s="28">
        <f t="shared" si="5"/>
        <v>1114</v>
      </c>
      <c r="I69" s="24">
        <v>-1642</v>
      </c>
      <c r="J69" s="28">
        <v>2856</v>
      </c>
      <c r="K69" s="22">
        <f t="shared" si="6"/>
        <v>681</v>
      </c>
      <c r="L69" s="22">
        <f t="shared" si="7"/>
        <v>49</v>
      </c>
      <c r="M69" s="28">
        <f t="shared" si="8"/>
        <v>1254</v>
      </c>
      <c r="N69" s="24">
        <v>-1260</v>
      </c>
      <c r="O69" s="28">
        <v>2614</v>
      </c>
      <c r="P69" s="22">
        <f t="shared" si="9"/>
        <v>556</v>
      </c>
      <c r="Q69" s="36"/>
      <c r="R69" s="30"/>
    </row>
    <row r="70" spans="1:18" ht="15.75" customHeight="1" x14ac:dyDescent="0.2">
      <c r="A70" s="37">
        <v>45764</v>
      </c>
      <c r="B70" s="22">
        <f t="shared" si="1"/>
        <v>50</v>
      </c>
      <c r="C70" s="28">
        <f t="shared" si="2"/>
        <v>1225</v>
      </c>
      <c r="D70" s="24">
        <v>-1650</v>
      </c>
      <c r="E70" s="28">
        <v>2985</v>
      </c>
      <c r="F70" s="22">
        <f t="shared" si="3"/>
        <v>640</v>
      </c>
      <c r="G70" s="22">
        <f t="shared" si="4"/>
        <v>50</v>
      </c>
      <c r="H70" s="28">
        <f t="shared" si="5"/>
        <v>1101</v>
      </c>
      <c r="I70" s="24">
        <v>-1655</v>
      </c>
      <c r="J70" s="28">
        <v>2856</v>
      </c>
      <c r="K70" s="22">
        <f t="shared" si="6"/>
        <v>694</v>
      </c>
      <c r="L70" s="22">
        <f t="shared" si="7"/>
        <v>50</v>
      </c>
      <c r="M70" s="28">
        <f t="shared" si="8"/>
        <v>1242</v>
      </c>
      <c r="N70" s="24">
        <v>-1272</v>
      </c>
      <c r="O70" s="28">
        <v>2614</v>
      </c>
      <c r="P70" s="22">
        <f t="shared" si="9"/>
        <v>568</v>
      </c>
      <c r="Q70" s="36"/>
      <c r="R70" s="30"/>
    </row>
    <row r="71" spans="1:18" ht="15.75" customHeight="1" x14ac:dyDescent="0.2">
      <c r="A71" s="37">
        <v>45765</v>
      </c>
      <c r="B71" s="22">
        <f t="shared" si="1"/>
        <v>51</v>
      </c>
      <c r="C71" s="28">
        <f t="shared" si="2"/>
        <v>1221</v>
      </c>
      <c r="D71" s="24">
        <v>-1654</v>
      </c>
      <c r="E71" s="28">
        <v>2985</v>
      </c>
      <c r="F71" s="22">
        <f t="shared" si="3"/>
        <v>644</v>
      </c>
      <c r="G71" s="22">
        <f t="shared" si="4"/>
        <v>51</v>
      </c>
      <c r="H71" s="28">
        <f t="shared" si="5"/>
        <v>1096</v>
      </c>
      <c r="I71" s="24">
        <v>-1660</v>
      </c>
      <c r="J71" s="28">
        <v>2856</v>
      </c>
      <c r="K71" s="22">
        <f t="shared" si="6"/>
        <v>699</v>
      </c>
      <c r="L71" s="22">
        <f t="shared" si="7"/>
        <v>51</v>
      </c>
      <c r="M71" s="28">
        <f t="shared" si="8"/>
        <v>1239</v>
      </c>
      <c r="N71" s="24">
        <v>-1275</v>
      </c>
      <c r="O71" s="28">
        <v>2614</v>
      </c>
      <c r="P71" s="22">
        <f t="shared" si="9"/>
        <v>571</v>
      </c>
      <c r="Q71" s="36"/>
      <c r="R71" s="30"/>
    </row>
    <row r="72" spans="1:18" ht="15.75" customHeight="1" x14ac:dyDescent="0.2">
      <c r="A72" s="37">
        <v>45766</v>
      </c>
      <c r="B72" s="22">
        <f t="shared" si="1"/>
        <v>52</v>
      </c>
      <c r="C72" s="28">
        <f t="shared" si="2"/>
        <v>1217</v>
      </c>
      <c r="D72" s="24">
        <v>-1658</v>
      </c>
      <c r="E72" s="28">
        <v>2985</v>
      </c>
      <c r="F72" s="22">
        <f t="shared" si="3"/>
        <v>648</v>
      </c>
      <c r="G72" s="22">
        <f t="shared" si="4"/>
        <v>52</v>
      </c>
      <c r="H72" s="28">
        <f t="shared" si="5"/>
        <v>1090</v>
      </c>
      <c r="I72" s="24">
        <v>-1666</v>
      </c>
      <c r="J72" s="28">
        <v>2856</v>
      </c>
      <c r="K72" s="22">
        <f t="shared" si="6"/>
        <v>705</v>
      </c>
      <c r="L72" s="22">
        <f t="shared" si="7"/>
        <v>52</v>
      </c>
      <c r="M72" s="28">
        <f t="shared" si="8"/>
        <v>1236</v>
      </c>
      <c r="N72" s="24">
        <v>-1278</v>
      </c>
      <c r="O72" s="28">
        <v>2614</v>
      </c>
      <c r="P72" s="22">
        <f t="shared" si="9"/>
        <v>574</v>
      </c>
      <c r="Q72" s="36"/>
      <c r="R72" s="30"/>
    </row>
    <row r="73" spans="1:18" ht="15.75" customHeight="1" x14ac:dyDescent="0.2">
      <c r="A73" s="37">
        <v>45767</v>
      </c>
      <c r="B73" s="22">
        <f t="shared" si="1"/>
        <v>53</v>
      </c>
      <c r="C73" s="28">
        <f t="shared" si="2"/>
        <v>1214</v>
      </c>
      <c r="D73" s="24">
        <v>-1661</v>
      </c>
      <c r="E73" s="28">
        <v>2985</v>
      </c>
      <c r="F73" s="22">
        <f t="shared" si="3"/>
        <v>651</v>
      </c>
      <c r="G73" s="22">
        <f t="shared" si="4"/>
        <v>53</v>
      </c>
      <c r="H73" s="28">
        <f t="shared" si="5"/>
        <v>1086</v>
      </c>
      <c r="I73" s="24">
        <v>-1670</v>
      </c>
      <c r="J73" s="28">
        <v>2856</v>
      </c>
      <c r="K73" s="22">
        <f t="shared" si="6"/>
        <v>709</v>
      </c>
      <c r="L73" s="22">
        <f t="shared" si="7"/>
        <v>53</v>
      </c>
      <c r="M73" s="28">
        <f t="shared" si="8"/>
        <v>1232</v>
      </c>
      <c r="N73" s="24">
        <v>-1282</v>
      </c>
      <c r="O73" s="28">
        <v>2614</v>
      </c>
      <c r="P73" s="22">
        <f t="shared" si="9"/>
        <v>578</v>
      </c>
      <c r="Q73" s="36"/>
      <c r="R73" s="30"/>
    </row>
    <row r="74" spans="1:18" ht="15.75" customHeight="1" x14ac:dyDescent="0.2">
      <c r="A74" s="37">
        <v>45768</v>
      </c>
      <c r="B74" s="22">
        <f t="shared" si="1"/>
        <v>54</v>
      </c>
      <c r="C74" s="28">
        <f t="shared" si="2"/>
        <v>1211</v>
      </c>
      <c r="D74" s="24">
        <v>-1664</v>
      </c>
      <c r="E74" s="28">
        <v>2985</v>
      </c>
      <c r="F74" s="22">
        <f t="shared" si="3"/>
        <v>654</v>
      </c>
      <c r="G74" s="22">
        <f t="shared" si="4"/>
        <v>54</v>
      </c>
      <c r="H74" s="28">
        <f t="shared" si="5"/>
        <v>1084</v>
      </c>
      <c r="I74" s="24">
        <v>-1672</v>
      </c>
      <c r="J74" s="28">
        <v>2856</v>
      </c>
      <c r="K74" s="22">
        <f t="shared" si="6"/>
        <v>711</v>
      </c>
      <c r="L74" s="22">
        <f t="shared" si="7"/>
        <v>54</v>
      </c>
      <c r="M74" s="28">
        <f t="shared" si="8"/>
        <v>1228</v>
      </c>
      <c r="N74" s="24">
        <v>-1286</v>
      </c>
      <c r="O74" s="28">
        <v>2614</v>
      </c>
      <c r="P74" s="22">
        <f t="shared" si="9"/>
        <v>582</v>
      </c>
      <c r="Q74" s="36"/>
      <c r="R74" s="30"/>
    </row>
    <row r="75" spans="1:18" ht="15.75" customHeight="1" x14ac:dyDescent="0.2">
      <c r="A75" s="37">
        <v>45769</v>
      </c>
      <c r="B75" s="22">
        <f t="shared" si="1"/>
        <v>55</v>
      </c>
      <c r="C75" s="28">
        <f t="shared" si="2"/>
        <v>1209</v>
      </c>
      <c r="D75" s="24">
        <v>-1666</v>
      </c>
      <c r="E75" s="28">
        <v>2985</v>
      </c>
      <c r="F75" s="22">
        <f t="shared" si="3"/>
        <v>656</v>
      </c>
      <c r="G75" s="22">
        <f t="shared" si="4"/>
        <v>55</v>
      </c>
      <c r="H75" s="28">
        <f t="shared" si="5"/>
        <v>1082</v>
      </c>
      <c r="I75" s="24">
        <v>-1674</v>
      </c>
      <c r="J75" s="28">
        <v>2856</v>
      </c>
      <c r="K75" s="22">
        <f t="shared" si="6"/>
        <v>713</v>
      </c>
      <c r="L75" s="22">
        <f t="shared" si="7"/>
        <v>55</v>
      </c>
      <c r="M75" s="28">
        <f t="shared" si="8"/>
        <v>1227</v>
      </c>
      <c r="N75" s="24">
        <v>-1287</v>
      </c>
      <c r="O75" s="28">
        <v>2614</v>
      </c>
      <c r="P75" s="22">
        <f t="shared" si="9"/>
        <v>583</v>
      </c>
      <c r="Q75" s="36"/>
      <c r="R75" s="30"/>
    </row>
    <row r="76" spans="1:18" ht="15.75" customHeight="1" x14ac:dyDescent="0.2">
      <c r="A76" s="37">
        <v>45770</v>
      </c>
      <c r="B76" s="22">
        <f t="shared" si="1"/>
        <v>56</v>
      </c>
      <c r="C76" s="28">
        <f t="shared" si="2"/>
        <v>1207</v>
      </c>
      <c r="D76" s="24">
        <v>-1668</v>
      </c>
      <c r="E76" s="28">
        <v>2985</v>
      </c>
      <c r="F76" s="22">
        <f t="shared" si="3"/>
        <v>658</v>
      </c>
      <c r="G76" s="22">
        <f t="shared" si="4"/>
        <v>56</v>
      </c>
      <c r="H76" s="28">
        <f t="shared" si="5"/>
        <v>1079</v>
      </c>
      <c r="I76" s="24">
        <v>-1677</v>
      </c>
      <c r="J76" s="28">
        <v>2856</v>
      </c>
      <c r="K76" s="22">
        <f t="shared" si="6"/>
        <v>716</v>
      </c>
      <c r="L76" s="22">
        <f t="shared" si="7"/>
        <v>56</v>
      </c>
      <c r="M76" s="28">
        <f t="shared" si="8"/>
        <v>1225</v>
      </c>
      <c r="N76" s="24">
        <v>-1289</v>
      </c>
      <c r="O76" s="28">
        <v>2614</v>
      </c>
      <c r="P76" s="22">
        <f t="shared" si="9"/>
        <v>585</v>
      </c>
      <c r="Q76" s="36"/>
      <c r="R76" s="30"/>
    </row>
    <row r="77" spans="1:18" ht="15.75" customHeight="1" x14ac:dyDescent="0.2">
      <c r="A77" s="37">
        <v>45771</v>
      </c>
      <c r="B77" s="22">
        <f t="shared" si="1"/>
        <v>57</v>
      </c>
      <c r="C77" s="28">
        <f t="shared" si="2"/>
        <v>1205</v>
      </c>
      <c r="D77" s="24">
        <v>-1670</v>
      </c>
      <c r="E77" s="28">
        <v>2985</v>
      </c>
      <c r="F77" s="22">
        <f t="shared" si="3"/>
        <v>660</v>
      </c>
      <c r="G77" s="22">
        <f t="shared" si="4"/>
        <v>57</v>
      </c>
      <c r="H77" s="28">
        <f t="shared" si="5"/>
        <v>1075</v>
      </c>
      <c r="I77" s="24">
        <v>-1681</v>
      </c>
      <c r="J77" s="28">
        <v>2856</v>
      </c>
      <c r="K77" s="22">
        <f t="shared" si="6"/>
        <v>720</v>
      </c>
      <c r="L77" s="22">
        <f t="shared" si="7"/>
        <v>57</v>
      </c>
      <c r="M77" s="28">
        <f t="shared" si="8"/>
        <v>1223</v>
      </c>
      <c r="N77" s="24">
        <v>-1291</v>
      </c>
      <c r="O77" s="28">
        <v>2614</v>
      </c>
      <c r="P77" s="22">
        <f t="shared" si="9"/>
        <v>587</v>
      </c>
      <c r="Q77" s="36"/>
      <c r="R77" s="30"/>
    </row>
    <row r="78" spans="1:18" ht="15.75" customHeight="1" x14ac:dyDescent="0.2">
      <c r="A78" s="37">
        <v>45772</v>
      </c>
      <c r="B78" s="22">
        <f t="shared" si="1"/>
        <v>58</v>
      </c>
      <c r="C78" s="28">
        <f t="shared" si="2"/>
        <v>1201</v>
      </c>
      <c r="D78" s="24">
        <v>-1674</v>
      </c>
      <c r="E78" s="28">
        <v>2985</v>
      </c>
      <c r="F78" s="22">
        <f t="shared" si="3"/>
        <v>664</v>
      </c>
      <c r="G78" s="22">
        <f t="shared" si="4"/>
        <v>58</v>
      </c>
      <c r="H78" s="28">
        <f t="shared" si="5"/>
        <v>1068</v>
      </c>
      <c r="I78" s="24">
        <v>-1688</v>
      </c>
      <c r="J78" s="28">
        <v>2856</v>
      </c>
      <c r="K78" s="22">
        <f t="shared" si="6"/>
        <v>727</v>
      </c>
      <c r="L78" s="22">
        <f t="shared" si="7"/>
        <v>58</v>
      </c>
      <c r="M78" s="28">
        <f t="shared" si="8"/>
        <v>1220</v>
      </c>
      <c r="N78" s="24">
        <v>-1294</v>
      </c>
      <c r="O78" s="28">
        <v>2614</v>
      </c>
      <c r="P78" s="22">
        <f t="shared" si="9"/>
        <v>590</v>
      </c>
      <c r="Q78" s="36"/>
      <c r="R78" s="30"/>
    </row>
    <row r="79" spans="1:18" ht="15.75" customHeight="1" x14ac:dyDescent="0.2">
      <c r="A79" s="37">
        <v>45773</v>
      </c>
      <c r="B79" s="22">
        <f t="shared" si="1"/>
        <v>59</v>
      </c>
      <c r="C79" s="28">
        <f t="shared" si="2"/>
        <v>1198</v>
      </c>
      <c r="D79" s="24">
        <v>-1677</v>
      </c>
      <c r="E79" s="28">
        <v>2985</v>
      </c>
      <c r="F79" s="22">
        <f t="shared" si="3"/>
        <v>667</v>
      </c>
      <c r="G79" s="22">
        <f t="shared" si="4"/>
        <v>59</v>
      </c>
      <c r="H79" s="28">
        <f t="shared" si="5"/>
        <v>1060</v>
      </c>
      <c r="I79" s="24">
        <v>-1696</v>
      </c>
      <c r="J79" s="28">
        <v>2856</v>
      </c>
      <c r="K79" s="22">
        <f t="shared" si="6"/>
        <v>735</v>
      </c>
      <c r="L79" s="22">
        <f t="shared" si="7"/>
        <v>59</v>
      </c>
      <c r="M79" s="28">
        <f t="shared" si="8"/>
        <v>1218</v>
      </c>
      <c r="N79" s="24">
        <v>-1296</v>
      </c>
      <c r="O79" s="28">
        <v>2614</v>
      </c>
      <c r="P79" s="22">
        <f t="shared" si="9"/>
        <v>592</v>
      </c>
      <c r="Q79" s="36"/>
      <c r="R79" s="30"/>
    </row>
    <row r="80" spans="1:18" ht="15.75" customHeight="1" x14ac:dyDescent="0.2">
      <c r="A80" s="37">
        <v>45774</v>
      </c>
      <c r="B80" s="22">
        <f t="shared" si="1"/>
        <v>60</v>
      </c>
      <c r="C80" s="28">
        <f t="shared" si="2"/>
        <v>1205</v>
      </c>
      <c r="D80" s="24">
        <v>-1670</v>
      </c>
      <c r="E80" s="28">
        <v>2985</v>
      </c>
      <c r="F80" s="22">
        <f t="shared" si="3"/>
        <v>660</v>
      </c>
      <c r="G80" s="22">
        <f t="shared" si="4"/>
        <v>60</v>
      </c>
      <c r="H80" s="28">
        <f t="shared" si="5"/>
        <v>1052</v>
      </c>
      <c r="I80" s="24">
        <v>-1704</v>
      </c>
      <c r="J80" s="28">
        <v>2856</v>
      </c>
      <c r="K80" s="22">
        <f t="shared" si="6"/>
        <v>743</v>
      </c>
      <c r="L80" s="22">
        <f t="shared" si="7"/>
        <v>60</v>
      </c>
      <c r="M80" s="28">
        <f t="shared" si="8"/>
        <v>1216</v>
      </c>
      <c r="N80" s="24">
        <v>-1298</v>
      </c>
      <c r="O80" s="28">
        <v>2614</v>
      </c>
      <c r="P80" s="22">
        <f t="shared" si="9"/>
        <v>594</v>
      </c>
      <c r="Q80" s="36"/>
      <c r="R80" s="30"/>
    </row>
    <row r="81" spans="1:18" ht="15.75" customHeight="1" x14ac:dyDescent="0.2">
      <c r="A81" s="37">
        <v>45775</v>
      </c>
      <c r="B81" s="22">
        <f t="shared" si="1"/>
        <v>61</v>
      </c>
      <c r="C81" s="28">
        <f t="shared" si="2"/>
        <v>1201</v>
      </c>
      <c r="D81" s="24">
        <v>-1674</v>
      </c>
      <c r="E81" s="28">
        <v>2985</v>
      </c>
      <c r="F81" s="22">
        <f t="shared" si="3"/>
        <v>664</v>
      </c>
      <c r="G81" s="22">
        <f t="shared" si="4"/>
        <v>61</v>
      </c>
      <c r="H81" s="28">
        <f t="shared" si="5"/>
        <v>1046</v>
      </c>
      <c r="I81" s="24">
        <v>-1710</v>
      </c>
      <c r="J81" s="28">
        <v>2856</v>
      </c>
      <c r="K81" s="22">
        <f t="shared" si="6"/>
        <v>749</v>
      </c>
      <c r="L81" s="22">
        <f t="shared" si="7"/>
        <v>61</v>
      </c>
      <c r="M81" s="28">
        <f t="shared" si="8"/>
        <v>1209</v>
      </c>
      <c r="N81" s="24">
        <v>-1305</v>
      </c>
      <c r="O81" s="28">
        <v>2614</v>
      </c>
      <c r="P81" s="22">
        <f t="shared" si="9"/>
        <v>601</v>
      </c>
      <c r="Q81" s="36"/>
      <c r="R81" s="30"/>
    </row>
    <row r="82" spans="1:18" ht="15.75" customHeight="1" x14ac:dyDescent="0.2">
      <c r="A82" s="37">
        <v>45776</v>
      </c>
      <c r="B82" s="22">
        <f t="shared" si="1"/>
        <v>62</v>
      </c>
      <c r="C82" s="28">
        <f t="shared" si="2"/>
        <v>1196</v>
      </c>
      <c r="D82" s="24">
        <v>-1679</v>
      </c>
      <c r="E82" s="28">
        <v>2985</v>
      </c>
      <c r="F82" s="22">
        <f t="shared" si="3"/>
        <v>669</v>
      </c>
      <c r="G82" s="22">
        <f t="shared" si="4"/>
        <v>62</v>
      </c>
      <c r="H82" s="28">
        <f t="shared" si="5"/>
        <v>1041</v>
      </c>
      <c r="I82" s="24">
        <v>-1715</v>
      </c>
      <c r="J82" s="28">
        <v>2856</v>
      </c>
      <c r="K82" s="22">
        <f t="shared" si="6"/>
        <v>754</v>
      </c>
      <c r="L82" s="22">
        <f t="shared" si="7"/>
        <v>62</v>
      </c>
      <c r="M82" s="28">
        <f t="shared" si="8"/>
        <v>1203</v>
      </c>
      <c r="N82" s="24">
        <v>-1311</v>
      </c>
      <c r="O82" s="28">
        <v>2614</v>
      </c>
      <c r="P82" s="22">
        <f t="shared" si="9"/>
        <v>607</v>
      </c>
      <c r="Q82" s="36"/>
      <c r="R82" s="30"/>
    </row>
    <row r="83" spans="1:18" ht="15.75" customHeight="1" x14ac:dyDescent="0.2">
      <c r="A83" s="37">
        <v>45777</v>
      </c>
      <c r="B83" s="22">
        <f t="shared" si="1"/>
        <v>63</v>
      </c>
      <c r="C83" s="28">
        <f t="shared" si="2"/>
        <v>1191</v>
      </c>
      <c r="D83" s="24">
        <v>-1684</v>
      </c>
      <c r="E83" s="28">
        <v>2985</v>
      </c>
      <c r="F83" s="22">
        <f t="shared" si="3"/>
        <v>674</v>
      </c>
      <c r="G83" s="22">
        <f t="shared" si="4"/>
        <v>63</v>
      </c>
      <c r="H83" s="28">
        <f t="shared" si="5"/>
        <v>1037</v>
      </c>
      <c r="I83" s="24">
        <v>-1719</v>
      </c>
      <c r="J83" s="28">
        <v>2856</v>
      </c>
      <c r="K83" s="22">
        <f t="shared" si="6"/>
        <v>758</v>
      </c>
      <c r="L83" s="22">
        <f t="shared" si="7"/>
        <v>63</v>
      </c>
      <c r="M83" s="28">
        <f t="shared" si="8"/>
        <v>1197</v>
      </c>
      <c r="N83" s="24">
        <v>-1317</v>
      </c>
      <c r="O83" s="28">
        <v>2614</v>
      </c>
      <c r="P83" s="22">
        <f t="shared" si="9"/>
        <v>613</v>
      </c>
      <c r="Q83" s="36"/>
      <c r="R83" s="30"/>
    </row>
    <row r="84" spans="1:18" ht="15.75" customHeight="1" x14ac:dyDescent="0.2">
      <c r="A84" s="37">
        <v>45778</v>
      </c>
      <c r="B84" s="22">
        <f t="shared" si="1"/>
        <v>64</v>
      </c>
      <c r="C84" s="28">
        <f t="shared" si="2"/>
        <v>1187</v>
      </c>
      <c r="D84" s="24">
        <v>-1688</v>
      </c>
      <c r="E84" s="28">
        <v>2985</v>
      </c>
      <c r="F84" s="22">
        <f t="shared" si="3"/>
        <v>678</v>
      </c>
      <c r="G84" s="22">
        <f t="shared" si="4"/>
        <v>64</v>
      </c>
      <c r="H84" s="28">
        <f t="shared" si="5"/>
        <v>1033</v>
      </c>
      <c r="I84" s="24">
        <v>-1723</v>
      </c>
      <c r="J84" s="28">
        <v>2856</v>
      </c>
      <c r="K84" s="22">
        <f t="shared" si="6"/>
        <v>762</v>
      </c>
      <c r="L84" s="22">
        <f t="shared" si="7"/>
        <v>64</v>
      </c>
      <c r="M84" s="28">
        <f t="shared" si="8"/>
        <v>1193</v>
      </c>
      <c r="N84" s="24">
        <v>-1321</v>
      </c>
      <c r="O84" s="28">
        <v>2614</v>
      </c>
      <c r="P84" s="22">
        <f t="shared" si="9"/>
        <v>617</v>
      </c>
      <c r="Q84" s="36"/>
      <c r="R84" s="30"/>
    </row>
    <row r="85" spans="1:18" ht="15.75" customHeight="1" x14ac:dyDescent="0.2">
      <c r="A85" s="37">
        <v>45779</v>
      </c>
      <c r="B85" s="22">
        <f t="shared" si="1"/>
        <v>65</v>
      </c>
      <c r="C85" s="28">
        <f t="shared" si="2"/>
        <v>1175</v>
      </c>
      <c r="D85" s="24">
        <v>-1700</v>
      </c>
      <c r="E85" s="28">
        <v>2985</v>
      </c>
      <c r="F85" s="22">
        <f t="shared" si="3"/>
        <v>690</v>
      </c>
      <c r="G85" s="22">
        <f t="shared" si="4"/>
        <v>65</v>
      </c>
      <c r="H85" s="28">
        <f t="shared" si="5"/>
        <v>1023</v>
      </c>
      <c r="I85" s="24">
        <v>-1733</v>
      </c>
      <c r="J85" s="28">
        <v>2856</v>
      </c>
      <c r="K85" s="22">
        <f t="shared" si="6"/>
        <v>772</v>
      </c>
      <c r="L85" s="22">
        <f t="shared" si="7"/>
        <v>65</v>
      </c>
      <c r="M85" s="28">
        <f t="shared" si="8"/>
        <v>1182</v>
      </c>
      <c r="N85" s="24">
        <v>-1332</v>
      </c>
      <c r="O85" s="28">
        <v>2614</v>
      </c>
      <c r="P85" s="22">
        <f t="shared" si="9"/>
        <v>628</v>
      </c>
      <c r="Q85" s="36"/>
      <c r="R85" s="30"/>
    </row>
    <row r="86" spans="1:18" ht="15.75" customHeight="1" x14ac:dyDescent="0.2">
      <c r="A86" s="37">
        <v>45780</v>
      </c>
      <c r="B86" s="22">
        <f t="shared" si="1"/>
        <v>66</v>
      </c>
      <c r="C86" s="28">
        <f t="shared" si="2"/>
        <v>1147</v>
      </c>
      <c r="D86" s="24">
        <v>-1728</v>
      </c>
      <c r="E86" s="28">
        <v>2985</v>
      </c>
      <c r="F86" s="22">
        <f t="shared" si="3"/>
        <v>718</v>
      </c>
      <c r="G86" s="22">
        <f t="shared" si="4"/>
        <v>66</v>
      </c>
      <c r="H86" s="28">
        <f t="shared" si="5"/>
        <v>1013</v>
      </c>
      <c r="I86" s="24">
        <v>-1743</v>
      </c>
      <c r="J86" s="28">
        <v>2856</v>
      </c>
      <c r="K86" s="22">
        <f t="shared" si="6"/>
        <v>782</v>
      </c>
      <c r="L86" s="22">
        <f t="shared" si="7"/>
        <v>66</v>
      </c>
      <c r="M86" s="28">
        <f t="shared" si="8"/>
        <v>1171</v>
      </c>
      <c r="N86" s="24">
        <v>-1343</v>
      </c>
      <c r="O86" s="28">
        <v>2614</v>
      </c>
      <c r="P86" s="22">
        <f t="shared" si="9"/>
        <v>639</v>
      </c>
      <c r="Q86" s="36"/>
      <c r="R86" s="30"/>
    </row>
    <row r="87" spans="1:18" ht="15.75" customHeight="1" x14ac:dyDescent="0.2">
      <c r="A87" s="37">
        <v>45781</v>
      </c>
      <c r="B87" s="22">
        <f t="shared" si="1"/>
        <v>67</v>
      </c>
      <c r="C87" s="28">
        <f t="shared" si="2"/>
        <v>1142</v>
      </c>
      <c r="D87" s="24">
        <v>-1733</v>
      </c>
      <c r="E87" s="28">
        <v>2985</v>
      </c>
      <c r="F87" s="22">
        <f t="shared" si="3"/>
        <v>723</v>
      </c>
      <c r="G87" s="22">
        <f t="shared" si="4"/>
        <v>67</v>
      </c>
      <c r="H87" s="28">
        <f t="shared" si="5"/>
        <v>1007</v>
      </c>
      <c r="I87" s="24">
        <v>-1749</v>
      </c>
      <c r="J87" s="28">
        <v>2856</v>
      </c>
      <c r="K87" s="22">
        <f t="shared" si="6"/>
        <v>788</v>
      </c>
      <c r="L87" s="22">
        <f t="shared" si="7"/>
        <v>67</v>
      </c>
      <c r="M87" s="28">
        <f t="shared" si="8"/>
        <v>1161</v>
      </c>
      <c r="N87" s="24">
        <v>-1353</v>
      </c>
      <c r="O87" s="28">
        <v>2614</v>
      </c>
      <c r="P87" s="22">
        <f t="shared" si="9"/>
        <v>649</v>
      </c>
      <c r="Q87" s="36"/>
      <c r="R87" s="30"/>
    </row>
    <row r="88" spans="1:18" ht="15.75" customHeight="1" x14ac:dyDescent="0.2">
      <c r="A88" s="37">
        <v>45782</v>
      </c>
      <c r="B88" s="22">
        <f t="shared" si="1"/>
        <v>68</v>
      </c>
      <c r="C88" s="28">
        <f t="shared" si="2"/>
        <v>1137</v>
      </c>
      <c r="D88" s="24">
        <v>-1738</v>
      </c>
      <c r="E88" s="28">
        <v>2985</v>
      </c>
      <c r="F88" s="22">
        <f t="shared" si="3"/>
        <v>728</v>
      </c>
      <c r="G88" s="22">
        <f t="shared" si="4"/>
        <v>68</v>
      </c>
      <c r="H88" s="28">
        <f t="shared" si="5"/>
        <v>1001</v>
      </c>
      <c r="I88" s="24">
        <v>-1755</v>
      </c>
      <c r="J88" s="28">
        <v>2856</v>
      </c>
      <c r="K88" s="22">
        <f t="shared" si="6"/>
        <v>794</v>
      </c>
      <c r="L88" s="22">
        <f t="shared" si="7"/>
        <v>68</v>
      </c>
      <c r="M88" s="28">
        <f t="shared" si="8"/>
        <v>1151</v>
      </c>
      <c r="N88" s="24">
        <v>-1363</v>
      </c>
      <c r="O88" s="28">
        <v>2614</v>
      </c>
      <c r="P88" s="22">
        <f t="shared" si="9"/>
        <v>659</v>
      </c>
      <c r="Q88" s="36"/>
      <c r="R88" s="30"/>
    </row>
    <row r="89" spans="1:18" ht="15.75" customHeight="1" x14ac:dyDescent="0.2">
      <c r="A89" s="37">
        <v>45783</v>
      </c>
      <c r="B89" s="22">
        <f t="shared" si="1"/>
        <v>69</v>
      </c>
      <c r="C89" s="28">
        <f t="shared" si="2"/>
        <v>1132</v>
      </c>
      <c r="D89" s="24">
        <v>-1743</v>
      </c>
      <c r="E89" s="28">
        <v>2985</v>
      </c>
      <c r="F89" s="22">
        <f t="shared" si="3"/>
        <v>733</v>
      </c>
      <c r="G89" s="22">
        <f t="shared" si="4"/>
        <v>69</v>
      </c>
      <c r="H89" s="28">
        <f t="shared" si="5"/>
        <v>995</v>
      </c>
      <c r="I89" s="24">
        <v>-1761</v>
      </c>
      <c r="J89" s="28">
        <v>2856</v>
      </c>
      <c r="K89" s="22">
        <f t="shared" si="6"/>
        <v>800</v>
      </c>
      <c r="L89" s="22">
        <f t="shared" si="7"/>
        <v>69</v>
      </c>
      <c r="M89" s="28">
        <f t="shared" si="8"/>
        <v>1144</v>
      </c>
      <c r="N89" s="24">
        <v>-1370</v>
      </c>
      <c r="O89" s="28">
        <v>2614</v>
      </c>
      <c r="P89" s="22">
        <f t="shared" si="9"/>
        <v>666</v>
      </c>
      <c r="Q89" s="36"/>
      <c r="R89" s="30"/>
    </row>
    <row r="90" spans="1:18" ht="15.75" customHeight="1" x14ac:dyDescent="0.2">
      <c r="A90" s="37">
        <v>45784</v>
      </c>
      <c r="B90" s="22">
        <f t="shared" si="1"/>
        <v>70</v>
      </c>
      <c r="C90" s="28">
        <f t="shared" si="2"/>
        <v>1127</v>
      </c>
      <c r="D90" s="24">
        <v>-1748</v>
      </c>
      <c r="E90" s="28">
        <v>2985</v>
      </c>
      <c r="F90" s="22">
        <f t="shared" si="3"/>
        <v>738</v>
      </c>
      <c r="G90" s="22">
        <f t="shared" si="4"/>
        <v>70</v>
      </c>
      <c r="H90" s="28">
        <f t="shared" si="5"/>
        <v>989</v>
      </c>
      <c r="I90" s="24">
        <v>-1767</v>
      </c>
      <c r="J90" s="28">
        <v>2856</v>
      </c>
      <c r="K90" s="22">
        <f t="shared" si="6"/>
        <v>806</v>
      </c>
      <c r="L90" s="22">
        <f t="shared" si="7"/>
        <v>70</v>
      </c>
      <c r="M90" s="28">
        <f t="shared" si="8"/>
        <v>1141</v>
      </c>
      <c r="N90" s="24">
        <v>-1373</v>
      </c>
      <c r="O90" s="28">
        <v>2614</v>
      </c>
      <c r="P90" s="22">
        <f t="shared" si="9"/>
        <v>669</v>
      </c>
      <c r="Q90" s="36"/>
      <c r="R90" s="30"/>
    </row>
    <row r="91" spans="1:18" ht="15.75" customHeight="1" x14ac:dyDescent="0.2">
      <c r="A91" s="37">
        <v>45785</v>
      </c>
      <c r="B91" s="22">
        <f t="shared" si="1"/>
        <v>71</v>
      </c>
      <c r="C91" s="28">
        <f t="shared" si="2"/>
        <v>1126</v>
      </c>
      <c r="D91" s="24">
        <v>-1749</v>
      </c>
      <c r="E91" s="28">
        <v>2985</v>
      </c>
      <c r="F91" s="22">
        <f t="shared" si="3"/>
        <v>739</v>
      </c>
      <c r="G91" s="22">
        <f t="shared" si="4"/>
        <v>71</v>
      </c>
      <c r="H91" s="28">
        <f t="shared" si="5"/>
        <v>985</v>
      </c>
      <c r="I91" s="24">
        <v>-1771</v>
      </c>
      <c r="J91" s="28">
        <v>2856</v>
      </c>
      <c r="K91" s="22">
        <f t="shared" si="6"/>
        <v>810</v>
      </c>
      <c r="L91" s="22">
        <f t="shared" si="7"/>
        <v>71</v>
      </c>
      <c r="M91" s="28">
        <f t="shared" si="8"/>
        <v>1139</v>
      </c>
      <c r="N91" s="24">
        <v>-1375</v>
      </c>
      <c r="O91" s="28">
        <v>2614</v>
      </c>
      <c r="P91" s="22">
        <f t="shared" si="9"/>
        <v>671</v>
      </c>
      <c r="Q91" s="36"/>
      <c r="R91" s="30"/>
    </row>
    <row r="92" spans="1:18" ht="15" customHeight="1" x14ac:dyDescent="0.2">
      <c r="A92" s="37">
        <v>45786</v>
      </c>
      <c r="B92" s="22">
        <f t="shared" si="1"/>
        <v>72</v>
      </c>
      <c r="C92" s="28">
        <f t="shared" si="2"/>
        <v>1125</v>
      </c>
      <c r="D92" s="24">
        <v>-1750</v>
      </c>
      <c r="E92" s="28">
        <v>2985</v>
      </c>
      <c r="F92" s="22">
        <f t="shared" si="3"/>
        <v>740</v>
      </c>
      <c r="G92" s="22">
        <f t="shared" si="4"/>
        <v>72</v>
      </c>
      <c r="H92" s="28">
        <f t="shared" si="5"/>
        <v>984</v>
      </c>
      <c r="I92" s="24">
        <v>-1772</v>
      </c>
      <c r="J92" s="28">
        <v>2856</v>
      </c>
      <c r="K92" s="22">
        <f t="shared" si="6"/>
        <v>811</v>
      </c>
      <c r="L92" s="22">
        <f t="shared" si="7"/>
        <v>72</v>
      </c>
      <c r="M92" s="28">
        <f t="shared" si="8"/>
        <v>1137</v>
      </c>
      <c r="N92" s="24">
        <v>-1377</v>
      </c>
      <c r="O92" s="28">
        <v>2614</v>
      </c>
      <c r="P92" s="22">
        <f t="shared" si="9"/>
        <v>673</v>
      </c>
      <c r="Q92" s="36"/>
      <c r="R92" s="30"/>
    </row>
    <row r="93" spans="1:18" ht="15" customHeight="1" x14ac:dyDescent="0.2">
      <c r="A93" s="37">
        <v>45787</v>
      </c>
      <c r="B93" s="22">
        <f t="shared" si="1"/>
        <v>73</v>
      </c>
      <c r="C93" s="28">
        <f t="shared" si="2"/>
        <v>1124</v>
      </c>
      <c r="D93" s="24">
        <v>-1751</v>
      </c>
      <c r="E93" s="28">
        <v>2985</v>
      </c>
      <c r="F93" s="22">
        <f t="shared" si="3"/>
        <v>741</v>
      </c>
      <c r="G93" s="22">
        <f t="shared" si="4"/>
        <v>73</v>
      </c>
      <c r="H93" s="28">
        <f t="shared" si="5"/>
        <v>983</v>
      </c>
      <c r="I93" s="24">
        <v>-1773</v>
      </c>
      <c r="J93" s="28">
        <v>2856</v>
      </c>
      <c r="K93" s="22">
        <f t="shared" si="6"/>
        <v>812</v>
      </c>
      <c r="L93" s="22">
        <f t="shared" si="7"/>
        <v>73</v>
      </c>
      <c r="M93" s="28">
        <f t="shared" si="8"/>
        <v>1135</v>
      </c>
      <c r="N93" s="24">
        <v>-1379</v>
      </c>
      <c r="O93" s="28">
        <v>2614</v>
      </c>
      <c r="P93" s="22">
        <f t="shared" si="9"/>
        <v>675</v>
      </c>
      <c r="Q93" s="36"/>
      <c r="R93" s="30"/>
    </row>
    <row r="94" spans="1:18" ht="15.75" customHeight="1" x14ac:dyDescent="0.2">
      <c r="A94" s="37">
        <v>45788</v>
      </c>
      <c r="B94" s="22">
        <f t="shared" si="1"/>
        <v>74</v>
      </c>
      <c r="C94" s="28">
        <f t="shared" si="2"/>
        <v>1122</v>
      </c>
      <c r="D94" s="24">
        <v>-1753</v>
      </c>
      <c r="E94" s="28">
        <v>2985</v>
      </c>
      <c r="F94" s="22">
        <f t="shared" si="3"/>
        <v>743</v>
      </c>
      <c r="G94" s="22">
        <f t="shared" si="4"/>
        <v>74</v>
      </c>
      <c r="H94" s="28">
        <f t="shared" si="5"/>
        <v>981</v>
      </c>
      <c r="I94" s="24">
        <v>-1775</v>
      </c>
      <c r="J94" s="28">
        <v>2856</v>
      </c>
      <c r="K94" s="22">
        <f t="shared" si="6"/>
        <v>814</v>
      </c>
      <c r="L94" s="22">
        <f t="shared" si="7"/>
        <v>74</v>
      </c>
      <c r="M94" s="28">
        <f t="shared" si="8"/>
        <v>1133</v>
      </c>
      <c r="N94" s="24">
        <v>-1381</v>
      </c>
      <c r="O94" s="28">
        <v>2614</v>
      </c>
      <c r="P94" s="22">
        <f t="shared" si="9"/>
        <v>677</v>
      </c>
      <c r="Q94" s="36"/>
      <c r="R94" s="30"/>
    </row>
    <row r="95" spans="1:18" ht="15.75" customHeight="1" x14ac:dyDescent="0.2">
      <c r="A95" s="37">
        <v>45789</v>
      </c>
      <c r="B95" s="22">
        <f t="shared" si="1"/>
        <v>75</v>
      </c>
      <c r="C95" s="28">
        <f t="shared" si="2"/>
        <v>1121</v>
      </c>
      <c r="D95" s="24">
        <v>-1754</v>
      </c>
      <c r="E95" s="28">
        <v>2985</v>
      </c>
      <c r="F95" s="22">
        <f t="shared" si="3"/>
        <v>744</v>
      </c>
      <c r="G95" s="22">
        <f t="shared" si="4"/>
        <v>75</v>
      </c>
      <c r="H95" s="28">
        <f t="shared" si="5"/>
        <v>977</v>
      </c>
      <c r="I95" s="24">
        <v>-1779</v>
      </c>
      <c r="J95" s="28">
        <v>2856</v>
      </c>
      <c r="K95" s="22">
        <f t="shared" si="6"/>
        <v>818</v>
      </c>
      <c r="L95" s="22">
        <f t="shared" si="7"/>
        <v>75</v>
      </c>
      <c r="M95" s="28">
        <f t="shared" si="8"/>
        <v>1131</v>
      </c>
      <c r="N95" s="24">
        <v>-1383</v>
      </c>
      <c r="O95" s="28">
        <v>2614</v>
      </c>
      <c r="P95" s="22">
        <f t="shared" si="9"/>
        <v>679</v>
      </c>
      <c r="Q95" s="36"/>
      <c r="R95" s="30"/>
    </row>
    <row r="96" spans="1:18" ht="15.75" customHeight="1" x14ac:dyDescent="0.2">
      <c r="A96" s="37">
        <v>45790</v>
      </c>
      <c r="B96" s="22">
        <f t="shared" si="1"/>
        <v>76</v>
      </c>
      <c r="C96" s="28">
        <f t="shared" si="2"/>
        <v>1099</v>
      </c>
      <c r="D96" s="24">
        <v>-1776</v>
      </c>
      <c r="E96" s="28">
        <v>2985</v>
      </c>
      <c r="F96" s="22">
        <f t="shared" si="3"/>
        <v>766</v>
      </c>
      <c r="G96" s="22">
        <f t="shared" si="4"/>
        <v>76</v>
      </c>
      <c r="H96" s="28">
        <f t="shared" si="5"/>
        <v>975</v>
      </c>
      <c r="I96" s="24">
        <v>-1781</v>
      </c>
      <c r="J96" s="28">
        <v>2856</v>
      </c>
      <c r="K96" s="22">
        <f t="shared" si="6"/>
        <v>820</v>
      </c>
      <c r="L96" s="22">
        <f t="shared" si="7"/>
        <v>76</v>
      </c>
      <c r="M96" s="28">
        <f t="shared" si="8"/>
        <v>1129</v>
      </c>
      <c r="N96" s="24">
        <v>-1385</v>
      </c>
      <c r="O96" s="28">
        <v>2614</v>
      </c>
      <c r="P96" s="22">
        <f t="shared" si="9"/>
        <v>681</v>
      </c>
      <c r="Q96" s="36"/>
      <c r="R96" s="30"/>
    </row>
    <row r="97" spans="1:18" ht="15.75" customHeight="1" x14ac:dyDescent="0.2">
      <c r="A97" s="37">
        <v>45791</v>
      </c>
      <c r="B97" s="22">
        <f t="shared" si="1"/>
        <v>77</v>
      </c>
      <c r="C97" s="28">
        <f t="shared" si="2"/>
        <v>1089</v>
      </c>
      <c r="D97" s="24">
        <v>-1786</v>
      </c>
      <c r="E97" s="28">
        <v>2985</v>
      </c>
      <c r="F97" s="22">
        <f t="shared" si="3"/>
        <v>776</v>
      </c>
      <c r="G97" s="22">
        <f t="shared" si="4"/>
        <v>77</v>
      </c>
      <c r="H97" s="28">
        <f t="shared" si="5"/>
        <v>961</v>
      </c>
      <c r="I97" s="24">
        <v>-1795</v>
      </c>
      <c r="J97" s="28">
        <v>2856</v>
      </c>
      <c r="K97" s="22">
        <f t="shared" si="6"/>
        <v>834</v>
      </c>
      <c r="L97" s="22">
        <f t="shared" si="7"/>
        <v>77</v>
      </c>
      <c r="M97" s="28">
        <f t="shared" si="8"/>
        <v>1124</v>
      </c>
      <c r="N97" s="24">
        <v>-1390</v>
      </c>
      <c r="O97" s="28">
        <v>2614</v>
      </c>
      <c r="P97" s="22">
        <f t="shared" si="9"/>
        <v>686</v>
      </c>
      <c r="Q97" s="36"/>
      <c r="R97" s="30"/>
    </row>
    <row r="98" spans="1:18" ht="15.75" customHeight="1" x14ac:dyDescent="0.2">
      <c r="A98" s="37">
        <v>45792</v>
      </c>
      <c r="B98" s="22">
        <f t="shared" si="1"/>
        <v>78</v>
      </c>
      <c r="C98" s="28">
        <f t="shared" si="2"/>
        <v>1085</v>
      </c>
      <c r="D98" s="24">
        <v>-1790</v>
      </c>
      <c r="E98" s="28">
        <v>2985</v>
      </c>
      <c r="F98" s="22">
        <f t="shared" si="3"/>
        <v>780</v>
      </c>
      <c r="G98" s="22">
        <f t="shared" si="4"/>
        <v>78</v>
      </c>
      <c r="H98" s="28">
        <f t="shared" si="5"/>
        <v>946</v>
      </c>
      <c r="I98" s="24">
        <v>-1810</v>
      </c>
      <c r="J98" s="28">
        <v>2856</v>
      </c>
      <c r="K98" s="22">
        <f t="shared" si="6"/>
        <v>849</v>
      </c>
      <c r="L98" s="22">
        <f t="shared" si="7"/>
        <v>78</v>
      </c>
      <c r="M98" s="28">
        <f t="shared" si="8"/>
        <v>1114</v>
      </c>
      <c r="N98" s="24">
        <v>-1400</v>
      </c>
      <c r="O98" s="28">
        <v>2614</v>
      </c>
      <c r="P98" s="22">
        <f t="shared" si="9"/>
        <v>696</v>
      </c>
      <c r="Q98" s="36"/>
      <c r="R98" s="30"/>
    </row>
    <row r="99" spans="1:18" ht="15.75" customHeight="1" x14ac:dyDescent="0.2">
      <c r="A99" s="37">
        <v>45793</v>
      </c>
      <c r="B99" s="22">
        <f t="shared" si="1"/>
        <v>79</v>
      </c>
      <c r="C99" s="28">
        <f t="shared" si="2"/>
        <v>1082</v>
      </c>
      <c r="D99" s="24">
        <v>-1793</v>
      </c>
      <c r="E99" s="28">
        <v>2985</v>
      </c>
      <c r="F99" s="22">
        <f t="shared" si="3"/>
        <v>783</v>
      </c>
      <c r="G99" s="22">
        <f t="shared" si="4"/>
        <v>79</v>
      </c>
      <c r="H99" s="28">
        <f t="shared" si="5"/>
        <v>941</v>
      </c>
      <c r="I99" s="24">
        <v>-1815</v>
      </c>
      <c r="J99" s="28">
        <v>2856</v>
      </c>
      <c r="K99" s="22">
        <f t="shared" si="6"/>
        <v>854</v>
      </c>
      <c r="L99" s="22">
        <f t="shared" si="7"/>
        <v>79</v>
      </c>
      <c r="M99" s="28">
        <f t="shared" si="8"/>
        <v>1106</v>
      </c>
      <c r="N99" s="24">
        <v>-1408</v>
      </c>
      <c r="O99" s="28">
        <v>2614</v>
      </c>
      <c r="P99" s="22">
        <f t="shared" si="9"/>
        <v>704</v>
      </c>
      <c r="Q99" s="36"/>
      <c r="R99" s="30"/>
    </row>
    <row r="100" spans="1:18" ht="15.75" customHeight="1" x14ac:dyDescent="0.2">
      <c r="A100" s="37">
        <v>45794</v>
      </c>
      <c r="B100" s="22">
        <f t="shared" si="1"/>
        <v>80</v>
      </c>
      <c r="C100" s="28">
        <f t="shared" si="2"/>
        <v>1079</v>
      </c>
      <c r="D100" s="24">
        <v>-1796</v>
      </c>
      <c r="E100" s="28">
        <v>2985</v>
      </c>
      <c r="F100" s="22">
        <f t="shared" si="3"/>
        <v>786</v>
      </c>
      <c r="G100" s="22">
        <f t="shared" si="4"/>
        <v>80</v>
      </c>
      <c r="H100" s="28">
        <f t="shared" si="5"/>
        <v>938</v>
      </c>
      <c r="I100" s="24">
        <v>-1818</v>
      </c>
      <c r="J100" s="28">
        <v>2856</v>
      </c>
      <c r="K100" s="22">
        <f t="shared" si="6"/>
        <v>857</v>
      </c>
      <c r="L100" s="22">
        <f t="shared" si="7"/>
        <v>80</v>
      </c>
      <c r="M100" s="28">
        <f t="shared" si="8"/>
        <v>1103</v>
      </c>
      <c r="N100" s="24">
        <v>-1411</v>
      </c>
      <c r="O100" s="28">
        <v>2614</v>
      </c>
      <c r="P100" s="22">
        <f t="shared" si="9"/>
        <v>707</v>
      </c>
      <c r="Q100" s="36"/>
      <c r="R100" s="30"/>
    </row>
    <row r="101" spans="1:18" ht="15.75" customHeight="1" x14ac:dyDescent="0.2">
      <c r="A101" s="37">
        <v>45795</v>
      </c>
      <c r="B101" s="22">
        <f t="shared" si="1"/>
        <v>81</v>
      </c>
      <c r="C101" s="28">
        <f t="shared" si="2"/>
        <v>1076</v>
      </c>
      <c r="D101" s="24">
        <v>-1799</v>
      </c>
      <c r="E101" s="28">
        <v>2985</v>
      </c>
      <c r="F101" s="22">
        <f t="shared" si="3"/>
        <v>789</v>
      </c>
      <c r="G101" s="22">
        <f t="shared" si="4"/>
        <v>81</v>
      </c>
      <c r="H101" s="28">
        <f t="shared" si="5"/>
        <v>935</v>
      </c>
      <c r="I101" s="24">
        <v>-1821</v>
      </c>
      <c r="J101" s="28">
        <v>2856</v>
      </c>
      <c r="K101" s="22">
        <f t="shared" si="6"/>
        <v>860</v>
      </c>
      <c r="L101" s="22">
        <f t="shared" si="7"/>
        <v>81</v>
      </c>
      <c r="M101" s="28">
        <f t="shared" si="8"/>
        <v>1100</v>
      </c>
      <c r="N101" s="24">
        <v>-1414</v>
      </c>
      <c r="O101" s="28">
        <v>2614</v>
      </c>
      <c r="P101" s="22">
        <f t="shared" si="9"/>
        <v>710</v>
      </c>
      <c r="Q101" s="36"/>
      <c r="R101" s="30"/>
    </row>
    <row r="102" spans="1:18" ht="15.75" customHeight="1" x14ac:dyDescent="0.2">
      <c r="A102" s="37">
        <v>45796</v>
      </c>
      <c r="B102" s="22">
        <f t="shared" si="1"/>
        <v>82</v>
      </c>
      <c r="C102" s="28">
        <f t="shared" si="2"/>
        <v>1074</v>
      </c>
      <c r="D102" s="24">
        <v>-1801</v>
      </c>
      <c r="E102" s="28">
        <v>2985</v>
      </c>
      <c r="F102" s="22">
        <f t="shared" si="3"/>
        <v>791</v>
      </c>
      <c r="G102" s="22">
        <f t="shared" si="4"/>
        <v>82</v>
      </c>
      <c r="H102" s="28">
        <f t="shared" si="5"/>
        <v>933</v>
      </c>
      <c r="I102" s="24">
        <v>-1823</v>
      </c>
      <c r="J102" s="28">
        <v>2856</v>
      </c>
      <c r="K102" s="22">
        <f t="shared" si="6"/>
        <v>862</v>
      </c>
      <c r="L102" s="22">
        <f t="shared" si="7"/>
        <v>82</v>
      </c>
      <c r="M102" s="28">
        <f t="shared" si="8"/>
        <v>1097</v>
      </c>
      <c r="N102" s="24">
        <v>-1417</v>
      </c>
      <c r="O102" s="28">
        <v>2614</v>
      </c>
      <c r="P102" s="22">
        <f t="shared" si="9"/>
        <v>713</v>
      </c>
      <c r="Q102" s="36"/>
      <c r="R102" s="30"/>
    </row>
    <row r="103" spans="1:18" ht="15.75" customHeight="1" x14ac:dyDescent="0.2">
      <c r="A103" s="37">
        <v>45797</v>
      </c>
      <c r="B103" s="22">
        <f t="shared" si="1"/>
        <v>83</v>
      </c>
      <c r="C103" s="28">
        <f t="shared" si="2"/>
        <v>1070</v>
      </c>
      <c r="D103" s="24">
        <v>-1805</v>
      </c>
      <c r="E103" s="28">
        <v>2985</v>
      </c>
      <c r="F103" s="22">
        <f t="shared" si="3"/>
        <v>795</v>
      </c>
      <c r="G103" s="22">
        <f t="shared" si="4"/>
        <v>83</v>
      </c>
      <c r="H103" s="28">
        <f t="shared" si="5"/>
        <v>929</v>
      </c>
      <c r="I103" s="24">
        <v>-1827</v>
      </c>
      <c r="J103" s="28">
        <v>2856</v>
      </c>
      <c r="K103" s="22">
        <f t="shared" si="6"/>
        <v>866</v>
      </c>
      <c r="L103" s="22">
        <f t="shared" si="7"/>
        <v>83</v>
      </c>
      <c r="M103" s="28">
        <f t="shared" si="8"/>
        <v>1094</v>
      </c>
      <c r="N103" s="24">
        <v>-1420</v>
      </c>
      <c r="O103" s="28">
        <v>2614</v>
      </c>
      <c r="P103" s="22">
        <f t="shared" si="9"/>
        <v>716</v>
      </c>
      <c r="Q103" s="36"/>
      <c r="R103" s="30"/>
    </row>
    <row r="104" spans="1:18" ht="15.75" customHeight="1" x14ac:dyDescent="0.2">
      <c r="A104" s="37">
        <v>45798</v>
      </c>
      <c r="B104" s="22">
        <f t="shared" si="1"/>
        <v>84</v>
      </c>
      <c r="C104" s="28">
        <f t="shared" si="2"/>
        <v>1066</v>
      </c>
      <c r="D104" s="24">
        <v>-1809</v>
      </c>
      <c r="E104" s="28">
        <v>2985</v>
      </c>
      <c r="F104" s="22">
        <f t="shared" si="3"/>
        <v>799</v>
      </c>
      <c r="G104" s="22">
        <f t="shared" si="4"/>
        <v>84</v>
      </c>
      <c r="H104" s="28">
        <f t="shared" si="5"/>
        <v>925</v>
      </c>
      <c r="I104" s="24">
        <v>-1831</v>
      </c>
      <c r="J104" s="28">
        <v>2856</v>
      </c>
      <c r="K104" s="22">
        <f t="shared" si="6"/>
        <v>870</v>
      </c>
      <c r="L104" s="22">
        <f t="shared" si="7"/>
        <v>84</v>
      </c>
      <c r="M104" s="28">
        <f t="shared" si="8"/>
        <v>1091</v>
      </c>
      <c r="N104" s="24">
        <v>-1423</v>
      </c>
      <c r="O104" s="28">
        <v>2614</v>
      </c>
      <c r="P104" s="22">
        <f t="shared" si="9"/>
        <v>719</v>
      </c>
      <c r="Q104" s="36"/>
      <c r="R104" s="30"/>
    </row>
    <row r="105" spans="1:18" ht="15.75" customHeight="1" x14ac:dyDescent="0.2">
      <c r="A105" s="37">
        <v>45799</v>
      </c>
      <c r="B105" s="22">
        <f t="shared" si="1"/>
        <v>85</v>
      </c>
      <c r="C105" s="28">
        <f t="shared" si="2"/>
        <v>1062</v>
      </c>
      <c r="D105" s="24">
        <v>-1813</v>
      </c>
      <c r="E105" s="28">
        <v>2985</v>
      </c>
      <c r="F105" s="22">
        <f t="shared" si="3"/>
        <v>803</v>
      </c>
      <c r="G105" s="22">
        <f t="shared" si="4"/>
        <v>85</v>
      </c>
      <c r="H105" s="28">
        <f t="shared" si="5"/>
        <v>921</v>
      </c>
      <c r="I105" s="24">
        <v>-1835</v>
      </c>
      <c r="J105" s="28">
        <v>2856</v>
      </c>
      <c r="K105" s="22">
        <f t="shared" si="6"/>
        <v>874</v>
      </c>
      <c r="L105" s="22">
        <f t="shared" si="7"/>
        <v>85</v>
      </c>
      <c r="M105" s="28">
        <f t="shared" si="8"/>
        <v>1088</v>
      </c>
      <c r="N105" s="24">
        <v>-1426</v>
      </c>
      <c r="O105" s="28">
        <v>2614</v>
      </c>
      <c r="P105" s="22">
        <f t="shared" si="9"/>
        <v>722</v>
      </c>
      <c r="Q105" s="36"/>
      <c r="R105" s="30"/>
    </row>
    <row r="106" spans="1:18" ht="15.75" customHeight="1" x14ac:dyDescent="0.2">
      <c r="A106" s="37">
        <v>45800</v>
      </c>
      <c r="B106" s="22">
        <f t="shared" si="1"/>
        <v>86</v>
      </c>
      <c r="C106" s="28">
        <f t="shared" si="2"/>
        <v>1058</v>
      </c>
      <c r="D106" s="24">
        <v>-1817</v>
      </c>
      <c r="E106" s="28">
        <v>2985</v>
      </c>
      <c r="F106" s="22">
        <f t="shared" si="3"/>
        <v>807</v>
      </c>
      <c r="G106" s="22">
        <f t="shared" si="4"/>
        <v>86</v>
      </c>
      <c r="H106" s="28">
        <f t="shared" si="5"/>
        <v>917</v>
      </c>
      <c r="I106" s="24">
        <v>-1839</v>
      </c>
      <c r="J106" s="28">
        <v>2856</v>
      </c>
      <c r="K106" s="22">
        <f t="shared" si="6"/>
        <v>878</v>
      </c>
      <c r="L106" s="22">
        <f t="shared" si="7"/>
        <v>86</v>
      </c>
      <c r="M106" s="28">
        <f t="shared" si="8"/>
        <v>1085</v>
      </c>
      <c r="N106" s="24">
        <v>-1429</v>
      </c>
      <c r="O106" s="28">
        <v>2614</v>
      </c>
      <c r="P106" s="22">
        <f t="shared" si="9"/>
        <v>725</v>
      </c>
      <c r="Q106" s="36"/>
      <c r="R106" s="30"/>
    </row>
    <row r="107" spans="1:18" ht="15.75" customHeight="1" x14ac:dyDescent="0.2">
      <c r="A107" s="37">
        <v>45801</v>
      </c>
      <c r="B107" s="22">
        <f t="shared" si="1"/>
        <v>87</v>
      </c>
      <c r="C107" s="28">
        <f t="shared" si="2"/>
        <v>1054</v>
      </c>
      <c r="D107" s="24">
        <v>-1821</v>
      </c>
      <c r="E107" s="28">
        <v>2985</v>
      </c>
      <c r="F107" s="22">
        <f t="shared" si="3"/>
        <v>811</v>
      </c>
      <c r="G107" s="22">
        <f t="shared" si="4"/>
        <v>87</v>
      </c>
      <c r="H107" s="28">
        <f t="shared" si="5"/>
        <v>913</v>
      </c>
      <c r="I107" s="24">
        <v>-1843</v>
      </c>
      <c r="J107" s="28">
        <v>2856</v>
      </c>
      <c r="K107" s="22">
        <f t="shared" si="6"/>
        <v>882</v>
      </c>
      <c r="L107" s="22">
        <f t="shared" si="7"/>
        <v>87</v>
      </c>
      <c r="M107" s="28">
        <f t="shared" si="8"/>
        <v>1082</v>
      </c>
      <c r="N107" s="24">
        <v>-1432</v>
      </c>
      <c r="O107" s="28">
        <v>2614</v>
      </c>
      <c r="P107" s="22">
        <f t="shared" si="9"/>
        <v>728</v>
      </c>
      <c r="Q107" s="36"/>
      <c r="R107" s="30"/>
    </row>
    <row r="108" spans="1:18" ht="15.75" customHeight="1" x14ac:dyDescent="0.2">
      <c r="A108" s="37">
        <v>45802</v>
      </c>
      <c r="B108" s="22">
        <f t="shared" si="1"/>
        <v>88</v>
      </c>
      <c r="C108" s="28">
        <f t="shared" si="2"/>
        <v>1050</v>
      </c>
      <c r="D108" s="24">
        <v>-1825</v>
      </c>
      <c r="E108" s="28">
        <v>2985</v>
      </c>
      <c r="F108" s="22">
        <f t="shared" si="3"/>
        <v>815</v>
      </c>
      <c r="G108" s="22">
        <f t="shared" si="4"/>
        <v>88</v>
      </c>
      <c r="H108" s="28">
        <f t="shared" si="5"/>
        <v>909</v>
      </c>
      <c r="I108" s="24">
        <v>-1847</v>
      </c>
      <c r="J108" s="28">
        <v>2856</v>
      </c>
      <c r="K108" s="22">
        <f t="shared" si="6"/>
        <v>886</v>
      </c>
      <c r="L108" s="22">
        <f t="shared" si="7"/>
        <v>88</v>
      </c>
      <c r="M108" s="28">
        <f t="shared" si="8"/>
        <v>1079</v>
      </c>
      <c r="N108" s="24">
        <v>-1435</v>
      </c>
      <c r="O108" s="28">
        <v>2614</v>
      </c>
      <c r="P108" s="22">
        <f t="shared" si="9"/>
        <v>731</v>
      </c>
      <c r="Q108" s="36"/>
      <c r="R108" s="30"/>
    </row>
    <row r="109" spans="1:18" ht="15.75" customHeight="1" x14ac:dyDescent="0.2">
      <c r="A109" s="37">
        <v>45803</v>
      </c>
      <c r="B109" s="22">
        <f t="shared" si="1"/>
        <v>89</v>
      </c>
      <c r="C109" s="28">
        <f t="shared" si="2"/>
        <v>1046</v>
      </c>
      <c r="D109" s="24">
        <v>-1829</v>
      </c>
      <c r="E109" s="28">
        <v>2985</v>
      </c>
      <c r="F109" s="22">
        <f t="shared" si="3"/>
        <v>819</v>
      </c>
      <c r="G109" s="22">
        <f t="shared" si="4"/>
        <v>89</v>
      </c>
      <c r="H109" s="28">
        <f t="shared" si="5"/>
        <v>905</v>
      </c>
      <c r="I109" s="24">
        <v>-1851</v>
      </c>
      <c r="J109" s="28">
        <v>2856</v>
      </c>
      <c r="K109" s="22">
        <f t="shared" si="6"/>
        <v>890</v>
      </c>
      <c r="L109" s="22">
        <f t="shared" si="7"/>
        <v>89</v>
      </c>
      <c r="M109" s="28">
        <f t="shared" si="8"/>
        <v>1076</v>
      </c>
      <c r="N109" s="24">
        <v>-1438</v>
      </c>
      <c r="O109" s="28">
        <v>2614</v>
      </c>
      <c r="P109" s="22">
        <f t="shared" si="9"/>
        <v>734</v>
      </c>
      <c r="Q109" s="36"/>
      <c r="R109" s="30"/>
    </row>
    <row r="110" spans="1:18" ht="15.75" customHeight="1" x14ac:dyDescent="0.2">
      <c r="A110" s="37">
        <v>45804</v>
      </c>
      <c r="B110" s="22">
        <f t="shared" si="1"/>
        <v>90</v>
      </c>
      <c r="C110" s="28">
        <f t="shared" si="2"/>
        <v>1042</v>
      </c>
      <c r="D110" s="24">
        <v>-1833</v>
      </c>
      <c r="E110" s="28">
        <v>2985</v>
      </c>
      <c r="F110" s="22">
        <f t="shared" si="3"/>
        <v>823</v>
      </c>
      <c r="G110" s="22">
        <f t="shared" si="4"/>
        <v>90</v>
      </c>
      <c r="H110" s="28">
        <f t="shared" si="5"/>
        <v>901</v>
      </c>
      <c r="I110" s="24">
        <v>-1855</v>
      </c>
      <c r="J110" s="28">
        <v>2856</v>
      </c>
      <c r="K110" s="22">
        <f t="shared" si="6"/>
        <v>894</v>
      </c>
      <c r="L110" s="22">
        <f t="shared" si="7"/>
        <v>90</v>
      </c>
      <c r="M110" s="28">
        <f t="shared" si="8"/>
        <v>1073</v>
      </c>
      <c r="N110" s="24">
        <v>-1441</v>
      </c>
      <c r="O110" s="28">
        <v>2614</v>
      </c>
      <c r="P110" s="22">
        <f t="shared" si="9"/>
        <v>737</v>
      </c>
      <c r="Q110" s="36"/>
      <c r="R110" s="30"/>
    </row>
    <row r="111" spans="1:18" ht="15.75" customHeight="1" x14ac:dyDescent="0.2">
      <c r="A111" s="37">
        <v>45805</v>
      </c>
      <c r="B111" s="22">
        <f t="shared" si="1"/>
        <v>91</v>
      </c>
      <c r="C111" s="28">
        <f t="shared" si="2"/>
        <v>1042</v>
      </c>
      <c r="D111" s="24">
        <v>-1833</v>
      </c>
      <c r="E111" s="28">
        <v>2985</v>
      </c>
      <c r="F111" s="22">
        <f t="shared" si="3"/>
        <v>823</v>
      </c>
      <c r="G111" s="22">
        <f t="shared" si="4"/>
        <v>91</v>
      </c>
      <c r="H111" s="28">
        <f t="shared" si="5"/>
        <v>901</v>
      </c>
      <c r="I111" s="24">
        <v>-1855</v>
      </c>
      <c r="J111" s="28">
        <v>2856</v>
      </c>
      <c r="K111" s="22">
        <f t="shared" si="6"/>
        <v>894</v>
      </c>
      <c r="L111" s="22">
        <f t="shared" si="7"/>
        <v>91</v>
      </c>
      <c r="M111" s="28">
        <f t="shared" si="8"/>
        <v>1073</v>
      </c>
      <c r="N111" s="24">
        <v>-1441</v>
      </c>
      <c r="O111" s="28">
        <v>2614</v>
      </c>
      <c r="P111" s="22">
        <f t="shared" si="9"/>
        <v>737</v>
      </c>
      <c r="Q111" s="36"/>
      <c r="R111" s="30"/>
    </row>
    <row r="112" spans="1:18" ht="15.75" customHeight="1" x14ac:dyDescent="0.2">
      <c r="A112" s="37">
        <v>45806</v>
      </c>
      <c r="B112" s="22">
        <f t="shared" si="1"/>
        <v>92</v>
      </c>
      <c r="C112" s="28">
        <f t="shared" si="2"/>
        <v>1042</v>
      </c>
      <c r="D112" s="24">
        <v>-1833</v>
      </c>
      <c r="E112" s="28">
        <v>2985</v>
      </c>
      <c r="F112" s="22">
        <f t="shared" si="3"/>
        <v>823</v>
      </c>
      <c r="G112" s="22">
        <f t="shared" si="4"/>
        <v>92</v>
      </c>
      <c r="H112" s="28">
        <f t="shared" si="5"/>
        <v>901</v>
      </c>
      <c r="I112" s="24">
        <v>-1855</v>
      </c>
      <c r="J112" s="28">
        <v>2856</v>
      </c>
      <c r="K112" s="22">
        <f t="shared" si="6"/>
        <v>894</v>
      </c>
      <c r="L112" s="22">
        <f t="shared" si="7"/>
        <v>92</v>
      </c>
      <c r="M112" s="28">
        <f t="shared" si="8"/>
        <v>1073</v>
      </c>
      <c r="N112" s="24">
        <v>-1441</v>
      </c>
      <c r="O112" s="28">
        <v>2614</v>
      </c>
      <c r="P112" s="22">
        <f t="shared" si="9"/>
        <v>737</v>
      </c>
      <c r="Q112" s="36"/>
      <c r="R112" s="30"/>
    </row>
    <row r="113" spans="1:18" ht="15.75" customHeight="1" x14ac:dyDescent="0.2">
      <c r="A113" s="37">
        <v>45807</v>
      </c>
      <c r="B113" s="22">
        <f t="shared" si="1"/>
        <v>93</v>
      </c>
      <c r="C113" s="28">
        <f t="shared" si="2"/>
        <v>1042</v>
      </c>
      <c r="D113" s="24">
        <v>-1833</v>
      </c>
      <c r="E113" s="28">
        <v>2985</v>
      </c>
      <c r="F113" s="22">
        <f t="shared" si="3"/>
        <v>823</v>
      </c>
      <c r="G113" s="22">
        <f t="shared" si="4"/>
        <v>93</v>
      </c>
      <c r="H113" s="28">
        <f t="shared" si="5"/>
        <v>901</v>
      </c>
      <c r="I113" s="24">
        <v>-1855</v>
      </c>
      <c r="J113" s="28">
        <v>2856</v>
      </c>
      <c r="K113" s="22">
        <f t="shared" si="6"/>
        <v>894</v>
      </c>
      <c r="L113" s="22">
        <f t="shared" si="7"/>
        <v>93</v>
      </c>
      <c r="M113" s="28">
        <f t="shared" si="8"/>
        <v>1073</v>
      </c>
      <c r="N113" s="24">
        <v>-1441</v>
      </c>
      <c r="O113" s="28">
        <v>2614</v>
      </c>
      <c r="P113" s="22">
        <f t="shared" si="9"/>
        <v>737</v>
      </c>
      <c r="Q113" s="36"/>
      <c r="R113" s="30"/>
    </row>
    <row r="114" spans="1:18" ht="15.75" customHeight="1" x14ac:dyDescent="0.2">
      <c r="A114" s="37">
        <v>45808</v>
      </c>
      <c r="B114" s="22">
        <f t="shared" si="1"/>
        <v>94</v>
      </c>
      <c r="C114" s="28">
        <f t="shared" si="2"/>
        <v>1042</v>
      </c>
      <c r="D114" s="24">
        <v>-1833</v>
      </c>
      <c r="E114" s="28">
        <v>2985</v>
      </c>
      <c r="F114" s="22">
        <f t="shared" si="3"/>
        <v>823</v>
      </c>
      <c r="G114" s="22">
        <f t="shared" si="4"/>
        <v>94</v>
      </c>
      <c r="H114" s="28">
        <f t="shared" si="5"/>
        <v>901</v>
      </c>
      <c r="I114" s="24">
        <v>-1855</v>
      </c>
      <c r="J114" s="28">
        <v>2856</v>
      </c>
      <c r="K114" s="22">
        <f t="shared" si="6"/>
        <v>894</v>
      </c>
      <c r="L114" s="22">
        <f t="shared" si="7"/>
        <v>94</v>
      </c>
      <c r="M114" s="28">
        <f t="shared" si="8"/>
        <v>1073</v>
      </c>
      <c r="N114" s="24">
        <v>-1441</v>
      </c>
      <c r="O114" s="28">
        <v>2614</v>
      </c>
      <c r="P114" s="22">
        <f t="shared" si="9"/>
        <v>737</v>
      </c>
      <c r="Q114" s="36"/>
      <c r="R114" s="30"/>
    </row>
    <row r="115" spans="1:18" ht="15.75" customHeight="1" x14ac:dyDescent="0.2">
      <c r="A115" s="37">
        <v>45809</v>
      </c>
      <c r="B115" s="22">
        <f t="shared" si="1"/>
        <v>95</v>
      </c>
      <c r="C115" s="28">
        <f t="shared" si="2"/>
        <v>1042</v>
      </c>
      <c r="D115" s="24">
        <v>-1833</v>
      </c>
      <c r="E115" s="28">
        <v>2985</v>
      </c>
      <c r="F115" s="22">
        <f t="shared" si="3"/>
        <v>823</v>
      </c>
      <c r="G115" s="22">
        <f t="shared" si="4"/>
        <v>95</v>
      </c>
      <c r="H115" s="28">
        <f t="shared" si="5"/>
        <v>901</v>
      </c>
      <c r="I115" s="24">
        <v>-1855</v>
      </c>
      <c r="J115" s="28">
        <v>2856</v>
      </c>
      <c r="K115" s="22">
        <f t="shared" si="6"/>
        <v>894</v>
      </c>
      <c r="L115" s="22">
        <f t="shared" si="7"/>
        <v>95</v>
      </c>
      <c r="M115" s="28">
        <f t="shared" si="8"/>
        <v>1073</v>
      </c>
      <c r="N115" s="24">
        <v>-1441</v>
      </c>
      <c r="O115" s="28">
        <v>2614</v>
      </c>
      <c r="P115" s="22">
        <f t="shared" si="9"/>
        <v>737</v>
      </c>
      <c r="Q115" s="36"/>
      <c r="R115" s="30"/>
    </row>
    <row r="116" spans="1:18" ht="15.75" customHeight="1" x14ac:dyDescent="0.2">
      <c r="A116" s="37">
        <v>45810</v>
      </c>
      <c r="B116" s="22">
        <f t="shared" si="1"/>
        <v>96</v>
      </c>
      <c r="C116" s="28">
        <f t="shared" si="2"/>
        <v>1042</v>
      </c>
      <c r="D116" s="24">
        <v>-1833</v>
      </c>
      <c r="E116" s="28">
        <v>2985</v>
      </c>
      <c r="F116" s="22">
        <f t="shared" si="3"/>
        <v>823</v>
      </c>
      <c r="G116" s="22">
        <f t="shared" si="4"/>
        <v>96</v>
      </c>
      <c r="H116" s="28">
        <f t="shared" si="5"/>
        <v>901</v>
      </c>
      <c r="I116" s="24">
        <v>-1855</v>
      </c>
      <c r="J116" s="28">
        <v>2856</v>
      </c>
      <c r="K116" s="22">
        <f t="shared" si="6"/>
        <v>894</v>
      </c>
      <c r="L116" s="22">
        <f t="shared" si="7"/>
        <v>96</v>
      </c>
      <c r="M116" s="28">
        <f t="shared" si="8"/>
        <v>1073</v>
      </c>
      <c r="N116" s="24">
        <v>-1441</v>
      </c>
      <c r="O116" s="28">
        <v>2614</v>
      </c>
      <c r="P116" s="22">
        <f t="shared" si="9"/>
        <v>737</v>
      </c>
      <c r="Q116" s="47"/>
      <c r="R116" s="48"/>
    </row>
    <row r="117" spans="1:18" ht="15.75" customHeight="1" x14ac:dyDescent="0.2">
      <c r="A117" s="37">
        <v>45811</v>
      </c>
      <c r="B117" s="22">
        <f t="shared" si="1"/>
        <v>97</v>
      </c>
      <c r="C117" s="28">
        <f t="shared" si="2"/>
        <v>1042</v>
      </c>
      <c r="D117" s="24">
        <v>-1833</v>
      </c>
      <c r="E117" s="28">
        <v>2985</v>
      </c>
      <c r="F117" s="22">
        <f t="shared" si="3"/>
        <v>823</v>
      </c>
      <c r="G117" s="22">
        <f t="shared" si="4"/>
        <v>97</v>
      </c>
      <c r="H117" s="28">
        <f t="shared" si="5"/>
        <v>901</v>
      </c>
      <c r="I117" s="24">
        <v>-1855</v>
      </c>
      <c r="J117" s="28">
        <v>2856</v>
      </c>
      <c r="K117" s="22">
        <f t="shared" si="6"/>
        <v>894</v>
      </c>
      <c r="L117" s="22">
        <f t="shared" si="7"/>
        <v>97</v>
      </c>
      <c r="M117" s="28">
        <f t="shared" si="8"/>
        <v>1073</v>
      </c>
      <c r="N117" s="24">
        <v>-1441</v>
      </c>
      <c r="O117" s="28">
        <v>2614</v>
      </c>
      <c r="P117" s="22">
        <f t="shared" si="9"/>
        <v>737</v>
      </c>
      <c r="Q117" s="36"/>
      <c r="R117" s="30"/>
    </row>
    <row r="118" spans="1:18" ht="15.75" customHeight="1" x14ac:dyDescent="0.2">
      <c r="A118" s="37">
        <v>45812</v>
      </c>
      <c r="B118" s="22">
        <f t="shared" si="1"/>
        <v>98</v>
      </c>
      <c r="C118" s="28">
        <f t="shared" si="2"/>
        <v>1042</v>
      </c>
      <c r="D118" s="24">
        <v>-1833</v>
      </c>
      <c r="E118" s="28">
        <v>2985</v>
      </c>
      <c r="F118" s="22">
        <f t="shared" si="3"/>
        <v>823</v>
      </c>
      <c r="G118" s="22">
        <f t="shared" si="4"/>
        <v>98</v>
      </c>
      <c r="H118" s="28">
        <f t="shared" si="5"/>
        <v>901</v>
      </c>
      <c r="I118" s="24">
        <v>-1855</v>
      </c>
      <c r="J118" s="28">
        <v>2856</v>
      </c>
      <c r="K118" s="22">
        <f t="shared" si="6"/>
        <v>894</v>
      </c>
      <c r="L118" s="22">
        <f t="shared" si="7"/>
        <v>98</v>
      </c>
      <c r="M118" s="28">
        <f t="shared" si="8"/>
        <v>1073</v>
      </c>
      <c r="N118" s="24">
        <v>-1441</v>
      </c>
      <c r="O118" s="28">
        <v>2614</v>
      </c>
      <c r="P118" s="22">
        <f t="shared" si="9"/>
        <v>737</v>
      </c>
      <c r="Q118" s="47"/>
      <c r="R118" s="48"/>
    </row>
    <row r="119" spans="1:18" ht="15.75" customHeight="1" x14ac:dyDescent="0.2">
      <c r="A119" s="37">
        <v>45813</v>
      </c>
      <c r="B119" s="22">
        <f t="shared" si="1"/>
        <v>99</v>
      </c>
      <c r="C119" s="28">
        <f t="shared" si="2"/>
        <v>1042</v>
      </c>
      <c r="D119" s="24">
        <v>-1833</v>
      </c>
      <c r="E119" s="28">
        <v>2985</v>
      </c>
      <c r="F119" s="22">
        <f t="shared" si="3"/>
        <v>823</v>
      </c>
      <c r="G119" s="22">
        <f t="shared" si="4"/>
        <v>99</v>
      </c>
      <c r="H119" s="28">
        <f t="shared" si="5"/>
        <v>901</v>
      </c>
      <c r="I119" s="24">
        <v>-1855</v>
      </c>
      <c r="J119" s="28">
        <v>2856</v>
      </c>
      <c r="K119" s="22">
        <f t="shared" si="6"/>
        <v>894</v>
      </c>
      <c r="L119" s="22">
        <f t="shared" si="7"/>
        <v>99</v>
      </c>
      <c r="M119" s="28">
        <f t="shared" si="8"/>
        <v>1073</v>
      </c>
      <c r="N119" s="24">
        <v>-1441</v>
      </c>
      <c r="O119" s="28">
        <v>2614</v>
      </c>
      <c r="P119" s="22">
        <f t="shared" si="9"/>
        <v>737</v>
      </c>
      <c r="Q119" s="36"/>
      <c r="R119" s="30"/>
    </row>
    <row r="120" spans="1:18" ht="15.75" customHeight="1" x14ac:dyDescent="0.2">
      <c r="A120" s="37">
        <v>45814</v>
      </c>
      <c r="B120" s="22">
        <f t="shared" si="1"/>
        <v>100</v>
      </c>
      <c r="C120" s="28">
        <f t="shared" si="2"/>
        <v>1042</v>
      </c>
      <c r="D120" s="24">
        <v>-1833</v>
      </c>
      <c r="E120" s="28">
        <v>2985</v>
      </c>
      <c r="F120" s="22">
        <f t="shared" si="3"/>
        <v>823</v>
      </c>
      <c r="G120" s="22">
        <f t="shared" si="4"/>
        <v>100</v>
      </c>
      <c r="H120" s="28">
        <f t="shared" si="5"/>
        <v>901</v>
      </c>
      <c r="I120" s="24">
        <v>-1855</v>
      </c>
      <c r="J120" s="28">
        <v>2856</v>
      </c>
      <c r="K120" s="22">
        <f t="shared" si="6"/>
        <v>894</v>
      </c>
      <c r="L120" s="22">
        <f t="shared" si="7"/>
        <v>100</v>
      </c>
      <c r="M120" s="28">
        <f t="shared" si="8"/>
        <v>1073</v>
      </c>
      <c r="N120" s="24">
        <v>-1441</v>
      </c>
      <c r="O120" s="28">
        <v>2614</v>
      </c>
      <c r="P120" s="22">
        <f t="shared" si="9"/>
        <v>737</v>
      </c>
      <c r="Q120" s="47"/>
      <c r="R120" s="48"/>
    </row>
    <row r="121" spans="1:18" ht="15.75" customHeight="1" x14ac:dyDescent="0.2">
      <c r="A121" s="37">
        <v>45815</v>
      </c>
      <c r="B121" s="22">
        <f t="shared" si="1"/>
        <v>101</v>
      </c>
      <c r="C121" s="28">
        <f t="shared" si="2"/>
        <v>1042</v>
      </c>
      <c r="D121" s="24">
        <v>-1833</v>
      </c>
      <c r="E121" s="28">
        <v>2985</v>
      </c>
      <c r="F121" s="22">
        <f t="shared" si="3"/>
        <v>823</v>
      </c>
      <c r="G121" s="22">
        <f t="shared" si="4"/>
        <v>101</v>
      </c>
      <c r="H121" s="28">
        <f t="shared" si="5"/>
        <v>901</v>
      </c>
      <c r="I121" s="24">
        <v>-1855</v>
      </c>
      <c r="J121" s="28">
        <v>2856</v>
      </c>
      <c r="K121" s="22">
        <f t="shared" si="6"/>
        <v>894</v>
      </c>
      <c r="L121" s="22">
        <f t="shared" si="7"/>
        <v>101</v>
      </c>
      <c r="M121" s="28">
        <f t="shared" si="8"/>
        <v>1073</v>
      </c>
      <c r="N121" s="24">
        <v>-1441</v>
      </c>
      <c r="O121" s="28">
        <v>2614</v>
      </c>
      <c r="P121" s="22">
        <f t="shared" si="9"/>
        <v>737</v>
      </c>
      <c r="Q121" s="36"/>
      <c r="R121" s="30"/>
    </row>
    <row r="122" spans="1:18" ht="15.75" customHeight="1" x14ac:dyDescent="0.2">
      <c r="A122" s="37">
        <v>45816</v>
      </c>
      <c r="B122" s="22">
        <f t="shared" si="1"/>
        <v>102</v>
      </c>
      <c r="C122" s="28">
        <f t="shared" si="2"/>
        <v>1042</v>
      </c>
      <c r="D122" s="24">
        <v>-1833</v>
      </c>
      <c r="E122" s="28">
        <v>2985</v>
      </c>
      <c r="F122" s="22">
        <f t="shared" si="3"/>
        <v>823</v>
      </c>
      <c r="G122" s="22">
        <f t="shared" si="4"/>
        <v>102</v>
      </c>
      <c r="H122" s="28">
        <f t="shared" si="5"/>
        <v>901</v>
      </c>
      <c r="I122" s="24">
        <v>-1855</v>
      </c>
      <c r="J122" s="28">
        <v>2856</v>
      </c>
      <c r="K122" s="22">
        <f t="shared" si="6"/>
        <v>894</v>
      </c>
      <c r="L122" s="22">
        <f t="shared" si="7"/>
        <v>102</v>
      </c>
      <c r="M122" s="28">
        <f t="shared" si="8"/>
        <v>1073</v>
      </c>
      <c r="N122" s="24">
        <v>-1441</v>
      </c>
      <c r="O122" s="28">
        <v>2614</v>
      </c>
      <c r="P122" s="22">
        <f t="shared" si="9"/>
        <v>737</v>
      </c>
      <c r="Q122" s="47"/>
      <c r="R122" s="48"/>
    </row>
    <row r="123" spans="1:18" ht="15.75" customHeight="1" x14ac:dyDescent="0.2">
      <c r="A123" s="37">
        <v>45817</v>
      </c>
      <c r="B123" s="22">
        <f t="shared" si="1"/>
        <v>103</v>
      </c>
      <c r="C123" s="28">
        <f t="shared" si="2"/>
        <v>1042</v>
      </c>
      <c r="D123" s="24">
        <v>-1833</v>
      </c>
      <c r="E123" s="28">
        <v>2985</v>
      </c>
      <c r="F123" s="22">
        <f t="shared" si="3"/>
        <v>823</v>
      </c>
      <c r="G123" s="22">
        <f t="shared" si="4"/>
        <v>103</v>
      </c>
      <c r="H123" s="28">
        <f t="shared" si="5"/>
        <v>901</v>
      </c>
      <c r="I123" s="24">
        <v>-1855</v>
      </c>
      <c r="J123" s="28">
        <v>2856</v>
      </c>
      <c r="K123" s="22">
        <f t="shared" si="6"/>
        <v>894</v>
      </c>
      <c r="L123" s="22">
        <f t="shared" si="7"/>
        <v>103</v>
      </c>
      <c r="M123" s="28">
        <f t="shared" si="8"/>
        <v>1073</v>
      </c>
      <c r="N123" s="24">
        <v>-1441</v>
      </c>
      <c r="O123" s="28">
        <v>2614</v>
      </c>
      <c r="P123" s="22">
        <f t="shared" si="9"/>
        <v>737</v>
      </c>
      <c r="Q123" s="36"/>
      <c r="R123" s="30"/>
    </row>
    <row r="124" spans="1:18" ht="15.75" customHeight="1" x14ac:dyDescent="0.2">
      <c r="A124" s="37">
        <v>45818</v>
      </c>
      <c r="B124" s="22">
        <f t="shared" si="1"/>
        <v>104</v>
      </c>
      <c r="C124" s="28">
        <f t="shared" si="2"/>
        <v>1042</v>
      </c>
      <c r="D124" s="24">
        <v>-1833</v>
      </c>
      <c r="E124" s="28">
        <v>2985</v>
      </c>
      <c r="F124" s="22">
        <f t="shared" si="3"/>
        <v>823</v>
      </c>
      <c r="G124" s="22">
        <f t="shared" si="4"/>
        <v>104</v>
      </c>
      <c r="H124" s="28">
        <f t="shared" si="5"/>
        <v>901</v>
      </c>
      <c r="I124" s="24">
        <v>-1855</v>
      </c>
      <c r="J124" s="28">
        <v>2856</v>
      </c>
      <c r="K124" s="22">
        <f t="shared" si="6"/>
        <v>894</v>
      </c>
      <c r="L124" s="22">
        <f t="shared" si="7"/>
        <v>104</v>
      </c>
      <c r="M124" s="28">
        <f t="shared" si="8"/>
        <v>1073</v>
      </c>
      <c r="N124" s="24">
        <v>-1441</v>
      </c>
      <c r="O124" s="28">
        <v>2614</v>
      </c>
      <c r="P124" s="22">
        <f t="shared" si="9"/>
        <v>737</v>
      </c>
      <c r="Q124" s="47"/>
      <c r="R124" s="48"/>
    </row>
    <row r="125" spans="1:18" ht="15.75" customHeight="1" x14ac:dyDescent="0.2">
      <c r="A125" s="37">
        <v>45819</v>
      </c>
      <c r="B125" s="22">
        <f t="shared" si="1"/>
        <v>105</v>
      </c>
      <c r="C125" s="28">
        <f t="shared" si="2"/>
        <v>1042</v>
      </c>
      <c r="D125" s="24">
        <v>-1833</v>
      </c>
      <c r="E125" s="28">
        <v>2985</v>
      </c>
      <c r="F125" s="22">
        <f t="shared" si="3"/>
        <v>823</v>
      </c>
      <c r="G125" s="22">
        <f t="shared" si="4"/>
        <v>105</v>
      </c>
      <c r="H125" s="28">
        <f t="shared" si="5"/>
        <v>901</v>
      </c>
      <c r="I125" s="24">
        <v>-1855</v>
      </c>
      <c r="J125" s="28">
        <v>2856</v>
      </c>
      <c r="K125" s="22">
        <f t="shared" si="6"/>
        <v>894</v>
      </c>
      <c r="L125" s="22">
        <f t="shared" si="7"/>
        <v>105</v>
      </c>
      <c r="M125" s="28">
        <f t="shared" si="8"/>
        <v>1073</v>
      </c>
      <c r="N125" s="24">
        <v>-1441</v>
      </c>
      <c r="O125" s="28">
        <v>2614</v>
      </c>
      <c r="P125" s="22">
        <f t="shared" si="9"/>
        <v>737</v>
      </c>
      <c r="Q125" s="36"/>
      <c r="R125" s="30"/>
    </row>
    <row r="126" spans="1:18" ht="15.75" customHeight="1" x14ac:dyDescent="0.2">
      <c r="A126" s="37">
        <v>45820</v>
      </c>
      <c r="B126" s="22">
        <f t="shared" si="1"/>
        <v>106</v>
      </c>
      <c r="C126" s="28">
        <f t="shared" si="2"/>
        <v>1042</v>
      </c>
      <c r="D126" s="24">
        <v>-1833</v>
      </c>
      <c r="E126" s="28">
        <v>2985</v>
      </c>
      <c r="F126" s="22">
        <f t="shared" si="3"/>
        <v>823</v>
      </c>
      <c r="G126" s="22">
        <f t="shared" si="4"/>
        <v>106</v>
      </c>
      <c r="H126" s="28">
        <f t="shared" si="5"/>
        <v>901</v>
      </c>
      <c r="I126" s="24">
        <v>-1855</v>
      </c>
      <c r="J126" s="28">
        <v>2856</v>
      </c>
      <c r="K126" s="22">
        <f t="shared" si="6"/>
        <v>894</v>
      </c>
      <c r="L126" s="22">
        <f t="shared" si="7"/>
        <v>106</v>
      </c>
      <c r="M126" s="28">
        <f t="shared" si="8"/>
        <v>1073</v>
      </c>
      <c r="N126" s="24">
        <v>-1441</v>
      </c>
      <c r="O126" s="28">
        <v>2614</v>
      </c>
      <c r="P126" s="22">
        <f t="shared" si="9"/>
        <v>737</v>
      </c>
      <c r="Q126" s="47"/>
      <c r="R126" s="48"/>
    </row>
    <row r="127" spans="1:18" ht="15.75" customHeight="1" x14ac:dyDescent="0.2">
      <c r="A127" s="37">
        <v>45821</v>
      </c>
      <c r="B127" s="22">
        <f t="shared" si="1"/>
        <v>107</v>
      </c>
      <c r="C127" s="28">
        <f t="shared" si="2"/>
        <v>1042</v>
      </c>
      <c r="D127" s="24">
        <v>-1833</v>
      </c>
      <c r="E127" s="28">
        <v>2985</v>
      </c>
      <c r="F127" s="22">
        <f t="shared" si="3"/>
        <v>823</v>
      </c>
      <c r="G127" s="22">
        <f t="shared" si="4"/>
        <v>107</v>
      </c>
      <c r="H127" s="28">
        <f t="shared" si="5"/>
        <v>901</v>
      </c>
      <c r="I127" s="24">
        <v>-1855</v>
      </c>
      <c r="J127" s="28">
        <v>2856</v>
      </c>
      <c r="K127" s="22">
        <f t="shared" si="6"/>
        <v>894</v>
      </c>
      <c r="L127" s="22">
        <f t="shared" si="7"/>
        <v>107</v>
      </c>
      <c r="M127" s="28">
        <f t="shared" si="8"/>
        <v>1073</v>
      </c>
      <c r="N127" s="24">
        <v>-1441</v>
      </c>
      <c r="O127" s="28">
        <v>2614</v>
      </c>
      <c r="P127" s="22">
        <f t="shared" si="9"/>
        <v>737</v>
      </c>
      <c r="Q127" s="36"/>
      <c r="R127" s="30"/>
    </row>
    <row r="128" spans="1:18" ht="15.75" customHeight="1" x14ac:dyDescent="0.2">
      <c r="A128" s="37">
        <v>45822</v>
      </c>
      <c r="B128" s="22">
        <f t="shared" si="1"/>
        <v>108</v>
      </c>
      <c r="C128" s="28">
        <f t="shared" si="2"/>
        <v>1042</v>
      </c>
      <c r="D128" s="24">
        <v>-1833</v>
      </c>
      <c r="E128" s="28">
        <v>2985</v>
      </c>
      <c r="F128" s="22">
        <f t="shared" si="3"/>
        <v>823</v>
      </c>
      <c r="G128" s="22">
        <f t="shared" si="4"/>
        <v>108</v>
      </c>
      <c r="H128" s="28">
        <f t="shared" si="5"/>
        <v>901</v>
      </c>
      <c r="I128" s="24">
        <v>-1855</v>
      </c>
      <c r="J128" s="28">
        <v>2856</v>
      </c>
      <c r="K128" s="22">
        <f t="shared" si="6"/>
        <v>894</v>
      </c>
      <c r="L128" s="22">
        <f t="shared" si="7"/>
        <v>108</v>
      </c>
      <c r="M128" s="28">
        <f t="shared" si="8"/>
        <v>1073</v>
      </c>
      <c r="N128" s="24">
        <v>-1441</v>
      </c>
      <c r="O128" s="28">
        <v>2614</v>
      </c>
      <c r="P128" s="22">
        <f t="shared" si="9"/>
        <v>737</v>
      </c>
      <c r="Q128" s="47"/>
      <c r="R128" s="48"/>
    </row>
    <row r="129" spans="1:18" ht="15.75" customHeight="1" x14ac:dyDescent="0.2">
      <c r="A129" s="37">
        <v>45823</v>
      </c>
      <c r="B129" s="22">
        <f t="shared" si="1"/>
        <v>109</v>
      </c>
      <c r="C129" s="28">
        <f t="shared" si="2"/>
        <v>1042</v>
      </c>
      <c r="D129" s="24">
        <v>-1833</v>
      </c>
      <c r="E129" s="28">
        <v>2985</v>
      </c>
      <c r="F129" s="22">
        <f t="shared" si="3"/>
        <v>823</v>
      </c>
      <c r="G129" s="22">
        <f t="shared" si="4"/>
        <v>109</v>
      </c>
      <c r="H129" s="28">
        <f t="shared" si="5"/>
        <v>901</v>
      </c>
      <c r="I129" s="24">
        <v>-1855</v>
      </c>
      <c r="J129" s="28">
        <v>2856</v>
      </c>
      <c r="K129" s="22">
        <f t="shared" si="6"/>
        <v>894</v>
      </c>
      <c r="L129" s="22">
        <f t="shared" si="7"/>
        <v>109</v>
      </c>
      <c r="M129" s="28">
        <f t="shared" si="8"/>
        <v>1073</v>
      </c>
      <c r="N129" s="24">
        <v>-1441</v>
      </c>
      <c r="O129" s="28">
        <v>2614</v>
      </c>
      <c r="P129" s="22">
        <f t="shared" si="9"/>
        <v>737</v>
      </c>
      <c r="Q129" s="36"/>
      <c r="R129" s="30"/>
    </row>
    <row r="130" spans="1:18" ht="15.75" customHeight="1" x14ac:dyDescent="0.2">
      <c r="A130" s="37">
        <v>45824</v>
      </c>
      <c r="B130" s="22">
        <f t="shared" si="1"/>
        <v>110</v>
      </c>
      <c r="C130" s="28">
        <f t="shared" si="2"/>
        <v>1042</v>
      </c>
      <c r="D130" s="24">
        <v>-1833</v>
      </c>
      <c r="E130" s="28">
        <v>2985</v>
      </c>
      <c r="F130" s="22">
        <f t="shared" si="3"/>
        <v>823</v>
      </c>
      <c r="G130" s="22">
        <f t="shared" si="4"/>
        <v>110</v>
      </c>
      <c r="H130" s="28">
        <f t="shared" si="5"/>
        <v>901</v>
      </c>
      <c r="I130" s="24">
        <v>-1855</v>
      </c>
      <c r="J130" s="28">
        <v>2856</v>
      </c>
      <c r="K130" s="22">
        <f t="shared" si="6"/>
        <v>894</v>
      </c>
      <c r="L130" s="22">
        <f t="shared" si="7"/>
        <v>110</v>
      </c>
      <c r="M130" s="28">
        <f t="shared" si="8"/>
        <v>1073</v>
      </c>
      <c r="N130" s="24">
        <v>-1441</v>
      </c>
      <c r="O130" s="28">
        <v>2614</v>
      </c>
      <c r="P130" s="22">
        <f t="shared" si="9"/>
        <v>737</v>
      </c>
      <c r="Q130" s="47"/>
      <c r="R130" s="48"/>
    </row>
    <row r="131" spans="1:18" ht="15.75" customHeight="1" x14ac:dyDescent="0.2">
      <c r="A131" s="37">
        <v>45825</v>
      </c>
      <c r="B131" s="22">
        <f t="shared" si="1"/>
        <v>111</v>
      </c>
      <c r="C131" s="28">
        <f t="shared" si="2"/>
        <v>1042</v>
      </c>
      <c r="D131" s="24">
        <v>-1833</v>
      </c>
      <c r="E131" s="28">
        <v>2985</v>
      </c>
      <c r="F131" s="22">
        <f t="shared" si="3"/>
        <v>823</v>
      </c>
      <c r="G131" s="22">
        <f t="shared" si="4"/>
        <v>111</v>
      </c>
      <c r="H131" s="28">
        <f t="shared" si="5"/>
        <v>901</v>
      </c>
      <c r="I131" s="24">
        <v>-1855</v>
      </c>
      <c r="J131" s="28">
        <v>2856</v>
      </c>
      <c r="K131" s="22">
        <f t="shared" si="6"/>
        <v>894</v>
      </c>
      <c r="L131" s="22">
        <f t="shared" si="7"/>
        <v>111</v>
      </c>
      <c r="M131" s="28">
        <f t="shared" si="8"/>
        <v>1073</v>
      </c>
      <c r="N131" s="24">
        <v>-1441</v>
      </c>
      <c r="O131" s="28">
        <v>2614</v>
      </c>
      <c r="P131" s="22">
        <f t="shared" si="9"/>
        <v>737</v>
      </c>
      <c r="Q131" s="36"/>
      <c r="R131" s="30"/>
    </row>
    <row r="132" spans="1:18" ht="15.75" customHeight="1" x14ac:dyDescent="0.2">
      <c r="A132" s="37">
        <v>45826</v>
      </c>
      <c r="B132" s="22">
        <f t="shared" si="1"/>
        <v>112</v>
      </c>
      <c r="C132" s="28">
        <f t="shared" si="2"/>
        <v>1042</v>
      </c>
      <c r="D132" s="24">
        <v>-1833</v>
      </c>
      <c r="E132" s="28">
        <v>2985</v>
      </c>
      <c r="F132" s="22">
        <f t="shared" si="3"/>
        <v>823</v>
      </c>
      <c r="G132" s="22">
        <f t="shared" si="4"/>
        <v>112</v>
      </c>
      <c r="H132" s="28">
        <f t="shared" si="5"/>
        <v>901</v>
      </c>
      <c r="I132" s="24">
        <v>-1855</v>
      </c>
      <c r="J132" s="28">
        <v>2856</v>
      </c>
      <c r="K132" s="22">
        <f t="shared" si="6"/>
        <v>894</v>
      </c>
      <c r="L132" s="22">
        <f t="shared" si="7"/>
        <v>112</v>
      </c>
      <c r="M132" s="28">
        <f t="shared" si="8"/>
        <v>1073</v>
      </c>
      <c r="N132" s="24">
        <v>-1441</v>
      </c>
      <c r="O132" s="28">
        <v>2614</v>
      </c>
      <c r="P132" s="22">
        <f t="shared" si="9"/>
        <v>737</v>
      </c>
      <c r="Q132" s="36"/>
      <c r="R132" s="30"/>
    </row>
    <row r="133" spans="1:18" ht="15.75" customHeight="1" x14ac:dyDescent="0.2">
      <c r="A133" s="37">
        <v>45827</v>
      </c>
      <c r="B133" s="22">
        <f t="shared" si="1"/>
        <v>113</v>
      </c>
      <c r="C133" s="28">
        <f t="shared" si="2"/>
        <v>1042</v>
      </c>
      <c r="D133" s="24">
        <v>-1833</v>
      </c>
      <c r="E133" s="28">
        <v>2985</v>
      </c>
      <c r="F133" s="22">
        <f t="shared" si="3"/>
        <v>823</v>
      </c>
      <c r="G133" s="22">
        <f t="shared" si="4"/>
        <v>113</v>
      </c>
      <c r="H133" s="28">
        <f t="shared" si="5"/>
        <v>901</v>
      </c>
      <c r="I133" s="24">
        <v>-1855</v>
      </c>
      <c r="J133" s="28">
        <v>2856</v>
      </c>
      <c r="K133" s="22">
        <f t="shared" si="6"/>
        <v>894</v>
      </c>
      <c r="L133" s="22">
        <f t="shared" si="7"/>
        <v>113</v>
      </c>
      <c r="M133" s="28">
        <f t="shared" si="8"/>
        <v>1073</v>
      </c>
      <c r="N133" s="24">
        <v>-1441</v>
      </c>
      <c r="O133" s="28">
        <v>2614</v>
      </c>
      <c r="P133" s="22">
        <f t="shared" si="9"/>
        <v>737</v>
      </c>
      <c r="Q133" s="36"/>
      <c r="R133" s="30"/>
    </row>
    <row r="134" spans="1:18" ht="15.75" customHeight="1" x14ac:dyDescent="0.2">
      <c r="A134" s="37">
        <v>45828</v>
      </c>
      <c r="B134" s="22">
        <f t="shared" si="1"/>
        <v>114</v>
      </c>
      <c r="C134" s="28">
        <f t="shared" si="2"/>
        <v>1042</v>
      </c>
      <c r="D134" s="24">
        <v>-1833</v>
      </c>
      <c r="E134" s="28">
        <v>2985</v>
      </c>
      <c r="F134" s="22">
        <f t="shared" si="3"/>
        <v>823</v>
      </c>
      <c r="G134" s="22">
        <f t="shared" si="4"/>
        <v>114</v>
      </c>
      <c r="H134" s="28">
        <f t="shared" si="5"/>
        <v>901</v>
      </c>
      <c r="I134" s="24">
        <v>-1855</v>
      </c>
      <c r="J134" s="28">
        <v>2856</v>
      </c>
      <c r="K134" s="22">
        <f t="shared" si="6"/>
        <v>894</v>
      </c>
      <c r="L134" s="22">
        <f t="shared" si="7"/>
        <v>114</v>
      </c>
      <c r="M134" s="28">
        <f t="shared" si="8"/>
        <v>1073</v>
      </c>
      <c r="N134" s="24">
        <v>-1441</v>
      </c>
      <c r="O134" s="28">
        <v>2614</v>
      </c>
      <c r="P134" s="22">
        <f t="shared" si="9"/>
        <v>737</v>
      </c>
      <c r="Q134" s="36"/>
      <c r="R134" s="30"/>
    </row>
    <row r="135" spans="1:18" ht="15.75" customHeight="1" x14ac:dyDescent="0.2">
      <c r="A135" s="37">
        <v>45829</v>
      </c>
      <c r="B135" s="22">
        <f t="shared" si="1"/>
        <v>115</v>
      </c>
      <c r="C135" s="28">
        <f t="shared" si="2"/>
        <v>1042</v>
      </c>
      <c r="D135" s="24">
        <v>-1833</v>
      </c>
      <c r="E135" s="28">
        <v>2985</v>
      </c>
      <c r="F135" s="22">
        <f t="shared" si="3"/>
        <v>823</v>
      </c>
      <c r="G135" s="22">
        <f t="shared" si="4"/>
        <v>115</v>
      </c>
      <c r="H135" s="28">
        <f t="shared" si="5"/>
        <v>901</v>
      </c>
      <c r="I135" s="24">
        <v>-1855</v>
      </c>
      <c r="J135" s="28">
        <v>2856</v>
      </c>
      <c r="K135" s="22">
        <f t="shared" si="6"/>
        <v>894</v>
      </c>
      <c r="L135" s="22">
        <f t="shared" si="7"/>
        <v>115</v>
      </c>
      <c r="M135" s="28">
        <f t="shared" si="8"/>
        <v>1073</v>
      </c>
      <c r="N135" s="24">
        <v>-1441</v>
      </c>
      <c r="O135" s="28">
        <v>2614</v>
      </c>
      <c r="P135" s="22">
        <f t="shared" si="9"/>
        <v>737</v>
      </c>
      <c r="Q135" s="36"/>
      <c r="R135" s="30"/>
    </row>
    <row r="136" spans="1:18" ht="15.75" customHeight="1" x14ac:dyDescent="0.2">
      <c r="A136" s="37">
        <v>45830</v>
      </c>
      <c r="B136" s="22">
        <f t="shared" si="1"/>
        <v>116</v>
      </c>
      <c r="C136" s="28">
        <f t="shared" si="2"/>
        <v>1042</v>
      </c>
      <c r="D136" s="24">
        <v>-1833</v>
      </c>
      <c r="E136" s="28">
        <v>2985</v>
      </c>
      <c r="F136" s="22">
        <f t="shared" si="3"/>
        <v>823</v>
      </c>
      <c r="G136" s="22">
        <f t="shared" si="4"/>
        <v>116</v>
      </c>
      <c r="H136" s="28">
        <f t="shared" si="5"/>
        <v>901</v>
      </c>
      <c r="I136" s="24">
        <v>-1855</v>
      </c>
      <c r="J136" s="28">
        <v>2856</v>
      </c>
      <c r="K136" s="22">
        <f t="shared" si="6"/>
        <v>894</v>
      </c>
      <c r="L136" s="22">
        <f t="shared" si="7"/>
        <v>116</v>
      </c>
      <c r="M136" s="28">
        <f t="shared" si="8"/>
        <v>1073</v>
      </c>
      <c r="N136" s="24">
        <v>-1441</v>
      </c>
      <c r="O136" s="28">
        <v>2614</v>
      </c>
      <c r="P136" s="22">
        <f t="shared" si="9"/>
        <v>737</v>
      </c>
      <c r="Q136" s="36"/>
      <c r="R136" s="30"/>
    </row>
    <row r="137" spans="1:18" ht="15.75" customHeight="1" x14ac:dyDescent="0.2">
      <c r="A137" s="37">
        <v>45831</v>
      </c>
      <c r="B137" s="22">
        <f t="shared" si="1"/>
        <v>117</v>
      </c>
      <c r="C137" s="28">
        <f t="shared" si="2"/>
        <v>1042</v>
      </c>
      <c r="D137" s="24">
        <v>-1833</v>
      </c>
      <c r="E137" s="28">
        <v>2985</v>
      </c>
      <c r="F137" s="22">
        <f t="shared" si="3"/>
        <v>823</v>
      </c>
      <c r="G137" s="22">
        <f t="shared" si="4"/>
        <v>117</v>
      </c>
      <c r="H137" s="28">
        <f t="shared" si="5"/>
        <v>901</v>
      </c>
      <c r="I137" s="24">
        <v>-1855</v>
      </c>
      <c r="J137" s="28">
        <v>2856</v>
      </c>
      <c r="K137" s="22">
        <f t="shared" si="6"/>
        <v>894</v>
      </c>
      <c r="L137" s="22">
        <f t="shared" si="7"/>
        <v>117</v>
      </c>
      <c r="M137" s="28">
        <f t="shared" si="8"/>
        <v>1073</v>
      </c>
      <c r="N137" s="24">
        <v>-1441</v>
      </c>
      <c r="O137" s="28">
        <v>2614</v>
      </c>
      <c r="P137" s="22">
        <f t="shared" si="9"/>
        <v>737</v>
      </c>
      <c r="Q137" s="36"/>
      <c r="R137" s="30"/>
    </row>
    <row r="138" spans="1:18" ht="15.75" customHeight="1" x14ac:dyDescent="0.2">
      <c r="A138" s="37">
        <v>45832</v>
      </c>
      <c r="B138" s="22">
        <f t="shared" si="1"/>
        <v>118</v>
      </c>
      <c r="C138" s="28">
        <f t="shared" si="2"/>
        <v>1042</v>
      </c>
      <c r="D138" s="24">
        <v>-1833</v>
      </c>
      <c r="E138" s="28">
        <v>2985</v>
      </c>
      <c r="F138" s="22">
        <f t="shared" si="3"/>
        <v>823</v>
      </c>
      <c r="G138" s="22">
        <f t="shared" si="4"/>
        <v>118</v>
      </c>
      <c r="H138" s="28">
        <f t="shared" si="5"/>
        <v>901</v>
      </c>
      <c r="I138" s="24">
        <v>-1855</v>
      </c>
      <c r="J138" s="28">
        <v>2856</v>
      </c>
      <c r="K138" s="22">
        <f t="shared" si="6"/>
        <v>894</v>
      </c>
      <c r="L138" s="22">
        <f t="shared" si="7"/>
        <v>118</v>
      </c>
      <c r="M138" s="28">
        <f t="shared" si="8"/>
        <v>1073</v>
      </c>
      <c r="N138" s="24">
        <v>-1441</v>
      </c>
      <c r="O138" s="28">
        <v>2614</v>
      </c>
      <c r="P138" s="22">
        <f t="shared" si="9"/>
        <v>737</v>
      </c>
      <c r="Q138" s="36"/>
      <c r="R138" s="30"/>
    </row>
    <row r="139" spans="1:18" ht="15.75" customHeight="1" x14ac:dyDescent="0.2">
      <c r="A139" s="37">
        <v>45833</v>
      </c>
      <c r="B139" s="22">
        <f t="shared" si="1"/>
        <v>119</v>
      </c>
      <c r="C139" s="28">
        <f t="shared" si="2"/>
        <v>1042</v>
      </c>
      <c r="D139" s="24">
        <v>-1833</v>
      </c>
      <c r="E139" s="28">
        <v>2985</v>
      </c>
      <c r="F139" s="22">
        <f t="shared" si="3"/>
        <v>823</v>
      </c>
      <c r="G139" s="22">
        <f t="shared" si="4"/>
        <v>119</v>
      </c>
      <c r="H139" s="28">
        <f t="shared" si="5"/>
        <v>901</v>
      </c>
      <c r="I139" s="24">
        <v>-1855</v>
      </c>
      <c r="J139" s="28">
        <v>2856</v>
      </c>
      <c r="K139" s="22">
        <f t="shared" si="6"/>
        <v>894</v>
      </c>
      <c r="L139" s="22">
        <f t="shared" si="7"/>
        <v>119</v>
      </c>
      <c r="M139" s="28">
        <f t="shared" si="8"/>
        <v>1073</v>
      </c>
      <c r="N139" s="24">
        <v>-1441</v>
      </c>
      <c r="O139" s="28">
        <v>2614</v>
      </c>
      <c r="P139" s="22">
        <f t="shared" si="9"/>
        <v>737</v>
      </c>
      <c r="Q139" s="36"/>
      <c r="R139" s="30"/>
    </row>
    <row r="140" spans="1:18" ht="15.75" customHeight="1" x14ac:dyDescent="0.2">
      <c r="A140" s="37">
        <v>45834</v>
      </c>
      <c r="B140" s="22">
        <f t="shared" si="1"/>
        <v>120</v>
      </c>
      <c r="C140" s="28">
        <f t="shared" si="2"/>
        <v>1042</v>
      </c>
      <c r="D140" s="24">
        <v>-1833</v>
      </c>
      <c r="E140" s="28">
        <v>2985</v>
      </c>
      <c r="F140" s="22">
        <f t="shared" si="3"/>
        <v>823</v>
      </c>
      <c r="G140" s="22">
        <f t="shared" si="4"/>
        <v>120</v>
      </c>
      <c r="H140" s="28">
        <f t="shared" si="5"/>
        <v>901</v>
      </c>
      <c r="I140" s="24">
        <v>-1855</v>
      </c>
      <c r="J140" s="28">
        <v>2856</v>
      </c>
      <c r="K140" s="22">
        <f t="shared" si="6"/>
        <v>894</v>
      </c>
      <c r="L140" s="22">
        <f t="shared" si="7"/>
        <v>120</v>
      </c>
      <c r="M140" s="28">
        <f t="shared" si="8"/>
        <v>1073</v>
      </c>
      <c r="N140" s="24">
        <v>-1441</v>
      </c>
      <c r="O140" s="28">
        <v>2614</v>
      </c>
      <c r="P140" s="22">
        <f t="shared" si="9"/>
        <v>737</v>
      </c>
      <c r="Q140" s="36"/>
      <c r="R140" s="30"/>
    </row>
    <row r="141" spans="1:18" ht="15.75" customHeight="1" x14ac:dyDescent="0.2">
      <c r="A141" s="37">
        <v>45835</v>
      </c>
      <c r="B141" s="22">
        <f t="shared" si="1"/>
        <v>121</v>
      </c>
      <c r="C141" s="28">
        <f t="shared" si="2"/>
        <v>1042</v>
      </c>
      <c r="D141" s="24">
        <v>-1833</v>
      </c>
      <c r="E141" s="28">
        <v>2985</v>
      </c>
      <c r="F141" s="22">
        <f t="shared" si="3"/>
        <v>823</v>
      </c>
      <c r="G141" s="22">
        <f t="shared" si="4"/>
        <v>121</v>
      </c>
      <c r="H141" s="28">
        <f t="shared" si="5"/>
        <v>901</v>
      </c>
      <c r="I141" s="24">
        <v>-1855</v>
      </c>
      <c r="J141" s="28">
        <v>2856</v>
      </c>
      <c r="K141" s="22">
        <f t="shared" si="6"/>
        <v>894</v>
      </c>
      <c r="L141" s="22">
        <f t="shared" si="7"/>
        <v>121</v>
      </c>
      <c r="M141" s="28">
        <f t="shared" si="8"/>
        <v>1073</v>
      </c>
      <c r="N141" s="24">
        <v>-1441</v>
      </c>
      <c r="O141" s="28">
        <v>2614</v>
      </c>
      <c r="P141" s="22">
        <f t="shared" si="9"/>
        <v>737</v>
      </c>
      <c r="Q141" s="36"/>
      <c r="R141" s="30"/>
    </row>
    <row r="142" spans="1:18" ht="15.75" customHeight="1" x14ac:dyDescent="0.2">
      <c r="A142" s="37">
        <v>45836</v>
      </c>
      <c r="B142" s="22">
        <f t="shared" si="1"/>
        <v>122</v>
      </c>
      <c r="C142" s="28">
        <f t="shared" si="2"/>
        <v>1042</v>
      </c>
      <c r="D142" s="24">
        <v>-1833</v>
      </c>
      <c r="E142" s="28">
        <v>2985</v>
      </c>
      <c r="F142" s="22">
        <f t="shared" si="3"/>
        <v>823</v>
      </c>
      <c r="G142" s="22">
        <f t="shared" si="4"/>
        <v>122</v>
      </c>
      <c r="H142" s="28">
        <f t="shared" si="5"/>
        <v>901</v>
      </c>
      <c r="I142" s="24">
        <v>-1855</v>
      </c>
      <c r="J142" s="28">
        <v>2856</v>
      </c>
      <c r="K142" s="22">
        <f t="shared" si="6"/>
        <v>894</v>
      </c>
      <c r="L142" s="22">
        <f t="shared" si="7"/>
        <v>122</v>
      </c>
      <c r="M142" s="28">
        <f t="shared" si="8"/>
        <v>1073</v>
      </c>
      <c r="N142" s="24">
        <v>-1441</v>
      </c>
      <c r="O142" s="28">
        <v>2614</v>
      </c>
      <c r="P142" s="22">
        <f t="shared" si="9"/>
        <v>737</v>
      </c>
      <c r="Q142" s="36"/>
      <c r="R142" s="30"/>
    </row>
    <row r="143" spans="1:18" ht="15.75" customHeight="1" x14ac:dyDescent="0.2">
      <c r="A143" s="37">
        <v>45837</v>
      </c>
      <c r="B143" s="22">
        <f t="shared" si="1"/>
        <v>123</v>
      </c>
      <c r="C143" s="28">
        <f t="shared" si="2"/>
        <v>1042</v>
      </c>
      <c r="D143" s="24">
        <v>-1833</v>
      </c>
      <c r="E143" s="28">
        <v>2985</v>
      </c>
      <c r="F143" s="22">
        <f t="shared" si="3"/>
        <v>823</v>
      </c>
      <c r="G143" s="22">
        <f t="shared" si="4"/>
        <v>123</v>
      </c>
      <c r="H143" s="28">
        <f t="shared" si="5"/>
        <v>901</v>
      </c>
      <c r="I143" s="24">
        <v>-1855</v>
      </c>
      <c r="J143" s="28">
        <v>2856</v>
      </c>
      <c r="K143" s="22">
        <f t="shared" si="6"/>
        <v>894</v>
      </c>
      <c r="L143" s="22">
        <f t="shared" si="7"/>
        <v>123</v>
      </c>
      <c r="M143" s="28">
        <f t="shared" si="8"/>
        <v>1073</v>
      </c>
      <c r="N143" s="24">
        <v>-1441</v>
      </c>
      <c r="O143" s="28">
        <v>2614</v>
      </c>
      <c r="P143" s="22">
        <f t="shared" si="9"/>
        <v>737</v>
      </c>
      <c r="Q143" s="36"/>
      <c r="R143" s="30"/>
    </row>
    <row r="144" spans="1:18" ht="15.75" customHeight="1" x14ac:dyDescent="0.2">
      <c r="A144" s="37">
        <v>45838</v>
      </c>
      <c r="B144" s="22">
        <f t="shared" si="1"/>
        <v>124</v>
      </c>
      <c r="C144" s="28">
        <f t="shared" si="2"/>
        <v>1039</v>
      </c>
      <c r="D144" s="24">
        <v>-1836</v>
      </c>
      <c r="E144" s="28">
        <v>2985</v>
      </c>
      <c r="F144" s="22">
        <f t="shared" si="3"/>
        <v>826</v>
      </c>
      <c r="G144" s="22">
        <f t="shared" si="4"/>
        <v>124</v>
      </c>
      <c r="H144" s="28">
        <f t="shared" si="5"/>
        <v>901</v>
      </c>
      <c r="I144" s="24">
        <v>-1855</v>
      </c>
      <c r="J144" s="28">
        <v>2856</v>
      </c>
      <c r="K144" s="22">
        <f t="shared" si="6"/>
        <v>894</v>
      </c>
      <c r="L144" s="22">
        <f t="shared" si="7"/>
        <v>124</v>
      </c>
      <c r="M144" s="28">
        <f t="shared" si="8"/>
        <v>1073</v>
      </c>
      <c r="N144" s="24">
        <v>-1441</v>
      </c>
      <c r="O144" s="28">
        <v>2614</v>
      </c>
      <c r="P144" s="22">
        <f t="shared" si="9"/>
        <v>737</v>
      </c>
      <c r="Q144" s="36"/>
      <c r="R144" s="30"/>
    </row>
    <row r="145" spans="1:18" ht="15.75" customHeight="1" x14ac:dyDescent="0.2">
      <c r="A145" s="37">
        <v>45839</v>
      </c>
      <c r="B145" s="22">
        <f t="shared" si="1"/>
        <v>125</v>
      </c>
      <c r="C145" s="28">
        <f t="shared" si="2"/>
        <v>1033</v>
      </c>
      <c r="D145" s="24">
        <v>-1842</v>
      </c>
      <c r="E145" s="28">
        <v>2985</v>
      </c>
      <c r="F145" s="22">
        <f t="shared" si="3"/>
        <v>832</v>
      </c>
      <c r="G145" s="22">
        <f t="shared" si="4"/>
        <v>125</v>
      </c>
      <c r="H145" s="28">
        <f t="shared" si="5"/>
        <v>901</v>
      </c>
      <c r="I145" s="24">
        <v>-1855</v>
      </c>
      <c r="J145" s="28">
        <v>2856</v>
      </c>
      <c r="K145" s="22">
        <f t="shared" si="6"/>
        <v>894</v>
      </c>
      <c r="L145" s="22">
        <f t="shared" si="7"/>
        <v>125</v>
      </c>
      <c r="M145" s="28">
        <f t="shared" si="8"/>
        <v>1073</v>
      </c>
      <c r="N145" s="24">
        <v>-1441</v>
      </c>
      <c r="O145" s="28">
        <v>2614</v>
      </c>
      <c r="P145" s="22">
        <f t="shared" si="9"/>
        <v>737</v>
      </c>
      <c r="Q145" s="36"/>
      <c r="R145" s="30"/>
    </row>
    <row r="146" spans="1:18" ht="15.75" customHeight="1" x14ac:dyDescent="0.2">
      <c r="A146" s="37">
        <v>45840</v>
      </c>
      <c r="B146" s="22">
        <f t="shared" si="1"/>
        <v>126</v>
      </c>
      <c r="C146" s="28">
        <f t="shared" si="2"/>
        <v>1027</v>
      </c>
      <c r="D146" s="24">
        <v>-1848</v>
      </c>
      <c r="E146" s="28">
        <v>2985</v>
      </c>
      <c r="F146" s="22">
        <f t="shared" si="3"/>
        <v>838</v>
      </c>
      <c r="G146" s="22">
        <f t="shared" si="4"/>
        <v>126</v>
      </c>
      <c r="H146" s="28">
        <f t="shared" si="5"/>
        <v>901</v>
      </c>
      <c r="I146" s="24">
        <v>-1855</v>
      </c>
      <c r="J146" s="28">
        <v>2856</v>
      </c>
      <c r="K146" s="22">
        <f t="shared" si="6"/>
        <v>894</v>
      </c>
      <c r="L146" s="22">
        <f t="shared" si="7"/>
        <v>126</v>
      </c>
      <c r="M146" s="28">
        <f t="shared" si="8"/>
        <v>1073</v>
      </c>
      <c r="N146" s="24">
        <v>-1441</v>
      </c>
      <c r="O146" s="28">
        <v>2614</v>
      </c>
      <c r="P146" s="22">
        <f t="shared" si="9"/>
        <v>737</v>
      </c>
      <c r="Q146" s="36"/>
      <c r="R146" s="30"/>
    </row>
    <row r="147" spans="1:18" ht="15.75" customHeight="1" x14ac:dyDescent="0.2">
      <c r="A147" s="37">
        <v>45841</v>
      </c>
      <c r="B147" s="22">
        <f t="shared" si="1"/>
        <v>127</v>
      </c>
      <c r="C147" s="28">
        <f t="shared" si="2"/>
        <v>1023</v>
      </c>
      <c r="D147" s="24">
        <v>-1852</v>
      </c>
      <c r="E147" s="28">
        <v>2985</v>
      </c>
      <c r="F147" s="22">
        <f t="shared" si="3"/>
        <v>842</v>
      </c>
      <c r="G147" s="22">
        <f t="shared" si="4"/>
        <v>127</v>
      </c>
      <c r="H147" s="28">
        <f t="shared" si="5"/>
        <v>901</v>
      </c>
      <c r="I147" s="24">
        <v>-1855</v>
      </c>
      <c r="J147" s="28">
        <v>2856</v>
      </c>
      <c r="K147" s="22">
        <f t="shared" si="6"/>
        <v>894</v>
      </c>
      <c r="L147" s="22">
        <f t="shared" si="7"/>
        <v>127</v>
      </c>
      <c r="M147" s="28">
        <f t="shared" si="8"/>
        <v>1073</v>
      </c>
      <c r="N147" s="24">
        <v>-1441</v>
      </c>
      <c r="O147" s="28">
        <v>2614</v>
      </c>
      <c r="P147" s="22">
        <f t="shared" si="9"/>
        <v>737</v>
      </c>
      <c r="Q147" s="36"/>
      <c r="R147" s="30"/>
    </row>
    <row r="148" spans="1:18" ht="15.75" customHeight="1" x14ac:dyDescent="0.2">
      <c r="A148" s="37">
        <v>45842</v>
      </c>
      <c r="B148" s="22">
        <f t="shared" si="1"/>
        <v>128</v>
      </c>
      <c r="C148" s="28">
        <f t="shared" si="2"/>
        <v>1022</v>
      </c>
      <c r="D148" s="24">
        <v>-1853</v>
      </c>
      <c r="E148" s="28">
        <v>2985</v>
      </c>
      <c r="F148" s="22">
        <f t="shared" si="3"/>
        <v>843</v>
      </c>
      <c r="G148" s="22">
        <f t="shared" si="4"/>
        <v>128</v>
      </c>
      <c r="H148" s="28">
        <f t="shared" si="5"/>
        <v>900</v>
      </c>
      <c r="I148" s="24">
        <v>-1856</v>
      </c>
      <c r="J148" s="28">
        <v>2856</v>
      </c>
      <c r="K148" s="22">
        <f t="shared" si="6"/>
        <v>895</v>
      </c>
      <c r="L148" s="22">
        <f t="shared" si="7"/>
        <v>128</v>
      </c>
      <c r="M148" s="28">
        <f t="shared" si="8"/>
        <v>1072</v>
      </c>
      <c r="N148" s="24">
        <v>-1442</v>
      </c>
      <c r="O148" s="28">
        <v>2614</v>
      </c>
      <c r="P148" s="22">
        <f t="shared" si="9"/>
        <v>738</v>
      </c>
      <c r="Q148" s="36"/>
      <c r="R148" s="30"/>
    </row>
    <row r="149" spans="1:18" ht="15.75" customHeight="1" x14ac:dyDescent="0.2">
      <c r="A149" s="37">
        <v>45843</v>
      </c>
      <c r="B149" s="22">
        <f t="shared" si="1"/>
        <v>129</v>
      </c>
      <c r="C149" s="28">
        <f t="shared" si="2"/>
        <v>1021</v>
      </c>
      <c r="D149" s="24">
        <v>-1854</v>
      </c>
      <c r="E149" s="28">
        <v>2985</v>
      </c>
      <c r="F149" s="22">
        <f t="shared" si="3"/>
        <v>844</v>
      </c>
      <c r="G149" s="22">
        <f t="shared" si="4"/>
        <v>129</v>
      </c>
      <c r="H149" s="28">
        <f t="shared" si="5"/>
        <v>899</v>
      </c>
      <c r="I149" s="24">
        <v>-1857</v>
      </c>
      <c r="J149" s="28">
        <v>2856</v>
      </c>
      <c r="K149" s="22">
        <f t="shared" si="6"/>
        <v>896</v>
      </c>
      <c r="L149" s="22">
        <f t="shared" si="7"/>
        <v>129</v>
      </c>
      <c r="M149" s="28">
        <f t="shared" si="8"/>
        <v>1072</v>
      </c>
      <c r="N149" s="24">
        <v>-1442</v>
      </c>
      <c r="O149" s="28">
        <v>2614</v>
      </c>
      <c r="P149" s="22">
        <f t="shared" si="9"/>
        <v>738</v>
      </c>
      <c r="Q149" s="36"/>
      <c r="R149" s="30"/>
    </row>
    <row r="150" spans="1:18" ht="15.75" customHeight="1" x14ac:dyDescent="0.2">
      <c r="A150" s="37">
        <v>45844</v>
      </c>
      <c r="B150" s="22">
        <f t="shared" si="1"/>
        <v>130</v>
      </c>
      <c r="C150" s="28">
        <f t="shared" si="2"/>
        <v>1020</v>
      </c>
      <c r="D150" s="24">
        <v>-1855</v>
      </c>
      <c r="E150" s="28">
        <v>2985</v>
      </c>
      <c r="F150" s="22">
        <f t="shared" si="3"/>
        <v>845</v>
      </c>
      <c r="G150" s="22">
        <f t="shared" si="4"/>
        <v>130</v>
      </c>
      <c r="H150" s="28">
        <f t="shared" si="5"/>
        <v>899</v>
      </c>
      <c r="I150" s="24">
        <v>-1857</v>
      </c>
      <c r="J150" s="28">
        <v>2856</v>
      </c>
      <c r="K150" s="22">
        <f t="shared" si="6"/>
        <v>896</v>
      </c>
      <c r="L150" s="22">
        <f t="shared" si="7"/>
        <v>130</v>
      </c>
      <c r="M150" s="28">
        <f t="shared" si="8"/>
        <v>1067</v>
      </c>
      <c r="N150" s="24">
        <v>-1447</v>
      </c>
      <c r="O150" s="28">
        <v>2614</v>
      </c>
      <c r="P150" s="22">
        <f t="shared" si="9"/>
        <v>743</v>
      </c>
      <c r="Q150" s="36"/>
      <c r="R150" s="30"/>
    </row>
    <row r="151" spans="1:18" ht="15.75" customHeight="1" x14ac:dyDescent="0.2">
      <c r="A151" s="37">
        <v>45845</v>
      </c>
      <c r="B151" s="22">
        <f t="shared" si="1"/>
        <v>131</v>
      </c>
      <c r="C151" s="28">
        <f t="shared" si="2"/>
        <v>1019</v>
      </c>
      <c r="D151" s="24">
        <v>-1856</v>
      </c>
      <c r="E151" s="28">
        <v>2985</v>
      </c>
      <c r="F151" s="22">
        <f t="shared" si="3"/>
        <v>846</v>
      </c>
      <c r="G151" s="22">
        <f t="shared" si="4"/>
        <v>131</v>
      </c>
      <c r="H151" s="28">
        <f t="shared" si="5"/>
        <v>897</v>
      </c>
      <c r="I151" s="24">
        <v>-1859</v>
      </c>
      <c r="J151" s="28">
        <v>2856</v>
      </c>
      <c r="K151" s="22">
        <f t="shared" si="6"/>
        <v>898</v>
      </c>
      <c r="L151" s="22">
        <f t="shared" si="7"/>
        <v>131</v>
      </c>
      <c r="M151" s="28">
        <f t="shared" si="8"/>
        <v>1057</v>
      </c>
      <c r="N151" s="24">
        <v>-1457</v>
      </c>
      <c r="O151" s="28">
        <v>2614</v>
      </c>
      <c r="P151" s="22">
        <f t="shared" si="9"/>
        <v>753</v>
      </c>
      <c r="Q151" s="36"/>
      <c r="R151" s="30"/>
    </row>
    <row r="152" spans="1:18" ht="15.75" customHeight="1" x14ac:dyDescent="0.2">
      <c r="A152" s="37">
        <v>45846</v>
      </c>
      <c r="B152" s="22">
        <f t="shared" si="1"/>
        <v>132</v>
      </c>
      <c r="C152" s="28">
        <f t="shared" si="2"/>
        <v>1018</v>
      </c>
      <c r="D152" s="24">
        <v>-1857</v>
      </c>
      <c r="E152" s="28">
        <v>2985</v>
      </c>
      <c r="F152" s="22">
        <f t="shared" si="3"/>
        <v>847</v>
      </c>
      <c r="G152" s="22">
        <f t="shared" si="4"/>
        <v>132</v>
      </c>
      <c r="H152" s="28">
        <f t="shared" si="5"/>
        <v>893</v>
      </c>
      <c r="I152" s="24">
        <v>-1863</v>
      </c>
      <c r="J152" s="28">
        <v>2856</v>
      </c>
      <c r="K152" s="22">
        <f t="shared" si="6"/>
        <v>902</v>
      </c>
      <c r="L152" s="22">
        <f t="shared" si="7"/>
        <v>132</v>
      </c>
      <c r="M152" s="28">
        <f t="shared" si="8"/>
        <v>1047</v>
      </c>
      <c r="N152" s="24">
        <v>-1467</v>
      </c>
      <c r="O152" s="28">
        <v>2614</v>
      </c>
      <c r="P152" s="22">
        <f t="shared" si="9"/>
        <v>763</v>
      </c>
      <c r="Q152" s="36"/>
      <c r="R152" s="30"/>
    </row>
    <row r="153" spans="1:18" ht="15.75" customHeight="1" x14ac:dyDescent="0.2">
      <c r="A153" s="37">
        <v>45847</v>
      </c>
      <c r="B153" s="22">
        <f t="shared" si="1"/>
        <v>133</v>
      </c>
      <c r="C153" s="28">
        <f t="shared" si="2"/>
        <v>1017</v>
      </c>
      <c r="D153" s="24">
        <v>-1858</v>
      </c>
      <c r="E153" s="28">
        <v>2985</v>
      </c>
      <c r="F153" s="22">
        <f t="shared" si="3"/>
        <v>848</v>
      </c>
      <c r="G153" s="22">
        <f t="shared" si="4"/>
        <v>133</v>
      </c>
      <c r="H153" s="28">
        <f t="shared" si="5"/>
        <v>889</v>
      </c>
      <c r="I153" s="24">
        <v>-1867</v>
      </c>
      <c r="J153" s="28">
        <v>2856</v>
      </c>
      <c r="K153" s="22">
        <f t="shared" si="6"/>
        <v>906</v>
      </c>
      <c r="L153" s="22">
        <f t="shared" si="7"/>
        <v>133</v>
      </c>
      <c r="M153" s="28">
        <f t="shared" si="8"/>
        <v>1037</v>
      </c>
      <c r="N153" s="24">
        <v>-1477</v>
      </c>
      <c r="O153" s="28">
        <v>2614</v>
      </c>
      <c r="P153" s="22">
        <f t="shared" si="9"/>
        <v>773</v>
      </c>
      <c r="Q153" s="36"/>
      <c r="R153" s="30"/>
    </row>
    <row r="154" spans="1:18" ht="15.75" customHeight="1" x14ac:dyDescent="0.2">
      <c r="A154" s="37">
        <v>45848</v>
      </c>
      <c r="B154" s="22">
        <f t="shared" si="1"/>
        <v>134</v>
      </c>
      <c r="C154" s="28">
        <f t="shared" si="2"/>
        <v>1016</v>
      </c>
      <c r="D154" s="24">
        <v>-1859</v>
      </c>
      <c r="E154" s="28">
        <v>2985</v>
      </c>
      <c r="F154" s="22">
        <f t="shared" si="3"/>
        <v>849</v>
      </c>
      <c r="G154" s="22">
        <f t="shared" si="4"/>
        <v>134</v>
      </c>
      <c r="H154" s="28">
        <f t="shared" si="5"/>
        <v>885</v>
      </c>
      <c r="I154" s="24">
        <v>-1871</v>
      </c>
      <c r="J154" s="28">
        <v>2856</v>
      </c>
      <c r="K154" s="22">
        <f t="shared" si="6"/>
        <v>910</v>
      </c>
      <c r="L154" s="22">
        <f t="shared" si="7"/>
        <v>134</v>
      </c>
      <c r="M154" s="28">
        <f t="shared" si="8"/>
        <v>1027</v>
      </c>
      <c r="N154" s="24">
        <v>-1487</v>
      </c>
      <c r="O154" s="28">
        <v>2614</v>
      </c>
      <c r="P154" s="22">
        <f t="shared" si="9"/>
        <v>783</v>
      </c>
      <c r="Q154" s="36"/>
      <c r="R154" s="30"/>
    </row>
    <row r="155" spans="1:18" ht="15.75" customHeight="1" x14ac:dyDescent="0.2">
      <c r="A155" s="37">
        <v>45849</v>
      </c>
      <c r="B155" s="22">
        <f t="shared" si="1"/>
        <v>135</v>
      </c>
      <c r="C155" s="28">
        <f t="shared" si="2"/>
        <v>1015</v>
      </c>
      <c r="D155" s="24">
        <v>-1860</v>
      </c>
      <c r="E155" s="28">
        <v>2985</v>
      </c>
      <c r="F155" s="22">
        <f t="shared" si="3"/>
        <v>850</v>
      </c>
      <c r="G155" s="22">
        <f t="shared" si="4"/>
        <v>135</v>
      </c>
      <c r="H155" s="28">
        <f t="shared" si="5"/>
        <v>881</v>
      </c>
      <c r="I155" s="24">
        <v>-1875</v>
      </c>
      <c r="J155" s="28">
        <v>2856</v>
      </c>
      <c r="K155" s="22">
        <f t="shared" si="6"/>
        <v>914</v>
      </c>
      <c r="L155" s="22">
        <f t="shared" si="7"/>
        <v>135</v>
      </c>
      <c r="M155" s="28">
        <f t="shared" si="8"/>
        <v>1017</v>
      </c>
      <c r="N155" s="24">
        <v>-1497</v>
      </c>
      <c r="O155" s="28">
        <v>2614</v>
      </c>
      <c r="P155" s="22">
        <f t="shared" si="9"/>
        <v>793</v>
      </c>
      <c r="Q155" s="36"/>
      <c r="R155" s="30"/>
    </row>
    <row r="156" spans="1:18" ht="15.75" customHeight="1" x14ac:dyDescent="0.2">
      <c r="A156" s="37">
        <v>45850</v>
      </c>
      <c r="B156" s="22">
        <f t="shared" si="1"/>
        <v>136</v>
      </c>
      <c r="C156" s="28">
        <f t="shared" si="2"/>
        <v>1014</v>
      </c>
      <c r="D156" s="24">
        <v>-1861</v>
      </c>
      <c r="E156" s="28">
        <v>2985</v>
      </c>
      <c r="F156" s="22">
        <f t="shared" si="3"/>
        <v>851</v>
      </c>
      <c r="G156" s="22">
        <f t="shared" si="4"/>
        <v>136</v>
      </c>
      <c r="H156" s="28">
        <f t="shared" si="5"/>
        <v>877</v>
      </c>
      <c r="I156" s="24">
        <v>-1879</v>
      </c>
      <c r="J156" s="28">
        <v>2856</v>
      </c>
      <c r="K156" s="22">
        <f t="shared" si="6"/>
        <v>918</v>
      </c>
      <c r="L156" s="22">
        <f t="shared" si="7"/>
        <v>136</v>
      </c>
      <c r="M156" s="28">
        <f t="shared" si="8"/>
        <v>1007</v>
      </c>
      <c r="N156" s="24">
        <v>-1507</v>
      </c>
      <c r="O156" s="28">
        <v>2614</v>
      </c>
      <c r="P156" s="22">
        <f t="shared" si="9"/>
        <v>803</v>
      </c>
      <c r="Q156" s="36"/>
      <c r="R156" s="30"/>
    </row>
    <row r="157" spans="1:18" ht="15.75" customHeight="1" x14ac:dyDescent="0.2">
      <c r="A157" s="37">
        <v>45851</v>
      </c>
      <c r="B157" s="22">
        <f t="shared" si="1"/>
        <v>137</v>
      </c>
      <c r="C157" s="28">
        <f t="shared" si="2"/>
        <v>1013</v>
      </c>
      <c r="D157" s="24">
        <v>-1862</v>
      </c>
      <c r="E157" s="28">
        <v>2985</v>
      </c>
      <c r="F157" s="22">
        <f t="shared" si="3"/>
        <v>852</v>
      </c>
      <c r="G157" s="22">
        <f t="shared" si="4"/>
        <v>137</v>
      </c>
      <c r="H157" s="28">
        <f t="shared" si="5"/>
        <v>873</v>
      </c>
      <c r="I157" s="24">
        <v>-1883</v>
      </c>
      <c r="J157" s="28">
        <v>2856</v>
      </c>
      <c r="K157" s="22">
        <f t="shared" si="6"/>
        <v>922</v>
      </c>
      <c r="L157" s="22">
        <f t="shared" si="7"/>
        <v>137</v>
      </c>
      <c r="M157" s="28">
        <f t="shared" si="8"/>
        <v>997</v>
      </c>
      <c r="N157" s="24">
        <v>-1517</v>
      </c>
      <c r="O157" s="28">
        <v>2614</v>
      </c>
      <c r="P157" s="22">
        <f t="shared" si="9"/>
        <v>813</v>
      </c>
      <c r="Q157" s="36"/>
      <c r="R157" s="30"/>
    </row>
    <row r="158" spans="1:18" ht="15.75" customHeight="1" x14ac:dyDescent="0.2">
      <c r="A158" s="37">
        <v>45852</v>
      </c>
      <c r="B158" s="22">
        <f t="shared" si="1"/>
        <v>138</v>
      </c>
      <c r="C158" s="28">
        <f t="shared" si="2"/>
        <v>1012</v>
      </c>
      <c r="D158" s="24">
        <v>-1863</v>
      </c>
      <c r="E158" s="28">
        <v>2985</v>
      </c>
      <c r="F158" s="22">
        <f t="shared" si="3"/>
        <v>853</v>
      </c>
      <c r="G158" s="22">
        <f t="shared" si="4"/>
        <v>138</v>
      </c>
      <c r="H158" s="28">
        <f t="shared" si="5"/>
        <v>869</v>
      </c>
      <c r="I158" s="24">
        <v>-1887</v>
      </c>
      <c r="J158" s="28">
        <v>2856</v>
      </c>
      <c r="K158" s="22">
        <f t="shared" si="6"/>
        <v>926</v>
      </c>
      <c r="L158" s="22">
        <f t="shared" si="7"/>
        <v>138</v>
      </c>
      <c r="M158" s="28">
        <f t="shared" si="8"/>
        <v>987</v>
      </c>
      <c r="N158" s="24">
        <v>-1527</v>
      </c>
      <c r="O158" s="28">
        <v>2614</v>
      </c>
      <c r="P158" s="22">
        <f t="shared" si="9"/>
        <v>823</v>
      </c>
      <c r="Q158" s="36"/>
      <c r="R158" s="30"/>
    </row>
    <row r="159" spans="1:18" ht="15.75" customHeight="1" x14ac:dyDescent="0.2">
      <c r="A159" s="37">
        <v>45853</v>
      </c>
      <c r="B159" s="22">
        <f t="shared" si="1"/>
        <v>139</v>
      </c>
      <c r="C159" s="28">
        <f t="shared" si="2"/>
        <v>1011</v>
      </c>
      <c r="D159" s="24">
        <v>-1864</v>
      </c>
      <c r="E159" s="28">
        <v>2985</v>
      </c>
      <c r="F159" s="22">
        <f t="shared" si="3"/>
        <v>854</v>
      </c>
      <c r="G159" s="22">
        <f t="shared" si="4"/>
        <v>139</v>
      </c>
      <c r="H159" s="28">
        <f t="shared" si="5"/>
        <v>865</v>
      </c>
      <c r="I159" s="24">
        <v>-1891</v>
      </c>
      <c r="J159" s="28">
        <v>2856</v>
      </c>
      <c r="K159" s="22">
        <f t="shared" si="6"/>
        <v>930</v>
      </c>
      <c r="L159" s="22">
        <f t="shared" si="7"/>
        <v>139</v>
      </c>
      <c r="M159" s="28">
        <f t="shared" si="8"/>
        <v>977</v>
      </c>
      <c r="N159" s="24">
        <v>-1537</v>
      </c>
      <c r="O159" s="28">
        <v>2614</v>
      </c>
      <c r="P159" s="22">
        <f t="shared" si="9"/>
        <v>833</v>
      </c>
      <c r="Q159" s="36"/>
      <c r="R159" s="30"/>
    </row>
    <row r="160" spans="1:18" ht="15.75" customHeight="1" x14ac:dyDescent="0.2">
      <c r="A160" s="37">
        <v>45854</v>
      </c>
      <c r="B160" s="22">
        <f t="shared" si="1"/>
        <v>140</v>
      </c>
      <c r="C160" s="28">
        <f t="shared" si="2"/>
        <v>1010</v>
      </c>
      <c r="D160" s="24">
        <v>-1865</v>
      </c>
      <c r="E160" s="28">
        <v>2985</v>
      </c>
      <c r="F160" s="22">
        <f t="shared" si="3"/>
        <v>855</v>
      </c>
      <c r="G160" s="22">
        <f t="shared" si="4"/>
        <v>140</v>
      </c>
      <c r="H160" s="28">
        <f t="shared" si="5"/>
        <v>861</v>
      </c>
      <c r="I160" s="24">
        <v>-1895</v>
      </c>
      <c r="J160" s="28">
        <v>2856</v>
      </c>
      <c r="K160" s="22">
        <f t="shared" si="6"/>
        <v>934</v>
      </c>
      <c r="L160" s="22">
        <f t="shared" si="7"/>
        <v>140</v>
      </c>
      <c r="M160" s="28">
        <f t="shared" si="8"/>
        <v>967</v>
      </c>
      <c r="N160" s="24">
        <v>-1547</v>
      </c>
      <c r="O160" s="28">
        <v>2614</v>
      </c>
      <c r="P160" s="22">
        <f t="shared" si="9"/>
        <v>843</v>
      </c>
      <c r="Q160" s="36"/>
      <c r="R160" s="30"/>
    </row>
    <row r="161" spans="1:18" ht="15.75" customHeight="1" x14ac:dyDescent="0.2">
      <c r="A161" s="37">
        <v>45855</v>
      </c>
      <c r="B161" s="22">
        <f t="shared" si="1"/>
        <v>141</v>
      </c>
      <c r="C161" s="28">
        <f t="shared" si="2"/>
        <v>1009</v>
      </c>
      <c r="D161" s="24">
        <v>-1866</v>
      </c>
      <c r="E161" s="28">
        <v>2985</v>
      </c>
      <c r="F161" s="22">
        <f t="shared" si="3"/>
        <v>856</v>
      </c>
      <c r="G161" s="22">
        <f t="shared" si="4"/>
        <v>141</v>
      </c>
      <c r="H161" s="28">
        <f t="shared" si="5"/>
        <v>857</v>
      </c>
      <c r="I161" s="24">
        <v>-1899</v>
      </c>
      <c r="J161" s="28">
        <v>2856</v>
      </c>
      <c r="K161" s="22">
        <f t="shared" si="6"/>
        <v>938</v>
      </c>
      <c r="L161" s="22">
        <f t="shared" si="7"/>
        <v>141</v>
      </c>
      <c r="M161" s="28">
        <f t="shared" si="8"/>
        <v>957</v>
      </c>
      <c r="N161" s="24">
        <v>-1557</v>
      </c>
      <c r="O161" s="28">
        <v>2614</v>
      </c>
      <c r="P161" s="22">
        <f t="shared" si="9"/>
        <v>853</v>
      </c>
      <c r="Q161" s="36"/>
      <c r="R161" s="30"/>
    </row>
    <row r="162" spans="1:18" ht="15.75" customHeight="1" x14ac:dyDescent="0.2">
      <c r="A162" s="37">
        <v>45856</v>
      </c>
      <c r="B162" s="22">
        <f t="shared" si="1"/>
        <v>142</v>
      </c>
      <c r="C162" s="28">
        <f t="shared" si="2"/>
        <v>1008</v>
      </c>
      <c r="D162" s="24">
        <v>-1867</v>
      </c>
      <c r="E162" s="28">
        <v>2985</v>
      </c>
      <c r="F162" s="22">
        <f t="shared" si="3"/>
        <v>857</v>
      </c>
      <c r="G162" s="22">
        <f t="shared" si="4"/>
        <v>142</v>
      </c>
      <c r="H162" s="28">
        <f t="shared" si="5"/>
        <v>853</v>
      </c>
      <c r="I162" s="24">
        <v>-1903</v>
      </c>
      <c r="J162" s="28">
        <v>2856</v>
      </c>
      <c r="K162" s="22">
        <f t="shared" si="6"/>
        <v>942</v>
      </c>
      <c r="L162" s="22">
        <f t="shared" si="7"/>
        <v>142</v>
      </c>
      <c r="M162" s="28">
        <f t="shared" si="8"/>
        <v>947</v>
      </c>
      <c r="N162" s="24">
        <v>-1567</v>
      </c>
      <c r="O162" s="28">
        <v>2614</v>
      </c>
      <c r="P162" s="22">
        <f t="shared" si="9"/>
        <v>863</v>
      </c>
      <c r="Q162" s="36"/>
      <c r="R162" s="30"/>
    </row>
    <row r="163" spans="1:18" ht="15.75" customHeight="1" x14ac:dyDescent="0.2">
      <c r="A163" s="37">
        <v>45857</v>
      </c>
      <c r="B163" s="22">
        <f t="shared" si="1"/>
        <v>143</v>
      </c>
      <c r="C163" s="28">
        <f t="shared" si="2"/>
        <v>1007</v>
      </c>
      <c r="D163" s="24">
        <v>-1868</v>
      </c>
      <c r="E163" s="28">
        <v>2985</v>
      </c>
      <c r="F163" s="22">
        <f t="shared" si="3"/>
        <v>858</v>
      </c>
      <c r="G163" s="22">
        <f t="shared" si="4"/>
        <v>143</v>
      </c>
      <c r="H163" s="28">
        <f t="shared" si="5"/>
        <v>849</v>
      </c>
      <c r="I163" s="24">
        <v>-1907</v>
      </c>
      <c r="J163" s="28">
        <v>2856</v>
      </c>
      <c r="K163" s="22">
        <f t="shared" si="6"/>
        <v>946</v>
      </c>
      <c r="L163" s="22">
        <f t="shared" si="7"/>
        <v>143</v>
      </c>
      <c r="M163" s="28">
        <f t="shared" si="8"/>
        <v>937</v>
      </c>
      <c r="N163" s="24">
        <v>-1577</v>
      </c>
      <c r="O163" s="28">
        <v>2614</v>
      </c>
      <c r="P163" s="22">
        <f t="shared" si="9"/>
        <v>873</v>
      </c>
      <c r="Q163" s="36"/>
      <c r="R163" s="30"/>
    </row>
    <row r="164" spans="1:18" ht="15.75" customHeight="1" x14ac:dyDescent="0.2">
      <c r="A164" s="37">
        <v>45858</v>
      </c>
      <c r="B164" s="22">
        <f t="shared" si="1"/>
        <v>144</v>
      </c>
      <c r="C164" s="28">
        <f t="shared" si="2"/>
        <v>1006</v>
      </c>
      <c r="D164" s="24">
        <v>-1869</v>
      </c>
      <c r="E164" s="28">
        <v>2985</v>
      </c>
      <c r="F164" s="22">
        <f t="shared" si="3"/>
        <v>859</v>
      </c>
      <c r="G164" s="22">
        <f t="shared" si="4"/>
        <v>144</v>
      </c>
      <c r="H164" s="28">
        <f t="shared" si="5"/>
        <v>845</v>
      </c>
      <c r="I164" s="24">
        <v>-1911</v>
      </c>
      <c r="J164" s="28">
        <v>2856</v>
      </c>
      <c r="K164" s="22">
        <f t="shared" si="6"/>
        <v>950</v>
      </c>
      <c r="L164" s="22">
        <f t="shared" si="7"/>
        <v>144</v>
      </c>
      <c r="M164" s="28">
        <f t="shared" si="8"/>
        <v>927</v>
      </c>
      <c r="N164" s="24">
        <v>-1587</v>
      </c>
      <c r="O164" s="28">
        <v>2614</v>
      </c>
      <c r="P164" s="22">
        <f t="shared" si="9"/>
        <v>883</v>
      </c>
      <c r="Q164" s="36"/>
      <c r="R164" s="30"/>
    </row>
    <row r="165" spans="1:18" ht="15.75" customHeight="1" x14ac:dyDescent="0.2">
      <c r="A165" s="37">
        <v>45859</v>
      </c>
      <c r="B165" s="22">
        <f t="shared" si="1"/>
        <v>145</v>
      </c>
      <c r="C165" s="28">
        <f t="shared" si="2"/>
        <v>1005</v>
      </c>
      <c r="D165" s="24">
        <v>-1870</v>
      </c>
      <c r="E165" s="28">
        <v>2985</v>
      </c>
      <c r="F165" s="22">
        <f t="shared" si="3"/>
        <v>860</v>
      </c>
      <c r="G165" s="22">
        <f t="shared" si="4"/>
        <v>145</v>
      </c>
      <c r="H165" s="28">
        <f t="shared" si="5"/>
        <v>845</v>
      </c>
      <c r="I165" s="24">
        <v>-1911</v>
      </c>
      <c r="J165" s="28">
        <v>2856</v>
      </c>
      <c r="K165" s="22">
        <f t="shared" si="6"/>
        <v>950</v>
      </c>
      <c r="L165" s="22">
        <f t="shared" si="7"/>
        <v>145</v>
      </c>
      <c r="M165" s="28">
        <f t="shared" si="8"/>
        <v>917</v>
      </c>
      <c r="N165" s="24">
        <v>-1597</v>
      </c>
      <c r="O165" s="28">
        <v>2614</v>
      </c>
      <c r="P165" s="22">
        <f t="shared" si="9"/>
        <v>893</v>
      </c>
      <c r="Q165" s="36"/>
      <c r="R165" s="30"/>
    </row>
    <row r="166" spans="1:18" ht="15.75" customHeight="1" x14ac:dyDescent="0.2">
      <c r="A166" s="37">
        <v>45860</v>
      </c>
      <c r="B166" s="22">
        <f t="shared" si="1"/>
        <v>146</v>
      </c>
      <c r="C166" s="28">
        <f t="shared" si="2"/>
        <v>999</v>
      </c>
      <c r="D166" s="24">
        <v>-1876</v>
      </c>
      <c r="E166" s="28">
        <v>2985</v>
      </c>
      <c r="F166" s="22">
        <f t="shared" si="3"/>
        <v>866</v>
      </c>
      <c r="G166" s="22">
        <f t="shared" si="4"/>
        <v>146</v>
      </c>
      <c r="H166" s="28">
        <f t="shared" si="5"/>
        <v>844</v>
      </c>
      <c r="I166" s="24">
        <v>-1912</v>
      </c>
      <c r="J166" s="28">
        <v>2856</v>
      </c>
      <c r="K166" s="22">
        <f t="shared" si="6"/>
        <v>951</v>
      </c>
      <c r="L166" s="22">
        <f t="shared" si="7"/>
        <v>146</v>
      </c>
      <c r="M166" s="28">
        <f t="shared" si="8"/>
        <v>907</v>
      </c>
      <c r="N166" s="24">
        <v>-1607</v>
      </c>
      <c r="O166" s="28">
        <v>2614</v>
      </c>
      <c r="P166" s="22">
        <f t="shared" si="9"/>
        <v>903</v>
      </c>
      <c r="Q166" s="36"/>
      <c r="R166" s="30"/>
    </row>
    <row r="167" spans="1:18" ht="15.75" customHeight="1" x14ac:dyDescent="0.2">
      <c r="A167" s="37">
        <v>45861</v>
      </c>
      <c r="B167" s="22">
        <f t="shared" si="1"/>
        <v>147</v>
      </c>
      <c r="C167" s="28">
        <f t="shared" si="2"/>
        <v>993</v>
      </c>
      <c r="D167" s="24">
        <v>-1882</v>
      </c>
      <c r="E167" s="28">
        <v>2985</v>
      </c>
      <c r="F167" s="22">
        <f t="shared" si="3"/>
        <v>872</v>
      </c>
      <c r="G167" s="22">
        <f t="shared" si="4"/>
        <v>147</v>
      </c>
      <c r="H167" s="28">
        <f t="shared" si="5"/>
        <v>834</v>
      </c>
      <c r="I167" s="24">
        <v>-1922</v>
      </c>
      <c r="J167" s="28">
        <v>2856</v>
      </c>
      <c r="K167" s="22">
        <f t="shared" si="6"/>
        <v>961</v>
      </c>
      <c r="L167" s="22">
        <f t="shared" si="7"/>
        <v>147</v>
      </c>
      <c r="M167" s="28">
        <f t="shared" si="8"/>
        <v>897</v>
      </c>
      <c r="N167" s="24">
        <v>-1617</v>
      </c>
      <c r="O167" s="28">
        <v>2614</v>
      </c>
      <c r="P167" s="22">
        <f t="shared" si="9"/>
        <v>913</v>
      </c>
      <c r="Q167" s="36"/>
      <c r="R167" s="30"/>
    </row>
    <row r="168" spans="1:18" ht="15.75" customHeight="1" x14ac:dyDescent="0.2">
      <c r="A168" s="37">
        <v>45862</v>
      </c>
      <c r="B168" s="22">
        <f t="shared" si="1"/>
        <v>148</v>
      </c>
      <c r="C168" s="28">
        <f t="shared" si="2"/>
        <v>987</v>
      </c>
      <c r="D168" s="24">
        <v>-1888</v>
      </c>
      <c r="E168" s="28">
        <v>2985</v>
      </c>
      <c r="F168" s="22">
        <f t="shared" si="3"/>
        <v>878</v>
      </c>
      <c r="G168" s="22">
        <f t="shared" si="4"/>
        <v>148</v>
      </c>
      <c r="H168" s="28">
        <f t="shared" si="5"/>
        <v>824</v>
      </c>
      <c r="I168" s="24">
        <v>-1932</v>
      </c>
      <c r="J168" s="28">
        <v>2856</v>
      </c>
      <c r="K168" s="22">
        <f t="shared" si="6"/>
        <v>971</v>
      </c>
      <c r="L168" s="22">
        <f t="shared" si="7"/>
        <v>148</v>
      </c>
      <c r="M168" s="28">
        <f t="shared" si="8"/>
        <v>887</v>
      </c>
      <c r="N168" s="24">
        <v>-1627</v>
      </c>
      <c r="O168" s="28">
        <v>2614</v>
      </c>
      <c r="P168" s="22">
        <f t="shared" si="9"/>
        <v>923</v>
      </c>
      <c r="Q168" s="36"/>
      <c r="R168" s="30"/>
    </row>
    <row r="169" spans="1:18" ht="15.75" customHeight="1" x14ac:dyDescent="0.2">
      <c r="A169" s="37">
        <v>45863</v>
      </c>
      <c r="B169" s="22">
        <f t="shared" si="1"/>
        <v>149</v>
      </c>
      <c r="C169" s="28">
        <f t="shared" si="2"/>
        <v>981</v>
      </c>
      <c r="D169" s="24">
        <v>-1894</v>
      </c>
      <c r="E169" s="28">
        <v>2985</v>
      </c>
      <c r="F169" s="22">
        <f t="shared" si="3"/>
        <v>884</v>
      </c>
      <c r="G169" s="22">
        <f t="shared" si="4"/>
        <v>149</v>
      </c>
      <c r="H169" s="28">
        <f t="shared" si="5"/>
        <v>814</v>
      </c>
      <c r="I169" s="24">
        <v>-1942</v>
      </c>
      <c r="J169" s="28">
        <v>2856</v>
      </c>
      <c r="K169" s="22">
        <f t="shared" si="6"/>
        <v>981</v>
      </c>
      <c r="L169" s="22">
        <f t="shared" si="7"/>
        <v>149</v>
      </c>
      <c r="M169" s="28">
        <f t="shared" si="8"/>
        <v>877</v>
      </c>
      <c r="N169" s="24">
        <v>-1637</v>
      </c>
      <c r="O169" s="28">
        <v>2614</v>
      </c>
      <c r="P169" s="22">
        <f t="shared" si="9"/>
        <v>933</v>
      </c>
      <c r="Q169" s="36"/>
      <c r="R169" s="30"/>
    </row>
    <row r="170" spans="1:18" ht="15.75" customHeight="1" x14ac:dyDescent="0.2">
      <c r="A170" s="37">
        <v>45864</v>
      </c>
      <c r="B170" s="22">
        <f t="shared" si="1"/>
        <v>150</v>
      </c>
      <c r="C170" s="28">
        <f t="shared" si="2"/>
        <v>975</v>
      </c>
      <c r="D170" s="24">
        <v>-1900</v>
      </c>
      <c r="E170" s="28">
        <v>2985</v>
      </c>
      <c r="F170" s="22">
        <f t="shared" si="3"/>
        <v>890</v>
      </c>
      <c r="G170" s="22">
        <f t="shared" si="4"/>
        <v>150</v>
      </c>
      <c r="H170" s="28">
        <f t="shared" si="5"/>
        <v>804</v>
      </c>
      <c r="I170" s="24">
        <v>-1952</v>
      </c>
      <c r="J170" s="28">
        <v>2856</v>
      </c>
      <c r="K170" s="22">
        <f t="shared" si="6"/>
        <v>991</v>
      </c>
      <c r="L170" s="22">
        <f t="shared" si="7"/>
        <v>150</v>
      </c>
      <c r="M170" s="28">
        <f t="shared" si="8"/>
        <v>867</v>
      </c>
      <c r="N170" s="24">
        <v>-1647</v>
      </c>
      <c r="O170" s="28">
        <v>2614</v>
      </c>
      <c r="P170" s="22">
        <f t="shared" si="9"/>
        <v>943</v>
      </c>
      <c r="Q170" s="36"/>
      <c r="R170" s="30"/>
    </row>
    <row r="171" spans="1:18" ht="15.75" customHeight="1" x14ac:dyDescent="0.2">
      <c r="A171" s="37">
        <v>45865</v>
      </c>
      <c r="B171" s="22">
        <f t="shared" si="1"/>
        <v>151</v>
      </c>
      <c r="C171" s="25">
        <v>1983</v>
      </c>
      <c r="D171" s="24">
        <v>-1906</v>
      </c>
      <c r="E171" s="28">
        <v>2985</v>
      </c>
      <c r="F171" s="22">
        <f t="shared" si="3"/>
        <v>896</v>
      </c>
      <c r="G171" s="22">
        <f t="shared" si="4"/>
        <v>151</v>
      </c>
      <c r="H171" s="25">
        <v>2015</v>
      </c>
      <c r="I171" s="24">
        <v>-1962</v>
      </c>
      <c r="J171" s="28">
        <v>2856</v>
      </c>
      <c r="K171" s="22">
        <f t="shared" si="6"/>
        <v>1001</v>
      </c>
      <c r="L171" s="22">
        <f t="shared" si="7"/>
        <v>151</v>
      </c>
      <c r="M171" s="25">
        <v>1973</v>
      </c>
      <c r="N171" s="24">
        <v>-1657</v>
      </c>
      <c r="O171" s="28">
        <v>2614</v>
      </c>
      <c r="P171" s="22">
        <f t="shared" si="9"/>
        <v>953</v>
      </c>
      <c r="Q171" s="36"/>
      <c r="R171" s="30"/>
    </row>
    <row r="172" spans="1:18" ht="15.75" customHeight="1" x14ac:dyDescent="0.2">
      <c r="A172" s="37"/>
      <c r="B172" s="22"/>
      <c r="C172" s="28"/>
      <c r="D172" s="24"/>
      <c r="E172" s="28"/>
      <c r="F172" s="22"/>
      <c r="G172" s="22"/>
      <c r="H172" s="28"/>
      <c r="I172" s="24"/>
      <c r="J172" s="28"/>
      <c r="K172" s="22"/>
      <c r="L172" s="22"/>
      <c r="M172" s="28"/>
      <c r="N172" s="24"/>
      <c r="O172" s="28"/>
      <c r="P172" s="22"/>
      <c r="Q172" s="36"/>
      <c r="R172" s="30"/>
    </row>
    <row r="173" spans="1:18" ht="15.75" customHeight="1" x14ac:dyDescent="0.2">
      <c r="A173" s="37"/>
      <c r="B173" s="22"/>
      <c r="C173" s="28"/>
      <c r="D173" s="24"/>
      <c r="E173" s="28"/>
      <c r="F173" s="22"/>
      <c r="G173" s="22"/>
      <c r="H173" s="28"/>
      <c r="I173" s="24"/>
      <c r="J173" s="28"/>
      <c r="K173" s="22"/>
      <c r="L173" s="22"/>
      <c r="M173" s="28"/>
      <c r="N173" s="24"/>
      <c r="O173" s="28"/>
      <c r="P173" s="22"/>
      <c r="Q173" s="36"/>
      <c r="R173" s="30"/>
    </row>
    <row r="174" spans="1:18" ht="15.75" customHeight="1" x14ac:dyDescent="0.2">
      <c r="A174" s="37"/>
      <c r="B174" s="22"/>
      <c r="C174" s="28"/>
      <c r="D174" s="24"/>
      <c r="E174" s="28"/>
      <c r="F174" s="22"/>
      <c r="G174" s="22"/>
      <c r="H174" s="28"/>
      <c r="I174" s="24"/>
      <c r="J174" s="28"/>
      <c r="K174" s="22"/>
      <c r="L174" s="22"/>
      <c r="M174" s="28"/>
      <c r="N174" s="24"/>
      <c r="O174" s="28"/>
      <c r="P174" s="22"/>
      <c r="Q174" s="36"/>
      <c r="R174" s="30"/>
    </row>
    <row r="175" spans="1:18" ht="15.75" customHeight="1" x14ac:dyDescent="0.2">
      <c r="A175" s="37"/>
      <c r="B175" s="22"/>
      <c r="C175" s="28"/>
      <c r="D175" s="24"/>
      <c r="E175" s="28"/>
      <c r="F175" s="22"/>
      <c r="G175" s="22"/>
      <c r="H175" s="28"/>
      <c r="I175" s="24"/>
      <c r="J175" s="28"/>
      <c r="K175" s="22"/>
      <c r="L175" s="22"/>
      <c r="M175" s="28"/>
      <c r="N175" s="24"/>
      <c r="O175" s="28"/>
      <c r="P175" s="22"/>
      <c r="Q175" s="36"/>
      <c r="R175" s="30"/>
    </row>
    <row r="176" spans="1:18" ht="15.75" customHeight="1" x14ac:dyDescent="0.2">
      <c r="A176" s="37"/>
      <c r="B176" s="22"/>
      <c r="C176" s="28"/>
      <c r="D176" s="24"/>
      <c r="E176" s="28"/>
      <c r="F176" s="22"/>
      <c r="G176" s="22"/>
      <c r="H176" s="28"/>
      <c r="I176" s="24"/>
      <c r="J176" s="28"/>
      <c r="K176" s="22"/>
      <c r="L176" s="22"/>
      <c r="M176" s="28"/>
      <c r="N176" s="24"/>
      <c r="O176" s="28"/>
      <c r="P176" s="22"/>
      <c r="Q176" s="36"/>
      <c r="R176" s="30"/>
    </row>
    <row r="177" spans="1:18" ht="15.75" customHeight="1" x14ac:dyDescent="0.2">
      <c r="A177" s="37"/>
      <c r="B177" s="22"/>
      <c r="C177" s="28"/>
      <c r="D177" s="24"/>
      <c r="E177" s="28"/>
      <c r="F177" s="22"/>
      <c r="G177" s="22"/>
      <c r="H177" s="28"/>
      <c r="I177" s="24"/>
      <c r="J177" s="28"/>
      <c r="K177" s="22"/>
      <c r="L177" s="22"/>
      <c r="M177" s="28"/>
      <c r="N177" s="24"/>
      <c r="O177" s="28"/>
      <c r="P177" s="22"/>
      <c r="Q177" s="36"/>
      <c r="R177" s="30"/>
    </row>
    <row r="178" spans="1:18" ht="15.75" customHeight="1" x14ac:dyDescent="0.2">
      <c r="A178" s="37"/>
      <c r="B178" s="22"/>
      <c r="C178" s="28"/>
      <c r="D178" s="24"/>
      <c r="E178" s="28"/>
      <c r="F178" s="22"/>
      <c r="G178" s="22"/>
      <c r="H178" s="28"/>
      <c r="I178" s="24"/>
      <c r="J178" s="28"/>
      <c r="K178" s="22"/>
      <c r="L178" s="22"/>
      <c r="M178" s="28"/>
      <c r="N178" s="24"/>
      <c r="O178" s="28"/>
      <c r="P178" s="22"/>
      <c r="Q178" s="36"/>
      <c r="R178" s="30"/>
    </row>
    <row r="179" spans="1:18" ht="15.75" customHeight="1" x14ac:dyDescent="0.2"/>
    <row r="180" spans="1:18" ht="15.75" customHeight="1" x14ac:dyDescent="0.2"/>
    <row r="181" spans="1:18" ht="15.75" customHeight="1" x14ac:dyDescent="0.2"/>
    <row r="182" spans="1:18" ht="15.75" customHeight="1" x14ac:dyDescent="0.2"/>
    <row r="183" spans="1:18" ht="15.75" customHeight="1" x14ac:dyDescent="0.2"/>
    <row r="184" spans="1:18" ht="15.75" customHeight="1" x14ac:dyDescent="0.2"/>
    <row r="185" spans="1:18" ht="15.75" customHeight="1" x14ac:dyDescent="0.2"/>
    <row r="186" spans="1:18" ht="15.75" customHeight="1" x14ac:dyDescent="0.2"/>
    <row r="187" spans="1:18" ht="15.75" customHeight="1" x14ac:dyDescent="0.2"/>
    <row r="188" spans="1:18" ht="15.75" customHeight="1" x14ac:dyDescent="0.2"/>
    <row r="189" spans="1:18" ht="15.75" customHeight="1" x14ac:dyDescent="0.2"/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</sheetData>
  <mergeCells count="63"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  <mergeCell ref="A1:R1"/>
    <mergeCell ref="A2:R2"/>
    <mergeCell ref="A3:R3"/>
    <mergeCell ref="A4:F4"/>
    <mergeCell ref="G4:L4"/>
    <mergeCell ref="M4:R4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78">
    <cfRule type="cellIs" dxfId="9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5">
    <outlinePr summaryBelow="0" summaryRight="0"/>
  </sheetPr>
  <dimension ref="A1:R1071"/>
  <sheetViews>
    <sheetView topLeftCell="A162" workbookViewId="0">
      <selection sqref="A1:R1"/>
    </sheetView>
  </sheetViews>
  <sheetFormatPr defaultColWidth="14.42578125" defaultRowHeight="15" customHeight="1" x14ac:dyDescent="0.2"/>
  <cols>
    <col min="1" max="1" width="12.28515625" customWidth="1"/>
    <col min="2" max="2" width="11.140625" customWidth="1"/>
    <col min="3" max="3" width="10.7109375" customWidth="1"/>
    <col min="4" max="4" width="11.42578125" customWidth="1"/>
    <col min="5" max="5" width="9.85546875" customWidth="1"/>
    <col min="6" max="6" width="9.140625" customWidth="1"/>
    <col min="7" max="7" width="8.140625" customWidth="1"/>
    <col min="8" max="8" width="9.7109375" customWidth="1"/>
    <col min="9" max="9" width="9.85546875" customWidth="1"/>
    <col min="10" max="10" width="8.85546875" customWidth="1"/>
    <col min="11" max="11" width="9.42578125" customWidth="1"/>
    <col min="12" max="12" width="8.7109375" customWidth="1"/>
    <col min="13" max="13" width="8.85546875" customWidth="1"/>
    <col min="14" max="14" width="9.28515625" customWidth="1"/>
    <col min="15" max="15" width="8.28515625" customWidth="1"/>
    <col min="16" max="16" width="9.28515625" customWidth="1"/>
    <col min="17" max="17" width="11" customWidth="1"/>
    <col min="18" max="18" width="11.42578125" customWidth="1"/>
  </cols>
  <sheetData>
    <row r="1" spans="1:18" ht="12.75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2.75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2.75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2.75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2.75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(27/02/25)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25.5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1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2.75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3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2.75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6"/>
      <c r="J12" s="123"/>
      <c r="K12" s="10"/>
      <c r="L12" s="122"/>
      <c r="M12" s="123"/>
      <c r="N12" s="122"/>
      <c r="O12" s="123"/>
      <c r="P12" s="124" t="s">
        <v>104</v>
      </c>
      <c r="Q12" s="125"/>
      <c r="R12" s="126"/>
    </row>
    <row r="13" spans="1:18" ht="12.75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99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2.75" x14ac:dyDescent="0.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105</v>
      </c>
      <c r="R16" s="112" t="s">
        <v>106</v>
      </c>
    </row>
    <row r="17" spans="1:18" ht="12.75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08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2.75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2.75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5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2.75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19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ht="15.75" customHeight="1" x14ac:dyDescent="0.2">
      <c r="A21" s="37">
        <v>45715</v>
      </c>
      <c r="B21" s="22">
        <v>1</v>
      </c>
      <c r="C21" s="38">
        <v>2075</v>
      </c>
      <c r="D21" s="39">
        <v>-1194</v>
      </c>
      <c r="E21" s="28">
        <v>3269</v>
      </c>
      <c r="F21" s="22">
        <v>0</v>
      </c>
      <c r="G21" s="22">
        <v>1</v>
      </c>
      <c r="H21" s="28">
        <v>2040</v>
      </c>
      <c r="I21" s="39">
        <v>-1190</v>
      </c>
      <c r="J21" s="28">
        <v>3230</v>
      </c>
      <c r="K21" s="22">
        <f t="shared" ref="K21:K171" si="1">$I$21-I21</f>
        <v>0</v>
      </c>
      <c r="L21" s="22">
        <v>1</v>
      </c>
      <c r="M21" s="38">
        <v>2135</v>
      </c>
      <c r="N21" s="39">
        <v>-1590</v>
      </c>
      <c r="O21" s="28">
        <v>3725</v>
      </c>
      <c r="P21" s="22">
        <f t="shared" ref="P21:P171" si="2">$N$21-N21</f>
        <v>0</v>
      </c>
      <c r="Q21" s="29"/>
      <c r="R21" s="30"/>
    </row>
    <row r="22" spans="1:18" ht="15.75" customHeight="1" x14ac:dyDescent="0.2">
      <c r="A22" s="37">
        <v>45716</v>
      </c>
      <c r="B22" s="22">
        <f t="shared" ref="B22:B171" si="3">B21+1</f>
        <v>2</v>
      </c>
      <c r="C22" s="28">
        <f t="shared" ref="C22:C170" si="4">$C$21-F22</f>
        <v>2075</v>
      </c>
      <c r="D22" s="39">
        <v>-1194</v>
      </c>
      <c r="E22" s="28">
        <v>3269</v>
      </c>
      <c r="F22" s="22">
        <f t="shared" ref="F22:F171" si="5">$D$21-D22</f>
        <v>0</v>
      </c>
      <c r="G22" s="22">
        <f t="shared" ref="G22:G171" si="6">G21+1</f>
        <v>2</v>
      </c>
      <c r="H22" s="28">
        <f t="shared" ref="H22:H170" si="7">$H$21-K22</f>
        <v>2040</v>
      </c>
      <c r="I22" s="39">
        <v>-1190</v>
      </c>
      <c r="J22" s="28">
        <v>3230</v>
      </c>
      <c r="K22" s="22">
        <f t="shared" si="1"/>
        <v>0</v>
      </c>
      <c r="L22" s="22">
        <f t="shared" ref="L22:L86" si="8">L21+1</f>
        <v>2</v>
      </c>
      <c r="M22" s="28">
        <f t="shared" ref="M22:M170" si="9">$M$21-P22</f>
        <v>2135</v>
      </c>
      <c r="N22" s="39">
        <v>-1590</v>
      </c>
      <c r="O22" s="28">
        <v>3725</v>
      </c>
      <c r="P22" s="22">
        <f t="shared" si="2"/>
        <v>0</v>
      </c>
      <c r="Q22" s="29"/>
      <c r="R22" s="30"/>
    </row>
    <row r="23" spans="1:18" ht="15.75" customHeight="1" x14ac:dyDescent="0.2">
      <c r="A23" s="37">
        <v>45717</v>
      </c>
      <c r="B23" s="22">
        <f t="shared" si="3"/>
        <v>3</v>
      </c>
      <c r="C23" s="28">
        <f t="shared" si="4"/>
        <v>2065</v>
      </c>
      <c r="D23" s="39">
        <v>-1204</v>
      </c>
      <c r="E23" s="28">
        <v>3269</v>
      </c>
      <c r="F23" s="22">
        <f t="shared" si="5"/>
        <v>10</v>
      </c>
      <c r="G23" s="22">
        <f t="shared" si="6"/>
        <v>3</v>
      </c>
      <c r="H23" s="28">
        <f t="shared" si="7"/>
        <v>2016</v>
      </c>
      <c r="I23" s="39">
        <v>-1214</v>
      </c>
      <c r="J23" s="28">
        <v>3230</v>
      </c>
      <c r="K23" s="22">
        <f t="shared" si="1"/>
        <v>24</v>
      </c>
      <c r="L23" s="22">
        <f t="shared" si="8"/>
        <v>3</v>
      </c>
      <c r="M23" s="28">
        <f t="shared" si="9"/>
        <v>2126</v>
      </c>
      <c r="N23" s="39">
        <v>-1599</v>
      </c>
      <c r="O23" s="28">
        <v>3725</v>
      </c>
      <c r="P23" s="22">
        <f t="shared" si="2"/>
        <v>9</v>
      </c>
      <c r="Q23" s="29"/>
      <c r="R23" s="30"/>
    </row>
    <row r="24" spans="1:18" ht="15.75" customHeight="1" x14ac:dyDescent="0.2">
      <c r="A24" s="37">
        <v>45718</v>
      </c>
      <c r="B24" s="22">
        <f t="shared" si="3"/>
        <v>4</v>
      </c>
      <c r="C24" s="28">
        <f t="shared" si="4"/>
        <v>2030</v>
      </c>
      <c r="D24" s="39">
        <v>-1239</v>
      </c>
      <c r="E24" s="28">
        <v>3269</v>
      </c>
      <c r="F24" s="22">
        <f t="shared" si="5"/>
        <v>45</v>
      </c>
      <c r="G24" s="22">
        <f t="shared" si="6"/>
        <v>4</v>
      </c>
      <c r="H24" s="28">
        <f t="shared" si="7"/>
        <v>1982</v>
      </c>
      <c r="I24" s="39">
        <v>-1248</v>
      </c>
      <c r="J24" s="28">
        <v>3230</v>
      </c>
      <c r="K24" s="22">
        <f t="shared" si="1"/>
        <v>58</v>
      </c>
      <c r="L24" s="22">
        <f t="shared" si="8"/>
        <v>4</v>
      </c>
      <c r="M24" s="28">
        <f t="shared" si="9"/>
        <v>2091</v>
      </c>
      <c r="N24" s="39">
        <v>-1634</v>
      </c>
      <c r="O24" s="28">
        <v>3725</v>
      </c>
      <c r="P24" s="22">
        <f t="shared" si="2"/>
        <v>44</v>
      </c>
      <c r="Q24" s="29"/>
      <c r="R24" s="30"/>
    </row>
    <row r="25" spans="1:18" ht="15.75" customHeight="1" x14ac:dyDescent="0.2">
      <c r="A25" s="37">
        <v>45719</v>
      </c>
      <c r="B25" s="22">
        <f t="shared" si="3"/>
        <v>5</v>
      </c>
      <c r="C25" s="28">
        <f t="shared" si="4"/>
        <v>2004</v>
      </c>
      <c r="D25" s="39">
        <v>-1265</v>
      </c>
      <c r="E25" s="28">
        <v>3269</v>
      </c>
      <c r="F25" s="22">
        <f t="shared" si="5"/>
        <v>71</v>
      </c>
      <c r="G25" s="22">
        <f t="shared" si="6"/>
        <v>5</v>
      </c>
      <c r="H25" s="28">
        <f t="shared" si="7"/>
        <v>1937</v>
      </c>
      <c r="I25" s="39">
        <v>-1293</v>
      </c>
      <c r="J25" s="28">
        <v>3230</v>
      </c>
      <c r="K25" s="22">
        <f t="shared" si="1"/>
        <v>103</v>
      </c>
      <c r="L25" s="22">
        <f t="shared" si="8"/>
        <v>5</v>
      </c>
      <c r="M25" s="28">
        <f t="shared" si="9"/>
        <v>2064</v>
      </c>
      <c r="N25" s="39">
        <v>-1661</v>
      </c>
      <c r="O25" s="28">
        <v>3725</v>
      </c>
      <c r="P25" s="22">
        <f t="shared" si="2"/>
        <v>71</v>
      </c>
      <c r="Q25" s="29"/>
      <c r="R25" s="30"/>
    </row>
    <row r="26" spans="1:18" ht="15.75" customHeight="1" x14ac:dyDescent="0.2">
      <c r="A26" s="37">
        <v>45720</v>
      </c>
      <c r="B26" s="22">
        <f t="shared" si="3"/>
        <v>6</v>
      </c>
      <c r="C26" s="28">
        <f t="shared" si="4"/>
        <v>1983</v>
      </c>
      <c r="D26" s="39">
        <v>-1286</v>
      </c>
      <c r="E26" s="28">
        <v>3269</v>
      </c>
      <c r="F26" s="22">
        <f t="shared" si="5"/>
        <v>92</v>
      </c>
      <c r="G26" s="22">
        <f t="shared" si="6"/>
        <v>6</v>
      </c>
      <c r="H26" s="28">
        <f t="shared" si="7"/>
        <v>1924</v>
      </c>
      <c r="I26" s="39">
        <v>-1306</v>
      </c>
      <c r="J26" s="28">
        <v>3230</v>
      </c>
      <c r="K26" s="22">
        <f t="shared" si="1"/>
        <v>116</v>
      </c>
      <c r="L26" s="22">
        <f t="shared" si="8"/>
        <v>6</v>
      </c>
      <c r="M26" s="28">
        <f t="shared" si="9"/>
        <v>2039</v>
      </c>
      <c r="N26" s="39">
        <v>-1686</v>
      </c>
      <c r="O26" s="28">
        <v>3725</v>
      </c>
      <c r="P26" s="22">
        <f t="shared" si="2"/>
        <v>96</v>
      </c>
      <c r="Q26" s="29"/>
      <c r="R26" s="30"/>
    </row>
    <row r="27" spans="1:18" ht="15.75" customHeight="1" x14ac:dyDescent="0.2">
      <c r="A27" s="37">
        <v>45721</v>
      </c>
      <c r="B27" s="22">
        <f t="shared" si="3"/>
        <v>7</v>
      </c>
      <c r="C27" s="28">
        <f t="shared" si="4"/>
        <v>1968</v>
      </c>
      <c r="D27" s="39">
        <v>-1301</v>
      </c>
      <c r="E27" s="28">
        <v>3269</v>
      </c>
      <c r="F27" s="22">
        <f t="shared" si="5"/>
        <v>107</v>
      </c>
      <c r="G27" s="22">
        <f t="shared" si="6"/>
        <v>7</v>
      </c>
      <c r="H27" s="28">
        <f t="shared" si="7"/>
        <v>1904</v>
      </c>
      <c r="I27" s="39">
        <v>-1326</v>
      </c>
      <c r="J27" s="28">
        <v>3230</v>
      </c>
      <c r="K27" s="22">
        <f t="shared" si="1"/>
        <v>136</v>
      </c>
      <c r="L27" s="22">
        <f t="shared" si="8"/>
        <v>7</v>
      </c>
      <c r="M27" s="28">
        <f t="shared" si="9"/>
        <v>2019</v>
      </c>
      <c r="N27" s="39">
        <v>-1706</v>
      </c>
      <c r="O27" s="28">
        <v>3725</v>
      </c>
      <c r="P27" s="22">
        <f t="shared" si="2"/>
        <v>116</v>
      </c>
      <c r="Q27" s="29"/>
      <c r="R27" s="30"/>
    </row>
    <row r="28" spans="1:18" ht="15.75" customHeight="1" x14ac:dyDescent="0.2">
      <c r="A28" s="37">
        <v>45722</v>
      </c>
      <c r="B28" s="22">
        <f t="shared" si="3"/>
        <v>8</v>
      </c>
      <c r="C28" s="28">
        <f t="shared" si="4"/>
        <v>1947</v>
      </c>
      <c r="D28" s="39">
        <v>-1322</v>
      </c>
      <c r="E28" s="28">
        <v>3269</v>
      </c>
      <c r="F28" s="22">
        <f t="shared" si="5"/>
        <v>128</v>
      </c>
      <c r="G28" s="22">
        <f t="shared" si="6"/>
        <v>8</v>
      </c>
      <c r="H28" s="28">
        <f t="shared" si="7"/>
        <v>1889</v>
      </c>
      <c r="I28" s="39">
        <v>-1341</v>
      </c>
      <c r="J28" s="28">
        <v>3230</v>
      </c>
      <c r="K28" s="22">
        <f t="shared" si="1"/>
        <v>151</v>
      </c>
      <c r="L28" s="22">
        <f t="shared" si="8"/>
        <v>8</v>
      </c>
      <c r="M28" s="28">
        <f t="shared" si="9"/>
        <v>2005</v>
      </c>
      <c r="N28" s="39">
        <v>-1720</v>
      </c>
      <c r="O28" s="28">
        <v>3725</v>
      </c>
      <c r="P28" s="22">
        <f t="shared" si="2"/>
        <v>130</v>
      </c>
      <c r="Q28" s="29"/>
      <c r="R28" s="30"/>
    </row>
    <row r="29" spans="1:18" ht="15.75" customHeight="1" x14ac:dyDescent="0.2">
      <c r="A29" s="37">
        <v>45723</v>
      </c>
      <c r="B29" s="22">
        <f t="shared" si="3"/>
        <v>9</v>
      </c>
      <c r="C29" s="28">
        <f t="shared" si="4"/>
        <v>1924</v>
      </c>
      <c r="D29" s="39">
        <v>-1345</v>
      </c>
      <c r="E29" s="28">
        <v>3269</v>
      </c>
      <c r="F29" s="22">
        <f t="shared" si="5"/>
        <v>151</v>
      </c>
      <c r="G29" s="22">
        <f t="shared" si="6"/>
        <v>9</v>
      </c>
      <c r="H29" s="28">
        <f t="shared" si="7"/>
        <v>1854</v>
      </c>
      <c r="I29" s="39">
        <v>-1376</v>
      </c>
      <c r="J29" s="28">
        <v>3230</v>
      </c>
      <c r="K29" s="22">
        <f t="shared" si="1"/>
        <v>186</v>
      </c>
      <c r="L29" s="22">
        <f t="shared" si="8"/>
        <v>9</v>
      </c>
      <c r="M29" s="28">
        <f t="shared" si="9"/>
        <v>1989</v>
      </c>
      <c r="N29" s="39">
        <v>-1736</v>
      </c>
      <c r="O29" s="28">
        <v>3725</v>
      </c>
      <c r="P29" s="22">
        <f t="shared" si="2"/>
        <v>146</v>
      </c>
      <c r="Q29" s="29"/>
      <c r="R29" s="30"/>
    </row>
    <row r="30" spans="1:18" ht="15.75" customHeight="1" x14ac:dyDescent="0.2">
      <c r="A30" s="37">
        <v>45724</v>
      </c>
      <c r="B30" s="22">
        <f t="shared" si="3"/>
        <v>10</v>
      </c>
      <c r="C30" s="28">
        <f t="shared" si="4"/>
        <v>1914</v>
      </c>
      <c r="D30" s="39">
        <v>-1355</v>
      </c>
      <c r="E30" s="28">
        <v>3269</v>
      </c>
      <c r="F30" s="22">
        <f t="shared" si="5"/>
        <v>161</v>
      </c>
      <c r="G30" s="22">
        <f t="shared" si="6"/>
        <v>10</v>
      </c>
      <c r="H30" s="28">
        <f t="shared" si="7"/>
        <v>1840</v>
      </c>
      <c r="I30" s="39">
        <v>-1390</v>
      </c>
      <c r="J30" s="28">
        <v>3230</v>
      </c>
      <c r="K30" s="22">
        <f t="shared" si="1"/>
        <v>200</v>
      </c>
      <c r="L30" s="22">
        <f t="shared" si="8"/>
        <v>10</v>
      </c>
      <c r="M30" s="28">
        <f t="shared" si="9"/>
        <v>1972</v>
      </c>
      <c r="N30" s="39">
        <v>-1753</v>
      </c>
      <c r="O30" s="28">
        <v>3725</v>
      </c>
      <c r="P30" s="22">
        <f t="shared" si="2"/>
        <v>163</v>
      </c>
      <c r="Q30" s="29"/>
      <c r="R30" s="30"/>
    </row>
    <row r="31" spans="1:18" ht="15.75" customHeight="1" x14ac:dyDescent="0.2">
      <c r="A31" s="37">
        <v>45725</v>
      </c>
      <c r="B31" s="22">
        <f t="shared" si="3"/>
        <v>11</v>
      </c>
      <c r="C31" s="28">
        <f t="shared" si="4"/>
        <v>1899</v>
      </c>
      <c r="D31" s="39">
        <v>-1370</v>
      </c>
      <c r="E31" s="28">
        <v>3269</v>
      </c>
      <c r="F31" s="22">
        <f t="shared" si="5"/>
        <v>176</v>
      </c>
      <c r="G31" s="22">
        <f t="shared" si="6"/>
        <v>11</v>
      </c>
      <c r="H31" s="28">
        <f t="shared" si="7"/>
        <v>1825</v>
      </c>
      <c r="I31" s="39">
        <v>-1405</v>
      </c>
      <c r="J31" s="28">
        <v>3230</v>
      </c>
      <c r="K31" s="22">
        <f t="shared" si="1"/>
        <v>215</v>
      </c>
      <c r="L31" s="22">
        <f t="shared" si="8"/>
        <v>11</v>
      </c>
      <c r="M31" s="28">
        <f t="shared" si="9"/>
        <v>1955</v>
      </c>
      <c r="N31" s="39">
        <v>-1770</v>
      </c>
      <c r="O31" s="28">
        <v>3725</v>
      </c>
      <c r="P31" s="22">
        <f t="shared" si="2"/>
        <v>180</v>
      </c>
      <c r="Q31" s="29"/>
      <c r="R31" s="30"/>
    </row>
    <row r="32" spans="1:18" ht="15.75" customHeight="1" x14ac:dyDescent="0.2">
      <c r="A32" s="37">
        <v>45726</v>
      </c>
      <c r="B32" s="22">
        <f t="shared" si="3"/>
        <v>12</v>
      </c>
      <c r="C32" s="28">
        <f t="shared" si="4"/>
        <v>1883</v>
      </c>
      <c r="D32" s="39">
        <v>-1386</v>
      </c>
      <c r="E32" s="28">
        <v>3269</v>
      </c>
      <c r="F32" s="22">
        <f t="shared" si="5"/>
        <v>192</v>
      </c>
      <c r="G32" s="22">
        <f t="shared" si="6"/>
        <v>12</v>
      </c>
      <c r="H32" s="28">
        <f t="shared" si="7"/>
        <v>1809</v>
      </c>
      <c r="I32" s="39">
        <v>-1421</v>
      </c>
      <c r="J32" s="28">
        <v>3230</v>
      </c>
      <c r="K32" s="22">
        <f t="shared" si="1"/>
        <v>231</v>
      </c>
      <c r="L32" s="22">
        <f t="shared" si="8"/>
        <v>12</v>
      </c>
      <c r="M32" s="28">
        <f t="shared" si="9"/>
        <v>1944</v>
      </c>
      <c r="N32" s="39">
        <v>-1781</v>
      </c>
      <c r="O32" s="28">
        <v>3725</v>
      </c>
      <c r="P32" s="22">
        <f t="shared" si="2"/>
        <v>191</v>
      </c>
      <c r="Q32" s="29"/>
      <c r="R32" s="30"/>
    </row>
    <row r="33" spans="1:18" ht="15.75" customHeight="1" x14ac:dyDescent="0.2">
      <c r="A33" s="37">
        <v>45727</v>
      </c>
      <c r="B33" s="22">
        <f t="shared" si="3"/>
        <v>13</v>
      </c>
      <c r="C33" s="28">
        <f t="shared" si="4"/>
        <v>1872</v>
      </c>
      <c r="D33" s="39">
        <v>-1397</v>
      </c>
      <c r="E33" s="28">
        <v>3269</v>
      </c>
      <c r="F33" s="22">
        <f t="shared" si="5"/>
        <v>203</v>
      </c>
      <c r="G33" s="22">
        <f t="shared" si="6"/>
        <v>13</v>
      </c>
      <c r="H33" s="28">
        <f t="shared" si="7"/>
        <v>1795</v>
      </c>
      <c r="I33" s="39">
        <v>-1435</v>
      </c>
      <c r="J33" s="28">
        <v>3230</v>
      </c>
      <c r="K33" s="22">
        <f t="shared" si="1"/>
        <v>245</v>
      </c>
      <c r="L33" s="22">
        <f t="shared" si="8"/>
        <v>13</v>
      </c>
      <c r="M33" s="28">
        <f t="shared" si="9"/>
        <v>1932</v>
      </c>
      <c r="N33" s="39">
        <v>-1793</v>
      </c>
      <c r="O33" s="28">
        <v>3725</v>
      </c>
      <c r="P33" s="22">
        <f t="shared" si="2"/>
        <v>203</v>
      </c>
      <c r="Q33" s="29"/>
      <c r="R33" s="30"/>
    </row>
    <row r="34" spans="1:18" ht="15.75" customHeight="1" x14ac:dyDescent="0.2">
      <c r="A34" s="37">
        <v>45728</v>
      </c>
      <c r="B34" s="22">
        <f t="shared" si="3"/>
        <v>14</v>
      </c>
      <c r="C34" s="28">
        <f t="shared" si="4"/>
        <v>1862</v>
      </c>
      <c r="D34" s="39">
        <v>-1407</v>
      </c>
      <c r="E34" s="28">
        <v>3269</v>
      </c>
      <c r="F34" s="22">
        <f t="shared" si="5"/>
        <v>213</v>
      </c>
      <c r="G34" s="22">
        <f t="shared" si="6"/>
        <v>14</v>
      </c>
      <c r="H34" s="28">
        <f t="shared" si="7"/>
        <v>1781</v>
      </c>
      <c r="I34" s="39">
        <v>-1449</v>
      </c>
      <c r="J34" s="28">
        <v>3230</v>
      </c>
      <c r="K34" s="22">
        <f t="shared" si="1"/>
        <v>259</v>
      </c>
      <c r="L34" s="22">
        <f t="shared" si="8"/>
        <v>14</v>
      </c>
      <c r="M34" s="28">
        <f t="shared" si="9"/>
        <v>1919</v>
      </c>
      <c r="N34" s="39">
        <v>-1806</v>
      </c>
      <c r="O34" s="28">
        <v>3725</v>
      </c>
      <c r="P34" s="22">
        <f t="shared" si="2"/>
        <v>216</v>
      </c>
      <c r="Q34" s="29"/>
      <c r="R34" s="30"/>
    </row>
    <row r="35" spans="1:18" ht="15.75" customHeight="1" x14ac:dyDescent="0.2">
      <c r="A35" s="37">
        <v>45729</v>
      </c>
      <c r="B35" s="22">
        <f t="shared" si="3"/>
        <v>15</v>
      </c>
      <c r="C35" s="28">
        <f t="shared" si="4"/>
        <v>1852</v>
      </c>
      <c r="D35" s="39">
        <v>-1417</v>
      </c>
      <c r="E35" s="28">
        <v>3269</v>
      </c>
      <c r="F35" s="22">
        <f t="shared" si="5"/>
        <v>223</v>
      </c>
      <c r="G35" s="22">
        <f t="shared" si="6"/>
        <v>15</v>
      </c>
      <c r="H35" s="28">
        <f t="shared" si="7"/>
        <v>1768</v>
      </c>
      <c r="I35" s="39">
        <v>-1462</v>
      </c>
      <c r="J35" s="28">
        <v>3230</v>
      </c>
      <c r="K35" s="22">
        <f t="shared" si="1"/>
        <v>272</v>
      </c>
      <c r="L35" s="22">
        <f t="shared" si="8"/>
        <v>15</v>
      </c>
      <c r="M35" s="28">
        <f t="shared" si="9"/>
        <v>1906</v>
      </c>
      <c r="N35" s="39">
        <v>-1819</v>
      </c>
      <c r="O35" s="28">
        <v>3725</v>
      </c>
      <c r="P35" s="22">
        <f t="shared" si="2"/>
        <v>229</v>
      </c>
      <c r="Q35" s="36"/>
      <c r="R35" s="30"/>
    </row>
    <row r="36" spans="1:18" ht="15.75" customHeight="1" x14ac:dyDescent="0.2">
      <c r="A36" s="37">
        <v>45730</v>
      </c>
      <c r="B36" s="22">
        <f t="shared" si="3"/>
        <v>16</v>
      </c>
      <c r="C36" s="28">
        <f t="shared" si="4"/>
        <v>1841</v>
      </c>
      <c r="D36" s="39">
        <v>-1428</v>
      </c>
      <c r="E36" s="28">
        <v>3269</v>
      </c>
      <c r="F36" s="22">
        <f t="shared" si="5"/>
        <v>234</v>
      </c>
      <c r="G36" s="22">
        <f t="shared" si="6"/>
        <v>16</v>
      </c>
      <c r="H36" s="28">
        <f t="shared" si="7"/>
        <v>1755</v>
      </c>
      <c r="I36" s="39">
        <v>-1475</v>
      </c>
      <c r="J36" s="28">
        <v>3230</v>
      </c>
      <c r="K36" s="22">
        <f t="shared" si="1"/>
        <v>285</v>
      </c>
      <c r="L36" s="22">
        <f t="shared" si="8"/>
        <v>16</v>
      </c>
      <c r="M36" s="28">
        <f t="shared" si="9"/>
        <v>1894</v>
      </c>
      <c r="N36" s="39">
        <v>-1831</v>
      </c>
      <c r="O36" s="28">
        <v>3725</v>
      </c>
      <c r="P36" s="22">
        <f t="shared" si="2"/>
        <v>241</v>
      </c>
      <c r="Q36" s="36"/>
      <c r="R36" s="30"/>
    </row>
    <row r="37" spans="1:18" ht="15.75" customHeight="1" x14ac:dyDescent="0.2">
      <c r="A37" s="37">
        <v>45731</v>
      </c>
      <c r="B37" s="22">
        <f t="shared" si="3"/>
        <v>17</v>
      </c>
      <c r="C37" s="28">
        <f t="shared" si="4"/>
        <v>1829</v>
      </c>
      <c r="D37" s="39">
        <v>-1440</v>
      </c>
      <c r="E37" s="28">
        <v>3269</v>
      </c>
      <c r="F37" s="22">
        <f t="shared" si="5"/>
        <v>246</v>
      </c>
      <c r="G37" s="22">
        <f t="shared" si="6"/>
        <v>17</v>
      </c>
      <c r="H37" s="28">
        <f t="shared" si="7"/>
        <v>1743</v>
      </c>
      <c r="I37" s="39">
        <v>-1487</v>
      </c>
      <c r="J37" s="28">
        <v>3230</v>
      </c>
      <c r="K37" s="22">
        <f t="shared" si="1"/>
        <v>297</v>
      </c>
      <c r="L37" s="22">
        <f t="shared" si="8"/>
        <v>17</v>
      </c>
      <c r="M37" s="28">
        <f t="shared" si="9"/>
        <v>1881</v>
      </c>
      <c r="N37" s="39">
        <v>-1844</v>
      </c>
      <c r="O37" s="28">
        <v>3725</v>
      </c>
      <c r="P37" s="22">
        <f t="shared" si="2"/>
        <v>254</v>
      </c>
      <c r="Q37" s="36"/>
      <c r="R37" s="30"/>
    </row>
    <row r="38" spans="1:18" ht="15.75" customHeight="1" x14ac:dyDescent="0.2">
      <c r="A38" s="37">
        <v>45732</v>
      </c>
      <c r="B38" s="22">
        <f t="shared" si="3"/>
        <v>18</v>
      </c>
      <c r="C38" s="28">
        <f t="shared" si="4"/>
        <v>1822</v>
      </c>
      <c r="D38" s="24">
        <v>-1447</v>
      </c>
      <c r="E38" s="28">
        <v>3269</v>
      </c>
      <c r="F38" s="22">
        <f t="shared" si="5"/>
        <v>253</v>
      </c>
      <c r="G38" s="22">
        <f t="shared" si="6"/>
        <v>18</v>
      </c>
      <c r="H38" s="28">
        <f t="shared" si="7"/>
        <v>1737</v>
      </c>
      <c r="I38" s="24">
        <v>-1493</v>
      </c>
      <c r="J38" s="28">
        <v>3230</v>
      </c>
      <c r="K38" s="22">
        <f t="shared" si="1"/>
        <v>303</v>
      </c>
      <c r="L38" s="22">
        <f t="shared" si="8"/>
        <v>18</v>
      </c>
      <c r="M38" s="28">
        <f t="shared" si="9"/>
        <v>1873</v>
      </c>
      <c r="N38" s="24">
        <v>-1852</v>
      </c>
      <c r="O38" s="28">
        <v>3725</v>
      </c>
      <c r="P38" s="22">
        <f t="shared" si="2"/>
        <v>262</v>
      </c>
      <c r="Q38" s="36"/>
      <c r="R38" s="30"/>
    </row>
    <row r="39" spans="1:18" ht="15.75" customHeight="1" x14ac:dyDescent="0.2">
      <c r="A39" s="37">
        <v>45733</v>
      </c>
      <c r="B39" s="22">
        <f t="shared" si="3"/>
        <v>19</v>
      </c>
      <c r="C39" s="28">
        <f t="shared" si="4"/>
        <v>1815</v>
      </c>
      <c r="D39" s="24">
        <v>-1454</v>
      </c>
      <c r="E39" s="28">
        <v>3269</v>
      </c>
      <c r="F39" s="22">
        <f t="shared" si="5"/>
        <v>260</v>
      </c>
      <c r="G39" s="22">
        <f t="shared" si="6"/>
        <v>19</v>
      </c>
      <c r="H39" s="28">
        <f t="shared" si="7"/>
        <v>1728</v>
      </c>
      <c r="I39" s="24">
        <v>-1502</v>
      </c>
      <c r="J39" s="28">
        <v>3230</v>
      </c>
      <c r="K39" s="22">
        <f t="shared" si="1"/>
        <v>312</v>
      </c>
      <c r="L39" s="22">
        <f t="shared" si="8"/>
        <v>19</v>
      </c>
      <c r="M39" s="28">
        <f t="shared" si="9"/>
        <v>1867</v>
      </c>
      <c r="N39" s="24">
        <v>-1858</v>
      </c>
      <c r="O39" s="28">
        <v>3725</v>
      </c>
      <c r="P39" s="22">
        <f t="shared" si="2"/>
        <v>268</v>
      </c>
      <c r="Q39" s="36"/>
      <c r="R39" s="30"/>
    </row>
    <row r="40" spans="1:18" ht="15.75" customHeight="1" x14ac:dyDescent="0.2">
      <c r="A40" s="37">
        <v>45734</v>
      </c>
      <c r="B40" s="22">
        <f t="shared" si="3"/>
        <v>20</v>
      </c>
      <c r="C40" s="28">
        <f t="shared" si="4"/>
        <v>1809</v>
      </c>
      <c r="D40" s="24">
        <v>-1460</v>
      </c>
      <c r="E40" s="28">
        <v>3269</v>
      </c>
      <c r="F40" s="22">
        <f t="shared" si="5"/>
        <v>266</v>
      </c>
      <c r="G40" s="22">
        <f t="shared" si="6"/>
        <v>20</v>
      </c>
      <c r="H40" s="28">
        <f t="shared" si="7"/>
        <v>1720</v>
      </c>
      <c r="I40" s="24">
        <v>-1510</v>
      </c>
      <c r="J40" s="28">
        <v>3230</v>
      </c>
      <c r="K40" s="22">
        <f t="shared" si="1"/>
        <v>320</v>
      </c>
      <c r="L40" s="22">
        <f t="shared" si="8"/>
        <v>20</v>
      </c>
      <c r="M40" s="28">
        <f t="shared" si="9"/>
        <v>1860</v>
      </c>
      <c r="N40" s="24">
        <v>-1865</v>
      </c>
      <c r="O40" s="28">
        <v>3725</v>
      </c>
      <c r="P40" s="22">
        <f t="shared" si="2"/>
        <v>275</v>
      </c>
      <c r="Q40" s="36"/>
      <c r="R40" s="30"/>
    </row>
    <row r="41" spans="1:18" ht="15.75" customHeight="1" x14ac:dyDescent="0.2">
      <c r="A41" s="37">
        <v>45735</v>
      </c>
      <c r="B41" s="22">
        <f t="shared" si="3"/>
        <v>21</v>
      </c>
      <c r="C41" s="28">
        <f t="shared" si="4"/>
        <v>1809</v>
      </c>
      <c r="D41" s="24">
        <v>-1460</v>
      </c>
      <c r="E41" s="28">
        <v>3269</v>
      </c>
      <c r="F41" s="22">
        <f t="shared" si="5"/>
        <v>266</v>
      </c>
      <c r="G41" s="22">
        <f t="shared" si="6"/>
        <v>21</v>
      </c>
      <c r="H41" s="28">
        <f t="shared" si="7"/>
        <v>1720</v>
      </c>
      <c r="I41" s="24">
        <v>-1510</v>
      </c>
      <c r="J41" s="28">
        <v>3230</v>
      </c>
      <c r="K41" s="22">
        <f t="shared" si="1"/>
        <v>320</v>
      </c>
      <c r="L41" s="22">
        <f t="shared" si="8"/>
        <v>21</v>
      </c>
      <c r="M41" s="28">
        <f t="shared" si="9"/>
        <v>1860</v>
      </c>
      <c r="N41" s="24">
        <v>-1865</v>
      </c>
      <c r="O41" s="28">
        <v>3725</v>
      </c>
      <c r="P41" s="22">
        <f t="shared" si="2"/>
        <v>275</v>
      </c>
      <c r="Q41" s="36"/>
      <c r="R41" s="30"/>
    </row>
    <row r="42" spans="1:18" ht="15.75" customHeight="1" x14ac:dyDescent="0.2">
      <c r="A42" s="37">
        <v>45736</v>
      </c>
      <c r="B42" s="22">
        <f t="shared" si="3"/>
        <v>22</v>
      </c>
      <c r="C42" s="28">
        <f t="shared" si="4"/>
        <v>1809</v>
      </c>
      <c r="D42" s="24">
        <v>-1460</v>
      </c>
      <c r="E42" s="28">
        <v>3269</v>
      </c>
      <c r="F42" s="22">
        <f t="shared" si="5"/>
        <v>266</v>
      </c>
      <c r="G42" s="22">
        <f t="shared" si="6"/>
        <v>22</v>
      </c>
      <c r="H42" s="28">
        <f t="shared" si="7"/>
        <v>1720</v>
      </c>
      <c r="I42" s="24">
        <v>-1510</v>
      </c>
      <c r="J42" s="28">
        <v>3230</v>
      </c>
      <c r="K42" s="22">
        <f t="shared" si="1"/>
        <v>320</v>
      </c>
      <c r="L42" s="22">
        <f t="shared" si="8"/>
        <v>22</v>
      </c>
      <c r="M42" s="28">
        <f t="shared" si="9"/>
        <v>1860</v>
      </c>
      <c r="N42" s="24">
        <v>-1865</v>
      </c>
      <c r="O42" s="28">
        <v>3725</v>
      </c>
      <c r="P42" s="22">
        <f t="shared" si="2"/>
        <v>275</v>
      </c>
      <c r="Q42" s="36"/>
      <c r="R42" s="30"/>
    </row>
    <row r="43" spans="1:18" ht="15.75" customHeight="1" x14ac:dyDescent="0.2">
      <c r="A43" s="37">
        <v>45737</v>
      </c>
      <c r="B43" s="22">
        <f t="shared" si="3"/>
        <v>23</v>
      </c>
      <c r="C43" s="28">
        <f t="shared" si="4"/>
        <v>1799</v>
      </c>
      <c r="D43" s="24">
        <v>-1470</v>
      </c>
      <c r="E43" s="28">
        <v>3269</v>
      </c>
      <c r="F43" s="22">
        <f t="shared" si="5"/>
        <v>276</v>
      </c>
      <c r="G43" s="22">
        <f t="shared" si="6"/>
        <v>23</v>
      </c>
      <c r="H43" s="28">
        <f t="shared" si="7"/>
        <v>1709</v>
      </c>
      <c r="I43" s="24">
        <v>-1521</v>
      </c>
      <c r="J43" s="28">
        <v>3230</v>
      </c>
      <c r="K43" s="22">
        <f t="shared" si="1"/>
        <v>331</v>
      </c>
      <c r="L43" s="22">
        <f t="shared" si="8"/>
        <v>23</v>
      </c>
      <c r="M43" s="28">
        <f t="shared" si="9"/>
        <v>1853</v>
      </c>
      <c r="N43" s="24">
        <v>-1872</v>
      </c>
      <c r="O43" s="28">
        <v>3725</v>
      </c>
      <c r="P43" s="22">
        <f t="shared" si="2"/>
        <v>282</v>
      </c>
      <c r="Q43" s="36"/>
      <c r="R43" s="30"/>
    </row>
    <row r="44" spans="1:18" ht="15.75" customHeight="1" x14ac:dyDescent="0.2">
      <c r="A44" s="37">
        <v>45738</v>
      </c>
      <c r="B44" s="22">
        <f t="shared" si="3"/>
        <v>24</v>
      </c>
      <c r="C44" s="28">
        <f t="shared" si="4"/>
        <v>1790</v>
      </c>
      <c r="D44" s="24">
        <v>-1479</v>
      </c>
      <c r="E44" s="28">
        <v>3269</v>
      </c>
      <c r="F44" s="22">
        <f t="shared" si="5"/>
        <v>285</v>
      </c>
      <c r="G44" s="22">
        <f t="shared" si="6"/>
        <v>24</v>
      </c>
      <c r="H44" s="28">
        <f t="shared" si="7"/>
        <v>1699</v>
      </c>
      <c r="I44" s="24">
        <v>-1531</v>
      </c>
      <c r="J44" s="28">
        <v>3230</v>
      </c>
      <c r="K44" s="22">
        <f t="shared" si="1"/>
        <v>341</v>
      </c>
      <c r="L44" s="22">
        <f t="shared" si="8"/>
        <v>24</v>
      </c>
      <c r="M44" s="28">
        <f t="shared" si="9"/>
        <v>1846</v>
      </c>
      <c r="N44" s="24">
        <v>-1879</v>
      </c>
      <c r="O44" s="28">
        <v>3725</v>
      </c>
      <c r="P44" s="22">
        <f t="shared" si="2"/>
        <v>289</v>
      </c>
      <c r="Q44" s="36"/>
      <c r="R44" s="30"/>
    </row>
    <row r="45" spans="1:18" ht="15.75" customHeight="1" x14ac:dyDescent="0.2">
      <c r="A45" s="37">
        <v>45739</v>
      </c>
      <c r="B45" s="22">
        <f t="shared" si="3"/>
        <v>25</v>
      </c>
      <c r="C45" s="28">
        <f t="shared" si="4"/>
        <v>1783</v>
      </c>
      <c r="D45" s="24">
        <v>-1486</v>
      </c>
      <c r="E45" s="28">
        <v>3269</v>
      </c>
      <c r="F45" s="22">
        <f t="shared" si="5"/>
        <v>292</v>
      </c>
      <c r="G45" s="22">
        <f t="shared" si="6"/>
        <v>25</v>
      </c>
      <c r="H45" s="28">
        <f t="shared" si="7"/>
        <v>1689</v>
      </c>
      <c r="I45" s="24">
        <v>-1541</v>
      </c>
      <c r="J45" s="28">
        <v>3230</v>
      </c>
      <c r="K45" s="22">
        <f t="shared" si="1"/>
        <v>351</v>
      </c>
      <c r="L45" s="22">
        <f t="shared" si="8"/>
        <v>25</v>
      </c>
      <c r="M45" s="28">
        <f t="shared" si="9"/>
        <v>1839</v>
      </c>
      <c r="N45" s="24">
        <v>-1886</v>
      </c>
      <c r="O45" s="28">
        <v>3725</v>
      </c>
      <c r="P45" s="22">
        <f t="shared" si="2"/>
        <v>296</v>
      </c>
      <c r="Q45" s="36"/>
      <c r="R45" s="30"/>
    </row>
    <row r="46" spans="1:18" ht="15.75" customHeight="1" x14ac:dyDescent="0.2">
      <c r="A46" s="37">
        <v>45740</v>
      </c>
      <c r="B46" s="22">
        <f t="shared" si="3"/>
        <v>26</v>
      </c>
      <c r="C46" s="28">
        <f t="shared" si="4"/>
        <v>1777</v>
      </c>
      <c r="D46" s="24">
        <v>-1492</v>
      </c>
      <c r="E46" s="28">
        <v>3269</v>
      </c>
      <c r="F46" s="22">
        <f t="shared" si="5"/>
        <v>298</v>
      </c>
      <c r="G46" s="22">
        <f t="shared" si="6"/>
        <v>26</v>
      </c>
      <c r="H46" s="28">
        <f t="shared" si="7"/>
        <v>1685</v>
      </c>
      <c r="I46" s="24">
        <v>-1545</v>
      </c>
      <c r="J46" s="28">
        <v>3230</v>
      </c>
      <c r="K46" s="22">
        <f t="shared" si="1"/>
        <v>355</v>
      </c>
      <c r="L46" s="22">
        <f t="shared" si="8"/>
        <v>26</v>
      </c>
      <c r="M46" s="28">
        <f t="shared" si="9"/>
        <v>1839</v>
      </c>
      <c r="N46" s="24">
        <v>-1886</v>
      </c>
      <c r="O46" s="28">
        <v>3725</v>
      </c>
      <c r="P46" s="22">
        <f t="shared" si="2"/>
        <v>296</v>
      </c>
      <c r="Q46" s="36"/>
      <c r="R46" s="30"/>
    </row>
    <row r="47" spans="1:18" ht="15.75" customHeight="1" x14ac:dyDescent="0.2">
      <c r="A47" s="37">
        <v>45741</v>
      </c>
      <c r="B47" s="22">
        <f t="shared" si="3"/>
        <v>27</v>
      </c>
      <c r="C47" s="28">
        <f t="shared" si="4"/>
        <v>1771</v>
      </c>
      <c r="D47" s="24">
        <v>-1498</v>
      </c>
      <c r="E47" s="28">
        <v>3269</v>
      </c>
      <c r="F47" s="22">
        <f t="shared" si="5"/>
        <v>304</v>
      </c>
      <c r="G47" s="22">
        <f t="shared" si="6"/>
        <v>27</v>
      </c>
      <c r="H47" s="28">
        <f t="shared" si="7"/>
        <v>1682</v>
      </c>
      <c r="I47" s="24">
        <v>-1548</v>
      </c>
      <c r="J47" s="28">
        <v>3230</v>
      </c>
      <c r="K47" s="22">
        <f t="shared" si="1"/>
        <v>358</v>
      </c>
      <c r="L47" s="22">
        <f t="shared" si="8"/>
        <v>27</v>
      </c>
      <c r="M47" s="28">
        <f t="shared" si="9"/>
        <v>1827</v>
      </c>
      <c r="N47" s="24">
        <v>-1898</v>
      </c>
      <c r="O47" s="28">
        <v>3725</v>
      </c>
      <c r="P47" s="22">
        <f t="shared" si="2"/>
        <v>308</v>
      </c>
      <c r="Q47" s="36"/>
      <c r="R47" s="30"/>
    </row>
    <row r="48" spans="1:18" ht="15.75" customHeight="1" x14ac:dyDescent="0.2">
      <c r="A48" s="37">
        <v>45742</v>
      </c>
      <c r="B48" s="22">
        <f t="shared" si="3"/>
        <v>28</v>
      </c>
      <c r="C48" s="28">
        <f t="shared" si="4"/>
        <v>1767</v>
      </c>
      <c r="D48" s="24">
        <v>-1502</v>
      </c>
      <c r="E48" s="28">
        <v>3269</v>
      </c>
      <c r="F48" s="22">
        <f t="shared" si="5"/>
        <v>308</v>
      </c>
      <c r="G48" s="22">
        <f t="shared" si="6"/>
        <v>28</v>
      </c>
      <c r="H48" s="28">
        <f t="shared" si="7"/>
        <v>1679</v>
      </c>
      <c r="I48" s="24">
        <v>-1551</v>
      </c>
      <c r="J48" s="28">
        <v>3230</v>
      </c>
      <c r="K48" s="22">
        <f t="shared" si="1"/>
        <v>361</v>
      </c>
      <c r="L48" s="22">
        <f t="shared" si="8"/>
        <v>28</v>
      </c>
      <c r="M48" s="28">
        <f t="shared" si="9"/>
        <v>1825</v>
      </c>
      <c r="N48" s="24">
        <v>-1900</v>
      </c>
      <c r="O48" s="28">
        <v>3725</v>
      </c>
      <c r="P48" s="22">
        <f t="shared" si="2"/>
        <v>310</v>
      </c>
      <c r="Q48" s="36"/>
      <c r="R48" s="30"/>
    </row>
    <row r="49" spans="1:18" ht="15.75" customHeight="1" x14ac:dyDescent="0.2">
      <c r="A49" s="37">
        <v>45743</v>
      </c>
      <c r="B49" s="22">
        <f t="shared" si="3"/>
        <v>29</v>
      </c>
      <c r="C49" s="28">
        <f t="shared" si="4"/>
        <v>1763</v>
      </c>
      <c r="D49" s="24">
        <v>-1506</v>
      </c>
      <c r="E49" s="28">
        <v>3269</v>
      </c>
      <c r="F49" s="22">
        <f t="shared" si="5"/>
        <v>312</v>
      </c>
      <c r="G49" s="22">
        <f t="shared" si="6"/>
        <v>29</v>
      </c>
      <c r="H49" s="28">
        <f t="shared" si="7"/>
        <v>1670</v>
      </c>
      <c r="I49" s="24">
        <v>-1560</v>
      </c>
      <c r="J49" s="28">
        <v>3230</v>
      </c>
      <c r="K49" s="22">
        <f t="shared" si="1"/>
        <v>370</v>
      </c>
      <c r="L49" s="22">
        <f t="shared" si="8"/>
        <v>29</v>
      </c>
      <c r="M49" s="28">
        <f t="shared" si="9"/>
        <v>1817</v>
      </c>
      <c r="N49" s="24">
        <v>-1908</v>
      </c>
      <c r="O49" s="28">
        <v>3725</v>
      </c>
      <c r="P49" s="22">
        <f t="shared" si="2"/>
        <v>318</v>
      </c>
      <c r="Q49" s="36"/>
      <c r="R49" s="30"/>
    </row>
    <row r="50" spans="1:18" ht="15.75" customHeight="1" x14ac:dyDescent="0.2">
      <c r="A50" s="37">
        <v>45744</v>
      </c>
      <c r="B50" s="22">
        <f t="shared" si="3"/>
        <v>30</v>
      </c>
      <c r="C50" s="28">
        <f t="shared" si="4"/>
        <v>1759</v>
      </c>
      <c r="D50" s="24">
        <v>-1510</v>
      </c>
      <c r="E50" s="28">
        <v>3269</v>
      </c>
      <c r="F50" s="22">
        <f t="shared" si="5"/>
        <v>316</v>
      </c>
      <c r="G50" s="22">
        <f t="shared" si="6"/>
        <v>30</v>
      </c>
      <c r="H50" s="28">
        <f t="shared" si="7"/>
        <v>1660</v>
      </c>
      <c r="I50" s="24">
        <v>-1570</v>
      </c>
      <c r="J50" s="28">
        <v>3230</v>
      </c>
      <c r="K50" s="22">
        <f t="shared" si="1"/>
        <v>380</v>
      </c>
      <c r="L50" s="22">
        <f t="shared" si="8"/>
        <v>30</v>
      </c>
      <c r="M50" s="28">
        <f t="shared" si="9"/>
        <v>1810</v>
      </c>
      <c r="N50" s="24">
        <v>-1915</v>
      </c>
      <c r="O50" s="28">
        <v>3725</v>
      </c>
      <c r="P50" s="22">
        <f t="shared" si="2"/>
        <v>325</v>
      </c>
      <c r="Q50" s="36"/>
      <c r="R50" s="30"/>
    </row>
    <row r="51" spans="1:18" ht="15.75" customHeight="1" x14ac:dyDescent="0.2">
      <c r="A51" s="37">
        <v>45745</v>
      </c>
      <c r="B51" s="22">
        <f t="shared" si="3"/>
        <v>31</v>
      </c>
      <c r="C51" s="28">
        <f t="shared" si="4"/>
        <v>1751</v>
      </c>
      <c r="D51" s="24">
        <v>-1518</v>
      </c>
      <c r="E51" s="28">
        <v>3269</v>
      </c>
      <c r="F51" s="22">
        <f t="shared" si="5"/>
        <v>324</v>
      </c>
      <c r="G51" s="22">
        <f t="shared" si="6"/>
        <v>31</v>
      </c>
      <c r="H51" s="28">
        <f t="shared" si="7"/>
        <v>1653</v>
      </c>
      <c r="I51" s="24">
        <v>-1577</v>
      </c>
      <c r="J51" s="28">
        <v>3230</v>
      </c>
      <c r="K51" s="22">
        <f t="shared" si="1"/>
        <v>387</v>
      </c>
      <c r="L51" s="22">
        <f t="shared" si="8"/>
        <v>31</v>
      </c>
      <c r="M51" s="28">
        <f t="shared" si="9"/>
        <v>1802</v>
      </c>
      <c r="N51" s="24">
        <v>-1923</v>
      </c>
      <c r="O51" s="28">
        <v>3725</v>
      </c>
      <c r="P51" s="22">
        <f t="shared" si="2"/>
        <v>333</v>
      </c>
      <c r="Q51" s="36"/>
      <c r="R51" s="30"/>
    </row>
    <row r="52" spans="1:18" ht="15.75" customHeight="1" x14ac:dyDescent="0.2">
      <c r="A52" s="37">
        <v>45746</v>
      </c>
      <c r="B52" s="22">
        <f t="shared" si="3"/>
        <v>32</v>
      </c>
      <c r="C52" s="28">
        <f t="shared" si="4"/>
        <v>1743</v>
      </c>
      <c r="D52" s="24">
        <v>-1526</v>
      </c>
      <c r="E52" s="28">
        <v>3269</v>
      </c>
      <c r="F52" s="22">
        <f t="shared" si="5"/>
        <v>332</v>
      </c>
      <c r="G52" s="22">
        <f t="shared" si="6"/>
        <v>32</v>
      </c>
      <c r="H52" s="28">
        <f t="shared" si="7"/>
        <v>1643</v>
      </c>
      <c r="I52" s="24">
        <v>-1587</v>
      </c>
      <c r="J52" s="28">
        <v>3230</v>
      </c>
      <c r="K52" s="22">
        <f t="shared" si="1"/>
        <v>397</v>
      </c>
      <c r="L52" s="22">
        <f t="shared" si="8"/>
        <v>32</v>
      </c>
      <c r="M52" s="28">
        <f t="shared" si="9"/>
        <v>1795</v>
      </c>
      <c r="N52" s="24">
        <v>-1930</v>
      </c>
      <c r="O52" s="28">
        <v>3725</v>
      </c>
      <c r="P52" s="22">
        <f t="shared" si="2"/>
        <v>340</v>
      </c>
      <c r="Q52" s="36"/>
      <c r="R52" s="30"/>
    </row>
    <row r="53" spans="1:18" ht="15.75" customHeight="1" x14ac:dyDescent="0.2">
      <c r="A53" s="37">
        <v>45747</v>
      </c>
      <c r="B53" s="22">
        <f t="shared" si="3"/>
        <v>33</v>
      </c>
      <c r="C53" s="28">
        <f t="shared" si="4"/>
        <v>1733</v>
      </c>
      <c r="D53" s="24">
        <v>-1536</v>
      </c>
      <c r="E53" s="28">
        <v>3269</v>
      </c>
      <c r="F53" s="22">
        <f t="shared" si="5"/>
        <v>342</v>
      </c>
      <c r="G53" s="22">
        <f t="shared" si="6"/>
        <v>33</v>
      </c>
      <c r="H53" s="28">
        <f t="shared" si="7"/>
        <v>1634</v>
      </c>
      <c r="I53" s="24">
        <v>-1596</v>
      </c>
      <c r="J53" s="28">
        <v>3230</v>
      </c>
      <c r="K53" s="22">
        <f t="shared" si="1"/>
        <v>406</v>
      </c>
      <c r="L53" s="22">
        <f t="shared" si="8"/>
        <v>33</v>
      </c>
      <c r="M53" s="28">
        <f t="shared" si="9"/>
        <v>1789</v>
      </c>
      <c r="N53" s="24">
        <v>-1936</v>
      </c>
      <c r="O53" s="28">
        <v>3725</v>
      </c>
      <c r="P53" s="22">
        <f t="shared" si="2"/>
        <v>346</v>
      </c>
      <c r="Q53" s="36"/>
      <c r="R53" s="30"/>
    </row>
    <row r="54" spans="1:18" ht="15.75" customHeight="1" x14ac:dyDescent="0.2">
      <c r="A54" s="37">
        <v>45748</v>
      </c>
      <c r="B54" s="22">
        <f t="shared" si="3"/>
        <v>34</v>
      </c>
      <c r="C54" s="28">
        <f t="shared" si="4"/>
        <v>1725</v>
      </c>
      <c r="D54" s="24">
        <v>-1544</v>
      </c>
      <c r="E54" s="28">
        <v>3269</v>
      </c>
      <c r="F54" s="22">
        <f t="shared" si="5"/>
        <v>350</v>
      </c>
      <c r="G54" s="22">
        <f t="shared" si="6"/>
        <v>34</v>
      </c>
      <c r="H54" s="28">
        <f t="shared" si="7"/>
        <v>1628</v>
      </c>
      <c r="I54" s="24">
        <v>-1602</v>
      </c>
      <c r="J54" s="28">
        <v>3230</v>
      </c>
      <c r="K54" s="22">
        <f t="shared" si="1"/>
        <v>412</v>
      </c>
      <c r="L54" s="22">
        <f t="shared" si="8"/>
        <v>34</v>
      </c>
      <c r="M54" s="28">
        <f t="shared" si="9"/>
        <v>1780</v>
      </c>
      <c r="N54" s="24">
        <v>-1945</v>
      </c>
      <c r="O54" s="28">
        <v>3725</v>
      </c>
      <c r="P54" s="22">
        <f t="shared" si="2"/>
        <v>355</v>
      </c>
      <c r="Q54" s="36"/>
      <c r="R54" s="30"/>
    </row>
    <row r="55" spans="1:18" ht="15.75" customHeight="1" x14ac:dyDescent="0.2">
      <c r="A55" s="37">
        <v>45749</v>
      </c>
      <c r="B55" s="22">
        <f t="shared" si="3"/>
        <v>35</v>
      </c>
      <c r="C55" s="28">
        <f t="shared" si="4"/>
        <v>1719</v>
      </c>
      <c r="D55" s="24">
        <v>-1550</v>
      </c>
      <c r="E55" s="28">
        <v>3269</v>
      </c>
      <c r="F55" s="22">
        <f t="shared" si="5"/>
        <v>356</v>
      </c>
      <c r="G55" s="22">
        <f t="shared" si="6"/>
        <v>35</v>
      </c>
      <c r="H55" s="28">
        <f t="shared" si="7"/>
        <v>1622</v>
      </c>
      <c r="I55" s="24">
        <v>-1608</v>
      </c>
      <c r="J55" s="28">
        <v>3230</v>
      </c>
      <c r="K55" s="22">
        <f t="shared" si="1"/>
        <v>418</v>
      </c>
      <c r="L55" s="22">
        <f t="shared" si="8"/>
        <v>35</v>
      </c>
      <c r="M55" s="28">
        <f t="shared" si="9"/>
        <v>1772</v>
      </c>
      <c r="N55" s="24">
        <v>-1953</v>
      </c>
      <c r="O55" s="28">
        <v>3725</v>
      </c>
      <c r="P55" s="22">
        <f t="shared" si="2"/>
        <v>363</v>
      </c>
      <c r="Q55" s="36"/>
      <c r="R55" s="30"/>
    </row>
    <row r="56" spans="1:18" ht="15.75" customHeight="1" x14ac:dyDescent="0.2">
      <c r="A56" s="37">
        <v>45750</v>
      </c>
      <c r="B56" s="22">
        <f t="shared" si="3"/>
        <v>36</v>
      </c>
      <c r="C56" s="28">
        <f t="shared" si="4"/>
        <v>1714</v>
      </c>
      <c r="D56" s="24">
        <v>-1555</v>
      </c>
      <c r="E56" s="28">
        <v>3269</v>
      </c>
      <c r="F56" s="22">
        <f t="shared" si="5"/>
        <v>361</v>
      </c>
      <c r="G56" s="22">
        <f t="shared" si="6"/>
        <v>36</v>
      </c>
      <c r="H56" s="28">
        <f t="shared" si="7"/>
        <v>1611</v>
      </c>
      <c r="I56" s="24">
        <v>-1619</v>
      </c>
      <c r="J56" s="28">
        <v>3230</v>
      </c>
      <c r="K56" s="22">
        <f t="shared" si="1"/>
        <v>429</v>
      </c>
      <c r="L56" s="22">
        <f t="shared" si="8"/>
        <v>36</v>
      </c>
      <c r="M56" s="28">
        <f t="shared" si="9"/>
        <v>1767</v>
      </c>
      <c r="N56" s="24">
        <v>-1958</v>
      </c>
      <c r="O56" s="28">
        <v>3725</v>
      </c>
      <c r="P56" s="22">
        <f t="shared" si="2"/>
        <v>368</v>
      </c>
      <c r="Q56" s="36"/>
      <c r="R56" s="30"/>
    </row>
    <row r="57" spans="1:18" ht="15.75" customHeight="1" x14ac:dyDescent="0.2">
      <c r="A57" s="37">
        <v>45751</v>
      </c>
      <c r="B57" s="22">
        <f t="shared" si="3"/>
        <v>37</v>
      </c>
      <c r="C57" s="28">
        <f t="shared" si="4"/>
        <v>1709</v>
      </c>
      <c r="D57" s="24">
        <v>-1560</v>
      </c>
      <c r="E57" s="28">
        <v>3269</v>
      </c>
      <c r="F57" s="22">
        <f t="shared" si="5"/>
        <v>366</v>
      </c>
      <c r="G57" s="22">
        <f t="shared" si="6"/>
        <v>37</v>
      </c>
      <c r="H57" s="28">
        <f t="shared" si="7"/>
        <v>1600</v>
      </c>
      <c r="I57" s="24">
        <v>-1630</v>
      </c>
      <c r="J57" s="28">
        <v>3230</v>
      </c>
      <c r="K57" s="22">
        <f t="shared" si="1"/>
        <v>440</v>
      </c>
      <c r="L57" s="22">
        <f t="shared" si="8"/>
        <v>37</v>
      </c>
      <c r="M57" s="28">
        <f t="shared" si="9"/>
        <v>1762</v>
      </c>
      <c r="N57" s="24">
        <v>-1963</v>
      </c>
      <c r="O57" s="28">
        <v>3725</v>
      </c>
      <c r="P57" s="22">
        <f t="shared" si="2"/>
        <v>373</v>
      </c>
      <c r="Q57" s="36"/>
      <c r="R57" s="30"/>
    </row>
    <row r="58" spans="1:18" ht="15.75" customHeight="1" x14ac:dyDescent="0.2">
      <c r="A58" s="37">
        <v>45752</v>
      </c>
      <c r="B58" s="22">
        <f t="shared" si="3"/>
        <v>38</v>
      </c>
      <c r="C58" s="28">
        <f t="shared" si="4"/>
        <v>1703</v>
      </c>
      <c r="D58" s="24">
        <v>-1566</v>
      </c>
      <c r="E58" s="28">
        <v>3269</v>
      </c>
      <c r="F58" s="22">
        <f t="shared" si="5"/>
        <v>372</v>
      </c>
      <c r="G58" s="22">
        <f t="shared" si="6"/>
        <v>38</v>
      </c>
      <c r="H58" s="28">
        <f t="shared" si="7"/>
        <v>1598</v>
      </c>
      <c r="I58" s="24">
        <v>-1632</v>
      </c>
      <c r="J58" s="28">
        <v>3230</v>
      </c>
      <c r="K58" s="22">
        <f t="shared" si="1"/>
        <v>442</v>
      </c>
      <c r="L58" s="22">
        <f t="shared" si="8"/>
        <v>38</v>
      </c>
      <c r="M58" s="28">
        <f t="shared" si="9"/>
        <v>1757</v>
      </c>
      <c r="N58" s="24">
        <v>-1968</v>
      </c>
      <c r="O58" s="28">
        <v>3725</v>
      </c>
      <c r="P58" s="22">
        <f t="shared" si="2"/>
        <v>378</v>
      </c>
      <c r="Q58" s="36"/>
      <c r="R58" s="30"/>
    </row>
    <row r="59" spans="1:18" ht="15.75" customHeight="1" x14ac:dyDescent="0.2">
      <c r="A59" s="37">
        <v>45753</v>
      </c>
      <c r="B59" s="22">
        <f t="shared" si="3"/>
        <v>39</v>
      </c>
      <c r="C59" s="28">
        <f t="shared" si="4"/>
        <v>1697</v>
      </c>
      <c r="D59" s="24">
        <v>-1572</v>
      </c>
      <c r="E59" s="28">
        <v>3269</v>
      </c>
      <c r="F59" s="22">
        <f t="shared" si="5"/>
        <v>378</v>
      </c>
      <c r="G59" s="22">
        <f t="shared" si="6"/>
        <v>39</v>
      </c>
      <c r="H59" s="28">
        <f t="shared" si="7"/>
        <v>1595</v>
      </c>
      <c r="I59" s="24">
        <v>-1635</v>
      </c>
      <c r="J59" s="28">
        <v>3230</v>
      </c>
      <c r="K59" s="22">
        <f t="shared" si="1"/>
        <v>445</v>
      </c>
      <c r="L59" s="22">
        <f t="shared" si="8"/>
        <v>39</v>
      </c>
      <c r="M59" s="28">
        <f t="shared" si="9"/>
        <v>1753</v>
      </c>
      <c r="N59" s="24">
        <v>-1972</v>
      </c>
      <c r="O59" s="28">
        <v>3725</v>
      </c>
      <c r="P59" s="22">
        <f t="shared" si="2"/>
        <v>382</v>
      </c>
      <c r="Q59" s="36"/>
      <c r="R59" s="30"/>
    </row>
    <row r="60" spans="1:18" ht="15.75" customHeight="1" x14ac:dyDescent="0.2">
      <c r="A60" s="37">
        <v>45754</v>
      </c>
      <c r="B60" s="22">
        <f t="shared" si="3"/>
        <v>40</v>
      </c>
      <c r="C60" s="28">
        <f t="shared" si="4"/>
        <v>1689</v>
      </c>
      <c r="D60" s="24">
        <v>-1580</v>
      </c>
      <c r="E60" s="28">
        <v>3269</v>
      </c>
      <c r="F60" s="22">
        <f t="shared" si="5"/>
        <v>386</v>
      </c>
      <c r="G60" s="22">
        <f t="shared" si="6"/>
        <v>40</v>
      </c>
      <c r="H60" s="28">
        <f t="shared" si="7"/>
        <v>1590</v>
      </c>
      <c r="I60" s="24">
        <v>-1640</v>
      </c>
      <c r="J60" s="28">
        <v>3230</v>
      </c>
      <c r="K60" s="22">
        <f t="shared" si="1"/>
        <v>450</v>
      </c>
      <c r="L60" s="22">
        <f t="shared" si="8"/>
        <v>40</v>
      </c>
      <c r="M60" s="28">
        <f t="shared" si="9"/>
        <v>1747</v>
      </c>
      <c r="N60" s="24">
        <v>-1978</v>
      </c>
      <c r="O60" s="28">
        <v>3725</v>
      </c>
      <c r="P60" s="22">
        <f t="shared" si="2"/>
        <v>388</v>
      </c>
      <c r="Q60" s="36"/>
      <c r="R60" s="30"/>
    </row>
    <row r="61" spans="1:18" ht="15.75" customHeight="1" x14ac:dyDescent="0.2">
      <c r="A61" s="37">
        <v>45755</v>
      </c>
      <c r="B61" s="22">
        <f t="shared" si="3"/>
        <v>41</v>
      </c>
      <c r="C61" s="28">
        <f t="shared" si="4"/>
        <v>1682</v>
      </c>
      <c r="D61" s="24">
        <v>-1587</v>
      </c>
      <c r="E61" s="28">
        <v>3269</v>
      </c>
      <c r="F61" s="22">
        <f t="shared" si="5"/>
        <v>393</v>
      </c>
      <c r="G61" s="22">
        <f t="shared" si="6"/>
        <v>41</v>
      </c>
      <c r="H61" s="28">
        <f t="shared" si="7"/>
        <v>1585</v>
      </c>
      <c r="I61" s="24">
        <v>-1645</v>
      </c>
      <c r="J61" s="28">
        <v>3230</v>
      </c>
      <c r="K61" s="22">
        <f t="shared" si="1"/>
        <v>455</v>
      </c>
      <c r="L61" s="22">
        <f t="shared" si="8"/>
        <v>41</v>
      </c>
      <c r="M61" s="28">
        <f t="shared" si="9"/>
        <v>1740</v>
      </c>
      <c r="N61" s="24">
        <v>-1985</v>
      </c>
      <c r="O61" s="28">
        <v>3725</v>
      </c>
      <c r="P61" s="22">
        <f t="shared" si="2"/>
        <v>395</v>
      </c>
      <c r="Q61" s="36"/>
      <c r="R61" s="30"/>
    </row>
    <row r="62" spans="1:18" ht="15.75" customHeight="1" x14ac:dyDescent="0.2">
      <c r="A62" s="37">
        <v>45756</v>
      </c>
      <c r="B62" s="22">
        <f t="shared" si="3"/>
        <v>42</v>
      </c>
      <c r="C62" s="28">
        <f t="shared" si="4"/>
        <v>1675</v>
      </c>
      <c r="D62" s="24">
        <v>-1594</v>
      </c>
      <c r="E62" s="28">
        <v>3269</v>
      </c>
      <c r="F62" s="22">
        <f t="shared" si="5"/>
        <v>400</v>
      </c>
      <c r="G62" s="22">
        <f t="shared" si="6"/>
        <v>42</v>
      </c>
      <c r="H62" s="28">
        <f t="shared" si="7"/>
        <v>1581</v>
      </c>
      <c r="I62" s="24">
        <v>-1649</v>
      </c>
      <c r="J62" s="28">
        <v>3230</v>
      </c>
      <c r="K62" s="22">
        <f t="shared" si="1"/>
        <v>459</v>
      </c>
      <c r="L62" s="22">
        <f t="shared" si="8"/>
        <v>42</v>
      </c>
      <c r="M62" s="28">
        <f t="shared" si="9"/>
        <v>1731</v>
      </c>
      <c r="N62" s="24">
        <v>-1994</v>
      </c>
      <c r="O62" s="28">
        <v>3725</v>
      </c>
      <c r="P62" s="22">
        <f t="shared" si="2"/>
        <v>404</v>
      </c>
      <c r="Q62" s="36"/>
      <c r="R62" s="30"/>
    </row>
    <row r="63" spans="1:18" ht="15.75" customHeight="1" x14ac:dyDescent="0.2">
      <c r="A63" s="37">
        <v>45757</v>
      </c>
      <c r="B63" s="22">
        <f t="shared" si="3"/>
        <v>43</v>
      </c>
      <c r="C63" s="28">
        <f t="shared" si="4"/>
        <v>1669</v>
      </c>
      <c r="D63" s="24">
        <v>-1600</v>
      </c>
      <c r="E63" s="28">
        <v>3269</v>
      </c>
      <c r="F63" s="22">
        <f t="shared" si="5"/>
        <v>406</v>
      </c>
      <c r="G63" s="22">
        <f t="shared" si="6"/>
        <v>43</v>
      </c>
      <c r="H63" s="28">
        <f t="shared" si="7"/>
        <v>1575</v>
      </c>
      <c r="I63" s="24">
        <v>-1655</v>
      </c>
      <c r="J63" s="28">
        <v>3230</v>
      </c>
      <c r="K63" s="22">
        <f t="shared" si="1"/>
        <v>465</v>
      </c>
      <c r="L63" s="22">
        <f t="shared" si="8"/>
        <v>43</v>
      </c>
      <c r="M63" s="28">
        <f t="shared" si="9"/>
        <v>1725</v>
      </c>
      <c r="N63" s="24">
        <v>-2000</v>
      </c>
      <c r="O63" s="28">
        <v>3725</v>
      </c>
      <c r="P63" s="22">
        <f t="shared" si="2"/>
        <v>410</v>
      </c>
      <c r="Q63" s="36"/>
      <c r="R63" s="30"/>
    </row>
    <row r="64" spans="1:18" ht="15.75" customHeight="1" x14ac:dyDescent="0.2">
      <c r="A64" s="37">
        <v>45758</v>
      </c>
      <c r="B64" s="22">
        <f t="shared" si="3"/>
        <v>44</v>
      </c>
      <c r="C64" s="28">
        <f t="shared" si="4"/>
        <v>1663</v>
      </c>
      <c r="D64" s="24">
        <v>-1606</v>
      </c>
      <c r="E64" s="28">
        <v>3269</v>
      </c>
      <c r="F64" s="22">
        <f t="shared" si="5"/>
        <v>412</v>
      </c>
      <c r="G64" s="22">
        <f t="shared" si="6"/>
        <v>44</v>
      </c>
      <c r="H64" s="28">
        <f t="shared" si="7"/>
        <v>1570</v>
      </c>
      <c r="I64" s="24">
        <v>-1660</v>
      </c>
      <c r="J64" s="28">
        <v>3230</v>
      </c>
      <c r="K64" s="22">
        <f t="shared" si="1"/>
        <v>470</v>
      </c>
      <c r="L64" s="22">
        <f t="shared" si="8"/>
        <v>44</v>
      </c>
      <c r="M64" s="28">
        <f t="shared" si="9"/>
        <v>1720</v>
      </c>
      <c r="N64" s="24">
        <v>-2005</v>
      </c>
      <c r="O64" s="28">
        <v>3725</v>
      </c>
      <c r="P64" s="22">
        <f t="shared" si="2"/>
        <v>415</v>
      </c>
      <c r="Q64" s="36"/>
      <c r="R64" s="30"/>
    </row>
    <row r="65" spans="1:18" ht="15.75" customHeight="1" x14ac:dyDescent="0.2">
      <c r="A65" s="37">
        <v>45759</v>
      </c>
      <c r="B65" s="22">
        <f t="shared" si="3"/>
        <v>45</v>
      </c>
      <c r="C65" s="28">
        <f t="shared" si="4"/>
        <v>1656</v>
      </c>
      <c r="D65" s="24">
        <v>-1613</v>
      </c>
      <c r="E65" s="28">
        <v>3269</v>
      </c>
      <c r="F65" s="22">
        <f t="shared" si="5"/>
        <v>419</v>
      </c>
      <c r="G65" s="22">
        <f t="shared" si="6"/>
        <v>45</v>
      </c>
      <c r="H65" s="28">
        <f t="shared" si="7"/>
        <v>1564</v>
      </c>
      <c r="I65" s="24">
        <v>-1666</v>
      </c>
      <c r="J65" s="28">
        <v>3230</v>
      </c>
      <c r="K65" s="22">
        <f t="shared" si="1"/>
        <v>476</v>
      </c>
      <c r="L65" s="22">
        <f t="shared" si="8"/>
        <v>45</v>
      </c>
      <c r="M65" s="28">
        <f t="shared" si="9"/>
        <v>1706</v>
      </c>
      <c r="N65" s="24">
        <v>-2019</v>
      </c>
      <c r="O65" s="28">
        <v>3725</v>
      </c>
      <c r="P65" s="22">
        <f t="shared" si="2"/>
        <v>429</v>
      </c>
      <c r="Q65" s="36"/>
      <c r="R65" s="30"/>
    </row>
    <row r="66" spans="1:18" ht="15.75" customHeight="1" x14ac:dyDescent="0.2">
      <c r="A66" s="37">
        <v>45760</v>
      </c>
      <c r="B66" s="22">
        <f t="shared" si="3"/>
        <v>46</v>
      </c>
      <c r="C66" s="28">
        <f t="shared" si="4"/>
        <v>1653</v>
      </c>
      <c r="D66" s="24">
        <v>-1616</v>
      </c>
      <c r="E66" s="28">
        <v>3269</v>
      </c>
      <c r="F66" s="22">
        <f t="shared" si="5"/>
        <v>422</v>
      </c>
      <c r="G66" s="22">
        <f t="shared" si="6"/>
        <v>46</v>
      </c>
      <c r="H66" s="28">
        <f t="shared" si="7"/>
        <v>1558</v>
      </c>
      <c r="I66" s="24">
        <v>-1672</v>
      </c>
      <c r="J66" s="28">
        <v>3230</v>
      </c>
      <c r="K66" s="22">
        <f t="shared" si="1"/>
        <v>482</v>
      </c>
      <c r="L66" s="22">
        <f t="shared" si="8"/>
        <v>46</v>
      </c>
      <c r="M66" s="28">
        <f t="shared" si="9"/>
        <v>1713</v>
      </c>
      <c r="N66" s="24">
        <v>-2012</v>
      </c>
      <c r="O66" s="28">
        <v>3725</v>
      </c>
      <c r="P66" s="22">
        <f t="shared" si="2"/>
        <v>422</v>
      </c>
      <c r="Q66" s="36"/>
      <c r="R66" s="30"/>
    </row>
    <row r="67" spans="1:18" ht="15.75" customHeight="1" x14ac:dyDescent="0.2">
      <c r="A67" s="37">
        <v>45761</v>
      </c>
      <c r="B67" s="22">
        <f t="shared" si="3"/>
        <v>47</v>
      </c>
      <c r="C67" s="28">
        <f t="shared" si="4"/>
        <v>1650</v>
      </c>
      <c r="D67" s="24">
        <v>-1619</v>
      </c>
      <c r="E67" s="28">
        <v>3269</v>
      </c>
      <c r="F67" s="22">
        <f t="shared" si="5"/>
        <v>425</v>
      </c>
      <c r="G67" s="22">
        <f t="shared" si="6"/>
        <v>47</v>
      </c>
      <c r="H67" s="28">
        <f t="shared" si="7"/>
        <v>1550</v>
      </c>
      <c r="I67" s="24">
        <v>-1680</v>
      </c>
      <c r="J67" s="28">
        <v>3230</v>
      </c>
      <c r="K67" s="22">
        <f t="shared" si="1"/>
        <v>490</v>
      </c>
      <c r="L67" s="22">
        <f t="shared" si="8"/>
        <v>47</v>
      </c>
      <c r="M67" s="28">
        <f t="shared" si="9"/>
        <v>1710</v>
      </c>
      <c r="N67" s="24">
        <v>-2015</v>
      </c>
      <c r="O67" s="28">
        <v>3725</v>
      </c>
      <c r="P67" s="22">
        <f t="shared" si="2"/>
        <v>425</v>
      </c>
      <c r="Q67" s="36"/>
      <c r="R67" s="30"/>
    </row>
    <row r="68" spans="1:18" ht="15.75" customHeight="1" x14ac:dyDescent="0.2">
      <c r="A68" s="37">
        <v>45762</v>
      </c>
      <c r="B68" s="22">
        <f t="shared" si="3"/>
        <v>48</v>
      </c>
      <c r="C68" s="28">
        <f t="shared" si="4"/>
        <v>1646</v>
      </c>
      <c r="D68" s="24">
        <v>-1623</v>
      </c>
      <c r="E68" s="28">
        <v>3269</v>
      </c>
      <c r="F68" s="22">
        <f t="shared" si="5"/>
        <v>429</v>
      </c>
      <c r="G68" s="22">
        <f t="shared" si="6"/>
        <v>48</v>
      </c>
      <c r="H68" s="28">
        <f t="shared" si="7"/>
        <v>1542</v>
      </c>
      <c r="I68" s="24">
        <v>-1688</v>
      </c>
      <c r="J68" s="28">
        <v>3230</v>
      </c>
      <c r="K68" s="22">
        <f t="shared" si="1"/>
        <v>498</v>
      </c>
      <c r="L68" s="22">
        <f t="shared" si="8"/>
        <v>48</v>
      </c>
      <c r="M68" s="28">
        <f t="shared" si="9"/>
        <v>1707</v>
      </c>
      <c r="N68" s="24">
        <v>-2018</v>
      </c>
      <c r="O68" s="28">
        <v>3725</v>
      </c>
      <c r="P68" s="22">
        <f t="shared" si="2"/>
        <v>428</v>
      </c>
      <c r="Q68" s="36"/>
      <c r="R68" s="30"/>
    </row>
    <row r="69" spans="1:18" ht="15.75" customHeight="1" x14ac:dyDescent="0.2">
      <c r="A69" s="37">
        <v>45763</v>
      </c>
      <c r="B69" s="22">
        <f t="shared" si="3"/>
        <v>49</v>
      </c>
      <c r="C69" s="28">
        <f t="shared" si="4"/>
        <v>1641</v>
      </c>
      <c r="D69" s="24">
        <v>-1628</v>
      </c>
      <c r="E69" s="28">
        <v>3269</v>
      </c>
      <c r="F69" s="22">
        <f t="shared" si="5"/>
        <v>434</v>
      </c>
      <c r="G69" s="22">
        <f t="shared" si="6"/>
        <v>49</v>
      </c>
      <c r="H69" s="28">
        <f t="shared" si="7"/>
        <v>1530</v>
      </c>
      <c r="I69" s="24">
        <v>-1700</v>
      </c>
      <c r="J69" s="28">
        <v>3230</v>
      </c>
      <c r="K69" s="22">
        <f t="shared" si="1"/>
        <v>510</v>
      </c>
      <c r="L69" s="22">
        <f t="shared" si="8"/>
        <v>49</v>
      </c>
      <c r="M69" s="28">
        <f t="shared" si="9"/>
        <v>1695</v>
      </c>
      <c r="N69" s="24">
        <v>-2030</v>
      </c>
      <c r="O69" s="28">
        <v>3725</v>
      </c>
      <c r="P69" s="22">
        <f t="shared" si="2"/>
        <v>440</v>
      </c>
      <c r="Q69" s="36"/>
      <c r="R69" s="30"/>
    </row>
    <row r="70" spans="1:18" ht="15.75" customHeight="1" x14ac:dyDescent="0.2">
      <c r="A70" s="37">
        <v>45764</v>
      </c>
      <c r="B70" s="22">
        <f t="shared" si="3"/>
        <v>50</v>
      </c>
      <c r="C70" s="28">
        <f t="shared" si="4"/>
        <v>1635</v>
      </c>
      <c r="D70" s="24">
        <v>-1634</v>
      </c>
      <c r="E70" s="28">
        <v>3269</v>
      </c>
      <c r="F70" s="22">
        <f t="shared" si="5"/>
        <v>440</v>
      </c>
      <c r="G70" s="22">
        <f t="shared" si="6"/>
        <v>50</v>
      </c>
      <c r="H70" s="28">
        <f t="shared" si="7"/>
        <v>1518</v>
      </c>
      <c r="I70" s="24">
        <v>-1712</v>
      </c>
      <c r="J70" s="28">
        <v>3230</v>
      </c>
      <c r="K70" s="22">
        <f t="shared" si="1"/>
        <v>522</v>
      </c>
      <c r="L70" s="22">
        <f t="shared" si="8"/>
        <v>50</v>
      </c>
      <c r="M70" s="28">
        <f t="shared" si="9"/>
        <v>1690</v>
      </c>
      <c r="N70" s="24">
        <v>-2035</v>
      </c>
      <c r="O70" s="28">
        <v>3725</v>
      </c>
      <c r="P70" s="22">
        <f t="shared" si="2"/>
        <v>445</v>
      </c>
      <c r="Q70" s="36"/>
      <c r="R70" s="30"/>
    </row>
    <row r="71" spans="1:18" ht="15.75" customHeight="1" x14ac:dyDescent="0.2">
      <c r="A71" s="37">
        <v>45765</v>
      </c>
      <c r="B71" s="22">
        <f t="shared" si="3"/>
        <v>51</v>
      </c>
      <c r="C71" s="28">
        <f t="shared" si="4"/>
        <v>1629</v>
      </c>
      <c r="D71" s="24">
        <v>-1640</v>
      </c>
      <c r="E71" s="28">
        <v>3269</v>
      </c>
      <c r="F71" s="22">
        <f t="shared" si="5"/>
        <v>446</v>
      </c>
      <c r="G71" s="22">
        <f t="shared" si="6"/>
        <v>51</v>
      </c>
      <c r="H71" s="28">
        <f t="shared" si="7"/>
        <v>1511</v>
      </c>
      <c r="I71" s="24">
        <v>-1719</v>
      </c>
      <c r="J71" s="28">
        <v>3230</v>
      </c>
      <c r="K71" s="22">
        <f t="shared" si="1"/>
        <v>529</v>
      </c>
      <c r="L71" s="22">
        <f t="shared" si="8"/>
        <v>51</v>
      </c>
      <c r="M71" s="28">
        <f t="shared" si="9"/>
        <v>1687</v>
      </c>
      <c r="N71" s="24">
        <v>-2038</v>
      </c>
      <c r="O71" s="28">
        <v>3725</v>
      </c>
      <c r="P71" s="22">
        <f t="shared" si="2"/>
        <v>448</v>
      </c>
      <c r="Q71" s="36"/>
      <c r="R71" s="30"/>
    </row>
    <row r="72" spans="1:18" ht="15.75" customHeight="1" x14ac:dyDescent="0.2">
      <c r="A72" s="37">
        <v>45766</v>
      </c>
      <c r="B72" s="22">
        <f t="shared" si="3"/>
        <v>52</v>
      </c>
      <c r="C72" s="28">
        <f t="shared" si="4"/>
        <v>1623</v>
      </c>
      <c r="D72" s="24">
        <v>-1646</v>
      </c>
      <c r="E72" s="28">
        <v>3269</v>
      </c>
      <c r="F72" s="22">
        <f t="shared" si="5"/>
        <v>452</v>
      </c>
      <c r="G72" s="22">
        <f t="shared" si="6"/>
        <v>52</v>
      </c>
      <c r="H72" s="28">
        <f t="shared" si="7"/>
        <v>1504</v>
      </c>
      <c r="I72" s="24">
        <v>-1726</v>
      </c>
      <c r="J72" s="28">
        <v>3230</v>
      </c>
      <c r="K72" s="22">
        <f t="shared" si="1"/>
        <v>536</v>
      </c>
      <c r="L72" s="22">
        <f t="shared" si="8"/>
        <v>52</v>
      </c>
      <c r="M72" s="28">
        <f t="shared" si="9"/>
        <v>1684</v>
      </c>
      <c r="N72" s="24">
        <v>-2041</v>
      </c>
      <c r="O72" s="28">
        <v>3725</v>
      </c>
      <c r="P72" s="22">
        <f t="shared" si="2"/>
        <v>451</v>
      </c>
      <c r="Q72" s="36"/>
      <c r="R72" s="30"/>
    </row>
    <row r="73" spans="1:18" ht="15.75" customHeight="1" x14ac:dyDescent="0.2">
      <c r="A73" s="37">
        <v>45767</v>
      </c>
      <c r="B73" s="22">
        <f t="shared" si="3"/>
        <v>53</v>
      </c>
      <c r="C73" s="28">
        <f t="shared" si="4"/>
        <v>1619</v>
      </c>
      <c r="D73" s="24">
        <v>-1650</v>
      </c>
      <c r="E73" s="28">
        <v>3269</v>
      </c>
      <c r="F73" s="22">
        <f t="shared" si="5"/>
        <v>456</v>
      </c>
      <c r="G73" s="22">
        <f t="shared" si="6"/>
        <v>53</v>
      </c>
      <c r="H73" s="28">
        <f t="shared" si="7"/>
        <v>1502</v>
      </c>
      <c r="I73" s="24">
        <v>-1728</v>
      </c>
      <c r="J73" s="28">
        <v>3230</v>
      </c>
      <c r="K73" s="22">
        <f t="shared" si="1"/>
        <v>538</v>
      </c>
      <c r="L73" s="22">
        <f t="shared" si="8"/>
        <v>53</v>
      </c>
      <c r="M73" s="28">
        <f t="shared" si="9"/>
        <v>1681</v>
      </c>
      <c r="N73" s="24">
        <v>-2044</v>
      </c>
      <c r="O73" s="28">
        <v>3725</v>
      </c>
      <c r="P73" s="22">
        <f t="shared" si="2"/>
        <v>454</v>
      </c>
      <c r="Q73" s="36"/>
      <c r="R73" s="30"/>
    </row>
    <row r="74" spans="1:18" ht="15.75" customHeight="1" x14ac:dyDescent="0.2">
      <c r="A74" s="37">
        <v>45768</v>
      </c>
      <c r="B74" s="22">
        <f t="shared" si="3"/>
        <v>54</v>
      </c>
      <c r="C74" s="28">
        <f t="shared" si="4"/>
        <v>1616</v>
      </c>
      <c r="D74" s="24">
        <v>-1653</v>
      </c>
      <c r="E74" s="28">
        <v>3269</v>
      </c>
      <c r="F74" s="22">
        <f t="shared" si="5"/>
        <v>459</v>
      </c>
      <c r="G74" s="22">
        <f t="shared" si="6"/>
        <v>54</v>
      </c>
      <c r="H74" s="28">
        <f t="shared" si="7"/>
        <v>1499</v>
      </c>
      <c r="I74" s="24">
        <v>-1731</v>
      </c>
      <c r="J74" s="28">
        <v>3230</v>
      </c>
      <c r="K74" s="22">
        <f t="shared" si="1"/>
        <v>541</v>
      </c>
      <c r="L74" s="22">
        <f t="shared" si="8"/>
        <v>54</v>
      </c>
      <c r="M74" s="28">
        <f t="shared" si="9"/>
        <v>1678</v>
      </c>
      <c r="N74" s="24">
        <v>-2047</v>
      </c>
      <c r="O74" s="28">
        <v>3725</v>
      </c>
      <c r="P74" s="22">
        <f t="shared" si="2"/>
        <v>457</v>
      </c>
      <c r="Q74" s="36"/>
      <c r="R74" s="30"/>
    </row>
    <row r="75" spans="1:18" ht="15.75" customHeight="1" x14ac:dyDescent="0.2">
      <c r="A75" s="37">
        <v>45769</v>
      </c>
      <c r="B75" s="22">
        <f t="shared" si="3"/>
        <v>55</v>
      </c>
      <c r="C75" s="28">
        <f t="shared" si="4"/>
        <v>1614</v>
      </c>
      <c r="D75" s="24">
        <v>-1655</v>
      </c>
      <c r="E75" s="28">
        <v>3269</v>
      </c>
      <c r="F75" s="22">
        <f t="shared" si="5"/>
        <v>461</v>
      </c>
      <c r="G75" s="22">
        <f t="shared" si="6"/>
        <v>55</v>
      </c>
      <c r="H75" s="28">
        <f t="shared" si="7"/>
        <v>1495</v>
      </c>
      <c r="I75" s="24">
        <v>-1735</v>
      </c>
      <c r="J75" s="28">
        <v>3230</v>
      </c>
      <c r="K75" s="22">
        <f t="shared" si="1"/>
        <v>545</v>
      </c>
      <c r="L75" s="22">
        <f t="shared" si="8"/>
        <v>55</v>
      </c>
      <c r="M75" s="28">
        <f t="shared" si="9"/>
        <v>1675</v>
      </c>
      <c r="N75" s="24">
        <v>-2050</v>
      </c>
      <c r="O75" s="28">
        <v>3725</v>
      </c>
      <c r="P75" s="22">
        <f t="shared" si="2"/>
        <v>460</v>
      </c>
      <c r="Q75" s="36"/>
      <c r="R75" s="30"/>
    </row>
    <row r="76" spans="1:18" ht="15.75" customHeight="1" x14ac:dyDescent="0.2">
      <c r="A76" s="37">
        <v>45770</v>
      </c>
      <c r="B76" s="22">
        <f t="shared" si="3"/>
        <v>56</v>
      </c>
      <c r="C76" s="28">
        <f t="shared" si="4"/>
        <v>1611</v>
      </c>
      <c r="D76" s="24">
        <v>-1658</v>
      </c>
      <c r="E76" s="28">
        <v>3269</v>
      </c>
      <c r="F76" s="22">
        <f t="shared" si="5"/>
        <v>464</v>
      </c>
      <c r="G76" s="22">
        <f t="shared" si="6"/>
        <v>56</v>
      </c>
      <c r="H76" s="28">
        <f t="shared" si="7"/>
        <v>1492</v>
      </c>
      <c r="I76" s="24">
        <v>-1738</v>
      </c>
      <c r="J76" s="28">
        <v>3230</v>
      </c>
      <c r="K76" s="22">
        <f t="shared" si="1"/>
        <v>548</v>
      </c>
      <c r="L76" s="22">
        <f t="shared" si="8"/>
        <v>56</v>
      </c>
      <c r="M76" s="28">
        <f t="shared" si="9"/>
        <v>1672</v>
      </c>
      <c r="N76" s="24">
        <v>-2053</v>
      </c>
      <c r="O76" s="28">
        <v>3725</v>
      </c>
      <c r="P76" s="22">
        <f t="shared" si="2"/>
        <v>463</v>
      </c>
      <c r="Q76" s="36"/>
      <c r="R76" s="30"/>
    </row>
    <row r="77" spans="1:18" ht="15.75" customHeight="1" x14ac:dyDescent="0.2">
      <c r="A77" s="37">
        <v>45771</v>
      </c>
      <c r="B77" s="22">
        <f t="shared" si="3"/>
        <v>57</v>
      </c>
      <c r="C77" s="28">
        <f t="shared" si="4"/>
        <v>1610</v>
      </c>
      <c r="D77" s="24">
        <v>-1659</v>
      </c>
      <c r="E77" s="28">
        <v>3269</v>
      </c>
      <c r="F77" s="22">
        <f t="shared" si="5"/>
        <v>465</v>
      </c>
      <c r="G77" s="22">
        <f t="shared" si="6"/>
        <v>57</v>
      </c>
      <c r="H77" s="28">
        <f t="shared" si="7"/>
        <v>1489</v>
      </c>
      <c r="I77" s="24">
        <v>-1741</v>
      </c>
      <c r="J77" s="28">
        <v>3230</v>
      </c>
      <c r="K77" s="22">
        <f t="shared" si="1"/>
        <v>551</v>
      </c>
      <c r="L77" s="22">
        <f t="shared" si="8"/>
        <v>57</v>
      </c>
      <c r="M77" s="28">
        <f t="shared" si="9"/>
        <v>1669</v>
      </c>
      <c r="N77" s="24">
        <v>-2056</v>
      </c>
      <c r="O77" s="28">
        <v>3725</v>
      </c>
      <c r="P77" s="22">
        <f t="shared" si="2"/>
        <v>466</v>
      </c>
      <c r="Q77" s="36"/>
      <c r="R77" s="30"/>
    </row>
    <row r="78" spans="1:18" ht="15.75" customHeight="1" x14ac:dyDescent="0.2">
      <c r="A78" s="37">
        <v>45772</v>
      </c>
      <c r="B78" s="22">
        <f t="shared" si="3"/>
        <v>58</v>
      </c>
      <c r="C78" s="28">
        <f t="shared" si="4"/>
        <v>1609</v>
      </c>
      <c r="D78" s="24">
        <v>-1660</v>
      </c>
      <c r="E78" s="28">
        <v>3269</v>
      </c>
      <c r="F78" s="22">
        <f t="shared" si="5"/>
        <v>466</v>
      </c>
      <c r="G78" s="22">
        <f t="shared" si="6"/>
        <v>58</v>
      </c>
      <c r="H78" s="28">
        <f t="shared" si="7"/>
        <v>1486</v>
      </c>
      <c r="I78" s="24">
        <v>-1744</v>
      </c>
      <c r="J78" s="28">
        <v>3230</v>
      </c>
      <c r="K78" s="22">
        <f t="shared" si="1"/>
        <v>554</v>
      </c>
      <c r="L78" s="22">
        <f t="shared" si="8"/>
        <v>58</v>
      </c>
      <c r="M78" s="28">
        <f t="shared" si="9"/>
        <v>1664</v>
      </c>
      <c r="N78" s="24">
        <v>-2061</v>
      </c>
      <c r="O78" s="28">
        <v>3725</v>
      </c>
      <c r="P78" s="22">
        <f t="shared" si="2"/>
        <v>471</v>
      </c>
      <c r="Q78" s="36"/>
      <c r="R78" s="30"/>
    </row>
    <row r="79" spans="1:18" ht="15.75" customHeight="1" x14ac:dyDescent="0.2">
      <c r="A79" s="37">
        <v>45773</v>
      </c>
      <c r="B79" s="22">
        <f t="shared" si="3"/>
        <v>59</v>
      </c>
      <c r="C79" s="28">
        <f t="shared" si="4"/>
        <v>1608</v>
      </c>
      <c r="D79" s="24">
        <v>-1661</v>
      </c>
      <c r="E79" s="28">
        <v>3269</v>
      </c>
      <c r="F79" s="22">
        <f t="shared" si="5"/>
        <v>467</v>
      </c>
      <c r="G79" s="22">
        <f t="shared" si="6"/>
        <v>59</v>
      </c>
      <c r="H79" s="28">
        <f t="shared" si="7"/>
        <v>1484</v>
      </c>
      <c r="I79" s="24">
        <v>-1746</v>
      </c>
      <c r="J79" s="28">
        <v>3230</v>
      </c>
      <c r="K79" s="22">
        <f t="shared" si="1"/>
        <v>556</v>
      </c>
      <c r="L79" s="22">
        <f t="shared" si="8"/>
        <v>59</v>
      </c>
      <c r="M79" s="28">
        <f t="shared" si="9"/>
        <v>1660</v>
      </c>
      <c r="N79" s="24">
        <v>-2065</v>
      </c>
      <c r="O79" s="28">
        <v>3725</v>
      </c>
      <c r="P79" s="22">
        <f t="shared" si="2"/>
        <v>475</v>
      </c>
      <c r="Q79" s="36"/>
      <c r="R79" s="30"/>
    </row>
    <row r="80" spans="1:18" ht="15.75" customHeight="1" x14ac:dyDescent="0.2">
      <c r="A80" s="37">
        <v>45774</v>
      </c>
      <c r="B80" s="22">
        <f t="shared" si="3"/>
        <v>60</v>
      </c>
      <c r="C80" s="28">
        <f t="shared" si="4"/>
        <v>1602</v>
      </c>
      <c r="D80" s="24">
        <v>-1667</v>
      </c>
      <c r="E80" s="28">
        <v>3269</v>
      </c>
      <c r="F80" s="22">
        <f t="shared" si="5"/>
        <v>473</v>
      </c>
      <c r="G80" s="22">
        <f t="shared" si="6"/>
        <v>60</v>
      </c>
      <c r="H80" s="28">
        <f t="shared" si="7"/>
        <v>1480</v>
      </c>
      <c r="I80" s="24">
        <v>-1750</v>
      </c>
      <c r="J80" s="28">
        <v>3230</v>
      </c>
      <c r="K80" s="22">
        <f t="shared" si="1"/>
        <v>560</v>
      </c>
      <c r="L80" s="22">
        <f t="shared" si="8"/>
        <v>60</v>
      </c>
      <c r="M80" s="28">
        <f t="shared" si="9"/>
        <v>1655</v>
      </c>
      <c r="N80" s="24">
        <v>-2070</v>
      </c>
      <c r="O80" s="28">
        <v>3725</v>
      </c>
      <c r="P80" s="22">
        <f t="shared" si="2"/>
        <v>480</v>
      </c>
      <c r="Q80" s="36"/>
      <c r="R80" s="30"/>
    </row>
    <row r="81" spans="1:18" ht="15.75" customHeight="1" x14ac:dyDescent="0.2">
      <c r="A81" s="37">
        <v>45775</v>
      </c>
      <c r="B81" s="22">
        <f t="shared" si="3"/>
        <v>61</v>
      </c>
      <c r="C81" s="28">
        <f t="shared" si="4"/>
        <v>1597</v>
      </c>
      <c r="D81" s="24">
        <v>-1672</v>
      </c>
      <c r="E81" s="28">
        <v>3269</v>
      </c>
      <c r="F81" s="22">
        <f t="shared" si="5"/>
        <v>478</v>
      </c>
      <c r="G81" s="22">
        <f t="shared" si="6"/>
        <v>61</v>
      </c>
      <c r="H81" s="28">
        <f t="shared" si="7"/>
        <v>1475</v>
      </c>
      <c r="I81" s="24">
        <v>-1755</v>
      </c>
      <c r="J81" s="28">
        <v>3230</v>
      </c>
      <c r="K81" s="22">
        <f t="shared" si="1"/>
        <v>565</v>
      </c>
      <c r="L81" s="22">
        <f t="shared" si="8"/>
        <v>61</v>
      </c>
      <c r="M81" s="28">
        <f t="shared" si="9"/>
        <v>1650</v>
      </c>
      <c r="N81" s="24">
        <v>-2075</v>
      </c>
      <c r="O81" s="28">
        <v>3725</v>
      </c>
      <c r="P81" s="22">
        <f t="shared" si="2"/>
        <v>485</v>
      </c>
      <c r="Q81" s="36"/>
      <c r="R81" s="30"/>
    </row>
    <row r="82" spans="1:18" ht="15.75" customHeight="1" x14ac:dyDescent="0.2">
      <c r="A82" s="37">
        <v>45776</v>
      </c>
      <c r="B82" s="22">
        <f t="shared" si="3"/>
        <v>62</v>
      </c>
      <c r="C82" s="28">
        <f t="shared" si="4"/>
        <v>1592</v>
      </c>
      <c r="D82" s="24">
        <v>-1677</v>
      </c>
      <c r="E82" s="28">
        <v>3269</v>
      </c>
      <c r="F82" s="22">
        <f t="shared" si="5"/>
        <v>483</v>
      </c>
      <c r="G82" s="22">
        <f t="shared" si="6"/>
        <v>62</v>
      </c>
      <c r="H82" s="28">
        <f t="shared" si="7"/>
        <v>1470</v>
      </c>
      <c r="I82" s="24">
        <v>-1760</v>
      </c>
      <c r="J82" s="28">
        <v>3230</v>
      </c>
      <c r="K82" s="22">
        <f t="shared" si="1"/>
        <v>570</v>
      </c>
      <c r="L82" s="22">
        <f t="shared" si="8"/>
        <v>62</v>
      </c>
      <c r="M82" s="28">
        <f t="shared" si="9"/>
        <v>1644</v>
      </c>
      <c r="N82" s="24">
        <v>-2081</v>
      </c>
      <c r="O82" s="28">
        <v>3725</v>
      </c>
      <c r="P82" s="22">
        <f t="shared" si="2"/>
        <v>491</v>
      </c>
      <c r="Q82" s="36"/>
      <c r="R82" s="30"/>
    </row>
    <row r="83" spans="1:18" ht="15.75" customHeight="1" x14ac:dyDescent="0.2">
      <c r="A83" s="37">
        <v>45777</v>
      </c>
      <c r="B83" s="22">
        <f t="shared" si="3"/>
        <v>63</v>
      </c>
      <c r="C83" s="28">
        <f t="shared" si="4"/>
        <v>1587</v>
      </c>
      <c r="D83" s="24">
        <v>-1682</v>
      </c>
      <c r="E83" s="28">
        <v>3269</v>
      </c>
      <c r="F83" s="22">
        <f t="shared" si="5"/>
        <v>488</v>
      </c>
      <c r="G83" s="22">
        <f t="shared" si="6"/>
        <v>63</v>
      </c>
      <c r="H83" s="28">
        <f t="shared" si="7"/>
        <v>1465</v>
      </c>
      <c r="I83" s="24">
        <v>-1765</v>
      </c>
      <c r="J83" s="28">
        <v>3230</v>
      </c>
      <c r="K83" s="22">
        <f t="shared" si="1"/>
        <v>575</v>
      </c>
      <c r="L83" s="22">
        <f t="shared" si="8"/>
        <v>63</v>
      </c>
      <c r="M83" s="28">
        <f t="shared" si="9"/>
        <v>1639</v>
      </c>
      <c r="N83" s="24">
        <v>-2086</v>
      </c>
      <c r="O83" s="28">
        <v>3725</v>
      </c>
      <c r="P83" s="22">
        <f t="shared" si="2"/>
        <v>496</v>
      </c>
      <c r="Q83" s="36"/>
      <c r="R83" s="30"/>
    </row>
    <row r="84" spans="1:18" ht="15.75" customHeight="1" x14ac:dyDescent="0.2">
      <c r="A84" s="37">
        <v>45778</v>
      </c>
      <c r="B84" s="22">
        <f t="shared" si="3"/>
        <v>64</v>
      </c>
      <c r="C84" s="28">
        <f t="shared" si="4"/>
        <v>1582</v>
      </c>
      <c r="D84" s="24">
        <v>-1687</v>
      </c>
      <c r="E84" s="28">
        <v>3269</v>
      </c>
      <c r="F84" s="22">
        <f t="shared" si="5"/>
        <v>493</v>
      </c>
      <c r="G84" s="22">
        <f t="shared" si="6"/>
        <v>64</v>
      </c>
      <c r="H84" s="28">
        <f t="shared" si="7"/>
        <v>1460</v>
      </c>
      <c r="I84" s="24">
        <v>-1770</v>
      </c>
      <c r="J84" s="28">
        <v>3230</v>
      </c>
      <c r="K84" s="22">
        <f t="shared" si="1"/>
        <v>580</v>
      </c>
      <c r="L84" s="22">
        <f t="shared" si="8"/>
        <v>64</v>
      </c>
      <c r="M84" s="28">
        <f t="shared" si="9"/>
        <v>1636</v>
      </c>
      <c r="N84" s="24">
        <v>-2089</v>
      </c>
      <c r="O84" s="28">
        <v>3725</v>
      </c>
      <c r="P84" s="22">
        <f t="shared" si="2"/>
        <v>499</v>
      </c>
      <c r="Q84" s="36"/>
      <c r="R84" s="30"/>
    </row>
    <row r="85" spans="1:18" ht="15.75" customHeight="1" x14ac:dyDescent="0.2">
      <c r="A85" s="37">
        <v>45779</v>
      </c>
      <c r="B85" s="22">
        <f t="shared" si="3"/>
        <v>65</v>
      </c>
      <c r="C85" s="28">
        <f t="shared" si="4"/>
        <v>1569</v>
      </c>
      <c r="D85" s="24">
        <v>-1700</v>
      </c>
      <c r="E85" s="28">
        <v>3269</v>
      </c>
      <c r="F85" s="22">
        <f t="shared" si="5"/>
        <v>506</v>
      </c>
      <c r="G85" s="22">
        <f t="shared" si="6"/>
        <v>65</v>
      </c>
      <c r="H85" s="28">
        <f t="shared" si="7"/>
        <v>1451</v>
      </c>
      <c r="I85" s="24">
        <v>-1779</v>
      </c>
      <c r="J85" s="28">
        <v>3230</v>
      </c>
      <c r="K85" s="22">
        <f t="shared" si="1"/>
        <v>589</v>
      </c>
      <c r="L85" s="22">
        <f t="shared" si="8"/>
        <v>65</v>
      </c>
      <c r="M85" s="28">
        <f t="shared" si="9"/>
        <v>1625</v>
      </c>
      <c r="N85" s="24">
        <v>-2100</v>
      </c>
      <c r="O85" s="28">
        <v>3725</v>
      </c>
      <c r="P85" s="22">
        <f t="shared" si="2"/>
        <v>510</v>
      </c>
      <c r="Q85" s="36"/>
      <c r="R85" s="30"/>
    </row>
    <row r="86" spans="1:18" ht="15.75" customHeight="1" x14ac:dyDescent="0.2">
      <c r="A86" s="37">
        <v>45780</v>
      </c>
      <c r="B86" s="22">
        <f t="shared" si="3"/>
        <v>66</v>
      </c>
      <c r="C86" s="28">
        <f t="shared" si="4"/>
        <v>1556</v>
      </c>
      <c r="D86" s="24">
        <v>-1713</v>
      </c>
      <c r="E86" s="28">
        <v>3269</v>
      </c>
      <c r="F86" s="22">
        <f t="shared" si="5"/>
        <v>519</v>
      </c>
      <c r="G86" s="22">
        <f t="shared" si="6"/>
        <v>66</v>
      </c>
      <c r="H86" s="28">
        <f t="shared" si="7"/>
        <v>1442</v>
      </c>
      <c r="I86" s="24">
        <v>-1788</v>
      </c>
      <c r="J86" s="28">
        <v>3230</v>
      </c>
      <c r="K86" s="22">
        <f t="shared" si="1"/>
        <v>598</v>
      </c>
      <c r="L86" s="22">
        <f t="shared" si="8"/>
        <v>66</v>
      </c>
      <c r="M86" s="28">
        <f t="shared" si="9"/>
        <v>1617</v>
      </c>
      <c r="N86" s="24">
        <v>-2108</v>
      </c>
      <c r="O86" s="28">
        <v>3725</v>
      </c>
      <c r="P86" s="22">
        <f t="shared" si="2"/>
        <v>518</v>
      </c>
      <c r="Q86" s="36"/>
      <c r="R86" s="30"/>
    </row>
    <row r="87" spans="1:18" ht="15.75" customHeight="1" x14ac:dyDescent="0.2">
      <c r="A87" s="37">
        <v>45781</v>
      </c>
      <c r="B87" s="22">
        <f t="shared" si="3"/>
        <v>67</v>
      </c>
      <c r="C87" s="28">
        <f t="shared" si="4"/>
        <v>1552</v>
      </c>
      <c r="D87" s="24">
        <v>-1717</v>
      </c>
      <c r="E87" s="28">
        <v>3269</v>
      </c>
      <c r="F87" s="22">
        <f t="shared" si="5"/>
        <v>523</v>
      </c>
      <c r="G87" s="22">
        <f t="shared" si="6"/>
        <v>67</v>
      </c>
      <c r="H87" s="28">
        <f t="shared" si="7"/>
        <v>1437</v>
      </c>
      <c r="I87" s="24">
        <v>-1793</v>
      </c>
      <c r="J87" s="28">
        <v>3230</v>
      </c>
      <c r="K87" s="22">
        <f t="shared" si="1"/>
        <v>603</v>
      </c>
      <c r="L87" s="22">
        <f t="shared" ref="L87:L171" si="10">B87</f>
        <v>67</v>
      </c>
      <c r="M87" s="28">
        <f t="shared" si="9"/>
        <v>1612</v>
      </c>
      <c r="N87" s="24">
        <v>-2113</v>
      </c>
      <c r="O87" s="28">
        <v>3725</v>
      </c>
      <c r="P87" s="22">
        <f t="shared" si="2"/>
        <v>523</v>
      </c>
      <c r="Q87" s="36"/>
      <c r="R87" s="30"/>
    </row>
    <row r="88" spans="1:18" ht="15.75" customHeight="1" x14ac:dyDescent="0.2">
      <c r="A88" s="37">
        <v>45782</v>
      </c>
      <c r="B88" s="22">
        <f t="shared" si="3"/>
        <v>68</v>
      </c>
      <c r="C88" s="28">
        <f t="shared" si="4"/>
        <v>1548</v>
      </c>
      <c r="D88" s="24">
        <v>-1721</v>
      </c>
      <c r="E88" s="28">
        <v>3269</v>
      </c>
      <c r="F88" s="22">
        <f t="shared" si="5"/>
        <v>527</v>
      </c>
      <c r="G88" s="22">
        <f t="shared" si="6"/>
        <v>68</v>
      </c>
      <c r="H88" s="28">
        <f t="shared" si="7"/>
        <v>1432</v>
      </c>
      <c r="I88" s="24">
        <v>-1798</v>
      </c>
      <c r="J88" s="28">
        <v>3230</v>
      </c>
      <c r="K88" s="22">
        <f t="shared" si="1"/>
        <v>608</v>
      </c>
      <c r="L88" s="22">
        <f t="shared" si="10"/>
        <v>68</v>
      </c>
      <c r="M88" s="28">
        <f t="shared" si="9"/>
        <v>1607</v>
      </c>
      <c r="N88" s="24">
        <v>-2118</v>
      </c>
      <c r="O88" s="28">
        <v>3725</v>
      </c>
      <c r="P88" s="22">
        <f t="shared" si="2"/>
        <v>528</v>
      </c>
      <c r="Q88" s="36"/>
      <c r="R88" s="30"/>
    </row>
    <row r="89" spans="1:18" ht="15.75" customHeight="1" x14ac:dyDescent="0.2">
      <c r="A89" s="37">
        <v>45783</v>
      </c>
      <c r="B89" s="22">
        <f t="shared" si="3"/>
        <v>69</v>
      </c>
      <c r="C89" s="28">
        <f t="shared" si="4"/>
        <v>1544</v>
      </c>
      <c r="D89" s="24">
        <v>-1725</v>
      </c>
      <c r="E89" s="28">
        <v>3269</v>
      </c>
      <c r="F89" s="22">
        <f t="shared" si="5"/>
        <v>531</v>
      </c>
      <c r="G89" s="22">
        <f t="shared" si="6"/>
        <v>69</v>
      </c>
      <c r="H89" s="28">
        <f t="shared" si="7"/>
        <v>1427</v>
      </c>
      <c r="I89" s="24">
        <v>-1803</v>
      </c>
      <c r="J89" s="28">
        <v>3230</v>
      </c>
      <c r="K89" s="22">
        <f t="shared" si="1"/>
        <v>613</v>
      </c>
      <c r="L89" s="22">
        <f t="shared" si="10"/>
        <v>69</v>
      </c>
      <c r="M89" s="28">
        <f t="shared" si="9"/>
        <v>1602</v>
      </c>
      <c r="N89" s="24">
        <v>-2123</v>
      </c>
      <c r="O89" s="28">
        <v>3725</v>
      </c>
      <c r="P89" s="22">
        <f t="shared" si="2"/>
        <v>533</v>
      </c>
      <c r="Q89" s="36"/>
      <c r="R89" s="30"/>
    </row>
    <row r="90" spans="1:18" ht="15.75" customHeight="1" x14ac:dyDescent="0.2">
      <c r="A90" s="37">
        <v>45784</v>
      </c>
      <c r="B90" s="22">
        <f t="shared" si="3"/>
        <v>70</v>
      </c>
      <c r="C90" s="28">
        <f t="shared" si="4"/>
        <v>1541</v>
      </c>
      <c r="D90" s="24">
        <v>-1728</v>
      </c>
      <c r="E90" s="28">
        <v>3269</v>
      </c>
      <c r="F90" s="22">
        <f t="shared" si="5"/>
        <v>534</v>
      </c>
      <c r="G90" s="22">
        <f t="shared" si="6"/>
        <v>70</v>
      </c>
      <c r="H90" s="28">
        <f t="shared" si="7"/>
        <v>1422</v>
      </c>
      <c r="I90" s="24">
        <v>-1808</v>
      </c>
      <c r="J90" s="28">
        <v>3230</v>
      </c>
      <c r="K90" s="22">
        <f t="shared" si="1"/>
        <v>618</v>
      </c>
      <c r="L90" s="22">
        <f t="shared" si="10"/>
        <v>70</v>
      </c>
      <c r="M90" s="28">
        <f t="shared" si="9"/>
        <v>1597</v>
      </c>
      <c r="N90" s="24">
        <v>-2128</v>
      </c>
      <c r="O90" s="28">
        <v>3725</v>
      </c>
      <c r="P90" s="22">
        <f t="shared" si="2"/>
        <v>538</v>
      </c>
      <c r="Q90" s="36"/>
      <c r="R90" s="30"/>
    </row>
    <row r="91" spans="1:18" ht="15.75" customHeight="1" x14ac:dyDescent="0.2">
      <c r="A91" s="37">
        <v>45785</v>
      </c>
      <c r="B91" s="22">
        <f t="shared" si="3"/>
        <v>71</v>
      </c>
      <c r="C91" s="28">
        <f t="shared" si="4"/>
        <v>1536</v>
      </c>
      <c r="D91" s="24">
        <v>-1733</v>
      </c>
      <c r="E91" s="28">
        <v>3269</v>
      </c>
      <c r="F91" s="22">
        <f t="shared" si="5"/>
        <v>539</v>
      </c>
      <c r="G91" s="22">
        <f t="shared" si="6"/>
        <v>71</v>
      </c>
      <c r="H91" s="28">
        <f t="shared" si="7"/>
        <v>1417</v>
      </c>
      <c r="I91" s="24">
        <v>-1813</v>
      </c>
      <c r="J91" s="28">
        <v>3230</v>
      </c>
      <c r="K91" s="22">
        <f t="shared" si="1"/>
        <v>623</v>
      </c>
      <c r="L91" s="22">
        <f t="shared" si="10"/>
        <v>71</v>
      </c>
      <c r="M91" s="28">
        <f t="shared" si="9"/>
        <v>1592</v>
      </c>
      <c r="N91" s="24">
        <v>-2133</v>
      </c>
      <c r="O91" s="28">
        <v>3725</v>
      </c>
      <c r="P91" s="22">
        <f t="shared" si="2"/>
        <v>543</v>
      </c>
      <c r="Q91" s="36"/>
      <c r="R91" s="30"/>
    </row>
    <row r="92" spans="1:18" ht="15" customHeight="1" x14ac:dyDescent="0.2">
      <c r="A92" s="37">
        <v>45786</v>
      </c>
      <c r="B92" s="22">
        <f t="shared" si="3"/>
        <v>72</v>
      </c>
      <c r="C92" s="28">
        <f t="shared" si="4"/>
        <v>1531</v>
      </c>
      <c r="D92" s="24">
        <v>-1738</v>
      </c>
      <c r="E92" s="28">
        <v>3269</v>
      </c>
      <c r="F92" s="22">
        <f t="shared" si="5"/>
        <v>544</v>
      </c>
      <c r="G92" s="22">
        <f t="shared" si="6"/>
        <v>72</v>
      </c>
      <c r="H92" s="28">
        <f t="shared" si="7"/>
        <v>1412</v>
      </c>
      <c r="I92" s="24">
        <v>-1818</v>
      </c>
      <c r="J92" s="28">
        <v>3230</v>
      </c>
      <c r="K92" s="22">
        <f t="shared" si="1"/>
        <v>628</v>
      </c>
      <c r="L92" s="22">
        <f t="shared" si="10"/>
        <v>72</v>
      </c>
      <c r="M92" s="28">
        <f t="shared" si="9"/>
        <v>1587</v>
      </c>
      <c r="N92" s="24">
        <v>-2138</v>
      </c>
      <c r="O92" s="28">
        <v>3725</v>
      </c>
      <c r="P92" s="22">
        <f t="shared" si="2"/>
        <v>548</v>
      </c>
      <c r="Q92" s="36"/>
      <c r="R92" s="30"/>
    </row>
    <row r="93" spans="1:18" ht="15" customHeight="1" x14ac:dyDescent="0.2">
      <c r="A93" s="37">
        <v>45787</v>
      </c>
      <c r="B93" s="22">
        <f t="shared" si="3"/>
        <v>73</v>
      </c>
      <c r="C93" s="28">
        <f t="shared" si="4"/>
        <v>1527</v>
      </c>
      <c r="D93" s="24">
        <v>-1742</v>
      </c>
      <c r="E93" s="28">
        <v>3269</v>
      </c>
      <c r="F93" s="22">
        <f t="shared" si="5"/>
        <v>548</v>
      </c>
      <c r="G93" s="22">
        <f t="shared" si="6"/>
        <v>73</v>
      </c>
      <c r="H93" s="28">
        <f t="shared" si="7"/>
        <v>1407</v>
      </c>
      <c r="I93" s="24">
        <v>-1823</v>
      </c>
      <c r="J93" s="28">
        <v>3230</v>
      </c>
      <c r="K93" s="22">
        <f t="shared" si="1"/>
        <v>633</v>
      </c>
      <c r="L93" s="22">
        <f t="shared" si="10"/>
        <v>73</v>
      </c>
      <c r="M93" s="28">
        <f t="shared" si="9"/>
        <v>1585</v>
      </c>
      <c r="N93" s="24">
        <v>-2140</v>
      </c>
      <c r="O93" s="28">
        <v>3725</v>
      </c>
      <c r="P93" s="22">
        <f t="shared" si="2"/>
        <v>550</v>
      </c>
      <c r="Q93" s="36"/>
      <c r="R93" s="30"/>
    </row>
    <row r="94" spans="1:18" ht="15.75" customHeight="1" x14ac:dyDescent="0.2">
      <c r="A94" s="37">
        <v>45788</v>
      </c>
      <c r="B94" s="22">
        <f t="shared" si="3"/>
        <v>74</v>
      </c>
      <c r="C94" s="28">
        <f t="shared" si="4"/>
        <v>1523</v>
      </c>
      <c r="D94" s="24">
        <v>-1746</v>
      </c>
      <c r="E94" s="28">
        <v>3269</v>
      </c>
      <c r="F94" s="22">
        <f t="shared" si="5"/>
        <v>552</v>
      </c>
      <c r="G94" s="22">
        <f t="shared" si="6"/>
        <v>74</v>
      </c>
      <c r="H94" s="28">
        <f t="shared" si="7"/>
        <v>1402</v>
      </c>
      <c r="I94" s="24">
        <v>-1828</v>
      </c>
      <c r="J94" s="28">
        <v>3230</v>
      </c>
      <c r="K94" s="22">
        <f t="shared" si="1"/>
        <v>638</v>
      </c>
      <c r="L94" s="22">
        <f t="shared" si="10"/>
        <v>74</v>
      </c>
      <c r="M94" s="28">
        <f t="shared" si="9"/>
        <v>1583</v>
      </c>
      <c r="N94" s="24">
        <v>-2142</v>
      </c>
      <c r="O94" s="28">
        <v>3725</v>
      </c>
      <c r="P94" s="22">
        <f t="shared" si="2"/>
        <v>552</v>
      </c>
      <c r="Q94" s="36"/>
      <c r="R94" s="30"/>
    </row>
    <row r="95" spans="1:18" ht="15.75" customHeight="1" x14ac:dyDescent="0.2">
      <c r="A95" s="37">
        <v>45789</v>
      </c>
      <c r="B95" s="22">
        <f t="shared" si="3"/>
        <v>75</v>
      </c>
      <c r="C95" s="28">
        <f t="shared" si="4"/>
        <v>1521</v>
      </c>
      <c r="D95" s="24">
        <v>-1748</v>
      </c>
      <c r="E95" s="28">
        <v>3269</v>
      </c>
      <c r="F95" s="22">
        <f t="shared" si="5"/>
        <v>554</v>
      </c>
      <c r="G95" s="22">
        <f t="shared" si="6"/>
        <v>75</v>
      </c>
      <c r="H95" s="28">
        <f t="shared" si="7"/>
        <v>1398</v>
      </c>
      <c r="I95" s="24">
        <v>-1832</v>
      </c>
      <c r="J95" s="28">
        <v>3230</v>
      </c>
      <c r="K95" s="22">
        <f t="shared" si="1"/>
        <v>642</v>
      </c>
      <c r="L95" s="22">
        <f t="shared" si="10"/>
        <v>75</v>
      </c>
      <c r="M95" s="28">
        <f t="shared" si="9"/>
        <v>1581</v>
      </c>
      <c r="N95" s="24">
        <v>-2144</v>
      </c>
      <c r="O95" s="28">
        <v>3725</v>
      </c>
      <c r="P95" s="22">
        <f t="shared" si="2"/>
        <v>554</v>
      </c>
      <c r="Q95" s="36"/>
      <c r="R95" s="30"/>
    </row>
    <row r="96" spans="1:18" ht="15.75" customHeight="1" x14ac:dyDescent="0.2">
      <c r="A96" s="37">
        <v>45790</v>
      </c>
      <c r="B96" s="22">
        <f t="shared" si="3"/>
        <v>76</v>
      </c>
      <c r="C96" s="28">
        <f t="shared" si="4"/>
        <v>1518</v>
      </c>
      <c r="D96" s="24">
        <v>-1751</v>
      </c>
      <c r="E96" s="28">
        <v>3269</v>
      </c>
      <c r="F96" s="22">
        <f t="shared" si="5"/>
        <v>557</v>
      </c>
      <c r="G96" s="22">
        <f t="shared" si="6"/>
        <v>76</v>
      </c>
      <c r="H96" s="28">
        <f t="shared" si="7"/>
        <v>1394</v>
      </c>
      <c r="I96" s="24">
        <v>-1836</v>
      </c>
      <c r="J96" s="28">
        <v>3230</v>
      </c>
      <c r="K96" s="22">
        <f t="shared" si="1"/>
        <v>646</v>
      </c>
      <c r="L96" s="22">
        <f t="shared" si="10"/>
        <v>76</v>
      </c>
      <c r="M96" s="28">
        <f t="shared" si="9"/>
        <v>1579</v>
      </c>
      <c r="N96" s="24">
        <v>-2146</v>
      </c>
      <c r="O96" s="28">
        <v>3725</v>
      </c>
      <c r="P96" s="22">
        <f t="shared" si="2"/>
        <v>556</v>
      </c>
      <c r="Q96" s="36"/>
      <c r="R96" s="30"/>
    </row>
    <row r="97" spans="1:18" ht="15.75" customHeight="1" x14ac:dyDescent="0.2">
      <c r="A97" s="37">
        <v>45791</v>
      </c>
      <c r="B97" s="22">
        <f t="shared" si="3"/>
        <v>77</v>
      </c>
      <c r="C97" s="28">
        <f t="shared" si="4"/>
        <v>1512</v>
      </c>
      <c r="D97" s="24">
        <v>-1757</v>
      </c>
      <c r="E97" s="28">
        <v>3269</v>
      </c>
      <c r="F97" s="22">
        <f t="shared" si="5"/>
        <v>563</v>
      </c>
      <c r="G97" s="22">
        <f t="shared" si="6"/>
        <v>77</v>
      </c>
      <c r="H97" s="28">
        <f t="shared" si="7"/>
        <v>1388</v>
      </c>
      <c r="I97" s="24">
        <v>-1842</v>
      </c>
      <c r="J97" s="28">
        <v>3230</v>
      </c>
      <c r="K97" s="22">
        <f t="shared" si="1"/>
        <v>652</v>
      </c>
      <c r="L97" s="22">
        <f t="shared" si="10"/>
        <v>77</v>
      </c>
      <c r="M97" s="28">
        <f t="shared" si="9"/>
        <v>1569</v>
      </c>
      <c r="N97" s="24">
        <v>-2156</v>
      </c>
      <c r="O97" s="28">
        <v>3725</v>
      </c>
      <c r="P97" s="22">
        <f t="shared" si="2"/>
        <v>566</v>
      </c>
      <c r="Q97" s="36"/>
      <c r="R97" s="30"/>
    </row>
    <row r="98" spans="1:18" ht="15.75" customHeight="1" x14ac:dyDescent="0.2">
      <c r="A98" s="37">
        <v>45792</v>
      </c>
      <c r="B98" s="22">
        <f t="shared" si="3"/>
        <v>78</v>
      </c>
      <c r="C98" s="28">
        <f t="shared" si="4"/>
        <v>1504</v>
      </c>
      <c r="D98" s="24">
        <v>-1765</v>
      </c>
      <c r="E98" s="28">
        <v>3269</v>
      </c>
      <c r="F98" s="22">
        <f t="shared" si="5"/>
        <v>571</v>
      </c>
      <c r="G98" s="22">
        <f t="shared" si="6"/>
        <v>78</v>
      </c>
      <c r="H98" s="28">
        <f t="shared" si="7"/>
        <v>1380</v>
      </c>
      <c r="I98" s="24">
        <v>-1850</v>
      </c>
      <c r="J98" s="28">
        <v>3230</v>
      </c>
      <c r="K98" s="22">
        <f t="shared" si="1"/>
        <v>660</v>
      </c>
      <c r="L98" s="22">
        <f t="shared" si="10"/>
        <v>78</v>
      </c>
      <c r="M98" s="28">
        <f t="shared" si="9"/>
        <v>1559</v>
      </c>
      <c r="N98" s="24">
        <v>-2166</v>
      </c>
      <c r="O98" s="28">
        <v>3725</v>
      </c>
      <c r="P98" s="22">
        <f t="shared" si="2"/>
        <v>576</v>
      </c>
      <c r="Q98" s="36"/>
      <c r="R98" s="30"/>
    </row>
    <row r="99" spans="1:18" ht="15.75" customHeight="1" x14ac:dyDescent="0.2">
      <c r="A99" s="37">
        <v>45793</v>
      </c>
      <c r="B99" s="22">
        <f t="shared" si="3"/>
        <v>79</v>
      </c>
      <c r="C99" s="28">
        <f t="shared" si="4"/>
        <v>1496</v>
      </c>
      <c r="D99" s="24">
        <v>-1773</v>
      </c>
      <c r="E99" s="28">
        <v>3269</v>
      </c>
      <c r="F99" s="22">
        <f t="shared" si="5"/>
        <v>579</v>
      </c>
      <c r="G99" s="22">
        <f t="shared" si="6"/>
        <v>79</v>
      </c>
      <c r="H99" s="28">
        <f t="shared" si="7"/>
        <v>1372</v>
      </c>
      <c r="I99" s="24">
        <v>-1858</v>
      </c>
      <c r="J99" s="28">
        <v>3230</v>
      </c>
      <c r="K99" s="22">
        <f t="shared" si="1"/>
        <v>668</v>
      </c>
      <c r="L99" s="22">
        <f t="shared" si="10"/>
        <v>79</v>
      </c>
      <c r="M99" s="28">
        <f t="shared" si="9"/>
        <v>1552</v>
      </c>
      <c r="N99" s="24">
        <v>-2173</v>
      </c>
      <c r="O99" s="28">
        <v>3725</v>
      </c>
      <c r="P99" s="22">
        <f t="shared" si="2"/>
        <v>583</v>
      </c>
      <c r="Q99" s="36"/>
      <c r="R99" s="30"/>
    </row>
    <row r="100" spans="1:18" ht="15.75" customHeight="1" x14ac:dyDescent="0.2">
      <c r="A100" s="37">
        <v>45794</v>
      </c>
      <c r="B100" s="22">
        <f t="shared" si="3"/>
        <v>80</v>
      </c>
      <c r="C100" s="28">
        <f t="shared" si="4"/>
        <v>1493</v>
      </c>
      <c r="D100" s="24">
        <v>-1776</v>
      </c>
      <c r="E100" s="28">
        <v>3269</v>
      </c>
      <c r="F100" s="22">
        <f t="shared" si="5"/>
        <v>582</v>
      </c>
      <c r="G100" s="22">
        <f t="shared" si="6"/>
        <v>80</v>
      </c>
      <c r="H100" s="28">
        <f t="shared" si="7"/>
        <v>1368</v>
      </c>
      <c r="I100" s="24">
        <v>-1862</v>
      </c>
      <c r="J100" s="28">
        <v>3230</v>
      </c>
      <c r="K100" s="22">
        <f t="shared" si="1"/>
        <v>672</v>
      </c>
      <c r="L100" s="22">
        <f t="shared" si="10"/>
        <v>80</v>
      </c>
      <c r="M100" s="28">
        <f t="shared" si="9"/>
        <v>1549</v>
      </c>
      <c r="N100" s="24">
        <v>-2176</v>
      </c>
      <c r="O100" s="28">
        <v>3725</v>
      </c>
      <c r="P100" s="22">
        <f t="shared" si="2"/>
        <v>586</v>
      </c>
    </row>
    <row r="101" spans="1:18" ht="15.75" customHeight="1" x14ac:dyDescent="0.2">
      <c r="A101" s="37">
        <v>45795</v>
      </c>
      <c r="B101" s="22">
        <f t="shared" si="3"/>
        <v>81</v>
      </c>
      <c r="C101" s="28">
        <f t="shared" si="4"/>
        <v>1490</v>
      </c>
      <c r="D101" s="24">
        <v>-1779</v>
      </c>
      <c r="E101" s="28">
        <v>3269</v>
      </c>
      <c r="F101" s="22">
        <f t="shared" si="5"/>
        <v>585</v>
      </c>
      <c r="G101" s="22">
        <f t="shared" si="6"/>
        <v>81</v>
      </c>
      <c r="H101" s="28">
        <f t="shared" si="7"/>
        <v>1363</v>
      </c>
      <c r="I101" s="24">
        <v>-1867</v>
      </c>
      <c r="J101" s="28">
        <v>3230</v>
      </c>
      <c r="K101" s="22">
        <f t="shared" si="1"/>
        <v>677</v>
      </c>
      <c r="L101" s="22">
        <f t="shared" si="10"/>
        <v>81</v>
      </c>
      <c r="M101" s="28">
        <f t="shared" si="9"/>
        <v>1546</v>
      </c>
      <c r="N101" s="24">
        <v>-2179</v>
      </c>
      <c r="O101" s="28">
        <v>3725</v>
      </c>
      <c r="P101" s="22">
        <f t="shared" si="2"/>
        <v>589</v>
      </c>
      <c r="Q101" s="36"/>
      <c r="R101" s="30"/>
    </row>
    <row r="102" spans="1:18" ht="18.75" customHeight="1" x14ac:dyDescent="0.2">
      <c r="A102" s="37">
        <v>45796</v>
      </c>
      <c r="B102" s="22">
        <f t="shared" si="3"/>
        <v>82</v>
      </c>
      <c r="C102" s="28">
        <f t="shared" si="4"/>
        <v>1488</v>
      </c>
      <c r="D102" s="24">
        <v>-1781</v>
      </c>
      <c r="E102" s="28">
        <v>3269</v>
      </c>
      <c r="F102" s="22">
        <f t="shared" si="5"/>
        <v>587</v>
      </c>
      <c r="G102" s="22">
        <f t="shared" si="6"/>
        <v>82</v>
      </c>
      <c r="H102" s="28">
        <f t="shared" si="7"/>
        <v>1359</v>
      </c>
      <c r="I102" s="24">
        <v>-1871</v>
      </c>
      <c r="J102" s="28">
        <v>3230</v>
      </c>
      <c r="K102" s="22">
        <f t="shared" si="1"/>
        <v>681</v>
      </c>
      <c r="L102" s="22">
        <f t="shared" si="10"/>
        <v>82</v>
      </c>
      <c r="M102" s="28">
        <f t="shared" si="9"/>
        <v>1544</v>
      </c>
      <c r="N102" s="24">
        <v>-2181</v>
      </c>
      <c r="O102" s="28">
        <v>3725</v>
      </c>
      <c r="P102" s="22">
        <f t="shared" si="2"/>
        <v>591</v>
      </c>
      <c r="Q102" s="36"/>
      <c r="R102" s="30"/>
    </row>
    <row r="103" spans="1:18" ht="15.75" customHeight="1" x14ac:dyDescent="0.2">
      <c r="A103" s="37">
        <v>45797</v>
      </c>
      <c r="B103" s="22">
        <f t="shared" si="3"/>
        <v>83</v>
      </c>
      <c r="C103" s="28">
        <f t="shared" si="4"/>
        <v>1484</v>
      </c>
      <c r="D103" s="24">
        <v>-1785</v>
      </c>
      <c r="E103" s="28">
        <v>3269</v>
      </c>
      <c r="F103" s="22">
        <f t="shared" si="5"/>
        <v>591</v>
      </c>
      <c r="G103" s="22">
        <f t="shared" si="6"/>
        <v>83</v>
      </c>
      <c r="H103" s="28">
        <f t="shared" si="7"/>
        <v>1355</v>
      </c>
      <c r="I103" s="24">
        <v>-1875</v>
      </c>
      <c r="J103" s="28">
        <v>3230</v>
      </c>
      <c r="K103" s="22">
        <f t="shared" si="1"/>
        <v>685</v>
      </c>
      <c r="L103" s="22">
        <f t="shared" si="10"/>
        <v>83</v>
      </c>
      <c r="M103" s="28">
        <f t="shared" si="9"/>
        <v>1540</v>
      </c>
      <c r="N103" s="24">
        <v>-2185</v>
      </c>
      <c r="O103" s="28">
        <v>3725</v>
      </c>
      <c r="P103" s="22">
        <f t="shared" si="2"/>
        <v>595</v>
      </c>
      <c r="Q103" s="36"/>
      <c r="R103" s="30"/>
    </row>
    <row r="104" spans="1:18" ht="15.75" customHeight="1" x14ac:dyDescent="0.2">
      <c r="A104" s="37">
        <v>45798</v>
      </c>
      <c r="B104" s="22">
        <f t="shared" si="3"/>
        <v>84</v>
      </c>
      <c r="C104" s="28">
        <f t="shared" si="4"/>
        <v>1480</v>
      </c>
      <c r="D104" s="24">
        <v>-1789</v>
      </c>
      <c r="E104" s="28">
        <v>3269</v>
      </c>
      <c r="F104" s="22">
        <f t="shared" si="5"/>
        <v>595</v>
      </c>
      <c r="G104" s="22">
        <f t="shared" si="6"/>
        <v>84</v>
      </c>
      <c r="H104" s="28">
        <f t="shared" si="7"/>
        <v>1351</v>
      </c>
      <c r="I104" s="24">
        <v>-1879</v>
      </c>
      <c r="J104" s="28">
        <v>3230</v>
      </c>
      <c r="K104" s="22">
        <f t="shared" si="1"/>
        <v>689</v>
      </c>
      <c r="L104" s="22">
        <f t="shared" si="10"/>
        <v>84</v>
      </c>
      <c r="M104" s="28">
        <f t="shared" si="9"/>
        <v>1536</v>
      </c>
      <c r="N104" s="24">
        <v>-2189</v>
      </c>
      <c r="O104" s="28">
        <v>3725</v>
      </c>
      <c r="P104" s="22">
        <f t="shared" si="2"/>
        <v>599</v>
      </c>
      <c r="Q104" s="36"/>
      <c r="R104" s="30"/>
    </row>
    <row r="105" spans="1:18" ht="15.75" customHeight="1" x14ac:dyDescent="0.2">
      <c r="A105" s="37">
        <v>45799</v>
      </c>
      <c r="B105" s="22">
        <f t="shared" si="3"/>
        <v>85</v>
      </c>
      <c r="C105" s="28">
        <f t="shared" si="4"/>
        <v>1476</v>
      </c>
      <c r="D105" s="24">
        <v>-1793</v>
      </c>
      <c r="E105" s="28">
        <v>3269</v>
      </c>
      <c r="F105" s="22">
        <f t="shared" si="5"/>
        <v>599</v>
      </c>
      <c r="G105" s="22">
        <f t="shared" si="6"/>
        <v>85</v>
      </c>
      <c r="H105" s="28">
        <f t="shared" si="7"/>
        <v>1347</v>
      </c>
      <c r="I105" s="24">
        <v>-1883</v>
      </c>
      <c r="J105" s="28">
        <v>3230</v>
      </c>
      <c r="K105" s="22">
        <f t="shared" si="1"/>
        <v>693</v>
      </c>
      <c r="L105" s="22">
        <f t="shared" si="10"/>
        <v>85</v>
      </c>
      <c r="M105" s="28">
        <f t="shared" si="9"/>
        <v>1532</v>
      </c>
      <c r="N105" s="24">
        <v>-2193</v>
      </c>
      <c r="O105" s="28">
        <v>3725</v>
      </c>
      <c r="P105" s="22">
        <f t="shared" si="2"/>
        <v>603</v>
      </c>
      <c r="Q105" s="36"/>
      <c r="R105" s="30"/>
    </row>
    <row r="106" spans="1:18" ht="15.75" customHeight="1" x14ac:dyDescent="0.2">
      <c r="A106" s="37">
        <v>45800</v>
      </c>
      <c r="B106" s="22">
        <f t="shared" si="3"/>
        <v>86</v>
      </c>
      <c r="C106" s="28">
        <f t="shared" si="4"/>
        <v>1472</v>
      </c>
      <c r="D106" s="24">
        <v>-1797</v>
      </c>
      <c r="E106" s="28">
        <v>3269</v>
      </c>
      <c r="F106" s="22">
        <f t="shared" si="5"/>
        <v>603</v>
      </c>
      <c r="G106" s="22">
        <f t="shared" si="6"/>
        <v>86</v>
      </c>
      <c r="H106" s="28">
        <f t="shared" si="7"/>
        <v>1343</v>
      </c>
      <c r="I106" s="24">
        <v>-1887</v>
      </c>
      <c r="J106" s="28">
        <v>3230</v>
      </c>
      <c r="K106" s="22">
        <f t="shared" si="1"/>
        <v>697</v>
      </c>
      <c r="L106" s="22">
        <f t="shared" si="10"/>
        <v>86</v>
      </c>
      <c r="M106" s="28">
        <f t="shared" si="9"/>
        <v>1528</v>
      </c>
      <c r="N106" s="24">
        <v>-2197</v>
      </c>
      <c r="O106" s="28">
        <v>3725</v>
      </c>
      <c r="P106" s="22">
        <f t="shared" si="2"/>
        <v>607</v>
      </c>
      <c r="Q106" s="36"/>
      <c r="R106" s="30"/>
    </row>
    <row r="107" spans="1:18" ht="15.75" customHeight="1" x14ac:dyDescent="0.2">
      <c r="A107" s="37">
        <v>45801</v>
      </c>
      <c r="B107" s="22">
        <f t="shared" si="3"/>
        <v>87</v>
      </c>
      <c r="C107" s="28">
        <f t="shared" si="4"/>
        <v>1468</v>
      </c>
      <c r="D107" s="24">
        <v>-1801</v>
      </c>
      <c r="E107" s="28">
        <v>3269</v>
      </c>
      <c r="F107" s="22">
        <f t="shared" si="5"/>
        <v>607</v>
      </c>
      <c r="G107" s="22">
        <f t="shared" si="6"/>
        <v>87</v>
      </c>
      <c r="H107" s="28">
        <f t="shared" si="7"/>
        <v>1339</v>
      </c>
      <c r="I107" s="24">
        <v>-1891</v>
      </c>
      <c r="J107" s="28">
        <v>3230</v>
      </c>
      <c r="K107" s="22">
        <f t="shared" si="1"/>
        <v>701</v>
      </c>
      <c r="L107" s="22">
        <f t="shared" si="10"/>
        <v>87</v>
      </c>
      <c r="M107" s="28">
        <f t="shared" si="9"/>
        <v>1524</v>
      </c>
      <c r="N107" s="24">
        <v>-2201</v>
      </c>
      <c r="O107" s="28">
        <v>3725</v>
      </c>
      <c r="P107" s="22">
        <f t="shared" si="2"/>
        <v>611</v>
      </c>
      <c r="Q107" s="36"/>
      <c r="R107" s="30"/>
    </row>
    <row r="108" spans="1:18" ht="15.75" customHeight="1" x14ac:dyDescent="0.2">
      <c r="A108" s="37">
        <v>45802</v>
      </c>
      <c r="B108" s="22">
        <f t="shared" si="3"/>
        <v>88</v>
      </c>
      <c r="C108" s="28">
        <f t="shared" si="4"/>
        <v>1464</v>
      </c>
      <c r="D108" s="24">
        <v>-1805</v>
      </c>
      <c r="E108" s="28">
        <v>3269</v>
      </c>
      <c r="F108" s="22">
        <f t="shared" si="5"/>
        <v>611</v>
      </c>
      <c r="G108" s="22">
        <f t="shared" si="6"/>
        <v>88</v>
      </c>
      <c r="H108" s="28">
        <f t="shared" si="7"/>
        <v>1335</v>
      </c>
      <c r="I108" s="24">
        <v>-1895</v>
      </c>
      <c r="J108" s="28">
        <v>3230</v>
      </c>
      <c r="K108" s="22">
        <f t="shared" si="1"/>
        <v>705</v>
      </c>
      <c r="L108" s="22">
        <f t="shared" si="10"/>
        <v>88</v>
      </c>
      <c r="M108" s="28">
        <f t="shared" si="9"/>
        <v>1520</v>
      </c>
      <c r="N108" s="24">
        <v>-2205</v>
      </c>
      <c r="O108" s="28">
        <v>3725</v>
      </c>
      <c r="P108" s="22">
        <f t="shared" si="2"/>
        <v>615</v>
      </c>
      <c r="Q108" s="36"/>
      <c r="R108" s="30"/>
    </row>
    <row r="109" spans="1:18" ht="15.75" customHeight="1" x14ac:dyDescent="0.2">
      <c r="A109" s="37">
        <v>45803</v>
      </c>
      <c r="B109" s="22">
        <f t="shared" si="3"/>
        <v>89</v>
      </c>
      <c r="C109" s="28">
        <f t="shared" si="4"/>
        <v>1460</v>
      </c>
      <c r="D109" s="24">
        <v>-1809</v>
      </c>
      <c r="E109" s="28">
        <v>3269</v>
      </c>
      <c r="F109" s="22">
        <f t="shared" si="5"/>
        <v>615</v>
      </c>
      <c r="G109" s="22">
        <f t="shared" si="6"/>
        <v>89</v>
      </c>
      <c r="H109" s="28">
        <f t="shared" si="7"/>
        <v>1331</v>
      </c>
      <c r="I109" s="24">
        <v>-1899</v>
      </c>
      <c r="J109" s="28">
        <v>3230</v>
      </c>
      <c r="K109" s="22">
        <f t="shared" si="1"/>
        <v>709</v>
      </c>
      <c r="L109" s="22">
        <f t="shared" si="10"/>
        <v>89</v>
      </c>
      <c r="M109" s="28">
        <f t="shared" si="9"/>
        <v>1516</v>
      </c>
      <c r="N109" s="24">
        <v>-2209</v>
      </c>
      <c r="O109" s="28">
        <v>3725</v>
      </c>
      <c r="P109" s="22">
        <f t="shared" si="2"/>
        <v>619</v>
      </c>
      <c r="Q109" s="36"/>
      <c r="R109" s="30"/>
    </row>
    <row r="110" spans="1:18" ht="15.75" customHeight="1" x14ac:dyDescent="0.2">
      <c r="A110" s="37">
        <v>45804</v>
      </c>
      <c r="B110" s="22">
        <f t="shared" si="3"/>
        <v>90</v>
      </c>
      <c r="C110" s="28">
        <f t="shared" si="4"/>
        <v>1456</v>
      </c>
      <c r="D110" s="24">
        <v>-1813</v>
      </c>
      <c r="E110" s="28">
        <v>3269</v>
      </c>
      <c r="F110" s="22">
        <f t="shared" si="5"/>
        <v>619</v>
      </c>
      <c r="G110" s="22">
        <f t="shared" si="6"/>
        <v>90</v>
      </c>
      <c r="H110" s="28">
        <f t="shared" si="7"/>
        <v>1327</v>
      </c>
      <c r="I110" s="24">
        <v>-1903</v>
      </c>
      <c r="J110" s="28">
        <v>3230</v>
      </c>
      <c r="K110" s="22">
        <f t="shared" si="1"/>
        <v>713</v>
      </c>
      <c r="L110" s="22">
        <f t="shared" si="10"/>
        <v>90</v>
      </c>
      <c r="M110" s="28">
        <f t="shared" si="9"/>
        <v>1512</v>
      </c>
      <c r="N110" s="24">
        <v>-2213</v>
      </c>
      <c r="O110" s="28">
        <v>3725</v>
      </c>
      <c r="P110" s="22">
        <f t="shared" si="2"/>
        <v>623</v>
      </c>
      <c r="Q110" s="36"/>
      <c r="R110" s="30"/>
    </row>
    <row r="111" spans="1:18" ht="15.75" customHeight="1" x14ac:dyDescent="0.2">
      <c r="A111" s="37">
        <v>45805</v>
      </c>
      <c r="B111" s="22">
        <f t="shared" si="3"/>
        <v>91</v>
      </c>
      <c r="C111" s="28">
        <f t="shared" si="4"/>
        <v>1456</v>
      </c>
      <c r="D111" s="24">
        <v>-1813</v>
      </c>
      <c r="E111" s="28">
        <v>3269</v>
      </c>
      <c r="F111" s="22">
        <f t="shared" si="5"/>
        <v>619</v>
      </c>
      <c r="G111" s="22">
        <f t="shared" si="6"/>
        <v>91</v>
      </c>
      <c r="H111" s="28">
        <f t="shared" si="7"/>
        <v>1327</v>
      </c>
      <c r="I111" s="24">
        <v>-1903</v>
      </c>
      <c r="J111" s="28">
        <v>3230</v>
      </c>
      <c r="K111" s="22">
        <f t="shared" si="1"/>
        <v>713</v>
      </c>
      <c r="L111" s="22">
        <f t="shared" si="10"/>
        <v>91</v>
      </c>
      <c r="M111" s="28">
        <f t="shared" si="9"/>
        <v>1512</v>
      </c>
      <c r="N111" s="24">
        <v>-2213</v>
      </c>
      <c r="O111" s="28">
        <v>3725</v>
      </c>
      <c r="P111" s="22">
        <f t="shared" si="2"/>
        <v>623</v>
      </c>
      <c r="Q111" s="36"/>
      <c r="R111" s="30"/>
    </row>
    <row r="112" spans="1:18" ht="15.75" customHeight="1" x14ac:dyDescent="0.2">
      <c r="A112" s="37">
        <v>45806</v>
      </c>
      <c r="B112" s="22">
        <f t="shared" si="3"/>
        <v>92</v>
      </c>
      <c r="C112" s="28">
        <f t="shared" si="4"/>
        <v>1456</v>
      </c>
      <c r="D112" s="24">
        <v>-1813</v>
      </c>
      <c r="E112" s="28">
        <v>3269</v>
      </c>
      <c r="F112" s="22">
        <f t="shared" si="5"/>
        <v>619</v>
      </c>
      <c r="G112" s="22">
        <f t="shared" si="6"/>
        <v>92</v>
      </c>
      <c r="H112" s="28">
        <f t="shared" si="7"/>
        <v>1327</v>
      </c>
      <c r="I112" s="24">
        <v>-1903</v>
      </c>
      <c r="J112" s="28">
        <v>3230</v>
      </c>
      <c r="K112" s="22">
        <f t="shared" si="1"/>
        <v>713</v>
      </c>
      <c r="L112" s="22">
        <f t="shared" si="10"/>
        <v>92</v>
      </c>
      <c r="M112" s="28">
        <f t="shared" si="9"/>
        <v>1512</v>
      </c>
      <c r="N112" s="24">
        <v>-2213</v>
      </c>
      <c r="O112" s="28">
        <v>3725</v>
      </c>
      <c r="P112" s="22">
        <f t="shared" si="2"/>
        <v>623</v>
      </c>
      <c r="Q112" s="36"/>
      <c r="R112" s="30"/>
    </row>
    <row r="113" spans="1:18" ht="15.75" customHeight="1" x14ac:dyDescent="0.2">
      <c r="A113" s="37">
        <v>45807</v>
      </c>
      <c r="B113" s="22">
        <f t="shared" si="3"/>
        <v>93</v>
      </c>
      <c r="C113" s="28">
        <f t="shared" si="4"/>
        <v>1456</v>
      </c>
      <c r="D113" s="24">
        <v>-1813</v>
      </c>
      <c r="E113" s="28">
        <v>3269</v>
      </c>
      <c r="F113" s="22">
        <f t="shared" si="5"/>
        <v>619</v>
      </c>
      <c r="G113" s="22">
        <f t="shared" si="6"/>
        <v>93</v>
      </c>
      <c r="H113" s="28">
        <f t="shared" si="7"/>
        <v>1327</v>
      </c>
      <c r="I113" s="24">
        <v>-1903</v>
      </c>
      <c r="J113" s="28">
        <v>3230</v>
      </c>
      <c r="K113" s="22">
        <f t="shared" si="1"/>
        <v>713</v>
      </c>
      <c r="L113" s="22">
        <f t="shared" si="10"/>
        <v>93</v>
      </c>
      <c r="M113" s="28">
        <f t="shared" si="9"/>
        <v>1512</v>
      </c>
      <c r="N113" s="24">
        <v>-2213</v>
      </c>
      <c r="O113" s="28">
        <v>3725</v>
      </c>
      <c r="P113" s="22">
        <f t="shared" si="2"/>
        <v>623</v>
      </c>
      <c r="Q113" s="36"/>
      <c r="R113" s="30"/>
    </row>
    <row r="114" spans="1:18" ht="15.75" customHeight="1" x14ac:dyDescent="0.2">
      <c r="A114" s="37">
        <v>45808</v>
      </c>
      <c r="B114" s="22">
        <f t="shared" si="3"/>
        <v>94</v>
      </c>
      <c r="C114" s="28">
        <f t="shared" si="4"/>
        <v>1456</v>
      </c>
      <c r="D114" s="24">
        <v>-1813</v>
      </c>
      <c r="E114" s="28">
        <v>3269</v>
      </c>
      <c r="F114" s="22">
        <f t="shared" si="5"/>
        <v>619</v>
      </c>
      <c r="G114" s="22">
        <f t="shared" si="6"/>
        <v>94</v>
      </c>
      <c r="H114" s="28">
        <f t="shared" si="7"/>
        <v>1327</v>
      </c>
      <c r="I114" s="24">
        <v>-1903</v>
      </c>
      <c r="J114" s="28">
        <v>3230</v>
      </c>
      <c r="K114" s="22">
        <f t="shared" si="1"/>
        <v>713</v>
      </c>
      <c r="L114" s="22">
        <f t="shared" si="10"/>
        <v>94</v>
      </c>
      <c r="M114" s="28">
        <f t="shared" si="9"/>
        <v>1512</v>
      </c>
      <c r="N114" s="24">
        <v>-2213</v>
      </c>
      <c r="O114" s="28">
        <v>3725</v>
      </c>
      <c r="P114" s="22">
        <f t="shared" si="2"/>
        <v>623</v>
      </c>
      <c r="Q114" s="36"/>
      <c r="R114" s="30"/>
    </row>
    <row r="115" spans="1:18" ht="15.75" customHeight="1" x14ac:dyDescent="0.2">
      <c r="A115" s="37">
        <v>45809</v>
      </c>
      <c r="B115" s="22">
        <f t="shared" si="3"/>
        <v>95</v>
      </c>
      <c r="C115" s="28">
        <f t="shared" si="4"/>
        <v>1456</v>
      </c>
      <c r="D115" s="24">
        <v>-1813</v>
      </c>
      <c r="E115" s="28">
        <v>3269</v>
      </c>
      <c r="F115" s="22">
        <f t="shared" si="5"/>
        <v>619</v>
      </c>
      <c r="G115" s="22">
        <f t="shared" si="6"/>
        <v>95</v>
      </c>
      <c r="H115" s="28">
        <f t="shared" si="7"/>
        <v>1327</v>
      </c>
      <c r="I115" s="24">
        <v>-1903</v>
      </c>
      <c r="J115" s="28">
        <v>3230</v>
      </c>
      <c r="K115" s="22">
        <f t="shared" si="1"/>
        <v>713</v>
      </c>
      <c r="L115" s="22">
        <f t="shared" si="10"/>
        <v>95</v>
      </c>
      <c r="M115" s="28">
        <f t="shared" si="9"/>
        <v>1512</v>
      </c>
      <c r="N115" s="24">
        <v>-2213</v>
      </c>
      <c r="O115" s="28">
        <v>3725</v>
      </c>
      <c r="P115" s="22">
        <f t="shared" si="2"/>
        <v>623</v>
      </c>
      <c r="Q115" s="36"/>
      <c r="R115" s="30"/>
    </row>
    <row r="116" spans="1:18" ht="15.75" customHeight="1" x14ac:dyDescent="0.2">
      <c r="A116" s="37">
        <v>45810</v>
      </c>
      <c r="B116" s="22">
        <f t="shared" si="3"/>
        <v>96</v>
      </c>
      <c r="C116" s="28">
        <f t="shared" si="4"/>
        <v>1456</v>
      </c>
      <c r="D116" s="24">
        <v>-1813</v>
      </c>
      <c r="E116" s="28">
        <v>3269</v>
      </c>
      <c r="F116" s="22">
        <f t="shared" si="5"/>
        <v>619</v>
      </c>
      <c r="G116" s="22">
        <f t="shared" si="6"/>
        <v>96</v>
      </c>
      <c r="H116" s="28">
        <f t="shared" si="7"/>
        <v>1327</v>
      </c>
      <c r="I116" s="24">
        <v>-1903</v>
      </c>
      <c r="J116" s="28">
        <v>3230</v>
      </c>
      <c r="K116" s="22">
        <f t="shared" si="1"/>
        <v>713</v>
      </c>
      <c r="L116" s="22">
        <f t="shared" si="10"/>
        <v>96</v>
      </c>
      <c r="M116" s="28">
        <f t="shared" si="9"/>
        <v>1512</v>
      </c>
      <c r="N116" s="24">
        <v>-2213</v>
      </c>
      <c r="O116" s="28">
        <v>3725</v>
      </c>
      <c r="P116" s="22">
        <f t="shared" si="2"/>
        <v>623</v>
      </c>
      <c r="Q116" s="36"/>
      <c r="R116" s="30"/>
    </row>
    <row r="117" spans="1:18" ht="15.75" customHeight="1" x14ac:dyDescent="0.2">
      <c r="A117" s="37">
        <v>45811</v>
      </c>
      <c r="B117" s="22">
        <f t="shared" si="3"/>
        <v>97</v>
      </c>
      <c r="C117" s="28">
        <f t="shared" si="4"/>
        <v>1456</v>
      </c>
      <c r="D117" s="24">
        <v>-1813</v>
      </c>
      <c r="E117" s="28">
        <v>3269</v>
      </c>
      <c r="F117" s="22">
        <f t="shared" si="5"/>
        <v>619</v>
      </c>
      <c r="G117" s="22">
        <f t="shared" si="6"/>
        <v>97</v>
      </c>
      <c r="H117" s="28">
        <f t="shared" si="7"/>
        <v>1327</v>
      </c>
      <c r="I117" s="24">
        <v>-1903</v>
      </c>
      <c r="J117" s="28">
        <v>3230</v>
      </c>
      <c r="K117" s="22">
        <f t="shared" si="1"/>
        <v>713</v>
      </c>
      <c r="L117" s="22">
        <f t="shared" si="10"/>
        <v>97</v>
      </c>
      <c r="M117" s="28">
        <f t="shared" si="9"/>
        <v>1512</v>
      </c>
      <c r="N117" s="24">
        <v>-2213</v>
      </c>
      <c r="O117" s="28">
        <v>3725</v>
      </c>
      <c r="P117" s="22">
        <f t="shared" si="2"/>
        <v>623</v>
      </c>
      <c r="Q117" s="36"/>
      <c r="R117" s="30"/>
    </row>
    <row r="118" spans="1:18" ht="15.75" customHeight="1" x14ac:dyDescent="0.2">
      <c r="A118" s="37">
        <v>45812</v>
      </c>
      <c r="B118" s="22">
        <f t="shared" si="3"/>
        <v>98</v>
      </c>
      <c r="C118" s="28">
        <f t="shared" si="4"/>
        <v>1456</v>
      </c>
      <c r="D118" s="24">
        <v>-1813</v>
      </c>
      <c r="E118" s="28">
        <v>3269</v>
      </c>
      <c r="F118" s="22">
        <f t="shared" si="5"/>
        <v>619</v>
      </c>
      <c r="G118" s="22">
        <f t="shared" si="6"/>
        <v>98</v>
      </c>
      <c r="H118" s="28">
        <f t="shared" si="7"/>
        <v>1327</v>
      </c>
      <c r="I118" s="24">
        <v>-1903</v>
      </c>
      <c r="J118" s="28">
        <v>3230</v>
      </c>
      <c r="K118" s="22">
        <f t="shared" si="1"/>
        <v>713</v>
      </c>
      <c r="L118" s="22">
        <f t="shared" si="10"/>
        <v>98</v>
      </c>
      <c r="M118" s="28">
        <f t="shared" si="9"/>
        <v>1512</v>
      </c>
      <c r="N118" s="24">
        <v>-2213</v>
      </c>
      <c r="O118" s="28">
        <v>3725</v>
      </c>
      <c r="P118" s="22">
        <f t="shared" si="2"/>
        <v>623</v>
      </c>
      <c r="Q118" s="36"/>
      <c r="R118" s="30"/>
    </row>
    <row r="119" spans="1:18" ht="15.75" customHeight="1" x14ac:dyDescent="0.2">
      <c r="A119" s="37">
        <v>45813</v>
      </c>
      <c r="B119" s="22">
        <f t="shared" si="3"/>
        <v>99</v>
      </c>
      <c r="C119" s="28">
        <f t="shared" si="4"/>
        <v>1456</v>
      </c>
      <c r="D119" s="24">
        <v>-1813</v>
      </c>
      <c r="E119" s="28">
        <v>3269</v>
      </c>
      <c r="F119" s="22">
        <f t="shared" si="5"/>
        <v>619</v>
      </c>
      <c r="G119" s="22">
        <f t="shared" si="6"/>
        <v>99</v>
      </c>
      <c r="H119" s="28">
        <f t="shared" si="7"/>
        <v>1327</v>
      </c>
      <c r="I119" s="24">
        <v>-1903</v>
      </c>
      <c r="J119" s="28">
        <v>3230</v>
      </c>
      <c r="K119" s="22">
        <f t="shared" si="1"/>
        <v>713</v>
      </c>
      <c r="L119" s="22">
        <f t="shared" si="10"/>
        <v>99</v>
      </c>
      <c r="M119" s="28">
        <f t="shared" si="9"/>
        <v>1512</v>
      </c>
      <c r="N119" s="24">
        <v>-2213</v>
      </c>
      <c r="O119" s="28">
        <v>3725</v>
      </c>
      <c r="P119" s="22">
        <f t="shared" si="2"/>
        <v>623</v>
      </c>
      <c r="Q119" s="36"/>
      <c r="R119" s="30"/>
    </row>
    <row r="120" spans="1:18" ht="15.75" customHeight="1" x14ac:dyDescent="0.2">
      <c r="A120" s="37">
        <v>45814</v>
      </c>
      <c r="B120" s="22">
        <f t="shared" si="3"/>
        <v>100</v>
      </c>
      <c r="C120" s="28">
        <f t="shared" si="4"/>
        <v>1456</v>
      </c>
      <c r="D120" s="24">
        <v>-1813</v>
      </c>
      <c r="E120" s="28">
        <v>3269</v>
      </c>
      <c r="F120" s="22">
        <f t="shared" si="5"/>
        <v>619</v>
      </c>
      <c r="G120" s="22">
        <f t="shared" si="6"/>
        <v>100</v>
      </c>
      <c r="H120" s="28">
        <f t="shared" si="7"/>
        <v>1327</v>
      </c>
      <c r="I120" s="24">
        <v>-1903</v>
      </c>
      <c r="J120" s="28">
        <v>3230</v>
      </c>
      <c r="K120" s="22">
        <f t="shared" si="1"/>
        <v>713</v>
      </c>
      <c r="L120" s="22">
        <f t="shared" si="10"/>
        <v>100</v>
      </c>
      <c r="M120" s="28">
        <f t="shared" si="9"/>
        <v>1512</v>
      </c>
      <c r="N120" s="24">
        <v>-2213</v>
      </c>
      <c r="O120" s="28">
        <v>3725</v>
      </c>
      <c r="P120" s="22">
        <f t="shared" si="2"/>
        <v>623</v>
      </c>
      <c r="Q120" s="36"/>
      <c r="R120" s="30"/>
    </row>
    <row r="121" spans="1:18" ht="15.75" customHeight="1" x14ac:dyDescent="0.2">
      <c r="A121" s="37">
        <v>45815</v>
      </c>
      <c r="B121" s="22">
        <f t="shared" si="3"/>
        <v>101</v>
      </c>
      <c r="C121" s="28">
        <f t="shared" si="4"/>
        <v>1456</v>
      </c>
      <c r="D121" s="24">
        <v>-1813</v>
      </c>
      <c r="E121" s="28">
        <v>3269</v>
      </c>
      <c r="F121" s="22">
        <f t="shared" si="5"/>
        <v>619</v>
      </c>
      <c r="G121" s="22">
        <f t="shared" si="6"/>
        <v>101</v>
      </c>
      <c r="H121" s="28">
        <f t="shared" si="7"/>
        <v>1327</v>
      </c>
      <c r="I121" s="24">
        <v>-1903</v>
      </c>
      <c r="J121" s="28">
        <v>3230</v>
      </c>
      <c r="K121" s="22">
        <f t="shared" si="1"/>
        <v>713</v>
      </c>
      <c r="L121" s="22">
        <f t="shared" si="10"/>
        <v>101</v>
      </c>
      <c r="M121" s="28">
        <f t="shared" si="9"/>
        <v>1512</v>
      </c>
      <c r="N121" s="24">
        <v>-2213</v>
      </c>
      <c r="O121" s="28">
        <v>3725</v>
      </c>
      <c r="P121" s="22">
        <f t="shared" si="2"/>
        <v>623</v>
      </c>
      <c r="Q121" s="36"/>
      <c r="R121" s="30"/>
    </row>
    <row r="122" spans="1:18" ht="15.75" customHeight="1" x14ac:dyDescent="0.2">
      <c r="A122" s="37">
        <v>45816</v>
      </c>
      <c r="B122" s="22">
        <f t="shared" si="3"/>
        <v>102</v>
      </c>
      <c r="C122" s="28">
        <f t="shared" si="4"/>
        <v>1456</v>
      </c>
      <c r="D122" s="24">
        <v>-1813</v>
      </c>
      <c r="E122" s="28">
        <v>3269</v>
      </c>
      <c r="F122" s="22">
        <f t="shared" si="5"/>
        <v>619</v>
      </c>
      <c r="G122" s="22">
        <f t="shared" si="6"/>
        <v>102</v>
      </c>
      <c r="H122" s="28">
        <f t="shared" si="7"/>
        <v>1327</v>
      </c>
      <c r="I122" s="24">
        <v>-1903</v>
      </c>
      <c r="J122" s="28">
        <v>3230</v>
      </c>
      <c r="K122" s="22">
        <f t="shared" si="1"/>
        <v>713</v>
      </c>
      <c r="L122" s="22">
        <f t="shared" si="10"/>
        <v>102</v>
      </c>
      <c r="M122" s="28">
        <f t="shared" si="9"/>
        <v>1512</v>
      </c>
      <c r="N122" s="24">
        <v>-2213</v>
      </c>
      <c r="O122" s="28">
        <v>3725</v>
      </c>
      <c r="P122" s="22">
        <f t="shared" si="2"/>
        <v>623</v>
      </c>
      <c r="Q122" s="36"/>
      <c r="R122" s="30"/>
    </row>
    <row r="123" spans="1:18" ht="15.75" customHeight="1" x14ac:dyDescent="0.2">
      <c r="A123" s="37">
        <v>45817</v>
      </c>
      <c r="B123" s="22">
        <f t="shared" si="3"/>
        <v>103</v>
      </c>
      <c r="C123" s="28">
        <f t="shared" si="4"/>
        <v>1456</v>
      </c>
      <c r="D123" s="24">
        <v>-1813</v>
      </c>
      <c r="E123" s="28">
        <v>3269</v>
      </c>
      <c r="F123" s="22">
        <f t="shared" si="5"/>
        <v>619</v>
      </c>
      <c r="G123" s="22">
        <f t="shared" si="6"/>
        <v>103</v>
      </c>
      <c r="H123" s="28">
        <f t="shared" si="7"/>
        <v>1327</v>
      </c>
      <c r="I123" s="24">
        <v>-1903</v>
      </c>
      <c r="J123" s="28">
        <v>3230</v>
      </c>
      <c r="K123" s="22">
        <f t="shared" si="1"/>
        <v>713</v>
      </c>
      <c r="L123" s="22">
        <f t="shared" si="10"/>
        <v>103</v>
      </c>
      <c r="M123" s="28">
        <f t="shared" si="9"/>
        <v>1512</v>
      </c>
      <c r="N123" s="24">
        <v>-2213</v>
      </c>
      <c r="O123" s="28">
        <v>3725</v>
      </c>
      <c r="P123" s="22">
        <f t="shared" si="2"/>
        <v>623</v>
      </c>
      <c r="Q123" s="36"/>
      <c r="R123" s="30"/>
    </row>
    <row r="124" spans="1:18" ht="15.75" customHeight="1" x14ac:dyDescent="0.2">
      <c r="A124" s="37">
        <v>45818</v>
      </c>
      <c r="B124" s="22">
        <f t="shared" si="3"/>
        <v>104</v>
      </c>
      <c r="C124" s="28">
        <f t="shared" si="4"/>
        <v>1456</v>
      </c>
      <c r="D124" s="24">
        <v>-1813</v>
      </c>
      <c r="E124" s="28">
        <v>3269</v>
      </c>
      <c r="F124" s="22">
        <f t="shared" si="5"/>
        <v>619</v>
      </c>
      <c r="G124" s="22">
        <f t="shared" si="6"/>
        <v>104</v>
      </c>
      <c r="H124" s="28">
        <f t="shared" si="7"/>
        <v>1327</v>
      </c>
      <c r="I124" s="24">
        <v>-1903</v>
      </c>
      <c r="J124" s="28">
        <v>3230</v>
      </c>
      <c r="K124" s="22">
        <f t="shared" si="1"/>
        <v>713</v>
      </c>
      <c r="L124" s="22">
        <f t="shared" si="10"/>
        <v>104</v>
      </c>
      <c r="M124" s="28">
        <f t="shared" si="9"/>
        <v>1512</v>
      </c>
      <c r="N124" s="24">
        <v>-2213</v>
      </c>
      <c r="O124" s="28">
        <v>3725</v>
      </c>
      <c r="P124" s="22">
        <f t="shared" si="2"/>
        <v>623</v>
      </c>
      <c r="Q124" s="36"/>
      <c r="R124" s="30"/>
    </row>
    <row r="125" spans="1:18" ht="15.75" customHeight="1" x14ac:dyDescent="0.2">
      <c r="A125" s="37">
        <v>45819</v>
      </c>
      <c r="B125" s="22">
        <f t="shared" si="3"/>
        <v>105</v>
      </c>
      <c r="C125" s="28">
        <f t="shared" si="4"/>
        <v>1456</v>
      </c>
      <c r="D125" s="24">
        <v>-1813</v>
      </c>
      <c r="E125" s="28">
        <v>3269</v>
      </c>
      <c r="F125" s="22">
        <f t="shared" si="5"/>
        <v>619</v>
      </c>
      <c r="G125" s="22">
        <f t="shared" si="6"/>
        <v>105</v>
      </c>
      <c r="H125" s="28">
        <f t="shared" si="7"/>
        <v>1327</v>
      </c>
      <c r="I125" s="24">
        <v>-1903</v>
      </c>
      <c r="J125" s="28">
        <v>3230</v>
      </c>
      <c r="K125" s="22">
        <f t="shared" si="1"/>
        <v>713</v>
      </c>
      <c r="L125" s="22">
        <f t="shared" si="10"/>
        <v>105</v>
      </c>
      <c r="M125" s="28">
        <f t="shared" si="9"/>
        <v>1512</v>
      </c>
      <c r="N125" s="24">
        <v>-2213</v>
      </c>
      <c r="O125" s="28">
        <v>3725</v>
      </c>
      <c r="P125" s="22">
        <f t="shared" si="2"/>
        <v>623</v>
      </c>
      <c r="Q125" s="36"/>
      <c r="R125" s="30"/>
    </row>
    <row r="126" spans="1:18" ht="15.75" customHeight="1" x14ac:dyDescent="0.2">
      <c r="A126" s="37">
        <v>45820</v>
      </c>
      <c r="B126" s="22">
        <f t="shared" si="3"/>
        <v>106</v>
      </c>
      <c r="C126" s="28">
        <f t="shared" si="4"/>
        <v>1456</v>
      </c>
      <c r="D126" s="24">
        <v>-1813</v>
      </c>
      <c r="E126" s="28">
        <v>3269</v>
      </c>
      <c r="F126" s="22">
        <f t="shared" si="5"/>
        <v>619</v>
      </c>
      <c r="G126" s="22">
        <f t="shared" si="6"/>
        <v>106</v>
      </c>
      <c r="H126" s="28">
        <f t="shared" si="7"/>
        <v>1327</v>
      </c>
      <c r="I126" s="24">
        <v>-1903</v>
      </c>
      <c r="J126" s="28">
        <v>3230</v>
      </c>
      <c r="K126" s="22">
        <f t="shared" si="1"/>
        <v>713</v>
      </c>
      <c r="L126" s="22">
        <f t="shared" si="10"/>
        <v>106</v>
      </c>
      <c r="M126" s="28">
        <f t="shared" si="9"/>
        <v>1512</v>
      </c>
      <c r="N126" s="24">
        <v>-2213</v>
      </c>
      <c r="O126" s="28">
        <v>3725</v>
      </c>
      <c r="P126" s="22">
        <f t="shared" si="2"/>
        <v>623</v>
      </c>
      <c r="Q126" s="36"/>
      <c r="R126" s="30"/>
    </row>
    <row r="127" spans="1:18" ht="15.75" customHeight="1" x14ac:dyDescent="0.2">
      <c r="A127" s="37">
        <v>45821</v>
      </c>
      <c r="B127" s="22">
        <f t="shared" si="3"/>
        <v>107</v>
      </c>
      <c r="C127" s="28">
        <f t="shared" si="4"/>
        <v>1456</v>
      </c>
      <c r="D127" s="24">
        <v>-1813</v>
      </c>
      <c r="E127" s="28">
        <v>3269</v>
      </c>
      <c r="F127" s="22">
        <f t="shared" si="5"/>
        <v>619</v>
      </c>
      <c r="G127" s="22">
        <f t="shared" si="6"/>
        <v>107</v>
      </c>
      <c r="H127" s="28">
        <f t="shared" si="7"/>
        <v>1327</v>
      </c>
      <c r="I127" s="24">
        <v>-1903</v>
      </c>
      <c r="J127" s="28">
        <v>3230</v>
      </c>
      <c r="K127" s="22">
        <f t="shared" si="1"/>
        <v>713</v>
      </c>
      <c r="L127" s="22">
        <f t="shared" si="10"/>
        <v>107</v>
      </c>
      <c r="M127" s="28">
        <f t="shared" si="9"/>
        <v>1512</v>
      </c>
      <c r="N127" s="24">
        <v>-2213</v>
      </c>
      <c r="O127" s="28">
        <v>3725</v>
      </c>
      <c r="P127" s="22">
        <f t="shared" si="2"/>
        <v>623</v>
      </c>
      <c r="Q127" s="36"/>
      <c r="R127" s="30"/>
    </row>
    <row r="128" spans="1:18" ht="15.75" customHeight="1" x14ac:dyDescent="0.2">
      <c r="A128" s="37">
        <v>45822</v>
      </c>
      <c r="B128" s="22">
        <f t="shared" si="3"/>
        <v>108</v>
      </c>
      <c r="C128" s="28">
        <f t="shared" si="4"/>
        <v>1456</v>
      </c>
      <c r="D128" s="24">
        <v>-1813</v>
      </c>
      <c r="E128" s="28">
        <v>3269</v>
      </c>
      <c r="F128" s="22">
        <f t="shared" si="5"/>
        <v>619</v>
      </c>
      <c r="G128" s="22">
        <f t="shared" si="6"/>
        <v>108</v>
      </c>
      <c r="H128" s="28">
        <f t="shared" si="7"/>
        <v>1327</v>
      </c>
      <c r="I128" s="24">
        <v>-1903</v>
      </c>
      <c r="J128" s="28">
        <v>3230</v>
      </c>
      <c r="K128" s="22">
        <f t="shared" si="1"/>
        <v>713</v>
      </c>
      <c r="L128" s="22">
        <f t="shared" si="10"/>
        <v>108</v>
      </c>
      <c r="M128" s="28">
        <f t="shared" si="9"/>
        <v>1512</v>
      </c>
      <c r="N128" s="24">
        <v>-2213</v>
      </c>
      <c r="O128" s="28">
        <v>3725</v>
      </c>
      <c r="P128" s="22">
        <f t="shared" si="2"/>
        <v>623</v>
      </c>
      <c r="Q128" s="36"/>
      <c r="R128" s="30"/>
    </row>
    <row r="129" spans="1:18" ht="15.75" customHeight="1" x14ac:dyDescent="0.2">
      <c r="A129" s="37">
        <v>45823</v>
      </c>
      <c r="B129" s="22">
        <f t="shared" si="3"/>
        <v>109</v>
      </c>
      <c r="C129" s="28">
        <f t="shared" si="4"/>
        <v>1456</v>
      </c>
      <c r="D129" s="24">
        <v>-1813</v>
      </c>
      <c r="E129" s="28">
        <v>3269</v>
      </c>
      <c r="F129" s="22">
        <f t="shared" si="5"/>
        <v>619</v>
      </c>
      <c r="G129" s="22">
        <f t="shared" si="6"/>
        <v>109</v>
      </c>
      <c r="H129" s="28">
        <f t="shared" si="7"/>
        <v>1327</v>
      </c>
      <c r="I129" s="24">
        <v>-1903</v>
      </c>
      <c r="J129" s="28">
        <v>3230</v>
      </c>
      <c r="K129" s="22">
        <f t="shared" si="1"/>
        <v>713</v>
      </c>
      <c r="L129" s="22">
        <f t="shared" si="10"/>
        <v>109</v>
      </c>
      <c r="M129" s="28">
        <f t="shared" si="9"/>
        <v>1512</v>
      </c>
      <c r="N129" s="24">
        <v>-2213</v>
      </c>
      <c r="O129" s="28">
        <v>3725</v>
      </c>
      <c r="P129" s="22">
        <f t="shared" si="2"/>
        <v>623</v>
      </c>
      <c r="Q129" s="36"/>
      <c r="R129" s="30"/>
    </row>
    <row r="130" spans="1:18" ht="15.75" customHeight="1" x14ac:dyDescent="0.2">
      <c r="A130" s="37">
        <v>45824</v>
      </c>
      <c r="B130" s="22">
        <f t="shared" si="3"/>
        <v>110</v>
      </c>
      <c r="C130" s="28">
        <f t="shared" si="4"/>
        <v>1456</v>
      </c>
      <c r="D130" s="24">
        <v>-1813</v>
      </c>
      <c r="E130" s="28">
        <v>3269</v>
      </c>
      <c r="F130" s="22">
        <f t="shared" si="5"/>
        <v>619</v>
      </c>
      <c r="G130" s="22">
        <f t="shared" si="6"/>
        <v>110</v>
      </c>
      <c r="H130" s="28">
        <f t="shared" si="7"/>
        <v>1327</v>
      </c>
      <c r="I130" s="24">
        <v>-1903</v>
      </c>
      <c r="J130" s="28">
        <v>3230</v>
      </c>
      <c r="K130" s="22">
        <f t="shared" si="1"/>
        <v>713</v>
      </c>
      <c r="L130" s="22">
        <f t="shared" si="10"/>
        <v>110</v>
      </c>
      <c r="M130" s="28">
        <f t="shared" si="9"/>
        <v>1512</v>
      </c>
      <c r="N130" s="24">
        <v>-2213</v>
      </c>
      <c r="O130" s="28">
        <v>3725</v>
      </c>
      <c r="P130" s="22">
        <f t="shared" si="2"/>
        <v>623</v>
      </c>
      <c r="Q130" s="36"/>
      <c r="R130" s="30"/>
    </row>
    <row r="131" spans="1:18" ht="15.75" customHeight="1" x14ac:dyDescent="0.2">
      <c r="A131" s="37">
        <v>45825</v>
      </c>
      <c r="B131" s="22">
        <f t="shared" si="3"/>
        <v>111</v>
      </c>
      <c r="C131" s="28">
        <f t="shared" si="4"/>
        <v>1456</v>
      </c>
      <c r="D131" s="24">
        <v>-1813</v>
      </c>
      <c r="E131" s="28">
        <v>3269</v>
      </c>
      <c r="F131" s="22">
        <f t="shared" si="5"/>
        <v>619</v>
      </c>
      <c r="G131" s="22">
        <f t="shared" si="6"/>
        <v>111</v>
      </c>
      <c r="H131" s="28">
        <f t="shared" si="7"/>
        <v>1327</v>
      </c>
      <c r="I131" s="24">
        <v>-1903</v>
      </c>
      <c r="J131" s="28">
        <v>3230</v>
      </c>
      <c r="K131" s="22">
        <f t="shared" si="1"/>
        <v>713</v>
      </c>
      <c r="L131" s="22">
        <f t="shared" si="10"/>
        <v>111</v>
      </c>
      <c r="M131" s="28">
        <f t="shared" si="9"/>
        <v>1512</v>
      </c>
      <c r="N131" s="24">
        <v>-2213</v>
      </c>
      <c r="O131" s="28">
        <v>3725</v>
      </c>
      <c r="P131" s="22">
        <f t="shared" si="2"/>
        <v>623</v>
      </c>
      <c r="Q131" s="36"/>
      <c r="R131" s="30"/>
    </row>
    <row r="132" spans="1:18" ht="15.75" customHeight="1" x14ac:dyDescent="0.2">
      <c r="A132" s="37">
        <v>45826</v>
      </c>
      <c r="B132" s="22">
        <f t="shared" si="3"/>
        <v>112</v>
      </c>
      <c r="C132" s="28">
        <f t="shared" si="4"/>
        <v>1456</v>
      </c>
      <c r="D132" s="24">
        <v>-1813</v>
      </c>
      <c r="E132" s="28">
        <v>3269</v>
      </c>
      <c r="F132" s="22">
        <f t="shared" si="5"/>
        <v>619</v>
      </c>
      <c r="G132" s="22">
        <f t="shared" si="6"/>
        <v>112</v>
      </c>
      <c r="H132" s="28">
        <f t="shared" si="7"/>
        <v>1327</v>
      </c>
      <c r="I132" s="24">
        <v>-1903</v>
      </c>
      <c r="J132" s="28">
        <v>3230</v>
      </c>
      <c r="K132" s="22">
        <f t="shared" si="1"/>
        <v>713</v>
      </c>
      <c r="L132" s="22">
        <f t="shared" si="10"/>
        <v>112</v>
      </c>
      <c r="M132" s="28">
        <f t="shared" si="9"/>
        <v>1512</v>
      </c>
      <c r="N132" s="24">
        <v>-2213</v>
      </c>
      <c r="O132" s="28">
        <v>3725</v>
      </c>
      <c r="P132" s="22">
        <f t="shared" si="2"/>
        <v>623</v>
      </c>
      <c r="Q132" s="36"/>
      <c r="R132" s="30"/>
    </row>
    <row r="133" spans="1:18" ht="15.75" customHeight="1" x14ac:dyDescent="0.2">
      <c r="A133" s="37">
        <v>45827</v>
      </c>
      <c r="B133" s="22">
        <f t="shared" si="3"/>
        <v>113</v>
      </c>
      <c r="C133" s="28">
        <f t="shared" si="4"/>
        <v>1456</v>
      </c>
      <c r="D133" s="24">
        <v>-1813</v>
      </c>
      <c r="E133" s="28">
        <v>3269</v>
      </c>
      <c r="F133" s="22">
        <f t="shared" si="5"/>
        <v>619</v>
      </c>
      <c r="G133" s="22">
        <f t="shared" si="6"/>
        <v>113</v>
      </c>
      <c r="H133" s="28">
        <f t="shared" si="7"/>
        <v>1327</v>
      </c>
      <c r="I133" s="24">
        <v>-1903</v>
      </c>
      <c r="J133" s="28">
        <v>3230</v>
      </c>
      <c r="K133" s="22">
        <f t="shared" si="1"/>
        <v>713</v>
      </c>
      <c r="L133" s="22">
        <f t="shared" si="10"/>
        <v>113</v>
      </c>
      <c r="M133" s="28">
        <f t="shared" si="9"/>
        <v>1512</v>
      </c>
      <c r="N133" s="24">
        <v>-2213</v>
      </c>
      <c r="O133" s="28">
        <v>3725</v>
      </c>
      <c r="P133" s="22">
        <f t="shared" si="2"/>
        <v>623</v>
      </c>
      <c r="Q133" s="36"/>
      <c r="R133" s="30"/>
    </row>
    <row r="134" spans="1:18" ht="15.75" customHeight="1" x14ac:dyDescent="0.2">
      <c r="A134" s="37">
        <v>45828</v>
      </c>
      <c r="B134" s="22">
        <f t="shared" si="3"/>
        <v>114</v>
      </c>
      <c r="C134" s="28">
        <f t="shared" si="4"/>
        <v>1456</v>
      </c>
      <c r="D134" s="24">
        <v>-1813</v>
      </c>
      <c r="E134" s="28">
        <v>3269</v>
      </c>
      <c r="F134" s="22">
        <f t="shared" si="5"/>
        <v>619</v>
      </c>
      <c r="G134" s="22">
        <f t="shared" si="6"/>
        <v>114</v>
      </c>
      <c r="H134" s="28">
        <f t="shared" si="7"/>
        <v>1327</v>
      </c>
      <c r="I134" s="24">
        <v>-1903</v>
      </c>
      <c r="J134" s="28">
        <v>3230</v>
      </c>
      <c r="K134" s="22">
        <f t="shared" si="1"/>
        <v>713</v>
      </c>
      <c r="L134" s="22">
        <f t="shared" si="10"/>
        <v>114</v>
      </c>
      <c r="M134" s="28">
        <f t="shared" si="9"/>
        <v>1512</v>
      </c>
      <c r="N134" s="24">
        <v>-2213</v>
      </c>
      <c r="O134" s="28">
        <v>3725</v>
      </c>
      <c r="P134" s="22">
        <f t="shared" si="2"/>
        <v>623</v>
      </c>
      <c r="Q134" s="36"/>
      <c r="R134" s="30"/>
    </row>
    <row r="135" spans="1:18" ht="15.75" customHeight="1" x14ac:dyDescent="0.2">
      <c r="A135" s="37">
        <v>45829</v>
      </c>
      <c r="B135" s="22">
        <f t="shared" si="3"/>
        <v>115</v>
      </c>
      <c r="C135" s="28">
        <f t="shared" si="4"/>
        <v>1456</v>
      </c>
      <c r="D135" s="24">
        <v>-1813</v>
      </c>
      <c r="E135" s="28">
        <v>3269</v>
      </c>
      <c r="F135" s="22">
        <f t="shared" si="5"/>
        <v>619</v>
      </c>
      <c r="G135" s="22">
        <f t="shared" si="6"/>
        <v>115</v>
      </c>
      <c r="H135" s="28">
        <f t="shared" si="7"/>
        <v>1327</v>
      </c>
      <c r="I135" s="24">
        <v>-1903</v>
      </c>
      <c r="J135" s="28">
        <v>3230</v>
      </c>
      <c r="K135" s="22">
        <f t="shared" si="1"/>
        <v>713</v>
      </c>
      <c r="L135" s="22">
        <f t="shared" si="10"/>
        <v>115</v>
      </c>
      <c r="M135" s="28">
        <f t="shared" si="9"/>
        <v>1512</v>
      </c>
      <c r="N135" s="24">
        <v>-2213</v>
      </c>
      <c r="O135" s="28">
        <v>3725</v>
      </c>
      <c r="P135" s="22">
        <f t="shared" si="2"/>
        <v>623</v>
      </c>
      <c r="Q135" s="36"/>
      <c r="R135" s="30"/>
    </row>
    <row r="136" spans="1:18" ht="15.75" customHeight="1" x14ac:dyDescent="0.2">
      <c r="A136" s="37">
        <v>45830</v>
      </c>
      <c r="B136" s="22">
        <f t="shared" si="3"/>
        <v>116</v>
      </c>
      <c r="C136" s="28">
        <f t="shared" si="4"/>
        <v>1456</v>
      </c>
      <c r="D136" s="24">
        <v>-1813</v>
      </c>
      <c r="E136" s="28">
        <v>3269</v>
      </c>
      <c r="F136" s="22">
        <f t="shared" si="5"/>
        <v>619</v>
      </c>
      <c r="G136" s="22">
        <f t="shared" si="6"/>
        <v>116</v>
      </c>
      <c r="H136" s="28">
        <f t="shared" si="7"/>
        <v>1327</v>
      </c>
      <c r="I136" s="24">
        <v>-1903</v>
      </c>
      <c r="J136" s="28">
        <v>3230</v>
      </c>
      <c r="K136" s="22">
        <f t="shared" si="1"/>
        <v>713</v>
      </c>
      <c r="L136" s="22">
        <f t="shared" si="10"/>
        <v>116</v>
      </c>
      <c r="M136" s="28">
        <f t="shared" si="9"/>
        <v>1512</v>
      </c>
      <c r="N136" s="24">
        <v>-2213</v>
      </c>
      <c r="O136" s="28">
        <v>3725</v>
      </c>
      <c r="P136" s="22">
        <f t="shared" si="2"/>
        <v>623</v>
      </c>
      <c r="Q136" s="36"/>
      <c r="R136" s="30"/>
    </row>
    <row r="137" spans="1:18" ht="15.75" customHeight="1" x14ac:dyDescent="0.2">
      <c r="A137" s="37">
        <v>45831</v>
      </c>
      <c r="B137" s="22">
        <f t="shared" si="3"/>
        <v>117</v>
      </c>
      <c r="C137" s="28">
        <f t="shared" si="4"/>
        <v>1456</v>
      </c>
      <c r="D137" s="24">
        <v>-1813</v>
      </c>
      <c r="E137" s="28">
        <v>3269</v>
      </c>
      <c r="F137" s="22">
        <f t="shared" si="5"/>
        <v>619</v>
      </c>
      <c r="G137" s="22">
        <f t="shared" si="6"/>
        <v>117</v>
      </c>
      <c r="H137" s="28">
        <f t="shared" si="7"/>
        <v>1327</v>
      </c>
      <c r="I137" s="24">
        <v>-1903</v>
      </c>
      <c r="J137" s="28">
        <v>3230</v>
      </c>
      <c r="K137" s="22">
        <f t="shared" si="1"/>
        <v>713</v>
      </c>
      <c r="L137" s="22">
        <f t="shared" si="10"/>
        <v>117</v>
      </c>
      <c r="M137" s="28">
        <f t="shared" si="9"/>
        <v>1512</v>
      </c>
      <c r="N137" s="24">
        <v>-2213</v>
      </c>
      <c r="O137" s="28">
        <v>3725</v>
      </c>
      <c r="P137" s="22">
        <f t="shared" si="2"/>
        <v>623</v>
      </c>
      <c r="Q137" s="36"/>
      <c r="R137" s="30"/>
    </row>
    <row r="138" spans="1:18" ht="15.75" customHeight="1" x14ac:dyDescent="0.2">
      <c r="A138" s="37">
        <v>45832</v>
      </c>
      <c r="B138" s="22">
        <f t="shared" si="3"/>
        <v>118</v>
      </c>
      <c r="C138" s="28">
        <f t="shared" si="4"/>
        <v>1456</v>
      </c>
      <c r="D138" s="24">
        <v>-1813</v>
      </c>
      <c r="E138" s="28">
        <v>3269</v>
      </c>
      <c r="F138" s="22">
        <f t="shared" si="5"/>
        <v>619</v>
      </c>
      <c r="G138" s="22">
        <f t="shared" si="6"/>
        <v>118</v>
      </c>
      <c r="H138" s="28">
        <f t="shared" si="7"/>
        <v>1327</v>
      </c>
      <c r="I138" s="24">
        <v>-1903</v>
      </c>
      <c r="J138" s="28">
        <v>3230</v>
      </c>
      <c r="K138" s="22">
        <f t="shared" si="1"/>
        <v>713</v>
      </c>
      <c r="L138" s="22">
        <f t="shared" si="10"/>
        <v>118</v>
      </c>
      <c r="M138" s="28">
        <f t="shared" si="9"/>
        <v>1512</v>
      </c>
      <c r="N138" s="24">
        <v>-2213</v>
      </c>
      <c r="O138" s="28">
        <v>3725</v>
      </c>
      <c r="P138" s="22">
        <f t="shared" si="2"/>
        <v>623</v>
      </c>
      <c r="Q138" s="36"/>
      <c r="R138" s="30"/>
    </row>
    <row r="139" spans="1:18" ht="15.75" customHeight="1" x14ac:dyDescent="0.2">
      <c r="A139" s="37">
        <v>45833</v>
      </c>
      <c r="B139" s="22">
        <f t="shared" si="3"/>
        <v>119</v>
      </c>
      <c r="C139" s="28">
        <f t="shared" si="4"/>
        <v>1456</v>
      </c>
      <c r="D139" s="24">
        <v>-1813</v>
      </c>
      <c r="E139" s="28">
        <v>3269</v>
      </c>
      <c r="F139" s="22">
        <f t="shared" si="5"/>
        <v>619</v>
      </c>
      <c r="G139" s="22">
        <f t="shared" si="6"/>
        <v>119</v>
      </c>
      <c r="H139" s="28">
        <f t="shared" si="7"/>
        <v>1327</v>
      </c>
      <c r="I139" s="24">
        <v>-1903</v>
      </c>
      <c r="J139" s="28">
        <v>3230</v>
      </c>
      <c r="K139" s="22">
        <f t="shared" si="1"/>
        <v>713</v>
      </c>
      <c r="L139" s="22">
        <f t="shared" si="10"/>
        <v>119</v>
      </c>
      <c r="M139" s="28">
        <f t="shared" si="9"/>
        <v>1512</v>
      </c>
      <c r="N139" s="24">
        <v>-2213</v>
      </c>
      <c r="O139" s="28">
        <v>3725</v>
      </c>
      <c r="P139" s="22">
        <f t="shared" si="2"/>
        <v>623</v>
      </c>
      <c r="Q139" s="36"/>
      <c r="R139" s="30"/>
    </row>
    <row r="140" spans="1:18" ht="15.75" customHeight="1" x14ac:dyDescent="0.2">
      <c r="A140" s="37">
        <v>45834</v>
      </c>
      <c r="B140" s="22">
        <f t="shared" si="3"/>
        <v>120</v>
      </c>
      <c r="C140" s="28">
        <f t="shared" si="4"/>
        <v>1456</v>
      </c>
      <c r="D140" s="24">
        <v>-1813</v>
      </c>
      <c r="E140" s="28">
        <v>3269</v>
      </c>
      <c r="F140" s="22">
        <f t="shared" si="5"/>
        <v>619</v>
      </c>
      <c r="G140" s="22">
        <f t="shared" si="6"/>
        <v>120</v>
      </c>
      <c r="H140" s="28">
        <f t="shared" si="7"/>
        <v>1327</v>
      </c>
      <c r="I140" s="24">
        <v>-1903</v>
      </c>
      <c r="J140" s="28">
        <v>3230</v>
      </c>
      <c r="K140" s="22">
        <f t="shared" si="1"/>
        <v>713</v>
      </c>
      <c r="L140" s="22">
        <f t="shared" si="10"/>
        <v>120</v>
      </c>
      <c r="M140" s="28">
        <f t="shared" si="9"/>
        <v>1512</v>
      </c>
      <c r="N140" s="24">
        <v>-2213</v>
      </c>
      <c r="O140" s="28">
        <v>3725</v>
      </c>
      <c r="P140" s="22">
        <f t="shared" si="2"/>
        <v>623</v>
      </c>
      <c r="Q140" s="36"/>
      <c r="R140" s="30"/>
    </row>
    <row r="141" spans="1:18" ht="15.75" customHeight="1" x14ac:dyDescent="0.2">
      <c r="A141" s="37">
        <v>45835</v>
      </c>
      <c r="B141" s="22">
        <f t="shared" si="3"/>
        <v>121</v>
      </c>
      <c r="C141" s="28">
        <f t="shared" si="4"/>
        <v>1456</v>
      </c>
      <c r="D141" s="24">
        <v>-1813</v>
      </c>
      <c r="E141" s="28">
        <v>3269</v>
      </c>
      <c r="F141" s="22">
        <f t="shared" si="5"/>
        <v>619</v>
      </c>
      <c r="G141" s="22">
        <f t="shared" si="6"/>
        <v>121</v>
      </c>
      <c r="H141" s="28">
        <f t="shared" si="7"/>
        <v>1327</v>
      </c>
      <c r="I141" s="24">
        <v>-1903</v>
      </c>
      <c r="J141" s="28">
        <v>3230</v>
      </c>
      <c r="K141" s="22">
        <f t="shared" si="1"/>
        <v>713</v>
      </c>
      <c r="L141" s="22">
        <f t="shared" si="10"/>
        <v>121</v>
      </c>
      <c r="M141" s="28">
        <f t="shared" si="9"/>
        <v>1512</v>
      </c>
      <c r="N141" s="24">
        <v>-2213</v>
      </c>
      <c r="O141" s="28">
        <v>3725</v>
      </c>
      <c r="P141" s="22">
        <f t="shared" si="2"/>
        <v>623</v>
      </c>
      <c r="Q141" s="36"/>
      <c r="R141" s="30"/>
    </row>
    <row r="142" spans="1:18" ht="15.75" customHeight="1" x14ac:dyDescent="0.2">
      <c r="A142" s="37">
        <v>45836</v>
      </c>
      <c r="B142" s="22">
        <f t="shared" si="3"/>
        <v>122</v>
      </c>
      <c r="C142" s="28">
        <f t="shared" si="4"/>
        <v>1456</v>
      </c>
      <c r="D142" s="24">
        <v>-1813</v>
      </c>
      <c r="E142" s="28">
        <v>3269</v>
      </c>
      <c r="F142" s="22">
        <f t="shared" si="5"/>
        <v>619</v>
      </c>
      <c r="G142" s="22">
        <f t="shared" si="6"/>
        <v>122</v>
      </c>
      <c r="H142" s="28">
        <f t="shared" si="7"/>
        <v>1327</v>
      </c>
      <c r="I142" s="24">
        <v>-1903</v>
      </c>
      <c r="J142" s="28">
        <v>3230</v>
      </c>
      <c r="K142" s="22">
        <f t="shared" si="1"/>
        <v>713</v>
      </c>
      <c r="L142" s="22">
        <f t="shared" si="10"/>
        <v>122</v>
      </c>
      <c r="M142" s="28">
        <f t="shared" si="9"/>
        <v>1512</v>
      </c>
      <c r="N142" s="24">
        <v>-2213</v>
      </c>
      <c r="O142" s="28">
        <v>3725</v>
      </c>
      <c r="P142" s="22">
        <f t="shared" si="2"/>
        <v>623</v>
      </c>
      <c r="Q142" s="36"/>
      <c r="R142" s="30"/>
    </row>
    <row r="143" spans="1:18" ht="15.75" customHeight="1" x14ac:dyDescent="0.2">
      <c r="A143" s="37">
        <v>45837</v>
      </c>
      <c r="B143" s="22">
        <f t="shared" si="3"/>
        <v>123</v>
      </c>
      <c r="C143" s="28">
        <f t="shared" si="4"/>
        <v>1456</v>
      </c>
      <c r="D143" s="24">
        <v>-1813</v>
      </c>
      <c r="E143" s="28">
        <v>3269</v>
      </c>
      <c r="F143" s="22">
        <f t="shared" si="5"/>
        <v>619</v>
      </c>
      <c r="G143" s="22">
        <f t="shared" si="6"/>
        <v>123</v>
      </c>
      <c r="H143" s="28">
        <f t="shared" si="7"/>
        <v>1327</v>
      </c>
      <c r="I143" s="24">
        <v>-1903</v>
      </c>
      <c r="J143" s="28">
        <v>3230</v>
      </c>
      <c r="K143" s="22">
        <f t="shared" si="1"/>
        <v>713</v>
      </c>
      <c r="L143" s="22">
        <f t="shared" si="10"/>
        <v>123</v>
      </c>
      <c r="M143" s="28">
        <f t="shared" si="9"/>
        <v>1512</v>
      </c>
      <c r="N143" s="24">
        <v>-2213</v>
      </c>
      <c r="O143" s="28">
        <v>3725</v>
      </c>
      <c r="P143" s="22">
        <f t="shared" si="2"/>
        <v>623</v>
      </c>
      <c r="Q143" s="36"/>
      <c r="R143" s="30"/>
    </row>
    <row r="144" spans="1:18" ht="15.75" customHeight="1" x14ac:dyDescent="0.2">
      <c r="A144" s="37">
        <v>45838</v>
      </c>
      <c r="B144" s="22">
        <f t="shared" si="3"/>
        <v>124</v>
      </c>
      <c r="C144" s="28">
        <f t="shared" si="4"/>
        <v>1456</v>
      </c>
      <c r="D144" s="24">
        <v>-1813</v>
      </c>
      <c r="E144" s="28">
        <v>3269</v>
      </c>
      <c r="F144" s="22">
        <f t="shared" si="5"/>
        <v>619</v>
      </c>
      <c r="G144" s="22">
        <f t="shared" si="6"/>
        <v>124</v>
      </c>
      <c r="H144" s="28">
        <f t="shared" si="7"/>
        <v>1327</v>
      </c>
      <c r="I144" s="24">
        <v>-1903</v>
      </c>
      <c r="J144" s="28">
        <v>3230</v>
      </c>
      <c r="K144" s="22">
        <f t="shared" si="1"/>
        <v>713</v>
      </c>
      <c r="L144" s="22">
        <f t="shared" si="10"/>
        <v>124</v>
      </c>
      <c r="M144" s="28">
        <f t="shared" si="9"/>
        <v>1512</v>
      </c>
      <c r="N144" s="24">
        <v>-2213</v>
      </c>
      <c r="O144" s="28">
        <v>3725</v>
      </c>
      <c r="P144" s="22">
        <f t="shared" si="2"/>
        <v>623</v>
      </c>
      <c r="Q144" s="36"/>
      <c r="R144" s="30"/>
    </row>
    <row r="145" spans="1:18" ht="15.75" customHeight="1" x14ac:dyDescent="0.2">
      <c r="A145" s="37">
        <v>45839</v>
      </c>
      <c r="B145" s="22">
        <f t="shared" si="3"/>
        <v>125</v>
      </c>
      <c r="C145" s="28">
        <f t="shared" si="4"/>
        <v>1456</v>
      </c>
      <c r="D145" s="24">
        <v>-1813</v>
      </c>
      <c r="E145" s="28">
        <v>3269</v>
      </c>
      <c r="F145" s="22">
        <f t="shared" si="5"/>
        <v>619</v>
      </c>
      <c r="G145" s="22">
        <f t="shared" si="6"/>
        <v>125</v>
      </c>
      <c r="H145" s="28">
        <f t="shared" si="7"/>
        <v>1327</v>
      </c>
      <c r="I145" s="24">
        <v>-1903</v>
      </c>
      <c r="J145" s="28">
        <v>3230</v>
      </c>
      <c r="K145" s="22">
        <f t="shared" si="1"/>
        <v>713</v>
      </c>
      <c r="L145" s="22">
        <f t="shared" si="10"/>
        <v>125</v>
      </c>
      <c r="M145" s="28">
        <f t="shared" si="9"/>
        <v>1512</v>
      </c>
      <c r="N145" s="24">
        <v>-2213</v>
      </c>
      <c r="O145" s="28">
        <v>3725</v>
      </c>
      <c r="P145" s="22">
        <f t="shared" si="2"/>
        <v>623</v>
      </c>
      <c r="Q145" s="36"/>
      <c r="R145" s="30"/>
    </row>
    <row r="146" spans="1:18" ht="15.75" customHeight="1" x14ac:dyDescent="0.2">
      <c r="A146" s="37">
        <v>45840</v>
      </c>
      <c r="B146" s="22">
        <f t="shared" si="3"/>
        <v>126</v>
      </c>
      <c r="C146" s="28">
        <f t="shared" si="4"/>
        <v>1456</v>
      </c>
      <c r="D146" s="24">
        <v>-1813</v>
      </c>
      <c r="E146" s="28">
        <v>3269</v>
      </c>
      <c r="F146" s="22">
        <f t="shared" si="5"/>
        <v>619</v>
      </c>
      <c r="G146" s="22">
        <f t="shared" si="6"/>
        <v>126</v>
      </c>
      <c r="H146" s="28">
        <f t="shared" si="7"/>
        <v>1327</v>
      </c>
      <c r="I146" s="24">
        <v>-1903</v>
      </c>
      <c r="J146" s="28">
        <v>3230</v>
      </c>
      <c r="K146" s="22">
        <f t="shared" si="1"/>
        <v>713</v>
      </c>
      <c r="L146" s="22">
        <f t="shared" si="10"/>
        <v>126</v>
      </c>
      <c r="M146" s="28">
        <f t="shared" si="9"/>
        <v>1512</v>
      </c>
      <c r="N146" s="24">
        <v>-2213</v>
      </c>
      <c r="O146" s="28">
        <v>3725</v>
      </c>
      <c r="P146" s="22">
        <f t="shared" si="2"/>
        <v>623</v>
      </c>
      <c r="Q146" s="36"/>
      <c r="R146" s="30"/>
    </row>
    <row r="147" spans="1:18" ht="15.75" customHeight="1" x14ac:dyDescent="0.2">
      <c r="A147" s="37">
        <v>45841</v>
      </c>
      <c r="B147" s="22">
        <f t="shared" si="3"/>
        <v>127</v>
      </c>
      <c r="C147" s="28">
        <f t="shared" si="4"/>
        <v>1456</v>
      </c>
      <c r="D147" s="24">
        <v>-1813</v>
      </c>
      <c r="E147" s="28">
        <v>3269</v>
      </c>
      <c r="F147" s="22">
        <f t="shared" si="5"/>
        <v>619</v>
      </c>
      <c r="G147" s="22">
        <f t="shared" si="6"/>
        <v>127</v>
      </c>
      <c r="H147" s="28">
        <f t="shared" si="7"/>
        <v>1327</v>
      </c>
      <c r="I147" s="24">
        <v>-1903</v>
      </c>
      <c r="J147" s="28">
        <v>3230</v>
      </c>
      <c r="K147" s="22">
        <f t="shared" si="1"/>
        <v>713</v>
      </c>
      <c r="L147" s="22">
        <f t="shared" si="10"/>
        <v>127</v>
      </c>
      <c r="M147" s="28">
        <f t="shared" si="9"/>
        <v>1512</v>
      </c>
      <c r="N147" s="24">
        <v>-2213</v>
      </c>
      <c r="O147" s="28">
        <v>3725</v>
      </c>
      <c r="P147" s="22">
        <f t="shared" si="2"/>
        <v>623</v>
      </c>
      <c r="Q147" s="36"/>
      <c r="R147" s="30"/>
    </row>
    <row r="148" spans="1:18" ht="15.75" customHeight="1" x14ac:dyDescent="0.2">
      <c r="A148" s="37">
        <v>45842</v>
      </c>
      <c r="B148" s="22">
        <f t="shared" si="3"/>
        <v>128</v>
      </c>
      <c r="C148" s="28">
        <f t="shared" si="4"/>
        <v>1456</v>
      </c>
      <c r="D148" s="24">
        <v>-1813</v>
      </c>
      <c r="E148" s="28">
        <v>3269</v>
      </c>
      <c r="F148" s="22">
        <f t="shared" si="5"/>
        <v>619</v>
      </c>
      <c r="G148" s="22">
        <f t="shared" si="6"/>
        <v>128</v>
      </c>
      <c r="H148" s="28">
        <f t="shared" si="7"/>
        <v>1327</v>
      </c>
      <c r="I148" s="24">
        <v>-1903</v>
      </c>
      <c r="J148" s="28">
        <v>3230</v>
      </c>
      <c r="K148" s="22">
        <f t="shared" si="1"/>
        <v>713</v>
      </c>
      <c r="L148" s="22">
        <f t="shared" si="10"/>
        <v>128</v>
      </c>
      <c r="M148" s="28">
        <f t="shared" si="9"/>
        <v>1512</v>
      </c>
      <c r="N148" s="24">
        <v>-2213</v>
      </c>
      <c r="O148" s="28">
        <v>3725</v>
      </c>
      <c r="P148" s="22">
        <f t="shared" si="2"/>
        <v>623</v>
      </c>
      <c r="Q148" s="36"/>
      <c r="R148" s="30"/>
    </row>
    <row r="149" spans="1:18" ht="15.75" customHeight="1" x14ac:dyDescent="0.2">
      <c r="A149" s="37">
        <v>45843</v>
      </c>
      <c r="B149" s="22">
        <f t="shared" si="3"/>
        <v>129</v>
      </c>
      <c r="C149" s="28">
        <f t="shared" si="4"/>
        <v>1456</v>
      </c>
      <c r="D149" s="24">
        <v>-1813</v>
      </c>
      <c r="E149" s="28">
        <v>3269</v>
      </c>
      <c r="F149" s="22">
        <f t="shared" si="5"/>
        <v>619</v>
      </c>
      <c r="G149" s="22">
        <f t="shared" si="6"/>
        <v>129</v>
      </c>
      <c r="H149" s="28">
        <f t="shared" si="7"/>
        <v>1327</v>
      </c>
      <c r="I149" s="24">
        <v>-1903</v>
      </c>
      <c r="J149" s="28">
        <v>3230</v>
      </c>
      <c r="K149" s="22">
        <f t="shared" si="1"/>
        <v>713</v>
      </c>
      <c r="L149" s="22">
        <f t="shared" si="10"/>
        <v>129</v>
      </c>
      <c r="M149" s="28">
        <f t="shared" si="9"/>
        <v>1512</v>
      </c>
      <c r="N149" s="24">
        <v>-2213</v>
      </c>
      <c r="O149" s="28">
        <v>3725</v>
      </c>
      <c r="P149" s="22">
        <f t="shared" si="2"/>
        <v>623</v>
      </c>
      <c r="Q149" s="36"/>
      <c r="R149" s="30"/>
    </row>
    <row r="150" spans="1:18" ht="15.75" customHeight="1" x14ac:dyDescent="0.2">
      <c r="A150" s="37">
        <v>45844</v>
      </c>
      <c r="B150" s="22">
        <f t="shared" si="3"/>
        <v>130</v>
      </c>
      <c r="C150" s="28">
        <f t="shared" si="4"/>
        <v>1456</v>
      </c>
      <c r="D150" s="24">
        <v>-1813</v>
      </c>
      <c r="E150" s="28">
        <v>3269</v>
      </c>
      <c r="F150" s="22">
        <f t="shared" si="5"/>
        <v>619</v>
      </c>
      <c r="G150" s="22">
        <f t="shared" si="6"/>
        <v>130</v>
      </c>
      <c r="H150" s="28">
        <f t="shared" si="7"/>
        <v>1327</v>
      </c>
      <c r="I150" s="24">
        <v>-1903</v>
      </c>
      <c r="J150" s="28">
        <v>3230</v>
      </c>
      <c r="K150" s="22">
        <f t="shared" si="1"/>
        <v>713</v>
      </c>
      <c r="L150" s="22">
        <f t="shared" si="10"/>
        <v>130</v>
      </c>
      <c r="M150" s="28">
        <f t="shared" si="9"/>
        <v>1512</v>
      </c>
      <c r="N150" s="24">
        <v>-2213</v>
      </c>
      <c r="O150" s="28">
        <v>3725</v>
      </c>
      <c r="P150" s="22">
        <f t="shared" si="2"/>
        <v>623</v>
      </c>
      <c r="Q150" s="36"/>
      <c r="R150" s="30"/>
    </row>
    <row r="151" spans="1:18" ht="15.75" customHeight="1" x14ac:dyDescent="0.2">
      <c r="A151" s="37">
        <v>45845</v>
      </c>
      <c r="B151" s="22">
        <f t="shared" si="3"/>
        <v>131</v>
      </c>
      <c r="C151" s="28">
        <f t="shared" si="4"/>
        <v>1456</v>
      </c>
      <c r="D151" s="24">
        <v>-1813</v>
      </c>
      <c r="E151" s="28">
        <v>3269</v>
      </c>
      <c r="F151" s="22">
        <f t="shared" si="5"/>
        <v>619</v>
      </c>
      <c r="G151" s="22">
        <f t="shared" si="6"/>
        <v>131</v>
      </c>
      <c r="H151" s="28">
        <f t="shared" si="7"/>
        <v>1327</v>
      </c>
      <c r="I151" s="24">
        <v>-1903</v>
      </c>
      <c r="J151" s="28">
        <v>3230</v>
      </c>
      <c r="K151" s="22">
        <f t="shared" si="1"/>
        <v>713</v>
      </c>
      <c r="L151" s="22">
        <f t="shared" si="10"/>
        <v>131</v>
      </c>
      <c r="M151" s="28">
        <f t="shared" si="9"/>
        <v>1512</v>
      </c>
      <c r="N151" s="24">
        <v>-2213</v>
      </c>
      <c r="O151" s="28">
        <v>3725</v>
      </c>
      <c r="P151" s="22">
        <f t="shared" si="2"/>
        <v>623</v>
      </c>
      <c r="Q151" s="36"/>
      <c r="R151" s="30"/>
    </row>
    <row r="152" spans="1:18" ht="15.75" customHeight="1" x14ac:dyDescent="0.2">
      <c r="A152" s="37">
        <v>45846</v>
      </c>
      <c r="B152" s="22">
        <f t="shared" si="3"/>
        <v>132</v>
      </c>
      <c r="C152" s="28">
        <f t="shared" si="4"/>
        <v>1456</v>
      </c>
      <c r="D152" s="24">
        <v>-1813</v>
      </c>
      <c r="E152" s="28">
        <v>3269</v>
      </c>
      <c r="F152" s="22">
        <f t="shared" si="5"/>
        <v>619</v>
      </c>
      <c r="G152" s="22">
        <f t="shared" si="6"/>
        <v>132</v>
      </c>
      <c r="H152" s="28">
        <f t="shared" si="7"/>
        <v>1327</v>
      </c>
      <c r="I152" s="24">
        <v>-1903</v>
      </c>
      <c r="J152" s="28">
        <v>3230</v>
      </c>
      <c r="K152" s="22">
        <f t="shared" si="1"/>
        <v>713</v>
      </c>
      <c r="L152" s="22">
        <f t="shared" si="10"/>
        <v>132</v>
      </c>
      <c r="M152" s="28">
        <f t="shared" si="9"/>
        <v>1512</v>
      </c>
      <c r="N152" s="24">
        <v>-2213</v>
      </c>
      <c r="O152" s="28">
        <v>3725</v>
      </c>
      <c r="P152" s="22">
        <f t="shared" si="2"/>
        <v>623</v>
      </c>
      <c r="Q152" s="36"/>
      <c r="R152" s="30"/>
    </row>
    <row r="153" spans="1:18" ht="15.75" customHeight="1" x14ac:dyDescent="0.2">
      <c r="A153" s="37">
        <v>45847</v>
      </c>
      <c r="B153" s="22">
        <f t="shared" si="3"/>
        <v>133</v>
      </c>
      <c r="C153" s="28">
        <f t="shared" si="4"/>
        <v>1456</v>
      </c>
      <c r="D153" s="24">
        <v>-1813</v>
      </c>
      <c r="E153" s="28">
        <v>3269</v>
      </c>
      <c r="F153" s="22">
        <f t="shared" si="5"/>
        <v>619</v>
      </c>
      <c r="G153" s="22">
        <f t="shared" si="6"/>
        <v>133</v>
      </c>
      <c r="H153" s="28">
        <f t="shared" si="7"/>
        <v>1327</v>
      </c>
      <c r="I153" s="24">
        <v>-1903</v>
      </c>
      <c r="J153" s="28">
        <v>3230</v>
      </c>
      <c r="K153" s="22">
        <f t="shared" si="1"/>
        <v>713</v>
      </c>
      <c r="L153" s="22">
        <f t="shared" si="10"/>
        <v>133</v>
      </c>
      <c r="M153" s="28">
        <f t="shared" si="9"/>
        <v>1512</v>
      </c>
      <c r="N153" s="24">
        <v>-2213</v>
      </c>
      <c r="O153" s="28">
        <v>3725</v>
      </c>
      <c r="P153" s="22">
        <f t="shared" si="2"/>
        <v>623</v>
      </c>
      <c r="Q153" s="36"/>
      <c r="R153" s="30"/>
    </row>
    <row r="154" spans="1:18" ht="15.75" customHeight="1" x14ac:dyDescent="0.2">
      <c r="A154" s="37">
        <v>45848</v>
      </c>
      <c r="B154" s="22">
        <f t="shared" si="3"/>
        <v>134</v>
      </c>
      <c r="C154" s="28">
        <f t="shared" si="4"/>
        <v>1456</v>
      </c>
      <c r="D154" s="24">
        <v>-1813</v>
      </c>
      <c r="E154" s="28">
        <v>3269</v>
      </c>
      <c r="F154" s="22">
        <f t="shared" si="5"/>
        <v>619</v>
      </c>
      <c r="G154" s="22">
        <f t="shared" si="6"/>
        <v>134</v>
      </c>
      <c r="H154" s="28">
        <f t="shared" si="7"/>
        <v>1327</v>
      </c>
      <c r="I154" s="24">
        <v>-1903</v>
      </c>
      <c r="J154" s="28">
        <v>3230</v>
      </c>
      <c r="K154" s="22">
        <f t="shared" si="1"/>
        <v>713</v>
      </c>
      <c r="L154" s="22">
        <f t="shared" si="10"/>
        <v>134</v>
      </c>
      <c r="M154" s="28">
        <f t="shared" si="9"/>
        <v>1512</v>
      </c>
      <c r="N154" s="24">
        <v>-2213</v>
      </c>
      <c r="O154" s="28">
        <v>3725</v>
      </c>
      <c r="P154" s="22">
        <f t="shared" si="2"/>
        <v>623</v>
      </c>
      <c r="Q154" s="36"/>
      <c r="R154" s="30"/>
    </row>
    <row r="155" spans="1:18" ht="15.75" customHeight="1" x14ac:dyDescent="0.2">
      <c r="A155" s="37">
        <v>45849</v>
      </c>
      <c r="B155" s="22">
        <f t="shared" si="3"/>
        <v>135</v>
      </c>
      <c r="C155" s="28">
        <f t="shared" si="4"/>
        <v>1456</v>
      </c>
      <c r="D155" s="24">
        <v>-1813</v>
      </c>
      <c r="E155" s="28">
        <v>3269</v>
      </c>
      <c r="F155" s="22">
        <f t="shared" si="5"/>
        <v>619</v>
      </c>
      <c r="G155" s="22">
        <f t="shared" si="6"/>
        <v>135</v>
      </c>
      <c r="H155" s="28">
        <f t="shared" si="7"/>
        <v>1327</v>
      </c>
      <c r="I155" s="24">
        <v>-1903</v>
      </c>
      <c r="J155" s="28">
        <v>3230</v>
      </c>
      <c r="K155" s="22">
        <f t="shared" si="1"/>
        <v>713</v>
      </c>
      <c r="L155" s="22">
        <f t="shared" si="10"/>
        <v>135</v>
      </c>
      <c r="M155" s="28">
        <f t="shared" si="9"/>
        <v>1512</v>
      </c>
      <c r="N155" s="24">
        <v>-2213</v>
      </c>
      <c r="O155" s="28">
        <v>3725</v>
      </c>
      <c r="P155" s="22">
        <f t="shared" si="2"/>
        <v>623</v>
      </c>
      <c r="Q155" s="36"/>
      <c r="R155" s="30"/>
    </row>
    <row r="156" spans="1:18" ht="15.75" customHeight="1" x14ac:dyDescent="0.2">
      <c r="A156" s="37">
        <v>45850</v>
      </c>
      <c r="B156" s="22">
        <f t="shared" si="3"/>
        <v>136</v>
      </c>
      <c r="C156" s="28">
        <f t="shared" si="4"/>
        <v>1456</v>
      </c>
      <c r="D156" s="24">
        <v>-1813</v>
      </c>
      <c r="E156" s="28">
        <v>3269</v>
      </c>
      <c r="F156" s="22">
        <f t="shared" si="5"/>
        <v>619</v>
      </c>
      <c r="G156" s="22">
        <f t="shared" si="6"/>
        <v>136</v>
      </c>
      <c r="H156" s="28">
        <f t="shared" si="7"/>
        <v>1325</v>
      </c>
      <c r="I156" s="24">
        <v>-1905</v>
      </c>
      <c r="J156" s="28">
        <v>3230</v>
      </c>
      <c r="K156" s="22">
        <f t="shared" si="1"/>
        <v>715</v>
      </c>
      <c r="L156" s="22">
        <f t="shared" si="10"/>
        <v>136</v>
      </c>
      <c r="M156" s="28">
        <f t="shared" si="9"/>
        <v>1512</v>
      </c>
      <c r="N156" s="24">
        <v>-2213</v>
      </c>
      <c r="O156" s="28">
        <v>3725</v>
      </c>
      <c r="P156" s="22">
        <f t="shared" si="2"/>
        <v>623</v>
      </c>
      <c r="Q156" s="36"/>
      <c r="R156" s="30"/>
    </row>
    <row r="157" spans="1:18" ht="15.75" customHeight="1" x14ac:dyDescent="0.2">
      <c r="A157" s="37">
        <v>45851</v>
      </c>
      <c r="B157" s="22">
        <f t="shared" si="3"/>
        <v>137</v>
      </c>
      <c r="C157" s="28">
        <f t="shared" si="4"/>
        <v>1456</v>
      </c>
      <c r="D157" s="24">
        <v>-1813</v>
      </c>
      <c r="E157" s="28">
        <v>3269</v>
      </c>
      <c r="F157" s="22">
        <f t="shared" si="5"/>
        <v>619</v>
      </c>
      <c r="G157" s="22">
        <f t="shared" si="6"/>
        <v>137</v>
      </c>
      <c r="H157" s="28">
        <f t="shared" si="7"/>
        <v>1320</v>
      </c>
      <c r="I157" s="24">
        <v>-1910</v>
      </c>
      <c r="J157" s="28">
        <v>3230</v>
      </c>
      <c r="K157" s="22">
        <f t="shared" si="1"/>
        <v>720</v>
      </c>
      <c r="L157" s="22">
        <f t="shared" si="10"/>
        <v>137</v>
      </c>
      <c r="M157" s="28">
        <f t="shared" si="9"/>
        <v>1512</v>
      </c>
      <c r="N157" s="24">
        <v>-2213</v>
      </c>
      <c r="O157" s="28">
        <v>3725</v>
      </c>
      <c r="P157" s="22">
        <f t="shared" si="2"/>
        <v>623</v>
      </c>
      <c r="Q157" s="36"/>
      <c r="R157" s="30"/>
    </row>
    <row r="158" spans="1:18" ht="15.75" customHeight="1" x14ac:dyDescent="0.2">
      <c r="A158" s="37">
        <v>45852</v>
      </c>
      <c r="B158" s="22">
        <f t="shared" si="3"/>
        <v>138</v>
      </c>
      <c r="C158" s="28">
        <f t="shared" si="4"/>
        <v>1456</v>
      </c>
      <c r="D158" s="24">
        <v>-1813</v>
      </c>
      <c r="E158" s="28">
        <v>3269</v>
      </c>
      <c r="F158" s="22">
        <f t="shared" si="5"/>
        <v>619</v>
      </c>
      <c r="G158" s="22">
        <f t="shared" si="6"/>
        <v>138</v>
      </c>
      <c r="H158" s="28">
        <f t="shared" si="7"/>
        <v>1315</v>
      </c>
      <c r="I158" s="24">
        <v>-1915</v>
      </c>
      <c r="J158" s="28">
        <v>3230</v>
      </c>
      <c r="K158" s="22">
        <f t="shared" si="1"/>
        <v>725</v>
      </c>
      <c r="L158" s="22">
        <f t="shared" si="10"/>
        <v>138</v>
      </c>
      <c r="M158" s="28">
        <f t="shared" si="9"/>
        <v>1512</v>
      </c>
      <c r="N158" s="24">
        <v>-2213</v>
      </c>
      <c r="O158" s="28">
        <v>3725</v>
      </c>
      <c r="P158" s="22">
        <f t="shared" si="2"/>
        <v>623</v>
      </c>
      <c r="Q158" s="36"/>
      <c r="R158" s="30"/>
    </row>
    <row r="159" spans="1:18" ht="15.75" customHeight="1" x14ac:dyDescent="0.2">
      <c r="A159" s="37">
        <v>45853</v>
      </c>
      <c r="B159" s="22">
        <f t="shared" si="3"/>
        <v>139</v>
      </c>
      <c r="C159" s="28">
        <f t="shared" si="4"/>
        <v>1456</v>
      </c>
      <c r="D159" s="24">
        <v>-1813</v>
      </c>
      <c r="E159" s="28">
        <v>3269</v>
      </c>
      <c r="F159" s="22">
        <f t="shared" si="5"/>
        <v>619</v>
      </c>
      <c r="G159" s="22">
        <f t="shared" si="6"/>
        <v>139</v>
      </c>
      <c r="H159" s="28">
        <f t="shared" si="7"/>
        <v>1310</v>
      </c>
      <c r="I159" s="24">
        <v>-1920</v>
      </c>
      <c r="J159" s="28">
        <v>3230</v>
      </c>
      <c r="K159" s="22">
        <f t="shared" si="1"/>
        <v>730</v>
      </c>
      <c r="L159" s="22">
        <f t="shared" si="10"/>
        <v>139</v>
      </c>
      <c r="M159" s="28">
        <f t="shared" si="9"/>
        <v>1512</v>
      </c>
      <c r="N159" s="24">
        <v>-2213</v>
      </c>
      <c r="O159" s="28">
        <v>3725</v>
      </c>
      <c r="P159" s="22">
        <f t="shared" si="2"/>
        <v>623</v>
      </c>
      <c r="Q159" s="36"/>
      <c r="R159" s="30"/>
    </row>
    <row r="160" spans="1:18" ht="15.75" customHeight="1" x14ac:dyDescent="0.2">
      <c r="A160" s="37">
        <v>45854</v>
      </c>
      <c r="B160" s="22">
        <f t="shared" si="3"/>
        <v>140</v>
      </c>
      <c r="C160" s="28">
        <f t="shared" si="4"/>
        <v>1456</v>
      </c>
      <c r="D160" s="24">
        <v>-1813</v>
      </c>
      <c r="E160" s="28">
        <v>3269</v>
      </c>
      <c r="F160" s="22">
        <f t="shared" si="5"/>
        <v>619</v>
      </c>
      <c r="G160" s="22">
        <f t="shared" si="6"/>
        <v>140</v>
      </c>
      <c r="H160" s="28">
        <f t="shared" si="7"/>
        <v>1305</v>
      </c>
      <c r="I160" s="24">
        <v>-1925</v>
      </c>
      <c r="J160" s="28">
        <v>3230</v>
      </c>
      <c r="K160" s="22">
        <f t="shared" si="1"/>
        <v>735</v>
      </c>
      <c r="L160" s="22">
        <f t="shared" si="10"/>
        <v>140</v>
      </c>
      <c r="M160" s="28">
        <f t="shared" si="9"/>
        <v>1512</v>
      </c>
      <c r="N160" s="24">
        <v>-2213</v>
      </c>
      <c r="O160" s="28">
        <v>3725</v>
      </c>
      <c r="P160" s="22">
        <f t="shared" si="2"/>
        <v>623</v>
      </c>
      <c r="Q160" s="36"/>
      <c r="R160" s="30"/>
    </row>
    <row r="161" spans="1:18" ht="15.75" customHeight="1" x14ac:dyDescent="0.2">
      <c r="A161" s="37">
        <v>45855</v>
      </c>
      <c r="B161" s="22">
        <f t="shared" si="3"/>
        <v>141</v>
      </c>
      <c r="C161" s="28">
        <f t="shared" si="4"/>
        <v>1450</v>
      </c>
      <c r="D161" s="24">
        <v>-1819</v>
      </c>
      <c r="E161" s="28">
        <v>3269</v>
      </c>
      <c r="F161" s="22">
        <f t="shared" si="5"/>
        <v>625</v>
      </c>
      <c r="G161" s="22">
        <f t="shared" si="6"/>
        <v>141</v>
      </c>
      <c r="H161" s="28">
        <f t="shared" si="7"/>
        <v>1300</v>
      </c>
      <c r="I161" s="24">
        <v>-1930</v>
      </c>
      <c r="J161" s="28">
        <v>3230</v>
      </c>
      <c r="K161" s="22">
        <f t="shared" si="1"/>
        <v>740</v>
      </c>
      <c r="L161" s="22">
        <f t="shared" si="10"/>
        <v>141</v>
      </c>
      <c r="M161" s="28">
        <f t="shared" si="9"/>
        <v>1512</v>
      </c>
      <c r="N161" s="24">
        <v>-2213</v>
      </c>
      <c r="O161" s="28">
        <v>3725</v>
      </c>
      <c r="P161" s="22">
        <f t="shared" si="2"/>
        <v>623</v>
      </c>
      <c r="Q161" s="36"/>
      <c r="R161" s="30"/>
    </row>
    <row r="162" spans="1:18" ht="15.75" customHeight="1" x14ac:dyDescent="0.2">
      <c r="A162" s="37">
        <v>45856</v>
      </c>
      <c r="B162" s="22">
        <f t="shared" si="3"/>
        <v>142</v>
      </c>
      <c r="C162" s="28">
        <f t="shared" si="4"/>
        <v>1441</v>
      </c>
      <c r="D162" s="24">
        <v>-1828</v>
      </c>
      <c r="E162" s="28">
        <v>3269</v>
      </c>
      <c r="F162" s="22">
        <f t="shared" si="5"/>
        <v>634</v>
      </c>
      <c r="G162" s="22">
        <f t="shared" si="6"/>
        <v>142</v>
      </c>
      <c r="H162" s="28">
        <f t="shared" si="7"/>
        <v>1295</v>
      </c>
      <c r="I162" s="24">
        <v>-1935</v>
      </c>
      <c r="J162" s="28">
        <v>3230</v>
      </c>
      <c r="K162" s="22">
        <f t="shared" si="1"/>
        <v>745</v>
      </c>
      <c r="L162" s="22">
        <f t="shared" si="10"/>
        <v>142</v>
      </c>
      <c r="M162" s="28">
        <f t="shared" si="9"/>
        <v>1512</v>
      </c>
      <c r="N162" s="24">
        <v>-2213</v>
      </c>
      <c r="O162" s="28">
        <v>3725</v>
      </c>
      <c r="P162" s="22">
        <f t="shared" si="2"/>
        <v>623</v>
      </c>
      <c r="Q162" s="36"/>
      <c r="R162" s="30"/>
    </row>
    <row r="163" spans="1:18" ht="15.75" customHeight="1" x14ac:dyDescent="0.2">
      <c r="A163" s="37">
        <v>45857</v>
      </c>
      <c r="B163" s="22">
        <f t="shared" si="3"/>
        <v>143</v>
      </c>
      <c r="C163" s="28">
        <f t="shared" si="4"/>
        <v>1432</v>
      </c>
      <c r="D163" s="24">
        <v>-1837</v>
      </c>
      <c r="E163" s="28">
        <v>3269</v>
      </c>
      <c r="F163" s="22">
        <f t="shared" si="5"/>
        <v>643</v>
      </c>
      <c r="G163" s="22">
        <f t="shared" si="6"/>
        <v>143</v>
      </c>
      <c r="H163" s="28">
        <f t="shared" si="7"/>
        <v>1290</v>
      </c>
      <c r="I163" s="24">
        <v>-1940</v>
      </c>
      <c r="J163" s="28">
        <v>3230</v>
      </c>
      <c r="K163" s="22">
        <f t="shared" si="1"/>
        <v>750</v>
      </c>
      <c r="L163" s="22">
        <f t="shared" si="10"/>
        <v>143</v>
      </c>
      <c r="M163" s="28">
        <f t="shared" si="9"/>
        <v>1512</v>
      </c>
      <c r="N163" s="24">
        <v>-2213</v>
      </c>
      <c r="O163" s="28">
        <v>3725</v>
      </c>
      <c r="P163" s="22">
        <f t="shared" si="2"/>
        <v>623</v>
      </c>
      <c r="Q163" s="36"/>
      <c r="R163" s="30"/>
    </row>
    <row r="164" spans="1:18" ht="15.75" customHeight="1" x14ac:dyDescent="0.2">
      <c r="A164" s="37">
        <v>45858</v>
      </c>
      <c r="B164" s="22">
        <f t="shared" si="3"/>
        <v>144</v>
      </c>
      <c r="C164" s="28">
        <f t="shared" si="4"/>
        <v>1423</v>
      </c>
      <c r="D164" s="24">
        <v>-1846</v>
      </c>
      <c r="E164" s="28">
        <v>3269</v>
      </c>
      <c r="F164" s="22">
        <f t="shared" si="5"/>
        <v>652</v>
      </c>
      <c r="G164" s="22">
        <f t="shared" si="6"/>
        <v>144</v>
      </c>
      <c r="H164" s="28">
        <f t="shared" si="7"/>
        <v>1285</v>
      </c>
      <c r="I164" s="24">
        <v>-1945</v>
      </c>
      <c r="J164" s="28">
        <v>3230</v>
      </c>
      <c r="K164" s="22">
        <f t="shared" si="1"/>
        <v>755</v>
      </c>
      <c r="L164" s="22">
        <f t="shared" si="10"/>
        <v>144</v>
      </c>
      <c r="M164" s="28">
        <f t="shared" si="9"/>
        <v>1512</v>
      </c>
      <c r="N164" s="24">
        <v>-2213</v>
      </c>
      <c r="O164" s="28">
        <v>3725</v>
      </c>
      <c r="P164" s="22">
        <f t="shared" si="2"/>
        <v>623</v>
      </c>
      <c r="Q164" s="36"/>
      <c r="R164" s="30"/>
    </row>
    <row r="165" spans="1:18" ht="15.75" customHeight="1" x14ac:dyDescent="0.2">
      <c r="A165" s="37">
        <v>45859</v>
      </c>
      <c r="B165" s="22">
        <f t="shared" si="3"/>
        <v>145</v>
      </c>
      <c r="C165" s="28">
        <f t="shared" si="4"/>
        <v>1414</v>
      </c>
      <c r="D165" s="24">
        <v>-1855</v>
      </c>
      <c r="E165" s="28">
        <v>3269</v>
      </c>
      <c r="F165" s="22">
        <f t="shared" si="5"/>
        <v>661</v>
      </c>
      <c r="G165" s="22">
        <f t="shared" si="6"/>
        <v>145</v>
      </c>
      <c r="H165" s="28">
        <f t="shared" si="7"/>
        <v>1280</v>
      </c>
      <c r="I165" s="24">
        <v>-1950</v>
      </c>
      <c r="J165" s="28">
        <v>3230</v>
      </c>
      <c r="K165" s="22">
        <f t="shared" si="1"/>
        <v>760</v>
      </c>
      <c r="L165" s="22">
        <f t="shared" si="10"/>
        <v>145</v>
      </c>
      <c r="M165" s="28">
        <f t="shared" si="9"/>
        <v>1505</v>
      </c>
      <c r="N165" s="24">
        <v>-2220</v>
      </c>
      <c r="O165" s="28">
        <v>3725</v>
      </c>
      <c r="P165" s="22">
        <f t="shared" si="2"/>
        <v>630</v>
      </c>
      <c r="Q165" s="36"/>
      <c r="R165" s="30"/>
    </row>
    <row r="166" spans="1:18" ht="15.75" customHeight="1" x14ac:dyDescent="0.2">
      <c r="A166" s="37">
        <v>45860</v>
      </c>
      <c r="B166" s="22">
        <f t="shared" si="3"/>
        <v>146</v>
      </c>
      <c r="C166" s="28">
        <f t="shared" si="4"/>
        <v>1405</v>
      </c>
      <c r="D166" s="24">
        <v>-1864</v>
      </c>
      <c r="E166" s="28">
        <v>3269</v>
      </c>
      <c r="F166" s="22">
        <f t="shared" si="5"/>
        <v>670</v>
      </c>
      <c r="G166" s="22">
        <f t="shared" si="6"/>
        <v>146</v>
      </c>
      <c r="H166" s="28">
        <f t="shared" si="7"/>
        <v>1275</v>
      </c>
      <c r="I166" s="24">
        <v>-1955</v>
      </c>
      <c r="J166" s="28">
        <v>3230</v>
      </c>
      <c r="K166" s="22">
        <f t="shared" si="1"/>
        <v>765</v>
      </c>
      <c r="L166" s="22">
        <f t="shared" si="10"/>
        <v>146</v>
      </c>
      <c r="M166" s="28">
        <f t="shared" si="9"/>
        <v>1495</v>
      </c>
      <c r="N166" s="24">
        <v>-2230</v>
      </c>
      <c r="O166" s="28">
        <v>3725</v>
      </c>
      <c r="P166" s="22">
        <f t="shared" si="2"/>
        <v>640</v>
      </c>
      <c r="Q166" s="36"/>
      <c r="R166" s="30"/>
    </row>
    <row r="167" spans="1:18" ht="15.75" customHeight="1" x14ac:dyDescent="0.2">
      <c r="A167" s="37">
        <v>45861</v>
      </c>
      <c r="B167" s="22">
        <f t="shared" si="3"/>
        <v>147</v>
      </c>
      <c r="C167" s="28">
        <f t="shared" si="4"/>
        <v>1396</v>
      </c>
      <c r="D167" s="24">
        <v>-1873</v>
      </c>
      <c r="E167" s="28">
        <v>3269</v>
      </c>
      <c r="F167" s="22">
        <f t="shared" si="5"/>
        <v>679</v>
      </c>
      <c r="G167" s="22">
        <f t="shared" si="6"/>
        <v>147</v>
      </c>
      <c r="H167" s="28">
        <f t="shared" si="7"/>
        <v>1270</v>
      </c>
      <c r="I167" s="24">
        <v>-1960</v>
      </c>
      <c r="J167" s="28">
        <v>3230</v>
      </c>
      <c r="K167" s="22">
        <f t="shared" si="1"/>
        <v>770</v>
      </c>
      <c r="L167" s="22">
        <f t="shared" si="10"/>
        <v>147</v>
      </c>
      <c r="M167" s="28">
        <f t="shared" si="9"/>
        <v>1485</v>
      </c>
      <c r="N167" s="24">
        <v>-2240</v>
      </c>
      <c r="O167" s="28">
        <v>3725</v>
      </c>
      <c r="P167" s="22">
        <f t="shared" si="2"/>
        <v>650</v>
      </c>
      <c r="Q167" s="36"/>
      <c r="R167" s="30"/>
    </row>
    <row r="168" spans="1:18" ht="15.75" customHeight="1" x14ac:dyDescent="0.2">
      <c r="A168" s="37">
        <v>45862</v>
      </c>
      <c r="B168" s="22">
        <f t="shared" si="3"/>
        <v>148</v>
      </c>
      <c r="C168" s="28">
        <f t="shared" si="4"/>
        <v>1387</v>
      </c>
      <c r="D168" s="24">
        <v>-1882</v>
      </c>
      <c r="E168" s="28">
        <v>3269</v>
      </c>
      <c r="F168" s="22">
        <f t="shared" si="5"/>
        <v>688</v>
      </c>
      <c r="G168" s="22">
        <f t="shared" si="6"/>
        <v>148</v>
      </c>
      <c r="H168" s="28">
        <f t="shared" si="7"/>
        <v>1265</v>
      </c>
      <c r="I168" s="24">
        <v>-1965</v>
      </c>
      <c r="J168" s="28">
        <v>3230</v>
      </c>
      <c r="K168" s="22">
        <f t="shared" si="1"/>
        <v>775</v>
      </c>
      <c r="L168" s="22">
        <f t="shared" si="10"/>
        <v>148</v>
      </c>
      <c r="M168" s="28">
        <f t="shared" si="9"/>
        <v>1475</v>
      </c>
      <c r="N168" s="24">
        <v>-2250</v>
      </c>
      <c r="O168" s="28">
        <v>3725</v>
      </c>
      <c r="P168" s="22">
        <f t="shared" si="2"/>
        <v>660</v>
      </c>
      <c r="Q168" s="36"/>
      <c r="R168" s="30"/>
    </row>
    <row r="169" spans="1:18" ht="15.75" customHeight="1" x14ac:dyDescent="0.2">
      <c r="A169" s="37">
        <v>45863</v>
      </c>
      <c r="B169" s="22">
        <f t="shared" si="3"/>
        <v>149</v>
      </c>
      <c r="C169" s="28">
        <f t="shared" si="4"/>
        <v>1378</v>
      </c>
      <c r="D169" s="24">
        <v>-1891</v>
      </c>
      <c r="E169" s="28">
        <v>3269</v>
      </c>
      <c r="F169" s="22">
        <f t="shared" si="5"/>
        <v>697</v>
      </c>
      <c r="G169" s="22">
        <f t="shared" si="6"/>
        <v>149</v>
      </c>
      <c r="H169" s="28">
        <f t="shared" si="7"/>
        <v>1260</v>
      </c>
      <c r="I169" s="24">
        <v>-1970</v>
      </c>
      <c r="J169" s="28">
        <v>3230</v>
      </c>
      <c r="K169" s="22">
        <f t="shared" si="1"/>
        <v>780</v>
      </c>
      <c r="L169" s="22">
        <f t="shared" si="10"/>
        <v>149</v>
      </c>
      <c r="M169" s="28">
        <f t="shared" si="9"/>
        <v>1465</v>
      </c>
      <c r="N169" s="24">
        <v>-2260</v>
      </c>
      <c r="O169" s="28">
        <v>3725</v>
      </c>
      <c r="P169" s="22">
        <f t="shared" si="2"/>
        <v>670</v>
      </c>
      <c r="Q169" s="36"/>
      <c r="R169" s="30"/>
    </row>
    <row r="170" spans="1:18" ht="15.75" customHeight="1" x14ac:dyDescent="0.2">
      <c r="A170" s="37">
        <v>45864</v>
      </c>
      <c r="B170" s="22">
        <f t="shared" si="3"/>
        <v>150</v>
      </c>
      <c r="C170" s="28">
        <f t="shared" si="4"/>
        <v>1369</v>
      </c>
      <c r="D170" s="24">
        <v>-1900</v>
      </c>
      <c r="E170" s="28">
        <v>3269</v>
      </c>
      <c r="F170" s="22">
        <f t="shared" si="5"/>
        <v>706</v>
      </c>
      <c r="G170" s="22">
        <f t="shared" si="6"/>
        <v>150</v>
      </c>
      <c r="H170" s="28">
        <f t="shared" si="7"/>
        <v>1255</v>
      </c>
      <c r="I170" s="24">
        <v>-1975</v>
      </c>
      <c r="J170" s="28">
        <v>3230</v>
      </c>
      <c r="K170" s="22">
        <f t="shared" si="1"/>
        <v>785</v>
      </c>
      <c r="L170" s="22">
        <f t="shared" si="10"/>
        <v>150</v>
      </c>
      <c r="M170" s="28">
        <f t="shared" si="9"/>
        <v>1455</v>
      </c>
      <c r="N170" s="24">
        <v>-2270</v>
      </c>
      <c r="O170" s="28">
        <v>3725</v>
      </c>
      <c r="P170" s="22">
        <f t="shared" si="2"/>
        <v>680</v>
      </c>
      <c r="Q170" s="36"/>
      <c r="R170" s="30"/>
    </row>
    <row r="171" spans="1:18" ht="15.75" customHeight="1" x14ac:dyDescent="0.2">
      <c r="A171" s="37">
        <v>45865</v>
      </c>
      <c r="B171" s="22">
        <f t="shared" si="3"/>
        <v>151</v>
      </c>
      <c r="C171" s="25">
        <v>2278</v>
      </c>
      <c r="D171" s="24">
        <v>-1909</v>
      </c>
      <c r="E171" s="28">
        <v>3269</v>
      </c>
      <c r="F171" s="22">
        <f t="shared" si="5"/>
        <v>715</v>
      </c>
      <c r="G171" s="22">
        <f t="shared" si="6"/>
        <v>151</v>
      </c>
      <c r="H171" s="25">
        <v>2218</v>
      </c>
      <c r="I171" s="24">
        <v>-1980</v>
      </c>
      <c r="J171" s="28">
        <v>3230</v>
      </c>
      <c r="K171" s="22">
        <f t="shared" si="1"/>
        <v>790</v>
      </c>
      <c r="L171" s="22">
        <f t="shared" si="10"/>
        <v>151</v>
      </c>
      <c r="M171" s="25">
        <v>2263</v>
      </c>
      <c r="N171" s="24">
        <v>-2280</v>
      </c>
      <c r="O171" s="28">
        <v>3725</v>
      </c>
      <c r="P171" s="22">
        <f t="shared" si="2"/>
        <v>690</v>
      </c>
      <c r="Q171" s="36"/>
      <c r="R171" s="30"/>
    </row>
    <row r="172" spans="1:18" ht="15.75" customHeight="1" x14ac:dyDescent="0.2">
      <c r="A172" s="37"/>
      <c r="B172" s="22"/>
      <c r="C172" s="28"/>
      <c r="D172" s="24"/>
      <c r="E172" s="28"/>
      <c r="F172" s="22"/>
      <c r="G172" s="22"/>
      <c r="H172" s="28"/>
      <c r="I172" s="24"/>
      <c r="J172" s="28"/>
      <c r="K172" s="22"/>
      <c r="L172" s="22"/>
      <c r="M172" s="28"/>
      <c r="N172" s="24"/>
      <c r="O172" s="28"/>
      <c r="P172" s="22"/>
      <c r="Q172" s="36"/>
      <c r="R172" s="30"/>
    </row>
    <row r="173" spans="1:18" ht="15.75" customHeight="1" x14ac:dyDescent="0.2">
      <c r="A173" s="37"/>
      <c r="B173" s="22"/>
      <c r="C173" s="28"/>
      <c r="D173" s="24"/>
      <c r="E173" s="28"/>
      <c r="F173" s="22"/>
      <c r="G173" s="22"/>
      <c r="H173" s="28"/>
      <c r="I173" s="24"/>
      <c r="J173" s="28"/>
      <c r="K173" s="22"/>
      <c r="L173" s="22"/>
      <c r="M173" s="28"/>
      <c r="N173" s="24"/>
      <c r="O173" s="28"/>
      <c r="P173" s="22"/>
      <c r="Q173" s="36"/>
      <c r="R173" s="30"/>
    </row>
    <row r="174" spans="1:18" ht="15.75" customHeight="1" x14ac:dyDescent="0.2">
      <c r="A174" s="37"/>
      <c r="B174" s="22"/>
      <c r="C174" s="28"/>
      <c r="D174" s="24"/>
      <c r="E174" s="28"/>
      <c r="F174" s="22"/>
      <c r="G174" s="22"/>
      <c r="H174" s="28"/>
      <c r="I174" s="24"/>
      <c r="J174" s="28"/>
      <c r="K174" s="22"/>
      <c r="L174" s="22"/>
      <c r="M174" s="28"/>
      <c r="N174" s="24"/>
      <c r="O174" s="28"/>
      <c r="P174" s="22"/>
      <c r="Q174" s="36"/>
      <c r="R174" s="30"/>
    </row>
    <row r="175" spans="1:18" ht="15.75" customHeight="1" x14ac:dyDescent="0.2">
      <c r="A175" s="37"/>
      <c r="B175" s="22"/>
      <c r="C175" s="28"/>
      <c r="D175" s="24"/>
      <c r="E175" s="28"/>
      <c r="F175" s="22"/>
      <c r="G175" s="22"/>
      <c r="H175" s="28"/>
      <c r="I175" s="24"/>
      <c r="J175" s="28"/>
      <c r="K175" s="22"/>
      <c r="L175" s="22"/>
      <c r="M175" s="28"/>
      <c r="N175" s="24"/>
      <c r="O175" s="28"/>
      <c r="P175" s="22"/>
      <c r="Q175" s="36"/>
      <c r="R175" s="30"/>
    </row>
    <row r="176" spans="1:18" ht="15.75" customHeight="1" x14ac:dyDescent="0.2">
      <c r="A176" s="37"/>
      <c r="B176" s="22"/>
      <c r="C176" s="28"/>
      <c r="D176" s="24"/>
      <c r="E176" s="28"/>
      <c r="F176" s="22"/>
      <c r="G176" s="22"/>
      <c r="H176" s="28"/>
      <c r="I176" s="24"/>
      <c r="J176" s="28"/>
      <c r="K176" s="22"/>
      <c r="L176" s="22"/>
      <c r="M176" s="28"/>
      <c r="N176" s="24"/>
      <c r="O176" s="28"/>
      <c r="P176" s="22"/>
      <c r="Q176" s="36"/>
      <c r="R176" s="30"/>
    </row>
    <row r="177" spans="1:18" ht="15.75" customHeight="1" x14ac:dyDescent="0.2">
      <c r="A177" s="37"/>
      <c r="B177" s="22"/>
      <c r="C177" s="28"/>
      <c r="D177" s="24"/>
      <c r="E177" s="28"/>
      <c r="F177" s="22"/>
      <c r="G177" s="22"/>
      <c r="H177" s="28"/>
      <c r="I177" s="24"/>
      <c r="J177" s="28"/>
      <c r="K177" s="22"/>
      <c r="L177" s="22"/>
      <c r="M177" s="28"/>
      <c r="N177" s="24"/>
      <c r="O177" s="28"/>
      <c r="P177" s="22"/>
      <c r="Q177" s="36"/>
      <c r="R177" s="30"/>
    </row>
    <row r="178" spans="1:18" ht="15.75" customHeight="1" x14ac:dyDescent="0.2"/>
    <row r="179" spans="1:18" ht="15.75" customHeight="1" x14ac:dyDescent="0.2"/>
    <row r="180" spans="1:18" ht="15.75" customHeight="1" x14ac:dyDescent="0.2"/>
    <row r="181" spans="1:18" ht="15.75" customHeight="1" x14ac:dyDescent="0.2"/>
    <row r="182" spans="1:18" ht="15.75" customHeight="1" x14ac:dyDescent="0.2"/>
    <row r="183" spans="1:18" ht="15.75" customHeight="1" x14ac:dyDescent="0.2"/>
    <row r="184" spans="1:18" ht="15.75" customHeight="1" x14ac:dyDescent="0.2"/>
    <row r="185" spans="1:18" ht="15.75" customHeight="1" x14ac:dyDescent="0.2"/>
    <row r="186" spans="1:18" ht="15.75" customHeight="1" x14ac:dyDescent="0.2"/>
    <row r="187" spans="1:18" ht="15.75" customHeight="1" x14ac:dyDescent="0.2"/>
    <row r="188" spans="1:18" ht="15.75" customHeight="1" x14ac:dyDescent="0.2"/>
    <row r="189" spans="1:18" ht="15.75" customHeight="1" x14ac:dyDescent="0.2"/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</sheetData>
  <mergeCells count="63"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  <mergeCell ref="A1:R1"/>
    <mergeCell ref="A2:R2"/>
    <mergeCell ref="A3:R3"/>
    <mergeCell ref="A4:F4"/>
    <mergeCell ref="G4:L4"/>
    <mergeCell ref="M4:R4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77">
    <cfRule type="cellIs" dxfId="8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6">
    <outlinePr summaryBelow="0" summaryRight="0"/>
  </sheetPr>
  <dimension ref="A1:R1067"/>
  <sheetViews>
    <sheetView topLeftCell="A150" workbookViewId="0">
      <selection activeCell="A175" sqref="A175:XFD182"/>
    </sheetView>
  </sheetViews>
  <sheetFormatPr defaultColWidth="14.42578125" defaultRowHeight="15" customHeight="1" x14ac:dyDescent="0.2"/>
  <cols>
    <col min="1" max="3" width="14.42578125" customWidth="1"/>
    <col min="4" max="4" width="12.140625" customWidth="1"/>
    <col min="5" max="5" width="11.5703125" customWidth="1"/>
    <col min="6" max="6" width="12" customWidth="1"/>
    <col min="7" max="7" width="12.42578125" customWidth="1"/>
    <col min="8" max="8" width="12.85546875" customWidth="1"/>
    <col min="9" max="9" width="11.42578125" customWidth="1"/>
    <col min="11" max="11" width="13" customWidth="1"/>
    <col min="12" max="12" width="12.28515625" customWidth="1"/>
    <col min="13" max="13" width="11.42578125" customWidth="1"/>
    <col min="14" max="14" width="11.7109375" customWidth="1"/>
    <col min="15" max="15" width="12.28515625" customWidth="1"/>
    <col min="16" max="16" width="12.7109375" customWidth="1"/>
  </cols>
  <sheetData>
    <row r="1" spans="1:18" ht="12.75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2.75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2.75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2.75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2.75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(04/03/25)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25.5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1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2.75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3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2.75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6"/>
      <c r="J12" s="123"/>
      <c r="K12" s="10"/>
      <c r="L12" s="122"/>
      <c r="M12" s="123"/>
      <c r="N12" s="122"/>
      <c r="O12" s="123"/>
      <c r="P12" s="124" t="s">
        <v>107</v>
      </c>
      <c r="Q12" s="125"/>
      <c r="R12" s="126"/>
    </row>
    <row r="13" spans="1:18" ht="12.75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99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2.75" x14ac:dyDescent="0.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108</v>
      </c>
      <c r="R16" s="112" t="s">
        <v>109</v>
      </c>
    </row>
    <row r="17" spans="1:18" ht="12.75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08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2.75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2.75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5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2.75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19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ht="15.75" customHeight="1" x14ac:dyDescent="0.2">
      <c r="A21" s="37">
        <v>45720</v>
      </c>
      <c r="B21" s="22">
        <v>1</v>
      </c>
      <c r="C21" s="38">
        <v>2125</v>
      </c>
      <c r="D21" s="39">
        <v>-1098</v>
      </c>
      <c r="E21" s="28">
        <v>3223</v>
      </c>
      <c r="F21" s="22">
        <v>0</v>
      </c>
      <c r="G21" s="22">
        <v>1</v>
      </c>
      <c r="H21" s="28">
        <v>2095</v>
      </c>
      <c r="I21" s="24">
        <v>-795</v>
      </c>
      <c r="J21" s="28">
        <v>2990</v>
      </c>
      <c r="K21" s="22">
        <v>0</v>
      </c>
      <c r="L21" s="22">
        <v>1</v>
      </c>
      <c r="M21" s="38">
        <v>2115</v>
      </c>
      <c r="N21" s="39">
        <v>-1132</v>
      </c>
      <c r="O21" s="28">
        <v>3247</v>
      </c>
      <c r="P21" s="22">
        <v>0</v>
      </c>
      <c r="Q21" s="29"/>
      <c r="R21" s="30"/>
    </row>
    <row r="22" spans="1:18" ht="15.75" customHeight="1" x14ac:dyDescent="0.2">
      <c r="A22" s="37">
        <v>45721</v>
      </c>
      <c r="B22" s="22">
        <f t="shared" ref="B22:B168" si="1">B21+1</f>
        <v>2</v>
      </c>
      <c r="C22" s="28">
        <f t="shared" ref="C22:C167" si="2">$C$21-F22</f>
        <v>2125</v>
      </c>
      <c r="D22" s="39">
        <v>-1098</v>
      </c>
      <c r="E22" s="28">
        <v>2505</v>
      </c>
      <c r="F22" s="22">
        <f t="shared" ref="F22:F70" si="3">$D$21-D22</f>
        <v>0</v>
      </c>
      <c r="G22" s="22">
        <f t="shared" ref="G22:G168" si="4">G21+1</f>
        <v>2</v>
      </c>
      <c r="H22" s="28">
        <f t="shared" ref="H22:H167" si="5">$H$21-K22</f>
        <v>2095</v>
      </c>
      <c r="I22" s="24">
        <v>-795</v>
      </c>
      <c r="J22" s="28">
        <v>2990</v>
      </c>
      <c r="K22" s="22">
        <f t="shared" ref="K22:K168" si="6">$I$21-I22</f>
        <v>0</v>
      </c>
      <c r="L22" s="22">
        <f t="shared" ref="L22:L168" si="7">L21+1</f>
        <v>2</v>
      </c>
      <c r="M22" s="28">
        <f t="shared" ref="M22:M167" si="8">$M$21-P22</f>
        <v>2115</v>
      </c>
      <c r="N22" s="39">
        <v>-1132</v>
      </c>
      <c r="O22" s="28">
        <v>3247</v>
      </c>
      <c r="P22" s="22">
        <f t="shared" ref="P22:P168" si="9">$N$21-N22</f>
        <v>0</v>
      </c>
      <c r="Q22" s="29"/>
      <c r="R22" s="30"/>
    </row>
    <row r="23" spans="1:18" ht="15.75" customHeight="1" x14ac:dyDescent="0.2">
      <c r="A23" s="37">
        <v>45722</v>
      </c>
      <c r="B23" s="22">
        <f t="shared" si="1"/>
        <v>3</v>
      </c>
      <c r="C23" s="28">
        <f t="shared" si="2"/>
        <v>2098</v>
      </c>
      <c r="D23" s="39">
        <v>-1125</v>
      </c>
      <c r="E23" s="28">
        <v>2505</v>
      </c>
      <c r="F23" s="22">
        <f t="shared" si="3"/>
        <v>27</v>
      </c>
      <c r="G23" s="22">
        <f t="shared" si="4"/>
        <v>3</v>
      </c>
      <c r="H23" s="28">
        <f t="shared" si="5"/>
        <v>2050</v>
      </c>
      <c r="I23" s="24">
        <v>-840</v>
      </c>
      <c r="J23" s="28">
        <v>2990</v>
      </c>
      <c r="K23" s="22">
        <f t="shared" si="6"/>
        <v>45</v>
      </c>
      <c r="L23" s="22">
        <f t="shared" si="7"/>
        <v>3</v>
      </c>
      <c r="M23" s="28">
        <f t="shared" si="8"/>
        <v>2088</v>
      </c>
      <c r="N23" s="39">
        <v>-1159</v>
      </c>
      <c r="O23" s="28">
        <v>3247</v>
      </c>
      <c r="P23" s="22">
        <f t="shared" si="9"/>
        <v>27</v>
      </c>
      <c r="Q23" s="29"/>
      <c r="R23" s="30"/>
    </row>
    <row r="24" spans="1:18" ht="15.75" customHeight="1" x14ac:dyDescent="0.2">
      <c r="A24" s="37">
        <v>45723</v>
      </c>
      <c r="B24" s="22">
        <f t="shared" si="1"/>
        <v>4</v>
      </c>
      <c r="C24" s="28">
        <f t="shared" si="2"/>
        <v>2078</v>
      </c>
      <c r="D24" s="39">
        <v>-1145</v>
      </c>
      <c r="E24" s="28">
        <v>2505</v>
      </c>
      <c r="F24" s="22">
        <f t="shared" si="3"/>
        <v>47</v>
      </c>
      <c r="G24" s="22">
        <f t="shared" si="4"/>
        <v>4</v>
      </c>
      <c r="H24" s="28">
        <f t="shared" si="5"/>
        <v>2008</v>
      </c>
      <c r="I24" s="24">
        <v>-882</v>
      </c>
      <c r="J24" s="28">
        <v>2990</v>
      </c>
      <c r="K24" s="22">
        <f t="shared" si="6"/>
        <v>87</v>
      </c>
      <c r="L24" s="22">
        <f t="shared" si="7"/>
        <v>4</v>
      </c>
      <c r="M24" s="28">
        <f t="shared" si="8"/>
        <v>2060</v>
      </c>
      <c r="N24" s="39">
        <v>-1187</v>
      </c>
      <c r="O24" s="28">
        <v>3247</v>
      </c>
      <c r="P24" s="22">
        <f t="shared" si="9"/>
        <v>55</v>
      </c>
      <c r="Q24" s="29"/>
      <c r="R24" s="30"/>
    </row>
    <row r="25" spans="1:18" ht="15.75" customHeight="1" x14ac:dyDescent="0.2">
      <c r="A25" s="37">
        <v>45724</v>
      </c>
      <c r="B25" s="22">
        <f t="shared" si="1"/>
        <v>5</v>
      </c>
      <c r="C25" s="28">
        <f t="shared" si="2"/>
        <v>2056</v>
      </c>
      <c r="D25" s="39">
        <v>-1167</v>
      </c>
      <c r="E25" s="28">
        <v>2505</v>
      </c>
      <c r="F25" s="22">
        <f t="shared" si="3"/>
        <v>69</v>
      </c>
      <c r="G25" s="22">
        <f t="shared" si="4"/>
        <v>5</v>
      </c>
      <c r="H25" s="28">
        <f t="shared" si="5"/>
        <v>1965</v>
      </c>
      <c r="I25" s="24">
        <v>-925</v>
      </c>
      <c r="J25" s="28">
        <v>2990</v>
      </c>
      <c r="K25" s="22">
        <f t="shared" si="6"/>
        <v>130</v>
      </c>
      <c r="L25" s="22">
        <f t="shared" si="7"/>
        <v>5</v>
      </c>
      <c r="M25" s="28">
        <f t="shared" si="8"/>
        <v>2135</v>
      </c>
      <c r="N25" s="39">
        <v>-1112</v>
      </c>
      <c r="O25" s="28">
        <v>3247</v>
      </c>
      <c r="P25" s="22">
        <f t="shared" si="9"/>
        <v>-20</v>
      </c>
      <c r="Q25" s="29"/>
      <c r="R25" s="30"/>
    </row>
    <row r="26" spans="1:18" ht="15.75" customHeight="1" x14ac:dyDescent="0.2">
      <c r="A26" s="37">
        <v>45725</v>
      </c>
      <c r="B26" s="22">
        <f t="shared" si="1"/>
        <v>6</v>
      </c>
      <c r="C26" s="28">
        <f t="shared" si="2"/>
        <v>1333</v>
      </c>
      <c r="D26" s="39">
        <v>-1890</v>
      </c>
      <c r="E26" s="28">
        <v>2505</v>
      </c>
      <c r="F26" s="22">
        <f t="shared" si="3"/>
        <v>792</v>
      </c>
      <c r="G26" s="22">
        <f t="shared" si="4"/>
        <v>6</v>
      </c>
      <c r="H26" s="28">
        <f t="shared" si="5"/>
        <v>1923</v>
      </c>
      <c r="I26" s="24">
        <v>-967</v>
      </c>
      <c r="J26" s="28">
        <v>2990</v>
      </c>
      <c r="K26" s="22">
        <f t="shared" si="6"/>
        <v>172</v>
      </c>
      <c r="L26" s="22">
        <f t="shared" si="7"/>
        <v>6</v>
      </c>
      <c r="M26" s="28">
        <f t="shared" si="8"/>
        <v>2030</v>
      </c>
      <c r="N26" s="39">
        <v>-1217</v>
      </c>
      <c r="O26" s="28">
        <v>3247</v>
      </c>
      <c r="P26" s="22">
        <f t="shared" si="9"/>
        <v>85</v>
      </c>
      <c r="Q26" s="29"/>
      <c r="R26" s="30"/>
    </row>
    <row r="27" spans="1:18" ht="15.75" customHeight="1" x14ac:dyDescent="0.2">
      <c r="A27" s="37">
        <v>45726</v>
      </c>
      <c r="B27" s="22">
        <f t="shared" si="1"/>
        <v>7</v>
      </c>
      <c r="C27" s="28">
        <f t="shared" si="2"/>
        <v>2008</v>
      </c>
      <c r="D27" s="39">
        <v>-1215</v>
      </c>
      <c r="E27" s="28">
        <v>2505</v>
      </c>
      <c r="F27" s="22">
        <f t="shared" si="3"/>
        <v>117</v>
      </c>
      <c r="G27" s="22">
        <f t="shared" si="4"/>
        <v>7</v>
      </c>
      <c r="H27" s="28">
        <f t="shared" si="5"/>
        <v>1882</v>
      </c>
      <c r="I27" s="24">
        <v>-1008</v>
      </c>
      <c r="J27" s="28">
        <v>2990</v>
      </c>
      <c r="K27" s="22">
        <f t="shared" si="6"/>
        <v>213</v>
      </c>
      <c r="L27" s="22">
        <f t="shared" si="7"/>
        <v>7</v>
      </c>
      <c r="M27" s="28">
        <f t="shared" si="8"/>
        <v>2015</v>
      </c>
      <c r="N27" s="39">
        <v>-1232</v>
      </c>
      <c r="O27" s="28">
        <v>3247</v>
      </c>
      <c r="P27" s="22">
        <f t="shared" si="9"/>
        <v>100</v>
      </c>
      <c r="Q27" s="29"/>
      <c r="R27" s="30"/>
    </row>
    <row r="28" spans="1:18" ht="15.75" customHeight="1" x14ac:dyDescent="0.2">
      <c r="A28" s="37">
        <v>45727</v>
      </c>
      <c r="B28" s="22">
        <f t="shared" si="1"/>
        <v>8</v>
      </c>
      <c r="C28" s="28">
        <f t="shared" si="2"/>
        <v>1984</v>
      </c>
      <c r="D28" s="39">
        <v>-1239</v>
      </c>
      <c r="E28" s="28">
        <v>2505</v>
      </c>
      <c r="F28" s="22">
        <f t="shared" si="3"/>
        <v>141</v>
      </c>
      <c r="G28" s="22">
        <f t="shared" si="4"/>
        <v>8</v>
      </c>
      <c r="H28" s="28">
        <f t="shared" si="5"/>
        <v>1848</v>
      </c>
      <c r="I28" s="24">
        <v>-1042</v>
      </c>
      <c r="J28" s="28">
        <v>2990</v>
      </c>
      <c r="K28" s="22">
        <f t="shared" si="6"/>
        <v>247</v>
      </c>
      <c r="L28" s="22">
        <f t="shared" si="7"/>
        <v>8</v>
      </c>
      <c r="M28" s="28">
        <f t="shared" si="8"/>
        <v>2002</v>
      </c>
      <c r="N28" s="39">
        <v>-1245</v>
      </c>
      <c r="O28" s="28">
        <v>3247</v>
      </c>
      <c r="P28" s="22">
        <f t="shared" si="9"/>
        <v>113</v>
      </c>
      <c r="Q28" s="29"/>
      <c r="R28" s="30"/>
    </row>
    <row r="29" spans="1:18" ht="15.75" customHeight="1" x14ac:dyDescent="0.2">
      <c r="A29" s="37">
        <v>45728</v>
      </c>
      <c r="B29" s="22">
        <f t="shared" si="1"/>
        <v>9</v>
      </c>
      <c r="C29" s="28">
        <f t="shared" si="2"/>
        <v>1971</v>
      </c>
      <c r="D29" s="39">
        <v>-1252</v>
      </c>
      <c r="E29" s="28">
        <v>2505</v>
      </c>
      <c r="F29" s="22">
        <f t="shared" si="3"/>
        <v>154</v>
      </c>
      <c r="G29" s="22">
        <f t="shared" si="4"/>
        <v>9</v>
      </c>
      <c r="H29" s="28">
        <f t="shared" si="5"/>
        <v>1820</v>
      </c>
      <c r="I29" s="24">
        <v>-1070</v>
      </c>
      <c r="J29" s="28">
        <v>2990</v>
      </c>
      <c r="K29" s="22">
        <f t="shared" si="6"/>
        <v>275</v>
      </c>
      <c r="L29" s="22">
        <f t="shared" si="7"/>
        <v>9</v>
      </c>
      <c r="M29" s="28">
        <f t="shared" si="8"/>
        <v>1989</v>
      </c>
      <c r="N29" s="39">
        <v>-1258</v>
      </c>
      <c r="O29" s="28">
        <v>3247</v>
      </c>
      <c r="P29" s="22">
        <f t="shared" si="9"/>
        <v>126</v>
      </c>
      <c r="Q29" s="29"/>
      <c r="R29" s="30"/>
    </row>
    <row r="30" spans="1:18" ht="15.75" customHeight="1" x14ac:dyDescent="0.2">
      <c r="A30" s="37">
        <v>45729</v>
      </c>
      <c r="B30" s="22">
        <f t="shared" si="1"/>
        <v>10</v>
      </c>
      <c r="C30" s="28">
        <f t="shared" si="2"/>
        <v>1958</v>
      </c>
      <c r="D30" s="39">
        <v>-1265</v>
      </c>
      <c r="E30" s="28">
        <v>2505</v>
      </c>
      <c r="F30" s="22">
        <f t="shared" si="3"/>
        <v>167</v>
      </c>
      <c r="G30" s="22">
        <f t="shared" si="4"/>
        <v>10</v>
      </c>
      <c r="H30" s="28">
        <f t="shared" si="5"/>
        <v>1790</v>
      </c>
      <c r="I30" s="24">
        <v>-1100</v>
      </c>
      <c r="J30" s="28">
        <v>2990</v>
      </c>
      <c r="K30" s="22">
        <f t="shared" si="6"/>
        <v>305</v>
      </c>
      <c r="L30" s="22">
        <f t="shared" si="7"/>
        <v>10</v>
      </c>
      <c r="M30" s="28">
        <f t="shared" si="8"/>
        <v>1972</v>
      </c>
      <c r="N30" s="39">
        <v>-1275</v>
      </c>
      <c r="O30" s="28">
        <v>3247</v>
      </c>
      <c r="P30" s="22">
        <f t="shared" si="9"/>
        <v>143</v>
      </c>
      <c r="Q30" s="29"/>
      <c r="R30" s="30"/>
    </row>
    <row r="31" spans="1:18" ht="15.75" customHeight="1" x14ac:dyDescent="0.2">
      <c r="A31" s="37">
        <v>45730</v>
      </c>
      <c r="B31" s="22">
        <f t="shared" si="1"/>
        <v>11</v>
      </c>
      <c r="C31" s="28">
        <f t="shared" si="2"/>
        <v>1939</v>
      </c>
      <c r="D31" s="39">
        <v>-1284</v>
      </c>
      <c r="E31" s="28">
        <v>2505</v>
      </c>
      <c r="F31" s="22">
        <f t="shared" si="3"/>
        <v>186</v>
      </c>
      <c r="G31" s="22">
        <f t="shared" si="4"/>
        <v>11</v>
      </c>
      <c r="H31" s="28">
        <f t="shared" si="5"/>
        <v>1762</v>
      </c>
      <c r="I31" s="24">
        <v>-1128</v>
      </c>
      <c r="J31" s="28">
        <v>2990</v>
      </c>
      <c r="K31" s="22">
        <f t="shared" si="6"/>
        <v>333</v>
      </c>
      <c r="L31" s="22">
        <f t="shared" si="7"/>
        <v>11</v>
      </c>
      <c r="M31" s="28">
        <f t="shared" si="8"/>
        <v>1957</v>
      </c>
      <c r="N31" s="39">
        <v>-1290</v>
      </c>
      <c r="O31" s="28">
        <v>3247</v>
      </c>
      <c r="P31" s="22">
        <f t="shared" si="9"/>
        <v>158</v>
      </c>
      <c r="Q31" s="29"/>
      <c r="R31" s="30"/>
    </row>
    <row r="32" spans="1:18" ht="15.75" customHeight="1" x14ac:dyDescent="0.2">
      <c r="A32" s="37">
        <v>45731</v>
      </c>
      <c r="B32" s="22">
        <f t="shared" si="1"/>
        <v>12</v>
      </c>
      <c r="C32" s="28">
        <f t="shared" si="2"/>
        <v>1921</v>
      </c>
      <c r="D32" s="39">
        <v>-1302</v>
      </c>
      <c r="E32" s="28">
        <v>2505</v>
      </c>
      <c r="F32" s="22">
        <f t="shared" si="3"/>
        <v>204</v>
      </c>
      <c r="G32" s="22">
        <f t="shared" si="4"/>
        <v>12</v>
      </c>
      <c r="H32" s="28">
        <f t="shared" si="5"/>
        <v>1734</v>
      </c>
      <c r="I32" s="24">
        <v>-1156</v>
      </c>
      <c r="J32" s="28">
        <v>2990</v>
      </c>
      <c r="K32" s="22">
        <f t="shared" si="6"/>
        <v>361</v>
      </c>
      <c r="L32" s="22">
        <f t="shared" si="7"/>
        <v>12</v>
      </c>
      <c r="M32" s="28">
        <f t="shared" si="8"/>
        <v>1940</v>
      </c>
      <c r="N32" s="39">
        <v>-1307</v>
      </c>
      <c r="O32" s="28">
        <v>3247</v>
      </c>
      <c r="P32" s="22">
        <f t="shared" si="9"/>
        <v>175</v>
      </c>
      <c r="Q32" s="29"/>
      <c r="R32" s="30"/>
    </row>
    <row r="33" spans="1:18" ht="15.75" customHeight="1" x14ac:dyDescent="0.2">
      <c r="A33" s="37">
        <v>45732</v>
      </c>
      <c r="B33" s="22">
        <f t="shared" si="1"/>
        <v>13</v>
      </c>
      <c r="C33" s="28">
        <f t="shared" si="2"/>
        <v>1903</v>
      </c>
      <c r="D33" s="24">
        <v>-1320</v>
      </c>
      <c r="E33" s="28">
        <v>2505</v>
      </c>
      <c r="F33" s="22">
        <f t="shared" si="3"/>
        <v>222</v>
      </c>
      <c r="G33" s="22">
        <f t="shared" si="4"/>
        <v>13</v>
      </c>
      <c r="H33" s="28">
        <f t="shared" si="5"/>
        <v>1712</v>
      </c>
      <c r="I33" s="24">
        <v>-1178</v>
      </c>
      <c r="J33" s="28">
        <v>2990</v>
      </c>
      <c r="K33" s="22">
        <f t="shared" si="6"/>
        <v>383</v>
      </c>
      <c r="L33" s="22">
        <f t="shared" si="7"/>
        <v>13</v>
      </c>
      <c r="M33" s="28">
        <f t="shared" si="8"/>
        <v>1929</v>
      </c>
      <c r="N33" s="24">
        <v>-1318</v>
      </c>
      <c r="O33" s="28">
        <v>3247</v>
      </c>
      <c r="P33" s="22">
        <f t="shared" si="9"/>
        <v>186</v>
      </c>
      <c r="Q33" s="29"/>
      <c r="R33" s="30"/>
    </row>
    <row r="34" spans="1:18" ht="15.75" customHeight="1" x14ac:dyDescent="0.2">
      <c r="A34" s="37">
        <v>45733</v>
      </c>
      <c r="B34" s="22">
        <f t="shared" si="1"/>
        <v>14</v>
      </c>
      <c r="C34" s="28">
        <f t="shared" si="2"/>
        <v>1893</v>
      </c>
      <c r="D34" s="24">
        <v>-1330</v>
      </c>
      <c r="E34" s="28">
        <v>2505</v>
      </c>
      <c r="F34" s="22">
        <f t="shared" si="3"/>
        <v>232</v>
      </c>
      <c r="G34" s="22">
        <f t="shared" si="4"/>
        <v>14</v>
      </c>
      <c r="H34" s="28">
        <f t="shared" si="5"/>
        <v>1700</v>
      </c>
      <c r="I34" s="24">
        <v>-1190</v>
      </c>
      <c r="J34" s="28">
        <v>2990</v>
      </c>
      <c r="K34" s="22">
        <f t="shared" si="6"/>
        <v>395</v>
      </c>
      <c r="L34" s="22">
        <f t="shared" si="7"/>
        <v>14</v>
      </c>
      <c r="M34" s="28">
        <f t="shared" si="8"/>
        <v>1917</v>
      </c>
      <c r="N34" s="24">
        <v>-1330</v>
      </c>
      <c r="O34" s="28">
        <v>3247</v>
      </c>
      <c r="P34" s="22">
        <f t="shared" si="9"/>
        <v>198</v>
      </c>
      <c r="Q34" s="29"/>
      <c r="R34" s="30"/>
    </row>
    <row r="35" spans="1:18" ht="15.75" customHeight="1" x14ac:dyDescent="0.2">
      <c r="A35" s="37">
        <v>45734</v>
      </c>
      <c r="B35" s="22">
        <f t="shared" si="1"/>
        <v>15</v>
      </c>
      <c r="C35" s="28">
        <f t="shared" si="2"/>
        <v>1883</v>
      </c>
      <c r="D35" s="24">
        <v>-1340</v>
      </c>
      <c r="E35" s="28">
        <v>2505</v>
      </c>
      <c r="F35" s="22">
        <f t="shared" si="3"/>
        <v>242</v>
      </c>
      <c r="G35" s="22">
        <f t="shared" si="4"/>
        <v>15</v>
      </c>
      <c r="H35" s="28">
        <f t="shared" si="5"/>
        <v>1680</v>
      </c>
      <c r="I35" s="24">
        <v>-1210</v>
      </c>
      <c r="J35" s="28">
        <v>2990</v>
      </c>
      <c r="K35" s="22">
        <f t="shared" si="6"/>
        <v>415</v>
      </c>
      <c r="L35" s="22">
        <f t="shared" si="7"/>
        <v>15</v>
      </c>
      <c r="M35" s="28">
        <f t="shared" si="8"/>
        <v>1904</v>
      </c>
      <c r="N35" s="24">
        <v>-1343</v>
      </c>
      <c r="O35" s="28">
        <v>3247</v>
      </c>
      <c r="P35" s="22">
        <f t="shared" si="9"/>
        <v>211</v>
      </c>
      <c r="Q35" s="36"/>
      <c r="R35" s="30"/>
    </row>
    <row r="36" spans="1:18" ht="15.75" customHeight="1" x14ac:dyDescent="0.2">
      <c r="A36" s="37">
        <v>45735</v>
      </c>
      <c r="B36" s="22">
        <f t="shared" si="1"/>
        <v>16</v>
      </c>
      <c r="C36" s="28">
        <f t="shared" si="2"/>
        <v>1883</v>
      </c>
      <c r="D36" s="24">
        <v>-1340</v>
      </c>
      <c r="E36" s="28">
        <v>2505</v>
      </c>
      <c r="F36" s="22">
        <f t="shared" si="3"/>
        <v>242</v>
      </c>
      <c r="G36" s="22">
        <f t="shared" si="4"/>
        <v>16</v>
      </c>
      <c r="H36" s="28">
        <f t="shared" si="5"/>
        <v>1680</v>
      </c>
      <c r="I36" s="24">
        <v>-1210</v>
      </c>
      <c r="J36" s="28">
        <v>2990</v>
      </c>
      <c r="K36" s="22">
        <f t="shared" si="6"/>
        <v>415</v>
      </c>
      <c r="L36" s="22">
        <f t="shared" si="7"/>
        <v>16</v>
      </c>
      <c r="M36" s="28">
        <f t="shared" si="8"/>
        <v>1904</v>
      </c>
      <c r="N36" s="24">
        <v>-1343</v>
      </c>
      <c r="O36" s="28">
        <v>3247</v>
      </c>
      <c r="P36" s="22">
        <f t="shared" si="9"/>
        <v>211</v>
      </c>
      <c r="Q36" s="36"/>
      <c r="R36" s="30"/>
    </row>
    <row r="37" spans="1:18" ht="15.75" customHeight="1" x14ac:dyDescent="0.2">
      <c r="A37" s="37">
        <v>45736</v>
      </c>
      <c r="B37" s="22">
        <f t="shared" si="1"/>
        <v>17</v>
      </c>
      <c r="C37" s="28">
        <f t="shared" si="2"/>
        <v>1883</v>
      </c>
      <c r="D37" s="24">
        <v>-1340</v>
      </c>
      <c r="E37" s="28">
        <v>2505</v>
      </c>
      <c r="F37" s="22">
        <f t="shared" si="3"/>
        <v>242</v>
      </c>
      <c r="G37" s="22">
        <f t="shared" si="4"/>
        <v>17</v>
      </c>
      <c r="H37" s="28">
        <f t="shared" si="5"/>
        <v>1680</v>
      </c>
      <c r="I37" s="24">
        <v>-1210</v>
      </c>
      <c r="J37" s="28">
        <v>2990</v>
      </c>
      <c r="K37" s="22">
        <f t="shared" si="6"/>
        <v>415</v>
      </c>
      <c r="L37" s="22">
        <f t="shared" si="7"/>
        <v>17</v>
      </c>
      <c r="M37" s="28">
        <f t="shared" si="8"/>
        <v>1904</v>
      </c>
      <c r="N37" s="24">
        <v>-1343</v>
      </c>
      <c r="O37" s="28">
        <v>3247</v>
      </c>
      <c r="P37" s="22">
        <f t="shared" si="9"/>
        <v>211</v>
      </c>
      <c r="Q37" s="36"/>
      <c r="R37" s="30"/>
    </row>
    <row r="38" spans="1:18" ht="15.75" customHeight="1" x14ac:dyDescent="0.2">
      <c r="A38" s="37">
        <v>45737</v>
      </c>
      <c r="B38" s="22">
        <f t="shared" si="1"/>
        <v>18</v>
      </c>
      <c r="C38" s="28">
        <f t="shared" si="2"/>
        <v>1858</v>
      </c>
      <c r="D38" s="24">
        <v>-1365</v>
      </c>
      <c r="E38" s="28">
        <v>2505</v>
      </c>
      <c r="F38" s="22">
        <f t="shared" si="3"/>
        <v>267</v>
      </c>
      <c r="G38" s="22">
        <f t="shared" si="4"/>
        <v>18</v>
      </c>
      <c r="H38" s="28">
        <f t="shared" si="5"/>
        <v>1667</v>
      </c>
      <c r="I38" s="24">
        <v>-1223</v>
      </c>
      <c r="J38" s="28">
        <v>2990</v>
      </c>
      <c r="K38" s="22">
        <f t="shared" si="6"/>
        <v>428</v>
      </c>
      <c r="L38" s="22">
        <f t="shared" si="7"/>
        <v>18</v>
      </c>
      <c r="M38" s="28">
        <f t="shared" si="8"/>
        <v>1895</v>
      </c>
      <c r="N38" s="24">
        <v>-1352</v>
      </c>
      <c r="O38" s="28">
        <v>3247</v>
      </c>
      <c r="P38" s="22">
        <f t="shared" si="9"/>
        <v>220</v>
      </c>
      <c r="Q38" s="36"/>
      <c r="R38" s="30"/>
    </row>
    <row r="39" spans="1:18" ht="15.75" customHeight="1" x14ac:dyDescent="0.2">
      <c r="A39" s="37">
        <v>45738</v>
      </c>
      <c r="B39" s="22">
        <f t="shared" si="1"/>
        <v>19</v>
      </c>
      <c r="C39" s="28">
        <f t="shared" si="2"/>
        <v>1848</v>
      </c>
      <c r="D39" s="24">
        <v>-1375</v>
      </c>
      <c r="E39" s="28">
        <v>2505</v>
      </c>
      <c r="F39" s="22">
        <f t="shared" si="3"/>
        <v>277</v>
      </c>
      <c r="G39" s="22">
        <f t="shared" si="4"/>
        <v>19</v>
      </c>
      <c r="H39" s="28">
        <f t="shared" si="5"/>
        <v>1655</v>
      </c>
      <c r="I39" s="24">
        <v>-1235</v>
      </c>
      <c r="J39" s="28">
        <v>2990</v>
      </c>
      <c r="K39" s="22">
        <f t="shared" si="6"/>
        <v>440</v>
      </c>
      <c r="L39" s="22">
        <f t="shared" si="7"/>
        <v>19</v>
      </c>
      <c r="M39" s="28">
        <f t="shared" si="8"/>
        <v>1885</v>
      </c>
      <c r="N39" s="24">
        <v>-1362</v>
      </c>
      <c r="O39" s="28">
        <v>3247</v>
      </c>
      <c r="P39" s="22">
        <f t="shared" si="9"/>
        <v>230</v>
      </c>
      <c r="Q39" s="36"/>
      <c r="R39" s="30"/>
    </row>
    <row r="40" spans="1:18" ht="15.75" customHeight="1" x14ac:dyDescent="0.2">
      <c r="A40" s="37">
        <v>45739</v>
      </c>
      <c r="B40" s="22">
        <f t="shared" si="1"/>
        <v>20</v>
      </c>
      <c r="C40" s="28">
        <f t="shared" si="2"/>
        <v>1838</v>
      </c>
      <c r="D40" s="24">
        <v>-1385</v>
      </c>
      <c r="E40" s="28">
        <v>2505</v>
      </c>
      <c r="F40" s="22">
        <f t="shared" si="3"/>
        <v>287</v>
      </c>
      <c r="G40" s="22">
        <f t="shared" si="4"/>
        <v>20</v>
      </c>
      <c r="H40" s="28">
        <f t="shared" si="5"/>
        <v>1643</v>
      </c>
      <c r="I40" s="24">
        <v>-1247</v>
      </c>
      <c r="J40" s="28">
        <v>2990</v>
      </c>
      <c r="K40" s="22">
        <f t="shared" si="6"/>
        <v>452</v>
      </c>
      <c r="L40" s="22">
        <f t="shared" si="7"/>
        <v>20</v>
      </c>
      <c r="M40" s="28">
        <f t="shared" si="8"/>
        <v>1875</v>
      </c>
      <c r="N40" s="24">
        <v>-1372</v>
      </c>
      <c r="O40" s="28">
        <v>3247</v>
      </c>
      <c r="P40" s="22">
        <f t="shared" si="9"/>
        <v>240</v>
      </c>
      <c r="Q40" s="36"/>
      <c r="R40" s="30"/>
    </row>
    <row r="41" spans="1:18" ht="15.75" customHeight="1" x14ac:dyDescent="0.2">
      <c r="A41" s="37">
        <v>45740</v>
      </c>
      <c r="B41" s="22">
        <f t="shared" si="1"/>
        <v>21</v>
      </c>
      <c r="C41" s="28">
        <f t="shared" si="2"/>
        <v>1825</v>
      </c>
      <c r="D41" s="24">
        <v>-1398</v>
      </c>
      <c r="E41" s="28">
        <v>2505</v>
      </c>
      <c r="F41" s="22">
        <f t="shared" si="3"/>
        <v>300</v>
      </c>
      <c r="G41" s="22">
        <f t="shared" si="4"/>
        <v>21</v>
      </c>
      <c r="H41" s="28">
        <f t="shared" si="5"/>
        <v>1628</v>
      </c>
      <c r="I41" s="24">
        <v>-1262</v>
      </c>
      <c r="J41" s="28">
        <v>2990</v>
      </c>
      <c r="K41" s="22">
        <f t="shared" si="6"/>
        <v>467</v>
      </c>
      <c r="L41" s="22">
        <f t="shared" si="7"/>
        <v>21</v>
      </c>
      <c r="M41" s="28">
        <f t="shared" si="8"/>
        <v>1864</v>
      </c>
      <c r="N41" s="24">
        <v>-1383</v>
      </c>
      <c r="O41" s="28">
        <v>3247</v>
      </c>
      <c r="P41" s="22">
        <f t="shared" si="9"/>
        <v>251</v>
      </c>
      <c r="Q41" s="36"/>
      <c r="R41" s="30"/>
    </row>
    <row r="42" spans="1:18" ht="15.75" customHeight="1" x14ac:dyDescent="0.2">
      <c r="A42" s="37">
        <v>45741</v>
      </c>
      <c r="B42" s="22">
        <f t="shared" si="1"/>
        <v>22</v>
      </c>
      <c r="C42" s="28">
        <f t="shared" si="2"/>
        <v>1813</v>
      </c>
      <c r="D42" s="24">
        <v>-1410</v>
      </c>
      <c r="E42" s="28">
        <v>2505</v>
      </c>
      <c r="F42" s="22">
        <f t="shared" si="3"/>
        <v>312</v>
      </c>
      <c r="G42" s="22">
        <f t="shared" si="4"/>
        <v>22</v>
      </c>
      <c r="H42" s="28">
        <f t="shared" si="5"/>
        <v>1613</v>
      </c>
      <c r="I42" s="24">
        <v>-1277</v>
      </c>
      <c r="J42" s="28">
        <v>2990</v>
      </c>
      <c r="K42" s="22">
        <f t="shared" si="6"/>
        <v>482</v>
      </c>
      <c r="L42" s="22">
        <f t="shared" si="7"/>
        <v>22</v>
      </c>
      <c r="M42" s="28">
        <f t="shared" si="8"/>
        <v>1853</v>
      </c>
      <c r="N42" s="24">
        <v>-1394</v>
      </c>
      <c r="O42" s="28">
        <v>3247</v>
      </c>
      <c r="P42" s="22">
        <f t="shared" si="9"/>
        <v>262</v>
      </c>
      <c r="Q42" s="36"/>
      <c r="R42" s="30"/>
    </row>
    <row r="43" spans="1:18" ht="15.75" customHeight="1" x14ac:dyDescent="0.2">
      <c r="A43" s="37">
        <v>45742</v>
      </c>
      <c r="B43" s="22">
        <f t="shared" si="1"/>
        <v>23</v>
      </c>
      <c r="C43" s="28">
        <f t="shared" si="2"/>
        <v>1804</v>
      </c>
      <c r="D43" s="24">
        <v>-1419</v>
      </c>
      <c r="E43" s="28">
        <v>2505</v>
      </c>
      <c r="F43" s="22">
        <f t="shared" si="3"/>
        <v>321</v>
      </c>
      <c r="G43" s="22">
        <f t="shared" si="4"/>
        <v>23</v>
      </c>
      <c r="H43" s="28">
        <f t="shared" si="5"/>
        <v>1602</v>
      </c>
      <c r="I43" s="24">
        <v>-1288</v>
      </c>
      <c r="J43" s="28">
        <v>2990</v>
      </c>
      <c r="K43" s="22">
        <f t="shared" si="6"/>
        <v>493</v>
      </c>
      <c r="L43" s="22">
        <f t="shared" si="7"/>
        <v>23</v>
      </c>
      <c r="M43" s="28">
        <f t="shared" si="8"/>
        <v>1846</v>
      </c>
      <c r="N43" s="24">
        <v>-1401</v>
      </c>
      <c r="O43" s="28">
        <v>3247</v>
      </c>
      <c r="P43" s="22">
        <f t="shared" si="9"/>
        <v>269</v>
      </c>
      <c r="Q43" s="36"/>
      <c r="R43" s="30"/>
    </row>
    <row r="44" spans="1:18" ht="15.75" customHeight="1" x14ac:dyDescent="0.2">
      <c r="A44" s="37">
        <v>45743</v>
      </c>
      <c r="B44" s="22">
        <f t="shared" si="1"/>
        <v>24</v>
      </c>
      <c r="C44" s="28">
        <f t="shared" si="2"/>
        <v>1788</v>
      </c>
      <c r="D44" s="24">
        <v>-1435</v>
      </c>
      <c r="E44" s="28">
        <v>2505</v>
      </c>
      <c r="F44" s="22">
        <f t="shared" si="3"/>
        <v>337</v>
      </c>
      <c r="G44" s="22">
        <f t="shared" si="4"/>
        <v>24</v>
      </c>
      <c r="H44" s="28">
        <f t="shared" si="5"/>
        <v>1590</v>
      </c>
      <c r="I44" s="24">
        <v>-1300</v>
      </c>
      <c r="J44" s="28">
        <v>2990</v>
      </c>
      <c r="K44" s="22">
        <f t="shared" si="6"/>
        <v>505</v>
      </c>
      <c r="L44" s="22">
        <f t="shared" si="7"/>
        <v>24</v>
      </c>
      <c r="M44" s="28">
        <f t="shared" si="8"/>
        <v>1833</v>
      </c>
      <c r="N44" s="24">
        <v>-1414</v>
      </c>
      <c r="O44" s="28">
        <v>3247</v>
      </c>
      <c r="P44" s="22">
        <f t="shared" si="9"/>
        <v>282</v>
      </c>
      <c r="Q44" s="36"/>
      <c r="R44" s="30"/>
    </row>
    <row r="45" spans="1:18" ht="15.75" customHeight="1" x14ac:dyDescent="0.2">
      <c r="A45" s="37">
        <v>45744</v>
      </c>
      <c r="B45" s="22">
        <f t="shared" si="1"/>
        <v>25</v>
      </c>
      <c r="C45" s="28">
        <f t="shared" si="2"/>
        <v>1772</v>
      </c>
      <c r="D45" s="24">
        <v>-1451</v>
      </c>
      <c r="E45" s="28">
        <v>2505</v>
      </c>
      <c r="F45" s="22">
        <f t="shared" si="3"/>
        <v>353</v>
      </c>
      <c r="G45" s="22">
        <f t="shared" si="4"/>
        <v>25</v>
      </c>
      <c r="H45" s="28">
        <f t="shared" si="5"/>
        <v>1570</v>
      </c>
      <c r="I45" s="24">
        <v>-1320</v>
      </c>
      <c r="J45" s="28">
        <v>2990</v>
      </c>
      <c r="K45" s="22">
        <f t="shared" si="6"/>
        <v>525</v>
      </c>
      <c r="L45" s="22">
        <f t="shared" si="7"/>
        <v>25</v>
      </c>
      <c r="M45" s="28">
        <f t="shared" si="8"/>
        <v>1819</v>
      </c>
      <c r="N45" s="24">
        <v>-1428</v>
      </c>
      <c r="O45" s="28">
        <v>3247</v>
      </c>
      <c r="P45" s="22">
        <f t="shared" si="9"/>
        <v>296</v>
      </c>
      <c r="Q45" s="36"/>
      <c r="R45" s="30"/>
    </row>
    <row r="46" spans="1:18" ht="15.75" customHeight="1" x14ac:dyDescent="0.2">
      <c r="A46" s="37">
        <v>45745</v>
      </c>
      <c r="B46" s="22">
        <f t="shared" si="1"/>
        <v>26</v>
      </c>
      <c r="C46" s="28">
        <f t="shared" si="2"/>
        <v>1763</v>
      </c>
      <c r="D46" s="24">
        <v>-1460</v>
      </c>
      <c r="E46" s="28">
        <v>2505</v>
      </c>
      <c r="F46" s="22">
        <f t="shared" si="3"/>
        <v>362</v>
      </c>
      <c r="G46" s="22">
        <f t="shared" si="4"/>
        <v>26</v>
      </c>
      <c r="H46" s="28">
        <f t="shared" si="5"/>
        <v>1558</v>
      </c>
      <c r="I46" s="24">
        <v>-1332</v>
      </c>
      <c r="J46" s="28">
        <v>2990</v>
      </c>
      <c r="K46" s="22">
        <f t="shared" si="6"/>
        <v>537</v>
      </c>
      <c r="L46" s="22">
        <f t="shared" si="7"/>
        <v>26</v>
      </c>
      <c r="M46" s="28">
        <f t="shared" si="8"/>
        <v>1807</v>
      </c>
      <c r="N46" s="24">
        <v>-1440</v>
      </c>
      <c r="O46" s="28">
        <v>3247</v>
      </c>
      <c r="P46" s="22">
        <f t="shared" si="9"/>
        <v>308</v>
      </c>
      <c r="Q46" s="36"/>
      <c r="R46" s="30"/>
    </row>
    <row r="47" spans="1:18" ht="15.75" customHeight="1" x14ac:dyDescent="0.2">
      <c r="A47" s="37">
        <v>45746</v>
      </c>
      <c r="B47" s="22">
        <f t="shared" si="1"/>
        <v>27</v>
      </c>
      <c r="C47" s="28">
        <f t="shared" si="2"/>
        <v>1753</v>
      </c>
      <c r="D47" s="24">
        <v>-1470</v>
      </c>
      <c r="E47" s="28">
        <v>2505</v>
      </c>
      <c r="F47" s="22">
        <f t="shared" si="3"/>
        <v>372</v>
      </c>
      <c r="G47" s="22">
        <f t="shared" si="4"/>
        <v>27</v>
      </c>
      <c r="H47" s="28">
        <f t="shared" si="5"/>
        <v>1546</v>
      </c>
      <c r="I47" s="24">
        <v>-1344</v>
      </c>
      <c r="J47" s="28">
        <v>2990</v>
      </c>
      <c r="K47" s="22">
        <f t="shared" si="6"/>
        <v>549</v>
      </c>
      <c r="L47" s="22">
        <f t="shared" si="7"/>
        <v>27</v>
      </c>
      <c r="M47" s="28">
        <f t="shared" si="8"/>
        <v>1796</v>
      </c>
      <c r="N47" s="24">
        <v>-1451</v>
      </c>
      <c r="O47" s="28">
        <v>3247</v>
      </c>
      <c r="P47" s="22">
        <f t="shared" si="9"/>
        <v>319</v>
      </c>
      <c r="Q47" s="36"/>
      <c r="R47" s="30"/>
    </row>
    <row r="48" spans="1:18" ht="15.75" customHeight="1" x14ac:dyDescent="0.2">
      <c r="A48" s="37">
        <v>45747</v>
      </c>
      <c r="B48" s="22">
        <f t="shared" si="1"/>
        <v>28</v>
      </c>
      <c r="C48" s="28">
        <f t="shared" si="2"/>
        <v>1743</v>
      </c>
      <c r="D48" s="24">
        <v>-1480</v>
      </c>
      <c r="E48" s="28">
        <v>2505</v>
      </c>
      <c r="F48" s="22">
        <f t="shared" si="3"/>
        <v>382</v>
      </c>
      <c r="G48" s="22">
        <f t="shared" si="4"/>
        <v>28</v>
      </c>
      <c r="H48" s="28">
        <f t="shared" si="5"/>
        <v>1533</v>
      </c>
      <c r="I48" s="24">
        <v>-1357</v>
      </c>
      <c r="J48" s="28">
        <v>2990</v>
      </c>
      <c r="K48" s="22">
        <f t="shared" si="6"/>
        <v>562</v>
      </c>
      <c r="L48" s="22">
        <f t="shared" si="7"/>
        <v>28</v>
      </c>
      <c r="M48" s="28">
        <f t="shared" si="8"/>
        <v>1785</v>
      </c>
      <c r="N48" s="24">
        <v>-1462</v>
      </c>
      <c r="O48" s="28">
        <v>3247</v>
      </c>
      <c r="P48" s="22">
        <f t="shared" si="9"/>
        <v>330</v>
      </c>
      <c r="Q48" s="36"/>
      <c r="R48" s="30"/>
    </row>
    <row r="49" spans="1:18" ht="15.75" customHeight="1" x14ac:dyDescent="0.2">
      <c r="A49" s="37">
        <v>45748</v>
      </c>
      <c r="B49" s="22">
        <f t="shared" si="1"/>
        <v>29</v>
      </c>
      <c r="C49" s="28">
        <f t="shared" si="2"/>
        <v>1735</v>
      </c>
      <c r="D49" s="24">
        <v>-1488</v>
      </c>
      <c r="E49" s="28">
        <v>2505</v>
      </c>
      <c r="F49" s="22">
        <f t="shared" si="3"/>
        <v>390</v>
      </c>
      <c r="G49" s="22">
        <f t="shared" si="4"/>
        <v>29</v>
      </c>
      <c r="H49" s="28">
        <f t="shared" si="5"/>
        <v>1528</v>
      </c>
      <c r="I49" s="24">
        <v>-1362</v>
      </c>
      <c r="J49" s="28">
        <v>2990</v>
      </c>
      <c r="K49" s="22">
        <f t="shared" si="6"/>
        <v>567</v>
      </c>
      <c r="L49" s="22">
        <f t="shared" si="7"/>
        <v>29</v>
      </c>
      <c r="M49" s="28">
        <f t="shared" si="8"/>
        <v>1779</v>
      </c>
      <c r="N49" s="24">
        <v>-1468</v>
      </c>
      <c r="O49" s="28">
        <v>3247</v>
      </c>
      <c r="P49" s="22">
        <f t="shared" si="9"/>
        <v>336</v>
      </c>
      <c r="Q49" s="36"/>
      <c r="R49" s="30"/>
    </row>
    <row r="50" spans="1:18" ht="15.75" customHeight="1" x14ac:dyDescent="0.2">
      <c r="A50" s="37">
        <v>45749</v>
      </c>
      <c r="B50" s="22">
        <f t="shared" si="1"/>
        <v>30</v>
      </c>
      <c r="C50" s="28">
        <f t="shared" si="2"/>
        <v>1728</v>
      </c>
      <c r="D50" s="24">
        <v>-1495</v>
      </c>
      <c r="E50" s="28">
        <v>2505</v>
      </c>
      <c r="F50" s="22">
        <f t="shared" si="3"/>
        <v>397</v>
      </c>
      <c r="G50" s="22">
        <f t="shared" si="4"/>
        <v>30</v>
      </c>
      <c r="H50" s="28">
        <f t="shared" si="5"/>
        <v>1523</v>
      </c>
      <c r="I50" s="24">
        <v>-1367</v>
      </c>
      <c r="J50" s="28">
        <v>2990</v>
      </c>
      <c r="K50" s="22">
        <f t="shared" si="6"/>
        <v>572</v>
      </c>
      <c r="L50" s="22">
        <f t="shared" si="7"/>
        <v>30</v>
      </c>
      <c r="M50" s="28">
        <f t="shared" si="8"/>
        <v>1773</v>
      </c>
      <c r="N50" s="24">
        <v>-1474</v>
      </c>
      <c r="O50" s="28">
        <v>3247</v>
      </c>
      <c r="P50" s="22">
        <f t="shared" si="9"/>
        <v>342</v>
      </c>
      <c r="Q50" s="36"/>
      <c r="R50" s="30"/>
    </row>
    <row r="51" spans="1:18" ht="15.75" customHeight="1" x14ac:dyDescent="0.2">
      <c r="A51" s="37">
        <v>45750</v>
      </c>
      <c r="B51" s="22">
        <f t="shared" si="1"/>
        <v>31</v>
      </c>
      <c r="C51" s="28">
        <f t="shared" si="2"/>
        <v>1716</v>
      </c>
      <c r="D51" s="24">
        <v>-1507</v>
      </c>
      <c r="E51" s="28">
        <v>2505</v>
      </c>
      <c r="F51" s="22">
        <f t="shared" si="3"/>
        <v>409</v>
      </c>
      <c r="G51" s="22">
        <f t="shared" si="4"/>
        <v>31</v>
      </c>
      <c r="H51" s="28">
        <f t="shared" si="5"/>
        <v>1510</v>
      </c>
      <c r="I51" s="24">
        <v>-1380</v>
      </c>
      <c r="J51" s="28">
        <v>2990</v>
      </c>
      <c r="K51" s="22">
        <f t="shared" si="6"/>
        <v>585</v>
      </c>
      <c r="L51" s="22">
        <f t="shared" si="7"/>
        <v>31</v>
      </c>
      <c r="M51" s="28">
        <f t="shared" si="8"/>
        <v>1763</v>
      </c>
      <c r="N51" s="24">
        <v>-1484</v>
      </c>
      <c r="O51" s="28">
        <v>3247</v>
      </c>
      <c r="P51" s="22">
        <f t="shared" si="9"/>
        <v>352</v>
      </c>
      <c r="Q51" s="36"/>
      <c r="R51" s="30"/>
    </row>
    <row r="52" spans="1:18" ht="15.75" customHeight="1" x14ac:dyDescent="0.2">
      <c r="A52" s="37">
        <v>45751</v>
      </c>
      <c r="B52" s="22">
        <f t="shared" si="1"/>
        <v>32</v>
      </c>
      <c r="C52" s="28">
        <f t="shared" si="2"/>
        <v>1703</v>
      </c>
      <c r="D52" s="24">
        <v>-1520</v>
      </c>
      <c r="E52" s="28">
        <v>2505</v>
      </c>
      <c r="F52" s="22">
        <f t="shared" si="3"/>
        <v>422</v>
      </c>
      <c r="G52" s="22">
        <f t="shared" si="4"/>
        <v>32</v>
      </c>
      <c r="H52" s="28">
        <f t="shared" si="5"/>
        <v>1494</v>
      </c>
      <c r="I52" s="24">
        <v>-1396</v>
      </c>
      <c r="J52" s="28">
        <v>2990</v>
      </c>
      <c r="K52" s="22">
        <f t="shared" si="6"/>
        <v>601</v>
      </c>
      <c r="L52" s="22">
        <f t="shared" si="7"/>
        <v>32</v>
      </c>
      <c r="M52" s="28">
        <f t="shared" si="8"/>
        <v>1751</v>
      </c>
      <c r="N52" s="24">
        <v>-1496</v>
      </c>
      <c r="O52" s="28">
        <v>3247</v>
      </c>
      <c r="P52" s="22">
        <f t="shared" si="9"/>
        <v>364</v>
      </c>
      <c r="Q52" s="36"/>
      <c r="R52" s="30"/>
    </row>
    <row r="53" spans="1:18" ht="15.75" customHeight="1" x14ac:dyDescent="0.2">
      <c r="A53" s="37">
        <v>45752</v>
      </c>
      <c r="B53" s="22">
        <f t="shared" si="1"/>
        <v>33</v>
      </c>
      <c r="C53" s="28">
        <f t="shared" si="2"/>
        <v>1693</v>
      </c>
      <c r="D53" s="24">
        <v>-1530</v>
      </c>
      <c r="E53" s="28">
        <v>2505</v>
      </c>
      <c r="F53" s="22">
        <f t="shared" si="3"/>
        <v>432</v>
      </c>
      <c r="G53" s="22">
        <f t="shared" si="4"/>
        <v>33</v>
      </c>
      <c r="H53" s="28">
        <f t="shared" si="5"/>
        <v>1482</v>
      </c>
      <c r="I53" s="24">
        <v>-1408</v>
      </c>
      <c r="J53" s="28">
        <v>2990</v>
      </c>
      <c r="K53" s="22">
        <f t="shared" si="6"/>
        <v>613</v>
      </c>
      <c r="L53" s="22">
        <f t="shared" si="7"/>
        <v>33</v>
      </c>
      <c r="M53" s="28">
        <f t="shared" si="8"/>
        <v>1741</v>
      </c>
      <c r="N53" s="24">
        <v>-1506</v>
      </c>
      <c r="O53" s="28">
        <v>3247</v>
      </c>
      <c r="P53" s="22">
        <f t="shared" si="9"/>
        <v>374</v>
      </c>
      <c r="Q53" s="36"/>
      <c r="R53" s="30"/>
    </row>
    <row r="54" spans="1:18" ht="15.75" customHeight="1" x14ac:dyDescent="0.2">
      <c r="A54" s="37">
        <v>45753</v>
      </c>
      <c r="B54" s="22">
        <f t="shared" si="1"/>
        <v>34</v>
      </c>
      <c r="C54" s="28">
        <f t="shared" si="2"/>
        <v>1683</v>
      </c>
      <c r="D54" s="24">
        <v>-1540</v>
      </c>
      <c r="E54" s="28">
        <v>2505</v>
      </c>
      <c r="F54" s="22">
        <f t="shared" si="3"/>
        <v>442</v>
      </c>
      <c r="G54" s="22">
        <f t="shared" si="4"/>
        <v>34</v>
      </c>
      <c r="H54" s="28">
        <f t="shared" si="5"/>
        <v>1472</v>
      </c>
      <c r="I54" s="24">
        <v>-1418</v>
      </c>
      <c r="J54" s="28">
        <v>2990</v>
      </c>
      <c r="K54" s="22">
        <f t="shared" si="6"/>
        <v>623</v>
      </c>
      <c r="L54" s="22">
        <f t="shared" si="7"/>
        <v>34</v>
      </c>
      <c r="M54" s="28">
        <f t="shared" si="8"/>
        <v>1731</v>
      </c>
      <c r="N54" s="24">
        <v>-1516</v>
      </c>
      <c r="O54" s="28">
        <v>3247</v>
      </c>
      <c r="P54" s="22">
        <f t="shared" si="9"/>
        <v>384</v>
      </c>
      <c r="Q54" s="36"/>
      <c r="R54" s="30"/>
    </row>
    <row r="55" spans="1:18" ht="15.75" customHeight="1" x14ac:dyDescent="0.2">
      <c r="A55" s="37">
        <v>45754</v>
      </c>
      <c r="B55" s="22">
        <f t="shared" si="1"/>
        <v>35</v>
      </c>
      <c r="C55" s="28">
        <f t="shared" si="2"/>
        <v>1671</v>
      </c>
      <c r="D55" s="24">
        <v>-1552</v>
      </c>
      <c r="E55" s="28">
        <v>2505</v>
      </c>
      <c r="F55" s="22">
        <f t="shared" si="3"/>
        <v>454</v>
      </c>
      <c r="G55" s="22">
        <f t="shared" si="4"/>
        <v>35</v>
      </c>
      <c r="H55" s="28">
        <f t="shared" si="5"/>
        <v>1464</v>
      </c>
      <c r="I55" s="24">
        <v>-1426</v>
      </c>
      <c r="J55" s="28">
        <v>2990</v>
      </c>
      <c r="K55" s="22">
        <f t="shared" si="6"/>
        <v>631</v>
      </c>
      <c r="L55" s="22">
        <f t="shared" si="7"/>
        <v>35</v>
      </c>
      <c r="M55" s="28">
        <f t="shared" si="8"/>
        <v>1722</v>
      </c>
      <c r="N55" s="24">
        <v>-1525</v>
      </c>
      <c r="O55" s="28">
        <v>3247</v>
      </c>
      <c r="P55" s="22">
        <f t="shared" si="9"/>
        <v>393</v>
      </c>
      <c r="Q55" s="36"/>
      <c r="R55" s="30"/>
    </row>
    <row r="56" spans="1:18" ht="15.75" customHeight="1" x14ac:dyDescent="0.2">
      <c r="A56" s="37">
        <v>45755</v>
      </c>
      <c r="B56" s="22">
        <f t="shared" si="1"/>
        <v>36</v>
      </c>
      <c r="C56" s="28">
        <f t="shared" si="2"/>
        <v>1660</v>
      </c>
      <c r="D56" s="24">
        <v>-1563</v>
      </c>
      <c r="E56" s="28">
        <v>2505</v>
      </c>
      <c r="F56" s="22">
        <f t="shared" si="3"/>
        <v>465</v>
      </c>
      <c r="G56" s="22">
        <f t="shared" si="4"/>
        <v>36</v>
      </c>
      <c r="H56" s="28">
        <f t="shared" si="5"/>
        <v>1450</v>
      </c>
      <c r="I56" s="24">
        <v>-1440</v>
      </c>
      <c r="J56" s="28">
        <v>2990</v>
      </c>
      <c r="K56" s="22">
        <f t="shared" si="6"/>
        <v>645</v>
      </c>
      <c r="L56" s="22">
        <f t="shared" si="7"/>
        <v>36</v>
      </c>
      <c r="M56" s="28">
        <f t="shared" si="8"/>
        <v>1719</v>
      </c>
      <c r="N56" s="24">
        <v>-1528</v>
      </c>
      <c r="O56" s="28">
        <v>3247</v>
      </c>
      <c r="P56" s="22">
        <f t="shared" si="9"/>
        <v>396</v>
      </c>
      <c r="Q56" s="36"/>
      <c r="R56" s="30"/>
    </row>
    <row r="57" spans="1:18" ht="15.75" customHeight="1" x14ac:dyDescent="0.2">
      <c r="A57" s="37">
        <v>45756</v>
      </c>
      <c r="B57" s="22">
        <f t="shared" si="1"/>
        <v>37</v>
      </c>
      <c r="C57" s="28">
        <f t="shared" si="2"/>
        <v>1649</v>
      </c>
      <c r="D57" s="24">
        <v>-1574</v>
      </c>
      <c r="E57" s="28">
        <v>2505</v>
      </c>
      <c r="F57" s="22">
        <f t="shared" si="3"/>
        <v>476</v>
      </c>
      <c r="G57" s="22">
        <f t="shared" si="4"/>
        <v>37</v>
      </c>
      <c r="H57" s="28">
        <f t="shared" si="5"/>
        <v>1439</v>
      </c>
      <c r="I57" s="24">
        <v>-1451</v>
      </c>
      <c r="J57" s="28">
        <v>2990</v>
      </c>
      <c r="K57" s="22">
        <f t="shared" si="6"/>
        <v>656</v>
      </c>
      <c r="L57" s="22">
        <f t="shared" si="7"/>
        <v>37</v>
      </c>
      <c r="M57" s="28">
        <f t="shared" si="8"/>
        <v>1716</v>
      </c>
      <c r="N57" s="24">
        <v>-1531</v>
      </c>
      <c r="O57" s="28">
        <v>3247</v>
      </c>
      <c r="P57" s="22">
        <f t="shared" si="9"/>
        <v>399</v>
      </c>
      <c r="Q57" s="36"/>
      <c r="R57" s="30"/>
    </row>
    <row r="58" spans="1:18" ht="15.75" customHeight="1" x14ac:dyDescent="0.2">
      <c r="A58" s="37">
        <v>45757</v>
      </c>
      <c r="B58" s="22">
        <f t="shared" si="1"/>
        <v>38</v>
      </c>
      <c r="C58" s="28">
        <f t="shared" si="2"/>
        <v>1643</v>
      </c>
      <c r="D58" s="24">
        <v>-1580</v>
      </c>
      <c r="E58" s="28">
        <v>2505</v>
      </c>
      <c r="F58" s="22">
        <f t="shared" si="3"/>
        <v>482</v>
      </c>
      <c r="G58" s="22">
        <f t="shared" si="4"/>
        <v>38</v>
      </c>
      <c r="H58" s="28">
        <f t="shared" si="5"/>
        <v>1430</v>
      </c>
      <c r="I58" s="24">
        <v>-1460</v>
      </c>
      <c r="J58" s="28">
        <v>2990</v>
      </c>
      <c r="K58" s="22">
        <f t="shared" si="6"/>
        <v>665</v>
      </c>
      <c r="L58" s="22">
        <f t="shared" si="7"/>
        <v>38</v>
      </c>
      <c r="M58" s="28">
        <f t="shared" si="8"/>
        <v>1716</v>
      </c>
      <c r="N58" s="24">
        <v>-1531</v>
      </c>
      <c r="O58" s="28">
        <v>3247</v>
      </c>
      <c r="P58" s="22">
        <f t="shared" si="9"/>
        <v>399</v>
      </c>
      <c r="Q58" s="36"/>
      <c r="R58" s="30"/>
    </row>
    <row r="59" spans="1:18" ht="15.75" customHeight="1" x14ac:dyDescent="0.2">
      <c r="A59" s="37">
        <v>45758</v>
      </c>
      <c r="B59" s="22">
        <f t="shared" si="1"/>
        <v>39</v>
      </c>
      <c r="C59" s="28">
        <f t="shared" si="2"/>
        <v>1635</v>
      </c>
      <c r="D59" s="24">
        <v>-1588</v>
      </c>
      <c r="E59" s="28">
        <v>2505</v>
      </c>
      <c r="F59" s="22">
        <f t="shared" si="3"/>
        <v>490</v>
      </c>
      <c r="G59" s="22">
        <f t="shared" si="4"/>
        <v>39</v>
      </c>
      <c r="H59" s="28">
        <f t="shared" si="5"/>
        <v>1425</v>
      </c>
      <c r="I59" s="24">
        <v>-1465</v>
      </c>
      <c r="J59" s="28">
        <v>2990</v>
      </c>
      <c r="K59" s="22">
        <f t="shared" si="6"/>
        <v>670</v>
      </c>
      <c r="L59" s="22">
        <f t="shared" si="7"/>
        <v>39</v>
      </c>
      <c r="M59" s="28">
        <f t="shared" si="8"/>
        <v>1708</v>
      </c>
      <c r="N59" s="24">
        <v>-1539</v>
      </c>
      <c r="O59" s="28">
        <v>3247</v>
      </c>
      <c r="P59" s="22">
        <f t="shared" si="9"/>
        <v>407</v>
      </c>
      <c r="Q59" s="36"/>
      <c r="R59" s="30"/>
    </row>
    <row r="60" spans="1:18" ht="15.75" customHeight="1" x14ac:dyDescent="0.2">
      <c r="A60" s="37">
        <v>45759</v>
      </c>
      <c r="B60" s="22">
        <f t="shared" si="1"/>
        <v>40</v>
      </c>
      <c r="C60" s="28">
        <f t="shared" si="2"/>
        <v>1627</v>
      </c>
      <c r="D60" s="24">
        <v>-1596</v>
      </c>
      <c r="E60" s="28">
        <v>2505</v>
      </c>
      <c r="F60" s="22">
        <f t="shared" si="3"/>
        <v>498</v>
      </c>
      <c r="G60" s="22">
        <f t="shared" si="4"/>
        <v>40</v>
      </c>
      <c r="H60" s="28">
        <f t="shared" si="5"/>
        <v>1420</v>
      </c>
      <c r="I60" s="24">
        <v>-1470</v>
      </c>
      <c r="J60" s="28">
        <v>2990</v>
      </c>
      <c r="K60" s="22">
        <f t="shared" si="6"/>
        <v>675</v>
      </c>
      <c r="L60" s="22">
        <f t="shared" si="7"/>
        <v>40</v>
      </c>
      <c r="M60" s="28">
        <f t="shared" si="8"/>
        <v>1705</v>
      </c>
      <c r="N60" s="24">
        <v>-1542</v>
      </c>
      <c r="O60" s="28">
        <v>3247</v>
      </c>
      <c r="P60" s="22">
        <f t="shared" si="9"/>
        <v>410</v>
      </c>
      <c r="Q60" s="36"/>
      <c r="R60" s="30"/>
    </row>
    <row r="61" spans="1:18" ht="15.75" customHeight="1" x14ac:dyDescent="0.2">
      <c r="A61" s="37">
        <v>45760</v>
      </c>
      <c r="B61" s="22">
        <f t="shared" si="1"/>
        <v>41</v>
      </c>
      <c r="C61" s="28">
        <f t="shared" si="2"/>
        <v>1615</v>
      </c>
      <c r="D61" s="24">
        <v>-1608</v>
      </c>
      <c r="E61" s="28">
        <v>2505</v>
      </c>
      <c r="F61" s="22">
        <f t="shared" si="3"/>
        <v>510</v>
      </c>
      <c r="G61" s="22">
        <f t="shared" si="4"/>
        <v>41</v>
      </c>
      <c r="H61" s="28">
        <f t="shared" si="5"/>
        <v>1419</v>
      </c>
      <c r="I61" s="24">
        <v>-1471</v>
      </c>
      <c r="J61" s="28">
        <v>2990</v>
      </c>
      <c r="K61" s="22">
        <f t="shared" si="6"/>
        <v>676</v>
      </c>
      <c r="L61" s="22">
        <f t="shared" si="7"/>
        <v>41</v>
      </c>
      <c r="M61" s="28">
        <f t="shared" si="8"/>
        <v>1697</v>
      </c>
      <c r="N61" s="24">
        <v>-1550</v>
      </c>
      <c r="O61" s="28">
        <v>3247</v>
      </c>
      <c r="P61" s="22">
        <f t="shared" si="9"/>
        <v>418</v>
      </c>
      <c r="Q61" s="36"/>
      <c r="R61" s="30"/>
    </row>
    <row r="62" spans="1:18" ht="15.75" customHeight="1" x14ac:dyDescent="0.2">
      <c r="A62" s="37">
        <v>45761</v>
      </c>
      <c r="B62" s="22">
        <f t="shared" si="1"/>
        <v>42</v>
      </c>
      <c r="C62" s="28">
        <f t="shared" si="2"/>
        <v>1610</v>
      </c>
      <c r="D62" s="24">
        <v>-1613</v>
      </c>
      <c r="E62" s="28">
        <v>2505</v>
      </c>
      <c r="F62" s="22">
        <f t="shared" si="3"/>
        <v>515</v>
      </c>
      <c r="G62" s="22">
        <f t="shared" si="4"/>
        <v>42</v>
      </c>
      <c r="H62" s="28">
        <f t="shared" si="5"/>
        <v>1418</v>
      </c>
      <c r="I62" s="24">
        <v>-1472</v>
      </c>
      <c r="J62" s="28">
        <v>2990</v>
      </c>
      <c r="K62" s="22">
        <f t="shared" si="6"/>
        <v>677</v>
      </c>
      <c r="L62" s="22">
        <f t="shared" si="7"/>
        <v>42</v>
      </c>
      <c r="M62" s="28">
        <f t="shared" si="8"/>
        <v>1687</v>
      </c>
      <c r="N62" s="24">
        <v>-1560</v>
      </c>
      <c r="O62" s="28">
        <v>3247</v>
      </c>
      <c r="P62" s="22">
        <f t="shared" si="9"/>
        <v>428</v>
      </c>
      <c r="Q62" s="36"/>
      <c r="R62" s="30"/>
    </row>
    <row r="63" spans="1:18" ht="15.75" customHeight="1" x14ac:dyDescent="0.2">
      <c r="A63" s="37">
        <v>45762</v>
      </c>
      <c r="B63" s="22">
        <f t="shared" si="1"/>
        <v>43</v>
      </c>
      <c r="C63" s="28">
        <f t="shared" si="2"/>
        <v>1603</v>
      </c>
      <c r="D63" s="24">
        <v>-1620</v>
      </c>
      <c r="E63" s="28">
        <v>2505</v>
      </c>
      <c r="F63" s="22">
        <f t="shared" si="3"/>
        <v>522</v>
      </c>
      <c r="G63" s="22">
        <f t="shared" si="4"/>
        <v>43</v>
      </c>
      <c r="H63" s="28">
        <f t="shared" si="5"/>
        <v>1415</v>
      </c>
      <c r="I63" s="24">
        <v>-1475</v>
      </c>
      <c r="J63" s="28">
        <v>2990</v>
      </c>
      <c r="K63" s="22">
        <f t="shared" si="6"/>
        <v>680</v>
      </c>
      <c r="L63" s="22">
        <f t="shared" si="7"/>
        <v>43</v>
      </c>
      <c r="M63" s="28">
        <f t="shared" si="8"/>
        <v>1677</v>
      </c>
      <c r="N63" s="24">
        <v>-1570</v>
      </c>
      <c r="O63" s="28">
        <v>3247</v>
      </c>
      <c r="P63" s="22">
        <f t="shared" si="9"/>
        <v>438</v>
      </c>
      <c r="Q63" s="36"/>
      <c r="R63" s="30"/>
    </row>
    <row r="64" spans="1:18" ht="15.75" customHeight="1" x14ac:dyDescent="0.2">
      <c r="A64" s="37">
        <v>45763</v>
      </c>
      <c r="B64" s="22">
        <f t="shared" si="1"/>
        <v>44</v>
      </c>
      <c r="C64" s="28">
        <f t="shared" si="2"/>
        <v>1996</v>
      </c>
      <c r="D64" s="24">
        <v>-1227</v>
      </c>
      <c r="E64" s="28">
        <v>2505</v>
      </c>
      <c r="F64" s="22">
        <f t="shared" si="3"/>
        <v>129</v>
      </c>
      <c r="G64" s="22">
        <f t="shared" si="4"/>
        <v>44</v>
      </c>
      <c r="H64" s="28">
        <f t="shared" si="5"/>
        <v>1410</v>
      </c>
      <c r="I64" s="24">
        <v>-1480</v>
      </c>
      <c r="J64" s="28">
        <v>2990</v>
      </c>
      <c r="K64" s="22">
        <f t="shared" si="6"/>
        <v>685</v>
      </c>
      <c r="L64" s="22">
        <f t="shared" si="7"/>
        <v>44</v>
      </c>
      <c r="M64" s="28">
        <f t="shared" si="8"/>
        <v>1667</v>
      </c>
      <c r="N64" s="24">
        <v>-1580</v>
      </c>
      <c r="O64" s="28">
        <v>3247</v>
      </c>
      <c r="P64" s="22">
        <f t="shared" si="9"/>
        <v>448</v>
      </c>
      <c r="Q64" s="36"/>
      <c r="R64" s="30"/>
    </row>
    <row r="65" spans="1:18" ht="15.75" customHeight="1" x14ac:dyDescent="0.2">
      <c r="A65" s="37">
        <v>45764</v>
      </c>
      <c r="B65" s="22">
        <f t="shared" si="1"/>
        <v>45</v>
      </c>
      <c r="C65" s="28">
        <f t="shared" si="2"/>
        <v>1589</v>
      </c>
      <c r="D65" s="24">
        <v>-1634</v>
      </c>
      <c r="E65" s="28">
        <v>2505</v>
      </c>
      <c r="F65" s="22">
        <f t="shared" si="3"/>
        <v>536</v>
      </c>
      <c r="G65" s="22">
        <f t="shared" si="4"/>
        <v>45</v>
      </c>
      <c r="H65" s="28">
        <f t="shared" si="5"/>
        <v>1405</v>
      </c>
      <c r="I65" s="24">
        <v>-1485</v>
      </c>
      <c r="J65" s="28">
        <v>2990</v>
      </c>
      <c r="K65" s="22">
        <f t="shared" si="6"/>
        <v>690</v>
      </c>
      <c r="L65" s="22">
        <f t="shared" si="7"/>
        <v>45</v>
      </c>
      <c r="M65" s="28">
        <f t="shared" si="8"/>
        <v>1657</v>
      </c>
      <c r="N65" s="24">
        <v>-1590</v>
      </c>
      <c r="O65" s="28">
        <v>3247</v>
      </c>
      <c r="P65" s="22">
        <f t="shared" si="9"/>
        <v>458</v>
      </c>
      <c r="Q65" s="36"/>
      <c r="R65" s="30"/>
    </row>
    <row r="66" spans="1:18" ht="15.75" customHeight="1" x14ac:dyDescent="0.2">
      <c r="A66" s="37">
        <v>45765</v>
      </c>
      <c r="B66" s="22">
        <f t="shared" si="1"/>
        <v>46</v>
      </c>
      <c r="C66" s="28">
        <f t="shared" si="2"/>
        <v>1585</v>
      </c>
      <c r="D66" s="24">
        <v>-1638</v>
      </c>
      <c r="E66" s="28">
        <v>2505</v>
      </c>
      <c r="F66" s="22">
        <f t="shared" si="3"/>
        <v>540</v>
      </c>
      <c r="G66" s="22">
        <f t="shared" si="4"/>
        <v>46</v>
      </c>
      <c r="H66" s="28">
        <f t="shared" si="5"/>
        <v>1400</v>
      </c>
      <c r="I66" s="24">
        <v>-1490</v>
      </c>
      <c r="J66" s="28">
        <v>2990</v>
      </c>
      <c r="K66" s="22">
        <f t="shared" si="6"/>
        <v>695</v>
      </c>
      <c r="L66" s="22">
        <f t="shared" si="7"/>
        <v>46</v>
      </c>
      <c r="M66" s="28">
        <f t="shared" si="8"/>
        <v>1651</v>
      </c>
      <c r="N66" s="24">
        <v>-1596</v>
      </c>
      <c r="O66" s="28">
        <v>3247</v>
      </c>
      <c r="P66" s="22">
        <f t="shared" si="9"/>
        <v>464</v>
      </c>
      <c r="Q66" s="36"/>
      <c r="R66" s="30"/>
    </row>
    <row r="67" spans="1:18" ht="15.75" customHeight="1" x14ac:dyDescent="0.2">
      <c r="A67" s="37">
        <v>45766</v>
      </c>
      <c r="B67" s="22">
        <f t="shared" si="1"/>
        <v>47</v>
      </c>
      <c r="C67" s="28">
        <f t="shared" si="2"/>
        <v>1583</v>
      </c>
      <c r="D67" s="24">
        <v>-1640</v>
      </c>
      <c r="E67" s="28">
        <v>2505</v>
      </c>
      <c r="F67" s="22">
        <f t="shared" si="3"/>
        <v>542</v>
      </c>
      <c r="G67" s="22">
        <f t="shared" si="4"/>
        <v>47</v>
      </c>
      <c r="H67" s="28">
        <f t="shared" si="5"/>
        <v>1395</v>
      </c>
      <c r="I67" s="24">
        <v>-1495</v>
      </c>
      <c r="J67" s="28">
        <v>2990</v>
      </c>
      <c r="K67" s="22">
        <f t="shared" si="6"/>
        <v>700</v>
      </c>
      <c r="L67" s="22">
        <f t="shared" si="7"/>
        <v>47</v>
      </c>
      <c r="M67" s="28">
        <f t="shared" si="8"/>
        <v>1645</v>
      </c>
      <c r="N67" s="24">
        <v>-1602</v>
      </c>
      <c r="O67" s="28">
        <v>3247</v>
      </c>
      <c r="P67" s="22">
        <f t="shared" si="9"/>
        <v>470</v>
      </c>
      <c r="Q67" s="36"/>
      <c r="R67" s="30"/>
    </row>
    <row r="68" spans="1:18" ht="15.75" customHeight="1" x14ac:dyDescent="0.2">
      <c r="A68" s="37">
        <v>45767</v>
      </c>
      <c r="B68" s="22">
        <f t="shared" si="1"/>
        <v>48</v>
      </c>
      <c r="C68" s="28">
        <f t="shared" si="2"/>
        <v>1581</v>
      </c>
      <c r="D68" s="24">
        <v>-1642</v>
      </c>
      <c r="E68" s="28">
        <v>2505</v>
      </c>
      <c r="F68" s="22">
        <f t="shared" si="3"/>
        <v>544</v>
      </c>
      <c r="G68" s="22">
        <f t="shared" si="4"/>
        <v>48</v>
      </c>
      <c r="H68" s="28">
        <f t="shared" si="5"/>
        <v>1390</v>
      </c>
      <c r="I68" s="24">
        <v>-1500</v>
      </c>
      <c r="J68" s="28">
        <v>2990</v>
      </c>
      <c r="K68" s="22">
        <f t="shared" si="6"/>
        <v>705</v>
      </c>
      <c r="L68" s="22">
        <f t="shared" si="7"/>
        <v>48</v>
      </c>
      <c r="M68" s="28">
        <f t="shared" si="8"/>
        <v>1639</v>
      </c>
      <c r="N68" s="24">
        <v>-1608</v>
      </c>
      <c r="O68" s="28">
        <v>3247</v>
      </c>
      <c r="P68" s="22">
        <f t="shared" si="9"/>
        <v>476</v>
      </c>
      <c r="Q68" s="36"/>
      <c r="R68" s="30"/>
    </row>
    <row r="69" spans="1:18" ht="15.75" customHeight="1" x14ac:dyDescent="0.2">
      <c r="A69" s="37">
        <v>45768</v>
      </c>
      <c r="B69" s="22">
        <f t="shared" si="1"/>
        <v>49</v>
      </c>
      <c r="C69" s="28">
        <f t="shared" si="2"/>
        <v>1577</v>
      </c>
      <c r="D69" s="24">
        <v>-1646</v>
      </c>
      <c r="E69" s="28">
        <v>2505</v>
      </c>
      <c r="F69" s="22">
        <f t="shared" si="3"/>
        <v>548</v>
      </c>
      <c r="G69" s="22">
        <f t="shared" si="4"/>
        <v>49</v>
      </c>
      <c r="H69" s="28">
        <f t="shared" si="5"/>
        <v>1385</v>
      </c>
      <c r="I69" s="24">
        <v>-1505</v>
      </c>
      <c r="J69" s="28">
        <v>2990</v>
      </c>
      <c r="K69" s="22">
        <f t="shared" si="6"/>
        <v>710</v>
      </c>
      <c r="L69" s="22">
        <f t="shared" si="7"/>
        <v>49</v>
      </c>
      <c r="M69" s="28">
        <f t="shared" si="8"/>
        <v>1633</v>
      </c>
      <c r="N69" s="24">
        <v>-1614</v>
      </c>
      <c r="O69" s="28">
        <v>3247</v>
      </c>
      <c r="P69" s="22">
        <f t="shared" si="9"/>
        <v>482</v>
      </c>
      <c r="Q69" s="36"/>
      <c r="R69" s="30"/>
    </row>
    <row r="70" spans="1:18" ht="15.75" customHeight="1" x14ac:dyDescent="0.2">
      <c r="A70" s="37">
        <v>45769</v>
      </c>
      <c r="B70" s="22">
        <f t="shared" si="1"/>
        <v>50</v>
      </c>
      <c r="C70" s="28">
        <f t="shared" si="2"/>
        <v>1573</v>
      </c>
      <c r="D70" s="24">
        <v>-1650</v>
      </c>
      <c r="E70" s="28">
        <v>2505</v>
      </c>
      <c r="F70" s="22">
        <f t="shared" si="3"/>
        <v>552</v>
      </c>
      <c r="G70" s="22">
        <f t="shared" si="4"/>
        <v>50</v>
      </c>
      <c r="H70" s="28">
        <f t="shared" si="5"/>
        <v>1380</v>
      </c>
      <c r="I70" s="24">
        <v>-1510</v>
      </c>
      <c r="J70" s="28">
        <v>2990</v>
      </c>
      <c r="K70" s="22">
        <f t="shared" si="6"/>
        <v>715</v>
      </c>
      <c r="L70" s="22">
        <f t="shared" si="7"/>
        <v>50</v>
      </c>
      <c r="M70" s="28">
        <f t="shared" si="8"/>
        <v>1627</v>
      </c>
      <c r="N70" s="24">
        <v>-1620</v>
      </c>
      <c r="O70" s="28">
        <v>3247</v>
      </c>
      <c r="P70" s="22">
        <f t="shared" si="9"/>
        <v>488</v>
      </c>
      <c r="Q70" s="36"/>
      <c r="R70" s="30"/>
    </row>
    <row r="71" spans="1:18" ht="15.75" customHeight="1" x14ac:dyDescent="0.2">
      <c r="A71" s="37">
        <v>45770</v>
      </c>
      <c r="B71" s="22">
        <f t="shared" si="1"/>
        <v>51</v>
      </c>
      <c r="C71" s="28">
        <f t="shared" si="2"/>
        <v>1567</v>
      </c>
      <c r="D71" s="24">
        <v>-1652</v>
      </c>
      <c r="E71" s="28">
        <v>2505</v>
      </c>
      <c r="F71" s="22">
        <f>$D$21-D72</f>
        <v>558</v>
      </c>
      <c r="G71" s="22">
        <f t="shared" si="4"/>
        <v>51</v>
      </c>
      <c r="H71" s="28">
        <f t="shared" si="5"/>
        <v>1375</v>
      </c>
      <c r="I71" s="24">
        <v>-1515</v>
      </c>
      <c r="J71" s="28">
        <v>2990</v>
      </c>
      <c r="K71" s="22">
        <f t="shared" si="6"/>
        <v>720</v>
      </c>
      <c r="L71" s="22">
        <f t="shared" si="7"/>
        <v>51</v>
      </c>
      <c r="M71" s="28">
        <f t="shared" si="8"/>
        <v>1617</v>
      </c>
      <c r="N71" s="24">
        <v>-1630</v>
      </c>
      <c r="O71" s="28">
        <v>3247</v>
      </c>
      <c r="P71" s="22">
        <f t="shared" si="9"/>
        <v>498</v>
      </c>
      <c r="Q71" s="36"/>
      <c r="R71" s="30"/>
    </row>
    <row r="72" spans="1:18" ht="15.75" customHeight="1" x14ac:dyDescent="0.2">
      <c r="A72" s="37">
        <v>45771</v>
      </c>
      <c r="B72" s="22">
        <f t="shared" si="1"/>
        <v>52</v>
      </c>
      <c r="C72" s="28" t="e">
        <f t="shared" si="2"/>
        <v>#REF!</v>
      </c>
      <c r="D72" s="24">
        <v>-1656</v>
      </c>
      <c r="E72" s="28">
        <v>2505</v>
      </c>
      <c r="F72" s="22" t="e">
        <f>$D$21-#REF!</f>
        <v>#REF!</v>
      </c>
      <c r="G72" s="22">
        <f t="shared" si="4"/>
        <v>52</v>
      </c>
      <c r="H72" s="28">
        <f t="shared" si="5"/>
        <v>1370</v>
      </c>
      <c r="I72" s="24">
        <v>-1520</v>
      </c>
      <c r="J72" s="28">
        <v>2990</v>
      </c>
      <c r="K72" s="22">
        <f t="shared" si="6"/>
        <v>725</v>
      </c>
      <c r="L72" s="22">
        <f t="shared" si="7"/>
        <v>52</v>
      </c>
      <c r="M72" s="28">
        <f t="shared" si="8"/>
        <v>1606</v>
      </c>
      <c r="N72" s="24">
        <v>-1641</v>
      </c>
      <c r="O72" s="28">
        <v>3247</v>
      </c>
      <c r="P72" s="22">
        <f t="shared" si="9"/>
        <v>509</v>
      </c>
      <c r="Q72" s="36"/>
      <c r="R72" s="30"/>
    </row>
    <row r="73" spans="1:18" ht="15.75" customHeight="1" x14ac:dyDescent="0.2">
      <c r="A73" s="37">
        <v>45772</v>
      </c>
      <c r="B73" s="22">
        <f t="shared" si="1"/>
        <v>53</v>
      </c>
      <c r="C73" s="28">
        <f t="shared" si="2"/>
        <v>1563</v>
      </c>
      <c r="D73" s="24">
        <v>-1660</v>
      </c>
      <c r="E73" s="28">
        <v>2505</v>
      </c>
      <c r="F73" s="22">
        <f t="shared" ref="F73:F168" si="10">$D$21-D73</f>
        <v>562</v>
      </c>
      <c r="G73" s="22">
        <f t="shared" si="4"/>
        <v>53</v>
      </c>
      <c r="H73" s="28">
        <f t="shared" si="5"/>
        <v>1350</v>
      </c>
      <c r="I73" s="24">
        <v>-1540</v>
      </c>
      <c r="J73" s="28">
        <v>2990</v>
      </c>
      <c r="K73" s="22">
        <f t="shared" si="6"/>
        <v>745</v>
      </c>
      <c r="L73" s="22">
        <f t="shared" si="7"/>
        <v>53</v>
      </c>
      <c r="M73" s="28">
        <f t="shared" si="8"/>
        <v>1597</v>
      </c>
      <c r="N73" s="24">
        <v>-1650</v>
      </c>
      <c r="O73" s="28">
        <v>3247</v>
      </c>
      <c r="P73" s="22">
        <f t="shared" si="9"/>
        <v>518</v>
      </c>
      <c r="Q73" s="36"/>
      <c r="R73" s="30"/>
    </row>
    <row r="74" spans="1:18" ht="15.75" customHeight="1" x14ac:dyDescent="0.2">
      <c r="A74" s="37">
        <v>45773</v>
      </c>
      <c r="B74" s="22">
        <f t="shared" si="1"/>
        <v>54</v>
      </c>
      <c r="C74" s="28">
        <f t="shared" si="2"/>
        <v>1559</v>
      </c>
      <c r="D74" s="24">
        <v>-1664</v>
      </c>
      <c r="E74" s="28">
        <v>2505</v>
      </c>
      <c r="F74" s="22">
        <f t="shared" si="10"/>
        <v>566</v>
      </c>
      <c r="G74" s="22">
        <f t="shared" si="4"/>
        <v>54</v>
      </c>
      <c r="H74" s="28">
        <f t="shared" si="5"/>
        <v>1330</v>
      </c>
      <c r="I74" s="24">
        <v>-1560</v>
      </c>
      <c r="J74" s="28">
        <v>2990</v>
      </c>
      <c r="K74" s="22">
        <f t="shared" si="6"/>
        <v>765</v>
      </c>
      <c r="L74" s="22">
        <f t="shared" si="7"/>
        <v>54</v>
      </c>
      <c r="M74" s="28">
        <f t="shared" si="8"/>
        <v>1592</v>
      </c>
      <c r="N74" s="24">
        <v>-1655</v>
      </c>
      <c r="O74" s="28">
        <v>3247</v>
      </c>
      <c r="P74" s="22">
        <f t="shared" si="9"/>
        <v>523</v>
      </c>
      <c r="Q74" s="36"/>
      <c r="R74" s="30"/>
    </row>
    <row r="75" spans="1:18" ht="15.75" customHeight="1" x14ac:dyDescent="0.2">
      <c r="A75" s="37">
        <v>45774</v>
      </c>
      <c r="B75" s="22">
        <f t="shared" si="1"/>
        <v>55</v>
      </c>
      <c r="C75" s="28">
        <f t="shared" si="2"/>
        <v>1555</v>
      </c>
      <c r="D75" s="24">
        <v>-1668</v>
      </c>
      <c r="E75" s="28">
        <v>2505</v>
      </c>
      <c r="F75" s="22">
        <f t="shared" si="10"/>
        <v>570</v>
      </c>
      <c r="G75" s="22">
        <f t="shared" si="4"/>
        <v>55</v>
      </c>
      <c r="H75" s="28">
        <f t="shared" si="5"/>
        <v>1320</v>
      </c>
      <c r="I75" s="24">
        <v>-1570</v>
      </c>
      <c r="J75" s="28">
        <v>2990</v>
      </c>
      <c r="K75" s="22">
        <f t="shared" si="6"/>
        <v>775</v>
      </c>
      <c r="L75" s="22">
        <f t="shared" si="7"/>
        <v>55</v>
      </c>
      <c r="M75" s="28">
        <f t="shared" si="8"/>
        <v>1587</v>
      </c>
      <c r="N75" s="24">
        <v>-1660</v>
      </c>
      <c r="O75" s="28">
        <v>3247</v>
      </c>
      <c r="P75" s="22">
        <f t="shared" si="9"/>
        <v>528</v>
      </c>
      <c r="Q75" s="36"/>
      <c r="R75" s="30"/>
    </row>
    <row r="76" spans="1:18" ht="15.75" customHeight="1" x14ac:dyDescent="0.2">
      <c r="A76" s="37">
        <v>45775</v>
      </c>
      <c r="B76" s="22">
        <f t="shared" si="1"/>
        <v>56</v>
      </c>
      <c r="C76" s="28">
        <f t="shared" si="2"/>
        <v>1548</v>
      </c>
      <c r="D76" s="24">
        <v>-1675</v>
      </c>
      <c r="E76" s="28">
        <v>2505</v>
      </c>
      <c r="F76" s="22">
        <f t="shared" si="10"/>
        <v>577</v>
      </c>
      <c r="G76" s="22">
        <f t="shared" si="4"/>
        <v>56</v>
      </c>
      <c r="H76" s="28">
        <f t="shared" si="5"/>
        <v>1310</v>
      </c>
      <c r="I76" s="24">
        <v>-1580</v>
      </c>
      <c r="J76" s="28">
        <v>2990</v>
      </c>
      <c r="K76" s="22">
        <f t="shared" si="6"/>
        <v>785</v>
      </c>
      <c r="L76" s="22">
        <f t="shared" si="7"/>
        <v>56</v>
      </c>
      <c r="M76" s="28">
        <f t="shared" si="8"/>
        <v>1582</v>
      </c>
      <c r="N76" s="24">
        <v>-1665</v>
      </c>
      <c r="O76" s="28">
        <v>3247</v>
      </c>
      <c r="P76" s="22">
        <f t="shared" si="9"/>
        <v>533</v>
      </c>
      <c r="Q76" s="36"/>
      <c r="R76" s="30"/>
    </row>
    <row r="77" spans="1:18" ht="15.75" customHeight="1" x14ac:dyDescent="0.2">
      <c r="A77" s="37">
        <v>45776</v>
      </c>
      <c r="B77" s="22">
        <f t="shared" si="1"/>
        <v>57</v>
      </c>
      <c r="C77" s="28">
        <f t="shared" si="2"/>
        <v>1538</v>
      </c>
      <c r="D77" s="24">
        <v>-1685</v>
      </c>
      <c r="E77" s="28">
        <v>2505</v>
      </c>
      <c r="F77" s="22">
        <f t="shared" si="10"/>
        <v>587</v>
      </c>
      <c r="G77" s="22">
        <f t="shared" si="4"/>
        <v>57</v>
      </c>
      <c r="H77" s="28">
        <f t="shared" si="5"/>
        <v>1300</v>
      </c>
      <c r="I77" s="24">
        <v>-1590</v>
      </c>
      <c r="J77" s="28">
        <v>2990</v>
      </c>
      <c r="K77" s="22">
        <f t="shared" si="6"/>
        <v>795</v>
      </c>
      <c r="L77" s="22">
        <f t="shared" si="7"/>
        <v>57</v>
      </c>
      <c r="M77" s="28">
        <f t="shared" si="8"/>
        <v>1577</v>
      </c>
      <c r="N77" s="24">
        <v>-1670</v>
      </c>
      <c r="O77" s="28">
        <v>3247</v>
      </c>
      <c r="P77" s="22">
        <f t="shared" si="9"/>
        <v>538</v>
      </c>
      <c r="Q77" s="36"/>
      <c r="R77" s="30"/>
    </row>
    <row r="78" spans="1:18" ht="15.75" customHeight="1" x14ac:dyDescent="0.2">
      <c r="A78" s="37">
        <v>45777</v>
      </c>
      <c r="B78" s="22">
        <f t="shared" si="1"/>
        <v>58</v>
      </c>
      <c r="C78" s="28">
        <f t="shared" si="2"/>
        <v>1528</v>
      </c>
      <c r="D78" s="24">
        <v>-1695</v>
      </c>
      <c r="E78" s="28">
        <v>2505</v>
      </c>
      <c r="F78" s="22">
        <f t="shared" si="10"/>
        <v>597</v>
      </c>
      <c r="G78" s="22">
        <f t="shared" si="4"/>
        <v>58</v>
      </c>
      <c r="H78" s="28">
        <f t="shared" si="5"/>
        <v>1290</v>
      </c>
      <c r="I78" s="24">
        <v>-1600</v>
      </c>
      <c r="J78" s="28">
        <v>2990</v>
      </c>
      <c r="K78" s="22">
        <f t="shared" si="6"/>
        <v>805</v>
      </c>
      <c r="L78" s="22">
        <f t="shared" si="7"/>
        <v>58</v>
      </c>
      <c r="M78" s="28">
        <f t="shared" si="8"/>
        <v>1572</v>
      </c>
      <c r="N78" s="24">
        <v>-1675</v>
      </c>
      <c r="O78" s="28">
        <v>3247</v>
      </c>
      <c r="P78" s="22">
        <f t="shared" si="9"/>
        <v>543</v>
      </c>
      <c r="Q78" s="36"/>
      <c r="R78" s="30"/>
    </row>
    <row r="79" spans="1:18" ht="15.75" customHeight="1" x14ac:dyDescent="0.2">
      <c r="A79" s="37">
        <v>45778</v>
      </c>
      <c r="B79" s="22">
        <f t="shared" si="1"/>
        <v>59</v>
      </c>
      <c r="C79" s="28">
        <f t="shared" si="2"/>
        <v>1518</v>
      </c>
      <c r="D79" s="24">
        <v>-1705</v>
      </c>
      <c r="E79" s="28">
        <v>2505</v>
      </c>
      <c r="F79" s="22">
        <f t="shared" si="10"/>
        <v>607</v>
      </c>
      <c r="G79" s="22">
        <f t="shared" si="4"/>
        <v>59</v>
      </c>
      <c r="H79" s="28">
        <f t="shared" si="5"/>
        <v>1280</v>
      </c>
      <c r="I79" s="24">
        <v>-1610</v>
      </c>
      <c r="J79" s="28">
        <v>2990</v>
      </c>
      <c r="K79" s="22">
        <f t="shared" si="6"/>
        <v>815</v>
      </c>
      <c r="L79" s="22">
        <f t="shared" si="7"/>
        <v>59</v>
      </c>
      <c r="M79" s="28">
        <f t="shared" si="8"/>
        <v>1567</v>
      </c>
      <c r="N79" s="24">
        <v>-1680</v>
      </c>
      <c r="O79" s="28">
        <v>3247</v>
      </c>
      <c r="P79" s="22">
        <f t="shared" si="9"/>
        <v>548</v>
      </c>
      <c r="Q79" s="36"/>
      <c r="R79" s="30"/>
    </row>
    <row r="80" spans="1:18" ht="15.75" customHeight="1" x14ac:dyDescent="0.2">
      <c r="A80" s="37">
        <v>45779</v>
      </c>
      <c r="B80" s="22">
        <f t="shared" si="1"/>
        <v>60</v>
      </c>
      <c r="C80" s="28">
        <f t="shared" si="2"/>
        <v>1508</v>
      </c>
      <c r="D80" s="24">
        <v>-1715</v>
      </c>
      <c r="E80" s="28">
        <v>2505</v>
      </c>
      <c r="F80" s="22">
        <f t="shared" si="10"/>
        <v>617</v>
      </c>
      <c r="G80" s="22">
        <f t="shared" si="4"/>
        <v>60</v>
      </c>
      <c r="H80" s="28">
        <f t="shared" si="5"/>
        <v>1271</v>
      </c>
      <c r="I80" s="24">
        <v>-1619</v>
      </c>
      <c r="J80" s="28">
        <v>2990</v>
      </c>
      <c r="K80" s="22">
        <f t="shared" si="6"/>
        <v>824</v>
      </c>
      <c r="L80" s="22">
        <f t="shared" si="7"/>
        <v>60</v>
      </c>
      <c r="M80" s="28">
        <f t="shared" si="8"/>
        <v>1559</v>
      </c>
      <c r="N80" s="24">
        <v>-1688</v>
      </c>
      <c r="O80" s="28">
        <v>3247</v>
      </c>
      <c r="P80" s="22">
        <f t="shared" si="9"/>
        <v>556</v>
      </c>
      <c r="Q80" s="36"/>
      <c r="R80" s="30"/>
    </row>
    <row r="81" spans="1:18" ht="15.75" customHeight="1" x14ac:dyDescent="0.2">
      <c r="A81" s="37">
        <v>45780</v>
      </c>
      <c r="B81" s="22">
        <f t="shared" si="1"/>
        <v>61</v>
      </c>
      <c r="C81" s="28">
        <f t="shared" si="2"/>
        <v>1498</v>
      </c>
      <c r="D81" s="24">
        <v>-1725</v>
      </c>
      <c r="E81" s="28">
        <v>2505</v>
      </c>
      <c r="F81" s="22">
        <f t="shared" si="10"/>
        <v>627</v>
      </c>
      <c r="G81" s="22">
        <f t="shared" si="4"/>
        <v>61</v>
      </c>
      <c r="H81" s="28">
        <f t="shared" si="5"/>
        <v>1262</v>
      </c>
      <c r="I81" s="24">
        <v>-1628</v>
      </c>
      <c r="J81" s="28">
        <v>2990</v>
      </c>
      <c r="K81" s="22">
        <f t="shared" si="6"/>
        <v>833</v>
      </c>
      <c r="L81" s="22">
        <f t="shared" si="7"/>
        <v>61</v>
      </c>
      <c r="M81" s="28">
        <f t="shared" si="8"/>
        <v>1548</v>
      </c>
      <c r="N81" s="24">
        <v>-1699</v>
      </c>
      <c r="O81" s="28">
        <v>3247</v>
      </c>
      <c r="P81" s="22">
        <f t="shared" si="9"/>
        <v>567</v>
      </c>
      <c r="Q81" s="36"/>
      <c r="R81" s="30"/>
    </row>
    <row r="82" spans="1:18" ht="15.75" customHeight="1" x14ac:dyDescent="0.2">
      <c r="A82" s="37">
        <v>45781</v>
      </c>
      <c r="B82" s="22">
        <f t="shared" si="1"/>
        <v>62</v>
      </c>
      <c r="C82" s="28">
        <f t="shared" si="2"/>
        <v>1488</v>
      </c>
      <c r="D82" s="24">
        <v>-1735</v>
      </c>
      <c r="E82" s="28">
        <v>2505</v>
      </c>
      <c r="F82" s="22">
        <f t="shared" si="10"/>
        <v>637</v>
      </c>
      <c r="G82" s="22">
        <f t="shared" si="4"/>
        <v>62</v>
      </c>
      <c r="H82" s="28">
        <f t="shared" si="5"/>
        <v>1255</v>
      </c>
      <c r="I82" s="24">
        <v>-1635</v>
      </c>
      <c r="J82" s="28">
        <v>2990</v>
      </c>
      <c r="K82" s="22">
        <f t="shared" si="6"/>
        <v>840</v>
      </c>
      <c r="L82" s="22">
        <f t="shared" si="7"/>
        <v>62</v>
      </c>
      <c r="M82" s="28">
        <f t="shared" si="8"/>
        <v>1543</v>
      </c>
      <c r="N82" s="24">
        <v>-1704</v>
      </c>
      <c r="O82" s="28">
        <v>3247</v>
      </c>
      <c r="P82" s="22">
        <f t="shared" si="9"/>
        <v>572</v>
      </c>
      <c r="Q82" s="36"/>
      <c r="R82" s="30"/>
    </row>
    <row r="83" spans="1:18" ht="15.75" customHeight="1" x14ac:dyDescent="0.2">
      <c r="A83" s="37">
        <v>45782</v>
      </c>
      <c r="B83" s="22">
        <f t="shared" si="1"/>
        <v>63</v>
      </c>
      <c r="C83" s="28">
        <f t="shared" si="2"/>
        <v>1478</v>
      </c>
      <c r="D83" s="24">
        <v>-1745</v>
      </c>
      <c r="E83" s="28">
        <v>2505</v>
      </c>
      <c r="F83" s="22">
        <f t="shared" si="10"/>
        <v>647</v>
      </c>
      <c r="G83" s="22">
        <f t="shared" si="4"/>
        <v>63</v>
      </c>
      <c r="H83" s="28">
        <f t="shared" si="5"/>
        <v>1248</v>
      </c>
      <c r="I83" s="24">
        <v>-1642</v>
      </c>
      <c r="J83" s="28">
        <v>2990</v>
      </c>
      <c r="K83" s="22">
        <f t="shared" si="6"/>
        <v>847</v>
      </c>
      <c r="L83" s="22">
        <f t="shared" si="7"/>
        <v>63</v>
      </c>
      <c r="M83" s="28">
        <f t="shared" si="8"/>
        <v>1538</v>
      </c>
      <c r="N83" s="24">
        <v>-1709</v>
      </c>
      <c r="O83" s="28">
        <v>3247</v>
      </c>
      <c r="P83" s="22">
        <f t="shared" si="9"/>
        <v>577</v>
      </c>
      <c r="Q83" s="36"/>
      <c r="R83" s="30"/>
    </row>
    <row r="84" spans="1:18" ht="15.75" customHeight="1" x14ac:dyDescent="0.2">
      <c r="A84" s="37">
        <v>45783</v>
      </c>
      <c r="B84" s="22">
        <f t="shared" si="1"/>
        <v>64</v>
      </c>
      <c r="C84" s="28">
        <f t="shared" si="2"/>
        <v>1468</v>
      </c>
      <c r="D84" s="24">
        <v>-1755</v>
      </c>
      <c r="E84" s="28">
        <v>2505</v>
      </c>
      <c r="F84" s="22">
        <f t="shared" si="10"/>
        <v>657</v>
      </c>
      <c r="G84" s="22">
        <f t="shared" si="4"/>
        <v>64</v>
      </c>
      <c r="H84" s="28">
        <f t="shared" si="5"/>
        <v>1246</v>
      </c>
      <c r="I84" s="24">
        <v>-1644</v>
      </c>
      <c r="J84" s="28">
        <v>2990</v>
      </c>
      <c r="K84" s="22">
        <f t="shared" si="6"/>
        <v>849</v>
      </c>
      <c r="L84" s="22">
        <f t="shared" si="7"/>
        <v>64</v>
      </c>
      <c r="M84" s="28">
        <f t="shared" si="8"/>
        <v>1537</v>
      </c>
      <c r="N84" s="24">
        <v>-1710</v>
      </c>
      <c r="O84" s="28">
        <v>3247</v>
      </c>
      <c r="P84" s="22">
        <f t="shared" si="9"/>
        <v>578</v>
      </c>
      <c r="Q84" s="36"/>
      <c r="R84" s="30"/>
    </row>
    <row r="85" spans="1:18" ht="15.75" customHeight="1" x14ac:dyDescent="0.2">
      <c r="A85" s="37">
        <v>45784</v>
      </c>
      <c r="B85" s="22">
        <f t="shared" si="1"/>
        <v>65</v>
      </c>
      <c r="C85" s="28">
        <f t="shared" si="2"/>
        <v>1463</v>
      </c>
      <c r="D85" s="24">
        <v>-1760</v>
      </c>
      <c r="E85" s="28">
        <v>2505</v>
      </c>
      <c r="F85" s="22">
        <f t="shared" si="10"/>
        <v>662</v>
      </c>
      <c r="G85" s="22">
        <f t="shared" si="4"/>
        <v>65</v>
      </c>
      <c r="H85" s="28">
        <f t="shared" si="5"/>
        <v>1243</v>
      </c>
      <c r="I85" s="24">
        <v>-1647</v>
      </c>
      <c r="J85" s="28">
        <v>2990</v>
      </c>
      <c r="K85" s="22">
        <f t="shared" si="6"/>
        <v>852</v>
      </c>
      <c r="L85" s="22">
        <f t="shared" si="7"/>
        <v>65</v>
      </c>
      <c r="M85" s="28">
        <f t="shared" si="8"/>
        <v>1536</v>
      </c>
      <c r="N85" s="24">
        <v>-1711</v>
      </c>
      <c r="O85" s="28">
        <v>3247</v>
      </c>
      <c r="P85" s="22">
        <f t="shared" si="9"/>
        <v>579</v>
      </c>
      <c r="Q85" s="36"/>
      <c r="R85" s="30"/>
    </row>
    <row r="86" spans="1:18" ht="15.75" customHeight="1" x14ac:dyDescent="0.2">
      <c r="A86" s="37">
        <v>45785</v>
      </c>
      <c r="B86" s="22">
        <f t="shared" si="1"/>
        <v>66</v>
      </c>
      <c r="C86" s="28">
        <f t="shared" si="2"/>
        <v>1458</v>
      </c>
      <c r="D86" s="24">
        <v>-1765</v>
      </c>
      <c r="E86" s="28">
        <v>2505</v>
      </c>
      <c r="F86" s="22">
        <f t="shared" si="10"/>
        <v>667</v>
      </c>
      <c r="G86" s="22">
        <f t="shared" si="4"/>
        <v>66</v>
      </c>
      <c r="H86" s="28">
        <f t="shared" si="5"/>
        <v>1240</v>
      </c>
      <c r="I86" s="24">
        <v>-1650</v>
      </c>
      <c r="J86" s="28">
        <v>2990</v>
      </c>
      <c r="K86" s="22">
        <f t="shared" si="6"/>
        <v>855</v>
      </c>
      <c r="L86" s="22">
        <f t="shared" si="7"/>
        <v>66</v>
      </c>
      <c r="M86" s="28">
        <f t="shared" si="8"/>
        <v>1533</v>
      </c>
      <c r="N86" s="24">
        <v>-1714</v>
      </c>
      <c r="O86" s="28">
        <v>3247</v>
      </c>
      <c r="P86" s="22">
        <f t="shared" si="9"/>
        <v>582</v>
      </c>
      <c r="Q86" s="36"/>
      <c r="R86" s="30"/>
    </row>
    <row r="87" spans="1:18" ht="15.75" customHeight="1" x14ac:dyDescent="0.2">
      <c r="A87" s="37">
        <v>45786</v>
      </c>
      <c r="B87" s="22">
        <f t="shared" si="1"/>
        <v>67</v>
      </c>
      <c r="C87" s="28">
        <f t="shared" si="2"/>
        <v>1454</v>
      </c>
      <c r="D87" s="24">
        <v>-1769</v>
      </c>
      <c r="E87" s="28">
        <v>2505</v>
      </c>
      <c r="F87" s="22">
        <f t="shared" si="10"/>
        <v>671</v>
      </c>
      <c r="G87" s="22">
        <f t="shared" si="4"/>
        <v>67</v>
      </c>
      <c r="H87" s="28">
        <f t="shared" si="5"/>
        <v>1234</v>
      </c>
      <c r="I87" s="24">
        <v>-1656</v>
      </c>
      <c r="J87" s="28">
        <v>2990</v>
      </c>
      <c r="K87" s="22">
        <f t="shared" si="6"/>
        <v>861</v>
      </c>
      <c r="L87" s="22">
        <f t="shared" si="7"/>
        <v>67</v>
      </c>
      <c r="M87" s="28">
        <f t="shared" si="8"/>
        <v>1531</v>
      </c>
      <c r="N87" s="24">
        <v>-1716</v>
      </c>
      <c r="O87" s="28">
        <v>3247</v>
      </c>
      <c r="P87" s="22">
        <f t="shared" si="9"/>
        <v>584</v>
      </c>
      <c r="Q87" s="36"/>
      <c r="R87" s="30"/>
    </row>
    <row r="88" spans="1:18" ht="15.75" customHeight="1" x14ac:dyDescent="0.2">
      <c r="A88" s="37">
        <v>45787</v>
      </c>
      <c r="B88" s="22">
        <f t="shared" si="1"/>
        <v>68</v>
      </c>
      <c r="C88" s="28">
        <f t="shared" si="2"/>
        <v>1450</v>
      </c>
      <c r="D88" s="24">
        <v>-1773</v>
      </c>
      <c r="E88" s="28">
        <v>2505</v>
      </c>
      <c r="F88" s="22">
        <f t="shared" si="10"/>
        <v>675</v>
      </c>
      <c r="G88" s="22">
        <f t="shared" si="4"/>
        <v>68</v>
      </c>
      <c r="H88" s="28">
        <f t="shared" si="5"/>
        <v>1230</v>
      </c>
      <c r="I88" s="24">
        <v>-1660</v>
      </c>
      <c r="J88" s="28">
        <v>2990</v>
      </c>
      <c r="K88" s="22">
        <f t="shared" si="6"/>
        <v>865</v>
      </c>
      <c r="L88" s="22">
        <f t="shared" si="7"/>
        <v>68</v>
      </c>
      <c r="M88" s="28">
        <f t="shared" si="8"/>
        <v>1527</v>
      </c>
      <c r="N88" s="24">
        <v>-1720</v>
      </c>
      <c r="O88" s="28">
        <v>3247</v>
      </c>
      <c r="P88" s="22">
        <f t="shared" si="9"/>
        <v>588</v>
      </c>
      <c r="Q88" s="36"/>
      <c r="R88" s="30"/>
    </row>
    <row r="89" spans="1:18" ht="15.75" customHeight="1" x14ac:dyDescent="0.2">
      <c r="A89" s="37">
        <v>45788</v>
      </c>
      <c r="B89" s="22">
        <f t="shared" si="1"/>
        <v>69</v>
      </c>
      <c r="C89" s="28">
        <f t="shared" si="2"/>
        <v>1447</v>
      </c>
      <c r="D89" s="24">
        <v>-1776</v>
      </c>
      <c r="E89" s="28">
        <v>2505</v>
      </c>
      <c r="F89" s="22">
        <f t="shared" si="10"/>
        <v>678</v>
      </c>
      <c r="G89" s="22">
        <f t="shared" si="4"/>
        <v>69</v>
      </c>
      <c r="H89" s="28">
        <f t="shared" si="5"/>
        <v>1226</v>
      </c>
      <c r="I89" s="24">
        <v>-1664</v>
      </c>
      <c r="J89" s="28">
        <v>2990</v>
      </c>
      <c r="K89" s="22">
        <f t="shared" si="6"/>
        <v>869</v>
      </c>
      <c r="L89" s="22">
        <f t="shared" si="7"/>
        <v>69</v>
      </c>
      <c r="M89" s="28">
        <f t="shared" si="8"/>
        <v>1523</v>
      </c>
      <c r="N89" s="24">
        <v>-1724</v>
      </c>
      <c r="O89" s="28">
        <v>3247</v>
      </c>
      <c r="P89" s="22">
        <f t="shared" si="9"/>
        <v>592</v>
      </c>
      <c r="Q89" s="36"/>
      <c r="R89" s="30"/>
    </row>
    <row r="90" spans="1:18" ht="15.75" customHeight="1" x14ac:dyDescent="0.2">
      <c r="A90" s="37">
        <v>45789</v>
      </c>
      <c r="B90" s="22">
        <f t="shared" si="1"/>
        <v>70</v>
      </c>
      <c r="C90" s="28">
        <f t="shared" si="2"/>
        <v>1443</v>
      </c>
      <c r="D90" s="24">
        <v>-1780</v>
      </c>
      <c r="E90" s="28">
        <v>2505</v>
      </c>
      <c r="F90" s="22">
        <f t="shared" si="10"/>
        <v>682</v>
      </c>
      <c r="G90" s="22">
        <f t="shared" si="4"/>
        <v>70</v>
      </c>
      <c r="H90" s="28">
        <f t="shared" si="5"/>
        <v>1222</v>
      </c>
      <c r="I90" s="24">
        <v>-1668</v>
      </c>
      <c r="J90" s="28">
        <v>2990</v>
      </c>
      <c r="K90" s="22">
        <f t="shared" si="6"/>
        <v>873</v>
      </c>
      <c r="L90" s="22">
        <f t="shared" si="7"/>
        <v>70</v>
      </c>
      <c r="M90" s="28">
        <f t="shared" si="8"/>
        <v>1519</v>
      </c>
      <c r="N90" s="24">
        <v>-1728</v>
      </c>
      <c r="O90" s="28">
        <v>3247</v>
      </c>
      <c r="P90" s="22">
        <f t="shared" si="9"/>
        <v>596</v>
      </c>
      <c r="Q90" s="36"/>
      <c r="R90" s="30"/>
    </row>
    <row r="91" spans="1:18" ht="15.75" customHeight="1" x14ac:dyDescent="0.2">
      <c r="A91" s="37">
        <v>45790</v>
      </c>
      <c r="B91" s="22">
        <f t="shared" si="1"/>
        <v>71</v>
      </c>
      <c r="C91" s="28">
        <f t="shared" si="2"/>
        <v>1439</v>
      </c>
      <c r="D91" s="24">
        <v>-1784</v>
      </c>
      <c r="E91" s="28">
        <v>2505</v>
      </c>
      <c r="F91" s="22">
        <f t="shared" si="10"/>
        <v>686</v>
      </c>
      <c r="G91" s="22">
        <f t="shared" si="4"/>
        <v>71</v>
      </c>
      <c r="H91" s="28">
        <f t="shared" si="5"/>
        <v>1218</v>
      </c>
      <c r="I91" s="24">
        <v>-1672</v>
      </c>
      <c r="J91" s="28">
        <v>2990</v>
      </c>
      <c r="K91" s="22">
        <f t="shared" si="6"/>
        <v>877</v>
      </c>
      <c r="L91" s="22">
        <f t="shared" si="7"/>
        <v>71</v>
      </c>
      <c r="M91" s="28">
        <f t="shared" si="8"/>
        <v>1515</v>
      </c>
      <c r="N91" s="24">
        <v>-1732</v>
      </c>
      <c r="O91" s="28">
        <v>3247</v>
      </c>
      <c r="P91" s="22">
        <f t="shared" si="9"/>
        <v>600</v>
      </c>
      <c r="Q91" s="36"/>
      <c r="R91" s="30"/>
    </row>
    <row r="92" spans="1:18" ht="15" customHeight="1" x14ac:dyDescent="0.2">
      <c r="A92" s="37">
        <v>45791</v>
      </c>
      <c r="B92" s="22">
        <f t="shared" si="1"/>
        <v>72</v>
      </c>
      <c r="C92" s="28">
        <f t="shared" si="2"/>
        <v>1428</v>
      </c>
      <c r="D92" s="24">
        <v>-1795</v>
      </c>
      <c r="E92" s="28">
        <v>2505</v>
      </c>
      <c r="F92" s="22">
        <f t="shared" si="10"/>
        <v>697</v>
      </c>
      <c r="G92" s="22">
        <f t="shared" si="4"/>
        <v>72</v>
      </c>
      <c r="H92" s="28">
        <f t="shared" si="5"/>
        <v>1207</v>
      </c>
      <c r="I92" s="24">
        <v>-1683</v>
      </c>
      <c r="J92" s="28">
        <v>2990</v>
      </c>
      <c r="K92" s="22">
        <f t="shared" si="6"/>
        <v>888</v>
      </c>
      <c r="L92" s="22">
        <f t="shared" si="7"/>
        <v>72</v>
      </c>
      <c r="M92" s="28">
        <f t="shared" si="8"/>
        <v>1512</v>
      </c>
      <c r="N92" s="24">
        <v>-1735</v>
      </c>
      <c r="O92" s="28">
        <v>3247</v>
      </c>
      <c r="P92" s="22">
        <f t="shared" si="9"/>
        <v>603</v>
      </c>
      <c r="Q92" s="36"/>
      <c r="R92" s="30"/>
    </row>
    <row r="93" spans="1:18" ht="15" customHeight="1" x14ac:dyDescent="0.2">
      <c r="A93" s="37">
        <v>45792</v>
      </c>
      <c r="B93" s="22">
        <f t="shared" si="1"/>
        <v>73</v>
      </c>
      <c r="C93" s="28">
        <f t="shared" si="2"/>
        <v>1423</v>
      </c>
      <c r="D93" s="24">
        <v>-1800</v>
      </c>
      <c r="E93" s="28">
        <v>2505</v>
      </c>
      <c r="F93" s="22">
        <f t="shared" si="10"/>
        <v>702</v>
      </c>
      <c r="G93" s="22">
        <f t="shared" si="4"/>
        <v>73</v>
      </c>
      <c r="H93" s="28">
        <f t="shared" si="5"/>
        <v>1202</v>
      </c>
      <c r="I93" s="24">
        <v>-1688</v>
      </c>
      <c r="J93" s="28">
        <v>2990</v>
      </c>
      <c r="K93" s="22">
        <f t="shared" si="6"/>
        <v>893</v>
      </c>
      <c r="L93" s="22">
        <f t="shared" si="7"/>
        <v>73</v>
      </c>
      <c r="M93" s="28">
        <f t="shared" si="8"/>
        <v>1509</v>
      </c>
      <c r="N93" s="24">
        <v>-1738</v>
      </c>
      <c r="O93" s="28">
        <v>3247</v>
      </c>
      <c r="P93" s="22">
        <f t="shared" si="9"/>
        <v>606</v>
      </c>
      <c r="Q93" s="36"/>
      <c r="R93" s="30"/>
    </row>
    <row r="94" spans="1:18" ht="15.75" customHeight="1" x14ac:dyDescent="0.2">
      <c r="A94" s="37">
        <v>45793</v>
      </c>
      <c r="B94" s="22">
        <f t="shared" si="1"/>
        <v>74</v>
      </c>
      <c r="C94" s="28">
        <f t="shared" si="2"/>
        <v>1420</v>
      </c>
      <c r="D94" s="24">
        <v>-1803</v>
      </c>
      <c r="E94" s="28">
        <v>2505</v>
      </c>
      <c r="F94" s="22">
        <f t="shared" si="10"/>
        <v>705</v>
      </c>
      <c r="G94" s="22">
        <f t="shared" si="4"/>
        <v>74</v>
      </c>
      <c r="H94" s="28">
        <f t="shared" si="5"/>
        <v>1197</v>
      </c>
      <c r="I94" s="24">
        <v>-1693</v>
      </c>
      <c r="J94" s="28">
        <v>2990</v>
      </c>
      <c r="K94" s="22">
        <f t="shared" si="6"/>
        <v>898</v>
      </c>
      <c r="L94" s="22">
        <f t="shared" si="7"/>
        <v>74</v>
      </c>
      <c r="M94" s="28">
        <f t="shared" si="8"/>
        <v>1504</v>
      </c>
      <c r="N94" s="24">
        <v>-1743</v>
      </c>
      <c r="O94" s="28">
        <v>3247</v>
      </c>
      <c r="P94" s="22">
        <f t="shared" si="9"/>
        <v>611</v>
      </c>
      <c r="Q94" s="36"/>
      <c r="R94" s="30"/>
    </row>
    <row r="95" spans="1:18" ht="15.75" customHeight="1" x14ac:dyDescent="0.2">
      <c r="A95" s="37">
        <v>45794</v>
      </c>
      <c r="B95" s="22">
        <f t="shared" si="1"/>
        <v>75</v>
      </c>
      <c r="C95" s="28">
        <f t="shared" si="2"/>
        <v>1416</v>
      </c>
      <c r="D95" s="24">
        <v>-1807</v>
      </c>
      <c r="E95" s="28">
        <v>2505</v>
      </c>
      <c r="F95" s="22">
        <f t="shared" si="10"/>
        <v>709</v>
      </c>
      <c r="G95" s="22">
        <f t="shared" si="4"/>
        <v>75</v>
      </c>
      <c r="H95" s="28">
        <f t="shared" si="5"/>
        <v>1192</v>
      </c>
      <c r="I95" s="24">
        <v>-1698</v>
      </c>
      <c r="J95" s="28">
        <v>2990</v>
      </c>
      <c r="K95" s="22">
        <f t="shared" si="6"/>
        <v>903</v>
      </c>
      <c r="L95" s="22">
        <f t="shared" si="7"/>
        <v>75</v>
      </c>
      <c r="M95" s="28">
        <f t="shared" si="8"/>
        <v>1499</v>
      </c>
      <c r="N95" s="24">
        <v>-1748</v>
      </c>
      <c r="O95" s="28">
        <v>3247</v>
      </c>
      <c r="P95" s="22">
        <f t="shared" si="9"/>
        <v>616</v>
      </c>
      <c r="Q95" s="36"/>
      <c r="R95" s="30"/>
    </row>
    <row r="96" spans="1:18" ht="15.75" customHeight="1" x14ac:dyDescent="0.2">
      <c r="A96" s="37">
        <v>45795</v>
      </c>
      <c r="B96" s="22">
        <f t="shared" si="1"/>
        <v>76</v>
      </c>
      <c r="C96" s="28">
        <f t="shared" si="2"/>
        <v>1412</v>
      </c>
      <c r="D96" s="24">
        <v>-1811</v>
      </c>
      <c r="E96" s="28">
        <v>2505</v>
      </c>
      <c r="F96" s="22">
        <f t="shared" si="10"/>
        <v>713</v>
      </c>
      <c r="G96" s="22">
        <f t="shared" si="4"/>
        <v>76</v>
      </c>
      <c r="H96" s="28">
        <f t="shared" si="5"/>
        <v>1187</v>
      </c>
      <c r="I96" s="24">
        <v>-1703</v>
      </c>
      <c r="J96" s="28">
        <v>2990</v>
      </c>
      <c r="K96" s="22">
        <f t="shared" si="6"/>
        <v>908</v>
      </c>
      <c r="L96" s="22">
        <f t="shared" si="7"/>
        <v>76</v>
      </c>
      <c r="M96" s="28">
        <f t="shared" si="8"/>
        <v>1494</v>
      </c>
      <c r="N96" s="24">
        <v>-1753</v>
      </c>
      <c r="O96" s="28">
        <v>3247</v>
      </c>
      <c r="P96" s="22">
        <f t="shared" si="9"/>
        <v>621</v>
      </c>
      <c r="Q96" s="36"/>
      <c r="R96" s="30"/>
    </row>
    <row r="97" spans="1:18" ht="15.75" customHeight="1" x14ac:dyDescent="0.2">
      <c r="A97" s="37">
        <v>45796</v>
      </c>
      <c r="B97" s="22">
        <f t="shared" si="1"/>
        <v>77</v>
      </c>
      <c r="C97" s="28">
        <f t="shared" si="2"/>
        <v>1408</v>
      </c>
      <c r="D97" s="24">
        <v>-1815</v>
      </c>
      <c r="E97" s="28">
        <v>2505</v>
      </c>
      <c r="F97" s="22">
        <f t="shared" si="10"/>
        <v>717</v>
      </c>
      <c r="G97" s="22">
        <f t="shared" si="4"/>
        <v>77</v>
      </c>
      <c r="H97" s="28">
        <f t="shared" si="5"/>
        <v>1182</v>
      </c>
      <c r="I97" s="24">
        <v>-1708</v>
      </c>
      <c r="J97" s="28">
        <v>2990</v>
      </c>
      <c r="K97" s="22">
        <f t="shared" si="6"/>
        <v>913</v>
      </c>
      <c r="L97" s="22">
        <f t="shared" si="7"/>
        <v>77</v>
      </c>
      <c r="M97" s="28">
        <f t="shared" si="8"/>
        <v>1489</v>
      </c>
      <c r="N97" s="24">
        <v>-1758</v>
      </c>
      <c r="O97" s="28">
        <v>3247</v>
      </c>
      <c r="P97" s="22">
        <f t="shared" si="9"/>
        <v>626</v>
      </c>
      <c r="Q97" s="36"/>
      <c r="R97" s="30"/>
    </row>
    <row r="98" spans="1:18" ht="15.75" customHeight="1" x14ac:dyDescent="0.2">
      <c r="A98" s="37">
        <v>45797</v>
      </c>
      <c r="B98" s="22">
        <f t="shared" si="1"/>
        <v>78</v>
      </c>
      <c r="C98" s="28">
        <f t="shared" si="2"/>
        <v>1404</v>
      </c>
      <c r="D98" s="24">
        <v>-1819</v>
      </c>
      <c r="E98" s="28">
        <v>2505</v>
      </c>
      <c r="F98" s="22">
        <f t="shared" si="10"/>
        <v>721</v>
      </c>
      <c r="G98" s="22">
        <f t="shared" si="4"/>
        <v>78</v>
      </c>
      <c r="H98" s="28">
        <f t="shared" si="5"/>
        <v>1177</v>
      </c>
      <c r="I98" s="24">
        <v>-1713</v>
      </c>
      <c r="J98" s="28">
        <v>2990</v>
      </c>
      <c r="K98" s="22">
        <f t="shared" si="6"/>
        <v>918</v>
      </c>
      <c r="L98" s="22">
        <f t="shared" si="7"/>
        <v>78</v>
      </c>
      <c r="M98" s="28">
        <f t="shared" si="8"/>
        <v>1484</v>
      </c>
      <c r="N98" s="24">
        <v>-1763</v>
      </c>
      <c r="O98" s="28">
        <v>3247</v>
      </c>
      <c r="P98" s="22">
        <f t="shared" si="9"/>
        <v>631</v>
      </c>
      <c r="Q98" s="36"/>
      <c r="R98" s="30"/>
    </row>
    <row r="99" spans="1:18" ht="15.75" customHeight="1" x14ac:dyDescent="0.2">
      <c r="A99" s="37">
        <v>45798</v>
      </c>
      <c r="B99" s="22">
        <f t="shared" si="1"/>
        <v>79</v>
      </c>
      <c r="C99" s="28">
        <f t="shared" si="2"/>
        <v>1400</v>
      </c>
      <c r="D99" s="24">
        <v>-1823</v>
      </c>
      <c r="E99" s="28">
        <v>2505</v>
      </c>
      <c r="F99" s="22">
        <f t="shared" si="10"/>
        <v>725</v>
      </c>
      <c r="G99" s="22">
        <f t="shared" si="4"/>
        <v>79</v>
      </c>
      <c r="H99" s="28">
        <f t="shared" si="5"/>
        <v>1172</v>
      </c>
      <c r="I99" s="24">
        <v>-1718</v>
      </c>
      <c r="J99" s="28">
        <v>2990</v>
      </c>
      <c r="K99" s="22">
        <f t="shared" si="6"/>
        <v>923</v>
      </c>
      <c r="L99" s="22">
        <f t="shared" si="7"/>
        <v>79</v>
      </c>
      <c r="M99" s="28">
        <f t="shared" si="8"/>
        <v>1479</v>
      </c>
      <c r="N99" s="24">
        <v>-1768</v>
      </c>
      <c r="O99" s="28">
        <v>3247</v>
      </c>
      <c r="P99" s="22">
        <f t="shared" si="9"/>
        <v>636</v>
      </c>
      <c r="Q99" s="36"/>
      <c r="R99" s="30"/>
    </row>
    <row r="100" spans="1:18" ht="15.75" customHeight="1" x14ac:dyDescent="0.2">
      <c r="A100" s="37">
        <v>45799</v>
      </c>
      <c r="B100" s="22">
        <f t="shared" si="1"/>
        <v>80</v>
      </c>
      <c r="C100" s="28">
        <f t="shared" si="2"/>
        <v>1396</v>
      </c>
      <c r="D100" s="24">
        <v>-1827</v>
      </c>
      <c r="E100" s="28">
        <v>2505</v>
      </c>
      <c r="F100" s="22">
        <f t="shared" si="10"/>
        <v>729</v>
      </c>
      <c r="G100" s="22">
        <f t="shared" si="4"/>
        <v>80</v>
      </c>
      <c r="H100" s="28">
        <f t="shared" si="5"/>
        <v>1167</v>
      </c>
      <c r="I100" s="24">
        <v>-1723</v>
      </c>
      <c r="J100" s="28">
        <v>2990</v>
      </c>
      <c r="K100" s="22">
        <f t="shared" si="6"/>
        <v>928</v>
      </c>
      <c r="L100" s="22">
        <f t="shared" si="7"/>
        <v>80</v>
      </c>
      <c r="M100" s="28">
        <f t="shared" si="8"/>
        <v>1474</v>
      </c>
      <c r="N100" s="24">
        <v>-1773</v>
      </c>
      <c r="O100" s="28">
        <v>3247</v>
      </c>
      <c r="P100" s="22">
        <f t="shared" si="9"/>
        <v>641</v>
      </c>
      <c r="Q100" s="36"/>
      <c r="R100" s="30"/>
    </row>
    <row r="101" spans="1:18" ht="15.75" customHeight="1" x14ac:dyDescent="0.2">
      <c r="A101" s="37">
        <v>45800</v>
      </c>
      <c r="B101" s="22">
        <f t="shared" si="1"/>
        <v>81</v>
      </c>
      <c r="C101" s="28">
        <f t="shared" si="2"/>
        <v>1392</v>
      </c>
      <c r="D101" s="24">
        <v>-1831</v>
      </c>
      <c r="E101" s="28">
        <v>2505</v>
      </c>
      <c r="F101" s="22">
        <f t="shared" si="10"/>
        <v>733</v>
      </c>
      <c r="G101" s="22">
        <f t="shared" si="4"/>
        <v>81</v>
      </c>
      <c r="H101" s="28">
        <f t="shared" si="5"/>
        <v>1166</v>
      </c>
      <c r="I101" s="24">
        <v>-1724</v>
      </c>
      <c r="J101" s="28">
        <v>2990</v>
      </c>
      <c r="K101" s="22">
        <f t="shared" si="6"/>
        <v>929</v>
      </c>
      <c r="L101" s="22">
        <f t="shared" si="7"/>
        <v>81</v>
      </c>
      <c r="M101" s="28">
        <f t="shared" si="8"/>
        <v>1469</v>
      </c>
      <c r="N101" s="24">
        <v>-1778</v>
      </c>
      <c r="O101" s="28">
        <v>3247</v>
      </c>
      <c r="P101" s="22">
        <f t="shared" si="9"/>
        <v>646</v>
      </c>
      <c r="Q101" s="36"/>
      <c r="R101" s="30"/>
    </row>
    <row r="102" spans="1:18" ht="15.75" customHeight="1" x14ac:dyDescent="0.2">
      <c r="A102" s="37">
        <v>45801</v>
      </c>
      <c r="B102" s="22">
        <f t="shared" si="1"/>
        <v>82</v>
      </c>
      <c r="C102" s="28">
        <f t="shared" si="2"/>
        <v>1390</v>
      </c>
      <c r="D102" s="24">
        <v>-1833</v>
      </c>
      <c r="E102" s="28">
        <v>2505</v>
      </c>
      <c r="F102" s="22">
        <f t="shared" si="10"/>
        <v>735</v>
      </c>
      <c r="G102" s="22">
        <f t="shared" si="4"/>
        <v>82</v>
      </c>
      <c r="H102" s="28">
        <f t="shared" si="5"/>
        <v>1165</v>
      </c>
      <c r="I102" s="24">
        <v>-1725</v>
      </c>
      <c r="J102" s="28">
        <v>2990</v>
      </c>
      <c r="K102" s="22">
        <f t="shared" si="6"/>
        <v>930</v>
      </c>
      <c r="L102" s="22">
        <f t="shared" si="7"/>
        <v>82</v>
      </c>
      <c r="M102" s="28">
        <f t="shared" si="8"/>
        <v>1466</v>
      </c>
      <c r="N102" s="24">
        <v>-1781</v>
      </c>
      <c r="O102" s="28">
        <v>3247</v>
      </c>
      <c r="P102" s="22">
        <f t="shared" si="9"/>
        <v>649</v>
      </c>
      <c r="Q102" s="36"/>
      <c r="R102" s="30"/>
    </row>
    <row r="103" spans="1:18" ht="15.75" customHeight="1" x14ac:dyDescent="0.2">
      <c r="A103" s="37">
        <v>45802</v>
      </c>
      <c r="B103" s="22">
        <f t="shared" si="1"/>
        <v>83</v>
      </c>
      <c r="C103" s="28">
        <f t="shared" si="2"/>
        <v>1388</v>
      </c>
      <c r="D103" s="24">
        <v>-1835</v>
      </c>
      <c r="E103" s="28">
        <v>2505</v>
      </c>
      <c r="F103" s="22">
        <f t="shared" si="10"/>
        <v>737</v>
      </c>
      <c r="G103" s="22">
        <f t="shared" si="4"/>
        <v>83</v>
      </c>
      <c r="H103" s="28">
        <f t="shared" si="5"/>
        <v>1164</v>
      </c>
      <c r="I103" s="24">
        <v>-1726</v>
      </c>
      <c r="J103" s="28">
        <v>2990</v>
      </c>
      <c r="K103" s="22">
        <f t="shared" si="6"/>
        <v>931</v>
      </c>
      <c r="L103" s="22">
        <f t="shared" si="7"/>
        <v>83</v>
      </c>
      <c r="M103" s="28">
        <f t="shared" si="8"/>
        <v>1463</v>
      </c>
      <c r="N103" s="24">
        <v>-1784</v>
      </c>
      <c r="O103" s="28">
        <v>3247</v>
      </c>
      <c r="P103" s="22">
        <f t="shared" si="9"/>
        <v>652</v>
      </c>
      <c r="Q103" s="36"/>
      <c r="R103" s="30"/>
    </row>
    <row r="104" spans="1:18" ht="15.75" customHeight="1" x14ac:dyDescent="0.2">
      <c r="A104" s="37">
        <v>45803</v>
      </c>
      <c r="B104" s="22">
        <f t="shared" si="1"/>
        <v>84</v>
      </c>
      <c r="C104" s="28">
        <f t="shared" si="2"/>
        <v>1385</v>
      </c>
      <c r="D104" s="24">
        <v>-1838</v>
      </c>
      <c r="E104" s="28">
        <v>2505</v>
      </c>
      <c r="F104" s="22">
        <f t="shared" si="10"/>
        <v>740</v>
      </c>
      <c r="G104" s="22">
        <f t="shared" si="4"/>
        <v>84</v>
      </c>
      <c r="H104" s="28">
        <f t="shared" si="5"/>
        <v>1163</v>
      </c>
      <c r="I104" s="24">
        <v>-1727</v>
      </c>
      <c r="J104" s="28">
        <v>2990</v>
      </c>
      <c r="K104" s="22">
        <f t="shared" si="6"/>
        <v>932</v>
      </c>
      <c r="L104" s="22">
        <f t="shared" si="7"/>
        <v>84</v>
      </c>
      <c r="M104" s="28">
        <f t="shared" si="8"/>
        <v>1460</v>
      </c>
      <c r="N104" s="24">
        <v>-1787</v>
      </c>
      <c r="O104" s="28">
        <v>3247</v>
      </c>
      <c r="P104" s="22">
        <f t="shared" si="9"/>
        <v>655</v>
      </c>
      <c r="Q104" s="36"/>
      <c r="R104" s="30"/>
    </row>
    <row r="105" spans="1:18" ht="15.75" customHeight="1" x14ac:dyDescent="0.2">
      <c r="A105" s="37">
        <v>45804</v>
      </c>
      <c r="B105" s="22">
        <f t="shared" si="1"/>
        <v>85</v>
      </c>
      <c r="C105" s="28">
        <f t="shared" si="2"/>
        <v>1382</v>
      </c>
      <c r="D105" s="24">
        <v>-1841</v>
      </c>
      <c r="E105" s="28">
        <v>2505</v>
      </c>
      <c r="F105" s="22">
        <f t="shared" si="10"/>
        <v>743</v>
      </c>
      <c r="G105" s="22">
        <f t="shared" si="4"/>
        <v>85</v>
      </c>
      <c r="H105" s="28">
        <f t="shared" si="5"/>
        <v>1162</v>
      </c>
      <c r="I105" s="24">
        <v>-1728</v>
      </c>
      <c r="J105" s="28">
        <v>2990</v>
      </c>
      <c r="K105" s="22">
        <f t="shared" si="6"/>
        <v>933</v>
      </c>
      <c r="L105" s="22">
        <f t="shared" si="7"/>
        <v>85</v>
      </c>
      <c r="M105" s="28">
        <f t="shared" si="8"/>
        <v>1457</v>
      </c>
      <c r="N105" s="24">
        <v>-1790</v>
      </c>
      <c r="O105" s="28">
        <v>3247</v>
      </c>
      <c r="P105" s="22">
        <f t="shared" si="9"/>
        <v>658</v>
      </c>
      <c r="Q105" s="36"/>
      <c r="R105" s="30"/>
    </row>
    <row r="106" spans="1:18" ht="15.75" customHeight="1" x14ac:dyDescent="0.2">
      <c r="A106" s="37">
        <v>45805</v>
      </c>
      <c r="B106" s="22">
        <f t="shared" si="1"/>
        <v>86</v>
      </c>
      <c r="C106" s="28">
        <f t="shared" si="2"/>
        <v>1382</v>
      </c>
      <c r="D106" s="24">
        <v>-1841</v>
      </c>
      <c r="E106" s="28">
        <v>2505</v>
      </c>
      <c r="F106" s="22">
        <f t="shared" si="10"/>
        <v>743</v>
      </c>
      <c r="G106" s="22">
        <f t="shared" si="4"/>
        <v>86</v>
      </c>
      <c r="H106" s="28">
        <f t="shared" si="5"/>
        <v>1162</v>
      </c>
      <c r="I106" s="24">
        <v>-1728</v>
      </c>
      <c r="J106" s="28">
        <v>2990</v>
      </c>
      <c r="K106" s="22">
        <f t="shared" si="6"/>
        <v>933</v>
      </c>
      <c r="L106" s="22">
        <f t="shared" si="7"/>
        <v>86</v>
      </c>
      <c r="M106" s="28">
        <f t="shared" si="8"/>
        <v>1457</v>
      </c>
      <c r="N106" s="24">
        <v>-1790</v>
      </c>
      <c r="O106" s="28">
        <v>3247</v>
      </c>
      <c r="P106" s="22">
        <f t="shared" si="9"/>
        <v>658</v>
      </c>
      <c r="Q106" s="36"/>
      <c r="R106" s="30"/>
    </row>
    <row r="107" spans="1:18" ht="15.75" customHeight="1" x14ac:dyDescent="0.2">
      <c r="A107" s="37">
        <v>45806</v>
      </c>
      <c r="B107" s="22">
        <f t="shared" si="1"/>
        <v>87</v>
      </c>
      <c r="C107" s="28">
        <f t="shared" si="2"/>
        <v>1382</v>
      </c>
      <c r="D107" s="24">
        <v>-1841</v>
      </c>
      <c r="E107" s="28">
        <v>2505</v>
      </c>
      <c r="F107" s="22">
        <f t="shared" si="10"/>
        <v>743</v>
      </c>
      <c r="G107" s="22">
        <f t="shared" si="4"/>
        <v>87</v>
      </c>
      <c r="H107" s="28">
        <f t="shared" si="5"/>
        <v>1156</v>
      </c>
      <c r="I107" s="24">
        <v>-1734</v>
      </c>
      <c r="J107" s="28">
        <v>2990</v>
      </c>
      <c r="K107" s="22">
        <f t="shared" si="6"/>
        <v>939</v>
      </c>
      <c r="L107" s="22">
        <f t="shared" si="7"/>
        <v>87</v>
      </c>
      <c r="M107" s="28">
        <f t="shared" si="8"/>
        <v>1457</v>
      </c>
      <c r="N107" s="24">
        <v>-1790</v>
      </c>
      <c r="O107" s="28">
        <v>3247</v>
      </c>
      <c r="P107" s="22">
        <f t="shared" si="9"/>
        <v>658</v>
      </c>
      <c r="Q107" s="36"/>
      <c r="R107" s="30"/>
    </row>
    <row r="108" spans="1:18" ht="15.75" customHeight="1" x14ac:dyDescent="0.2">
      <c r="A108" s="37">
        <v>45807</v>
      </c>
      <c r="B108" s="22">
        <f t="shared" si="1"/>
        <v>88</v>
      </c>
      <c r="C108" s="28">
        <f t="shared" si="2"/>
        <v>1382</v>
      </c>
      <c r="D108" s="24">
        <v>-1841</v>
      </c>
      <c r="E108" s="28">
        <v>2505</v>
      </c>
      <c r="F108" s="22">
        <f t="shared" si="10"/>
        <v>743</v>
      </c>
      <c r="G108" s="22">
        <f t="shared" si="4"/>
        <v>88</v>
      </c>
      <c r="H108" s="28">
        <f t="shared" si="5"/>
        <v>1151</v>
      </c>
      <c r="I108" s="24">
        <v>-1739</v>
      </c>
      <c r="J108" s="28">
        <v>2990</v>
      </c>
      <c r="K108" s="22">
        <f t="shared" si="6"/>
        <v>944</v>
      </c>
      <c r="L108" s="22">
        <f t="shared" si="7"/>
        <v>88</v>
      </c>
      <c r="M108" s="28">
        <f t="shared" si="8"/>
        <v>1457</v>
      </c>
      <c r="N108" s="24">
        <v>-1790</v>
      </c>
      <c r="O108" s="28">
        <v>3247</v>
      </c>
      <c r="P108" s="22">
        <f t="shared" si="9"/>
        <v>658</v>
      </c>
      <c r="Q108" s="36"/>
      <c r="R108" s="30"/>
    </row>
    <row r="109" spans="1:18" ht="15.75" customHeight="1" x14ac:dyDescent="0.2">
      <c r="A109" s="37">
        <v>45808</v>
      </c>
      <c r="B109" s="22">
        <f t="shared" si="1"/>
        <v>89</v>
      </c>
      <c r="C109" s="28">
        <f t="shared" si="2"/>
        <v>1378</v>
      </c>
      <c r="D109" s="24">
        <v>-1845</v>
      </c>
      <c r="E109" s="28">
        <v>2505</v>
      </c>
      <c r="F109" s="22">
        <f t="shared" si="10"/>
        <v>747</v>
      </c>
      <c r="G109" s="22">
        <f t="shared" si="4"/>
        <v>89</v>
      </c>
      <c r="H109" s="28">
        <f t="shared" si="5"/>
        <v>1146</v>
      </c>
      <c r="I109" s="24">
        <v>-1744</v>
      </c>
      <c r="J109" s="28">
        <v>2990</v>
      </c>
      <c r="K109" s="22">
        <f t="shared" si="6"/>
        <v>949</v>
      </c>
      <c r="L109" s="22">
        <f t="shared" si="7"/>
        <v>89</v>
      </c>
      <c r="M109" s="28">
        <f t="shared" si="8"/>
        <v>1457</v>
      </c>
      <c r="N109" s="24">
        <v>-1790</v>
      </c>
      <c r="O109" s="28">
        <v>3247</v>
      </c>
      <c r="P109" s="22">
        <f t="shared" si="9"/>
        <v>658</v>
      </c>
      <c r="Q109" s="36"/>
      <c r="R109" s="30"/>
    </row>
    <row r="110" spans="1:18" ht="15.75" customHeight="1" x14ac:dyDescent="0.2">
      <c r="A110" s="37">
        <v>45809</v>
      </c>
      <c r="B110" s="22">
        <f t="shared" si="1"/>
        <v>90</v>
      </c>
      <c r="C110" s="28">
        <f t="shared" si="2"/>
        <v>1373</v>
      </c>
      <c r="D110" s="24">
        <v>-1850</v>
      </c>
      <c r="E110" s="28">
        <v>2505</v>
      </c>
      <c r="F110" s="22">
        <f t="shared" si="10"/>
        <v>752</v>
      </c>
      <c r="G110" s="22">
        <f t="shared" si="4"/>
        <v>90</v>
      </c>
      <c r="H110" s="28">
        <f t="shared" si="5"/>
        <v>1141</v>
      </c>
      <c r="I110" s="24">
        <v>-1749</v>
      </c>
      <c r="J110" s="28">
        <v>2990</v>
      </c>
      <c r="K110" s="22">
        <f t="shared" si="6"/>
        <v>954</v>
      </c>
      <c r="L110" s="22">
        <f t="shared" si="7"/>
        <v>90</v>
      </c>
      <c r="M110" s="28">
        <f t="shared" si="8"/>
        <v>1452</v>
      </c>
      <c r="N110" s="24">
        <v>-1795</v>
      </c>
      <c r="O110" s="28">
        <v>3247</v>
      </c>
      <c r="P110" s="22">
        <f t="shared" si="9"/>
        <v>663</v>
      </c>
      <c r="Q110" s="36"/>
      <c r="R110" s="30"/>
    </row>
    <row r="111" spans="1:18" ht="15.75" customHeight="1" x14ac:dyDescent="0.2">
      <c r="A111" s="37">
        <v>45810</v>
      </c>
      <c r="B111" s="22">
        <f t="shared" si="1"/>
        <v>91</v>
      </c>
      <c r="C111" s="28">
        <f t="shared" si="2"/>
        <v>1368</v>
      </c>
      <c r="D111" s="24">
        <v>-1855</v>
      </c>
      <c r="E111" s="28">
        <v>2505</v>
      </c>
      <c r="F111" s="22">
        <f t="shared" si="10"/>
        <v>757</v>
      </c>
      <c r="G111" s="22">
        <f t="shared" si="4"/>
        <v>91</v>
      </c>
      <c r="H111" s="28">
        <f t="shared" si="5"/>
        <v>1136</v>
      </c>
      <c r="I111" s="24">
        <v>-1754</v>
      </c>
      <c r="J111" s="28">
        <v>2990</v>
      </c>
      <c r="K111" s="22">
        <f t="shared" si="6"/>
        <v>959</v>
      </c>
      <c r="L111" s="22">
        <f t="shared" si="7"/>
        <v>91</v>
      </c>
      <c r="M111" s="28">
        <f t="shared" si="8"/>
        <v>1447</v>
      </c>
      <c r="N111" s="24">
        <v>-1800</v>
      </c>
      <c r="O111" s="28">
        <v>3247</v>
      </c>
      <c r="P111" s="22">
        <f t="shared" si="9"/>
        <v>668</v>
      </c>
      <c r="Q111" s="36"/>
      <c r="R111" s="30"/>
    </row>
    <row r="112" spans="1:18" ht="15.75" customHeight="1" x14ac:dyDescent="0.2">
      <c r="A112" s="37">
        <v>45811</v>
      </c>
      <c r="B112" s="22">
        <f t="shared" si="1"/>
        <v>92</v>
      </c>
      <c r="C112" s="28">
        <f t="shared" si="2"/>
        <v>1363</v>
      </c>
      <c r="D112" s="24">
        <v>-1860</v>
      </c>
      <c r="E112" s="28">
        <v>2505</v>
      </c>
      <c r="F112" s="22">
        <f t="shared" si="10"/>
        <v>762</v>
      </c>
      <c r="G112" s="22">
        <f t="shared" si="4"/>
        <v>92</v>
      </c>
      <c r="H112" s="28">
        <f t="shared" si="5"/>
        <v>1131</v>
      </c>
      <c r="I112" s="24">
        <v>-1759</v>
      </c>
      <c r="J112" s="28">
        <v>2990</v>
      </c>
      <c r="K112" s="22">
        <f t="shared" si="6"/>
        <v>964</v>
      </c>
      <c r="L112" s="22">
        <f t="shared" si="7"/>
        <v>92</v>
      </c>
      <c r="M112" s="28">
        <f t="shared" si="8"/>
        <v>1442</v>
      </c>
      <c r="N112" s="24">
        <v>-1805</v>
      </c>
      <c r="O112" s="28">
        <v>3247</v>
      </c>
      <c r="P112" s="22">
        <f t="shared" si="9"/>
        <v>673</v>
      </c>
      <c r="Q112" s="36"/>
      <c r="R112" s="30"/>
    </row>
    <row r="113" spans="1:18" ht="15.75" customHeight="1" x14ac:dyDescent="0.2">
      <c r="A113" s="37">
        <v>45812</v>
      </c>
      <c r="B113" s="22">
        <f t="shared" si="1"/>
        <v>93</v>
      </c>
      <c r="C113" s="28">
        <f t="shared" si="2"/>
        <v>1358</v>
      </c>
      <c r="D113" s="24">
        <v>-1865</v>
      </c>
      <c r="E113" s="28">
        <v>2505</v>
      </c>
      <c r="F113" s="22">
        <f t="shared" si="10"/>
        <v>767</v>
      </c>
      <c r="G113" s="22">
        <f t="shared" si="4"/>
        <v>93</v>
      </c>
      <c r="H113" s="28">
        <f t="shared" si="5"/>
        <v>1126</v>
      </c>
      <c r="I113" s="24">
        <v>-1764</v>
      </c>
      <c r="J113" s="28">
        <v>2990</v>
      </c>
      <c r="K113" s="22">
        <f t="shared" si="6"/>
        <v>969</v>
      </c>
      <c r="L113" s="22">
        <f t="shared" si="7"/>
        <v>93</v>
      </c>
      <c r="M113" s="28">
        <f t="shared" si="8"/>
        <v>1437</v>
      </c>
      <c r="N113" s="24">
        <v>-1810</v>
      </c>
      <c r="O113" s="28">
        <v>3247</v>
      </c>
      <c r="P113" s="22">
        <f t="shared" si="9"/>
        <v>678</v>
      </c>
      <c r="Q113" s="36"/>
      <c r="R113" s="30"/>
    </row>
    <row r="114" spans="1:18" ht="15.75" customHeight="1" x14ac:dyDescent="0.2">
      <c r="A114" s="37">
        <v>45813</v>
      </c>
      <c r="B114" s="22">
        <f t="shared" si="1"/>
        <v>94</v>
      </c>
      <c r="C114" s="28">
        <f t="shared" si="2"/>
        <v>1353</v>
      </c>
      <c r="D114" s="24">
        <v>-1870</v>
      </c>
      <c r="E114" s="28">
        <v>2505</v>
      </c>
      <c r="F114" s="22">
        <f t="shared" si="10"/>
        <v>772</v>
      </c>
      <c r="G114" s="22">
        <f t="shared" si="4"/>
        <v>94</v>
      </c>
      <c r="H114" s="28">
        <f t="shared" si="5"/>
        <v>1121</v>
      </c>
      <c r="I114" s="24">
        <v>-1769</v>
      </c>
      <c r="J114" s="28">
        <v>2990</v>
      </c>
      <c r="K114" s="22">
        <f t="shared" si="6"/>
        <v>974</v>
      </c>
      <c r="L114" s="22">
        <f t="shared" si="7"/>
        <v>94</v>
      </c>
      <c r="M114" s="28">
        <f t="shared" si="8"/>
        <v>1432</v>
      </c>
      <c r="N114" s="24">
        <v>-1815</v>
      </c>
      <c r="O114" s="28">
        <v>3247</v>
      </c>
      <c r="P114" s="22">
        <f t="shared" si="9"/>
        <v>683</v>
      </c>
      <c r="Q114" s="36"/>
      <c r="R114" s="30"/>
    </row>
    <row r="115" spans="1:18" ht="15.75" customHeight="1" x14ac:dyDescent="0.2">
      <c r="A115" s="37">
        <v>45814</v>
      </c>
      <c r="B115" s="22">
        <f t="shared" si="1"/>
        <v>95</v>
      </c>
      <c r="C115" s="28">
        <f t="shared" si="2"/>
        <v>1348</v>
      </c>
      <c r="D115" s="24">
        <v>-1875</v>
      </c>
      <c r="E115" s="28">
        <v>2505</v>
      </c>
      <c r="F115" s="22">
        <f t="shared" si="10"/>
        <v>777</v>
      </c>
      <c r="G115" s="22">
        <f t="shared" si="4"/>
        <v>95</v>
      </c>
      <c r="H115" s="28">
        <f t="shared" si="5"/>
        <v>1116</v>
      </c>
      <c r="I115" s="24">
        <v>-1774</v>
      </c>
      <c r="J115" s="28">
        <v>2990</v>
      </c>
      <c r="K115" s="22">
        <f t="shared" si="6"/>
        <v>979</v>
      </c>
      <c r="L115" s="22">
        <f t="shared" si="7"/>
        <v>95</v>
      </c>
      <c r="M115" s="28">
        <f t="shared" si="8"/>
        <v>1427</v>
      </c>
      <c r="N115" s="24">
        <v>-1820</v>
      </c>
      <c r="O115" s="28">
        <v>3247</v>
      </c>
      <c r="P115" s="22">
        <f t="shared" si="9"/>
        <v>688</v>
      </c>
      <c r="Q115" s="36"/>
      <c r="R115" s="30"/>
    </row>
    <row r="116" spans="1:18" ht="15.75" customHeight="1" x14ac:dyDescent="0.2">
      <c r="A116" s="37">
        <v>45815</v>
      </c>
      <c r="B116" s="22">
        <f t="shared" si="1"/>
        <v>96</v>
      </c>
      <c r="C116" s="28">
        <f t="shared" si="2"/>
        <v>1343</v>
      </c>
      <c r="D116" s="24">
        <v>-1880</v>
      </c>
      <c r="E116" s="28">
        <v>2505</v>
      </c>
      <c r="F116" s="22">
        <f t="shared" si="10"/>
        <v>782</v>
      </c>
      <c r="G116" s="22">
        <f t="shared" si="4"/>
        <v>96</v>
      </c>
      <c r="H116" s="28">
        <f t="shared" si="5"/>
        <v>1111</v>
      </c>
      <c r="I116" s="24">
        <v>-1779</v>
      </c>
      <c r="J116" s="28">
        <v>2990</v>
      </c>
      <c r="K116" s="22">
        <f t="shared" si="6"/>
        <v>984</v>
      </c>
      <c r="L116" s="22">
        <f t="shared" si="7"/>
        <v>96</v>
      </c>
      <c r="M116" s="28">
        <f t="shared" si="8"/>
        <v>1422</v>
      </c>
      <c r="N116" s="24">
        <v>-1825</v>
      </c>
      <c r="O116" s="28">
        <v>3247</v>
      </c>
      <c r="P116" s="22">
        <f t="shared" si="9"/>
        <v>693</v>
      </c>
      <c r="Q116" s="36"/>
      <c r="R116" s="30"/>
    </row>
    <row r="117" spans="1:18" ht="15.75" customHeight="1" x14ac:dyDescent="0.2">
      <c r="A117" s="37">
        <v>45816</v>
      </c>
      <c r="B117" s="22">
        <f t="shared" si="1"/>
        <v>97</v>
      </c>
      <c r="C117" s="28">
        <f t="shared" si="2"/>
        <v>1338</v>
      </c>
      <c r="D117" s="24">
        <v>-1885</v>
      </c>
      <c r="E117" s="28">
        <v>2505</v>
      </c>
      <c r="F117" s="22">
        <f t="shared" si="10"/>
        <v>787</v>
      </c>
      <c r="G117" s="22">
        <f t="shared" si="4"/>
        <v>97</v>
      </c>
      <c r="H117" s="28">
        <f t="shared" si="5"/>
        <v>1106</v>
      </c>
      <c r="I117" s="24">
        <v>-1784</v>
      </c>
      <c r="J117" s="28">
        <v>2990</v>
      </c>
      <c r="K117" s="22">
        <f t="shared" si="6"/>
        <v>989</v>
      </c>
      <c r="L117" s="22">
        <f t="shared" si="7"/>
        <v>97</v>
      </c>
      <c r="M117" s="28">
        <f t="shared" si="8"/>
        <v>1417</v>
      </c>
      <c r="N117" s="24">
        <v>-1830</v>
      </c>
      <c r="O117" s="28">
        <v>3247</v>
      </c>
      <c r="P117" s="22">
        <f t="shared" si="9"/>
        <v>698</v>
      </c>
      <c r="Q117" s="36"/>
      <c r="R117" s="30"/>
    </row>
    <row r="118" spans="1:18" ht="15.75" customHeight="1" x14ac:dyDescent="0.2">
      <c r="A118" s="37">
        <v>45817</v>
      </c>
      <c r="B118" s="22">
        <f t="shared" si="1"/>
        <v>98</v>
      </c>
      <c r="C118" s="28">
        <f t="shared" si="2"/>
        <v>1333</v>
      </c>
      <c r="D118" s="24">
        <v>-1890</v>
      </c>
      <c r="E118" s="28">
        <v>2505</v>
      </c>
      <c r="F118" s="22">
        <f t="shared" si="10"/>
        <v>792</v>
      </c>
      <c r="G118" s="22">
        <f t="shared" si="4"/>
        <v>98</v>
      </c>
      <c r="H118" s="28">
        <f t="shared" si="5"/>
        <v>1101</v>
      </c>
      <c r="I118" s="24">
        <v>-1789</v>
      </c>
      <c r="J118" s="28">
        <v>2990</v>
      </c>
      <c r="K118" s="22">
        <f t="shared" si="6"/>
        <v>994</v>
      </c>
      <c r="L118" s="22">
        <f t="shared" si="7"/>
        <v>98</v>
      </c>
      <c r="M118" s="28">
        <f t="shared" si="8"/>
        <v>1412</v>
      </c>
      <c r="N118" s="24">
        <v>-1835</v>
      </c>
      <c r="O118" s="28">
        <v>3247</v>
      </c>
      <c r="P118" s="22">
        <f t="shared" si="9"/>
        <v>703</v>
      </c>
      <c r="Q118" s="36"/>
      <c r="R118" s="30"/>
    </row>
    <row r="119" spans="1:18" ht="15.75" customHeight="1" x14ac:dyDescent="0.2">
      <c r="A119" s="37">
        <v>45818</v>
      </c>
      <c r="B119" s="22">
        <f t="shared" si="1"/>
        <v>99</v>
      </c>
      <c r="C119" s="28">
        <f t="shared" si="2"/>
        <v>1328</v>
      </c>
      <c r="D119" s="24">
        <v>-1895</v>
      </c>
      <c r="E119" s="28">
        <v>2505</v>
      </c>
      <c r="F119" s="22">
        <f t="shared" si="10"/>
        <v>797</v>
      </c>
      <c r="G119" s="22">
        <f t="shared" si="4"/>
        <v>99</v>
      </c>
      <c r="H119" s="28">
        <f t="shared" si="5"/>
        <v>1096</v>
      </c>
      <c r="I119" s="24">
        <v>-1794</v>
      </c>
      <c r="J119" s="28">
        <v>2990</v>
      </c>
      <c r="K119" s="22">
        <f t="shared" si="6"/>
        <v>999</v>
      </c>
      <c r="L119" s="22">
        <f t="shared" si="7"/>
        <v>99</v>
      </c>
      <c r="M119" s="28">
        <f t="shared" si="8"/>
        <v>1407</v>
      </c>
      <c r="N119" s="24">
        <v>-1840</v>
      </c>
      <c r="O119" s="28">
        <v>3247</v>
      </c>
      <c r="P119" s="22">
        <f t="shared" si="9"/>
        <v>708</v>
      </c>
      <c r="Q119" s="36"/>
      <c r="R119" s="30"/>
    </row>
    <row r="120" spans="1:18" ht="15.75" customHeight="1" x14ac:dyDescent="0.2">
      <c r="A120" s="37">
        <v>45819</v>
      </c>
      <c r="B120" s="22">
        <f t="shared" si="1"/>
        <v>100</v>
      </c>
      <c r="C120" s="28">
        <f t="shared" si="2"/>
        <v>1328</v>
      </c>
      <c r="D120" s="24">
        <v>-1895</v>
      </c>
      <c r="E120" s="28">
        <v>2505</v>
      </c>
      <c r="F120" s="22">
        <f t="shared" si="10"/>
        <v>797</v>
      </c>
      <c r="G120" s="22">
        <f t="shared" si="4"/>
        <v>100</v>
      </c>
      <c r="H120" s="28">
        <f t="shared" si="5"/>
        <v>1096</v>
      </c>
      <c r="I120" s="24">
        <v>-1794</v>
      </c>
      <c r="J120" s="28">
        <v>2990</v>
      </c>
      <c r="K120" s="22">
        <f t="shared" si="6"/>
        <v>999</v>
      </c>
      <c r="L120" s="22">
        <f t="shared" si="7"/>
        <v>100</v>
      </c>
      <c r="M120" s="28">
        <f t="shared" si="8"/>
        <v>1407</v>
      </c>
      <c r="N120" s="24">
        <v>-1840</v>
      </c>
      <c r="O120" s="28">
        <v>3247</v>
      </c>
      <c r="P120" s="22">
        <f t="shared" si="9"/>
        <v>708</v>
      </c>
      <c r="Q120" s="36"/>
      <c r="R120" s="30"/>
    </row>
    <row r="121" spans="1:18" ht="15.75" customHeight="1" x14ac:dyDescent="0.2">
      <c r="A121" s="37">
        <v>45820</v>
      </c>
      <c r="B121" s="22">
        <f t="shared" si="1"/>
        <v>101</v>
      </c>
      <c r="C121" s="28">
        <f t="shared" si="2"/>
        <v>1328</v>
      </c>
      <c r="D121" s="24">
        <v>-1895</v>
      </c>
      <c r="E121" s="28">
        <v>2505</v>
      </c>
      <c r="F121" s="22">
        <f t="shared" si="10"/>
        <v>797</v>
      </c>
      <c r="G121" s="22">
        <f t="shared" si="4"/>
        <v>101</v>
      </c>
      <c r="H121" s="28">
        <f t="shared" si="5"/>
        <v>1096</v>
      </c>
      <c r="I121" s="24">
        <v>-1794</v>
      </c>
      <c r="J121" s="28">
        <v>2990</v>
      </c>
      <c r="K121" s="22">
        <f t="shared" si="6"/>
        <v>999</v>
      </c>
      <c r="L121" s="22">
        <f t="shared" si="7"/>
        <v>101</v>
      </c>
      <c r="M121" s="28">
        <f t="shared" si="8"/>
        <v>1407</v>
      </c>
      <c r="N121" s="24">
        <v>-1840</v>
      </c>
      <c r="O121" s="28">
        <v>3247</v>
      </c>
      <c r="P121" s="22">
        <f t="shared" si="9"/>
        <v>708</v>
      </c>
      <c r="Q121" s="36"/>
      <c r="R121" s="30"/>
    </row>
    <row r="122" spans="1:18" ht="15.75" customHeight="1" x14ac:dyDescent="0.2">
      <c r="A122" s="37">
        <v>45821</v>
      </c>
      <c r="B122" s="22">
        <f t="shared" si="1"/>
        <v>102</v>
      </c>
      <c r="C122" s="28">
        <f t="shared" si="2"/>
        <v>1328</v>
      </c>
      <c r="D122" s="24">
        <v>-1895</v>
      </c>
      <c r="E122" s="28">
        <v>2505</v>
      </c>
      <c r="F122" s="22">
        <f t="shared" si="10"/>
        <v>797</v>
      </c>
      <c r="G122" s="22">
        <f t="shared" si="4"/>
        <v>102</v>
      </c>
      <c r="H122" s="28">
        <f t="shared" si="5"/>
        <v>1096</v>
      </c>
      <c r="I122" s="24">
        <v>-1794</v>
      </c>
      <c r="J122" s="28">
        <v>2990</v>
      </c>
      <c r="K122" s="22">
        <f t="shared" si="6"/>
        <v>999</v>
      </c>
      <c r="L122" s="22">
        <f t="shared" si="7"/>
        <v>102</v>
      </c>
      <c r="M122" s="28">
        <f t="shared" si="8"/>
        <v>1407</v>
      </c>
      <c r="N122" s="24">
        <v>-1840</v>
      </c>
      <c r="O122" s="28">
        <v>3247</v>
      </c>
      <c r="P122" s="22">
        <f t="shared" si="9"/>
        <v>708</v>
      </c>
      <c r="Q122" s="36"/>
      <c r="R122" s="30"/>
    </row>
    <row r="123" spans="1:18" ht="15.75" customHeight="1" x14ac:dyDescent="0.2">
      <c r="A123" s="37">
        <v>45822</v>
      </c>
      <c r="B123" s="22">
        <f t="shared" si="1"/>
        <v>103</v>
      </c>
      <c r="C123" s="28">
        <f t="shared" si="2"/>
        <v>1328</v>
      </c>
      <c r="D123" s="24">
        <v>-1895</v>
      </c>
      <c r="E123" s="28">
        <v>2505</v>
      </c>
      <c r="F123" s="22">
        <f t="shared" si="10"/>
        <v>797</v>
      </c>
      <c r="G123" s="22">
        <f t="shared" si="4"/>
        <v>103</v>
      </c>
      <c r="H123" s="28">
        <f t="shared" si="5"/>
        <v>1096</v>
      </c>
      <c r="I123" s="24">
        <v>-1794</v>
      </c>
      <c r="J123" s="28">
        <v>2990</v>
      </c>
      <c r="K123" s="22">
        <f t="shared" si="6"/>
        <v>999</v>
      </c>
      <c r="L123" s="22">
        <f t="shared" si="7"/>
        <v>103</v>
      </c>
      <c r="M123" s="28">
        <f t="shared" si="8"/>
        <v>1397</v>
      </c>
      <c r="N123" s="24">
        <v>-1850</v>
      </c>
      <c r="O123" s="28">
        <v>3247</v>
      </c>
      <c r="P123" s="22">
        <f t="shared" si="9"/>
        <v>718</v>
      </c>
      <c r="Q123" s="36"/>
      <c r="R123" s="30"/>
    </row>
    <row r="124" spans="1:18" ht="15.75" customHeight="1" x14ac:dyDescent="0.2">
      <c r="A124" s="37">
        <v>45823</v>
      </c>
      <c r="B124" s="22">
        <f t="shared" si="1"/>
        <v>104</v>
      </c>
      <c r="C124" s="28">
        <f t="shared" si="2"/>
        <v>1328</v>
      </c>
      <c r="D124" s="24">
        <v>-1895</v>
      </c>
      <c r="E124" s="28">
        <v>2505</v>
      </c>
      <c r="F124" s="22">
        <f t="shared" si="10"/>
        <v>797</v>
      </c>
      <c r="G124" s="22">
        <f t="shared" si="4"/>
        <v>104</v>
      </c>
      <c r="H124" s="28">
        <f t="shared" si="5"/>
        <v>1096</v>
      </c>
      <c r="I124" s="24">
        <v>-1794</v>
      </c>
      <c r="J124" s="28">
        <v>2990</v>
      </c>
      <c r="K124" s="22">
        <f t="shared" si="6"/>
        <v>999</v>
      </c>
      <c r="L124" s="22">
        <f t="shared" si="7"/>
        <v>104</v>
      </c>
      <c r="M124" s="28">
        <f t="shared" si="8"/>
        <v>1390</v>
      </c>
      <c r="N124" s="24">
        <v>-1857</v>
      </c>
      <c r="O124" s="28">
        <v>3247</v>
      </c>
      <c r="P124" s="22">
        <f t="shared" si="9"/>
        <v>725</v>
      </c>
      <c r="Q124" s="36"/>
      <c r="R124" s="30"/>
    </row>
    <row r="125" spans="1:18" ht="15.75" customHeight="1" x14ac:dyDescent="0.2">
      <c r="A125" s="37">
        <v>45824</v>
      </c>
      <c r="B125" s="22">
        <f t="shared" si="1"/>
        <v>105</v>
      </c>
      <c r="C125" s="28">
        <f t="shared" si="2"/>
        <v>1328</v>
      </c>
      <c r="D125" s="24">
        <v>-1895</v>
      </c>
      <c r="E125" s="28">
        <v>2505</v>
      </c>
      <c r="F125" s="22">
        <f t="shared" si="10"/>
        <v>797</v>
      </c>
      <c r="G125" s="22">
        <f t="shared" si="4"/>
        <v>105</v>
      </c>
      <c r="H125" s="28">
        <f t="shared" si="5"/>
        <v>1096</v>
      </c>
      <c r="I125" s="24">
        <v>-1794</v>
      </c>
      <c r="J125" s="28">
        <v>2990</v>
      </c>
      <c r="K125" s="22">
        <f t="shared" si="6"/>
        <v>999</v>
      </c>
      <c r="L125" s="22">
        <f t="shared" si="7"/>
        <v>105</v>
      </c>
      <c r="M125" s="28">
        <f t="shared" si="8"/>
        <v>1383</v>
      </c>
      <c r="N125" s="24">
        <v>-1864</v>
      </c>
      <c r="O125" s="28">
        <v>3247</v>
      </c>
      <c r="P125" s="22">
        <f t="shared" si="9"/>
        <v>732</v>
      </c>
      <c r="Q125" s="36"/>
      <c r="R125" s="30"/>
    </row>
    <row r="126" spans="1:18" ht="15.75" customHeight="1" x14ac:dyDescent="0.2">
      <c r="A126" s="37">
        <v>45825</v>
      </c>
      <c r="B126" s="22">
        <f t="shared" si="1"/>
        <v>106</v>
      </c>
      <c r="C126" s="28">
        <f t="shared" si="2"/>
        <v>1328</v>
      </c>
      <c r="D126" s="24">
        <v>-1895</v>
      </c>
      <c r="E126" s="28">
        <v>2505</v>
      </c>
      <c r="F126" s="22">
        <f t="shared" si="10"/>
        <v>797</v>
      </c>
      <c r="G126" s="22">
        <f t="shared" si="4"/>
        <v>106</v>
      </c>
      <c r="H126" s="28">
        <f t="shared" si="5"/>
        <v>1096</v>
      </c>
      <c r="I126" s="24">
        <v>-1794</v>
      </c>
      <c r="J126" s="28">
        <v>2990</v>
      </c>
      <c r="K126" s="22">
        <f t="shared" si="6"/>
        <v>999</v>
      </c>
      <c r="L126" s="22">
        <f t="shared" si="7"/>
        <v>106</v>
      </c>
      <c r="M126" s="28">
        <f t="shared" si="8"/>
        <v>1376</v>
      </c>
      <c r="N126" s="24">
        <v>-1871</v>
      </c>
      <c r="O126" s="28">
        <v>3247</v>
      </c>
      <c r="P126" s="22">
        <f t="shared" si="9"/>
        <v>739</v>
      </c>
      <c r="Q126" s="36"/>
      <c r="R126" s="30"/>
    </row>
    <row r="127" spans="1:18" ht="15.75" customHeight="1" x14ac:dyDescent="0.2">
      <c r="A127" s="37">
        <v>45826</v>
      </c>
      <c r="B127" s="22">
        <f t="shared" si="1"/>
        <v>107</v>
      </c>
      <c r="C127" s="28">
        <f t="shared" si="2"/>
        <v>1328</v>
      </c>
      <c r="D127" s="24">
        <v>-1895</v>
      </c>
      <c r="E127" s="28">
        <v>2505</v>
      </c>
      <c r="F127" s="22">
        <f t="shared" si="10"/>
        <v>797</v>
      </c>
      <c r="G127" s="22">
        <f t="shared" si="4"/>
        <v>107</v>
      </c>
      <c r="H127" s="28">
        <f t="shared" si="5"/>
        <v>1096</v>
      </c>
      <c r="I127" s="24">
        <v>-1794</v>
      </c>
      <c r="J127" s="28">
        <v>2990</v>
      </c>
      <c r="K127" s="22">
        <f t="shared" si="6"/>
        <v>999</v>
      </c>
      <c r="L127" s="22">
        <f t="shared" si="7"/>
        <v>107</v>
      </c>
      <c r="M127" s="28">
        <f t="shared" si="8"/>
        <v>1369</v>
      </c>
      <c r="N127" s="24">
        <v>-1878</v>
      </c>
      <c r="O127" s="28">
        <v>3247</v>
      </c>
      <c r="P127" s="22">
        <f t="shared" si="9"/>
        <v>746</v>
      </c>
      <c r="Q127" s="36"/>
      <c r="R127" s="30"/>
    </row>
    <row r="128" spans="1:18" ht="15.75" customHeight="1" x14ac:dyDescent="0.2">
      <c r="A128" s="37">
        <v>45827</v>
      </c>
      <c r="B128" s="22">
        <f t="shared" si="1"/>
        <v>108</v>
      </c>
      <c r="C128" s="28">
        <f t="shared" si="2"/>
        <v>1328</v>
      </c>
      <c r="D128" s="24">
        <v>-1895</v>
      </c>
      <c r="E128" s="28">
        <v>2505</v>
      </c>
      <c r="F128" s="22">
        <f t="shared" si="10"/>
        <v>797</v>
      </c>
      <c r="G128" s="22">
        <f t="shared" si="4"/>
        <v>108</v>
      </c>
      <c r="H128" s="28">
        <f t="shared" si="5"/>
        <v>1096</v>
      </c>
      <c r="I128" s="24">
        <v>-1794</v>
      </c>
      <c r="J128" s="28">
        <v>2990</v>
      </c>
      <c r="K128" s="22">
        <f t="shared" si="6"/>
        <v>999</v>
      </c>
      <c r="L128" s="22">
        <f t="shared" si="7"/>
        <v>108</v>
      </c>
      <c r="M128" s="28">
        <f t="shared" si="8"/>
        <v>1362</v>
      </c>
      <c r="N128" s="24">
        <v>-1885</v>
      </c>
      <c r="O128" s="28">
        <v>3247</v>
      </c>
      <c r="P128" s="22">
        <f t="shared" si="9"/>
        <v>753</v>
      </c>
      <c r="Q128" s="36"/>
      <c r="R128" s="30"/>
    </row>
    <row r="129" spans="1:18" ht="15.75" customHeight="1" x14ac:dyDescent="0.2">
      <c r="A129" s="37">
        <v>45828</v>
      </c>
      <c r="B129" s="22">
        <f t="shared" si="1"/>
        <v>109</v>
      </c>
      <c r="C129" s="28">
        <f t="shared" si="2"/>
        <v>1328</v>
      </c>
      <c r="D129" s="24">
        <v>-1895</v>
      </c>
      <c r="E129" s="28">
        <v>2505</v>
      </c>
      <c r="F129" s="22">
        <f t="shared" si="10"/>
        <v>797</v>
      </c>
      <c r="G129" s="22">
        <f t="shared" si="4"/>
        <v>109</v>
      </c>
      <c r="H129" s="28">
        <f t="shared" si="5"/>
        <v>1096</v>
      </c>
      <c r="I129" s="24">
        <v>-1794</v>
      </c>
      <c r="J129" s="28">
        <v>2990</v>
      </c>
      <c r="K129" s="22">
        <f t="shared" si="6"/>
        <v>999</v>
      </c>
      <c r="L129" s="22">
        <f t="shared" si="7"/>
        <v>109</v>
      </c>
      <c r="M129" s="28">
        <f t="shared" si="8"/>
        <v>1355</v>
      </c>
      <c r="N129" s="24">
        <v>-1892</v>
      </c>
      <c r="O129" s="28">
        <v>3247</v>
      </c>
      <c r="P129" s="22">
        <f t="shared" si="9"/>
        <v>760</v>
      </c>
      <c r="Q129" s="36"/>
      <c r="R129" s="30"/>
    </row>
    <row r="130" spans="1:18" ht="15.75" customHeight="1" x14ac:dyDescent="0.2">
      <c r="A130" s="37">
        <v>45829</v>
      </c>
      <c r="B130" s="22">
        <f t="shared" si="1"/>
        <v>110</v>
      </c>
      <c r="C130" s="28">
        <f t="shared" si="2"/>
        <v>1323</v>
      </c>
      <c r="D130" s="24">
        <v>-1900</v>
      </c>
      <c r="E130" s="28">
        <v>2505</v>
      </c>
      <c r="F130" s="22">
        <f t="shared" si="10"/>
        <v>802</v>
      </c>
      <c r="G130" s="22">
        <f t="shared" si="4"/>
        <v>110</v>
      </c>
      <c r="H130" s="28">
        <f t="shared" si="5"/>
        <v>1080</v>
      </c>
      <c r="I130" s="24">
        <v>-1810</v>
      </c>
      <c r="J130" s="28">
        <v>2990</v>
      </c>
      <c r="K130" s="22">
        <f t="shared" si="6"/>
        <v>1015</v>
      </c>
      <c r="L130" s="22">
        <f t="shared" si="7"/>
        <v>110</v>
      </c>
      <c r="M130" s="28">
        <f t="shared" si="8"/>
        <v>1348</v>
      </c>
      <c r="N130" s="24">
        <v>-1899</v>
      </c>
      <c r="O130" s="28">
        <v>3247</v>
      </c>
      <c r="P130" s="22">
        <f t="shared" si="9"/>
        <v>767</v>
      </c>
      <c r="Q130" s="36"/>
      <c r="R130" s="30"/>
    </row>
    <row r="131" spans="1:18" ht="15.75" customHeight="1" x14ac:dyDescent="0.2">
      <c r="A131" s="37">
        <v>45830</v>
      </c>
      <c r="B131" s="22">
        <f t="shared" si="1"/>
        <v>111</v>
      </c>
      <c r="C131" s="28">
        <f t="shared" si="2"/>
        <v>1323</v>
      </c>
      <c r="D131" s="24">
        <v>-1900</v>
      </c>
      <c r="E131" s="28">
        <v>2505</v>
      </c>
      <c r="F131" s="22">
        <f t="shared" si="10"/>
        <v>802</v>
      </c>
      <c r="G131" s="22">
        <f t="shared" si="4"/>
        <v>111</v>
      </c>
      <c r="H131" s="28">
        <f t="shared" si="5"/>
        <v>1080</v>
      </c>
      <c r="I131" s="24">
        <v>-1810</v>
      </c>
      <c r="J131" s="28">
        <v>2990</v>
      </c>
      <c r="K131" s="22">
        <f t="shared" si="6"/>
        <v>1015</v>
      </c>
      <c r="L131" s="22">
        <f t="shared" si="7"/>
        <v>111</v>
      </c>
      <c r="M131" s="28">
        <f t="shared" si="8"/>
        <v>1341</v>
      </c>
      <c r="N131" s="24">
        <v>-1906</v>
      </c>
      <c r="O131" s="28">
        <v>3247</v>
      </c>
      <c r="P131" s="22">
        <f t="shared" si="9"/>
        <v>774</v>
      </c>
      <c r="Q131" s="36"/>
      <c r="R131" s="30"/>
    </row>
    <row r="132" spans="1:18" ht="15.75" customHeight="1" x14ac:dyDescent="0.2">
      <c r="A132" s="37">
        <v>45831</v>
      </c>
      <c r="B132" s="22">
        <f t="shared" si="1"/>
        <v>112</v>
      </c>
      <c r="C132" s="28">
        <f t="shared" si="2"/>
        <v>1323</v>
      </c>
      <c r="D132" s="24">
        <v>-1900</v>
      </c>
      <c r="E132" s="28">
        <v>2505</v>
      </c>
      <c r="F132" s="22">
        <f t="shared" si="10"/>
        <v>802</v>
      </c>
      <c r="G132" s="22">
        <f t="shared" si="4"/>
        <v>112</v>
      </c>
      <c r="H132" s="28">
        <f t="shared" si="5"/>
        <v>1080</v>
      </c>
      <c r="I132" s="24">
        <v>-1810</v>
      </c>
      <c r="J132" s="28">
        <v>2990</v>
      </c>
      <c r="K132" s="22">
        <f t="shared" si="6"/>
        <v>1015</v>
      </c>
      <c r="L132" s="22">
        <f t="shared" si="7"/>
        <v>112</v>
      </c>
      <c r="M132" s="28">
        <f t="shared" si="8"/>
        <v>1334</v>
      </c>
      <c r="N132" s="24">
        <v>-1913</v>
      </c>
      <c r="O132" s="28">
        <v>3247</v>
      </c>
      <c r="P132" s="22">
        <f t="shared" si="9"/>
        <v>781</v>
      </c>
      <c r="Q132" s="36"/>
      <c r="R132" s="30"/>
    </row>
    <row r="133" spans="1:18" ht="15.75" customHeight="1" x14ac:dyDescent="0.2">
      <c r="A133" s="37">
        <v>45832</v>
      </c>
      <c r="B133" s="22">
        <f t="shared" si="1"/>
        <v>113</v>
      </c>
      <c r="C133" s="28">
        <f t="shared" si="2"/>
        <v>1323</v>
      </c>
      <c r="D133" s="24">
        <v>-1900</v>
      </c>
      <c r="E133" s="28">
        <v>2505</v>
      </c>
      <c r="F133" s="22">
        <f t="shared" si="10"/>
        <v>802</v>
      </c>
      <c r="G133" s="22">
        <f t="shared" si="4"/>
        <v>113</v>
      </c>
      <c r="H133" s="28">
        <f t="shared" si="5"/>
        <v>1080</v>
      </c>
      <c r="I133" s="24">
        <v>-1810</v>
      </c>
      <c r="J133" s="28">
        <v>2990</v>
      </c>
      <c r="K133" s="22">
        <f t="shared" si="6"/>
        <v>1015</v>
      </c>
      <c r="L133" s="22">
        <f t="shared" si="7"/>
        <v>113</v>
      </c>
      <c r="M133" s="28">
        <f t="shared" si="8"/>
        <v>1327</v>
      </c>
      <c r="N133" s="24">
        <v>-1920</v>
      </c>
      <c r="O133" s="28">
        <v>3247</v>
      </c>
      <c r="P133" s="22">
        <f t="shared" si="9"/>
        <v>788</v>
      </c>
      <c r="Q133" s="36"/>
      <c r="R133" s="30"/>
    </row>
    <row r="134" spans="1:18" ht="15.75" customHeight="1" x14ac:dyDescent="0.2">
      <c r="A134" s="37">
        <v>45833</v>
      </c>
      <c r="B134" s="22">
        <f t="shared" si="1"/>
        <v>114</v>
      </c>
      <c r="C134" s="28">
        <f t="shared" si="2"/>
        <v>1323</v>
      </c>
      <c r="D134" s="24">
        <v>-1900</v>
      </c>
      <c r="E134" s="28">
        <v>2505</v>
      </c>
      <c r="F134" s="22">
        <f t="shared" si="10"/>
        <v>802</v>
      </c>
      <c r="G134" s="22">
        <f t="shared" si="4"/>
        <v>114</v>
      </c>
      <c r="H134" s="28">
        <f t="shared" si="5"/>
        <v>1077</v>
      </c>
      <c r="I134" s="24">
        <v>-1813</v>
      </c>
      <c r="J134" s="28">
        <v>2990</v>
      </c>
      <c r="K134" s="22">
        <f t="shared" si="6"/>
        <v>1018</v>
      </c>
      <c r="L134" s="22">
        <f t="shared" si="7"/>
        <v>114</v>
      </c>
      <c r="M134" s="28">
        <f t="shared" si="8"/>
        <v>1320</v>
      </c>
      <c r="N134" s="24">
        <v>-1927</v>
      </c>
      <c r="O134" s="28">
        <v>3247</v>
      </c>
      <c r="P134" s="22">
        <f t="shared" si="9"/>
        <v>795</v>
      </c>
      <c r="Q134" s="36"/>
      <c r="R134" s="30"/>
    </row>
    <row r="135" spans="1:18" ht="15.75" customHeight="1" x14ac:dyDescent="0.2">
      <c r="A135" s="37">
        <v>45834</v>
      </c>
      <c r="B135" s="22">
        <f t="shared" si="1"/>
        <v>115</v>
      </c>
      <c r="C135" s="28">
        <f t="shared" si="2"/>
        <v>1323</v>
      </c>
      <c r="D135" s="24">
        <v>-1900</v>
      </c>
      <c r="E135" s="28">
        <v>2505</v>
      </c>
      <c r="F135" s="22">
        <f t="shared" si="10"/>
        <v>802</v>
      </c>
      <c r="G135" s="22">
        <f t="shared" si="4"/>
        <v>115</v>
      </c>
      <c r="H135" s="28">
        <f t="shared" si="5"/>
        <v>1064</v>
      </c>
      <c r="I135" s="24">
        <v>-1826</v>
      </c>
      <c r="J135" s="28">
        <v>2990</v>
      </c>
      <c r="K135" s="22">
        <f t="shared" si="6"/>
        <v>1031</v>
      </c>
      <c r="L135" s="22">
        <f t="shared" si="7"/>
        <v>115</v>
      </c>
      <c r="M135" s="28">
        <f t="shared" si="8"/>
        <v>1313</v>
      </c>
      <c r="N135" s="24">
        <v>-1934</v>
      </c>
      <c r="O135" s="28">
        <v>3247</v>
      </c>
      <c r="P135" s="22">
        <f t="shared" si="9"/>
        <v>802</v>
      </c>
      <c r="Q135" s="36"/>
      <c r="R135" s="30"/>
    </row>
    <row r="136" spans="1:18" ht="15.75" customHeight="1" x14ac:dyDescent="0.2">
      <c r="A136" s="37">
        <v>45835</v>
      </c>
      <c r="B136" s="22">
        <f t="shared" si="1"/>
        <v>116</v>
      </c>
      <c r="C136" s="28">
        <f t="shared" si="2"/>
        <v>1323</v>
      </c>
      <c r="D136" s="24">
        <v>-1900</v>
      </c>
      <c r="E136" s="28">
        <v>2505</v>
      </c>
      <c r="F136" s="22">
        <f t="shared" si="10"/>
        <v>802</v>
      </c>
      <c r="G136" s="22">
        <f t="shared" si="4"/>
        <v>116</v>
      </c>
      <c r="H136" s="28">
        <f t="shared" si="5"/>
        <v>1051</v>
      </c>
      <c r="I136" s="24">
        <v>-1839</v>
      </c>
      <c r="J136" s="28">
        <v>2990</v>
      </c>
      <c r="K136" s="22">
        <f t="shared" si="6"/>
        <v>1044</v>
      </c>
      <c r="L136" s="22">
        <f t="shared" si="7"/>
        <v>116</v>
      </c>
      <c r="M136" s="28">
        <f t="shared" si="8"/>
        <v>1306</v>
      </c>
      <c r="N136" s="24">
        <v>-1941</v>
      </c>
      <c r="O136" s="28">
        <v>3247</v>
      </c>
      <c r="P136" s="22">
        <f t="shared" si="9"/>
        <v>809</v>
      </c>
      <c r="Q136" s="36"/>
      <c r="R136" s="30"/>
    </row>
    <row r="137" spans="1:18" ht="15.75" customHeight="1" x14ac:dyDescent="0.2">
      <c r="A137" s="37">
        <v>45836</v>
      </c>
      <c r="B137" s="22">
        <f t="shared" si="1"/>
        <v>117</v>
      </c>
      <c r="C137" s="28">
        <f t="shared" si="2"/>
        <v>1323</v>
      </c>
      <c r="D137" s="24">
        <v>-1900</v>
      </c>
      <c r="E137" s="28">
        <v>2505</v>
      </c>
      <c r="F137" s="22">
        <f t="shared" si="10"/>
        <v>802</v>
      </c>
      <c r="G137" s="22">
        <f t="shared" si="4"/>
        <v>117</v>
      </c>
      <c r="H137" s="28">
        <f t="shared" si="5"/>
        <v>1038</v>
      </c>
      <c r="I137" s="24">
        <v>-1852</v>
      </c>
      <c r="J137" s="28">
        <v>2990</v>
      </c>
      <c r="K137" s="22">
        <f t="shared" si="6"/>
        <v>1057</v>
      </c>
      <c r="L137" s="22">
        <f t="shared" si="7"/>
        <v>117</v>
      </c>
      <c r="M137" s="28">
        <f t="shared" si="8"/>
        <v>1299</v>
      </c>
      <c r="N137" s="24">
        <v>-1948</v>
      </c>
      <c r="O137" s="28">
        <v>3247</v>
      </c>
      <c r="P137" s="22">
        <f t="shared" si="9"/>
        <v>816</v>
      </c>
      <c r="Q137" s="36"/>
      <c r="R137" s="30"/>
    </row>
    <row r="138" spans="1:18" ht="15.75" customHeight="1" x14ac:dyDescent="0.2">
      <c r="A138" s="37">
        <v>45837</v>
      </c>
      <c r="B138" s="22">
        <f t="shared" si="1"/>
        <v>118</v>
      </c>
      <c r="C138" s="28">
        <f t="shared" si="2"/>
        <v>1323</v>
      </c>
      <c r="D138" s="24">
        <v>-1900</v>
      </c>
      <c r="E138" s="28">
        <v>2505</v>
      </c>
      <c r="F138" s="22">
        <f t="shared" si="10"/>
        <v>802</v>
      </c>
      <c r="G138" s="22">
        <f t="shared" si="4"/>
        <v>118</v>
      </c>
      <c r="H138" s="28">
        <f t="shared" si="5"/>
        <v>1025</v>
      </c>
      <c r="I138" s="24">
        <v>-1865</v>
      </c>
      <c r="J138" s="28">
        <v>2990</v>
      </c>
      <c r="K138" s="22">
        <f t="shared" si="6"/>
        <v>1070</v>
      </c>
      <c r="L138" s="22">
        <f t="shared" si="7"/>
        <v>118</v>
      </c>
      <c r="M138" s="28">
        <f t="shared" si="8"/>
        <v>1292</v>
      </c>
      <c r="N138" s="24">
        <v>-1955</v>
      </c>
      <c r="O138" s="28">
        <v>3247</v>
      </c>
      <c r="P138" s="22">
        <f t="shared" si="9"/>
        <v>823</v>
      </c>
      <c r="Q138" s="36"/>
      <c r="R138" s="30"/>
    </row>
    <row r="139" spans="1:18" ht="15.75" customHeight="1" x14ac:dyDescent="0.2">
      <c r="A139" s="37">
        <v>45838</v>
      </c>
      <c r="B139" s="22">
        <f t="shared" si="1"/>
        <v>119</v>
      </c>
      <c r="C139" s="28">
        <f t="shared" si="2"/>
        <v>1323</v>
      </c>
      <c r="D139" s="24">
        <v>-1900</v>
      </c>
      <c r="E139" s="28">
        <v>2505</v>
      </c>
      <c r="F139" s="22">
        <f t="shared" si="10"/>
        <v>802</v>
      </c>
      <c r="G139" s="22">
        <f t="shared" si="4"/>
        <v>119</v>
      </c>
      <c r="H139" s="28">
        <f t="shared" si="5"/>
        <v>1012</v>
      </c>
      <c r="I139" s="24">
        <v>-1878</v>
      </c>
      <c r="J139" s="28">
        <v>2990</v>
      </c>
      <c r="K139" s="22">
        <f t="shared" si="6"/>
        <v>1083</v>
      </c>
      <c r="L139" s="22">
        <f t="shared" si="7"/>
        <v>119</v>
      </c>
      <c r="M139" s="28">
        <f t="shared" si="8"/>
        <v>1285</v>
      </c>
      <c r="N139" s="24">
        <v>-1962</v>
      </c>
      <c r="O139" s="28">
        <v>3247</v>
      </c>
      <c r="P139" s="22">
        <f t="shared" si="9"/>
        <v>830</v>
      </c>
      <c r="Q139" s="36"/>
      <c r="R139" s="30"/>
    </row>
    <row r="140" spans="1:18" ht="15.75" customHeight="1" x14ac:dyDescent="0.2">
      <c r="A140" s="37">
        <v>45839</v>
      </c>
      <c r="B140" s="22">
        <f t="shared" si="1"/>
        <v>120</v>
      </c>
      <c r="C140" s="28">
        <f t="shared" si="2"/>
        <v>1323</v>
      </c>
      <c r="D140" s="24">
        <v>-1900</v>
      </c>
      <c r="E140" s="28">
        <v>2505</v>
      </c>
      <c r="F140" s="22">
        <f t="shared" si="10"/>
        <v>802</v>
      </c>
      <c r="G140" s="22">
        <f t="shared" si="4"/>
        <v>120</v>
      </c>
      <c r="H140" s="28">
        <f t="shared" si="5"/>
        <v>999</v>
      </c>
      <c r="I140" s="24">
        <v>-1891</v>
      </c>
      <c r="J140" s="28">
        <v>2990</v>
      </c>
      <c r="K140" s="22">
        <f t="shared" si="6"/>
        <v>1096</v>
      </c>
      <c r="L140" s="22">
        <f t="shared" si="7"/>
        <v>120</v>
      </c>
      <c r="M140" s="28">
        <f t="shared" si="8"/>
        <v>1278</v>
      </c>
      <c r="N140" s="24">
        <v>-1969</v>
      </c>
      <c r="O140" s="28">
        <v>3247</v>
      </c>
      <c r="P140" s="22">
        <f t="shared" si="9"/>
        <v>837</v>
      </c>
      <c r="Q140" s="36"/>
      <c r="R140" s="30"/>
    </row>
    <row r="141" spans="1:18" ht="15.75" customHeight="1" x14ac:dyDescent="0.2">
      <c r="A141" s="37">
        <v>45840</v>
      </c>
      <c r="B141" s="22">
        <f t="shared" si="1"/>
        <v>121</v>
      </c>
      <c r="C141" s="28">
        <f t="shared" si="2"/>
        <v>1323</v>
      </c>
      <c r="D141" s="24">
        <v>-1900</v>
      </c>
      <c r="E141" s="28">
        <v>2505</v>
      </c>
      <c r="F141" s="22">
        <f t="shared" si="10"/>
        <v>802</v>
      </c>
      <c r="G141" s="22">
        <f t="shared" si="4"/>
        <v>121</v>
      </c>
      <c r="H141" s="28">
        <f t="shared" si="5"/>
        <v>986</v>
      </c>
      <c r="I141" s="24">
        <v>-1904</v>
      </c>
      <c r="J141" s="28">
        <v>2990</v>
      </c>
      <c r="K141" s="22">
        <f t="shared" si="6"/>
        <v>1109</v>
      </c>
      <c r="L141" s="22">
        <f t="shared" si="7"/>
        <v>121</v>
      </c>
      <c r="M141" s="28">
        <f t="shared" si="8"/>
        <v>1271</v>
      </c>
      <c r="N141" s="24">
        <v>-1976</v>
      </c>
      <c r="O141" s="28">
        <v>3247</v>
      </c>
      <c r="P141" s="22">
        <f t="shared" si="9"/>
        <v>844</v>
      </c>
      <c r="Q141" s="36"/>
      <c r="R141" s="30"/>
    </row>
    <row r="142" spans="1:18" ht="15.75" customHeight="1" x14ac:dyDescent="0.2">
      <c r="A142" s="37">
        <v>45841</v>
      </c>
      <c r="B142" s="22">
        <f t="shared" si="1"/>
        <v>122</v>
      </c>
      <c r="C142" s="28">
        <f t="shared" si="2"/>
        <v>1323</v>
      </c>
      <c r="D142" s="24">
        <v>-1900</v>
      </c>
      <c r="E142" s="28">
        <v>2505</v>
      </c>
      <c r="F142" s="22">
        <f t="shared" si="10"/>
        <v>802</v>
      </c>
      <c r="G142" s="22">
        <f t="shared" si="4"/>
        <v>122</v>
      </c>
      <c r="H142" s="28">
        <f t="shared" si="5"/>
        <v>973</v>
      </c>
      <c r="I142" s="24">
        <v>-1917</v>
      </c>
      <c r="J142" s="28">
        <v>2990</v>
      </c>
      <c r="K142" s="22">
        <f t="shared" si="6"/>
        <v>1122</v>
      </c>
      <c r="L142" s="22">
        <f t="shared" si="7"/>
        <v>122</v>
      </c>
      <c r="M142" s="28">
        <f t="shared" si="8"/>
        <v>1264</v>
      </c>
      <c r="N142" s="24">
        <v>-1983</v>
      </c>
      <c r="O142" s="28">
        <v>3247</v>
      </c>
      <c r="P142" s="22">
        <f t="shared" si="9"/>
        <v>851</v>
      </c>
      <c r="Q142" s="36"/>
      <c r="R142" s="30"/>
    </row>
    <row r="143" spans="1:18" ht="15.75" customHeight="1" x14ac:dyDescent="0.2">
      <c r="A143" s="37">
        <v>45842</v>
      </c>
      <c r="B143" s="22">
        <f t="shared" si="1"/>
        <v>123</v>
      </c>
      <c r="C143" s="28">
        <f t="shared" si="2"/>
        <v>1323</v>
      </c>
      <c r="D143" s="24">
        <v>-1900</v>
      </c>
      <c r="E143" s="28">
        <v>2505</v>
      </c>
      <c r="F143" s="22">
        <f t="shared" si="10"/>
        <v>802</v>
      </c>
      <c r="G143" s="22">
        <f t="shared" si="4"/>
        <v>123</v>
      </c>
      <c r="H143" s="28">
        <f t="shared" si="5"/>
        <v>960</v>
      </c>
      <c r="I143" s="24">
        <v>-1930</v>
      </c>
      <c r="J143" s="28">
        <v>2990</v>
      </c>
      <c r="K143" s="22">
        <f t="shared" si="6"/>
        <v>1135</v>
      </c>
      <c r="L143" s="22">
        <f t="shared" si="7"/>
        <v>123</v>
      </c>
      <c r="M143" s="28">
        <f t="shared" si="8"/>
        <v>1257</v>
      </c>
      <c r="N143" s="24">
        <v>-1990</v>
      </c>
      <c r="O143" s="28">
        <v>3247</v>
      </c>
      <c r="P143" s="22">
        <f t="shared" si="9"/>
        <v>858</v>
      </c>
      <c r="Q143" s="36"/>
      <c r="R143" s="30"/>
    </row>
    <row r="144" spans="1:18" ht="15.75" customHeight="1" x14ac:dyDescent="0.2">
      <c r="A144" s="37">
        <v>45843</v>
      </c>
      <c r="B144" s="22">
        <f t="shared" si="1"/>
        <v>124</v>
      </c>
      <c r="C144" s="28">
        <f t="shared" si="2"/>
        <v>1318</v>
      </c>
      <c r="D144" s="24">
        <v>-1905</v>
      </c>
      <c r="E144" s="28">
        <v>2505</v>
      </c>
      <c r="F144" s="22">
        <f t="shared" si="10"/>
        <v>807</v>
      </c>
      <c r="G144" s="22">
        <f t="shared" si="4"/>
        <v>124</v>
      </c>
      <c r="H144" s="28">
        <f t="shared" si="5"/>
        <v>947</v>
      </c>
      <c r="I144" s="24">
        <v>-1943</v>
      </c>
      <c r="J144" s="28">
        <v>2990</v>
      </c>
      <c r="K144" s="22">
        <f t="shared" si="6"/>
        <v>1148</v>
      </c>
      <c r="L144" s="22">
        <f t="shared" si="7"/>
        <v>124</v>
      </c>
      <c r="M144" s="28">
        <f t="shared" si="8"/>
        <v>1250</v>
      </c>
      <c r="N144" s="24">
        <v>-1997</v>
      </c>
      <c r="O144" s="28">
        <v>3247</v>
      </c>
      <c r="P144" s="22">
        <f t="shared" si="9"/>
        <v>865</v>
      </c>
      <c r="Q144" s="36"/>
      <c r="R144" s="30"/>
    </row>
    <row r="145" spans="1:18" ht="15.75" customHeight="1" x14ac:dyDescent="0.2">
      <c r="A145" s="37">
        <v>45844</v>
      </c>
      <c r="B145" s="22">
        <f t="shared" si="1"/>
        <v>125</v>
      </c>
      <c r="C145" s="28">
        <f t="shared" si="2"/>
        <v>1303</v>
      </c>
      <c r="D145" s="24">
        <v>-1920</v>
      </c>
      <c r="E145" s="28">
        <v>2505</v>
      </c>
      <c r="F145" s="22">
        <f t="shared" si="10"/>
        <v>822</v>
      </c>
      <c r="G145" s="22">
        <f t="shared" si="4"/>
        <v>125</v>
      </c>
      <c r="H145" s="28">
        <f t="shared" si="5"/>
        <v>934</v>
      </c>
      <c r="I145" s="24">
        <v>-1956</v>
      </c>
      <c r="J145" s="28">
        <v>2990</v>
      </c>
      <c r="K145" s="22">
        <f t="shared" si="6"/>
        <v>1161</v>
      </c>
      <c r="L145" s="22">
        <f t="shared" si="7"/>
        <v>125</v>
      </c>
      <c r="M145" s="28">
        <f t="shared" si="8"/>
        <v>1243</v>
      </c>
      <c r="N145" s="24">
        <v>-2004</v>
      </c>
      <c r="O145" s="28">
        <v>3247</v>
      </c>
      <c r="P145" s="22">
        <f t="shared" si="9"/>
        <v>872</v>
      </c>
      <c r="Q145" s="36"/>
      <c r="R145" s="30"/>
    </row>
    <row r="146" spans="1:18" ht="15.75" customHeight="1" x14ac:dyDescent="0.2">
      <c r="A146" s="37">
        <v>45845</v>
      </c>
      <c r="B146" s="22">
        <f t="shared" si="1"/>
        <v>126</v>
      </c>
      <c r="C146" s="28">
        <f t="shared" si="2"/>
        <v>1288</v>
      </c>
      <c r="D146" s="24">
        <v>-1935</v>
      </c>
      <c r="E146" s="28">
        <v>2505</v>
      </c>
      <c r="F146" s="22">
        <f t="shared" si="10"/>
        <v>837</v>
      </c>
      <c r="G146" s="22">
        <f t="shared" si="4"/>
        <v>126</v>
      </c>
      <c r="H146" s="28">
        <f t="shared" si="5"/>
        <v>921</v>
      </c>
      <c r="I146" s="24">
        <v>-1969</v>
      </c>
      <c r="J146" s="28">
        <v>2990</v>
      </c>
      <c r="K146" s="22">
        <f t="shared" si="6"/>
        <v>1174</v>
      </c>
      <c r="L146" s="22">
        <f t="shared" si="7"/>
        <v>126</v>
      </c>
      <c r="M146" s="28">
        <f t="shared" si="8"/>
        <v>1236</v>
      </c>
      <c r="N146" s="24">
        <v>-2011</v>
      </c>
      <c r="O146" s="28">
        <v>3247</v>
      </c>
      <c r="P146" s="22">
        <f t="shared" si="9"/>
        <v>879</v>
      </c>
      <c r="Q146" s="36"/>
      <c r="R146" s="30"/>
    </row>
    <row r="147" spans="1:18" ht="15.75" customHeight="1" x14ac:dyDescent="0.2">
      <c r="A147" s="37">
        <v>45846</v>
      </c>
      <c r="B147" s="22">
        <f t="shared" si="1"/>
        <v>127</v>
      </c>
      <c r="C147" s="28">
        <f t="shared" si="2"/>
        <v>1273</v>
      </c>
      <c r="D147" s="24">
        <v>-1950</v>
      </c>
      <c r="E147" s="28">
        <v>2505</v>
      </c>
      <c r="F147" s="22">
        <f t="shared" si="10"/>
        <v>852</v>
      </c>
      <c r="G147" s="22">
        <f t="shared" si="4"/>
        <v>127</v>
      </c>
      <c r="H147" s="28">
        <f t="shared" si="5"/>
        <v>908</v>
      </c>
      <c r="I147" s="24">
        <v>-1982</v>
      </c>
      <c r="J147" s="28">
        <v>2990</v>
      </c>
      <c r="K147" s="22">
        <f t="shared" si="6"/>
        <v>1187</v>
      </c>
      <c r="L147" s="22">
        <f t="shared" si="7"/>
        <v>127</v>
      </c>
      <c r="M147" s="28">
        <f t="shared" si="8"/>
        <v>1229</v>
      </c>
      <c r="N147" s="24">
        <v>-2018</v>
      </c>
      <c r="O147" s="28">
        <v>3247</v>
      </c>
      <c r="P147" s="22">
        <f t="shared" si="9"/>
        <v>886</v>
      </c>
      <c r="Q147" s="36"/>
      <c r="R147" s="30"/>
    </row>
    <row r="148" spans="1:18" ht="15.75" customHeight="1" x14ac:dyDescent="0.2">
      <c r="A148" s="37">
        <v>45847</v>
      </c>
      <c r="B148" s="22">
        <f t="shared" si="1"/>
        <v>128</v>
      </c>
      <c r="C148" s="28">
        <f t="shared" si="2"/>
        <v>1258</v>
      </c>
      <c r="D148" s="24">
        <v>-1965</v>
      </c>
      <c r="E148" s="28">
        <v>2505</v>
      </c>
      <c r="F148" s="22">
        <f t="shared" si="10"/>
        <v>867</v>
      </c>
      <c r="G148" s="22">
        <f t="shared" si="4"/>
        <v>128</v>
      </c>
      <c r="H148" s="28">
        <f t="shared" si="5"/>
        <v>895</v>
      </c>
      <c r="I148" s="24">
        <v>-1995</v>
      </c>
      <c r="J148" s="28">
        <v>2990</v>
      </c>
      <c r="K148" s="22">
        <f t="shared" si="6"/>
        <v>1200</v>
      </c>
      <c r="L148" s="22">
        <f t="shared" si="7"/>
        <v>128</v>
      </c>
      <c r="M148" s="28">
        <f t="shared" si="8"/>
        <v>1222</v>
      </c>
      <c r="N148" s="24">
        <v>-2025</v>
      </c>
      <c r="O148" s="28">
        <v>3247</v>
      </c>
      <c r="P148" s="22">
        <f t="shared" si="9"/>
        <v>893</v>
      </c>
      <c r="Q148" s="36"/>
      <c r="R148" s="30"/>
    </row>
    <row r="149" spans="1:18" ht="15.75" customHeight="1" x14ac:dyDescent="0.2">
      <c r="A149" s="37">
        <v>45848</v>
      </c>
      <c r="B149" s="22">
        <f t="shared" si="1"/>
        <v>129</v>
      </c>
      <c r="C149" s="28">
        <f t="shared" si="2"/>
        <v>1243</v>
      </c>
      <c r="D149" s="24">
        <v>-1980</v>
      </c>
      <c r="E149" s="28">
        <v>2505</v>
      </c>
      <c r="F149" s="22">
        <f t="shared" si="10"/>
        <v>882</v>
      </c>
      <c r="G149" s="22">
        <f t="shared" si="4"/>
        <v>129</v>
      </c>
      <c r="H149" s="28">
        <f t="shared" si="5"/>
        <v>882</v>
      </c>
      <c r="I149" s="24">
        <v>-2008</v>
      </c>
      <c r="J149" s="28">
        <v>2990</v>
      </c>
      <c r="K149" s="22">
        <f t="shared" si="6"/>
        <v>1213</v>
      </c>
      <c r="L149" s="22">
        <f t="shared" si="7"/>
        <v>129</v>
      </c>
      <c r="M149" s="28">
        <f t="shared" si="8"/>
        <v>1215</v>
      </c>
      <c r="N149" s="24">
        <v>-2032</v>
      </c>
      <c r="O149" s="28">
        <v>3247</v>
      </c>
      <c r="P149" s="22">
        <f t="shared" si="9"/>
        <v>900</v>
      </c>
      <c r="Q149" s="36"/>
      <c r="R149" s="30"/>
    </row>
    <row r="150" spans="1:18" ht="15.75" customHeight="1" x14ac:dyDescent="0.2">
      <c r="A150" s="37">
        <v>45849</v>
      </c>
      <c r="B150" s="22">
        <f t="shared" si="1"/>
        <v>130</v>
      </c>
      <c r="C150" s="28">
        <f t="shared" si="2"/>
        <v>1228</v>
      </c>
      <c r="D150" s="24">
        <v>-1995</v>
      </c>
      <c r="E150" s="28">
        <v>2505</v>
      </c>
      <c r="F150" s="22">
        <f t="shared" si="10"/>
        <v>897</v>
      </c>
      <c r="G150" s="22">
        <f t="shared" si="4"/>
        <v>130</v>
      </c>
      <c r="H150" s="28">
        <f t="shared" si="5"/>
        <v>869</v>
      </c>
      <c r="I150" s="24">
        <v>-2021</v>
      </c>
      <c r="J150" s="28">
        <v>2990</v>
      </c>
      <c r="K150" s="22">
        <f t="shared" si="6"/>
        <v>1226</v>
      </c>
      <c r="L150" s="22">
        <f t="shared" si="7"/>
        <v>130</v>
      </c>
      <c r="M150" s="28">
        <f t="shared" si="8"/>
        <v>1208</v>
      </c>
      <c r="N150" s="24">
        <v>-2039</v>
      </c>
      <c r="O150" s="28">
        <v>3247</v>
      </c>
      <c r="P150" s="22">
        <f t="shared" si="9"/>
        <v>907</v>
      </c>
      <c r="Q150" s="36"/>
      <c r="R150" s="30"/>
    </row>
    <row r="151" spans="1:18" ht="15.75" customHeight="1" x14ac:dyDescent="0.2">
      <c r="A151" s="37">
        <v>45850</v>
      </c>
      <c r="B151" s="22">
        <f t="shared" si="1"/>
        <v>131</v>
      </c>
      <c r="C151" s="28">
        <f t="shared" si="2"/>
        <v>1213</v>
      </c>
      <c r="D151" s="24">
        <v>-2010</v>
      </c>
      <c r="E151" s="28">
        <v>2505</v>
      </c>
      <c r="F151" s="22">
        <f t="shared" si="10"/>
        <v>912</v>
      </c>
      <c r="G151" s="22">
        <f t="shared" si="4"/>
        <v>131</v>
      </c>
      <c r="H151" s="28">
        <f t="shared" si="5"/>
        <v>856</v>
      </c>
      <c r="I151" s="24">
        <v>-2034</v>
      </c>
      <c r="J151" s="28">
        <v>2990</v>
      </c>
      <c r="K151" s="22">
        <f t="shared" si="6"/>
        <v>1239</v>
      </c>
      <c r="L151" s="22">
        <f t="shared" si="7"/>
        <v>131</v>
      </c>
      <c r="M151" s="28">
        <f t="shared" si="8"/>
        <v>1201</v>
      </c>
      <c r="N151" s="24">
        <v>-2046</v>
      </c>
      <c r="O151" s="28">
        <v>3247</v>
      </c>
      <c r="P151" s="22">
        <f t="shared" si="9"/>
        <v>914</v>
      </c>
      <c r="Q151" s="36"/>
      <c r="R151" s="30"/>
    </row>
    <row r="152" spans="1:18" ht="15.75" customHeight="1" x14ac:dyDescent="0.2">
      <c r="A152" s="37">
        <v>45851</v>
      </c>
      <c r="B152" s="22">
        <f t="shared" si="1"/>
        <v>132</v>
      </c>
      <c r="C152" s="28">
        <f t="shared" si="2"/>
        <v>1198</v>
      </c>
      <c r="D152" s="24">
        <v>-2025</v>
      </c>
      <c r="E152" s="28">
        <v>2505</v>
      </c>
      <c r="F152" s="22">
        <f t="shared" si="10"/>
        <v>927</v>
      </c>
      <c r="G152" s="22">
        <f t="shared" si="4"/>
        <v>132</v>
      </c>
      <c r="H152" s="28">
        <f t="shared" si="5"/>
        <v>843</v>
      </c>
      <c r="I152" s="24">
        <v>-2047</v>
      </c>
      <c r="J152" s="28">
        <v>2990</v>
      </c>
      <c r="K152" s="22">
        <f t="shared" si="6"/>
        <v>1252</v>
      </c>
      <c r="L152" s="22">
        <f t="shared" si="7"/>
        <v>132</v>
      </c>
      <c r="M152" s="28">
        <f t="shared" si="8"/>
        <v>1194</v>
      </c>
      <c r="N152" s="24">
        <v>-2053</v>
      </c>
      <c r="O152" s="28">
        <v>3247</v>
      </c>
      <c r="P152" s="22">
        <f t="shared" si="9"/>
        <v>921</v>
      </c>
      <c r="Q152" s="36"/>
      <c r="R152" s="30"/>
    </row>
    <row r="153" spans="1:18" ht="15.75" customHeight="1" x14ac:dyDescent="0.2">
      <c r="A153" s="37">
        <v>45852</v>
      </c>
      <c r="B153" s="22">
        <f t="shared" si="1"/>
        <v>133</v>
      </c>
      <c r="C153" s="28">
        <f t="shared" si="2"/>
        <v>1183</v>
      </c>
      <c r="D153" s="24">
        <v>-2040</v>
      </c>
      <c r="E153" s="28">
        <v>2505</v>
      </c>
      <c r="F153" s="22">
        <f t="shared" si="10"/>
        <v>942</v>
      </c>
      <c r="G153" s="22">
        <f t="shared" si="4"/>
        <v>133</v>
      </c>
      <c r="H153" s="28">
        <f t="shared" si="5"/>
        <v>830</v>
      </c>
      <c r="I153" s="24">
        <v>-2060</v>
      </c>
      <c r="J153" s="28">
        <v>2990</v>
      </c>
      <c r="K153" s="22">
        <f t="shared" si="6"/>
        <v>1265</v>
      </c>
      <c r="L153" s="22">
        <f t="shared" si="7"/>
        <v>133</v>
      </c>
      <c r="M153" s="28">
        <f t="shared" si="8"/>
        <v>1187</v>
      </c>
      <c r="N153" s="24">
        <v>-2060</v>
      </c>
      <c r="O153" s="28">
        <v>3247</v>
      </c>
      <c r="P153" s="22">
        <f t="shared" si="9"/>
        <v>928</v>
      </c>
      <c r="Q153" s="36"/>
      <c r="R153" s="30"/>
    </row>
    <row r="154" spans="1:18" ht="15.75" customHeight="1" x14ac:dyDescent="0.2">
      <c r="A154" s="37">
        <v>45853</v>
      </c>
      <c r="B154" s="22">
        <f t="shared" si="1"/>
        <v>134</v>
      </c>
      <c r="C154" s="28">
        <f t="shared" si="2"/>
        <v>1168</v>
      </c>
      <c r="D154" s="24">
        <v>-2055</v>
      </c>
      <c r="E154" s="28">
        <v>2505</v>
      </c>
      <c r="F154" s="22">
        <f t="shared" si="10"/>
        <v>957</v>
      </c>
      <c r="G154" s="22">
        <f t="shared" si="4"/>
        <v>134</v>
      </c>
      <c r="H154" s="28">
        <f t="shared" si="5"/>
        <v>817</v>
      </c>
      <c r="I154" s="24">
        <v>-2073</v>
      </c>
      <c r="J154" s="28">
        <v>2990</v>
      </c>
      <c r="K154" s="22">
        <f t="shared" si="6"/>
        <v>1278</v>
      </c>
      <c r="L154" s="22">
        <f t="shared" si="7"/>
        <v>134</v>
      </c>
      <c r="M154" s="28">
        <f t="shared" si="8"/>
        <v>1180</v>
      </c>
      <c r="N154" s="24">
        <v>-2067</v>
      </c>
      <c r="O154" s="28">
        <v>3247</v>
      </c>
      <c r="P154" s="22">
        <f t="shared" si="9"/>
        <v>935</v>
      </c>
      <c r="Q154" s="36"/>
      <c r="R154" s="30"/>
    </row>
    <row r="155" spans="1:18" ht="15.75" customHeight="1" x14ac:dyDescent="0.2">
      <c r="A155" s="37">
        <v>45854</v>
      </c>
      <c r="B155" s="22">
        <f t="shared" si="1"/>
        <v>135</v>
      </c>
      <c r="C155" s="28">
        <f t="shared" si="2"/>
        <v>1153</v>
      </c>
      <c r="D155" s="24">
        <v>-2070</v>
      </c>
      <c r="E155" s="28">
        <v>2505</v>
      </c>
      <c r="F155" s="22">
        <f t="shared" si="10"/>
        <v>972</v>
      </c>
      <c r="G155" s="22">
        <f t="shared" si="4"/>
        <v>135</v>
      </c>
      <c r="H155" s="28">
        <f t="shared" si="5"/>
        <v>804</v>
      </c>
      <c r="I155" s="24">
        <v>-2086</v>
      </c>
      <c r="J155" s="28">
        <v>2990</v>
      </c>
      <c r="K155" s="22">
        <f t="shared" si="6"/>
        <v>1291</v>
      </c>
      <c r="L155" s="22">
        <f t="shared" si="7"/>
        <v>135</v>
      </c>
      <c r="M155" s="28">
        <f t="shared" si="8"/>
        <v>1173</v>
      </c>
      <c r="N155" s="24">
        <v>-2074</v>
      </c>
      <c r="O155" s="28">
        <v>3247</v>
      </c>
      <c r="P155" s="22">
        <f t="shared" si="9"/>
        <v>942</v>
      </c>
      <c r="Q155" s="36"/>
      <c r="R155" s="30"/>
    </row>
    <row r="156" spans="1:18" ht="15.75" customHeight="1" x14ac:dyDescent="0.2">
      <c r="A156" s="37">
        <v>45855</v>
      </c>
      <c r="B156" s="22">
        <f t="shared" si="1"/>
        <v>136</v>
      </c>
      <c r="C156" s="28">
        <f t="shared" si="2"/>
        <v>1138</v>
      </c>
      <c r="D156" s="24">
        <v>-2085</v>
      </c>
      <c r="E156" s="28">
        <v>2505</v>
      </c>
      <c r="F156" s="22">
        <f t="shared" si="10"/>
        <v>987</v>
      </c>
      <c r="G156" s="22">
        <f t="shared" si="4"/>
        <v>136</v>
      </c>
      <c r="H156" s="28">
        <f t="shared" si="5"/>
        <v>791</v>
      </c>
      <c r="I156" s="24">
        <v>-2099</v>
      </c>
      <c r="J156" s="28">
        <v>2990</v>
      </c>
      <c r="K156" s="22">
        <f t="shared" si="6"/>
        <v>1304</v>
      </c>
      <c r="L156" s="22">
        <f t="shared" si="7"/>
        <v>136</v>
      </c>
      <c r="M156" s="28">
        <f t="shared" si="8"/>
        <v>1166</v>
      </c>
      <c r="N156" s="24">
        <v>-2081</v>
      </c>
      <c r="O156" s="28">
        <v>3247</v>
      </c>
      <c r="P156" s="22">
        <f t="shared" si="9"/>
        <v>949</v>
      </c>
      <c r="Q156" s="36"/>
      <c r="R156" s="30"/>
    </row>
    <row r="157" spans="1:18" ht="15.75" customHeight="1" x14ac:dyDescent="0.2">
      <c r="A157" s="37">
        <v>45856</v>
      </c>
      <c r="B157" s="22">
        <f t="shared" si="1"/>
        <v>137</v>
      </c>
      <c r="C157" s="28">
        <f t="shared" si="2"/>
        <v>1123</v>
      </c>
      <c r="D157" s="24">
        <v>-2100</v>
      </c>
      <c r="E157" s="28">
        <v>2505</v>
      </c>
      <c r="F157" s="22">
        <f t="shared" si="10"/>
        <v>1002</v>
      </c>
      <c r="G157" s="22">
        <f t="shared" si="4"/>
        <v>137</v>
      </c>
      <c r="H157" s="28">
        <f t="shared" si="5"/>
        <v>778</v>
      </c>
      <c r="I157" s="24">
        <v>-2112</v>
      </c>
      <c r="J157" s="28">
        <v>2990</v>
      </c>
      <c r="K157" s="22">
        <f t="shared" si="6"/>
        <v>1317</v>
      </c>
      <c r="L157" s="22">
        <f t="shared" si="7"/>
        <v>137</v>
      </c>
      <c r="M157" s="28">
        <f t="shared" si="8"/>
        <v>1159</v>
      </c>
      <c r="N157" s="24">
        <v>-2088</v>
      </c>
      <c r="O157" s="28">
        <v>3247</v>
      </c>
      <c r="P157" s="22">
        <f t="shared" si="9"/>
        <v>956</v>
      </c>
      <c r="Q157" s="36"/>
      <c r="R157" s="30"/>
    </row>
    <row r="158" spans="1:18" ht="15.75" customHeight="1" x14ac:dyDescent="0.2">
      <c r="A158" s="37">
        <v>45857</v>
      </c>
      <c r="B158" s="22">
        <f t="shared" si="1"/>
        <v>138</v>
      </c>
      <c r="C158" s="28">
        <f t="shared" si="2"/>
        <v>1108</v>
      </c>
      <c r="D158" s="24">
        <v>-2115</v>
      </c>
      <c r="E158" s="28">
        <v>2505</v>
      </c>
      <c r="F158" s="22">
        <f t="shared" si="10"/>
        <v>1017</v>
      </c>
      <c r="G158" s="22">
        <f t="shared" si="4"/>
        <v>138</v>
      </c>
      <c r="H158" s="28">
        <f t="shared" si="5"/>
        <v>765</v>
      </c>
      <c r="I158" s="24">
        <v>-2125</v>
      </c>
      <c r="J158" s="28">
        <v>2990</v>
      </c>
      <c r="K158" s="22">
        <f t="shared" si="6"/>
        <v>1330</v>
      </c>
      <c r="L158" s="22">
        <f t="shared" si="7"/>
        <v>138</v>
      </c>
      <c r="M158" s="28">
        <f t="shared" si="8"/>
        <v>1152</v>
      </c>
      <c r="N158" s="24">
        <v>-2095</v>
      </c>
      <c r="O158" s="28">
        <v>3247</v>
      </c>
      <c r="P158" s="22">
        <f t="shared" si="9"/>
        <v>963</v>
      </c>
      <c r="Q158" s="36"/>
      <c r="R158" s="30"/>
    </row>
    <row r="159" spans="1:18" ht="15.75" customHeight="1" x14ac:dyDescent="0.2">
      <c r="A159" s="37">
        <v>45858</v>
      </c>
      <c r="B159" s="22">
        <f t="shared" si="1"/>
        <v>139</v>
      </c>
      <c r="C159" s="28">
        <f t="shared" si="2"/>
        <v>1106</v>
      </c>
      <c r="D159" s="24">
        <v>-2117</v>
      </c>
      <c r="E159" s="28">
        <v>2505</v>
      </c>
      <c r="F159" s="22">
        <f t="shared" si="10"/>
        <v>1019</v>
      </c>
      <c r="G159" s="22">
        <f t="shared" si="4"/>
        <v>139</v>
      </c>
      <c r="H159" s="28">
        <f t="shared" si="5"/>
        <v>764</v>
      </c>
      <c r="I159" s="24">
        <v>-2126</v>
      </c>
      <c r="J159" s="28">
        <v>2990</v>
      </c>
      <c r="K159" s="22">
        <f t="shared" si="6"/>
        <v>1331</v>
      </c>
      <c r="L159" s="22">
        <f t="shared" si="7"/>
        <v>139</v>
      </c>
      <c r="M159" s="28">
        <f t="shared" si="8"/>
        <v>1150</v>
      </c>
      <c r="N159" s="24">
        <v>-2097</v>
      </c>
      <c r="O159" s="28">
        <v>3247</v>
      </c>
      <c r="P159" s="22">
        <f t="shared" si="9"/>
        <v>965</v>
      </c>
      <c r="Q159" s="36"/>
      <c r="R159" s="30"/>
    </row>
    <row r="160" spans="1:18" ht="15.75" customHeight="1" x14ac:dyDescent="0.2">
      <c r="A160" s="37">
        <v>45859</v>
      </c>
      <c r="B160" s="22">
        <f t="shared" si="1"/>
        <v>140</v>
      </c>
      <c r="C160" s="28">
        <f t="shared" si="2"/>
        <v>1104</v>
      </c>
      <c r="D160" s="24">
        <v>-2119</v>
      </c>
      <c r="E160" s="28">
        <v>2505</v>
      </c>
      <c r="F160" s="22">
        <f t="shared" si="10"/>
        <v>1021</v>
      </c>
      <c r="G160" s="22">
        <f t="shared" si="4"/>
        <v>140</v>
      </c>
      <c r="H160" s="28">
        <f t="shared" si="5"/>
        <v>763</v>
      </c>
      <c r="I160" s="24">
        <v>-2127</v>
      </c>
      <c r="J160" s="28">
        <v>2990</v>
      </c>
      <c r="K160" s="22">
        <f t="shared" si="6"/>
        <v>1332</v>
      </c>
      <c r="L160" s="22">
        <f t="shared" si="7"/>
        <v>140</v>
      </c>
      <c r="M160" s="28">
        <f t="shared" si="8"/>
        <v>1148</v>
      </c>
      <c r="N160" s="24">
        <v>-2099</v>
      </c>
      <c r="O160" s="28">
        <v>3247</v>
      </c>
      <c r="P160" s="22">
        <f t="shared" si="9"/>
        <v>967</v>
      </c>
      <c r="Q160" s="36"/>
      <c r="R160" s="30"/>
    </row>
    <row r="161" spans="1:18" ht="15.75" customHeight="1" x14ac:dyDescent="0.2">
      <c r="A161" s="37">
        <v>45860</v>
      </c>
      <c r="B161" s="22">
        <f t="shared" si="1"/>
        <v>141</v>
      </c>
      <c r="C161" s="28">
        <f t="shared" si="2"/>
        <v>1102</v>
      </c>
      <c r="D161" s="24">
        <v>-2121</v>
      </c>
      <c r="E161" s="28">
        <v>2505</v>
      </c>
      <c r="F161" s="22">
        <f t="shared" si="10"/>
        <v>1023</v>
      </c>
      <c r="G161" s="22">
        <f t="shared" si="4"/>
        <v>141</v>
      </c>
      <c r="H161" s="28">
        <f t="shared" si="5"/>
        <v>762</v>
      </c>
      <c r="I161" s="24">
        <v>-2128</v>
      </c>
      <c r="J161" s="28">
        <v>2990</v>
      </c>
      <c r="K161" s="22">
        <f t="shared" si="6"/>
        <v>1333</v>
      </c>
      <c r="L161" s="22">
        <f t="shared" si="7"/>
        <v>141</v>
      </c>
      <c r="M161" s="28">
        <f t="shared" si="8"/>
        <v>1146</v>
      </c>
      <c r="N161" s="24">
        <v>-2101</v>
      </c>
      <c r="O161" s="28">
        <v>3247</v>
      </c>
      <c r="P161" s="22">
        <f t="shared" si="9"/>
        <v>969</v>
      </c>
      <c r="Q161" s="36"/>
      <c r="R161" s="30"/>
    </row>
    <row r="162" spans="1:18" ht="15.75" customHeight="1" x14ac:dyDescent="0.2">
      <c r="A162" s="37">
        <v>45861</v>
      </c>
      <c r="B162" s="22">
        <f t="shared" si="1"/>
        <v>142</v>
      </c>
      <c r="C162" s="28">
        <f t="shared" si="2"/>
        <v>1100</v>
      </c>
      <c r="D162" s="24">
        <v>-2123</v>
      </c>
      <c r="E162" s="28">
        <v>2505</v>
      </c>
      <c r="F162" s="22">
        <f t="shared" si="10"/>
        <v>1025</v>
      </c>
      <c r="G162" s="22">
        <f t="shared" si="4"/>
        <v>142</v>
      </c>
      <c r="H162" s="28">
        <f t="shared" si="5"/>
        <v>761</v>
      </c>
      <c r="I162" s="24">
        <v>-2129</v>
      </c>
      <c r="J162" s="28">
        <v>2990</v>
      </c>
      <c r="K162" s="22">
        <f t="shared" si="6"/>
        <v>1334</v>
      </c>
      <c r="L162" s="22">
        <f t="shared" si="7"/>
        <v>142</v>
      </c>
      <c r="M162" s="28">
        <f t="shared" si="8"/>
        <v>1144</v>
      </c>
      <c r="N162" s="24">
        <v>-2103</v>
      </c>
      <c r="O162" s="28">
        <v>3247</v>
      </c>
      <c r="P162" s="22">
        <f t="shared" si="9"/>
        <v>971</v>
      </c>
      <c r="Q162" s="36"/>
      <c r="R162" s="30"/>
    </row>
    <row r="163" spans="1:18" ht="15.75" customHeight="1" x14ac:dyDescent="0.2">
      <c r="A163" s="37">
        <v>45862</v>
      </c>
      <c r="B163" s="22">
        <f t="shared" si="1"/>
        <v>143</v>
      </c>
      <c r="C163" s="28">
        <f t="shared" si="2"/>
        <v>1098</v>
      </c>
      <c r="D163" s="24">
        <v>-2125</v>
      </c>
      <c r="E163" s="28">
        <v>2505</v>
      </c>
      <c r="F163" s="22">
        <f t="shared" si="10"/>
        <v>1027</v>
      </c>
      <c r="G163" s="22">
        <f t="shared" si="4"/>
        <v>143</v>
      </c>
      <c r="H163" s="28">
        <f t="shared" si="5"/>
        <v>760</v>
      </c>
      <c r="I163" s="24">
        <v>-2130</v>
      </c>
      <c r="J163" s="28">
        <v>2990</v>
      </c>
      <c r="K163" s="22">
        <f t="shared" si="6"/>
        <v>1335</v>
      </c>
      <c r="L163" s="22">
        <f t="shared" si="7"/>
        <v>143</v>
      </c>
      <c r="M163" s="28">
        <f t="shared" si="8"/>
        <v>1142</v>
      </c>
      <c r="N163" s="24">
        <v>-2105</v>
      </c>
      <c r="O163" s="28">
        <v>3247</v>
      </c>
      <c r="P163" s="22">
        <f t="shared" si="9"/>
        <v>973</v>
      </c>
      <c r="Q163" s="36"/>
      <c r="R163" s="30"/>
    </row>
    <row r="164" spans="1:18" ht="15.75" customHeight="1" x14ac:dyDescent="0.2">
      <c r="A164" s="37">
        <v>45863</v>
      </c>
      <c r="B164" s="22">
        <f t="shared" si="1"/>
        <v>144</v>
      </c>
      <c r="C164" s="28">
        <f t="shared" si="2"/>
        <v>1096</v>
      </c>
      <c r="D164" s="24">
        <v>-2127</v>
      </c>
      <c r="E164" s="28">
        <v>2505</v>
      </c>
      <c r="F164" s="22">
        <f t="shared" si="10"/>
        <v>1029</v>
      </c>
      <c r="G164" s="22">
        <f t="shared" si="4"/>
        <v>144</v>
      </c>
      <c r="H164" s="28">
        <f t="shared" si="5"/>
        <v>759</v>
      </c>
      <c r="I164" s="24">
        <v>-2131</v>
      </c>
      <c r="J164" s="28">
        <v>2990</v>
      </c>
      <c r="K164" s="22">
        <f t="shared" si="6"/>
        <v>1336</v>
      </c>
      <c r="L164" s="22">
        <f t="shared" si="7"/>
        <v>144</v>
      </c>
      <c r="M164" s="28">
        <f t="shared" si="8"/>
        <v>1140</v>
      </c>
      <c r="N164" s="24">
        <v>-2107</v>
      </c>
      <c r="O164" s="28">
        <v>3247</v>
      </c>
      <c r="P164" s="22">
        <f t="shared" si="9"/>
        <v>975</v>
      </c>
      <c r="Q164" s="36"/>
      <c r="R164" s="30"/>
    </row>
    <row r="165" spans="1:18" ht="15.75" customHeight="1" x14ac:dyDescent="0.2">
      <c r="A165" s="37">
        <v>45864</v>
      </c>
      <c r="B165" s="22">
        <f t="shared" si="1"/>
        <v>145</v>
      </c>
      <c r="C165" s="28">
        <f t="shared" si="2"/>
        <v>1094</v>
      </c>
      <c r="D165" s="24">
        <v>-2129</v>
      </c>
      <c r="E165" s="28">
        <v>2505</v>
      </c>
      <c r="F165" s="22">
        <f t="shared" si="10"/>
        <v>1031</v>
      </c>
      <c r="G165" s="22">
        <f t="shared" si="4"/>
        <v>145</v>
      </c>
      <c r="H165" s="28">
        <f t="shared" si="5"/>
        <v>758</v>
      </c>
      <c r="I165" s="24">
        <v>-2132</v>
      </c>
      <c r="J165" s="28">
        <v>2990</v>
      </c>
      <c r="K165" s="22">
        <f t="shared" si="6"/>
        <v>1337</v>
      </c>
      <c r="L165" s="22">
        <f t="shared" si="7"/>
        <v>145</v>
      </c>
      <c r="M165" s="28">
        <f t="shared" si="8"/>
        <v>1138</v>
      </c>
      <c r="N165" s="24">
        <v>-2109</v>
      </c>
      <c r="O165" s="28">
        <v>3247</v>
      </c>
      <c r="P165" s="22">
        <f t="shared" si="9"/>
        <v>977</v>
      </c>
      <c r="Q165" s="36"/>
      <c r="R165" s="30"/>
    </row>
    <row r="166" spans="1:18" ht="15.75" customHeight="1" x14ac:dyDescent="0.2">
      <c r="A166" s="37">
        <v>45865</v>
      </c>
      <c r="B166" s="22">
        <f t="shared" si="1"/>
        <v>146</v>
      </c>
      <c r="C166" s="28">
        <f t="shared" si="2"/>
        <v>1092</v>
      </c>
      <c r="D166" s="24">
        <v>-2131</v>
      </c>
      <c r="E166" s="28">
        <v>2505</v>
      </c>
      <c r="F166" s="22">
        <f t="shared" si="10"/>
        <v>1033</v>
      </c>
      <c r="G166" s="22">
        <f t="shared" si="4"/>
        <v>146</v>
      </c>
      <c r="H166" s="28">
        <f t="shared" si="5"/>
        <v>757</v>
      </c>
      <c r="I166" s="24">
        <v>-2133</v>
      </c>
      <c r="J166" s="28">
        <v>2990</v>
      </c>
      <c r="K166" s="22">
        <f t="shared" si="6"/>
        <v>1338</v>
      </c>
      <c r="L166" s="22">
        <f t="shared" si="7"/>
        <v>146</v>
      </c>
      <c r="M166" s="28">
        <f t="shared" si="8"/>
        <v>1136</v>
      </c>
      <c r="N166" s="24">
        <v>-2111</v>
      </c>
      <c r="O166" s="28">
        <v>3247</v>
      </c>
      <c r="P166" s="22">
        <f t="shared" si="9"/>
        <v>979</v>
      </c>
      <c r="Q166" s="36"/>
      <c r="R166" s="30"/>
    </row>
    <row r="167" spans="1:18" ht="15.75" customHeight="1" x14ac:dyDescent="0.2">
      <c r="A167" s="37">
        <v>45866</v>
      </c>
      <c r="B167" s="22">
        <f t="shared" si="1"/>
        <v>147</v>
      </c>
      <c r="C167" s="28">
        <f t="shared" si="2"/>
        <v>1090</v>
      </c>
      <c r="D167" s="24">
        <v>-2133</v>
      </c>
      <c r="E167" s="28">
        <v>2505</v>
      </c>
      <c r="F167" s="22">
        <f t="shared" si="10"/>
        <v>1035</v>
      </c>
      <c r="G167" s="22">
        <f t="shared" si="4"/>
        <v>147</v>
      </c>
      <c r="H167" s="28">
        <f t="shared" si="5"/>
        <v>756</v>
      </c>
      <c r="I167" s="24">
        <v>-2134</v>
      </c>
      <c r="J167" s="28">
        <v>2990</v>
      </c>
      <c r="K167" s="22">
        <f t="shared" si="6"/>
        <v>1339</v>
      </c>
      <c r="L167" s="22">
        <f t="shared" si="7"/>
        <v>147</v>
      </c>
      <c r="M167" s="28">
        <f t="shared" si="8"/>
        <v>1134</v>
      </c>
      <c r="N167" s="24">
        <v>-2113</v>
      </c>
      <c r="O167" s="28">
        <v>3247</v>
      </c>
      <c r="P167" s="22">
        <f t="shared" si="9"/>
        <v>981</v>
      </c>
      <c r="Q167" s="36"/>
      <c r="R167" s="30"/>
    </row>
    <row r="168" spans="1:18" ht="15.75" customHeight="1" x14ac:dyDescent="0.2">
      <c r="A168" s="37">
        <v>45867</v>
      </c>
      <c r="B168" s="22">
        <f t="shared" si="1"/>
        <v>148</v>
      </c>
      <c r="C168" s="25">
        <v>2010</v>
      </c>
      <c r="D168" s="24">
        <v>-2135</v>
      </c>
      <c r="E168" s="28">
        <v>2505</v>
      </c>
      <c r="F168" s="22">
        <f t="shared" si="10"/>
        <v>1037</v>
      </c>
      <c r="G168" s="22">
        <f t="shared" si="4"/>
        <v>148</v>
      </c>
      <c r="H168" s="25">
        <v>2007</v>
      </c>
      <c r="I168" s="24">
        <v>-2137</v>
      </c>
      <c r="J168" s="28">
        <v>2990</v>
      </c>
      <c r="K168" s="22">
        <f t="shared" si="6"/>
        <v>1342</v>
      </c>
      <c r="L168" s="22">
        <f t="shared" si="7"/>
        <v>148</v>
      </c>
      <c r="M168" s="25">
        <v>2015</v>
      </c>
      <c r="N168" s="24">
        <v>-2115</v>
      </c>
      <c r="O168" s="28">
        <v>3247</v>
      </c>
      <c r="P168" s="22">
        <f t="shared" si="9"/>
        <v>983</v>
      </c>
      <c r="Q168" s="36"/>
      <c r="R168" s="30"/>
    </row>
    <row r="169" spans="1:18" ht="15.75" customHeight="1" x14ac:dyDescent="0.2">
      <c r="A169" s="51"/>
      <c r="B169" s="52"/>
      <c r="C169" s="53"/>
      <c r="D169" s="54"/>
      <c r="E169" s="55"/>
      <c r="F169" s="52"/>
      <c r="G169" s="52"/>
      <c r="H169" s="55"/>
      <c r="I169" s="54"/>
      <c r="J169" s="55"/>
      <c r="K169" s="52"/>
      <c r="L169" s="52"/>
      <c r="M169" s="53"/>
      <c r="N169" s="54"/>
      <c r="O169" s="56"/>
      <c r="P169" s="52"/>
      <c r="Q169" s="57"/>
      <c r="R169" s="58"/>
    </row>
    <row r="170" spans="1:18" ht="15.75" customHeight="1" x14ac:dyDescent="0.2">
      <c r="A170" s="51"/>
      <c r="B170" s="52"/>
      <c r="C170" s="53"/>
      <c r="D170" s="54"/>
      <c r="E170" s="55"/>
      <c r="F170" s="52"/>
      <c r="G170" s="52"/>
      <c r="H170" s="55"/>
      <c r="I170" s="54"/>
      <c r="J170" s="55"/>
      <c r="K170" s="52"/>
      <c r="L170" s="52"/>
      <c r="M170" s="53"/>
      <c r="N170" s="54"/>
      <c r="O170" s="56"/>
      <c r="P170" s="52"/>
      <c r="Q170" s="57"/>
      <c r="R170" s="58"/>
    </row>
    <row r="171" spans="1:18" ht="15.75" customHeight="1" x14ac:dyDescent="0.2">
      <c r="A171" s="51"/>
      <c r="B171" s="52"/>
      <c r="C171" s="53"/>
      <c r="D171" s="54"/>
      <c r="E171" s="55"/>
      <c r="F171" s="52"/>
      <c r="G171" s="52"/>
      <c r="H171" s="55"/>
      <c r="I171" s="54"/>
      <c r="J171" s="55"/>
      <c r="K171" s="52"/>
      <c r="L171" s="52"/>
      <c r="M171" s="53"/>
      <c r="N171" s="54"/>
      <c r="O171" s="56"/>
      <c r="P171" s="52"/>
      <c r="Q171" s="57"/>
      <c r="R171" s="58"/>
    </row>
    <row r="172" spans="1:18" ht="15.75" customHeight="1" x14ac:dyDescent="0.2">
      <c r="A172" s="51"/>
      <c r="B172" s="52"/>
      <c r="C172" s="53"/>
      <c r="D172" s="54"/>
      <c r="E172" s="55"/>
      <c r="F172" s="52"/>
      <c r="G172" s="52"/>
      <c r="H172" s="55"/>
      <c r="I172" s="54"/>
      <c r="J172" s="55"/>
      <c r="K172" s="52"/>
      <c r="L172" s="52"/>
      <c r="M172" s="53"/>
      <c r="N172" s="54"/>
      <c r="O172" s="56"/>
      <c r="P172" s="52"/>
      <c r="Q172" s="57"/>
      <c r="R172" s="58"/>
    </row>
    <row r="173" spans="1:18" ht="15.75" customHeight="1" x14ac:dyDescent="0.2">
      <c r="A173" s="51"/>
      <c r="B173" s="52"/>
      <c r="C173" s="53"/>
      <c r="D173" s="54"/>
      <c r="E173" s="55"/>
      <c r="F173" s="52"/>
      <c r="G173" s="52"/>
      <c r="H173" s="55"/>
      <c r="I173" s="54"/>
      <c r="J173" s="55"/>
      <c r="K173" s="52"/>
      <c r="L173" s="52"/>
      <c r="M173" s="53"/>
      <c r="N173" s="54"/>
      <c r="O173" s="56"/>
      <c r="P173" s="52"/>
      <c r="Q173" s="57"/>
      <c r="R173" s="58"/>
    </row>
    <row r="174" spans="1:18" ht="15.75" customHeight="1" x14ac:dyDescent="0.2">
      <c r="A174" s="51"/>
      <c r="B174" s="52"/>
      <c r="C174" s="53"/>
      <c r="D174" s="54"/>
      <c r="E174" s="55"/>
      <c r="F174" s="52"/>
      <c r="G174" s="52"/>
      <c r="H174" s="55"/>
      <c r="I174" s="54"/>
      <c r="J174" s="55"/>
      <c r="K174" s="52"/>
      <c r="L174" s="52"/>
      <c r="M174" s="53"/>
      <c r="N174" s="54"/>
      <c r="O174" s="56"/>
      <c r="P174" s="52"/>
      <c r="Q174" s="57"/>
      <c r="R174" s="58"/>
    </row>
    <row r="175" spans="1:18" ht="15.75" customHeight="1" x14ac:dyDescent="0.2"/>
    <row r="176" spans="1:18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74">
    <cfRule type="cellIs" dxfId="7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7">
    <outlinePr summaryBelow="0" summaryRight="0"/>
  </sheetPr>
  <dimension ref="A1:R1062"/>
  <sheetViews>
    <sheetView topLeftCell="A161" workbookViewId="0">
      <selection activeCell="A172" sqref="A172:XFD179"/>
    </sheetView>
  </sheetViews>
  <sheetFormatPr defaultColWidth="14.42578125" defaultRowHeight="15" customHeight="1" x14ac:dyDescent="0.2"/>
  <cols>
    <col min="1" max="1" width="12.7109375" customWidth="1"/>
    <col min="2" max="2" width="12.42578125" customWidth="1"/>
    <col min="3" max="3" width="11.5703125" customWidth="1"/>
    <col min="4" max="4" width="12.42578125" customWidth="1"/>
    <col min="5" max="5" width="11.85546875" customWidth="1"/>
    <col min="6" max="6" width="11.5703125" customWidth="1"/>
    <col min="7" max="7" width="12" customWidth="1"/>
    <col min="8" max="8" width="11.42578125" customWidth="1"/>
    <col min="9" max="9" width="12.85546875" customWidth="1"/>
    <col min="10" max="10" width="13.28515625" customWidth="1"/>
    <col min="12" max="12" width="13" customWidth="1"/>
    <col min="13" max="14" width="13.28515625" customWidth="1"/>
    <col min="15" max="16" width="12.42578125" customWidth="1"/>
  </cols>
  <sheetData>
    <row r="1" spans="1:18" ht="12.75" x14ac:dyDescent="0.2">
      <c r="A1" s="157" t="s">
        <v>53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16"/>
    </row>
    <row r="2" spans="1:18" ht="12.75" x14ac:dyDescent="0.2">
      <c r="A2" s="159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16"/>
    </row>
    <row r="3" spans="1:18" ht="12.75" x14ac:dyDescent="0.2">
      <c r="A3" s="15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16"/>
    </row>
    <row r="4" spans="1:18" ht="12.75" x14ac:dyDescent="0.2">
      <c r="A4" s="158" t="s">
        <v>55</v>
      </c>
      <c r="B4" s="107"/>
      <c r="C4" s="107"/>
      <c r="D4" s="107"/>
      <c r="E4" s="107"/>
      <c r="F4" s="116"/>
      <c r="G4" s="156"/>
      <c r="H4" s="107"/>
      <c r="I4" s="107"/>
      <c r="J4" s="107"/>
      <c r="K4" s="107"/>
      <c r="L4" s="116"/>
      <c r="M4" s="160" t="s">
        <v>56</v>
      </c>
      <c r="N4" s="107"/>
      <c r="O4" s="107"/>
      <c r="P4" s="107"/>
      <c r="Q4" s="107"/>
      <c r="R4" s="116"/>
    </row>
    <row r="5" spans="1:18" ht="12.75" x14ac:dyDescent="0.2">
      <c r="A5" s="158" t="s">
        <v>57</v>
      </c>
      <c r="B5" s="107"/>
      <c r="C5" s="107"/>
      <c r="D5" s="107"/>
      <c r="E5" s="107"/>
      <c r="F5" s="116"/>
      <c r="G5" s="156"/>
      <c r="H5" s="107"/>
      <c r="I5" s="107"/>
      <c r="J5" s="107"/>
      <c r="K5" s="107"/>
      <c r="L5" s="116"/>
      <c r="M5" s="157" t="s">
        <v>58</v>
      </c>
      <c r="N5" s="107"/>
      <c r="O5" s="107"/>
      <c r="P5" s="107"/>
      <c r="Q5" s="107"/>
      <c r="R5" s="11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27" t="s">
        <v>0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30" t="s">
        <v>2</v>
      </c>
      <c r="B9" s="132" t="s">
        <v>3</v>
      </c>
      <c r="C9" s="133"/>
      <c r="D9" s="132" t="s">
        <v>4</v>
      </c>
      <c r="E9" s="136"/>
      <c r="F9" s="138" t="str">
        <f>+"Cao trình nghiệm thu [m] ("&amp;TEXT(A21,"dd/mm/yy")&amp;")"</f>
        <v>Cao trình nghiệm thu [m] (04/03/25)</v>
      </c>
      <c r="G9" s="107"/>
      <c r="H9" s="107"/>
      <c r="I9" s="107"/>
      <c r="J9" s="107"/>
      <c r="K9" s="107"/>
      <c r="L9" s="115" t="s">
        <v>5</v>
      </c>
      <c r="M9" s="107"/>
      <c r="N9" s="107"/>
      <c r="O9" s="107"/>
      <c r="P9" s="132" t="s">
        <v>6</v>
      </c>
      <c r="Q9" s="136"/>
      <c r="R9" s="139"/>
    </row>
    <row r="10" spans="1:18" ht="25.5" x14ac:dyDescent="0.2">
      <c r="A10" s="131"/>
      <c r="B10" s="134"/>
      <c r="C10" s="135"/>
      <c r="D10" s="134"/>
      <c r="E10" s="137"/>
      <c r="F10" s="6" t="s">
        <v>7</v>
      </c>
      <c r="G10" s="141" t="s">
        <v>8</v>
      </c>
      <c r="H10" s="116"/>
      <c r="I10" s="141" t="s">
        <v>9</v>
      </c>
      <c r="J10" s="116"/>
      <c r="K10" s="6" t="s">
        <v>10</v>
      </c>
      <c r="L10" s="115" t="s">
        <v>11</v>
      </c>
      <c r="M10" s="116"/>
      <c r="N10" s="115" t="s">
        <v>12</v>
      </c>
      <c r="O10" s="107"/>
      <c r="P10" s="134"/>
      <c r="Q10" s="137"/>
      <c r="R10" s="140"/>
    </row>
    <row r="11" spans="1:18" ht="12.75" x14ac:dyDescent="0.2">
      <c r="A11" s="151" t="s">
        <v>13</v>
      </c>
      <c r="B11" s="152" t="s">
        <v>14</v>
      </c>
      <c r="C11" s="118"/>
      <c r="D11" s="153"/>
      <c r="E11" s="118"/>
      <c r="F11" s="7"/>
      <c r="G11" s="143"/>
      <c r="H11" s="118"/>
      <c r="I11" s="143"/>
      <c r="J11" s="118"/>
      <c r="K11" s="8"/>
      <c r="L11" s="117"/>
      <c r="M11" s="118"/>
      <c r="N11" s="117"/>
      <c r="O11" s="118"/>
      <c r="P11" s="119" t="s">
        <v>15</v>
      </c>
      <c r="Q11" s="120"/>
      <c r="R11" s="121"/>
    </row>
    <row r="12" spans="1:18" ht="12.75" x14ac:dyDescent="0.2">
      <c r="A12" s="149"/>
      <c r="B12" s="145" t="s">
        <v>16</v>
      </c>
      <c r="C12" s="123"/>
      <c r="D12" s="124"/>
      <c r="E12" s="123"/>
      <c r="F12" s="9"/>
      <c r="G12" s="146"/>
      <c r="H12" s="123"/>
      <c r="I12" s="146"/>
      <c r="J12" s="123"/>
      <c r="K12" s="10"/>
      <c r="L12" s="122"/>
      <c r="M12" s="123"/>
      <c r="N12" s="122"/>
      <c r="O12" s="123"/>
      <c r="P12" s="124" t="s">
        <v>110</v>
      </c>
      <c r="Q12" s="125"/>
      <c r="R12" s="126"/>
    </row>
    <row r="13" spans="1:18" ht="12.75" x14ac:dyDescent="0.2">
      <c r="A13" s="150"/>
      <c r="B13" s="154" t="s">
        <v>17</v>
      </c>
      <c r="C13" s="100"/>
      <c r="D13" s="155"/>
      <c r="E13" s="100"/>
      <c r="F13" s="11"/>
      <c r="G13" s="99"/>
      <c r="H13" s="100"/>
      <c r="I13" s="99"/>
      <c r="J13" s="100"/>
      <c r="K13" s="12"/>
      <c r="L13" s="102"/>
      <c r="M13" s="100"/>
      <c r="N13" s="102"/>
      <c r="O13" s="100"/>
      <c r="P13" s="103"/>
      <c r="Q13" s="104"/>
      <c r="R13" s="105"/>
    </row>
    <row r="14" spans="1:18" ht="12.75" x14ac:dyDescent="0.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48" t="s">
        <v>19</v>
      </c>
      <c r="B16" s="106" t="s">
        <v>20</v>
      </c>
      <c r="C16" s="107"/>
      <c r="D16" s="107"/>
      <c r="E16" s="107"/>
      <c r="F16" s="107"/>
      <c r="G16" s="106" t="s">
        <v>21</v>
      </c>
      <c r="H16" s="107"/>
      <c r="I16" s="107"/>
      <c r="J16" s="107"/>
      <c r="K16" s="107"/>
      <c r="L16" s="106" t="s">
        <v>22</v>
      </c>
      <c r="M16" s="107"/>
      <c r="N16" s="107"/>
      <c r="O16" s="107"/>
      <c r="P16" s="107"/>
      <c r="Q16" s="108" t="s">
        <v>111</v>
      </c>
      <c r="R16" s="112" t="s">
        <v>112</v>
      </c>
    </row>
    <row r="17" spans="1:18" ht="12.75" x14ac:dyDescent="0.2">
      <c r="A17" s="149"/>
      <c r="B17" s="108" t="s">
        <v>23</v>
      </c>
      <c r="C17" s="108" t="s">
        <v>33</v>
      </c>
      <c r="D17" s="108" t="s">
        <v>24</v>
      </c>
      <c r="E17" s="108" t="s">
        <v>34</v>
      </c>
      <c r="F17" s="108" t="s">
        <v>25</v>
      </c>
      <c r="G17" s="108" t="s">
        <v>23</v>
      </c>
      <c r="H17" s="108" t="s">
        <v>33</v>
      </c>
      <c r="I17" s="108" t="s">
        <v>24</v>
      </c>
      <c r="J17" s="108" t="s">
        <v>34</v>
      </c>
      <c r="K17" s="108" t="s">
        <v>25</v>
      </c>
      <c r="L17" s="108" t="s">
        <v>23</v>
      </c>
      <c r="M17" s="108" t="s">
        <v>33</v>
      </c>
      <c r="N17" s="108" t="s">
        <v>24</v>
      </c>
      <c r="O17" s="108" t="s">
        <v>34</v>
      </c>
      <c r="P17" s="108" t="s">
        <v>25</v>
      </c>
      <c r="Q17" s="111"/>
      <c r="R17" s="113"/>
    </row>
    <row r="18" spans="1:18" ht="12.75" x14ac:dyDescent="0.2">
      <c r="A18" s="14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3"/>
    </row>
    <row r="19" spans="1:18" ht="12.75" x14ac:dyDescent="0.2">
      <c r="A19" s="150"/>
      <c r="B19" s="14" t="s">
        <v>28</v>
      </c>
      <c r="C19" s="15" t="s">
        <v>26</v>
      </c>
      <c r="D19" s="15" t="s">
        <v>27</v>
      </c>
      <c r="E19" s="15" t="s">
        <v>26</v>
      </c>
      <c r="F19" s="15" t="s">
        <v>27</v>
      </c>
      <c r="G19" s="14" t="s">
        <v>28</v>
      </c>
      <c r="H19" s="15" t="s">
        <v>26</v>
      </c>
      <c r="I19" s="15" t="s">
        <v>27</v>
      </c>
      <c r="J19" s="15" t="s">
        <v>26</v>
      </c>
      <c r="K19" s="15" t="s">
        <v>27</v>
      </c>
      <c r="L19" s="14" t="s">
        <v>28</v>
      </c>
      <c r="M19" s="15" t="s">
        <v>26</v>
      </c>
      <c r="N19" s="15" t="s">
        <v>27</v>
      </c>
      <c r="O19" s="15" t="s">
        <v>26</v>
      </c>
      <c r="P19" s="15" t="s">
        <v>27</v>
      </c>
      <c r="Q19" s="17" t="s">
        <v>29</v>
      </c>
      <c r="R19" s="114"/>
    </row>
    <row r="20" spans="1:18" ht="12.75" x14ac:dyDescent="0.2">
      <c r="A20" s="18">
        <v>1</v>
      </c>
      <c r="B20" s="19">
        <f t="shared" ref="B20:R20" si="0">+A20+1</f>
        <v>2</v>
      </c>
      <c r="C20" s="19">
        <f t="shared" si="0"/>
        <v>3</v>
      </c>
      <c r="D20" s="19">
        <f t="shared" si="0"/>
        <v>4</v>
      </c>
      <c r="E20" s="19">
        <f t="shared" si="0"/>
        <v>5</v>
      </c>
      <c r="F20" s="19">
        <f t="shared" si="0"/>
        <v>6</v>
      </c>
      <c r="G20" s="19">
        <f t="shared" si="0"/>
        <v>7</v>
      </c>
      <c r="H20" s="19">
        <f t="shared" si="0"/>
        <v>8</v>
      </c>
      <c r="I20" s="19">
        <f t="shared" si="0"/>
        <v>9</v>
      </c>
      <c r="J20" s="19">
        <f t="shared" si="0"/>
        <v>10</v>
      </c>
      <c r="K20" s="19">
        <f t="shared" si="0"/>
        <v>11</v>
      </c>
      <c r="L20" s="19">
        <f t="shared" si="0"/>
        <v>12</v>
      </c>
      <c r="M20" s="19">
        <f t="shared" si="0"/>
        <v>13</v>
      </c>
      <c r="N20" s="19">
        <f t="shared" si="0"/>
        <v>14</v>
      </c>
      <c r="O20" s="19">
        <f t="shared" si="0"/>
        <v>15</v>
      </c>
      <c r="P20" s="19">
        <f t="shared" si="0"/>
        <v>16</v>
      </c>
      <c r="Q20" s="19">
        <f t="shared" si="0"/>
        <v>17</v>
      </c>
      <c r="R20" s="19">
        <f t="shared" si="0"/>
        <v>18</v>
      </c>
    </row>
    <row r="21" spans="1:18" ht="15.75" customHeight="1" x14ac:dyDescent="0.2">
      <c r="A21" s="37">
        <v>45720</v>
      </c>
      <c r="B21" s="22">
        <v>1</v>
      </c>
      <c r="C21" s="38">
        <v>1863</v>
      </c>
      <c r="D21" s="24">
        <v>-630</v>
      </c>
      <c r="E21" s="28">
        <v>2504</v>
      </c>
      <c r="F21" s="22">
        <v>0</v>
      </c>
      <c r="G21" s="22">
        <v>1</v>
      </c>
      <c r="H21" s="28">
        <v>1890</v>
      </c>
      <c r="I21" s="24">
        <v>-640</v>
      </c>
      <c r="J21" s="28">
        <v>2541</v>
      </c>
      <c r="K21" s="22">
        <v>0</v>
      </c>
      <c r="L21" s="22">
        <v>1</v>
      </c>
      <c r="M21" s="38">
        <v>1535</v>
      </c>
      <c r="N21" s="24">
        <v>-690</v>
      </c>
      <c r="O21" s="28">
        <v>2636</v>
      </c>
      <c r="P21" s="22">
        <v>0</v>
      </c>
      <c r="Q21" s="29"/>
      <c r="R21" s="30"/>
    </row>
    <row r="22" spans="1:18" ht="15.75" customHeight="1" x14ac:dyDescent="0.2">
      <c r="A22" s="37">
        <v>45721</v>
      </c>
      <c r="B22" s="22">
        <f t="shared" ref="B22:B168" si="1">B21+1</f>
        <v>2</v>
      </c>
      <c r="C22" s="28">
        <f t="shared" ref="C22:C167" si="2">$C$21-F22</f>
        <v>1863</v>
      </c>
      <c r="D22" s="24">
        <v>-630</v>
      </c>
      <c r="E22" s="28">
        <v>2504</v>
      </c>
      <c r="F22" s="22">
        <f t="shared" ref="F22:F168" si="3">$D$21-D22</f>
        <v>0</v>
      </c>
      <c r="G22" s="22">
        <f t="shared" ref="G22:G168" si="4">G21+1</f>
        <v>2</v>
      </c>
      <c r="H22" s="28">
        <f t="shared" ref="H22:H167" si="5">$H$21-K22</f>
        <v>1890</v>
      </c>
      <c r="I22" s="24">
        <v>-640</v>
      </c>
      <c r="J22" s="28">
        <v>2541</v>
      </c>
      <c r="K22" s="22">
        <f t="shared" ref="K22:K168" si="6">$I$21-I22</f>
        <v>0</v>
      </c>
      <c r="L22" s="22">
        <f t="shared" ref="L22:L168" si="7">L21+1</f>
        <v>2</v>
      </c>
      <c r="M22" s="28">
        <f t="shared" ref="M22:M167" si="8">$M$21-P22</f>
        <v>1535</v>
      </c>
      <c r="N22" s="24">
        <v>-690</v>
      </c>
      <c r="O22" s="28">
        <v>2636</v>
      </c>
      <c r="P22" s="22">
        <f t="shared" ref="P22:P168" si="9">$N$21-N22</f>
        <v>0</v>
      </c>
      <c r="Q22" s="29"/>
      <c r="R22" s="30"/>
    </row>
    <row r="23" spans="1:18" ht="15.75" customHeight="1" x14ac:dyDescent="0.2">
      <c r="A23" s="37">
        <v>45722</v>
      </c>
      <c r="B23" s="22">
        <f t="shared" si="1"/>
        <v>3</v>
      </c>
      <c r="C23" s="28">
        <f t="shared" si="2"/>
        <v>1822</v>
      </c>
      <c r="D23" s="39">
        <v>-671</v>
      </c>
      <c r="E23" s="28">
        <v>2504</v>
      </c>
      <c r="F23" s="22">
        <f t="shared" si="3"/>
        <v>41</v>
      </c>
      <c r="G23" s="22">
        <f t="shared" si="4"/>
        <v>3</v>
      </c>
      <c r="H23" s="28">
        <f t="shared" si="5"/>
        <v>1854</v>
      </c>
      <c r="I23" s="39">
        <v>-676</v>
      </c>
      <c r="J23" s="28">
        <v>2541</v>
      </c>
      <c r="K23" s="22">
        <f t="shared" si="6"/>
        <v>36</v>
      </c>
      <c r="L23" s="22">
        <f t="shared" si="7"/>
        <v>3</v>
      </c>
      <c r="M23" s="28">
        <f t="shared" si="8"/>
        <v>1501</v>
      </c>
      <c r="N23" s="39">
        <v>-724</v>
      </c>
      <c r="O23" s="28">
        <v>2636</v>
      </c>
      <c r="P23" s="22">
        <f t="shared" si="9"/>
        <v>34</v>
      </c>
      <c r="Q23" s="29"/>
      <c r="R23" s="30"/>
    </row>
    <row r="24" spans="1:18" ht="15.75" customHeight="1" x14ac:dyDescent="0.2">
      <c r="A24" s="37">
        <v>45723</v>
      </c>
      <c r="B24" s="22">
        <f t="shared" si="1"/>
        <v>4</v>
      </c>
      <c r="C24" s="28">
        <f t="shared" si="2"/>
        <v>1793</v>
      </c>
      <c r="D24" s="39">
        <v>-700</v>
      </c>
      <c r="E24" s="28">
        <v>2504</v>
      </c>
      <c r="F24" s="22">
        <f t="shared" si="3"/>
        <v>70</v>
      </c>
      <c r="G24" s="22">
        <f t="shared" si="4"/>
        <v>4</v>
      </c>
      <c r="H24" s="28">
        <f t="shared" si="5"/>
        <v>1820</v>
      </c>
      <c r="I24" s="39">
        <v>-710</v>
      </c>
      <c r="J24" s="28">
        <v>2541</v>
      </c>
      <c r="K24" s="22">
        <f t="shared" si="6"/>
        <v>70</v>
      </c>
      <c r="L24" s="22">
        <f t="shared" si="7"/>
        <v>4</v>
      </c>
      <c r="M24" s="28">
        <f t="shared" si="8"/>
        <v>1468</v>
      </c>
      <c r="N24" s="39">
        <v>-757</v>
      </c>
      <c r="O24" s="28">
        <v>2636</v>
      </c>
      <c r="P24" s="22">
        <f t="shared" si="9"/>
        <v>67</v>
      </c>
      <c r="Q24" s="29"/>
      <c r="R24" s="30"/>
    </row>
    <row r="25" spans="1:18" ht="15.75" customHeight="1" x14ac:dyDescent="0.2">
      <c r="A25" s="37">
        <v>45724</v>
      </c>
      <c r="B25" s="22">
        <f t="shared" si="1"/>
        <v>5</v>
      </c>
      <c r="C25" s="28">
        <f t="shared" si="2"/>
        <v>1776</v>
      </c>
      <c r="D25" s="39">
        <v>-717</v>
      </c>
      <c r="E25" s="28">
        <v>2504</v>
      </c>
      <c r="F25" s="22">
        <f t="shared" si="3"/>
        <v>87</v>
      </c>
      <c r="G25" s="22">
        <f t="shared" si="4"/>
        <v>5</v>
      </c>
      <c r="H25" s="28">
        <f t="shared" si="5"/>
        <v>1793</v>
      </c>
      <c r="I25" s="39">
        <v>-737</v>
      </c>
      <c r="J25" s="28">
        <v>2541</v>
      </c>
      <c r="K25" s="22">
        <f t="shared" si="6"/>
        <v>97</v>
      </c>
      <c r="L25" s="22">
        <f t="shared" si="7"/>
        <v>5</v>
      </c>
      <c r="M25" s="28">
        <f t="shared" si="8"/>
        <v>1455</v>
      </c>
      <c r="N25" s="39">
        <v>-770</v>
      </c>
      <c r="O25" s="28">
        <v>2636</v>
      </c>
      <c r="P25" s="22">
        <f t="shared" si="9"/>
        <v>80</v>
      </c>
      <c r="Q25" s="29"/>
      <c r="R25" s="30"/>
    </row>
    <row r="26" spans="1:18" ht="15.75" customHeight="1" x14ac:dyDescent="0.2">
      <c r="A26" s="37">
        <v>45725</v>
      </c>
      <c r="B26" s="22">
        <f t="shared" si="1"/>
        <v>6</v>
      </c>
      <c r="C26" s="28">
        <f t="shared" si="2"/>
        <v>1757</v>
      </c>
      <c r="D26" s="39">
        <v>-736</v>
      </c>
      <c r="E26" s="28">
        <v>2504</v>
      </c>
      <c r="F26" s="22">
        <f t="shared" si="3"/>
        <v>106</v>
      </c>
      <c r="G26" s="22">
        <f t="shared" si="4"/>
        <v>6</v>
      </c>
      <c r="H26" s="28">
        <f t="shared" si="5"/>
        <v>1770</v>
      </c>
      <c r="I26" s="39">
        <v>-760</v>
      </c>
      <c r="J26" s="28">
        <v>2541</v>
      </c>
      <c r="K26" s="22">
        <f t="shared" si="6"/>
        <v>120</v>
      </c>
      <c r="L26" s="22">
        <f t="shared" si="7"/>
        <v>6</v>
      </c>
      <c r="M26" s="28">
        <f t="shared" si="8"/>
        <v>1442</v>
      </c>
      <c r="N26" s="39">
        <v>-783</v>
      </c>
      <c r="O26" s="28">
        <v>2636</v>
      </c>
      <c r="P26" s="22">
        <f t="shared" si="9"/>
        <v>93</v>
      </c>
      <c r="Q26" s="29"/>
      <c r="R26" s="30"/>
    </row>
    <row r="27" spans="1:18" ht="15.75" customHeight="1" x14ac:dyDescent="0.2">
      <c r="A27" s="37">
        <v>45726</v>
      </c>
      <c r="B27" s="22">
        <f t="shared" si="1"/>
        <v>7</v>
      </c>
      <c r="C27" s="28">
        <f t="shared" si="2"/>
        <v>1740</v>
      </c>
      <c r="D27" s="39">
        <v>-753</v>
      </c>
      <c r="E27" s="28">
        <v>2504</v>
      </c>
      <c r="F27" s="22">
        <f t="shared" si="3"/>
        <v>123</v>
      </c>
      <c r="G27" s="22">
        <f t="shared" si="4"/>
        <v>7</v>
      </c>
      <c r="H27" s="28">
        <f t="shared" si="5"/>
        <v>1738</v>
      </c>
      <c r="I27" s="39">
        <v>-792</v>
      </c>
      <c r="J27" s="28">
        <v>2541</v>
      </c>
      <c r="K27" s="22">
        <f t="shared" si="6"/>
        <v>152</v>
      </c>
      <c r="L27" s="22">
        <f t="shared" si="7"/>
        <v>7</v>
      </c>
      <c r="M27" s="28">
        <f t="shared" si="8"/>
        <v>1428</v>
      </c>
      <c r="N27" s="39">
        <v>-797</v>
      </c>
      <c r="O27" s="28">
        <v>2636</v>
      </c>
      <c r="P27" s="22">
        <f t="shared" si="9"/>
        <v>107</v>
      </c>
      <c r="Q27" s="29"/>
      <c r="R27" s="30"/>
    </row>
    <row r="28" spans="1:18" ht="15.75" customHeight="1" x14ac:dyDescent="0.2">
      <c r="A28" s="37">
        <v>45727</v>
      </c>
      <c r="B28" s="22">
        <f t="shared" si="1"/>
        <v>8</v>
      </c>
      <c r="C28" s="28">
        <f t="shared" si="2"/>
        <v>1730</v>
      </c>
      <c r="D28" s="39">
        <v>-763</v>
      </c>
      <c r="E28" s="28">
        <v>2504</v>
      </c>
      <c r="F28" s="22">
        <f t="shared" si="3"/>
        <v>133</v>
      </c>
      <c r="G28" s="22">
        <f t="shared" si="4"/>
        <v>8</v>
      </c>
      <c r="H28" s="28">
        <f t="shared" si="5"/>
        <v>1719</v>
      </c>
      <c r="I28" s="39">
        <v>-811</v>
      </c>
      <c r="J28" s="28">
        <v>2541</v>
      </c>
      <c r="K28" s="22">
        <f t="shared" si="6"/>
        <v>171</v>
      </c>
      <c r="L28" s="22">
        <f t="shared" si="7"/>
        <v>8</v>
      </c>
      <c r="M28" s="28">
        <f t="shared" si="8"/>
        <v>1413</v>
      </c>
      <c r="N28" s="39">
        <v>-812</v>
      </c>
      <c r="O28" s="28">
        <v>2636</v>
      </c>
      <c r="P28" s="22">
        <f t="shared" si="9"/>
        <v>122</v>
      </c>
      <c r="Q28" s="29"/>
      <c r="R28" s="30"/>
    </row>
    <row r="29" spans="1:18" ht="15.75" customHeight="1" x14ac:dyDescent="0.2">
      <c r="A29" s="37">
        <v>45728</v>
      </c>
      <c r="B29" s="22">
        <f t="shared" si="1"/>
        <v>9</v>
      </c>
      <c r="C29" s="28">
        <f t="shared" si="2"/>
        <v>1708</v>
      </c>
      <c r="D29" s="39">
        <v>-785</v>
      </c>
      <c r="E29" s="28">
        <v>2504</v>
      </c>
      <c r="F29" s="22">
        <f t="shared" si="3"/>
        <v>155</v>
      </c>
      <c r="G29" s="22">
        <f t="shared" si="4"/>
        <v>9</v>
      </c>
      <c r="H29" s="28">
        <f t="shared" si="5"/>
        <v>1707</v>
      </c>
      <c r="I29" s="39">
        <v>-823</v>
      </c>
      <c r="J29" s="28">
        <v>2541</v>
      </c>
      <c r="K29" s="22">
        <f t="shared" si="6"/>
        <v>183</v>
      </c>
      <c r="L29" s="22">
        <f t="shared" si="7"/>
        <v>9</v>
      </c>
      <c r="M29" s="28">
        <f t="shared" si="8"/>
        <v>1402</v>
      </c>
      <c r="N29" s="39">
        <v>-823</v>
      </c>
      <c r="O29" s="28">
        <v>2636</v>
      </c>
      <c r="P29" s="22">
        <f t="shared" si="9"/>
        <v>133</v>
      </c>
      <c r="Q29" s="29"/>
      <c r="R29" s="30"/>
    </row>
    <row r="30" spans="1:18" ht="15.75" customHeight="1" x14ac:dyDescent="0.2">
      <c r="A30" s="37">
        <v>45729</v>
      </c>
      <c r="B30" s="22">
        <f t="shared" si="1"/>
        <v>10</v>
      </c>
      <c r="C30" s="28">
        <f t="shared" si="2"/>
        <v>1696</v>
      </c>
      <c r="D30" s="39">
        <v>-797</v>
      </c>
      <c r="E30" s="28">
        <v>2504</v>
      </c>
      <c r="F30" s="22">
        <f t="shared" si="3"/>
        <v>167</v>
      </c>
      <c r="G30" s="22">
        <f t="shared" si="4"/>
        <v>10</v>
      </c>
      <c r="H30" s="28">
        <f t="shared" si="5"/>
        <v>1684</v>
      </c>
      <c r="I30" s="39">
        <v>-846</v>
      </c>
      <c r="J30" s="28">
        <v>2541</v>
      </c>
      <c r="K30" s="22">
        <f t="shared" si="6"/>
        <v>206</v>
      </c>
      <c r="L30" s="22">
        <f t="shared" si="7"/>
        <v>10</v>
      </c>
      <c r="M30" s="28">
        <f t="shared" si="8"/>
        <v>1388</v>
      </c>
      <c r="N30" s="39">
        <v>-837</v>
      </c>
      <c r="O30" s="28">
        <v>2636</v>
      </c>
      <c r="P30" s="22">
        <f t="shared" si="9"/>
        <v>147</v>
      </c>
      <c r="Q30" s="29"/>
      <c r="R30" s="30"/>
    </row>
    <row r="31" spans="1:18" ht="15.75" customHeight="1" x14ac:dyDescent="0.2">
      <c r="A31" s="37">
        <v>45730</v>
      </c>
      <c r="B31" s="22">
        <f t="shared" si="1"/>
        <v>11</v>
      </c>
      <c r="C31" s="28">
        <f t="shared" si="2"/>
        <v>1677</v>
      </c>
      <c r="D31" s="39">
        <v>-816</v>
      </c>
      <c r="E31" s="28">
        <v>2504</v>
      </c>
      <c r="F31" s="22">
        <f t="shared" si="3"/>
        <v>186</v>
      </c>
      <c r="G31" s="22">
        <f t="shared" si="4"/>
        <v>11</v>
      </c>
      <c r="H31" s="28">
        <f t="shared" si="5"/>
        <v>1662</v>
      </c>
      <c r="I31" s="39">
        <v>-868</v>
      </c>
      <c r="J31" s="28">
        <v>2541</v>
      </c>
      <c r="K31" s="22">
        <f t="shared" si="6"/>
        <v>228</v>
      </c>
      <c r="L31" s="22">
        <f t="shared" si="7"/>
        <v>11</v>
      </c>
      <c r="M31" s="28">
        <f t="shared" si="8"/>
        <v>1370</v>
      </c>
      <c r="N31" s="39">
        <v>-855</v>
      </c>
      <c r="O31" s="28">
        <v>2636</v>
      </c>
      <c r="P31" s="22">
        <f t="shared" si="9"/>
        <v>165</v>
      </c>
      <c r="Q31" s="29"/>
      <c r="R31" s="30"/>
    </row>
    <row r="32" spans="1:18" ht="15.75" customHeight="1" x14ac:dyDescent="0.2">
      <c r="A32" s="37">
        <v>45731</v>
      </c>
      <c r="B32" s="22">
        <f t="shared" si="1"/>
        <v>12</v>
      </c>
      <c r="C32" s="28">
        <f t="shared" si="2"/>
        <v>1658</v>
      </c>
      <c r="D32" s="39">
        <v>-835</v>
      </c>
      <c r="E32" s="28">
        <v>2504</v>
      </c>
      <c r="F32" s="22">
        <f t="shared" si="3"/>
        <v>205</v>
      </c>
      <c r="G32" s="22">
        <f t="shared" si="4"/>
        <v>12</v>
      </c>
      <c r="H32" s="28">
        <f t="shared" si="5"/>
        <v>1640</v>
      </c>
      <c r="I32" s="39">
        <v>-890</v>
      </c>
      <c r="J32" s="28">
        <v>2541</v>
      </c>
      <c r="K32" s="22">
        <f t="shared" si="6"/>
        <v>250</v>
      </c>
      <c r="L32" s="22">
        <f t="shared" si="7"/>
        <v>12</v>
      </c>
      <c r="M32" s="28">
        <f t="shared" si="8"/>
        <v>1354</v>
      </c>
      <c r="N32" s="39">
        <v>-871</v>
      </c>
      <c r="O32" s="28">
        <v>2636</v>
      </c>
      <c r="P32" s="22">
        <f t="shared" si="9"/>
        <v>181</v>
      </c>
      <c r="Q32" s="29"/>
      <c r="R32" s="30"/>
    </row>
    <row r="33" spans="1:18" ht="15.75" customHeight="1" x14ac:dyDescent="0.2">
      <c r="A33" s="37">
        <v>45732</v>
      </c>
      <c r="B33" s="22">
        <f t="shared" si="1"/>
        <v>13</v>
      </c>
      <c r="C33" s="28">
        <f t="shared" si="2"/>
        <v>1645</v>
      </c>
      <c r="D33" s="24">
        <v>-848</v>
      </c>
      <c r="E33" s="28">
        <v>2504</v>
      </c>
      <c r="F33" s="22">
        <f t="shared" si="3"/>
        <v>218</v>
      </c>
      <c r="G33" s="22">
        <f t="shared" si="4"/>
        <v>13</v>
      </c>
      <c r="H33" s="28">
        <f t="shared" si="5"/>
        <v>1625</v>
      </c>
      <c r="I33" s="24">
        <v>-905</v>
      </c>
      <c r="J33" s="28">
        <v>2541</v>
      </c>
      <c r="K33" s="22">
        <f t="shared" si="6"/>
        <v>265</v>
      </c>
      <c r="L33" s="22">
        <f t="shared" si="7"/>
        <v>13</v>
      </c>
      <c r="M33" s="28">
        <f t="shared" si="8"/>
        <v>1337</v>
      </c>
      <c r="N33" s="24">
        <v>-888</v>
      </c>
      <c r="O33" s="28">
        <v>2636</v>
      </c>
      <c r="P33" s="22">
        <f t="shared" si="9"/>
        <v>198</v>
      </c>
      <c r="Q33" s="29"/>
      <c r="R33" s="30"/>
    </row>
    <row r="34" spans="1:18" ht="15.75" customHeight="1" x14ac:dyDescent="0.2">
      <c r="A34" s="37">
        <v>45733</v>
      </c>
      <c r="B34" s="22">
        <f t="shared" si="1"/>
        <v>14</v>
      </c>
      <c r="C34" s="28">
        <f t="shared" si="2"/>
        <v>1633</v>
      </c>
      <c r="D34" s="24">
        <v>-860</v>
      </c>
      <c r="E34" s="28">
        <v>2504</v>
      </c>
      <c r="F34" s="22">
        <f t="shared" si="3"/>
        <v>230</v>
      </c>
      <c r="G34" s="22">
        <f t="shared" si="4"/>
        <v>14</v>
      </c>
      <c r="H34" s="28">
        <f t="shared" si="5"/>
        <v>1610</v>
      </c>
      <c r="I34" s="24">
        <v>-920</v>
      </c>
      <c r="J34" s="28">
        <v>2541</v>
      </c>
      <c r="K34" s="22">
        <f t="shared" si="6"/>
        <v>280</v>
      </c>
      <c r="L34" s="22">
        <f t="shared" si="7"/>
        <v>14</v>
      </c>
      <c r="M34" s="28">
        <f t="shared" si="8"/>
        <v>1330</v>
      </c>
      <c r="N34" s="24">
        <v>-895</v>
      </c>
      <c r="O34" s="28">
        <v>2636</v>
      </c>
      <c r="P34" s="22">
        <f t="shared" si="9"/>
        <v>205</v>
      </c>
      <c r="Q34" s="29"/>
      <c r="R34" s="30"/>
    </row>
    <row r="35" spans="1:18" ht="15.75" customHeight="1" x14ac:dyDescent="0.2">
      <c r="A35" s="37">
        <v>45734</v>
      </c>
      <c r="B35" s="22">
        <f t="shared" si="1"/>
        <v>15</v>
      </c>
      <c r="C35" s="28">
        <f t="shared" si="2"/>
        <v>1618</v>
      </c>
      <c r="D35" s="24">
        <v>-875</v>
      </c>
      <c r="E35" s="28">
        <v>2504</v>
      </c>
      <c r="F35" s="22">
        <f t="shared" si="3"/>
        <v>245</v>
      </c>
      <c r="G35" s="22">
        <f t="shared" si="4"/>
        <v>15</v>
      </c>
      <c r="H35" s="28">
        <f t="shared" si="5"/>
        <v>1597</v>
      </c>
      <c r="I35" s="24">
        <v>-933</v>
      </c>
      <c r="J35" s="28">
        <v>2541</v>
      </c>
      <c r="K35" s="22">
        <f t="shared" si="6"/>
        <v>293</v>
      </c>
      <c r="L35" s="22">
        <f t="shared" si="7"/>
        <v>15</v>
      </c>
      <c r="M35" s="28">
        <f t="shared" si="8"/>
        <v>1323</v>
      </c>
      <c r="N35" s="24">
        <v>-902</v>
      </c>
      <c r="O35" s="28">
        <v>2636</v>
      </c>
      <c r="P35" s="22">
        <f t="shared" si="9"/>
        <v>212</v>
      </c>
      <c r="Q35" s="36"/>
      <c r="R35" s="30"/>
    </row>
    <row r="36" spans="1:18" ht="15.75" customHeight="1" x14ac:dyDescent="0.2">
      <c r="A36" s="37">
        <v>45735</v>
      </c>
      <c r="B36" s="22">
        <f t="shared" si="1"/>
        <v>16</v>
      </c>
      <c r="C36" s="28">
        <f t="shared" si="2"/>
        <v>1618</v>
      </c>
      <c r="D36" s="24">
        <v>-875</v>
      </c>
      <c r="E36" s="28">
        <v>2504</v>
      </c>
      <c r="F36" s="22">
        <f t="shared" si="3"/>
        <v>245</v>
      </c>
      <c r="G36" s="22">
        <f t="shared" si="4"/>
        <v>16</v>
      </c>
      <c r="H36" s="28">
        <f t="shared" si="5"/>
        <v>1597</v>
      </c>
      <c r="I36" s="24">
        <v>-933</v>
      </c>
      <c r="J36" s="28">
        <v>2541</v>
      </c>
      <c r="K36" s="22">
        <f t="shared" si="6"/>
        <v>293</v>
      </c>
      <c r="L36" s="22">
        <f t="shared" si="7"/>
        <v>16</v>
      </c>
      <c r="M36" s="28">
        <f t="shared" si="8"/>
        <v>1323</v>
      </c>
      <c r="N36" s="24">
        <v>-902</v>
      </c>
      <c r="O36" s="28">
        <v>2636</v>
      </c>
      <c r="P36" s="22">
        <f t="shared" si="9"/>
        <v>212</v>
      </c>
      <c r="Q36" s="36"/>
      <c r="R36" s="30"/>
    </row>
    <row r="37" spans="1:18" ht="15.75" customHeight="1" x14ac:dyDescent="0.2">
      <c r="A37" s="37">
        <v>45736</v>
      </c>
      <c r="B37" s="22">
        <f t="shared" si="1"/>
        <v>17</v>
      </c>
      <c r="C37" s="28">
        <f t="shared" si="2"/>
        <v>1618</v>
      </c>
      <c r="D37" s="24">
        <v>-875</v>
      </c>
      <c r="E37" s="28">
        <v>2504</v>
      </c>
      <c r="F37" s="22">
        <f t="shared" si="3"/>
        <v>245</v>
      </c>
      <c r="G37" s="22">
        <f t="shared" si="4"/>
        <v>17</v>
      </c>
      <c r="H37" s="28">
        <f t="shared" si="5"/>
        <v>1597</v>
      </c>
      <c r="I37" s="24">
        <v>-933</v>
      </c>
      <c r="J37" s="28">
        <v>2541</v>
      </c>
      <c r="K37" s="22">
        <f t="shared" si="6"/>
        <v>293</v>
      </c>
      <c r="L37" s="22">
        <f t="shared" si="7"/>
        <v>17</v>
      </c>
      <c r="M37" s="28">
        <f t="shared" si="8"/>
        <v>1323</v>
      </c>
      <c r="N37" s="24">
        <v>-902</v>
      </c>
      <c r="O37" s="28">
        <v>2636</v>
      </c>
      <c r="P37" s="22">
        <f t="shared" si="9"/>
        <v>212</v>
      </c>
      <c r="Q37" s="36"/>
      <c r="R37" s="30"/>
    </row>
    <row r="38" spans="1:18" ht="15.75" customHeight="1" x14ac:dyDescent="0.2">
      <c r="A38" s="37">
        <v>45737</v>
      </c>
      <c r="B38" s="22">
        <f t="shared" si="1"/>
        <v>18</v>
      </c>
      <c r="C38" s="28">
        <f t="shared" si="2"/>
        <v>1608</v>
      </c>
      <c r="D38" s="24">
        <v>-885</v>
      </c>
      <c r="E38" s="28">
        <v>2504</v>
      </c>
      <c r="F38" s="22">
        <f t="shared" si="3"/>
        <v>255</v>
      </c>
      <c r="G38" s="22">
        <f t="shared" si="4"/>
        <v>18</v>
      </c>
      <c r="H38" s="28">
        <f t="shared" si="5"/>
        <v>1583</v>
      </c>
      <c r="I38" s="24">
        <v>-947</v>
      </c>
      <c r="J38" s="28">
        <v>2541</v>
      </c>
      <c r="K38" s="22">
        <f t="shared" si="6"/>
        <v>307</v>
      </c>
      <c r="L38" s="22">
        <f t="shared" si="7"/>
        <v>18</v>
      </c>
      <c r="M38" s="28">
        <f t="shared" si="8"/>
        <v>1315</v>
      </c>
      <c r="N38" s="24">
        <v>-910</v>
      </c>
      <c r="O38" s="28">
        <v>2636</v>
      </c>
      <c r="P38" s="22">
        <f t="shared" si="9"/>
        <v>220</v>
      </c>
      <c r="Q38" s="36"/>
      <c r="R38" s="30"/>
    </row>
    <row r="39" spans="1:18" ht="15.75" customHeight="1" x14ac:dyDescent="0.2">
      <c r="A39" s="37">
        <v>45738</v>
      </c>
      <c r="B39" s="22">
        <f t="shared" si="1"/>
        <v>19</v>
      </c>
      <c r="C39" s="28">
        <f t="shared" si="2"/>
        <v>1598</v>
      </c>
      <c r="D39" s="24">
        <v>-895</v>
      </c>
      <c r="E39" s="28">
        <v>2504</v>
      </c>
      <c r="F39" s="22">
        <f t="shared" si="3"/>
        <v>265</v>
      </c>
      <c r="G39" s="22">
        <f t="shared" si="4"/>
        <v>19</v>
      </c>
      <c r="H39" s="28">
        <f t="shared" si="5"/>
        <v>1573</v>
      </c>
      <c r="I39" s="24">
        <v>-957</v>
      </c>
      <c r="J39" s="28">
        <v>2541</v>
      </c>
      <c r="K39" s="22">
        <f t="shared" si="6"/>
        <v>317</v>
      </c>
      <c r="L39" s="22">
        <f t="shared" si="7"/>
        <v>19</v>
      </c>
      <c r="M39" s="28">
        <f t="shared" si="8"/>
        <v>1307</v>
      </c>
      <c r="N39" s="24">
        <v>-918</v>
      </c>
      <c r="O39" s="28">
        <v>2636</v>
      </c>
      <c r="P39" s="22">
        <f t="shared" si="9"/>
        <v>228</v>
      </c>
      <c r="Q39" s="36"/>
      <c r="R39" s="30"/>
    </row>
    <row r="40" spans="1:18" ht="15.75" customHeight="1" x14ac:dyDescent="0.2">
      <c r="A40" s="37">
        <v>45739</v>
      </c>
      <c r="B40" s="22">
        <f t="shared" si="1"/>
        <v>20</v>
      </c>
      <c r="C40" s="28">
        <f t="shared" si="2"/>
        <v>1588</v>
      </c>
      <c r="D40" s="24">
        <v>-905</v>
      </c>
      <c r="E40" s="28">
        <v>2504</v>
      </c>
      <c r="F40" s="22">
        <f t="shared" si="3"/>
        <v>275</v>
      </c>
      <c r="G40" s="22">
        <f t="shared" si="4"/>
        <v>20</v>
      </c>
      <c r="H40" s="28">
        <f t="shared" si="5"/>
        <v>1563</v>
      </c>
      <c r="I40" s="24">
        <v>-967</v>
      </c>
      <c r="J40" s="28">
        <v>2541</v>
      </c>
      <c r="K40" s="22">
        <f t="shared" si="6"/>
        <v>327</v>
      </c>
      <c r="L40" s="22">
        <f t="shared" si="7"/>
        <v>20</v>
      </c>
      <c r="M40" s="28">
        <f t="shared" si="8"/>
        <v>1298</v>
      </c>
      <c r="N40" s="24">
        <v>-927</v>
      </c>
      <c r="O40" s="28">
        <v>2636</v>
      </c>
      <c r="P40" s="22">
        <f t="shared" si="9"/>
        <v>237</v>
      </c>
      <c r="Q40" s="36"/>
      <c r="R40" s="30"/>
    </row>
    <row r="41" spans="1:18" ht="15.75" customHeight="1" x14ac:dyDescent="0.2">
      <c r="A41" s="37">
        <v>45740</v>
      </c>
      <c r="B41" s="22">
        <f t="shared" si="1"/>
        <v>21</v>
      </c>
      <c r="C41" s="28">
        <f t="shared" si="2"/>
        <v>1577</v>
      </c>
      <c r="D41" s="24">
        <v>-916</v>
      </c>
      <c r="E41" s="28">
        <v>2504</v>
      </c>
      <c r="F41" s="22">
        <f t="shared" si="3"/>
        <v>286</v>
      </c>
      <c r="G41" s="22">
        <f t="shared" si="4"/>
        <v>21</v>
      </c>
      <c r="H41" s="28">
        <f t="shared" si="5"/>
        <v>1548</v>
      </c>
      <c r="I41" s="24">
        <v>-982</v>
      </c>
      <c r="J41" s="28">
        <v>2541</v>
      </c>
      <c r="K41" s="22">
        <f t="shared" si="6"/>
        <v>342</v>
      </c>
      <c r="L41" s="22">
        <f t="shared" si="7"/>
        <v>21</v>
      </c>
      <c r="M41" s="28">
        <f t="shared" si="8"/>
        <v>1288</v>
      </c>
      <c r="N41" s="24">
        <v>-937</v>
      </c>
      <c r="O41" s="28">
        <v>2636</v>
      </c>
      <c r="P41" s="22">
        <f t="shared" si="9"/>
        <v>247</v>
      </c>
      <c r="Q41" s="36"/>
      <c r="R41" s="30"/>
    </row>
    <row r="42" spans="1:18" ht="15.75" customHeight="1" x14ac:dyDescent="0.2">
      <c r="A42" s="37">
        <v>45741</v>
      </c>
      <c r="B42" s="22">
        <f t="shared" si="1"/>
        <v>22</v>
      </c>
      <c r="C42" s="28">
        <f t="shared" si="2"/>
        <v>1566</v>
      </c>
      <c r="D42" s="24">
        <v>-927</v>
      </c>
      <c r="E42" s="28">
        <v>2504</v>
      </c>
      <c r="F42" s="22">
        <f t="shared" si="3"/>
        <v>297</v>
      </c>
      <c r="G42" s="22">
        <f t="shared" si="4"/>
        <v>22</v>
      </c>
      <c r="H42" s="28">
        <f t="shared" si="5"/>
        <v>1533</v>
      </c>
      <c r="I42" s="24">
        <v>-997</v>
      </c>
      <c r="J42" s="28">
        <v>2541</v>
      </c>
      <c r="K42" s="22">
        <f t="shared" si="6"/>
        <v>357</v>
      </c>
      <c r="L42" s="22">
        <f t="shared" si="7"/>
        <v>22</v>
      </c>
      <c r="M42" s="28">
        <f t="shared" si="8"/>
        <v>1278</v>
      </c>
      <c r="N42" s="24">
        <v>-947</v>
      </c>
      <c r="O42" s="28">
        <v>2636</v>
      </c>
      <c r="P42" s="22">
        <f t="shared" si="9"/>
        <v>257</v>
      </c>
      <c r="Q42" s="36"/>
      <c r="R42" s="30"/>
    </row>
    <row r="43" spans="1:18" ht="15.75" customHeight="1" x14ac:dyDescent="0.2">
      <c r="A43" s="37">
        <v>45742</v>
      </c>
      <c r="B43" s="22">
        <f t="shared" si="1"/>
        <v>23</v>
      </c>
      <c r="C43" s="28">
        <f t="shared" si="2"/>
        <v>1560</v>
      </c>
      <c r="D43" s="24">
        <v>-933</v>
      </c>
      <c r="E43" s="28">
        <v>2504</v>
      </c>
      <c r="F43" s="22">
        <f t="shared" si="3"/>
        <v>303</v>
      </c>
      <c r="G43" s="22">
        <f t="shared" si="4"/>
        <v>23</v>
      </c>
      <c r="H43" s="28">
        <f t="shared" si="5"/>
        <v>1525</v>
      </c>
      <c r="I43" s="24">
        <v>-1005</v>
      </c>
      <c r="J43" s="28">
        <v>2541</v>
      </c>
      <c r="K43" s="22">
        <f t="shared" si="6"/>
        <v>365</v>
      </c>
      <c r="L43" s="22">
        <f t="shared" si="7"/>
        <v>23</v>
      </c>
      <c r="M43" s="28">
        <f t="shared" si="8"/>
        <v>1272</v>
      </c>
      <c r="N43" s="24">
        <v>-953</v>
      </c>
      <c r="O43" s="28">
        <v>2636</v>
      </c>
      <c r="P43" s="22">
        <f t="shared" si="9"/>
        <v>263</v>
      </c>
      <c r="Q43" s="36"/>
      <c r="R43" s="30"/>
    </row>
    <row r="44" spans="1:18" ht="15.75" customHeight="1" x14ac:dyDescent="0.2">
      <c r="A44" s="37">
        <v>45743</v>
      </c>
      <c r="B44" s="22">
        <f t="shared" si="1"/>
        <v>24</v>
      </c>
      <c r="C44" s="28">
        <f t="shared" si="2"/>
        <v>1560</v>
      </c>
      <c r="D44" s="24">
        <v>-933</v>
      </c>
      <c r="E44" s="28">
        <v>2504</v>
      </c>
      <c r="F44" s="22">
        <f t="shared" si="3"/>
        <v>303</v>
      </c>
      <c r="G44" s="22">
        <f t="shared" si="4"/>
        <v>24</v>
      </c>
      <c r="H44" s="28">
        <f t="shared" si="5"/>
        <v>1523</v>
      </c>
      <c r="I44" s="24">
        <v>-1007</v>
      </c>
      <c r="J44" s="28">
        <v>2541</v>
      </c>
      <c r="K44" s="22">
        <f t="shared" si="6"/>
        <v>367</v>
      </c>
      <c r="L44" s="22">
        <f t="shared" si="7"/>
        <v>24</v>
      </c>
      <c r="M44" s="28">
        <f t="shared" si="8"/>
        <v>1263</v>
      </c>
      <c r="N44" s="24">
        <v>-962</v>
      </c>
      <c r="O44" s="28">
        <v>2636</v>
      </c>
      <c r="P44" s="22">
        <f t="shared" si="9"/>
        <v>272</v>
      </c>
      <c r="Q44" s="36"/>
      <c r="R44" s="30"/>
    </row>
    <row r="45" spans="1:18" ht="15.75" customHeight="1" x14ac:dyDescent="0.2">
      <c r="A45" s="37">
        <v>45744</v>
      </c>
      <c r="B45" s="22">
        <f t="shared" si="1"/>
        <v>25</v>
      </c>
      <c r="C45" s="28">
        <f t="shared" si="2"/>
        <v>1534</v>
      </c>
      <c r="D45" s="24">
        <v>-959</v>
      </c>
      <c r="E45" s="28">
        <v>2504</v>
      </c>
      <c r="F45" s="22">
        <f t="shared" si="3"/>
        <v>329</v>
      </c>
      <c r="G45" s="22">
        <f t="shared" si="4"/>
        <v>25</v>
      </c>
      <c r="H45" s="28">
        <f t="shared" si="5"/>
        <v>1520</v>
      </c>
      <c r="I45" s="24">
        <v>-1010</v>
      </c>
      <c r="J45" s="28">
        <v>2541</v>
      </c>
      <c r="K45" s="22">
        <f t="shared" si="6"/>
        <v>370</v>
      </c>
      <c r="L45" s="22">
        <f t="shared" si="7"/>
        <v>25</v>
      </c>
      <c r="M45" s="28">
        <f t="shared" si="8"/>
        <v>1256</v>
      </c>
      <c r="N45" s="24">
        <v>-969</v>
      </c>
      <c r="O45" s="28">
        <v>2636</v>
      </c>
      <c r="P45" s="22">
        <f t="shared" si="9"/>
        <v>279</v>
      </c>
      <c r="Q45" s="36"/>
      <c r="R45" s="30"/>
    </row>
    <row r="46" spans="1:18" ht="15.75" customHeight="1" x14ac:dyDescent="0.2">
      <c r="A46" s="37">
        <v>45745</v>
      </c>
      <c r="B46" s="22">
        <f t="shared" si="1"/>
        <v>26</v>
      </c>
      <c r="C46" s="28">
        <f t="shared" si="2"/>
        <v>1528</v>
      </c>
      <c r="D46" s="24">
        <v>-965</v>
      </c>
      <c r="E46" s="28">
        <v>2504</v>
      </c>
      <c r="F46" s="22">
        <f t="shared" si="3"/>
        <v>335</v>
      </c>
      <c r="G46" s="22">
        <f t="shared" si="4"/>
        <v>26</v>
      </c>
      <c r="H46" s="28">
        <f t="shared" si="5"/>
        <v>1500</v>
      </c>
      <c r="I46" s="24">
        <v>-1030</v>
      </c>
      <c r="J46" s="28">
        <v>2541</v>
      </c>
      <c r="K46" s="22">
        <f t="shared" si="6"/>
        <v>390</v>
      </c>
      <c r="L46" s="22">
        <f t="shared" si="7"/>
        <v>26</v>
      </c>
      <c r="M46" s="28">
        <f t="shared" si="8"/>
        <v>1245</v>
      </c>
      <c r="N46" s="24">
        <v>-980</v>
      </c>
      <c r="O46" s="28">
        <v>2636</v>
      </c>
      <c r="P46" s="22">
        <f t="shared" si="9"/>
        <v>290</v>
      </c>
      <c r="Q46" s="36"/>
      <c r="R46" s="30"/>
    </row>
    <row r="47" spans="1:18" ht="15.75" customHeight="1" x14ac:dyDescent="0.2">
      <c r="A47" s="37">
        <v>45746</v>
      </c>
      <c r="B47" s="22">
        <f t="shared" si="1"/>
        <v>27</v>
      </c>
      <c r="C47" s="28">
        <f t="shared" si="2"/>
        <v>1513</v>
      </c>
      <c r="D47" s="24">
        <v>-980</v>
      </c>
      <c r="E47" s="28">
        <v>2504</v>
      </c>
      <c r="F47" s="22">
        <f t="shared" si="3"/>
        <v>350</v>
      </c>
      <c r="G47" s="22">
        <f t="shared" si="4"/>
        <v>27</v>
      </c>
      <c r="H47" s="28">
        <f t="shared" si="5"/>
        <v>1482</v>
      </c>
      <c r="I47" s="24">
        <v>-1048</v>
      </c>
      <c r="J47" s="28">
        <v>2541</v>
      </c>
      <c r="K47" s="22">
        <f t="shared" si="6"/>
        <v>408</v>
      </c>
      <c r="L47" s="22">
        <f t="shared" si="7"/>
        <v>27</v>
      </c>
      <c r="M47" s="28">
        <f t="shared" si="8"/>
        <v>1235</v>
      </c>
      <c r="N47" s="24">
        <v>-990</v>
      </c>
      <c r="O47" s="28">
        <v>2636</v>
      </c>
      <c r="P47" s="22">
        <f t="shared" si="9"/>
        <v>300</v>
      </c>
      <c r="Q47" s="36"/>
      <c r="R47" s="30"/>
    </row>
    <row r="48" spans="1:18" ht="15.75" customHeight="1" x14ac:dyDescent="0.2">
      <c r="A48" s="37">
        <v>45747</v>
      </c>
      <c r="B48" s="22">
        <f t="shared" si="1"/>
        <v>28</v>
      </c>
      <c r="C48" s="28">
        <f t="shared" si="2"/>
        <v>1496</v>
      </c>
      <c r="D48" s="24">
        <v>-997</v>
      </c>
      <c r="E48" s="28">
        <v>2504</v>
      </c>
      <c r="F48" s="22">
        <f t="shared" si="3"/>
        <v>367</v>
      </c>
      <c r="G48" s="22">
        <f t="shared" si="4"/>
        <v>28</v>
      </c>
      <c r="H48" s="28">
        <f t="shared" si="5"/>
        <v>1463</v>
      </c>
      <c r="I48" s="24">
        <v>-1067</v>
      </c>
      <c r="J48" s="28">
        <v>2541</v>
      </c>
      <c r="K48" s="22">
        <f t="shared" si="6"/>
        <v>427</v>
      </c>
      <c r="L48" s="22">
        <f t="shared" si="7"/>
        <v>28</v>
      </c>
      <c r="M48" s="28">
        <f t="shared" si="8"/>
        <v>1224</v>
      </c>
      <c r="N48" s="24">
        <v>-1001</v>
      </c>
      <c r="O48" s="28">
        <v>2636</v>
      </c>
      <c r="P48" s="22">
        <f t="shared" si="9"/>
        <v>311</v>
      </c>
      <c r="Q48" s="36"/>
      <c r="R48" s="30"/>
    </row>
    <row r="49" spans="1:18" ht="15.75" customHeight="1" x14ac:dyDescent="0.2">
      <c r="A49" s="37">
        <v>45748</v>
      </c>
      <c r="B49" s="22">
        <f t="shared" si="1"/>
        <v>29</v>
      </c>
      <c r="C49" s="28">
        <f t="shared" si="2"/>
        <v>1491</v>
      </c>
      <c r="D49" s="24">
        <v>-1002</v>
      </c>
      <c r="E49" s="28">
        <v>2504</v>
      </c>
      <c r="F49" s="22">
        <f t="shared" si="3"/>
        <v>372</v>
      </c>
      <c r="G49" s="22">
        <f t="shared" si="4"/>
        <v>29</v>
      </c>
      <c r="H49" s="28">
        <f t="shared" si="5"/>
        <v>1458</v>
      </c>
      <c r="I49" s="24">
        <v>-1072</v>
      </c>
      <c r="J49" s="28">
        <v>2541</v>
      </c>
      <c r="K49" s="22">
        <f t="shared" si="6"/>
        <v>432</v>
      </c>
      <c r="L49" s="22">
        <f t="shared" si="7"/>
        <v>29</v>
      </c>
      <c r="M49" s="28">
        <f t="shared" si="8"/>
        <v>1216</v>
      </c>
      <c r="N49" s="24">
        <v>-1009</v>
      </c>
      <c r="O49" s="28">
        <v>2636</v>
      </c>
      <c r="P49" s="22">
        <f t="shared" si="9"/>
        <v>319</v>
      </c>
      <c r="Q49" s="36"/>
      <c r="R49" s="30"/>
    </row>
    <row r="50" spans="1:18" ht="15.75" customHeight="1" x14ac:dyDescent="0.2">
      <c r="A50" s="37">
        <v>45749</v>
      </c>
      <c r="B50" s="22">
        <f t="shared" si="1"/>
        <v>30</v>
      </c>
      <c r="C50" s="28">
        <f t="shared" si="2"/>
        <v>1486</v>
      </c>
      <c r="D50" s="24">
        <v>-1007</v>
      </c>
      <c r="E50" s="28">
        <v>2504</v>
      </c>
      <c r="F50" s="22">
        <f t="shared" si="3"/>
        <v>377</v>
      </c>
      <c r="G50" s="22">
        <f t="shared" si="4"/>
        <v>30</v>
      </c>
      <c r="H50" s="28">
        <f t="shared" si="5"/>
        <v>1453</v>
      </c>
      <c r="I50" s="24">
        <v>-1077</v>
      </c>
      <c r="J50" s="28">
        <v>2541</v>
      </c>
      <c r="K50" s="22">
        <f t="shared" si="6"/>
        <v>437</v>
      </c>
      <c r="L50" s="22">
        <f t="shared" si="7"/>
        <v>30</v>
      </c>
      <c r="M50" s="28">
        <f t="shared" si="8"/>
        <v>1210</v>
      </c>
      <c r="N50" s="24">
        <v>-1015</v>
      </c>
      <c r="O50" s="28">
        <v>2636</v>
      </c>
      <c r="P50" s="22">
        <f t="shared" si="9"/>
        <v>325</v>
      </c>
      <c r="Q50" s="36"/>
      <c r="R50" s="30"/>
    </row>
    <row r="51" spans="1:18" ht="15.75" customHeight="1" x14ac:dyDescent="0.2">
      <c r="A51" s="37">
        <v>45750</v>
      </c>
      <c r="B51" s="22">
        <f t="shared" si="1"/>
        <v>31</v>
      </c>
      <c r="C51" s="28">
        <f t="shared" si="2"/>
        <v>1473</v>
      </c>
      <c r="D51" s="24">
        <v>-1020</v>
      </c>
      <c r="E51" s="28">
        <v>2504</v>
      </c>
      <c r="F51" s="22">
        <f t="shared" si="3"/>
        <v>390</v>
      </c>
      <c r="G51" s="22">
        <f t="shared" si="4"/>
        <v>31</v>
      </c>
      <c r="H51" s="28">
        <f t="shared" si="5"/>
        <v>1440</v>
      </c>
      <c r="I51" s="24">
        <v>-1090</v>
      </c>
      <c r="J51" s="28">
        <v>2541</v>
      </c>
      <c r="K51" s="22">
        <f t="shared" si="6"/>
        <v>450</v>
      </c>
      <c r="L51" s="22">
        <f t="shared" si="7"/>
        <v>31</v>
      </c>
      <c r="M51" s="28">
        <f t="shared" si="8"/>
        <v>1203</v>
      </c>
      <c r="N51" s="24">
        <v>-1022</v>
      </c>
      <c r="O51" s="28">
        <v>2636</v>
      </c>
      <c r="P51" s="22">
        <f t="shared" si="9"/>
        <v>332</v>
      </c>
      <c r="Q51" s="36"/>
      <c r="R51" s="30"/>
    </row>
    <row r="52" spans="1:18" ht="15.75" customHeight="1" x14ac:dyDescent="0.2">
      <c r="A52" s="37">
        <v>45751</v>
      </c>
      <c r="B52" s="22">
        <f t="shared" si="1"/>
        <v>32</v>
      </c>
      <c r="C52" s="28">
        <f t="shared" si="2"/>
        <v>1461</v>
      </c>
      <c r="D52" s="24">
        <v>-1032</v>
      </c>
      <c r="E52" s="28">
        <v>2504</v>
      </c>
      <c r="F52" s="22">
        <f t="shared" si="3"/>
        <v>402</v>
      </c>
      <c r="G52" s="22">
        <f t="shared" si="4"/>
        <v>32</v>
      </c>
      <c r="H52" s="28">
        <f t="shared" si="5"/>
        <v>1424</v>
      </c>
      <c r="I52" s="24">
        <v>-1106</v>
      </c>
      <c r="J52" s="28">
        <v>2541</v>
      </c>
      <c r="K52" s="22">
        <f t="shared" si="6"/>
        <v>466</v>
      </c>
      <c r="L52" s="22">
        <f t="shared" si="7"/>
        <v>32</v>
      </c>
      <c r="M52" s="28">
        <f t="shared" si="8"/>
        <v>1193</v>
      </c>
      <c r="N52" s="24">
        <v>-1032</v>
      </c>
      <c r="O52" s="28">
        <v>2636</v>
      </c>
      <c r="P52" s="22">
        <f t="shared" si="9"/>
        <v>342</v>
      </c>
      <c r="Q52" s="36"/>
      <c r="R52" s="30"/>
    </row>
    <row r="53" spans="1:18" ht="15.75" customHeight="1" x14ac:dyDescent="0.2">
      <c r="A53" s="37">
        <v>45752</v>
      </c>
      <c r="B53" s="22">
        <f t="shared" si="1"/>
        <v>33</v>
      </c>
      <c r="C53" s="28">
        <f t="shared" si="2"/>
        <v>1451</v>
      </c>
      <c r="D53" s="24">
        <v>-1042</v>
      </c>
      <c r="E53" s="28">
        <v>2504</v>
      </c>
      <c r="F53" s="22">
        <f t="shared" si="3"/>
        <v>412</v>
      </c>
      <c r="G53" s="22">
        <f t="shared" si="4"/>
        <v>33</v>
      </c>
      <c r="H53" s="28">
        <f t="shared" si="5"/>
        <v>1414</v>
      </c>
      <c r="I53" s="24">
        <v>-1116</v>
      </c>
      <c r="J53" s="28">
        <v>2541</v>
      </c>
      <c r="K53" s="22">
        <f t="shared" si="6"/>
        <v>476</v>
      </c>
      <c r="L53" s="22">
        <f t="shared" si="7"/>
        <v>33</v>
      </c>
      <c r="M53" s="28">
        <f t="shared" si="8"/>
        <v>1185</v>
      </c>
      <c r="N53" s="24">
        <v>-1040</v>
      </c>
      <c r="O53" s="28">
        <v>2636</v>
      </c>
      <c r="P53" s="22">
        <f t="shared" si="9"/>
        <v>350</v>
      </c>
      <c r="Q53" s="36"/>
      <c r="R53" s="30"/>
    </row>
    <row r="54" spans="1:18" ht="15.75" customHeight="1" x14ac:dyDescent="0.2">
      <c r="A54" s="37">
        <v>45753</v>
      </c>
      <c r="B54" s="22">
        <f t="shared" si="1"/>
        <v>34</v>
      </c>
      <c r="C54" s="28">
        <f t="shared" si="2"/>
        <v>1443</v>
      </c>
      <c r="D54" s="24">
        <v>-1050</v>
      </c>
      <c r="E54" s="28">
        <v>2504</v>
      </c>
      <c r="F54" s="22">
        <f t="shared" si="3"/>
        <v>420</v>
      </c>
      <c r="G54" s="22">
        <f t="shared" si="4"/>
        <v>34</v>
      </c>
      <c r="H54" s="28">
        <f t="shared" si="5"/>
        <v>1402</v>
      </c>
      <c r="I54" s="24">
        <v>-1128</v>
      </c>
      <c r="J54" s="28">
        <v>2541</v>
      </c>
      <c r="K54" s="22">
        <f t="shared" si="6"/>
        <v>488</v>
      </c>
      <c r="L54" s="22">
        <f t="shared" si="7"/>
        <v>34</v>
      </c>
      <c r="M54" s="28">
        <f t="shared" si="8"/>
        <v>1177</v>
      </c>
      <c r="N54" s="24">
        <v>-1048</v>
      </c>
      <c r="O54" s="28">
        <v>2636</v>
      </c>
      <c r="P54" s="22">
        <f t="shared" si="9"/>
        <v>358</v>
      </c>
      <c r="Q54" s="36"/>
      <c r="R54" s="30"/>
    </row>
    <row r="55" spans="1:18" ht="15.75" customHeight="1" x14ac:dyDescent="0.2">
      <c r="A55" s="37">
        <v>45754</v>
      </c>
      <c r="B55" s="22">
        <f t="shared" si="1"/>
        <v>35</v>
      </c>
      <c r="C55" s="28">
        <f t="shared" si="2"/>
        <v>1435</v>
      </c>
      <c r="D55" s="24">
        <v>-1058</v>
      </c>
      <c r="E55" s="28">
        <v>2504</v>
      </c>
      <c r="F55" s="22">
        <f t="shared" si="3"/>
        <v>428</v>
      </c>
      <c r="G55" s="22">
        <f t="shared" si="4"/>
        <v>35</v>
      </c>
      <c r="H55" s="28">
        <f t="shared" si="5"/>
        <v>1390</v>
      </c>
      <c r="I55" s="24">
        <v>-1140</v>
      </c>
      <c r="J55" s="28">
        <v>2541</v>
      </c>
      <c r="K55" s="22">
        <f t="shared" si="6"/>
        <v>500</v>
      </c>
      <c r="L55" s="22">
        <f t="shared" si="7"/>
        <v>35</v>
      </c>
      <c r="M55" s="28">
        <f t="shared" si="8"/>
        <v>1170</v>
      </c>
      <c r="N55" s="24">
        <v>-1055</v>
      </c>
      <c r="O55" s="28">
        <v>2636</v>
      </c>
      <c r="P55" s="22">
        <f t="shared" si="9"/>
        <v>365</v>
      </c>
      <c r="Q55" s="36"/>
      <c r="R55" s="30"/>
    </row>
    <row r="56" spans="1:18" ht="15.75" customHeight="1" x14ac:dyDescent="0.2">
      <c r="A56" s="37">
        <v>45755</v>
      </c>
      <c r="B56" s="22">
        <f t="shared" si="1"/>
        <v>36</v>
      </c>
      <c r="C56" s="28">
        <f t="shared" si="2"/>
        <v>1435</v>
      </c>
      <c r="D56" s="24">
        <v>-1058</v>
      </c>
      <c r="E56" s="28">
        <v>2504</v>
      </c>
      <c r="F56" s="22">
        <f t="shared" si="3"/>
        <v>428</v>
      </c>
      <c r="G56" s="22">
        <f t="shared" si="4"/>
        <v>36</v>
      </c>
      <c r="H56" s="28">
        <f t="shared" si="5"/>
        <v>1381</v>
      </c>
      <c r="I56" s="24">
        <v>-1149</v>
      </c>
      <c r="J56" s="28">
        <v>2541</v>
      </c>
      <c r="K56" s="22">
        <f t="shared" si="6"/>
        <v>509</v>
      </c>
      <c r="L56" s="22">
        <f t="shared" si="7"/>
        <v>36</v>
      </c>
      <c r="M56" s="28">
        <f t="shared" si="8"/>
        <v>1162</v>
      </c>
      <c r="N56" s="24">
        <v>-1063</v>
      </c>
      <c r="O56" s="28">
        <v>2636</v>
      </c>
      <c r="P56" s="22">
        <f t="shared" si="9"/>
        <v>373</v>
      </c>
      <c r="Q56" s="36"/>
      <c r="R56" s="30"/>
    </row>
    <row r="57" spans="1:18" ht="15.75" customHeight="1" x14ac:dyDescent="0.2">
      <c r="A57" s="37">
        <v>45756</v>
      </c>
      <c r="B57" s="22">
        <f t="shared" si="1"/>
        <v>37</v>
      </c>
      <c r="C57" s="28">
        <f t="shared" si="2"/>
        <v>1417</v>
      </c>
      <c r="D57" s="24">
        <v>-1076</v>
      </c>
      <c r="E57" s="28">
        <v>2504</v>
      </c>
      <c r="F57" s="22">
        <f t="shared" si="3"/>
        <v>446</v>
      </c>
      <c r="G57" s="22">
        <f t="shared" si="4"/>
        <v>37</v>
      </c>
      <c r="H57" s="28">
        <f t="shared" si="5"/>
        <v>1372</v>
      </c>
      <c r="I57" s="24">
        <v>-1158</v>
      </c>
      <c r="J57" s="28">
        <v>2541</v>
      </c>
      <c r="K57" s="22">
        <f t="shared" si="6"/>
        <v>518</v>
      </c>
      <c r="L57" s="22">
        <f t="shared" si="7"/>
        <v>37</v>
      </c>
      <c r="M57" s="28">
        <f t="shared" si="8"/>
        <v>1154</v>
      </c>
      <c r="N57" s="24">
        <v>-1071</v>
      </c>
      <c r="O57" s="28">
        <v>2636</v>
      </c>
      <c r="P57" s="22">
        <f t="shared" si="9"/>
        <v>381</v>
      </c>
      <c r="Q57" s="36"/>
      <c r="R57" s="30"/>
    </row>
    <row r="58" spans="1:18" ht="15.75" customHeight="1" x14ac:dyDescent="0.2">
      <c r="A58" s="37">
        <v>45757</v>
      </c>
      <c r="B58" s="22">
        <f t="shared" si="1"/>
        <v>38</v>
      </c>
      <c r="C58" s="28">
        <f t="shared" si="2"/>
        <v>1403</v>
      </c>
      <c r="D58" s="24">
        <v>-1090</v>
      </c>
      <c r="E58" s="28">
        <v>2504</v>
      </c>
      <c r="F58" s="22">
        <f t="shared" si="3"/>
        <v>460</v>
      </c>
      <c r="G58" s="22">
        <f t="shared" si="4"/>
        <v>38</v>
      </c>
      <c r="H58" s="28">
        <f t="shared" si="5"/>
        <v>1362</v>
      </c>
      <c r="I58" s="24">
        <v>-1168</v>
      </c>
      <c r="J58" s="28">
        <v>2541</v>
      </c>
      <c r="K58" s="22">
        <f t="shared" si="6"/>
        <v>528</v>
      </c>
      <c r="L58" s="22">
        <f t="shared" si="7"/>
        <v>38</v>
      </c>
      <c r="M58" s="28">
        <f t="shared" si="8"/>
        <v>1146</v>
      </c>
      <c r="N58" s="24">
        <v>-1079</v>
      </c>
      <c r="O58" s="28">
        <v>2636</v>
      </c>
      <c r="P58" s="22">
        <f t="shared" si="9"/>
        <v>389</v>
      </c>
      <c r="Q58" s="36"/>
      <c r="R58" s="30"/>
    </row>
    <row r="59" spans="1:18" ht="15.75" customHeight="1" x14ac:dyDescent="0.2">
      <c r="A59" s="37">
        <v>45758</v>
      </c>
      <c r="B59" s="22">
        <f t="shared" si="1"/>
        <v>39</v>
      </c>
      <c r="C59" s="28">
        <f t="shared" si="2"/>
        <v>1389</v>
      </c>
      <c r="D59" s="24">
        <v>-1104</v>
      </c>
      <c r="E59" s="28">
        <v>2504</v>
      </c>
      <c r="F59" s="22">
        <f t="shared" si="3"/>
        <v>474</v>
      </c>
      <c r="G59" s="22">
        <f t="shared" si="4"/>
        <v>39</v>
      </c>
      <c r="H59" s="28">
        <f t="shared" si="5"/>
        <v>1352</v>
      </c>
      <c r="I59" s="24">
        <v>-1178</v>
      </c>
      <c r="J59" s="28">
        <v>2541</v>
      </c>
      <c r="K59" s="22">
        <f t="shared" si="6"/>
        <v>538</v>
      </c>
      <c r="L59" s="22">
        <f t="shared" si="7"/>
        <v>39</v>
      </c>
      <c r="M59" s="28">
        <f t="shared" si="8"/>
        <v>1135</v>
      </c>
      <c r="N59" s="24">
        <v>-1090</v>
      </c>
      <c r="O59" s="28">
        <v>2636</v>
      </c>
      <c r="P59" s="22">
        <f t="shared" si="9"/>
        <v>400</v>
      </c>
      <c r="Q59" s="36"/>
      <c r="R59" s="30"/>
    </row>
    <row r="60" spans="1:18" ht="15.75" customHeight="1" x14ac:dyDescent="0.2">
      <c r="A60" s="37">
        <v>45759</v>
      </c>
      <c r="B60" s="22">
        <f t="shared" si="1"/>
        <v>40</v>
      </c>
      <c r="C60" s="28">
        <f t="shared" si="2"/>
        <v>1373</v>
      </c>
      <c r="D60" s="24">
        <v>-1120</v>
      </c>
      <c r="E60" s="28">
        <v>2504</v>
      </c>
      <c r="F60" s="22">
        <f t="shared" si="3"/>
        <v>490</v>
      </c>
      <c r="G60" s="22">
        <f t="shared" si="4"/>
        <v>40</v>
      </c>
      <c r="H60" s="28">
        <f t="shared" si="5"/>
        <v>1342</v>
      </c>
      <c r="I60" s="24">
        <v>-1188</v>
      </c>
      <c r="J60" s="28">
        <v>2541</v>
      </c>
      <c r="K60" s="22">
        <f t="shared" si="6"/>
        <v>548</v>
      </c>
      <c r="L60" s="22">
        <f t="shared" si="7"/>
        <v>40</v>
      </c>
      <c r="M60" s="28">
        <f t="shared" si="8"/>
        <v>1125</v>
      </c>
      <c r="N60" s="24">
        <v>-1100</v>
      </c>
      <c r="O60" s="28">
        <v>2636</v>
      </c>
      <c r="P60" s="22">
        <f t="shared" si="9"/>
        <v>410</v>
      </c>
      <c r="Q60" s="36"/>
      <c r="R60" s="30"/>
    </row>
    <row r="61" spans="1:18" ht="15.75" customHeight="1" x14ac:dyDescent="0.2">
      <c r="A61" s="37">
        <v>45760</v>
      </c>
      <c r="B61" s="22">
        <f t="shared" si="1"/>
        <v>41</v>
      </c>
      <c r="C61" s="28">
        <f t="shared" si="2"/>
        <v>1368</v>
      </c>
      <c r="D61" s="24">
        <v>-1125</v>
      </c>
      <c r="E61" s="28">
        <v>2504</v>
      </c>
      <c r="F61" s="22">
        <f t="shared" si="3"/>
        <v>495</v>
      </c>
      <c r="G61" s="22">
        <f t="shared" si="4"/>
        <v>41</v>
      </c>
      <c r="H61" s="28">
        <f t="shared" si="5"/>
        <v>1330</v>
      </c>
      <c r="I61" s="24">
        <v>-1200</v>
      </c>
      <c r="J61" s="28">
        <v>2541</v>
      </c>
      <c r="K61" s="22">
        <f t="shared" si="6"/>
        <v>560</v>
      </c>
      <c r="L61" s="22">
        <f t="shared" si="7"/>
        <v>41</v>
      </c>
      <c r="M61" s="28">
        <f t="shared" si="8"/>
        <v>1110</v>
      </c>
      <c r="N61" s="24">
        <v>-1115</v>
      </c>
      <c r="O61" s="28">
        <v>2636</v>
      </c>
      <c r="P61" s="22">
        <f t="shared" si="9"/>
        <v>425</v>
      </c>
      <c r="Q61" s="36"/>
      <c r="R61" s="30"/>
    </row>
    <row r="62" spans="1:18" ht="15.75" customHeight="1" x14ac:dyDescent="0.2">
      <c r="A62" s="37">
        <v>45761</v>
      </c>
      <c r="B62" s="22">
        <f t="shared" si="1"/>
        <v>42</v>
      </c>
      <c r="C62" s="28">
        <f t="shared" si="2"/>
        <v>1362</v>
      </c>
      <c r="D62" s="24">
        <v>-1131</v>
      </c>
      <c r="E62" s="28">
        <v>2504</v>
      </c>
      <c r="F62" s="22">
        <f t="shared" si="3"/>
        <v>501</v>
      </c>
      <c r="G62" s="22">
        <f t="shared" si="4"/>
        <v>42</v>
      </c>
      <c r="H62" s="28">
        <f t="shared" si="5"/>
        <v>1315</v>
      </c>
      <c r="I62" s="24">
        <v>-1215</v>
      </c>
      <c r="J62" s="28">
        <v>2541</v>
      </c>
      <c r="K62" s="22">
        <f t="shared" si="6"/>
        <v>575</v>
      </c>
      <c r="L62" s="22">
        <f t="shared" si="7"/>
        <v>42</v>
      </c>
      <c r="M62" s="28">
        <f t="shared" si="8"/>
        <v>1108</v>
      </c>
      <c r="N62" s="24">
        <v>-1117</v>
      </c>
      <c r="O62" s="28">
        <v>2636</v>
      </c>
      <c r="P62" s="22">
        <f t="shared" si="9"/>
        <v>427</v>
      </c>
      <c r="Q62" s="36"/>
      <c r="R62" s="30"/>
    </row>
    <row r="63" spans="1:18" ht="15.75" customHeight="1" x14ac:dyDescent="0.2">
      <c r="A63" s="37">
        <v>45762</v>
      </c>
      <c r="B63" s="22">
        <f t="shared" si="1"/>
        <v>43</v>
      </c>
      <c r="C63" s="28">
        <f t="shared" si="2"/>
        <v>1360</v>
      </c>
      <c r="D63" s="24">
        <v>-1133</v>
      </c>
      <c r="E63" s="28">
        <v>2504</v>
      </c>
      <c r="F63" s="22">
        <f t="shared" si="3"/>
        <v>503</v>
      </c>
      <c r="G63" s="22">
        <f t="shared" si="4"/>
        <v>43</v>
      </c>
      <c r="H63" s="28">
        <f t="shared" si="5"/>
        <v>1312</v>
      </c>
      <c r="I63" s="24">
        <v>-1218</v>
      </c>
      <c r="J63" s="28">
        <v>2541</v>
      </c>
      <c r="K63" s="22">
        <f t="shared" si="6"/>
        <v>578</v>
      </c>
      <c r="L63" s="22">
        <f t="shared" si="7"/>
        <v>43</v>
      </c>
      <c r="M63" s="28">
        <f t="shared" si="8"/>
        <v>1106</v>
      </c>
      <c r="N63" s="24">
        <v>-1119</v>
      </c>
      <c r="O63" s="28">
        <v>2636</v>
      </c>
      <c r="P63" s="22">
        <f t="shared" si="9"/>
        <v>429</v>
      </c>
      <c r="Q63" s="36"/>
      <c r="R63" s="30"/>
    </row>
    <row r="64" spans="1:18" ht="15.75" customHeight="1" x14ac:dyDescent="0.2">
      <c r="A64" s="37">
        <v>45763</v>
      </c>
      <c r="B64" s="22">
        <f t="shared" si="1"/>
        <v>44</v>
      </c>
      <c r="C64" s="28">
        <f t="shared" si="2"/>
        <v>1358</v>
      </c>
      <c r="D64" s="24">
        <v>-1135</v>
      </c>
      <c r="E64" s="28">
        <v>2504</v>
      </c>
      <c r="F64" s="22">
        <f t="shared" si="3"/>
        <v>505</v>
      </c>
      <c r="G64" s="22">
        <f t="shared" si="4"/>
        <v>44</v>
      </c>
      <c r="H64" s="28">
        <f t="shared" si="5"/>
        <v>1309</v>
      </c>
      <c r="I64" s="24">
        <v>-1221</v>
      </c>
      <c r="J64" s="28">
        <v>2541</v>
      </c>
      <c r="K64" s="22">
        <f t="shared" si="6"/>
        <v>581</v>
      </c>
      <c r="L64" s="22">
        <f t="shared" si="7"/>
        <v>44</v>
      </c>
      <c r="M64" s="28">
        <f t="shared" si="8"/>
        <v>1104</v>
      </c>
      <c r="N64" s="24">
        <v>-1121</v>
      </c>
      <c r="O64" s="28">
        <v>2636</v>
      </c>
      <c r="P64" s="22">
        <f t="shared" si="9"/>
        <v>431</v>
      </c>
      <c r="Q64" s="36"/>
      <c r="R64" s="30"/>
    </row>
    <row r="65" spans="1:18" ht="15.75" customHeight="1" x14ac:dyDescent="0.2">
      <c r="A65" s="37">
        <v>45764</v>
      </c>
      <c r="B65" s="22">
        <f t="shared" si="1"/>
        <v>45</v>
      </c>
      <c r="C65" s="28">
        <f t="shared" si="2"/>
        <v>1355</v>
      </c>
      <c r="D65" s="24">
        <v>-1138</v>
      </c>
      <c r="E65" s="28">
        <v>2504</v>
      </c>
      <c r="F65" s="22">
        <f t="shared" si="3"/>
        <v>508</v>
      </c>
      <c r="G65" s="22">
        <f t="shared" si="4"/>
        <v>45</v>
      </c>
      <c r="H65" s="28">
        <f t="shared" si="5"/>
        <v>1305</v>
      </c>
      <c r="I65" s="24">
        <v>-1225</v>
      </c>
      <c r="J65" s="28">
        <v>2541</v>
      </c>
      <c r="K65" s="22">
        <f t="shared" si="6"/>
        <v>585</v>
      </c>
      <c r="L65" s="22">
        <f t="shared" si="7"/>
        <v>45</v>
      </c>
      <c r="M65" s="28">
        <f t="shared" si="8"/>
        <v>1100</v>
      </c>
      <c r="N65" s="24">
        <v>-1125</v>
      </c>
      <c r="O65" s="28">
        <v>2636</v>
      </c>
      <c r="P65" s="22">
        <f t="shared" si="9"/>
        <v>435</v>
      </c>
      <c r="Q65" s="36"/>
      <c r="R65" s="30"/>
    </row>
    <row r="66" spans="1:18" ht="15.75" customHeight="1" x14ac:dyDescent="0.2">
      <c r="A66" s="37">
        <v>45765</v>
      </c>
      <c r="B66" s="22">
        <f t="shared" si="1"/>
        <v>46</v>
      </c>
      <c r="C66" s="28">
        <f t="shared" si="2"/>
        <v>1350</v>
      </c>
      <c r="D66" s="24">
        <v>-1143</v>
      </c>
      <c r="E66" s="28">
        <v>2504</v>
      </c>
      <c r="F66" s="22">
        <f t="shared" si="3"/>
        <v>513</v>
      </c>
      <c r="G66" s="22">
        <f t="shared" si="4"/>
        <v>46</v>
      </c>
      <c r="H66" s="28">
        <f t="shared" si="5"/>
        <v>1301</v>
      </c>
      <c r="I66" s="24">
        <v>-1229</v>
      </c>
      <c r="J66" s="28">
        <v>2541</v>
      </c>
      <c r="K66" s="22">
        <f t="shared" si="6"/>
        <v>589</v>
      </c>
      <c r="L66" s="22">
        <f t="shared" si="7"/>
        <v>46</v>
      </c>
      <c r="M66" s="28">
        <f t="shared" si="8"/>
        <v>1096</v>
      </c>
      <c r="N66" s="24">
        <v>-1129</v>
      </c>
      <c r="O66" s="28">
        <v>2636</v>
      </c>
      <c r="P66" s="22">
        <f t="shared" si="9"/>
        <v>439</v>
      </c>
      <c r="Q66" s="36"/>
      <c r="R66" s="30"/>
    </row>
    <row r="67" spans="1:18" ht="15.75" customHeight="1" x14ac:dyDescent="0.2">
      <c r="A67" s="37">
        <v>45766</v>
      </c>
      <c r="B67" s="22">
        <f t="shared" si="1"/>
        <v>47</v>
      </c>
      <c r="C67" s="28">
        <f t="shared" si="2"/>
        <v>1345</v>
      </c>
      <c r="D67" s="24">
        <v>-1148</v>
      </c>
      <c r="E67" s="28">
        <v>2504</v>
      </c>
      <c r="F67" s="22">
        <f t="shared" si="3"/>
        <v>518</v>
      </c>
      <c r="G67" s="22">
        <f t="shared" si="4"/>
        <v>47</v>
      </c>
      <c r="H67" s="28">
        <f t="shared" si="5"/>
        <v>1296</v>
      </c>
      <c r="I67" s="24">
        <v>-1234</v>
      </c>
      <c r="J67" s="28">
        <v>2541</v>
      </c>
      <c r="K67" s="22">
        <f t="shared" si="6"/>
        <v>594</v>
      </c>
      <c r="L67" s="22">
        <f t="shared" si="7"/>
        <v>47</v>
      </c>
      <c r="M67" s="28">
        <f t="shared" si="8"/>
        <v>1091</v>
      </c>
      <c r="N67" s="24">
        <v>-1134</v>
      </c>
      <c r="O67" s="28">
        <v>2636</v>
      </c>
      <c r="P67" s="22">
        <f t="shared" si="9"/>
        <v>444</v>
      </c>
      <c r="Q67" s="36"/>
      <c r="R67" s="30"/>
    </row>
    <row r="68" spans="1:18" ht="15.75" customHeight="1" x14ac:dyDescent="0.2">
      <c r="A68" s="37">
        <v>45767</v>
      </c>
      <c r="B68" s="22">
        <f t="shared" si="1"/>
        <v>48</v>
      </c>
      <c r="C68" s="28">
        <f t="shared" si="2"/>
        <v>1341</v>
      </c>
      <c r="D68" s="24">
        <v>-1152</v>
      </c>
      <c r="E68" s="28">
        <v>2504</v>
      </c>
      <c r="F68" s="22">
        <f t="shared" si="3"/>
        <v>522</v>
      </c>
      <c r="G68" s="22">
        <f t="shared" si="4"/>
        <v>48</v>
      </c>
      <c r="H68" s="28">
        <f t="shared" si="5"/>
        <v>1291</v>
      </c>
      <c r="I68" s="24">
        <v>-1239</v>
      </c>
      <c r="J68" s="28">
        <v>2541</v>
      </c>
      <c r="K68" s="22">
        <f t="shared" si="6"/>
        <v>599</v>
      </c>
      <c r="L68" s="22">
        <f t="shared" si="7"/>
        <v>48</v>
      </c>
      <c r="M68" s="28">
        <f t="shared" si="8"/>
        <v>1086</v>
      </c>
      <c r="N68" s="24">
        <v>-1139</v>
      </c>
      <c r="O68" s="28">
        <v>2636</v>
      </c>
      <c r="P68" s="22">
        <f t="shared" si="9"/>
        <v>449</v>
      </c>
      <c r="Q68" s="36"/>
      <c r="R68" s="30"/>
    </row>
    <row r="69" spans="1:18" ht="15.75" customHeight="1" x14ac:dyDescent="0.2">
      <c r="A69" s="37">
        <v>45768</v>
      </c>
      <c r="B69" s="22">
        <f t="shared" si="1"/>
        <v>49</v>
      </c>
      <c r="C69" s="28">
        <f t="shared" si="2"/>
        <v>1336</v>
      </c>
      <c r="D69" s="24">
        <v>-1157</v>
      </c>
      <c r="E69" s="28">
        <v>2504</v>
      </c>
      <c r="F69" s="22">
        <f t="shared" si="3"/>
        <v>527</v>
      </c>
      <c r="G69" s="22">
        <f t="shared" si="4"/>
        <v>49</v>
      </c>
      <c r="H69" s="28">
        <f t="shared" si="5"/>
        <v>1286</v>
      </c>
      <c r="I69" s="24">
        <v>-1244</v>
      </c>
      <c r="J69" s="28">
        <v>2541</v>
      </c>
      <c r="K69" s="22">
        <f t="shared" si="6"/>
        <v>604</v>
      </c>
      <c r="L69" s="22">
        <f t="shared" si="7"/>
        <v>49</v>
      </c>
      <c r="M69" s="28">
        <f t="shared" si="8"/>
        <v>1083</v>
      </c>
      <c r="N69" s="24">
        <v>-1142</v>
      </c>
      <c r="O69" s="28">
        <v>2636</v>
      </c>
      <c r="P69" s="22">
        <f t="shared" si="9"/>
        <v>452</v>
      </c>
      <c r="Q69" s="36"/>
      <c r="R69" s="30"/>
    </row>
    <row r="70" spans="1:18" ht="15.75" customHeight="1" x14ac:dyDescent="0.2">
      <c r="A70" s="37">
        <v>45769</v>
      </c>
      <c r="B70" s="22">
        <f t="shared" si="1"/>
        <v>50</v>
      </c>
      <c r="C70" s="28">
        <f t="shared" si="2"/>
        <v>1327</v>
      </c>
      <c r="D70" s="24">
        <v>-1166</v>
      </c>
      <c r="E70" s="28">
        <v>2504</v>
      </c>
      <c r="F70" s="22">
        <f t="shared" si="3"/>
        <v>536</v>
      </c>
      <c r="G70" s="22">
        <f t="shared" si="4"/>
        <v>50</v>
      </c>
      <c r="H70" s="28">
        <f t="shared" si="5"/>
        <v>1280</v>
      </c>
      <c r="I70" s="24">
        <v>-1250</v>
      </c>
      <c r="J70" s="28">
        <v>2541</v>
      </c>
      <c r="K70" s="22">
        <f t="shared" si="6"/>
        <v>610</v>
      </c>
      <c r="L70" s="22">
        <f t="shared" si="7"/>
        <v>50</v>
      </c>
      <c r="M70" s="28">
        <f t="shared" si="8"/>
        <v>1077</v>
      </c>
      <c r="N70" s="24">
        <v>-1148</v>
      </c>
      <c r="O70" s="28">
        <v>2636</v>
      </c>
      <c r="P70" s="22">
        <f t="shared" si="9"/>
        <v>458</v>
      </c>
      <c r="Q70" s="36"/>
      <c r="R70" s="30"/>
    </row>
    <row r="71" spans="1:18" ht="15.75" customHeight="1" x14ac:dyDescent="0.2">
      <c r="A71" s="37">
        <v>45770</v>
      </c>
      <c r="B71" s="22">
        <f t="shared" si="1"/>
        <v>51</v>
      </c>
      <c r="C71" s="28">
        <f t="shared" si="2"/>
        <v>1318</v>
      </c>
      <c r="D71" s="24">
        <v>-1175</v>
      </c>
      <c r="E71" s="28">
        <v>2504</v>
      </c>
      <c r="F71" s="22">
        <f t="shared" si="3"/>
        <v>545</v>
      </c>
      <c r="G71" s="22">
        <f t="shared" si="4"/>
        <v>51</v>
      </c>
      <c r="H71" s="28">
        <f t="shared" si="5"/>
        <v>1270</v>
      </c>
      <c r="I71" s="24">
        <v>-1260</v>
      </c>
      <c r="J71" s="28">
        <v>2541</v>
      </c>
      <c r="K71" s="22">
        <f t="shared" si="6"/>
        <v>620</v>
      </c>
      <c r="L71" s="22">
        <f t="shared" si="7"/>
        <v>51</v>
      </c>
      <c r="M71" s="28">
        <f t="shared" si="8"/>
        <v>1073</v>
      </c>
      <c r="N71" s="24">
        <v>-1152</v>
      </c>
      <c r="O71" s="28">
        <v>2636</v>
      </c>
      <c r="P71" s="22">
        <f t="shared" si="9"/>
        <v>462</v>
      </c>
      <c r="Q71" s="36"/>
      <c r="R71" s="30"/>
    </row>
    <row r="72" spans="1:18" ht="15.75" customHeight="1" x14ac:dyDescent="0.2">
      <c r="A72" s="37">
        <v>45771</v>
      </c>
      <c r="B72" s="22">
        <f t="shared" si="1"/>
        <v>52</v>
      </c>
      <c r="C72" s="28">
        <f t="shared" si="2"/>
        <v>1308</v>
      </c>
      <c r="D72" s="24">
        <v>-1185</v>
      </c>
      <c r="E72" s="28">
        <v>2504</v>
      </c>
      <c r="F72" s="22">
        <f t="shared" si="3"/>
        <v>555</v>
      </c>
      <c r="G72" s="22">
        <f t="shared" si="4"/>
        <v>52</v>
      </c>
      <c r="H72" s="28">
        <f t="shared" si="5"/>
        <v>1258</v>
      </c>
      <c r="I72" s="24">
        <v>-1272</v>
      </c>
      <c r="J72" s="28">
        <v>2541</v>
      </c>
      <c r="K72" s="22">
        <f t="shared" si="6"/>
        <v>632</v>
      </c>
      <c r="L72" s="22">
        <f t="shared" si="7"/>
        <v>52</v>
      </c>
      <c r="M72" s="28">
        <f t="shared" si="8"/>
        <v>1065</v>
      </c>
      <c r="N72" s="24">
        <v>-1160</v>
      </c>
      <c r="O72" s="28">
        <v>2636</v>
      </c>
      <c r="P72" s="22">
        <f t="shared" si="9"/>
        <v>470</v>
      </c>
      <c r="Q72" s="36"/>
      <c r="R72" s="30"/>
    </row>
    <row r="73" spans="1:18" ht="15.75" customHeight="1" x14ac:dyDescent="0.2">
      <c r="A73" s="37">
        <v>45772</v>
      </c>
      <c r="B73" s="22">
        <f t="shared" si="1"/>
        <v>53</v>
      </c>
      <c r="C73" s="28">
        <f t="shared" si="2"/>
        <v>1297</v>
      </c>
      <c r="D73" s="24">
        <v>-1196</v>
      </c>
      <c r="E73" s="28">
        <v>2504</v>
      </c>
      <c r="F73" s="22">
        <f t="shared" si="3"/>
        <v>566</v>
      </c>
      <c r="G73" s="22">
        <f t="shared" si="4"/>
        <v>53</v>
      </c>
      <c r="H73" s="28">
        <f t="shared" si="5"/>
        <v>1245</v>
      </c>
      <c r="I73" s="24">
        <v>-1285</v>
      </c>
      <c r="J73" s="28">
        <v>2541</v>
      </c>
      <c r="K73" s="22">
        <f t="shared" si="6"/>
        <v>645</v>
      </c>
      <c r="L73" s="22">
        <f t="shared" si="7"/>
        <v>53</v>
      </c>
      <c r="M73" s="28">
        <f t="shared" si="8"/>
        <v>1054</v>
      </c>
      <c r="N73" s="24">
        <v>-1171</v>
      </c>
      <c r="O73" s="28">
        <v>2636</v>
      </c>
      <c r="P73" s="22">
        <f t="shared" si="9"/>
        <v>481</v>
      </c>
      <c r="Q73" s="36"/>
      <c r="R73" s="30"/>
    </row>
    <row r="74" spans="1:18" ht="15.75" customHeight="1" x14ac:dyDescent="0.2">
      <c r="A74" s="37">
        <v>45773</v>
      </c>
      <c r="B74" s="22">
        <f t="shared" si="1"/>
        <v>54</v>
      </c>
      <c r="C74" s="28">
        <f t="shared" si="2"/>
        <v>1293</v>
      </c>
      <c r="D74" s="24">
        <v>-1200</v>
      </c>
      <c r="E74" s="28">
        <v>2504</v>
      </c>
      <c r="F74" s="22">
        <f t="shared" si="3"/>
        <v>570</v>
      </c>
      <c r="G74" s="22">
        <f t="shared" si="4"/>
        <v>54</v>
      </c>
      <c r="H74" s="28">
        <f t="shared" si="5"/>
        <v>1234</v>
      </c>
      <c r="I74" s="24">
        <v>-1296</v>
      </c>
      <c r="J74" s="28">
        <v>2541</v>
      </c>
      <c r="K74" s="22">
        <f t="shared" si="6"/>
        <v>656</v>
      </c>
      <c r="L74" s="22">
        <f t="shared" si="7"/>
        <v>54</v>
      </c>
      <c r="M74" s="28">
        <f t="shared" si="8"/>
        <v>250</v>
      </c>
      <c r="N74" s="24">
        <v>-1975</v>
      </c>
      <c r="O74" s="28">
        <v>2636</v>
      </c>
      <c r="P74" s="22">
        <f t="shared" si="9"/>
        <v>1285</v>
      </c>
      <c r="Q74" s="36"/>
      <c r="R74" s="30"/>
    </row>
    <row r="75" spans="1:18" ht="15.75" customHeight="1" x14ac:dyDescent="0.2">
      <c r="A75" s="37">
        <v>45774</v>
      </c>
      <c r="B75" s="22">
        <f t="shared" si="1"/>
        <v>55</v>
      </c>
      <c r="C75" s="28">
        <f t="shared" si="2"/>
        <v>1288</v>
      </c>
      <c r="D75" s="24">
        <v>-1205</v>
      </c>
      <c r="E75" s="28">
        <v>2504</v>
      </c>
      <c r="F75" s="22">
        <f t="shared" si="3"/>
        <v>575</v>
      </c>
      <c r="G75" s="22">
        <f t="shared" si="4"/>
        <v>55</v>
      </c>
      <c r="H75" s="28">
        <f t="shared" si="5"/>
        <v>1230</v>
      </c>
      <c r="I75" s="24">
        <v>-1300</v>
      </c>
      <c r="J75" s="28">
        <v>2541</v>
      </c>
      <c r="K75" s="22">
        <f t="shared" si="6"/>
        <v>660</v>
      </c>
      <c r="L75" s="22">
        <f t="shared" si="7"/>
        <v>55</v>
      </c>
      <c r="M75" s="28">
        <f t="shared" si="8"/>
        <v>245</v>
      </c>
      <c r="N75" s="24">
        <v>-1980</v>
      </c>
      <c r="O75" s="28">
        <v>2636</v>
      </c>
      <c r="P75" s="22">
        <f t="shared" si="9"/>
        <v>1290</v>
      </c>
      <c r="Q75" s="36"/>
      <c r="R75" s="30"/>
    </row>
    <row r="76" spans="1:18" ht="15.75" customHeight="1" x14ac:dyDescent="0.2">
      <c r="A76" s="37">
        <v>45775</v>
      </c>
      <c r="B76" s="22">
        <f t="shared" si="1"/>
        <v>56</v>
      </c>
      <c r="C76" s="28">
        <f t="shared" si="2"/>
        <v>1283</v>
      </c>
      <c r="D76" s="24">
        <v>-1210</v>
      </c>
      <c r="E76" s="28">
        <v>2504</v>
      </c>
      <c r="F76" s="22">
        <f t="shared" si="3"/>
        <v>580</v>
      </c>
      <c r="G76" s="22">
        <f t="shared" si="4"/>
        <v>56</v>
      </c>
      <c r="H76" s="28">
        <f t="shared" si="5"/>
        <v>1225</v>
      </c>
      <c r="I76" s="24">
        <v>-1305</v>
      </c>
      <c r="J76" s="28">
        <v>2541</v>
      </c>
      <c r="K76" s="22">
        <f t="shared" si="6"/>
        <v>665</v>
      </c>
      <c r="L76" s="22">
        <f t="shared" si="7"/>
        <v>56</v>
      </c>
      <c r="M76" s="28">
        <f t="shared" si="8"/>
        <v>240</v>
      </c>
      <c r="N76" s="24">
        <v>-1985</v>
      </c>
      <c r="O76" s="28">
        <v>2636</v>
      </c>
      <c r="P76" s="22">
        <f t="shared" si="9"/>
        <v>1295</v>
      </c>
      <c r="Q76" s="36"/>
      <c r="R76" s="30"/>
    </row>
    <row r="77" spans="1:18" ht="15.75" customHeight="1" x14ac:dyDescent="0.2">
      <c r="A77" s="37">
        <v>45776</v>
      </c>
      <c r="B77" s="22">
        <f t="shared" si="1"/>
        <v>57</v>
      </c>
      <c r="C77" s="28">
        <f t="shared" si="2"/>
        <v>1278</v>
      </c>
      <c r="D77" s="24">
        <v>-1215</v>
      </c>
      <c r="E77" s="28">
        <v>2504</v>
      </c>
      <c r="F77" s="22">
        <f t="shared" si="3"/>
        <v>585</v>
      </c>
      <c r="G77" s="22">
        <f t="shared" si="4"/>
        <v>57</v>
      </c>
      <c r="H77" s="28">
        <f t="shared" si="5"/>
        <v>1220</v>
      </c>
      <c r="I77" s="24">
        <v>-1310</v>
      </c>
      <c r="J77" s="28">
        <v>2541</v>
      </c>
      <c r="K77" s="22">
        <f t="shared" si="6"/>
        <v>670</v>
      </c>
      <c r="L77" s="22">
        <f t="shared" si="7"/>
        <v>57</v>
      </c>
      <c r="M77" s="28">
        <f t="shared" si="8"/>
        <v>235</v>
      </c>
      <c r="N77" s="24">
        <v>-1990</v>
      </c>
      <c r="O77" s="28">
        <v>2636</v>
      </c>
      <c r="P77" s="22">
        <f t="shared" si="9"/>
        <v>1300</v>
      </c>
      <c r="Q77" s="36"/>
      <c r="R77" s="30"/>
    </row>
    <row r="78" spans="1:18" ht="15.75" customHeight="1" x14ac:dyDescent="0.2">
      <c r="A78" s="37">
        <v>45777</v>
      </c>
      <c r="B78" s="22">
        <f t="shared" si="1"/>
        <v>58</v>
      </c>
      <c r="C78" s="28">
        <f t="shared" si="2"/>
        <v>1273</v>
      </c>
      <c r="D78" s="24">
        <v>-1220</v>
      </c>
      <c r="E78" s="28">
        <v>2504</v>
      </c>
      <c r="F78" s="22">
        <f t="shared" si="3"/>
        <v>590</v>
      </c>
      <c r="G78" s="22">
        <f t="shared" si="4"/>
        <v>58</v>
      </c>
      <c r="H78" s="28">
        <f t="shared" si="5"/>
        <v>1215</v>
      </c>
      <c r="I78" s="24">
        <v>-1315</v>
      </c>
      <c r="J78" s="28">
        <v>2541</v>
      </c>
      <c r="K78" s="22">
        <f t="shared" si="6"/>
        <v>675</v>
      </c>
      <c r="L78" s="22">
        <f t="shared" si="7"/>
        <v>58</v>
      </c>
      <c r="M78" s="28">
        <f t="shared" si="8"/>
        <v>230</v>
      </c>
      <c r="N78" s="24">
        <v>-1995</v>
      </c>
      <c r="O78" s="28">
        <v>2636</v>
      </c>
      <c r="P78" s="22">
        <f t="shared" si="9"/>
        <v>1305</v>
      </c>
      <c r="Q78" s="36"/>
      <c r="R78" s="30"/>
    </row>
    <row r="79" spans="1:18" ht="15.75" customHeight="1" x14ac:dyDescent="0.2">
      <c r="A79" s="37">
        <v>45778</v>
      </c>
      <c r="B79" s="22">
        <f t="shared" si="1"/>
        <v>59</v>
      </c>
      <c r="C79" s="28">
        <f t="shared" si="2"/>
        <v>1268</v>
      </c>
      <c r="D79" s="24">
        <v>-1225</v>
      </c>
      <c r="E79" s="28">
        <v>2504</v>
      </c>
      <c r="F79" s="22">
        <f t="shared" si="3"/>
        <v>595</v>
      </c>
      <c r="G79" s="22">
        <f t="shared" si="4"/>
        <v>59</v>
      </c>
      <c r="H79" s="28">
        <f t="shared" si="5"/>
        <v>1210</v>
      </c>
      <c r="I79" s="24">
        <v>-1320</v>
      </c>
      <c r="J79" s="28">
        <v>2541</v>
      </c>
      <c r="K79" s="22">
        <f t="shared" si="6"/>
        <v>680</v>
      </c>
      <c r="L79" s="22">
        <f t="shared" si="7"/>
        <v>59</v>
      </c>
      <c r="M79" s="28">
        <f t="shared" si="8"/>
        <v>1025</v>
      </c>
      <c r="N79" s="24">
        <v>-1200</v>
      </c>
      <c r="O79" s="28">
        <v>2636</v>
      </c>
      <c r="P79" s="22">
        <f t="shared" si="9"/>
        <v>510</v>
      </c>
      <c r="Q79" s="36"/>
      <c r="R79" s="30"/>
    </row>
    <row r="80" spans="1:18" ht="15.75" customHeight="1" x14ac:dyDescent="0.2">
      <c r="A80" s="37">
        <v>45779</v>
      </c>
      <c r="B80" s="22">
        <f t="shared" si="1"/>
        <v>60</v>
      </c>
      <c r="C80" s="28">
        <f t="shared" si="2"/>
        <v>1262</v>
      </c>
      <c r="D80" s="24">
        <v>-1231</v>
      </c>
      <c r="E80" s="28">
        <v>2504</v>
      </c>
      <c r="F80" s="22">
        <f t="shared" si="3"/>
        <v>601</v>
      </c>
      <c r="G80" s="22">
        <f t="shared" si="4"/>
        <v>60</v>
      </c>
      <c r="H80" s="28">
        <f t="shared" si="5"/>
        <v>1204</v>
      </c>
      <c r="I80" s="24">
        <v>-1326</v>
      </c>
      <c r="J80" s="28">
        <v>2541</v>
      </c>
      <c r="K80" s="22">
        <f t="shared" si="6"/>
        <v>686</v>
      </c>
      <c r="L80" s="22">
        <f t="shared" si="7"/>
        <v>60</v>
      </c>
      <c r="M80" s="28">
        <f t="shared" si="8"/>
        <v>1020</v>
      </c>
      <c r="N80" s="24">
        <v>-1205</v>
      </c>
      <c r="O80" s="28">
        <v>2636</v>
      </c>
      <c r="P80" s="22">
        <f t="shared" si="9"/>
        <v>515</v>
      </c>
      <c r="Q80" s="36"/>
      <c r="R80" s="30"/>
    </row>
    <row r="81" spans="1:18" ht="15.75" customHeight="1" x14ac:dyDescent="0.2">
      <c r="A81" s="37">
        <v>45780</v>
      </c>
      <c r="B81" s="22">
        <f t="shared" si="1"/>
        <v>61</v>
      </c>
      <c r="C81" s="28">
        <f t="shared" si="2"/>
        <v>1256</v>
      </c>
      <c r="D81" s="24">
        <v>-1237</v>
      </c>
      <c r="E81" s="28">
        <v>2504</v>
      </c>
      <c r="F81" s="22">
        <f t="shared" si="3"/>
        <v>607</v>
      </c>
      <c r="G81" s="22">
        <f t="shared" si="4"/>
        <v>61</v>
      </c>
      <c r="H81" s="28">
        <f t="shared" si="5"/>
        <v>1197</v>
      </c>
      <c r="I81" s="24">
        <v>-1333</v>
      </c>
      <c r="J81" s="28">
        <v>2541</v>
      </c>
      <c r="K81" s="22">
        <f t="shared" si="6"/>
        <v>693</v>
      </c>
      <c r="L81" s="22">
        <f t="shared" si="7"/>
        <v>61</v>
      </c>
      <c r="M81" s="28">
        <f t="shared" si="8"/>
        <v>1015</v>
      </c>
      <c r="N81" s="24">
        <v>-1210</v>
      </c>
      <c r="O81" s="28">
        <v>2636</v>
      </c>
      <c r="P81" s="22">
        <f t="shared" si="9"/>
        <v>520</v>
      </c>
      <c r="Q81" s="36"/>
      <c r="R81" s="30"/>
    </row>
    <row r="82" spans="1:18" ht="15.75" customHeight="1" x14ac:dyDescent="0.2">
      <c r="A82" s="37">
        <v>45781</v>
      </c>
      <c r="B82" s="22">
        <f t="shared" si="1"/>
        <v>62</v>
      </c>
      <c r="C82" s="28">
        <f t="shared" si="2"/>
        <v>1249</v>
      </c>
      <c r="D82" s="24">
        <v>-1244</v>
      </c>
      <c r="E82" s="28">
        <v>2504</v>
      </c>
      <c r="F82" s="22">
        <f t="shared" si="3"/>
        <v>614</v>
      </c>
      <c r="G82" s="22">
        <f t="shared" si="4"/>
        <v>62</v>
      </c>
      <c r="H82" s="28">
        <f t="shared" si="5"/>
        <v>1191</v>
      </c>
      <c r="I82" s="24">
        <v>-1339</v>
      </c>
      <c r="J82" s="28">
        <v>2541</v>
      </c>
      <c r="K82" s="22">
        <f t="shared" si="6"/>
        <v>699</v>
      </c>
      <c r="L82" s="22">
        <f t="shared" si="7"/>
        <v>62</v>
      </c>
      <c r="M82" s="28">
        <f t="shared" si="8"/>
        <v>1010</v>
      </c>
      <c r="N82" s="24">
        <v>-1215</v>
      </c>
      <c r="O82" s="28">
        <v>2636</v>
      </c>
      <c r="P82" s="22">
        <f t="shared" si="9"/>
        <v>525</v>
      </c>
      <c r="Q82" s="36"/>
      <c r="R82" s="30"/>
    </row>
    <row r="83" spans="1:18" ht="15.75" customHeight="1" x14ac:dyDescent="0.2">
      <c r="A83" s="37">
        <v>45782</v>
      </c>
      <c r="B83" s="22">
        <f t="shared" si="1"/>
        <v>63</v>
      </c>
      <c r="C83" s="28">
        <f t="shared" si="2"/>
        <v>1242</v>
      </c>
      <c r="D83" s="24">
        <v>-1251</v>
      </c>
      <c r="E83" s="28">
        <v>2504</v>
      </c>
      <c r="F83" s="22">
        <f t="shared" si="3"/>
        <v>621</v>
      </c>
      <c r="G83" s="22">
        <f t="shared" si="4"/>
        <v>63</v>
      </c>
      <c r="H83" s="28">
        <f t="shared" si="5"/>
        <v>1185</v>
      </c>
      <c r="I83" s="24">
        <v>-1345</v>
      </c>
      <c r="J83" s="28">
        <v>2541</v>
      </c>
      <c r="K83" s="22">
        <f t="shared" si="6"/>
        <v>705</v>
      </c>
      <c r="L83" s="22">
        <f t="shared" si="7"/>
        <v>63</v>
      </c>
      <c r="M83" s="28">
        <f t="shared" si="8"/>
        <v>1005</v>
      </c>
      <c r="N83" s="24">
        <v>-1220</v>
      </c>
      <c r="O83" s="28">
        <v>2636</v>
      </c>
      <c r="P83" s="22">
        <f t="shared" si="9"/>
        <v>530</v>
      </c>
      <c r="Q83" s="36"/>
      <c r="R83" s="30"/>
    </row>
    <row r="84" spans="1:18" ht="15.75" customHeight="1" x14ac:dyDescent="0.2">
      <c r="A84" s="37">
        <v>45783</v>
      </c>
      <c r="B84" s="22">
        <f t="shared" si="1"/>
        <v>64</v>
      </c>
      <c r="C84" s="28">
        <f t="shared" si="2"/>
        <v>1238</v>
      </c>
      <c r="D84" s="24">
        <v>-1255</v>
      </c>
      <c r="E84" s="28">
        <v>2504</v>
      </c>
      <c r="F84" s="22">
        <f t="shared" si="3"/>
        <v>625</v>
      </c>
      <c r="G84" s="22">
        <f t="shared" si="4"/>
        <v>64</v>
      </c>
      <c r="H84" s="28">
        <f t="shared" si="5"/>
        <v>1180</v>
      </c>
      <c r="I84" s="24">
        <v>-1350</v>
      </c>
      <c r="J84" s="28">
        <v>2541</v>
      </c>
      <c r="K84" s="22">
        <f t="shared" si="6"/>
        <v>710</v>
      </c>
      <c r="L84" s="22">
        <f t="shared" si="7"/>
        <v>64</v>
      </c>
      <c r="M84" s="28">
        <f t="shared" si="8"/>
        <v>1000</v>
      </c>
      <c r="N84" s="24">
        <v>-1225</v>
      </c>
      <c r="O84" s="28">
        <v>2636</v>
      </c>
      <c r="P84" s="22">
        <f t="shared" si="9"/>
        <v>535</v>
      </c>
      <c r="Q84" s="36"/>
      <c r="R84" s="30"/>
    </row>
    <row r="85" spans="1:18" ht="15.75" customHeight="1" x14ac:dyDescent="0.2">
      <c r="A85" s="37">
        <v>45784</v>
      </c>
      <c r="B85" s="22">
        <f t="shared" si="1"/>
        <v>65</v>
      </c>
      <c r="C85" s="28">
        <f t="shared" si="2"/>
        <v>1232</v>
      </c>
      <c r="D85" s="24">
        <v>-1261</v>
      </c>
      <c r="E85" s="28">
        <v>2504</v>
      </c>
      <c r="F85" s="22">
        <f t="shared" si="3"/>
        <v>631</v>
      </c>
      <c r="G85" s="22">
        <f t="shared" si="4"/>
        <v>65</v>
      </c>
      <c r="H85" s="28">
        <f t="shared" si="5"/>
        <v>1175</v>
      </c>
      <c r="I85" s="24">
        <v>-1355</v>
      </c>
      <c r="J85" s="28">
        <v>2541</v>
      </c>
      <c r="K85" s="22">
        <f t="shared" si="6"/>
        <v>715</v>
      </c>
      <c r="L85" s="22">
        <f t="shared" si="7"/>
        <v>65</v>
      </c>
      <c r="M85" s="28">
        <f t="shared" si="8"/>
        <v>995</v>
      </c>
      <c r="N85" s="24">
        <v>-1230</v>
      </c>
      <c r="O85" s="28">
        <v>2636</v>
      </c>
      <c r="P85" s="22">
        <f t="shared" si="9"/>
        <v>540</v>
      </c>
      <c r="Q85" s="36"/>
      <c r="R85" s="30"/>
    </row>
    <row r="86" spans="1:18" ht="15.75" customHeight="1" x14ac:dyDescent="0.2">
      <c r="A86" s="37">
        <v>45785</v>
      </c>
      <c r="B86" s="22">
        <f t="shared" si="1"/>
        <v>66</v>
      </c>
      <c r="C86" s="28">
        <f t="shared" si="2"/>
        <v>1232</v>
      </c>
      <c r="D86" s="24">
        <v>-1261</v>
      </c>
      <c r="E86" s="28">
        <v>2504</v>
      </c>
      <c r="F86" s="22">
        <f t="shared" si="3"/>
        <v>631</v>
      </c>
      <c r="G86" s="22">
        <f t="shared" si="4"/>
        <v>66</v>
      </c>
      <c r="H86" s="28">
        <f t="shared" si="5"/>
        <v>1175</v>
      </c>
      <c r="I86" s="24">
        <v>-1355</v>
      </c>
      <c r="J86" s="28">
        <v>2541</v>
      </c>
      <c r="K86" s="22">
        <f t="shared" si="6"/>
        <v>715</v>
      </c>
      <c r="L86" s="22">
        <f t="shared" si="7"/>
        <v>66</v>
      </c>
      <c r="M86" s="28">
        <f t="shared" si="8"/>
        <v>990</v>
      </c>
      <c r="N86" s="24">
        <v>-1235</v>
      </c>
      <c r="O86" s="28">
        <v>2636</v>
      </c>
      <c r="P86" s="22">
        <f t="shared" si="9"/>
        <v>545</v>
      </c>
      <c r="Q86" s="36"/>
      <c r="R86" s="30"/>
    </row>
    <row r="87" spans="1:18" ht="15.75" customHeight="1" x14ac:dyDescent="0.2">
      <c r="A87" s="37">
        <v>45786</v>
      </c>
      <c r="B87" s="22">
        <f t="shared" si="1"/>
        <v>67</v>
      </c>
      <c r="C87" s="28">
        <f t="shared" si="2"/>
        <v>1232</v>
      </c>
      <c r="D87" s="24">
        <v>-1261</v>
      </c>
      <c r="E87" s="28">
        <v>2504</v>
      </c>
      <c r="F87" s="22">
        <f t="shared" si="3"/>
        <v>631</v>
      </c>
      <c r="G87" s="22">
        <f t="shared" si="4"/>
        <v>67</v>
      </c>
      <c r="H87" s="28">
        <f t="shared" si="5"/>
        <v>1175</v>
      </c>
      <c r="I87" s="24">
        <v>-1355</v>
      </c>
      <c r="J87" s="28">
        <v>2541</v>
      </c>
      <c r="K87" s="22">
        <f t="shared" si="6"/>
        <v>715</v>
      </c>
      <c r="L87" s="22">
        <f t="shared" si="7"/>
        <v>67</v>
      </c>
      <c r="M87" s="28">
        <f t="shared" si="8"/>
        <v>985</v>
      </c>
      <c r="N87" s="24">
        <v>-1240</v>
      </c>
      <c r="O87" s="28">
        <v>2636</v>
      </c>
      <c r="P87" s="22">
        <f t="shared" si="9"/>
        <v>550</v>
      </c>
      <c r="Q87" s="36"/>
      <c r="R87" s="30"/>
    </row>
    <row r="88" spans="1:18" ht="15.75" customHeight="1" x14ac:dyDescent="0.2">
      <c r="A88" s="37">
        <v>45787</v>
      </c>
      <c r="B88" s="22">
        <f t="shared" si="1"/>
        <v>68</v>
      </c>
      <c r="C88" s="28">
        <f t="shared" si="2"/>
        <v>1226</v>
      </c>
      <c r="D88" s="24">
        <v>-1267</v>
      </c>
      <c r="E88" s="28">
        <v>2504</v>
      </c>
      <c r="F88" s="22">
        <f t="shared" si="3"/>
        <v>637</v>
      </c>
      <c r="G88" s="22">
        <f t="shared" si="4"/>
        <v>68</v>
      </c>
      <c r="H88" s="28">
        <f t="shared" si="5"/>
        <v>1170</v>
      </c>
      <c r="I88" s="24">
        <v>-1360</v>
      </c>
      <c r="J88" s="28">
        <v>2541</v>
      </c>
      <c r="K88" s="22">
        <f t="shared" si="6"/>
        <v>720</v>
      </c>
      <c r="L88" s="22">
        <f t="shared" si="7"/>
        <v>68</v>
      </c>
      <c r="M88" s="28">
        <f t="shared" si="8"/>
        <v>980</v>
      </c>
      <c r="N88" s="24">
        <v>-1245</v>
      </c>
      <c r="O88" s="28">
        <v>2636</v>
      </c>
      <c r="P88" s="22">
        <f t="shared" si="9"/>
        <v>555</v>
      </c>
      <c r="Q88" s="36"/>
      <c r="R88" s="30"/>
    </row>
    <row r="89" spans="1:18" ht="15.75" customHeight="1" x14ac:dyDescent="0.2">
      <c r="A89" s="37">
        <v>45788</v>
      </c>
      <c r="B89" s="22">
        <f t="shared" si="1"/>
        <v>69</v>
      </c>
      <c r="C89" s="28">
        <f t="shared" si="2"/>
        <v>1222</v>
      </c>
      <c r="D89" s="24">
        <v>-1271</v>
      </c>
      <c r="E89" s="28">
        <v>2504</v>
      </c>
      <c r="F89" s="22">
        <f t="shared" si="3"/>
        <v>641</v>
      </c>
      <c r="G89" s="22">
        <f t="shared" si="4"/>
        <v>69</v>
      </c>
      <c r="H89" s="28">
        <f t="shared" si="5"/>
        <v>1165</v>
      </c>
      <c r="I89" s="24">
        <v>-1365</v>
      </c>
      <c r="J89" s="28">
        <v>2541</v>
      </c>
      <c r="K89" s="22">
        <f t="shared" si="6"/>
        <v>725</v>
      </c>
      <c r="L89" s="22">
        <f t="shared" si="7"/>
        <v>69</v>
      </c>
      <c r="M89" s="28">
        <f t="shared" si="8"/>
        <v>977</v>
      </c>
      <c r="N89" s="24">
        <v>-1248</v>
      </c>
      <c r="O89" s="28">
        <v>2636</v>
      </c>
      <c r="P89" s="22">
        <f t="shared" si="9"/>
        <v>558</v>
      </c>
      <c r="Q89" s="36"/>
      <c r="R89" s="30"/>
    </row>
    <row r="90" spans="1:18" ht="15.75" customHeight="1" x14ac:dyDescent="0.2">
      <c r="A90" s="37">
        <v>45789</v>
      </c>
      <c r="B90" s="22">
        <f t="shared" si="1"/>
        <v>70</v>
      </c>
      <c r="C90" s="28">
        <f t="shared" si="2"/>
        <v>1218</v>
      </c>
      <c r="D90" s="24">
        <v>-1275</v>
      </c>
      <c r="E90" s="28">
        <v>2504</v>
      </c>
      <c r="F90" s="22">
        <f t="shared" si="3"/>
        <v>645</v>
      </c>
      <c r="G90" s="22">
        <f t="shared" si="4"/>
        <v>70</v>
      </c>
      <c r="H90" s="28">
        <f t="shared" si="5"/>
        <v>1161</v>
      </c>
      <c r="I90" s="24">
        <v>-1369</v>
      </c>
      <c r="J90" s="28">
        <v>2541</v>
      </c>
      <c r="K90" s="22">
        <f t="shared" si="6"/>
        <v>729</v>
      </c>
      <c r="L90" s="22">
        <f t="shared" si="7"/>
        <v>70</v>
      </c>
      <c r="M90" s="28">
        <f t="shared" si="8"/>
        <v>973</v>
      </c>
      <c r="N90" s="24">
        <v>-1252</v>
      </c>
      <c r="O90" s="28">
        <v>2636</v>
      </c>
      <c r="P90" s="22">
        <f t="shared" si="9"/>
        <v>562</v>
      </c>
      <c r="Q90" s="36"/>
      <c r="R90" s="30"/>
    </row>
    <row r="91" spans="1:18" ht="15.75" customHeight="1" x14ac:dyDescent="0.2">
      <c r="A91" s="37">
        <v>45790</v>
      </c>
      <c r="B91" s="22">
        <f t="shared" si="1"/>
        <v>71</v>
      </c>
      <c r="C91" s="28">
        <f t="shared" si="2"/>
        <v>1214</v>
      </c>
      <c r="D91" s="24">
        <v>-1279</v>
      </c>
      <c r="E91" s="28">
        <v>2504</v>
      </c>
      <c r="F91" s="22">
        <f t="shared" si="3"/>
        <v>649</v>
      </c>
      <c r="G91" s="22">
        <f t="shared" si="4"/>
        <v>71</v>
      </c>
      <c r="H91" s="28">
        <f t="shared" si="5"/>
        <v>1156</v>
      </c>
      <c r="I91" s="24">
        <v>-1374</v>
      </c>
      <c r="J91" s="28">
        <v>2541</v>
      </c>
      <c r="K91" s="22">
        <f t="shared" si="6"/>
        <v>734</v>
      </c>
      <c r="L91" s="22">
        <f t="shared" si="7"/>
        <v>71</v>
      </c>
      <c r="M91" s="28">
        <f t="shared" si="8"/>
        <v>970</v>
      </c>
      <c r="N91" s="24">
        <v>-1255</v>
      </c>
      <c r="O91" s="28">
        <v>2636</v>
      </c>
      <c r="P91" s="22">
        <f t="shared" si="9"/>
        <v>565</v>
      </c>
      <c r="Q91" s="36"/>
      <c r="R91" s="30"/>
    </row>
    <row r="92" spans="1:18" ht="15" customHeight="1" x14ac:dyDescent="0.2">
      <c r="A92" s="37">
        <v>45791</v>
      </c>
      <c r="B92" s="22">
        <f t="shared" si="1"/>
        <v>72</v>
      </c>
      <c r="C92" s="28">
        <f t="shared" si="2"/>
        <v>1210</v>
      </c>
      <c r="D92" s="24">
        <v>-1283</v>
      </c>
      <c r="E92" s="28">
        <v>2504</v>
      </c>
      <c r="F92" s="22">
        <f t="shared" si="3"/>
        <v>653</v>
      </c>
      <c r="G92" s="22">
        <f t="shared" si="4"/>
        <v>72</v>
      </c>
      <c r="H92" s="28">
        <f t="shared" si="5"/>
        <v>1150</v>
      </c>
      <c r="I92" s="24">
        <v>-1380</v>
      </c>
      <c r="J92" s="28">
        <v>2541</v>
      </c>
      <c r="K92" s="22">
        <f t="shared" si="6"/>
        <v>740</v>
      </c>
      <c r="L92" s="22">
        <f t="shared" si="7"/>
        <v>72</v>
      </c>
      <c r="M92" s="28">
        <f t="shared" si="8"/>
        <v>967</v>
      </c>
      <c r="N92" s="24">
        <v>-1258</v>
      </c>
      <c r="O92" s="28">
        <v>2636</v>
      </c>
      <c r="P92" s="22">
        <f t="shared" si="9"/>
        <v>568</v>
      </c>
      <c r="Q92" s="36"/>
      <c r="R92" s="30"/>
    </row>
    <row r="93" spans="1:18" ht="15" customHeight="1" x14ac:dyDescent="0.2">
      <c r="A93" s="37">
        <v>45792</v>
      </c>
      <c r="B93" s="22">
        <f t="shared" si="1"/>
        <v>73</v>
      </c>
      <c r="C93" s="28">
        <f t="shared" si="2"/>
        <v>1205</v>
      </c>
      <c r="D93" s="24">
        <v>-1288</v>
      </c>
      <c r="E93" s="28">
        <v>2504</v>
      </c>
      <c r="F93" s="22">
        <f t="shared" si="3"/>
        <v>658</v>
      </c>
      <c r="G93" s="22">
        <f t="shared" si="4"/>
        <v>73</v>
      </c>
      <c r="H93" s="28">
        <f t="shared" si="5"/>
        <v>1146</v>
      </c>
      <c r="I93" s="24">
        <v>-1384</v>
      </c>
      <c r="J93" s="28">
        <v>2541</v>
      </c>
      <c r="K93" s="22">
        <f t="shared" si="6"/>
        <v>744</v>
      </c>
      <c r="L93" s="22">
        <f t="shared" si="7"/>
        <v>73</v>
      </c>
      <c r="M93" s="28">
        <f t="shared" si="8"/>
        <v>964</v>
      </c>
      <c r="N93" s="24">
        <v>-1261</v>
      </c>
      <c r="O93" s="28">
        <v>2636</v>
      </c>
      <c r="P93" s="22">
        <f t="shared" si="9"/>
        <v>571</v>
      </c>
      <c r="Q93" s="36"/>
      <c r="R93" s="30"/>
    </row>
    <row r="94" spans="1:18" ht="15.75" customHeight="1" x14ac:dyDescent="0.2">
      <c r="A94" s="37">
        <v>45793</v>
      </c>
      <c r="B94" s="22">
        <f t="shared" si="1"/>
        <v>74</v>
      </c>
      <c r="C94" s="28">
        <f t="shared" si="2"/>
        <v>1200</v>
      </c>
      <c r="D94" s="24">
        <v>-1293</v>
      </c>
      <c r="E94" s="28">
        <v>2504</v>
      </c>
      <c r="F94" s="22">
        <f t="shared" si="3"/>
        <v>663</v>
      </c>
      <c r="G94" s="22">
        <f t="shared" si="4"/>
        <v>74</v>
      </c>
      <c r="H94" s="28">
        <f t="shared" si="5"/>
        <v>1140</v>
      </c>
      <c r="I94" s="24">
        <v>-1390</v>
      </c>
      <c r="J94" s="28">
        <v>2541</v>
      </c>
      <c r="K94" s="22">
        <f t="shared" si="6"/>
        <v>750</v>
      </c>
      <c r="L94" s="22">
        <f t="shared" si="7"/>
        <v>74</v>
      </c>
      <c r="M94" s="28">
        <f t="shared" si="8"/>
        <v>961</v>
      </c>
      <c r="N94" s="24">
        <v>-1264</v>
      </c>
      <c r="O94" s="28">
        <v>2636</v>
      </c>
      <c r="P94" s="22">
        <f t="shared" si="9"/>
        <v>574</v>
      </c>
      <c r="Q94" s="36"/>
      <c r="R94" s="30"/>
    </row>
    <row r="95" spans="1:18" ht="15.75" customHeight="1" x14ac:dyDescent="0.2">
      <c r="A95" s="37">
        <v>45794</v>
      </c>
      <c r="B95" s="22">
        <f t="shared" si="1"/>
        <v>75</v>
      </c>
      <c r="C95" s="28">
        <f t="shared" si="2"/>
        <v>1195</v>
      </c>
      <c r="D95" s="24">
        <v>-1298</v>
      </c>
      <c r="E95" s="28">
        <v>2504</v>
      </c>
      <c r="F95" s="22">
        <f t="shared" si="3"/>
        <v>668</v>
      </c>
      <c r="G95" s="22">
        <f t="shared" si="4"/>
        <v>75</v>
      </c>
      <c r="H95" s="28">
        <f t="shared" si="5"/>
        <v>1135</v>
      </c>
      <c r="I95" s="24">
        <v>-1395</v>
      </c>
      <c r="J95" s="28">
        <v>2541</v>
      </c>
      <c r="K95" s="22">
        <f t="shared" si="6"/>
        <v>755</v>
      </c>
      <c r="L95" s="22">
        <f t="shared" si="7"/>
        <v>75</v>
      </c>
      <c r="M95" s="28">
        <f t="shared" si="8"/>
        <v>958</v>
      </c>
      <c r="N95" s="24">
        <v>-1267</v>
      </c>
      <c r="O95" s="28">
        <v>2636</v>
      </c>
      <c r="P95" s="22">
        <f t="shared" si="9"/>
        <v>577</v>
      </c>
      <c r="Q95" s="36"/>
      <c r="R95" s="30"/>
    </row>
    <row r="96" spans="1:18" ht="15.75" customHeight="1" x14ac:dyDescent="0.2">
      <c r="A96" s="37">
        <v>45795</v>
      </c>
      <c r="B96" s="22">
        <f t="shared" si="1"/>
        <v>76</v>
      </c>
      <c r="C96" s="28">
        <f t="shared" si="2"/>
        <v>1190</v>
      </c>
      <c r="D96" s="24">
        <v>-1303</v>
      </c>
      <c r="E96" s="28">
        <v>2504</v>
      </c>
      <c r="F96" s="22">
        <f t="shared" si="3"/>
        <v>673</v>
      </c>
      <c r="G96" s="22">
        <f t="shared" si="4"/>
        <v>76</v>
      </c>
      <c r="H96" s="28">
        <f t="shared" si="5"/>
        <v>1131</v>
      </c>
      <c r="I96" s="24">
        <v>-1399</v>
      </c>
      <c r="J96" s="28">
        <v>2541</v>
      </c>
      <c r="K96" s="22">
        <f t="shared" si="6"/>
        <v>759</v>
      </c>
      <c r="L96" s="22">
        <f t="shared" si="7"/>
        <v>76</v>
      </c>
      <c r="M96" s="28">
        <f t="shared" si="8"/>
        <v>955</v>
      </c>
      <c r="N96" s="24">
        <v>-1270</v>
      </c>
      <c r="O96" s="28">
        <v>2636</v>
      </c>
      <c r="P96" s="22">
        <f t="shared" si="9"/>
        <v>580</v>
      </c>
      <c r="Q96" s="36"/>
      <c r="R96" s="30"/>
    </row>
    <row r="97" spans="1:18" ht="15.75" customHeight="1" x14ac:dyDescent="0.2">
      <c r="A97" s="37">
        <v>45796</v>
      </c>
      <c r="B97" s="22">
        <f t="shared" si="1"/>
        <v>77</v>
      </c>
      <c r="C97" s="28">
        <f t="shared" si="2"/>
        <v>1185</v>
      </c>
      <c r="D97" s="24">
        <v>-1308</v>
      </c>
      <c r="E97" s="28">
        <v>2504</v>
      </c>
      <c r="F97" s="22">
        <f t="shared" si="3"/>
        <v>678</v>
      </c>
      <c r="G97" s="22">
        <f t="shared" si="4"/>
        <v>77</v>
      </c>
      <c r="H97" s="28">
        <f t="shared" si="5"/>
        <v>1127</v>
      </c>
      <c r="I97" s="24">
        <v>-1403</v>
      </c>
      <c r="J97" s="28">
        <v>2541</v>
      </c>
      <c r="K97" s="22">
        <f t="shared" si="6"/>
        <v>763</v>
      </c>
      <c r="L97" s="22">
        <f t="shared" si="7"/>
        <v>77</v>
      </c>
      <c r="M97" s="28">
        <f t="shared" si="8"/>
        <v>952</v>
      </c>
      <c r="N97" s="24">
        <v>-1273</v>
      </c>
      <c r="O97" s="28">
        <v>2636</v>
      </c>
      <c r="P97" s="22">
        <f t="shared" si="9"/>
        <v>583</v>
      </c>
      <c r="Q97" s="36"/>
      <c r="R97" s="30"/>
    </row>
    <row r="98" spans="1:18" ht="15.75" customHeight="1" x14ac:dyDescent="0.2">
      <c r="A98" s="37">
        <v>45797</v>
      </c>
      <c r="B98" s="22">
        <f t="shared" si="1"/>
        <v>78</v>
      </c>
      <c r="C98" s="28">
        <f t="shared" si="2"/>
        <v>1180</v>
      </c>
      <c r="D98" s="24">
        <v>-1313</v>
      </c>
      <c r="E98" s="28">
        <v>2504</v>
      </c>
      <c r="F98" s="22">
        <f t="shared" si="3"/>
        <v>683</v>
      </c>
      <c r="G98" s="22">
        <f t="shared" si="4"/>
        <v>78</v>
      </c>
      <c r="H98" s="28">
        <f t="shared" si="5"/>
        <v>1123</v>
      </c>
      <c r="I98" s="24">
        <v>-1407</v>
      </c>
      <c r="J98" s="28">
        <v>2541</v>
      </c>
      <c r="K98" s="22">
        <f t="shared" si="6"/>
        <v>767</v>
      </c>
      <c r="L98" s="22">
        <f t="shared" si="7"/>
        <v>78</v>
      </c>
      <c r="M98" s="28">
        <f t="shared" si="8"/>
        <v>949</v>
      </c>
      <c r="N98" s="24">
        <v>-1276</v>
      </c>
      <c r="O98" s="28">
        <v>2636</v>
      </c>
      <c r="P98" s="22">
        <f t="shared" si="9"/>
        <v>586</v>
      </c>
      <c r="Q98" s="36"/>
      <c r="R98" s="30"/>
    </row>
    <row r="99" spans="1:18" ht="15.75" customHeight="1" x14ac:dyDescent="0.2">
      <c r="A99" s="37">
        <v>45798</v>
      </c>
      <c r="B99" s="22">
        <f t="shared" si="1"/>
        <v>79</v>
      </c>
      <c r="C99" s="28">
        <f t="shared" si="2"/>
        <v>1175</v>
      </c>
      <c r="D99" s="24">
        <v>-1318</v>
      </c>
      <c r="E99" s="28">
        <v>2504</v>
      </c>
      <c r="F99" s="22">
        <f t="shared" si="3"/>
        <v>688</v>
      </c>
      <c r="G99" s="22">
        <f t="shared" si="4"/>
        <v>79</v>
      </c>
      <c r="H99" s="28">
        <f t="shared" si="5"/>
        <v>1119</v>
      </c>
      <c r="I99" s="24">
        <v>-1411</v>
      </c>
      <c r="J99" s="28">
        <v>2541</v>
      </c>
      <c r="K99" s="22">
        <f t="shared" si="6"/>
        <v>771</v>
      </c>
      <c r="L99" s="22">
        <f t="shared" si="7"/>
        <v>79</v>
      </c>
      <c r="M99" s="28">
        <f t="shared" si="8"/>
        <v>946</v>
      </c>
      <c r="N99" s="24">
        <v>-1279</v>
      </c>
      <c r="O99" s="28">
        <v>2636</v>
      </c>
      <c r="P99" s="22">
        <f t="shared" si="9"/>
        <v>589</v>
      </c>
      <c r="Q99" s="36"/>
      <c r="R99" s="30"/>
    </row>
    <row r="100" spans="1:18" ht="15.75" customHeight="1" x14ac:dyDescent="0.2">
      <c r="A100" s="37">
        <v>45799</v>
      </c>
      <c r="B100" s="22">
        <f t="shared" si="1"/>
        <v>80</v>
      </c>
      <c r="C100" s="28">
        <f t="shared" si="2"/>
        <v>1170</v>
      </c>
      <c r="D100" s="24">
        <v>-1323</v>
      </c>
      <c r="E100" s="28">
        <v>2504</v>
      </c>
      <c r="F100" s="22">
        <f t="shared" si="3"/>
        <v>693</v>
      </c>
      <c r="G100" s="22">
        <f t="shared" si="4"/>
        <v>80</v>
      </c>
      <c r="H100" s="28">
        <f t="shared" si="5"/>
        <v>1115</v>
      </c>
      <c r="I100" s="24">
        <v>-1415</v>
      </c>
      <c r="J100" s="28">
        <v>2541</v>
      </c>
      <c r="K100" s="22">
        <f t="shared" si="6"/>
        <v>775</v>
      </c>
      <c r="L100" s="22">
        <f t="shared" si="7"/>
        <v>80</v>
      </c>
      <c r="M100" s="28">
        <f t="shared" si="8"/>
        <v>943</v>
      </c>
      <c r="N100" s="24">
        <v>-1282</v>
      </c>
      <c r="O100" s="28">
        <v>2636</v>
      </c>
      <c r="P100" s="22">
        <f t="shared" si="9"/>
        <v>592</v>
      </c>
      <c r="Q100" s="36"/>
      <c r="R100" s="30"/>
    </row>
    <row r="101" spans="1:18" ht="15.75" customHeight="1" x14ac:dyDescent="0.2">
      <c r="A101" s="37">
        <v>45800</v>
      </c>
      <c r="B101" s="22">
        <f t="shared" si="1"/>
        <v>81</v>
      </c>
      <c r="C101" s="28">
        <f t="shared" si="2"/>
        <v>1165</v>
      </c>
      <c r="D101" s="24">
        <v>-1328</v>
      </c>
      <c r="E101" s="28">
        <v>2504</v>
      </c>
      <c r="F101" s="22">
        <f t="shared" si="3"/>
        <v>698</v>
      </c>
      <c r="G101" s="22">
        <f t="shared" si="4"/>
        <v>81</v>
      </c>
      <c r="H101" s="28">
        <f t="shared" si="5"/>
        <v>1111</v>
      </c>
      <c r="I101" s="24">
        <v>-1419</v>
      </c>
      <c r="J101" s="28">
        <v>2541</v>
      </c>
      <c r="K101" s="22">
        <f t="shared" si="6"/>
        <v>779</v>
      </c>
      <c r="L101" s="22">
        <f t="shared" si="7"/>
        <v>81</v>
      </c>
      <c r="M101" s="28">
        <f t="shared" si="8"/>
        <v>940</v>
      </c>
      <c r="N101" s="24">
        <v>-1285</v>
      </c>
      <c r="O101" s="28">
        <v>2636</v>
      </c>
      <c r="P101" s="22">
        <f t="shared" si="9"/>
        <v>595</v>
      </c>
      <c r="Q101" s="36"/>
      <c r="R101" s="30"/>
    </row>
    <row r="102" spans="1:18" ht="15.75" customHeight="1" x14ac:dyDescent="0.2">
      <c r="A102" s="37">
        <v>45801</v>
      </c>
      <c r="B102" s="22">
        <f t="shared" si="1"/>
        <v>82</v>
      </c>
      <c r="C102" s="28">
        <f t="shared" si="2"/>
        <v>1164</v>
      </c>
      <c r="D102" s="24">
        <v>-1329</v>
      </c>
      <c r="E102" s="28">
        <v>2504</v>
      </c>
      <c r="F102" s="22">
        <f t="shared" si="3"/>
        <v>699</v>
      </c>
      <c r="G102" s="22">
        <f t="shared" si="4"/>
        <v>82</v>
      </c>
      <c r="H102" s="28">
        <f t="shared" si="5"/>
        <v>1107</v>
      </c>
      <c r="I102" s="24">
        <v>-1423</v>
      </c>
      <c r="J102" s="28">
        <v>2541</v>
      </c>
      <c r="K102" s="22">
        <f t="shared" si="6"/>
        <v>783</v>
      </c>
      <c r="L102" s="22">
        <f t="shared" si="7"/>
        <v>82</v>
      </c>
      <c r="M102" s="28">
        <f t="shared" si="8"/>
        <v>937</v>
      </c>
      <c r="N102" s="24">
        <v>-1288</v>
      </c>
      <c r="O102" s="28">
        <v>2636</v>
      </c>
      <c r="P102" s="22">
        <f t="shared" si="9"/>
        <v>598</v>
      </c>
      <c r="Q102" s="36"/>
      <c r="R102" s="30"/>
    </row>
    <row r="103" spans="1:18" ht="15.75" customHeight="1" x14ac:dyDescent="0.2">
      <c r="A103" s="37">
        <v>45802</v>
      </c>
      <c r="B103" s="22">
        <f t="shared" si="1"/>
        <v>83</v>
      </c>
      <c r="C103" s="28">
        <f t="shared" si="2"/>
        <v>1163</v>
      </c>
      <c r="D103" s="24">
        <v>-1330</v>
      </c>
      <c r="E103" s="28">
        <v>2504</v>
      </c>
      <c r="F103" s="22">
        <f t="shared" si="3"/>
        <v>700</v>
      </c>
      <c r="G103" s="22">
        <f t="shared" si="4"/>
        <v>83</v>
      </c>
      <c r="H103" s="28">
        <f t="shared" si="5"/>
        <v>1103</v>
      </c>
      <c r="I103" s="24">
        <v>-1427</v>
      </c>
      <c r="J103" s="28">
        <v>2541</v>
      </c>
      <c r="K103" s="22">
        <f t="shared" si="6"/>
        <v>787</v>
      </c>
      <c r="L103" s="22">
        <f t="shared" si="7"/>
        <v>83</v>
      </c>
      <c r="M103" s="28">
        <f t="shared" si="8"/>
        <v>934</v>
      </c>
      <c r="N103" s="24">
        <v>-1291</v>
      </c>
      <c r="O103" s="28">
        <v>2636</v>
      </c>
      <c r="P103" s="22">
        <f t="shared" si="9"/>
        <v>601</v>
      </c>
      <c r="Q103" s="36"/>
      <c r="R103" s="30"/>
    </row>
    <row r="104" spans="1:18" ht="15.75" customHeight="1" x14ac:dyDescent="0.2">
      <c r="A104" s="37">
        <v>45803</v>
      </c>
      <c r="B104" s="22">
        <f t="shared" si="1"/>
        <v>84</v>
      </c>
      <c r="C104" s="28">
        <f t="shared" si="2"/>
        <v>1161</v>
      </c>
      <c r="D104" s="24">
        <v>-1332</v>
      </c>
      <c r="E104" s="28">
        <v>2504</v>
      </c>
      <c r="F104" s="22">
        <f t="shared" si="3"/>
        <v>702</v>
      </c>
      <c r="G104" s="22">
        <f t="shared" si="4"/>
        <v>84</v>
      </c>
      <c r="H104" s="28">
        <f t="shared" si="5"/>
        <v>1099</v>
      </c>
      <c r="I104" s="24">
        <v>-1431</v>
      </c>
      <c r="J104" s="28">
        <v>2541</v>
      </c>
      <c r="K104" s="22">
        <f t="shared" si="6"/>
        <v>791</v>
      </c>
      <c r="L104" s="22">
        <f t="shared" si="7"/>
        <v>84</v>
      </c>
      <c r="M104" s="28">
        <f t="shared" si="8"/>
        <v>931</v>
      </c>
      <c r="N104" s="24">
        <v>-1294</v>
      </c>
      <c r="O104" s="28">
        <v>2636</v>
      </c>
      <c r="P104" s="22">
        <f t="shared" si="9"/>
        <v>604</v>
      </c>
      <c r="Q104" s="36"/>
      <c r="R104" s="30"/>
    </row>
    <row r="105" spans="1:18" ht="15.75" customHeight="1" x14ac:dyDescent="0.2">
      <c r="A105" s="37">
        <v>45804</v>
      </c>
      <c r="B105" s="22">
        <f t="shared" si="1"/>
        <v>85</v>
      </c>
      <c r="C105" s="28">
        <f t="shared" si="2"/>
        <v>1158</v>
      </c>
      <c r="D105" s="24">
        <v>-1335</v>
      </c>
      <c r="E105" s="28">
        <v>2504</v>
      </c>
      <c r="F105" s="22">
        <f t="shared" si="3"/>
        <v>705</v>
      </c>
      <c r="G105" s="22">
        <f t="shared" si="4"/>
        <v>85</v>
      </c>
      <c r="H105" s="28">
        <f t="shared" si="5"/>
        <v>1095</v>
      </c>
      <c r="I105" s="24">
        <v>-1435</v>
      </c>
      <c r="J105" s="28">
        <v>2541</v>
      </c>
      <c r="K105" s="22">
        <f t="shared" si="6"/>
        <v>795</v>
      </c>
      <c r="L105" s="22">
        <f t="shared" si="7"/>
        <v>85</v>
      </c>
      <c r="M105" s="28">
        <f t="shared" si="8"/>
        <v>928</v>
      </c>
      <c r="N105" s="24">
        <v>-1297</v>
      </c>
      <c r="O105" s="28">
        <v>2636</v>
      </c>
      <c r="P105" s="22">
        <f t="shared" si="9"/>
        <v>607</v>
      </c>
      <c r="Q105" s="36"/>
      <c r="R105" s="30"/>
    </row>
    <row r="106" spans="1:18" ht="15.75" customHeight="1" x14ac:dyDescent="0.2">
      <c r="A106" s="37">
        <v>45805</v>
      </c>
      <c r="B106" s="22">
        <f t="shared" si="1"/>
        <v>86</v>
      </c>
      <c r="C106" s="28">
        <f t="shared" si="2"/>
        <v>1158</v>
      </c>
      <c r="D106" s="24">
        <v>-1335</v>
      </c>
      <c r="E106" s="28">
        <v>2504</v>
      </c>
      <c r="F106" s="22">
        <f t="shared" si="3"/>
        <v>705</v>
      </c>
      <c r="G106" s="22">
        <f t="shared" si="4"/>
        <v>86</v>
      </c>
      <c r="H106" s="28">
        <f t="shared" si="5"/>
        <v>1095</v>
      </c>
      <c r="I106" s="24">
        <v>-1435</v>
      </c>
      <c r="J106" s="28">
        <v>2541</v>
      </c>
      <c r="K106" s="22">
        <f t="shared" si="6"/>
        <v>795</v>
      </c>
      <c r="L106" s="22">
        <f t="shared" si="7"/>
        <v>86</v>
      </c>
      <c r="M106" s="28">
        <f t="shared" si="8"/>
        <v>928</v>
      </c>
      <c r="N106" s="24">
        <v>-1297</v>
      </c>
      <c r="O106" s="28">
        <v>2636</v>
      </c>
      <c r="P106" s="22">
        <f t="shared" si="9"/>
        <v>607</v>
      </c>
      <c r="Q106" s="36"/>
      <c r="R106" s="30"/>
    </row>
    <row r="107" spans="1:18" ht="15.75" customHeight="1" x14ac:dyDescent="0.2">
      <c r="A107" s="37">
        <v>45806</v>
      </c>
      <c r="B107" s="22">
        <f t="shared" si="1"/>
        <v>87</v>
      </c>
      <c r="C107" s="28">
        <f t="shared" si="2"/>
        <v>1158</v>
      </c>
      <c r="D107" s="24">
        <v>-1335</v>
      </c>
      <c r="E107" s="28">
        <v>2504</v>
      </c>
      <c r="F107" s="22">
        <f t="shared" si="3"/>
        <v>705</v>
      </c>
      <c r="G107" s="22">
        <f t="shared" si="4"/>
        <v>87</v>
      </c>
      <c r="H107" s="28">
        <f t="shared" si="5"/>
        <v>1095</v>
      </c>
      <c r="I107" s="24">
        <v>-1435</v>
      </c>
      <c r="J107" s="28">
        <v>2541</v>
      </c>
      <c r="K107" s="22">
        <f t="shared" si="6"/>
        <v>795</v>
      </c>
      <c r="L107" s="22">
        <f t="shared" si="7"/>
        <v>87</v>
      </c>
      <c r="M107" s="28">
        <f t="shared" si="8"/>
        <v>928</v>
      </c>
      <c r="N107" s="24">
        <v>-1297</v>
      </c>
      <c r="O107" s="28">
        <v>2636</v>
      </c>
      <c r="P107" s="22">
        <f t="shared" si="9"/>
        <v>607</v>
      </c>
      <c r="Q107" s="36"/>
      <c r="R107" s="30"/>
    </row>
    <row r="108" spans="1:18" ht="15.75" customHeight="1" x14ac:dyDescent="0.2">
      <c r="A108" s="37">
        <v>45807</v>
      </c>
      <c r="B108" s="22">
        <f t="shared" si="1"/>
        <v>88</v>
      </c>
      <c r="C108" s="28">
        <f t="shared" si="2"/>
        <v>1158</v>
      </c>
      <c r="D108" s="24">
        <v>-1335</v>
      </c>
      <c r="E108" s="28">
        <v>2504</v>
      </c>
      <c r="F108" s="22">
        <f t="shared" si="3"/>
        <v>705</v>
      </c>
      <c r="G108" s="22">
        <f t="shared" si="4"/>
        <v>88</v>
      </c>
      <c r="H108" s="28">
        <f t="shared" si="5"/>
        <v>1095</v>
      </c>
      <c r="I108" s="24">
        <v>-1435</v>
      </c>
      <c r="J108" s="28">
        <v>2541</v>
      </c>
      <c r="K108" s="22">
        <f t="shared" si="6"/>
        <v>795</v>
      </c>
      <c r="L108" s="22">
        <f t="shared" si="7"/>
        <v>88</v>
      </c>
      <c r="M108" s="28">
        <f t="shared" si="8"/>
        <v>928</v>
      </c>
      <c r="N108" s="24">
        <v>-1297</v>
      </c>
      <c r="O108" s="28">
        <v>2636</v>
      </c>
      <c r="P108" s="22">
        <f t="shared" si="9"/>
        <v>607</v>
      </c>
      <c r="Q108" s="36"/>
      <c r="R108" s="30"/>
    </row>
    <row r="109" spans="1:18" ht="15.75" customHeight="1" x14ac:dyDescent="0.2">
      <c r="A109" s="37">
        <v>45808</v>
      </c>
      <c r="B109" s="22">
        <f t="shared" si="1"/>
        <v>89</v>
      </c>
      <c r="C109" s="28">
        <f t="shared" si="2"/>
        <v>1158</v>
      </c>
      <c r="D109" s="24">
        <v>-1335</v>
      </c>
      <c r="E109" s="28">
        <v>2504</v>
      </c>
      <c r="F109" s="22">
        <f t="shared" si="3"/>
        <v>705</v>
      </c>
      <c r="G109" s="22">
        <f t="shared" si="4"/>
        <v>89</v>
      </c>
      <c r="H109" s="28">
        <f t="shared" si="5"/>
        <v>1095</v>
      </c>
      <c r="I109" s="24">
        <v>-1435</v>
      </c>
      <c r="J109" s="28">
        <v>2541</v>
      </c>
      <c r="K109" s="22">
        <f t="shared" si="6"/>
        <v>795</v>
      </c>
      <c r="L109" s="22">
        <f t="shared" si="7"/>
        <v>89</v>
      </c>
      <c r="M109" s="28">
        <f t="shared" si="8"/>
        <v>928</v>
      </c>
      <c r="N109" s="24">
        <v>-1297</v>
      </c>
      <c r="O109" s="28">
        <v>2636</v>
      </c>
      <c r="P109" s="22">
        <f t="shared" si="9"/>
        <v>607</v>
      </c>
      <c r="Q109" s="36"/>
      <c r="R109" s="30"/>
    </row>
    <row r="110" spans="1:18" ht="15.75" customHeight="1" x14ac:dyDescent="0.2">
      <c r="A110" s="37">
        <v>45809</v>
      </c>
      <c r="B110" s="22">
        <f t="shared" si="1"/>
        <v>90</v>
      </c>
      <c r="C110" s="28">
        <f t="shared" si="2"/>
        <v>1158</v>
      </c>
      <c r="D110" s="24">
        <v>-1335</v>
      </c>
      <c r="E110" s="28">
        <v>2504</v>
      </c>
      <c r="F110" s="22">
        <f t="shared" si="3"/>
        <v>705</v>
      </c>
      <c r="G110" s="22">
        <f t="shared" si="4"/>
        <v>90</v>
      </c>
      <c r="H110" s="28">
        <f t="shared" si="5"/>
        <v>1095</v>
      </c>
      <c r="I110" s="24">
        <v>-1435</v>
      </c>
      <c r="J110" s="28">
        <v>2541</v>
      </c>
      <c r="K110" s="22">
        <f t="shared" si="6"/>
        <v>795</v>
      </c>
      <c r="L110" s="22">
        <f t="shared" si="7"/>
        <v>90</v>
      </c>
      <c r="M110" s="28">
        <f t="shared" si="8"/>
        <v>928</v>
      </c>
      <c r="N110" s="24">
        <v>-1297</v>
      </c>
      <c r="O110" s="28">
        <v>2636</v>
      </c>
      <c r="P110" s="22">
        <f t="shared" si="9"/>
        <v>607</v>
      </c>
      <c r="Q110" s="36"/>
      <c r="R110" s="30"/>
    </row>
    <row r="111" spans="1:18" ht="15.75" customHeight="1" x14ac:dyDescent="0.2">
      <c r="A111" s="37">
        <v>45810</v>
      </c>
      <c r="B111" s="22">
        <f t="shared" si="1"/>
        <v>91</v>
      </c>
      <c r="C111" s="28">
        <f t="shared" si="2"/>
        <v>1158</v>
      </c>
      <c r="D111" s="24">
        <v>-1335</v>
      </c>
      <c r="E111" s="28">
        <v>2504</v>
      </c>
      <c r="F111" s="22">
        <f t="shared" si="3"/>
        <v>705</v>
      </c>
      <c r="G111" s="22">
        <f t="shared" si="4"/>
        <v>91</v>
      </c>
      <c r="H111" s="28">
        <f t="shared" si="5"/>
        <v>1095</v>
      </c>
      <c r="I111" s="24">
        <v>-1435</v>
      </c>
      <c r="J111" s="28">
        <v>2541</v>
      </c>
      <c r="K111" s="22">
        <f t="shared" si="6"/>
        <v>795</v>
      </c>
      <c r="L111" s="22">
        <f t="shared" si="7"/>
        <v>91</v>
      </c>
      <c r="M111" s="28">
        <f t="shared" si="8"/>
        <v>928</v>
      </c>
      <c r="N111" s="24">
        <v>-1297</v>
      </c>
      <c r="O111" s="28">
        <v>2636</v>
      </c>
      <c r="P111" s="22">
        <f t="shared" si="9"/>
        <v>607</v>
      </c>
      <c r="Q111" s="36"/>
      <c r="R111" s="30"/>
    </row>
    <row r="112" spans="1:18" ht="15.75" customHeight="1" x14ac:dyDescent="0.2">
      <c r="A112" s="37">
        <v>45811</v>
      </c>
      <c r="B112" s="22">
        <f t="shared" si="1"/>
        <v>92</v>
      </c>
      <c r="C112" s="28">
        <f t="shared" si="2"/>
        <v>1158</v>
      </c>
      <c r="D112" s="24">
        <v>-1335</v>
      </c>
      <c r="E112" s="28">
        <v>2504</v>
      </c>
      <c r="F112" s="22">
        <f t="shared" si="3"/>
        <v>705</v>
      </c>
      <c r="G112" s="22">
        <f t="shared" si="4"/>
        <v>92</v>
      </c>
      <c r="H112" s="28">
        <f t="shared" si="5"/>
        <v>1095</v>
      </c>
      <c r="I112" s="24">
        <v>-1435</v>
      </c>
      <c r="J112" s="28">
        <v>2541</v>
      </c>
      <c r="K112" s="22">
        <f t="shared" si="6"/>
        <v>795</v>
      </c>
      <c r="L112" s="22">
        <f t="shared" si="7"/>
        <v>92</v>
      </c>
      <c r="M112" s="28">
        <f t="shared" si="8"/>
        <v>928</v>
      </c>
      <c r="N112" s="24">
        <v>-1297</v>
      </c>
      <c r="O112" s="28">
        <v>2636</v>
      </c>
      <c r="P112" s="22">
        <f t="shared" si="9"/>
        <v>607</v>
      </c>
      <c r="Q112" s="36"/>
      <c r="R112" s="30"/>
    </row>
    <row r="113" spans="1:18" ht="15.75" customHeight="1" x14ac:dyDescent="0.2">
      <c r="A113" s="37">
        <v>45812</v>
      </c>
      <c r="B113" s="22">
        <f t="shared" si="1"/>
        <v>93</v>
      </c>
      <c r="C113" s="28">
        <f t="shared" si="2"/>
        <v>1158</v>
      </c>
      <c r="D113" s="24">
        <v>-1335</v>
      </c>
      <c r="E113" s="28">
        <v>2504</v>
      </c>
      <c r="F113" s="22">
        <f t="shared" si="3"/>
        <v>705</v>
      </c>
      <c r="G113" s="22">
        <f t="shared" si="4"/>
        <v>93</v>
      </c>
      <c r="H113" s="28">
        <f t="shared" si="5"/>
        <v>1095</v>
      </c>
      <c r="I113" s="24">
        <v>-1435</v>
      </c>
      <c r="J113" s="28">
        <v>2541</v>
      </c>
      <c r="K113" s="22">
        <f t="shared" si="6"/>
        <v>795</v>
      </c>
      <c r="L113" s="22">
        <f t="shared" si="7"/>
        <v>93</v>
      </c>
      <c r="M113" s="28">
        <f t="shared" si="8"/>
        <v>928</v>
      </c>
      <c r="N113" s="24">
        <v>-1297</v>
      </c>
      <c r="O113" s="28">
        <v>2636</v>
      </c>
      <c r="P113" s="22">
        <f t="shared" si="9"/>
        <v>607</v>
      </c>
      <c r="Q113" s="36"/>
      <c r="R113" s="30"/>
    </row>
    <row r="114" spans="1:18" ht="15.75" customHeight="1" x14ac:dyDescent="0.2">
      <c r="A114" s="37">
        <v>45813</v>
      </c>
      <c r="B114" s="22">
        <f t="shared" si="1"/>
        <v>94</v>
      </c>
      <c r="C114" s="28">
        <f t="shared" si="2"/>
        <v>1158</v>
      </c>
      <c r="D114" s="24">
        <v>-1335</v>
      </c>
      <c r="E114" s="28">
        <v>2504</v>
      </c>
      <c r="F114" s="22">
        <f t="shared" si="3"/>
        <v>705</v>
      </c>
      <c r="G114" s="22">
        <f t="shared" si="4"/>
        <v>94</v>
      </c>
      <c r="H114" s="28">
        <f t="shared" si="5"/>
        <v>1095</v>
      </c>
      <c r="I114" s="24">
        <v>-1435</v>
      </c>
      <c r="J114" s="28">
        <v>2541</v>
      </c>
      <c r="K114" s="22">
        <f t="shared" si="6"/>
        <v>795</v>
      </c>
      <c r="L114" s="22">
        <f t="shared" si="7"/>
        <v>94</v>
      </c>
      <c r="M114" s="28">
        <f t="shared" si="8"/>
        <v>928</v>
      </c>
      <c r="N114" s="24">
        <v>-1297</v>
      </c>
      <c r="O114" s="28">
        <v>2636</v>
      </c>
      <c r="P114" s="22">
        <f t="shared" si="9"/>
        <v>607</v>
      </c>
      <c r="Q114" s="36"/>
      <c r="R114" s="30"/>
    </row>
    <row r="115" spans="1:18" ht="15.75" customHeight="1" x14ac:dyDescent="0.2">
      <c r="A115" s="37">
        <v>45814</v>
      </c>
      <c r="B115" s="22">
        <f t="shared" si="1"/>
        <v>95</v>
      </c>
      <c r="C115" s="28">
        <f t="shared" si="2"/>
        <v>1158</v>
      </c>
      <c r="D115" s="24">
        <v>-1335</v>
      </c>
      <c r="E115" s="28">
        <v>2504</v>
      </c>
      <c r="F115" s="22">
        <f t="shared" si="3"/>
        <v>705</v>
      </c>
      <c r="G115" s="22">
        <f t="shared" si="4"/>
        <v>95</v>
      </c>
      <c r="H115" s="28">
        <f t="shared" si="5"/>
        <v>1095</v>
      </c>
      <c r="I115" s="24">
        <v>-1435</v>
      </c>
      <c r="J115" s="28">
        <v>2541</v>
      </c>
      <c r="K115" s="22">
        <f t="shared" si="6"/>
        <v>795</v>
      </c>
      <c r="L115" s="22">
        <f t="shared" si="7"/>
        <v>95</v>
      </c>
      <c r="M115" s="28">
        <f t="shared" si="8"/>
        <v>927</v>
      </c>
      <c r="N115" s="24">
        <v>-1298</v>
      </c>
      <c r="O115" s="28">
        <v>2636</v>
      </c>
      <c r="P115" s="22">
        <f t="shared" si="9"/>
        <v>608</v>
      </c>
      <c r="Q115" s="36"/>
      <c r="R115" s="30"/>
    </row>
    <row r="116" spans="1:18" ht="15.75" customHeight="1" x14ac:dyDescent="0.2">
      <c r="A116" s="37">
        <v>45815</v>
      </c>
      <c r="B116" s="22">
        <f t="shared" si="1"/>
        <v>96</v>
      </c>
      <c r="C116" s="28">
        <f t="shared" si="2"/>
        <v>1156</v>
      </c>
      <c r="D116" s="24">
        <v>-1337</v>
      </c>
      <c r="E116" s="28">
        <v>2504</v>
      </c>
      <c r="F116" s="22">
        <f t="shared" si="3"/>
        <v>707</v>
      </c>
      <c r="G116" s="22">
        <f t="shared" si="4"/>
        <v>96</v>
      </c>
      <c r="H116" s="28">
        <f t="shared" si="5"/>
        <v>1094</v>
      </c>
      <c r="I116" s="24">
        <v>-1436</v>
      </c>
      <c r="J116" s="28">
        <v>2541</v>
      </c>
      <c r="K116" s="22">
        <f t="shared" si="6"/>
        <v>796</v>
      </c>
      <c r="L116" s="22">
        <f t="shared" si="7"/>
        <v>96</v>
      </c>
      <c r="M116" s="28">
        <f t="shared" si="8"/>
        <v>917</v>
      </c>
      <c r="N116" s="24">
        <v>-1308</v>
      </c>
      <c r="O116" s="28">
        <v>2636</v>
      </c>
      <c r="P116" s="22">
        <f t="shared" si="9"/>
        <v>618</v>
      </c>
      <c r="Q116" s="36"/>
      <c r="R116" s="30"/>
    </row>
    <row r="117" spans="1:18" ht="15.75" customHeight="1" x14ac:dyDescent="0.2">
      <c r="A117" s="37">
        <v>45816</v>
      </c>
      <c r="B117" s="22">
        <f t="shared" si="1"/>
        <v>97</v>
      </c>
      <c r="C117" s="28">
        <f t="shared" si="2"/>
        <v>1154</v>
      </c>
      <c r="D117" s="24">
        <v>-1339</v>
      </c>
      <c r="E117" s="28">
        <v>2504</v>
      </c>
      <c r="F117" s="22">
        <f t="shared" si="3"/>
        <v>709</v>
      </c>
      <c r="G117" s="22">
        <f t="shared" si="4"/>
        <v>97</v>
      </c>
      <c r="H117" s="28">
        <f t="shared" si="5"/>
        <v>1092</v>
      </c>
      <c r="I117" s="24">
        <v>-1438</v>
      </c>
      <c r="J117" s="28">
        <v>2541</v>
      </c>
      <c r="K117" s="22">
        <f t="shared" si="6"/>
        <v>798</v>
      </c>
      <c r="L117" s="22">
        <f t="shared" si="7"/>
        <v>97</v>
      </c>
      <c r="M117" s="28">
        <f t="shared" si="8"/>
        <v>912</v>
      </c>
      <c r="N117" s="24">
        <v>-1313</v>
      </c>
      <c r="O117" s="28">
        <v>2636</v>
      </c>
      <c r="P117" s="22">
        <f t="shared" si="9"/>
        <v>623</v>
      </c>
      <c r="Q117" s="36"/>
      <c r="R117" s="30"/>
    </row>
    <row r="118" spans="1:18" ht="15.75" customHeight="1" x14ac:dyDescent="0.2">
      <c r="A118" s="37">
        <v>45817</v>
      </c>
      <c r="B118" s="22">
        <f t="shared" si="1"/>
        <v>98</v>
      </c>
      <c r="C118" s="28">
        <f t="shared" si="2"/>
        <v>1152</v>
      </c>
      <c r="D118" s="24">
        <v>-1341</v>
      </c>
      <c r="E118" s="28">
        <v>2504</v>
      </c>
      <c r="F118" s="22">
        <f t="shared" si="3"/>
        <v>711</v>
      </c>
      <c r="G118" s="22">
        <f t="shared" si="4"/>
        <v>98</v>
      </c>
      <c r="H118" s="28">
        <f t="shared" si="5"/>
        <v>1090</v>
      </c>
      <c r="I118" s="24">
        <v>-1440</v>
      </c>
      <c r="J118" s="28">
        <v>2541</v>
      </c>
      <c r="K118" s="22">
        <f t="shared" si="6"/>
        <v>800</v>
      </c>
      <c r="L118" s="22">
        <f t="shared" si="7"/>
        <v>98</v>
      </c>
      <c r="M118" s="28">
        <f t="shared" si="8"/>
        <v>907</v>
      </c>
      <c r="N118" s="24">
        <v>-1318</v>
      </c>
      <c r="O118" s="28">
        <v>2636</v>
      </c>
      <c r="P118" s="22">
        <f t="shared" si="9"/>
        <v>628</v>
      </c>
      <c r="Q118" s="36"/>
      <c r="R118" s="30"/>
    </row>
    <row r="119" spans="1:18" ht="15.75" customHeight="1" x14ac:dyDescent="0.2">
      <c r="A119" s="37">
        <v>45818</v>
      </c>
      <c r="B119" s="22">
        <f t="shared" si="1"/>
        <v>99</v>
      </c>
      <c r="C119" s="28">
        <f t="shared" si="2"/>
        <v>1150</v>
      </c>
      <c r="D119" s="24">
        <v>-1343</v>
      </c>
      <c r="E119" s="28">
        <v>2504</v>
      </c>
      <c r="F119" s="22">
        <f t="shared" si="3"/>
        <v>713</v>
      </c>
      <c r="G119" s="22">
        <f t="shared" si="4"/>
        <v>99</v>
      </c>
      <c r="H119" s="28">
        <f t="shared" si="5"/>
        <v>1088</v>
      </c>
      <c r="I119" s="24">
        <v>-1442</v>
      </c>
      <c r="J119" s="28">
        <v>2541</v>
      </c>
      <c r="K119" s="22">
        <f t="shared" si="6"/>
        <v>802</v>
      </c>
      <c r="L119" s="22">
        <f t="shared" si="7"/>
        <v>99</v>
      </c>
      <c r="M119" s="28">
        <f t="shared" si="8"/>
        <v>902</v>
      </c>
      <c r="N119" s="24">
        <v>-1323</v>
      </c>
      <c r="O119" s="28">
        <v>2636</v>
      </c>
      <c r="P119" s="22">
        <f t="shared" si="9"/>
        <v>633</v>
      </c>
      <c r="Q119" s="36"/>
      <c r="R119" s="30"/>
    </row>
    <row r="120" spans="1:18" ht="15.75" customHeight="1" x14ac:dyDescent="0.2">
      <c r="A120" s="37">
        <v>45819</v>
      </c>
      <c r="B120" s="22">
        <f t="shared" si="1"/>
        <v>100</v>
      </c>
      <c r="C120" s="28">
        <f t="shared" si="2"/>
        <v>1145</v>
      </c>
      <c r="D120" s="24">
        <v>-1348</v>
      </c>
      <c r="E120" s="28">
        <v>2504</v>
      </c>
      <c r="F120" s="22">
        <f t="shared" si="3"/>
        <v>718</v>
      </c>
      <c r="G120" s="22">
        <f t="shared" si="4"/>
        <v>100</v>
      </c>
      <c r="H120" s="28">
        <f t="shared" si="5"/>
        <v>1088</v>
      </c>
      <c r="I120" s="24">
        <v>-1442</v>
      </c>
      <c r="J120" s="28">
        <v>2541</v>
      </c>
      <c r="K120" s="22">
        <f t="shared" si="6"/>
        <v>802</v>
      </c>
      <c r="L120" s="22">
        <f t="shared" si="7"/>
        <v>100</v>
      </c>
      <c r="M120" s="28">
        <f t="shared" si="8"/>
        <v>897</v>
      </c>
      <c r="N120" s="24">
        <v>-1328</v>
      </c>
      <c r="O120" s="28">
        <v>2636</v>
      </c>
      <c r="P120" s="22">
        <f t="shared" si="9"/>
        <v>638</v>
      </c>
      <c r="Q120" s="36"/>
      <c r="R120" s="30"/>
    </row>
    <row r="121" spans="1:18" ht="15.75" customHeight="1" x14ac:dyDescent="0.2">
      <c r="A121" s="37">
        <v>45820</v>
      </c>
      <c r="B121" s="22">
        <f t="shared" si="1"/>
        <v>101</v>
      </c>
      <c r="C121" s="28">
        <f t="shared" si="2"/>
        <v>1140</v>
      </c>
      <c r="D121" s="24">
        <v>-1353</v>
      </c>
      <c r="E121" s="28">
        <v>2504</v>
      </c>
      <c r="F121" s="22">
        <f t="shared" si="3"/>
        <v>723</v>
      </c>
      <c r="G121" s="22">
        <f t="shared" si="4"/>
        <v>101</v>
      </c>
      <c r="H121" s="28">
        <f t="shared" si="5"/>
        <v>1088</v>
      </c>
      <c r="I121" s="24">
        <v>-1442</v>
      </c>
      <c r="J121" s="28">
        <v>2541</v>
      </c>
      <c r="K121" s="22">
        <f t="shared" si="6"/>
        <v>802</v>
      </c>
      <c r="L121" s="22">
        <f t="shared" si="7"/>
        <v>101</v>
      </c>
      <c r="M121" s="28">
        <f t="shared" si="8"/>
        <v>892</v>
      </c>
      <c r="N121" s="24">
        <v>-1333</v>
      </c>
      <c r="O121" s="28">
        <v>2636</v>
      </c>
      <c r="P121" s="22">
        <f t="shared" si="9"/>
        <v>643</v>
      </c>
      <c r="Q121" s="36"/>
      <c r="R121" s="30"/>
    </row>
    <row r="122" spans="1:18" ht="15.75" customHeight="1" x14ac:dyDescent="0.2">
      <c r="A122" s="37">
        <v>45821</v>
      </c>
      <c r="B122" s="22">
        <f t="shared" si="1"/>
        <v>102</v>
      </c>
      <c r="C122" s="28">
        <f t="shared" si="2"/>
        <v>1135</v>
      </c>
      <c r="D122" s="24">
        <v>-1358</v>
      </c>
      <c r="E122" s="28">
        <v>2504</v>
      </c>
      <c r="F122" s="22">
        <f t="shared" si="3"/>
        <v>728</v>
      </c>
      <c r="G122" s="22">
        <f t="shared" si="4"/>
        <v>102</v>
      </c>
      <c r="H122" s="28">
        <f t="shared" si="5"/>
        <v>1088</v>
      </c>
      <c r="I122" s="24">
        <v>-1442</v>
      </c>
      <c r="J122" s="28">
        <v>2541</v>
      </c>
      <c r="K122" s="22">
        <f t="shared" si="6"/>
        <v>802</v>
      </c>
      <c r="L122" s="22">
        <f t="shared" si="7"/>
        <v>102</v>
      </c>
      <c r="M122" s="28">
        <f t="shared" si="8"/>
        <v>887</v>
      </c>
      <c r="N122" s="24">
        <v>-1338</v>
      </c>
      <c r="O122" s="28">
        <v>2636</v>
      </c>
      <c r="P122" s="22">
        <f t="shared" si="9"/>
        <v>648</v>
      </c>
      <c r="Q122" s="36"/>
      <c r="R122" s="30"/>
    </row>
    <row r="123" spans="1:18" ht="15.75" customHeight="1" x14ac:dyDescent="0.2">
      <c r="A123" s="37">
        <v>45822</v>
      </c>
      <c r="B123" s="22">
        <f t="shared" si="1"/>
        <v>103</v>
      </c>
      <c r="C123" s="28">
        <f t="shared" si="2"/>
        <v>1130</v>
      </c>
      <c r="D123" s="24">
        <v>-1363</v>
      </c>
      <c r="E123" s="28">
        <v>2504</v>
      </c>
      <c r="F123" s="22">
        <f t="shared" si="3"/>
        <v>733</v>
      </c>
      <c r="G123" s="22">
        <f t="shared" si="4"/>
        <v>103</v>
      </c>
      <c r="H123" s="28">
        <f t="shared" si="5"/>
        <v>1088</v>
      </c>
      <c r="I123" s="24">
        <v>-1442</v>
      </c>
      <c r="J123" s="28">
        <v>2541</v>
      </c>
      <c r="K123" s="22">
        <f t="shared" si="6"/>
        <v>802</v>
      </c>
      <c r="L123" s="22">
        <f t="shared" si="7"/>
        <v>103</v>
      </c>
      <c r="M123" s="28">
        <f t="shared" si="8"/>
        <v>882</v>
      </c>
      <c r="N123" s="24">
        <v>-1343</v>
      </c>
      <c r="O123" s="28">
        <v>2636</v>
      </c>
      <c r="P123" s="22">
        <f t="shared" si="9"/>
        <v>653</v>
      </c>
      <c r="Q123" s="36"/>
      <c r="R123" s="30"/>
    </row>
    <row r="124" spans="1:18" ht="15.75" customHeight="1" x14ac:dyDescent="0.2">
      <c r="A124" s="37">
        <v>45823</v>
      </c>
      <c r="B124" s="22">
        <f t="shared" si="1"/>
        <v>104</v>
      </c>
      <c r="C124" s="28">
        <f t="shared" si="2"/>
        <v>1125</v>
      </c>
      <c r="D124" s="24">
        <v>-1368</v>
      </c>
      <c r="E124" s="28">
        <v>2504</v>
      </c>
      <c r="F124" s="22">
        <f t="shared" si="3"/>
        <v>738</v>
      </c>
      <c r="G124" s="22">
        <f t="shared" si="4"/>
        <v>104</v>
      </c>
      <c r="H124" s="28">
        <f t="shared" si="5"/>
        <v>1088</v>
      </c>
      <c r="I124" s="24">
        <v>-1442</v>
      </c>
      <c r="J124" s="28">
        <v>2541</v>
      </c>
      <c r="K124" s="22">
        <f t="shared" si="6"/>
        <v>802</v>
      </c>
      <c r="L124" s="22">
        <f t="shared" si="7"/>
        <v>104</v>
      </c>
      <c r="M124" s="28">
        <f t="shared" si="8"/>
        <v>877</v>
      </c>
      <c r="N124" s="24">
        <v>-1348</v>
      </c>
      <c r="O124" s="28">
        <v>2636</v>
      </c>
      <c r="P124" s="22">
        <f t="shared" si="9"/>
        <v>658</v>
      </c>
      <c r="Q124" s="36"/>
      <c r="R124" s="30"/>
    </row>
    <row r="125" spans="1:18" ht="15.75" customHeight="1" x14ac:dyDescent="0.2">
      <c r="A125" s="37">
        <v>45824</v>
      </c>
      <c r="B125" s="22">
        <f t="shared" si="1"/>
        <v>105</v>
      </c>
      <c r="C125" s="28">
        <f t="shared" si="2"/>
        <v>1120</v>
      </c>
      <c r="D125" s="24">
        <v>-1373</v>
      </c>
      <c r="E125" s="28">
        <v>2504</v>
      </c>
      <c r="F125" s="22">
        <f t="shared" si="3"/>
        <v>743</v>
      </c>
      <c r="G125" s="22">
        <f t="shared" si="4"/>
        <v>105</v>
      </c>
      <c r="H125" s="28">
        <f t="shared" si="5"/>
        <v>1088</v>
      </c>
      <c r="I125" s="24">
        <v>-1442</v>
      </c>
      <c r="J125" s="28">
        <v>2541</v>
      </c>
      <c r="K125" s="22">
        <f t="shared" si="6"/>
        <v>802</v>
      </c>
      <c r="L125" s="22">
        <f t="shared" si="7"/>
        <v>105</v>
      </c>
      <c r="M125" s="28">
        <f t="shared" si="8"/>
        <v>872</v>
      </c>
      <c r="N125" s="24">
        <v>-1353</v>
      </c>
      <c r="O125" s="28">
        <v>2636</v>
      </c>
      <c r="P125" s="22">
        <f t="shared" si="9"/>
        <v>663</v>
      </c>
      <c r="Q125" s="36"/>
      <c r="R125" s="30"/>
    </row>
    <row r="126" spans="1:18" ht="15.75" customHeight="1" x14ac:dyDescent="0.2">
      <c r="A126" s="37">
        <v>45825</v>
      </c>
      <c r="B126" s="22">
        <f t="shared" si="1"/>
        <v>106</v>
      </c>
      <c r="C126" s="28">
        <f t="shared" si="2"/>
        <v>1115</v>
      </c>
      <c r="D126" s="24">
        <v>-1378</v>
      </c>
      <c r="E126" s="28">
        <v>2504</v>
      </c>
      <c r="F126" s="22">
        <f t="shared" si="3"/>
        <v>748</v>
      </c>
      <c r="G126" s="22">
        <f t="shared" si="4"/>
        <v>106</v>
      </c>
      <c r="H126" s="28">
        <f t="shared" si="5"/>
        <v>1088</v>
      </c>
      <c r="I126" s="24">
        <v>-1442</v>
      </c>
      <c r="J126" s="28">
        <v>2541</v>
      </c>
      <c r="K126" s="22">
        <f t="shared" si="6"/>
        <v>802</v>
      </c>
      <c r="L126" s="22">
        <f t="shared" si="7"/>
        <v>106</v>
      </c>
      <c r="M126" s="28">
        <f t="shared" si="8"/>
        <v>867</v>
      </c>
      <c r="N126" s="24">
        <v>-1358</v>
      </c>
      <c r="O126" s="28">
        <v>2636</v>
      </c>
      <c r="P126" s="22">
        <f t="shared" si="9"/>
        <v>668</v>
      </c>
      <c r="Q126" s="36"/>
      <c r="R126" s="30"/>
    </row>
    <row r="127" spans="1:18" ht="15.75" customHeight="1" x14ac:dyDescent="0.2">
      <c r="A127" s="37">
        <v>45826</v>
      </c>
      <c r="B127" s="22">
        <f t="shared" si="1"/>
        <v>107</v>
      </c>
      <c r="C127" s="28">
        <f t="shared" si="2"/>
        <v>1110</v>
      </c>
      <c r="D127" s="24">
        <v>-1383</v>
      </c>
      <c r="E127" s="28">
        <v>2504</v>
      </c>
      <c r="F127" s="22">
        <f t="shared" si="3"/>
        <v>753</v>
      </c>
      <c r="G127" s="22">
        <f t="shared" si="4"/>
        <v>107</v>
      </c>
      <c r="H127" s="28">
        <f t="shared" si="5"/>
        <v>1088</v>
      </c>
      <c r="I127" s="24">
        <v>-1442</v>
      </c>
      <c r="J127" s="28">
        <v>2541</v>
      </c>
      <c r="K127" s="22">
        <f t="shared" si="6"/>
        <v>802</v>
      </c>
      <c r="L127" s="22">
        <f t="shared" si="7"/>
        <v>107</v>
      </c>
      <c r="M127" s="28">
        <f t="shared" si="8"/>
        <v>862</v>
      </c>
      <c r="N127" s="24">
        <v>-1363</v>
      </c>
      <c r="O127" s="28">
        <v>2636</v>
      </c>
      <c r="P127" s="22">
        <f t="shared" si="9"/>
        <v>673</v>
      </c>
      <c r="Q127" s="36"/>
      <c r="R127" s="30"/>
    </row>
    <row r="128" spans="1:18" ht="15.75" customHeight="1" x14ac:dyDescent="0.2">
      <c r="A128" s="37">
        <v>45827</v>
      </c>
      <c r="B128" s="22">
        <f t="shared" si="1"/>
        <v>108</v>
      </c>
      <c r="C128" s="28">
        <f t="shared" si="2"/>
        <v>1105</v>
      </c>
      <c r="D128" s="24">
        <v>-1388</v>
      </c>
      <c r="E128" s="28">
        <v>2504</v>
      </c>
      <c r="F128" s="22">
        <f t="shared" si="3"/>
        <v>758</v>
      </c>
      <c r="G128" s="22">
        <f t="shared" si="4"/>
        <v>108</v>
      </c>
      <c r="H128" s="28">
        <f t="shared" si="5"/>
        <v>1088</v>
      </c>
      <c r="I128" s="24">
        <v>-1442</v>
      </c>
      <c r="J128" s="28">
        <v>2541</v>
      </c>
      <c r="K128" s="22">
        <f t="shared" si="6"/>
        <v>802</v>
      </c>
      <c r="L128" s="22">
        <f t="shared" si="7"/>
        <v>108</v>
      </c>
      <c r="M128" s="28">
        <f t="shared" si="8"/>
        <v>857</v>
      </c>
      <c r="N128" s="24">
        <v>-1368</v>
      </c>
      <c r="O128" s="28">
        <v>2636</v>
      </c>
      <c r="P128" s="22">
        <f t="shared" si="9"/>
        <v>678</v>
      </c>
      <c r="Q128" s="36"/>
      <c r="R128" s="30"/>
    </row>
    <row r="129" spans="1:18" ht="15.75" customHeight="1" x14ac:dyDescent="0.2">
      <c r="A129" s="37">
        <v>45828</v>
      </c>
      <c r="B129" s="22">
        <f t="shared" si="1"/>
        <v>109</v>
      </c>
      <c r="C129" s="28">
        <f t="shared" si="2"/>
        <v>1100</v>
      </c>
      <c r="D129" s="24">
        <v>-1393</v>
      </c>
      <c r="E129" s="28">
        <v>2504</v>
      </c>
      <c r="F129" s="22">
        <f t="shared" si="3"/>
        <v>763</v>
      </c>
      <c r="G129" s="22">
        <f t="shared" si="4"/>
        <v>109</v>
      </c>
      <c r="H129" s="28">
        <f t="shared" si="5"/>
        <v>1088</v>
      </c>
      <c r="I129" s="24">
        <v>-1442</v>
      </c>
      <c r="J129" s="28">
        <v>2541</v>
      </c>
      <c r="K129" s="22">
        <f t="shared" si="6"/>
        <v>802</v>
      </c>
      <c r="L129" s="22">
        <f t="shared" si="7"/>
        <v>109</v>
      </c>
      <c r="M129" s="28">
        <f t="shared" si="8"/>
        <v>852</v>
      </c>
      <c r="N129" s="24">
        <v>-1373</v>
      </c>
      <c r="O129" s="28">
        <v>2636</v>
      </c>
      <c r="P129" s="22">
        <f t="shared" si="9"/>
        <v>683</v>
      </c>
      <c r="Q129" s="36"/>
      <c r="R129" s="30"/>
    </row>
    <row r="130" spans="1:18" ht="15.75" customHeight="1" x14ac:dyDescent="0.2">
      <c r="A130" s="37">
        <v>45829</v>
      </c>
      <c r="B130" s="22">
        <f t="shared" si="1"/>
        <v>110</v>
      </c>
      <c r="C130" s="28">
        <f t="shared" si="2"/>
        <v>1095</v>
      </c>
      <c r="D130" s="24">
        <v>-1398</v>
      </c>
      <c r="E130" s="28">
        <v>2504</v>
      </c>
      <c r="F130" s="22">
        <f t="shared" si="3"/>
        <v>768</v>
      </c>
      <c r="G130" s="22">
        <f t="shared" si="4"/>
        <v>110</v>
      </c>
      <c r="H130" s="28">
        <f t="shared" si="5"/>
        <v>1088</v>
      </c>
      <c r="I130" s="24">
        <v>-1442</v>
      </c>
      <c r="J130" s="28">
        <v>2541</v>
      </c>
      <c r="K130" s="22">
        <f t="shared" si="6"/>
        <v>802</v>
      </c>
      <c r="L130" s="22">
        <f t="shared" si="7"/>
        <v>110</v>
      </c>
      <c r="M130" s="28">
        <f t="shared" si="8"/>
        <v>847</v>
      </c>
      <c r="N130" s="24">
        <v>-1378</v>
      </c>
      <c r="O130" s="28">
        <v>2636</v>
      </c>
      <c r="P130" s="22">
        <f t="shared" si="9"/>
        <v>688</v>
      </c>
      <c r="Q130" s="36"/>
      <c r="R130" s="30"/>
    </row>
    <row r="131" spans="1:18" ht="15.75" customHeight="1" x14ac:dyDescent="0.2">
      <c r="A131" s="37">
        <v>45830</v>
      </c>
      <c r="B131" s="22">
        <f t="shared" si="1"/>
        <v>111</v>
      </c>
      <c r="C131" s="28">
        <f t="shared" si="2"/>
        <v>1090</v>
      </c>
      <c r="D131" s="24">
        <v>-1403</v>
      </c>
      <c r="E131" s="28">
        <v>2504</v>
      </c>
      <c r="F131" s="22">
        <f t="shared" si="3"/>
        <v>773</v>
      </c>
      <c r="G131" s="22">
        <f t="shared" si="4"/>
        <v>111</v>
      </c>
      <c r="H131" s="28">
        <f t="shared" si="5"/>
        <v>1088</v>
      </c>
      <c r="I131" s="24">
        <v>-1442</v>
      </c>
      <c r="J131" s="28">
        <v>2541</v>
      </c>
      <c r="K131" s="22">
        <f t="shared" si="6"/>
        <v>802</v>
      </c>
      <c r="L131" s="22">
        <f t="shared" si="7"/>
        <v>111</v>
      </c>
      <c r="M131" s="28">
        <f t="shared" si="8"/>
        <v>842</v>
      </c>
      <c r="N131" s="24">
        <v>-1383</v>
      </c>
      <c r="O131" s="28">
        <v>2636</v>
      </c>
      <c r="P131" s="22">
        <f t="shared" si="9"/>
        <v>693</v>
      </c>
      <c r="Q131" s="36"/>
      <c r="R131" s="30"/>
    </row>
    <row r="132" spans="1:18" ht="15.75" customHeight="1" x14ac:dyDescent="0.2">
      <c r="A132" s="37">
        <v>45831</v>
      </c>
      <c r="B132" s="22">
        <f t="shared" si="1"/>
        <v>112</v>
      </c>
      <c r="C132" s="28">
        <f t="shared" si="2"/>
        <v>1085</v>
      </c>
      <c r="D132" s="24">
        <v>-1408</v>
      </c>
      <c r="E132" s="28">
        <v>2504</v>
      </c>
      <c r="F132" s="22">
        <f t="shared" si="3"/>
        <v>778</v>
      </c>
      <c r="G132" s="22">
        <f t="shared" si="4"/>
        <v>112</v>
      </c>
      <c r="H132" s="28">
        <f t="shared" si="5"/>
        <v>1078</v>
      </c>
      <c r="I132" s="24">
        <v>-1452</v>
      </c>
      <c r="J132" s="28">
        <v>2541</v>
      </c>
      <c r="K132" s="22">
        <f t="shared" si="6"/>
        <v>812</v>
      </c>
      <c r="L132" s="22">
        <f t="shared" si="7"/>
        <v>112</v>
      </c>
      <c r="M132" s="28">
        <f t="shared" si="8"/>
        <v>837</v>
      </c>
      <c r="N132" s="24">
        <v>-1388</v>
      </c>
      <c r="O132" s="28">
        <v>2636</v>
      </c>
      <c r="P132" s="22">
        <f t="shared" si="9"/>
        <v>698</v>
      </c>
      <c r="Q132" s="36"/>
      <c r="R132" s="30"/>
    </row>
    <row r="133" spans="1:18" ht="15.75" customHeight="1" x14ac:dyDescent="0.2">
      <c r="A133" s="37">
        <v>45832</v>
      </c>
      <c r="B133" s="22">
        <f t="shared" si="1"/>
        <v>113</v>
      </c>
      <c r="C133" s="28">
        <f t="shared" si="2"/>
        <v>1080</v>
      </c>
      <c r="D133" s="24">
        <v>-1413</v>
      </c>
      <c r="E133" s="28">
        <v>2504</v>
      </c>
      <c r="F133" s="22">
        <f t="shared" si="3"/>
        <v>783</v>
      </c>
      <c r="G133" s="22">
        <f t="shared" si="4"/>
        <v>113</v>
      </c>
      <c r="H133" s="28">
        <f t="shared" si="5"/>
        <v>1065</v>
      </c>
      <c r="I133" s="24">
        <v>-1465</v>
      </c>
      <c r="J133" s="28">
        <v>2541</v>
      </c>
      <c r="K133" s="22">
        <f t="shared" si="6"/>
        <v>825</v>
      </c>
      <c r="L133" s="22">
        <f t="shared" si="7"/>
        <v>113</v>
      </c>
      <c r="M133" s="28">
        <f t="shared" si="8"/>
        <v>832</v>
      </c>
      <c r="N133" s="24">
        <v>-1393</v>
      </c>
      <c r="O133" s="28">
        <v>2636</v>
      </c>
      <c r="P133" s="22">
        <f t="shared" si="9"/>
        <v>703</v>
      </c>
      <c r="Q133" s="36"/>
      <c r="R133" s="30"/>
    </row>
    <row r="134" spans="1:18" ht="15.75" customHeight="1" x14ac:dyDescent="0.2">
      <c r="A134" s="37">
        <v>45833</v>
      </c>
      <c r="B134" s="22">
        <f t="shared" si="1"/>
        <v>114</v>
      </c>
      <c r="C134" s="28">
        <f t="shared" si="2"/>
        <v>1075</v>
      </c>
      <c r="D134" s="24">
        <v>-1418</v>
      </c>
      <c r="E134" s="28">
        <v>2504</v>
      </c>
      <c r="F134" s="22">
        <f t="shared" si="3"/>
        <v>788</v>
      </c>
      <c r="G134" s="22">
        <f t="shared" si="4"/>
        <v>114</v>
      </c>
      <c r="H134" s="28">
        <f t="shared" si="5"/>
        <v>1052</v>
      </c>
      <c r="I134" s="24">
        <v>-1478</v>
      </c>
      <c r="J134" s="28">
        <v>2541</v>
      </c>
      <c r="K134" s="22">
        <f t="shared" si="6"/>
        <v>838</v>
      </c>
      <c r="L134" s="22">
        <f t="shared" si="7"/>
        <v>114</v>
      </c>
      <c r="M134" s="28">
        <f t="shared" si="8"/>
        <v>827</v>
      </c>
      <c r="N134" s="24">
        <v>-1398</v>
      </c>
      <c r="O134" s="28">
        <v>2636</v>
      </c>
      <c r="P134" s="22">
        <f t="shared" si="9"/>
        <v>708</v>
      </c>
      <c r="Q134" s="36"/>
      <c r="R134" s="30"/>
    </row>
    <row r="135" spans="1:18" ht="15.75" customHeight="1" x14ac:dyDescent="0.2">
      <c r="A135" s="37">
        <v>45834</v>
      </c>
      <c r="B135" s="22">
        <f t="shared" si="1"/>
        <v>115</v>
      </c>
      <c r="C135" s="28">
        <f t="shared" si="2"/>
        <v>1070</v>
      </c>
      <c r="D135" s="24">
        <v>-1423</v>
      </c>
      <c r="E135" s="28">
        <v>2504</v>
      </c>
      <c r="F135" s="22">
        <f t="shared" si="3"/>
        <v>793</v>
      </c>
      <c r="G135" s="22">
        <f t="shared" si="4"/>
        <v>115</v>
      </c>
      <c r="H135" s="28">
        <f t="shared" si="5"/>
        <v>1039</v>
      </c>
      <c r="I135" s="24">
        <v>-1491</v>
      </c>
      <c r="J135" s="28">
        <v>2541</v>
      </c>
      <c r="K135" s="22">
        <f t="shared" si="6"/>
        <v>851</v>
      </c>
      <c r="L135" s="22">
        <f t="shared" si="7"/>
        <v>115</v>
      </c>
      <c r="M135" s="28">
        <f t="shared" si="8"/>
        <v>822</v>
      </c>
      <c r="N135" s="24">
        <v>-1403</v>
      </c>
      <c r="O135" s="28">
        <v>2636</v>
      </c>
      <c r="P135" s="22">
        <f t="shared" si="9"/>
        <v>713</v>
      </c>
      <c r="Q135" s="36"/>
      <c r="R135" s="30"/>
    </row>
    <row r="136" spans="1:18" ht="15.75" customHeight="1" x14ac:dyDescent="0.2">
      <c r="A136" s="37">
        <v>45835</v>
      </c>
      <c r="B136" s="22">
        <f t="shared" si="1"/>
        <v>116</v>
      </c>
      <c r="C136" s="28">
        <f t="shared" si="2"/>
        <v>1065</v>
      </c>
      <c r="D136" s="24">
        <v>-1428</v>
      </c>
      <c r="E136" s="28">
        <v>2504</v>
      </c>
      <c r="F136" s="22">
        <f t="shared" si="3"/>
        <v>798</v>
      </c>
      <c r="G136" s="22">
        <f t="shared" si="4"/>
        <v>116</v>
      </c>
      <c r="H136" s="28">
        <f t="shared" si="5"/>
        <v>1026</v>
      </c>
      <c r="I136" s="24">
        <v>-1504</v>
      </c>
      <c r="J136" s="28">
        <v>2541</v>
      </c>
      <c r="K136" s="22">
        <f t="shared" si="6"/>
        <v>864</v>
      </c>
      <c r="L136" s="22">
        <f t="shared" si="7"/>
        <v>116</v>
      </c>
      <c r="M136" s="28">
        <f t="shared" si="8"/>
        <v>817</v>
      </c>
      <c r="N136" s="24">
        <v>-1408</v>
      </c>
      <c r="O136" s="28">
        <v>2636</v>
      </c>
      <c r="P136" s="22">
        <f t="shared" si="9"/>
        <v>718</v>
      </c>
      <c r="Q136" s="36"/>
      <c r="R136" s="30"/>
    </row>
    <row r="137" spans="1:18" ht="15.75" customHeight="1" x14ac:dyDescent="0.2">
      <c r="A137" s="37">
        <v>45836</v>
      </c>
      <c r="B137" s="22">
        <f t="shared" si="1"/>
        <v>117</v>
      </c>
      <c r="C137" s="28">
        <f t="shared" si="2"/>
        <v>1060</v>
      </c>
      <c r="D137" s="24">
        <v>-1433</v>
      </c>
      <c r="E137" s="28">
        <v>2504</v>
      </c>
      <c r="F137" s="22">
        <f t="shared" si="3"/>
        <v>803</v>
      </c>
      <c r="G137" s="22">
        <f t="shared" si="4"/>
        <v>117</v>
      </c>
      <c r="H137" s="28">
        <f t="shared" si="5"/>
        <v>1013</v>
      </c>
      <c r="I137" s="24">
        <v>-1517</v>
      </c>
      <c r="J137" s="28">
        <v>2541</v>
      </c>
      <c r="K137" s="22">
        <f t="shared" si="6"/>
        <v>877</v>
      </c>
      <c r="L137" s="22">
        <f t="shared" si="7"/>
        <v>117</v>
      </c>
      <c r="M137" s="28">
        <f t="shared" si="8"/>
        <v>812</v>
      </c>
      <c r="N137" s="24">
        <v>-1413</v>
      </c>
      <c r="O137" s="28">
        <v>2636</v>
      </c>
      <c r="P137" s="22">
        <f t="shared" si="9"/>
        <v>723</v>
      </c>
      <c r="Q137" s="36"/>
      <c r="R137" s="30"/>
    </row>
    <row r="138" spans="1:18" ht="15.75" customHeight="1" x14ac:dyDescent="0.2">
      <c r="A138" s="37">
        <v>45837</v>
      </c>
      <c r="B138" s="22">
        <f t="shared" si="1"/>
        <v>118</v>
      </c>
      <c r="C138" s="28">
        <f t="shared" si="2"/>
        <v>1055</v>
      </c>
      <c r="D138" s="24">
        <v>-1438</v>
      </c>
      <c r="E138" s="28">
        <v>2504</v>
      </c>
      <c r="F138" s="22">
        <f t="shared" si="3"/>
        <v>808</v>
      </c>
      <c r="G138" s="22">
        <f t="shared" si="4"/>
        <v>118</v>
      </c>
      <c r="H138" s="28">
        <f t="shared" si="5"/>
        <v>1000</v>
      </c>
      <c r="I138" s="24">
        <v>-1530</v>
      </c>
      <c r="J138" s="28">
        <v>2541</v>
      </c>
      <c r="K138" s="22">
        <f t="shared" si="6"/>
        <v>890</v>
      </c>
      <c r="L138" s="22">
        <f t="shared" si="7"/>
        <v>118</v>
      </c>
      <c r="M138" s="28">
        <f t="shared" si="8"/>
        <v>807</v>
      </c>
      <c r="N138" s="24">
        <v>-1418</v>
      </c>
      <c r="O138" s="28">
        <v>2636</v>
      </c>
      <c r="P138" s="22">
        <f t="shared" si="9"/>
        <v>728</v>
      </c>
      <c r="Q138" s="36"/>
      <c r="R138" s="30"/>
    </row>
    <row r="139" spans="1:18" ht="15.75" customHeight="1" x14ac:dyDescent="0.2">
      <c r="A139" s="37">
        <v>45838</v>
      </c>
      <c r="B139" s="22">
        <f t="shared" si="1"/>
        <v>119</v>
      </c>
      <c r="C139" s="28">
        <f t="shared" si="2"/>
        <v>1050</v>
      </c>
      <c r="D139" s="24">
        <v>-1443</v>
      </c>
      <c r="E139" s="28">
        <v>2504</v>
      </c>
      <c r="F139" s="22">
        <f t="shared" si="3"/>
        <v>813</v>
      </c>
      <c r="G139" s="22">
        <f t="shared" si="4"/>
        <v>119</v>
      </c>
      <c r="H139" s="28">
        <f t="shared" si="5"/>
        <v>987</v>
      </c>
      <c r="I139" s="24">
        <v>-1543</v>
      </c>
      <c r="J139" s="28">
        <v>2541</v>
      </c>
      <c r="K139" s="22">
        <f t="shared" si="6"/>
        <v>903</v>
      </c>
      <c r="L139" s="22">
        <f t="shared" si="7"/>
        <v>119</v>
      </c>
      <c r="M139" s="28">
        <f t="shared" si="8"/>
        <v>802</v>
      </c>
      <c r="N139" s="24">
        <v>-1423</v>
      </c>
      <c r="O139" s="28">
        <v>2636</v>
      </c>
      <c r="P139" s="22">
        <f t="shared" si="9"/>
        <v>733</v>
      </c>
      <c r="Q139" s="36"/>
      <c r="R139" s="30"/>
    </row>
    <row r="140" spans="1:18" ht="15.75" customHeight="1" x14ac:dyDescent="0.2">
      <c r="A140" s="37">
        <v>45839</v>
      </c>
      <c r="B140" s="22">
        <f t="shared" si="1"/>
        <v>120</v>
      </c>
      <c r="C140" s="28">
        <f t="shared" si="2"/>
        <v>1045</v>
      </c>
      <c r="D140" s="24">
        <v>-1448</v>
      </c>
      <c r="E140" s="28">
        <v>2504</v>
      </c>
      <c r="F140" s="22">
        <f t="shared" si="3"/>
        <v>818</v>
      </c>
      <c r="G140" s="22">
        <f t="shared" si="4"/>
        <v>120</v>
      </c>
      <c r="H140" s="28">
        <f t="shared" si="5"/>
        <v>974</v>
      </c>
      <c r="I140" s="24">
        <v>-1556</v>
      </c>
      <c r="J140" s="28">
        <v>2541</v>
      </c>
      <c r="K140" s="22">
        <f t="shared" si="6"/>
        <v>916</v>
      </c>
      <c r="L140" s="22">
        <f t="shared" si="7"/>
        <v>120</v>
      </c>
      <c r="M140" s="28">
        <f t="shared" si="8"/>
        <v>797</v>
      </c>
      <c r="N140" s="24">
        <v>-1428</v>
      </c>
      <c r="O140" s="28">
        <v>2636</v>
      </c>
      <c r="P140" s="22">
        <f t="shared" si="9"/>
        <v>738</v>
      </c>
      <c r="Q140" s="36"/>
      <c r="R140" s="30"/>
    </row>
    <row r="141" spans="1:18" ht="15.75" customHeight="1" x14ac:dyDescent="0.2">
      <c r="A141" s="37">
        <v>45840</v>
      </c>
      <c r="B141" s="22">
        <f t="shared" si="1"/>
        <v>121</v>
      </c>
      <c r="C141" s="28">
        <f t="shared" si="2"/>
        <v>1040</v>
      </c>
      <c r="D141" s="24">
        <v>-1453</v>
      </c>
      <c r="E141" s="28">
        <v>2504</v>
      </c>
      <c r="F141" s="22">
        <f t="shared" si="3"/>
        <v>823</v>
      </c>
      <c r="G141" s="22">
        <f t="shared" si="4"/>
        <v>121</v>
      </c>
      <c r="H141" s="28">
        <f t="shared" si="5"/>
        <v>961</v>
      </c>
      <c r="I141" s="24">
        <v>-1569</v>
      </c>
      <c r="J141" s="28">
        <v>2541</v>
      </c>
      <c r="K141" s="22">
        <f t="shared" si="6"/>
        <v>929</v>
      </c>
      <c r="L141" s="22">
        <f t="shared" si="7"/>
        <v>121</v>
      </c>
      <c r="M141" s="28">
        <f t="shared" si="8"/>
        <v>792</v>
      </c>
      <c r="N141" s="24">
        <v>-1433</v>
      </c>
      <c r="O141" s="28">
        <v>2636</v>
      </c>
      <c r="P141" s="22">
        <f t="shared" si="9"/>
        <v>743</v>
      </c>
      <c r="Q141" s="36"/>
      <c r="R141" s="30"/>
    </row>
    <row r="142" spans="1:18" ht="15.75" customHeight="1" x14ac:dyDescent="0.2">
      <c r="A142" s="37">
        <v>45841</v>
      </c>
      <c r="B142" s="22">
        <f t="shared" si="1"/>
        <v>122</v>
      </c>
      <c r="C142" s="28">
        <f t="shared" si="2"/>
        <v>1035</v>
      </c>
      <c r="D142" s="24">
        <v>-1458</v>
      </c>
      <c r="E142" s="28">
        <v>2504</v>
      </c>
      <c r="F142" s="22">
        <f t="shared" si="3"/>
        <v>828</v>
      </c>
      <c r="G142" s="22">
        <f t="shared" si="4"/>
        <v>122</v>
      </c>
      <c r="H142" s="28">
        <f t="shared" si="5"/>
        <v>948</v>
      </c>
      <c r="I142" s="24">
        <v>-1582</v>
      </c>
      <c r="J142" s="28">
        <v>2541</v>
      </c>
      <c r="K142" s="22">
        <f t="shared" si="6"/>
        <v>942</v>
      </c>
      <c r="L142" s="22">
        <f t="shared" si="7"/>
        <v>122</v>
      </c>
      <c r="M142" s="28">
        <f t="shared" si="8"/>
        <v>787</v>
      </c>
      <c r="N142" s="24">
        <v>-1438</v>
      </c>
      <c r="O142" s="28">
        <v>2636</v>
      </c>
      <c r="P142" s="22">
        <f t="shared" si="9"/>
        <v>748</v>
      </c>
      <c r="Q142" s="36"/>
      <c r="R142" s="30"/>
    </row>
    <row r="143" spans="1:18" ht="15.75" customHeight="1" x14ac:dyDescent="0.2">
      <c r="A143" s="37">
        <v>45842</v>
      </c>
      <c r="B143" s="22">
        <f t="shared" si="1"/>
        <v>123</v>
      </c>
      <c r="C143" s="28">
        <f t="shared" si="2"/>
        <v>1030</v>
      </c>
      <c r="D143" s="24">
        <v>-1463</v>
      </c>
      <c r="E143" s="28">
        <v>2504</v>
      </c>
      <c r="F143" s="22">
        <f t="shared" si="3"/>
        <v>833</v>
      </c>
      <c r="G143" s="22">
        <f t="shared" si="4"/>
        <v>123</v>
      </c>
      <c r="H143" s="28">
        <f t="shared" si="5"/>
        <v>935</v>
      </c>
      <c r="I143" s="24">
        <v>-1595</v>
      </c>
      <c r="J143" s="28">
        <v>2541</v>
      </c>
      <c r="K143" s="22">
        <f t="shared" si="6"/>
        <v>955</v>
      </c>
      <c r="L143" s="22">
        <f t="shared" si="7"/>
        <v>123</v>
      </c>
      <c r="M143" s="28">
        <f t="shared" si="8"/>
        <v>782</v>
      </c>
      <c r="N143" s="24">
        <v>-1443</v>
      </c>
      <c r="O143" s="28">
        <v>2636</v>
      </c>
      <c r="P143" s="22">
        <f t="shared" si="9"/>
        <v>753</v>
      </c>
      <c r="Q143" s="36"/>
      <c r="R143" s="30"/>
    </row>
    <row r="144" spans="1:18" ht="15.75" customHeight="1" x14ac:dyDescent="0.2">
      <c r="A144" s="37">
        <v>45843</v>
      </c>
      <c r="B144" s="22">
        <f t="shared" si="1"/>
        <v>124</v>
      </c>
      <c r="C144" s="28">
        <f t="shared" si="2"/>
        <v>1025</v>
      </c>
      <c r="D144" s="24">
        <v>-1468</v>
      </c>
      <c r="E144" s="28">
        <v>2504</v>
      </c>
      <c r="F144" s="22">
        <f t="shared" si="3"/>
        <v>838</v>
      </c>
      <c r="G144" s="22">
        <f t="shared" si="4"/>
        <v>124</v>
      </c>
      <c r="H144" s="28">
        <f t="shared" si="5"/>
        <v>922</v>
      </c>
      <c r="I144" s="24">
        <v>-1608</v>
      </c>
      <c r="J144" s="28">
        <v>2541</v>
      </c>
      <c r="K144" s="22">
        <f t="shared" si="6"/>
        <v>968</v>
      </c>
      <c r="L144" s="22">
        <f t="shared" si="7"/>
        <v>124</v>
      </c>
      <c r="M144" s="28">
        <f t="shared" si="8"/>
        <v>777</v>
      </c>
      <c r="N144" s="24">
        <v>-1448</v>
      </c>
      <c r="O144" s="28">
        <v>2636</v>
      </c>
      <c r="P144" s="22">
        <f t="shared" si="9"/>
        <v>758</v>
      </c>
      <c r="Q144" s="36"/>
      <c r="R144" s="30"/>
    </row>
    <row r="145" spans="1:18" ht="15.75" customHeight="1" x14ac:dyDescent="0.2">
      <c r="A145" s="37">
        <v>45844</v>
      </c>
      <c r="B145" s="22">
        <f t="shared" si="1"/>
        <v>125</v>
      </c>
      <c r="C145" s="28">
        <f t="shared" si="2"/>
        <v>1020</v>
      </c>
      <c r="D145" s="24">
        <v>-1473</v>
      </c>
      <c r="E145" s="28">
        <v>2504</v>
      </c>
      <c r="F145" s="22">
        <f t="shared" si="3"/>
        <v>843</v>
      </c>
      <c r="G145" s="22">
        <f t="shared" si="4"/>
        <v>125</v>
      </c>
      <c r="H145" s="28">
        <f t="shared" si="5"/>
        <v>909</v>
      </c>
      <c r="I145" s="24">
        <v>-1621</v>
      </c>
      <c r="J145" s="28">
        <v>2541</v>
      </c>
      <c r="K145" s="22">
        <f t="shared" si="6"/>
        <v>981</v>
      </c>
      <c r="L145" s="22">
        <f t="shared" si="7"/>
        <v>125</v>
      </c>
      <c r="M145" s="28">
        <f t="shared" si="8"/>
        <v>772</v>
      </c>
      <c r="N145" s="24">
        <v>-1453</v>
      </c>
      <c r="O145" s="28">
        <v>2636</v>
      </c>
      <c r="P145" s="22">
        <f t="shared" si="9"/>
        <v>763</v>
      </c>
      <c r="Q145" s="36"/>
      <c r="R145" s="30"/>
    </row>
    <row r="146" spans="1:18" ht="15.75" customHeight="1" x14ac:dyDescent="0.2">
      <c r="A146" s="37">
        <v>45845</v>
      </c>
      <c r="B146" s="22">
        <f t="shared" si="1"/>
        <v>126</v>
      </c>
      <c r="C146" s="28">
        <f t="shared" si="2"/>
        <v>1015</v>
      </c>
      <c r="D146" s="24">
        <v>-1478</v>
      </c>
      <c r="E146" s="28">
        <v>2504</v>
      </c>
      <c r="F146" s="22">
        <f t="shared" si="3"/>
        <v>848</v>
      </c>
      <c r="G146" s="22">
        <f t="shared" si="4"/>
        <v>126</v>
      </c>
      <c r="H146" s="28">
        <f t="shared" si="5"/>
        <v>896</v>
      </c>
      <c r="I146" s="24">
        <v>-1634</v>
      </c>
      <c r="J146" s="28">
        <v>2541</v>
      </c>
      <c r="K146" s="22">
        <f t="shared" si="6"/>
        <v>994</v>
      </c>
      <c r="L146" s="22">
        <f t="shared" si="7"/>
        <v>126</v>
      </c>
      <c r="M146" s="28">
        <f t="shared" si="8"/>
        <v>767</v>
      </c>
      <c r="N146" s="24">
        <v>-1458</v>
      </c>
      <c r="O146" s="28">
        <v>2636</v>
      </c>
      <c r="P146" s="22">
        <f t="shared" si="9"/>
        <v>768</v>
      </c>
      <c r="Q146" s="36"/>
      <c r="R146" s="30"/>
    </row>
    <row r="147" spans="1:18" ht="15.75" customHeight="1" x14ac:dyDescent="0.2">
      <c r="A147" s="37">
        <v>45846</v>
      </c>
      <c r="B147" s="22">
        <f t="shared" si="1"/>
        <v>127</v>
      </c>
      <c r="C147" s="28">
        <f t="shared" si="2"/>
        <v>1010</v>
      </c>
      <c r="D147" s="24">
        <v>-1483</v>
      </c>
      <c r="E147" s="28">
        <v>2504</v>
      </c>
      <c r="F147" s="22">
        <f t="shared" si="3"/>
        <v>853</v>
      </c>
      <c r="G147" s="22">
        <f t="shared" si="4"/>
        <v>127</v>
      </c>
      <c r="H147" s="28">
        <f t="shared" si="5"/>
        <v>883</v>
      </c>
      <c r="I147" s="24">
        <v>-1647</v>
      </c>
      <c r="J147" s="28">
        <v>2541</v>
      </c>
      <c r="K147" s="22">
        <f t="shared" si="6"/>
        <v>1007</v>
      </c>
      <c r="L147" s="22">
        <f t="shared" si="7"/>
        <v>127</v>
      </c>
      <c r="M147" s="28">
        <f t="shared" si="8"/>
        <v>762</v>
      </c>
      <c r="N147" s="24">
        <v>-1463</v>
      </c>
      <c r="O147" s="28">
        <v>2636</v>
      </c>
      <c r="P147" s="22">
        <f t="shared" si="9"/>
        <v>773</v>
      </c>
      <c r="Q147" s="36"/>
      <c r="R147" s="30"/>
    </row>
    <row r="148" spans="1:18" ht="15.75" customHeight="1" x14ac:dyDescent="0.2">
      <c r="A148" s="37">
        <v>45847</v>
      </c>
      <c r="B148" s="22">
        <f t="shared" si="1"/>
        <v>128</v>
      </c>
      <c r="C148" s="28">
        <f t="shared" si="2"/>
        <v>1005</v>
      </c>
      <c r="D148" s="24">
        <v>-1488</v>
      </c>
      <c r="E148" s="28">
        <v>2504</v>
      </c>
      <c r="F148" s="22">
        <f t="shared" si="3"/>
        <v>858</v>
      </c>
      <c r="G148" s="22">
        <f t="shared" si="4"/>
        <v>128</v>
      </c>
      <c r="H148" s="28">
        <f t="shared" si="5"/>
        <v>870</v>
      </c>
      <c r="I148" s="24">
        <v>-1660</v>
      </c>
      <c r="J148" s="28">
        <v>2541</v>
      </c>
      <c r="K148" s="22">
        <f t="shared" si="6"/>
        <v>1020</v>
      </c>
      <c r="L148" s="22">
        <f t="shared" si="7"/>
        <v>128</v>
      </c>
      <c r="M148" s="28">
        <f t="shared" si="8"/>
        <v>757</v>
      </c>
      <c r="N148" s="24">
        <v>-1468</v>
      </c>
      <c r="O148" s="28">
        <v>2636</v>
      </c>
      <c r="P148" s="22">
        <f t="shared" si="9"/>
        <v>778</v>
      </c>
      <c r="Q148" s="36"/>
      <c r="R148" s="30"/>
    </row>
    <row r="149" spans="1:18" ht="15.75" customHeight="1" x14ac:dyDescent="0.2">
      <c r="A149" s="37">
        <v>45848</v>
      </c>
      <c r="B149" s="22">
        <f t="shared" si="1"/>
        <v>129</v>
      </c>
      <c r="C149" s="28">
        <f t="shared" si="2"/>
        <v>1000</v>
      </c>
      <c r="D149" s="24">
        <v>-1493</v>
      </c>
      <c r="E149" s="28">
        <v>2504</v>
      </c>
      <c r="F149" s="22">
        <f t="shared" si="3"/>
        <v>863</v>
      </c>
      <c r="G149" s="22">
        <f t="shared" si="4"/>
        <v>129</v>
      </c>
      <c r="H149" s="28">
        <f t="shared" si="5"/>
        <v>857</v>
      </c>
      <c r="I149" s="24">
        <v>-1673</v>
      </c>
      <c r="J149" s="28">
        <v>2541</v>
      </c>
      <c r="K149" s="22">
        <f t="shared" si="6"/>
        <v>1033</v>
      </c>
      <c r="L149" s="22">
        <f t="shared" si="7"/>
        <v>129</v>
      </c>
      <c r="M149" s="28">
        <f t="shared" si="8"/>
        <v>752</v>
      </c>
      <c r="N149" s="24">
        <v>-1473</v>
      </c>
      <c r="O149" s="28">
        <v>2636</v>
      </c>
      <c r="P149" s="22">
        <f t="shared" si="9"/>
        <v>783</v>
      </c>
      <c r="Q149" s="36"/>
      <c r="R149" s="30"/>
    </row>
    <row r="150" spans="1:18" ht="15.75" customHeight="1" x14ac:dyDescent="0.2">
      <c r="A150" s="37">
        <v>45849</v>
      </c>
      <c r="B150" s="22">
        <f t="shared" si="1"/>
        <v>130</v>
      </c>
      <c r="C150" s="28">
        <f t="shared" si="2"/>
        <v>995</v>
      </c>
      <c r="D150" s="24">
        <v>-1498</v>
      </c>
      <c r="E150" s="28">
        <v>2504</v>
      </c>
      <c r="F150" s="22">
        <f t="shared" si="3"/>
        <v>868</v>
      </c>
      <c r="G150" s="22">
        <f t="shared" si="4"/>
        <v>130</v>
      </c>
      <c r="H150" s="28">
        <f t="shared" si="5"/>
        <v>844</v>
      </c>
      <c r="I150" s="24">
        <v>-1686</v>
      </c>
      <c r="J150" s="28">
        <v>2541</v>
      </c>
      <c r="K150" s="22">
        <f t="shared" si="6"/>
        <v>1046</v>
      </c>
      <c r="L150" s="22">
        <f t="shared" si="7"/>
        <v>130</v>
      </c>
      <c r="M150" s="28">
        <f t="shared" si="8"/>
        <v>747</v>
      </c>
      <c r="N150" s="24">
        <v>-1478</v>
      </c>
      <c r="O150" s="28">
        <v>2636</v>
      </c>
      <c r="P150" s="22">
        <f t="shared" si="9"/>
        <v>788</v>
      </c>
      <c r="Q150" s="36"/>
      <c r="R150" s="30"/>
    </row>
    <row r="151" spans="1:18" ht="15.75" customHeight="1" x14ac:dyDescent="0.2">
      <c r="A151" s="37">
        <v>45850</v>
      </c>
      <c r="B151" s="22">
        <f t="shared" si="1"/>
        <v>131</v>
      </c>
      <c r="C151" s="28">
        <f t="shared" si="2"/>
        <v>990</v>
      </c>
      <c r="D151" s="24">
        <v>-1503</v>
      </c>
      <c r="E151" s="28">
        <v>2504</v>
      </c>
      <c r="F151" s="22">
        <f t="shared" si="3"/>
        <v>873</v>
      </c>
      <c r="G151" s="22">
        <f t="shared" si="4"/>
        <v>131</v>
      </c>
      <c r="H151" s="28">
        <f t="shared" si="5"/>
        <v>831</v>
      </c>
      <c r="I151" s="24">
        <v>-1699</v>
      </c>
      <c r="J151" s="28">
        <v>2541</v>
      </c>
      <c r="K151" s="22">
        <f t="shared" si="6"/>
        <v>1059</v>
      </c>
      <c r="L151" s="22">
        <f t="shared" si="7"/>
        <v>131</v>
      </c>
      <c r="M151" s="28">
        <f t="shared" si="8"/>
        <v>742</v>
      </c>
      <c r="N151" s="24">
        <v>-1483</v>
      </c>
      <c r="O151" s="28">
        <v>2636</v>
      </c>
      <c r="P151" s="22">
        <f t="shared" si="9"/>
        <v>793</v>
      </c>
      <c r="Q151" s="36"/>
      <c r="R151" s="30"/>
    </row>
    <row r="152" spans="1:18" ht="15.75" customHeight="1" x14ac:dyDescent="0.2">
      <c r="A152" s="37">
        <v>45851</v>
      </c>
      <c r="B152" s="22">
        <f t="shared" si="1"/>
        <v>132</v>
      </c>
      <c r="C152" s="28">
        <f t="shared" si="2"/>
        <v>985</v>
      </c>
      <c r="D152" s="24">
        <v>-1508</v>
      </c>
      <c r="E152" s="28">
        <v>2504</v>
      </c>
      <c r="F152" s="22">
        <f t="shared" si="3"/>
        <v>878</v>
      </c>
      <c r="G152" s="22">
        <f t="shared" si="4"/>
        <v>132</v>
      </c>
      <c r="H152" s="28">
        <f t="shared" si="5"/>
        <v>818</v>
      </c>
      <c r="I152" s="24">
        <v>-1712</v>
      </c>
      <c r="J152" s="28">
        <v>2541</v>
      </c>
      <c r="K152" s="22">
        <f t="shared" si="6"/>
        <v>1072</v>
      </c>
      <c r="L152" s="22">
        <f t="shared" si="7"/>
        <v>132</v>
      </c>
      <c r="M152" s="28">
        <f t="shared" si="8"/>
        <v>737</v>
      </c>
      <c r="N152" s="24">
        <v>-1488</v>
      </c>
      <c r="O152" s="28">
        <v>2636</v>
      </c>
      <c r="P152" s="22">
        <f t="shared" si="9"/>
        <v>798</v>
      </c>
      <c r="Q152" s="36"/>
      <c r="R152" s="30"/>
    </row>
    <row r="153" spans="1:18" ht="15.75" customHeight="1" x14ac:dyDescent="0.2">
      <c r="A153" s="37">
        <v>45852</v>
      </c>
      <c r="B153" s="22">
        <f t="shared" si="1"/>
        <v>133</v>
      </c>
      <c r="C153" s="28">
        <f t="shared" si="2"/>
        <v>980</v>
      </c>
      <c r="D153" s="24">
        <v>-1513</v>
      </c>
      <c r="E153" s="28">
        <v>2504</v>
      </c>
      <c r="F153" s="22">
        <f t="shared" si="3"/>
        <v>883</v>
      </c>
      <c r="G153" s="22">
        <f t="shared" si="4"/>
        <v>133</v>
      </c>
      <c r="H153" s="28">
        <f t="shared" si="5"/>
        <v>805</v>
      </c>
      <c r="I153" s="24">
        <v>-1725</v>
      </c>
      <c r="J153" s="28">
        <v>2541</v>
      </c>
      <c r="K153" s="22">
        <f t="shared" si="6"/>
        <v>1085</v>
      </c>
      <c r="L153" s="22">
        <f t="shared" si="7"/>
        <v>133</v>
      </c>
      <c r="M153" s="28">
        <f t="shared" si="8"/>
        <v>732</v>
      </c>
      <c r="N153" s="24">
        <v>-1493</v>
      </c>
      <c r="O153" s="28">
        <v>2636</v>
      </c>
      <c r="P153" s="22">
        <f t="shared" si="9"/>
        <v>803</v>
      </c>
      <c r="Q153" s="36"/>
      <c r="R153" s="30"/>
    </row>
    <row r="154" spans="1:18" ht="15.75" customHeight="1" x14ac:dyDescent="0.2">
      <c r="A154" s="37">
        <v>45853</v>
      </c>
      <c r="B154" s="22">
        <f t="shared" si="1"/>
        <v>134</v>
      </c>
      <c r="C154" s="28">
        <f t="shared" si="2"/>
        <v>975</v>
      </c>
      <c r="D154" s="24">
        <v>-1518</v>
      </c>
      <c r="E154" s="28">
        <v>2504</v>
      </c>
      <c r="F154" s="22">
        <f t="shared" si="3"/>
        <v>888</v>
      </c>
      <c r="G154" s="22">
        <f t="shared" si="4"/>
        <v>134</v>
      </c>
      <c r="H154" s="28">
        <f t="shared" si="5"/>
        <v>797</v>
      </c>
      <c r="I154" s="24">
        <v>-1733</v>
      </c>
      <c r="J154" s="28">
        <v>2541</v>
      </c>
      <c r="K154" s="22">
        <f t="shared" si="6"/>
        <v>1093</v>
      </c>
      <c r="L154" s="22">
        <f t="shared" si="7"/>
        <v>134</v>
      </c>
      <c r="M154" s="28">
        <f t="shared" si="8"/>
        <v>727</v>
      </c>
      <c r="N154" s="24">
        <v>-1498</v>
      </c>
      <c r="O154" s="28">
        <v>2636</v>
      </c>
      <c r="P154" s="22">
        <f t="shared" si="9"/>
        <v>808</v>
      </c>
      <c r="Q154" s="36"/>
      <c r="R154" s="30"/>
    </row>
    <row r="155" spans="1:18" ht="15.75" customHeight="1" x14ac:dyDescent="0.2">
      <c r="A155" s="37">
        <v>45854</v>
      </c>
      <c r="B155" s="22">
        <f t="shared" si="1"/>
        <v>135</v>
      </c>
      <c r="C155" s="28">
        <f t="shared" si="2"/>
        <v>970</v>
      </c>
      <c r="D155" s="24">
        <v>-1523</v>
      </c>
      <c r="E155" s="28">
        <v>2504</v>
      </c>
      <c r="F155" s="22">
        <f t="shared" si="3"/>
        <v>893</v>
      </c>
      <c r="G155" s="22">
        <f t="shared" si="4"/>
        <v>135</v>
      </c>
      <c r="H155" s="28">
        <f t="shared" si="5"/>
        <v>792</v>
      </c>
      <c r="I155" s="24">
        <v>-1738</v>
      </c>
      <c r="J155" s="28">
        <v>2541</v>
      </c>
      <c r="K155" s="22">
        <f t="shared" si="6"/>
        <v>1098</v>
      </c>
      <c r="L155" s="22">
        <f t="shared" si="7"/>
        <v>135</v>
      </c>
      <c r="M155" s="28">
        <f t="shared" si="8"/>
        <v>667</v>
      </c>
      <c r="N155" s="24">
        <v>-1558</v>
      </c>
      <c r="O155" s="28">
        <v>2636</v>
      </c>
      <c r="P155" s="22">
        <f t="shared" si="9"/>
        <v>868</v>
      </c>
      <c r="Q155" s="36"/>
      <c r="R155" s="30"/>
    </row>
    <row r="156" spans="1:18" ht="15.75" customHeight="1" x14ac:dyDescent="0.2">
      <c r="A156" s="37">
        <v>45855</v>
      </c>
      <c r="B156" s="22">
        <f t="shared" si="1"/>
        <v>136</v>
      </c>
      <c r="C156" s="28">
        <f t="shared" si="2"/>
        <v>965</v>
      </c>
      <c r="D156" s="24">
        <v>-1528</v>
      </c>
      <c r="E156" s="28">
        <v>2504</v>
      </c>
      <c r="F156" s="22">
        <f t="shared" si="3"/>
        <v>898</v>
      </c>
      <c r="G156" s="22">
        <f t="shared" si="4"/>
        <v>136</v>
      </c>
      <c r="H156" s="28">
        <f t="shared" si="5"/>
        <v>787</v>
      </c>
      <c r="I156" s="24">
        <v>-1743</v>
      </c>
      <c r="J156" s="28">
        <v>2541</v>
      </c>
      <c r="K156" s="22">
        <f t="shared" si="6"/>
        <v>1103</v>
      </c>
      <c r="L156" s="22">
        <f t="shared" si="7"/>
        <v>136</v>
      </c>
      <c r="M156" s="28">
        <f t="shared" si="8"/>
        <v>662</v>
      </c>
      <c r="N156" s="24">
        <v>-1563</v>
      </c>
      <c r="O156" s="28">
        <v>2636</v>
      </c>
      <c r="P156" s="22">
        <f t="shared" si="9"/>
        <v>873</v>
      </c>
      <c r="Q156" s="36"/>
      <c r="R156" s="30"/>
    </row>
    <row r="157" spans="1:18" ht="15.75" customHeight="1" x14ac:dyDescent="0.2">
      <c r="A157" s="37">
        <v>45856</v>
      </c>
      <c r="B157" s="22">
        <f t="shared" si="1"/>
        <v>137</v>
      </c>
      <c r="C157" s="28">
        <f t="shared" si="2"/>
        <v>960</v>
      </c>
      <c r="D157" s="24">
        <v>-1533</v>
      </c>
      <c r="E157" s="28">
        <v>2504</v>
      </c>
      <c r="F157" s="22">
        <f t="shared" si="3"/>
        <v>903</v>
      </c>
      <c r="G157" s="22">
        <f t="shared" si="4"/>
        <v>137</v>
      </c>
      <c r="H157" s="28">
        <f t="shared" si="5"/>
        <v>782</v>
      </c>
      <c r="I157" s="24">
        <v>-1748</v>
      </c>
      <c r="J157" s="28">
        <v>2541</v>
      </c>
      <c r="K157" s="22">
        <f t="shared" si="6"/>
        <v>1108</v>
      </c>
      <c r="L157" s="22">
        <f t="shared" si="7"/>
        <v>137</v>
      </c>
      <c r="M157" s="28">
        <f t="shared" si="8"/>
        <v>657</v>
      </c>
      <c r="N157" s="24">
        <v>-1568</v>
      </c>
      <c r="O157" s="28">
        <v>2636</v>
      </c>
      <c r="P157" s="22">
        <f t="shared" si="9"/>
        <v>878</v>
      </c>
      <c r="Q157" s="36"/>
      <c r="R157" s="30"/>
    </row>
    <row r="158" spans="1:18" ht="15.75" customHeight="1" x14ac:dyDescent="0.2">
      <c r="A158" s="37">
        <v>45857</v>
      </c>
      <c r="B158" s="22">
        <f t="shared" si="1"/>
        <v>138</v>
      </c>
      <c r="C158" s="28">
        <f t="shared" si="2"/>
        <v>955</v>
      </c>
      <c r="D158" s="24">
        <v>-1538</v>
      </c>
      <c r="E158" s="28">
        <v>2504</v>
      </c>
      <c r="F158" s="22">
        <f t="shared" si="3"/>
        <v>908</v>
      </c>
      <c r="G158" s="22">
        <f t="shared" si="4"/>
        <v>138</v>
      </c>
      <c r="H158" s="28">
        <f t="shared" si="5"/>
        <v>777</v>
      </c>
      <c r="I158" s="24">
        <v>-1753</v>
      </c>
      <c r="J158" s="28">
        <v>2541</v>
      </c>
      <c r="K158" s="22">
        <f t="shared" si="6"/>
        <v>1113</v>
      </c>
      <c r="L158" s="22">
        <f t="shared" si="7"/>
        <v>138</v>
      </c>
      <c r="M158" s="28">
        <f t="shared" si="8"/>
        <v>652</v>
      </c>
      <c r="N158" s="24">
        <v>-1573</v>
      </c>
      <c r="O158" s="28">
        <v>2636</v>
      </c>
      <c r="P158" s="22">
        <f t="shared" si="9"/>
        <v>883</v>
      </c>
      <c r="Q158" s="36"/>
      <c r="R158" s="30"/>
    </row>
    <row r="159" spans="1:18" ht="15.75" customHeight="1" x14ac:dyDescent="0.2">
      <c r="A159" s="37">
        <v>45858</v>
      </c>
      <c r="B159" s="22">
        <f t="shared" si="1"/>
        <v>139</v>
      </c>
      <c r="C159" s="28">
        <f t="shared" si="2"/>
        <v>950</v>
      </c>
      <c r="D159" s="24">
        <v>-1543</v>
      </c>
      <c r="E159" s="28">
        <v>2504</v>
      </c>
      <c r="F159" s="22">
        <f t="shared" si="3"/>
        <v>913</v>
      </c>
      <c r="G159" s="22">
        <f t="shared" si="4"/>
        <v>139</v>
      </c>
      <c r="H159" s="28">
        <f t="shared" si="5"/>
        <v>772</v>
      </c>
      <c r="I159" s="24">
        <v>-1758</v>
      </c>
      <c r="J159" s="28">
        <v>2541</v>
      </c>
      <c r="K159" s="22">
        <f t="shared" si="6"/>
        <v>1118</v>
      </c>
      <c r="L159" s="22">
        <f t="shared" si="7"/>
        <v>139</v>
      </c>
      <c r="M159" s="28">
        <f t="shared" si="8"/>
        <v>647</v>
      </c>
      <c r="N159" s="24">
        <v>-1578</v>
      </c>
      <c r="O159" s="28">
        <v>2636</v>
      </c>
      <c r="P159" s="22">
        <f t="shared" si="9"/>
        <v>888</v>
      </c>
      <c r="Q159" s="36"/>
      <c r="R159" s="30"/>
    </row>
    <row r="160" spans="1:18" ht="15.75" customHeight="1" x14ac:dyDescent="0.2">
      <c r="A160" s="37">
        <v>45859</v>
      </c>
      <c r="B160" s="22">
        <f t="shared" si="1"/>
        <v>140</v>
      </c>
      <c r="C160" s="28">
        <f t="shared" si="2"/>
        <v>950</v>
      </c>
      <c r="D160" s="24">
        <v>-1543</v>
      </c>
      <c r="E160" s="28">
        <v>2504</v>
      </c>
      <c r="F160" s="22">
        <f t="shared" si="3"/>
        <v>913</v>
      </c>
      <c r="G160" s="22">
        <f t="shared" si="4"/>
        <v>140</v>
      </c>
      <c r="H160" s="28">
        <f t="shared" si="5"/>
        <v>767</v>
      </c>
      <c r="I160" s="24">
        <v>-1763</v>
      </c>
      <c r="J160" s="28">
        <v>2541</v>
      </c>
      <c r="K160" s="22">
        <f t="shared" si="6"/>
        <v>1123</v>
      </c>
      <c r="L160" s="22">
        <f t="shared" si="7"/>
        <v>140</v>
      </c>
      <c r="M160" s="28">
        <f t="shared" si="8"/>
        <v>642</v>
      </c>
      <c r="N160" s="24">
        <v>-1583</v>
      </c>
      <c r="O160" s="28">
        <v>2636</v>
      </c>
      <c r="P160" s="22">
        <f t="shared" si="9"/>
        <v>893</v>
      </c>
      <c r="Q160" s="36"/>
      <c r="R160" s="30"/>
    </row>
    <row r="161" spans="1:18" ht="15.75" customHeight="1" x14ac:dyDescent="0.2">
      <c r="A161" s="37">
        <v>45860</v>
      </c>
      <c r="B161" s="22">
        <f t="shared" si="1"/>
        <v>141</v>
      </c>
      <c r="C161" s="28">
        <f t="shared" si="2"/>
        <v>950</v>
      </c>
      <c r="D161" s="24">
        <v>-1543</v>
      </c>
      <c r="E161" s="28">
        <v>2504</v>
      </c>
      <c r="F161" s="22">
        <f t="shared" si="3"/>
        <v>913</v>
      </c>
      <c r="G161" s="22">
        <f t="shared" si="4"/>
        <v>141</v>
      </c>
      <c r="H161" s="28">
        <f t="shared" si="5"/>
        <v>762</v>
      </c>
      <c r="I161" s="24">
        <v>-1768</v>
      </c>
      <c r="J161" s="28">
        <v>2541</v>
      </c>
      <c r="K161" s="22">
        <f t="shared" si="6"/>
        <v>1128</v>
      </c>
      <c r="L161" s="22">
        <f t="shared" si="7"/>
        <v>141</v>
      </c>
      <c r="M161" s="28">
        <f t="shared" si="8"/>
        <v>637</v>
      </c>
      <c r="N161" s="24">
        <v>-1588</v>
      </c>
      <c r="O161" s="28">
        <v>2636</v>
      </c>
      <c r="P161" s="22">
        <f t="shared" si="9"/>
        <v>898</v>
      </c>
      <c r="Q161" s="36"/>
      <c r="R161" s="30"/>
    </row>
    <row r="162" spans="1:18" ht="15.75" customHeight="1" x14ac:dyDescent="0.2">
      <c r="A162" s="37">
        <v>45861</v>
      </c>
      <c r="B162" s="22">
        <f t="shared" si="1"/>
        <v>142</v>
      </c>
      <c r="C162" s="28">
        <f t="shared" si="2"/>
        <v>950</v>
      </c>
      <c r="D162" s="24">
        <v>-1543</v>
      </c>
      <c r="E162" s="28">
        <v>2504</v>
      </c>
      <c r="F162" s="22">
        <f t="shared" si="3"/>
        <v>913</v>
      </c>
      <c r="G162" s="22">
        <f t="shared" si="4"/>
        <v>142</v>
      </c>
      <c r="H162" s="28">
        <f t="shared" si="5"/>
        <v>757</v>
      </c>
      <c r="I162" s="24">
        <v>-1773</v>
      </c>
      <c r="J162" s="28">
        <v>2541</v>
      </c>
      <c r="K162" s="22">
        <f t="shared" si="6"/>
        <v>1133</v>
      </c>
      <c r="L162" s="22">
        <f t="shared" si="7"/>
        <v>142</v>
      </c>
      <c r="M162" s="28">
        <f t="shared" si="8"/>
        <v>632</v>
      </c>
      <c r="N162" s="24">
        <v>-1593</v>
      </c>
      <c r="O162" s="28">
        <v>2636</v>
      </c>
      <c r="P162" s="22">
        <f t="shared" si="9"/>
        <v>903</v>
      </c>
      <c r="Q162" s="36"/>
      <c r="R162" s="30"/>
    </row>
    <row r="163" spans="1:18" ht="15.75" customHeight="1" x14ac:dyDescent="0.2">
      <c r="A163" s="37">
        <v>45862</v>
      </c>
      <c r="B163" s="22">
        <f t="shared" si="1"/>
        <v>143</v>
      </c>
      <c r="C163" s="28">
        <f t="shared" si="2"/>
        <v>950</v>
      </c>
      <c r="D163" s="24">
        <v>-1543</v>
      </c>
      <c r="E163" s="28">
        <v>2504</v>
      </c>
      <c r="F163" s="22">
        <f t="shared" si="3"/>
        <v>913</v>
      </c>
      <c r="G163" s="22">
        <f t="shared" si="4"/>
        <v>143</v>
      </c>
      <c r="H163" s="28">
        <f t="shared" si="5"/>
        <v>752</v>
      </c>
      <c r="I163" s="24">
        <v>-1778</v>
      </c>
      <c r="J163" s="28">
        <v>2541</v>
      </c>
      <c r="K163" s="22">
        <f t="shared" si="6"/>
        <v>1138</v>
      </c>
      <c r="L163" s="22">
        <f t="shared" si="7"/>
        <v>143</v>
      </c>
      <c r="M163" s="28">
        <f t="shared" si="8"/>
        <v>627</v>
      </c>
      <c r="N163" s="24">
        <v>-1598</v>
      </c>
      <c r="O163" s="28">
        <v>2636</v>
      </c>
      <c r="P163" s="22">
        <f t="shared" si="9"/>
        <v>908</v>
      </c>
      <c r="Q163" s="36"/>
      <c r="R163" s="30"/>
    </row>
    <row r="164" spans="1:18" ht="15.75" customHeight="1" x14ac:dyDescent="0.2">
      <c r="A164" s="37">
        <v>45863</v>
      </c>
      <c r="B164" s="22">
        <f t="shared" si="1"/>
        <v>144</v>
      </c>
      <c r="C164" s="28">
        <f t="shared" si="2"/>
        <v>950</v>
      </c>
      <c r="D164" s="24">
        <v>-1543</v>
      </c>
      <c r="E164" s="28">
        <v>2504</v>
      </c>
      <c r="F164" s="22">
        <f t="shared" si="3"/>
        <v>913</v>
      </c>
      <c r="G164" s="22">
        <f t="shared" si="4"/>
        <v>144</v>
      </c>
      <c r="H164" s="28">
        <f t="shared" si="5"/>
        <v>747</v>
      </c>
      <c r="I164" s="24">
        <v>-1783</v>
      </c>
      <c r="J164" s="28">
        <v>2541</v>
      </c>
      <c r="K164" s="22">
        <f t="shared" si="6"/>
        <v>1143</v>
      </c>
      <c r="L164" s="22">
        <f t="shared" si="7"/>
        <v>144</v>
      </c>
      <c r="M164" s="28">
        <f t="shared" si="8"/>
        <v>622</v>
      </c>
      <c r="N164" s="24">
        <v>-1603</v>
      </c>
      <c r="O164" s="28">
        <v>2636</v>
      </c>
      <c r="P164" s="22">
        <f t="shared" si="9"/>
        <v>913</v>
      </c>
      <c r="Q164" s="36"/>
      <c r="R164" s="30"/>
    </row>
    <row r="165" spans="1:18" ht="15.75" customHeight="1" x14ac:dyDescent="0.2">
      <c r="A165" s="37">
        <v>45864</v>
      </c>
      <c r="B165" s="22">
        <f t="shared" si="1"/>
        <v>145</v>
      </c>
      <c r="C165" s="28">
        <f t="shared" si="2"/>
        <v>950</v>
      </c>
      <c r="D165" s="24">
        <v>-1543</v>
      </c>
      <c r="E165" s="28">
        <v>2504</v>
      </c>
      <c r="F165" s="22">
        <f t="shared" si="3"/>
        <v>913</v>
      </c>
      <c r="G165" s="22">
        <f t="shared" si="4"/>
        <v>145</v>
      </c>
      <c r="H165" s="28">
        <f t="shared" si="5"/>
        <v>742</v>
      </c>
      <c r="I165" s="24">
        <v>-1788</v>
      </c>
      <c r="J165" s="28">
        <v>2541</v>
      </c>
      <c r="K165" s="22">
        <f t="shared" si="6"/>
        <v>1148</v>
      </c>
      <c r="L165" s="22">
        <f t="shared" si="7"/>
        <v>145</v>
      </c>
      <c r="M165" s="28">
        <f t="shared" si="8"/>
        <v>617</v>
      </c>
      <c r="N165" s="24">
        <v>-1608</v>
      </c>
      <c r="O165" s="28">
        <v>2636</v>
      </c>
      <c r="P165" s="22">
        <f t="shared" si="9"/>
        <v>918</v>
      </c>
      <c r="Q165" s="36"/>
      <c r="R165" s="30"/>
    </row>
    <row r="166" spans="1:18" ht="15.75" customHeight="1" x14ac:dyDescent="0.2">
      <c r="A166" s="37">
        <v>45865</v>
      </c>
      <c r="B166" s="22">
        <f t="shared" si="1"/>
        <v>146</v>
      </c>
      <c r="C166" s="28">
        <f t="shared" si="2"/>
        <v>950</v>
      </c>
      <c r="D166" s="24">
        <v>-1543</v>
      </c>
      <c r="E166" s="28">
        <v>2504</v>
      </c>
      <c r="F166" s="22">
        <f t="shared" si="3"/>
        <v>913</v>
      </c>
      <c r="G166" s="22">
        <f t="shared" si="4"/>
        <v>146</v>
      </c>
      <c r="H166" s="28">
        <f t="shared" si="5"/>
        <v>737</v>
      </c>
      <c r="I166" s="24">
        <v>-1793</v>
      </c>
      <c r="J166" s="28">
        <v>2541</v>
      </c>
      <c r="K166" s="22">
        <f t="shared" si="6"/>
        <v>1153</v>
      </c>
      <c r="L166" s="22">
        <f t="shared" si="7"/>
        <v>146</v>
      </c>
      <c r="M166" s="28">
        <f t="shared" si="8"/>
        <v>612</v>
      </c>
      <c r="N166" s="24">
        <v>-1613</v>
      </c>
      <c r="O166" s="28">
        <v>2636</v>
      </c>
      <c r="P166" s="22">
        <f t="shared" si="9"/>
        <v>923</v>
      </c>
      <c r="Q166" s="36"/>
      <c r="R166" s="30"/>
    </row>
    <row r="167" spans="1:18" ht="15.75" customHeight="1" x14ac:dyDescent="0.2">
      <c r="A167" s="37">
        <v>45866</v>
      </c>
      <c r="B167" s="22">
        <f t="shared" si="1"/>
        <v>147</v>
      </c>
      <c r="C167" s="28">
        <f t="shared" si="2"/>
        <v>950</v>
      </c>
      <c r="D167" s="24">
        <v>-1543</v>
      </c>
      <c r="E167" s="28">
        <v>2504</v>
      </c>
      <c r="F167" s="22">
        <f t="shared" si="3"/>
        <v>913</v>
      </c>
      <c r="G167" s="22">
        <f t="shared" si="4"/>
        <v>147</v>
      </c>
      <c r="H167" s="28">
        <f t="shared" si="5"/>
        <v>732</v>
      </c>
      <c r="I167" s="24">
        <v>-1798</v>
      </c>
      <c r="J167" s="28">
        <v>2541</v>
      </c>
      <c r="K167" s="22">
        <f t="shared" si="6"/>
        <v>1158</v>
      </c>
      <c r="L167" s="22">
        <f t="shared" si="7"/>
        <v>147</v>
      </c>
      <c r="M167" s="28">
        <f t="shared" si="8"/>
        <v>607</v>
      </c>
      <c r="N167" s="24">
        <v>-1618</v>
      </c>
      <c r="O167" s="28">
        <v>2636</v>
      </c>
      <c r="P167" s="22">
        <f t="shared" si="9"/>
        <v>928</v>
      </c>
      <c r="Q167" s="36"/>
      <c r="R167" s="30"/>
    </row>
    <row r="168" spans="1:18" ht="15.75" customHeight="1" x14ac:dyDescent="0.2">
      <c r="A168" s="37">
        <v>45867</v>
      </c>
      <c r="B168" s="22">
        <f t="shared" si="1"/>
        <v>148</v>
      </c>
      <c r="C168" s="25">
        <v>1712</v>
      </c>
      <c r="D168" s="24">
        <v>-1662</v>
      </c>
      <c r="E168" s="28">
        <v>2504</v>
      </c>
      <c r="F168" s="22">
        <f t="shared" si="3"/>
        <v>1032</v>
      </c>
      <c r="G168" s="22">
        <f t="shared" si="4"/>
        <v>148</v>
      </c>
      <c r="H168" s="25">
        <v>1799</v>
      </c>
      <c r="I168" s="24">
        <v>-1803</v>
      </c>
      <c r="J168" s="28">
        <v>2541</v>
      </c>
      <c r="K168" s="22">
        <f t="shared" si="6"/>
        <v>1163</v>
      </c>
      <c r="L168" s="22">
        <f t="shared" si="7"/>
        <v>148</v>
      </c>
      <c r="M168" s="25">
        <v>1519</v>
      </c>
      <c r="N168" s="24">
        <v>-1623</v>
      </c>
      <c r="O168" s="28">
        <v>2636</v>
      </c>
      <c r="P168" s="22">
        <f t="shared" si="9"/>
        <v>933</v>
      </c>
      <c r="Q168" s="36"/>
      <c r="R168" s="30"/>
    </row>
    <row r="169" spans="1:18" ht="15.75" customHeight="1" x14ac:dyDescent="0.2">
      <c r="A169" s="37"/>
      <c r="B169" s="22"/>
      <c r="C169" s="28"/>
      <c r="D169" s="24"/>
      <c r="E169" s="28"/>
      <c r="F169" s="22"/>
      <c r="G169" s="22"/>
      <c r="H169" s="28"/>
      <c r="I169" s="24"/>
      <c r="J169" s="28"/>
      <c r="K169" s="22"/>
      <c r="L169" s="22"/>
      <c r="M169" s="28"/>
      <c r="N169" s="24"/>
      <c r="O169" s="28"/>
      <c r="P169" s="22"/>
      <c r="Q169" s="36"/>
      <c r="R169" s="97"/>
    </row>
    <row r="170" spans="1:18" ht="15.75" customHeight="1" x14ac:dyDescent="0.2">
      <c r="A170" s="37"/>
      <c r="B170" s="22"/>
      <c r="C170" s="28"/>
      <c r="D170" s="24"/>
      <c r="E170" s="28"/>
      <c r="F170" s="22"/>
      <c r="G170" s="22"/>
      <c r="H170" s="28"/>
      <c r="I170" s="24"/>
      <c r="J170" s="28"/>
      <c r="K170" s="22"/>
      <c r="L170" s="22"/>
      <c r="M170" s="28"/>
      <c r="N170" s="24"/>
      <c r="O170" s="28"/>
      <c r="P170" s="22"/>
      <c r="Q170" s="36"/>
      <c r="R170" s="97"/>
    </row>
    <row r="171" spans="1:18" ht="15.75" customHeight="1" x14ac:dyDescent="0.2">
      <c r="A171" s="37"/>
      <c r="B171" s="22"/>
      <c r="C171" s="28"/>
      <c r="D171" s="24"/>
      <c r="E171" s="28"/>
      <c r="F171" s="22"/>
      <c r="G171" s="22"/>
      <c r="H171" s="28"/>
      <c r="I171" s="24"/>
      <c r="J171" s="28"/>
      <c r="K171" s="22"/>
      <c r="L171" s="22"/>
      <c r="M171" s="28"/>
      <c r="N171" s="24"/>
      <c r="O171" s="28"/>
      <c r="P171" s="22"/>
      <c r="Q171" s="36"/>
      <c r="R171" s="97"/>
    </row>
    <row r="172" spans="1:18" ht="15.75" customHeight="1" x14ac:dyDescent="0.2"/>
    <row r="173" spans="1:18" ht="15.75" customHeight="1" x14ac:dyDescent="0.2"/>
    <row r="174" spans="1:18" ht="15.75" customHeight="1" x14ac:dyDescent="0.2"/>
    <row r="175" spans="1:18" ht="15.75" customHeight="1" x14ac:dyDescent="0.2"/>
    <row r="176" spans="1:18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G10:H10"/>
    <mergeCell ref="I10:J10"/>
    <mergeCell ref="Q16:Q18"/>
    <mergeCell ref="R16:R19"/>
    <mergeCell ref="G17:G18"/>
    <mergeCell ref="P17:P18"/>
    <mergeCell ref="N17:N18"/>
    <mergeCell ref="O17:O18"/>
    <mergeCell ref="H17:H18"/>
    <mergeCell ref="I17:I18"/>
    <mergeCell ref="J17:J18"/>
    <mergeCell ref="I11:J11"/>
    <mergeCell ref="B13:C13"/>
    <mergeCell ref="D13:E13"/>
    <mergeCell ref="B12:C12"/>
    <mergeCell ref="D12:E12"/>
    <mergeCell ref="G12:H12"/>
    <mergeCell ref="I12:J12"/>
    <mergeCell ref="G13:H13"/>
    <mergeCell ref="I13:J13"/>
    <mergeCell ref="K17:K18"/>
    <mergeCell ref="L17:L18"/>
    <mergeCell ref="M17:M18"/>
    <mergeCell ref="N12:O12"/>
    <mergeCell ref="P12:R12"/>
    <mergeCell ref="L13:M13"/>
    <mergeCell ref="N13:O13"/>
    <mergeCell ref="P13:R13"/>
    <mergeCell ref="L12:M12"/>
    <mergeCell ref="G16:K16"/>
    <mergeCell ref="L16:P16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A11:A13"/>
    <mergeCell ref="B11:C11"/>
    <mergeCell ref="D11:E11"/>
    <mergeCell ref="G11:H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71">
    <cfRule type="cellIs" dxfId="6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8">
    <outlinePr summaryBelow="0" summaryRight="0"/>
  </sheetPr>
  <dimension ref="A1:R160"/>
  <sheetViews>
    <sheetView topLeftCell="A130" workbookViewId="0">
      <selection activeCell="A161" sqref="A161:XFD171"/>
    </sheetView>
  </sheetViews>
  <sheetFormatPr defaultColWidth="14.42578125" defaultRowHeight="15" customHeight="1" x14ac:dyDescent="0.2"/>
  <cols>
    <col min="2" max="2" width="12.42578125" customWidth="1"/>
    <col min="3" max="3" width="11.42578125" customWidth="1"/>
    <col min="4" max="4" width="12" customWidth="1"/>
    <col min="5" max="5" width="13.42578125" customWidth="1"/>
    <col min="6" max="6" width="13.28515625" customWidth="1"/>
    <col min="7" max="7" width="13" customWidth="1"/>
    <col min="8" max="8" width="14.42578125" customWidth="1"/>
    <col min="10" max="10" width="13" customWidth="1"/>
    <col min="11" max="11" width="12.7109375" customWidth="1"/>
    <col min="12" max="12" width="13.5703125" customWidth="1"/>
    <col min="13" max="13" width="11.85546875" customWidth="1"/>
    <col min="14" max="15" width="13.42578125" customWidth="1"/>
    <col min="16" max="16" width="12.28515625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30" t="s">
        <v>2</v>
      </c>
      <c r="B4" s="132" t="s">
        <v>3</v>
      </c>
      <c r="C4" s="133"/>
      <c r="D4" s="132" t="s">
        <v>4</v>
      </c>
      <c r="E4" s="136"/>
      <c r="F4" s="138" t="str">
        <f>+"Cao trình nghiệm thu [m] ("&amp;TEXT(A16,"dd/mm/yy")&amp;")"</f>
        <v>Cao trình nghiệm thu [m] (24/03/25)</v>
      </c>
      <c r="G4" s="107"/>
      <c r="H4" s="107"/>
      <c r="I4" s="107"/>
      <c r="J4" s="107"/>
      <c r="K4" s="107"/>
      <c r="L4" s="115" t="s">
        <v>5</v>
      </c>
      <c r="M4" s="107"/>
      <c r="N4" s="107"/>
      <c r="O4" s="107"/>
      <c r="P4" s="132" t="s">
        <v>6</v>
      </c>
      <c r="Q4" s="136"/>
      <c r="R4" s="139"/>
    </row>
    <row r="5" spans="1:18" ht="15" customHeight="1" x14ac:dyDescent="0.2">
      <c r="A5" s="131"/>
      <c r="B5" s="134"/>
      <c r="C5" s="135"/>
      <c r="D5" s="134"/>
      <c r="E5" s="137"/>
      <c r="F5" s="6" t="s">
        <v>7</v>
      </c>
      <c r="G5" s="141" t="s">
        <v>8</v>
      </c>
      <c r="H5" s="116"/>
      <c r="I5" s="141" t="s">
        <v>9</v>
      </c>
      <c r="J5" s="116"/>
      <c r="K5" s="6" t="s">
        <v>10</v>
      </c>
      <c r="L5" s="115" t="s">
        <v>11</v>
      </c>
      <c r="M5" s="116"/>
      <c r="N5" s="115" t="s">
        <v>12</v>
      </c>
      <c r="O5" s="107"/>
      <c r="P5" s="134"/>
      <c r="Q5" s="137"/>
      <c r="R5" s="140"/>
    </row>
    <row r="6" spans="1:18" ht="15" customHeight="1" x14ac:dyDescent="0.2">
      <c r="A6" s="151" t="s">
        <v>13</v>
      </c>
      <c r="B6" s="152" t="s">
        <v>14</v>
      </c>
      <c r="C6" s="118"/>
      <c r="D6" s="153"/>
      <c r="E6" s="118"/>
      <c r="F6" s="7"/>
      <c r="G6" s="143"/>
      <c r="H6" s="118"/>
      <c r="I6" s="143"/>
      <c r="J6" s="118"/>
      <c r="K6" s="8"/>
      <c r="L6" s="117"/>
      <c r="M6" s="118"/>
      <c r="N6" s="117"/>
      <c r="O6" s="118"/>
      <c r="P6" s="119" t="s">
        <v>15</v>
      </c>
      <c r="Q6" s="120"/>
      <c r="R6" s="121"/>
    </row>
    <row r="7" spans="1:18" ht="15" customHeight="1" x14ac:dyDescent="0.2">
      <c r="A7" s="149"/>
      <c r="B7" s="145" t="s">
        <v>16</v>
      </c>
      <c r="C7" s="123"/>
      <c r="D7" s="124"/>
      <c r="E7" s="123"/>
      <c r="F7" s="9"/>
      <c r="G7" s="146"/>
      <c r="H7" s="123"/>
      <c r="I7" s="146"/>
      <c r="J7" s="123"/>
      <c r="K7" s="10"/>
      <c r="L7" s="122"/>
      <c r="M7" s="123"/>
      <c r="N7" s="122"/>
      <c r="O7" s="123"/>
      <c r="P7" s="124" t="s">
        <v>113</v>
      </c>
      <c r="Q7" s="125"/>
      <c r="R7" s="126"/>
    </row>
    <row r="8" spans="1:18" ht="15" customHeight="1" x14ac:dyDescent="0.2">
      <c r="A8" s="150"/>
      <c r="B8" s="154" t="s">
        <v>17</v>
      </c>
      <c r="C8" s="100"/>
      <c r="D8" s="155"/>
      <c r="E8" s="100"/>
      <c r="F8" s="11"/>
      <c r="G8" s="99"/>
      <c r="H8" s="100"/>
      <c r="I8" s="99"/>
      <c r="J8" s="100"/>
      <c r="K8" s="12"/>
      <c r="L8" s="102"/>
      <c r="M8" s="100"/>
      <c r="N8" s="102"/>
      <c r="O8" s="100"/>
      <c r="P8" s="103"/>
      <c r="Q8" s="104"/>
      <c r="R8" s="105"/>
    </row>
    <row r="9" spans="1:18" ht="15" customHeight="1" x14ac:dyDescent="0.2">
      <c r="A9" s="1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48" t="s">
        <v>19</v>
      </c>
      <c r="B11" s="106" t="s">
        <v>20</v>
      </c>
      <c r="C11" s="107"/>
      <c r="D11" s="107"/>
      <c r="E11" s="107"/>
      <c r="F11" s="107"/>
      <c r="G11" s="106" t="s">
        <v>21</v>
      </c>
      <c r="H11" s="107"/>
      <c r="I11" s="107"/>
      <c r="J11" s="107"/>
      <c r="K11" s="107"/>
      <c r="L11" s="106" t="s">
        <v>22</v>
      </c>
      <c r="M11" s="107"/>
      <c r="N11" s="107"/>
      <c r="O11" s="107"/>
      <c r="P11" s="107"/>
      <c r="Q11" s="108" t="s">
        <v>114</v>
      </c>
      <c r="R11" s="112" t="s">
        <v>115</v>
      </c>
    </row>
    <row r="12" spans="1:18" ht="15" customHeight="1" x14ac:dyDescent="0.2">
      <c r="A12" s="149"/>
      <c r="B12" s="108" t="s">
        <v>23</v>
      </c>
      <c r="C12" s="108" t="s">
        <v>33</v>
      </c>
      <c r="D12" s="108" t="s">
        <v>24</v>
      </c>
      <c r="E12" s="108" t="s">
        <v>34</v>
      </c>
      <c r="F12" s="108" t="s">
        <v>25</v>
      </c>
      <c r="G12" s="108" t="s">
        <v>23</v>
      </c>
      <c r="H12" s="108" t="s">
        <v>33</v>
      </c>
      <c r="I12" s="108" t="s">
        <v>24</v>
      </c>
      <c r="J12" s="108" t="s">
        <v>34</v>
      </c>
      <c r="K12" s="108" t="s">
        <v>25</v>
      </c>
      <c r="L12" s="108" t="s">
        <v>23</v>
      </c>
      <c r="M12" s="108" t="s">
        <v>33</v>
      </c>
      <c r="N12" s="108" t="s">
        <v>24</v>
      </c>
      <c r="O12" s="108" t="s">
        <v>34</v>
      </c>
      <c r="P12" s="108" t="s">
        <v>25</v>
      </c>
      <c r="Q12" s="111"/>
      <c r="R12" s="113"/>
    </row>
    <row r="13" spans="1:18" ht="15" customHeight="1" x14ac:dyDescent="0.2">
      <c r="A13" s="14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13"/>
    </row>
    <row r="14" spans="1:18" ht="15" customHeight="1" x14ac:dyDescent="0.2">
      <c r="A14" s="150"/>
      <c r="B14" s="14" t="s">
        <v>28</v>
      </c>
      <c r="C14" s="15" t="s">
        <v>26</v>
      </c>
      <c r="D14" s="15" t="s">
        <v>27</v>
      </c>
      <c r="E14" s="15" t="s">
        <v>26</v>
      </c>
      <c r="F14" s="15" t="s">
        <v>27</v>
      </c>
      <c r="G14" s="14" t="s">
        <v>28</v>
      </c>
      <c r="H14" s="15" t="s">
        <v>26</v>
      </c>
      <c r="I14" s="15" t="s">
        <v>27</v>
      </c>
      <c r="J14" s="15" t="s">
        <v>26</v>
      </c>
      <c r="K14" s="15" t="s">
        <v>27</v>
      </c>
      <c r="L14" s="14" t="s">
        <v>28</v>
      </c>
      <c r="M14" s="15" t="s">
        <v>26</v>
      </c>
      <c r="N14" s="15" t="s">
        <v>27</v>
      </c>
      <c r="O14" s="15" t="s">
        <v>26</v>
      </c>
      <c r="P14" s="15" t="s">
        <v>27</v>
      </c>
      <c r="Q14" s="17" t="s">
        <v>29</v>
      </c>
      <c r="R14" s="114"/>
    </row>
    <row r="15" spans="1:18" ht="15" customHeight="1" x14ac:dyDescent="0.2">
      <c r="A15" s="18">
        <v>1</v>
      </c>
      <c r="B15" s="19">
        <f t="shared" ref="B15:R15" si="0">+A15+1</f>
        <v>2</v>
      </c>
      <c r="C15" s="19">
        <f t="shared" si="0"/>
        <v>3</v>
      </c>
      <c r="D15" s="19">
        <f t="shared" si="0"/>
        <v>4</v>
      </c>
      <c r="E15" s="19">
        <f t="shared" si="0"/>
        <v>5</v>
      </c>
      <c r="F15" s="19">
        <f t="shared" si="0"/>
        <v>6</v>
      </c>
      <c r="G15" s="19">
        <f t="shared" si="0"/>
        <v>7</v>
      </c>
      <c r="H15" s="19">
        <f t="shared" si="0"/>
        <v>8</v>
      </c>
      <c r="I15" s="19">
        <f t="shared" si="0"/>
        <v>9</v>
      </c>
      <c r="J15" s="19">
        <f t="shared" si="0"/>
        <v>10</v>
      </c>
      <c r="K15" s="19">
        <f t="shared" si="0"/>
        <v>11</v>
      </c>
      <c r="L15" s="19">
        <f t="shared" si="0"/>
        <v>12</v>
      </c>
      <c r="M15" s="19">
        <f t="shared" si="0"/>
        <v>13</v>
      </c>
      <c r="N15" s="19">
        <f t="shared" si="0"/>
        <v>14</v>
      </c>
      <c r="O15" s="19">
        <f t="shared" si="0"/>
        <v>15</v>
      </c>
      <c r="P15" s="19">
        <f t="shared" si="0"/>
        <v>16</v>
      </c>
      <c r="Q15" s="19">
        <f t="shared" si="0"/>
        <v>17</v>
      </c>
      <c r="R15" s="19">
        <f t="shared" si="0"/>
        <v>18</v>
      </c>
    </row>
    <row r="16" spans="1:18" ht="15" customHeight="1" x14ac:dyDescent="0.2">
      <c r="A16" s="98">
        <v>45740</v>
      </c>
      <c r="B16" s="22">
        <v>1</v>
      </c>
      <c r="C16" s="23">
        <v>1545</v>
      </c>
      <c r="D16" s="24">
        <v>-980</v>
      </c>
      <c r="E16" s="25">
        <v>2534</v>
      </c>
      <c r="F16" s="22">
        <v>0</v>
      </c>
      <c r="G16" s="22">
        <v>1</v>
      </c>
      <c r="H16" s="25">
        <v>1472</v>
      </c>
      <c r="I16" s="24">
        <v>-1150</v>
      </c>
      <c r="J16" s="28">
        <f t="shared" ref="J16:J143" si="1">H16-I16</f>
        <v>2622</v>
      </c>
      <c r="K16" s="22">
        <v>0</v>
      </c>
      <c r="L16" s="22">
        <v>1</v>
      </c>
      <c r="M16" s="23">
        <v>1557</v>
      </c>
      <c r="N16" s="24">
        <v>-650</v>
      </c>
      <c r="O16" s="28">
        <f t="shared" ref="O16:O143" si="2">M16-N16</f>
        <v>2207</v>
      </c>
      <c r="P16" s="22">
        <v>0</v>
      </c>
      <c r="Q16" s="29"/>
      <c r="R16" s="30"/>
    </row>
    <row r="17" spans="1:18" ht="15" customHeight="1" x14ac:dyDescent="0.2">
      <c r="A17" s="98">
        <v>45741</v>
      </c>
      <c r="B17" s="22">
        <f t="shared" ref="B17:B143" si="3">B16+1</f>
        <v>2</v>
      </c>
      <c r="C17" s="25">
        <f t="shared" ref="C17:C142" si="4">$C$16-F17</f>
        <v>1545</v>
      </c>
      <c r="D17" s="24">
        <v>-980</v>
      </c>
      <c r="E17" s="25">
        <v>2534</v>
      </c>
      <c r="F17" s="26">
        <f t="shared" ref="F17:F143" si="5">$D$16-D17</f>
        <v>0</v>
      </c>
      <c r="G17" s="22">
        <f t="shared" ref="G17:G143" si="6">G16+1</f>
        <v>2</v>
      </c>
      <c r="H17" s="25">
        <f t="shared" ref="H17:H142" si="7">$H$16-K17</f>
        <v>1472</v>
      </c>
      <c r="I17" s="24">
        <v>-1150</v>
      </c>
      <c r="J17" s="28">
        <f t="shared" si="1"/>
        <v>2622</v>
      </c>
      <c r="K17" s="22">
        <f t="shared" ref="K17:K143" si="8">$I$16-I17</f>
        <v>0</v>
      </c>
      <c r="L17" s="22">
        <f t="shared" ref="L17:L143" si="9">L16+1</f>
        <v>2</v>
      </c>
      <c r="M17" s="25">
        <f t="shared" ref="M17:M142" si="10">$M$16-P17</f>
        <v>1557</v>
      </c>
      <c r="N17" s="24">
        <v>-650</v>
      </c>
      <c r="O17" s="28">
        <f t="shared" si="2"/>
        <v>2207</v>
      </c>
      <c r="P17" s="22">
        <f t="shared" ref="P17:P143" si="11">$N$16-N17</f>
        <v>0</v>
      </c>
      <c r="Q17" s="29"/>
      <c r="R17" s="30"/>
    </row>
    <row r="18" spans="1:18" ht="15" customHeight="1" x14ac:dyDescent="0.2">
      <c r="A18" s="98">
        <v>45742</v>
      </c>
      <c r="B18" s="22">
        <f t="shared" si="3"/>
        <v>3</v>
      </c>
      <c r="C18" s="25">
        <f t="shared" si="4"/>
        <v>1513</v>
      </c>
      <c r="D18" s="24">
        <v>-1012</v>
      </c>
      <c r="E18" s="25">
        <v>2534</v>
      </c>
      <c r="F18" s="26">
        <f t="shared" si="5"/>
        <v>32</v>
      </c>
      <c r="G18" s="22">
        <f t="shared" si="6"/>
        <v>3</v>
      </c>
      <c r="H18" s="25">
        <f t="shared" si="7"/>
        <v>1422</v>
      </c>
      <c r="I18" s="24">
        <v>-1200</v>
      </c>
      <c r="J18" s="28">
        <f t="shared" si="1"/>
        <v>2622</v>
      </c>
      <c r="K18" s="22">
        <f t="shared" si="8"/>
        <v>50</v>
      </c>
      <c r="L18" s="22">
        <f t="shared" si="9"/>
        <v>3</v>
      </c>
      <c r="M18" s="25">
        <f t="shared" si="10"/>
        <v>1534</v>
      </c>
      <c r="N18" s="24">
        <v>-673</v>
      </c>
      <c r="O18" s="28">
        <f t="shared" si="2"/>
        <v>2207</v>
      </c>
      <c r="P18" s="22">
        <f t="shared" si="11"/>
        <v>23</v>
      </c>
      <c r="Q18" s="29"/>
      <c r="R18" s="30"/>
    </row>
    <row r="19" spans="1:18" ht="15" customHeight="1" x14ac:dyDescent="0.2">
      <c r="A19" s="98">
        <v>45743</v>
      </c>
      <c r="B19" s="22">
        <f t="shared" si="3"/>
        <v>4</v>
      </c>
      <c r="C19" s="25">
        <f t="shared" si="4"/>
        <v>1503</v>
      </c>
      <c r="D19" s="24">
        <v>-1022</v>
      </c>
      <c r="E19" s="25">
        <v>2534</v>
      </c>
      <c r="F19" s="26">
        <f t="shared" si="5"/>
        <v>42</v>
      </c>
      <c r="G19" s="22">
        <f t="shared" si="6"/>
        <v>4</v>
      </c>
      <c r="H19" s="25">
        <f t="shared" si="7"/>
        <v>1404</v>
      </c>
      <c r="I19" s="24">
        <v>-1218</v>
      </c>
      <c r="J19" s="28">
        <f t="shared" si="1"/>
        <v>2622</v>
      </c>
      <c r="K19" s="22">
        <f t="shared" si="8"/>
        <v>68</v>
      </c>
      <c r="L19" s="22">
        <f t="shared" si="9"/>
        <v>4</v>
      </c>
      <c r="M19" s="25">
        <f t="shared" si="10"/>
        <v>1524</v>
      </c>
      <c r="N19" s="24">
        <v>-683</v>
      </c>
      <c r="O19" s="28">
        <f t="shared" si="2"/>
        <v>2207</v>
      </c>
      <c r="P19" s="22">
        <f t="shared" si="11"/>
        <v>33</v>
      </c>
      <c r="Q19" s="29"/>
      <c r="R19" s="30"/>
    </row>
    <row r="20" spans="1:18" ht="15" customHeight="1" x14ac:dyDescent="0.2">
      <c r="A20" s="98">
        <v>45744</v>
      </c>
      <c r="B20" s="22">
        <f t="shared" si="3"/>
        <v>5</v>
      </c>
      <c r="C20" s="25">
        <f t="shared" si="4"/>
        <v>1495</v>
      </c>
      <c r="D20" s="24">
        <v>-1030</v>
      </c>
      <c r="E20" s="25">
        <v>2534</v>
      </c>
      <c r="F20" s="26">
        <f t="shared" si="5"/>
        <v>50</v>
      </c>
      <c r="G20" s="22">
        <f t="shared" si="6"/>
        <v>5</v>
      </c>
      <c r="H20" s="25">
        <f t="shared" si="7"/>
        <v>1387</v>
      </c>
      <c r="I20" s="24">
        <v>-1235</v>
      </c>
      <c r="J20" s="28">
        <f t="shared" si="1"/>
        <v>2622</v>
      </c>
      <c r="K20" s="22">
        <f t="shared" si="8"/>
        <v>85</v>
      </c>
      <c r="L20" s="22">
        <f t="shared" si="9"/>
        <v>5</v>
      </c>
      <c r="M20" s="25">
        <f t="shared" si="10"/>
        <v>1517</v>
      </c>
      <c r="N20" s="24">
        <v>-690</v>
      </c>
      <c r="O20" s="28">
        <f t="shared" si="2"/>
        <v>2207</v>
      </c>
      <c r="P20" s="22">
        <f t="shared" si="11"/>
        <v>40</v>
      </c>
      <c r="Q20" s="29"/>
      <c r="R20" s="30"/>
    </row>
    <row r="21" spans="1:18" ht="15" customHeight="1" x14ac:dyDescent="0.2">
      <c r="A21" s="98">
        <v>45745</v>
      </c>
      <c r="B21" s="22">
        <f t="shared" si="3"/>
        <v>6</v>
      </c>
      <c r="C21" s="25">
        <f t="shared" si="4"/>
        <v>1491</v>
      </c>
      <c r="D21" s="24">
        <v>-1034</v>
      </c>
      <c r="E21" s="25">
        <v>2534</v>
      </c>
      <c r="F21" s="26">
        <f t="shared" si="5"/>
        <v>54</v>
      </c>
      <c r="G21" s="22">
        <f t="shared" si="6"/>
        <v>6</v>
      </c>
      <c r="H21" s="25">
        <f t="shared" si="7"/>
        <v>1382</v>
      </c>
      <c r="I21" s="24">
        <v>-1240</v>
      </c>
      <c r="J21" s="28">
        <f t="shared" si="1"/>
        <v>2622</v>
      </c>
      <c r="K21" s="22">
        <f t="shared" si="8"/>
        <v>90</v>
      </c>
      <c r="L21" s="22">
        <f t="shared" si="9"/>
        <v>6</v>
      </c>
      <c r="M21" s="25">
        <f t="shared" si="10"/>
        <v>1512</v>
      </c>
      <c r="N21" s="24">
        <v>-695</v>
      </c>
      <c r="O21" s="28">
        <f t="shared" si="2"/>
        <v>2207</v>
      </c>
      <c r="P21" s="22">
        <f t="shared" si="11"/>
        <v>45</v>
      </c>
      <c r="Q21" s="29"/>
      <c r="R21" s="30"/>
    </row>
    <row r="22" spans="1:18" ht="15" customHeight="1" x14ac:dyDescent="0.2">
      <c r="A22" s="98">
        <v>45746</v>
      </c>
      <c r="B22" s="22">
        <f t="shared" si="3"/>
        <v>7</v>
      </c>
      <c r="C22" s="25">
        <f t="shared" si="4"/>
        <v>1489</v>
      </c>
      <c r="D22" s="24">
        <v>-1036</v>
      </c>
      <c r="E22" s="25">
        <v>2534</v>
      </c>
      <c r="F22" s="26">
        <f t="shared" si="5"/>
        <v>56</v>
      </c>
      <c r="G22" s="22">
        <f t="shared" si="6"/>
        <v>7</v>
      </c>
      <c r="H22" s="25">
        <f t="shared" si="7"/>
        <v>1377</v>
      </c>
      <c r="I22" s="24">
        <v>-1245</v>
      </c>
      <c r="J22" s="28">
        <f t="shared" si="1"/>
        <v>2622</v>
      </c>
      <c r="K22" s="22">
        <f t="shared" si="8"/>
        <v>95</v>
      </c>
      <c r="L22" s="22">
        <f t="shared" si="9"/>
        <v>7</v>
      </c>
      <c r="M22" s="25">
        <f t="shared" si="10"/>
        <v>1507</v>
      </c>
      <c r="N22" s="24">
        <v>-700</v>
      </c>
      <c r="O22" s="28">
        <f t="shared" si="2"/>
        <v>2207</v>
      </c>
      <c r="P22" s="22">
        <f t="shared" si="11"/>
        <v>50</v>
      </c>
      <c r="Q22" s="29"/>
      <c r="R22" s="30"/>
    </row>
    <row r="23" spans="1:18" ht="15" customHeight="1" x14ac:dyDescent="0.2">
      <c r="A23" s="98">
        <v>45747</v>
      </c>
      <c r="B23" s="22">
        <f t="shared" si="3"/>
        <v>8</v>
      </c>
      <c r="C23" s="25">
        <f t="shared" si="4"/>
        <v>1487</v>
      </c>
      <c r="D23" s="24">
        <v>-1038</v>
      </c>
      <c r="E23" s="25">
        <v>2534</v>
      </c>
      <c r="F23" s="26">
        <f t="shared" si="5"/>
        <v>58</v>
      </c>
      <c r="G23" s="22">
        <f t="shared" si="6"/>
        <v>8</v>
      </c>
      <c r="H23" s="25">
        <f t="shared" si="7"/>
        <v>1370</v>
      </c>
      <c r="I23" s="24">
        <v>-1252</v>
      </c>
      <c r="J23" s="28">
        <f t="shared" si="1"/>
        <v>2622</v>
      </c>
      <c r="K23" s="22">
        <f t="shared" si="8"/>
        <v>102</v>
      </c>
      <c r="L23" s="22">
        <f t="shared" si="9"/>
        <v>8</v>
      </c>
      <c r="M23" s="25">
        <f t="shared" si="10"/>
        <v>1502</v>
      </c>
      <c r="N23" s="24">
        <v>-705</v>
      </c>
      <c r="O23" s="28">
        <f t="shared" si="2"/>
        <v>2207</v>
      </c>
      <c r="P23" s="22">
        <f t="shared" si="11"/>
        <v>55</v>
      </c>
      <c r="Q23" s="29"/>
      <c r="R23" s="30"/>
    </row>
    <row r="24" spans="1:18" ht="15" customHeight="1" x14ac:dyDescent="0.2">
      <c r="A24" s="98">
        <v>45748</v>
      </c>
      <c r="B24" s="22">
        <f t="shared" si="3"/>
        <v>9</v>
      </c>
      <c r="C24" s="25">
        <f t="shared" si="4"/>
        <v>1470</v>
      </c>
      <c r="D24" s="24">
        <v>-1055</v>
      </c>
      <c r="E24" s="25">
        <v>2534</v>
      </c>
      <c r="F24" s="26">
        <f t="shared" si="5"/>
        <v>75</v>
      </c>
      <c r="G24" s="22">
        <f t="shared" si="6"/>
        <v>9</v>
      </c>
      <c r="H24" s="25">
        <f t="shared" si="7"/>
        <v>1352</v>
      </c>
      <c r="I24" s="24">
        <v>-1270</v>
      </c>
      <c r="J24" s="28">
        <f t="shared" si="1"/>
        <v>2622</v>
      </c>
      <c r="K24" s="22">
        <f t="shared" si="8"/>
        <v>120</v>
      </c>
      <c r="L24" s="22">
        <f t="shared" si="9"/>
        <v>9</v>
      </c>
      <c r="M24" s="25">
        <f t="shared" si="10"/>
        <v>1500</v>
      </c>
      <c r="N24" s="24">
        <v>-707</v>
      </c>
      <c r="O24" s="28">
        <f t="shared" si="2"/>
        <v>2207</v>
      </c>
      <c r="P24" s="22">
        <f t="shared" si="11"/>
        <v>57</v>
      </c>
      <c r="Q24" s="29"/>
      <c r="R24" s="30"/>
    </row>
    <row r="25" spans="1:18" ht="15" customHeight="1" x14ac:dyDescent="0.2">
      <c r="A25" s="98">
        <v>45749</v>
      </c>
      <c r="B25" s="22">
        <f t="shared" si="3"/>
        <v>10</v>
      </c>
      <c r="C25" s="25">
        <f t="shared" si="4"/>
        <v>1456</v>
      </c>
      <c r="D25" s="24">
        <v>-1069</v>
      </c>
      <c r="E25" s="25">
        <v>2534</v>
      </c>
      <c r="F25" s="26">
        <f t="shared" si="5"/>
        <v>89</v>
      </c>
      <c r="G25" s="22">
        <f t="shared" si="6"/>
        <v>10</v>
      </c>
      <c r="H25" s="25">
        <f t="shared" si="7"/>
        <v>1334</v>
      </c>
      <c r="I25" s="24">
        <v>-1288</v>
      </c>
      <c r="J25" s="28">
        <f t="shared" si="1"/>
        <v>2622</v>
      </c>
      <c r="K25" s="22">
        <f t="shared" si="8"/>
        <v>138</v>
      </c>
      <c r="L25" s="22">
        <f t="shared" si="9"/>
        <v>10</v>
      </c>
      <c r="M25" s="25">
        <f t="shared" si="10"/>
        <v>1499</v>
      </c>
      <c r="N25" s="24">
        <v>-708</v>
      </c>
      <c r="O25" s="28">
        <f t="shared" si="2"/>
        <v>2207</v>
      </c>
      <c r="P25" s="22">
        <f t="shared" si="11"/>
        <v>58</v>
      </c>
      <c r="Q25" s="29"/>
      <c r="R25" s="30"/>
    </row>
    <row r="26" spans="1:18" ht="15" customHeight="1" x14ac:dyDescent="0.2">
      <c r="A26" s="98">
        <v>45750</v>
      </c>
      <c r="B26" s="22">
        <f t="shared" si="3"/>
        <v>11</v>
      </c>
      <c r="C26" s="25">
        <f t="shared" si="4"/>
        <v>1443</v>
      </c>
      <c r="D26" s="24">
        <v>-1082</v>
      </c>
      <c r="E26" s="25">
        <v>2534</v>
      </c>
      <c r="F26" s="26">
        <f t="shared" si="5"/>
        <v>102</v>
      </c>
      <c r="G26" s="22">
        <f t="shared" si="6"/>
        <v>11</v>
      </c>
      <c r="H26" s="25">
        <f t="shared" si="7"/>
        <v>1320</v>
      </c>
      <c r="I26" s="24">
        <v>-1302</v>
      </c>
      <c r="J26" s="28">
        <f t="shared" si="1"/>
        <v>2622</v>
      </c>
      <c r="K26" s="22">
        <f t="shared" si="8"/>
        <v>152</v>
      </c>
      <c r="L26" s="22">
        <f t="shared" si="9"/>
        <v>11</v>
      </c>
      <c r="M26" s="25">
        <f t="shared" si="10"/>
        <v>1487</v>
      </c>
      <c r="N26" s="24">
        <v>-720</v>
      </c>
      <c r="O26" s="28">
        <f t="shared" si="2"/>
        <v>2207</v>
      </c>
      <c r="P26" s="22">
        <f t="shared" si="11"/>
        <v>70</v>
      </c>
      <c r="Q26" s="29"/>
      <c r="R26" s="30"/>
    </row>
    <row r="27" spans="1:18" ht="15" customHeight="1" x14ac:dyDescent="0.2">
      <c r="A27" s="98">
        <v>45751</v>
      </c>
      <c r="B27" s="22">
        <f t="shared" si="3"/>
        <v>12</v>
      </c>
      <c r="C27" s="25">
        <f t="shared" si="4"/>
        <v>1428</v>
      </c>
      <c r="D27" s="24">
        <v>-1097</v>
      </c>
      <c r="E27" s="25">
        <v>2534</v>
      </c>
      <c r="F27" s="26">
        <f t="shared" si="5"/>
        <v>117</v>
      </c>
      <c r="G27" s="22">
        <f t="shared" si="6"/>
        <v>12</v>
      </c>
      <c r="H27" s="25">
        <f t="shared" si="7"/>
        <v>1304</v>
      </c>
      <c r="I27" s="24">
        <v>-1318</v>
      </c>
      <c r="J27" s="28">
        <f t="shared" si="1"/>
        <v>2622</v>
      </c>
      <c r="K27" s="22">
        <f t="shared" si="8"/>
        <v>168</v>
      </c>
      <c r="L27" s="22">
        <f t="shared" si="9"/>
        <v>12</v>
      </c>
      <c r="M27" s="25">
        <f t="shared" si="10"/>
        <v>1472</v>
      </c>
      <c r="N27" s="24">
        <v>-735</v>
      </c>
      <c r="O27" s="28">
        <f t="shared" si="2"/>
        <v>2207</v>
      </c>
      <c r="P27" s="22">
        <f t="shared" si="11"/>
        <v>85</v>
      </c>
      <c r="Q27" s="29"/>
      <c r="R27" s="30"/>
    </row>
    <row r="28" spans="1:18" ht="15" customHeight="1" x14ac:dyDescent="0.2">
      <c r="A28" s="98">
        <v>45752</v>
      </c>
      <c r="B28" s="22">
        <f t="shared" si="3"/>
        <v>13</v>
      </c>
      <c r="C28" s="25">
        <f t="shared" si="4"/>
        <v>1416</v>
      </c>
      <c r="D28" s="24">
        <v>-1109</v>
      </c>
      <c r="E28" s="25">
        <v>2534</v>
      </c>
      <c r="F28" s="26">
        <f t="shared" si="5"/>
        <v>129</v>
      </c>
      <c r="G28" s="22">
        <f t="shared" si="6"/>
        <v>13</v>
      </c>
      <c r="H28" s="25">
        <f t="shared" si="7"/>
        <v>1292</v>
      </c>
      <c r="I28" s="24">
        <v>-1330</v>
      </c>
      <c r="J28" s="28">
        <f t="shared" si="1"/>
        <v>2622</v>
      </c>
      <c r="K28" s="22">
        <f t="shared" si="8"/>
        <v>180</v>
      </c>
      <c r="L28" s="22">
        <f t="shared" si="9"/>
        <v>13</v>
      </c>
      <c r="M28" s="25">
        <f t="shared" si="10"/>
        <v>1460</v>
      </c>
      <c r="N28" s="24">
        <v>-747</v>
      </c>
      <c r="O28" s="28">
        <f t="shared" si="2"/>
        <v>2207</v>
      </c>
      <c r="P28" s="22">
        <f t="shared" si="11"/>
        <v>97</v>
      </c>
      <c r="Q28" s="29"/>
      <c r="R28" s="30"/>
    </row>
    <row r="29" spans="1:18" ht="15" customHeight="1" x14ac:dyDescent="0.2">
      <c r="A29" s="98">
        <v>45753</v>
      </c>
      <c r="B29" s="22">
        <f t="shared" si="3"/>
        <v>14</v>
      </c>
      <c r="C29" s="25">
        <f t="shared" si="4"/>
        <v>1404</v>
      </c>
      <c r="D29" s="24">
        <v>-1121</v>
      </c>
      <c r="E29" s="25">
        <v>2534</v>
      </c>
      <c r="F29" s="26">
        <f t="shared" si="5"/>
        <v>141</v>
      </c>
      <c r="G29" s="22">
        <f t="shared" si="6"/>
        <v>14</v>
      </c>
      <c r="H29" s="25">
        <f t="shared" si="7"/>
        <v>1282</v>
      </c>
      <c r="I29" s="24">
        <v>-1340</v>
      </c>
      <c r="J29" s="28">
        <f t="shared" si="1"/>
        <v>2622</v>
      </c>
      <c r="K29" s="22">
        <f t="shared" si="8"/>
        <v>190</v>
      </c>
      <c r="L29" s="22">
        <f t="shared" si="9"/>
        <v>14</v>
      </c>
      <c r="M29" s="25">
        <f t="shared" si="10"/>
        <v>1451</v>
      </c>
      <c r="N29" s="24">
        <v>-756</v>
      </c>
      <c r="O29" s="28">
        <f t="shared" si="2"/>
        <v>2207</v>
      </c>
      <c r="P29" s="22">
        <f t="shared" si="11"/>
        <v>106</v>
      </c>
      <c r="Q29" s="29"/>
      <c r="R29" s="30"/>
    </row>
    <row r="30" spans="1:18" ht="15" customHeight="1" x14ac:dyDescent="0.2">
      <c r="A30" s="98">
        <v>45754</v>
      </c>
      <c r="B30" s="22">
        <f t="shared" si="3"/>
        <v>15</v>
      </c>
      <c r="C30" s="25">
        <f t="shared" si="4"/>
        <v>1393</v>
      </c>
      <c r="D30" s="24">
        <v>-1132</v>
      </c>
      <c r="E30" s="25">
        <v>2534</v>
      </c>
      <c r="F30" s="26">
        <f t="shared" si="5"/>
        <v>152</v>
      </c>
      <c r="G30" s="22">
        <f t="shared" si="6"/>
        <v>15</v>
      </c>
      <c r="H30" s="25">
        <f t="shared" si="7"/>
        <v>1273</v>
      </c>
      <c r="I30" s="24">
        <v>-1349</v>
      </c>
      <c r="J30" s="28">
        <f t="shared" si="1"/>
        <v>2622</v>
      </c>
      <c r="K30" s="22">
        <f t="shared" si="8"/>
        <v>199</v>
      </c>
      <c r="L30" s="22">
        <f t="shared" si="9"/>
        <v>15</v>
      </c>
      <c r="M30" s="25">
        <f t="shared" si="10"/>
        <v>1439</v>
      </c>
      <c r="N30" s="24">
        <v>-768</v>
      </c>
      <c r="O30" s="28">
        <f t="shared" si="2"/>
        <v>2207</v>
      </c>
      <c r="P30" s="22">
        <f t="shared" si="11"/>
        <v>118</v>
      </c>
      <c r="Q30" s="36"/>
      <c r="R30" s="30"/>
    </row>
    <row r="31" spans="1:18" ht="15" customHeight="1" x14ac:dyDescent="0.2">
      <c r="A31" s="98">
        <v>45755</v>
      </c>
      <c r="B31" s="22">
        <f t="shared" si="3"/>
        <v>16</v>
      </c>
      <c r="C31" s="25">
        <f t="shared" si="4"/>
        <v>1382</v>
      </c>
      <c r="D31" s="24">
        <v>-1143</v>
      </c>
      <c r="E31" s="25">
        <v>2534</v>
      </c>
      <c r="F31" s="26">
        <f t="shared" si="5"/>
        <v>163</v>
      </c>
      <c r="G31" s="22">
        <f t="shared" si="6"/>
        <v>16</v>
      </c>
      <c r="H31" s="25">
        <f t="shared" si="7"/>
        <v>1252</v>
      </c>
      <c r="I31" s="24">
        <v>-1370</v>
      </c>
      <c r="J31" s="28">
        <f t="shared" si="1"/>
        <v>2622</v>
      </c>
      <c r="K31" s="22">
        <f t="shared" si="8"/>
        <v>220</v>
      </c>
      <c r="L31" s="22">
        <f t="shared" si="9"/>
        <v>16</v>
      </c>
      <c r="M31" s="25">
        <f t="shared" si="10"/>
        <v>1427</v>
      </c>
      <c r="N31" s="24">
        <v>-780</v>
      </c>
      <c r="O31" s="28">
        <f t="shared" si="2"/>
        <v>2207</v>
      </c>
      <c r="P31" s="22">
        <f t="shared" si="11"/>
        <v>130</v>
      </c>
      <c r="Q31" s="36"/>
      <c r="R31" s="30"/>
    </row>
    <row r="32" spans="1:18" ht="15" customHeight="1" x14ac:dyDescent="0.2">
      <c r="A32" s="98">
        <v>45756</v>
      </c>
      <c r="B32" s="22">
        <f t="shared" si="3"/>
        <v>17</v>
      </c>
      <c r="C32" s="25">
        <f t="shared" si="4"/>
        <v>1368</v>
      </c>
      <c r="D32" s="24">
        <v>-1157</v>
      </c>
      <c r="E32" s="25">
        <v>2534</v>
      </c>
      <c r="F32" s="26">
        <f t="shared" si="5"/>
        <v>177</v>
      </c>
      <c r="G32" s="22">
        <f t="shared" si="6"/>
        <v>17</v>
      </c>
      <c r="H32" s="25">
        <f t="shared" si="7"/>
        <v>1231</v>
      </c>
      <c r="I32" s="24">
        <v>-1391</v>
      </c>
      <c r="J32" s="28">
        <f t="shared" si="1"/>
        <v>2622</v>
      </c>
      <c r="K32" s="22">
        <f t="shared" si="8"/>
        <v>241</v>
      </c>
      <c r="L32" s="22">
        <f t="shared" si="9"/>
        <v>17</v>
      </c>
      <c r="M32" s="25">
        <f t="shared" si="10"/>
        <v>1416</v>
      </c>
      <c r="N32" s="24">
        <v>-791</v>
      </c>
      <c r="O32" s="28">
        <f t="shared" si="2"/>
        <v>2207</v>
      </c>
      <c r="P32" s="22">
        <f t="shared" si="11"/>
        <v>141</v>
      </c>
      <c r="Q32" s="36"/>
      <c r="R32" s="30"/>
    </row>
    <row r="33" spans="1:18" ht="15" customHeight="1" x14ac:dyDescent="0.2">
      <c r="A33" s="98">
        <v>45757</v>
      </c>
      <c r="B33" s="22">
        <f t="shared" si="3"/>
        <v>18</v>
      </c>
      <c r="C33" s="25">
        <f t="shared" si="4"/>
        <v>1355</v>
      </c>
      <c r="D33" s="24">
        <v>-1170</v>
      </c>
      <c r="E33" s="25">
        <v>2534</v>
      </c>
      <c r="F33" s="26">
        <f t="shared" si="5"/>
        <v>190</v>
      </c>
      <c r="G33" s="22">
        <f t="shared" si="6"/>
        <v>18</v>
      </c>
      <c r="H33" s="25">
        <f t="shared" si="7"/>
        <v>1217</v>
      </c>
      <c r="I33" s="24">
        <v>-1405</v>
      </c>
      <c r="J33" s="28">
        <f t="shared" si="1"/>
        <v>2622</v>
      </c>
      <c r="K33" s="22">
        <f t="shared" si="8"/>
        <v>255</v>
      </c>
      <c r="L33" s="22">
        <f t="shared" si="9"/>
        <v>18</v>
      </c>
      <c r="M33" s="25">
        <f t="shared" si="10"/>
        <v>1403</v>
      </c>
      <c r="N33" s="24">
        <v>-804</v>
      </c>
      <c r="O33" s="28">
        <f t="shared" si="2"/>
        <v>2207</v>
      </c>
      <c r="P33" s="22">
        <f t="shared" si="11"/>
        <v>154</v>
      </c>
      <c r="Q33" s="36"/>
      <c r="R33" s="30"/>
    </row>
    <row r="34" spans="1:18" ht="15" customHeight="1" x14ac:dyDescent="0.2">
      <c r="A34" s="98">
        <v>45758</v>
      </c>
      <c r="B34" s="22">
        <f t="shared" si="3"/>
        <v>19</v>
      </c>
      <c r="C34" s="25">
        <f t="shared" si="4"/>
        <v>1342</v>
      </c>
      <c r="D34" s="24">
        <v>-1183</v>
      </c>
      <c r="E34" s="25">
        <v>2534</v>
      </c>
      <c r="F34" s="26">
        <f t="shared" si="5"/>
        <v>203</v>
      </c>
      <c r="G34" s="22">
        <f t="shared" si="6"/>
        <v>19</v>
      </c>
      <c r="H34" s="25">
        <f t="shared" si="7"/>
        <v>1202</v>
      </c>
      <c r="I34" s="24">
        <v>-1420</v>
      </c>
      <c r="J34" s="28">
        <f t="shared" si="1"/>
        <v>2622</v>
      </c>
      <c r="K34" s="22">
        <f t="shared" si="8"/>
        <v>270</v>
      </c>
      <c r="L34" s="22">
        <f t="shared" si="9"/>
        <v>19</v>
      </c>
      <c r="M34" s="25">
        <f t="shared" si="10"/>
        <v>1387</v>
      </c>
      <c r="N34" s="24">
        <v>-820</v>
      </c>
      <c r="O34" s="28">
        <f t="shared" si="2"/>
        <v>2207</v>
      </c>
      <c r="P34" s="22">
        <f t="shared" si="11"/>
        <v>170</v>
      </c>
      <c r="Q34" s="36"/>
      <c r="R34" s="30"/>
    </row>
    <row r="35" spans="1:18" ht="15" customHeight="1" x14ac:dyDescent="0.2">
      <c r="A35" s="98">
        <v>45759</v>
      </c>
      <c r="B35" s="22">
        <f t="shared" si="3"/>
        <v>20</v>
      </c>
      <c r="C35" s="25">
        <f t="shared" si="4"/>
        <v>1325</v>
      </c>
      <c r="D35" s="24">
        <v>-1200</v>
      </c>
      <c r="E35" s="25">
        <v>2534</v>
      </c>
      <c r="F35" s="26">
        <f t="shared" si="5"/>
        <v>220</v>
      </c>
      <c r="G35" s="22">
        <f t="shared" si="6"/>
        <v>20</v>
      </c>
      <c r="H35" s="25">
        <f t="shared" si="7"/>
        <v>1190</v>
      </c>
      <c r="I35" s="24">
        <v>-1432</v>
      </c>
      <c r="J35" s="28">
        <f t="shared" si="1"/>
        <v>2622</v>
      </c>
      <c r="K35" s="22">
        <f t="shared" si="8"/>
        <v>282</v>
      </c>
      <c r="L35" s="22">
        <f t="shared" si="9"/>
        <v>20</v>
      </c>
      <c r="M35" s="25">
        <f t="shared" si="10"/>
        <v>1371</v>
      </c>
      <c r="N35" s="24">
        <v>-836</v>
      </c>
      <c r="O35" s="28">
        <f t="shared" si="2"/>
        <v>2207</v>
      </c>
      <c r="P35" s="22">
        <f t="shared" si="11"/>
        <v>186</v>
      </c>
      <c r="Q35" s="36"/>
      <c r="R35" s="30"/>
    </row>
    <row r="36" spans="1:18" ht="15" customHeight="1" x14ac:dyDescent="0.2">
      <c r="A36" s="98">
        <v>45760</v>
      </c>
      <c r="B36" s="22">
        <f t="shared" si="3"/>
        <v>21</v>
      </c>
      <c r="C36" s="25">
        <f t="shared" si="4"/>
        <v>1313</v>
      </c>
      <c r="D36" s="24">
        <v>-1212</v>
      </c>
      <c r="E36" s="25">
        <v>2534</v>
      </c>
      <c r="F36" s="26">
        <f t="shared" si="5"/>
        <v>232</v>
      </c>
      <c r="G36" s="22">
        <f t="shared" si="6"/>
        <v>21</v>
      </c>
      <c r="H36" s="25">
        <f t="shared" si="7"/>
        <v>1172</v>
      </c>
      <c r="I36" s="24">
        <v>-1450</v>
      </c>
      <c r="J36" s="28">
        <f t="shared" si="1"/>
        <v>2622</v>
      </c>
      <c r="K36" s="22">
        <f t="shared" si="8"/>
        <v>300</v>
      </c>
      <c r="L36" s="22">
        <f t="shared" si="9"/>
        <v>21</v>
      </c>
      <c r="M36" s="25">
        <f t="shared" si="10"/>
        <v>1365</v>
      </c>
      <c r="N36" s="24">
        <v>-842</v>
      </c>
      <c r="O36" s="28">
        <f t="shared" si="2"/>
        <v>2207</v>
      </c>
      <c r="P36" s="22">
        <f t="shared" si="11"/>
        <v>192</v>
      </c>
      <c r="Q36" s="36"/>
      <c r="R36" s="30"/>
    </row>
    <row r="37" spans="1:18" ht="15" customHeight="1" x14ac:dyDescent="0.2">
      <c r="A37" s="98">
        <v>45761</v>
      </c>
      <c r="B37" s="22">
        <f t="shared" si="3"/>
        <v>22</v>
      </c>
      <c r="C37" s="25">
        <f t="shared" si="4"/>
        <v>1303</v>
      </c>
      <c r="D37" s="24">
        <v>-1222</v>
      </c>
      <c r="E37" s="25">
        <v>2534</v>
      </c>
      <c r="F37" s="26">
        <f t="shared" si="5"/>
        <v>242</v>
      </c>
      <c r="G37" s="22">
        <f t="shared" si="6"/>
        <v>22</v>
      </c>
      <c r="H37" s="25">
        <f t="shared" si="7"/>
        <v>1157</v>
      </c>
      <c r="I37" s="24">
        <v>-1465</v>
      </c>
      <c r="J37" s="28">
        <f t="shared" si="1"/>
        <v>2622</v>
      </c>
      <c r="K37" s="22">
        <f t="shared" si="8"/>
        <v>315</v>
      </c>
      <c r="L37" s="22">
        <f t="shared" si="9"/>
        <v>22</v>
      </c>
      <c r="M37" s="25">
        <f t="shared" si="10"/>
        <v>1357</v>
      </c>
      <c r="N37" s="24">
        <v>-850</v>
      </c>
      <c r="O37" s="28">
        <f t="shared" si="2"/>
        <v>2207</v>
      </c>
      <c r="P37" s="22">
        <f t="shared" si="11"/>
        <v>200</v>
      </c>
      <c r="Q37" s="36"/>
      <c r="R37" s="30"/>
    </row>
    <row r="38" spans="1:18" ht="12.75" x14ac:dyDescent="0.2">
      <c r="A38" s="98">
        <v>45762</v>
      </c>
      <c r="B38" s="22">
        <f t="shared" si="3"/>
        <v>23</v>
      </c>
      <c r="C38" s="25">
        <f t="shared" si="4"/>
        <v>1293</v>
      </c>
      <c r="D38" s="24">
        <v>-1232</v>
      </c>
      <c r="E38" s="25">
        <v>2534</v>
      </c>
      <c r="F38" s="26">
        <f t="shared" si="5"/>
        <v>252</v>
      </c>
      <c r="G38" s="22">
        <f t="shared" si="6"/>
        <v>23</v>
      </c>
      <c r="H38" s="25">
        <f t="shared" si="7"/>
        <v>1141</v>
      </c>
      <c r="I38" s="24">
        <v>-1481</v>
      </c>
      <c r="J38" s="28">
        <f t="shared" si="1"/>
        <v>2622</v>
      </c>
      <c r="K38" s="22">
        <f t="shared" si="8"/>
        <v>331</v>
      </c>
      <c r="L38" s="22">
        <f t="shared" si="9"/>
        <v>23</v>
      </c>
      <c r="M38" s="25">
        <f t="shared" si="10"/>
        <v>1351</v>
      </c>
      <c r="N38" s="24">
        <v>-856</v>
      </c>
      <c r="O38" s="28">
        <f t="shared" si="2"/>
        <v>2207</v>
      </c>
      <c r="P38" s="22">
        <f t="shared" si="11"/>
        <v>206</v>
      </c>
      <c r="Q38" s="36"/>
      <c r="R38" s="30"/>
    </row>
    <row r="39" spans="1:18" ht="12.75" x14ac:dyDescent="0.2">
      <c r="A39" s="98">
        <v>45763</v>
      </c>
      <c r="B39" s="22">
        <f t="shared" si="3"/>
        <v>24</v>
      </c>
      <c r="C39" s="25">
        <f t="shared" si="4"/>
        <v>1287</v>
      </c>
      <c r="D39" s="24">
        <v>-1238</v>
      </c>
      <c r="E39" s="25">
        <v>2534</v>
      </c>
      <c r="F39" s="26">
        <f t="shared" si="5"/>
        <v>258</v>
      </c>
      <c r="G39" s="22">
        <f t="shared" si="6"/>
        <v>24</v>
      </c>
      <c r="H39" s="25">
        <f t="shared" si="7"/>
        <v>1135</v>
      </c>
      <c r="I39" s="24">
        <v>-1487</v>
      </c>
      <c r="J39" s="28">
        <f t="shared" si="1"/>
        <v>2622</v>
      </c>
      <c r="K39" s="22">
        <f t="shared" si="8"/>
        <v>337</v>
      </c>
      <c r="L39" s="22">
        <f t="shared" si="9"/>
        <v>24</v>
      </c>
      <c r="M39" s="25">
        <f t="shared" si="10"/>
        <v>1347</v>
      </c>
      <c r="N39" s="24">
        <v>-860</v>
      </c>
      <c r="O39" s="28">
        <f t="shared" si="2"/>
        <v>2207</v>
      </c>
      <c r="P39" s="22">
        <f t="shared" si="11"/>
        <v>210</v>
      </c>
      <c r="Q39" s="36"/>
      <c r="R39" s="30"/>
    </row>
    <row r="40" spans="1:18" ht="12.75" x14ac:dyDescent="0.2">
      <c r="A40" s="98">
        <v>45764</v>
      </c>
      <c r="B40" s="22">
        <f t="shared" si="3"/>
        <v>25</v>
      </c>
      <c r="C40" s="25">
        <f t="shared" si="4"/>
        <v>1282</v>
      </c>
      <c r="D40" s="24">
        <v>-1243</v>
      </c>
      <c r="E40" s="25">
        <v>2534</v>
      </c>
      <c r="F40" s="26">
        <f t="shared" si="5"/>
        <v>263</v>
      </c>
      <c r="G40" s="22">
        <f t="shared" si="6"/>
        <v>25</v>
      </c>
      <c r="H40" s="25">
        <f t="shared" si="7"/>
        <v>1129</v>
      </c>
      <c r="I40" s="24">
        <v>-1493</v>
      </c>
      <c r="J40" s="28">
        <f t="shared" si="1"/>
        <v>2622</v>
      </c>
      <c r="K40" s="22">
        <f t="shared" si="8"/>
        <v>343</v>
      </c>
      <c r="L40" s="22">
        <f t="shared" si="9"/>
        <v>25</v>
      </c>
      <c r="M40" s="25">
        <f t="shared" si="10"/>
        <v>1343</v>
      </c>
      <c r="N40" s="24">
        <v>-864</v>
      </c>
      <c r="O40" s="28">
        <f t="shared" si="2"/>
        <v>2207</v>
      </c>
      <c r="P40" s="22">
        <f t="shared" si="11"/>
        <v>214</v>
      </c>
      <c r="Q40" s="36"/>
      <c r="R40" s="30"/>
    </row>
    <row r="41" spans="1:18" ht="12.75" x14ac:dyDescent="0.2">
      <c r="A41" s="98">
        <v>45765</v>
      </c>
      <c r="B41" s="22">
        <f t="shared" si="3"/>
        <v>26</v>
      </c>
      <c r="C41" s="25">
        <f t="shared" si="4"/>
        <v>1277</v>
      </c>
      <c r="D41" s="24">
        <v>-1248</v>
      </c>
      <c r="E41" s="25">
        <v>2534</v>
      </c>
      <c r="F41" s="26">
        <f t="shared" si="5"/>
        <v>268</v>
      </c>
      <c r="G41" s="22">
        <f t="shared" si="6"/>
        <v>26</v>
      </c>
      <c r="H41" s="25">
        <f t="shared" si="7"/>
        <v>1123</v>
      </c>
      <c r="I41" s="24">
        <v>-1499</v>
      </c>
      <c r="J41" s="28">
        <f t="shared" si="1"/>
        <v>2622</v>
      </c>
      <c r="K41" s="22">
        <f t="shared" si="8"/>
        <v>349</v>
      </c>
      <c r="L41" s="22">
        <f t="shared" si="9"/>
        <v>26</v>
      </c>
      <c r="M41" s="25">
        <f t="shared" si="10"/>
        <v>1337</v>
      </c>
      <c r="N41" s="24">
        <v>-870</v>
      </c>
      <c r="O41" s="28">
        <f t="shared" si="2"/>
        <v>2207</v>
      </c>
      <c r="P41" s="22">
        <f t="shared" si="11"/>
        <v>220</v>
      </c>
      <c r="Q41" s="36"/>
      <c r="R41" s="30"/>
    </row>
    <row r="42" spans="1:18" ht="12.75" x14ac:dyDescent="0.2">
      <c r="A42" s="98">
        <v>45766</v>
      </c>
      <c r="B42" s="22">
        <f t="shared" si="3"/>
        <v>27</v>
      </c>
      <c r="C42" s="25">
        <f t="shared" si="4"/>
        <v>1272</v>
      </c>
      <c r="D42" s="24">
        <v>-1253</v>
      </c>
      <c r="E42" s="25">
        <v>2534</v>
      </c>
      <c r="F42" s="26">
        <f t="shared" si="5"/>
        <v>273</v>
      </c>
      <c r="G42" s="22">
        <f t="shared" si="6"/>
        <v>27</v>
      </c>
      <c r="H42" s="25">
        <f t="shared" si="7"/>
        <v>1118</v>
      </c>
      <c r="I42" s="24">
        <v>-1504</v>
      </c>
      <c r="J42" s="28">
        <f t="shared" si="1"/>
        <v>2622</v>
      </c>
      <c r="K42" s="22">
        <f t="shared" si="8"/>
        <v>354</v>
      </c>
      <c r="L42" s="22">
        <f t="shared" si="9"/>
        <v>27</v>
      </c>
      <c r="M42" s="25">
        <f t="shared" si="10"/>
        <v>1330</v>
      </c>
      <c r="N42" s="24">
        <v>-877</v>
      </c>
      <c r="O42" s="28">
        <f t="shared" si="2"/>
        <v>2207</v>
      </c>
      <c r="P42" s="22">
        <f t="shared" si="11"/>
        <v>227</v>
      </c>
      <c r="Q42" s="36"/>
      <c r="R42" s="30"/>
    </row>
    <row r="43" spans="1:18" ht="12.75" x14ac:dyDescent="0.2">
      <c r="A43" s="98">
        <v>45767</v>
      </c>
      <c r="B43" s="22">
        <f t="shared" si="3"/>
        <v>28</v>
      </c>
      <c r="C43" s="25">
        <f t="shared" si="4"/>
        <v>1267</v>
      </c>
      <c r="D43" s="24">
        <v>-1258</v>
      </c>
      <c r="E43" s="25">
        <v>2534</v>
      </c>
      <c r="F43" s="26">
        <f t="shared" si="5"/>
        <v>278</v>
      </c>
      <c r="G43" s="22">
        <f t="shared" si="6"/>
        <v>28</v>
      </c>
      <c r="H43" s="25">
        <f t="shared" si="7"/>
        <v>1113</v>
      </c>
      <c r="I43" s="24">
        <v>-1509</v>
      </c>
      <c r="J43" s="28">
        <f t="shared" si="1"/>
        <v>2622</v>
      </c>
      <c r="K43" s="22">
        <f t="shared" si="8"/>
        <v>359</v>
      </c>
      <c r="L43" s="22">
        <f t="shared" si="9"/>
        <v>28</v>
      </c>
      <c r="M43" s="25">
        <f t="shared" si="10"/>
        <v>1323</v>
      </c>
      <c r="N43" s="24">
        <v>-884</v>
      </c>
      <c r="O43" s="28">
        <f t="shared" si="2"/>
        <v>2207</v>
      </c>
      <c r="P43" s="22">
        <f t="shared" si="11"/>
        <v>234</v>
      </c>
      <c r="Q43" s="36"/>
      <c r="R43" s="30"/>
    </row>
    <row r="44" spans="1:18" ht="12.75" x14ac:dyDescent="0.2">
      <c r="A44" s="98">
        <v>45768</v>
      </c>
      <c r="B44" s="22">
        <f t="shared" si="3"/>
        <v>29</v>
      </c>
      <c r="C44" s="25">
        <f t="shared" si="4"/>
        <v>1262</v>
      </c>
      <c r="D44" s="24">
        <v>-1263</v>
      </c>
      <c r="E44" s="25">
        <v>2534</v>
      </c>
      <c r="F44" s="26">
        <f t="shared" si="5"/>
        <v>283</v>
      </c>
      <c r="G44" s="22">
        <f t="shared" si="6"/>
        <v>29</v>
      </c>
      <c r="H44" s="25">
        <f t="shared" si="7"/>
        <v>1104</v>
      </c>
      <c r="I44" s="24">
        <v>-1518</v>
      </c>
      <c r="J44" s="28">
        <f t="shared" si="1"/>
        <v>2622</v>
      </c>
      <c r="K44" s="22">
        <f t="shared" si="8"/>
        <v>368</v>
      </c>
      <c r="L44" s="22">
        <f t="shared" si="9"/>
        <v>29</v>
      </c>
      <c r="M44" s="25">
        <f t="shared" si="10"/>
        <v>1317</v>
      </c>
      <c r="N44" s="24">
        <v>-890</v>
      </c>
      <c r="O44" s="28">
        <f t="shared" si="2"/>
        <v>2207</v>
      </c>
      <c r="P44" s="22">
        <f t="shared" si="11"/>
        <v>240</v>
      </c>
      <c r="Q44" s="36"/>
      <c r="R44" s="30"/>
    </row>
    <row r="45" spans="1:18" ht="12.75" x14ac:dyDescent="0.2">
      <c r="A45" s="98">
        <v>45769</v>
      </c>
      <c r="B45" s="22">
        <f t="shared" si="3"/>
        <v>30</v>
      </c>
      <c r="C45" s="25">
        <f t="shared" si="4"/>
        <v>1252</v>
      </c>
      <c r="D45" s="24">
        <v>-1273</v>
      </c>
      <c r="E45" s="25">
        <v>2534</v>
      </c>
      <c r="F45" s="26">
        <f t="shared" si="5"/>
        <v>293</v>
      </c>
      <c r="G45" s="22">
        <f t="shared" si="6"/>
        <v>30</v>
      </c>
      <c r="H45" s="25">
        <f t="shared" si="7"/>
        <v>1087</v>
      </c>
      <c r="I45" s="24">
        <v>-1535</v>
      </c>
      <c r="J45" s="28">
        <f t="shared" si="1"/>
        <v>2622</v>
      </c>
      <c r="K45" s="22">
        <f t="shared" si="8"/>
        <v>385</v>
      </c>
      <c r="L45" s="22">
        <f t="shared" si="9"/>
        <v>30</v>
      </c>
      <c r="M45" s="25">
        <f t="shared" si="10"/>
        <v>1307</v>
      </c>
      <c r="N45" s="24">
        <v>-900</v>
      </c>
      <c r="O45" s="28">
        <f t="shared" si="2"/>
        <v>2207</v>
      </c>
      <c r="P45" s="22">
        <f t="shared" si="11"/>
        <v>250</v>
      </c>
      <c r="Q45" s="36"/>
      <c r="R45" s="30"/>
    </row>
    <row r="46" spans="1:18" ht="12.75" x14ac:dyDescent="0.2">
      <c r="A46" s="98">
        <v>45770</v>
      </c>
      <c r="B46" s="22">
        <f t="shared" si="3"/>
        <v>31</v>
      </c>
      <c r="C46" s="25">
        <f t="shared" si="4"/>
        <v>1237</v>
      </c>
      <c r="D46" s="24">
        <v>-1288</v>
      </c>
      <c r="E46" s="25">
        <v>2534</v>
      </c>
      <c r="F46" s="26">
        <f t="shared" si="5"/>
        <v>308</v>
      </c>
      <c r="G46" s="22">
        <f t="shared" si="6"/>
        <v>31</v>
      </c>
      <c r="H46" s="25">
        <f t="shared" si="7"/>
        <v>1075</v>
      </c>
      <c r="I46" s="24">
        <v>-1547</v>
      </c>
      <c r="J46" s="28">
        <f t="shared" si="1"/>
        <v>2622</v>
      </c>
      <c r="K46" s="22">
        <f t="shared" si="8"/>
        <v>397</v>
      </c>
      <c r="L46" s="22">
        <f t="shared" si="9"/>
        <v>31</v>
      </c>
      <c r="M46" s="25">
        <f t="shared" si="10"/>
        <v>1297</v>
      </c>
      <c r="N46" s="24">
        <v>-910</v>
      </c>
      <c r="O46" s="28">
        <f t="shared" si="2"/>
        <v>2207</v>
      </c>
      <c r="P46" s="22">
        <f t="shared" si="11"/>
        <v>260</v>
      </c>
      <c r="Q46" s="36"/>
      <c r="R46" s="30"/>
    </row>
    <row r="47" spans="1:18" ht="12.75" x14ac:dyDescent="0.2">
      <c r="A47" s="98">
        <v>45771</v>
      </c>
      <c r="B47" s="22">
        <f t="shared" si="3"/>
        <v>32</v>
      </c>
      <c r="C47" s="25">
        <f t="shared" si="4"/>
        <v>1224</v>
      </c>
      <c r="D47" s="24">
        <v>-1301</v>
      </c>
      <c r="E47" s="25">
        <v>2534</v>
      </c>
      <c r="F47" s="26">
        <f t="shared" si="5"/>
        <v>321</v>
      </c>
      <c r="G47" s="22">
        <f t="shared" si="6"/>
        <v>32</v>
      </c>
      <c r="H47" s="25">
        <f t="shared" si="7"/>
        <v>1061</v>
      </c>
      <c r="I47" s="24">
        <v>-1561</v>
      </c>
      <c r="J47" s="28">
        <f t="shared" si="1"/>
        <v>2622</v>
      </c>
      <c r="K47" s="22">
        <f t="shared" si="8"/>
        <v>411</v>
      </c>
      <c r="L47" s="22">
        <f t="shared" si="9"/>
        <v>32</v>
      </c>
      <c r="M47" s="25">
        <f t="shared" si="10"/>
        <v>1289</v>
      </c>
      <c r="N47" s="24">
        <v>-918</v>
      </c>
      <c r="O47" s="28">
        <f t="shared" si="2"/>
        <v>2207</v>
      </c>
      <c r="P47" s="22">
        <f t="shared" si="11"/>
        <v>268</v>
      </c>
      <c r="Q47" s="36"/>
      <c r="R47" s="30"/>
    </row>
    <row r="48" spans="1:18" ht="12.75" x14ac:dyDescent="0.2">
      <c r="A48" s="98">
        <v>45772</v>
      </c>
      <c r="B48" s="22">
        <f t="shared" si="3"/>
        <v>33</v>
      </c>
      <c r="C48" s="25">
        <f t="shared" si="4"/>
        <v>1211</v>
      </c>
      <c r="D48" s="24">
        <v>-1314</v>
      </c>
      <c r="E48" s="25">
        <v>2534</v>
      </c>
      <c r="F48" s="26">
        <f t="shared" si="5"/>
        <v>334</v>
      </c>
      <c r="G48" s="22">
        <f t="shared" si="6"/>
        <v>33</v>
      </c>
      <c r="H48" s="25">
        <f t="shared" si="7"/>
        <v>1045</v>
      </c>
      <c r="I48" s="24">
        <v>-1577</v>
      </c>
      <c r="J48" s="28">
        <f t="shared" si="1"/>
        <v>2622</v>
      </c>
      <c r="K48" s="22">
        <f t="shared" si="8"/>
        <v>427</v>
      </c>
      <c r="L48" s="22">
        <f t="shared" si="9"/>
        <v>33</v>
      </c>
      <c r="M48" s="25">
        <f t="shared" si="10"/>
        <v>1277</v>
      </c>
      <c r="N48" s="24">
        <v>-930</v>
      </c>
      <c r="O48" s="28">
        <f t="shared" si="2"/>
        <v>2207</v>
      </c>
      <c r="P48" s="22">
        <f t="shared" si="11"/>
        <v>280</v>
      </c>
      <c r="Q48" s="36"/>
      <c r="R48" s="30"/>
    </row>
    <row r="49" spans="1:18" ht="12.75" x14ac:dyDescent="0.2">
      <c r="A49" s="98">
        <v>45773</v>
      </c>
      <c r="B49" s="22">
        <f t="shared" si="3"/>
        <v>34</v>
      </c>
      <c r="C49" s="25">
        <f t="shared" si="4"/>
        <v>1197</v>
      </c>
      <c r="D49" s="24">
        <v>-1328</v>
      </c>
      <c r="E49" s="25">
        <v>2534</v>
      </c>
      <c r="F49" s="26">
        <f t="shared" si="5"/>
        <v>348</v>
      </c>
      <c r="G49" s="22">
        <f t="shared" si="6"/>
        <v>34</v>
      </c>
      <c r="H49" s="25">
        <f t="shared" si="7"/>
        <v>1030</v>
      </c>
      <c r="I49" s="24">
        <v>-1592</v>
      </c>
      <c r="J49" s="28">
        <f t="shared" si="1"/>
        <v>2622</v>
      </c>
      <c r="K49" s="22">
        <f t="shared" si="8"/>
        <v>442</v>
      </c>
      <c r="L49" s="22">
        <f t="shared" si="9"/>
        <v>34</v>
      </c>
      <c r="M49" s="25">
        <f t="shared" si="10"/>
        <v>1264</v>
      </c>
      <c r="N49" s="24">
        <v>-943</v>
      </c>
      <c r="O49" s="28">
        <f t="shared" si="2"/>
        <v>2207</v>
      </c>
      <c r="P49" s="22">
        <f t="shared" si="11"/>
        <v>293</v>
      </c>
      <c r="Q49" s="36"/>
      <c r="R49" s="30"/>
    </row>
    <row r="50" spans="1:18" ht="12.75" x14ac:dyDescent="0.2">
      <c r="A50" s="98">
        <v>45774</v>
      </c>
      <c r="B50" s="22">
        <f t="shared" si="3"/>
        <v>35</v>
      </c>
      <c r="C50" s="25">
        <f t="shared" si="4"/>
        <v>1185</v>
      </c>
      <c r="D50" s="24">
        <v>-1340</v>
      </c>
      <c r="E50" s="25">
        <v>2534</v>
      </c>
      <c r="F50" s="26">
        <f t="shared" si="5"/>
        <v>360</v>
      </c>
      <c r="G50" s="22">
        <f t="shared" si="6"/>
        <v>35</v>
      </c>
      <c r="H50" s="25">
        <f t="shared" si="7"/>
        <v>1021</v>
      </c>
      <c r="I50" s="24">
        <v>-1601</v>
      </c>
      <c r="J50" s="28">
        <f t="shared" si="1"/>
        <v>2622</v>
      </c>
      <c r="K50" s="22">
        <f t="shared" si="8"/>
        <v>451</v>
      </c>
      <c r="L50" s="22">
        <f t="shared" si="9"/>
        <v>35</v>
      </c>
      <c r="M50" s="25">
        <f t="shared" si="10"/>
        <v>1254</v>
      </c>
      <c r="N50" s="24">
        <v>-953</v>
      </c>
      <c r="O50" s="28">
        <f t="shared" si="2"/>
        <v>2207</v>
      </c>
      <c r="P50" s="22">
        <f t="shared" si="11"/>
        <v>303</v>
      </c>
      <c r="Q50" s="36"/>
      <c r="R50" s="30"/>
    </row>
    <row r="51" spans="1:18" ht="12.75" x14ac:dyDescent="0.2">
      <c r="A51" s="98">
        <v>45775</v>
      </c>
      <c r="B51" s="22">
        <f t="shared" si="3"/>
        <v>36</v>
      </c>
      <c r="C51" s="25">
        <f t="shared" si="4"/>
        <v>1175</v>
      </c>
      <c r="D51" s="24">
        <v>-1350</v>
      </c>
      <c r="E51" s="25">
        <v>2534</v>
      </c>
      <c r="F51" s="26">
        <f t="shared" si="5"/>
        <v>370</v>
      </c>
      <c r="G51" s="22">
        <f t="shared" si="6"/>
        <v>36</v>
      </c>
      <c r="H51" s="25">
        <f t="shared" si="7"/>
        <v>1011</v>
      </c>
      <c r="I51" s="24">
        <v>-1611</v>
      </c>
      <c r="J51" s="28">
        <f t="shared" si="1"/>
        <v>2622</v>
      </c>
      <c r="K51" s="22">
        <f t="shared" si="8"/>
        <v>461</v>
      </c>
      <c r="L51" s="22">
        <f t="shared" si="9"/>
        <v>36</v>
      </c>
      <c r="M51" s="25">
        <f t="shared" si="10"/>
        <v>1244</v>
      </c>
      <c r="N51" s="24">
        <v>-963</v>
      </c>
      <c r="O51" s="28">
        <f t="shared" si="2"/>
        <v>2207</v>
      </c>
      <c r="P51" s="22">
        <f t="shared" si="11"/>
        <v>313</v>
      </c>
      <c r="Q51" s="36"/>
      <c r="R51" s="30"/>
    </row>
    <row r="52" spans="1:18" ht="12.75" x14ac:dyDescent="0.2">
      <c r="A52" s="98">
        <v>45776</v>
      </c>
      <c r="B52" s="22">
        <f t="shared" si="3"/>
        <v>37</v>
      </c>
      <c r="C52" s="25">
        <f t="shared" si="4"/>
        <v>1171</v>
      </c>
      <c r="D52" s="24">
        <v>-1354</v>
      </c>
      <c r="E52" s="25">
        <v>2534</v>
      </c>
      <c r="F52" s="26">
        <f t="shared" si="5"/>
        <v>374</v>
      </c>
      <c r="G52" s="22">
        <f t="shared" si="6"/>
        <v>37</v>
      </c>
      <c r="H52" s="25">
        <f t="shared" si="7"/>
        <v>1006</v>
      </c>
      <c r="I52" s="24">
        <v>-1616</v>
      </c>
      <c r="J52" s="28">
        <f t="shared" si="1"/>
        <v>2622</v>
      </c>
      <c r="K52" s="22">
        <f t="shared" si="8"/>
        <v>466</v>
      </c>
      <c r="L52" s="22">
        <f t="shared" si="9"/>
        <v>37</v>
      </c>
      <c r="M52" s="25">
        <f t="shared" si="10"/>
        <v>1235</v>
      </c>
      <c r="N52" s="24">
        <v>-972</v>
      </c>
      <c r="O52" s="28">
        <f t="shared" si="2"/>
        <v>2207</v>
      </c>
      <c r="P52" s="22">
        <f t="shared" si="11"/>
        <v>322</v>
      </c>
      <c r="Q52" s="36"/>
      <c r="R52" s="30"/>
    </row>
    <row r="53" spans="1:18" ht="12.75" x14ac:dyDescent="0.2">
      <c r="A53" s="98">
        <v>45777</v>
      </c>
      <c r="B53" s="22">
        <f t="shared" si="3"/>
        <v>38</v>
      </c>
      <c r="C53" s="25">
        <f t="shared" si="4"/>
        <v>1167</v>
      </c>
      <c r="D53" s="24">
        <v>-1358</v>
      </c>
      <c r="E53" s="25">
        <v>2534</v>
      </c>
      <c r="F53" s="26">
        <f t="shared" si="5"/>
        <v>378</v>
      </c>
      <c r="G53" s="22">
        <f t="shared" si="6"/>
        <v>38</v>
      </c>
      <c r="H53" s="25">
        <f t="shared" si="7"/>
        <v>999</v>
      </c>
      <c r="I53" s="24">
        <v>-1623</v>
      </c>
      <c r="J53" s="28">
        <f t="shared" si="1"/>
        <v>2622</v>
      </c>
      <c r="K53" s="22">
        <f t="shared" si="8"/>
        <v>473</v>
      </c>
      <c r="L53" s="22">
        <f t="shared" si="9"/>
        <v>38</v>
      </c>
      <c r="M53" s="25">
        <f t="shared" si="10"/>
        <v>1227</v>
      </c>
      <c r="N53" s="24">
        <v>-980</v>
      </c>
      <c r="O53" s="28">
        <f t="shared" si="2"/>
        <v>2207</v>
      </c>
      <c r="P53" s="22">
        <f t="shared" si="11"/>
        <v>330</v>
      </c>
      <c r="Q53" s="36"/>
      <c r="R53" s="30"/>
    </row>
    <row r="54" spans="1:18" ht="12.75" x14ac:dyDescent="0.2">
      <c r="A54" s="98">
        <v>45778</v>
      </c>
      <c r="B54" s="22">
        <f t="shared" si="3"/>
        <v>39</v>
      </c>
      <c r="C54" s="25">
        <f t="shared" si="4"/>
        <v>1164</v>
      </c>
      <c r="D54" s="24">
        <v>-1361</v>
      </c>
      <c r="E54" s="25">
        <v>2534</v>
      </c>
      <c r="F54" s="26">
        <f t="shared" si="5"/>
        <v>381</v>
      </c>
      <c r="G54" s="22">
        <f t="shared" si="6"/>
        <v>39</v>
      </c>
      <c r="H54" s="25">
        <f t="shared" si="7"/>
        <v>992</v>
      </c>
      <c r="I54" s="24">
        <v>-1630</v>
      </c>
      <c r="J54" s="28">
        <f t="shared" si="1"/>
        <v>2622</v>
      </c>
      <c r="K54" s="22">
        <f t="shared" si="8"/>
        <v>480</v>
      </c>
      <c r="L54" s="22">
        <f t="shared" si="9"/>
        <v>39</v>
      </c>
      <c r="M54" s="25">
        <f t="shared" si="10"/>
        <v>1219</v>
      </c>
      <c r="N54" s="24">
        <v>-988</v>
      </c>
      <c r="O54" s="28">
        <f t="shared" si="2"/>
        <v>2207</v>
      </c>
      <c r="P54" s="22">
        <f t="shared" si="11"/>
        <v>338</v>
      </c>
      <c r="Q54" s="36"/>
      <c r="R54" s="30"/>
    </row>
    <row r="55" spans="1:18" ht="12.75" x14ac:dyDescent="0.2">
      <c r="A55" s="98">
        <v>45779</v>
      </c>
      <c r="B55" s="22">
        <f t="shared" si="3"/>
        <v>40</v>
      </c>
      <c r="C55" s="25">
        <f t="shared" si="4"/>
        <v>1160</v>
      </c>
      <c r="D55" s="24">
        <v>-1365</v>
      </c>
      <c r="E55" s="25">
        <v>2534</v>
      </c>
      <c r="F55" s="26">
        <f t="shared" si="5"/>
        <v>385</v>
      </c>
      <c r="G55" s="22">
        <f t="shared" si="6"/>
        <v>40</v>
      </c>
      <c r="H55" s="25">
        <f t="shared" si="7"/>
        <v>985</v>
      </c>
      <c r="I55" s="24">
        <v>-1637</v>
      </c>
      <c r="J55" s="28">
        <f t="shared" si="1"/>
        <v>2622</v>
      </c>
      <c r="K55" s="22">
        <f t="shared" si="8"/>
        <v>487</v>
      </c>
      <c r="L55" s="22">
        <f t="shared" si="9"/>
        <v>40</v>
      </c>
      <c r="M55" s="25">
        <f t="shared" si="10"/>
        <v>1211</v>
      </c>
      <c r="N55" s="24">
        <v>-996</v>
      </c>
      <c r="O55" s="28">
        <f t="shared" si="2"/>
        <v>2207</v>
      </c>
      <c r="P55" s="22">
        <f t="shared" si="11"/>
        <v>346</v>
      </c>
      <c r="Q55" s="36"/>
      <c r="R55" s="30"/>
    </row>
    <row r="56" spans="1:18" ht="12.75" x14ac:dyDescent="0.2">
      <c r="A56" s="98">
        <v>45780</v>
      </c>
      <c r="B56" s="22">
        <f t="shared" si="3"/>
        <v>41</v>
      </c>
      <c r="C56" s="25">
        <f t="shared" si="4"/>
        <v>1156</v>
      </c>
      <c r="D56" s="24">
        <v>-1369</v>
      </c>
      <c r="E56" s="25">
        <v>2534</v>
      </c>
      <c r="F56" s="26">
        <f t="shared" si="5"/>
        <v>389</v>
      </c>
      <c r="G56" s="22">
        <f t="shared" si="6"/>
        <v>41</v>
      </c>
      <c r="H56" s="25">
        <f t="shared" si="7"/>
        <v>978</v>
      </c>
      <c r="I56" s="24">
        <v>-1644</v>
      </c>
      <c r="J56" s="28">
        <f t="shared" si="1"/>
        <v>2622</v>
      </c>
      <c r="K56" s="22">
        <f t="shared" si="8"/>
        <v>494</v>
      </c>
      <c r="L56" s="22">
        <f t="shared" si="9"/>
        <v>41</v>
      </c>
      <c r="M56" s="25">
        <f t="shared" si="10"/>
        <v>1205</v>
      </c>
      <c r="N56" s="24">
        <v>-1002</v>
      </c>
      <c r="O56" s="28">
        <f t="shared" si="2"/>
        <v>2207</v>
      </c>
      <c r="P56" s="22">
        <f t="shared" si="11"/>
        <v>352</v>
      </c>
      <c r="Q56" s="36"/>
      <c r="R56" s="30"/>
    </row>
    <row r="57" spans="1:18" ht="12.75" x14ac:dyDescent="0.2">
      <c r="A57" s="98">
        <v>45781</v>
      </c>
      <c r="B57" s="22">
        <f t="shared" si="3"/>
        <v>42</v>
      </c>
      <c r="C57" s="25">
        <f t="shared" si="4"/>
        <v>1149</v>
      </c>
      <c r="D57" s="24">
        <v>-1376</v>
      </c>
      <c r="E57" s="25">
        <v>2534</v>
      </c>
      <c r="F57" s="26">
        <f t="shared" si="5"/>
        <v>396</v>
      </c>
      <c r="G57" s="22">
        <f t="shared" si="6"/>
        <v>42</v>
      </c>
      <c r="H57" s="25">
        <f t="shared" si="7"/>
        <v>971</v>
      </c>
      <c r="I57" s="24">
        <v>-1651</v>
      </c>
      <c r="J57" s="28">
        <f t="shared" si="1"/>
        <v>2622</v>
      </c>
      <c r="K57" s="22">
        <f t="shared" si="8"/>
        <v>501</v>
      </c>
      <c r="L57" s="22">
        <f t="shared" si="9"/>
        <v>42</v>
      </c>
      <c r="M57" s="25">
        <f t="shared" si="10"/>
        <v>1201</v>
      </c>
      <c r="N57" s="24">
        <v>-1006</v>
      </c>
      <c r="O57" s="28">
        <f t="shared" si="2"/>
        <v>2207</v>
      </c>
      <c r="P57" s="22">
        <f t="shared" si="11"/>
        <v>356</v>
      </c>
      <c r="Q57" s="36"/>
      <c r="R57" s="30"/>
    </row>
    <row r="58" spans="1:18" ht="12.75" x14ac:dyDescent="0.2">
      <c r="A58" s="98">
        <v>45782</v>
      </c>
      <c r="B58" s="22">
        <f t="shared" si="3"/>
        <v>43</v>
      </c>
      <c r="C58" s="25">
        <f t="shared" si="4"/>
        <v>1139</v>
      </c>
      <c r="D58" s="24">
        <v>-1386</v>
      </c>
      <c r="E58" s="25">
        <v>2534</v>
      </c>
      <c r="F58" s="26">
        <f t="shared" si="5"/>
        <v>406</v>
      </c>
      <c r="G58" s="22">
        <f t="shared" si="6"/>
        <v>43</v>
      </c>
      <c r="H58" s="25">
        <f t="shared" si="7"/>
        <v>964</v>
      </c>
      <c r="I58" s="24">
        <v>-1658</v>
      </c>
      <c r="J58" s="28">
        <f t="shared" si="1"/>
        <v>2622</v>
      </c>
      <c r="K58" s="22">
        <f t="shared" si="8"/>
        <v>508</v>
      </c>
      <c r="L58" s="22">
        <f t="shared" si="9"/>
        <v>43</v>
      </c>
      <c r="M58" s="25">
        <f t="shared" si="10"/>
        <v>1199</v>
      </c>
      <c r="N58" s="24">
        <v>-1008</v>
      </c>
      <c r="O58" s="28">
        <f t="shared" si="2"/>
        <v>2207</v>
      </c>
      <c r="P58" s="22">
        <f t="shared" si="11"/>
        <v>358</v>
      </c>
      <c r="Q58" s="36"/>
      <c r="R58" s="30"/>
    </row>
    <row r="59" spans="1:18" ht="12.75" x14ac:dyDescent="0.2">
      <c r="A59" s="98">
        <v>45783</v>
      </c>
      <c r="B59" s="22">
        <f t="shared" si="3"/>
        <v>44</v>
      </c>
      <c r="C59" s="25">
        <f t="shared" si="4"/>
        <v>1129</v>
      </c>
      <c r="D59" s="24">
        <v>-1396</v>
      </c>
      <c r="E59" s="25">
        <v>2534</v>
      </c>
      <c r="F59" s="26">
        <f t="shared" si="5"/>
        <v>416</v>
      </c>
      <c r="G59" s="22">
        <f t="shared" si="6"/>
        <v>44</v>
      </c>
      <c r="H59" s="25">
        <f t="shared" si="7"/>
        <v>955</v>
      </c>
      <c r="I59" s="24">
        <v>-1667</v>
      </c>
      <c r="J59" s="28">
        <f t="shared" si="1"/>
        <v>2622</v>
      </c>
      <c r="K59" s="22">
        <f t="shared" si="8"/>
        <v>517</v>
      </c>
      <c r="L59" s="22">
        <f t="shared" si="9"/>
        <v>44</v>
      </c>
      <c r="M59" s="25">
        <f t="shared" si="10"/>
        <v>1197</v>
      </c>
      <c r="N59" s="24">
        <v>-1010</v>
      </c>
      <c r="O59" s="28">
        <f t="shared" si="2"/>
        <v>2207</v>
      </c>
      <c r="P59" s="22">
        <f t="shared" si="11"/>
        <v>360</v>
      </c>
      <c r="Q59" s="36"/>
      <c r="R59" s="30"/>
    </row>
    <row r="60" spans="1:18" ht="12.75" x14ac:dyDescent="0.2">
      <c r="A60" s="98">
        <v>45784</v>
      </c>
      <c r="B60" s="22">
        <f t="shared" si="3"/>
        <v>45</v>
      </c>
      <c r="C60" s="25">
        <f t="shared" si="4"/>
        <v>1125</v>
      </c>
      <c r="D60" s="24">
        <v>-1400</v>
      </c>
      <c r="E60" s="25">
        <v>2534</v>
      </c>
      <c r="F60" s="26">
        <f t="shared" si="5"/>
        <v>420</v>
      </c>
      <c r="G60" s="22">
        <f t="shared" si="6"/>
        <v>45</v>
      </c>
      <c r="H60" s="25">
        <f t="shared" si="7"/>
        <v>952</v>
      </c>
      <c r="I60" s="24">
        <v>-1670</v>
      </c>
      <c r="J60" s="28">
        <f t="shared" si="1"/>
        <v>2622</v>
      </c>
      <c r="K60" s="22">
        <f t="shared" si="8"/>
        <v>520</v>
      </c>
      <c r="L60" s="22">
        <f t="shared" si="9"/>
        <v>45</v>
      </c>
      <c r="M60" s="25">
        <f t="shared" si="10"/>
        <v>1195</v>
      </c>
      <c r="N60" s="24">
        <v>-1012</v>
      </c>
      <c r="O60" s="28">
        <f t="shared" si="2"/>
        <v>2207</v>
      </c>
      <c r="P60" s="22">
        <f t="shared" si="11"/>
        <v>362</v>
      </c>
      <c r="Q60" s="36"/>
      <c r="R60" s="30"/>
    </row>
    <row r="61" spans="1:18" ht="12.75" x14ac:dyDescent="0.2">
      <c r="A61" s="98">
        <v>45785</v>
      </c>
      <c r="B61" s="22">
        <f t="shared" si="3"/>
        <v>46</v>
      </c>
      <c r="C61" s="25">
        <f t="shared" si="4"/>
        <v>1122</v>
      </c>
      <c r="D61" s="24">
        <v>-1403</v>
      </c>
      <c r="E61" s="25">
        <v>2534</v>
      </c>
      <c r="F61" s="26">
        <f t="shared" si="5"/>
        <v>423</v>
      </c>
      <c r="G61" s="22">
        <f t="shared" si="6"/>
        <v>46</v>
      </c>
      <c r="H61" s="25">
        <f t="shared" si="7"/>
        <v>950</v>
      </c>
      <c r="I61" s="24">
        <v>-1672</v>
      </c>
      <c r="J61" s="28">
        <f t="shared" si="1"/>
        <v>2622</v>
      </c>
      <c r="K61" s="22">
        <f t="shared" si="8"/>
        <v>522</v>
      </c>
      <c r="L61" s="22">
        <f t="shared" si="9"/>
        <v>46</v>
      </c>
      <c r="M61" s="25">
        <f t="shared" si="10"/>
        <v>1192</v>
      </c>
      <c r="N61" s="24">
        <v>-1015</v>
      </c>
      <c r="O61" s="28">
        <f t="shared" si="2"/>
        <v>2207</v>
      </c>
      <c r="P61" s="22">
        <f t="shared" si="11"/>
        <v>365</v>
      </c>
      <c r="Q61" s="36"/>
      <c r="R61" s="30"/>
    </row>
    <row r="62" spans="1:18" ht="12.75" x14ac:dyDescent="0.2">
      <c r="A62" s="98">
        <v>45786</v>
      </c>
      <c r="B62" s="22">
        <f t="shared" si="3"/>
        <v>47</v>
      </c>
      <c r="C62" s="25">
        <f t="shared" si="4"/>
        <v>1119</v>
      </c>
      <c r="D62" s="24">
        <v>-1406</v>
      </c>
      <c r="E62" s="25">
        <v>2534</v>
      </c>
      <c r="F62" s="26">
        <f t="shared" si="5"/>
        <v>426</v>
      </c>
      <c r="G62" s="22">
        <f t="shared" si="6"/>
        <v>47</v>
      </c>
      <c r="H62" s="25">
        <f t="shared" si="7"/>
        <v>947</v>
      </c>
      <c r="I62" s="24">
        <v>-1675</v>
      </c>
      <c r="J62" s="28">
        <f t="shared" si="1"/>
        <v>2622</v>
      </c>
      <c r="K62" s="22">
        <f t="shared" si="8"/>
        <v>525</v>
      </c>
      <c r="L62" s="22">
        <f t="shared" si="9"/>
        <v>47</v>
      </c>
      <c r="M62" s="25">
        <f t="shared" si="10"/>
        <v>1188</v>
      </c>
      <c r="N62" s="24">
        <v>-1019</v>
      </c>
      <c r="O62" s="28">
        <f t="shared" si="2"/>
        <v>2207</v>
      </c>
      <c r="P62" s="22">
        <f t="shared" si="11"/>
        <v>369</v>
      </c>
      <c r="Q62" s="36"/>
      <c r="R62" s="30"/>
    </row>
    <row r="63" spans="1:18" ht="12.75" x14ac:dyDescent="0.2">
      <c r="A63" s="98">
        <v>45787</v>
      </c>
      <c r="B63" s="22">
        <f t="shared" si="3"/>
        <v>48</v>
      </c>
      <c r="C63" s="25">
        <f t="shared" si="4"/>
        <v>1116</v>
      </c>
      <c r="D63" s="24">
        <v>-1409</v>
      </c>
      <c r="E63" s="25">
        <v>2534</v>
      </c>
      <c r="F63" s="26">
        <f t="shared" si="5"/>
        <v>429</v>
      </c>
      <c r="G63" s="22">
        <f t="shared" si="6"/>
        <v>48</v>
      </c>
      <c r="H63" s="25">
        <f t="shared" si="7"/>
        <v>943</v>
      </c>
      <c r="I63" s="24">
        <v>-1679</v>
      </c>
      <c r="J63" s="28">
        <f t="shared" si="1"/>
        <v>2622</v>
      </c>
      <c r="K63" s="22">
        <f t="shared" si="8"/>
        <v>529</v>
      </c>
      <c r="L63" s="22">
        <f t="shared" si="9"/>
        <v>48</v>
      </c>
      <c r="M63" s="25">
        <f t="shared" si="10"/>
        <v>1185</v>
      </c>
      <c r="N63" s="24">
        <v>-1022</v>
      </c>
      <c r="O63" s="28">
        <f t="shared" si="2"/>
        <v>2207</v>
      </c>
      <c r="P63" s="22">
        <f t="shared" si="11"/>
        <v>372</v>
      </c>
      <c r="Q63" s="36"/>
      <c r="R63" s="30"/>
    </row>
    <row r="64" spans="1:18" ht="12.75" x14ac:dyDescent="0.2">
      <c r="A64" s="98">
        <v>45788</v>
      </c>
      <c r="B64" s="22">
        <f t="shared" si="3"/>
        <v>49</v>
      </c>
      <c r="C64" s="25">
        <f t="shared" si="4"/>
        <v>1113</v>
      </c>
      <c r="D64" s="24">
        <v>-1412</v>
      </c>
      <c r="E64" s="25">
        <v>2534</v>
      </c>
      <c r="F64" s="26">
        <f t="shared" si="5"/>
        <v>432</v>
      </c>
      <c r="G64" s="22">
        <f t="shared" si="6"/>
        <v>49</v>
      </c>
      <c r="H64" s="25">
        <f t="shared" si="7"/>
        <v>939</v>
      </c>
      <c r="I64" s="24">
        <v>-1683</v>
      </c>
      <c r="J64" s="28">
        <f t="shared" si="1"/>
        <v>2622</v>
      </c>
      <c r="K64" s="22">
        <f t="shared" si="8"/>
        <v>533</v>
      </c>
      <c r="L64" s="22">
        <f t="shared" si="9"/>
        <v>49</v>
      </c>
      <c r="M64" s="25">
        <f t="shared" si="10"/>
        <v>1182</v>
      </c>
      <c r="N64" s="24">
        <v>-1025</v>
      </c>
      <c r="O64" s="28">
        <f t="shared" si="2"/>
        <v>2207</v>
      </c>
      <c r="P64" s="22">
        <f t="shared" si="11"/>
        <v>375</v>
      </c>
      <c r="Q64" s="36"/>
      <c r="R64" s="30"/>
    </row>
    <row r="65" spans="1:18" ht="12.75" x14ac:dyDescent="0.2">
      <c r="A65" s="98">
        <v>45789</v>
      </c>
      <c r="B65" s="22">
        <f t="shared" si="3"/>
        <v>50</v>
      </c>
      <c r="C65" s="25">
        <f t="shared" si="4"/>
        <v>1110</v>
      </c>
      <c r="D65" s="24">
        <v>-1415</v>
      </c>
      <c r="E65" s="25">
        <v>2534</v>
      </c>
      <c r="F65" s="26">
        <f t="shared" si="5"/>
        <v>435</v>
      </c>
      <c r="G65" s="22">
        <f t="shared" si="6"/>
        <v>50</v>
      </c>
      <c r="H65" s="25">
        <f t="shared" si="7"/>
        <v>935</v>
      </c>
      <c r="I65" s="24">
        <v>-1687</v>
      </c>
      <c r="J65" s="28">
        <f t="shared" si="1"/>
        <v>2622</v>
      </c>
      <c r="K65" s="22">
        <f t="shared" si="8"/>
        <v>537</v>
      </c>
      <c r="L65" s="22">
        <f t="shared" si="9"/>
        <v>50</v>
      </c>
      <c r="M65" s="25">
        <f t="shared" si="10"/>
        <v>1179</v>
      </c>
      <c r="N65" s="24">
        <v>-1028</v>
      </c>
      <c r="O65" s="28">
        <f t="shared" si="2"/>
        <v>2207</v>
      </c>
      <c r="P65" s="22">
        <f t="shared" si="11"/>
        <v>378</v>
      </c>
      <c r="Q65" s="36"/>
      <c r="R65" s="30"/>
    </row>
    <row r="66" spans="1:18" ht="12.75" x14ac:dyDescent="0.2">
      <c r="A66" s="98">
        <v>45790</v>
      </c>
      <c r="B66" s="22">
        <f t="shared" si="3"/>
        <v>51</v>
      </c>
      <c r="C66" s="25">
        <f t="shared" si="4"/>
        <v>1107</v>
      </c>
      <c r="D66" s="24">
        <v>-1418</v>
      </c>
      <c r="E66" s="25">
        <v>2534</v>
      </c>
      <c r="F66" s="26">
        <f t="shared" si="5"/>
        <v>438</v>
      </c>
      <c r="G66" s="22">
        <f t="shared" si="6"/>
        <v>51</v>
      </c>
      <c r="H66" s="25">
        <f t="shared" si="7"/>
        <v>932</v>
      </c>
      <c r="I66" s="24">
        <v>-1690</v>
      </c>
      <c r="J66" s="28">
        <f t="shared" si="1"/>
        <v>2622</v>
      </c>
      <c r="K66" s="22">
        <f t="shared" si="8"/>
        <v>540</v>
      </c>
      <c r="L66" s="22">
        <f t="shared" si="9"/>
        <v>51</v>
      </c>
      <c r="M66" s="25">
        <f t="shared" si="10"/>
        <v>1175</v>
      </c>
      <c r="N66" s="24">
        <v>-1032</v>
      </c>
      <c r="O66" s="28">
        <f t="shared" si="2"/>
        <v>2207</v>
      </c>
      <c r="P66" s="22">
        <f t="shared" si="11"/>
        <v>382</v>
      </c>
      <c r="Q66" s="36"/>
      <c r="R66" s="30"/>
    </row>
    <row r="67" spans="1:18" ht="12.75" x14ac:dyDescent="0.2">
      <c r="A67" s="98">
        <v>45791</v>
      </c>
      <c r="B67" s="22">
        <f t="shared" si="3"/>
        <v>52</v>
      </c>
      <c r="C67" s="25">
        <f t="shared" si="4"/>
        <v>1093</v>
      </c>
      <c r="D67" s="24">
        <v>-1432</v>
      </c>
      <c r="E67" s="25">
        <v>2534</v>
      </c>
      <c r="F67" s="26">
        <f t="shared" si="5"/>
        <v>452</v>
      </c>
      <c r="G67" s="22">
        <f t="shared" si="6"/>
        <v>52</v>
      </c>
      <c r="H67" s="25">
        <f t="shared" si="7"/>
        <v>917</v>
      </c>
      <c r="I67" s="24">
        <v>-1705</v>
      </c>
      <c r="J67" s="28">
        <f t="shared" si="1"/>
        <v>2622</v>
      </c>
      <c r="K67" s="22">
        <f t="shared" si="8"/>
        <v>555</v>
      </c>
      <c r="L67" s="22">
        <f t="shared" si="9"/>
        <v>52</v>
      </c>
      <c r="M67" s="25">
        <f t="shared" si="10"/>
        <v>1162</v>
      </c>
      <c r="N67" s="24">
        <v>-1045</v>
      </c>
      <c r="O67" s="28">
        <f t="shared" si="2"/>
        <v>2207</v>
      </c>
      <c r="P67" s="22">
        <f t="shared" si="11"/>
        <v>395</v>
      </c>
      <c r="Q67" s="36"/>
      <c r="R67" s="30"/>
    </row>
    <row r="68" spans="1:18" ht="12.75" x14ac:dyDescent="0.2">
      <c r="A68" s="98">
        <v>45792</v>
      </c>
      <c r="B68" s="22">
        <f t="shared" si="3"/>
        <v>53</v>
      </c>
      <c r="C68" s="25">
        <f t="shared" si="4"/>
        <v>1078</v>
      </c>
      <c r="D68" s="24">
        <v>-1447</v>
      </c>
      <c r="E68" s="25">
        <v>2534</v>
      </c>
      <c r="F68" s="26">
        <f t="shared" si="5"/>
        <v>467</v>
      </c>
      <c r="G68" s="22">
        <f t="shared" si="6"/>
        <v>53</v>
      </c>
      <c r="H68" s="25">
        <f t="shared" si="7"/>
        <v>902</v>
      </c>
      <c r="I68" s="24">
        <v>-1720</v>
      </c>
      <c r="J68" s="28">
        <f t="shared" si="1"/>
        <v>2622</v>
      </c>
      <c r="K68" s="22">
        <f t="shared" si="8"/>
        <v>570</v>
      </c>
      <c r="L68" s="22">
        <f t="shared" si="9"/>
        <v>53</v>
      </c>
      <c r="M68" s="25">
        <f t="shared" si="10"/>
        <v>1149</v>
      </c>
      <c r="N68" s="24">
        <v>-1058</v>
      </c>
      <c r="O68" s="28">
        <f t="shared" si="2"/>
        <v>2207</v>
      </c>
      <c r="P68" s="22">
        <f t="shared" si="11"/>
        <v>408</v>
      </c>
      <c r="Q68" s="36"/>
      <c r="R68" s="30"/>
    </row>
    <row r="69" spans="1:18" ht="12.75" x14ac:dyDescent="0.2">
      <c r="A69" s="98">
        <v>45793</v>
      </c>
      <c r="B69" s="22">
        <f t="shared" si="3"/>
        <v>54</v>
      </c>
      <c r="C69" s="25">
        <f t="shared" si="4"/>
        <v>1075</v>
      </c>
      <c r="D69" s="24">
        <v>-1450</v>
      </c>
      <c r="E69" s="25">
        <v>2534</v>
      </c>
      <c r="F69" s="26">
        <f t="shared" si="5"/>
        <v>470</v>
      </c>
      <c r="G69" s="22">
        <f t="shared" si="6"/>
        <v>54</v>
      </c>
      <c r="H69" s="25">
        <f t="shared" si="7"/>
        <v>892</v>
      </c>
      <c r="I69" s="24">
        <v>-1730</v>
      </c>
      <c r="J69" s="28">
        <f t="shared" si="1"/>
        <v>2622</v>
      </c>
      <c r="K69" s="22">
        <f t="shared" si="8"/>
        <v>580</v>
      </c>
      <c r="L69" s="22">
        <f t="shared" si="9"/>
        <v>54</v>
      </c>
      <c r="M69" s="25">
        <f t="shared" si="10"/>
        <v>1144</v>
      </c>
      <c r="N69" s="24">
        <v>-1063</v>
      </c>
      <c r="O69" s="28">
        <f t="shared" si="2"/>
        <v>2207</v>
      </c>
      <c r="P69" s="22">
        <f t="shared" si="11"/>
        <v>413</v>
      </c>
      <c r="Q69" s="36"/>
      <c r="R69" s="30"/>
    </row>
    <row r="70" spans="1:18" ht="12.75" x14ac:dyDescent="0.2">
      <c r="A70" s="98">
        <v>45794</v>
      </c>
      <c r="B70" s="22">
        <f t="shared" si="3"/>
        <v>55</v>
      </c>
      <c r="C70" s="25">
        <f t="shared" si="4"/>
        <v>1070</v>
      </c>
      <c r="D70" s="24">
        <v>-1455</v>
      </c>
      <c r="E70" s="25">
        <v>2534</v>
      </c>
      <c r="F70" s="26">
        <f t="shared" si="5"/>
        <v>475</v>
      </c>
      <c r="G70" s="22">
        <f t="shared" si="6"/>
        <v>55</v>
      </c>
      <c r="H70" s="25">
        <f t="shared" si="7"/>
        <v>888</v>
      </c>
      <c r="I70" s="24">
        <v>-1734</v>
      </c>
      <c r="J70" s="28">
        <f t="shared" si="1"/>
        <v>2622</v>
      </c>
      <c r="K70" s="22">
        <f t="shared" si="8"/>
        <v>584</v>
      </c>
      <c r="L70" s="22">
        <f t="shared" si="9"/>
        <v>55</v>
      </c>
      <c r="M70" s="25">
        <f t="shared" si="10"/>
        <v>1140</v>
      </c>
      <c r="N70" s="24">
        <v>-1067</v>
      </c>
      <c r="O70" s="28">
        <f t="shared" si="2"/>
        <v>2207</v>
      </c>
      <c r="P70" s="22">
        <f t="shared" si="11"/>
        <v>417</v>
      </c>
      <c r="Q70" s="36"/>
      <c r="R70" s="30"/>
    </row>
    <row r="71" spans="1:18" ht="12.75" x14ac:dyDescent="0.2">
      <c r="A71" s="98">
        <v>45795</v>
      </c>
      <c r="B71" s="22">
        <f t="shared" si="3"/>
        <v>56</v>
      </c>
      <c r="C71" s="25">
        <f t="shared" si="4"/>
        <v>1067</v>
      </c>
      <c r="D71" s="24">
        <v>-1458</v>
      </c>
      <c r="E71" s="25">
        <v>2534</v>
      </c>
      <c r="F71" s="26">
        <f t="shared" si="5"/>
        <v>478</v>
      </c>
      <c r="G71" s="22">
        <f t="shared" si="6"/>
        <v>56</v>
      </c>
      <c r="H71" s="25">
        <f t="shared" si="7"/>
        <v>885</v>
      </c>
      <c r="I71" s="24">
        <v>-1737</v>
      </c>
      <c r="J71" s="28">
        <f t="shared" si="1"/>
        <v>2622</v>
      </c>
      <c r="K71" s="22">
        <f t="shared" si="8"/>
        <v>587</v>
      </c>
      <c r="L71" s="22">
        <f t="shared" si="9"/>
        <v>56</v>
      </c>
      <c r="M71" s="25">
        <f t="shared" si="10"/>
        <v>1137</v>
      </c>
      <c r="N71" s="24">
        <v>-1070</v>
      </c>
      <c r="O71" s="28">
        <f t="shared" si="2"/>
        <v>2207</v>
      </c>
      <c r="P71" s="22">
        <f t="shared" si="11"/>
        <v>420</v>
      </c>
      <c r="Q71" s="36"/>
      <c r="R71" s="30"/>
    </row>
    <row r="72" spans="1:18" ht="12.75" x14ac:dyDescent="0.2">
      <c r="A72" s="98">
        <v>45796</v>
      </c>
      <c r="B72" s="22">
        <f t="shared" si="3"/>
        <v>57</v>
      </c>
      <c r="C72" s="25">
        <f t="shared" si="4"/>
        <v>1064</v>
      </c>
      <c r="D72" s="24">
        <v>-1461</v>
      </c>
      <c r="E72" s="25">
        <v>2534</v>
      </c>
      <c r="F72" s="26">
        <f t="shared" si="5"/>
        <v>481</v>
      </c>
      <c r="G72" s="22">
        <f t="shared" si="6"/>
        <v>57</v>
      </c>
      <c r="H72" s="25">
        <f t="shared" si="7"/>
        <v>881</v>
      </c>
      <c r="I72" s="24">
        <v>-1741</v>
      </c>
      <c r="J72" s="28">
        <f t="shared" si="1"/>
        <v>2622</v>
      </c>
      <c r="K72" s="22">
        <f t="shared" si="8"/>
        <v>591</v>
      </c>
      <c r="L72" s="22">
        <f t="shared" si="9"/>
        <v>57</v>
      </c>
      <c r="M72" s="25">
        <f t="shared" si="10"/>
        <v>1134</v>
      </c>
      <c r="N72" s="24">
        <v>-1073</v>
      </c>
      <c r="O72" s="28">
        <f t="shared" si="2"/>
        <v>2207</v>
      </c>
      <c r="P72" s="22">
        <f t="shared" si="11"/>
        <v>423</v>
      </c>
      <c r="Q72" s="36"/>
      <c r="R72" s="30"/>
    </row>
    <row r="73" spans="1:18" ht="12.75" x14ac:dyDescent="0.2">
      <c r="A73" s="98">
        <v>45797</v>
      </c>
      <c r="B73" s="22">
        <f t="shared" si="3"/>
        <v>58</v>
      </c>
      <c r="C73" s="25">
        <f t="shared" si="4"/>
        <v>1061</v>
      </c>
      <c r="D73" s="24">
        <v>-1464</v>
      </c>
      <c r="E73" s="25">
        <v>2534</v>
      </c>
      <c r="F73" s="26">
        <f t="shared" si="5"/>
        <v>484</v>
      </c>
      <c r="G73" s="22">
        <f t="shared" si="6"/>
        <v>58</v>
      </c>
      <c r="H73" s="25">
        <f t="shared" si="7"/>
        <v>877</v>
      </c>
      <c r="I73" s="24">
        <v>-1745</v>
      </c>
      <c r="J73" s="28">
        <f t="shared" si="1"/>
        <v>2622</v>
      </c>
      <c r="K73" s="22">
        <f t="shared" si="8"/>
        <v>595</v>
      </c>
      <c r="L73" s="22">
        <f t="shared" si="9"/>
        <v>58</v>
      </c>
      <c r="M73" s="25">
        <f t="shared" si="10"/>
        <v>1131</v>
      </c>
      <c r="N73" s="24">
        <v>-1076</v>
      </c>
      <c r="O73" s="28">
        <f t="shared" si="2"/>
        <v>2207</v>
      </c>
      <c r="P73" s="22">
        <f t="shared" si="11"/>
        <v>426</v>
      </c>
      <c r="Q73" s="36"/>
      <c r="R73" s="30"/>
    </row>
    <row r="74" spans="1:18" ht="12.75" x14ac:dyDescent="0.2">
      <c r="A74" s="98">
        <v>45798</v>
      </c>
      <c r="B74" s="22">
        <f t="shared" si="3"/>
        <v>59</v>
      </c>
      <c r="C74" s="25">
        <f t="shared" si="4"/>
        <v>1058</v>
      </c>
      <c r="D74" s="24">
        <v>-1467</v>
      </c>
      <c r="E74" s="25">
        <v>2534</v>
      </c>
      <c r="F74" s="26">
        <f t="shared" si="5"/>
        <v>487</v>
      </c>
      <c r="G74" s="22">
        <f t="shared" si="6"/>
        <v>59</v>
      </c>
      <c r="H74" s="25">
        <f t="shared" si="7"/>
        <v>873</v>
      </c>
      <c r="I74" s="24">
        <v>-1749</v>
      </c>
      <c r="J74" s="28">
        <f t="shared" si="1"/>
        <v>2622</v>
      </c>
      <c r="K74" s="22">
        <f t="shared" si="8"/>
        <v>599</v>
      </c>
      <c r="L74" s="22">
        <f t="shared" si="9"/>
        <v>59</v>
      </c>
      <c r="M74" s="25">
        <f t="shared" si="10"/>
        <v>1128</v>
      </c>
      <c r="N74" s="24">
        <v>-1079</v>
      </c>
      <c r="O74" s="28">
        <f t="shared" si="2"/>
        <v>2207</v>
      </c>
      <c r="P74" s="22">
        <f t="shared" si="11"/>
        <v>429</v>
      </c>
      <c r="Q74" s="36"/>
      <c r="R74" s="30"/>
    </row>
    <row r="75" spans="1:18" ht="12.75" x14ac:dyDescent="0.2">
      <c r="A75" s="98">
        <v>45799</v>
      </c>
      <c r="B75" s="22">
        <f t="shared" si="3"/>
        <v>60</v>
      </c>
      <c r="C75" s="25">
        <f t="shared" si="4"/>
        <v>1055</v>
      </c>
      <c r="D75" s="24">
        <v>-1470</v>
      </c>
      <c r="E75" s="25">
        <v>2534</v>
      </c>
      <c r="F75" s="26">
        <f t="shared" si="5"/>
        <v>490</v>
      </c>
      <c r="G75" s="22">
        <f t="shared" si="6"/>
        <v>60</v>
      </c>
      <c r="H75" s="25">
        <f t="shared" si="7"/>
        <v>869</v>
      </c>
      <c r="I75" s="24">
        <v>-1753</v>
      </c>
      <c r="J75" s="28">
        <f t="shared" si="1"/>
        <v>2622</v>
      </c>
      <c r="K75" s="22">
        <f t="shared" si="8"/>
        <v>603</v>
      </c>
      <c r="L75" s="22">
        <f t="shared" si="9"/>
        <v>60</v>
      </c>
      <c r="M75" s="25">
        <f t="shared" si="10"/>
        <v>1125</v>
      </c>
      <c r="N75" s="24">
        <v>-1082</v>
      </c>
      <c r="O75" s="28">
        <f t="shared" si="2"/>
        <v>2207</v>
      </c>
      <c r="P75" s="22">
        <f t="shared" si="11"/>
        <v>432</v>
      </c>
      <c r="Q75" s="36"/>
      <c r="R75" s="30"/>
    </row>
    <row r="76" spans="1:18" ht="12.75" x14ac:dyDescent="0.2">
      <c r="A76" s="98">
        <v>45800</v>
      </c>
      <c r="B76" s="22">
        <f t="shared" si="3"/>
        <v>61</v>
      </c>
      <c r="C76" s="25">
        <f t="shared" si="4"/>
        <v>1054</v>
      </c>
      <c r="D76" s="24">
        <v>-1471</v>
      </c>
      <c r="E76" s="25">
        <v>2534</v>
      </c>
      <c r="F76" s="26">
        <f t="shared" si="5"/>
        <v>491</v>
      </c>
      <c r="G76" s="22">
        <f t="shared" si="6"/>
        <v>61</v>
      </c>
      <c r="H76" s="25">
        <f t="shared" si="7"/>
        <v>865</v>
      </c>
      <c r="I76" s="24">
        <v>-1757</v>
      </c>
      <c r="J76" s="28">
        <f t="shared" si="1"/>
        <v>2622</v>
      </c>
      <c r="K76" s="22">
        <f t="shared" si="8"/>
        <v>607</v>
      </c>
      <c r="L76" s="22">
        <f t="shared" si="9"/>
        <v>61</v>
      </c>
      <c r="M76" s="25">
        <f t="shared" si="10"/>
        <v>1119</v>
      </c>
      <c r="N76" s="24">
        <v>-1088</v>
      </c>
      <c r="O76" s="28">
        <f t="shared" si="2"/>
        <v>2207</v>
      </c>
      <c r="P76" s="22">
        <f t="shared" si="11"/>
        <v>438</v>
      </c>
      <c r="Q76" s="36"/>
      <c r="R76" s="30"/>
    </row>
    <row r="77" spans="1:18" ht="12.75" x14ac:dyDescent="0.2">
      <c r="A77" s="98">
        <v>45801</v>
      </c>
      <c r="B77" s="22">
        <f t="shared" si="3"/>
        <v>62</v>
      </c>
      <c r="C77" s="25">
        <f t="shared" si="4"/>
        <v>1053</v>
      </c>
      <c r="D77" s="24">
        <v>-1472</v>
      </c>
      <c r="E77" s="25">
        <v>2534</v>
      </c>
      <c r="F77" s="26">
        <f t="shared" si="5"/>
        <v>492</v>
      </c>
      <c r="G77" s="22">
        <f t="shared" si="6"/>
        <v>62</v>
      </c>
      <c r="H77" s="25">
        <f t="shared" si="7"/>
        <v>860</v>
      </c>
      <c r="I77" s="24">
        <v>-1762</v>
      </c>
      <c r="J77" s="28">
        <f t="shared" si="1"/>
        <v>2622</v>
      </c>
      <c r="K77" s="22">
        <f t="shared" si="8"/>
        <v>612</v>
      </c>
      <c r="L77" s="22">
        <f t="shared" si="9"/>
        <v>62</v>
      </c>
      <c r="M77" s="25">
        <f t="shared" si="10"/>
        <v>1112</v>
      </c>
      <c r="N77" s="24">
        <v>-1095</v>
      </c>
      <c r="O77" s="28">
        <f t="shared" si="2"/>
        <v>2207</v>
      </c>
      <c r="P77" s="22">
        <f t="shared" si="11"/>
        <v>445</v>
      </c>
      <c r="Q77" s="36"/>
      <c r="R77" s="30"/>
    </row>
    <row r="78" spans="1:18" ht="12.75" x14ac:dyDescent="0.2">
      <c r="A78" s="98">
        <v>45802</v>
      </c>
      <c r="B78" s="22">
        <f t="shared" si="3"/>
        <v>63</v>
      </c>
      <c r="C78" s="25">
        <f t="shared" si="4"/>
        <v>1052</v>
      </c>
      <c r="D78" s="24">
        <v>-1473</v>
      </c>
      <c r="E78" s="25">
        <v>2534</v>
      </c>
      <c r="F78" s="26">
        <f t="shared" si="5"/>
        <v>493</v>
      </c>
      <c r="G78" s="22">
        <f t="shared" si="6"/>
        <v>63</v>
      </c>
      <c r="H78" s="25">
        <f t="shared" si="7"/>
        <v>855</v>
      </c>
      <c r="I78" s="24">
        <v>-1767</v>
      </c>
      <c r="J78" s="28">
        <f t="shared" si="1"/>
        <v>2622</v>
      </c>
      <c r="K78" s="22">
        <f t="shared" si="8"/>
        <v>617</v>
      </c>
      <c r="L78" s="22">
        <f t="shared" si="9"/>
        <v>63</v>
      </c>
      <c r="M78" s="25">
        <f t="shared" si="10"/>
        <v>1111</v>
      </c>
      <c r="N78" s="24">
        <v>-1096</v>
      </c>
      <c r="O78" s="28">
        <f t="shared" si="2"/>
        <v>2207</v>
      </c>
      <c r="P78" s="22">
        <f t="shared" si="11"/>
        <v>446</v>
      </c>
      <c r="Q78" s="36"/>
      <c r="R78" s="30"/>
    </row>
    <row r="79" spans="1:18" ht="12.75" x14ac:dyDescent="0.2">
      <c r="A79" s="98">
        <v>45803</v>
      </c>
      <c r="B79" s="22">
        <f t="shared" si="3"/>
        <v>64</v>
      </c>
      <c r="C79" s="25">
        <f t="shared" si="4"/>
        <v>1051</v>
      </c>
      <c r="D79" s="24">
        <v>-1474</v>
      </c>
      <c r="E79" s="25">
        <v>2534</v>
      </c>
      <c r="F79" s="26">
        <f t="shared" si="5"/>
        <v>494</v>
      </c>
      <c r="G79" s="22">
        <f t="shared" si="6"/>
        <v>64</v>
      </c>
      <c r="H79" s="25">
        <f t="shared" si="7"/>
        <v>850</v>
      </c>
      <c r="I79" s="24">
        <v>-1772</v>
      </c>
      <c r="J79" s="28">
        <f t="shared" si="1"/>
        <v>2622</v>
      </c>
      <c r="K79" s="22">
        <f t="shared" si="8"/>
        <v>622</v>
      </c>
      <c r="L79" s="22">
        <f t="shared" si="9"/>
        <v>64</v>
      </c>
      <c r="M79" s="25">
        <f t="shared" si="10"/>
        <v>1110</v>
      </c>
      <c r="N79" s="24">
        <v>-1097</v>
      </c>
      <c r="O79" s="28">
        <f t="shared" si="2"/>
        <v>2207</v>
      </c>
      <c r="P79" s="22">
        <f t="shared" si="11"/>
        <v>447</v>
      </c>
      <c r="Q79" s="36"/>
      <c r="R79" s="30"/>
    </row>
    <row r="80" spans="1:18" ht="12.75" x14ac:dyDescent="0.2">
      <c r="A80" s="98">
        <v>45804</v>
      </c>
      <c r="B80" s="22">
        <f t="shared" si="3"/>
        <v>65</v>
      </c>
      <c r="C80" s="25">
        <f t="shared" si="4"/>
        <v>1050</v>
      </c>
      <c r="D80" s="24">
        <v>-1475</v>
      </c>
      <c r="E80" s="25">
        <v>2534</v>
      </c>
      <c r="F80" s="26">
        <f t="shared" si="5"/>
        <v>495</v>
      </c>
      <c r="G80" s="22">
        <f t="shared" si="6"/>
        <v>65</v>
      </c>
      <c r="H80" s="25">
        <f t="shared" si="7"/>
        <v>845</v>
      </c>
      <c r="I80" s="24">
        <v>-1777</v>
      </c>
      <c r="J80" s="28">
        <f t="shared" si="1"/>
        <v>2622</v>
      </c>
      <c r="K80" s="22">
        <f t="shared" si="8"/>
        <v>627</v>
      </c>
      <c r="L80" s="22">
        <f t="shared" si="9"/>
        <v>65</v>
      </c>
      <c r="M80" s="25">
        <f t="shared" si="10"/>
        <v>1109</v>
      </c>
      <c r="N80" s="24">
        <v>-1098</v>
      </c>
      <c r="O80" s="28">
        <f t="shared" si="2"/>
        <v>2207</v>
      </c>
      <c r="P80" s="22">
        <f t="shared" si="11"/>
        <v>448</v>
      </c>
      <c r="Q80" s="36"/>
      <c r="R80" s="30"/>
    </row>
    <row r="81" spans="1:18" ht="12.75" x14ac:dyDescent="0.2">
      <c r="A81" s="98">
        <v>45805</v>
      </c>
      <c r="B81" s="22">
        <f t="shared" si="3"/>
        <v>66</v>
      </c>
      <c r="C81" s="25">
        <f t="shared" si="4"/>
        <v>1050</v>
      </c>
      <c r="D81" s="24">
        <v>-1475</v>
      </c>
      <c r="E81" s="25">
        <v>2534</v>
      </c>
      <c r="F81" s="26">
        <f t="shared" si="5"/>
        <v>495</v>
      </c>
      <c r="G81" s="22">
        <f t="shared" si="6"/>
        <v>66</v>
      </c>
      <c r="H81" s="25">
        <f t="shared" si="7"/>
        <v>845</v>
      </c>
      <c r="I81" s="24">
        <v>-1777</v>
      </c>
      <c r="J81" s="28">
        <f t="shared" si="1"/>
        <v>2622</v>
      </c>
      <c r="K81" s="22">
        <f t="shared" si="8"/>
        <v>627</v>
      </c>
      <c r="L81" s="22">
        <f t="shared" si="9"/>
        <v>66</v>
      </c>
      <c r="M81" s="25">
        <f t="shared" si="10"/>
        <v>1108</v>
      </c>
      <c r="N81" s="24">
        <v>-1099</v>
      </c>
      <c r="O81" s="28">
        <f t="shared" si="2"/>
        <v>2207</v>
      </c>
      <c r="P81" s="22">
        <f t="shared" si="11"/>
        <v>449</v>
      </c>
      <c r="Q81" s="36"/>
      <c r="R81" s="30"/>
    </row>
    <row r="82" spans="1:18" ht="12.75" x14ac:dyDescent="0.2">
      <c r="A82" s="98">
        <v>45806</v>
      </c>
      <c r="B82" s="22">
        <f t="shared" si="3"/>
        <v>67</v>
      </c>
      <c r="C82" s="25">
        <f t="shared" si="4"/>
        <v>1050</v>
      </c>
      <c r="D82" s="24">
        <v>-1475</v>
      </c>
      <c r="E82" s="25">
        <v>2534</v>
      </c>
      <c r="F82" s="26">
        <f t="shared" si="5"/>
        <v>495</v>
      </c>
      <c r="G82" s="22">
        <f t="shared" si="6"/>
        <v>67</v>
      </c>
      <c r="H82" s="25">
        <f t="shared" si="7"/>
        <v>845</v>
      </c>
      <c r="I82" s="24">
        <v>-1777</v>
      </c>
      <c r="J82" s="28">
        <f t="shared" si="1"/>
        <v>2622</v>
      </c>
      <c r="K82" s="22">
        <f t="shared" si="8"/>
        <v>627</v>
      </c>
      <c r="L82" s="22">
        <f t="shared" si="9"/>
        <v>67</v>
      </c>
      <c r="M82" s="25">
        <f t="shared" si="10"/>
        <v>1107</v>
      </c>
      <c r="N82" s="24">
        <v>-1100</v>
      </c>
      <c r="O82" s="28">
        <f t="shared" si="2"/>
        <v>2207</v>
      </c>
      <c r="P82" s="22">
        <f t="shared" si="11"/>
        <v>450</v>
      </c>
      <c r="Q82" s="36"/>
      <c r="R82" s="30"/>
    </row>
    <row r="83" spans="1:18" ht="12.75" x14ac:dyDescent="0.2">
      <c r="A83" s="98">
        <v>45807</v>
      </c>
      <c r="B83" s="22">
        <f t="shared" si="3"/>
        <v>68</v>
      </c>
      <c r="C83" s="25">
        <f t="shared" si="4"/>
        <v>1050</v>
      </c>
      <c r="D83" s="24">
        <v>-1475</v>
      </c>
      <c r="E83" s="25">
        <v>2534</v>
      </c>
      <c r="F83" s="26">
        <f t="shared" si="5"/>
        <v>495</v>
      </c>
      <c r="G83" s="22">
        <f t="shared" si="6"/>
        <v>68</v>
      </c>
      <c r="H83" s="25">
        <f t="shared" si="7"/>
        <v>845</v>
      </c>
      <c r="I83" s="24">
        <v>-1777</v>
      </c>
      <c r="J83" s="28">
        <f t="shared" si="1"/>
        <v>2622</v>
      </c>
      <c r="K83" s="22">
        <f t="shared" si="8"/>
        <v>627</v>
      </c>
      <c r="L83" s="22">
        <f t="shared" si="9"/>
        <v>68</v>
      </c>
      <c r="M83" s="25">
        <f t="shared" si="10"/>
        <v>1106</v>
      </c>
      <c r="N83" s="24">
        <v>-1101</v>
      </c>
      <c r="O83" s="28">
        <f t="shared" si="2"/>
        <v>2207</v>
      </c>
      <c r="P83" s="22">
        <f t="shared" si="11"/>
        <v>451</v>
      </c>
      <c r="Q83" s="36"/>
      <c r="R83" s="30"/>
    </row>
    <row r="84" spans="1:18" ht="12.75" x14ac:dyDescent="0.2">
      <c r="A84" s="98">
        <v>45808</v>
      </c>
      <c r="B84" s="22">
        <f t="shared" si="3"/>
        <v>69</v>
      </c>
      <c r="C84" s="25">
        <f t="shared" si="4"/>
        <v>1050</v>
      </c>
      <c r="D84" s="24">
        <v>-1475</v>
      </c>
      <c r="E84" s="25">
        <v>2534</v>
      </c>
      <c r="F84" s="26">
        <f t="shared" si="5"/>
        <v>495</v>
      </c>
      <c r="G84" s="22">
        <f t="shared" si="6"/>
        <v>69</v>
      </c>
      <c r="H84" s="25">
        <f t="shared" si="7"/>
        <v>845</v>
      </c>
      <c r="I84" s="24">
        <v>-1777</v>
      </c>
      <c r="J84" s="28">
        <f t="shared" si="1"/>
        <v>2622</v>
      </c>
      <c r="K84" s="22">
        <f t="shared" si="8"/>
        <v>627</v>
      </c>
      <c r="L84" s="22">
        <f t="shared" si="9"/>
        <v>69</v>
      </c>
      <c r="M84" s="25">
        <f t="shared" si="10"/>
        <v>1105</v>
      </c>
      <c r="N84" s="24">
        <v>-1102</v>
      </c>
      <c r="O84" s="28">
        <f t="shared" si="2"/>
        <v>2207</v>
      </c>
      <c r="P84" s="22">
        <f t="shared" si="11"/>
        <v>452</v>
      </c>
      <c r="Q84" s="36"/>
      <c r="R84" s="30"/>
    </row>
    <row r="85" spans="1:18" ht="12.75" x14ac:dyDescent="0.2">
      <c r="A85" s="98">
        <v>45809</v>
      </c>
      <c r="B85" s="22">
        <f t="shared" si="3"/>
        <v>70</v>
      </c>
      <c r="C85" s="25">
        <f t="shared" si="4"/>
        <v>1029</v>
      </c>
      <c r="D85" s="24">
        <v>-1496</v>
      </c>
      <c r="E85" s="25">
        <v>2534</v>
      </c>
      <c r="F85" s="26">
        <f t="shared" si="5"/>
        <v>516</v>
      </c>
      <c r="G85" s="22">
        <f t="shared" si="6"/>
        <v>70</v>
      </c>
      <c r="H85" s="25">
        <f t="shared" si="7"/>
        <v>845</v>
      </c>
      <c r="I85" s="24">
        <v>-1777</v>
      </c>
      <c r="J85" s="28">
        <f t="shared" si="1"/>
        <v>2622</v>
      </c>
      <c r="K85" s="22">
        <f t="shared" si="8"/>
        <v>627</v>
      </c>
      <c r="L85" s="22">
        <f t="shared" si="9"/>
        <v>70</v>
      </c>
      <c r="M85" s="25">
        <f t="shared" si="10"/>
        <v>1104</v>
      </c>
      <c r="N85" s="24">
        <v>-1103</v>
      </c>
      <c r="O85" s="28">
        <f t="shared" si="2"/>
        <v>2207</v>
      </c>
      <c r="P85" s="22">
        <f t="shared" si="11"/>
        <v>453</v>
      </c>
      <c r="Q85" s="36"/>
      <c r="R85" s="30"/>
    </row>
    <row r="86" spans="1:18" ht="12.75" x14ac:dyDescent="0.2">
      <c r="A86" s="98">
        <v>45810</v>
      </c>
      <c r="B86" s="22">
        <f t="shared" si="3"/>
        <v>71</v>
      </c>
      <c r="C86" s="25">
        <f t="shared" si="4"/>
        <v>1026</v>
      </c>
      <c r="D86" s="24">
        <v>-1499</v>
      </c>
      <c r="E86" s="25">
        <v>2534</v>
      </c>
      <c r="F86" s="26">
        <f t="shared" si="5"/>
        <v>519</v>
      </c>
      <c r="G86" s="22">
        <f t="shared" si="6"/>
        <v>71</v>
      </c>
      <c r="H86" s="25">
        <f t="shared" si="7"/>
        <v>845</v>
      </c>
      <c r="I86" s="24">
        <v>-1777</v>
      </c>
      <c r="J86" s="28">
        <f t="shared" si="1"/>
        <v>2622</v>
      </c>
      <c r="K86" s="22">
        <f t="shared" si="8"/>
        <v>627</v>
      </c>
      <c r="L86" s="22">
        <f t="shared" si="9"/>
        <v>71</v>
      </c>
      <c r="M86" s="25">
        <f t="shared" si="10"/>
        <v>1103</v>
      </c>
      <c r="N86" s="24">
        <v>-1104</v>
      </c>
      <c r="O86" s="28">
        <f t="shared" si="2"/>
        <v>2207</v>
      </c>
      <c r="P86" s="22">
        <f t="shared" si="11"/>
        <v>454</v>
      </c>
      <c r="Q86" s="36"/>
      <c r="R86" s="30"/>
    </row>
    <row r="87" spans="1:18" ht="12.75" x14ac:dyDescent="0.2">
      <c r="A87" s="98">
        <v>45811</v>
      </c>
      <c r="B87" s="22">
        <f t="shared" si="3"/>
        <v>72</v>
      </c>
      <c r="C87" s="25">
        <f t="shared" si="4"/>
        <v>1023</v>
      </c>
      <c r="D87" s="24">
        <v>-1502</v>
      </c>
      <c r="E87" s="25">
        <v>2534</v>
      </c>
      <c r="F87" s="26">
        <f t="shared" si="5"/>
        <v>522</v>
      </c>
      <c r="G87" s="22">
        <f t="shared" si="6"/>
        <v>72</v>
      </c>
      <c r="H87" s="25">
        <f t="shared" si="7"/>
        <v>845</v>
      </c>
      <c r="I87" s="24">
        <v>-1777</v>
      </c>
      <c r="J87" s="28">
        <f t="shared" si="1"/>
        <v>2622</v>
      </c>
      <c r="K87" s="22">
        <f t="shared" si="8"/>
        <v>627</v>
      </c>
      <c r="L87" s="22">
        <f t="shared" si="9"/>
        <v>72</v>
      </c>
      <c r="M87" s="25">
        <f t="shared" si="10"/>
        <v>1102</v>
      </c>
      <c r="N87" s="24">
        <v>-1105</v>
      </c>
      <c r="O87" s="28">
        <f t="shared" si="2"/>
        <v>2207</v>
      </c>
      <c r="P87" s="22">
        <f t="shared" si="11"/>
        <v>455</v>
      </c>
      <c r="Q87" s="36"/>
      <c r="R87" s="30"/>
    </row>
    <row r="88" spans="1:18" ht="12.75" x14ac:dyDescent="0.2">
      <c r="A88" s="98">
        <v>45812</v>
      </c>
      <c r="B88" s="22">
        <f t="shared" si="3"/>
        <v>73</v>
      </c>
      <c r="C88" s="25">
        <f t="shared" si="4"/>
        <v>1020</v>
      </c>
      <c r="D88" s="24">
        <v>-1505</v>
      </c>
      <c r="E88" s="25">
        <v>2534</v>
      </c>
      <c r="F88" s="26">
        <f t="shared" si="5"/>
        <v>525</v>
      </c>
      <c r="G88" s="22">
        <f t="shared" si="6"/>
        <v>73</v>
      </c>
      <c r="H88" s="25">
        <f t="shared" si="7"/>
        <v>844</v>
      </c>
      <c r="I88" s="24">
        <v>-1778</v>
      </c>
      <c r="J88" s="28">
        <f t="shared" si="1"/>
        <v>2622</v>
      </c>
      <c r="K88" s="22">
        <f t="shared" si="8"/>
        <v>628</v>
      </c>
      <c r="L88" s="22">
        <f t="shared" si="9"/>
        <v>73</v>
      </c>
      <c r="M88" s="25">
        <f t="shared" si="10"/>
        <v>1101</v>
      </c>
      <c r="N88" s="24">
        <v>-1106</v>
      </c>
      <c r="O88" s="28">
        <f t="shared" si="2"/>
        <v>2207</v>
      </c>
      <c r="P88" s="22">
        <f t="shared" si="11"/>
        <v>456</v>
      </c>
      <c r="Q88" s="36"/>
      <c r="R88" s="30"/>
    </row>
    <row r="89" spans="1:18" ht="12.75" x14ac:dyDescent="0.2">
      <c r="A89" s="98">
        <v>45813</v>
      </c>
      <c r="B89" s="22">
        <f t="shared" si="3"/>
        <v>74</v>
      </c>
      <c r="C89" s="25">
        <f t="shared" si="4"/>
        <v>1017</v>
      </c>
      <c r="D89" s="24">
        <v>-1508</v>
      </c>
      <c r="E89" s="25">
        <v>2534</v>
      </c>
      <c r="F89" s="26">
        <f t="shared" si="5"/>
        <v>528</v>
      </c>
      <c r="G89" s="22">
        <f t="shared" si="6"/>
        <v>74</v>
      </c>
      <c r="H89" s="25">
        <f t="shared" si="7"/>
        <v>842</v>
      </c>
      <c r="I89" s="24">
        <v>-1780</v>
      </c>
      <c r="J89" s="28">
        <f t="shared" si="1"/>
        <v>2622</v>
      </c>
      <c r="K89" s="22">
        <f t="shared" si="8"/>
        <v>630</v>
      </c>
      <c r="L89" s="22">
        <f t="shared" si="9"/>
        <v>74</v>
      </c>
      <c r="M89" s="25">
        <f t="shared" si="10"/>
        <v>1100</v>
      </c>
      <c r="N89" s="24">
        <v>-1107</v>
      </c>
      <c r="O89" s="28">
        <f t="shared" si="2"/>
        <v>2207</v>
      </c>
      <c r="P89" s="22">
        <f t="shared" si="11"/>
        <v>457</v>
      </c>
      <c r="Q89" s="36"/>
      <c r="R89" s="30"/>
    </row>
    <row r="90" spans="1:18" ht="12.75" x14ac:dyDescent="0.2">
      <c r="A90" s="98">
        <v>45814</v>
      </c>
      <c r="B90" s="22">
        <f t="shared" si="3"/>
        <v>75</v>
      </c>
      <c r="C90" s="25">
        <f t="shared" si="4"/>
        <v>1014</v>
      </c>
      <c r="D90" s="24">
        <v>-1511</v>
      </c>
      <c r="E90" s="25">
        <v>2534</v>
      </c>
      <c r="F90" s="26">
        <f t="shared" si="5"/>
        <v>531</v>
      </c>
      <c r="G90" s="22">
        <f t="shared" si="6"/>
        <v>75</v>
      </c>
      <c r="H90" s="25">
        <f t="shared" si="7"/>
        <v>840</v>
      </c>
      <c r="I90" s="24">
        <v>-1782</v>
      </c>
      <c r="J90" s="28">
        <f t="shared" si="1"/>
        <v>2622</v>
      </c>
      <c r="K90" s="22">
        <f t="shared" si="8"/>
        <v>632</v>
      </c>
      <c r="L90" s="22">
        <f t="shared" si="9"/>
        <v>75</v>
      </c>
      <c r="M90" s="25">
        <f t="shared" si="10"/>
        <v>1099</v>
      </c>
      <c r="N90" s="24">
        <v>-1108</v>
      </c>
      <c r="O90" s="28">
        <f t="shared" si="2"/>
        <v>2207</v>
      </c>
      <c r="P90" s="22">
        <f t="shared" si="11"/>
        <v>458</v>
      </c>
      <c r="Q90" s="36"/>
      <c r="R90" s="30"/>
    </row>
    <row r="91" spans="1:18" ht="12.75" x14ac:dyDescent="0.2">
      <c r="A91" s="98">
        <v>45815</v>
      </c>
      <c r="B91" s="22">
        <f t="shared" si="3"/>
        <v>76</v>
      </c>
      <c r="C91" s="25">
        <f t="shared" si="4"/>
        <v>1011</v>
      </c>
      <c r="D91" s="24">
        <v>-1514</v>
      </c>
      <c r="E91" s="25">
        <v>2534</v>
      </c>
      <c r="F91" s="26">
        <f t="shared" si="5"/>
        <v>534</v>
      </c>
      <c r="G91" s="22">
        <f t="shared" si="6"/>
        <v>76</v>
      </c>
      <c r="H91" s="25">
        <f t="shared" si="7"/>
        <v>838</v>
      </c>
      <c r="I91" s="24">
        <v>-1784</v>
      </c>
      <c r="J91" s="28">
        <f t="shared" si="1"/>
        <v>2622</v>
      </c>
      <c r="K91" s="22">
        <f t="shared" si="8"/>
        <v>634</v>
      </c>
      <c r="L91" s="22">
        <f t="shared" si="9"/>
        <v>76</v>
      </c>
      <c r="M91" s="25">
        <f t="shared" si="10"/>
        <v>1098</v>
      </c>
      <c r="N91" s="24">
        <v>-1109</v>
      </c>
      <c r="O91" s="28">
        <f t="shared" si="2"/>
        <v>2207</v>
      </c>
      <c r="P91" s="22">
        <f t="shared" si="11"/>
        <v>459</v>
      </c>
      <c r="Q91" s="36"/>
      <c r="R91" s="30"/>
    </row>
    <row r="92" spans="1:18" ht="12.75" x14ac:dyDescent="0.2">
      <c r="A92" s="98">
        <v>45816</v>
      </c>
      <c r="B92" s="22">
        <f t="shared" si="3"/>
        <v>77</v>
      </c>
      <c r="C92" s="25">
        <f t="shared" si="4"/>
        <v>1008</v>
      </c>
      <c r="D92" s="24">
        <v>-1517</v>
      </c>
      <c r="E92" s="25">
        <v>2534</v>
      </c>
      <c r="F92" s="26">
        <f t="shared" si="5"/>
        <v>537</v>
      </c>
      <c r="G92" s="22">
        <f t="shared" si="6"/>
        <v>77</v>
      </c>
      <c r="H92" s="25">
        <f t="shared" si="7"/>
        <v>836</v>
      </c>
      <c r="I92" s="24">
        <v>-1786</v>
      </c>
      <c r="J92" s="28">
        <f t="shared" si="1"/>
        <v>2622</v>
      </c>
      <c r="K92" s="22">
        <f t="shared" si="8"/>
        <v>636</v>
      </c>
      <c r="L92" s="22">
        <f t="shared" si="9"/>
        <v>77</v>
      </c>
      <c r="M92" s="25">
        <f t="shared" si="10"/>
        <v>1097</v>
      </c>
      <c r="N92" s="24">
        <v>-1110</v>
      </c>
      <c r="O92" s="28">
        <f t="shared" si="2"/>
        <v>2207</v>
      </c>
      <c r="P92" s="22">
        <f t="shared" si="11"/>
        <v>460</v>
      </c>
      <c r="Q92" s="36"/>
      <c r="R92" s="30"/>
    </row>
    <row r="93" spans="1:18" ht="12.75" x14ac:dyDescent="0.2">
      <c r="A93" s="98">
        <v>45817</v>
      </c>
      <c r="B93" s="22">
        <f t="shared" si="3"/>
        <v>78</v>
      </c>
      <c r="C93" s="25">
        <f t="shared" si="4"/>
        <v>1005</v>
      </c>
      <c r="D93" s="24">
        <v>-1520</v>
      </c>
      <c r="E93" s="25">
        <v>2534</v>
      </c>
      <c r="F93" s="26">
        <f t="shared" si="5"/>
        <v>540</v>
      </c>
      <c r="G93" s="22">
        <f t="shared" si="6"/>
        <v>78</v>
      </c>
      <c r="H93" s="25">
        <f t="shared" si="7"/>
        <v>834</v>
      </c>
      <c r="I93" s="24">
        <v>-1788</v>
      </c>
      <c r="J93" s="28">
        <f t="shared" si="1"/>
        <v>2622</v>
      </c>
      <c r="K93" s="22">
        <f t="shared" si="8"/>
        <v>638</v>
      </c>
      <c r="L93" s="22">
        <f t="shared" si="9"/>
        <v>78</v>
      </c>
      <c r="M93" s="25">
        <f t="shared" si="10"/>
        <v>1097</v>
      </c>
      <c r="N93" s="24">
        <v>-1110</v>
      </c>
      <c r="O93" s="28">
        <f t="shared" si="2"/>
        <v>2207</v>
      </c>
      <c r="P93" s="22">
        <f t="shared" si="11"/>
        <v>460</v>
      </c>
      <c r="Q93" s="36"/>
      <c r="R93" s="30"/>
    </row>
    <row r="94" spans="1:18" ht="12.75" x14ac:dyDescent="0.2">
      <c r="A94" s="98">
        <v>45818</v>
      </c>
      <c r="B94" s="22">
        <f t="shared" si="3"/>
        <v>79</v>
      </c>
      <c r="C94" s="25">
        <f t="shared" si="4"/>
        <v>1002</v>
      </c>
      <c r="D94" s="24">
        <v>-1523</v>
      </c>
      <c r="E94" s="25">
        <v>2534</v>
      </c>
      <c r="F94" s="26">
        <f t="shared" si="5"/>
        <v>543</v>
      </c>
      <c r="G94" s="22">
        <f t="shared" si="6"/>
        <v>79</v>
      </c>
      <c r="H94" s="25">
        <f t="shared" si="7"/>
        <v>828</v>
      </c>
      <c r="I94" s="24">
        <v>-1794</v>
      </c>
      <c r="J94" s="28">
        <f t="shared" si="1"/>
        <v>2622</v>
      </c>
      <c r="K94" s="22">
        <f t="shared" si="8"/>
        <v>644</v>
      </c>
      <c r="L94" s="22">
        <f t="shared" si="9"/>
        <v>79</v>
      </c>
      <c r="M94" s="25">
        <f t="shared" si="10"/>
        <v>1089</v>
      </c>
      <c r="N94" s="24">
        <v>-1118</v>
      </c>
      <c r="O94" s="28">
        <f t="shared" si="2"/>
        <v>2207</v>
      </c>
      <c r="P94" s="22">
        <f t="shared" si="11"/>
        <v>468</v>
      </c>
      <c r="Q94" s="36"/>
      <c r="R94" s="30"/>
    </row>
    <row r="95" spans="1:18" ht="12.75" x14ac:dyDescent="0.2">
      <c r="A95" s="98">
        <v>45819</v>
      </c>
      <c r="B95" s="22">
        <f t="shared" si="3"/>
        <v>80</v>
      </c>
      <c r="C95" s="25">
        <f t="shared" si="4"/>
        <v>999</v>
      </c>
      <c r="D95" s="24">
        <v>-1526</v>
      </c>
      <c r="E95" s="25">
        <v>2534</v>
      </c>
      <c r="F95" s="26">
        <f t="shared" si="5"/>
        <v>546</v>
      </c>
      <c r="G95" s="22">
        <f t="shared" si="6"/>
        <v>80</v>
      </c>
      <c r="H95" s="25">
        <f t="shared" si="7"/>
        <v>822</v>
      </c>
      <c r="I95" s="24">
        <v>-1800</v>
      </c>
      <c r="J95" s="28">
        <f t="shared" si="1"/>
        <v>2622</v>
      </c>
      <c r="K95" s="22">
        <f t="shared" si="8"/>
        <v>650</v>
      </c>
      <c r="L95" s="22">
        <f t="shared" si="9"/>
        <v>80</v>
      </c>
      <c r="M95" s="25">
        <f t="shared" si="10"/>
        <v>1081</v>
      </c>
      <c r="N95" s="24">
        <v>-1126</v>
      </c>
      <c r="O95" s="28">
        <f t="shared" si="2"/>
        <v>2207</v>
      </c>
      <c r="P95" s="22">
        <f t="shared" si="11"/>
        <v>476</v>
      </c>
      <c r="Q95" s="36"/>
      <c r="R95" s="30"/>
    </row>
    <row r="96" spans="1:18" ht="12.75" x14ac:dyDescent="0.2">
      <c r="A96" s="98">
        <v>45820</v>
      </c>
      <c r="B96" s="22">
        <f t="shared" si="3"/>
        <v>81</v>
      </c>
      <c r="C96" s="25">
        <f t="shared" si="4"/>
        <v>996</v>
      </c>
      <c r="D96" s="24">
        <v>-1529</v>
      </c>
      <c r="E96" s="25">
        <v>2534</v>
      </c>
      <c r="F96" s="26">
        <f t="shared" si="5"/>
        <v>549</v>
      </c>
      <c r="G96" s="22">
        <f t="shared" si="6"/>
        <v>81</v>
      </c>
      <c r="H96" s="25">
        <f t="shared" si="7"/>
        <v>816</v>
      </c>
      <c r="I96" s="24">
        <v>-1806</v>
      </c>
      <c r="J96" s="28">
        <f t="shared" si="1"/>
        <v>2622</v>
      </c>
      <c r="K96" s="22">
        <f t="shared" si="8"/>
        <v>656</v>
      </c>
      <c r="L96" s="22">
        <f t="shared" si="9"/>
        <v>81</v>
      </c>
      <c r="M96" s="25">
        <f t="shared" si="10"/>
        <v>1073</v>
      </c>
      <c r="N96" s="24">
        <v>-1134</v>
      </c>
      <c r="O96" s="28">
        <f t="shared" si="2"/>
        <v>2207</v>
      </c>
      <c r="P96" s="22">
        <f t="shared" si="11"/>
        <v>484</v>
      </c>
      <c r="Q96" s="36"/>
      <c r="R96" s="30"/>
    </row>
    <row r="97" spans="1:18" ht="12.75" x14ac:dyDescent="0.2">
      <c r="A97" s="98">
        <v>45821</v>
      </c>
      <c r="B97" s="22">
        <f t="shared" si="3"/>
        <v>82</v>
      </c>
      <c r="C97" s="25">
        <f t="shared" si="4"/>
        <v>993</v>
      </c>
      <c r="D97" s="24">
        <v>-1532</v>
      </c>
      <c r="E97" s="25">
        <v>2534</v>
      </c>
      <c r="F97" s="26">
        <f t="shared" si="5"/>
        <v>552</v>
      </c>
      <c r="G97" s="22">
        <f t="shared" si="6"/>
        <v>82</v>
      </c>
      <c r="H97" s="25">
        <f t="shared" si="7"/>
        <v>810</v>
      </c>
      <c r="I97" s="24">
        <v>-1812</v>
      </c>
      <c r="J97" s="28">
        <f t="shared" si="1"/>
        <v>2622</v>
      </c>
      <c r="K97" s="22">
        <f t="shared" si="8"/>
        <v>662</v>
      </c>
      <c r="L97" s="22">
        <f t="shared" si="9"/>
        <v>82</v>
      </c>
      <c r="M97" s="25">
        <f t="shared" si="10"/>
        <v>1065</v>
      </c>
      <c r="N97" s="24">
        <v>-1142</v>
      </c>
      <c r="O97" s="28">
        <f t="shared" si="2"/>
        <v>2207</v>
      </c>
      <c r="P97" s="22">
        <f t="shared" si="11"/>
        <v>492</v>
      </c>
      <c r="Q97" s="36"/>
      <c r="R97" s="30"/>
    </row>
    <row r="98" spans="1:18" ht="12.75" x14ac:dyDescent="0.2">
      <c r="A98" s="98">
        <v>45822</v>
      </c>
      <c r="B98" s="22">
        <f t="shared" si="3"/>
        <v>83</v>
      </c>
      <c r="C98" s="25">
        <f t="shared" si="4"/>
        <v>990</v>
      </c>
      <c r="D98" s="24">
        <v>-1535</v>
      </c>
      <c r="E98" s="25">
        <v>2534</v>
      </c>
      <c r="F98" s="26">
        <f t="shared" si="5"/>
        <v>555</v>
      </c>
      <c r="G98" s="22">
        <f t="shared" si="6"/>
        <v>83</v>
      </c>
      <c r="H98" s="25">
        <f t="shared" si="7"/>
        <v>804</v>
      </c>
      <c r="I98" s="24">
        <v>-1818</v>
      </c>
      <c r="J98" s="28">
        <f t="shared" si="1"/>
        <v>2622</v>
      </c>
      <c r="K98" s="22">
        <f t="shared" si="8"/>
        <v>668</v>
      </c>
      <c r="L98" s="22">
        <f t="shared" si="9"/>
        <v>83</v>
      </c>
      <c r="M98" s="25">
        <f t="shared" si="10"/>
        <v>1057</v>
      </c>
      <c r="N98" s="24">
        <v>-1150</v>
      </c>
      <c r="O98" s="28">
        <f t="shared" si="2"/>
        <v>2207</v>
      </c>
      <c r="P98" s="22">
        <f t="shared" si="11"/>
        <v>500</v>
      </c>
      <c r="Q98" s="36"/>
      <c r="R98" s="30"/>
    </row>
    <row r="99" spans="1:18" ht="12.75" x14ac:dyDescent="0.2">
      <c r="A99" s="98">
        <v>45823</v>
      </c>
      <c r="B99" s="22">
        <f t="shared" si="3"/>
        <v>84</v>
      </c>
      <c r="C99" s="25">
        <f t="shared" si="4"/>
        <v>987</v>
      </c>
      <c r="D99" s="24">
        <v>-1538</v>
      </c>
      <c r="E99" s="25">
        <v>2534</v>
      </c>
      <c r="F99" s="26">
        <f t="shared" si="5"/>
        <v>558</v>
      </c>
      <c r="G99" s="22">
        <f t="shared" si="6"/>
        <v>84</v>
      </c>
      <c r="H99" s="25">
        <f t="shared" si="7"/>
        <v>798</v>
      </c>
      <c r="I99" s="24">
        <v>-1824</v>
      </c>
      <c r="J99" s="28">
        <f t="shared" si="1"/>
        <v>2622</v>
      </c>
      <c r="K99" s="22">
        <f t="shared" si="8"/>
        <v>674</v>
      </c>
      <c r="L99" s="22">
        <f t="shared" si="9"/>
        <v>84</v>
      </c>
      <c r="M99" s="25">
        <f t="shared" si="10"/>
        <v>1049</v>
      </c>
      <c r="N99" s="24">
        <v>-1158</v>
      </c>
      <c r="O99" s="28">
        <f t="shared" si="2"/>
        <v>2207</v>
      </c>
      <c r="P99" s="22">
        <f t="shared" si="11"/>
        <v>508</v>
      </c>
      <c r="Q99" s="36"/>
      <c r="R99" s="30"/>
    </row>
    <row r="100" spans="1:18" ht="12.75" x14ac:dyDescent="0.2">
      <c r="A100" s="98">
        <v>45824</v>
      </c>
      <c r="B100" s="22">
        <f t="shared" si="3"/>
        <v>85</v>
      </c>
      <c r="C100" s="25">
        <f t="shared" si="4"/>
        <v>987</v>
      </c>
      <c r="D100" s="24">
        <v>-1538</v>
      </c>
      <c r="E100" s="25">
        <v>2534</v>
      </c>
      <c r="F100" s="26">
        <f t="shared" si="5"/>
        <v>558</v>
      </c>
      <c r="G100" s="22">
        <f t="shared" si="6"/>
        <v>85</v>
      </c>
      <c r="H100" s="25">
        <f t="shared" si="7"/>
        <v>798</v>
      </c>
      <c r="I100" s="24">
        <v>-1824</v>
      </c>
      <c r="J100" s="28">
        <f t="shared" si="1"/>
        <v>2622</v>
      </c>
      <c r="K100" s="22">
        <f t="shared" si="8"/>
        <v>674</v>
      </c>
      <c r="L100" s="22">
        <f t="shared" si="9"/>
        <v>85</v>
      </c>
      <c r="M100" s="25">
        <f t="shared" si="10"/>
        <v>1049</v>
      </c>
      <c r="N100" s="24">
        <v>-1158</v>
      </c>
      <c r="O100" s="28">
        <f t="shared" si="2"/>
        <v>2207</v>
      </c>
      <c r="P100" s="22">
        <f t="shared" si="11"/>
        <v>508</v>
      </c>
      <c r="Q100" s="36"/>
      <c r="R100" s="30"/>
    </row>
    <row r="101" spans="1:18" ht="12.75" x14ac:dyDescent="0.2">
      <c r="A101" s="98">
        <v>45825</v>
      </c>
      <c r="B101" s="22">
        <f t="shared" si="3"/>
        <v>86</v>
      </c>
      <c r="C101" s="25">
        <f t="shared" si="4"/>
        <v>987</v>
      </c>
      <c r="D101" s="24">
        <v>-1538</v>
      </c>
      <c r="E101" s="25">
        <v>2534</v>
      </c>
      <c r="F101" s="26">
        <f t="shared" si="5"/>
        <v>558</v>
      </c>
      <c r="G101" s="22">
        <f t="shared" si="6"/>
        <v>86</v>
      </c>
      <c r="H101" s="25">
        <f t="shared" si="7"/>
        <v>798</v>
      </c>
      <c r="I101" s="24">
        <v>-1824</v>
      </c>
      <c r="J101" s="28">
        <f t="shared" si="1"/>
        <v>2622</v>
      </c>
      <c r="K101" s="22">
        <f t="shared" si="8"/>
        <v>674</v>
      </c>
      <c r="L101" s="22">
        <f t="shared" si="9"/>
        <v>86</v>
      </c>
      <c r="M101" s="25">
        <f t="shared" si="10"/>
        <v>1049</v>
      </c>
      <c r="N101" s="24">
        <v>-1158</v>
      </c>
      <c r="O101" s="28">
        <f t="shared" si="2"/>
        <v>2207</v>
      </c>
      <c r="P101" s="22">
        <f t="shared" si="11"/>
        <v>508</v>
      </c>
      <c r="Q101" s="36"/>
      <c r="R101" s="30"/>
    </row>
    <row r="102" spans="1:18" ht="12.75" x14ac:dyDescent="0.2">
      <c r="A102" s="98">
        <v>45826</v>
      </c>
      <c r="B102" s="22">
        <f t="shared" si="3"/>
        <v>87</v>
      </c>
      <c r="C102" s="25">
        <f t="shared" si="4"/>
        <v>987</v>
      </c>
      <c r="D102" s="24">
        <v>-1538</v>
      </c>
      <c r="E102" s="25">
        <v>2534</v>
      </c>
      <c r="F102" s="26">
        <f t="shared" si="5"/>
        <v>558</v>
      </c>
      <c r="G102" s="22">
        <f t="shared" si="6"/>
        <v>87</v>
      </c>
      <c r="H102" s="25">
        <f t="shared" si="7"/>
        <v>798</v>
      </c>
      <c r="I102" s="24">
        <v>-1824</v>
      </c>
      <c r="J102" s="28">
        <f t="shared" si="1"/>
        <v>2622</v>
      </c>
      <c r="K102" s="22">
        <f t="shared" si="8"/>
        <v>674</v>
      </c>
      <c r="L102" s="22">
        <f t="shared" si="9"/>
        <v>87</v>
      </c>
      <c r="M102" s="25">
        <f t="shared" si="10"/>
        <v>1049</v>
      </c>
      <c r="N102" s="24">
        <v>-1158</v>
      </c>
      <c r="O102" s="28">
        <f t="shared" si="2"/>
        <v>2207</v>
      </c>
      <c r="P102" s="22">
        <f t="shared" si="11"/>
        <v>508</v>
      </c>
      <c r="Q102" s="36"/>
      <c r="R102" s="30"/>
    </row>
    <row r="103" spans="1:18" ht="12.75" x14ac:dyDescent="0.2">
      <c r="A103" s="98">
        <v>45827</v>
      </c>
      <c r="B103" s="22">
        <f t="shared" si="3"/>
        <v>88</v>
      </c>
      <c r="C103" s="25">
        <f t="shared" si="4"/>
        <v>987</v>
      </c>
      <c r="D103" s="24">
        <v>-1538</v>
      </c>
      <c r="E103" s="25">
        <v>2534</v>
      </c>
      <c r="F103" s="26">
        <f t="shared" si="5"/>
        <v>558</v>
      </c>
      <c r="G103" s="22">
        <f t="shared" si="6"/>
        <v>88</v>
      </c>
      <c r="H103" s="25">
        <f t="shared" si="7"/>
        <v>798</v>
      </c>
      <c r="I103" s="24">
        <v>-1824</v>
      </c>
      <c r="J103" s="28">
        <f t="shared" si="1"/>
        <v>2622</v>
      </c>
      <c r="K103" s="22">
        <f t="shared" si="8"/>
        <v>674</v>
      </c>
      <c r="L103" s="22">
        <f t="shared" si="9"/>
        <v>88</v>
      </c>
      <c r="M103" s="25">
        <f t="shared" si="10"/>
        <v>1049</v>
      </c>
      <c r="N103" s="24">
        <v>-1158</v>
      </c>
      <c r="O103" s="28">
        <f t="shared" si="2"/>
        <v>2207</v>
      </c>
      <c r="P103" s="22">
        <f t="shared" si="11"/>
        <v>508</v>
      </c>
      <c r="Q103" s="36"/>
      <c r="R103" s="30"/>
    </row>
    <row r="104" spans="1:18" ht="12.75" x14ac:dyDescent="0.2">
      <c r="A104" s="98">
        <v>45828</v>
      </c>
      <c r="B104" s="22">
        <f t="shared" si="3"/>
        <v>89</v>
      </c>
      <c r="C104" s="25">
        <f t="shared" si="4"/>
        <v>987</v>
      </c>
      <c r="D104" s="24">
        <v>-1538</v>
      </c>
      <c r="E104" s="25">
        <v>2534</v>
      </c>
      <c r="F104" s="26">
        <f t="shared" si="5"/>
        <v>558</v>
      </c>
      <c r="G104" s="22">
        <f t="shared" si="6"/>
        <v>89</v>
      </c>
      <c r="H104" s="25">
        <f t="shared" si="7"/>
        <v>798</v>
      </c>
      <c r="I104" s="24">
        <v>-1824</v>
      </c>
      <c r="J104" s="28">
        <f t="shared" si="1"/>
        <v>2622</v>
      </c>
      <c r="K104" s="22">
        <f t="shared" si="8"/>
        <v>674</v>
      </c>
      <c r="L104" s="22">
        <f t="shared" si="9"/>
        <v>89</v>
      </c>
      <c r="M104" s="25">
        <f t="shared" si="10"/>
        <v>1045</v>
      </c>
      <c r="N104" s="24">
        <v>-1162</v>
      </c>
      <c r="O104" s="28">
        <f t="shared" si="2"/>
        <v>2207</v>
      </c>
      <c r="P104" s="22">
        <f t="shared" si="11"/>
        <v>512</v>
      </c>
      <c r="Q104" s="36"/>
      <c r="R104" s="30"/>
    </row>
    <row r="105" spans="1:18" ht="12.75" x14ac:dyDescent="0.2">
      <c r="A105" s="98">
        <v>45829</v>
      </c>
      <c r="B105" s="22">
        <f t="shared" si="3"/>
        <v>90</v>
      </c>
      <c r="C105" s="25">
        <f t="shared" si="4"/>
        <v>987</v>
      </c>
      <c r="D105" s="24">
        <v>-1538</v>
      </c>
      <c r="E105" s="25">
        <v>2534</v>
      </c>
      <c r="F105" s="26">
        <f t="shared" si="5"/>
        <v>558</v>
      </c>
      <c r="G105" s="22">
        <f t="shared" si="6"/>
        <v>90</v>
      </c>
      <c r="H105" s="25">
        <f t="shared" si="7"/>
        <v>798</v>
      </c>
      <c r="I105" s="24">
        <v>-1824</v>
      </c>
      <c r="J105" s="28">
        <f t="shared" si="1"/>
        <v>2622</v>
      </c>
      <c r="K105" s="22">
        <f t="shared" si="8"/>
        <v>674</v>
      </c>
      <c r="L105" s="22">
        <f t="shared" si="9"/>
        <v>90</v>
      </c>
      <c r="M105" s="25">
        <f t="shared" si="10"/>
        <v>1041</v>
      </c>
      <c r="N105" s="24">
        <v>-1166</v>
      </c>
      <c r="O105" s="28">
        <f t="shared" si="2"/>
        <v>2207</v>
      </c>
      <c r="P105" s="22">
        <f t="shared" si="11"/>
        <v>516</v>
      </c>
      <c r="Q105" s="36"/>
      <c r="R105" s="30"/>
    </row>
    <row r="106" spans="1:18" ht="12.75" x14ac:dyDescent="0.2">
      <c r="A106" s="98">
        <v>45830</v>
      </c>
      <c r="B106" s="22">
        <f t="shared" si="3"/>
        <v>91</v>
      </c>
      <c r="C106" s="25">
        <f t="shared" si="4"/>
        <v>987</v>
      </c>
      <c r="D106" s="24">
        <v>-1538</v>
      </c>
      <c r="E106" s="25">
        <v>2534</v>
      </c>
      <c r="F106" s="26">
        <f t="shared" si="5"/>
        <v>558</v>
      </c>
      <c r="G106" s="22">
        <f t="shared" si="6"/>
        <v>91</v>
      </c>
      <c r="H106" s="25">
        <f t="shared" si="7"/>
        <v>798</v>
      </c>
      <c r="I106" s="24">
        <v>-1824</v>
      </c>
      <c r="J106" s="28">
        <f t="shared" si="1"/>
        <v>2622</v>
      </c>
      <c r="K106" s="22">
        <f t="shared" si="8"/>
        <v>674</v>
      </c>
      <c r="L106" s="22">
        <f t="shared" si="9"/>
        <v>91</v>
      </c>
      <c r="M106" s="25">
        <f t="shared" si="10"/>
        <v>1037</v>
      </c>
      <c r="N106" s="24">
        <v>-1170</v>
      </c>
      <c r="O106" s="28">
        <f t="shared" si="2"/>
        <v>2207</v>
      </c>
      <c r="P106" s="22">
        <f t="shared" si="11"/>
        <v>520</v>
      </c>
      <c r="Q106" s="36"/>
      <c r="R106" s="30"/>
    </row>
    <row r="107" spans="1:18" ht="12.75" x14ac:dyDescent="0.2">
      <c r="A107" s="98">
        <v>45831</v>
      </c>
      <c r="B107" s="22">
        <f t="shared" si="3"/>
        <v>92</v>
      </c>
      <c r="C107" s="25">
        <f t="shared" si="4"/>
        <v>987</v>
      </c>
      <c r="D107" s="24">
        <v>-1538</v>
      </c>
      <c r="E107" s="25">
        <v>2534</v>
      </c>
      <c r="F107" s="26">
        <f t="shared" si="5"/>
        <v>558</v>
      </c>
      <c r="G107" s="22">
        <f t="shared" si="6"/>
        <v>92</v>
      </c>
      <c r="H107" s="25">
        <f t="shared" si="7"/>
        <v>798</v>
      </c>
      <c r="I107" s="24">
        <v>-1824</v>
      </c>
      <c r="J107" s="28">
        <f t="shared" si="1"/>
        <v>2622</v>
      </c>
      <c r="K107" s="22">
        <f t="shared" si="8"/>
        <v>674</v>
      </c>
      <c r="L107" s="22">
        <f t="shared" si="9"/>
        <v>92</v>
      </c>
      <c r="M107" s="25">
        <f t="shared" si="10"/>
        <v>1033</v>
      </c>
      <c r="N107" s="24">
        <v>-1174</v>
      </c>
      <c r="O107" s="28">
        <f t="shared" si="2"/>
        <v>2207</v>
      </c>
      <c r="P107" s="22">
        <f t="shared" si="11"/>
        <v>524</v>
      </c>
      <c r="Q107" s="36"/>
      <c r="R107" s="30"/>
    </row>
    <row r="108" spans="1:18" ht="12.75" x14ac:dyDescent="0.2">
      <c r="A108" s="98">
        <v>45832</v>
      </c>
      <c r="B108" s="22">
        <f t="shared" si="3"/>
        <v>93</v>
      </c>
      <c r="C108" s="25">
        <f t="shared" si="4"/>
        <v>987</v>
      </c>
      <c r="D108" s="24">
        <v>-1538</v>
      </c>
      <c r="E108" s="25">
        <v>2534</v>
      </c>
      <c r="F108" s="26">
        <f t="shared" si="5"/>
        <v>558</v>
      </c>
      <c r="G108" s="22">
        <f t="shared" si="6"/>
        <v>93</v>
      </c>
      <c r="H108" s="25">
        <f t="shared" si="7"/>
        <v>798</v>
      </c>
      <c r="I108" s="24">
        <v>-1824</v>
      </c>
      <c r="J108" s="28">
        <f t="shared" si="1"/>
        <v>2622</v>
      </c>
      <c r="K108" s="22">
        <f t="shared" si="8"/>
        <v>674</v>
      </c>
      <c r="L108" s="22">
        <f t="shared" si="9"/>
        <v>93</v>
      </c>
      <c r="M108" s="25">
        <f t="shared" si="10"/>
        <v>1029</v>
      </c>
      <c r="N108" s="24">
        <v>-1178</v>
      </c>
      <c r="O108" s="28">
        <f t="shared" si="2"/>
        <v>2207</v>
      </c>
      <c r="P108" s="22">
        <f t="shared" si="11"/>
        <v>528</v>
      </c>
      <c r="Q108" s="36"/>
      <c r="R108" s="30"/>
    </row>
    <row r="109" spans="1:18" ht="12.75" x14ac:dyDescent="0.2">
      <c r="A109" s="98">
        <v>45833</v>
      </c>
      <c r="B109" s="22">
        <f t="shared" si="3"/>
        <v>94</v>
      </c>
      <c r="C109" s="25">
        <f t="shared" si="4"/>
        <v>987</v>
      </c>
      <c r="D109" s="24">
        <v>-1538</v>
      </c>
      <c r="E109" s="25">
        <v>2534</v>
      </c>
      <c r="F109" s="26">
        <f t="shared" si="5"/>
        <v>558</v>
      </c>
      <c r="G109" s="22">
        <f t="shared" si="6"/>
        <v>94</v>
      </c>
      <c r="H109" s="25">
        <f t="shared" si="7"/>
        <v>798</v>
      </c>
      <c r="I109" s="24">
        <v>-1824</v>
      </c>
      <c r="J109" s="28">
        <f t="shared" si="1"/>
        <v>2622</v>
      </c>
      <c r="K109" s="22">
        <f t="shared" si="8"/>
        <v>674</v>
      </c>
      <c r="L109" s="22">
        <f t="shared" si="9"/>
        <v>94</v>
      </c>
      <c r="M109" s="25">
        <f t="shared" si="10"/>
        <v>1025</v>
      </c>
      <c r="N109" s="24">
        <v>-1182</v>
      </c>
      <c r="O109" s="28">
        <f t="shared" si="2"/>
        <v>2207</v>
      </c>
      <c r="P109" s="22">
        <f t="shared" si="11"/>
        <v>532</v>
      </c>
      <c r="Q109" s="36"/>
      <c r="R109" s="30"/>
    </row>
    <row r="110" spans="1:18" ht="12.75" x14ac:dyDescent="0.2">
      <c r="A110" s="98">
        <v>45834</v>
      </c>
      <c r="B110" s="22">
        <f t="shared" si="3"/>
        <v>95</v>
      </c>
      <c r="C110" s="25">
        <f t="shared" si="4"/>
        <v>987</v>
      </c>
      <c r="D110" s="24">
        <v>-1538</v>
      </c>
      <c r="E110" s="25">
        <v>2534</v>
      </c>
      <c r="F110" s="26">
        <f t="shared" si="5"/>
        <v>558</v>
      </c>
      <c r="G110" s="22">
        <f t="shared" si="6"/>
        <v>95</v>
      </c>
      <c r="H110" s="25">
        <f t="shared" si="7"/>
        <v>798</v>
      </c>
      <c r="I110" s="24">
        <v>-1824</v>
      </c>
      <c r="J110" s="28">
        <f t="shared" si="1"/>
        <v>2622</v>
      </c>
      <c r="K110" s="22">
        <f t="shared" si="8"/>
        <v>674</v>
      </c>
      <c r="L110" s="22">
        <f t="shared" si="9"/>
        <v>95</v>
      </c>
      <c r="M110" s="25">
        <f t="shared" si="10"/>
        <v>1021</v>
      </c>
      <c r="N110" s="24">
        <v>-1186</v>
      </c>
      <c r="O110" s="28">
        <f t="shared" si="2"/>
        <v>2207</v>
      </c>
      <c r="P110" s="22">
        <f t="shared" si="11"/>
        <v>536</v>
      </c>
      <c r="Q110" s="36"/>
      <c r="R110" s="30"/>
    </row>
    <row r="111" spans="1:18" ht="12.75" x14ac:dyDescent="0.2">
      <c r="A111" s="98">
        <v>45835</v>
      </c>
      <c r="B111" s="22">
        <f t="shared" si="3"/>
        <v>96</v>
      </c>
      <c r="C111" s="25">
        <f t="shared" si="4"/>
        <v>987</v>
      </c>
      <c r="D111" s="24">
        <v>-1538</v>
      </c>
      <c r="E111" s="25">
        <v>2534</v>
      </c>
      <c r="F111" s="26">
        <f t="shared" si="5"/>
        <v>558</v>
      </c>
      <c r="G111" s="22">
        <f t="shared" si="6"/>
        <v>96</v>
      </c>
      <c r="H111" s="25">
        <f t="shared" si="7"/>
        <v>798</v>
      </c>
      <c r="I111" s="24">
        <v>-1824</v>
      </c>
      <c r="J111" s="28">
        <f t="shared" si="1"/>
        <v>2622</v>
      </c>
      <c r="K111" s="22">
        <f t="shared" si="8"/>
        <v>674</v>
      </c>
      <c r="L111" s="22">
        <f t="shared" si="9"/>
        <v>96</v>
      </c>
      <c r="M111" s="25">
        <f t="shared" si="10"/>
        <v>1017</v>
      </c>
      <c r="N111" s="24">
        <v>-1190</v>
      </c>
      <c r="O111" s="28">
        <f t="shared" si="2"/>
        <v>2207</v>
      </c>
      <c r="P111" s="22">
        <f t="shared" si="11"/>
        <v>540</v>
      </c>
      <c r="Q111" s="36"/>
      <c r="R111" s="30"/>
    </row>
    <row r="112" spans="1:18" ht="12.75" x14ac:dyDescent="0.2">
      <c r="A112" s="98">
        <v>45836</v>
      </c>
      <c r="B112" s="22">
        <f t="shared" si="3"/>
        <v>97</v>
      </c>
      <c r="C112" s="25">
        <f t="shared" si="4"/>
        <v>987</v>
      </c>
      <c r="D112" s="24">
        <v>-1538</v>
      </c>
      <c r="E112" s="25">
        <v>2534</v>
      </c>
      <c r="F112" s="26">
        <f t="shared" si="5"/>
        <v>558</v>
      </c>
      <c r="G112" s="22">
        <f t="shared" si="6"/>
        <v>97</v>
      </c>
      <c r="H112" s="25">
        <f t="shared" si="7"/>
        <v>798</v>
      </c>
      <c r="I112" s="24">
        <v>-1824</v>
      </c>
      <c r="J112" s="28">
        <f t="shared" si="1"/>
        <v>2622</v>
      </c>
      <c r="K112" s="22">
        <f t="shared" si="8"/>
        <v>674</v>
      </c>
      <c r="L112" s="22">
        <f t="shared" si="9"/>
        <v>97</v>
      </c>
      <c r="M112" s="25">
        <f t="shared" si="10"/>
        <v>1013</v>
      </c>
      <c r="N112" s="24">
        <v>-1194</v>
      </c>
      <c r="O112" s="28">
        <f t="shared" si="2"/>
        <v>2207</v>
      </c>
      <c r="P112" s="22">
        <f t="shared" si="11"/>
        <v>544</v>
      </c>
      <c r="Q112" s="36"/>
      <c r="R112" s="30"/>
    </row>
    <row r="113" spans="1:18" ht="12.75" x14ac:dyDescent="0.2">
      <c r="A113" s="98">
        <v>45837</v>
      </c>
      <c r="B113" s="22">
        <f t="shared" si="3"/>
        <v>98</v>
      </c>
      <c r="C113" s="25">
        <f t="shared" si="4"/>
        <v>985</v>
      </c>
      <c r="D113" s="24">
        <v>-1540</v>
      </c>
      <c r="E113" s="25">
        <v>2534</v>
      </c>
      <c r="F113" s="26">
        <f t="shared" si="5"/>
        <v>560</v>
      </c>
      <c r="G113" s="22">
        <f t="shared" si="6"/>
        <v>98</v>
      </c>
      <c r="H113" s="25">
        <f t="shared" si="7"/>
        <v>798</v>
      </c>
      <c r="I113" s="24">
        <v>-1824</v>
      </c>
      <c r="J113" s="28">
        <f t="shared" si="1"/>
        <v>2622</v>
      </c>
      <c r="K113" s="22">
        <f t="shared" si="8"/>
        <v>674</v>
      </c>
      <c r="L113" s="22">
        <f t="shared" si="9"/>
        <v>98</v>
      </c>
      <c r="M113" s="25">
        <f t="shared" si="10"/>
        <v>1009</v>
      </c>
      <c r="N113" s="24">
        <v>-1198</v>
      </c>
      <c r="O113" s="28">
        <f t="shared" si="2"/>
        <v>2207</v>
      </c>
      <c r="P113" s="22">
        <f t="shared" si="11"/>
        <v>548</v>
      </c>
      <c r="Q113" s="36"/>
      <c r="R113" s="30"/>
    </row>
    <row r="114" spans="1:18" ht="12.75" x14ac:dyDescent="0.2">
      <c r="A114" s="98">
        <v>45838</v>
      </c>
      <c r="B114" s="22">
        <f t="shared" si="3"/>
        <v>99</v>
      </c>
      <c r="C114" s="25">
        <f t="shared" si="4"/>
        <v>980</v>
      </c>
      <c r="D114" s="24">
        <v>-1545</v>
      </c>
      <c r="E114" s="25">
        <v>2534</v>
      </c>
      <c r="F114" s="26">
        <f t="shared" si="5"/>
        <v>565</v>
      </c>
      <c r="G114" s="22">
        <f t="shared" si="6"/>
        <v>99</v>
      </c>
      <c r="H114" s="25">
        <f t="shared" si="7"/>
        <v>798</v>
      </c>
      <c r="I114" s="24">
        <v>-1824</v>
      </c>
      <c r="J114" s="28">
        <f t="shared" si="1"/>
        <v>2622</v>
      </c>
      <c r="K114" s="22">
        <f t="shared" si="8"/>
        <v>674</v>
      </c>
      <c r="L114" s="22">
        <f t="shared" si="9"/>
        <v>99</v>
      </c>
      <c r="M114" s="25">
        <f t="shared" si="10"/>
        <v>1005</v>
      </c>
      <c r="N114" s="24">
        <v>-1202</v>
      </c>
      <c r="O114" s="28">
        <f t="shared" si="2"/>
        <v>2207</v>
      </c>
      <c r="P114" s="22">
        <f t="shared" si="11"/>
        <v>552</v>
      </c>
      <c r="Q114" s="36"/>
      <c r="R114" s="30"/>
    </row>
    <row r="115" spans="1:18" ht="12.75" x14ac:dyDescent="0.2">
      <c r="A115" s="98">
        <v>45839</v>
      </c>
      <c r="B115" s="22">
        <f t="shared" si="3"/>
        <v>100</v>
      </c>
      <c r="C115" s="25">
        <f t="shared" si="4"/>
        <v>975</v>
      </c>
      <c r="D115" s="24">
        <v>-1550</v>
      </c>
      <c r="E115" s="25">
        <v>2534</v>
      </c>
      <c r="F115" s="26">
        <f t="shared" si="5"/>
        <v>570</v>
      </c>
      <c r="G115" s="22">
        <f t="shared" si="6"/>
        <v>100</v>
      </c>
      <c r="H115" s="25">
        <f t="shared" si="7"/>
        <v>792</v>
      </c>
      <c r="I115" s="24">
        <v>-1830</v>
      </c>
      <c r="J115" s="28">
        <f t="shared" si="1"/>
        <v>2622</v>
      </c>
      <c r="K115" s="22">
        <f t="shared" si="8"/>
        <v>680</v>
      </c>
      <c r="L115" s="22">
        <f t="shared" si="9"/>
        <v>100</v>
      </c>
      <c r="M115" s="25">
        <f t="shared" si="10"/>
        <v>1001</v>
      </c>
      <c r="N115" s="24">
        <v>-1206</v>
      </c>
      <c r="O115" s="28">
        <f t="shared" si="2"/>
        <v>2207</v>
      </c>
      <c r="P115" s="22">
        <f t="shared" si="11"/>
        <v>556</v>
      </c>
      <c r="Q115" s="36"/>
      <c r="R115" s="30"/>
    </row>
    <row r="116" spans="1:18" ht="12.75" x14ac:dyDescent="0.2">
      <c r="A116" s="98">
        <v>45840</v>
      </c>
      <c r="B116" s="22">
        <f t="shared" si="3"/>
        <v>101</v>
      </c>
      <c r="C116" s="25">
        <f t="shared" si="4"/>
        <v>970</v>
      </c>
      <c r="D116" s="24">
        <v>-1555</v>
      </c>
      <c r="E116" s="25">
        <v>2534</v>
      </c>
      <c r="F116" s="26">
        <f t="shared" si="5"/>
        <v>575</v>
      </c>
      <c r="G116" s="22">
        <f t="shared" si="6"/>
        <v>101</v>
      </c>
      <c r="H116" s="25">
        <f t="shared" si="7"/>
        <v>784</v>
      </c>
      <c r="I116" s="24">
        <v>-1838</v>
      </c>
      <c r="J116" s="28">
        <f t="shared" si="1"/>
        <v>2622</v>
      </c>
      <c r="K116" s="22">
        <f t="shared" si="8"/>
        <v>688</v>
      </c>
      <c r="L116" s="22">
        <f t="shared" si="9"/>
        <v>101</v>
      </c>
      <c r="M116" s="25">
        <f t="shared" si="10"/>
        <v>997</v>
      </c>
      <c r="N116" s="24">
        <v>-1210</v>
      </c>
      <c r="O116" s="28">
        <f t="shared" si="2"/>
        <v>2207</v>
      </c>
      <c r="P116" s="22">
        <f t="shared" si="11"/>
        <v>560</v>
      </c>
      <c r="Q116" s="36"/>
      <c r="R116" s="30"/>
    </row>
    <row r="117" spans="1:18" ht="12.75" x14ac:dyDescent="0.2">
      <c r="A117" s="98">
        <v>45841</v>
      </c>
      <c r="B117" s="22">
        <f t="shared" si="3"/>
        <v>102</v>
      </c>
      <c r="C117" s="25">
        <f t="shared" si="4"/>
        <v>965</v>
      </c>
      <c r="D117" s="24">
        <v>-1560</v>
      </c>
      <c r="E117" s="25">
        <v>2534</v>
      </c>
      <c r="F117" s="26">
        <f t="shared" si="5"/>
        <v>580</v>
      </c>
      <c r="G117" s="22">
        <f t="shared" si="6"/>
        <v>102</v>
      </c>
      <c r="H117" s="25">
        <f t="shared" si="7"/>
        <v>776</v>
      </c>
      <c r="I117" s="24">
        <v>-1846</v>
      </c>
      <c r="J117" s="28">
        <f t="shared" si="1"/>
        <v>2622</v>
      </c>
      <c r="K117" s="22">
        <f t="shared" si="8"/>
        <v>696</v>
      </c>
      <c r="L117" s="22">
        <f t="shared" si="9"/>
        <v>102</v>
      </c>
      <c r="M117" s="25">
        <f t="shared" si="10"/>
        <v>993</v>
      </c>
      <c r="N117" s="24">
        <v>-1214</v>
      </c>
      <c r="O117" s="28">
        <f t="shared" si="2"/>
        <v>2207</v>
      </c>
      <c r="P117" s="22">
        <f t="shared" si="11"/>
        <v>564</v>
      </c>
      <c r="Q117" s="36"/>
      <c r="R117" s="30"/>
    </row>
    <row r="118" spans="1:18" ht="12.75" x14ac:dyDescent="0.2">
      <c r="A118" s="98">
        <v>45842</v>
      </c>
      <c r="B118" s="22">
        <f t="shared" si="3"/>
        <v>103</v>
      </c>
      <c r="C118" s="25">
        <f t="shared" si="4"/>
        <v>960</v>
      </c>
      <c r="D118" s="24">
        <v>-1565</v>
      </c>
      <c r="E118" s="25">
        <v>2534</v>
      </c>
      <c r="F118" s="26">
        <f t="shared" si="5"/>
        <v>585</v>
      </c>
      <c r="G118" s="22">
        <f t="shared" si="6"/>
        <v>103</v>
      </c>
      <c r="H118" s="25">
        <f t="shared" si="7"/>
        <v>768</v>
      </c>
      <c r="I118" s="24">
        <v>-1854</v>
      </c>
      <c r="J118" s="28">
        <f t="shared" si="1"/>
        <v>2622</v>
      </c>
      <c r="K118" s="22">
        <f t="shared" si="8"/>
        <v>704</v>
      </c>
      <c r="L118" s="22">
        <f t="shared" si="9"/>
        <v>103</v>
      </c>
      <c r="M118" s="25">
        <f t="shared" si="10"/>
        <v>989</v>
      </c>
      <c r="N118" s="24">
        <v>-1218</v>
      </c>
      <c r="O118" s="28">
        <f t="shared" si="2"/>
        <v>2207</v>
      </c>
      <c r="P118" s="22">
        <f t="shared" si="11"/>
        <v>568</v>
      </c>
      <c r="Q118" s="36"/>
      <c r="R118" s="30"/>
    </row>
    <row r="119" spans="1:18" ht="12.75" x14ac:dyDescent="0.2">
      <c r="A119" s="98">
        <v>45843</v>
      </c>
      <c r="B119" s="22">
        <f t="shared" si="3"/>
        <v>104</v>
      </c>
      <c r="C119" s="25">
        <f t="shared" si="4"/>
        <v>955</v>
      </c>
      <c r="D119" s="24">
        <v>-1570</v>
      </c>
      <c r="E119" s="25">
        <v>2534</v>
      </c>
      <c r="F119" s="26">
        <f t="shared" si="5"/>
        <v>590</v>
      </c>
      <c r="G119" s="22">
        <f t="shared" si="6"/>
        <v>104</v>
      </c>
      <c r="H119" s="25">
        <f t="shared" si="7"/>
        <v>760</v>
      </c>
      <c r="I119" s="24">
        <v>-1862</v>
      </c>
      <c r="J119" s="28">
        <f t="shared" si="1"/>
        <v>2622</v>
      </c>
      <c r="K119" s="22">
        <f t="shared" si="8"/>
        <v>712</v>
      </c>
      <c r="L119" s="22">
        <f t="shared" si="9"/>
        <v>104</v>
      </c>
      <c r="M119" s="25">
        <f t="shared" si="10"/>
        <v>985</v>
      </c>
      <c r="N119" s="24">
        <v>-1222</v>
      </c>
      <c r="O119" s="28">
        <f t="shared" si="2"/>
        <v>2207</v>
      </c>
      <c r="P119" s="22">
        <f t="shared" si="11"/>
        <v>572</v>
      </c>
      <c r="Q119" s="36"/>
      <c r="R119" s="30"/>
    </row>
    <row r="120" spans="1:18" ht="12.75" x14ac:dyDescent="0.2">
      <c r="A120" s="98">
        <v>45844</v>
      </c>
      <c r="B120" s="22">
        <f t="shared" si="3"/>
        <v>105</v>
      </c>
      <c r="C120" s="25">
        <f t="shared" si="4"/>
        <v>950</v>
      </c>
      <c r="D120" s="24">
        <v>-1575</v>
      </c>
      <c r="E120" s="25">
        <v>2534</v>
      </c>
      <c r="F120" s="26">
        <f t="shared" si="5"/>
        <v>595</v>
      </c>
      <c r="G120" s="22">
        <f t="shared" si="6"/>
        <v>105</v>
      </c>
      <c r="H120" s="25">
        <f t="shared" si="7"/>
        <v>752</v>
      </c>
      <c r="I120" s="24">
        <v>-1870</v>
      </c>
      <c r="J120" s="28">
        <f t="shared" si="1"/>
        <v>2622</v>
      </c>
      <c r="K120" s="22">
        <f t="shared" si="8"/>
        <v>720</v>
      </c>
      <c r="L120" s="22">
        <f t="shared" si="9"/>
        <v>105</v>
      </c>
      <c r="M120" s="25">
        <f t="shared" si="10"/>
        <v>981</v>
      </c>
      <c r="N120" s="24">
        <v>-1226</v>
      </c>
      <c r="O120" s="28">
        <f t="shared" si="2"/>
        <v>2207</v>
      </c>
      <c r="P120" s="22">
        <f t="shared" si="11"/>
        <v>576</v>
      </c>
      <c r="Q120" s="36"/>
      <c r="R120" s="30"/>
    </row>
    <row r="121" spans="1:18" ht="12.75" x14ac:dyDescent="0.2">
      <c r="A121" s="98">
        <v>45845</v>
      </c>
      <c r="B121" s="22">
        <f t="shared" si="3"/>
        <v>106</v>
      </c>
      <c r="C121" s="25">
        <f t="shared" si="4"/>
        <v>945</v>
      </c>
      <c r="D121" s="24">
        <v>-1580</v>
      </c>
      <c r="E121" s="25">
        <v>2534</v>
      </c>
      <c r="F121" s="26">
        <f t="shared" si="5"/>
        <v>600</v>
      </c>
      <c r="G121" s="22">
        <f t="shared" si="6"/>
        <v>106</v>
      </c>
      <c r="H121" s="25">
        <f t="shared" si="7"/>
        <v>744</v>
      </c>
      <c r="I121" s="24">
        <v>-1878</v>
      </c>
      <c r="J121" s="28">
        <f t="shared" si="1"/>
        <v>2622</v>
      </c>
      <c r="K121" s="22">
        <f t="shared" si="8"/>
        <v>728</v>
      </c>
      <c r="L121" s="22">
        <f t="shared" si="9"/>
        <v>106</v>
      </c>
      <c r="M121" s="25">
        <f t="shared" si="10"/>
        <v>977</v>
      </c>
      <c r="N121" s="24">
        <v>-1230</v>
      </c>
      <c r="O121" s="28">
        <f t="shared" si="2"/>
        <v>2207</v>
      </c>
      <c r="P121" s="22">
        <f t="shared" si="11"/>
        <v>580</v>
      </c>
      <c r="Q121" s="36"/>
      <c r="R121" s="30"/>
    </row>
    <row r="122" spans="1:18" ht="12.75" x14ac:dyDescent="0.2">
      <c r="A122" s="98">
        <v>45846</v>
      </c>
      <c r="B122" s="22">
        <f t="shared" si="3"/>
        <v>107</v>
      </c>
      <c r="C122" s="25">
        <f t="shared" si="4"/>
        <v>940</v>
      </c>
      <c r="D122" s="24">
        <v>-1585</v>
      </c>
      <c r="E122" s="25">
        <v>2534</v>
      </c>
      <c r="F122" s="26">
        <f t="shared" si="5"/>
        <v>605</v>
      </c>
      <c r="G122" s="22">
        <f t="shared" si="6"/>
        <v>107</v>
      </c>
      <c r="H122" s="25">
        <f t="shared" si="7"/>
        <v>736</v>
      </c>
      <c r="I122" s="24">
        <v>-1886</v>
      </c>
      <c r="J122" s="28">
        <f t="shared" si="1"/>
        <v>2622</v>
      </c>
      <c r="K122" s="22">
        <f t="shared" si="8"/>
        <v>736</v>
      </c>
      <c r="L122" s="22">
        <f t="shared" si="9"/>
        <v>107</v>
      </c>
      <c r="M122" s="25">
        <f t="shared" si="10"/>
        <v>973</v>
      </c>
      <c r="N122" s="24">
        <v>-1234</v>
      </c>
      <c r="O122" s="28">
        <f t="shared" si="2"/>
        <v>2207</v>
      </c>
      <c r="P122" s="22">
        <f t="shared" si="11"/>
        <v>584</v>
      </c>
      <c r="Q122" s="36"/>
      <c r="R122" s="30"/>
    </row>
    <row r="123" spans="1:18" ht="12.75" x14ac:dyDescent="0.2">
      <c r="A123" s="98">
        <v>45847</v>
      </c>
      <c r="B123" s="22">
        <f t="shared" si="3"/>
        <v>108</v>
      </c>
      <c r="C123" s="25">
        <f t="shared" si="4"/>
        <v>935</v>
      </c>
      <c r="D123" s="24">
        <v>-1590</v>
      </c>
      <c r="E123" s="25">
        <v>2534</v>
      </c>
      <c r="F123" s="26">
        <f t="shared" si="5"/>
        <v>610</v>
      </c>
      <c r="G123" s="22">
        <f t="shared" si="6"/>
        <v>108</v>
      </c>
      <c r="H123" s="25">
        <f t="shared" si="7"/>
        <v>728</v>
      </c>
      <c r="I123" s="24">
        <v>-1894</v>
      </c>
      <c r="J123" s="28">
        <f t="shared" si="1"/>
        <v>2622</v>
      </c>
      <c r="K123" s="22">
        <f t="shared" si="8"/>
        <v>744</v>
      </c>
      <c r="L123" s="22">
        <f t="shared" si="9"/>
        <v>108</v>
      </c>
      <c r="M123" s="25">
        <f t="shared" si="10"/>
        <v>969</v>
      </c>
      <c r="N123" s="24">
        <v>-1238</v>
      </c>
      <c r="O123" s="28">
        <f t="shared" si="2"/>
        <v>2207</v>
      </c>
      <c r="P123" s="22">
        <f t="shared" si="11"/>
        <v>588</v>
      </c>
      <c r="Q123" s="36"/>
      <c r="R123" s="30"/>
    </row>
    <row r="124" spans="1:18" ht="12.75" x14ac:dyDescent="0.2">
      <c r="A124" s="98">
        <v>45848</v>
      </c>
      <c r="B124" s="22">
        <f t="shared" si="3"/>
        <v>109</v>
      </c>
      <c r="C124" s="25">
        <f t="shared" si="4"/>
        <v>930</v>
      </c>
      <c r="D124" s="24">
        <v>-1595</v>
      </c>
      <c r="E124" s="25">
        <v>2534</v>
      </c>
      <c r="F124" s="26">
        <f t="shared" si="5"/>
        <v>615</v>
      </c>
      <c r="G124" s="22">
        <f t="shared" si="6"/>
        <v>109</v>
      </c>
      <c r="H124" s="25">
        <f t="shared" si="7"/>
        <v>720</v>
      </c>
      <c r="I124" s="24">
        <v>-1902</v>
      </c>
      <c r="J124" s="28">
        <f t="shared" si="1"/>
        <v>2622</v>
      </c>
      <c r="K124" s="22">
        <f t="shared" si="8"/>
        <v>752</v>
      </c>
      <c r="L124" s="22">
        <f t="shared" si="9"/>
        <v>109</v>
      </c>
      <c r="M124" s="25">
        <f t="shared" si="10"/>
        <v>965</v>
      </c>
      <c r="N124" s="24">
        <v>-1242</v>
      </c>
      <c r="O124" s="28">
        <f t="shared" si="2"/>
        <v>2207</v>
      </c>
      <c r="P124" s="22">
        <f t="shared" si="11"/>
        <v>592</v>
      </c>
      <c r="Q124" s="36"/>
      <c r="R124" s="30"/>
    </row>
    <row r="125" spans="1:18" ht="12.75" x14ac:dyDescent="0.2">
      <c r="A125" s="98">
        <v>45849</v>
      </c>
      <c r="B125" s="22">
        <f t="shared" si="3"/>
        <v>110</v>
      </c>
      <c r="C125" s="25">
        <f t="shared" si="4"/>
        <v>925</v>
      </c>
      <c r="D125" s="24">
        <v>-1600</v>
      </c>
      <c r="E125" s="25">
        <v>2534</v>
      </c>
      <c r="F125" s="26">
        <f t="shared" si="5"/>
        <v>620</v>
      </c>
      <c r="G125" s="22">
        <f t="shared" si="6"/>
        <v>110</v>
      </c>
      <c r="H125" s="25">
        <f t="shared" si="7"/>
        <v>712</v>
      </c>
      <c r="I125" s="24">
        <v>-1910</v>
      </c>
      <c r="J125" s="28">
        <f t="shared" si="1"/>
        <v>2622</v>
      </c>
      <c r="K125" s="22">
        <f t="shared" si="8"/>
        <v>760</v>
      </c>
      <c r="L125" s="22">
        <f t="shared" si="9"/>
        <v>110</v>
      </c>
      <c r="M125" s="25">
        <f t="shared" si="10"/>
        <v>961</v>
      </c>
      <c r="N125" s="24">
        <v>-1246</v>
      </c>
      <c r="O125" s="28">
        <f t="shared" si="2"/>
        <v>2207</v>
      </c>
      <c r="P125" s="22">
        <f t="shared" si="11"/>
        <v>596</v>
      </c>
      <c r="Q125" s="36"/>
      <c r="R125" s="30"/>
    </row>
    <row r="126" spans="1:18" ht="12.75" x14ac:dyDescent="0.2">
      <c r="A126" s="98">
        <v>45850</v>
      </c>
      <c r="B126" s="22">
        <f t="shared" si="3"/>
        <v>111</v>
      </c>
      <c r="C126" s="25">
        <f t="shared" si="4"/>
        <v>920</v>
      </c>
      <c r="D126" s="24">
        <v>-1605</v>
      </c>
      <c r="E126" s="25">
        <v>2534</v>
      </c>
      <c r="F126" s="26">
        <f t="shared" si="5"/>
        <v>625</v>
      </c>
      <c r="G126" s="22">
        <f t="shared" si="6"/>
        <v>111</v>
      </c>
      <c r="H126" s="25">
        <f t="shared" si="7"/>
        <v>704</v>
      </c>
      <c r="I126" s="24">
        <v>-1918</v>
      </c>
      <c r="J126" s="28">
        <f t="shared" si="1"/>
        <v>2622</v>
      </c>
      <c r="K126" s="22">
        <f t="shared" si="8"/>
        <v>768</v>
      </c>
      <c r="L126" s="22">
        <f t="shared" si="9"/>
        <v>111</v>
      </c>
      <c r="M126" s="25">
        <f t="shared" si="10"/>
        <v>957</v>
      </c>
      <c r="N126" s="24">
        <v>-1250</v>
      </c>
      <c r="O126" s="28">
        <f t="shared" si="2"/>
        <v>2207</v>
      </c>
      <c r="P126" s="22">
        <f t="shared" si="11"/>
        <v>600</v>
      </c>
      <c r="Q126" s="36"/>
      <c r="R126" s="30"/>
    </row>
    <row r="127" spans="1:18" ht="12.75" x14ac:dyDescent="0.2">
      <c r="A127" s="98">
        <v>45851</v>
      </c>
      <c r="B127" s="22">
        <f t="shared" si="3"/>
        <v>112</v>
      </c>
      <c r="C127" s="25">
        <f t="shared" si="4"/>
        <v>915</v>
      </c>
      <c r="D127" s="24">
        <v>-1610</v>
      </c>
      <c r="E127" s="25">
        <v>2534</v>
      </c>
      <c r="F127" s="26">
        <f t="shared" si="5"/>
        <v>630</v>
      </c>
      <c r="G127" s="22">
        <f t="shared" si="6"/>
        <v>112</v>
      </c>
      <c r="H127" s="25">
        <f t="shared" si="7"/>
        <v>696</v>
      </c>
      <c r="I127" s="24">
        <v>-1926</v>
      </c>
      <c r="J127" s="28">
        <f t="shared" si="1"/>
        <v>2622</v>
      </c>
      <c r="K127" s="22">
        <f t="shared" si="8"/>
        <v>776</v>
      </c>
      <c r="L127" s="22">
        <f t="shared" si="9"/>
        <v>112</v>
      </c>
      <c r="M127" s="25">
        <f t="shared" si="10"/>
        <v>953</v>
      </c>
      <c r="N127" s="24">
        <v>-1254</v>
      </c>
      <c r="O127" s="28">
        <f t="shared" si="2"/>
        <v>2207</v>
      </c>
      <c r="P127" s="22">
        <f t="shared" si="11"/>
        <v>604</v>
      </c>
      <c r="Q127" s="36"/>
      <c r="R127" s="30"/>
    </row>
    <row r="128" spans="1:18" ht="12.75" x14ac:dyDescent="0.2">
      <c r="A128" s="98">
        <v>45852</v>
      </c>
      <c r="B128" s="22">
        <f t="shared" si="3"/>
        <v>113</v>
      </c>
      <c r="C128" s="25">
        <f t="shared" si="4"/>
        <v>910</v>
      </c>
      <c r="D128" s="24">
        <v>-1615</v>
      </c>
      <c r="E128" s="25">
        <v>2534</v>
      </c>
      <c r="F128" s="26">
        <f t="shared" si="5"/>
        <v>635</v>
      </c>
      <c r="G128" s="22">
        <f t="shared" si="6"/>
        <v>113</v>
      </c>
      <c r="H128" s="25">
        <f t="shared" si="7"/>
        <v>688</v>
      </c>
      <c r="I128" s="24">
        <v>-1934</v>
      </c>
      <c r="J128" s="28">
        <f t="shared" si="1"/>
        <v>2622</v>
      </c>
      <c r="K128" s="22">
        <f t="shared" si="8"/>
        <v>784</v>
      </c>
      <c r="L128" s="22">
        <f t="shared" si="9"/>
        <v>113</v>
      </c>
      <c r="M128" s="25">
        <f t="shared" si="10"/>
        <v>949</v>
      </c>
      <c r="N128" s="24">
        <v>-1258</v>
      </c>
      <c r="O128" s="28">
        <f t="shared" si="2"/>
        <v>2207</v>
      </c>
      <c r="P128" s="22">
        <f t="shared" si="11"/>
        <v>608</v>
      </c>
      <c r="Q128" s="36"/>
      <c r="R128" s="30"/>
    </row>
    <row r="129" spans="1:18" ht="12.75" x14ac:dyDescent="0.2">
      <c r="A129" s="98">
        <v>45853</v>
      </c>
      <c r="B129" s="22">
        <f t="shared" si="3"/>
        <v>114</v>
      </c>
      <c r="C129" s="25">
        <f t="shared" si="4"/>
        <v>905</v>
      </c>
      <c r="D129" s="24">
        <v>-1620</v>
      </c>
      <c r="E129" s="25">
        <v>2534</v>
      </c>
      <c r="F129" s="26">
        <f t="shared" si="5"/>
        <v>640</v>
      </c>
      <c r="G129" s="22">
        <f t="shared" si="6"/>
        <v>114</v>
      </c>
      <c r="H129" s="25">
        <f t="shared" si="7"/>
        <v>680</v>
      </c>
      <c r="I129" s="24">
        <v>-1942</v>
      </c>
      <c r="J129" s="28">
        <f t="shared" si="1"/>
        <v>2622</v>
      </c>
      <c r="K129" s="22">
        <f t="shared" si="8"/>
        <v>792</v>
      </c>
      <c r="L129" s="22">
        <f t="shared" si="9"/>
        <v>114</v>
      </c>
      <c r="M129" s="25">
        <f t="shared" si="10"/>
        <v>945</v>
      </c>
      <c r="N129" s="24">
        <v>-1262</v>
      </c>
      <c r="O129" s="28">
        <f t="shared" si="2"/>
        <v>2207</v>
      </c>
      <c r="P129" s="22">
        <f t="shared" si="11"/>
        <v>612</v>
      </c>
      <c r="Q129" s="36"/>
      <c r="R129" s="30"/>
    </row>
    <row r="130" spans="1:18" ht="12.75" x14ac:dyDescent="0.2">
      <c r="A130" s="98">
        <v>45854</v>
      </c>
      <c r="B130" s="22">
        <f t="shared" si="3"/>
        <v>115</v>
      </c>
      <c r="C130" s="25">
        <f t="shared" si="4"/>
        <v>900</v>
      </c>
      <c r="D130" s="24">
        <v>-1625</v>
      </c>
      <c r="E130" s="25">
        <v>2534</v>
      </c>
      <c r="F130" s="26">
        <f t="shared" si="5"/>
        <v>645</v>
      </c>
      <c r="G130" s="22">
        <f t="shared" si="6"/>
        <v>115</v>
      </c>
      <c r="H130" s="25">
        <f t="shared" si="7"/>
        <v>672</v>
      </c>
      <c r="I130" s="24">
        <v>-1950</v>
      </c>
      <c r="J130" s="28">
        <f t="shared" si="1"/>
        <v>2622</v>
      </c>
      <c r="K130" s="22">
        <f t="shared" si="8"/>
        <v>800</v>
      </c>
      <c r="L130" s="22">
        <f t="shared" si="9"/>
        <v>115</v>
      </c>
      <c r="M130" s="25">
        <f t="shared" si="10"/>
        <v>941</v>
      </c>
      <c r="N130" s="24">
        <v>-1266</v>
      </c>
      <c r="O130" s="28">
        <f t="shared" si="2"/>
        <v>2207</v>
      </c>
      <c r="P130" s="22">
        <f t="shared" si="11"/>
        <v>616</v>
      </c>
      <c r="Q130" s="36"/>
      <c r="R130" s="30"/>
    </row>
    <row r="131" spans="1:18" ht="12.75" x14ac:dyDescent="0.2">
      <c r="A131" s="98">
        <v>45855</v>
      </c>
      <c r="B131" s="22">
        <f t="shared" si="3"/>
        <v>116</v>
      </c>
      <c r="C131" s="25">
        <f t="shared" si="4"/>
        <v>895</v>
      </c>
      <c r="D131" s="24">
        <v>-1630</v>
      </c>
      <c r="E131" s="25">
        <v>2534</v>
      </c>
      <c r="F131" s="26">
        <f t="shared" si="5"/>
        <v>650</v>
      </c>
      <c r="G131" s="22">
        <f t="shared" si="6"/>
        <v>116</v>
      </c>
      <c r="H131" s="25">
        <f t="shared" si="7"/>
        <v>664</v>
      </c>
      <c r="I131" s="24">
        <v>-1958</v>
      </c>
      <c r="J131" s="28">
        <f t="shared" si="1"/>
        <v>2622</v>
      </c>
      <c r="K131" s="22">
        <f t="shared" si="8"/>
        <v>808</v>
      </c>
      <c r="L131" s="22">
        <f t="shared" si="9"/>
        <v>116</v>
      </c>
      <c r="M131" s="25">
        <f t="shared" si="10"/>
        <v>937</v>
      </c>
      <c r="N131" s="24">
        <v>-1270</v>
      </c>
      <c r="O131" s="28">
        <f t="shared" si="2"/>
        <v>2207</v>
      </c>
      <c r="P131" s="22">
        <f t="shared" si="11"/>
        <v>620</v>
      </c>
      <c r="Q131" s="36"/>
      <c r="R131" s="30"/>
    </row>
    <row r="132" spans="1:18" ht="12.75" x14ac:dyDescent="0.2">
      <c r="A132" s="98">
        <v>45856</v>
      </c>
      <c r="B132" s="22">
        <f t="shared" si="3"/>
        <v>117</v>
      </c>
      <c r="C132" s="25">
        <f t="shared" si="4"/>
        <v>890</v>
      </c>
      <c r="D132" s="24">
        <v>-1635</v>
      </c>
      <c r="E132" s="25">
        <v>2534</v>
      </c>
      <c r="F132" s="26">
        <f t="shared" si="5"/>
        <v>655</v>
      </c>
      <c r="G132" s="22">
        <f t="shared" si="6"/>
        <v>117</v>
      </c>
      <c r="H132" s="25">
        <f t="shared" si="7"/>
        <v>662</v>
      </c>
      <c r="I132" s="24">
        <v>-1960</v>
      </c>
      <c r="J132" s="28">
        <f t="shared" si="1"/>
        <v>2622</v>
      </c>
      <c r="K132" s="22">
        <f t="shared" si="8"/>
        <v>810</v>
      </c>
      <c r="L132" s="22">
        <f t="shared" si="9"/>
        <v>117</v>
      </c>
      <c r="M132" s="25">
        <f t="shared" si="10"/>
        <v>933</v>
      </c>
      <c r="N132" s="24">
        <v>-1274</v>
      </c>
      <c r="O132" s="28">
        <f t="shared" si="2"/>
        <v>2207</v>
      </c>
      <c r="P132" s="22">
        <f t="shared" si="11"/>
        <v>624</v>
      </c>
      <c r="Q132" s="36"/>
      <c r="R132" s="30"/>
    </row>
    <row r="133" spans="1:18" ht="12.75" x14ac:dyDescent="0.2">
      <c r="A133" s="98">
        <v>45857</v>
      </c>
      <c r="B133" s="22">
        <f t="shared" si="3"/>
        <v>118</v>
      </c>
      <c r="C133" s="25">
        <f t="shared" si="4"/>
        <v>885</v>
      </c>
      <c r="D133" s="24">
        <v>-1640</v>
      </c>
      <c r="E133" s="25">
        <v>2534</v>
      </c>
      <c r="F133" s="26">
        <f t="shared" si="5"/>
        <v>660</v>
      </c>
      <c r="G133" s="22">
        <f t="shared" si="6"/>
        <v>118</v>
      </c>
      <c r="H133" s="25">
        <f t="shared" si="7"/>
        <v>660</v>
      </c>
      <c r="I133" s="24">
        <v>-1962</v>
      </c>
      <c r="J133" s="28">
        <f t="shared" si="1"/>
        <v>2622</v>
      </c>
      <c r="K133" s="22">
        <f t="shared" si="8"/>
        <v>812</v>
      </c>
      <c r="L133" s="22">
        <f t="shared" si="9"/>
        <v>118</v>
      </c>
      <c r="M133" s="25">
        <f t="shared" si="10"/>
        <v>929</v>
      </c>
      <c r="N133" s="24">
        <v>-1278</v>
      </c>
      <c r="O133" s="28">
        <f t="shared" si="2"/>
        <v>2207</v>
      </c>
      <c r="P133" s="22">
        <f t="shared" si="11"/>
        <v>628</v>
      </c>
      <c r="Q133" s="36"/>
      <c r="R133" s="30"/>
    </row>
    <row r="134" spans="1:18" ht="12.75" x14ac:dyDescent="0.2">
      <c r="A134" s="98">
        <v>45858</v>
      </c>
      <c r="B134" s="22">
        <f t="shared" si="3"/>
        <v>119</v>
      </c>
      <c r="C134" s="25">
        <f t="shared" si="4"/>
        <v>880</v>
      </c>
      <c r="D134" s="24">
        <v>-1645</v>
      </c>
      <c r="E134" s="25">
        <v>2534</v>
      </c>
      <c r="F134" s="26">
        <f t="shared" si="5"/>
        <v>665</v>
      </c>
      <c r="G134" s="22">
        <f t="shared" si="6"/>
        <v>119</v>
      </c>
      <c r="H134" s="25">
        <f t="shared" si="7"/>
        <v>658</v>
      </c>
      <c r="I134" s="24">
        <v>-1964</v>
      </c>
      <c r="J134" s="28">
        <f t="shared" si="1"/>
        <v>2622</v>
      </c>
      <c r="K134" s="22">
        <f t="shared" si="8"/>
        <v>814</v>
      </c>
      <c r="L134" s="22">
        <f t="shared" si="9"/>
        <v>119</v>
      </c>
      <c r="M134" s="25">
        <f t="shared" si="10"/>
        <v>925</v>
      </c>
      <c r="N134" s="24">
        <v>-1282</v>
      </c>
      <c r="O134" s="28">
        <f t="shared" si="2"/>
        <v>2207</v>
      </c>
      <c r="P134" s="22">
        <f t="shared" si="11"/>
        <v>632</v>
      </c>
      <c r="Q134" s="36"/>
      <c r="R134" s="30"/>
    </row>
    <row r="135" spans="1:18" ht="12.75" x14ac:dyDescent="0.2">
      <c r="A135" s="98">
        <v>45859</v>
      </c>
      <c r="B135" s="22">
        <f t="shared" si="3"/>
        <v>120</v>
      </c>
      <c r="C135" s="25">
        <f t="shared" si="4"/>
        <v>829</v>
      </c>
      <c r="D135" s="24">
        <v>-1696</v>
      </c>
      <c r="E135" s="25">
        <v>2534</v>
      </c>
      <c r="F135" s="26">
        <f t="shared" si="5"/>
        <v>716</v>
      </c>
      <c r="G135" s="22">
        <f t="shared" si="6"/>
        <v>120</v>
      </c>
      <c r="H135" s="25">
        <f t="shared" si="7"/>
        <v>656</v>
      </c>
      <c r="I135" s="24">
        <v>-1966</v>
      </c>
      <c r="J135" s="28">
        <f t="shared" si="1"/>
        <v>2622</v>
      </c>
      <c r="K135" s="22">
        <f t="shared" si="8"/>
        <v>816</v>
      </c>
      <c r="L135" s="22">
        <f t="shared" si="9"/>
        <v>120</v>
      </c>
      <c r="M135" s="25">
        <f t="shared" si="10"/>
        <v>916</v>
      </c>
      <c r="N135" s="24">
        <v>-1291</v>
      </c>
      <c r="O135" s="28">
        <f t="shared" si="2"/>
        <v>2207</v>
      </c>
      <c r="P135" s="22">
        <f t="shared" si="11"/>
        <v>641</v>
      </c>
      <c r="Q135" s="36"/>
      <c r="R135" s="30"/>
    </row>
    <row r="136" spans="1:18" ht="12.75" x14ac:dyDescent="0.2">
      <c r="A136" s="98">
        <v>45860</v>
      </c>
      <c r="B136" s="22">
        <f t="shared" si="3"/>
        <v>121</v>
      </c>
      <c r="C136" s="25">
        <f t="shared" si="4"/>
        <v>826</v>
      </c>
      <c r="D136" s="24">
        <v>-1699</v>
      </c>
      <c r="E136" s="25">
        <v>2534</v>
      </c>
      <c r="F136" s="26">
        <f t="shared" si="5"/>
        <v>719</v>
      </c>
      <c r="G136" s="22">
        <f t="shared" si="6"/>
        <v>121</v>
      </c>
      <c r="H136" s="25">
        <f t="shared" si="7"/>
        <v>654</v>
      </c>
      <c r="I136" s="24">
        <v>-1968</v>
      </c>
      <c r="J136" s="28">
        <f t="shared" si="1"/>
        <v>2622</v>
      </c>
      <c r="K136" s="22">
        <f t="shared" si="8"/>
        <v>818</v>
      </c>
      <c r="L136" s="22">
        <f t="shared" si="9"/>
        <v>121</v>
      </c>
      <c r="M136" s="25">
        <f t="shared" si="10"/>
        <v>913</v>
      </c>
      <c r="N136" s="24">
        <v>-1294</v>
      </c>
      <c r="O136" s="28">
        <f t="shared" si="2"/>
        <v>2207</v>
      </c>
      <c r="P136" s="22">
        <f t="shared" si="11"/>
        <v>644</v>
      </c>
      <c r="Q136" s="36"/>
      <c r="R136" s="30"/>
    </row>
    <row r="137" spans="1:18" ht="12.75" x14ac:dyDescent="0.2">
      <c r="A137" s="98">
        <v>45861</v>
      </c>
      <c r="B137" s="22">
        <f t="shared" si="3"/>
        <v>122</v>
      </c>
      <c r="C137" s="25">
        <f t="shared" si="4"/>
        <v>823</v>
      </c>
      <c r="D137" s="24">
        <v>-1702</v>
      </c>
      <c r="E137" s="25">
        <v>2534</v>
      </c>
      <c r="F137" s="26">
        <f t="shared" si="5"/>
        <v>722</v>
      </c>
      <c r="G137" s="22">
        <f t="shared" si="6"/>
        <v>122</v>
      </c>
      <c r="H137" s="25">
        <f t="shared" si="7"/>
        <v>652</v>
      </c>
      <c r="I137" s="24">
        <v>-1970</v>
      </c>
      <c r="J137" s="28">
        <f t="shared" si="1"/>
        <v>2622</v>
      </c>
      <c r="K137" s="22">
        <f t="shared" si="8"/>
        <v>820</v>
      </c>
      <c r="L137" s="22">
        <f t="shared" si="9"/>
        <v>122</v>
      </c>
      <c r="M137" s="25">
        <f t="shared" si="10"/>
        <v>910</v>
      </c>
      <c r="N137" s="24">
        <v>-1297</v>
      </c>
      <c r="O137" s="28">
        <f t="shared" si="2"/>
        <v>2207</v>
      </c>
      <c r="P137" s="22">
        <f t="shared" si="11"/>
        <v>647</v>
      </c>
      <c r="Q137" s="36"/>
      <c r="R137" s="30"/>
    </row>
    <row r="138" spans="1:18" ht="12.75" x14ac:dyDescent="0.2">
      <c r="A138" s="98">
        <v>45862</v>
      </c>
      <c r="B138" s="22">
        <f t="shared" si="3"/>
        <v>123</v>
      </c>
      <c r="C138" s="25">
        <f t="shared" si="4"/>
        <v>820</v>
      </c>
      <c r="D138" s="24">
        <v>-1705</v>
      </c>
      <c r="E138" s="25">
        <v>2534</v>
      </c>
      <c r="F138" s="26">
        <f t="shared" si="5"/>
        <v>725</v>
      </c>
      <c r="G138" s="22">
        <f t="shared" si="6"/>
        <v>123</v>
      </c>
      <c r="H138" s="25">
        <f t="shared" si="7"/>
        <v>650</v>
      </c>
      <c r="I138" s="24">
        <v>-1972</v>
      </c>
      <c r="J138" s="28">
        <f t="shared" si="1"/>
        <v>2622</v>
      </c>
      <c r="K138" s="22">
        <f t="shared" si="8"/>
        <v>822</v>
      </c>
      <c r="L138" s="22">
        <f t="shared" si="9"/>
        <v>123</v>
      </c>
      <c r="M138" s="25">
        <f t="shared" si="10"/>
        <v>907</v>
      </c>
      <c r="N138" s="24">
        <v>-1300</v>
      </c>
      <c r="O138" s="28">
        <f t="shared" si="2"/>
        <v>2207</v>
      </c>
      <c r="P138" s="22">
        <f t="shared" si="11"/>
        <v>650</v>
      </c>
      <c r="Q138" s="36"/>
      <c r="R138" s="30"/>
    </row>
    <row r="139" spans="1:18" ht="12.75" x14ac:dyDescent="0.2">
      <c r="A139" s="98">
        <v>45863</v>
      </c>
      <c r="B139" s="22">
        <f t="shared" si="3"/>
        <v>124</v>
      </c>
      <c r="C139" s="25">
        <f t="shared" si="4"/>
        <v>817</v>
      </c>
      <c r="D139" s="24">
        <v>-1708</v>
      </c>
      <c r="E139" s="25">
        <v>2534</v>
      </c>
      <c r="F139" s="26">
        <f t="shared" si="5"/>
        <v>728</v>
      </c>
      <c r="G139" s="22">
        <f t="shared" si="6"/>
        <v>124</v>
      </c>
      <c r="H139" s="25">
        <f t="shared" si="7"/>
        <v>648</v>
      </c>
      <c r="I139" s="24">
        <v>-1974</v>
      </c>
      <c r="J139" s="28">
        <f t="shared" si="1"/>
        <v>2622</v>
      </c>
      <c r="K139" s="22">
        <f t="shared" si="8"/>
        <v>824</v>
      </c>
      <c r="L139" s="22">
        <f t="shared" si="9"/>
        <v>124</v>
      </c>
      <c r="M139" s="25">
        <f t="shared" si="10"/>
        <v>904</v>
      </c>
      <c r="N139" s="24">
        <v>-1303</v>
      </c>
      <c r="O139" s="28">
        <f t="shared" si="2"/>
        <v>2207</v>
      </c>
      <c r="P139" s="22">
        <f t="shared" si="11"/>
        <v>653</v>
      </c>
      <c r="Q139" s="36"/>
      <c r="R139" s="30"/>
    </row>
    <row r="140" spans="1:18" ht="12.75" x14ac:dyDescent="0.2">
      <c r="A140" s="98">
        <v>45864</v>
      </c>
      <c r="B140" s="22">
        <f t="shared" si="3"/>
        <v>125</v>
      </c>
      <c r="C140" s="25">
        <f t="shared" si="4"/>
        <v>814</v>
      </c>
      <c r="D140" s="24">
        <v>-1711</v>
      </c>
      <c r="E140" s="25">
        <v>2534</v>
      </c>
      <c r="F140" s="26">
        <f t="shared" si="5"/>
        <v>731</v>
      </c>
      <c r="G140" s="22">
        <f t="shared" si="6"/>
        <v>125</v>
      </c>
      <c r="H140" s="25">
        <f t="shared" si="7"/>
        <v>646</v>
      </c>
      <c r="I140" s="24">
        <v>-1976</v>
      </c>
      <c r="J140" s="28">
        <f t="shared" si="1"/>
        <v>2622</v>
      </c>
      <c r="K140" s="22">
        <f t="shared" si="8"/>
        <v>826</v>
      </c>
      <c r="L140" s="22">
        <f t="shared" si="9"/>
        <v>125</v>
      </c>
      <c r="M140" s="25">
        <f t="shared" si="10"/>
        <v>901</v>
      </c>
      <c r="N140" s="24">
        <v>-1306</v>
      </c>
      <c r="O140" s="28">
        <f t="shared" si="2"/>
        <v>2207</v>
      </c>
      <c r="P140" s="22">
        <f t="shared" si="11"/>
        <v>656</v>
      </c>
      <c r="Q140" s="36"/>
      <c r="R140" s="30"/>
    </row>
    <row r="141" spans="1:18" ht="12.75" x14ac:dyDescent="0.2">
      <c r="A141" s="98">
        <v>45865</v>
      </c>
      <c r="B141" s="22">
        <f t="shared" si="3"/>
        <v>126</v>
      </c>
      <c r="C141" s="25">
        <f t="shared" si="4"/>
        <v>811</v>
      </c>
      <c r="D141" s="24">
        <v>-1714</v>
      </c>
      <c r="E141" s="25">
        <v>2534</v>
      </c>
      <c r="F141" s="26">
        <f t="shared" si="5"/>
        <v>734</v>
      </c>
      <c r="G141" s="22">
        <f t="shared" si="6"/>
        <v>126</v>
      </c>
      <c r="H141" s="25">
        <f t="shared" si="7"/>
        <v>644</v>
      </c>
      <c r="I141" s="24">
        <v>-1978</v>
      </c>
      <c r="J141" s="28">
        <f t="shared" si="1"/>
        <v>2622</v>
      </c>
      <c r="K141" s="22">
        <f t="shared" si="8"/>
        <v>828</v>
      </c>
      <c r="L141" s="22">
        <f t="shared" si="9"/>
        <v>126</v>
      </c>
      <c r="M141" s="25">
        <f t="shared" si="10"/>
        <v>898</v>
      </c>
      <c r="N141" s="24">
        <v>-1309</v>
      </c>
      <c r="O141" s="28">
        <f t="shared" si="2"/>
        <v>2207</v>
      </c>
      <c r="P141" s="22">
        <f t="shared" si="11"/>
        <v>659</v>
      </c>
      <c r="Q141" s="36"/>
      <c r="R141" s="30"/>
    </row>
    <row r="142" spans="1:18" ht="12.75" x14ac:dyDescent="0.2">
      <c r="A142" s="98">
        <v>45866</v>
      </c>
      <c r="B142" s="22">
        <f t="shared" si="3"/>
        <v>127</v>
      </c>
      <c r="C142" s="25">
        <f t="shared" si="4"/>
        <v>808</v>
      </c>
      <c r="D142" s="24">
        <v>-1717</v>
      </c>
      <c r="E142" s="25">
        <v>2534</v>
      </c>
      <c r="F142" s="26">
        <f t="shared" si="5"/>
        <v>737</v>
      </c>
      <c r="G142" s="22">
        <f t="shared" si="6"/>
        <v>127</v>
      </c>
      <c r="H142" s="25">
        <f t="shared" si="7"/>
        <v>642</v>
      </c>
      <c r="I142" s="24">
        <v>-1980</v>
      </c>
      <c r="J142" s="28">
        <f t="shared" si="1"/>
        <v>2622</v>
      </c>
      <c r="K142" s="22">
        <f t="shared" si="8"/>
        <v>830</v>
      </c>
      <c r="L142" s="22">
        <f t="shared" si="9"/>
        <v>127</v>
      </c>
      <c r="M142" s="25">
        <f t="shared" si="10"/>
        <v>895</v>
      </c>
      <c r="N142" s="24">
        <v>-1312</v>
      </c>
      <c r="O142" s="28">
        <f t="shared" si="2"/>
        <v>2207</v>
      </c>
      <c r="P142" s="22">
        <f t="shared" si="11"/>
        <v>662</v>
      </c>
      <c r="Q142" s="36"/>
      <c r="R142" s="30"/>
    </row>
    <row r="143" spans="1:18" ht="12.75" x14ac:dyDescent="0.2">
      <c r="A143" s="98">
        <v>45867</v>
      </c>
      <c r="B143" s="22">
        <f t="shared" si="3"/>
        <v>128</v>
      </c>
      <c r="C143" s="23">
        <v>1609</v>
      </c>
      <c r="D143" s="24">
        <v>-1720</v>
      </c>
      <c r="E143" s="25">
        <v>2534</v>
      </c>
      <c r="F143" s="26">
        <f t="shared" si="5"/>
        <v>740</v>
      </c>
      <c r="G143" s="22">
        <f t="shared" si="6"/>
        <v>128</v>
      </c>
      <c r="H143" s="25">
        <v>1559</v>
      </c>
      <c r="I143" s="24">
        <v>-1982</v>
      </c>
      <c r="J143" s="28">
        <f t="shared" si="1"/>
        <v>3541</v>
      </c>
      <c r="K143" s="22">
        <f t="shared" si="8"/>
        <v>832</v>
      </c>
      <c r="L143" s="22">
        <f t="shared" si="9"/>
        <v>128</v>
      </c>
      <c r="M143" s="23">
        <v>1612</v>
      </c>
      <c r="N143" s="24">
        <v>-1315</v>
      </c>
      <c r="O143" s="28">
        <f t="shared" si="2"/>
        <v>2927</v>
      </c>
      <c r="P143" s="22">
        <f t="shared" si="11"/>
        <v>665</v>
      </c>
      <c r="Q143" s="36"/>
      <c r="R143" s="30"/>
    </row>
    <row r="144" spans="1:18" ht="12.75" x14ac:dyDescent="0.2">
      <c r="A144" s="51"/>
      <c r="B144" s="52"/>
      <c r="C144" s="53"/>
      <c r="D144" s="54"/>
      <c r="E144" s="55"/>
      <c r="F144" s="52"/>
      <c r="G144" s="52"/>
      <c r="H144" s="55"/>
      <c r="I144" s="54"/>
      <c r="J144" s="55"/>
      <c r="K144" s="52"/>
      <c r="L144" s="52"/>
      <c r="M144" s="53"/>
      <c r="N144" s="54"/>
      <c r="O144" s="56"/>
      <c r="P144" s="52"/>
      <c r="Q144" s="57"/>
      <c r="R144" s="58"/>
    </row>
    <row r="145" spans="1:18" ht="12.75" x14ac:dyDescent="0.2">
      <c r="A145" s="51"/>
      <c r="B145" s="52"/>
      <c r="C145" s="53"/>
      <c r="D145" s="54"/>
      <c r="E145" s="55"/>
      <c r="F145" s="52"/>
      <c r="G145" s="52"/>
      <c r="H145" s="55"/>
      <c r="I145" s="54"/>
      <c r="J145" s="55"/>
      <c r="K145" s="52"/>
      <c r="L145" s="52"/>
      <c r="M145" s="53"/>
      <c r="N145" s="54"/>
      <c r="O145" s="56"/>
      <c r="P145" s="52"/>
      <c r="Q145" s="57"/>
      <c r="R145" s="58"/>
    </row>
    <row r="146" spans="1:18" ht="12.75" x14ac:dyDescent="0.2">
      <c r="A146" s="51"/>
      <c r="B146" s="52"/>
      <c r="C146" s="53"/>
      <c r="D146" s="54"/>
      <c r="E146" s="55"/>
      <c r="F146" s="52"/>
      <c r="G146" s="52"/>
      <c r="H146" s="55"/>
      <c r="I146" s="54"/>
      <c r="J146" s="55"/>
      <c r="K146" s="52"/>
      <c r="L146" s="52"/>
      <c r="M146" s="53"/>
      <c r="N146" s="54"/>
      <c r="O146" s="56"/>
      <c r="P146" s="52"/>
      <c r="Q146" s="57"/>
      <c r="R146" s="58"/>
    </row>
    <row r="147" spans="1:18" ht="12.75" x14ac:dyDescent="0.2">
      <c r="A147" s="51"/>
      <c r="B147" s="52"/>
      <c r="C147" s="53"/>
      <c r="D147" s="54"/>
      <c r="E147" s="55"/>
      <c r="F147" s="52"/>
      <c r="G147" s="52"/>
      <c r="H147" s="55"/>
      <c r="I147" s="54"/>
      <c r="J147" s="55"/>
      <c r="K147" s="52"/>
      <c r="L147" s="52"/>
      <c r="M147" s="53"/>
      <c r="N147" s="54"/>
      <c r="O147" s="56"/>
      <c r="P147" s="52"/>
      <c r="Q147" s="57"/>
      <c r="R147" s="58"/>
    </row>
    <row r="148" spans="1:18" ht="12.75" x14ac:dyDescent="0.2">
      <c r="A148" s="51"/>
      <c r="B148" s="52"/>
      <c r="C148" s="53"/>
      <c r="D148" s="54"/>
      <c r="E148" s="55"/>
      <c r="F148" s="52"/>
      <c r="G148" s="52"/>
      <c r="H148" s="55"/>
      <c r="I148" s="54"/>
      <c r="J148" s="55"/>
      <c r="K148" s="52"/>
      <c r="L148" s="52"/>
      <c r="M148" s="53"/>
      <c r="N148" s="54"/>
      <c r="O148" s="56"/>
      <c r="P148" s="52"/>
      <c r="Q148" s="57"/>
      <c r="R148" s="58"/>
    </row>
    <row r="149" spans="1:18" ht="12.75" x14ac:dyDescent="0.2">
      <c r="A149" s="51"/>
      <c r="B149" s="52"/>
      <c r="C149" s="53"/>
      <c r="D149" s="54"/>
      <c r="E149" s="55"/>
      <c r="F149" s="52"/>
      <c r="G149" s="52"/>
      <c r="H149" s="55"/>
      <c r="I149" s="54"/>
      <c r="J149" s="55"/>
      <c r="K149" s="52"/>
      <c r="L149" s="52"/>
      <c r="M149" s="53"/>
      <c r="N149" s="54"/>
      <c r="O149" s="56"/>
      <c r="P149" s="52"/>
      <c r="Q149" s="57"/>
      <c r="R149" s="58"/>
    </row>
    <row r="150" spans="1:18" ht="12.75" x14ac:dyDescent="0.2">
      <c r="A150" s="51"/>
      <c r="B150" s="52"/>
      <c r="C150" s="53"/>
      <c r="D150" s="54"/>
      <c r="E150" s="55"/>
      <c r="F150" s="52"/>
      <c r="G150" s="52"/>
      <c r="H150" s="55"/>
      <c r="I150" s="54"/>
      <c r="J150" s="55"/>
      <c r="K150" s="52"/>
      <c r="L150" s="52"/>
      <c r="M150" s="53"/>
      <c r="N150" s="54"/>
      <c r="O150" s="56"/>
      <c r="P150" s="52"/>
      <c r="Q150" s="57"/>
      <c r="R150" s="58"/>
    </row>
    <row r="151" spans="1:18" ht="12.75" x14ac:dyDescent="0.2">
      <c r="A151" s="51"/>
      <c r="B151" s="52"/>
      <c r="C151" s="53"/>
      <c r="D151" s="54"/>
      <c r="E151" s="55"/>
      <c r="F151" s="52"/>
      <c r="G151" s="52"/>
      <c r="H151" s="55"/>
      <c r="I151" s="54"/>
      <c r="J151" s="55"/>
      <c r="K151" s="52"/>
      <c r="L151" s="52"/>
      <c r="M151" s="53"/>
      <c r="N151" s="54"/>
      <c r="O151" s="56"/>
      <c r="P151" s="52"/>
      <c r="Q151" s="57"/>
      <c r="R151" s="58"/>
    </row>
    <row r="152" spans="1:18" ht="12.75" x14ac:dyDescent="0.2">
      <c r="A152" s="51"/>
      <c r="B152" s="52"/>
      <c r="C152" s="53"/>
      <c r="D152" s="54"/>
      <c r="E152" s="55"/>
      <c r="F152" s="52"/>
      <c r="G152" s="52"/>
      <c r="H152" s="55"/>
      <c r="I152" s="54"/>
      <c r="J152" s="55"/>
      <c r="K152" s="52"/>
      <c r="L152" s="52"/>
      <c r="M152" s="53"/>
      <c r="N152" s="54"/>
      <c r="O152" s="56"/>
      <c r="P152" s="52"/>
      <c r="Q152" s="57"/>
      <c r="R152" s="58"/>
    </row>
    <row r="153" spans="1:18" ht="12.75" x14ac:dyDescent="0.2">
      <c r="A153" s="51"/>
      <c r="B153" s="52"/>
      <c r="C153" s="53"/>
      <c r="D153" s="54"/>
      <c r="E153" s="55"/>
      <c r="F153" s="52"/>
      <c r="G153" s="52"/>
      <c r="H153" s="55"/>
      <c r="I153" s="54"/>
      <c r="J153" s="55"/>
      <c r="K153" s="52"/>
      <c r="L153" s="52"/>
      <c r="M153" s="53"/>
      <c r="N153" s="54"/>
      <c r="O153" s="56"/>
      <c r="P153" s="52"/>
      <c r="Q153" s="57"/>
      <c r="R153" s="58"/>
    </row>
    <row r="154" spans="1:18" ht="12.75" x14ac:dyDescent="0.2">
      <c r="A154" s="51"/>
      <c r="B154" s="52"/>
      <c r="C154" s="53"/>
      <c r="D154" s="54"/>
      <c r="E154" s="55"/>
      <c r="F154" s="52"/>
      <c r="G154" s="52"/>
      <c r="H154" s="55"/>
      <c r="I154" s="54"/>
      <c r="J154" s="55"/>
      <c r="K154" s="52"/>
      <c r="L154" s="52"/>
      <c r="M154" s="53"/>
      <c r="N154" s="54"/>
      <c r="O154" s="56"/>
      <c r="P154" s="52"/>
      <c r="Q154" s="57"/>
      <c r="R154" s="58"/>
    </row>
    <row r="155" spans="1:18" ht="12.75" x14ac:dyDescent="0.2">
      <c r="A155" s="51"/>
      <c r="B155" s="52"/>
      <c r="C155" s="53"/>
      <c r="D155" s="54"/>
      <c r="E155" s="55"/>
      <c r="F155" s="52"/>
      <c r="G155" s="52"/>
      <c r="H155" s="55"/>
      <c r="I155" s="54"/>
      <c r="J155" s="55"/>
      <c r="K155" s="52"/>
      <c r="L155" s="52"/>
      <c r="M155" s="53"/>
      <c r="N155" s="54"/>
      <c r="O155" s="56"/>
      <c r="P155" s="52"/>
      <c r="Q155" s="57"/>
      <c r="R155" s="58"/>
    </row>
    <row r="156" spans="1:18" ht="12.75" x14ac:dyDescent="0.2">
      <c r="A156" s="51"/>
      <c r="B156" s="52"/>
      <c r="C156" s="53"/>
      <c r="D156" s="54"/>
      <c r="E156" s="55"/>
      <c r="F156" s="52"/>
      <c r="G156" s="52"/>
      <c r="H156" s="55"/>
      <c r="I156" s="54"/>
      <c r="J156" s="55"/>
      <c r="K156" s="52"/>
      <c r="L156" s="52"/>
      <c r="M156" s="53"/>
      <c r="N156" s="54"/>
      <c r="O156" s="56"/>
      <c r="P156" s="52"/>
      <c r="Q156" s="57"/>
      <c r="R156" s="58"/>
    </row>
    <row r="157" spans="1:18" ht="12.75" x14ac:dyDescent="0.2">
      <c r="A157" s="51"/>
      <c r="B157" s="52"/>
      <c r="C157" s="53"/>
      <c r="D157" s="54"/>
      <c r="E157" s="55"/>
      <c r="F157" s="52"/>
      <c r="G157" s="52"/>
      <c r="H157" s="55"/>
      <c r="I157" s="54"/>
      <c r="J157" s="55"/>
      <c r="K157" s="52"/>
      <c r="L157" s="52"/>
      <c r="M157" s="53"/>
      <c r="N157" s="54"/>
      <c r="O157" s="56"/>
      <c r="P157" s="52"/>
      <c r="Q157" s="57"/>
      <c r="R157" s="58"/>
    </row>
    <row r="158" spans="1:18" ht="12.75" x14ac:dyDescent="0.2">
      <c r="A158" s="51"/>
      <c r="B158" s="52"/>
      <c r="C158" s="53"/>
      <c r="D158" s="54"/>
      <c r="E158" s="55"/>
      <c r="F158" s="52"/>
      <c r="G158" s="52"/>
      <c r="H158" s="55"/>
      <c r="I158" s="54"/>
      <c r="J158" s="55"/>
      <c r="K158" s="52"/>
      <c r="L158" s="52"/>
      <c r="M158" s="53"/>
      <c r="N158" s="54"/>
      <c r="O158" s="56"/>
      <c r="P158" s="52"/>
      <c r="Q158" s="57"/>
      <c r="R158" s="58"/>
    </row>
    <row r="159" spans="1:18" ht="12.75" x14ac:dyDescent="0.2">
      <c r="A159" s="51"/>
      <c r="B159" s="52"/>
      <c r="C159" s="53"/>
      <c r="D159" s="54"/>
      <c r="E159" s="55"/>
      <c r="F159" s="52"/>
      <c r="G159" s="52"/>
      <c r="H159" s="55"/>
      <c r="I159" s="54"/>
      <c r="J159" s="55"/>
      <c r="K159" s="52"/>
      <c r="L159" s="52"/>
      <c r="M159" s="53"/>
      <c r="N159" s="54"/>
      <c r="O159" s="56"/>
      <c r="P159" s="52"/>
      <c r="Q159" s="57"/>
      <c r="R159" s="58"/>
    </row>
    <row r="160" spans="1:18" ht="12.75" x14ac:dyDescent="0.2">
      <c r="A160" s="51"/>
      <c r="B160" s="52"/>
      <c r="C160" s="53"/>
      <c r="D160" s="54"/>
      <c r="E160" s="55"/>
      <c r="F160" s="52"/>
      <c r="G160" s="52"/>
      <c r="H160" s="55"/>
      <c r="I160" s="54"/>
      <c r="J160" s="55"/>
      <c r="K160" s="52"/>
      <c r="L160" s="52"/>
      <c r="M160" s="53"/>
      <c r="N160" s="54"/>
      <c r="O160" s="56"/>
      <c r="P160" s="52"/>
      <c r="Q160" s="57"/>
      <c r="R160" s="58"/>
    </row>
  </sheetData>
  <mergeCells count="54">
    <mergeCell ref="A11:A14"/>
    <mergeCell ref="B12:B13"/>
    <mergeCell ref="N7:O7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L6:M6"/>
    <mergeCell ref="N6:O6"/>
    <mergeCell ref="P6:R6"/>
    <mergeCell ref="Q11:Q13"/>
    <mergeCell ref="R11:R14"/>
    <mergeCell ref="L8:M8"/>
    <mergeCell ref="N8:O8"/>
    <mergeCell ref="P8:R8"/>
    <mergeCell ref="C12:C13"/>
    <mergeCell ref="D12:D13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</mergeCells>
  <conditionalFormatting sqref="Q3 Q9:Q14 Q16:Q160">
    <cfRule type="cellIs" dxfId="5" priority="1" operator="lessThan">
      <formula>60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9">
    <outlinePr summaryBelow="0" summaryRight="0"/>
  </sheetPr>
  <dimension ref="A1:R152"/>
  <sheetViews>
    <sheetView topLeftCell="A125" workbookViewId="0">
      <selection activeCell="A153" sqref="A153:XFD164"/>
    </sheetView>
  </sheetViews>
  <sheetFormatPr defaultColWidth="14.42578125" defaultRowHeight="15" customHeight="1" x14ac:dyDescent="0.2"/>
  <cols>
    <col min="3" max="3" width="12.140625" customWidth="1"/>
    <col min="4" max="4" width="12.42578125" customWidth="1"/>
    <col min="7" max="7" width="12.7109375" customWidth="1"/>
    <col min="8" max="8" width="11.5703125" customWidth="1"/>
    <col min="9" max="9" width="11.7109375" customWidth="1"/>
    <col min="10" max="10" width="12.7109375" customWidth="1"/>
    <col min="11" max="11" width="12" customWidth="1"/>
    <col min="12" max="12" width="11.7109375" customWidth="1"/>
    <col min="13" max="14" width="13" customWidth="1"/>
    <col min="15" max="15" width="12.42578125" customWidth="1"/>
    <col min="16" max="16" width="11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30" t="s">
        <v>2</v>
      </c>
      <c r="B4" s="132" t="s">
        <v>3</v>
      </c>
      <c r="C4" s="133"/>
      <c r="D4" s="132" t="s">
        <v>4</v>
      </c>
      <c r="E4" s="136"/>
      <c r="F4" s="138" t="str">
        <f>+"Cao trình nghiệm thu [m] ("&amp;TEXT(A16,"dd/mm/yy")&amp;")"</f>
        <v>Cao trình nghiệm thu [m] (24/03/25)</v>
      </c>
      <c r="G4" s="107"/>
      <c r="H4" s="107"/>
      <c r="I4" s="107"/>
      <c r="J4" s="107"/>
      <c r="K4" s="107"/>
      <c r="L4" s="115" t="s">
        <v>5</v>
      </c>
      <c r="M4" s="107"/>
      <c r="N4" s="107"/>
      <c r="O4" s="107"/>
      <c r="P4" s="132" t="s">
        <v>6</v>
      </c>
      <c r="Q4" s="136"/>
      <c r="R4" s="139"/>
    </row>
    <row r="5" spans="1:18" ht="15" customHeight="1" x14ac:dyDescent="0.2">
      <c r="A5" s="131"/>
      <c r="B5" s="134"/>
      <c r="C5" s="135"/>
      <c r="D5" s="134"/>
      <c r="E5" s="137"/>
      <c r="F5" s="6" t="s">
        <v>7</v>
      </c>
      <c r="G5" s="141" t="s">
        <v>8</v>
      </c>
      <c r="H5" s="116"/>
      <c r="I5" s="141" t="s">
        <v>9</v>
      </c>
      <c r="J5" s="116"/>
      <c r="K5" s="6" t="s">
        <v>10</v>
      </c>
      <c r="L5" s="115" t="s">
        <v>11</v>
      </c>
      <c r="M5" s="116"/>
      <c r="N5" s="115" t="s">
        <v>12</v>
      </c>
      <c r="O5" s="107"/>
      <c r="P5" s="134"/>
      <c r="Q5" s="137"/>
      <c r="R5" s="140"/>
    </row>
    <row r="6" spans="1:18" ht="15" customHeight="1" x14ac:dyDescent="0.2">
      <c r="A6" s="151" t="s">
        <v>13</v>
      </c>
      <c r="B6" s="152" t="s">
        <v>14</v>
      </c>
      <c r="C6" s="118"/>
      <c r="D6" s="153"/>
      <c r="E6" s="118"/>
      <c r="F6" s="7"/>
      <c r="G6" s="143"/>
      <c r="H6" s="118"/>
      <c r="I6" s="143"/>
      <c r="J6" s="118"/>
      <c r="K6" s="8"/>
      <c r="L6" s="117"/>
      <c r="M6" s="118"/>
      <c r="N6" s="117"/>
      <c r="O6" s="118"/>
      <c r="P6" s="119" t="s">
        <v>15</v>
      </c>
      <c r="Q6" s="120"/>
      <c r="R6" s="121"/>
    </row>
    <row r="7" spans="1:18" ht="15" customHeight="1" x14ac:dyDescent="0.2">
      <c r="A7" s="149"/>
      <c r="B7" s="145" t="s">
        <v>16</v>
      </c>
      <c r="C7" s="123"/>
      <c r="D7" s="124"/>
      <c r="E7" s="123"/>
      <c r="F7" s="9"/>
      <c r="G7" s="146"/>
      <c r="H7" s="123"/>
      <c r="I7" s="146"/>
      <c r="J7" s="123"/>
      <c r="K7" s="10"/>
      <c r="L7" s="122"/>
      <c r="M7" s="123"/>
      <c r="N7" s="122"/>
      <c r="O7" s="123"/>
      <c r="P7" s="124" t="s">
        <v>116</v>
      </c>
      <c r="Q7" s="125"/>
      <c r="R7" s="126"/>
    </row>
    <row r="8" spans="1:18" ht="15" customHeight="1" x14ac:dyDescent="0.2">
      <c r="A8" s="150"/>
      <c r="B8" s="154" t="s">
        <v>17</v>
      </c>
      <c r="C8" s="100"/>
      <c r="D8" s="155"/>
      <c r="E8" s="100"/>
      <c r="F8" s="11"/>
      <c r="G8" s="99"/>
      <c r="H8" s="100"/>
      <c r="I8" s="99"/>
      <c r="J8" s="100"/>
      <c r="K8" s="12"/>
      <c r="L8" s="102"/>
      <c r="M8" s="100"/>
      <c r="N8" s="102"/>
      <c r="O8" s="100"/>
      <c r="P8" s="103"/>
      <c r="Q8" s="104"/>
      <c r="R8" s="105"/>
    </row>
    <row r="9" spans="1:18" ht="15" customHeight="1" x14ac:dyDescent="0.2">
      <c r="A9" s="1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48" t="s">
        <v>19</v>
      </c>
      <c r="B11" s="106" t="s">
        <v>20</v>
      </c>
      <c r="C11" s="107"/>
      <c r="D11" s="107"/>
      <c r="E11" s="107"/>
      <c r="F11" s="107"/>
      <c r="G11" s="106" t="s">
        <v>21</v>
      </c>
      <c r="H11" s="107"/>
      <c r="I11" s="107"/>
      <c r="J11" s="107"/>
      <c r="K11" s="107"/>
      <c r="L11" s="106" t="s">
        <v>22</v>
      </c>
      <c r="M11" s="107"/>
      <c r="N11" s="107"/>
      <c r="O11" s="107"/>
      <c r="P11" s="107"/>
      <c r="Q11" s="108" t="s">
        <v>117</v>
      </c>
      <c r="R11" s="112" t="s">
        <v>118</v>
      </c>
    </row>
    <row r="12" spans="1:18" ht="15" customHeight="1" x14ac:dyDescent="0.2">
      <c r="A12" s="149"/>
      <c r="B12" s="108" t="s">
        <v>23</v>
      </c>
      <c r="C12" s="108" t="s">
        <v>33</v>
      </c>
      <c r="D12" s="108" t="s">
        <v>24</v>
      </c>
      <c r="E12" s="108" t="s">
        <v>34</v>
      </c>
      <c r="F12" s="108" t="s">
        <v>25</v>
      </c>
      <c r="G12" s="108" t="s">
        <v>23</v>
      </c>
      <c r="H12" s="108" t="s">
        <v>33</v>
      </c>
      <c r="I12" s="108" t="s">
        <v>24</v>
      </c>
      <c r="J12" s="108" t="s">
        <v>34</v>
      </c>
      <c r="K12" s="108" t="s">
        <v>25</v>
      </c>
      <c r="L12" s="108" t="s">
        <v>23</v>
      </c>
      <c r="M12" s="108" t="s">
        <v>33</v>
      </c>
      <c r="N12" s="108" t="s">
        <v>24</v>
      </c>
      <c r="O12" s="108" t="s">
        <v>34</v>
      </c>
      <c r="P12" s="108" t="s">
        <v>25</v>
      </c>
      <c r="Q12" s="111"/>
      <c r="R12" s="113"/>
    </row>
    <row r="13" spans="1:18" ht="15" customHeight="1" x14ac:dyDescent="0.2">
      <c r="A13" s="14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13"/>
    </row>
    <row r="14" spans="1:18" ht="15" customHeight="1" x14ac:dyDescent="0.2">
      <c r="A14" s="150"/>
      <c r="B14" s="14" t="s">
        <v>28</v>
      </c>
      <c r="C14" s="15" t="s">
        <v>26</v>
      </c>
      <c r="D14" s="15" t="s">
        <v>27</v>
      </c>
      <c r="E14" s="15" t="s">
        <v>26</v>
      </c>
      <c r="F14" s="15" t="s">
        <v>27</v>
      </c>
      <c r="G14" s="14" t="s">
        <v>28</v>
      </c>
      <c r="H14" s="15" t="s">
        <v>26</v>
      </c>
      <c r="I14" s="15" t="s">
        <v>27</v>
      </c>
      <c r="J14" s="15" t="s">
        <v>26</v>
      </c>
      <c r="K14" s="15" t="s">
        <v>27</v>
      </c>
      <c r="L14" s="14" t="s">
        <v>28</v>
      </c>
      <c r="M14" s="15" t="s">
        <v>26</v>
      </c>
      <c r="N14" s="15" t="s">
        <v>27</v>
      </c>
      <c r="O14" s="15" t="s">
        <v>26</v>
      </c>
      <c r="P14" s="15" t="s">
        <v>27</v>
      </c>
      <c r="Q14" s="17" t="s">
        <v>29</v>
      </c>
      <c r="R14" s="114"/>
    </row>
    <row r="15" spans="1:18" ht="15" customHeight="1" x14ac:dyDescent="0.2">
      <c r="A15" s="18">
        <v>1</v>
      </c>
      <c r="B15" s="19">
        <f t="shared" ref="B15:R15" si="0">+A15+1</f>
        <v>2</v>
      </c>
      <c r="C15" s="19">
        <f t="shared" si="0"/>
        <v>3</v>
      </c>
      <c r="D15" s="19">
        <f t="shared" si="0"/>
        <v>4</v>
      </c>
      <c r="E15" s="19">
        <f t="shared" si="0"/>
        <v>5</v>
      </c>
      <c r="F15" s="19">
        <f t="shared" si="0"/>
        <v>6</v>
      </c>
      <c r="G15" s="19">
        <f t="shared" si="0"/>
        <v>7</v>
      </c>
      <c r="H15" s="19">
        <f t="shared" si="0"/>
        <v>8</v>
      </c>
      <c r="I15" s="19">
        <f t="shared" si="0"/>
        <v>9</v>
      </c>
      <c r="J15" s="19">
        <f t="shared" si="0"/>
        <v>10</v>
      </c>
      <c r="K15" s="19">
        <f t="shared" si="0"/>
        <v>11</v>
      </c>
      <c r="L15" s="19">
        <f t="shared" si="0"/>
        <v>12</v>
      </c>
      <c r="M15" s="19">
        <f t="shared" si="0"/>
        <v>13</v>
      </c>
      <c r="N15" s="19">
        <f t="shared" si="0"/>
        <v>14</v>
      </c>
      <c r="O15" s="19">
        <f t="shared" si="0"/>
        <v>15</v>
      </c>
      <c r="P15" s="19">
        <f t="shared" si="0"/>
        <v>16</v>
      </c>
      <c r="Q15" s="19">
        <f t="shared" si="0"/>
        <v>17</v>
      </c>
      <c r="R15" s="19">
        <f t="shared" si="0"/>
        <v>18</v>
      </c>
    </row>
    <row r="16" spans="1:18" ht="15" customHeight="1" x14ac:dyDescent="0.2">
      <c r="A16" s="98">
        <v>45740</v>
      </c>
      <c r="B16" s="22">
        <v>1</v>
      </c>
      <c r="C16" s="23">
        <v>1662</v>
      </c>
      <c r="D16" s="24">
        <v>-780</v>
      </c>
      <c r="E16" s="25">
        <f t="shared" ref="E16:E17" si="1">C16-D16</f>
        <v>2442</v>
      </c>
      <c r="F16" s="22">
        <v>0</v>
      </c>
      <c r="G16" s="22">
        <v>1</v>
      </c>
      <c r="H16" s="25">
        <v>1687</v>
      </c>
      <c r="I16" s="24">
        <v>-1142</v>
      </c>
      <c r="J16" s="28">
        <f t="shared" ref="J16:J17" si="2">H16-I16</f>
        <v>2829</v>
      </c>
      <c r="K16" s="22">
        <v>0</v>
      </c>
      <c r="L16" s="22">
        <v>1</v>
      </c>
      <c r="M16" s="23">
        <v>1612</v>
      </c>
      <c r="N16" s="24">
        <v>-999</v>
      </c>
      <c r="O16" s="28">
        <f t="shared" ref="O16:O17" si="3">M16-N16</f>
        <v>2611</v>
      </c>
      <c r="P16" s="22">
        <v>0</v>
      </c>
      <c r="Q16" s="29"/>
      <c r="R16" s="30"/>
    </row>
    <row r="17" spans="1:18" ht="15" customHeight="1" x14ac:dyDescent="0.2">
      <c r="A17" s="98">
        <v>45741</v>
      </c>
      <c r="B17" s="22">
        <f t="shared" ref="B17:B143" si="4">B16+1</f>
        <v>2</v>
      </c>
      <c r="C17" s="25">
        <f t="shared" ref="C17:C142" si="5">$C$16-F17</f>
        <v>1662</v>
      </c>
      <c r="D17" s="24">
        <v>-780</v>
      </c>
      <c r="E17" s="25">
        <f t="shared" si="1"/>
        <v>2442</v>
      </c>
      <c r="F17" s="26">
        <f t="shared" ref="F17:F143" si="6">$D$16-D17</f>
        <v>0</v>
      </c>
      <c r="G17" s="22">
        <f t="shared" ref="G17:G143" si="7">G16+1</f>
        <v>2</v>
      </c>
      <c r="H17" s="25">
        <f t="shared" ref="H17:H142" si="8">$H$16-K17</f>
        <v>1687</v>
      </c>
      <c r="I17" s="24">
        <v>-1142</v>
      </c>
      <c r="J17" s="28">
        <f t="shared" si="2"/>
        <v>2829</v>
      </c>
      <c r="K17" s="22">
        <f t="shared" ref="K17:K143" si="9">$I$16-I17</f>
        <v>0</v>
      </c>
      <c r="L17" s="22">
        <f t="shared" ref="L17:L143" si="10">L16+1</f>
        <v>2</v>
      </c>
      <c r="M17" s="25">
        <f t="shared" ref="M17:M142" si="11">$M$16-P17</f>
        <v>1612</v>
      </c>
      <c r="N17" s="24">
        <v>-999</v>
      </c>
      <c r="O17" s="28">
        <f t="shared" si="3"/>
        <v>2611</v>
      </c>
      <c r="P17" s="22">
        <f t="shared" ref="P17:P143" si="12">$N$16-N17</f>
        <v>0</v>
      </c>
      <c r="Q17" s="29"/>
      <c r="R17" s="30"/>
    </row>
    <row r="18" spans="1:18" ht="15" customHeight="1" x14ac:dyDescent="0.2">
      <c r="A18" s="98">
        <v>45742</v>
      </c>
      <c r="B18" s="22">
        <f t="shared" si="4"/>
        <v>3</v>
      </c>
      <c r="C18" s="25">
        <f t="shared" si="5"/>
        <v>1607</v>
      </c>
      <c r="D18" s="24">
        <v>-835</v>
      </c>
      <c r="E18" s="25">
        <v>2452</v>
      </c>
      <c r="F18" s="26">
        <f t="shared" si="6"/>
        <v>55</v>
      </c>
      <c r="G18" s="22">
        <f t="shared" si="7"/>
        <v>3</v>
      </c>
      <c r="H18" s="25">
        <f t="shared" si="8"/>
        <v>1639</v>
      </c>
      <c r="I18" s="24">
        <v>-1190</v>
      </c>
      <c r="J18" s="25">
        <v>2829</v>
      </c>
      <c r="K18" s="22">
        <f t="shared" si="9"/>
        <v>48</v>
      </c>
      <c r="L18" s="22">
        <f t="shared" si="10"/>
        <v>3</v>
      </c>
      <c r="M18" s="25">
        <f t="shared" si="11"/>
        <v>1588</v>
      </c>
      <c r="N18" s="24">
        <v>-1023</v>
      </c>
      <c r="O18" s="25">
        <v>2611</v>
      </c>
      <c r="P18" s="22">
        <f t="shared" si="12"/>
        <v>24</v>
      </c>
      <c r="Q18" s="29"/>
      <c r="R18" s="30"/>
    </row>
    <row r="19" spans="1:18" ht="15" customHeight="1" x14ac:dyDescent="0.2">
      <c r="A19" s="98">
        <v>45743</v>
      </c>
      <c r="B19" s="22">
        <f t="shared" si="4"/>
        <v>4</v>
      </c>
      <c r="C19" s="25">
        <f t="shared" si="5"/>
        <v>1580</v>
      </c>
      <c r="D19" s="24">
        <v>-862</v>
      </c>
      <c r="E19" s="25">
        <v>2452</v>
      </c>
      <c r="F19" s="26">
        <f t="shared" si="6"/>
        <v>82</v>
      </c>
      <c r="G19" s="22">
        <f t="shared" si="7"/>
        <v>4</v>
      </c>
      <c r="H19" s="25">
        <f t="shared" si="8"/>
        <v>1601</v>
      </c>
      <c r="I19" s="24">
        <v>-1228</v>
      </c>
      <c r="J19" s="25">
        <v>2829</v>
      </c>
      <c r="K19" s="22">
        <f t="shared" si="9"/>
        <v>86</v>
      </c>
      <c r="L19" s="22">
        <f t="shared" si="10"/>
        <v>4</v>
      </c>
      <c r="M19" s="25">
        <f t="shared" si="11"/>
        <v>1564</v>
      </c>
      <c r="N19" s="24">
        <v>-1047</v>
      </c>
      <c r="O19" s="25">
        <v>2611</v>
      </c>
      <c r="P19" s="22">
        <f t="shared" si="12"/>
        <v>48</v>
      </c>
      <c r="Q19" s="29"/>
      <c r="R19" s="30"/>
    </row>
    <row r="20" spans="1:18" ht="15" customHeight="1" x14ac:dyDescent="0.2">
      <c r="A20" s="98">
        <v>45744</v>
      </c>
      <c r="B20" s="22">
        <f t="shared" si="4"/>
        <v>5</v>
      </c>
      <c r="C20" s="25">
        <f t="shared" si="5"/>
        <v>1554</v>
      </c>
      <c r="D20" s="24">
        <v>-888</v>
      </c>
      <c r="E20" s="25">
        <v>2452</v>
      </c>
      <c r="F20" s="26">
        <f t="shared" si="6"/>
        <v>108</v>
      </c>
      <c r="G20" s="22">
        <f t="shared" si="7"/>
        <v>5</v>
      </c>
      <c r="H20" s="25">
        <f t="shared" si="8"/>
        <v>1571</v>
      </c>
      <c r="I20" s="24">
        <v>-1258</v>
      </c>
      <c r="J20" s="25">
        <v>2829</v>
      </c>
      <c r="K20" s="22">
        <f t="shared" si="9"/>
        <v>116</v>
      </c>
      <c r="L20" s="22">
        <f t="shared" si="10"/>
        <v>5</v>
      </c>
      <c r="M20" s="25">
        <f t="shared" si="11"/>
        <v>1541</v>
      </c>
      <c r="N20" s="24">
        <v>-1070</v>
      </c>
      <c r="O20" s="25">
        <v>2611</v>
      </c>
      <c r="P20" s="22">
        <f t="shared" si="12"/>
        <v>71</v>
      </c>
      <c r="Q20" s="29"/>
      <c r="R20" s="30"/>
    </row>
    <row r="21" spans="1:18" ht="15" customHeight="1" x14ac:dyDescent="0.2">
      <c r="A21" s="98">
        <v>45745</v>
      </c>
      <c r="B21" s="22">
        <f t="shared" si="4"/>
        <v>6</v>
      </c>
      <c r="C21" s="25">
        <f t="shared" si="5"/>
        <v>1524</v>
      </c>
      <c r="D21" s="24">
        <v>-918</v>
      </c>
      <c r="E21" s="25">
        <v>2452</v>
      </c>
      <c r="F21" s="26">
        <f t="shared" si="6"/>
        <v>138</v>
      </c>
      <c r="G21" s="22">
        <f t="shared" si="7"/>
        <v>6</v>
      </c>
      <c r="H21" s="25">
        <f t="shared" si="8"/>
        <v>1551</v>
      </c>
      <c r="I21" s="24">
        <v>-1278</v>
      </c>
      <c r="J21" s="25">
        <v>2829</v>
      </c>
      <c r="K21" s="22">
        <f t="shared" si="9"/>
        <v>136</v>
      </c>
      <c r="L21" s="22">
        <f t="shared" si="10"/>
        <v>6</v>
      </c>
      <c r="M21" s="25">
        <f t="shared" si="11"/>
        <v>1526</v>
      </c>
      <c r="N21" s="24">
        <v>-1085</v>
      </c>
      <c r="O21" s="25">
        <v>2611</v>
      </c>
      <c r="P21" s="22">
        <f t="shared" si="12"/>
        <v>86</v>
      </c>
      <c r="Q21" s="29"/>
      <c r="R21" s="30"/>
    </row>
    <row r="22" spans="1:18" ht="15" customHeight="1" x14ac:dyDescent="0.2">
      <c r="A22" s="98">
        <v>45746</v>
      </c>
      <c r="B22" s="22">
        <f t="shared" si="4"/>
        <v>7</v>
      </c>
      <c r="C22" s="25">
        <f t="shared" si="5"/>
        <v>1494</v>
      </c>
      <c r="D22" s="24">
        <v>-948</v>
      </c>
      <c r="E22" s="25">
        <v>2452</v>
      </c>
      <c r="F22" s="26">
        <f t="shared" si="6"/>
        <v>168</v>
      </c>
      <c r="G22" s="22">
        <f t="shared" si="7"/>
        <v>7</v>
      </c>
      <c r="H22" s="25">
        <f t="shared" si="8"/>
        <v>1531</v>
      </c>
      <c r="I22" s="24">
        <v>-1298</v>
      </c>
      <c r="J22" s="25">
        <v>2829</v>
      </c>
      <c r="K22" s="22">
        <f t="shared" si="9"/>
        <v>156</v>
      </c>
      <c r="L22" s="22">
        <f t="shared" si="10"/>
        <v>7</v>
      </c>
      <c r="M22" s="25">
        <f t="shared" si="11"/>
        <v>1511</v>
      </c>
      <c r="N22" s="24">
        <v>-1100</v>
      </c>
      <c r="O22" s="25">
        <v>2611</v>
      </c>
      <c r="P22" s="22">
        <f t="shared" si="12"/>
        <v>101</v>
      </c>
      <c r="Q22" s="29"/>
      <c r="R22" s="30"/>
    </row>
    <row r="23" spans="1:18" ht="15" customHeight="1" x14ac:dyDescent="0.2">
      <c r="A23" s="98">
        <v>45747</v>
      </c>
      <c r="B23" s="22">
        <f t="shared" si="4"/>
        <v>8</v>
      </c>
      <c r="C23" s="25">
        <f t="shared" si="5"/>
        <v>1462</v>
      </c>
      <c r="D23" s="24">
        <v>-980</v>
      </c>
      <c r="E23" s="25">
        <v>2452</v>
      </c>
      <c r="F23" s="26">
        <f t="shared" si="6"/>
        <v>200</v>
      </c>
      <c r="G23" s="22">
        <f t="shared" si="7"/>
        <v>8</v>
      </c>
      <c r="H23" s="25">
        <f t="shared" si="8"/>
        <v>1509</v>
      </c>
      <c r="I23" s="24">
        <v>-1320</v>
      </c>
      <c r="J23" s="25">
        <v>2829</v>
      </c>
      <c r="K23" s="22">
        <f t="shared" si="9"/>
        <v>178</v>
      </c>
      <c r="L23" s="22">
        <f t="shared" si="10"/>
        <v>8</v>
      </c>
      <c r="M23" s="25">
        <f t="shared" si="11"/>
        <v>1491</v>
      </c>
      <c r="N23" s="24">
        <v>-1120</v>
      </c>
      <c r="O23" s="25">
        <v>2611</v>
      </c>
      <c r="P23" s="22">
        <f t="shared" si="12"/>
        <v>121</v>
      </c>
      <c r="Q23" s="29"/>
      <c r="R23" s="30"/>
    </row>
    <row r="24" spans="1:18" ht="15" customHeight="1" x14ac:dyDescent="0.2">
      <c r="A24" s="98">
        <v>45748</v>
      </c>
      <c r="B24" s="22">
        <f t="shared" si="4"/>
        <v>9</v>
      </c>
      <c r="C24" s="25">
        <f t="shared" si="5"/>
        <v>1457</v>
      </c>
      <c r="D24" s="24">
        <v>-985</v>
      </c>
      <c r="E24" s="25">
        <v>2452</v>
      </c>
      <c r="F24" s="26">
        <f t="shared" si="6"/>
        <v>205</v>
      </c>
      <c r="G24" s="22">
        <f t="shared" si="7"/>
        <v>9</v>
      </c>
      <c r="H24" s="25">
        <f t="shared" si="8"/>
        <v>1479</v>
      </c>
      <c r="I24" s="24">
        <v>-1350</v>
      </c>
      <c r="J24" s="25">
        <v>2829</v>
      </c>
      <c r="K24" s="22">
        <f t="shared" si="9"/>
        <v>208</v>
      </c>
      <c r="L24" s="22">
        <f t="shared" si="10"/>
        <v>9</v>
      </c>
      <c r="M24" s="25">
        <f t="shared" si="11"/>
        <v>1479</v>
      </c>
      <c r="N24" s="24">
        <v>-1132</v>
      </c>
      <c r="O24" s="25">
        <v>2611</v>
      </c>
      <c r="P24" s="22">
        <f t="shared" si="12"/>
        <v>133</v>
      </c>
      <c r="Q24" s="29"/>
      <c r="R24" s="30"/>
    </row>
    <row r="25" spans="1:18" ht="15" customHeight="1" x14ac:dyDescent="0.2">
      <c r="A25" s="98">
        <v>45749</v>
      </c>
      <c r="B25" s="22">
        <f t="shared" si="4"/>
        <v>10</v>
      </c>
      <c r="C25" s="25">
        <f t="shared" si="5"/>
        <v>1452</v>
      </c>
      <c r="D25" s="24">
        <v>-990</v>
      </c>
      <c r="E25" s="25">
        <v>2452</v>
      </c>
      <c r="F25" s="26">
        <f t="shared" si="6"/>
        <v>210</v>
      </c>
      <c r="G25" s="22">
        <f t="shared" si="7"/>
        <v>10</v>
      </c>
      <c r="H25" s="25">
        <f t="shared" si="8"/>
        <v>1459</v>
      </c>
      <c r="I25" s="24">
        <v>-1370</v>
      </c>
      <c r="J25" s="25">
        <v>2829</v>
      </c>
      <c r="K25" s="22">
        <f t="shared" si="9"/>
        <v>228</v>
      </c>
      <c r="L25" s="22">
        <f t="shared" si="10"/>
        <v>10</v>
      </c>
      <c r="M25" s="25">
        <f t="shared" si="11"/>
        <v>1468</v>
      </c>
      <c r="N25" s="24">
        <v>-1143</v>
      </c>
      <c r="O25" s="25">
        <v>2611</v>
      </c>
      <c r="P25" s="22">
        <f t="shared" si="12"/>
        <v>144</v>
      </c>
      <c r="Q25" s="29"/>
      <c r="R25" s="30"/>
    </row>
    <row r="26" spans="1:18" ht="15" customHeight="1" x14ac:dyDescent="0.2">
      <c r="A26" s="98">
        <v>45750</v>
      </c>
      <c r="B26" s="22">
        <f t="shared" si="4"/>
        <v>11</v>
      </c>
      <c r="C26" s="25">
        <f t="shared" si="5"/>
        <v>1443</v>
      </c>
      <c r="D26" s="24">
        <v>-999</v>
      </c>
      <c r="E26" s="25">
        <v>2452</v>
      </c>
      <c r="F26" s="26">
        <f t="shared" si="6"/>
        <v>219</v>
      </c>
      <c r="G26" s="22">
        <f t="shared" si="7"/>
        <v>11</v>
      </c>
      <c r="H26" s="25">
        <f t="shared" si="8"/>
        <v>1444</v>
      </c>
      <c r="I26" s="24">
        <v>-1385</v>
      </c>
      <c r="J26" s="25">
        <v>2829</v>
      </c>
      <c r="K26" s="22">
        <f t="shared" si="9"/>
        <v>243</v>
      </c>
      <c r="L26" s="22">
        <f t="shared" si="10"/>
        <v>11</v>
      </c>
      <c r="M26" s="25">
        <f t="shared" si="11"/>
        <v>1451</v>
      </c>
      <c r="N26" s="24">
        <v>-1160</v>
      </c>
      <c r="O26" s="25">
        <v>2611</v>
      </c>
      <c r="P26" s="22">
        <f t="shared" si="12"/>
        <v>161</v>
      </c>
      <c r="Q26" s="29"/>
      <c r="R26" s="30"/>
    </row>
    <row r="27" spans="1:18" ht="15" customHeight="1" x14ac:dyDescent="0.2">
      <c r="A27" s="98">
        <v>45751</v>
      </c>
      <c r="B27" s="22">
        <f t="shared" si="4"/>
        <v>12</v>
      </c>
      <c r="C27" s="25">
        <f t="shared" si="5"/>
        <v>1435</v>
      </c>
      <c r="D27" s="24">
        <v>-1007</v>
      </c>
      <c r="E27" s="25">
        <v>2452</v>
      </c>
      <c r="F27" s="26">
        <f t="shared" si="6"/>
        <v>227</v>
      </c>
      <c r="G27" s="22">
        <f t="shared" si="7"/>
        <v>12</v>
      </c>
      <c r="H27" s="25">
        <f t="shared" si="8"/>
        <v>1427</v>
      </c>
      <c r="I27" s="24">
        <v>-1402</v>
      </c>
      <c r="J27" s="25">
        <v>2829</v>
      </c>
      <c r="K27" s="22">
        <f t="shared" si="9"/>
        <v>260</v>
      </c>
      <c r="L27" s="22">
        <f t="shared" si="10"/>
        <v>12</v>
      </c>
      <c r="M27" s="25">
        <f t="shared" si="11"/>
        <v>1438</v>
      </c>
      <c r="N27" s="24">
        <v>-1173</v>
      </c>
      <c r="O27" s="25">
        <v>2611</v>
      </c>
      <c r="P27" s="22">
        <f t="shared" si="12"/>
        <v>174</v>
      </c>
      <c r="Q27" s="29"/>
      <c r="R27" s="30"/>
    </row>
    <row r="28" spans="1:18" ht="15" customHeight="1" x14ac:dyDescent="0.2">
      <c r="A28" s="98">
        <v>45752</v>
      </c>
      <c r="B28" s="22">
        <f t="shared" si="4"/>
        <v>13</v>
      </c>
      <c r="C28" s="25">
        <f t="shared" si="5"/>
        <v>1425</v>
      </c>
      <c r="D28" s="24">
        <v>-1017</v>
      </c>
      <c r="E28" s="25">
        <v>2452</v>
      </c>
      <c r="F28" s="26">
        <f t="shared" si="6"/>
        <v>237</v>
      </c>
      <c r="G28" s="22">
        <f t="shared" si="7"/>
        <v>13</v>
      </c>
      <c r="H28" s="25">
        <f t="shared" si="8"/>
        <v>1415</v>
      </c>
      <c r="I28" s="24">
        <v>-1414</v>
      </c>
      <c r="J28" s="25">
        <v>2829</v>
      </c>
      <c r="K28" s="22">
        <f t="shared" si="9"/>
        <v>272</v>
      </c>
      <c r="L28" s="22">
        <f t="shared" si="10"/>
        <v>13</v>
      </c>
      <c r="M28" s="25">
        <f t="shared" si="11"/>
        <v>1426</v>
      </c>
      <c r="N28" s="24">
        <v>-1185</v>
      </c>
      <c r="O28" s="25">
        <v>2611</v>
      </c>
      <c r="P28" s="22">
        <f t="shared" si="12"/>
        <v>186</v>
      </c>
      <c r="Q28" s="29"/>
      <c r="R28" s="30"/>
    </row>
    <row r="29" spans="1:18" ht="15" customHeight="1" x14ac:dyDescent="0.2">
      <c r="A29" s="98">
        <v>45753</v>
      </c>
      <c r="B29" s="22">
        <f t="shared" si="4"/>
        <v>14</v>
      </c>
      <c r="C29" s="25">
        <f t="shared" si="5"/>
        <v>1416</v>
      </c>
      <c r="D29" s="24">
        <v>-1026</v>
      </c>
      <c r="E29" s="25">
        <v>2452</v>
      </c>
      <c r="F29" s="26">
        <f t="shared" si="6"/>
        <v>246</v>
      </c>
      <c r="G29" s="22">
        <f t="shared" si="7"/>
        <v>14</v>
      </c>
      <c r="H29" s="25">
        <f t="shared" si="8"/>
        <v>1404</v>
      </c>
      <c r="I29" s="24">
        <v>-1425</v>
      </c>
      <c r="J29" s="25">
        <v>2829</v>
      </c>
      <c r="K29" s="22">
        <f t="shared" si="9"/>
        <v>283</v>
      </c>
      <c r="L29" s="22">
        <f t="shared" si="10"/>
        <v>14</v>
      </c>
      <c r="M29" s="25">
        <f t="shared" si="11"/>
        <v>1413</v>
      </c>
      <c r="N29" s="24">
        <v>-1198</v>
      </c>
      <c r="O29" s="25">
        <v>2611</v>
      </c>
      <c r="P29" s="22">
        <f t="shared" si="12"/>
        <v>199</v>
      </c>
      <c r="Q29" s="29"/>
      <c r="R29" s="30"/>
    </row>
    <row r="30" spans="1:18" ht="15" customHeight="1" x14ac:dyDescent="0.2">
      <c r="A30" s="98">
        <v>45754</v>
      </c>
      <c r="B30" s="22">
        <f t="shared" si="4"/>
        <v>15</v>
      </c>
      <c r="C30" s="25">
        <f t="shared" si="5"/>
        <v>1407</v>
      </c>
      <c r="D30" s="24">
        <v>-1035</v>
      </c>
      <c r="E30" s="25">
        <v>2452</v>
      </c>
      <c r="F30" s="26">
        <f t="shared" si="6"/>
        <v>255</v>
      </c>
      <c r="G30" s="22">
        <f t="shared" si="7"/>
        <v>15</v>
      </c>
      <c r="H30" s="25">
        <f t="shared" si="8"/>
        <v>1395</v>
      </c>
      <c r="I30" s="24">
        <v>-1434</v>
      </c>
      <c r="J30" s="25">
        <v>2829</v>
      </c>
      <c r="K30" s="22">
        <f t="shared" si="9"/>
        <v>292</v>
      </c>
      <c r="L30" s="22">
        <f t="shared" si="10"/>
        <v>15</v>
      </c>
      <c r="M30" s="25">
        <f t="shared" si="11"/>
        <v>1402</v>
      </c>
      <c r="N30" s="24">
        <v>-1209</v>
      </c>
      <c r="O30" s="25">
        <v>2611</v>
      </c>
      <c r="P30" s="22">
        <f t="shared" si="12"/>
        <v>210</v>
      </c>
      <c r="Q30" s="36"/>
      <c r="R30" s="30"/>
    </row>
    <row r="31" spans="1:18" ht="15" customHeight="1" x14ac:dyDescent="0.2">
      <c r="A31" s="98">
        <v>45755</v>
      </c>
      <c r="B31" s="22">
        <f t="shared" si="4"/>
        <v>16</v>
      </c>
      <c r="C31" s="25">
        <f t="shared" si="5"/>
        <v>1392</v>
      </c>
      <c r="D31" s="24">
        <v>-1050</v>
      </c>
      <c r="E31" s="25">
        <v>2452</v>
      </c>
      <c r="F31" s="26">
        <f t="shared" si="6"/>
        <v>270</v>
      </c>
      <c r="G31" s="22">
        <f t="shared" si="7"/>
        <v>16</v>
      </c>
      <c r="H31" s="25">
        <f t="shared" si="8"/>
        <v>1375</v>
      </c>
      <c r="I31" s="24">
        <v>-1454</v>
      </c>
      <c r="J31" s="25">
        <v>2829</v>
      </c>
      <c r="K31" s="22">
        <f t="shared" si="9"/>
        <v>312</v>
      </c>
      <c r="L31" s="22">
        <f t="shared" si="10"/>
        <v>16</v>
      </c>
      <c r="M31" s="25">
        <f t="shared" si="11"/>
        <v>1396</v>
      </c>
      <c r="N31" s="24">
        <v>-1215</v>
      </c>
      <c r="O31" s="25">
        <v>2611</v>
      </c>
      <c r="P31" s="22">
        <f t="shared" si="12"/>
        <v>216</v>
      </c>
      <c r="Q31" s="36"/>
      <c r="R31" s="30"/>
    </row>
    <row r="32" spans="1:18" ht="15" customHeight="1" x14ac:dyDescent="0.2">
      <c r="A32" s="98">
        <v>45756</v>
      </c>
      <c r="B32" s="22">
        <f t="shared" si="4"/>
        <v>17</v>
      </c>
      <c r="C32" s="25">
        <f t="shared" si="5"/>
        <v>1377</v>
      </c>
      <c r="D32" s="24">
        <v>-1065</v>
      </c>
      <c r="E32" s="25">
        <v>2452</v>
      </c>
      <c r="F32" s="26">
        <f t="shared" si="6"/>
        <v>285</v>
      </c>
      <c r="G32" s="22">
        <f t="shared" si="7"/>
        <v>17</v>
      </c>
      <c r="H32" s="25">
        <f t="shared" si="8"/>
        <v>1354</v>
      </c>
      <c r="I32" s="24">
        <v>-1475</v>
      </c>
      <c r="J32" s="25">
        <v>2829</v>
      </c>
      <c r="K32" s="22">
        <f t="shared" si="9"/>
        <v>333</v>
      </c>
      <c r="L32" s="22">
        <f t="shared" si="10"/>
        <v>17</v>
      </c>
      <c r="M32" s="25">
        <f t="shared" si="11"/>
        <v>1390</v>
      </c>
      <c r="N32" s="24">
        <v>-1221</v>
      </c>
      <c r="O32" s="25">
        <v>2611</v>
      </c>
      <c r="P32" s="22">
        <f t="shared" si="12"/>
        <v>222</v>
      </c>
      <c r="Q32" s="36"/>
      <c r="R32" s="30"/>
    </row>
    <row r="33" spans="1:18" ht="15" customHeight="1" x14ac:dyDescent="0.2">
      <c r="A33" s="98">
        <v>45757</v>
      </c>
      <c r="B33" s="22">
        <f t="shared" si="4"/>
        <v>18</v>
      </c>
      <c r="C33" s="25">
        <f t="shared" si="5"/>
        <v>1365</v>
      </c>
      <c r="D33" s="24">
        <v>-1077</v>
      </c>
      <c r="E33" s="25">
        <v>2452</v>
      </c>
      <c r="F33" s="26">
        <f t="shared" si="6"/>
        <v>297</v>
      </c>
      <c r="G33" s="22">
        <f t="shared" si="7"/>
        <v>18</v>
      </c>
      <c r="H33" s="25">
        <f t="shared" si="8"/>
        <v>1339</v>
      </c>
      <c r="I33" s="24">
        <v>-1490</v>
      </c>
      <c r="J33" s="25">
        <v>2829</v>
      </c>
      <c r="K33" s="22">
        <f t="shared" si="9"/>
        <v>348</v>
      </c>
      <c r="L33" s="22">
        <f t="shared" si="10"/>
        <v>18</v>
      </c>
      <c r="M33" s="25">
        <f t="shared" si="11"/>
        <v>1384</v>
      </c>
      <c r="N33" s="24">
        <v>-1227</v>
      </c>
      <c r="O33" s="25">
        <v>2611</v>
      </c>
      <c r="P33" s="22">
        <f t="shared" si="12"/>
        <v>228</v>
      </c>
      <c r="Q33" s="36"/>
      <c r="R33" s="30"/>
    </row>
    <row r="34" spans="1:18" ht="15" customHeight="1" x14ac:dyDescent="0.2">
      <c r="A34" s="98">
        <v>45758</v>
      </c>
      <c r="B34" s="22">
        <f t="shared" si="4"/>
        <v>19</v>
      </c>
      <c r="C34" s="25">
        <f t="shared" si="5"/>
        <v>1352</v>
      </c>
      <c r="D34" s="24">
        <v>-1090</v>
      </c>
      <c r="E34" s="25">
        <v>2452</v>
      </c>
      <c r="F34" s="26">
        <f t="shared" si="6"/>
        <v>310</v>
      </c>
      <c r="G34" s="22">
        <f t="shared" si="7"/>
        <v>19</v>
      </c>
      <c r="H34" s="25">
        <f t="shared" si="8"/>
        <v>1325</v>
      </c>
      <c r="I34" s="24">
        <v>-1504</v>
      </c>
      <c r="J34" s="25">
        <v>2829</v>
      </c>
      <c r="K34" s="22">
        <f t="shared" si="9"/>
        <v>362</v>
      </c>
      <c r="L34" s="22">
        <f t="shared" si="10"/>
        <v>19</v>
      </c>
      <c r="M34" s="25">
        <f t="shared" si="11"/>
        <v>1376</v>
      </c>
      <c r="N34" s="24">
        <v>-1235</v>
      </c>
      <c r="O34" s="25">
        <v>2611</v>
      </c>
      <c r="P34" s="22">
        <f t="shared" si="12"/>
        <v>236</v>
      </c>
      <c r="Q34" s="36"/>
      <c r="R34" s="30"/>
    </row>
    <row r="35" spans="1:18" ht="15" customHeight="1" x14ac:dyDescent="0.2">
      <c r="A35" s="98">
        <v>45759</v>
      </c>
      <c r="B35" s="22">
        <f t="shared" si="4"/>
        <v>20</v>
      </c>
      <c r="C35" s="25">
        <f t="shared" si="5"/>
        <v>1337</v>
      </c>
      <c r="D35" s="24">
        <v>-1105</v>
      </c>
      <c r="E35" s="25">
        <v>2452</v>
      </c>
      <c r="F35" s="26">
        <f t="shared" si="6"/>
        <v>325</v>
      </c>
      <c r="G35" s="22">
        <f t="shared" si="7"/>
        <v>20</v>
      </c>
      <c r="H35" s="25">
        <f t="shared" si="8"/>
        <v>1315</v>
      </c>
      <c r="I35" s="24">
        <v>-1514</v>
      </c>
      <c r="J35" s="25">
        <v>2829</v>
      </c>
      <c r="K35" s="22">
        <f t="shared" si="9"/>
        <v>372</v>
      </c>
      <c r="L35" s="22">
        <f t="shared" si="10"/>
        <v>20</v>
      </c>
      <c r="M35" s="25">
        <f t="shared" si="11"/>
        <v>1370</v>
      </c>
      <c r="N35" s="24">
        <v>-1241</v>
      </c>
      <c r="O35" s="25">
        <v>2611</v>
      </c>
      <c r="P35" s="22">
        <f t="shared" si="12"/>
        <v>242</v>
      </c>
      <c r="Q35" s="36"/>
      <c r="R35" s="30"/>
    </row>
    <row r="36" spans="1:18" ht="15" customHeight="1" x14ac:dyDescent="0.2">
      <c r="A36" s="98">
        <v>45760</v>
      </c>
      <c r="B36" s="22">
        <f t="shared" si="4"/>
        <v>21</v>
      </c>
      <c r="C36" s="25">
        <f t="shared" si="5"/>
        <v>1330</v>
      </c>
      <c r="D36" s="24">
        <v>-1112</v>
      </c>
      <c r="E36" s="25">
        <v>2452</v>
      </c>
      <c r="F36" s="26">
        <f t="shared" si="6"/>
        <v>332</v>
      </c>
      <c r="G36" s="22">
        <f t="shared" si="7"/>
        <v>21</v>
      </c>
      <c r="H36" s="25">
        <f t="shared" si="8"/>
        <v>1300</v>
      </c>
      <c r="I36" s="24">
        <v>-1529</v>
      </c>
      <c r="J36" s="25">
        <v>2829</v>
      </c>
      <c r="K36" s="22">
        <f t="shared" si="9"/>
        <v>387</v>
      </c>
      <c r="L36" s="22">
        <f t="shared" si="10"/>
        <v>21</v>
      </c>
      <c r="M36" s="25">
        <f t="shared" si="11"/>
        <v>1361</v>
      </c>
      <c r="N36" s="24">
        <v>-1250</v>
      </c>
      <c r="O36" s="25">
        <v>2611</v>
      </c>
      <c r="P36" s="22">
        <f t="shared" si="12"/>
        <v>251</v>
      </c>
      <c r="Q36" s="36"/>
      <c r="R36" s="30"/>
    </row>
    <row r="37" spans="1:18" ht="15" customHeight="1" x14ac:dyDescent="0.2">
      <c r="A37" s="98">
        <v>45761</v>
      </c>
      <c r="B37" s="22">
        <f t="shared" si="4"/>
        <v>22</v>
      </c>
      <c r="C37" s="25">
        <f t="shared" si="5"/>
        <v>1317</v>
      </c>
      <c r="D37" s="24">
        <v>-1125</v>
      </c>
      <c r="E37" s="25">
        <v>2452</v>
      </c>
      <c r="F37" s="26">
        <f t="shared" si="6"/>
        <v>345</v>
      </c>
      <c r="G37" s="22">
        <f t="shared" si="7"/>
        <v>22</v>
      </c>
      <c r="H37" s="25">
        <f t="shared" si="8"/>
        <v>1289</v>
      </c>
      <c r="I37" s="24">
        <v>-1540</v>
      </c>
      <c r="J37" s="25">
        <v>2829</v>
      </c>
      <c r="K37" s="22">
        <f t="shared" si="9"/>
        <v>398</v>
      </c>
      <c r="L37" s="22">
        <f t="shared" si="10"/>
        <v>22</v>
      </c>
      <c r="M37" s="25">
        <f t="shared" si="11"/>
        <v>1346</v>
      </c>
      <c r="N37" s="24">
        <v>-1265</v>
      </c>
      <c r="O37" s="25">
        <v>2611</v>
      </c>
      <c r="P37" s="22">
        <f t="shared" si="12"/>
        <v>266</v>
      </c>
      <c r="Q37" s="36"/>
      <c r="R37" s="30"/>
    </row>
    <row r="38" spans="1:18" ht="12.75" x14ac:dyDescent="0.2">
      <c r="A38" s="98">
        <v>45762</v>
      </c>
      <c r="B38" s="22">
        <f t="shared" si="4"/>
        <v>23</v>
      </c>
      <c r="C38" s="25">
        <f t="shared" si="5"/>
        <v>1302</v>
      </c>
      <c r="D38" s="24">
        <v>-1140</v>
      </c>
      <c r="E38" s="25">
        <v>2452</v>
      </c>
      <c r="F38" s="26">
        <f t="shared" si="6"/>
        <v>360</v>
      </c>
      <c r="G38" s="22">
        <f t="shared" si="7"/>
        <v>23</v>
      </c>
      <c r="H38" s="25">
        <f t="shared" si="8"/>
        <v>1274</v>
      </c>
      <c r="I38" s="24">
        <v>-1555</v>
      </c>
      <c r="J38" s="25">
        <v>2829</v>
      </c>
      <c r="K38" s="22">
        <f t="shared" si="9"/>
        <v>413</v>
      </c>
      <c r="L38" s="22">
        <f t="shared" si="10"/>
        <v>23</v>
      </c>
      <c r="M38" s="25">
        <f t="shared" si="11"/>
        <v>1330</v>
      </c>
      <c r="N38" s="24">
        <v>-1281</v>
      </c>
      <c r="O38" s="25">
        <v>2611</v>
      </c>
      <c r="P38" s="22">
        <f t="shared" si="12"/>
        <v>282</v>
      </c>
      <c r="Q38" s="36"/>
      <c r="R38" s="30"/>
    </row>
    <row r="39" spans="1:18" ht="12.75" x14ac:dyDescent="0.2">
      <c r="A39" s="98">
        <v>45763</v>
      </c>
      <c r="B39" s="22">
        <f t="shared" si="4"/>
        <v>24</v>
      </c>
      <c r="C39" s="25">
        <f t="shared" si="5"/>
        <v>1292</v>
      </c>
      <c r="D39" s="24">
        <v>-1150</v>
      </c>
      <c r="E39" s="25">
        <v>2452</v>
      </c>
      <c r="F39" s="26">
        <f t="shared" si="6"/>
        <v>370</v>
      </c>
      <c r="G39" s="22">
        <f t="shared" si="7"/>
        <v>24</v>
      </c>
      <c r="H39" s="25">
        <f t="shared" si="8"/>
        <v>1264</v>
      </c>
      <c r="I39" s="24">
        <v>-1565</v>
      </c>
      <c r="J39" s="25">
        <v>2829</v>
      </c>
      <c r="K39" s="22">
        <f t="shared" si="9"/>
        <v>423</v>
      </c>
      <c r="L39" s="22">
        <f t="shared" si="10"/>
        <v>24</v>
      </c>
      <c r="M39" s="25">
        <f t="shared" si="11"/>
        <v>1323</v>
      </c>
      <c r="N39" s="24">
        <v>-1288</v>
      </c>
      <c r="O39" s="25">
        <v>2611</v>
      </c>
      <c r="P39" s="22">
        <f t="shared" si="12"/>
        <v>289</v>
      </c>
      <c r="Q39" s="36"/>
      <c r="R39" s="30"/>
    </row>
    <row r="40" spans="1:18" ht="12.75" x14ac:dyDescent="0.2">
      <c r="A40" s="98">
        <v>45764</v>
      </c>
      <c r="B40" s="22">
        <f t="shared" si="4"/>
        <v>25</v>
      </c>
      <c r="C40" s="25">
        <f t="shared" si="5"/>
        <v>1282</v>
      </c>
      <c r="D40" s="24">
        <v>-1160</v>
      </c>
      <c r="E40" s="25">
        <v>2452</v>
      </c>
      <c r="F40" s="26">
        <f t="shared" si="6"/>
        <v>380</v>
      </c>
      <c r="G40" s="22">
        <f t="shared" si="7"/>
        <v>25</v>
      </c>
      <c r="H40" s="25">
        <f t="shared" si="8"/>
        <v>1254</v>
      </c>
      <c r="I40" s="24">
        <v>-1575</v>
      </c>
      <c r="J40" s="25">
        <v>2829</v>
      </c>
      <c r="K40" s="22">
        <f t="shared" si="9"/>
        <v>433</v>
      </c>
      <c r="L40" s="22">
        <f t="shared" si="10"/>
        <v>25</v>
      </c>
      <c r="M40" s="25">
        <f t="shared" si="11"/>
        <v>1316</v>
      </c>
      <c r="N40" s="24">
        <v>-1295</v>
      </c>
      <c r="O40" s="25">
        <v>2611</v>
      </c>
      <c r="P40" s="22">
        <f t="shared" si="12"/>
        <v>296</v>
      </c>
      <c r="Q40" s="36"/>
      <c r="R40" s="30"/>
    </row>
    <row r="41" spans="1:18" ht="12.75" x14ac:dyDescent="0.2">
      <c r="A41" s="98">
        <v>45765</v>
      </c>
      <c r="B41" s="22">
        <f t="shared" si="4"/>
        <v>26</v>
      </c>
      <c r="C41" s="25">
        <f t="shared" si="5"/>
        <v>1272</v>
      </c>
      <c r="D41" s="24">
        <v>-1170</v>
      </c>
      <c r="E41" s="25">
        <v>2452</v>
      </c>
      <c r="F41" s="26">
        <f t="shared" si="6"/>
        <v>390</v>
      </c>
      <c r="G41" s="22">
        <f t="shared" si="7"/>
        <v>26</v>
      </c>
      <c r="H41" s="25">
        <f t="shared" si="8"/>
        <v>1244</v>
      </c>
      <c r="I41" s="24">
        <v>-1585</v>
      </c>
      <c r="J41" s="25">
        <v>2829</v>
      </c>
      <c r="K41" s="22">
        <f t="shared" si="9"/>
        <v>443</v>
      </c>
      <c r="L41" s="22">
        <f t="shared" si="10"/>
        <v>26</v>
      </c>
      <c r="M41" s="25">
        <f t="shared" si="11"/>
        <v>1312</v>
      </c>
      <c r="N41" s="24">
        <v>-1299</v>
      </c>
      <c r="O41" s="25">
        <v>2611</v>
      </c>
      <c r="P41" s="22">
        <f t="shared" si="12"/>
        <v>300</v>
      </c>
      <c r="Q41" s="36"/>
      <c r="R41" s="30"/>
    </row>
    <row r="42" spans="1:18" ht="12.75" x14ac:dyDescent="0.2">
      <c r="A42" s="98">
        <v>45766</v>
      </c>
      <c r="B42" s="22">
        <f t="shared" si="4"/>
        <v>27</v>
      </c>
      <c r="C42" s="25">
        <f t="shared" si="5"/>
        <v>1262</v>
      </c>
      <c r="D42" s="24">
        <v>-1180</v>
      </c>
      <c r="E42" s="25">
        <v>2452</v>
      </c>
      <c r="F42" s="26">
        <f t="shared" si="6"/>
        <v>400</v>
      </c>
      <c r="G42" s="22">
        <f t="shared" si="7"/>
        <v>27</v>
      </c>
      <c r="H42" s="25">
        <f t="shared" si="8"/>
        <v>1234</v>
      </c>
      <c r="I42" s="24">
        <v>-1595</v>
      </c>
      <c r="J42" s="25">
        <v>2829</v>
      </c>
      <c r="K42" s="22">
        <f t="shared" si="9"/>
        <v>453</v>
      </c>
      <c r="L42" s="22">
        <f t="shared" si="10"/>
        <v>27</v>
      </c>
      <c r="M42" s="25">
        <f t="shared" si="11"/>
        <v>1306</v>
      </c>
      <c r="N42" s="24">
        <v>-1305</v>
      </c>
      <c r="O42" s="25">
        <v>2611</v>
      </c>
      <c r="P42" s="22">
        <f t="shared" si="12"/>
        <v>306</v>
      </c>
      <c r="Q42" s="36"/>
      <c r="R42" s="30"/>
    </row>
    <row r="43" spans="1:18" ht="12.75" x14ac:dyDescent="0.2">
      <c r="A43" s="98">
        <v>45767</v>
      </c>
      <c r="B43" s="22">
        <f t="shared" si="4"/>
        <v>28</v>
      </c>
      <c r="C43" s="25">
        <f t="shared" si="5"/>
        <v>1252</v>
      </c>
      <c r="D43" s="24">
        <v>-1190</v>
      </c>
      <c r="E43" s="25">
        <v>2452</v>
      </c>
      <c r="F43" s="26">
        <f t="shared" si="6"/>
        <v>410</v>
      </c>
      <c r="G43" s="22">
        <f t="shared" si="7"/>
        <v>28</v>
      </c>
      <c r="H43" s="25">
        <f t="shared" si="8"/>
        <v>1224</v>
      </c>
      <c r="I43" s="24">
        <v>-1605</v>
      </c>
      <c r="J43" s="25">
        <v>2829</v>
      </c>
      <c r="K43" s="22">
        <f t="shared" si="9"/>
        <v>463</v>
      </c>
      <c r="L43" s="22">
        <f t="shared" si="10"/>
        <v>28</v>
      </c>
      <c r="M43" s="25">
        <f t="shared" si="11"/>
        <v>1299</v>
      </c>
      <c r="N43" s="24">
        <v>-1312</v>
      </c>
      <c r="O43" s="25">
        <v>2611</v>
      </c>
      <c r="P43" s="22">
        <f t="shared" si="12"/>
        <v>313</v>
      </c>
      <c r="Q43" s="36"/>
      <c r="R43" s="30"/>
    </row>
    <row r="44" spans="1:18" ht="12.75" x14ac:dyDescent="0.2">
      <c r="A44" s="98">
        <v>45768</v>
      </c>
      <c r="B44" s="22">
        <f t="shared" si="4"/>
        <v>29</v>
      </c>
      <c r="C44" s="25">
        <f t="shared" si="5"/>
        <v>1242</v>
      </c>
      <c r="D44" s="24">
        <v>-1200</v>
      </c>
      <c r="E44" s="25">
        <v>2452</v>
      </c>
      <c r="F44" s="26">
        <f t="shared" si="6"/>
        <v>420</v>
      </c>
      <c r="G44" s="22">
        <f t="shared" si="7"/>
        <v>29</v>
      </c>
      <c r="H44" s="25">
        <f t="shared" si="8"/>
        <v>1214</v>
      </c>
      <c r="I44" s="24">
        <v>-1615</v>
      </c>
      <c r="J44" s="25">
        <v>2829</v>
      </c>
      <c r="K44" s="22">
        <f t="shared" si="9"/>
        <v>473</v>
      </c>
      <c r="L44" s="22">
        <f t="shared" si="10"/>
        <v>29</v>
      </c>
      <c r="M44" s="25">
        <f t="shared" si="11"/>
        <v>1293</v>
      </c>
      <c r="N44" s="24">
        <v>-1318</v>
      </c>
      <c r="O44" s="25">
        <v>2611</v>
      </c>
      <c r="P44" s="22">
        <f t="shared" si="12"/>
        <v>319</v>
      </c>
      <c r="Q44" s="36"/>
      <c r="R44" s="30"/>
    </row>
    <row r="45" spans="1:18" ht="12.75" x14ac:dyDescent="0.2">
      <c r="A45" s="98">
        <v>45769</v>
      </c>
      <c r="B45" s="22">
        <f t="shared" si="4"/>
        <v>30</v>
      </c>
      <c r="C45" s="25">
        <f t="shared" si="5"/>
        <v>1234</v>
      </c>
      <c r="D45" s="24">
        <v>-1208</v>
      </c>
      <c r="E45" s="25">
        <v>2452</v>
      </c>
      <c r="F45" s="26">
        <f t="shared" si="6"/>
        <v>428</v>
      </c>
      <c r="G45" s="22">
        <f t="shared" si="7"/>
        <v>30</v>
      </c>
      <c r="H45" s="25">
        <f t="shared" si="8"/>
        <v>1201</v>
      </c>
      <c r="I45" s="24">
        <v>-1628</v>
      </c>
      <c r="J45" s="25">
        <v>2829</v>
      </c>
      <c r="K45" s="22">
        <f t="shared" si="9"/>
        <v>486</v>
      </c>
      <c r="L45" s="22">
        <f t="shared" si="10"/>
        <v>30</v>
      </c>
      <c r="M45" s="25">
        <f t="shared" si="11"/>
        <v>1278</v>
      </c>
      <c r="N45" s="24">
        <v>-1333</v>
      </c>
      <c r="O45" s="25">
        <v>2611</v>
      </c>
      <c r="P45" s="22">
        <f t="shared" si="12"/>
        <v>334</v>
      </c>
      <c r="Q45" s="36"/>
      <c r="R45" s="30"/>
    </row>
    <row r="46" spans="1:18" ht="12.75" x14ac:dyDescent="0.2">
      <c r="A46" s="98">
        <v>45770</v>
      </c>
      <c r="B46" s="22">
        <f t="shared" si="4"/>
        <v>31</v>
      </c>
      <c r="C46" s="25">
        <f t="shared" si="5"/>
        <v>1226</v>
      </c>
      <c r="D46" s="24">
        <v>-1216</v>
      </c>
      <c r="E46" s="25">
        <v>2452</v>
      </c>
      <c r="F46" s="26">
        <f t="shared" si="6"/>
        <v>436</v>
      </c>
      <c r="G46" s="22">
        <f t="shared" si="7"/>
        <v>31</v>
      </c>
      <c r="H46" s="25">
        <f t="shared" si="8"/>
        <v>1189</v>
      </c>
      <c r="I46" s="24">
        <v>-1640</v>
      </c>
      <c r="J46" s="25">
        <v>2829</v>
      </c>
      <c r="K46" s="22">
        <f t="shared" si="9"/>
        <v>498</v>
      </c>
      <c r="L46" s="22">
        <f t="shared" si="10"/>
        <v>31</v>
      </c>
      <c r="M46" s="25">
        <f t="shared" si="11"/>
        <v>1266</v>
      </c>
      <c r="N46" s="24">
        <v>-1345</v>
      </c>
      <c r="O46" s="25">
        <v>2611</v>
      </c>
      <c r="P46" s="22">
        <f t="shared" si="12"/>
        <v>346</v>
      </c>
      <c r="Q46" s="36"/>
      <c r="R46" s="30"/>
    </row>
    <row r="47" spans="1:18" ht="12.75" x14ac:dyDescent="0.2">
      <c r="A47" s="98">
        <v>45771</v>
      </c>
      <c r="B47" s="22">
        <f t="shared" si="4"/>
        <v>32</v>
      </c>
      <c r="C47" s="25">
        <f t="shared" si="5"/>
        <v>1220</v>
      </c>
      <c r="D47" s="24">
        <v>-1222</v>
      </c>
      <c r="E47" s="25">
        <v>2452</v>
      </c>
      <c r="F47" s="26">
        <f t="shared" si="6"/>
        <v>442</v>
      </c>
      <c r="G47" s="22">
        <f t="shared" si="7"/>
        <v>32</v>
      </c>
      <c r="H47" s="25">
        <f t="shared" si="8"/>
        <v>1177</v>
      </c>
      <c r="I47" s="24">
        <v>-1652</v>
      </c>
      <c r="J47" s="25">
        <v>2829</v>
      </c>
      <c r="K47" s="22">
        <f t="shared" si="9"/>
        <v>510</v>
      </c>
      <c r="L47" s="22">
        <f t="shared" si="10"/>
        <v>32</v>
      </c>
      <c r="M47" s="25">
        <f t="shared" si="11"/>
        <v>1254</v>
      </c>
      <c r="N47" s="24">
        <v>-1357</v>
      </c>
      <c r="O47" s="25">
        <v>2611</v>
      </c>
      <c r="P47" s="22">
        <f t="shared" si="12"/>
        <v>358</v>
      </c>
      <c r="Q47" s="36"/>
      <c r="R47" s="30"/>
    </row>
    <row r="48" spans="1:18" ht="12.75" x14ac:dyDescent="0.2">
      <c r="A48" s="98">
        <v>45772</v>
      </c>
      <c r="B48" s="22">
        <f t="shared" si="4"/>
        <v>33</v>
      </c>
      <c r="C48" s="25">
        <f t="shared" si="5"/>
        <v>1215</v>
      </c>
      <c r="D48" s="24">
        <v>-1227</v>
      </c>
      <c r="E48" s="25">
        <v>2452</v>
      </c>
      <c r="F48" s="26">
        <f t="shared" si="6"/>
        <v>447</v>
      </c>
      <c r="G48" s="22">
        <f t="shared" si="7"/>
        <v>33</v>
      </c>
      <c r="H48" s="25">
        <f t="shared" si="8"/>
        <v>1167</v>
      </c>
      <c r="I48" s="24">
        <v>-1662</v>
      </c>
      <c r="J48" s="25">
        <v>2829</v>
      </c>
      <c r="K48" s="22">
        <f t="shared" si="9"/>
        <v>520</v>
      </c>
      <c r="L48" s="22">
        <f t="shared" si="10"/>
        <v>33</v>
      </c>
      <c r="M48" s="25">
        <f t="shared" si="11"/>
        <v>1251</v>
      </c>
      <c r="N48" s="24">
        <v>-1360</v>
      </c>
      <c r="O48" s="25">
        <v>2611</v>
      </c>
      <c r="P48" s="22">
        <f t="shared" si="12"/>
        <v>361</v>
      </c>
      <c r="Q48" s="36"/>
      <c r="R48" s="30"/>
    </row>
    <row r="49" spans="1:18" ht="12.75" x14ac:dyDescent="0.2">
      <c r="A49" s="98">
        <v>45773</v>
      </c>
      <c r="B49" s="22">
        <f t="shared" si="4"/>
        <v>34</v>
      </c>
      <c r="C49" s="25">
        <f t="shared" si="5"/>
        <v>1209</v>
      </c>
      <c r="D49" s="24">
        <v>-1233</v>
      </c>
      <c r="E49" s="25">
        <v>2452</v>
      </c>
      <c r="F49" s="26">
        <f t="shared" si="6"/>
        <v>453</v>
      </c>
      <c r="G49" s="22">
        <f t="shared" si="7"/>
        <v>34</v>
      </c>
      <c r="H49" s="25">
        <f t="shared" si="8"/>
        <v>1158</v>
      </c>
      <c r="I49" s="24">
        <v>-1671</v>
      </c>
      <c r="J49" s="25">
        <v>2829</v>
      </c>
      <c r="K49" s="22">
        <f t="shared" si="9"/>
        <v>529</v>
      </c>
      <c r="L49" s="22">
        <f t="shared" si="10"/>
        <v>34</v>
      </c>
      <c r="M49" s="25">
        <f t="shared" si="11"/>
        <v>1249</v>
      </c>
      <c r="N49" s="24">
        <v>-1362</v>
      </c>
      <c r="O49" s="25">
        <v>2611</v>
      </c>
      <c r="P49" s="22">
        <f t="shared" si="12"/>
        <v>363</v>
      </c>
      <c r="Q49" s="36"/>
      <c r="R49" s="30"/>
    </row>
    <row r="50" spans="1:18" ht="12.75" x14ac:dyDescent="0.2">
      <c r="A50" s="98">
        <v>45774</v>
      </c>
      <c r="B50" s="22">
        <f t="shared" si="4"/>
        <v>35</v>
      </c>
      <c r="C50" s="25">
        <f t="shared" si="5"/>
        <v>1204</v>
      </c>
      <c r="D50" s="24">
        <v>-1238</v>
      </c>
      <c r="E50" s="25">
        <v>2452</v>
      </c>
      <c r="F50" s="26">
        <f t="shared" si="6"/>
        <v>458</v>
      </c>
      <c r="G50" s="22">
        <f t="shared" si="7"/>
        <v>35</v>
      </c>
      <c r="H50" s="25">
        <f t="shared" si="8"/>
        <v>1148</v>
      </c>
      <c r="I50" s="24">
        <v>-1681</v>
      </c>
      <c r="J50" s="25">
        <v>2829</v>
      </c>
      <c r="K50" s="22">
        <f t="shared" si="9"/>
        <v>539</v>
      </c>
      <c r="L50" s="22">
        <f t="shared" si="10"/>
        <v>35</v>
      </c>
      <c r="M50" s="25">
        <f t="shared" si="11"/>
        <v>1246</v>
      </c>
      <c r="N50" s="24">
        <v>-1365</v>
      </c>
      <c r="O50" s="25">
        <v>2611</v>
      </c>
      <c r="P50" s="22">
        <f t="shared" si="12"/>
        <v>366</v>
      </c>
      <c r="Q50" s="36"/>
      <c r="R50" s="30"/>
    </row>
    <row r="51" spans="1:18" ht="12.75" x14ac:dyDescent="0.2">
      <c r="A51" s="98">
        <v>45775</v>
      </c>
      <c r="B51" s="22">
        <f t="shared" si="4"/>
        <v>36</v>
      </c>
      <c r="C51" s="25">
        <f t="shared" si="5"/>
        <v>1197</v>
      </c>
      <c r="D51" s="24">
        <v>-1245</v>
      </c>
      <c r="E51" s="25">
        <v>2452</v>
      </c>
      <c r="F51" s="26">
        <f t="shared" si="6"/>
        <v>465</v>
      </c>
      <c r="G51" s="22">
        <f t="shared" si="7"/>
        <v>36</v>
      </c>
      <c r="H51" s="25">
        <f t="shared" si="8"/>
        <v>1138</v>
      </c>
      <c r="I51" s="24">
        <v>-1691</v>
      </c>
      <c r="J51" s="25">
        <v>2829</v>
      </c>
      <c r="K51" s="22">
        <f t="shared" si="9"/>
        <v>549</v>
      </c>
      <c r="L51" s="22">
        <f t="shared" si="10"/>
        <v>36</v>
      </c>
      <c r="M51" s="25">
        <f t="shared" si="11"/>
        <v>1243</v>
      </c>
      <c r="N51" s="24">
        <v>-1368</v>
      </c>
      <c r="O51" s="25">
        <v>2611</v>
      </c>
      <c r="P51" s="22">
        <f t="shared" si="12"/>
        <v>369</v>
      </c>
      <c r="Q51" s="36"/>
      <c r="R51" s="30"/>
    </row>
    <row r="52" spans="1:18" ht="12.75" x14ac:dyDescent="0.2">
      <c r="A52" s="98">
        <v>45776</v>
      </c>
      <c r="B52" s="22">
        <f t="shared" si="4"/>
        <v>37</v>
      </c>
      <c r="C52" s="25">
        <f t="shared" si="5"/>
        <v>1187</v>
      </c>
      <c r="D52" s="24">
        <v>-1255</v>
      </c>
      <c r="E52" s="25">
        <v>2452</v>
      </c>
      <c r="F52" s="26">
        <f t="shared" si="6"/>
        <v>475</v>
      </c>
      <c r="G52" s="22">
        <f t="shared" si="7"/>
        <v>37</v>
      </c>
      <c r="H52" s="25">
        <f t="shared" si="8"/>
        <v>1133</v>
      </c>
      <c r="I52" s="24">
        <v>-1696</v>
      </c>
      <c r="J52" s="25">
        <v>2829</v>
      </c>
      <c r="K52" s="22">
        <f t="shared" si="9"/>
        <v>554</v>
      </c>
      <c r="L52" s="22">
        <f t="shared" si="10"/>
        <v>37</v>
      </c>
      <c r="M52" s="25">
        <f t="shared" si="11"/>
        <v>1235</v>
      </c>
      <c r="N52" s="24">
        <v>-1376</v>
      </c>
      <c r="O52" s="25">
        <v>2611</v>
      </c>
      <c r="P52" s="22">
        <f t="shared" si="12"/>
        <v>377</v>
      </c>
      <c r="Q52" s="36"/>
      <c r="R52" s="30"/>
    </row>
    <row r="53" spans="1:18" ht="12.75" x14ac:dyDescent="0.2">
      <c r="A53" s="98">
        <v>45777</v>
      </c>
      <c r="B53" s="22">
        <f t="shared" si="4"/>
        <v>38</v>
      </c>
      <c r="C53" s="25">
        <f t="shared" si="5"/>
        <v>1177</v>
      </c>
      <c r="D53" s="24">
        <v>-1265</v>
      </c>
      <c r="E53" s="25">
        <v>2452</v>
      </c>
      <c r="F53" s="26">
        <f t="shared" si="6"/>
        <v>485</v>
      </c>
      <c r="G53" s="22">
        <f t="shared" si="7"/>
        <v>38</v>
      </c>
      <c r="H53" s="25">
        <f t="shared" si="8"/>
        <v>1126</v>
      </c>
      <c r="I53" s="24">
        <v>-1703</v>
      </c>
      <c r="J53" s="25">
        <v>2829</v>
      </c>
      <c r="K53" s="22">
        <f t="shared" si="9"/>
        <v>561</v>
      </c>
      <c r="L53" s="22">
        <f t="shared" si="10"/>
        <v>38</v>
      </c>
      <c r="M53" s="25">
        <f t="shared" si="11"/>
        <v>1229</v>
      </c>
      <c r="N53" s="24">
        <v>-1382</v>
      </c>
      <c r="O53" s="25">
        <v>2611</v>
      </c>
      <c r="P53" s="22">
        <f t="shared" si="12"/>
        <v>383</v>
      </c>
      <c r="Q53" s="36"/>
      <c r="R53" s="30"/>
    </row>
    <row r="54" spans="1:18" ht="12.75" x14ac:dyDescent="0.2">
      <c r="A54" s="98">
        <v>45778</v>
      </c>
      <c r="B54" s="22">
        <f t="shared" si="4"/>
        <v>39</v>
      </c>
      <c r="C54" s="25">
        <f t="shared" si="5"/>
        <v>1167</v>
      </c>
      <c r="D54" s="24">
        <v>-1275</v>
      </c>
      <c r="E54" s="25">
        <v>2452</v>
      </c>
      <c r="F54" s="26">
        <f t="shared" si="6"/>
        <v>495</v>
      </c>
      <c r="G54" s="22">
        <f t="shared" si="7"/>
        <v>39</v>
      </c>
      <c r="H54" s="25">
        <f t="shared" si="8"/>
        <v>1120</v>
      </c>
      <c r="I54" s="24">
        <v>-1709</v>
      </c>
      <c r="J54" s="25">
        <v>2829</v>
      </c>
      <c r="K54" s="22">
        <f t="shared" si="9"/>
        <v>567</v>
      </c>
      <c r="L54" s="22">
        <f t="shared" si="10"/>
        <v>39</v>
      </c>
      <c r="M54" s="25">
        <f t="shared" si="11"/>
        <v>1223</v>
      </c>
      <c r="N54" s="24">
        <v>-1388</v>
      </c>
      <c r="O54" s="25">
        <v>2611</v>
      </c>
      <c r="P54" s="22">
        <f t="shared" si="12"/>
        <v>389</v>
      </c>
      <c r="Q54" s="36"/>
      <c r="R54" s="30"/>
    </row>
    <row r="55" spans="1:18" ht="12.75" x14ac:dyDescent="0.2">
      <c r="A55" s="98">
        <v>45779</v>
      </c>
      <c r="B55" s="22">
        <f t="shared" si="4"/>
        <v>40</v>
      </c>
      <c r="C55" s="25">
        <f t="shared" si="5"/>
        <v>1158</v>
      </c>
      <c r="D55" s="24">
        <v>-1284</v>
      </c>
      <c r="E55" s="25">
        <v>2452</v>
      </c>
      <c r="F55" s="26">
        <f t="shared" si="6"/>
        <v>504</v>
      </c>
      <c r="G55" s="22">
        <f t="shared" si="7"/>
        <v>40</v>
      </c>
      <c r="H55" s="25">
        <f t="shared" si="8"/>
        <v>1114</v>
      </c>
      <c r="I55" s="24">
        <v>-1715</v>
      </c>
      <c r="J55" s="25">
        <v>2829</v>
      </c>
      <c r="K55" s="22">
        <f t="shared" si="9"/>
        <v>573</v>
      </c>
      <c r="L55" s="22">
        <f t="shared" si="10"/>
        <v>40</v>
      </c>
      <c r="M55" s="25">
        <f t="shared" si="11"/>
        <v>1215</v>
      </c>
      <c r="N55" s="24">
        <v>-1396</v>
      </c>
      <c r="O55" s="25">
        <v>2611</v>
      </c>
      <c r="P55" s="22">
        <f t="shared" si="12"/>
        <v>397</v>
      </c>
      <c r="Q55" s="36"/>
      <c r="R55" s="30"/>
    </row>
    <row r="56" spans="1:18" ht="12.75" x14ac:dyDescent="0.2">
      <c r="A56" s="98">
        <v>45780</v>
      </c>
      <c r="B56" s="22">
        <f t="shared" si="4"/>
        <v>41</v>
      </c>
      <c r="C56" s="25">
        <f t="shared" si="5"/>
        <v>1149</v>
      </c>
      <c r="D56" s="24">
        <v>-1293</v>
      </c>
      <c r="E56" s="25">
        <v>2452</v>
      </c>
      <c r="F56" s="26">
        <f t="shared" si="6"/>
        <v>513</v>
      </c>
      <c r="G56" s="22">
        <f t="shared" si="7"/>
        <v>41</v>
      </c>
      <c r="H56" s="25">
        <f t="shared" si="8"/>
        <v>1108</v>
      </c>
      <c r="I56" s="24">
        <v>-1721</v>
      </c>
      <c r="J56" s="25">
        <v>2829</v>
      </c>
      <c r="K56" s="22">
        <f t="shared" si="9"/>
        <v>579</v>
      </c>
      <c r="L56" s="22">
        <f t="shared" si="10"/>
        <v>41</v>
      </c>
      <c r="M56" s="25">
        <f t="shared" si="11"/>
        <v>1209</v>
      </c>
      <c r="N56" s="24">
        <v>-1402</v>
      </c>
      <c r="O56" s="25">
        <v>2611</v>
      </c>
      <c r="P56" s="22">
        <f t="shared" si="12"/>
        <v>403</v>
      </c>
      <c r="Q56" s="36"/>
      <c r="R56" s="30"/>
    </row>
    <row r="57" spans="1:18" ht="12.75" x14ac:dyDescent="0.2">
      <c r="A57" s="98">
        <v>45781</v>
      </c>
      <c r="B57" s="22">
        <f t="shared" si="4"/>
        <v>42</v>
      </c>
      <c r="C57" s="25">
        <f t="shared" si="5"/>
        <v>1144</v>
      </c>
      <c r="D57" s="24">
        <v>-1298</v>
      </c>
      <c r="E57" s="25">
        <v>2452</v>
      </c>
      <c r="F57" s="26">
        <f t="shared" si="6"/>
        <v>518</v>
      </c>
      <c r="G57" s="22">
        <f t="shared" si="7"/>
        <v>42</v>
      </c>
      <c r="H57" s="25">
        <f t="shared" si="8"/>
        <v>1101</v>
      </c>
      <c r="I57" s="24">
        <v>-1728</v>
      </c>
      <c r="J57" s="25">
        <v>2829</v>
      </c>
      <c r="K57" s="22">
        <f t="shared" si="9"/>
        <v>586</v>
      </c>
      <c r="L57" s="22">
        <f t="shared" si="10"/>
        <v>42</v>
      </c>
      <c r="M57" s="25">
        <f t="shared" si="11"/>
        <v>1204</v>
      </c>
      <c r="N57" s="24">
        <v>-1407</v>
      </c>
      <c r="O57" s="25">
        <v>2611</v>
      </c>
      <c r="P57" s="22">
        <f t="shared" si="12"/>
        <v>408</v>
      </c>
      <c r="Q57" s="36"/>
      <c r="R57" s="30"/>
    </row>
    <row r="58" spans="1:18" ht="12.75" x14ac:dyDescent="0.2">
      <c r="A58" s="98">
        <v>45782</v>
      </c>
      <c r="B58" s="22">
        <f t="shared" si="4"/>
        <v>43</v>
      </c>
      <c r="C58" s="25">
        <f t="shared" si="5"/>
        <v>1239</v>
      </c>
      <c r="D58" s="24">
        <v>-1203</v>
      </c>
      <c r="E58" s="25">
        <v>2452</v>
      </c>
      <c r="F58" s="26">
        <f t="shared" si="6"/>
        <v>423</v>
      </c>
      <c r="G58" s="22">
        <f t="shared" si="7"/>
        <v>43</v>
      </c>
      <c r="H58" s="25">
        <f t="shared" si="8"/>
        <v>1094</v>
      </c>
      <c r="I58" s="24">
        <v>-1735</v>
      </c>
      <c r="J58" s="25">
        <v>2829</v>
      </c>
      <c r="K58" s="22">
        <f t="shared" si="9"/>
        <v>593</v>
      </c>
      <c r="L58" s="22">
        <f t="shared" si="10"/>
        <v>43</v>
      </c>
      <c r="M58" s="25">
        <f t="shared" si="11"/>
        <v>1200</v>
      </c>
      <c r="N58" s="24">
        <v>-1411</v>
      </c>
      <c r="O58" s="25">
        <v>2611</v>
      </c>
      <c r="P58" s="22">
        <f t="shared" si="12"/>
        <v>412</v>
      </c>
      <c r="Q58" s="36"/>
      <c r="R58" s="30"/>
    </row>
    <row r="59" spans="1:18" ht="12.75" x14ac:dyDescent="0.2">
      <c r="A59" s="98">
        <v>45783</v>
      </c>
      <c r="B59" s="22">
        <f t="shared" si="4"/>
        <v>44</v>
      </c>
      <c r="C59" s="25">
        <f t="shared" si="5"/>
        <v>1137</v>
      </c>
      <c r="D59" s="24">
        <v>-1305</v>
      </c>
      <c r="E59" s="25">
        <v>2452</v>
      </c>
      <c r="F59" s="26">
        <f t="shared" si="6"/>
        <v>525</v>
      </c>
      <c r="G59" s="22">
        <f t="shared" si="7"/>
        <v>44</v>
      </c>
      <c r="H59" s="25">
        <f t="shared" si="8"/>
        <v>1084</v>
      </c>
      <c r="I59" s="24">
        <v>-1745</v>
      </c>
      <c r="J59" s="25">
        <v>2829</v>
      </c>
      <c r="K59" s="22">
        <f t="shared" si="9"/>
        <v>603</v>
      </c>
      <c r="L59" s="22">
        <f t="shared" si="10"/>
        <v>44</v>
      </c>
      <c r="M59" s="25">
        <f t="shared" si="11"/>
        <v>1197</v>
      </c>
      <c r="N59" s="24">
        <v>-1414</v>
      </c>
      <c r="O59" s="25">
        <v>2611</v>
      </c>
      <c r="P59" s="22">
        <f t="shared" si="12"/>
        <v>415</v>
      </c>
      <c r="Q59" s="36"/>
      <c r="R59" s="30"/>
    </row>
    <row r="60" spans="1:18" ht="12.75" x14ac:dyDescent="0.2">
      <c r="A60" s="98">
        <v>45784</v>
      </c>
      <c r="B60" s="22">
        <f t="shared" si="4"/>
        <v>45</v>
      </c>
      <c r="C60" s="25">
        <f t="shared" si="5"/>
        <v>1134</v>
      </c>
      <c r="D60" s="24">
        <v>-1308</v>
      </c>
      <c r="E60" s="25">
        <v>2452</v>
      </c>
      <c r="F60" s="26">
        <f t="shared" si="6"/>
        <v>528</v>
      </c>
      <c r="G60" s="22">
        <f t="shared" si="7"/>
        <v>45</v>
      </c>
      <c r="H60" s="25">
        <f t="shared" si="8"/>
        <v>1081</v>
      </c>
      <c r="I60" s="24">
        <v>-1748</v>
      </c>
      <c r="J60" s="25">
        <v>2829</v>
      </c>
      <c r="K60" s="22">
        <f t="shared" si="9"/>
        <v>606</v>
      </c>
      <c r="L60" s="22">
        <f t="shared" si="10"/>
        <v>45</v>
      </c>
      <c r="M60" s="25">
        <f t="shared" si="11"/>
        <v>1193</v>
      </c>
      <c r="N60" s="24">
        <v>-1418</v>
      </c>
      <c r="O60" s="25">
        <v>2611</v>
      </c>
      <c r="P60" s="22">
        <f t="shared" si="12"/>
        <v>419</v>
      </c>
      <c r="Q60" s="36"/>
      <c r="R60" s="30"/>
    </row>
    <row r="61" spans="1:18" ht="12.75" x14ac:dyDescent="0.2">
      <c r="A61" s="98">
        <v>45785</v>
      </c>
      <c r="B61" s="22">
        <f t="shared" si="4"/>
        <v>46</v>
      </c>
      <c r="C61" s="25">
        <f t="shared" si="5"/>
        <v>1132</v>
      </c>
      <c r="D61" s="24">
        <v>-1310</v>
      </c>
      <c r="E61" s="25">
        <v>2452</v>
      </c>
      <c r="F61" s="26">
        <f t="shared" si="6"/>
        <v>530</v>
      </c>
      <c r="G61" s="22">
        <f t="shared" si="7"/>
        <v>46</v>
      </c>
      <c r="H61" s="25">
        <f t="shared" si="8"/>
        <v>1078</v>
      </c>
      <c r="I61" s="24">
        <v>-1751</v>
      </c>
      <c r="J61" s="25">
        <v>2829</v>
      </c>
      <c r="K61" s="22">
        <f t="shared" si="9"/>
        <v>609</v>
      </c>
      <c r="L61" s="22">
        <f t="shared" si="10"/>
        <v>46</v>
      </c>
      <c r="M61" s="25">
        <f t="shared" si="11"/>
        <v>1191</v>
      </c>
      <c r="N61" s="24">
        <v>-1420</v>
      </c>
      <c r="O61" s="25">
        <v>2611</v>
      </c>
      <c r="P61" s="22">
        <f t="shared" si="12"/>
        <v>421</v>
      </c>
      <c r="Q61" s="36"/>
      <c r="R61" s="30"/>
    </row>
    <row r="62" spans="1:18" ht="12.75" x14ac:dyDescent="0.2">
      <c r="A62" s="98">
        <v>45786</v>
      </c>
      <c r="B62" s="22">
        <f t="shared" si="4"/>
        <v>47</v>
      </c>
      <c r="C62" s="25">
        <f t="shared" si="5"/>
        <v>1129</v>
      </c>
      <c r="D62" s="24">
        <v>-1313</v>
      </c>
      <c r="E62" s="25">
        <v>2452</v>
      </c>
      <c r="F62" s="26">
        <f t="shared" si="6"/>
        <v>533</v>
      </c>
      <c r="G62" s="22">
        <f t="shared" si="7"/>
        <v>47</v>
      </c>
      <c r="H62" s="25">
        <f t="shared" si="8"/>
        <v>1075</v>
      </c>
      <c r="I62" s="24">
        <v>-1754</v>
      </c>
      <c r="J62" s="25">
        <v>2829</v>
      </c>
      <c r="K62" s="22">
        <f t="shared" si="9"/>
        <v>612</v>
      </c>
      <c r="L62" s="22">
        <f t="shared" si="10"/>
        <v>47</v>
      </c>
      <c r="M62" s="25">
        <f t="shared" si="11"/>
        <v>1188</v>
      </c>
      <c r="N62" s="24">
        <v>-1423</v>
      </c>
      <c r="O62" s="25">
        <v>2611</v>
      </c>
      <c r="P62" s="22">
        <f t="shared" si="12"/>
        <v>424</v>
      </c>
      <c r="Q62" s="36"/>
      <c r="R62" s="30"/>
    </row>
    <row r="63" spans="1:18" ht="12.75" x14ac:dyDescent="0.2">
      <c r="A63" s="98">
        <v>45787</v>
      </c>
      <c r="B63" s="22">
        <f t="shared" si="4"/>
        <v>48</v>
      </c>
      <c r="C63" s="25">
        <f t="shared" si="5"/>
        <v>1126</v>
      </c>
      <c r="D63" s="24">
        <v>-1316</v>
      </c>
      <c r="E63" s="25">
        <v>2452</v>
      </c>
      <c r="F63" s="26">
        <f t="shared" si="6"/>
        <v>536</v>
      </c>
      <c r="G63" s="22">
        <f t="shared" si="7"/>
        <v>48</v>
      </c>
      <c r="H63" s="25">
        <f t="shared" si="8"/>
        <v>1071</v>
      </c>
      <c r="I63" s="24">
        <v>-1758</v>
      </c>
      <c r="J63" s="25">
        <v>2829</v>
      </c>
      <c r="K63" s="22">
        <f t="shared" si="9"/>
        <v>616</v>
      </c>
      <c r="L63" s="22">
        <f t="shared" si="10"/>
        <v>48</v>
      </c>
      <c r="M63" s="25">
        <f t="shared" si="11"/>
        <v>1184</v>
      </c>
      <c r="N63" s="24">
        <v>-1427</v>
      </c>
      <c r="O63" s="25">
        <v>2611</v>
      </c>
      <c r="P63" s="22">
        <f t="shared" si="12"/>
        <v>428</v>
      </c>
      <c r="Q63" s="36"/>
      <c r="R63" s="30"/>
    </row>
    <row r="64" spans="1:18" ht="12.75" x14ac:dyDescent="0.2">
      <c r="A64" s="98">
        <v>45788</v>
      </c>
      <c r="B64" s="22">
        <f t="shared" si="4"/>
        <v>49</v>
      </c>
      <c r="C64" s="25">
        <f t="shared" si="5"/>
        <v>1123</v>
      </c>
      <c r="D64" s="24">
        <v>-1319</v>
      </c>
      <c r="E64" s="25">
        <v>2452</v>
      </c>
      <c r="F64" s="26">
        <f t="shared" si="6"/>
        <v>539</v>
      </c>
      <c r="G64" s="22">
        <f t="shared" si="7"/>
        <v>49</v>
      </c>
      <c r="H64" s="25">
        <f t="shared" si="8"/>
        <v>1068</v>
      </c>
      <c r="I64" s="24">
        <v>-1761</v>
      </c>
      <c r="J64" s="25">
        <v>2829</v>
      </c>
      <c r="K64" s="22">
        <f t="shared" si="9"/>
        <v>619</v>
      </c>
      <c r="L64" s="22">
        <f t="shared" si="10"/>
        <v>49</v>
      </c>
      <c r="M64" s="25">
        <f t="shared" si="11"/>
        <v>1180</v>
      </c>
      <c r="N64" s="24">
        <v>-1431</v>
      </c>
      <c r="O64" s="25">
        <v>2611</v>
      </c>
      <c r="P64" s="22">
        <f t="shared" si="12"/>
        <v>432</v>
      </c>
      <c r="Q64" s="36"/>
      <c r="R64" s="30"/>
    </row>
    <row r="65" spans="1:18" ht="12.75" x14ac:dyDescent="0.2">
      <c r="A65" s="98">
        <v>45789</v>
      </c>
      <c r="B65" s="22">
        <f t="shared" si="4"/>
        <v>50</v>
      </c>
      <c r="C65" s="25">
        <f t="shared" si="5"/>
        <v>1119</v>
      </c>
      <c r="D65" s="24">
        <v>-1323</v>
      </c>
      <c r="E65" s="25">
        <v>2452</v>
      </c>
      <c r="F65" s="26">
        <f t="shared" si="6"/>
        <v>543</v>
      </c>
      <c r="G65" s="22">
        <f t="shared" si="7"/>
        <v>50</v>
      </c>
      <c r="H65" s="25">
        <f t="shared" si="8"/>
        <v>1064</v>
      </c>
      <c r="I65" s="24">
        <v>-1765</v>
      </c>
      <c r="J65" s="25">
        <v>2829</v>
      </c>
      <c r="K65" s="22">
        <f t="shared" si="9"/>
        <v>623</v>
      </c>
      <c r="L65" s="22">
        <f t="shared" si="10"/>
        <v>50</v>
      </c>
      <c r="M65" s="25">
        <f t="shared" si="11"/>
        <v>1176</v>
      </c>
      <c r="N65" s="24">
        <v>-1435</v>
      </c>
      <c r="O65" s="25">
        <v>2611</v>
      </c>
      <c r="P65" s="22">
        <f t="shared" si="12"/>
        <v>436</v>
      </c>
      <c r="Q65" s="36"/>
      <c r="R65" s="30"/>
    </row>
    <row r="66" spans="1:18" ht="12.75" x14ac:dyDescent="0.2">
      <c r="A66" s="98">
        <v>45790</v>
      </c>
      <c r="B66" s="22">
        <f t="shared" si="4"/>
        <v>51</v>
      </c>
      <c r="C66" s="25">
        <f t="shared" si="5"/>
        <v>1115</v>
      </c>
      <c r="D66" s="24">
        <v>-1327</v>
      </c>
      <c r="E66" s="25">
        <v>2452</v>
      </c>
      <c r="F66" s="26">
        <f t="shared" si="6"/>
        <v>547</v>
      </c>
      <c r="G66" s="22">
        <f t="shared" si="7"/>
        <v>51</v>
      </c>
      <c r="H66" s="25">
        <f t="shared" si="8"/>
        <v>1060</v>
      </c>
      <c r="I66" s="24">
        <v>-1769</v>
      </c>
      <c r="J66" s="25">
        <v>2829</v>
      </c>
      <c r="K66" s="22">
        <f t="shared" si="9"/>
        <v>627</v>
      </c>
      <c r="L66" s="22">
        <f t="shared" si="10"/>
        <v>51</v>
      </c>
      <c r="M66" s="25">
        <f t="shared" si="11"/>
        <v>1172</v>
      </c>
      <c r="N66" s="24">
        <v>-1439</v>
      </c>
      <c r="O66" s="25">
        <v>2611</v>
      </c>
      <c r="P66" s="22">
        <f t="shared" si="12"/>
        <v>440</v>
      </c>
      <c r="Q66" s="36"/>
      <c r="R66" s="30"/>
    </row>
    <row r="67" spans="1:18" ht="12.75" x14ac:dyDescent="0.2">
      <c r="A67" s="98">
        <v>45791</v>
      </c>
      <c r="B67" s="22">
        <f t="shared" si="4"/>
        <v>52</v>
      </c>
      <c r="C67" s="25">
        <f t="shared" si="5"/>
        <v>1103</v>
      </c>
      <c r="D67" s="24">
        <v>-1339</v>
      </c>
      <c r="E67" s="25">
        <v>2452</v>
      </c>
      <c r="F67" s="26">
        <f t="shared" si="6"/>
        <v>559</v>
      </c>
      <c r="G67" s="22">
        <f t="shared" si="7"/>
        <v>52</v>
      </c>
      <c r="H67" s="25">
        <f t="shared" si="8"/>
        <v>1056</v>
      </c>
      <c r="I67" s="24">
        <v>-1773</v>
      </c>
      <c r="J67" s="25">
        <v>2829</v>
      </c>
      <c r="K67" s="22">
        <f t="shared" si="9"/>
        <v>631</v>
      </c>
      <c r="L67" s="22">
        <f t="shared" si="10"/>
        <v>52</v>
      </c>
      <c r="M67" s="25">
        <f t="shared" si="11"/>
        <v>1163</v>
      </c>
      <c r="N67" s="24">
        <v>-1448</v>
      </c>
      <c r="O67" s="25">
        <v>2611</v>
      </c>
      <c r="P67" s="22">
        <f t="shared" si="12"/>
        <v>449</v>
      </c>
      <c r="Q67" s="36"/>
      <c r="R67" s="30"/>
    </row>
    <row r="68" spans="1:18" ht="12.75" x14ac:dyDescent="0.2">
      <c r="A68" s="98">
        <v>45792</v>
      </c>
      <c r="B68" s="22">
        <f t="shared" si="4"/>
        <v>53</v>
      </c>
      <c r="C68" s="25">
        <f t="shared" si="5"/>
        <v>1097</v>
      </c>
      <c r="D68" s="24">
        <v>-1345</v>
      </c>
      <c r="E68" s="25">
        <v>2452</v>
      </c>
      <c r="F68" s="26">
        <f t="shared" si="6"/>
        <v>565</v>
      </c>
      <c r="G68" s="22">
        <f t="shared" si="7"/>
        <v>53</v>
      </c>
      <c r="H68" s="25">
        <f t="shared" si="8"/>
        <v>1051</v>
      </c>
      <c r="I68" s="24">
        <v>-1778</v>
      </c>
      <c r="J68" s="25">
        <v>2829</v>
      </c>
      <c r="K68" s="22">
        <f t="shared" si="9"/>
        <v>636</v>
      </c>
      <c r="L68" s="22">
        <f t="shared" si="10"/>
        <v>53</v>
      </c>
      <c r="M68" s="25">
        <f t="shared" si="11"/>
        <v>1156</v>
      </c>
      <c r="N68" s="24">
        <v>-1455</v>
      </c>
      <c r="O68" s="25">
        <v>2611</v>
      </c>
      <c r="P68" s="22">
        <f t="shared" si="12"/>
        <v>456</v>
      </c>
      <c r="Q68" s="36"/>
      <c r="R68" s="30"/>
    </row>
    <row r="69" spans="1:18" ht="12.75" x14ac:dyDescent="0.2">
      <c r="A69" s="98">
        <v>45793</v>
      </c>
      <c r="B69" s="22">
        <f t="shared" si="4"/>
        <v>54</v>
      </c>
      <c r="C69" s="25">
        <f t="shared" si="5"/>
        <v>1089</v>
      </c>
      <c r="D69" s="24">
        <v>-1353</v>
      </c>
      <c r="E69" s="25">
        <v>2452</v>
      </c>
      <c r="F69" s="26">
        <f t="shared" si="6"/>
        <v>573</v>
      </c>
      <c r="G69" s="22">
        <f t="shared" si="7"/>
        <v>54</v>
      </c>
      <c r="H69" s="25">
        <f t="shared" si="8"/>
        <v>1027</v>
      </c>
      <c r="I69" s="24">
        <v>-1802</v>
      </c>
      <c r="J69" s="25">
        <v>2829</v>
      </c>
      <c r="K69" s="22">
        <f t="shared" si="9"/>
        <v>660</v>
      </c>
      <c r="L69" s="22">
        <f t="shared" si="10"/>
        <v>54</v>
      </c>
      <c r="M69" s="25">
        <f t="shared" si="11"/>
        <v>1148</v>
      </c>
      <c r="N69" s="24">
        <v>-1463</v>
      </c>
      <c r="O69" s="25">
        <v>2611</v>
      </c>
      <c r="P69" s="22">
        <f t="shared" si="12"/>
        <v>464</v>
      </c>
      <c r="Q69" s="36"/>
      <c r="R69" s="30"/>
    </row>
    <row r="70" spans="1:18" ht="12.75" x14ac:dyDescent="0.2">
      <c r="A70" s="98">
        <v>45794</v>
      </c>
      <c r="B70" s="22">
        <f t="shared" si="4"/>
        <v>55</v>
      </c>
      <c r="C70" s="25">
        <f t="shared" si="5"/>
        <v>1083</v>
      </c>
      <c r="D70" s="24">
        <v>-1359</v>
      </c>
      <c r="E70" s="25">
        <v>2452</v>
      </c>
      <c r="F70" s="26">
        <f t="shared" si="6"/>
        <v>579</v>
      </c>
      <c r="G70" s="22">
        <f t="shared" si="7"/>
        <v>55</v>
      </c>
      <c r="H70" s="25">
        <f t="shared" si="8"/>
        <v>1020</v>
      </c>
      <c r="I70" s="24">
        <v>-1809</v>
      </c>
      <c r="J70" s="25">
        <v>2829</v>
      </c>
      <c r="K70" s="22">
        <f t="shared" si="9"/>
        <v>667</v>
      </c>
      <c r="L70" s="22">
        <f t="shared" si="10"/>
        <v>55</v>
      </c>
      <c r="M70" s="25">
        <f t="shared" si="11"/>
        <v>1143</v>
      </c>
      <c r="N70" s="24">
        <v>-1468</v>
      </c>
      <c r="O70" s="25">
        <v>2611</v>
      </c>
      <c r="P70" s="22">
        <f t="shared" si="12"/>
        <v>469</v>
      </c>
      <c r="Q70" s="36"/>
      <c r="R70" s="30"/>
    </row>
    <row r="71" spans="1:18" ht="12.75" x14ac:dyDescent="0.2">
      <c r="A71" s="98">
        <v>45795</v>
      </c>
      <c r="B71" s="22">
        <f t="shared" si="4"/>
        <v>56</v>
      </c>
      <c r="C71" s="25">
        <f t="shared" si="5"/>
        <v>1076</v>
      </c>
      <c r="D71" s="24">
        <v>-1366</v>
      </c>
      <c r="E71" s="25">
        <v>2452</v>
      </c>
      <c r="F71" s="26">
        <f t="shared" si="6"/>
        <v>586</v>
      </c>
      <c r="G71" s="22">
        <f t="shared" si="7"/>
        <v>56</v>
      </c>
      <c r="H71" s="25">
        <f t="shared" si="8"/>
        <v>1013</v>
      </c>
      <c r="I71" s="24">
        <v>-1816</v>
      </c>
      <c r="J71" s="25">
        <v>2829</v>
      </c>
      <c r="K71" s="22">
        <f t="shared" si="9"/>
        <v>674</v>
      </c>
      <c r="L71" s="22">
        <f t="shared" si="10"/>
        <v>56</v>
      </c>
      <c r="M71" s="25">
        <f t="shared" si="11"/>
        <v>1138</v>
      </c>
      <c r="N71" s="24">
        <v>-1473</v>
      </c>
      <c r="O71" s="25">
        <v>2611</v>
      </c>
      <c r="P71" s="22">
        <f t="shared" si="12"/>
        <v>474</v>
      </c>
      <c r="Q71" s="36"/>
      <c r="R71" s="30"/>
    </row>
    <row r="72" spans="1:18" ht="12.75" x14ac:dyDescent="0.2">
      <c r="A72" s="98">
        <v>45796</v>
      </c>
      <c r="B72" s="22">
        <f t="shared" si="4"/>
        <v>57</v>
      </c>
      <c r="C72" s="25">
        <f t="shared" si="5"/>
        <v>1070</v>
      </c>
      <c r="D72" s="24">
        <v>-1372</v>
      </c>
      <c r="E72" s="25">
        <v>2452</v>
      </c>
      <c r="F72" s="26">
        <f t="shared" si="6"/>
        <v>592</v>
      </c>
      <c r="G72" s="22">
        <f t="shared" si="7"/>
        <v>57</v>
      </c>
      <c r="H72" s="25">
        <f t="shared" si="8"/>
        <v>1007</v>
      </c>
      <c r="I72" s="24">
        <v>-1822</v>
      </c>
      <c r="J72" s="25">
        <v>2829</v>
      </c>
      <c r="K72" s="22">
        <f t="shared" si="9"/>
        <v>680</v>
      </c>
      <c r="L72" s="22">
        <f t="shared" si="10"/>
        <v>57</v>
      </c>
      <c r="M72" s="25">
        <f t="shared" si="11"/>
        <v>1133</v>
      </c>
      <c r="N72" s="24">
        <v>-1478</v>
      </c>
      <c r="O72" s="25">
        <v>2611</v>
      </c>
      <c r="P72" s="22">
        <f t="shared" si="12"/>
        <v>479</v>
      </c>
      <c r="Q72" s="36"/>
      <c r="R72" s="30"/>
    </row>
    <row r="73" spans="1:18" ht="12.75" x14ac:dyDescent="0.2">
      <c r="A73" s="98">
        <v>45797</v>
      </c>
      <c r="B73" s="22">
        <f t="shared" si="4"/>
        <v>58</v>
      </c>
      <c r="C73" s="25">
        <f t="shared" si="5"/>
        <v>1064</v>
      </c>
      <c r="D73" s="24">
        <v>-1378</v>
      </c>
      <c r="E73" s="25">
        <v>2452</v>
      </c>
      <c r="F73" s="26">
        <f t="shared" si="6"/>
        <v>598</v>
      </c>
      <c r="G73" s="22">
        <f t="shared" si="7"/>
        <v>58</v>
      </c>
      <c r="H73" s="25">
        <f t="shared" si="8"/>
        <v>1001</v>
      </c>
      <c r="I73" s="24">
        <v>-1828</v>
      </c>
      <c r="J73" s="25">
        <v>2829</v>
      </c>
      <c r="K73" s="22">
        <f t="shared" si="9"/>
        <v>686</v>
      </c>
      <c r="L73" s="22">
        <f t="shared" si="10"/>
        <v>58</v>
      </c>
      <c r="M73" s="25">
        <f t="shared" si="11"/>
        <v>1128</v>
      </c>
      <c r="N73" s="24">
        <v>-1483</v>
      </c>
      <c r="O73" s="25">
        <v>2611</v>
      </c>
      <c r="P73" s="22">
        <f t="shared" si="12"/>
        <v>484</v>
      </c>
      <c r="Q73" s="36"/>
      <c r="R73" s="30"/>
    </row>
    <row r="74" spans="1:18" ht="12.75" x14ac:dyDescent="0.2">
      <c r="A74" s="98">
        <v>45798</v>
      </c>
      <c r="B74" s="22">
        <f t="shared" si="4"/>
        <v>59</v>
      </c>
      <c r="C74" s="25">
        <f t="shared" si="5"/>
        <v>1058</v>
      </c>
      <c r="D74" s="24">
        <v>-1384</v>
      </c>
      <c r="E74" s="25">
        <v>2452</v>
      </c>
      <c r="F74" s="26">
        <f t="shared" si="6"/>
        <v>604</v>
      </c>
      <c r="G74" s="22">
        <f t="shared" si="7"/>
        <v>59</v>
      </c>
      <c r="H74" s="25">
        <f t="shared" si="8"/>
        <v>995</v>
      </c>
      <c r="I74" s="24">
        <v>-1834</v>
      </c>
      <c r="J74" s="25">
        <v>2829</v>
      </c>
      <c r="K74" s="22">
        <f t="shared" si="9"/>
        <v>692</v>
      </c>
      <c r="L74" s="22">
        <f t="shared" si="10"/>
        <v>59</v>
      </c>
      <c r="M74" s="25">
        <f t="shared" si="11"/>
        <v>1123</v>
      </c>
      <c r="N74" s="24">
        <v>-1488</v>
      </c>
      <c r="O74" s="25">
        <v>2611</v>
      </c>
      <c r="P74" s="22">
        <f t="shared" si="12"/>
        <v>489</v>
      </c>
      <c r="Q74" s="36"/>
      <c r="R74" s="30"/>
    </row>
    <row r="75" spans="1:18" ht="12.75" x14ac:dyDescent="0.2">
      <c r="A75" s="98">
        <v>45799</v>
      </c>
      <c r="B75" s="22">
        <f t="shared" si="4"/>
        <v>60</v>
      </c>
      <c r="C75" s="25">
        <f t="shared" si="5"/>
        <v>1052</v>
      </c>
      <c r="D75" s="24">
        <v>-1390</v>
      </c>
      <c r="E75" s="25">
        <v>2452</v>
      </c>
      <c r="F75" s="26">
        <f t="shared" si="6"/>
        <v>610</v>
      </c>
      <c r="G75" s="22">
        <f t="shared" si="7"/>
        <v>60</v>
      </c>
      <c r="H75" s="25">
        <f t="shared" si="8"/>
        <v>989</v>
      </c>
      <c r="I75" s="24">
        <v>-1840</v>
      </c>
      <c r="J75" s="25">
        <v>2829</v>
      </c>
      <c r="K75" s="22">
        <f t="shared" si="9"/>
        <v>698</v>
      </c>
      <c r="L75" s="22">
        <f t="shared" si="10"/>
        <v>60</v>
      </c>
      <c r="M75" s="25">
        <f t="shared" si="11"/>
        <v>1118</v>
      </c>
      <c r="N75" s="24">
        <v>-1493</v>
      </c>
      <c r="O75" s="25">
        <v>2611</v>
      </c>
      <c r="P75" s="22">
        <f t="shared" si="12"/>
        <v>494</v>
      </c>
      <c r="Q75" s="36"/>
      <c r="R75" s="30"/>
    </row>
    <row r="76" spans="1:18" ht="12.75" x14ac:dyDescent="0.2">
      <c r="A76" s="98">
        <v>45800</v>
      </c>
      <c r="B76" s="22">
        <f t="shared" si="4"/>
        <v>61</v>
      </c>
      <c r="C76" s="25">
        <f t="shared" si="5"/>
        <v>1045</v>
      </c>
      <c r="D76" s="24">
        <v>-1397</v>
      </c>
      <c r="E76" s="25">
        <v>2452</v>
      </c>
      <c r="F76" s="26">
        <f t="shared" si="6"/>
        <v>617</v>
      </c>
      <c r="G76" s="22">
        <f t="shared" si="7"/>
        <v>61</v>
      </c>
      <c r="H76" s="25">
        <f t="shared" si="8"/>
        <v>983</v>
      </c>
      <c r="I76" s="24">
        <v>-1846</v>
      </c>
      <c r="J76" s="25">
        <v>2829</v>
      </c>
      <c r="K76" s="22">
        <f t="shared" si="9"/>
        <v>704</v>
      </c>
      <c r="L76" s="22">
        <f t="shared" si="10"/>
        <v>61</v>
      </c>
      <c r="M76" s="25">
        <f t="shared" si="11"/>
        <v>1113</v>
      </c>
      <c r="N76" s="24">
        <v>-1498</v>
      </c>
      <c r="O76" s="25">
        <v>2611</v>
      </c>
      <c r="P76" s="22">
        <f t="shared" si="12"/>
        <v>499</v>
      </c>
      <c r="Q76" s="36"/>
      <c r="R76" s="30"/>
    </row>
    <row r="77" spans="1:18" ht="12.75" x14ac:dyDescent="0.2">
      <c r="A77" s="98">
        <v>45801</v>
      </c>
      <c r="B77" s="22">
        <f t="shared" si="4"/>
        <v>62</v>
      </c>
      <c r="C77" s="25">
        <f t="shared" si="5"/>
        <v>1042</v>
      </c>
      <c r="D77" s="24">
        <v>-1400</v>
      </c>
      <c r="E77" s="25">
        <v>2452</v>
      </c>
      <c r="F77" s="26">
        <f t="shared" si="6"/>
        <v>620</v>
      </c>
      <c r="G77" s="22">
        <f t="shared" si="7"/>
        <v>62</v>
      </c>
      <c r="H77" s="25">
        <f t="shared" si="8"/>
        <v>979</v>
      </c>
      <c r="I77" s="24">
        <v>-1850</v>
      </c>
      <c r="J77" s="25">
        <v>2829</v>
      </c>
      <c r="K77" s="22">
        <f t="shared" si="9"/>
        <v>708</v>
      </c>
      <c r="L77" s="22">
        <f t="shared" si="10"/>
        <v>62</v>
      </c>
      <c r="M77" s="25">
        <f t="shared" si="11"/>
        <v>1110</v>
      </c>
      <c r="N77" s="24">
        <v>-1501</v>
      </c>
      <c r="O77" s="25">
        <v>2611</v>
      </c>
      <c r="P77" s="22">
        <f t="shared" si="12"/>
        <v>502</v>
      </c>
      <c r="Q77" s="36"/>
      <c r="R77" s="30"/>
    </row>
    <row r="78" spans="1:18" ht="12.75" x14ac:dyDescent="0.2">
      <c r="A78" s="98">
        <v>45802</v>
      </c>
      <c r="B78" s="22">
        <f t="shared" si="4"/>
        <v>63</v>
      </c>
      <c r="C78" s="25">
        <f t="shared" si="5"/>
        <v>1039</v>
      </c>
      <c r="D78" s="24">
        <v>-1403</v>
      </c>
      <c r="E78" s="25">
        <v>2452</v>
      </c>
      <c r="F78" s="26">
        <f t="shared" si="6"/>
        <v>623</v>
      </c>
      <c r="G78" s="22">
        <f t="shared" si="7"/>
        <v>63</v>
      </c>
      <c r="H78" s="25">
        <f t="shared" si="8"/>
        <v>975</v>
      </c>
      <c r="I78" s="24">
        <v>-1854</v>
      </c>
      <c r="J78" s="25">
        <v>2829</v>
      </c>
      <c r="K78" s="22">
        <f t="shared" si="9"/>
        <v>712</v>
      </c>
      <c r="L78" s="22">
        <f t="shared" si="10"/>
        <v>63</v>
      </c>
      <c r="M78" s="25">
        <f t="shared" si="11"/>
        <v>1107</v>
      </c>
      <c r="N78" s="24">
        <v>-1504</v>
      </c>
      <c r="O78" s="25">
        <v>2611</v>
      </c>
      <c r="P78" s="22">
        <f t="shared" si="12"/>
        <v>505</v>
      </c>
      <c r="Q78" s="36"/>
      <c r="R78" s="30"/>
    </row>
    <row r="79" spans="1:18" ht="12.75" x14ac:dyDescent="0.2">
      <c r="A79" s="98">
        <v>45803</v>
      </c>
      <c r="B79" s="22">
        <f t="shared" si="4"/>
        <v>64</v>
      </c>
      <c r="C79" s="25">
        <f t="shared" si="5"/>
        <v>1036</v>
      </c>
      <c r="D79" s="24">
        <v>-1406</v>
      </c>
      <c r="E79" s="25">
        <v>2452</v>
      </c>
      <c r="F79" s="26">
        <f t="shared" si="6"/>
        <v>626</v>
      </c>
      <c r="G79" s="22">
        <f t="shared" si="7"/>
        <v>64</v>
      </c>
      <c r="H79" s="25">
        <f t="shared" si="8"/>
        <v>971</v>
      </c>
      <c r="I79" s="24">
        <v>-1858</v>
      </c>
      <c r="J79" s="25">
        <v>2829</v>
      </c>
      <c r="K79" s="22">
        <f t="shared" si="9"/>
        <v>716</v>
      </c>
      <c r="L79" s="22">
        <f t="shared" si="10"/>
        <v>64</v>
      </c>
      <c r="M79" s="25">
        <f t="shared" si="11"/>
        <v>1104</v>
      </c>
      <c r="N79" s="24">
        <v>-1507</v>
      </c>
      <c r="O79" s="25">
        <v>2611</v>
      </c>
      <c r="P79" s="22">
        <f t="shared" si="12"/>
        <v>508</v>
      </c>
      <c r="Q79" s="36"/>
      <c r="R79" s="30"/>
    </row>
    <row r="80" spans="1:18" ht="12.75" x14ac:dyDescent="0.2">
      <c r="A80" s="98">
        <v>45804</v>
      </c>
      <c r="B80" s="22">
        <f t="shared" si="4"/>
        <v>65</v>
      </c>
      <c r="C80" s="25">
        <f t="shared" si="5"/>
        <v>1033</v>
      </c>
      <c r="D80" s="24">
        <v>-1409</v>
      </c>
      <c r="E80" s="25">
        <v>2452</v>
      </c>
      <c r="F80" s="26">
        <f t="shared" si="6"/>
        <v>629</v>
      </c>
      <c r="G80" s="22">
        <f t="shared" si="7"/>
        <v>65</v>
      </c>
      <c r="H80" s="25">
        <f t="shared" si="8"/>
        <v>967</v>
      </c>
      <c r="I80" s="24">
        <v>-1862</v>
      </c>
      <c r="J80" s="25">
        <v>2829</v>
      </c>
      <c r="K80" s="22">
        <f t="shared" si="9"/>
        <v>720</v>
      </c>
      <c r="L80" s="22">
        <f t="shared" si="10"/>
        <v>65</v>
      </c>
      <c r="M80" s="25">
        <f t="shared" si="11"/>
        <v>1101</v>
      </c>
      <c r="N80" s="24">
        <v>-1510</v>
      </c>
      <c r="O80" s="25">
        <v>2611</v>
      </c>
      <c r="P80" s="22">
        <f t="shared" si="12"/>
        <v>511</v>
      </c>
      <c r="Q80" s="36"/>
      <c r="R80" s="30"/>
    </row>
    <row r="81" spans="1:18" ht="12.75" x14ac:dyDescent="0.2">
      <c r="A81" s="98">
        <v>45805</v>
      </c>
      <c r="B81" s="22">
        <f t="shared" si="4"/>
        <v>66</v>
      </c>
      <c r="C81" s="25">
        <f t="shared" si="5"/>
        <v>1033</v>
      </c>
      <c r="D81" s="24">
        <v>-1409</v>
      </c>
      <c r="E81" s="25">
        <v>2452</v>
      </c>
      <c r="F81" s="26">
        <f t="shared" si="6"/>
        <v>629</v>
      </c>
      <c r="G81" s="22">
        <f t="shared" si="7"/>
        <v>66</v>
      </c>
      <c r="H81" s="25">
        <f t="shared" si="8"/>
        <v>967</v>
      </c>
      <c r="I81" s="24">
        <v>-1862</v>
      </c>
      <c r="J81" s="25">
        <v>2829</v>
      </c>
      <c r="K81" s="22">
        <f t="shared" si="9"/>
        <v>720</v>
      </c>
      <c r="L81" s="22">
        <f t="shared" si="10"/>
        <v>66</v>
      </c>
      <c r="M81" s="25">
        <f t="shared" si="11"/>
        <v>1101</v>
      </c>
      <c r="N81" s="24">
        <v>-1510</v>
      </c>
      <c r="O81" s="25">
        <v>2611</v>
      </c>
      <c r="P81" s="22">
        <f t="shared" si="12"/>
        <v>511</v>
      </c>
      <c r="Q81" s="36"/>
      <c r="R81" s="30"/>
    </row>
    <row r="82" spans="1:18" ht="12.75" x14ac:dyDescent="0.2">
      <c r="A82" s="98">
        <v>45806</v>
      </c>
      <c r="B82" s="22">
        <f t="shared" si="4"/>
        <v>67</v>
      </c>
      <c r="C82" s="25">
        <f t="shared" si="5"/>
        <v>1033</v>
      </c>
      <c r="D82" s="24">
        <v>-1409</v>
      </c>
      <c r="E82" s="25">
        <v>2452</v>
      </c>
      <c r="F82" s="26">
        <f t="shared" si="6"/>
        <v>629</v>
      </c>
      <c r="G82" s="22">
        <f t="shared" si="7"/>
        <v>67</v>
      </c>
      <c r="H82" s="25">
        <f t="shared" si="8"/>
        <v>967</v>
      </c>
      <c r="I82" s="24">
        <v>-1862</v>
      </c>
      <c r="J82" s="25">
        <v>2829</v>
      </c>
      <c r="K82" s="22">
        <f t="shared" si="9"/>
        <v>720</v>
      </c>
      <c r="L82" s="22">
        <f t="shared" si="10"/>
        <v>67</v>
      </c>
      <c r="M82" s="25">
        <f t="shared" si="11"/>
        <v>1101</v>
      </c>
      <c r="N82" s="24">
        <v>-1510</v>
      </c>
      <c r="O82" s="25">
        <v>2611</v>
      </c>
      <c r="P82" s="22">
        <f t="shared" si="12"/>
        <v>511</v>
      </c>
      <c r="Q82" s="36"/>
      <c r="R82" s="30"/>
    </row>
    <row r="83" spans="1:18" ht="12.75" x14ac:dyDescent="0.2">
      <c r="A83" s="98">
        <v>45807</v>
      </c>
      <c r="B83" s="22">
        <f t="shared" si="4"/>
        <v>68</v>
      </c>
      <c r="C83" s="25">
        <f t="shared" si="5"/>
        <v>1033</v>
      </c>
      <c r="D83" s="24">
        <v>-1409</v>
      </c>
      <c r="E83" s="25">
        <v>2452</v>
      </c>
      <c r="F83" s="26">
        <f t="shared" si="6"/>
        <v>629</v>
      </c>
      <c r="G83" s="22">
        <f t="shared" si="7"/>
        <v>68</v>
      </c>
      <c r="H83" s="25">
        <f t="shared" si="8"/>
        <v>967</v>
      </c>
      <c r="I83" s="24">
        <v>-1862</v>
      </c>
      <c r="J83" s="25">
        <v>2829</v>
      </c>
      <c r="K83" s="22">
        <f t="shared" si="9"/>
        <v>720</v>
      </c>
      <c r="L83" s="22">
        <f t="shared" si="10"/>
        <v>68</v>
      </c>
      <c r="M83" s="25">
        <f t="shared" si="11"/>
        <v>1101</v>
      </c>
      <c r="N83" s="24">
        <v>-1510</v>
      </c>
      <c r="O83" s="25">
        <v>2611</v>
      </c>
      <c r="P83" s="22">
        <f t="shared" si="12"/>
        <v>511</v>
      </c>
      <c r="Q83" s="36"/>
      <c r="R83" s="30"/>
    </row>
    <row r="84" spans="1:18" ht="12.75" x14ac:dyDescent="0.2">
      <c r="A84" s="98">
        <v>45808</v>
      </c>
      <c r="B84" s="22">
        <f t="shared" si="4"/>
        <v>69</v>
      </c>
      <c r="C84" s="25">
        <f t="shared" si="5"/>
        <v>1033</v>
      </c>
      <c r="D84" s="24">
        <v>-1409</v>
      </c>
      <c r="E84" s="25">
        <v>2452</v>
      </c>
      <c r="F84" s="26">
        <f t="shared" si="6"/>
        <v>629</v>
      </c>
      <c r="G84" s="22">
        <f t="shared" si="7"/>
        <v>69</v>
      </c>
      <c r="H84" s="25">
        <f t="shared" si="8"/>
        <v>967</v>
      </c>
      <c r="I84" s="24">
        <v>-1862</v>
      </c>
      <c r="J84" s="25">
        <v>2829</v>
      </c>
      <c r="K84" s="22">
        <f t="shared" si="9"/>
        <v>720</v>
      </c>
      <c r="L84" s="22">
        <f t="shared" si="10"/>
        <v>69</v>
      </c>
      <c r="M84" s="25">
        <f t="shared" si="11"/>
        <v>1101</v>
      </c>
      <c r="N84" s="24">
        <v>-1510</v>
      </c>
      <c r="O84" s="25">
        <v>2611</v>
      </c>
      <c r="P84" s="22">
        <f t="shared" si="12"/>
        <v>511</v>
      </c>
      <c r="Q84" s="36"/>
      <c r="R84" s="30"/>
    </row>
    <row r="85" spans="1:18" ht="12.75" x14ac:dyDescent="0.2">
      <c r="A85" s="98">
        <v>45809</v>
      </c>
      <c r="B85" s="22">
        <f t="shared" si="4"/>
        <v>70</v>
      </c>
      <c r="C85" s="25">
        <f t="shared" si="5"/>
        <v>1033</v>
      </c>
      <c r="D85" s="24">
        <v>-1409</v>
      </c>
      <c r="E85" s="25">
        <v>2452</v>
      </c>
      <c r="F85" s="26">
        <f t="shared" si="6"/>
        <v>629</v>
      </c>
      <c r="G85" s="22">
        <f t="shared" si="7"/>
        <v>70</v>
      </c>
      <c r="H85" s="25">
        <f t="shared" si="8"/>
        <v>967</v>
      </c>
      <c r="I85" s="24">
        <v>-1862</v>
      </c>
      <c r="J85" s="25">
        <v>2829</v>
      </c>
      <c r="K85" s="22">
        <f t="shared" si="9"/>
        <v>720</v>
      </c>
      <c r="L85" s="22">
        <f t="shared" si="10"/>
        <v>70</v>
      </c>
      <c r="M85" s="25">
        <f t="shared" si="11"/>
        <v>1101</v>
      </c>
      <c r="N85" s="24">
        <v>-1510</v>
      </c>
      <c r="O85" s="25">
        <v>2611</v>
      </c>
      <c r="P85" s="22">
        <f t="shared" si="12"/>
        <v>511</v>
      </c>
      <c r="Q85" s="36"/>
      <c r="R85" s="30"/>
    </row>
    <row r="86" spans="1:18" ht="12.75" x14ac:dyDescent="0.2">
      <c r="A86" s="98">
        <v>45810</v>
      </c>
      <c r="B86" s="22">
        <f t="shared" si="4"/>
        <v>71</v>
      </c>
      <c r="C86" s="25">
        <f t="shared" si="5"/>
        <v>1031</v>
      </c>
      <c r="D86" s="24">
        <v>-1411</v>
      </c>
      <c r="E86" s="25">
        <v>2452</v>
      </c>
      <c r="F86" s="26">
        <f t="shared" si="6"/>
        <v>631</v>
      </c>
      <c r="G86" s="22">
        <f t="shared" si="7"/>
        <v>71</v>
      </c>
      <c r="H86" s="25">
        <f t="shared" si="8"/>
        <v>967</v>
      </c>
      <c r="I86" s="24">
        <v>-1862</v>
      </c>
      <c r="J86" s="25">
        <v>2829</v>
      </c>
      <c r="K86" s="22">
        <f t="shared" si="9"/>
        <v>720</v>
      </c>
      <c r="L86" s="22">
        <f t="shared" si="10"/>
        <v>71</v>
      </c>
      <c r="M86" s="25">
        <f t="shared" si="11"/>
        <v>1101</v>
      </c>
      <c r="N86" s="24">
        <v>-1510</v>
      </c>
      <c r="O86" s="25">
        <v>2611</v>
      </c>
      <c r="P86" s="22">
        <f t="shared" si="12"/>
        <v>511</v>
      </c>
      <c r="Q86" s="36"/>
      <c r="R86" s="30"/>
    </row>
    <row r="87" spans="1:18" ht="12.75" x14ac:dyDescent="0.2">
      <c r="A87" s="98">
        <v>45811</v>
      </c>
      <c r="B87" s="22">
        <f t="shared" si="4"/>
        <v>72</v>
      </c>
      <c r="C87" s="25">
        <f t="shared" si="5"/>
        <v>1029</v>
      </c>
      <c r="D87" s="24">
        <v>-1413</v>
      </c>
      <c r="E87" s="25">
        <v>2452</v>
      </c>
      <c r="F87" s="26">
        <f t="shared" si="6"/>
        <v>633</v>
      </c>
      <c r="G87" s="22">
        <f t="shared" si="7"/>
        <v>72</v>
      </c>
      <c r="H87" s="25">
        <f t="shared" si="8"/>
        <v>967</v>
      </c>
      <c r="I87" s="24">
        <v>-1862</v>
      </c>
      <c r="J87" s="25">
        <v>2829</v>
      </c>
      <c r="K87" s="22">
        <f t="shared" si="9"/>
        <v>720</v>
      </c>
      <c r="L87" s="22">
        <f t="shared" si="10"/>
        <v>72</v>
      </c>
      <c r="M87" s="25">
        <f t="shared" si="11"/>
        <v>1101</v>
      </c>
      <c r="N87" s="24">
        <v>-1510</v>
      </c>
      <c r="O87" s="25">
        <v>2611</v>
      </c>
      <c r="P87" s="22">
        <f t="shared" si="12"/>
        <v>511</v>
      </c>
      <c r="Q87" s="36"/>
      <c r="R87" s="30"/>
    </row>
    <row r="88" spans="1:18" ht="12.75" x14ac:dyDescent="0.2">
      <c r="A88" s="98">
        <v>45812</v>
      </c>
      <c r="B88" s="22">
        <f t="shared" si="4"/>
        <v>73</v>
      </c>
      <c r="C88" s="25">
        <f t="shared" si="5"/>
        <v>1027</v>
      </c>
      <c r="D88" s="24">
        <v>-1415</v>
      </c>
      <c r="E88" s="25">
        <v>2452</v>
      </c>
      <c r="F88" s="26">
        <f t="shared" si="6"/>
        <v>635</v>
      </c>
      <c r="G88" s="22">
        <f t="shared" si="7"/>
        <v>73</v>
      </c>
      <c r="H88" s="25">
        <f t="shared" si="8"/>
        <v>967</v>
      </c>
      <c r="I88" s="24">
        <v>-1862</v>
      </c>
      <c r="J88" s="25">
        <v>2829</v>
      </c>
      <c r="K88" s="22">
        <f t="shared" si="9"/>
        <v>720</v>
      </c>
      <c r="L88" s="22">
        <f t="shared" si="10"/>
        <v>73</v>
      </c>
      <c r="M88" s="25">
        <f t="shared" si="11"/>
        <v>1101</v>
      </c>
      <c r="N88" s="24">
        <v>-1510</v>
      </c>
      <c r="O88" s="25">
        <v>2611</v>
      </c>
      <c r="P88" s="22">
        <f t="shared" si="12"/>
        <v>511</v>
      </c>
      <c r="Q88" s="36"/>
      <c r="R88" s="30"/>
    </row>
    <row r="89" spans="1:18" ht="12.75" x14ac:dyDescent="0.2">
      <c r="A89" s="98">
        <v>45813</v>
      </c>
      <c r="B89" s="22">
        <f t="shared" si="4"/>
        <v>74</v>
      </c>
      <c r="C89" s="25">
        <f t="shared" si="5"/>
        <v>1025</v>
      </c>
      <c r="D89" s="24">
        <v>-1417</v>
      </c>
      <c r="E89" s="25">
        <v>2452</v>
      </c>
      <c r="F89" s="26">
        <f t="shared" si="6"/>
        <v>637</v>
      </c>
      <c r="G89" s="22">
        <f t="shared" si="7"/>
        <v>74</v>
      </c>
      <c r="H89" s="25">
        <f t="shared" si="8"/>
        <v>967</v>
      </c>
      <c r="I89" s="24">
        <v>-1862</v>
      </c>
      <c r="J89" s="25">
        <v>2829</v>
      </c>
      <c r="K89" s="22">
        <f t="shared" si="9"/>
        <v>720</v>
      </c>
      <c r="L89" s="22">
        <f t="shared" si="10"/>
        <v>74</v>
      </c>
      <c r="M89" s="25">
        <f t="shared" si="11"/>
        <v>1101</v>
      </c>
      <c r="N89" s="24">
        <v>-1510</v>
      </c>
      <c r="O89" s="25">
        <v>2611</v>
      </c>
      <c r="P89" s="22">
        <f t="shared" si="12"/>
        <v>511</v>
      </c>
      <c r="Q89" s="36"/>
      <c r="R89" s="30"/>
    </row>
    <row r="90" spans="1:18" ht="12.75" x14ac:dyDescent="0.2">
      <c r="A90" s="98">
        <v>45814</v>
      </c>
      <c r="B90" s="22">
        <f t="shared" si="4"/>
        <v>75</v>
      </c>
      <c r="C90" s="25">
        <f t="shared" si="5"/>
        <v>1023</v>
      </c>
      <c r="D90" s="24">
        <v>-1419</v>
      </c>
      <c r="E90" s="25">
        <v>2452</v>
      </c>
      <c r="F90" s="26">
        <f t="shared" si="6"/>
        <v>639</v>
      </c>
      <c r="G90" s="22">
        <f t="shared" si="7"/>
        <v>75</v>
      </c>
      <c r="H90" s="25">
        <f t="shared" si="8"/>
        <v>967</v>
      </c>
      <c r="I90" s="24">
        <v>-1862</v>
      </c>
      <c r="J90" s="25">
        <v>2829</v>
      </c>
      <c r="K90" s="22">
        <f t="shared" si="9"/>
        <v>720</v>
      </c>
      <c r="L90" s="22">
        <f t="shared" si="10"/>
        <v>75</v>
      </c>
      <c r="M90" s="25">
        <f t="shared" si="11"/>
        <v>1100</v>
      </c>
      <c r="N90" s="24">
        <v>-1511</v>
      </c>
      <c r="O90" s="25">
        <v>2611</v>
      </c>
      <c r="P90" s="22">
        <f t="shared" si="12"/>
        <v>512</v>
      </c>
      <c r="Q90" s="36"/>
      <c r="R90" s="30"/>
    </row>
    <row r="91" spans="1:18" ht="12.75" x14ac:dyDescent="0.2">
      <c r="A91" s="98">
        <v>45815</v>
      </c>
      <c r="B91" s="22">
        <f t="shared" si="4"/>
        <v>76</v>
      </c>
      <c r="C91" s="25">
        <f t="shared" si="5"/>
        <v>1021</v>
      </c>
      <c r="D91" s="24">
        <v>-1421</v>
      </c>
      <c r="E91" s="25">
        <v>2452</v>
      </c>
      <c r="F91" s="26">
        <f t="shared" si="6"/>
        <v>641</v>
      </c>
      <c r="G91" s="22">
        <f t="shared" si="7"/>
        <v>76</v>
      </c>
      <c r="H91" s="25">
        <f t="shared" si="8"/>
        <v>967</v>
      </c>
      <c r="I91" s="24">
        <v>-1862</v>
      </c>
      <c r="J91" s="25">
        <v>2829</v>
      </c>
      <c r="K91" s="22">
        <f t="shared" si="9"/>
        <v>720</v>
      </c>
      <c r="L91" s="22">
        <f t="shared" si="10"/>
        <v>76</v>
      </c>
      <c r="M91" s="25">
        <f t="shared" si="11"/>
        <v>1097</v>
      </c>
      <c r="N91" s="24">
        <v>-1514</v>
      </c>
      <c r="O91" s="25">
        <v>2611</v>
      </c>
      <c r="P91" s="22">
        <f t="shared" si="12"/>
        <v>515</v>
      </c>
      <c r="Q91" s="36"/>
      <c r="R91" s="30"/>
    </row>
    <row r="92" spans="1:18" ht="12.75" x14ac:dyDescent="0.2">
      <c r="A92" s="98">
        <v>45816</v>
      </c>
      <c r="B92" s="22">
        <f t="shared" si="4"/>
        <v>77</v>
      </c>
      <c r="C92" s="25">
        <f t="shared" si="5"/>
        <v>1019</v>
      </c>
      <c r="D92" s="24">
        <v>-1423</v>
      </c>
      <c r="E92" s="25">
        <v>2452</v>
      </c>
      <c r="F92" s="26">
        <f t="shared" si="6"/>
        <v>643</v>
      </c>
      <c r="G92" s="22">
        <f t="shared" si="7"/>
        <v>77</v>
      </c>
      <c r="H92" s="25">
        <f t="shared" si="8"/>
        <v>967</v>
      </c>
      <c r="I92" s="24">
        <v>-1862</v>
      </c>
      <c r="J92" s="25">
        <v>2829</v>
      </c>
      <c r="K92" s="22">
        <f t="shared" si="9"/>
        <v>720</v>
      </c>
      <c r="L92" s="22">
        <f t="shared" si="10"/>
        <v>77</v>
      </c>
      <c r="M92" s="25">
        <f t="shared" si="11"/>
        <v>1094</v>
      </c>
      <c r="N92" s="24">
        <v>-1517</v>
      </c>
      <c r="O92" s="25">
        <v>2611</v>
      </c>
      <c r="P92" s="22">
        <f t="shared" si="12"/>
        <v>518</v>
      </c>
      <c r="Q92" s="36"/>
      <c r="R92" s="30"/>
    </row>
    <row r="93" spans="1:18" ht="12.75" x14ac:dyDescent="0.2">
      <c r="A93" s="98">
        <v>45817</v>
      </c>
      <c r="B93" s="22">
        <f t="shared" si="4"/>
        <v>78</v>
      </c>
      <c r="C93" s="25">
        <f t="shared" si="5"/>
        <v>1017</v>
      </c>
      <c r="D93" s="24">
        <v>-1425</v>
      </c>
      <c r="E93" s="25">
        <v>2452</v>
      </c>
      <c r="F93" s="26">
        <f t="shared" si="6"/>
        <v>645</v>
      </c>
      <c r="G93" s="22">
        <f t="shared" si="7"/>
        <v>78</v>
      </c>
      <c r="H93" s="25">
        <f t="shared" si="8"/>
        <v>965</v>
      </c>
      <c r="I93" s="24">
        <v>-1864</v>
      </c>
      <c r="J93" s="25">
        <v>2829</v>
      </c>
      <c r="K93" s="22">
        <f t="shared" si="9"/>
        <v>722</v>
      </c>
      <c r="L93" s="22">
        <f t="shared" si="10"/>
        <v>78</v>
      </c>
      <c r="M93" s="25">
        <f t="shared" si="11"/>
        <v>1091</v>
      </c>
      <c r="N93" s="24">
        <v>-1520</v>
      </c>
      <c r="O93" s="25">
        <v>2611</v>
      </c>
      <c r="P93" s="22">
        <f t="shared" si="12"/>
        <v>521</v>
      </c>
      <c r="Q93" s="36"/>
      <c r="R93" s="30"/>
    </row>
    <row r="94" spans="1:18" ht="12.75" x14ac:dyDescent="0.2">
      <c r="A94" s="98">
        <v>45818</v>
      </c>
      <c r="B94" s="22">
        <f t="shared" si="4"/>
        <v>79</v>
      </c>
      <c r="C94" s="25">
        <f t="shared" si="5"/>
        <v>1015</v>
      </c>
      <c r="D94" s="24">
        <v>-1427</v>
      </c>
      <c r="E94" s="25">
        <v>2452</v>
      </c>
      <c r="F94" s="26">
        <f t="shared" si="6"/>
        <v>647</v>
      </c>
      <c r="G94" s="22">
        <f t="shared" si="7"/>
        <v>79</v>
      </c>
      <c r="H94" s="25">
        <f t="shared" si="8"/>
        <v>962</v>
      </c>
      <c r="I94" s="24">
        <v>-1867</v>
      </c>
      <c r="J94" s="25">
        <v>2829</v>
      </c>
      <c r="K94" s="22">
        <f t="shared" si="9"/>
        <v>725</v>
      </c>
      <c r="L94" s="22">
        <f t="shared" si="10"/>
        <v>79</v>
      </c>
      <c r="M94" s="25">
        <f t="shared" si="11"/>
        <v>1088</v>
      </c>
      <c r="N94" s="24">
        <v>-1523</v>
      </c>
      <c r="O94" s="25">
        <v>2611</v>
      </c>
      <c r="P94" s="22">
        <f t="shared" si="12"/>
        <v>524</v>
      </c>
      <c r="Q94" s="36"/>
      <c r="R94" s="30"/>
    </row>
    <row r="95" spans="1:18" ht="12.75" x14ac:dyDescent="0.2">
      <c r="A95" s="98">
        <v>45819</v>
      </c>
      <c r="B95" s="22">
        <f t="shared" si="4"/>
        <v>80</v>
      </c>
      <c r="C95" s="25">
        <f t="shared" si="5"/>
        <v>1013</v>
      </c>
      <c r="D95" s="24">
        <v>-1429</v>
      </c>
      <c r="E95" s="25">
        <v>2452</v>
      </c>
      <c r="F95" s="26">
        <f t="shared" si="6"/>
        <v>649</v>
      </c>
      <c r="G95" s="22">
        <f t="shared" si="7"/>
        <v>80</v>
      </c>
      <c r="H95" s="25">
        <f t="shared" si="8"/>
        <v>959</v>
      </c>
      <c r="I95" s="24">
        <v>-1870</v>
      </c>
      <c r="J95" s="25">
        <v>2829</v>
      </c>
      <c r="K95" s="22">
        <f t="shared" si="9"/>
        <v>728</v>
      </c>
      <c r="L95" s="22">
        <f t="shared" si="10"/>
        <v>80</v>
      </c>
      <c r="M95" s="25">
        <f t="shared" si="11"/>
        <v>1085</v>
      </c>
      <c r="N95" s="24">
        <v>-1526</v>
      </c>
      <c r="O95" s="25">
        <v>2611</v>
      </c>
      <c r="P95" s="22">
        <f t="shared" si="12"/>
        <v>527</v>
      </c>
      <c r="Q95" s="36"/>
      <c r="R95" s="30"/>
    </row>
    <row r="96" spans="1:18" ht="12.75" x14ac:dyDescent="0.2">
      <c r="A96" s="98">
        <v>45820</v>
      </c>
      <c r="B96" s="22">
        <f t="shared" si="4"/>
        <v>81</v>
      </c>
      <c r="C96" s="25">
        <f t="shared" si="5"/>
        <v>1011</v>
      </c>
      <c r="D96" s="24">
        <v>-1431</v>
      </c>
      <c r="E96" s="25">
        <v>2452</v>
      </c>
      <c r="F96" s="26">
        <f t="shared" si="6"/>
        <v>651</v>
      </c>
      <c r="G96" s="22">
        <f t="shared" si="7"/>
        <v>81</v>
      </c>
      <c r="H96" s="25">
        <f t="shared" si="8"/>
        <v>956</v>
      </c>
      <c r="I96" s="24">
        <v>-1873</v>
      </c>
      <c r="J96" s="25">
        <v>2829</v>
      </c>
      <c r="K96" s="22">
        <f t="shared" si="9"/>
        <v>731</v>
      </c>
      <c r="L96" s="22">
        <f t="shared" si="10"/>
        <v>81</v>
      </c>
      <c r="M96" s="25">
        <f t="shared" si="11"/>
        <v>1082</v>
      </c>
      <c r="N96" s="24">
        <v>-1529</v>
      </c>
      <c r="O96" s="25">
        <v>2611</v>
      </c>
      <c r="P96" s="22">
        <f t="shared" si="12"/>
        <v>530</v>
      </c>
      <c r="Q96" s="36"/>
      <c r="R96" s="30"/>
    </row>
    <row r="97" spans="1:18" ht="12.75" x14ac:dyDescent="0.2">
      <c r="A97" s="98">
        <v>45821</v>
      </c>
      <c r="B97" s="22">
        <f t="shared" si="4"/>
        <v>82</v>
      </c>
      <c r="C97" s="25">
        <f t="shared" si="5"/>
        <v>1009</v>
      </c>
      <c r="D97" s="24">
        <v>-1433</v>
      </c>
      <c r="E97" s="25">
        <v>2452</v>
      </c>
      <c r="F97" s="26">
        <f t="shared" si="6"/>
        <v>653</v>
      </c>
      <c r="G97" s="22">
        <f t="shared" si="7"/>
        <v>82</v>
      </c>
      <c r="H97" s="25">
        <f t="shared" si="8"/>
        <v>953</v>
      </c>
      <c r="I97" s="24">
        <v>-1876</v>
      </c>
      <c r="J97" s="25">
        <v>2829</v>
      </c>
      <c r="K97" s="22">
        <f t="shared" si="9"/>
        <v>734</v>
      </c>
      <c r="L97" s="22">
        <f t="shared" si="10"/>
        <v>82</v>
      </c>
      <c r="M97" s="25">
        <f t="shared" si="11"/>
        <v>1079</v>
      </c>
      <c r="N97" s="24">
        <v>-1532</v>
      </c>
      <c r="O97" s="25">
        <v>2611</v>
      </c>
      <c r="P97" s="22">
        <f t="shared" si="12"/>
        <v>533</v>
      </c>
      <c r="Q97" s="36"/>
      <c r="R97" s="30"/>
    </row>
    <row r="98" spans="1:18" ht="12.75" x14ac:dyDescent="0.2">
      <c r="A98" s="98">
        <v>45822</v>
      </c>
      <c r="B98" s="22">
        <f t="shared" si="4"/>
        <v>83</v>
      </c>
      <c r="C98" s="25">
        <f t="shared" si="5"/>
        <v>1007</v>
      </c>
      <c r="D98" s="24">
        <v>-1435</v>
      </c>
      <c r="E98" s="25">
        <v>2452</v>
      </c>
      <c r="F98" s="26">
        <f t="shared" si="6"/>
        <v>655</v>
      </c>
      <c r="G98" s="22">
        <f t="shared" si="7"/>
        <v>83</v>
      </c>
      <c r="H98" s="25">
        <f t="shared" si="8"/>
        <v>950</v>
      </c>
      <c r="I98" s="24">
        <v>-1879</v>
      </c>
      <c r="J98" s="25">
        <v>2829</v>
      </c>
      <c r="K98" s="22">
        <f t="shared" si="9"/>
        <v>737</v>
      </c>
      <c r="L98" s="22">
        <f t="shared" si="10"/>
        <v>83</v>
      </c>
      <c r="M98" s="25">
        <f t="shared" si="11"/>
        <v>1076</v>
      </c>
      <c r="N98" s="24">
        <v>-1535</v>
      </c>
      <c r="O98" s="25">
        <v>2611</v>
      </c>
      <c r="P98" s="22">
        <f t="shared" si="12"/>
        <v>536</v>
      </c>
      <c r="Q98" s="36"/>
      <c r="R98" s="30"/>
    </row>
    <row r="99" spans="1:18" ht="12.75" x14ac:dyDescent="0.2">
      <c r="A99" s="98">
        <v>45823</v>
      </c>
      <c r="B99" s="22">
        <f t="shared" si="4"/>
        <v>84</v>
      </c>
      <c r="C99" s="25">
        <f t="shared" si="5"/>
        <v>1005</v>
      </c>
      <c r="D99" s="24">
        <v>-1437</v>
      </c>
      <c r="E99" s="25">
        <v>2452</v>
      </c>
      <c r="F99" s="26">
        <f t="shared" si="6"/>
        <v>657</v>
      </c>
      <c r="G99" s="22">
        <f t="shared" si="7"/>
        <v>84</v>
      </c>
      <c r="H99" s="25">
        <f t="shared" si="8"/>
        <v>947</v>
      </c>
      <c r="I99" s="24">
        <v>-1882</v>
      </c>
      <c r="J99" s="25">
        <v>2829</v>
      </c>
      <c r="K99" s="22">
        <f t="shared" si="9"/>
        <v>740</v>
      </c>
      <c r="L99" s="22">
        <f t="shared" si="10"/>
        <v>84</v>
      </c>
      <c r="M99" s="25">
        <f t="shared" si="11"/>
        <v>1073</v>
      </c>
      <c r="N99" s="24">
        <v>-1538</v>
      </c>
      <c r="O99" s="25">
        <v>2611</v>
      </c>
      <c r="P99" s="22">
        <f t="shared" si="12"/>
        <v>539</v>
      </c>
      <c r="Q99" s="36"/>
      <c r="R99" s="30"/>
    </row>
    <row r="100" spans="1:18" ht="12.75" x14ac:dyDescent="0.2">
      <c r="A100" s="98">
        <v>45824</v>
      </c>
      <c r="B100" s="22">
        <f t="shared" si="4"/>
        <v>85</v>
      </c>
      <c r="C100" s="25">
        <f t="shared" si="5"/>
        <v>1005</v>
      </c>
      <c r="D100" s="24">
        <v>-1437</v>
      </c>
      <c r="E100" s="25">
        <v>2452</v>
      </c>
      <c r="F100" s="26">
        <f t="shared" si="6"/>
        <v>657</v>
      </c>
      <c r="G100" s="22">
        <f t="shared" si="7"/>
        <v>85</v>
      </c>
      <c r="H100" s="25">
        <f t="shared" si="8"/>
        <v>947</v>
      </c>
      <c r="I100" s="24">
        <v>-1882</v>
      </c>
      <c r="J100" s="25">
        <v>2829</v>
      </c>
      <c r="K100" s="22">
        <f t="shared" si="9"/>
        <v>740</v>
      </c>
      <c r="L100" s="22">
        <f t="shared" si="10"/>
        <v>85</v>
      </c>
      <c r="M100" s="25">
        <f t="shared" si="11"/>
        <v>1073</v>
      </c>
      <c r="N100" s="24">
        <v>-1538</v>
      </c>
      <c r="O100" s="25">
        <v>2611</v>
      </c>
      <c r="P100" s="22">
        <f t="shared" si="12"/>
        <v>539</v>
      </c>
      <c r="Q100" s="36"/>
      <c r="R100" s="30"/>
    </row>
    <row r="101" spans="1:18" ht="12.75" x14ac:dyDescent="0.2">
      <c r="A101" s="98">
        <v>45825</v>
      </c>
      <c r="B101" s="22">
        <f t="shared" si="4"/>
        <v>86</v>
      </c>
      <c r="C101" s="25">
        <f t="shared" si="5"/>
        <v>1005</v>
      </c>
      <c r="D101" s="24">
        <v>-1437</v>
      </c>
      <c r="E101" s="25">
        <v>2452</v>
      </c>
      <c r="F101" s="26">
        <f t="shared" si="6"/>
        <v>657</v>
      </c>
      <c r="G101" s="22">
        <f t="shared" si="7"/>
        <v>86</v>
      </c>
      <c r="H101" s="25">
        <f t="shared" si="8"/>
        <v>947</v>
      </c>
      <c r="I101" s="24">
        <v>-1882</v>
      </c>
      <c r="J101" s="25">
        <v>2829</v>
      </c>
      <c r="K101" s="22">
        <f t="shared" si="9"/>
        <v>740</v>
      </c>
      <c r="L101" s="22">
        <f t="shared" si="10"/>
        <v>86</v>
      </c>
      <c r="M101" s="25">
        <f t="shared" si="11"/>
        <v>1073</v>
      </c>
      <c r="N101" s="24">
        <v>-1538</v>
      </c>
      <c r="O101" s="25">
        <v>2611</v>
      </c>
      <c r="P101" s="22">
        <f t="shared" si="12"/>
        <v>539</v>
      </c>
      <c r="Q101" s="36"/>
      <c r="R101" s="30"/>
    </row>
    <row r="102" spans="1:18" ht="12.75" x14ac:dyDescent="0.2">
      <c r="A102" s="98">
        <v>45826</v>
      </c>
      <c r="B102" s="22">
        <f t="shared" si="4"/>
        <v>87</v>
      </c>
      <c r="C102" s="25">
        <f t="shared" si="5"/>
        <v>1005</v>
      </c>
      <c r="D102" s="24">
        <v>-1437</v>
      </c>
      <c r="E102" s="25">
        <v>2452</v>
      </c>
      <c r="F102" s="26">
        <f t="shared" si="6"/>
        <v>657</v>
      </c>
      <c r="G102" s="22">
        <f t="shared" si="7"/>
        <v>87</v>
      </c>
      <c r="H102" s="25">
        <f t="shared" si="8"/>
        <v>947</v>
      </c>
      <c r="I102" s="24">
        <v>-1882</v>
      </c>
      <c r="J102" s="25">
        <v>2829</v>
      </c>
      <c r="K102" s="22">
        <f t="shared" si="9"/>
        <v>740</v>
      </c>
      <c r="L102" s="22">
        <f t="shared" si="10"/>
        <v>87</v>
      </c>
      <c r="M102" s="25">
        <f t="shared" si="11"/>
        <v>1073</v>
      </c>
      <c r="N102" s="24">
        <v>-1538</v>
      </c>
      <c r="O102" s="25">
        <v>2611</v>
      </c>
      <c r="P102" s="22">
        <f t="shared" si="12"/>
        <v>539</v>
      </c>
      <c r="Q102" s="36"/>
      <c r="R102" s="30"/>
    </row>
    <row r="103" spans="1:18" ht="12.75" x14ac:dyDescent="0.2">
      <c r="A103" s="98">
        <v>45827</v>
      </c>
      <c r="B103" s="22">
        <f t="shared" si="4"/>
        <v>88</v>
      </c>
      <c r="C103" s="25">
        <f t="shared" si="5"/>
        <v>1005</v>
      </c>
      <c r="D103" s="24">
        <v>-1437</v>
      </c>
      <c r="E103" s="25">
        <v>2452</v>
      </c>
      <c r="F103" s="26">
        <f t="shared" si="6"/>
        <v>657</v>
      </c>
      <c r="G103" s="22">
        <f t="shared" si="7"/>
        <v>88</v>
      </c>
      <c r="H103" s="25">
        <f t="shared" si="8"/>
        <v>947</v>
      </c>
      <c r="I103" s="24">
        <v>-1882</v>
      </c>
      <c r="J103" s="25">
        <v>2829</v>
      </c>
      <c r="K103" s="22">
        <f t="shared" si="9"/>
        <v>740</v>
      </c>
      <c r="L103" s="22">
        <f t="shared" si="10"/>
        <v>88</v>
      </c>
      <c r="M103" s="25">
        <f t="shared" si="11"/>
        <v>1073</v>
      </c>
      <c r="N103" s="24">
        <v>-1538</v>
      </c>
      <c r="O103" s="25">
        <v>2611</v>
      </c>
      <c r="P103" s="22">
        <f t="shared" si="12"/>
        <v>539</v>
      </c>
      <c r="Q103" s="36"/>
      <c r="R103" s="30"/>
    </row>
    <row r="104" spans="1:18" ht="12.75" x14ac:dyDescent="0.2">
      <c r="A104" s="98">
        <v>45828</v>
      </c>
      <c r="B104" s="22">
        <f t="shared" si="4"/>
        <v>89</v>
      </c>
      <c r="C104" s="25">
        <f t="shared" si="5"/>
        <v>1005</v>
      </c>
      <c r="D104" s="24">
        <v>-1437</v>
      </c>
      <c r="E104" s="25">
        <v>2452</v>
      </c>
      <c r="F104" s="26">
        <f t="shared" si="6"/>
        <v>657</v>
      </c>
      <c r="G104" s="22">
        <f t="shared" si="7"/>
        <v>89</v>
      </c>
      <c r="H104" s="25">
        <f t="shared" si="8"/>
        <v>947</v>
      </c>
      <c r="I104" s="24">
        <v>-1882</v>
      </c>
      <c r="J104" s="25">
        <v>2829</v>
      </c>
      <c r="K104" s="22">
        <f t="shared" si="9"/>
        <v>740</v>
      </c>
      <c r="L104" s="22">
        <f t="shared" si="10"/>
        <v>89</v>
      </c>
      <c r="M104" s="25">
        <f t="shared" si="11"/>
        <v>1073</v>
      </c>
      <c r="N104" s="24">
        <v>-1538</v>
      </c>
      <c r="O104" s="25">
        <v>2611</v>
      </c>
      <c r="P104" s="22">
        <f t="shared" si="12"/>
        <v>539</v>
      </c>
      <c r="Q104" s="36"/>
      <c r="R104" s="30"/>
    </row>
    <row r="105" spans="1:18" ht="12.75" x14ac:dyDescent="0.2">
      <c r="A105" s="98">
        <v>45829</v>
      </c>
      <c r="B105" s="22">
        <f t="shared" si="4"/>
        <v>90</v>
      </c>
      <c r="C105" s="25">
        <f t="shared" si="5"/>
        <v>1005</v>
      </c>
      <c r="D105" s="24">
        <v>-1437</v>
      </c>
      <c r="E105" s="25">
        <v>2452</v>
      </c>
      <c r="F105" s="26">
        <f t="shared" si="6"/>
        <v>657</v>
      </c>
      <c r="G105" s="22">
        <f t="shared" si="7"/>
        <v>90</v>
      </c>
      <c r="H105" s="25">
        <f t="shared" si="8"/>
        <v>947</v>
      </c>
      <c r="I105" s="24">
        <v>-1882</v>
      </c>
      <c r="J105" s="25">
        <v>2829</v>
      </c>
      <c r="K105" s="22">
        <f t="shared" si="9"/>
        <v>740</v>
      </c>
      <c r="L105" s="22">
        <f t="shared" si="10"/>
        <v>90</v>
      </c>
      <c r="M105" s="25">
        <f t="shared" si="11"/>
        <v>1073</v>
      </c>
      <c r="N105" s="24">
        <v>-1538</v>
      </c>
      <c r="O105" s="25">
        <v>2611</v>
      </c>
      <c r="P105" s="22">
        <f t="shared" si="12"/>
        <v>539</v>
      </c>
      <c r="Q105" s="36"/>
      <c r="R105" s="30"/>
    </row>
    <row r="106" spans="1:18" ht="12.75" x14ac:dyDescent="0.2">
      <c r="A106" s="98">
        <v>45830</v>
      </c>
      <c r="B106" s="22">
        <f t="shared" si="4"/>
        <v>91</v>
      </c>
      <c r="C106" s="25">
        <f t="shared" si="5"/>
        <v>1005</v>
      </c>
      <c r="D106" s="24">
        <v>-1437</v>
      </c>
      <c r="E106" s="25">
        <v>2452</v>
      </c>
      <c r="F106" s="26">
        <f t="shared" si="6"/>
        <v>657</v>
      </c>
      <c r="G106" s="22">
        <f t="shared" si="7"/>
        <v>91</v>
      </c>
      <c r="H106" s="25">
        <f t="shared" si="8"/>
        <v>947</v>
      </c>
      <c r="I106" s="24">
        <v>-1882</v>
      </c>
      <c r="J106" s="25">
        <v>2829</v>
      </c>
      <c r="K106" s="22">
        <f t="shared" si="9"/>
        <v>740</v>
      </c>
      <c r="L106" s="22">
        <f t="shared" si="10"/>
        <v>91</v>
      </c>
      <c r="M106" s="25">
        <f t="shared" si="11"/>
        <v>1073</v>
      </c>
      <c r="N106" s="24">
        <v>-1538</v>
      </c>
      <c r="O106" s="25">
        <v>2611</v>
      </c>
      <c r="P106" s="22">
        <f t="shared" si="12"/>
        <v>539</v>
      </c>
      <c r="Q106" s="36"/>
      <c r="R106" s="30"/>
    </row>
    <row r="107" spans="1:18" ht="12.75" x14ac:dyDescent="0.2">
      <c r="A107" s="98">
        <v>45831</v>
      </c>
      <c r="B107" s="22">
        <f t="shared" si="4"/>
        <v>92</v>
      </c>
      <c r="C107" s="25">
        <f t="shared" si="5"/>
        <v>1005</v>
      </c>
      <c r="D107" s="24">
        <v>-1437</v>
      </c>
      <c r="E107" s="25">
        <v>2452</v>
      </c>
      <c r="F107" s="26">
        <f t="shared" si="6"/>
        <v>657</v>
      </c>
      <c r="G107" s="22">
        <f t="shared" si="7"/>
        <v>92</v>
      </c>
      <c r="H107" s="25">
        <f t="shared" si="8"/>
        <v>947</v>
      </c>
      <c r="I107" s="24">
        <v>-1882</v>
      </c>
      <c r="J107" s="25">
        <v>2829</v>
      </c>
      <c r="K107" s="22">
        <f t="shared" si="9"/>
        <v>740</v>
      </c>
      <c r="L107" s="22">
        <f t="shared" si="10"/>
        <v>92</v>
      </c>
      <c r="M107" s="25">
        <f t="shared" si="11"/>
        <v>1073</v>
      </c>
      <c r="N107" s="24">
        <v>-1538</v>
      </c>
      <c r="O107" s="25">
        <v>2611</v>
      </c>
      <c r="P107" s="22">
        <f t="shared" si="12"/>
        <v>539</v>
      </c>
      <c r="Q107" s="36"/>
      <c r="R107" s="30"/>
    </row>
    <row r="108" spans="1:18" ht="12.75" x14ac:dyDescent="0.2">
      <c r="A108" s="98">
        <v>45832</v>
      </c>
      <c r="B108" s="22">
        <f t="shared" si="4"/>
        <v>93</v>
      </c>
      <c r="C108" s="25">
        <f t="shared" si="5"/>
        <v>1005</v>
      </c>
      <c r="D108" s="24">
        <v>-1437</v>
      </c>
      <c r="E108" s="25">
        <v>2452</v>
      </c>
      <c r="F108" s="26">
        <f t="shared" si="6"/>
        <v>657</v>
      </c>
      <c r="G108" s="22">
        <f t="shared" si="7"/>
        <v>93</v>
      </c>
      <c r="H108" s="25">
        <f t="shared" si="8"/>
        <v>947</v>
      </c>
      <c r="I108" s="24">
        <v>-1882</v>
      </c>
      <c r="J108" s="25">
        <v>2829</v>
      </c>
      <c r="K108" s="22">
        <f t="shared" si="9"/>
        <v>740</v>
      </c>
      <c r="L108" s="22">
        <f t="shared" si="10"/>
        <v>93</v>
      </c>
      <c r="M108" s="25">
        <f t="shared" si="11"/>
        <v>1073</v>
      </c>
      <c r="N108" s="24">
        <v>-1538</v>
      </c>
      <c r="O108" s="25">
        <v>2611</v>
      </c>
      <c r="P108" s="22">
        <f t="shared" si="12"/>
        <v>539</v>
      </c>
      <c r="Q108" s="36"/>
      <c r="R108" s="30"/>
    </row>
    <row r="109" spans="1:18" ht="12.75" x14ac:dyDescent="0.2">
      <c r="A109" s="98">
        <v>45833</v>
      </c>
      <c r="B109" s="22">
        <f t="shared" si="4"/>
        <v>94</v>
      </c>
      <c r="C109" s="25">
        <f t="shared" si="5"/>
        <v>1005</v>
      </c>
      <c r="D109" s="24">
        <v>-1437</v>
      </c>
      <c r="E109" s="25">
        <v>2452</v>
      </c>
      <c r="F109" s="26">
        <f t="shared" si="6"/>
        <v>657</v>
      </c>
      <c r="G109" s="22">
        <f t="shared" si="7"/>
        <v>94</v>
      </c>
      <c r="H109" s="25">
        <f t="shared" si="8"/>
        <v>947</v>
      </c>
      <c r="I109" s="24">
        <v>-1882</v>
      </c>
      <c r="J109" s="25">
        <v>2829</v>
      </c>
      <c r="K109" s="22">
        <f t="shared" si="9"/>
        <v>740</v>
      </c>
      <c r="L109" s="22">
        <f t="shared" si="10"/>
        <v>94</v>
      </c>
      <c r="M109" s="25">
        <f t="shared" si="11"/>
        <v>1073</v>
      </c>
      <c r="N109" s="24">
        <v>-1538</v>
      </c>
      <c r="O109" s="25">
        <v>2611</v>
      </c>
      <c r="P109" s="22">
        <f t="shared" si="12"/>
        <v>539</v>
      </c>
      <c r="Q109" s="36"/>
      <c r="R109" s="30"/>
    </row>
    <row r="110" spans="1:18" ht="12.75" x14ac:dyDescent="0.2">
      <c r="A110" s="98">
        <v>45834</v>
      </c>
      <c r="B110" s="22">
        <f t="shared" si="4"/>
        <v>95</v>
      </c>
      <c r="C110" s="25">
        <f t="shared" si="5"/>
        <v>1005</v>
      </c>
      <c r="D110" s="24">
        <v>-1437</v>
      </c>
      <c r="E110" s="25">
        <v>2452</v>
      </c>
      <c r="F110" s="26">
        <f t="shared" si="6"/>
        <v>657</v>
      </c>
      <c r="G110" s="22">
        <f t="shared" si="7"/>
        <v>95</v>
      </c>
      <c r="H110" s="25">
        <f t="shared" si="8"/>
        <v>947</v>
      </c>
      <c r="I110" s="24">
        <v>-1882</v>
      </c>
      <c r="J110" s="25">
        <v>2829</v>
      </c>
      <c r="K110" s="22">
        <f t="shared" si="9"/>
        <v>740</v>
      </c>
      <c r="L110" s="22">
        <f t="shared" si="10"/>
        <v>95</v>
      </c>
      <c r="M110" s="25">
        <f t="shared" si="11"/>
        <v>1073</v>
      </c>
      <c r="N110" s="24">
        <v>-1538</v>
      </c>
      <c r="O110" s="25">
        <v>2611</v>
      </c>
      <c r="P110" s="22">
        <f t="shared" si="12"/>
        <v>539</v>
      </c>
      <c r="Q110" s="36"/>
      <c r="R110" s="30"/>
    </row>
    <row r="111" spans="1:18" ht="12.75" x14ac:dyDescent="0.2">
      <c r="A111" s="98">
        <v>45835</v>
      </c>
      <c r="B111" s="22">
        <f t="shared" si="4"/>
        <v>96</v>
      </c>
      <c r="C111" s="25">
        <f t="shared" si="5"/>
        <v>1005</v>
      </c>
      <c r="D111" s="24">
        <v>-1437</v>
      </c>
      <c r="E111" s="25">
        <v>2452</v>
      </c>
      <c r="F111" s="26">
        <f t="shared" si="6"/>
        <v>657</v>
      </c>
      <c r="G111" s="22">
        <f t="shared" si="7"/>
        <v>96</v>
      </c>
      <c r="H111" s="25">
        <f t="shared" si="8"/>
        <v>947</v>
      </c>
      <c r="I111" s="24">
        <v>-1882</v>
      </c>
      <c r="J111" s="25">
        <v>2829</v>
      </c>
      <c r="K111" s="22">
        <f t="shared" si="9"/>
        <v>740</v>
      </c>
      <c r="L111" s="22">
        <f t="shared" si="10"/>
        <v>96</v>
      </c>
      <c r="M111" s="25">
        <f t="shared" si="11"/>
        <v>1073</v>
      </c>
      <c r="N111" s="24">
        <v>-1538</v>
      </c>
      <c r="O111" s="25">
        <v>2611</v>
      </c>
      <c r="P111" s="22">
        <f t="shared" si="12"/>
        <v>539</v>
      </c>
      <c r="Q111" s="36"/>
      <c r="R111" s="30"/>
    </row>
    <row r="112" spans="1:18" ht="12.75" x14ac:dyDescent="0.2">
      <c r="A112" s="98">
        <v>45836</v>
      </c>
      <c r="B112" s="22">
        <f t="shared" si="4"/>
        <v>97</v>
      </c>
      <c r="C112" s="25">
        <f t="shared" si="5"/>
        <v>1005</v>
      </c>
      <c r="D112" s="24">
        <v>-1437</v>
      </c>
      <c r="E112" s="25">
        <v>2452</v>
      </c>
      <c r="F112" s="26">
        <f t="shared" si="6"/>
        <v>657</v>
      </c>
      <c r="G112" s="22">
        <f t="shared" si="7"/>
        <v>97</v>
      </c>
      <c r="H112" s="25">
        <f t="shared" si="8"/>
        <v>946</v>
      </c>
      <c r="I112" s="24">
        <v>-1883</v>
      </c>
      <c r="J112" s="25">
        <v>2829</v>
      </c>
      <c r="K112" s="22">
        <f t="shared" si="9"/>
        <v>741</v>
      </c>
      <c r="L112" s="22">
        <f t="shared" si="10"/>
        <v>97</v>
      </c>
      <c r="M112" s="25">
        <f t="shared" si="11"/>
        <v>1073</v>
      </c>
      <c r="N112" s="24">
        <v>-1538</v>
      </c>
      <c r="O112" s="25">
        <v>2611</v>
      </c>
      <c r="P112" s="22">
        <f t="shared" si="12"/>
        <v>539</v>
      </c>
      <c r="Q112" s="36"/>
      <c r="R112" s="30"/>
    </row>
    <row r="113" spans="1:18" ht="12.75" x14ac:dyDescent="0.2">
      <c r="A113" s="98">
        <v>45837</v>
      </c>
      <c r="B113" s="22">
        <f t="shared" si="4"/>
        <v>98</v>
      </c>
      <c r="C113" s="25">
        <f t="shared" si="5"/>
        <v>1005</v>
      </c>
      <c r="D113" s="24">
        <v>-1437</v>
      </c>
      <c r="E113" s="25">
        <v>2452</v>
      </c>
      <c r="F113" s="26">
        <f t="shared" si="6"/>
        <v>657</v>
      </c>
      <c r="G113" s="22">
        <f t="shared" si="7"/>
        <v>98</v>
      </c>
      <c r="H113" s="25">
        <f t="shared" si="8"/>
        <v>939</v>
      </c>
      <c r="I113" s="24">
        <v>-1890</v>
      </c>
      <c r="J113" s="25">
        <v>2829</v>
      </c>
      <c r="K113" s="22">
        <f t="shared" si="9"/>
        <v>748</v>
      </c>
      <c r="L113" s="22">
        <f t="shared" si="10"/>
        <v>98</v>
      </c>
      <c r="M113" s="25">
        <f t="shared" si="11"/>
        <v>1073</v>
      </c>
      <c r="N113" s="24">
        <v>-1538</v>
      </c>
      <c r="O113" s="25">
        <v>2611</v>
      </c>
      <c r="P113" s="22">
        <f t="shared" si="12"/>
        <v>539</v>
      </c>
      <c r="Q113" s="36"/>
      <c r="R113" s="30"/>
    </row>
    <row r="114" spans="1:18" ht="12.75" x14ac:dyDescent="0.2">
      <c r="A114" s="98">
        <v>45838</v>
      </c>
      <c r="B114" s="22">
        <f t="shared" si="4"/>
        <v>99</v>
      </c>
      <c r="C114" s="25">
        <f t="shared" si="5"/>
        <v>1005</v>
      </c>
      <c r="D114" s="24">
        <v>-1437</v>
      </c>
      <c r="E114" s="25">
        <v>2452</v>
      </c>
      <c r="F114" s="26">
        <f t="shared" si="6"/>
        <v>657</v>
      </c>
      <c r="G114" s="22">
        <f t="shared" si="7"/>
        <v>99</v>
      </c>
      <c r="H114" s="25">
        <f t="shared" si="8"/>
        <v>932</v>
      </c>
      <c r="I114" s="24">
        <v>-1897</v>
      </c>
      <c r="J114" s="25">
        <v>2829</v>
      </c>
      <c r="K114" s="22">
        <f t="shared" si="9"/>
        <v>755</v>
      </c>
      <c r="L114" s="22">
        <f t="shared" si="10"/>
        <v>99</v>
      </c>
      <c r="M114" s="25">
        <f t="shared" si="11"/>
        <v>1073</v>
      </c>
      <c r="N114" s="24">
        <v>-1538</v>
      </c>
      <c r="O114" s="25">
        <v>2611</v>
      </c>
      <c r="P114" s="22">
        <f t="shared" si="12"/>
        <v>539</v>
      </c>
      <c r="Q114" s="36"/>
      <c r="R114" s="30"/>
    </row>
    <row r="115" spans="1:18" ht="12.75" x14ac:dyDescent="0.2">
      <c r="A115" s="98">
        <v>45839</v>
      </c>
      <c r="B115" s="22">
        <f t="shared" si="4"/>
        <v>100</v>
      </c>
      <c r="C115" s="25">
        <f t="shared" si="5"/>
        <v>1005</v>
      </c>
      <c r="D115" s="24">
        <v>-1437</v>
      </c>
      <c r="E115" s="25">
        <v>2452</v>
      </c>
      <c r="F115" s="26">
        <f t="shared" si="6"/>
        <v>657</v>
      </c>
      <c r="G115" s="22">
        <f t="shared" si="7"/>
        <v>100</v>
      </c>
      <c r="H115" s="25">
        <f t="shared" si="8"/>
        <v>925</v>
      </c>
      <c r="I115" s="24">
        <v>-1904</v>
      </c>
      <c r="J115" s="25">
        <v>2829</v>
      </c>
      <c r="K115" s="22">
        <f t="shared" si="9"/>
        <v>762</v>
      </c>
      <c r="L115" s="22">
        <f t="shared" si="10"/>
        <v>100</v>
      </c>
      <c r="M115" s="25">
        <f t="shared" si="11"/>
        <v>1073</v>
      </c>
      <c r="N115" s="24">
        <v>-1538</v>
      </c>
      <c r="O115" s="25">
        <v>2611</v>
      </c>
      <c r="P115" s="22">
        <f t="shared" si="12"/>
        <v>539</v>
      </c>
      <c r="Q115" s="36"/>
      <c r="R115" s="30"/>
    </row>
    <row r="116" spans="1:18" ht="12.75" x14ac:dyDescent="0.2">
      <c r="A116" s="98">
        <v>45840</v>
      </c>
      <c r="B116" s="22">
        <f t="shared" si="4"/>
        <v>101</v>
      </c>
      <c r="C116" s="25">
        <f t="shared" si="5"/>
        <v>1005</v>
      </c>
      <c r="D116" s="24">
        <v>-1437</v>
      </c>
      <c r="E116" s="25">
        <v>2452</v>
      </c>
      <c r="F116" s="26">
        <f t="shared" si="6"/>
        <v>657</v>
      </c>
      <c r="G116" s="22">
        <f t="shared" si="7"/>
        <v>101</v>
      </c>
      <c r="H116" s="25">
        <f t="shared" si="8"/>
        <v>918</v>
      </c>
      <c r="I116" s="24">
        <v>-1911</v>
      </c>
      <c r="J116" s="25">
        <v>2829</v>
      </c>
      <c r="K116" s="22">
        <f t="shared" si="9"/>
        <v>769</v>
      </c>
      <c r="L116" s="22">
        <f t="shared" si="10"/>
        <v>101</v>
      </c>
      <c r="M116" s="25">
        <f t="shared" si="11"/>
        <v>1073</v>
      </c>
      <c r="N116" s="24">
        <v>-1538</v>
      </c>
      <c r="O116" s="25">
        <v>2611</v>
      </c>
      <c r="P116" s="22">
        <f t="shared" si="12"/>
        <v>539</v>
      </c>
      <c r="Q116" s="36"/>
      <c r="R116" s="30"/>
    </row>
    <row r="117" spans="1:18" ht="12.75" x14ac:dyDescent="0.2">
      <c r="A117" s="98">
        <v>45841</v>
      </c>
      <c r="B117" s="22">
        <f t="shared" si="4"/>
        <v>102</v>
      </c>
      <c r="C117" s="25">
        <f t="shared" si="5"/>
        <v>1005</v>
      </c>
      <c r="D117" s="24">
        <v>-1437</v>
      </c>
      <c r="E117" s="25">
        <v>2452</v>
      </c>
      <c r="F117" s="26">
        <f t="shared" si="6"/>
        <v>657</v>
      </c>
      <c r="G117" s="22">
        <f t="shared" si="7"/>
        <v>102</v>
      </c>
      <c r="H117" s="25">
        <f t="shared" si="8"/>
        <v>911</v>
      </c>
      <c r="I117" s="24">
        <v>-1918</v>
      </c>
      <c r="J117" s="25">
        <v>2829</v>
      </c>
      <c r="K117" s="22">
        <f t="shared" si="9"/>
        <v>776</v>
      </c>
      <c r="L117" s="22">
        <f t="shared" si="10"/>
        <v>102</v>
      </c>
      <c r="M117" s="25">
        <f t="shared" si="11"/>
        <v>1073</v>
      </c>
      <c r="N117" s="24">
        <v>-1538</v>
      </c>
      <c r="O117" s="25">
        <v>2611</v>
      </c>
      <c r="P117" s="22">
        <f t="shared" si="12"/>
        <v>539</v>
      </c>
      <c r="Q117" s="36"/>
      <c r="R117" s="30"/>
    </row>
    <row r="118" spans="1:18" ht="12.75" x14ac:dyDescent="0.2">
      <c r="A118" s="98">
        <v>45842</v>
      </c>
      <c r="B118" s="22">
        <f t="shared" si="4"/>
        <v>103</v>
      </c>
      <c r="C118" s="25">
        <f t="shared" si="5"/>
        <v>1005</v>
      </c>
      <c r="D118" s="24">
        <v>-1437</v>
      </c>
      <c r="E118" s="25">
        <v>2452</v>
      </c>
      <c r="F118" s="26">
        <f t="shared" si="6"/>
        <v>657</v>
      </c>
      <c r="G118" s="22">
        <f t="shared" si="7"/>
        <v>103</v>
      </c>
      <c r="H118" s="25">
        <f t="shared" si="8"/>
        <v>904</v>
      </c>
      <c r="I118" s="24">
        <v>-1925</v>
      </c>
      <c r="J118" s="25">
        <v>2829</v>
      </c>
      <c r="K118" s="22">
        <f t="shared" si="9"/>
        <v>783</v>
      </c>
      <c r="L118" s="22">
        <f t="shared" si="10"/>
        <v>103</v>
      </c>
      <c r="M118" s="25">
        <f t="shared" si="11"/>
        <v>1073</v>
      </c>
      <c r="N118" s="24">
        <v>-1538</v>
      </c>
      <c r="O118" s="25">
        <v>2611</v>
      </c>
      <c r="P118" s="22">
        <f t="shared" si="12"/>
        <v>539</v>
      </c>
      <c r="Q118" s="36"/>
      <c r="R118" s="30"/>
    </row>
    <row r="119" spans="1:18" ht="12.75" x14ac:dyDescent="0.2">
      <c r="A119" s="98">
        <v>45843</v>
      </c>
      <c r="B119" s="22">
        <f t="shared" si="4"/>
        <v>104</v>
      </c>
      <c r="C119" s="25">
        <f t="shared" si="5"/>
        <v>1005</v>
      </c>
      <c r="D119" s="24">
        <v>-1437</v>
      </c>
      <c r="E119" s="25">
        <v>2452</v>
      </c>
      <c r="F119" s="26">
        <f t="shared" si="6"/>
        <v>657</v>
      </c>
      <c r="G119" s="22">
        <f t="shared" si="7"/>
        <v>104</v>
      </c>
      <c r="H119" s="25">
        <f t="shared" si="8"/>
        <v>897</v>
      </c>
      <c r="I119" s="24">
        <v>-1932</v>
      </c>
      <c r="J119" s="25">
        <v>2829</v>
      </c>
      <c r="K119" s="22">
        <f t="shared" si="9"/>
        <v>790</v>
      </c>
      <c r="L119" s="22">
        <f t="shared" si="10"/>
        <v>104</v>
      </c>
      <c r="M119" s="25">
        <f t="shared" si="11"/>
        <v>1073</v>
      </c>
      <c r="N119" s="24">
        <v>-1538</v>
      </c>
      <c r="O119" s="25">
        <v>2611</v>
      </c>
      <c r="P119" s="22">
        <f t="shared" si="12"/>
        <v>539</v>
      </c>
      <c r="Q119" s="36"/>
      <c r="R119" s="30"/>
    </row>
    <row r="120" spans="1:18" ht="12.75" x14ac:dyDescent="0.2">
      <c r="A120" s="98">
        <v>45844</v>
      </c>
      <c r="B120" s="22">
        <f t="shared" si="4"/>
        <v>105</v>
      </c>
      <c r="C120" s="25">
        <f t="shared" si="5"/>
        <v>1005</v>
      </c>
      <c r="D120" s="24">
        <v>-1437</v>
      </c>
      <c r="E120" s="25">
        <v>2452</v>
      </c>
      <c r="F120" s="26">
        <f t="shared" si="6"/>
        <v>657</v>
      </c>
      <c r="G120" s="22">
        <f t="shared" si="7"/>
        <v>105</v>
      </c>
      <c r="H120" s="25">
        <f t="shared" si="8"/>
        <v>890</v>
      </c>
      <c r="I120" s="24">
        <v>-1939</v>
      </c>
      <c r="J120" s="25">
        <v>2829</v>
      </c>
      <c r="K120" s="22">
        <f t="shared" si="9"/>
        <v>797</v>
      </c>
      <c r="L120" s="22">
        <f t="shared" si="10"/>
        <v>105</v>
      </c>
      <c r="M120" s="25">
        <f t="shared" si="11"/>
        <v>1073</v>
      </c>
      <c r="N120" s="24">
        <v>-1538</v>
      </c>
      <c r="O120" s="25">
        <v>2611</v>
      </c>
      <c r="P120" s="22">
        <f t="shared" si="12"/>
        <v>539</v>
      </c>
      <c r="Q120" s="36"/>
      <c r="R120" s="30"/>
    </row>
    <row r="121" spans="1:18" ht="12.75" x14ac:dyDescent="0.2">
      <c r="A121" s="98">
        <v>45845</v>
      </c>
      <c r="B121" s="22">
        <f t="shared" si="4"/>
        <v>106</v>
      </c>
      <c r="C121" s="25">
        <f t="shared" si="5"/>
        <v>1002</v>
      </c>
      <c r="D121" s="24">
        <v>-1440</v>
      </c>
      <c r="E121" s="25">
        <v>2452</v>
      </c>
      <c r="F121" s="26">
        <f t="shared" si="6"/>
        <v>660</v>
      </c>
      <c r="G121" s="22">
        <f t="shared" si="7"/>
        <v>106</v>
      </c>
      <c r="H121" s="25">
        <f t="shared" si="8"/>
        <v>883</v>
      </c>
      <c r="I121" s="24">
        <v>-1946</v>
      </c>
      <c r="J121" s="25">
        <v>2829</v>
      </c>
      <c r="K121" s="22">
        <f t="shared" si="9"/>
        <v>804</v>
      </c>
      <c r="L121" s="22">
        <f t="shared" si="10"/>
        <v>106</v>
      </c>
      <c r="M121" s="25">
        <f t="shared" si="11"/>
        <v>1067</v>
      </c>
      <c r="N121" s="24">
        <v>-1544</v>
      </c>
      <c r="O121" s="25">
        <v>2611</v>
      </c>
      <c r="P121" s="22">
        <f t="shared" si="12"/>
        <v>545</v>
      </c>
      <c r="Q121" s="36"/>
      <c r="R121" s="30"/>
    </row>
    <row r="122" spans="1:18" ht="12.75" x14ac:dyDescent="0.2">
      <c r="A122" s="98">
        <v>45846</v>
      </c>
      <c r="B122" s="22">
        <f t="shared" si="4"/>
        <v>107</v>
      </c>
      <c r="C122" s="25">
        <f t="shared" si="5"/>
        <v>992</v>
      </c>
      <c r="D122" s="24">
        <v>-1450</v>
      </c>
      <c r="E122" s="25">
        <v>2452</v>
      </c>
      <c r="F122" s="26">
        <f t="shared" si="6"/>
        <v>670</v>
      </c>
      <c r="G122" s="22">
        <f t="shared" si="7"/>
        <v>107</v>
      </c>
      <c r="H122" s="25">
        <f t="shared" si="8"/>
        <v>876</v>
      </c>
      <c r="I122" s="24">
        <v>-1953</v>
      </c>
      <c r="J122" s="25">
        <v>2829</v>
      </c>
      <c r="K122" s="22">
        <f t="shared" si="9"/>
        <v>811</v>
      </c>
      <c r="L122" s="22">
        <f t="shared" si="10"/>
        <v>107</v>
      </c>
      <c r="M122" s="25">
        <f t="shared" si="11"/>
        <v>1059</v>
      </c>
      <c r="N122" s="24">
        <v>-1552</v>
      </c>
      <c r="O122" s="25">
        <v>2611</v>
      </c>
      <c r="P122" s="22">
        <f t="shared" si="12"/>
        <v>553</v>
      </c>
      <c r="Q122" s="36"/>
      <c r="R122" s="30"/>
    </row>
    <row r="123" spans="1:18" ht="12.75" x14ac:dyDescent="0.2">
      <c r="A123" s="98">
        <v>45847</v>
      </c>
      <c r="B123" s="22">
        <f t="shared" si="4"/>
        <v>108</v>
      </c>
      <c r="C123" s="25">
        <f t="shared" si="5"/>
        <v>982</v>
      </c>
      <c r="D123" s="24">
        <v>-1460</v>
      </c>
      <c r="E123" s="25">
        <v>2452</v>
      </c>
      <c r="F123" s="26">
        <f t="shared" si="6"/>
        <v>680</v>
      </c>
      <c r="G123" s="22">
        <f t="shared" si="7"/>
        <v>108</v>
      </c>
      <c r="H123" s="25">
        <f t="shared" si="8"/>
        <v>869</v>
      </c>
      <c r="I123" s="24">
        <v>-1960</v>
      </c>
      <c r="J123" s="25">
        <v>2829</v>
      </c>
      <c r="K123" s="22">
        <f t="shared" si="9"/>
        <v>818</v>
      </c>
      <c r="L123" s="22">
        <f t="shared" si="10"/>
        <v>108</v>
      </c>
      <c r="M123" s="25">
        <f t="shared" si="11"/>
        <v>1051</v>
      </c>
      <c r="N123" s="24">
        <v>-1560</v>
      </c>
      <c r="O123" s="25">
        <v>2611</v>
      </c>
      <c r="P123" s="22">
        <f t="shared" si="12"/>
        <v>561</v>
      </c>
      <c r="Q123" s="36"/>
      <c r="R123" s="30"/>
    </row>
    <row r="124" spans="1:18" ht="12.75" x14ac:dyDescent="0.2">
      <c r="A124" s="98">
        <v>45848</v>
      </c>
      <c r="B124" s="22">
        <f t="shared" si="4"/>
        <v>109</v>
      </c>
      <c r="C124" s="25">
        <f t="shared" si="5"/>
        <v>972</v>
      </c>
      <c r="D124" s="24">
        <v>-1470</v>
      </c>
      <c r="E124" s="25">
        <v>2452</v>
      </c>
      <c r="F124" s="26">
        <f t="shared" si="6"/>
        <v>690</v>
      </c>
      <c r="G124" s="22">
        <f t="shared" si="7"/>
        <v>109</v>
      </c>
      <c r="H124" s="25">
        <f t="shared" si="8"/>
        <v>862</v>
      </c>
      <c r="I124" s="24">
        <v>-1967</v>
      </c>
      <c r="J124" s="25">
        <v>2829</v>
      </c>
      <c r="K124" s="22">
        <f t="shared" si="9"/>
        <v>825</v>
      </c>
      <c r="L124" s="22">
        <f t="shared" si="10"/>
        <v>109</v>
      </c>
      <c r="M124" s="25">
        <f t="shared" si="11"/>
        <v>1043</v>
      </c>
      <c r="N124" s="24">
        <v>-1568</v>
      </c>
      <c r="O124" s="25">
        <v>2611</v>
      </c>
      <c r="P124" s="22">
        <f t="shared" si="12"/>
        <v>569</v>
      </c>
      <c r="Q124" s="36"/>
      <c r="R124" s="30"/>
    </row>
    <row r="125" spans="1:18" ht="12.75" x14ac:dyDescent="0.2">
      <c r="A125" s="98">
        <v>45849</v>
      </c>
      <c r="B125" s="22">
        <f t="shared" si="4"/>
        <v>110</v>
      </c>
      <c r="C125" s="25">
        <f t="shared" si="5"/>
        <v>962</v>
      </c>
      <c r="D125" s="24">
        <v>-1480</v>
      </c>
      <c r="E125" s="25">
        <v>2452</v>
      </c>
      <c r="F125" s="26">
        <f t="shared" si="6"/>
        <v>700</v>
      </c>
      <c r="G125" s="22">
        <f t="shared" si="7"/>
        <v>110</v>
      </c>
      <c r="H125" s="25">
        <f t="shared" si="8"/>
        <v>855</v>
      </c>
      <c r="I125" s="24">
        <v>-1974</v>
      </c>
      <c r="J125" s="25">
        <v>2829</v>
      </c>
      <c r="K125" s="22">
        <f t="shared" si="9"/>
        <v>832</v>
      </c>
      <c r="L125" s="22">
        <f t="shared" si="10"/>
        <v>110</v>
      </c>
      <c r="M125" s="25">
        <f t="shared" si="11"/>
        <v>1035</v>
      </c>
      <c r="N125" s="24">
        <v>-1576</v>
      </c>
      <c r="O125" s="25">
        <v>2611</v>
      </c>
      <c r="P125" s="22">
        <f t="shared" si="12"/>
        <v>577</v>
      </c>
      <c r="Q125" s="36"/>
      <c r="R125" s="30"/>
    </row>
    <row r="126" spans="1:18" ht="12.75" x14ac:dyDescent="0.2">
      <c r="A126" s="98">
        <v>45850</v>
      </c>
      <c r="B126" s="22">
        <f t="shared" si="4"/>
        <v>111</v>
      </c>
      <c r="C126" s="25">
        <f t="shared" si="5"/>
        <v>952</v>
      </c>
      <c r="D126" s="24">
        <v>-1490</v>
      </c>
      <c r="E126" s="25">
        <v>2452</v>
      </c>
      <c r="F126" s="26">
        <f t="shared" si="6"/>
        <v>710</v>
      </c>
      <c r="G126" s="22">
        <f t="shared" si="7"/>
        <v>111</v>
      </c>
      <c r="H126" s="25">
        <f t="shared" si="8"/>
        <v>848</v>
      </c>
      <c r="I126" s="24">
        <v>-1981</v>
      </c>
      <c r="J126" s="25">
        <v>2829</v>
      </c>
      <c r="K126" s="22">
        <f t="shared" si="9"/>
        <v>839</v>
      </c>
      <c r="L126" s="22">
        <f t="shared" si="10"/>
        <v>111</v>
      </c>
      <c r="M126" s="25">
        <f t="shared" si="11"/>
        <v>1027</v>
      </c>
      <c r="N126" s="24">
        <v>-1584</v>
      </c>
      <c r="O126" s="25">
        <v>2611</v>
      </c>
      <c r="P126" s="22">
        <f t="shared" si="12"/>
        <v>585</v>
      </c>
      <c r="Q126" s="36"/>
      <c r="R126" s="30"/>
    </row>
    <row r="127" spans="1:18" ht="12.75" x14ac:dyDescent="0.2">
      <c r="A127" s="98">
        <v>45851</v>
      </c>
      <c r="B127" s="22">
        <f t="shared" si="4"/>
        <v>112</v>
      </c>
      <c r="C127" s="25">
        <f t="shared" si="5"/>
        <v>942</v>
      </c>
      <c r="D127" s="24">
        <v>-1500</v>
      </c>
      <c r="E127" s="25">
        <v>2452</v>
      </c>
      <c r="F127" s="26">
        <f t="shared" si="6"/>
        <v>720</v>
      </c>
      <c r="G127" s="22">
        <f t="shared" si="7"/>
        <v>112</v>
      </c>
      <c r="H127" s="25">
        <f t="shared" si="8"/>
        <v>841</v>
      </c>
      <c r="I127" s="24">
        <v>-1988</v>
      </c>
      <c r="J127" s="25">
        <v>2829</v>
      </c>
      <c r="K127" s="22">
        <f t="shared" si="9"/>
        <v>846</v>
      </c>
      <c r="L127" s="22">
        <f t="shared" si="10"/>
        <v>112</v>
      </c>
      <c r="M127" s="25">
        <f t="shared" si="11"/>
        <v>1019</v>
      </c>
      <c r="N127" s="24">
        <v>-1592</v>
      </c>
      <c r="O127" s="25">
        <v>2611</v>
      </c>
      <c r="P127" s="22">
        <f t="shared" si="12"/>
        <v>593</v>
      </c>
      <c r="Q127" s="36"/>
      <c r="R127" s="30"/>
    </row>
    <row r="128" spans="1:18" ht="12.75" x14ac:dyDescent="0.2">
      <c r="A128" s="98">
        <v>45852</v>
      </c>
      <c r="B128" s="22">
        <f t="shared" si="4"/>
        <v>113</v>
      </c>
      <c r="C128" s="25">
        <f t="shared" si="5"/>
        <v>932</v>
      </c>
      <c r="D128" s="24">
        <v>-1510</v>
      </c>
      <c r="E128" s="25">
        <v>2452</v>
      </c>
      <c r="F128" s="26">
        <f t="shared" si="6"/>
        <v>730</v>
      </c>
      <c r="G128" s="22">
        <f t="shared" si="7"/>
        <v>113</v>
      </c>
      <c r="H128" s="25">
        <f t="shared" si="8"/>
        <v>834</v>
      </c>
      <c r="I128" s="24">
        <v>-1995</v>
      </c>
      <c r="J128" s="25">
        <v>2829</v>
      </c>
      <c r="K128" s="22">
        <f t="shared" si="9"/>
        <v>853</v>
      </c>
      <c r="L128" s="22">
        <f t="shared" si="10"/>
        <v>113</v>
      </c>
      <c r="M128" s="25">
        <f t="shared" si="11"/>
        <v>1011</v>
      </c>
      <c r="N128" s="24">
        <v>-1600</v>
      </c>
      <c r="O128" s="25">
        <v>2611</v>
      </c>
      <c r="P128" s="22">
        <f t="shared" si="12"/>
        <v>601</v>
      </c>
      <c r="Q128" s="36"/>
      <c r="R128" s="30"/>
    </row>
    <row r="129" spans="1:18" ht="12.75" x14ac:dyDescent="0.2">
      <c r="A129" s="98">
        <v>45853</v>
      </c>
      <c r="B129" s="22">
        <f t="shared" si="4"/>
        <v>114</v>
      </c>
      <c r="C129" s="25">
        <f t="shared" si="5"/>
        <v>922</v>
      </c>
      <c r="D129" s="24">
        <v>-1520</v>
      </c>
      <c r="E129" s="25">
        <v>2452</v>
      </c>
      <c r="F129" s="26">
        <f t="shared" si="6"/>
        <v>740</v>
      </c>
      <c r="G129" s="22">
        <f t="shared" si="7"/>
        <v>114</v>
      </c>
      <c r="H129" s="25">
        <f t="shared" si="8"/>
        <v>827</v>
      </c>
      <c r="I129" s="24">
        <v>-2002</v>
      </c>
      <c r="J129" s="25">
        <v>2829</v>
      </c>
      <c r="K129" s="22">
        <f t="shared" si="9"/>
        <v>860</v>
      </c>
      <c r="L129" s="22">
        <f t="shared" si="10"/>
        <v>114</v>
      </c>
      <c r="M129" s="25">
        <f t="shared" si="11"/>
        <v>1003</v>
      </c>
      <c r="N129" s="24">
        <v>-1608</v>
      </c>
      <c r="O129" s="25">
        <v>2611</v>
      </c>
      <c r="P129" s="22">
        <f t="shared" si="12"/>
        <v>609</v>
      </c>
      <c r="Q129" s="36"/>
      <c r="R129" s="30"/>
    </row>
    <row r="130" spans="1:18" ht="12.75" x14ac:dyDescent="0.2">
      <c r="A130" s="98">
        <v>45854</v>
      </c>
      <c r="B130" s="22">
        <f t="shared" si="4"/>
        <v>115</v>
      </c>
      <c r="C130" s="25">
        <f t="shared" si="5"/>
        <v>912</v>
      </c>
      <c r="D130" s="24">
        <v>-1530</v>
      </c>
      <c r="E130" s="25">
        <v>2452</v>
      </c>
      <c r="F130" s="26">
        <f t="shared" si="6"/>
        <v>750</v>
      </c>
      <c r="G130" s="22">
        <f t="shared" si="7"/>
        <v>115</v>
      </c>
      <c r="H130" s="25">
        <f t="shared" si="8"/>
        <v>820</v>
      </c>
      <c r="I130" s="24">
        <v>-2009</v>
      </c>
      <c r="J130" s="25">
        <v>2829</v>
      </c>
      <c r="K130" s="22">
        <f t="shared" si="9"/>
        <v>867</v>
      </c>
      <c r="L130" s="22">
        <f t="shared" si="10"/>
        <v>115</v>
      </c>
      <c r="M130" s="25">
        <f t="shared" si="11"/>
        <v>995</v>
      </c>
      <c r="N130" s="24">
        <v>-1616</v>
      </c>
      <c r="O130" s="25">
        <v>2611</v>
      </c>
      <c r="P130" s="22">
        <f t="shared" si="12"/>
        <v>617</v>
      </c>
      <c r="Q130" s="36"/>
      <c r="R130" s="30"/>
    </row>
    <row r="131" spans="1:18" ht="12.75" x14ac:dyDescent="0.2">
      <c r="A131" s="98">
        <v>45855</v>
      </c>
      <c r="B131" s="22">
        <f t="shared" si="4"/>
        <v>116</v>
      </c>
      <c r="C131" s="25">
        <f t="shared" si="5"/>
        <v>902</v>
      </c>
      <c r="D131" s="24">
        <v>-1540</v>
      </c>
      <c r="E131" s="25">
        <v>2452</v>
      </c>
      <c r="F131" s="26">
        <f t="shared" si="6"/>
        <v>760</v>
      </c>
      <c r="G131" s="22">
        <f t="shared" si="7"/>
        <v>116</v>
      </c>
      <c r="H131" s="25">
        <f t="shared" si="8"/>
        <v>813</v>
      </c>
      <c r="I131" s="24">
        <v>-2016</v>
      </c>
      <c r="J131" s="25">
        <v>2829</v>
      </c>
      <c r="K131" s="22">
        <f t="shared" si="9"/>
        <v>874</v>
      </c>
      <c r="L131" s="22">
        <f t="shared" si="10"/>
        <v>116</v>
      </c>
      <c r="M131" s="25">
        <f t="shared" si="11"/>
        <v>987</v>
      </c>
      <c r="N131" s="24">
        <v>-1624</v>
      </c>
      <c r="O131" s="25">
        <v>2611</v>
      </c>
      <c r="P131" s="22">
        <f t="shared" si="12"/>
        <v>625</v>
      </c>
      <c r="Q131" s="36"/>
      <c r="R131" s="30"/>
    </row>
    <row r="132" spans="1:18" ht="12.75" x14ac:dyDescent="0.2">
      <c r="A132" s="98">
        <v>45856</v>
      </c>
      <c r="B132" s="22">
        <f t="shared" si="4"/>
        <v>117</v>
      </c>
      <c r="C132" s="25">
        <f t="shared" si="5"/>
        <v>892</v>
      </c>
      <c r="D132" s="24">
        <v>-1550</v>
      </c>
      <c r="E132" s="25">
        <v>2452</v>
      </c>
      <c r="F132" s="26">
        <f t="shared" si="6"/>
        <v>770</v>
      </c>
      <c r="G132" s="22">
        <f t="shared" si="7"/>
        <v>117</v>
      </c>
      <c r="H132" s="25">
        <f t="shared" si="8"/>
        <v>806</v>
      </c>
      <c r="I132" s="24">
        <v>-2023</v>
      </c>
      <c r="J132" s="25">
        <v>2829</v>
      </c>
      <c r="K132" s="22">
        <f t="shared" si="9"/>
        <v>881</v>
      </c>
      <c r="L132" s="22">
        <f t="shared" si="10"/>
        <v>117</v>
      </c>
      <c r="M132" s="25">
        <f t="shared" si="11"/>
        <v>979</v>
      </c>
      <c r="N132" s="24">
        <v>-1632</v>
      </c>
      <c r="O132" s="25">
        <v>2611</v>
      </c>
      <c r="P132" s="22">
        <f t="shared" si="12"/>
        <v>633</v>
      </c>
      <c r="Q132" s="36"/>
      <c r="R132" s="30"/>
    </row>
    <row r="133" spans="1:18" ht="12.75" x14ac:dyDescent="0.2">
      <c r="A133" s="98">
        <v>45857</v>
      </c>
      <c r="B133" s="22">
        <f t="shared" si="4"/>
        <v>118</v>
      </c>
      <c r="C133" s="25">
        <f t="shared" si="5"/>
        <v>882</v>
      </c>
      <c r="D133" s="24">
        <v>-1560</v>
      </c>
      <c r="E133" s="25">
        <v>2452</v>
      </c>
      <c r="F133" s="26">
        <f t="shared" si="6"/>
        <v>780</v>
      </c>
      <c r="G133" s="22">
        <f t="shared" si="7"/>
        <v>118</v>
      </c>
      <c r="H133" s="25">
        <f t="shared" si="8"/>
        <v>799</v>
      </c>
      <c r="I133" s="24">
        <v>-2030</v>
      </c>
      <c r="J133" s="25">
        <v>2829</v>
      </c>
      <c r="K133" s="22">
        <f t="shared" si="9"/>
        <v>888</v>
      </c>
      <c r="L133" s="22">
        <f t="shared" si="10"/>
        <v>118</v>
      </c>
      <c r="M133" s="25">
        <f t="shared" si="11"/>
        <v>971</v>
      </c>
      <c r="N133" s="24">
        <v>-1640</v>
      </c>
      <c r="O133" s="25">
        <v>2611</v>
      </c>
      <c r="P133" s="22">
        <f t="shared" si="12"/>
        <v>641</v>
      </c>
      <c r="Q133" s="36"/>
      <c r="R133" s="30"/>
    </row>
    <row r="134" spans="1:18" ht="12.75" x14ac:dyDescent="0.2">
      <c r="A134" s="98">
        <v>45858</v>
      </c>
      <c r="B134" s="22">
        <f t="shared" si="4"/>
        <v>119</v>
      </c>
      <c r="C134" s="25">
        <f t="shared" si="5"/>
        <v>882</v>
      </c>
      <c r="D134" s="24">
        <v>-1560</v>
      </c>
      <c r="E134" s="25">
        <v>2452</v>
      </c>
      <c r="F134" s="26">
        <f t="shared" si="6"/>
        <v>780</v>
      </c>
      <c r="G134" s="22">
        <f t="shared" si="7"/>
        <v>119</v>
      </c>
      <c r="H134" s="25">
        <f t="shared" si="8"/>
        <v>799</v>
      </c>
      <c r="I134" s="24">
        <v>-2030</v>
      </c>
      <c r="J134" s="25">
        <v>2829</v>
      </c>
      <c r="K134" s="22">
        <f t="shared" si="9"/>
        <v>888</v>
      </c>
      <c r="L134" s="22">
        <f t="shared" si="10"/>
        <v>119</v>
      </c>
      <c r="M134" s="25">
        <f t="shared" si="11"/>
        <v>956</v>
      </c>
      <c r="N134" s="24">
        <v>-1655</v>
      </c>
      <c r="O134" s="25">
        <v>2611</v>
      </c>
      <c r="P134" s="22">
        <f t="shared" si="12"/>
        <v>656</v>
      </c>
      <c r="Q134" s="36"/>
      <c r="R134" s="30"/>
    </row>
    <row r="135" spans="1:18" ht="12.75" x14ac:dyDescent="0.2">
      <c r="A135" s="98">
        <v>45859</v>
      </c>
      <c r="B135" s="22">
        <f t="shared" si="4"/>
        <v>120</v>
      </c>
      <c r="C135" s="25">
        <f t="shared" si="5"/>
        <v>879</v>
      </c>
      <c r="D135" s="24">
        <v>-1563</v>
      </c>
      <c r="E135" s="25">
        <v>2452</v>
      </c>
      <c r="F135" s="26">
        <f t="shared" si="6"/>
        <v>783</v>
      </c>
      <c r="G135" s="22">
        <f t="shared" si="7"/>
        <v>120</v>
      </c>
      <c r="H135" s="25">
        <f t="shared" si="8"/>
        <v>793</v>
      </c>
      <c r="I135" s="24">
        <v>-2036</v>
      </c>
      <c r="J135" s="25">
        <v>2829</v>
      </c>
      <c r="K135" s="22">
        <f t="shared" si="9"/>
        <v>894</v>
      </c>
      <c r="L135" s="22">
        <f t="shared" si="10"/>
        <v>120</v>
      </c>
      <c r="M135" s="25">
        <f t="shared" si="11"/>
        <v>952</v>
      </c>
      <c r="N135" s="24">
        <v>-1659</v>
      </c>
      <c r="O135" s="25">
        <v>2611</v>
      </c>
      <c r="P135" s="22">
        <f t="shared" si="12"/>
        <v>660</v>
      </c>
      <c r="Q135" s="36"/>
      <c r="R135" s="30"/>
    </row>
    <row r="136" spans="1:18" ht="12.75" x14ac:dyDescent="0.2">
      <c r="A136" s="98">
        <v>45860</v>
      </c>
      <c r="B136" s="22">
        <f t="shared" si="4"/>
        <v>121</v>
      </c>
      <c r="C136" s="25">
        <f t="shared" si="5"/>
        <v>872</v>
      </c>
      <c r="D136" s="24">
        <v>-1570</v>
      </c>
      <c r="E136" s="25">
        <v>2452</v>
      </c>
      <c r="F136" s="26">
        <f t="shared" si="6"/>
        <v>790</v>
      </c>
      <c r="G136" s="22">
        <f t="shared" si="7"/>
        <v>121</v>
      </c>
      <c r="H136" s="25">
        <f t="shared" si="8"/>
        <v>785</v>
      </c>
      <c r="I136" s="24">
        <v>-2044</v>
      </c>
      <c r="J136" s="25">
        <v>2829</v>
      </c>
      <c r="K136" s="22">
        <f t="shared" si="9"/>
        <v>902</v>
      </c>
      <c r="L136" s="22">
        <f t="shared" si="10"/>
        <v>121</v>
      </c>
      <c r="M136" s="25">
        <f t="shared" si="11"/>
        <v>948</v>
      </c>
      <c r="N136" s="24">
        <v>-1663</v>
      </c>
      <c r="O136" s="25">
        <v>2611</v>
      </c>
      <c r="P136" s="22">
        <f t="shared" si="12"/>
        <v>664</v>
      </c>
      <c r="Q136" s="36"/>
      <c r="R136" s="30"/>
    </row>
    <row r="137" spans="1:18" ht="12.75" x14ac:dyDescent="0.2">
      <c r="A137" s="98">
        <v>45861</v>
      </c>
      <c r="B137" s="22">
        <f t="shared" si="4"/>
        <v>122</v>
      </c>
      <c r="C137" s="25">
        <f t="shared" si="5"/>
        <v>865</v>
      </c>
      <c r="D137" s="24">
        <v>-1577</v>
      </c>
      <c r="E137" s="25">
        <v>2452</v>
      </c>
      <c r="F137" s="26">
        <f t="shared" si="6"/>
        <v>797</v>
      </c>
      <c r="G137" s="22">
        <f t="shared" si="7"/>
        <v>122</v>
      </c>
      <c r="H137" s="25">
        <f t="shared" si="8"/>
        <v>777</v>
      </c>
      <c r="I137" s="24">
        <v>-2052</v>
      </c>
      <c r="J137" s="25">
        <v>2829</v>
      </c>
      <c r="K137" s="22">
        <f t="shared" si="9"/>
        <v>910</v>
      </c>
      <c r="L137" s="22">
        <f t="shared" si="10"/>
        <v>122</v>
      </c>
      <c r="M137" s="25">
        <f t="shared" si="11"/>
        <v>944</v>
      </c>
      <c r="N137" s="24">
        <v>-1667</v>
      </c>
      <c r="O137" s="25">
        <v>2611</v>
      </c>
      <c r="P137" s="22">
        <f t="shared" si="12"/>
        <v>668</v>
      </c>
      <c r="Q137" s="36"/>
      <c r="R137" s="30"/>
    </row>
    <row r="138" spans="1:18" ht="12.75" x14ac:dyDescent="0.2">
      <c r="A138" s="98">
        <v>45862</v>
      </c>
      <c r="B138" s="22">
        <f t="shared" si="4"/>
        <v>123</v>
      </c>
      <c r="C138" s="25">
        <f t="shared" si="5"/>
        <v>858</v>
      </c>
      <c r="D138" s="24">
        <v>-1584</v>
      </c>
      <c r="E138" s="25">
        <v>2452</v>
      </c>
      <c r="F138" s="26">
        <f t="shared" si="6"/>
        <v>804</v>
      </c>
      <c r="G138" s="22">
        <f t="shared" si="7"/>
        <v>123</v>
      </c>
      <c r="H138" s="25">
        <f t="shared" si="8"/>
        <v>769</v>
      </c>
      <c r="I138" s="24">
        <v>-2060</v>
      </c>
      <c r="J138" s="25">
        <v>2829</v>
      </c>
      <c r="K138" s="22">
        <f t="shared" si="9"/>
        <v>918</v>
      </c>
      <c r="L138" s="22">
        <f t="shared" si="10"/>
        <v>123</v>
      </c>
      <c r="M138" s="25">
        <f t="shared" si="11"/>
        <v>940</v>
      </c>
      <c r="N138" s="24">
        <v>-1671</v>
      </c>
      <c r="O138" s="25">
        <v>2611</v>
      </c>
      <c r="P138" s="22">
        <f t="shared" si="12"/>
        <v>672</v>
      </c>
      <c r="Q138" s="36"/>
      <c r="R138" s="30"/>
    </row>
    <row r="139" spans="1:18" ht="12.75" x14ac:dyDescent="0.2">
      <c r="A139" s="98">
        <v>45863</v>
      </c>
      <c r="B139" s="22">
        <f t="shared" si="4"/>
        <v>124</v>
      </c>
      <c r="C139" s="25">
        <f t="shared" si="5"/>
        <v>851</v>
      </c>
      <c r="D139" s="24">
        <v>-1591</v>
      </c>
      <c r="E139" s="25">
        <v>2452</v>
      </c>
      <c r="F139" s="26">
        <f t="shared" si="6"/>
        <v>811</v>
      </c>
      <c r="G139" s="22">
        <f t="shared" si="7"/>
        <v>124</v>
      </c>
      <c r="H139" s="25">
        <f t="shared" si="8"/>
        <v>761</v>
      </c>
      <c r="I139" s="24">
        <v>-2068</v>
      </c>
      <c r="J139" s="25">
        <v>2829</v>
      </c>
      <c r="K139" s="22">
        <f t="shared" si="9"/>
        <v>926</v>
      </c>
      <c r="L139" s="22">
        <f t="shared" si="10"/>
        <v>124</v>
      </c>
      <c r="M139" s="25">
        <f t="shared" si="11"/>
        <v>936</v>
      </c>
      <c r="N139" s="24">
        <v>-1675</v>
      </c>
      <c r="O139" s="25">
        <v>2611</v>
      </c>
      <c r="P139" s="22">
        <f t="shared" si="12"/>
        <v>676</v>
      </c>
      <c r="Q139" s="36"/>
      <c r="R139" s="30"/>
    </row>
    <row r="140" spans="1:18" ht="12.75" x14ac:dyDescent="0.2">
      <c r="A140" s="98">
        <v>45864</v>
      </c>
      <c r="B140" s="22">
        <f t="shared" si="4"/>
        <v>125</v>
      </c>
      <c r="C140" s="25">
        <f t="shared" si="5"/>
        <v>844</v>
      </c>
      <c r="D140" s="24">
        <v>-1598</v>
      </c>
      <c r="E140" s="25">
        <v>2452</v>
      </c>
      <c r="F140" s="26">
        <f t="shared" si="6"/>
        <v>818</v>
      </c>
      <c r="G140" s="22">
        <f t="shared" si="7"/>
        <v>125</v>
      </c>
      <c r="H140" s="25">
        <f t="shared" si="8"/>
        <v>753</v>
      </c>
      <c r="I140" s="24">
        <v>-2076</v>
      </c>
      <c r="J140" s="25">
        <v>2829</v>
      </c>
      <c r="K140" s="22">
        <f t="shared" si="9"/>
        <v>934</v>
      </c>
      <c r="L140" s="22">
        <f t="shared" si="10"/>
        <v>125</v>
      </c>
      <c r="M140" s="25">
        <f t="shared" si="11"/>
        <v>932</v>
      </c>
      <c r="N140" s="24">
        <v>-1679</v>
      </c>
      <c r="O140" s="25">
        <v>2611</v>
      </c>
      <c r="P140" s="22">
        <f t="shared" si="12"/>
        <v>680</v>
      </c>
      <c r="Q140" s="36"/>
      <c r="R140" s="30"/>
    </row>
    <row r="141" spans="1:18" ht="12.75" x14ac:dyDescent="0.2">
      <c r="A141" s="98">
        <v>45865</v>
      </c>
      <c r="B141" s="22">
        <f t="shared" si="4"/>
        <v>126</v>
      </c>
      <c r="C141" s="25">
        <f t="shared" si="5"/>
        <v>837</v>
      </c>
      <c r="D141" s="24">
        <v>-1605</v>
      </c>
      <c r="E141" s="25">
        <v>2452</v>
      </c>
      <c r="F141" s="26">
        <f t="shared" si="6"/>
        <v>825</v>
      </c>
      <c r="G141" s="22">
        <f t="shared" si="7"/>
        <v>126</v>
      </c>
      <c r="H141" s="25">
        <f t="shared" si="8"/>
        <v>745</v>
      </c>
      <c r="I141" s="24">
        <v>-2084</v>
      </c>
      <c r="J141" s="25">
        <v>2829</v>
      </c>
      <c r="K141" s="22">
        <f t="shared" si="9"/>
        <v>942</v>
      </c>
      <c r="L141" s="22">
        <f t="shared" si="10"/>
        <v>126</v>
      </c>
      <c r="M141" s="25">
        <f t="shared" si="11"/>
        <v>928</v>
      </c>
      <c r="N141" s="24">
        <v>-1683</v>
      </c>
      <c r="O141" s="25">
        <v>2611</v>
      </c>
      <c r="P141" s="22">
        <f t="shared" si="12"/>
        <v>684</v>
      </c>
      <c r="Q141" s="36"/>
      <c r="R141" s="30"/>
    </row>
    <row r="142" spans="1:18" ht="12.75" x14ac:dyDescent="0.2">
      <c r="A142" s="98">
        <v>45866</v>
      </c>
      <c r="B142" s="22">
        <f t="shared" si="4"/>
        <v>127</v>
      </c>
      <c r="C142" s="25">
        <f t="shared" si="5"/>
        <v>830</v>
      </c>
      <c r="D142" s="24">
        <v>-1612</v>
      </c>
      <c r="E142" s="25">
        <v>2452</v>
      </c>
      <c r="F142" s="26">
        <f t="shared" si="6"/>
        <v>832</v>
      </c>
      <c r="G142" s="22">
        <f t="shared" si="7"/>
        <v>127</v>
      </c>
      <c r="H142" s="25">
        <f t="shared" si="8"/>
        <v>737</v>
      </c>
      <c r="I142" s="24">
        <v>-2092</v>
      </c>
      <c r="J142" s="25">
        <v>2829</v>
      </c>
      <c r="K142" s="22">
        <f t="shared" si="9"/>
        <v>950</v>
      </c>
      <c r="L142" s="22">
        <f t="shared" si="10"/>
        <v>127</v>
      </c>
      <c r="M142" s="25">
        <f t="shared" si="11"/>
        <v>924</v>
      </c>
      <c r="N142" s="24">
        <v>-1687</v>
      </c>
      <c r="O142" s="25">
        <v>2611</v>
      </c>
      <c r="P142" s="22">
        <f t="shared" si="12"/>
        <v>688</v>
      </c>
      <c r="Q142" s="36"/>
      <c r="R142" s="30"/>
    </row>
    <row r="143" spans="1:18" ht="12.75" x14ac:dyDescent="0.2">
      <c r="A143" s="98">
        <v>45867</v>
      </c>
      <c r="B143" s="22">
        <f t="shared" si="4"/>
        <v>128</v>
      </c>
      <c r="C143" s="23">
        <v>1619</v>
      </c>
      <c r="D143" s="24">
        <v>-1619</v>
      </c>
      <c r="E143" s="25">
        <v>2452</v>
      </c>
      <c r="F143" s="26">
        <f t="shared" si="6"/>
        <v>839</v>
      </c>
      <c r="G143" s="22">
        <f t="shared" si="7"/>
        <v>128</v>
      </c>
      <c r="H143" s="25">
        <v>1969</v>
      </c>
      <c r="I143" s="24">
        <v>-2100</v>
      </c>
      <c r="J143" s="25">
        <v>2829</v>
      </c>
      <c r="K143" s="22">
        <f t="shared" si="9"/>
        <v>958</v>
      </c>
      <c r="L143" s="22">
        <f t="shared" si="10"/>
        <v>128</v>
      </c>
      <c r="M143" s="23">
        <v>1691</v>
      </c>
      <c r="N143" s="24">
        <v>-1691</v>
      </c>
      <c r="O143" s="25">
        <v>2611</v>
      </c>
      <c r="P143" s="22">
        <f t="shared" si="12"/>
        <v>692</v>
      </c>
      <c r="Q143" s="36"/>
      <c r="R143" s="30"/>
    </row>
    <row r="144" spans="1:18" ht="12.75" x14ac:dyDescent="0.2">
      <c r="A144" s="42"/>
      <c r="B144" s="43"/>
      <c r="C144" s="44"/>
      <c r="D144" s="44"/>
      <c r="E144" s="45"/>
      <c r="F144" s="46"/>
      <c r="G144" s="43"/>
      <c r="H144" s="44"/>
      <c r="I144" s="44"/>
      <c r="J144" s="45"/>
      <c r="K144" s="46"/>
      <c r="L144" s="43"/>
      <c r="M144" s="44"/>
      <c r="N144" s="44"/>
      <c r="O144" s="45"/>
      <c r="P144" s="46"/>
      <c r="Q144" s="47"/>
      <c r="R144" s="48"/>
    </row>
    <row r="145" spans="1:18" ht="12.75" x14ac:dyDescent="0.2">
      <c r="A145" s="42"/>
      <c r="B145" s="43"/>
      <c r="C145" s="44"/>
      <c r="D145" s="44"/>
      <c r="E145" s="45"/>
      <c r="F145" s="46"/>
      <c r="G145" s="43"/>
      <c r="H145" s="44"/>
      <c r="I145" s="44"/>
      <c r="J145" s="45"/>
      <c r="K145" s="46"/>
      <c r="L145" s="43"/>
      <c r="M145" s="44"/>
      <c r="N145" s="44"/>
      <c r="O145" s="45"/>
      <c r="P145" s="46"/>
      <c r="Q145" s="47"/>
      <c r="R145" s="48"/>
    </row>
    <row r="146" spans="1:18" ht="12.75" x14ac:dyDescent="0.2">
      <c r="A146" s="42"/>
      <c r="B146" s="43"/>
      <c r="C146" s="44"/>
      <c r="D146" s="44"/>
      <c r="E146" s="45"/>
      <c r="F146" s="46"/>
      <c r="G146" s="43"/>
      <c r="H146" s="44"/>
      <c r="I146" s="44"/>
      <c r="J146" s="45"/>
      <c r="K146" s="46"/>
      <c r="L146" s="43"/>
      <c r="M146" s="44"/>
      <c r="N146" s="44"/>
      <c r="O146" s="45"/>
      <c r="P146" s="46"/>
      <c r="Q146" s="47"/>
      <c r="R146" s="48"/>
    </row>
    <row r="147" spans="1:18" ht="12.75" x14ac:dyDescent="0.2">
      <c r="A147" s="42"/>
      <c r="B147" s="43"/>
      <c r="C147" s="44"/>
      <c r="D147" s="44"/>
      <c r="E147" s="45"/>
      <c r="F147" s="46"/>
      <c r="G147" s="43"/>
      <c r="H147" s="44"/>
      <c r="I147" s="44"/>
      <c r="J147" s="45"/>
      <c r="K147" s="46"/>
      <c r="L147" s="43"/>
      <c r="M147" s="44"/>
      <c r="N147" s="44"/>
      <c r="O147" s="45"/>
      <c r="P147" s="46"/>
      <c r="Q147" s="47"/>
      <c r="R147" s="48"/>
    </row>
    <row r="148" spans="1:18" ht="12.75" x14ac:dyDescent="0.2">
      <c r="A148" s="42"/>
      <c r="B148" s="43"/>
      <c r="C148" s="44"/>
      <c r="D148" s="44"/>
      <c r="E148" s="45"/>
      <c r="F148" s="46"/>
      <c r="G148" s="43"/>
      <c r="H148" s="44"/>
      <c r="I148" s="44"/>
      <c r="J148" s="45"/>
      <c r="K148" s="46"/>
      <c r="L148" s="43"/>
      <c r="M148" s="44"/>
      <c r="N148" s="44"/>
      <c r="O148" s="45"/>
      <c r="P148" s="46"/>
      <c r="Q148" s="47"/>
      <c r="R148" s="48"/>
    </row>
    <row r="149" spans="1:18" ht="12.75" x14ac:dyDescent="0.2">
      <c r="A149" s="42"/>
      <c r="B149" s="43"/>
      <c r="C149" s="44"/>
      <c r="D149" s="44"/>
      <c r="E149" s="45"/>
      <c r="F149" s="46"/>
      <c r="G149" s="43"/>
      <c r="H149" s="44"/>
      <c r="I149" s="44"/>
      <c r="J149" s="45"/>
      <c r="K149" s="46"/>
      <c r="L149" s="43"/>
      <c r="M149" s="44"/>
      <c r="N149" s="44"/>
      <c r="O149" s="45"/>
      <c r="P149" s="46"/>
      <c r="Q149" s="47"/>
      <c r="R149" s="48"/>
    </row>
    <row r="150" spans="1:18" ht="12.75" x14ac:dyDescent="0.2">
      <c r="A150" s="42"/>
      <c r="B150" s="43"/>
      <c r="C150" s="44"/>
      <c r="D150" s="44"/>
      <c r="E150" s="45"/>
      <c r="F150" s="46"/>
      <c r="G150" s="43"/>
      <c r="H150" s="44"/>
      <c r="I150" s="44"/>
      <c r="J150" s="45"/>
      <c r="K150" s="46"/>
      <c r="L150" s="43"/>
      <c r="M150" s="44"/>
      <c r="N150" s="44"/>
      <c r="O150" s="45"/>
      <c r="P150" s="46"/>
      <c r="Q150" s="47"/>
      <c r="R150" s="48"/>
    </row>
    <row r="151" spans="1:18" ht="12.75" x14ac:dyDescent="0.2">
      <c r="A151" s="42"/>
      <c r="B151" s="43"/>
      <c r="C151" s="44"/>
      <c r="D151" s="44"/>
      <c r="E151" s="45"/>
      <c r="F151" s="46"/>
      <c r="G151" s="43"/>
      <c r="H151" s="44"/>
      <c r="I151" s="44"/>
      <c r="J151" s="45"/>
      <c r="K151" s="46"/>
      <c r="L151" s="43"/>
      <c r="M151" s="44"/>
      <c r="N151" s="44"/>
      <c r="O151" s="45"/>
      <c r="P151" s="46"/>
      <c r="Q151" s="47"/>
      <c r="R151" s="48"/>
    </row>
    <row r="152" spans="1:18" ht="12.75" x14ac:dyDescent="0.2">
      <c r="A152" s="42"/>
      <c r="B152" s="43"/>
      <c r="C152" s="44"/>
      <c r="D152" s="44"/>
      <c r="E152" s="45"/>
      <c r="F152" s="46"/>
      <c r="G152" s="43"/>
      <c r="H152" s="44"/>
      <c r="I152" s="44"/>
      <c r="J152" s="45"/>
      <c r="K152" s="46"/>
      <c r="L152" s="43"/>
      <c r="M152" s="44"/>
      <c r="N152" s="44"/>
      <c r="O152" s="45"/>
      <c r="P152" s="46"/>
      <c r="Q152" s="47"/>
      <c r="R152" s="48"/>
    </row>
  </sheetData>
  <mergeCells count="54">
    <mergeCell ref="A11:A14"/>
    <mergeCell ref="B12:B13"/>
    <mergeCell ref="N7:O7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L6:M6"/>
    <mergeCell ref="N6:O6"/>
    <mergeCell ref="P6:R6"/>
    <mergeCell ref="Q11:Q13"/>
    <mergeCell ref="R11:R14"/>
    <mergeCell ref="L8:M8"/>
    <mergeCell ref="N8:O8"/>
    <mergeCell ref="P8:R8"/>
    <mergeCell ref="C12:C13"/>
    <mergeCell ref="D12:D13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</mergeCells>
  <conditionalFormatting sqref="Q3 Q9:Q14 Q16:Q152">
    <cfRule type="cellIs" dxfId="4" priority="1" operator="lessThan">
      <formula>60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0">
    <outlinePr summaryBelow="0" summaryRight="0"/>
  </sheetPr>
  <dimension ref="A1:R149"/>
  <sheetViews>
    <sheetView topLeftCell="A128" workbookViewId="0">
      <selection activeCell="A150" sqref="A150:XFD157"/>
    </sheetView>
  </sheetViews>
  <sheetFormatPr defaultColWidth="14.42578125" defaultRowHeight="15" customHeight="1" x14ac:dyDescent="0.2"/>
  <cols>
    <col min="2" max="2" width="12.85546875" customWidth="1"/>
    <col min="3" max="3" width="12.7109375" customWidth="1"/>
    <col min="4" max="4" width="13.140625" customWidth="1"/>
    <col min="5" max="5" width="12.7109375" customWidth="1"/>
    <col min="6" max="8" width="12.42578125" customWidth="1"/>
    <col min="9" max="9" width="12.5703125" customWidth="1"/>
    <col min="10" max="10" width="12.7109375" customWidth="1"/>
    <col min="11" max="11" width="13.5703125" customWidth="1"/>
    <col min="12" max="12" width="12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30" t="s">
        <v>2</v>
      </c>
      <c r="B4" s="132" t="s">
        <v>3</v>
      </c>
      <c r="C4" s="133"/>
      <c r="D4" s="132" t="s">
        <v>4</v>
      </c>
      <c r="E4" s="136"/>
      <c r="F4" s="138" t="str">
        <f>+"Cao trình nghiệm thu [m] ("&amp;TEXT(A16,"dd/mm/yy")&amp;")"</f>
        <v>Cao trình nghiệm thu [m] (24/03/25)</v>
      </c>
      <c r="G4" s="107"/>
      <c r="H4" s="107"/>
      <c r="I4" s="107"/>
      <c r="J4" s="107"/>
      <c r="K4" s="107"/>
      <c r="L4" s="115" t="s">
        <v>5</v>
      </c>
      <c r="M4" s="107"/>
      <c r="N4" s="107"/>
      <c r="O4" s="107"/>
      <c r="P4" s="132" t="s">
        <v>6</v>
      </c>
      <c r="Q4" s="136"/>
      <c r="R4" s="139"/>
    </row>
    <row r="5" spans="1:18" ht="15" customHeight="1" x14ac:dyDescent="0.2">
      <c r="A5" s="131"/>
      <c r="B5" s="134"/>
      <c r="C5" s="135"/>
      <c r="D5" s="134"/>
      <c r="E5" s="137"/>
      <c r="F5" s="6" t="s">
        <v>7</v>
      </c>
      <c r="G5" s="141" t="s">
        <v>8</v>
      </c>
      <c r="H5" s="116"/>
      <c r="I5" s="141" t="s">
        <v>9</v>
      </c>
      <c r="J5" s="116"/>
      <c r="K5" s="6" t="s">
        <v>10</v>
      </c>
      <c r="L5" s="115" t="s">
        <v>11</v>
      </c>
      <c r="M5" s="116"/>
      <c r="N5" s="115" t="s">
        <v>12</v>
      </c>
      <c r="O5" s="107"/>
      <c r="P5" s="134"/>
      <c r="Q5" s="137"/>
      <c r="R5" s="140"/>
    </row>
    <row r="6" spans="1:18" ht="15" customHeight="1" x14ac:dyDescent="0.2">
      <c r="A6" s="151" t="s">
        <v>13</v>
      </c>
      <c r="B6" s="152" t="s">
        <v>14</v>
      </c>
      <c r="C6" s="118"/>
      <c r="D6" s="153"/>
      <c r="E6" s="118"/>
      <c r="F6" s="7"/>
      <c r="G6" s="143"/>
      <c r="H6" s="118"/>
      <c r="I6" s="143"/>
      <c r="J6" s="118"/>
      <c r="K6" s="8"/>
      <c r="L6" s="117"/>
      <c r="M6" s="118"/>
      <c r="N6" s="117"/>
      <c r="O6" s="118"/>
      <c r="P6" s="119" t="s">
        <v>15</v>
      </c>
      <c r="Q6" s="120"/>
      <c r="R6" s="121"/>
    </row>
    <row r="7" spans="1:18" ht="15" customHeight="1" x14ac:dyDescent="0.2">
      <c r="A7" s="149"/>
      <c r="B7" s="145" t="s">
        <v>16</v>
      </c>
      <c r="C7" s="123"/>
      <c r="D7" s="124"/>
      <c r="E7" s="123"/>
      <c r="F7" s="9"/>
      <c r="G7" s="146"/>
      <c r="H7" s="123"/>
      <c r="I7" s="146"/>
      <c r="J7" s="123"/>
      <c r="K7" s="10"/>
      <c r="L7" s="122"/>
      <c r="M7" s="123"/>
      <c r="N7" s="122"/>
      <c r="O7" s="123"/>
      <c r="P7" s="124" t="s">
        <v>119</v>
      </c>
      <c r="Q7" s="125"/>
      <c r="R7" s="126"/>
    </row>
    <row r="8" spans="1:18" ht="15" customHeight="1" x14ac:dyDescent="0.2">
      <c r="A8" s="150"/>
      <c r="B8" s="154" t="s">
        <v>17</v>
      </c>
      <c r="C8" s="100"/>
      <c r="D8" s="155"/>
      <c r="E8" s="100"/>
      <c r="F8" s="11"/>
      <c r="G8" s="99"/>
      <c r="H8" s="100"/>
      <c r="I8" s="99"/>
      <c r="J8" s="100"/>
      <c r="K8" s="12"/>
      <c r="L8" s="102"/>
      <c r="M8" s="100"/>
      <c r="N8" s="102"/>
      <c r="O8" s="100"/>
      <c r="P8" s="103"/>
      <c r="Q8" s="104"/>
      <c r="R8" s="105"/>
    </row>
    <row r="9" spans="1:18" ht="15" customHeight="1" x14ac:dyDescent="0.2">
      <c r="A9" s="1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48" t="s">
        <v>19</v>
      </c>
      <c r="B11" s="106" t="s">
        <v>20</v>
      </c>
      <c r="C11" s="107"/>
      <c r="D11" s="107"/>
      <c r="E11" s="107"/>
      <c r="F11" s="107"/>
      <c r="G11" s="106" t="s">
        <v>21</v>
      </c>
      <c r="H11" s="107"/>
      <c r="I11" s="107"/>
      <c r="J11" s="107"/>
      <c r="K11" s="107"/>
      <c r="L11" s="106" t="s">
        <v>22</v>
      </c>
      <c r="M11" s="107"/>
      <c r="N11" s="107"/>
      <c r="O11" s="107"/>
      <c r="P11" s="107"/>
      <c r="Q11" s="108" t="s">
        <v>120</v>
      </c>
      <c r="R11" s="112" t="s">
        <v>121</v>
      </c>
    </row>
    <row r="12" spans="1:18" ht="15" customHeight="1" x14ac:dyDescent="0.2">
      <c r="A12" s="149"/>
      <c r="B12" s="108" t="s">
        <v>23</v>
      </c>
      <c r="C12" s="108" t="s">
        <v>33</v>
      </c>
      <c r="D12" s="108" t="s">
        <v>24</v>
      </c>
      <c r="E12" s="108" t="s">
        <v>34</v>
      </c>
      <c r="F12" s="108" t="s">
        <v>25</v>
      </c>
      <c r="G12" s="108" t="s">
        <v>23</v>
      </c>
      <c r="H12" s="108" t="s">
        <v>33</v>
      </c>
      <c r="I12" s="108" t="s">
        <v>24</v>
      </c>
      <c r="J12" s="108" t="s">
        <v>34</v>
      </c>
      <c r="K12" s="108" t="s">
        <v>25</v>
      </c>
      <c r="L12" s="108" t="s">
        <v>23</v>
      </c>
      <c r="M12" s="108" t="s">
        <v>33</v>
      </c>
      <c r="N12" s="108" t="s">
        <v>24</v>
      </c>
      <c r="O12" s="108" t="s">
        <v>34</v>
      </c>
      <c r="P12" s="108" t="s">
        <v>25</v>
      </c>
      <c r="Q12" s="111"/>
      <c r="R12" s="113"/>
    </row>
    <row r="13" spans="1:18" ht="15" customHeight="1" x14ac:dyDescent="0.2">
      <c r="A13" s="14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13"/>
    </row>
    <row r="14" spans="1:18" ht="15" customHeight="1" x14ac:dyDescent="0.2">
      <c r="A14" s="150"/>
      <c r="B14" s="14" t="s">
        <v>28</v>
      </c>
      <c r="C14" s="15" t="s">
        <v>26</v>
      </c>
      <c r="D14" s="15" t="s">
        <v>27</v>
      </c>
      <c r="E14" s="15" t="s">
        <v>26</v>
      </c>
      <c r="F14" s="15" t="s">
        <v>27</v>
      </c>
      <c r="G14" s="14" t="s">
        <v>28</v>
      </c>
      <c r="H14" s="15" t="s">
        <v>26</v>
      </c>
      <c r="I14" s="15" t="s">
        <v>27</v>
      </c>
      <c r="J14" s="15" t="s">
        <v>26</v>
      </c>
      <c r="K14" s="15" t="s">
        <v>27</v>
      </c>
      <c r="L14" s="14" t="s">
        <v>28</v>
      </c>
      <c r="M14" s="15" t="s">
        <v>26</v>
      </c>
      <c r="N14" s="15" t="s">
        <v>27</v>
      </c>
      <c r="O14" s="15" t="s">
        <v>26</v>
      </c>
      <c r="P14" s="15" t="s">
        <v>27</v>
      </c>
      <c r="Q14" s="17" t="s">
        <v>29</v>
      </c>
      <c r="R14" s="114"/>
    </row>
    <row r="15" spans="1:18" ht="15" customHeight="1" x14ac:dyDescent="0.2">
      <c r="A15" s="18">
        <v>1</v>
      </c>
      <c r="B15" s="19">
        <f t="shared" ref="B15:R15" si="0">+A15+1</f>
        <v>2</v>
      </c>
      <c r="C15" s="19">
        <f t="shared" si="0"/>
        <v>3</v>
      </c>
      <c r="D15" s="19">
        <f t="shared" si="0"/>
        <v>4</v>
      </c>
      <c r="E15" s="19">
        <f t="shared" si="0"/>
        <v>5</v>
      </c>
      <c r="F15" s="19">
        <f t="shared" si="0"/>
        <v>6</v>
      </c>
      <c r="G15" s="19">
        <f t="shared" si="0"/>
        <v>7</v>
      </c>
      <c r="H15" s="19">
        <f t="shared" si="0"/>
        <v>8</v>
      </c>
      <c r="I15" s="19">
        <f t="shared" si="0"/>
        <v>9</v>
      </c>
      <c r="J15" s="19">
        <f t="shared" si="0"/>
        <v>10</v>
      </c>
      <c r="K15" s="19">
        <f t="shared" si="0"/>
        <v>11</v>
      </c>
      <c r="L15" s="19">
        <f t="shared" si="0"/>
        <v>12</v>
      </c>
      <c r="M15" s="19">
        <f t="shared" si="0"/>
        <v>13</v>
      </c>
      <c r="N15" s="19">
        <f t="shared" si="0"/>
        <v>14</v>
      </c>
      <c r="O15" s="19">
        <f t="shared" si="0"/>
        <v>15</v>
      </c>
      <c r="P15" s="19">
        <f t="shared" si="0"/>
        <v>16</v>
      </c>
      <c r="Q15" s="19">
        <f t="shared" si="0"/>
        <v>17</v>
      </c>
      <c r="R15" s="19">
        <f t="shared" si="0"/>
        <v>18</v>
      </c>
    </row>
    <row r="16" spans="1:18" ht="15" customHeight="1" x14ac:dyDescent="0.2">
      <c r="A16" s="98">
        <v>45740</v>
      </c>
      <c r="B16" s="22">
        <v>1</v>
      </c>
      <c r="C16" s="23">
        <v>1662</v>
      </c>
      <c r="D16" s="24">
        <v>-1066</v>
      </c>
      <c r="E16" s="25">
        <f t="shared" ref="E16:E143" si="1">C16-D16</f>
        <v>2728</v>
      </c>
      <c r="F16" s="22">
        <v>0</v>
      </c>
      <c r="G16" s="22">
        <v>1</v>
      </c>
      <c r="H16" s="25">
        <v>1637</v>
      </c>
      <c r="I16" s="24">
        <v>-1138</v>
      </c>
      <c r="J16" s="28">
        <f t="shared" ref="J16:J17" si="2">H16-I16</f>
        <v>2775</v>
      </c>
      <c r="K16" s="22">
        <v>0</v>
      </c>
      <c r="L16" s="22">
        <v>1</v>
      </c>
      <c r="M16" s="23">
        <v>1685</v>
      </c>
      <c r="N16" s="24">
        <v>-901</v>
      </c>
      <c r="O16" s="28">
        <f t="shared" ref="O16:O17" si="3">M16-N16</f>
        <v>2586</v>
      </c>
      <c r="P16" s="22">
        <v>0</v>
      </c>
      <c r="Q16" s="29"/>
      <c r="R16" s="30"/>
    </row>
    <row r="17" spans="1:18" ht="15" customHeight="1" x14ac:dyDescent="0.2">
      <c r="A17" s="98">
        <v>45741</v>
      </c>
      <c r="B17" s="22">
        <f t="shared" ref="B17:B143" si="4">B16+1</f>
        <v>2</v>
      </c>
      <c r="C17" s="25">
        <f t="shared" ref="C17:C142" si="5">$C$16-F17</f>
        <v>1662</v>
      </c>
      <c r="D17" s="24">
        <v>-1066</v>
      </c>
      <c r="E17" s="25">
        <f t="shared" si="1"/>
        <v>2728</v>
      </c>
      <c r="F17" s="26">
        <f t="shared" ref="F17:F143" si="6">$D$16-D17</f>
        <v>0</v>
      </c>
      <c r="G17" s="22">
        <f t="shared" ref="G17:G143" si="7">G16+1</f>
        <v>2</v>
      </c>
      <c r="H17" s="25">
        <f t="shared" ref="H17:H142" si="8">$H$16-K17</f>
        <v>1637</v>
      </c>
      <c r="I17" s="24">
        <v>-1138</v>
      </c>
      <c r="J17" s="28">
        <f t="shared" si="2"/>
        <v>2775</v>
      </c>
      <c r="K17" s="22">
        <f t="shared" ref="K17:K143" si="9">$I$16-I17</f>
        <v>0</v>
      </c>
      <c r="L17" s="22">
        <f t="shared" ref="L17:L143" si="10">L16+1</f>
        <v>2</v>
      </c>
      <c r="M17" s="25">
        <f t="shared" ref="M17:M142" si="11">$M$16-P17</f>
        <v>1585</v>
      </c>
      <c r="N17" s="24">
        <v>-1001</v>
      </c>
      <c r="O17" s="28">
        <f t="shared" si="3"/>
        <v>2586</v>
      </c>
      <c r="P17" s="22">
        <f t="shared" ref="P17:P143" si="12">$N$16-N17</f>
        <v>100</v>
      </c>
      <c r="Q17" s="29"/>
      <c r="R17" s="30"/>
    </row>
    <row r="18" spans="1:18" ht="15" customHeight="1" x14ac:dyDescent="0.2">
      <c r="A18" s="98">
        <v>45742</v>
      </c>
      <c r="B18" s="22">
        <f t="shared" si="4"/>
        <v>3</v>
      </c>
      <c r="C18" s="25">
        <f t="shared" si="5"/>
        <v>1622</v>
      </c>
      <c r="D18" s="24">
        <v>-1106</v>
      </c>
      <c r="E18" s="25">
        <f t="shared" si="1"/>
        <v>2728</v>
      </c>
      <c r="F18" s="26">
        <f t="shared" si="6"/>
        <v>40</v>
      </c>
      <c r="G18" s="22">
        <f t="shared" si="7"/>
        <v>3</v>
      </c>
      <c r="H18" s="25">
        <f t="shared" si="8"/>
        <v>1577</v>
      </c>
      <c r="I18" s="24">
        <v>-1198</v>
      </c>
      <c r="J18" s="25">
        <v>2775</v>
      </c>
      <c r="K18" s="22">
        <f t="shared" si="9"/>
        <v>60</v>
      </c>
      <c r="L18" s="22">
        <f t="shared" si="10"/>
        <v>3</v>
      </c>
      <c r="M18" s="25">
        <f t="shared" si="11"/>
        <v>1546</v>
      </c>
      <c r="N18" s="24">
        <v>-1040</v>
      </c>
      <c r="O18" s="25">
        <v>2753</v>
      </c>
      <c r="P18" s="22">
        <f t="shared" si="12"/>
        <v>139</v>
      </c>
      <c r="Q18" s="29"/>
      <c r="R18" s="30"/>
    </row>
    <row r="19" spans="1:18" ht="15" customHeight="1" x14ac:dyDescent="0.2">
      <c r="A19" s="98">
        <v>45743</v>
      </c>
      <c r="B19" s="22">
        <f t="shared" si="4"/>
        <v>4</v>
      </c>
      <c r="C19" s="25">
        <f t="shared" si="5"/>
        <v>1602</v>
      </c>
      <c r="D19" s="24">
        <v>-1126</v>
      </c>
      <c r="E19" s="25">
        <f t="shared" si="1"/>
        <v>2728</v>
      </c>
      <c r="F19" s="26">
        <f t="shared" si="6"/>
        <v>60</v>
      </c>
      <c r="G19" s="22">
        <f t="shared" si="7"/>
        <v>4</v>
      </c>
      <c r="H19" s="25">
        <f t="shared" si="8"/>
        <v>1545</v>
      </c>
      <c r="I19" s="24">
        <v>-1230</v>
      </c>
      <c r="J19" s="25">
        <v>2775</v>
      </c>
      <c r="K19" s="22">
        <f t="shared" si="9"/>
        <v>92</v>
      </c>
      <c r="L19" s="22">
        <f t="shared" si="10"/>
        <v>4</v>
      </c>
      <c r="M19" s="25">
        <f t="shared" si="11"/>
        <v>1506</v>
      </c>
      <c r="N19" s="24">
        <v>-1080</v>
      </c>
      <c r="O19" s="25">
        <v>2753</v>
      </c>
      <c r="P19" s="22">
        <f t="shared" si="12"/>
        <v>179</v>
      </c>
      <c r="Q19" s="29"/>
      <c r="R19" s="30"/>
    </row>
    <row r="20" spans="1:18" ht="15" customHeight="1" x14ac:dyDescent="0.2">
      <c r="A20" s="98">
        <v>45744</v>
      </c>
      <c r="B20" s="22">
        <f t="shared" si="4"/>
        <v>5</v>
      </c>
      <c r="C20" s="25">
        <f t="shared" si="5"/>
        <v>1582</v>
      </c>
      <c r="D20" s="24">
        <v>-1146</v>
      </c>
      <c r="E20" s="25">
        <f t="shared" si="1"/>
        <v>2728</v>
      </c>
      <c r="F20" s="26">
        <f t="shared" si="6"/>
        <v>80</v>
      </c>
      <c r="G20" s="22">
        <f t="shared" si="7"/>
        <v>5</v>
      </c>
      <c r="H20" s="25">
        <f t="shared" si="8"/>
        <v>1515</v>
      </c>
      <c r="I20" s="24">
        <v>-1260</v>
      </c>
      <c r="J20" s="25">
        <v>2775</v>
      </c>
      <c r="K20" s="22">
        <f t="shared" si="9"/>
        <v>122</v>
      </c>
      <c r="L20" s="22">
        <f t="shared" si="10"/>
        <v>5</v>
      </c>
      <c r="M20" s="25">
        <f t="shared" si="11"/>
        <v>1476</v>
      </c>
      <c r="N20" s="24">
        <v>-1110</v>
      </c>
      <c r="O20" s="25">
        <v>2753</v>
      </c>
      <c r="P20" s="22">
        <f t="shared" si="12"/>
        <v>209</v>
      </c>
      <c r="Q20" s="29"/>
      <c r="R20" s="30"/>
    </row>
    <row r="21" spans="1:18" ht="15" customHeight="1" x14ac:dyDescent="0.2">
      <c r="A21" s="98">
        <v>45745</v>
      </c>
      <c r="B21" s="22">
        <f t="shared" si="4"/>
        <v>6</v>
      </c>
      <c r="C21" s="25">
        <f t="shared" si="5"/>
        <v>1558</v>
      </c>
      <c r="D21" s="24">
        <v>-1170</v>
      </c>
      <c r="E21" s="25">
        <f t="shared" si="1"/>
        <v>2728</v>
      </c>
      <c r="F21" s="26">
        <f t="shared" si="6"/>
        <v>104</v>
      </c>
      <c r="G21" s="22">
        <f t="shared" si="7"/>
        <v>6</v>
      </c>
      <c r="H21" s="25">
        <f t="shared" si="8"/>
        <v>1488</v>
      </c>
      <c r="I21" s="24">
        <v>-1287</v>
      </c>
      <c r="J21" s="25">
        <v>2775</v>
      </c>
      <c r="K21" s="22">
        <f t="shared" si="9"/>
        <v>149</v>
      </c>
      <c r="L21" s="22">
        <f t="shared" si="10"/>
        <v>6</v>
      </c>
      <c r="M21" s="25">
        <f t="shared" si="11"/>
        <v>1444</v>
      </c>
      <c r="N21" s="24">
        <v>-1142</v>
      </c>
      <c r="O21" s="25">
        <v>2753</v>
      </c>
      <c r="P21" s="22">
        <f t="shared" si="12"/>
        <v>241</v>
      </c>
      <c r="Q21" s="29"/>
      <c r="R21" s="30"/>
    </row>
    <row r="22" spans="1:18" ht="15" customHeight="1" x14ac:dyDescent="0.2">
      <c r="A22" s="98">
        <v>45746</v>
      </c>
      <c r="B22" s="22">
        <f t="shared" si="4"/>
        <v>7</v>
      </c>
      <c r="C22" s="25">
        <f t="shared" si="5"/>
        <v>1533</v>
      </c>
      <c r="D22" s="24">
        <v>-1195</v>
      </c>
      <c r="E22" s="25">
        <f t="shared" si="1"/>
        <v>2728</v>
      </c>
      <c r="F22" s="26">
        <f t="shared" si="6"/>
        <v>129</v>
      </c>
      <c r="G22" s="22">
        <f t="shared" si="7"/>
        <v>7</v>
      </c>
      <c r="H22" s="25">
        <f t="shared" si="8"/>
        <v>1468</v>
      </c>
      <c r="I22" s="24">
        <v>-1307</v>
      </c>
      <c r="J22" s="25">
        <v>2775</v>
      </c>
      <c r="K22" s="22">
        <f t="shared" si="9"/>
        <v>169</v>
      </c>
      <c r="L22" s="22">
        <f t="shared" si="10"/>
        <v>7</v>
      </c>
      <c r="M22" s="25">
        <f t="shared" si="11"/>
        <v>1416</v>
      </c>
      <c r="N22" s="24">
        <v>-1170</v>
      </c>
      <c r="O22" s="25">
        <v>2753</v>
      </c>
      <c r="P22" s="22">
        <f t="shared" si="12"/>
        <v>269</v>
      </c>
      <c r="Q22" s="29"/>
      <c r="R22" s="30"/>
    </row>
    <row r="23" spans="1:18" ht="15" customHeight="1" x14ac:dyDescent="0.2">
      <c r="A23" s="98">
        <v>45747</v>
      </c>
      <c r="B23" s="22">
        <f t="shared" si="4"/>
        <v>8</v>
      </c>
      <c r="C23" s="25">
        <f t="shared" si="5"/>
        <v>1508</v>
      </c>
      <c r="D23" s="24">
        <v>-1220</v>
      </c>
      <c r="E23" s="25">
        <f t="shared" si="1"/>
        <v>2728</v>
      </c>
      <c r="F23" s="26">
        <f t="shared" si="6"/>
        <v>154</v>
      </c>
      <c r="G23" s="22">
        <f t="shared" si="7"/>
        <v>8</v>
      </c>
      <c r="H23" s="25">
        <f t="shared" si="8"/>
        <v>1448</v>
      </c>
      <c r="I23" s="24">
        <v>-1327</v>
      </c>
      <c r="J23" s="25">
        <v>2775</v>
      </c>
      <c r="K23" s="22">
        <f t="shared" si="9"/>
        <v>189</v>
      </c>
      <c r="L23" s="22">
        <f t="shared" si="10"/>
        <v>8</v>
      </c>
      <c r="M23" s="25">
        <f t="shared" si="11"/>
        <v>1401</v>
      </c>
      <c r="N23" s="24">
        <v>-1185</v>
      </c>
      <c r="O23" s="25">
        <v>2753</v>
      </c>
      <c r="P23" s="22">
        <f t="shared" si="12"/>
        <v>284</v>
      </c>
      <c r="Q23" s="29"/>
      <c r="R23" s="30"/>
    </row>
    <row r="24" spans="1:18" ht="15" customHeight="1" x14ac:dyDescent="0.2">
      <c r="A24" s="98">
        <v>45748</v>
      </c>
      <c r="B24" s="22">
        <f t="shared" si="4"/>
        <v>9</v>
      </c>
      <c r="C24" s="25">
        <f t="shared" si="5"/>
        <v>1490</v>
      </c>
      <c r="D24" s="24">
        <v>-1238</v>
      </c>
      <c r="E24" s="25">
        <f t="shared" si="1"/>
        <v>2728</v>
      </c>
      <c r="F24" s="26">
        <f t="shared" si="6"/>
        <v>172</v>
      </c>
      <c r="G24" s="22">
        <f t="shared" si="7"/>
        <v>9</v>
      </c>
      <c r="H24" s="25">
        <f t="shared" si="8"/>
        <v>1428</v>
      </c>
      <c r="I24" s="24">
        <v>-1347</v>
      </c>
      <c r="J24" s="25">
        <v>2775</v>
      </c>
      <c r="K24" s="22">
        <f t="shared" si="9"/>
        <v>209</v>
      </c>
      <c r="L24" s="22">
        <f t="shared" si="10"/>
        <v>9</v>
      </c>
      <c r="M24" s="25">
        <f t="shared" si="11"/>
        <v>1405</v>
      </c>
      <c r="N24" s="24">
        <v>-1181</v>
      </c>
      <c r="O24" s="25">
        <v>2753</v>
      </c>
      <c r="P24" s="22">
        <f t="shared" si="12"/>
        <v>280</v>
      </c>
      <c r="Q24" s="29"/>
      <c r="R24" s="30"/>
    </row>
    <row r="25" spans="1:18" ht="15" customHeight="1" x14ac:dyDescent="0.2">
      <c r="A25" s="98">
        <v>45749</v>
      </c>
      <c r="B25" s="22">
        <f t="shared" si="4"/>
        <v>10</v>
      </c>
      <c r="C25" s="25">
        <f t="shared" si="5"/>
        <v>1472</v>
      </c>
      <c r="D25" s="24">
        <v>-1256</v>
      </c>
      <c r="E25" s="25">
        <f t="shared" si="1"/>
        <v>2728</v>
      </c>
      <c r="F25" s="26">
        <f t="shared" si="6"/>
        <v>190</v>
      </c>
      <c r="G25" s="22">
        <f t="shared" si="7"/>
        <v>10</v>
      </c>
      <c r="H25" s="25">
        <f t="shared" si="8"/>
        <v>1407</v>
      </c>
      <c r="I25" s="24">
        <v>-1368</v>
      </c>
      <c r="J25" s="25">
        <v>2775</v>
      </c>
      <c r="K25" s="22">
        <f t="shared" si="9"/>
        <v>230</v>
      </c>
      <c r="L25" s="22">
        <f t="shared" si="10"/>
        <v>10</v>
      </c>
      <c r="M25" s="25">
        <f t="shared" si="11"/>
        <v>1394</v>
      </c>
      <c r="N25" s="24">
        <v>-1192</v>
      </c>
      <c r="O25" s="25">
        <v>2753</v>
      </c>
      <c r="P25" s="22">
        <f t="shared" si="12"/>
        <v>291</v>
      </c>
      <c r="Q25" s="29"/>
      <c r="R25" s="30"/>
    </row>
    <row r="26" spans="1:18" ht="15" customHeight="1" x14ac:dyDescent="0.2">
      <c r="A26" s="98">
        <v>45750</v>
      </c>
      <c r="B26" s="22">
        <f t="shared" si="4"/>
        <v>11</v>
      </c>
      <c r="C26" s="25">
        <f t="shared" si="5"/>
        <v>1458</v>
      </c>
      <c r="D26" s="24">
        <v>-1270</v>
      </c>
      <c r="E26" s="25">
        <f t="shared" si="1"/>
        <v>2728</v>
      </c>
      <c r="F26" s="26">
        <f t="shared" si="6"/>
        <v>204</v>
      </c>
      <c r="G26" s="22">
        <f t="shared" si="7"/>
        <v>11</v>
      </c>
      <c r="H26" s="25">
        <f t="shared" si="8"/>
        <v>1392</v>
      </c>
      <c r="I26" s="24">
        <v>-1383</v>
      </c>
      <c r="J26" s="25">
        <v>2775</v>
      </c>
      <c r="K26" s="22">
        <f t="shared" si="9"/>
        <v>245</v>
      </c>
      <c r="L26" s="22">
        <f t="shared" si="10"/>
        <v>11</v>
      </c>
      <c r="M26" s="25">
        <f t="shared" si="11"/>
        <v>1376</v>
      </c>
      <c r="N26" s="24">
        <v>-1210</v>
      </c>
      <c r="O26" s="25">
        <v>2753</v>
      </c>
      <c r="P26" s="22">
        <f t="shared" si="12"/>
        <v>309</v>
      </c>
      <c r="Q26" s="29"/>
      <c r="R26" s="30"/>
    </row>
    <row r="27" spans="1:18" ht="15" customHeight="1" x14ac:dyDescent="0.2">
      <c r="A27" s="98">
        <v>45751</v>
      </c>
      <c r="B27" s="22">
        <f t="shared" si="4"/>
        <v>12</v>
      </c>
      <c r="C27" s="25">
        <f t="shared" si="5"/>
        <v>1447</v>
      </c>
      <c r="D27" s="24">
        <v>-1281</v>
      </c>
      <c r="E27" s="25">
        <f t="shared" si="1"/>
        <v>2728</v>
      </c>
      <c r="F27" s="26">
        <f t="shared" si="6"/>
        <v>215</v>
      </c>
      <c r="G27" s="22">
        <f t="shared" si="7"/>
        <v>12</v>
      </c>
      <c r="H27" s="25">
        <f t="shared" si="8"/>
        <v>1377</v>
      </c>
      <c r="I27" s="24">
        <v>-1398</v>
      </c>
      <c r="J27" s="25">
        <v>2775</v>
      </c>
      <c r="K27" s="22">
        <f t="shared" si="9"/>
        <v>260</v>
      </c>
      <c r="L27" s="22">
        <f t="shared" si="10"/>
        <v>12</v>
      </c>
      <c r="M27" s="25">
        <f t="shared" si="11"/>
        <v>1356</v>
      </c>
      <c r="N27" s="24">
        <v>-1230</v>
      </c>
      <c r="O27" s="25">
        <v>2753</v>
      </c>
      <c r="P27" s="22">
        <f t="shared" si="12"/>
        <v>329</v>
      </c>
      <c r="Q27" s="29"/>
      <c r="R27" s="30"/>
    </row>
    <row r="28" spans="1:18" ht="15" customHeight="1" x14ac:dyDescent="0.2">
      <c r="A28" s="98">
        <v>45752</v>
      </c>
      <c r="B28" s="22">
        <f t="shared" si="4"/>
        <v>13</v>
      </c>
      <c r="C28" s="25">
        <f t="shared" si="5"/>
        <v>1437</v>
      </c>
      <c r="D28" s="24">
        <v>-1291</v>
      </c>
      <c r="E28" s="25">
        <f t="shared" si="1"/>
        <v>2728</v>
      </c>
      <c r="F28" s="26">
        <f t="shared" si="6"/>
        <v>225</v>
      </c>
      <c r="G28" s="22">
        <f t="shared" si="7"/>
        <v>13</v>
      </c>
      <c r="H28" s="25">
        <f t="shared" si="8"/>
        <v>1367</v>
      </c>
      <c r="I28" s="24">
        <v>-1408</v>
      </c>
      <c r="J28" s="25">
        <v>2775</v>
      </c>
      <c r="K28" s="22">
        <f t="shared" si="9"/>
        <v>270</v>
      </c>
      <c r="L28" s="22">
        <f t="shared" si="10"/>
        <v>13</v>
      </c>
      <c r="M28" s="25">
        <f t="shared" si="11"/>
        <v>1341</v>
      </c>
      <c r="N28" s="24">
        <v>-1245</v>
      </c>
      <c r="O28" s="25">
        <v>2753</v>
      </c>
      <c r="P28" s="22">
        <f t="shared" si="12"/>
        <v>344</v>
      </c>
      <c r="Q28" s="29"/>
      <c r="R28" s="30"/>
    </row>
    <row r="29" spans="1:18" ht="15" customHeight="1" x14ac:dyDescent="0.2">
      <c r="A29" s="98">
        <v>45753</v>
      </c>
      <c r="B29" s="22">
        <f t="shared" si="4"/>
        <v>14</v>
      </c>
      <c r="C29" s="25">
        <f t="shared" si="5"/>
        <v>1429</v>
      </c>
      <c r="D29" s="24">
        <v>-1299</v>
      </c>
      <c r="E29" s="25">
        <f t="shared" si="1"/>
        <v>2728</v>
      </c>
      <c r="F29" s="26">
        <f t="shared" si="6"/>
        <v>233</v>
      </c>
      <c r="G29" s="22">
        <f t="shared" si="7"/>
        <v>14</v>
      </c>
      <c r="H29" s="25">
        <f t="shared" si="8"/>
        <v>1358</v>
      </c>
      <c r="I29" s="24">
        <v>-1417</v>
      </c>
      <c r="J29" s="25">
        <v>2775</v>
      </c>
      <c r="K29" s="22">
        <f t="shared" si="9"/>
        <v>279</v>
      </c>
      <c r="L29" s="22">
        <f t="shared" si="10"/>
        <v>14</v>
      </c>
      <c r="M29" s="25">
        <f t="shared" si="11"/>
        <v>1331</v>
      </c>
      <c r="N29" s="24">
        <v>-1255</v>
      </c>
      <c r="O29" s="25">
        <v>2753</v>
      </c>
      <c r="P29" s="22">
        <f t="shared" si="12"/>
        <v>354</v>
      </c>
      <c r="Q29" s="29"/>
      <c r="R29" s="30"/>
    </row>
    <row r="30" spans="1:18" ht="15" customHeight="1" x14ac:dyDescent="0.2">
      <c r="A30" s="98">
        <v>45754</v>
      </c>
      <c r="B30" s="22">
        <f t="shared" si="4"/>
        <v>15</v>
      </c>
      <c r="C30" s="25">
        <f t="shared" si="5"/>
        <v>1420</v>
      </c>
      <c r="D30" s="24">
        <v>-1308</v>
      </c>
      <c r="E30" s="25">
        <f t="shared" si="1"/>
        <v>2728</v>
      </c>
      <c r="F30" s="26">
        <f t="shared" si="6"/>
        <v>242</v>
      </c>
      <c r="G30" s="22">
        <f t="shared" si="7"/>
        <v>15</v>
      </c>
      <c r="H30" s="25">
        <f t="shared" si="8"/>
        <v>1349</v>
      </c>
      <c r="I30" s="24">
        <v>-1426</v>
      </c>
      <c r="J30" s="25">
        <v>2775</v>
      </c>
      <c r="K30" s="22">
        <f t="shared" si="9"/>
        <v>288</v>
      </c>
      <c r="L30" s="22">
        <f t="shared" si="10"/>
        <v>15</v>
      </c>
      <c r="M30" s="25">
        <f t="shared" si="11"/>
        <v>1322</v>
      </c>
      <c r="N30" s="24">
        <v>-1264</v>
      </c>
      <c r="O30" s="25">
        <v>2753</v>
      </c>
      <c r="P30" s="22">
        <f t="shared" si="12"/>
        <v>363</v>
      </c>
      <c r="Q30" s="36"/>
      <c r="R30" s="30"/>
    </row>
    <row r="31" spans="1:18" ht="15" customHeight="1" x14ac:dyDescent="0.2">
      <c r="A31" s="98">
        <v>45755</v>
      </c>
      <c r="B31" s="22">
        <f t="shared" si="4"/>
        <v>16</v>
      </c>
      <c r="C31" s="25">
        <f t="shared" si="5"/>
        <v>1403</v>
      </c>
      <c r="D31" s="24">
        <v>-1325</v>
      </c>
      <c r="E31" s="25">
        <f t="shared" si="1"/>
        <v>2728</v>
      </c>
      <c r="F31" s="26">
        <f t="shared" si="6"/>
        <v>259</v>
      </c>
      <c r="G31" s="22">
        <f t="shared" si="7"/>
        <v>16</v>
      </c>
      <c r="H31" s="25">
        <f t="shared" si="8"/>
        <v>1327</v>
      </c>
      <c r="I31" s="24">
        <v>-1448</v>
      </c>
      <c r="J31" s="25">
        <v>2775</v>
      </c>
      <c r="K31" s="22">
        <f t="shared" si="9"/>
        <v>310</v>
      </c>
      <c r="L31" s="22">
        <f t="shared" si="10"/>
        <v>16</v>
      </c>
      <c r="M31" s="25">
        <f t="shared" si="11"/>
        <v>1312</v>
      </c>
      <c r="N31" s="24">
        <v>-1274</v>
      </c>
      <c r="O31" s="25">
        <v>2753</v>
      </c>
      <c r="P31" s="22">
        <f t="shared" si="12"/>
        <v>373</v>
      </c>
      <c r="Q31" s="36"/>
      <c r="R31" s="30"/>
    </row>
    <row r="32" spans="1:18" ht="15" customHeight="1" x14ac:dyDescent="0.2">
      <c r="A32" s="98">
        <v>45756</v>
      </c>
      <c r="B32" s="22">
        <f t="shared" si="4"/>
        <v>17</v>
      </c>
      <c r="C32" s="25">
        <f t="shared" si="5"/>
        <v>1383</v>
      </c>
      <c r="D32" s="24">
        <v>-1345</v>
      </c>
      <c r="E32" s="25">
        <f t="shared" si="1"/>
        <v>2728</v>
      </c>
      <c r="F32" s="26">
        <f t="shared" si="6"/>
        <v>279</v>
      </c>
      <c r="G32" s="22">
        <f t="shared" si="7"/>
        <v>17</v>
      </c>
      <c r="H32" s="25">
        <f t="shared" si="8"/>
        <v>1304</v>
      </c>
      <c r="I32" s="24">
        <v>-1471</v>
      </c>
      <c r="J32" s="25">
        <v>2775</v>
      </c>
      <c r="K32" s="22">
        <f t="shared" si="9"/>
        <v>333</v>
      </c>
      <c r="L32" s="22">
        <f t="shared" si="10"/>
        <v>17</v>
      </c>
      <c r="M32" s="25">
        <f t="shared" si="11"/>
        <v>1302</v>
      </c>
      <c r="N32" s="24">
        <v>-1284</v>
      </c>
      <c r="O32" s="25">
        <v>2753</v>
      </c>
      <c r="P32" s="22">
        <f t="shared" si="12"/>
        <v>383</v>
      </c>
      <c r="Q32" s="36"/>
      <c r="R32" s="30"/>
    </row>
    <row r="33" spans="1:18" ht="15" customHeight="1" x14ac:dyDescent="0.2">
      <c r="A33" s="98">
        <v>45757</v>
      </c>
      <c r="B33" s="22">
        <f t="shared" si="4"/>
        <v>18</v>
      </c>
      <c r="C33" s="25">
        <f t="shared" si="5"/>
        <v>1371</v>
      </c>
      <c r="D33" s="24">
        <v>-1357</v>
      </c>
      <c r="E33" s="25">
        <f t="shared" si="1"/>
        <v>2728</v>
      </c>
      <c r="F33" s="26">
        <f t="shared" si="6"/>
        <v>291</v>
      </c>
      <c r="G33" s="22">
        <f t="shared" si="7"/>
        <v>18</v>
      </c>
      <c r="H33" s="25">
        <f t="shared" si="8"/>
        <v>1295</v>
      </c>
      <c r="I33" s="24">
        <v>-1480</v>
      </c>
      <c r="J33" s="25">
        <v>2775</v>
      </c>
      <c r="K33" s="22">
        <f t="shared" si="9"/>
        <v>342</v>
      </c>
      <c r="L33" s="22">
        <f t="shared" si="10"/>
        <v>18</v>
      </c>
      <c r="M33" s="25">
        <f t="shared" si="11"/>
        <v>1292</v>
      </c>
      <c r="N33" s="24">
        <v>-1294</v>
      </c>
      <c r="O33" s="25">
        <v>2753</v>
      </c>
      <c r="P33" s="22">
        <f t="shared" si="12"/>
        <v>393</v>
      </c>
      <c r="Q33" s="36"/>
      <c r="R33" s="30"/>
    </row>
    <row r="34" spans="1:18" ht="15" customHeight="1" x14ac:dyDescent="0.2">
      <c r="A34" s="98">
        <v>45758</v>
      </c>
      <c r="B34" s="22">
        <f t="shared" si="4"/>
        <v>19</v>
      </c>
      <c r="C34" s="25">
        <f t="shared" si="5"/>
        <v>1358</v>
      </c>
      <c r="D34" s="24">
        <v>-1370</v>
      </c>
      <c r="E34" s="25">
        <f t="shared" si="1"/>
        <v>2728</v>
      </c>
      <c r="F34" s="26">
        <f t="shared" si="6"/>
        <v>304</v>
      </c>
      <c r="G34" s="22">
        <f t="shared" si="7"/>
        <v>19</v>
      </c>
      <c r="H34" s="25">
        <f t="shared" si="8"/>
        <v>1275</v>
      </c>
      <c r="I34" s="24">
        <v>-1500</v>
      </c>
      <c r="J34" s="25">
        <v>2775</v>
      </c>
      <c r="K34" s="22">
        <f t="shared" si="9"/>
        <v>362</v>
      </c>
      <c r="L34" s="22">
        <f t="shared" si="10"/>
        <v>19</v>
      </c>
      <c r="M34" s="25">
        <f t="shared" si="11"/>
        <v>1282</v>
      </c>
      <c r="N34" s="24">
        <v>-1304</v>
      </c>
      <c r="O34" s="25">
        <v>2753</v>
      </c>
      <c r="P34" s="22">
        <f t="shared" si="12"/>
        <v>403</v>
      </c>
      <c r="Q34" s="36"/>
      <c r="R34" s="30"/>
    </row>
    <row r="35" spans="1:18" ht="15" customHeight="1" x14ac:dyDescent="0.2">
      <c r="A35" s="98">
        <v>45759</v>
      </c>
      <c r="B35" s="22">
        <f t="shared" si="4"/>
        <v>20</v>
      </c>
      <c r="C35" s="25">
        <f t="shared" si="5"/>
        <v>1343</v>
      </c>
      <c r="D35" s="24">
        <v>-1385</v>
      </c>
      <c r="E35" s="25">
        <f t="shared" si="1"/>
        <v>2728</v>
      </c>
      <c r="F35" s="26">
        <f t="shared" si="6"/>
        <v>319</v>
      </c>
      <c r="G35" s="22">
        <f t="shared" si="7"/>
        <v>20</v>
      </c>
      <c r="H35" s="25">
        <f t="shared" si="8"/>
        <v>1255</v>
      </c>
      <c r="I35" s="24">
        <v>-1520</v>
      </c>
      <c r="J35" s="25">
        <v>2775</v>
      </c>
      <c r="K35" s="22">
        <f t="shared" si="9"/>
        <v>382</v>
      </c>
      <c r="L35" s="22">
        <f t="shared" si="10"/>
        <v>20</v>
      </c>
      <c r="M35" s="25">
        <f t="shared" si="11"/>
        <v>1276</v>
      </c>
      <c r="N35" s="24">
        <v>-1310</v>
      </c>
      <c r="O35" s="25">
        <v>2753</v>
      </c>
      <c r="P35" s="22">
        <f t="shared" si="12"/>
        <v>409</v>
      </c>
      <c r="Q35" s="36"/>
      <c r="R35" s="30"/>
    </row>
    <row r="36" spans="1:18" ht="15" customHeight="1" x14ac:dyDescent="0.2">
      <c r="A36" s="98">
        <v>45760</v>
      </c>
      <c r="B36" s="22">
        <f t="shared" si="4"/>
        <v>21</v>
      </c>
      <c r="C36" s="25">
        <f t="shared" si="5"/>
        <v>1339</v>
      </c>
      <c r="D36" s="24">
        <v>-1389</v>
      </c>
      <c r="E36" s="25">
        <f t="shared" si="1"/>
        <v>2728</v>
      </c>
      <c r="F36" s="26">
        <f t="shared" si="6"/>
        <v>323</v>
      </c>
      <c r="G36" s="22">
        <f t="shared" si="7"/>
        <v>21</v>
      </c>
      <c r="H36" s="25">
        <f t="shared" si="8"/>
        <v>1245</v>
      </c>
      <c r="I36" s="24">
        <v>-1530</v>
      </c>
      <c r="J36" s="25">
        <v>2775</v>
      </c>
      <c r="K36" s="22">
        <f t="shared" si="9"/>
        <v>392</v>
      </c>
      <c r="L36" s="22">
        <f t="shared" si="10"/>
        <v>21</v>
      </c>
      <c r="M36" s="25">
        <f t="shared" si="11"/>
        <v>1266</v>
      </c>
      <c r="N36" s="24">
        <v>-1320</v>
      </c>
      <c r="O36" s="25">
        <v>2753</v>
      </c>
      <c r="P36" s="22">
        <f t="shared" si="12"/>
        <v>419</v>
      </c>
      <c r="Q36" s="36"/>
      <c r="R36" s="30"/>
    </row>
    <row r="37" spans="1:18" ht="15" customHeight="1" x14ac:dyDescent="0.2">
      <c r="A37" s="98">
        <v>45761</v>
      </c>
      <c r="B37" s="22">
        <f t="shared" si="4"/>
        <v>22</v>
      </c>
      <c r="C37" s="25">
        <f t="shared" si="5"/>
        <v>1333</v>
      </c>
      <c r="D37" s="24">
        <v>-1395</v>
      </c>
      <c r="E37" s="25">
        <f t="shared" si="1"/>
        <v>2728</v>
      </c>
      <c r="F37" s="26">
        <f t="shared" si="6"/>
        <v>329</v>
      </c>
      <c r="G37" s="22">
        <f t="shared" si="7"/>
        <v>22</v>
      </c>
      <c r="H37" s="25">
        <f t="shared" si="8"/>
        <v>1235</v>
      </c>
      <c r="I37" s="24">
        <v>-1540</v>
      </c>
      <c r="J37" s="25">
        <v>2775</v>
      </c>
      <c r="K37" s="22">
        <f t="shared" si="9"/>
        <v>402</v>
      </c>
      <c r="L37" s="22">
        <f t="shared" si="10"/>
        <v>22</v>
      </c>
      <c r="M37" s="25">
        <f t="shared" si="11"/>
        <v>1258</v>
      </c>
      <c r="N37" s="24">
        <v>-1328</v>
      </c>
      <c r="O37" s="25">
        <v>2753</v>
      </c>
      <c r="P37" s="22">
        <f t="shared" si="12"/>
        <v>427</v>
      </c>
      <c r="Q37" s="36"/>
      <c r="R37" s="30"/>
    </row>
    <row r="38" spans="1:18" ht="12.75" x14ac:dyDescent="0.2">
      <c r="A38" s="98">
        <v>45762</v>
      </c>
      <c r="B38" s="22">
        <f t="shared" si="4"/>
        <v>23</v>
      </c>
      <c r="C38" s="25">
        <f t="shared" si="5"/>
        <v>1327</v>
      </c>
      <c r="D38" s="24">
        <v>-1401</v>
      </c>
      <c r="E38" s="25">
        <f t="shared" si="1"/>
        <v>2728</v>
      </c>
      <c r="F38" s="26">
        <f t="shared" si="6"/>
        <v>335</v>
      </c>
      <c r="G38" s="22">
        <f t="shared" si="7"/>
        <v>23</v>
      </c>
      <c r="H38" s="25">
        <f t="shared" si="8"/>
        <v>1224</v>
      </c>
      <c r="I38" s="24">
        <v>-1551</v>
      </c>
      <c r="J38" s="25">
        <v>2775</v>
      </c>
      <c r="K38" s="22">
        <f t="shared" si="9"/>
        <v>413</v>
      </c>
      <c r="L38" s="22">
        <f t="shared" si="10"/>
        <v>23</v>
      </c>
      <c r="M38" s="25">
        <f t="shared" si="11"/>
        <v>1250</v>
      </c>
      <c r="N38" s="24">
        <v>-1336</v>
      </c>
      <c r="O38" s="25">
        <v>2753</v>
      </c>
      <c r="P38" s="22">
        <f t="shared" si="12"/>
        <v>435</v>
      </c>
      <c r="Q38" s="36"/>
      <c r="R38" s="30"/>
    </row>
    <row r="39" spans="1:18" ht="12.75" x14ac:dyDescent="0.2">
      <c r="A39" s="98">
        <v>45763</v>
      </c>
      <c r="B39" s="22">
        <f t="shared" si="4"/>
        <v>24</v>
      </c>
      <c r="C39" s="25">
        <f t="shared" si="5"/>
        <v>1313</v>
      </c>
      <c r="D39" s="24">
        <v>-1415</v>
      </c>
      <c r="E39" s="25">
        <f t="shared" si="1"/>
        <v>2728</v>
      </c>
      <c r="F39" s="26">
        <f t="shared" si="6"/>
        <v>349</v>
      </c>
      <c r="G39" s="22">
        <f t="shared" si="7"/>
        <v>24</v>
      </c>
      <c r="H39" s="25">
        <f t="shared" si="8"/>
        <v>1210</v>
      </c>
      <c r="I39" s="24">
        <v>-1565</v>
      </c>
      <c r="J39" s="25">
        <v>2775</v>
      </c>
      <c r="K39" s="22">
        <f t="shared" si="9"/>
        <v>427</v>
      </c>
      <c r="L39" s="22">
        <f t="shared" si="10"/>
        <v>24</v>
      </c>
      <c r="M39" s="25">
        <f t="shared" si="11"/>
        <v>1240</v>
      </c>
      <c r="N39" s="24">
        <v>-1346</v>
      </c>
      <c r="O39" s="25">
        <v>2753</v>
      </c>
      <c r="P39" s="22">
        <f t="shared" si="12"/>
        <v>445</v>
      </c>
      <c r="Q39" s="36"/>
      <c r="R39" s="30"/>
    </row>
    <row r="40" spans="1:18" ht="12.75" x14ac:dyDescent="0.2">
      <c r="A40" s="98">
        <v>45764</v>
      </c>
      <c r="B40" s="22">
        <f t="shared" si="4"/>
        <v>25</v>
      </c>
      <c r="C40" s="25">
        <f t="shared" si="5"/>
        <v>1298</v>
      </c>
      <c r="D40" s="24">
        <v>-1430</v>
      </c>
      <c r="E40" s="25">
        <f t="shared" si="1"/>
        <v>2728</v>
      </c>
      <c r="F40" s="26">
        <f t="shared" si="6"/>
        <v>364</v>
      </c>
      <c r="G40" s="22">
        <f t="shared" si="7"/>
        <v>25</v>
      </c>
      <c r="H40" s="25">
        <f t="shared" si="8"/>
        <v>1196</v>
      </c>
      <c r="I40" s="24">
        <v>-1579</v>
      </c>
      <c r="J40" s="25">
        <v>2775</v>
      </c>
      <c r="K40" s="22">
        <f t="shared" si="9"/>
        <v>441</v>
      </c>
      <c r="L40" s="22">
        <f t="shared" si="10"/>
        <v>25</v>
      </c>
      <c r="M40" s="25">
        <f t="shared" si="11"/>
        <v>1230</v>
      </c>
      <c r="N40" s="24">
        <v>-1356</v>
      </c>
      <c r="O40" s="25">
        <v>2753</v>
      </c>
      <c r="P40" s="22">
        <f t="shared" si="12"/>
        <v>455</v>
      </c>
      <c r="Q40" s="36"/>
      <c r="R40" s="30"/>
    </row>
    <row r="41" spans="1:18" ht="12.75" x14ac:dyDescent="0.2">
      <c r="A41" s="98">
        <v>45765</v>
      </c>
      <c r="B41" s="22">
        <f t="shared" si="4"/>
        <v>26</v>
      </c>
      <c r="C41" s="25">
        <f t="shared" si="5"/>
        <v>1288</v>
      </c>
      <c r="D41" s="24">
        <v>-1440</v>
      </c>
      <c r="E41" s="25">
        <f t="shared" si="1"/>
        <v>2728</v>
      </c>
      <c r="F41" s="26">
        <f t="shared" si="6"/>
        <v>374</v>
      </c>
      <c r="G41" s="22">
        <f t="shared" si="7"/>
        <v>26</v>
      </c>
      <c r="H41" s="25">
        <f t="shared" si="8"/>
        <v>1185</v>
      </c>
      <c r="I41" s="24">
        <v>-1590</v>
      </c>
      <c r="J41" s="25">
        <v>2775</v>
      </c>
      <c r="K41" s="22">
        <f t="shared" si="9"/>
        <v>452</v>
      </c>
      <c r="L41" s="22">
        <f t="shared" si="10"/>
        <v>26</v>
      </c>
      <c r="M41" s="25">
        <f t="shared" si="11"/>
        <v>1221</v>
      </c>
      <c r="N41" s="24">
        <v>-1365</v>
      </c>
      <c r="O41" s="25">
        <v>2753</v>
      </c>
      <c r="P41" s="22">
        <f t="shared" si="12"/>
        <v>464</v>
      </c>
      <c r="Q41" s="36"/>
      <c r="R41" s="30"/>
    </row>
    <row r="42" spans="1:18" ht="12.75" x14ac:dyDescent="0.2">
      <c r="A42" s="98">
        <v>45766</v>
      </c>
      <c r="B42" s="22">
        <f t="shared" si="4"/>
        <v>27</v>
      </c>
      <c r="C42" s="25">
        <f t="shared" si="5"/>
        <v>1278</v>
      </c>
      <c r="D42" s="24">
        <v>-1450</v>
      </c>
      <c r="E42" s="25">
        <f t="shared" si="1"/>
        <v>2728</v>
      </c>
      <c r="F42" s="26">
        <f t="shared" si="6"/>
        <v>384</v>
      </c>
      <c r="G42" s="22">
        <f t="shared" si="7"/>
        <v>27</v>
      </c>
      <c r="H42" s="25">
        <f t="shared" si="8"/>
        <v>1175</v>
      </c>
      <c r="I42" s="24">
        <v>-1600</v>
      </c>
      <c r="J42" s="25">
        <v>2775</v>
      </c>
      <c r="K42" s="22">
        <f t="shared" si="9"/>
        <v>462</v>
      </c>
      <c r="L42" s="22">
        <f t="shared" si="10"/>
        <v>27</v>
      </c>
      <c r="M42" s="25">
        <f t="shared" si="11"/>
        <v>1212</v>
      </c>
      <c r="N42" s="24">
        <v>-1374</v>
      </c>
      <c r="O42" s="25">
        <v>2753</v>
      </c>
      <c r="P42" s="22">
        <f t="shared" si="12"/>
        <v>473</v>
      </c>
      <c r="Q42" s="36"/>
      <c r="R42" s="30"/>
    </row>
    <row r="43" spans="1:18" ht="12.75" x14ac:dyDescent="0.2">
      <c r="A43" s="98">
        <v>45767</v>
      </c>
      <c r="B43" s="22">
        <f t="shared" si="4"/>
        <v>28</v>
      </c>
      <c r="C43" s="25">
        <f t="shared" si="5"/>
        <v>1268</v>
      </c>
      <c r="D43" s="24">
        <v>-1460</v>
      </c>
      <c r="E43" s="25">
        <f t="shared" si="1"/>
        <v>2728</v>
      </c>
      <c r="F43" s="26">
        <f t="shared" si="6"/>
        <v>394</v>
      </c>
      <c r="G43" s="22">
        <f t="shared" si="7"/>
        <v>28</v>
      </c>
      <c r="H43" s="25">
        <f t="shared" si="8"/>
        <v>1165</v>
      </c>
      <c r="I43" s="24">
        <v>-1610</v>
      </c>
      <c r="J43" s="25">
        <v>2775</v>
      </c>
      <c r="K43" s="22">
        <f t="shared" si="9"/>
        <v>472</v>
      </c>
      <c r="L43" s="22">
        <f t="shared" si="10"/>
        <v>28</v>
      </c>
      <c r="M43" s="25">
        <f t="shared" si="11"/>
        <v>1203</v>
      </c>
      <c r="N43" s="24">
        <v>-1383</v>
      </c>
      <c r="O43" s="25">
        <v>2753</v>
      </c>
      <c r="P43" s="22">
        <f t="shared" si="12"/>
        <v>482</v>
      </c>
      <c r="Q43" s="36"/>
      <c r="R43" s="30"/>
    </row>
    <row r="44" spans="1:18" ht="12.75" x14ac:dyDescent="0.2">
      <c r="A44" s="98">
        <v>45768</v>
      </c>
      <c r="B44" s="22">
        <f t="shared" si="4"/>
        <v>29</v>
      </c>
      <c r="C44" s="25">
        <f t="shared" si="5"/>
        <v>1258</v>
      </c>
      <c r="D44" s="24">
        <v>-1470</v>
      </c>
      <c r="E44" s="25">
        <f t="shared" si="1"/>
        <v>2728</v>
      </c>
      <c r="F44" s="26">
        <f t="shared" si="6"/>
        <v>404</v>
      </c>
      <c r="G44" s="22">
        <f t="shared" si="7"/>
        <v>29</v>
      </c>
      <c r="H44" s="25">
        <f t="shared" si="8"/>
        <v>1155</v>
      </c>
      <c r="I44" s="24">
        <v>-1620</v>
      </c>
      <c r="J44" s="25">
        <v>2775</v>
      </c>
      <c r="K44" s="22">
        <f t="shared" si="9"/>
        <v>482</v>
      </c>
      <c r="L44" s="22">
        <f t="shared" si="10"/>
        <v>29</v>
      </c>
      <c r="M44" s="25">
        <f t="shared" si="11"/>
        <v>1194</v>
      </c>
      <c r="N44" s="24">
        <v>-1392</v>
      </c>
      <c r="O44" s="25">
        <v>2753</v>
      </c>
      <c r="P44" s="22">
        <f t="shared" si="12"/>
        <v>491</v>
      </c>
      <c r="Q44" s="36"/>
      <c r="R44" s="30"/>
    </row>
    <row r="45" spans="1:18" ht="12.75" x14ac:dyDescent="0.2">
      <c r="A45" s="98">
        <v>45769</v>
      </c>
      <c r="B45" s="22">
        <f t="shared" si="4"/>
        <v>30</v>
      </c>
      <c r="C45" s="25">
        <f t="shared" si="5"/>
        <v>1249</v>
      </c>
      <c r="D45" s="24">
        <v>-1479</v>
      </c>
      <c r="E45" s="25">
        <f t="shared" si="1"/>
        <v>2728</v>
      </c>
      <c r="F45" s="26">
        <f t="shared" si="6"/>
        <v>413</v>
      </c>
      <c r="G45" s="22">
        <f t="shared" si="7"/>
        <v>30</v>
      </c>
      <c r="H45" s="25">
        <f t="shared" si="8"/>
        <v>1145</v>
      </c>
      <c r="I45" s="24">
        <v>-1630</v>
      </c>
      <c r="J45" s="25">
        <v>2775</v>
      </c>
      <c r="K45" s="22">
        <f t="shared" si="9"/>
        <v>492</v>
      </c>
      <c r="L45" s="22">
        <f t="shared" si="10"/>
        <v>30</v>
      </c>
      <c r="M45" s="25">
        <f t="shared" si="11"/>
        <v>1186</v>
      </c>
      <c r="N45" s="24">
        <v>-1400</v>
      </c>
      <c r="O45" s="25">
        <v>2753</v>
      </c>
      <c r="P45" s="22">
        <f t="shared" si="12"/>
        <v>499</v>
      </c>
      <c r="Q45" s="36"/>
      <c r="R45" s="30"/>
    </row>
    <row r="46" spans="1:18" ht="12.75" x14ac:dyDescent="0.2">
      <c r="A46" s="98">
        <v>45770</v>
      </c>
      <c r="B46" s="22">
        <f t="shared" si="4"/>
        <v>31</v>
      </c>
      <c r="C46" s="25">
        <f t="shared" si="5"/>
        <v>1240</v>
      </c>
      <c r="D46" s="24">
        <v>-1488</v>
      </c>
      <c r="E46" s="25">
        <f t="shared" si="1"/>
        <v>2728</v>
      </c>
      <c r="F46" s="26">
        <f t="shared" si="6"/>
        <v>422</v>
      </c>
      <c r="G46" s="22">
        <f t="shared" si="7"/>
        <v>31</v>
      </c>
      <c r="H46" s="25">
        <f t="shared" si="8"/>
        <v>1135</v>
      </c>
      <c r="I46" s="24">
        <v>-1640</v>
      </c>
      <c r="J46" s="25">
        <v>2775</v>
      </c>
      <c r="K46" s="22">
        <f t="shared" si="9"/>
        <v>502</v>
      </c>
      <c r="L46" s="22">
        <f t="shared" si="10"/>
        <v>31</v>
      </c>
      <c r="M46" s="25">
        <f t="shared" si="11"/>
        <v>1180</v>
      </c>
      <c r="N46" s="24">
        <v>-1406</v>
      </c>
      <c r="O46" s="25">
        <v>2753</v>
      </c>
      <c r="P46" s="22">
        <f t="shared" si="12"/>
        <v>505</v>
      </c>
      <c r="Q46" s="36"/>
      <c r="R46" s="30"/>
    </row>
    <row r="47" spans="1:18" ht="12.75" x14ac:dyDescent="0.2">
      <c r="A47" s="98">
        <v>45771</v>
      </c>
      <c r="B47" s="22">
        <f t="shared" si="4"/>
        <v>32</v>
      </c>
      <c r="C47" s="25">
        <f t="shared" si="5"/>
        <v>1232</v>
      </c>
      <c r="D47" s="24">
        <v>-1496</v>
      </c>
      <c r="E47" s="25">
        <f t="shared" si="1"/>
        <v>2728</v>
      </c>
      <c r="F47" s="26">
        <f t="shared" si="6"/>
        <v>430</v>
      </c>
      <c r="G47" s="22">
        <f t="shared" si="7"/>
        <v>32</v>
      </c>
      <c r="H47" s="25">
        <f t="shared" si="8"/>
        <v>1127</v>
      </c>
      <c r="I47" s="24">
        <v>-1648</v>
      </c>
      <c r="J47" s="25">
        <v>2775</v>
      </c>
      <c r="K47" s="22">
        <f t="shared" si="9"/>
        <v>510</v>
      </c>
      <c r="L47" s="22">
        <f t="shared" si="10"/>
        <v>32</v>
      </c>
      <c r="M47" s="25">
        <f t="shared" si="11"/>
        <v>1173</v>
      </c>
      <c r="N47" s="24">
        <v>-1413</v>
      </c>
      <c r="O47" s="25">
        <v>2753</v>
      </c>
      <c r="P47" s="22">
        <f t="shared" si="12"/>
        <v>512</v>
      </c>
      <c r="Q47" s="36"/>
      <c r="R47" s="30"/>
    </row>
    <row r="48" spans="1:18" ht="12.75" x14ac:dyDescent="0.2">
      <c r="A48" s="98">
        <v>45772</v>
      </c>
      <c r="B48" s="22">
        <f t="shared" si="4"/>
        <v>33</v>
      </c>
      <c r="C48" s="25">
        <f t="shared" si="5"/>
        <v>1222</v>
      </c>
      <c r="D48" s="24">
        <v>-1506</v>
      </c>
      <c r="E48" s="25">
        <f t="shared" si="1"/>
        <v>2728</v>
      </c>
      <c r="F48" s="26">
        <f t="shared" si="6"/>
        <v>440</v>
      </c>
      <c r="G48" s="22">
        <f t="shared" si="7"/>
        <v>33</v>
      </c>
      <c r="H48" s="25">
        <f t="shared" si="8"/>
        <v>1115</v>
      </c>
      <c r="I48" s="24">
        <v>-1660</v>
      </c>
      <c r="J48" s="25">
        <v>2775</v>
      </c>
      <c r="K48" s="22">
        <f t="shared" si="9"/>
        <v>522</v>
      </c>
      <c r="L48" s="22">
        <f t="shared" si="10"/>
        <v>33</v>
      </c>
      <c r="M48" s="25">
        <f t="shared" si="11"/>
        <v>1163</v>
      </c>
      <c r="N48" s="24">
        <v>-1423</v>
      </c>
      <c r="O48" s="25">
        <v>2753</v>
      </c>
      <c r="P48" s="22">
        <f t="shared" si="12"/>
        <v>522</v>
      </c>
      <c r="Q48" s="36"/>
      <c r="R48" s="30"/>
    </row>
    <row r="49" spans="1:18" ht="12.75" x14ac:dyDescent="0.2">
      <c r="A49" s="98">
        <v>45773</v>
      </c>
      <c r="B49" s="22">
        <f t="shared" si="4"/>
        <v>34</v>
      </c>
      <c r="C49" s="25">
        <f t="shared" si="5"/>
        <v>1213</v>
      </c>
      <c r="D49" s="24">
        <v>-1515</v>
      </c>
      <c r="E49" s="25">
        <f t="shared" si="1"/>
        <v>2728</v>
      </c>
      <c r="F49" s="26">
        <f t="shared" si="6"/>
        <v>449</v>
      </c>
      <c r="G49" s="22">
        <f t="shared" si="7"/>
        <v>34</v>
      </c>
      <c r="H49" s="25">
        <f t="shared" si="8"/>
        <v>1103</v>
      </c>
      <c r="I49" s="24">
        <v>-1672</v>
      </c>
      <c r="J49" s="25">
        <v>2775</v>
      </c>
      <c r="K49" s="22">
        <f t="shared" si="9"/>
        <v>534</v>
      </c>
      <c r="L49" s="22">
        <f t="shared" si="10"/>
        <v>34</v>
      </c>
      <c r="M49" s="25">
        <f t="shared" si="11"/>
        <v>1154</v>
      </c>
      <c r="N49" s="24">
        <v>-1432</v>
      </c>
      <c r="O49" s="25">
        <v>2753</v>
      </c>
      <c r="P49" s="22">
        <f t="shared" si="12"/>
        <v>531</v>
      </c>
      <c r="Q49" s="36"/>
      <c r="R49" s="30"/>
    </row>
    <row r="50" spans="1:18" ht="12.75" x14ac:dyDescent="0.2">
      <c r="A50" s="98">
        <v>45774</v>
      </c>
      <c r="B50" s="22">
        <f t="shared" si="4"/>
        <v>35</v>
      </c>
      <c r="C50" s="25">
        <f t="shared" si="5"/>
        <v>1203</v>
      </c>
      <c r="D50" s="24">
        <v>-1525</v>
      </c>
      <c r="E50" s="25">
        <f t="shared" si="1"/>
        <v>2728</v>
      </c>
      <c r="F50" s="26">
        <f t="shared" si="6"/>
        <v>459</v>
      </c>
      <c r="G50" s="22">
        <f t="shared" si="7"/>
        <v>35</v>
      </c>
      <c r="H50" s="25">
        <f t="shared" si="8"/>
        <v>1093</v>
      </c>
      <c r="I50" s="24">
        <v>-1682</v>
      </c>
      <c r="J50" s="25">
        <v>2775</v>
      </c>
      <c r="K50" s="22">
        <f t="shared" si="9"/>
        <v>544</v>
      </c>
      <c r="L50" s="22">
        <f t="shared" si="10"/>
        <v>35</v>
      </c>
      <c r="M50" s="25">
        <f t="shared" si="11"/>
        <v>1144</v>
      </c>
      <c r="N50" s="24">
        <v>-1442</v>
      </c>
      <c r="O50" s="25">
        <v>2753</v>
      </c>
      <c r="P50" s="22">
        <f t="shared" si="12"/>
        <v>541</v>
      </c>
      <c r="Q50" s="36"/>
      <c r="R50" s="30"/>
    </row>
    <row r="51" spans="1:18" ht="12.75" x14ac:dyDescent="0.2">
      <c r="A51" s="98">
        <v>45775</v>
      </c>
      <c r="B51" s="22">
        <f t="shared" si="4"/>
        <v>36</v>
      </c>
      <c r="C51" s="25">
        <f t="shared" si="5"/>
        <v>1193</v>
      </c>
      <c r="D51" s="24">
        <v>-1535</v>
      </c>
      <c r="E51" s="25">
        <f t="shared" si="1"/>
        <v>2728</v>
      </c>
      <c r="F51" s="26">
        <f t="shared" si="6"/>
        <v>469</v>
      </c>
      <c r="G51" s="22">
        <f t="shared" si="7"/>
        <v>36</v>
      </c>
      <c r="H51" s="25">
        <f t="shared" si="8"/>
        <v>1083</v>
      </c>
      <c r="I51" s="24">
        <v>-1692</v>
      </c>
      <c r="J51" s="25">
        <v>2775</v>
      </c>
      <c r="K51" s="22">
        <f t="shared" si="9"/>
        <v>554</v>
      </c>
      <c r="L51" s="22">
        <f t="shared" si="10"/>
        <v>36</v>
      </c>
      <c r="M51" s="25">
        <f t="shared" si="11"/>
        <v>1134</v>
      </c>
      <c r="N51" s="24">
        <v>-1452</v>
      </c>
      <c r="O51" s="25">
        <v>2753</v>
      </c>
      <c r="P51" s="22">
        <f t="shared" si="12"/>
        <v>551</v>
      </c>
      <c r="Q51" s="36"/>
      <c r="R51" s="30"/>
    </row>
    <row r="52" spans="1:18" ht="12.75" x14ac:dyDescent="0.2">
      <c r="A52" s="98">
        <v>45776</v>
      </c>
      <c r="B52" s="22">
        <f t="shared" si="4"/>
        <v>37</v>
      </c>
      <c r="C52" s="25">
        <f t="shared" si="5"/>
        <v>1185</v>
      </c>
      <c r="D52" s="24">
        <v>-1543</v>
      </c>
      <c r="E52" s="25">
        <f t="shared" si="1"/>
        <v>2728</v>
      </c>
      <c r="F52" s="26">
        <f t="shared" si="6"/>
        <v>477</v>
      </c>
      <c r="G52" s="22">
        <f t="shared" si="7"/>
        <v>37</v>
      </c>
      <c r="H52" s="25">
        <f t="shared" si="8"/>
        <v>1075</v>
      </c>
      <c r="I52" s="24">
        <v>-1700</v>
      </c>
      <c r="J52" s="25">
        <v>2775</v>
      </c>
      <c r="K52" s="22">
        <f t="shared" si="9"/>
        <v>562</v>
      </c>
      <c r="L52" s="22">
        <f t="shared" si="10"/>
        <v>37</v>
      </c>
      <c r="M52" s="25">
        <f t="shared" si="11"/>
        <v>1129</v>
      </c>
      <c r="N52" s="24">
        <v>-1457</v>
      </c>
      <c r="O52" s="25">
        <v>2753</v>
      </c>
      <c r="P52" s="22">
        <f t="shared" si="12"/>
        <v>556</v>
      </c>
      <c r="Q52" s="36"/>
      <c r="R52" s="30"/>
    </row>
    <row r="53" spans="1:18" ht="12.75" x14ac:dyDescent="0.2">
      <c r="A53" s="98">
        <v>45777</v>
      </c>
      <c r="B53" s="22">
        <f t="shared" si="4"/>
        <v>38</v>
      </c>
      <c r="C53" s="25">
        <f t="shared" si="5"/>
        <v>1178</v>
      </c>
      <c r="D53" s="24">
        <v>-1550</v>
      </c>
      <c r="E53" s="25">
        <f t="shared" si="1"/>
        <v>2728</v>
      </c>
      <c r="F53" s="26">
        <f t="shared" si="6"/>
        <v>484</v>
      </c>
      <c r="G53" s="22">
        <f t="shared" si="7"/>
        <v>38</v>
      </c>
      <c r="H53" s="25">
        <f t="shared" si="8"/>
        <v>1067</v>
      </c>
      <c r="I53" s="24">
        <v>-1708</v>
      </c>
      <c r="J53" s="25">
        <v>2775</v>
      </c>
      <c r="K53" s="22">
        <f t="shared" si="9"/>
        <v>570</v>
      </c>
      <c r="L53" s="22">
        <f t="shared" si="10"/>
        <v>38</v>
      </c>
      <c r="M53" s="25">
        <f t="shared" si="11"/>
        <v>1124</v>
      </c>
      <c r="N53" s="24">
        <v>-1462</v>
      </c>
      <c r="O53" s="25">
        <v>2753</v>
      </c>
      <c r="P53" s="22">
        <f t="shared" si="12"/>
        <v>561</v>
      </c>
      <c r="Q53" s="36"/>
      <c r="R53" s="30"/>
    </row>
    <row r="54" spans="1:18" ht="12.75" x14ac:dyDescent="0.2">
      <c r="A54" s="98">
        <v>45778</v>
      </c>
      <c r="B54" s="22">
        <f t="shared" si="4"/>
        <v>39</v>
      </c>
      <c r="C54" s="25">
        <f t="shared" si="5"/>
        <v>1167</v>
      </c>
      <c r="D54" s="24">
        <v>-1561</v>
      </c>
      <c r="E54" s="25">
        <f t="shared" si="1"/>
        <v>2728</v>
      </c>
      <c r="F54" s="26">
        <f t="shared" si="6"/>
        <v>495</v>
      </c>
      <c r="G54" s="22">
        <f t="shared" si="7"/>
        <v>39</v>
      </c>
      <c r="H54" s="25">
        <f t="shared" si="8"/>
        <v>1057</v>
      </c>
      <c r="I54" s="24">
        <v>-1718</v>
      </c>
      <c r="J54" s="25">
        <v>2775</v>
      </c>
      <c r="K54" s="22">
        <f t="shared" si="9"/>
        <v>580</v>
      </c>
      <c r="L54" s="22">
        <f t="shared" si="10"/>
        <v>39</v>
      </c>
      <c r="M54" s="25">
        <f t="shared" si="11"/>
        <v>1118</v>
      </c>
      <c r="N54" s="24">
        <v>-1468</v>
      </c>
      <c r="O54" s="25">
        <v>2753</v>
      </c>
      <c r="P54" s="22">
        <f t="shared" si="12"/>
        <v>567</v>
      </c>
      <c r="Q54" s="36"/>
      <c r="R54" s="30"/>
    </row>
    <row r="55" spans="1:18" ht="12.75" x14ac:dyDescent="0.2">
      <c r="A55" s="98">
        <v>45779</v>
      </c>
      <c r="B55" s="22">
        <f t="shared" si="4"/>
        <v>40</v>
      </c>
      <c r="C55" s="25">
        <f t="shared" si="5"/>
        <v>1162</v>
      </c>
      <c r="D55" s="24">
        <v>-1566</v>
      </c>
      <c r="E55" s="25">
        <f t="shared" si="1"/>
        <v>2728</v>
      </c>
      <c r="F55" s="26">
        <f t="shared" si="6"/>
        <v>500</v>
      </c>
      <c r="G55" s="22">
        <f t="shared" si="7"/>
        <v>40</v>
      </c>
      <c r="H55" s="25">
        <f t="shared" si="8"/>
        <v>1047</v>
      </c>
      <c r="I55" s="24">
        <v>-1728</v>
      </c>
      <c r="J55" s="25">
        <v>2775</v>
      </c>
      <c r="K55" s="22">
        <f t="shared" si="9"/>
        <v>590</v>
      </c>
      <c r="L55" s="22">
        <f t="shared" si="10"/>
        <v>40</v>
      </c>
      <c r="M55" s="25">
        <f t="shared" si="11"/>
        <v>1112</v>
      </c>
      <c r="N55" s="24">
        <v>-1474</v>
      </c>
      <c r="O55" s="25">
        <v>2753</v>
      </c>
      <c r="P55" s="22">
        <f t="shared" si="12"/>
        <v>573</v>
      </c>
      <c r="Q55" s="36"/>
      <c r="R55" s="30"/>
    </row>
    <row r="56" spans="1:18" ht="12.75" x14ac:dyDescent="0.2">
      <c r="A56" s="98">
        <v>45780</v>
      </c>
      <c r="B56" s="22">
        <f t="shared" si="4"/>
        <v>41</v>
      </c>
      <c r="C56" s="25">
        <f t="shared" si="5"/>
        <v>1153</v>
      </c>
      <c r="D56" s="24">
        <v>-1575</v>
      </c>
      <c r="E56" s="25">
        <f t="shared" si="1"/>
        <v>2728</v>
      </c>
      <c r="F56" s="26">
        <f t="shared" si="6"/>
        <v>509</v>
      </c>
      <c r="G56" s="22">
        <f t="shared" si="7"/>
        <v>41</v>
      </c>
      <c r="H56" s="25">
        <f t="shared" si="8"/>
        <v>1035</v>
      </c>
      <c r="I56" s="24">
        <v>-1740</v>
      </c>
      <c r="J56" s="25">
        <v>2775</v>
      </c>
      <c r="K56" s="22">
        <f t="shared" si="9"/>
        <v>602</v>
      </c>
      <c r="L56" s="22">
        <f t="shared" si="10"/>
        <v>41</v>
      </c>
      <c r="M56" s="25">
        <f t="shared" si="11"/>
        <v>1106</v>
      </c>
      <c r="N56" s="24">
        <v>-1480</v>
      </c>
      <c r="O56" s="25">
        <v>2753</v>
      </c>
      <c r="P56" s="22">
        <f t="shared" si="12"/>
        <v>579</v>
      </c>
      <c r="Q56" s="36"/>
      <c r="R56" s="30"/>
    </row>
    <row r="57" spans="1:18" ht="12.75" x14ac:dyDescent="0.2">
      <c r="A57" s="98">
        <v>45781</v>
      </c>
      <c r="B57" s="22">
        <f t="shared" si="4"/>
        <v>42</v>
      </c>
      <c r="C57" s="25">
        <f t="shared" si="5"/>
        <v>1148</v>
      </c>
      <c r="D57" s="24">
        <v>-1580</v>
      </c>
      <c r="E57" s="25">
        <f t="shared" si="1"/>
        <v>2728</v>
      </c>
      <c r="F57" s="26">
        <f t="shared" si="6"/>
        <v>514</v>
      </c>
      <c r="G57" s="22">
        <f t="shared" si="7"/>
        <v>42</v>
      </c>
      <c r="H57" s="25">
        <f t="shared" si="8"/>
        <v>1031</v>
      </c>
      <c r="I57" s="24">
        <v>-1744</v>
      </c>
      <c r="J57" s="25">
        <v>2775</v>
      </c>
      <c r="K57" s="22">
        <f t="shared" si="9"/>
        <v>606</v>
      </c>
      <c r="L57" s="22">
        <f t="shared" si="10"/>
        <v>42</v>
      </c>
      <c r="M57" s="25">
        <f t="shared" si="11"/>
        <v>1101</v>
      </c>
      <c r="N57" s="24">
        <v>-1485</v>
      </c>
      <c r="O57" s="25">
        <v>2753</v>
      </c>
      <c r="P57" s="22">
        <f t="shared" si="12"/>
        <v>584</v>
      </c>
      <c r="Q57" s="36"/>
      <c r="R57" s="30"/>
    </row>
    <row r="58" spans="1:18" ht="12.75" x14ac:dyDescent="0.2">
      <c r="A58" s="98">
        <v>45782</v>
      </c>
      <c r="B58" s="22">
        <f t="shared" si="4"/>
        <v>43</v>
      </c>
      <c r="C58" s="25">
        <f t="shared" si="5"/>
        <v>1143</v>
      </c>
      <c r="D58" s="24">
        <v>-1585</v>
      </c>
      <c r="E58" s="25">
        <f t="shared" si="1"/>
        <v>2728</v>
      </c>
      <c r="F58" s="26">
        <f t="shared" si="6"/>
        <v>519</v>
      </c>
      <c r="G58" s="22">
        <f t="shared" si="7"/>
        <v>43</v>
      </c>
      <c r="H58" s="25">
        <f t="shared" si="8"/>
        <v>1027</v>
      </c>
      <c r="I58" s="24">
        <v>-1748</v>
      </c>
      <c r="J58" s="25">
        <v>2775</v>
      </c>
      <c r="K58" s="22">
        <f t="shared" si="9"/>
        <v>610</v>
      </c>
      <c r="L58" s="22">
        <f t="shared" si="10"/>
        <v>43</v>
      </c>
      <c r="M58" s="25">
        <f t="shared" si="11"/>
        <v>1096</v>
      </c>
      <c r="N58" s="24">
        <v>-1490</v>
      </c>
      <c r="O58" s="25">
        <v>2753</v>
      </c>
      <c r="P58" s="22">
        <f t="shared" si="12"/>
        <v>589</v>
      </c>
      <c r="Q58" s="36"/>
      <c r="R58" s="30"/>
    </row>
    <row r="59" spans="1:18" ht="12.75" x14ac:dyDescent="0.2">
      <c r="A59" s="98">
        <v>45783</v>
      </c>
      <c r="B59" s="22">
        <f t="shared" si="4"/>
        <v>44</v>
      </c>
      <c r="C59" s="25">
        <f t="shared" si="5"/>
        <v>1138</v>
      </c>
      <c r="D59" s="24">
        <v>-1590</v>
      </c>
      <c r="E59" s="25">
        <f t="shared" si="1"/>
        <v>2728</v>
      </c>
      <c r="F59" s="26">
        <f t="shared" si="6"/>
        <v>524</v>
      </c>
      <c r="G59" s="22">
        <f t="shared" si="7"/>
        <v>44</v>
      </c>
      <c r="H59" s="25">
        <f t="shared" si="8"/>
        <v>1022</v>
      </c>
      <c r="I59" s="24">
        <v>-1753</v>
      </c>
      <c r="J59" s="25">
        <v>2775</v>
      </c>
      <c r="K59" s="22">
        <f t="shared" si="9"/>
        <v>615</v>
      </c>
      <c r="L59" s="22">
        <f t="shared" si="10"/>
        <v>44</v>
      </c>
      <c r="M59" s="25">
        <f t="shared" si="11"/>
        <v>1092</v>
      </c>
      <c r="N59" s="24">
        <v>-1494</v>
      </c>
      <c r="O59" s="25">
        <v>2753</v>
      </c>
      <c r="P59" s="22">
        <f t="shared" si="12"/>
        <v>593</v>
      </c>
      <c r="Q59" s="36"/>
      <c r="R59" s="30"/>
    </row>
    <row r="60" spans="1:18" ht="12.75" x14ac:dyDescent="0.2">
      <c r="A60" s="98">
        <v>45784</v>
      </c>
      <c r="B60" s="22">
        <f t="shared" si="4"/>
        <v>45</v>
      </c>
      <c r="C60" s="25">
        <f t="shared" si="5"/>
        <v>1132</v>
      </c>
      <c r="D60" s="24">
        <v>-1596</v>
      </c>
      <c r="E60" s="25">
        <f t="shared" si="1"/>
        <v>2728</v>
      </c>
      <c r="F60" s="26">
        <f t="shared" si="6"/>
        <v>530</v>
      </c>
      <c r="G60" s="22">
        <f t="shared" si="7"/>
        <v>45</v>
      </c>
      <c r="H60" s="25">
        <f t="shared" si="8"/>
        <v>1017</v>
      </c>
      <c r="I60" s="24">
        <v>-1758</v>
      </c>
      <c r="J60" s="25">
        <v>2775</v>
      </c>
      <c r="K60" s="22">
        <f t="shared" si="9"/>
        <v>620</v>
      </c>
      <c r="L60" s="22">
        <f t="shared" si="10"/>
        <v>45</v>
      </c>
      <c r="M60" s="25">
        <f t="shared" si="11"/>
        <v>1088</v>
      </c>
      <c r="N60" s="24">
        <v>-1498</v>
      </c>
      <c r="O60" s="25">
        <v>2753</v>
      </c>
      <c r="P60" s="22">
        <f t="shared" si="12"/>
        <v>597</v>
      </c>
      <c r="Q60" s="36"/>
      <c r="R60" s="30"/>
    </row>
    <row r="61" spans="1:18" ht="12.75" x14ac:dyDescent="0.2">
      <c r="A61" s="98">
        <v>45785</v>
      </c>
      <c r="B61" s="22">
        <f t="shared" si="4"/>
        <v>46</v>
      </c>
      <c r="C61" s="25">
        <f t="shared" si="5"/>
        <v>1129</v>
      </c>
      <c r="D61" s="24">
        <v>-1599</v>
      </c>
      <c r="E61" s="25">
        <f t="shared" si="1"/>
        <v>2728</v>
      </c>
      <c r="F61" s="26">
        <f t="shared" si="6"/>
        <v>533</v>
      </c>
      <c r="G61" s="22">
        <f t="shared" si="7"/>
        <v>46</v>
      </c>
      <c r="H61" s="25">
        <f t="shared" si="8"/>
        <v>1014</v>
      </c>
      <c r="I61" s="24">
        <v>-1761</v>
      </c>
      <c r="J61" s="25">
        <v>2775</v>
      </c>
      <c r="K61" s="22">
        <f t="shared" si="9"/>
        <v>623</v>
      </c>
      <c r="L61" s="22">
        <f t="shared" si="10"/>
        <v>46</v>
      </c>
      <c r="M61" s="25">
        <f t="shared" si="11"/>
        <v>1084</v>
      </c>
      <c r="N61" s="24">
        <v>-1502</v>
      </c>
      <c r="O61" s="25">
        <v>2753</v>
      </c>
      <c r="P61" s="22">
        <f t="shared" si="12"/>
        <v>601</v>
      </c>
      <c r="Q61" s="36"/>
      <c r="R61" s="30"/>
    </row>
    <row r="62" spans="1:18" ht="12.75" x14ac:dyDescent="0.2">
      <c r="A62" s="98">
        <v>45786</v>
      </c>
      <c r="B62" s="22">
        <f t="shared" si="4"/>
        <v>47</v>
      </c>
      <c r="C62" s="25">
        <f t="shared" si="5"/>
        <v>1127</v>
      </c>
      <c r="D62" s="24">
        <v>-1601</v>
      </c>
      <c r="E62" s="25">
        <f t="shared" si="1"/>
        <v>2728</v>
      </c>
      <c r="F62" s="26">
        <f t="shared" si="6"/>
        <v>535</v>
      </c>
      <c r="G62" s="22">
        <f t="shared" si="7"/>
        <v>47</v>
      </c>
      <c r="H62" s="25">
        <f t="shared" si="8"/>
        <v>1012</v>
      </c>
      <c r="I62" s="24">
        <v>-1763</v>
      </c>
      <c r="J62" s="25">
        <v>2775</v>
      </c>
      <c r="K62" s="22">
        <f t="shared" si="9"/>
        <v>625</v>
      </c>
      <c r="L62" s="22">
        <f t="shared" si="10"/>
        <v>47</v>
      </c>
      <c r="M62" s="25">
        <f t="shared" si="11"/>
        <v>1080</v>
      </c>
      <c r="N62" s="24">
        <v>-1506</v>
      </c>
      <c r="O62" s="25">
        <v>2753</v>
      </c>
      <c r="P62" s="22">
        <f t="shared" si="12"/>
        <v>605</v>
      </c>
      <c r="Q62" s="36"/>
      <c r="R62" s="30"/>
    </row>
    <row r="63" spans="1:18" ht="12.75" x14ac:dyDescent="0.2">
      <c r="A63" s="98">
        <v>45787</v>
      </c>
      <c r="B63" s="22">
        <f t="shared" si="4"/>
        <v>48</v>
      </c>
      <c r="C63" s="25">
        <f t="shared" si="5"/>
        <v>1124</v>
      </c>
      <c r="D63" s="24">
        <v>-1604</v>
      </c>
      <c r="E63" s="25">
        <f t="shared" si="1"/>
        <v>2728</v>
      </c>
      <c r="F63" s="26">
        <f t="shared" si="6"/>
        <v>538</v>
      </c>
      <c r="G63" s="22">
        <f t="shared" si="7"/>
        <v>48</v>
      </c>
      <c r="H63" s="25">
        <f t="shared" si="8"/>
        <v>1009</v>
      </c>
      <c r="I63" s="24">
        <v>-1766</v>
      </c>
      <c r="J63" s="25">
        <v>2775</v>
      </c>
      <c r="K63" s="22">
        <f t="shared" si="9"/>
        <v>628</v>
      </c>
      <c r="L63" s="22">
        <f t="shared" si="10"/>
        <v>48</v>
      </c>
      <c r="M63" s="25">
        <f t="shared" si="11"/>
        <v>1076</v>
      </c>
      <c r="N63" s="24">
        <v>-1510</v>
      </c>
      <c r="O63" s="25">
        <v>2753</v>
      </c>
      <c r="P63" s="22">
        <f t="shared" si="12"/>
        <v>609</v>
      </c>
      <c r="Q63" s="36"/>
      <c r="R63" s="30"/>
    </row>
    <row r="64" spans="1:18" ht="12.75" x14ac:dyDescent="0.2">
      <c r="A64" s="98">
        <v>45788</v>
      </c>
      <c r="B64" s="22">
        <f t="shared" si="4"/>
        <v>49</v>
      </c>
      <c r="C64" s="25">
        <f t="shared" si="5"/>
        <v>1120</v>
      </c>
      <c r="D64" s="24">
        <v>-1608</v>
      </c>
      <c r="E64" s="25">
        <f t="shared" si="1"/>
        <v>2728</v>
      </c>
      <c r="F64" s="26">
        <f t="shared" si="6"/>
        <v>542</v>
      </c>
      <c r="G64" s="22">
        <f t="shared" si="7"/>
        <v>49</v>
      </c>
      <c r="H64" s="25">
        <f t="shared" si="8"/>
        <v>1006</v>
      </c>
      <c r="I64" s="24">
        <v>-1769</v>
      </c>
      <c r="J64" s="25">
        <v>2775</v>
      </c>
      <c r="K64" s="22">
        <f t="shared" si="9"/>
        <v>631</v>
      </c>
      <c r="L64" s="22">
        <f t="shared" si="10"/>
        <v>49</v>
      </c>
      <c r="M64" s="25">
        <f t="shared" si="11"/>
        <v>1073</v>
      </c>
      <c r="N64" s="24">
        <v>-1513</v>
      </c>
      <c r="O64" s="25">
        <v>2753</v>
      </c>
      <c r="P64" s="22">
        <f t="shared" si="12"/>
        <v>612</v>
      </c>
      <c r="Q64" s="36"/>
      <c r="R64" s="30"/>
    </row>
    <row r="65" spans="1:18" ht="12.75" x14ac:dyDescent="0.2">
      <c r="A65" s="98">
        <v>45789</v>
      </c>
      <c r="B65" s="22">
        <f t="shared" si="4"/>
        <v>50</v>
      </c>
      <c r="C65" s="25">
        <f t="shared" si="5"/>
        <v>1116</v>
      </c>
      <c r="D65" s="24">
        <v>-1612</v>
      </c>
      <c r="E65" s="25">
        <f t="shared" si="1"/>
        <v>2728</v>
      </c>
      <c r="F65" s="26">
        <f t="shared" si="6"/>
        <v>546</v>
      </c>
      <c r="G65" s="22">
        <f t="shared" si="7"/>
        <v>50</v>
      </c>
      <c r="H65" s="25">
        <f t="shared" si="8"/>
        <v>1063</v>
      </c>
      <c r="I65" s="24">
        <v>-1712</v>
      </c>
      <c r="J65" s="25">
        <v>2775</v>
      </c>
      <c r="K65" s="22">
        <f t="shared" si="9"/>
        <v>574</v>
      </c>
      <c r="L65" s="22">
        <f t="shared" si="10"/>
        <v>50</v>
      </c>
      <c r="M65" s="25">
        <f t="shared" si="11"/>
        <v>1070</v>
      </c>
      <c r="N65" s="24">
        <v>-1516</v>
      </c>
      <c r="O65" s="25">
        <v>2753</v>
      </c>
      <c r="P65" s="22">
        <f t="shared" si="12"/>
        <v>615</v>
      </c>
      <c r="Q65" s="36"/>
      <c r="R65" s="30"/>
    </row>
    <row r="66" spans="1:18" ht="12.75" x14ac:dyDescent="0.2">
      <c r="A66" s="98">
        <v>45790</v>
      </c>
      <c r="B66" s="22">
        <f t="shared" si="4"/>
        <v>51</v>
      </c>
      <c r="C66" s="25">
        <f t="shared" si="5"/>
        <v>1113</v>
      </c>
      <c r="D66" s="24">
        <v>-1615</v>
      </c>
      <c r="E66" s="25">
        <f t="shared" si="1"/>
        <v>2728</v>
      </c>
      <c r="F66" s="26">
        <f t="shared" si="6"/>
        <v>549</v>
      </c>
      <c r="G66" s="22">
        <f t="shared" si="7"/>
        <v>51</v>
      </c>
      <c r="H66" s="25">
        <f t="shared" si="8"/>
        <v>1061</v>
      </c>
      <c r="I66" s="24">
        <v>-1714</v>
      </c>
      <c r="J66" s="25">
        <v>2775</v>
      </c>
      <c r="K66" s="22">
        <f t="shared" si="9"/>
        <v>576</v>
      </c>
      <c r="L66" s="22">
        <f t="shared" si="10"/>
        <v>51</v>
      </c>
      <c r="M66" s="25">
        <f t="shared" si="11"/>
        <v>1066</v>
      </c>
      <c r="N66" s="24">
        <v>-1520</v>
      </c>
      <c r="O66" s="25">
        <v>2753</v>
      </c>
      <c r="P66" s="22">
        <f t="shared" si="12"/>
        <v>619</v>
      </c>
      <c r="Q66" s="36"/>
      <c r="R66" s="30"/>
    </row>
    <row r="67" spans="1:18" ht="12.75" x14ac:dyDescent="0.2">
      <c r="A67" s="98">
        <v>45791</v>
      </c>
      <c r="B67" s="22">
        <f t="shared" si="4"/>
        <v>52</v>
      </c>
      <c r="C67" s="25">
        <f t="shared" si="5"/>
        <v>1113</v>
      </c>
      <c r="D67" s="24">
        <v>-1615</v>
      </c>
      <c r="E67" s="25">
        <f t="shared" si="1"/>
        <v>2728</v>
      </c>
      <c r="F67" s="26">
        <f t="shared" si="6"/>
        <v>549</v>
      </c>
      <c r="G67" s="22">
        <f t="shared" si="7"/>
        <v>52</v>
      </c>
      <c r="H67" s="25">
        <f t="shared" si="8"/>
        <v>1061</v>
      </c>
      <c r="I67" s="24">
        <v>-1714</v>
      </c>
      <c r="J67" s="25">
        <v>2775</v>
      </c>
      <c r="K67" s="22">
        <f t="shared" si="9"/>
        <v>576</v>
      </c>
      <c r="L67" s="22">
        <f t="shared" si="10"/>
        <v>52</v>
      </c>
      <c r="M67" s="25">
        <f t="shared" si="11"/>
        <v>1056</v>
      </c>
      <c r="N67" s="24">
        <v>-1530</v>
      </c>
      <c r="O67" s="25">
        <v>2753</v>
      </c>
      <c r="P67" s="22">
        <f t="shared" si="12"/>
        <v>629</v>
      </c>
      <c r="Q67" s="36"/>
      <c r="R67" s="30"/>
    </row>
    <row r="68" spans="1:18" ht="12.75" x14ac:dyDescent="0.2">
      <c r="A68" s="98">
        <v>45792</v>
      </c>
      <c r="B68" s="22">
        <f t="shared" si="4"/>
        <v>53</v>
      </c>
      <c r="C68" s="25">
        <f t="shared" si="5"/>
        <v>1113</v>
      </c>
      <c r="D68" s="24">
        <v>-1615</v>
      </c>
      <c r="E68" s="25">
        <f t="shared" si="1"/>
        <v>2728</v>
      </c>
      <c r="F68" s="26">
        <f t="shared" si="6"/>
        <v>549</v>
      </c>
      <c r="G68" s="22">
        <f t="shared" si="7"/>
        <v>53</v>
      </c>
      <c r="H68" s="25">
        <f t="shared" si="8"/>
        <v>1061</v>
      </c>
      <c r="I68" s="24">
        <v>-1714</v>
      </c>
      <c r="J68" s="25">
        <v>2775</v>
      </c>
      <c r="K68" s="22">
        <f t="shared" si="9"/>
        <v>576</v>
      </c>
      <c r="L68" s="22">
        <f t="shared" si="10"/>
        <v>53</v>
      </c>
      <c r="M68" s="25">
        <f t="shared" si="11"/>
        <v>1049</v>
      </c>
      <c r="N68" s="24">
        <v>-1537</v>
      </c>
      <c r="O68" s="25">
        <v>2753</v>
      </c>
      <c r="P68" s="22">
        <f t="shared" si="12"/>
        <v>636</v>
      </c>
      <c r="Q68" s="36"/>
      <c r="R68" s="30"/>
    </row>
    <row r="69" spans="1:18" ht="12.75" x14ac:dyDescent="0.2">
      <c r="A69" s="98">
        <v>45793</v>
      </c>
      <c r="B69" s="22">
        <f t="shared" si="4"/>
        <v>54</v>
      </c>
      <c r="C69" s="25">
        <f t="shared" si="5"/>
        <v>1081</v>
      </c>
      <c r="D69" s="24">
        <v>-1647</v>
      </c>
      <c r="E69" s="25">
        <f t="shared" si="1"/>
        <v>2728</v>
      </c>
      <c r="F69" s="26">
        <f t="shared" si="6"/>
        <v>581</v>
      </c>
      <c r="G69" s="22">
        <f t="shared" si="7"/>
        <v>54</v>
      </c>
      <c r="H69" s="25">
        <f t="shared" si="8"/>
        <v>962</v>
      </c>
      <c r="I69" s="24">
        <v>-1813</v>
      </c>
      <c r="J69" s="25">
        <v>2775</v>
      </c>
      <c r="K69" s="22">
        <f t="shared" si="9"/>
        <v>675</v>
      </c>
      <c r="L69" s="22">
        <f t="shared" si="10"/>
        <v>54</v>
      </c>
      <c r="M69" s="25">
        <f t="shared" si="11"/>
        <v>1042</v>
      </c>
      <c r="N69" s="24">
        <v>-1544</v>
      </c>
      <c r="O69" s="25">
        <v>2753</v>
      </c>
      <c r="P69" s="22">
        <f t="shared" si="12"/>
        <v>643</v>
      </c>
      <c r="Q69" s="36"/>
      <c r="R69" s="30"/>
    </row>
    <row r="70" spans="1:18" ht="12.75" x14ac:dyDescent="0.2">
      <c r="A70" s="98">
        <v>45794</v>
      </c>
      <c r="B70" s="22">
        <f t="shared" si="4"/>
        <v>55</v>
      </c>
      <c r="C70" s="25">
        <f t="shared" si="5"/>
        <v>1074</v>
      </c>
      <c r="D70" s="24">
        <v>-1654</v>
      </c>
      <c r="E70" s="25">
        <f t="shared" si="1"/>
        <v>2728</v>
      </c>
      <c r="F70" s="26">
        <f t="shared" si="6"/>
        <v>588</v>
      </c>
      <c r="G70" s="22">
        <f t="shared" si="7"/>
        <v>55</v>
      </c>
      <c r="H70" s="25">
        <f t="shared" si="8"/>
        <v>956</v>
      </c>
      <c r="I70" s="24">
        <v>-1819</v>
      </c>
      <c r="J70" s="25">
        <v>2775</v>
      </c>
      <c r="K70" s="22">
        <f t="shared" si="9"/>
        <v>681</v>
      </c>
      <c r="L70" s="22">
        <f t="shared" si="10"/>
        <v>55</v>
      </c>
      <c r="M70" s="25">
        <f t="shared" si="11"/>
        <v>1036</v>
      </c>
      <c r="N70" s="24">
        <v>-1550</v>
      </c>
      <c r="O70" s="25">
        <v>2753</v>
      </c>
      <c r="P70" s="22">
        <f t="shared" si="12"/>
        <v>649</v>
      </c>
      <c r="Q70" s="36"/>
      <c r="R70" s="30"/>
    </row>
    <row r="71" spans="1:18" ht="12.75" x14ac:dyDescent="0.2">
      <c r="A71" s="98">
        <v>45795</v>
      </c>
      <c r="B71" s="22">
        <f t="shared" si="4"/>
        <v>56</v>
      </c>
      <c r="C71" s="25">
        <f t="shared" si="5"/>
        <v>1068</v>
      </c>
      <c r="D71" s="24">
        <v>-1660</v>
      </c>
      <c r="E71" s="25">
        <f t="shared" si="1"/>
        <v>2728</v>
      </c>
      <c r="F71" s="26">
        <f t="shared" si="6"/>
        <v>594</v>
      </c>
      <c r="G71" s="22">
        <f t="shared" si="7"/>
        <v>56</v>
      </c>
      <c r="H71" s="25">
        <f t="shared" si="8"/>
        <v>951</v>
      </c>
      <c r="I71" s="24">
        <v>-1824</v>
      </c>
      <c r="J71" s="25">
        <v>2775</v>
      </c>
      <c r="K71" s="22">
        <f t="shared" si="9"/>
        <v>686</v>
      </c>
      <c r="L71" s="22">
        <f t="shared" si="10"/>
        <v>56</v>
      </c>
      <c r="M71" s="25">
        <f t="shared" si="11"/>
        <v>1029</v>
      </c>
      <c r="N71" s="24">
        <v>-1557</v>
      </c>
      <c r="O71" s="25">
        <v>2753</v>
      </c>
      <c r="P71" s="22">
        <f t="shared" si="12"/>
        <v>656</v>
      </c>
      <c r="Q71" s="36"/>
      <c r="R71" s="30"/>
    </row>
    <row r="72" spans="1:18" ht="12.75" x14ac:dyDescent="0.2">
      <c r="A72" s="98">
        <v>45796</v>
      </c>
      <c r="B72" s="22">
        <f t="shared" si="4"/>
        <v>57</v>
      </c>
      <c r="C72" s="25">
        <f t="shared" si="5"/>
        <v>1062</v>
      </c>
      <c r="D72" s="24">
        <v>-1666</v>
      </c>
      <c r="E72" s="25">
        <f t="shared" si="1"/>
        <v>2728</v>
      </c>
      <c r="F72" s="26">
        <f t="shared" si="6"/>
        <v>600</v>
      </c>
      <c r="G72" s="22">
        <f t="shared" si="7"/>
        <v>57</v>
      </c>
      <c r="H72" s="25">
        <f t="shared" si="8"/>
        <v>946</v>
      </c>
      <c r="I72" s="24">
        <v>-1829</v>
      </c>
      <c r="J72" s="25">
        <v>2775</v>
      </c>
      <c r="K72" s="22">
        <f t="shared" si="9"/>
        <v>691</v>
      </c>
      <c r="L72" s="22">
        <f t="shared" si="10"/>
        <v>57</v>
      </c>
      <c r="M72" s="25">
        <f t="shared" si="11"/>
        <v>1022</v>
      </c>
      <c r="N72" s="24">
        <v>-1564</v>
      </c>
      <c r="O72" s="25">
        <v>2753</v>
      </c>
      <c r="P72" s="22">
        <f t="shared" si="12"/>
        <v>663</v>
      </c>
      <c r="Q72" s="36"/>
      <c r="R72" s="30"/>
    </row>
    <row r="73" spans="1:18" ht="12.75" x14ac:dyDescent="0.2">
      <c r="A73" s="98">
        <v>45797</v>
      </c>
      <c r="B73" s="22">
        <f t="shared" si="4"/>
        <v>58</v>
      </c>
      <c r="C73" s="25">
        <f t="shared" si="5"/>
        <v>1056</v>
      </c>
      <c r="D73" s="24">
        <v>-1672</v>
      </c>
      <c r="E73" s="25">
        <f t="shared" si="1"/>
        <v>2728</v>
      </c>
      <c r="F73" s="26">
        <f t="shared" si="6"/>
        <v>606</v>
      </c>
      <c r="G73" s="22">
        <f t="shared" si="7"/>
        <v>58</v>
      </c>
      <c r="H73" s="25">
        <f t="shared" si="8"/>
        <v>941</v>
      </c>
      <c r="I73" s="24">
        <v>-1834</v>
      </c>
      <c r="J73" s="25">
        <v>2775</v>
      </c>
      <c r="K73" s="22">
        <f t="shared" si="9"/>
        <v>696</v>
      </c>
      <c r="L73" s="22">
        <f t="shared" si="10"/>
        <v>58</v>
      </c>
      <c r="M73" s="25">
        <f t="shared" si="11"/>
        <v>1015</v>
      </c>
      <c r="N73" s="24">
        <v>-1571</v>
      </c>
      <c r="O73" s="25">
        <v>2753</v>
      </c>
      <c r="P73" s="22">
        <f t="shared" si="12"/>
        <v>670</v>
      </c>
      <c r="Q73" s="36"/>
      <c r="R73" s="30"/>
    </row>
    <row r="74" spans="1:18" ht="12.75" x14ac:dyDescent="0.2">
      <c r="A74" s="98">
        <v>45798</v>
      </c>
      <c r="B74" s="22">
        <f t="shared" si="4"/>
        <v>59</v>
      </c>
      <c r="C74" s="25">
        <f t="shared" si="5"/>
        <v>1050</v>
      </c>
      <c r="D74" s="24">
        <v>-1678</v>
      </c>
      <c r="E74" s="25">
        <f t="shared" si="1"/>
        <v>2728</v>
      </c>
      <c r="F74" s="26">
        <f t="shared" si="6"/>
        <v>612</v>
      </c>
      <c r="G74" s="22">
        <f t="shared" si="7"/>
        <v>59</v>
      </c>
      <c r="H74" s="25">
        <f t="shared" si="8"/>
        <v>936</v>
      </c>
      <c r="I74" s="24">
        <v>-1839</v>
      </c>
      <c r="J74" s="25">
        <v>2775</v>
      </c>
      <c r="K74" s="22">
        <f t="shared" si="9"/>
        <v>701</v>
      </c>
      <c r="L74" s="22">
        <f t="shared" si="10"/>
        <v>59</v>
      </c>
      <c r="M74" s="25">
        <f t="shared" si="11"/>
        <v>1008</v>
      </c>
      <c r="N74" s="24">
        <v>-1578</v>
      </c>
      <c r="O74" s="25">
        <v>2753</v>
      </c>
      <c r="P74" s="22">
        <f t="shared" si="12"/>
        <v>677</v>
      </c>
      <c r="Q74" s="36"/>
      <c r="R74" s="30"/>
    </row>
    <row r="75" spans="1:18" ht="12.75" x14ac:dyDescent="0.2">
      <c r="A75" s="98">
        <v>45799</v>
      </c>
      <c r="B75" s="22">
        <f t="shared" si="4"/>
        <v>60</v>
      </c>
      <c r="C75" s="25">
        <f t="shared" si="5"/>
        <v>1044</v>
      </c>
      <c r="D75" s="24">
        <v>-1684</v>
      </c>
      <c r="E75" s="25">
        <f t="shared" si="1"/>
        <v>2728</v>
      </c>
      <c r="F75" s="26">
        <f t="shared" si="6"/>
        <v>618</v>
      </c>
      <c r="G75" s="22">
        <f t="shared" si="7"/>
        <v>60</v>
      </c>
      <c r="H75" s="25">
        <f t="shared" si="8"/>
        <v>931</v>
      </c>
      <c r="I75" s="24">
        <v>-1844</v>
      </c>
      <c r="J75" s="25">
        <v>2775</v>
      </c>
      <c r="K75" s="22">
        <f t="shared" si="9"/>
        <v>706</v>
      </c>
      <c r="L75" s="22">
        <f t="shared" si="10"/>
        <v>60</v>
      </c>
      <c r="M75" s="25">
        <f t="shared" si="11"/>
        <v>1001</v>
      </c>
      <c r="N75" s="24">
        <v>-1585</v>
      </c>
      <c r="O75" s="25">
        <v>2753</v>
      </c>
      <c r="P75" s="22">
        <f t="shared" si="12"/>
        <v>684</v>
      </c>
      <c r="Q75" s="36"/>
      <c r="R75" s="30"/>
    </row>
    <row r="76" spans="1:18" ht="12.75" x14ac:dyDescent="0.2">
      <c r="A76" s="98">
        <v>45800</v>
      </c>
      <c r="B76" s="22">
        <f t="shared" si="4"/>
        <v>61</v>
      </c>
      <c r="C76" s="25">
        <f t="shared" si="5"/>
        <v>1038</v>
      </c>
      <c r="D76" s="24">
        <v>-1690</v>
      </c>
      <c r="E76" s="25">
        <f t="shared" si="1"/>
        <v>2728</v>
      </c>
      <c r="F76" s="26">
        <f t="shared" si="6"/>
        <v>624</v>
      </c>
      <c r="G76" s="22">
        <f t="shared" si="7"/>
        <v>61</v>
      </c>
      <c r="H76" s="25">
        <f t="shared" si="8"/>
        <v>926</v>
      </c>
      <c r="I76" s="24">
        <v>-1849</v>
      </c>
      <c r="J76" s="25">
        <v>2775</v>
      </c>
      <c r="K76" s="22">
        <f t="shared" si="9"/>
        <v>711</v>
      </c>
      <c r="L76" s="22">
        <f t="shared" si="10"/>
        <v>61</v>
      </c>
      <c r="M76" s="25">
        <f t="shared" si="11"/>
        <v>994</v>
      </c>
      <c r="N76" s="24">
        <v>-1592</v>
      </c>
      <c r="O76" s="25">
        <v>2753</v>
      </c>
      <c r="P76" s="22">
        <f t="shared" si="12"/>
        <v>691</v>
      </c>
      <c r="Q76" s="36"/>
      <c r="R76" s="30"/>
    </row>
    <row r="77" spans="1:18" ht="12.75" x14ac:dyDescent="0.2">
      <c r="A77" s="98">
        <v>45801</v>
      </c>
      <c r="B77" s="22">
        <f t="shared" si="4"/>
        <v>62</v>
      </c>
      <c r="C77" s="25">
        <f t="shared" si="5"/>
        <v>1032</v>
      </c>
      <c r="D77" s="24">
        <v>-1696</v>
      </c>
      <c r="E77" s="25">
        <f t="shared" si="1"/>
        <v>2728</v>
      </c>
      <c r="F77" s="26">
        <f t="shared" si="6"/>
        <v>630</v>
      </c>
      <c r="G77" s="22">
        <f t="shared" si="7"/>
        <v>62</v>
      </c>
      <c r="H77" s="25">
        <f t="shared" si="8"/>
        <v>921</v>
      </c>
      <c r="I77" s="24">
        <v>-1854</v>
      </c>
      <c r="J77" s="25">
        <v>2775</v>
      </c>
      <c r="K77" s="22">
        <f t="shared" si="9"/>
        <v>716</v>
      </c>
      <c r="L77" s="22">
        <f t="shared" si="10"/>
        <v>62</v>
      </c>
      <c r="M77" s="25">
        <f t="shared" si="11"/>
        <v>987</v>
      </c>
      <c r="N77" s="24">
        <v>-1599</v>
      </c>
      <c r="O77" s="25">
        <v>2753</v>
      </c>
      <c r="P77" s="22">
        <f t="shared" si="12"/>
        <v>698</v>
      </c>
      <c r="Q77" s="36"/>
      <c r="R77" s="30"/>
    </row>
    <row r="78" spans="1:18" ht="12.75" x14ac:dyDescent="0.2">
      <c r="A78" s="98">
        <v>45802</v>
      </c>
      <c r="B78" s="22">
        <f t="shared" si="4"/>
        <v>63</v>
      </c>
      <c r="C78" s="25">
        <f t="shared" si="5"/>
        <v>1026</v>
      </c>
      <c r="D78" s="24">
        <v>-1702</v>
      </c>
      <c r="E78" s="25">
        <f t="shared" si="1"/>
        <v>2728</v>
      </c>
      <c r="F78" s="26">
        <f t="shared" si="6"/>
        <v>636</v>
      </c>
      <c r="G78" s="22">
        <f t="shared" si="7"/>
        <v>63</v>
      </c>
      <c r="H78" s="25">
        <f t="shared" si="8"/>
        <v>916</v>
      </c>
      <c r="I78" s="24">
        <v>-1859</v>
      </c>
      <c r="J78" s="25">
        <v>2775</v>
      </c>
      <c r="K78" s="22">
        <f t="shared" si="9"/>
        <v>721</v>
      </c>
      <c r="L78" s="22">
        <f t="shared" si="10"/>
        <v>63</v>
      </c>
      <c r="M78" s="25">
        <f t="shared" si="11"/>
        <v>980</v>
      </c>
      <c r="N78" s="24">
        <v>-1606</v>
      </c>
      <c r="O78" s="25">
        <v>2753</v>
      </c>
      <c r="P78" s="22">
        <f t="shared" si="12"/>
        <v>705</v>
      </c>
      <c r="Q78" s="36"/>
      <c r="R78" s="30"/>
    </row>
    <row r="79" spans="1:18" ht="12.75" x14ac:dyDescent="0.2">
      <c r="A79" s="98">
        <v>45803</v>
      </c>
      <c r="B79" s="22">
        <f t="shared" si="4"/>
        <v>64</v>
      </c>
      <c r="C79" s="25">
        <f t="shared" si="5"/>
        <v>1020</v>
      </c>
      <c r="D79" s="24">
        <v>-1708</v>
      </c>
      <c r="E79" s="25">
        <f t="shared" si="1"/>
        <v>2728</v>
      </c>
      <c r="F79" s="26">
        <f t="shared" si="6"/>
        <v>642</v>
      </c>
      <c r="G79" s="22">
        <f t="shared" si="7"/>
        <v>64</v>
      </c>
      <c r="H79" s="25">
        <f t="shared" si="8"/>
        <v>911</v>
      </c>
      <c r="I79" s="24">
        <v>-1864</v>
      </c>
      <c r="J79" s="25">
        <v>2775</v>
      </c>
      <c r="K79" s="22">
        <f t="shared" si="9"/>
        <v>726</v>
      </c>
      <c r="L79" s="22">
        <f t="shared" si="10"/>
        <v>64</v>
      </c>
      <c r="M79" s="25">
        <f t="shared" si="11"/>
        <v>973</v>
      </c>
      <c r="N79" s="24">
        <v>-1613</v>
      </c>
      <c r="O79" s="25">
        <v>2753</v>
      </c>
      <c r="P79" s="22">
        <f t="shared" si="12"/>
        <v>712</v>
      </c>
      <c r="Q79" s="36"/>
      <c r="R79" s="30"/>
    </row>
    <row r="80" spans="1:18" ht="12.75" x14ac:dyDescent="0.2">
      <c r="A80" s="98">
        <v>45804</v>
      </c>
      <c r="B80" s="22">
        <f t="shared" si="4"/>
        <v>65</v>
      </c>
      <c r="C80" s="25">
        <f t="shared" si="5"/>
        <v>1014</v>
      </c>
      <c r="D80" s="24">
        <v>-1714</v>
      </c>
      <c r="E80" s="25">
        <f t="shared" si="1"/>
        <v>2728</v>
      </c>
      <c r="F80" s="26">
        <f t="shared" si="6"/>
        <v>648</v>
      </c>
      <c r="G80" s="22">
        <f t="shared" si="7"/>
        <v>65</v>
      </c>
      <c r="H80" s="25">
        <f t="shared" si="8"/>
        <v>906</v>
      </c>
      <c r="I80" s="24">
        <v>-1869</v>
      </c>
      <c r="J80" s="25">
        <v>2775</v>
      </c>
      <c r="K80" s="22">
        <f t="shared" si="9"/>
        <v>731</v>
      </c>
      <c r="L80" s="22">
        <f t="shared" si="10"/>
        <v>65</v>
      </c>
      <c r="M80" s="25">
        <f t="shared" si="11"/>
        <v>966</v>
      </c>
      <c r="N80" s="24">
        <v>-1620</v>
      </c>
      <c r="O80" s="25">
        <v>2753</v>
      </c>
      <c r="P80" s="22">
        <f t="shared" si="12"/>
        <v>719</v>
      </c>
      <c r="Q80" s="36"/>
      <c r="R80" s="30"/>
    </row>
    <row r="81" spans="1:18" ht="12.75" x14ac:dyDescent="0.2">
      <c r="A81" s="98">
        <v>45805</v>
      </c>
      <c r="B81" s="22">
        <f t="shared" si="4"/>
        <v>66</v>
      </c>
      <c r="C81" s="25">
        <f t="shared" si="5"/>
        <v>1014</v>
      </c>
      <c r="D81" s="24">
        <v>-1714</v>
      </c>
      <c r="E81" s="25">
        <f t="shared" si="1"/>
        <v>2728</v>
      </c>
      <c r="F81" s="26">
        <f t="shared" si="6"/>
        <v>648</v>
      </c>
      <c r="G81" s="22">
        <f t="shared" si="7"/>
        <v>66</v>
      </c>
      <c r="H81" s="25">
        <f t="shared" si="8"/>
        <v>906</v>
      </c>
      <c r="I81" s="24">
        <v>-1869</v>
      </c>
      <c r="J81" s="25">
        <v>2775</v>
      </c>
      <c r="K81" s="22">
        <f t="shared" si="9"/>
        <v>731</v>
      </c>
      <c r="L81" s="22">
        <f t="shared" si="10"/>
        <v>66</v>
      </c>
      <c r="M81" s="25">
        <f t="shared" si="11"/>
        <v>966</v>
      </c>
      <c r="N81" s="24">
        <v>-1620</v>
      </c>
      <c r="O81" s="25">
        <v>2753</v>
      </c>
      <c r="P81" s="22">
        <f t="shared" si="12"/>
        <v>719</v>
      </c>
      <c r="Q81" s="36"/>
      <c r="R81" s="30"/>
    </row>
    <row r="82" spans="1:18" ht="12.75" x14ac:dyDescent="0.2">
      <c r="A82" s="98">
        <v>45806</v>
      </c>
      <c r="B82" s="22">
        <f t="shared" si="4"/>
        <v>67</v>
      </c>
      <c r="C82" s="25">
        <f t="shared" si="5"/>
        <v>1014</v>
      </c>
      <c r="D82" s="24">
        <v>-1714</v>
      </c>
      <c r="E82" s="25">
        <f t="shared" si="1"/>
        <v>2728</v>
      </c>
      <c r="F82" s="26">
        <f t="shared" si="6"/>
        <v>648</v>
      </c>
      <c r="G82" s="22">
        <f t="shared" si="7"/>
        <v>67</v>
      </c>
      <c r="H82" s="25">
        <f t="shared" si="8"/>
        <v>906</v>
      </c>
      <c r="I82" s="24">
        <v>-1869</v>
      </c>
      <c r="J82" s="25">
        <v>2775</v>
      </c>
      <c r="K82" s="22">
        <f t="shared" si="9"/>
        <v>731</v>
      </c>
      <c r="L82" s="22">
        <f t="shared" si="10"/>
        <v>67</v>
      </c>
      <c r="M82" s="25">
        <f t="shared" si="11"/>
        <v>966</v>
      </c>
      <c r="N82" s="24">
        <v>-1620</v>
      </c>
      <c r="O82" s="25">
        <v>2753</v>
      </c>
      <c r="P82" s="22">
        <f t="shared" si="12"/>
        <v>719</v>
      </c>
      <c r="Q82" s="36"/>
      <c r="R82" s="30"/>
    </row>
    <row r="83" spans="1:18" ht="12.75" x14ac:dyDescent="0.2">
      <c r="A83" s="98">
        <v>45807</v>
      </c>
      <c r="B83" s="22">
        <f t="shared" si="4"/>
        <v>68</v>
      </c>
      <c r="C83" s="25">
        <f t="shared" si="5"/>
        <v>1014</v>
      </c>
      <c r="D83" s="24">
        <v>-1714</v>
      </c>
      <c r="E83" s="25">
        <f t="shared" si="1"/>
        <v>2728</v>
      </c>
      <c r="F83" s="26">
        <f t="shared" si="6"/>
        <v>648</v>
      </c>
      <c r="G83" s="22">
        <f t="shared" si="7"/>
        <v>68</v>
      </c>
      <c r="H83" s="25">
        <f t="shared" si="8"/>
        <v>906</v>
      </c>
      <c r="I83" s="24">
        <v>-1869</v>
      </c>
      <c r="J83" s="25">
        <v>2775</v>
      </c>
      <c r="K83" s="22">
        <f t="shared" si="9"/>
        <v>731</v>
      </c>
      <c r="L83" s="22">
        <f t="shared" si="10"/>
        <v>68</v>
      </c>
      <c r="M83" s="25">
        <f t="shared" si="11"/>
        <v>966</v>
      </c>
      <c r="N83" s="24">
        <v>-1620</v>
      </c>
      <c r="O83" s="25">
        <v>2753</v>
      </c>
      <c r="P83" s="22">
        <f t="shared" si="12"/>
        <v>719</v>
      </c>
      <c r="Q83" s="36"/>
      <c r="R83" s="30"/>
    </row>
    <row r="84" spans="1:18" ht="12.75" x14ac:dyDescent="0.2">
      <c r="A84" s="98">
        <v>45808</v>
      </c>
      <c r="B84" s="22">
        <f t="shared" si="4"/>
        <v>69</v>
      </c>
      <c r="C84" s="25">
        <f t="shared" si="5"/>
        <v>1014</v>
      </c>
      <c r="D84" s="24">
        <v>-1714</v>
      </c>
      <c r="E84" s="25">
        <f t="shared" si="1"/>
        <v>2728</v>
      </c>
      <c r="F84" s="26">
        <f t="shared" si="6"/>
        <v>648</v>
      </c>
      <c r="G84" s="22">
        <f t="shared" si="7"/>
        <v>69</v>
      </c>
      <c r="H84" s="25">
        <f t="shared" si="8"/>
        <v>906</v>
      </c>
      <c r="I84" s="24">
        <v>-1869</v>
      </c>
      <c r="J84" s="25">
        <v>2775</v>
      </c>
      <c r="K84" s="22">
        <f t="shared" si="9"/>
        <v>731</v>
      </c>
      <c r="L84" s="22">
        <f t="shared" si="10"/>
        <v>69</v>
      </c>
      <c r="M84" s="25">
        <f t="shared" si="11"/>
        <v>966</v>
      </c>
      <c r="N84" s="24">
        <v>-1620</v>
      </c>
      <c r="O84" s="25">
        <v>2753</v>
      </c>
      <c r="P84" s="22">
        <f t="shared" si="12"/>
        <v>719</v>
      </c>
      <c r="Q84" s="36"/>
      <c r="R84" s="30"/>
    </row>
    <row r="85" spans="1:18" ht="12.75" x14ac:dyDescent="0.2">
      <c r="A85" s="98">
        <v>45809</v>
      </c>
      <c r="B85" s="22">
        <f t="shared" si="4"/>
        <v>70</v>
      </c>
      <c r="C85" s="25">
        <f t="shared" si="5"/>
        <v>1014</v>
      </c>
      <c r="D85" s="24">
        <v>-1714</v>
      </c>
      <c r="E85" s="25">
        <f t="shared" si="1"/>
        <v>2728</v>
      </c>
      <c r="F85" s="26">
        <f t="shared" si="6"/>
        <v>648</v>
      </c>
      <c r="G85" s="22">
        <f t="shared" si="7"/>
        <v>70</v>
      </c>
      <c r="H85" s="25">
        <f t="shared" si="8"/>
        <v>906</v>
      </c>
      <c r="I85" s="24">
        <v>-1869</v>
      </c>
      <c r="J85" s="25">
        <v>2775</v>
      </c>
      <c r="K85" s="22">
        <f t="shared" si="9"/>
        <v>731</v>
      </c>
      <c r="L85" s="22">
        <f t="shared" si="10"/>
        <v>70</v>
      </c>
      <c r="M85" s="25">
        <f t="shared" si="11"/>
        <v>966</v>
      </c>
      <c r="N85" s="24">
        <v>-1620</v>
      </c>
      <c r="O85" s="25">
        <v>2753</v>
      </c>
      <c r="P85" s="22">
        <f t="shared" si="12"/>
        <v>719</v>
      </c>
      <c r="Q85" s="36"/>
      <c r="R85" s="30"/>
    </row>
    <row r="86" spans="1:18" ht="12.75" x14ac:dyDescent="0.2">
      <c r="A86" s="98">
        <v>45810</v>
      </c>
      <c r="B86" s="22">
        <f t="shared" si="4"/>
        <v>71</v>
      </c>
      <c r="C86" s="25">
        <f t="shared" si="5"/>
        <v>1014</v>
      </c>
      <c r="D86" s="24">
        <v>-1714</v>
      </c>
      <c r="E86" s="25">
        <f t="shared" si="1"/>
        <v>2728</v>
      </c>
      <c r="F86" s="26">
        <f t="shared" si="6"/>
        <v>648</v>
      </c>
      <c r="G86" s="22">
        <f t="shared" si="7"/>
        <v>71</v>
      </c>
      <c r="H86" s="25">
        <f t="shared" si="8"/>
        <v>906</v>
      </c>
      <c r="I86" s="24">
        <v>-1869</v>
      </c>
      <c r="J86" s="25">
        <v>2775</v>
      </c>
      <c r="K86" s="22">
        <f t="shared" si="9"/>
        <v>731</v>
      </c>
      <c r="L86" s="22">
        <f t="shared" si="10"/>
        <v>71</v>
      </c>
      <c r="M86" s="25">
        <f t="shared" si="11"/>
        <v>966</v>
      </c>
      <c r="N86" s="24">
        <v>-1620</v>
      </c>
      <c r="O86" s="25">
        <v>2753</v>
      </c>
      <c r="P86" s="22">
        <f t="shared" si="12"/>
        <v>719</v>
      </c>
      <c r="Q86" s="36"/>
      <c r="R86" s="30"/>
    </row>
    <row r="87" spans="1:18" ht="12.75" x14ac:dyDescent="0.2">
      <c r="A87" s="98">
        <v>45811</v>
      </c>
      <c r="B87" s="22">
        <f t="shared" si="4"/>
        <v>72</v>
      </c>
      <c r="C87" s="25">
        <f t="shared" si="5"/>
        <v>1014</v>
      </c>
      <c r="D87" s="24">
        <v>-1714</v>
      </c>
      <c r="E87" s="25">
        <f t="shared" si="1"/>
        <v>2728</v>
      </c>
      <c r="F87" s="26">
        <f t="shared" si="6"/>
        <v>648</v>
      </c>
      <c r="G87" s="22">
        <f t="shared" si="7"/>
        <v>72</v>
      </c>
      <c r="H87" s="25">
        <f t="shared" si="8"/>
        <v>903</v>
      </c>
      <c r="I87" s="24">
        <v>-1872</v>
      </c>
      <c r="J87" s="25">
        <v>2775</v>
      </c>
      <c r="K87" s="22">
        <f t="shared" si="9"/>
        <v>734</v>
      </c>
      <c r="L87" s="22">
        <f t="shared" si="10"/>
        <v>72</v>
      </c>
      <c r="M87" s="25">
        <f t="shared" si="11"/>
        <v>966</v>
      </c>
      <c r="N87" s="24">
        <v>-1620</v>
      </c>
      <c r="O87" s="25">
        <v>2753</v>
      </c>
      <c r="P87" s="22">
        <f t="shared" si="12"/>
        <v>719</v>
      </c>
      <c r="Q87" s="36"/>
      <c r="R87" s="30"/>
    </row>
    <row r="88" spans="1:18" ht="12.75" x14ac:dyDescent="0.2">
      <c r="A88" s="98">
        <v>45812</v>
      </c>
      <c r="B88" s="22">
        <f t="shared" si="4"/>
        <v>73</v>
      </c>
      <c r="C88" s="25">
        <f t="shared" si="5"/>
        <v>1014</v>
      </c>
      <c r="D88" s="24">
        <v>-1714</v>
      </c>
      <c r="E88" s="25">
        <f t="shared" si="1"/>
        <v>2728</v>
      </c>
      <c r="F88" s="26">
        <f t="shared" si="6"/>
        <v>648</v>
      </c>
      <c r="G88" s="22">
        <f t="shared" si="7"/>
        <v>73</v>
      </c>
      <c r="H88" s="25">
        <f t="shared" si="8"/>
        <v>900</v>
      </c>
      <c r="I88" s="24">
        <v>-1875</v>
      </c>
      <c r="J88" s="25">
        <v>2775</v>
      </c>
      <c r="K88" s="22">
        <f t="shared" si="9"/>
        <v>737</v>
      </c>
      <c r="L88" s="22">
        <f t="shared" si="10"/>
        <v>73</v>
      </c>
      <c r="M88" s="25">
        <f t="shared" si="11"/>
        <v>966</v>
      </c>
      <c r="N88" s="24">
        <v>-1620</v>
      </c>
      <c r="O88" s="25">
        <v>2753</v>
      </c>
      <c r="P88" s="22">
        <f t="shared" si="12"/>
        <v>719</v>
      </c>
      <c r="Q88" s="36"/>
      <c r="R88" s="30"/>
    </row>
    <row r="89" spans="1:18" ht="12.75" x14ac:dyDescent="0.2">
      <c r="A89" s="98">
        <v>45813</v>
      </c>
      <c r="B89" s="22">
        <f t="shared" si="4"/>
        <v>74</v>
      </c>
      <c r="C89" s="25">
        <f t="shared" si="5"/>
        <v>1014</v>
      </c>
      <c r="D89" s="24">
        <v>-1714</v>
      </c>
      <c r="E89" s="25">
        <f t="shared" si="1"/>
        <v>2728</v>
      </c>
      <c r="F89" s="26">
        <f t="shared" si="6"/>
        <v>648</v>
      </c>
      <c r="G89" s="22">
        <f t="shared" si="7"/>
        <v>74</v>
      </c>
      <c r="H89" s="25">
        <f t="shared" si="8"/>
        <v>897</v>
      </c>
      <c r="I89" s="24">
        <v>-1878</v>
      </c>
      <c r="J89" s="25">
        <v>2775</v>
      </c>
      <c r="K89" s="22">
        <f t="shared" si="9"/>
        <v>740</v>
      </c>
      <c r="L89" s="22">
        <f t="shared" si="10"/>
        <v>74</v>
      </c>
      <c r="M89" s="25">
        <f t="shared" si="11"/>
        <v>966</v>
      </c>
      <c r="N89" s="24">
        <v>-1620</v>
      </c>
      <c r="O89" s="25">
        <v>2753</v>
      </c>
      <c r="P89" s="22">
        <f t="shared" si="12"/>
        <v>719</v>
      </c>
      <c r="Q89" s="36"/>
      <c r="R89" s="30"/>
    </row>
    <row r="90" spans="1:18" ht="12.75" x14ac:dyDescent="0.2">
      <c r="A90" s="98">
        <v>45814</v>
      </c>
      <c r="B90" s="22">
        <f t="shared" si="4"/>
        <v>75</v>
      </c>
      <c r="C90" s="25">
        <f t="shared" si="5"/>
        <v>1014</v>
      </c>
      <c r="D90" s="24">
        <v>-1714</v>
      </c>
      <c r="E90" s="25">
        <f t="shared" si="1"/>
        <v>2728</v>
      </c>
      <c r="F90" s="26">
        <f t="shared" si="6"/>
        <v>648</v>
      </c>
      <c r="G90" s="22">
        <f t="shared" si="7"/>
        <v>75</v>
      </c>
      <c r="H90" s="25">
        <f t="shared" si="8"/>
        <v>894</v>
      </c>
      <c r="I90" s="24">
        <v>-1881</v>
      </c>
      <c r="J90" s="25">
        <v>2775</v>
      </c>
      <c r="K90" s="22">
        <f t="shared" si="9"/>
        <v>743</v>
      </c>
      <c r="L90" s="22">
        <f t="shared" si="10"/>
        <v>75</v>
      </c>
      <c r="M90" s="25">
        <f t="shared" si="11"/>
        <v>966</v>
      </c>
      <c r="N90" s="24">
        <v>-1620</v>
      </c>
      <c r="O90" s="25">
        <v>2753</v>
      </c>
      <c r="P90" s="22">
        <f t="shared" si="12"/>
        <v>719</v>
      </c>
      <c r="Q90" s="36"/>
      <c r="R90" s="30"/>
    </row>
    <row r="91" spans="1:18" ht="12.75" x14ac:dyDescent="0.2">
      <c r="A91" s="98">
        <v>45815</v>
      </c>
      <c r="B91" s="22">
        <f t="shared" si="4"/>
        <v>76</v>
      </c>
      <c r="C91" s="25">
        <f t="shared" si="5"/>
        <v>1011</v>
      </c>
      <c r="D91" s="24">
        <v>-1717</v>
      </c>
      <c r="E91" s="25">
        <f t="shared" si="1"/>
        <v>2728</v>
      </c>
      <c r="F91" s="26">
        <f t="shared" si="6"/>
        <v>651</v>
      </c>
      <c r="G91" s="22">
        <f t="shared" si="7"/>
        <v>76</v>
      </c>
      <c r="H91" s="25">
        <f t="shared" si="8"/>
        <v>891</v>
      </c>
      <c r="I91" s="24">
        <v>-1884</v>
      </c>
      <c r="J91" s="25">
        <v>2775</v>
      </c>
      <c r="K91" s="22">
        <f t="shared" si="9"/>
        <v>746</v>
      </c>
      <c r="L91" s="22">
        <f t="shared" si="10"/>
        <v>76</v>
      </c>
      <c r="M91" s="25">
        <f t="shared" si="11"/>
        <v>966</v>
      </c>
      <c r="N91" s="24">
        <v>-1620</v>
      </c>
      <c r="O91" s="25">
        <v>2753</v>
      </c>
      <c r="P91" s="22">
        <f t="shared" si="12"/>
        <v>719</v>
      </c>
      <c r="Q91" s="36"/>
      <c r="R91" s="30"/>
    </row>
    <row r="92" spans="1:18" ht="12.75" x14ac:dyDescent="0.2">
      <c r="A92" s="98">
        <v>45816</v>
      </c>
      <c r="B92" s="22">
        <f t="shared" si="4"/>
        <v>77</v>
      </c>
      <c r="C92" s="25">
        <f t="shared" si="5"/>
        <v>1008</v>
      </c>
      <c r="D92" s="24">
        <v>-1720</v>
      </c>
      <c r="E92" s="25">
        <f t="shared" si="1"/>
        <v>2728</v>
      </c>
      <c r="F92" s="26">
        <f t="shared" si="6"/>
        <v>654</v>
      </c>
      <c r="G92" s="22">
        <f t="shared" si="7"/>
        <v>77</v>
      </c>
      <c r="H92" s="25">
        <f t="shared" si="8"/>
        <v>888</v>
      </c>
      <c r="I92" s="24">
        <v>-1887</v>
      </c>
      <c r="J92" s="25">
        <v>2775</v>
      </c>
      <c r="K92" s="22">
        <f t="shared" si="9"/>
        <v>749</v>
      </c>
      <c r="L92" s="22">
        <f t="shared" si="10"/>
        <v>77</v>
      </c>
      <c r="M92" s="25">
        <f t="shared" si="11"/>
        <v>966</v>
      </c>
      <c r="N92" s="24">
        <v>-1620</v>
      </c>
      <c r="O92" s="25">
        <v>2753</v>
      </c>
      <c r="P92" s="22">
        <f t="shared" si="12"/>
        <v>719</v>
      </c>
      <c r="Q92" s="36"/>
      <c r="R92" s="30"/>
    </row>
    <row r="93" spans="1:18" ht="12.75" x14ac:dyDescent="0.2">
      <c r="A93" s="98">
        <v>45817</v>
      </c>
      <c r="B93" s="22">
        <f t="shared" si="4"/>
        <v>78</v>
      </c>
      <c r="C93" s="25">
        <f t="shared" si="5"/>
        <v>1005</v>
      </c>
      <c r="D93" s="24">
        <v>-1723</v>
      </c>
      <c r="E93" s="25">
        <f t="shared" si="1"/>
        <v>2728</v>
      </c>
      <c r="F93" s="26">
        <f t="shared" si="6"/>
        <v>657</v>
      </c>
      <c r="G93" s="22">
        <f t="shared" si="7"/>
        <v>78</v>
      </c>
      <c r="H93" s="25">
        <f t="shared" si="8"/>
        <v>885</v>
      </c>
      <c r="I93" s="24">
        <v>-1890</v>
      </c>
      <c r="J93" s="25">
        <v>2775</v>
      </c>
      <c r="K93" s="22">
        <f t="shared" si="9"/>
        <v>752</v>
      </c>
      <c r="L93" s="22">
        <f t="shared" si="10"/>
        <v>78</v>
      </c>
      <c r="M93" s="25">
        <f t="shared" si="11"/>
        <v>964</v>
      </c>
      <c r="N93" s="24">
        <v>-1622</v>
      </c>
      <c r="O93" s="25">
        <v>2753</v>
      </c>
      <c r="P93" s="22">
        <f t="shared" si="12"/>
        <v>721</v>
      </c>
      <c r="Q93" s="36"/>
      <c r="R93" s="30"/>
    </row>
    <row r="94" spans="1:18" ht="12.75" x14ac:dyDescent="0.2">
      <c r="A94" s="98">
        <v>45818</v>
      </c>
      <c r="B94" s="22">
        <f t="shared" si="4"/>
        <v>79</v>
      </c>
      <c r="C94" s="25">
        <f t="shared" si="5"/>
        <v>1002</v>
      </c>
      <c r="D94" s="24">
        <v>-1726</v>
      </c>
      <c r="E94" s="25">
        <f t="shared" si="1"/>
        <v>2728</v>
      </c>
      <c r="F94" s="26">
        <f t="shared" si="6"/>
        <v>660</v>
      </c>
      <c r="G94" s="22">
        <f t="shared" si="7"/>
        <v>79</v>
      </c>
      <c r="H94" s="25">
        <f t="shared" si="8"/>
        <v>882</v>
      </c>
      <c r="I94" s="24">
        <v>-1893</v>
      </c>
      <c r="J94" s="25">
        <v>2775</v>
      </c>
      <c r="K94" s="22">
        <f t="shared" si="9"/>
        <v>755</v>
      </c>
      <c r="L94" s="22">
        <f t="shared" si="10"/>
        <v>79</v>
      </c>
      <c r="M94" s="25">
        <f t="shared" si="11"/>
        <v>963</v>
      </c>
      <c r="N94" s="24">
        <v>-1623</v>
      </c>
      <c r="O94" s="25">
        <v>2753</v>
      </c>
      <c r="P94" s="22">
        <f t="shared" si="12"/>
        <v>722</v>
      </c>
      <c r="Q94" s="36"/>
      <c r="R94" s="30"/>
    </row>
    <row r="95" spans="1:18" ht="12.75" x14ac:dyDescent="0.2">
      <c r="A95" s="98">
        <v>45819</v>
      </c>
      <c r="B95" s="22">
        <f t="shared" si="4"/>
        <v>80</v>
      </c>
      <c r="C95" s="25">
        <f t="shared" si="5"/>
        <v>999</v>
      </c>
      <c r="D95" s="24">
        <v>-1729</v>
      </c>
      <c r="E95" s="25">
        <f t="shared" si="1"/>
        <v>2728</v>
      </c>
      <c r="F95" s="26">
        <f t="shared" si="6"/>
        <v>663</v>
      </c>
      <c r="G95" s="22">
        <f t="shared" si="7"/>
        <v>80</v>
      </c>
      <c r="H95" s="25">
        <f t="shared" si="8"/>
        <v>879</v>
      </c>
      <c r="I95" s="24">
        <v>-1896</v>
      </c>
      <c r="J95" s="25">
        <v>2775</v>
      </c>
      <c r="K95" s="22">
        <f t="shared" si="9"/>
        <v>758</v>
      </c>
      <c r="L95" s="22">
        <f t="shared" si="10"/>
        <v>80</v>
      </c>
      <c r="M95" s="25">
        <f t="shared" si="11"/>
        <v>962</v>
      </c>
      <c r="N95" s="24">
        <v>-1624</v>
      </c>
      <c r="O95" s="25">
        <v>2753</v>
      </c>
      <c r="P95" s="22">
        <f t="shared" si="12"/>
        <v>723</v>
      </c>
      <c r="Q95" s="36"/>
      <c r="R95" s="30"/>
    </row>
    <row r="96" spans="1:18" ht="12.75" x14ac:dyDescent="0.2">
      <c r="A96" s="98">
        <v>45820</v>
      </c>
      <c r="B96" s="22">
        <f t="shared" si="4"/>
        <v>81</v>
      </c>
      <c r="C96" s="25">
        <f t="shared" si="5"/>
        <v>996</v>
      </c>
      <c r="D96" s="24">
        <v>-1732</v>
      </c>
      <c r="E96" s="25">
        <f t="shared" si="1"/>
        <v>2728</v>
      </c>
      <c r="F96" s="26">
        <f t="shared" si="6"/>
        <v>666</v>
      </c>
      <c r="G96" s="22">
        <f t="shared" si="7"/>
        <v>81</v>
      </c>
      <c r="H96" s="25">
        <f t="shared" si="8"/>
        <v>876</v>
      </c>
      <c r="I96" s="24">
        <v>-1899</v>
      </c>
      <c r="J96" s="25">
        <v>2775</v>
      </c>
      <c r="K96" s="22">
        <f t="shared" si="9"/>
        <v>761</v>
      </c>
      <c r="L96" s="22">
        <f t="shared" si="10"/>
        <v>81</v>
      </c>
      <c r="M96" s="25">
        <f t="shared" si="11"/>
        <v>961</v>
      </c>
      <c r="N96" s="24">
        <v>-1625</v>
      </c>
      <c r="O96" s="25">
        <v>2753</v>
      </c>
      <c r="P96" s="22">
        <f t="shared" si="12"/>
        <v>724</v>
      </c>
      <c r="Q96" s="36"/>
      <c r="R96" s="30"/>
    </row>
    <row r="97" spans="1:18" ht="12.75" x14ac:dyDescent="0.2">
      <c r="A97" s="98">
        <v>45821</v>
      </c>
      <c r="B97" s="22">
        <f t="shared" si="4"/>
        <v>82</v>
      </c>
      <c r="C97" s="25">
        <f t="shared" si="5"/>
        <v>993</v>
      </c>
      <c r="D97" s="24">
        <v>-1735</v>
      </c>
      <c r="E97" s="25">
        <f t="shared" si="1"/>
        <v>2728</v>
      </c>
      <c r="F97" s="26">
        <f t="shared" si="6"/>
        <v>669</v>
      </c>
      <c r="G97" s="22">
        <f t="shared" si="7"/>
        <v>82</v>
      </c>
      <c r="H97" s="25">
        <f t="shared" si="8"/>
        <v>873</v>
      </c>
      <c r="I97" s="24">
        <v>-1902</v>
      </c>
      <c r="J97" s="25">
        <v>2775</v>
      </c>
      <c r="K97" s="22">
        <f t="shared" si="9"/>
        <v>764</v>
      </c>
      <c r="L97" s="22">
        <f t="shared" si="10"/>
        <v>82</v>
      </c>
      <c r="M97" s="25">
        <f t="shared" si="11"/>
        <v>960</v>
      </c>
      <c r="N97" s="24">
        <v>-1626</v>
      </c>
      <c r="O97" s="25">
        <v>2753</v>
      </c>
      <c r="P97" s="22">
        <f t="shared" si="12"/>
        <v>725</v>
      </c>
      <c r="Q97" s="36"/>
      <c r="R97" s="30"/>
    </row>
    <row r="98" spans="1:18" ht="12.75" x14ac:dyDescent="0.2">
      <c r="A98" s="98">
        <v>45822</v>
      </c>
      <c r="B98" s="22">
        <f t="shared" si="4"/>
        <v>83</v>
      </c>
      <c r="C98" s="25">
        <f t="shared" si="5"/>
        <v>990</v>
      </c>
      <c r="D98" s="24">
        <v>-1738</v>
      </c>
      <c r="E98" s="25">
        <f t="shared" si="1"/>
        <v>2728</v>
      </c>
      <c r="F98" s="26">
        <f t="shared" si="6"/>
        <v>672</v>
      </c>
      <c r="G98" s="22">
        <f t="shared" si="7"/>
        <v>83</v>
      </c>
      <c r="H98" s="25">
        <f t="shared" si="8"/>
        <v>870</v>
      </c>
      <c r="I98" s="24">
        <v>-1905</v>
      </c>
      <c r="J98" s="25">
        <v>2775</v>
      </c>
      <c r="K98" s="22">
        <f t="shared" si="9"/>
        <v>767</v>
      </c>
      <c r="L98" s="22">
        <f t="shared" si="10"/>
        <v>83</v>
      </c>
      <c r="M98" s="25">
        <f t="shared" si="11"/>
        <v>959</v>
      </c>
      <c r="N98" s="24">
        <v>-1627</v>
      </c>
      <c r="O98" s="25">
        <v>2753</v>
      </c>
      <c r="P98" s="22">
        <f t="shared" si="12"/>
        <v>726</v>
      </c>
      <c r="Q98" s="36"/>
      <c r="R98" s="30"/>
    </row>
    <row r="99" spans="1:18" ht="12.75" x14ac:dyDescent="0.2">
      <c r="A99" s="98">
        <v>45823</v>
      </c>
      <c r="B99" s="22">
        <f t="shared" si="4"/>
        <v>84</v>
      </c>
      <c r="C99" s="25">
        <f t="shared" si="5"/>
        <v>987</v>
      </c>
      <c r="D99" s="24">
        <v>-1741</v>
      </c>
      <c r="E99" s="25">
        <f t="shared" si="1"/>
        <v>2728</v>
      </c>
      <c r="F99" s="26">
        <f t="shared" si="6"/>
        <v>675</v>
      </c>
      <c r="G99" s="22">
        <f t="shared" si="7"/>
        <v>84</v>
      </c>
      <c r="H99" s="25">
        <f t="shared" si="8"/>
        <v>867</v>
      </c>
      <c r="I99" s="24">
        <v>-1908</v>
      </c>
      <c r="J99" s="25">
        <v>2775</v>
      </c>
      <c r="K99" s="22">
        <f t="shared" si="9"/>
        <v>770</v>
      </c>
      <c r="L99" s="22">
        <f t="shared" si="10"/>
        <v>84</v>
      </c>
      <c r="M99" s="25">
        <f t="shared" si="11"/>
        <v>958</v>
      </c>
      <c r="N99" s="24">
        <v>-1628</v>
      </c>
      <c r="O99" s="25">
        <v>2753</v>
      </c>
      <c r="P99" s="22">
        <f t="shared" si="12"/>
        <v>727</v>
      </c>
      <c r="Q99" s="36"/>
      <c r="R99" s="30"/>
    </row>
    <row r="100" spans="1:18" ht="12.75" x14ac:dyDescent="0.2">
      <c r="A100" s="98">
        <v>45824</v>
      </c>
      <c r="B100" s="22">
        <f t="shared" si="4"/>
        <v>85</v>
      </c>
      <c r="C100" s="25">
        <f t="shared" si="5"/>
        <v>987</v>
      </c>
      <c r="D100" s="24">
        <v>-1741</v>
      </c>
      <c r="E100" s="25">
        <f t="shared" si="1"/>
        <v>2728</v>
      </c>
      <c r="F100" s="26">
        <f t="shared" si="6"/>
        <v>675</v>
      </c>
      <c r="G100" s="22">
        <f t="shared" si="7"/>
        <v>85</v>
      </c>
      <c r="H100" s="25">
        <f t="shared" si="8"/>
        <v>867</v>
      </c>
      <c r="I100" s="24">
        <v>-1908</v>
      </c>
      <c r="J100" s="25">
        <v>2775</v>
      </c>
      <c r="K100" s="22">
        <f t="shared" si="9"/>
        <v>770</v>
      </c>
      <c r="L100" s="22">
        <f t="shared" si="10"/>
        <v>85</v>
      </c>
      <c r="M100" s="25">
        <f t="shared" si="11"/>
        <v>958</v>
      </c>
      <c r="N100" s="24">
        <v>-1628</v>
      </c>
      <c r="O100" s="25">
        <v>2753</v>
      </c>
      <c r="P100" s="22">
        <f t="shared" si="12"/>
        <v>727</v>
      </c>
      <c r="Q100" s="36"/>
      <c r="R100" s="30"/>
    </row>
    <row r="101" spans="1:18" ht="12.75" x14ac:dyDescent="0.2">
      <c r="A101" s="98">
        <v>45825</v>
      </c>
      <c r="B101" s="22">
        <f t="shared" si="4"/>
        <v>86</v>
      </c>
      <c r="C101" s="25">
        <f t="shared" si="5"/>
        <v>987</v>
      </c>
      <c r="D101" s="24">
        <v>-1741</v>
      </c>
      <c r="E101" s="25">
        <f t="shared" si="1"/>
        <v>2728</v>
      </c>
      <c r="F101" s="26">
        <f t="shared" si="6"/>
        <v>675</v>
      </c>
      <c r="G101" s="22">
        <f t="shared" si="7"/>
        <v>86</v>
      </c>
      <c r="H101" s="25">
        <f t="shared" si="8"/>
        <v>867</v>
      </c>
      <c r="I101" s="24">
        <v>-1908</v>
      </c>
      <c r="J101" s="25">
        <v>2775</v>
      </c>
      <c r="K101" s="22">
        <f t="shared" si="9"/>
        <v>770</v>
      </c>
      <c r="L101" s="22">
        <f t="shared" si="10"/>
        <v>86</v>
      </c>
      <c r="M101" s="25">
        <f t="shared" si="11"/>
        <v>958</v>
      </c>
      <c r="N101" s="24">
        <v>-1628</v>
      </c>
      <c r="O101" s="25">
        <v>2753</v>
      </c>
      <c r="P101" s="22">
        <f t="shared" si="12"/>
        <v>727</v>
      </c>
      <c r="Q101" s="36"/>
      <c r="R101" s="30"/>
    </row>
    <row r="102" spans="1:18" ht="12.75" x14ac:dyDescent="0.2">
      <c r="A102" s="98">
        <v>45826</v>
      </c>
      <c r="B102" s="22">
        <f t="shared" si="4"/>
        <v>87</v>
      </c>
      <c r="C102" s="25">
        <f t="shared" si="5"/>
        <v>987</v>
      </c>
      <c r="D102" s="24">
        <v>-1741</v>
      </c>
      <c r="E102" s="25">
        <f t="shared" si="1"/>
        <v>2728</v>
      </c>
      <c r="F102" s="26">
        <f t="shared" si="6"/>
        <v>675</v>
      </c>
      <c r="G102" s="22">
        <f t="shared" si="7"/>
        <v>87</v>
      </c>
      <c r="H102" s="25">
        <f t="shared" si="8"/>
        <v>867</v>
      </c>
      <c r="I102" s="24">
        <v>-1908</v>
      </c>
      <c r="J102" s="25">
        <v>2775</v>
      </c>
      <c r="K102" s="22">
        <f t="shared" si="9"/>
        <v>770</v>
      </c>
      <c r="L102" s="22">
        <f t="shared" si="10"/>
        <v>87</v>
      </c>
      <c r="M102" s="25">
        <f t="shared" si="11"/>
        <v>958</v>
      </c>
      <c r="N102" s="24">
        <v>-1628</v>
      </c>
      <c r="O102" s="25">
        <v>2753</v>
      </c>
      <c r="P102" s="22">
        <f t="shared" si="12"/>
        <v>727</v>
      </c>
      <c r="Q102" s="36"/>
      <c r="R102" s="30"/>
    </row>
    <row r="103" spans="1:18" ht="12.75" x14ac:dyDescent="0.2">
      <c r="A103" s="98">
        <v>45827</v>
      </c>
      <c r="B103" s="22">
        <f t="shared" si="4"/>
        <v>88</v>
      </c>
      <c r="C103" s="25">
        <f t="shared" si="5"/>
        <v>987</v>
      </c>
      <c r="D103" s="24">
        <v>-1741</v>
      </c>
      <c r="E103" s="25">
        <f t="shared" si="1"/>
        <v>2728</v>
      </c>
      <c r="F103" s="26">
        <f t="shared" si="6"/>
        <v>675</v>
      </c>
      <c r="G103" s="22">
        <f t="shared" si="7"/>
        <v>88</v>
      </c>
      <c r="H103" s="25">
        <f t="shared" si="8"/>
        <v>867</v>
      </c>
      <c r="I103" s="24">
        <v>-1908</v>
      </c>
      <c r="J103" s="25">
        <v>2775</v>
      </c>
      <c r="K103" s="22">
        <f t="shared" si="9"/>
        <v>770</v>
      </c>
      <c r="L103" s="22">
        <f t="shared" si="10"/>
        <v>88</v>
      </c>
      <c r="M103" s="25">
        <f t="shared" si="11"/>
        <v>958</v>
      </c>
      <c r="N103" s="24">
        <v>-1628</v>
      </c>
      <c r="O103" s="25">
        <v>2753</v>
      </c>
      <c r="P103" s="22">
        <f t="shared" si="12"/>
        <v>727</v>
      </c>
      <c r="Q103" s="36"/>
      <c r="R103" s="30"/>
    </row>
    <row r="104" spans="1:18" ht="12.75" x14ac:dyDescent="0.2">
      <c r="A104" s="98">
        <v>45828</v>
      </c>
      <c r="B104" s="22">
        <f t="shared" si="4"/>
        <v>89</v>
      </c>
      <c r="C104" s="25">
        <f t="shared" si="5"/>
        <v>987</v>
      </c>
      <c r="D104" s="24">
        <v>-1741</v>
      </c>
      <c r="E104" s="25">
        <f t="shared" si="1"/>
        <v>2728</v>
      </c>
      <c r="F104" s="26">
        <f t="shared" si="6"/>
        <v>675</v>
      </c>
      <c r="G104" s="22">
        <f t="shared" si="7"/>
        <v>89</v>
      </c>
      <c r="H104" s="25">
        <f t="shared" si="8"/>
        <v>867</v>
      </c>
      <c r="I104" s="24">
        <v>-1908</v>
      </c>
      <c r="J104" s="25">
        <v>2775</v>
      </c>
      <c r="K104" s="22">
        <f t="shared" si="9"/>
        <v>770</v>
      </c>
      <c r="L104" s="22">
        <f t="shared" si="10"/>
        <v>89</v>
      </c>
      <c r="M104" s="25">
        <f t="shared" si="11"/>
        <v>958</v>
      </c>
      <c r="N104" s="24">
        <v>-1628</v>
      </c>
      <c r="O104" s="25">
        <v>2753</v>
      </c>
      <c r="P104" s="22">
        <f t="shared" si="12"/>
        <v>727</v>
      </c>
      <c r="Q104" s="36"/>
      <c r="R104" s="30"/>
    </row>
    <row r="105" spans="1:18" ht="12.75" x14ac:dyDescent="0.2">
      <c r="A105" s="98">
        <v>45829</v>
      </c>
      <c r="B105" s="22">
        <f t="shared" si="4"/>
        <v>90</v>
      </c>
      <c r="C105" s="25">
        <f t="shared" si="5"/>
        <v>987</v>
      </c>
      <c r="D105" s="24">
        <v>-1741</v>
      </c>
      <c r="E105" s="25">
        <f t="shared" si="1"/>
        <v>2728</v>
      </c>
      <c r="F105" s="26">
        <f t="shared" si="6"/>
        <v>675</v>
      </c>
      <c r="G105" s="22">
        <f t="shared" si="7"/>
        <v>90</v>
      </c>
      <c r="H105" s="25">
        <f t="shared" si="8"/>
        <v>867</v>
      </c>
      <c r="I105" s="24">
        <v>-1908</v>
      </c>
      <c r="J105" s="25">
        <v>2775</v>
      </c>
      <c r="K105" s="22">
        <f t="shared" si="9"/>
        <v>770</v>
      </c>
      <c r="L105" s="22">
        <f t="shared" si="10"/>
        <v>90</v>
      </c>
      <c r="M105" s="25">
        <f t="shared" si="11"/>
        <v>958</v>
      </c>
      <c r="N105" s="24">
        <v>-1628</v>
      </c>
      <c r="O105" s="25">
        <v>2753</v>
      </c>
      <c r="P105" s="22">
        <f t="shared" si="12"/>
        <v>727</v>
      </c>
      <c r="Q105" s="36"/>
      <c r="R105" s="30"/>
    </row>
    <row r="106" spans="1:18" ht="12.75" x14ac:dyDescent="0.2">
      <c r="A106" s="98">
        <v>45830</v>
      </c>
      <c r="B106" s="22">
        <f t="shared" si="4"/>
        <v>91</v>
      </c>
      <c r="C106" s="25">
        <f t="shared" si="5"/>
        <v>987</v>
      </c>
      <c r="D106" s="24">
        <v>-1741</v>
      </c>
      <c r="E106" s="25">
        <f t="shared" si="1"/>
        <v>2728</v>
      </c>
      <c r="F106" s="26">
        <f t="shared" si="6"/>
        <v>675</v>
      </c>
      <c r="G106" s="22">
        <f t="shared" si="7"/>
        <v>91</v>
      </c>
      <c r="H106" s="25">
        <f t="shared" si="8"/>
        <v>867</v>
      </c>
      <c r="I106" s="24">
        <v>-1908</v>
      </c>
      <c r="J106" s="25">
        <v>2775</v>
      </c>
      <c r="K106" s="22">
        <f t="shared" si="9"/>
        <v>770</v>
      </c>
      <c r="L106" s="22">
        <f t="shared" si="10"/>
        <v>91</v>
      </c>
      <c r="M106" s="25">
        <f t="shared" si="11"/>
        <v>958</v>
      </c>
      <c r="N106" s="24">
        <v>-1628</v>
      </c>
      <c r="O106" s="25">
        <v>2753</v>
      </c>
      <c r="P106" s="22">
        <f t="shared" si="12"/>
        <v>727</v>
      </c>
      <c r="Q106" s="36"/>
      <c r="R106" s="30"/>
    </row>
    <row r="107" spans="1:18" ht="12.75" x14ac:dyDescent="0.2">
      <c r="A107" s="98">
        <v>45831</v>
      </c>
      <c r="B107" s="22">
        <f t="shared" si="4"/>
        <v>92</v>
      </c>
      <c r="C107" s="25">
        <f t="shared" si="5"/>
        <v>987</v>
      </c>
      <c r="D107" s="24">
        <v>-1741</v>
      </c>
      <c r="E107" s="25">
        <f t="shared" si="1"/>
        <v>2728</v>
      </c>
      <c r="F107" s="26">
        <f t="shared" si="6"/>
        <v>675</v>
      </c>
      <c r="G107" s="22">
        <f t="shared" si="7"/>
        <v>92</v>
      </c>
      <c r="H107" s="25">
        <f t="shared" si="8"/>
        <v>867</v>
      </c>
      <c r="I107" s="24">
        <v>-1908</v>
      </c>
      <c r="J107" s="25">
        <v>2775</v>
      </c>
      <c r="K107" s="22">
        <f t="shared" si="9"/>
        <v>770</v>
      </c>
      <c r="L107" s="22">
        <f t="shared" si="10"/>
        <v>92</v>
      </c>
      <c r="M107" s="25">
        <f t="shared" si="11"/>
        <v>958</v>
      </c>
      <c r="N107" s="24">
        <v>-1628</v>
      </c>
      <c r="O107" s="25">
        <v>2753</v>
      </c>
      <c r="P107" s="22">
        <f t="shared" si="12"/>
        <v>727</v>
      </c>
      <c r="Q107" s="36"/>
      <c r="R107" s="30"/>
    </row>
    <row r="108" spans="1:18" ht="12.75" x14ac:dyDescent="0.2">
      <c r="A108" s="98">
        <v>45832</v>
      </c>
      <c r="B108" s="22">
        <f t="shared" si="4"/>
        <v>93</v>
      </c>
      <c r="C108" s="25">
        <f t="shared" si="5"/>
        <v>987</v>
      </c>
      <c r="D108" s="24">
        <v>-1741</v>
      </c>
      <c r="E108" s="25">
        <f t="shared" si="1"/>
        <v>2728</v>
      </c>
      <c r="F108" s="26">
        <f t="shared" si="6"/>
        <v>675</v>
      </c>
      <c r="G108" s="22">
        <f t="shared" si="7"/>
        <v>93</v>
      </c>
      <c r="H108" s="25">
        <f t="shared" si="8"/>
        <v>867</v>
      </c>
      <c r="I108" s="24">
        <v>-1908</v>
      </c>
      <c r="J108" s="25">
        <v>2775</v>
      </c>
      <c r="K108" s="22">
        <f t="shared" si="9"/>
        <v>770</v>
      </c>
      <c r="L108" s="22">
        <f t="shared" si="10"/>
        <v>93</v>
      </c>
      <c r="M108" s="25">
        <f t="shared" si="11"/>
        <v>958</v>
      </c>
      <c r="N108" s="24">
        <v>-1628</v>
      </c>
      <c r="O108" s="25">
        <v>2753</v>
      </c>
      <c r="P108" s="22">
        <f t="shared" si="12"/>
        <v>727</v>
      </c>
      <c r="Q108" s="36"/>
      <c r="R108" s="30"/>
    </row>
    <row r="109" spans="1:18" ht="12.75" x14ac:dyDescent="0.2">
      <c r="A109" s="98">
        <v>45833</v>
      </c>
      <c r="B109" s="22">
        <f t="shared" si="4"/>
        <v>94</v>
      </c>
      <c r="C109" s="25">
        <f t="shared" si="5"/>
        <v>987</v>
      </c>
      <c r="D109" s="24">
        <v>-1741</v>
      </c>
      <c r="E109" s="25">
        <f t="shared" si="1"/>
        <v>2728</v>
      </c>
      <c r="F109" s="26">
        <f t="shared" si="6"/>
        <v>675</v>
      </c>
      <c r="G109" s="22">
        <f t="shared" si="7"/>
        <v>94</v>
      </c>
      <c r="H109" s="25">
        <f t="shared" si="8"/>
        <v>867</v>
      </c>
      <c r="I109" s="24">
        <v>-1908</v>
      </c>
      <c r="J109" s="25">
        <v>2775</v>
      </c>
      <c r="K109" s="22">
        <f t="shared" si="9"/>
        <v>770</v>
      </c>
      <c r="L109" s="22">
        <f t="shared" si="10"/>
        <v>94</v>
      </c>
      <c r="M109" s="25">
        <f t="shared" si="11"/>
        <v>958</v>
      </c>
      <c r="N109" s="24">
        <v>-1628</v>
      </c>
      <c r="O109" s="25">
        <v>2753</v>
      </c>
      <c r="P109" s="22">
        <f t="shared" si="12"/>
        <v>727</v>
      </c>
      <c r="Q109" s="36"/>
      <c r="R109" s="30"/>
    </row>
    <row r="110" spans="1:18" ht="12.75" x14ac:dyDescent="0.2">
      <c r="A110" s="98">
        <v>45834</v>
      </c>
      <c r="B110" s="22">
        <f t="shared" si="4"/>
        <v>95</v>
      </c>
      <c r="C110" s="25">
        <f t="shared" si="5"/>
        <v>987</v>
      </c>
      <c r="D110" s="24">
        <v>-1741</v>
      </c>
      <c r="E110" s="25">
        <f t="shared" si="1"/>
        <v>2728</v>
      </c>
      <c r="F110" s="26">
        <f t="shared" si="6"/>
        <v>675</v>
      </c>
      <c r="G110" s="22">
        <f t="shared" si="7"/>
        <v>95</v>
      </c>
      <c r="H110" s="25">
        <f t="shared" si="8"/>
        <v>867</v>
      </c>
      <c r="I110" s="24">
        <v>-1908</v>
      </c>
      <c r="J110" s="25">
        <v>2775</v>
      </c>
      <c r="K110" s="22">
        <f t="shared" si="9"/>
        <v>770</v>
      </c>
      <c r="L110" s="22">
        <f t="shared" si="10"/>
        <v>95</v>
      </c>
      <c r="M110" s="25">
        <f t="shared" si="11"/>
        <v>958</v>
      </c>
      <c r="N110" s="24">
        <v>-1628</v>
      </c>
      <c r="O110" s="25">
        <v>2753</v>
      </c>
      <c r="P110" s="22">
        <f t="shared" si="12"/>
        <v>727</v>
      </c>
      <c r="Q110" s="36"/>
      <c r="R110" s="30"/>
    </row>
    <row r="111" spans="1:18" ht="12.75" x14ac:dyDescent="0.2">
      <c r="A111" s="98">
        <v>45835</v>
      </c>
      <c r="B111" s="22">
        <f t="shared" si="4"/>
        <v>96</v>
      </c>
      <c r="C111" s="25">
        <f t="shared" si="5"/>
        <v>980</v>
      </c>
      <c r="D111" s="24">
        <v>-1748</v>
      </c>
      <c r="E111" s="25">
        <f t="shared" si="1"/>
        <v>2728</v>
      </c>
      <c r="F111" s="26">
        <f t="shared" si="6"/>
        <v>682</v>
      </c>
      <c r="G111" s="22">
        <f t="shared" si="7"/>
        <v>96</v>
      </c>
      <c r="H111" s="25">
        <f t="shared" si="8"/>
        <v>867</v>
      </c>
      <c r="I111" s="24">
        <v>-1908</v>
      </c>
      <c r="J111" s="25">
        <v>2775</v>
      </c>
      <c r="K111" s="22">
        <f t="shared" si="9"/>
        <v>770</v>
      </c>
      <c r="L111" s="22">
        <f t="shared" si="10"/>
        <v>96</v>
      </c>
      <c r="M111" s="25">
        <f t="shared" si="11"/>
        <v>958</v>
      </c>
      <c r="N111" s="24">
        <v>-1628</v>
      </c>
      <c r="O111" s="25">
        <v>2753</v>
      </c>
      <c r="P111" s="22">
        <f t="shared" si="12"/>
        <v>727</v>
      </c>
      <c r="Q111" s="36"/>
      <c r="R111" s="30"/>
    </row>
    <row r="112" spans="1:18" ht="12.75" x14ac:dyDescent="0.2">
      <c r="A112" s="98">
        <v>45836</v>
      </c>
      <c r="B112" s="22">
        <f t="shared" si="4"/>
        <v>97</v>
      </c>
      <c r="C112" s="25">
        <f t="shared" si="5"/>
        <v>974</v>
      </c>
      <c r="D112" s="24">
        <v>-1754</v>
      </c>
      <c r="E112" s="25">
        <f t="shared" si="1"/>
        <v>2728</v>
      </c>
      <c r="F112" s="26">
        <f t="shared" si="6"/>
        <v>688</v>
      </c>
      <c r="G112" s="22">
        <f t="shared" si="7"/>
        <v>97</v>
      </c>
      <c r="H112" s="25">
        <f t="shared" si="8"/>
        <v>867</v>
      </c>
      <c r="I112" s="24">
        <v>-1908</v>
      </c>
      <c r="J112" s="25">
        <v>2775</v>
      </c>
      <c r="K112" s="22">
        <f t="shared" si="9"/>
        <v>770</v>
      </c>
      <c r="L112" s="22">
        <f t="shared" si="10"/>
        <v>97</v>
      </c>
      <c r="M112" s="25">
        <f t="shared" si="11"/>
        <v>958</v>
      </c>
      <c r="N112" s="24">
        <v>-1628</v>
      </c>
      <c r="O112" s="25">
        <v>2753</v>
      </c>
      <c r="P112" s="22">
        <f t="shared" si="12"/>
        <v>727</v>
      </c>
      <c r="Q112" s="36"/>
      <c r="R112" s="30"/>
    </row>
    <row r="113" spans="1:18" ht="12.75" x14ac:dyDescent="0.2">
      <c r="A113" s="98">
        <v>45837</v>
      </c>
      <c r="B113" s="22">
        <f t="shared" si="4"/>
        <v>98</v>
      </c>
      <c r="C113" s="25">
        <f t="shared" si="5"/>
        <v>968</v>
      </c>
      <c r="D113" s="24">
        <v>-1760</v>
      </c>
      <c r="E113" s="25">
        <f t="shared" si="1"/>
        <v>2728</v>
      </c>
      <c r="F113" s="26">
        <f t="shared" si="6"/>
        <v>694</v>
      </c>
      <c r="G113" s="22">
        <f t="shared" si="7"/>
        <v>98</v>
      </c>
      <c r="H113" s="25">
        <f t="shared" si="8"/>
        <v>867</v>
      </c>
      <c r="I113" s="24">
        <v>-1908</v>
      </c>
      <c r="J113" s="25">
        <v>2775</v>
      </c>
      <c r="K113" s="22">
        <f t="shared" si="9"/>
        <v>770</v>
      </c>
      <c r="L113" s="22">
        <f t="shared" si="10"/>
        <v>98</v>
      </c>
      <c r="M113" s="25">
        <f t="shared" si="11"/>
        <v>958</v>
      </c>
      <c r="N113" s="24">
        <v>-1628</v>
      </c>
      <c r="O113" s="25">
        <v>2753</v>
      </c>
      <c r="P113" s="22">
        <f t="shared" si="12"/>
        <v>727</v>
      </c>
      <c r="Q113" s="36"/>
      <c r="R113" s="30"/>
    </row>
    <row r="114" spans="1:18" ht="12.75" x14ac:dyDescent="0.2">
      <c r="A114" s="98">
        <v>45838</v>
      </c>
      <c r="B114" s="22">
        <f t="shared" si="4"/>
        <v>99</v>
      </c>
      <c r="C114" s="25">
        <f t="shared" si="5"/>
        <v>962</v>
      </c>
      <c r="D114" s="24">
        <v>-1766</v>
      </c>
      <c r="E114" s="25">
        <f t="shared" si="1"/>
        <v>2728</v>
      </c>
      <c r="F114" s="26">
        <f t="shared" si="6"/>
        <v>700</v>
      </c>
      <c r="G114" s="22">
        <f t="shared" si="7"/>
        <v>99</v>
      </c>
      <c r="H114" s="25">
        <f t="shared" si="8"/>
        <v>867</v>
      </c>
      <c r="I114" s="24">
        <v>-1908</v>
      </c>
      <c r="J114" s="25">
        <v>2775</v>
      </c>
      <c r="K114" s="22">
        <f t="shared" si="9"/>
        <v>770</v>
      </c>
      <c r="L114" s="22">
        <f t="shared" si="10"/>
        <v>99</v>
      </c>
      <c r="M114" s="25">
        <f t="shared" si="11"/>
        <v>958</v>
      </c>
      <c r="N114" s="24">
        <v>-1628</v>
      </c>
      <c r="O114" s="25">
        <v>2753</v>
      </c>
      <c r="P114" s="22">
        <f t="shared" si="12"/>
        <v>727</v>
      </c>
      <c r="Q114" s="36"/>
      <c r="R114" s="30"/>
    </row>
    <row r="115" spans="1:18" ht="12.75" x14ac:dyDescent="0.2">
      <c r="A115" s="98">
        <v>45839</v>
      </c>
      <c r="B115" s="22">
        <f t="shared" si="4"/>
        <v>100</v>
      </c>
      <c r="C115" s="25">
        <f t="shared" si="5"/>
        <v>956</v>
      </c>
      <c r="D115" s="24">
        <v>-1772</v>
      </c>
      <c r="E115" s="25">
        <f t="shared" si="1"/>
        <v>2728</v>
      </c>
      <c r="F115" s="26">
        <f t="shared" si="6"/>
        <v>706</v>
      </c>
      <c r="G115" s="22">
        <f t="shared" si="7"/>
        <v>100</v>
      </c>
      <c r="H115" s="25">
        <f t="shared" si="8"/>
        <v>867</v>
      </c>
      <c r="I115" s="24">
        <v>-1908</v>
      </c>
      <c r="J115" s="25">
        <v>2775</v>
      </c>
      <c r="K115" s="22">
        <f t="shared" si="9"/>
        <v>770</v>
      </c>
      <c r="L115" s="22">
        <f t="shared" si="10"/>
        <v>100</v>
      </c>
      <c r="M115" s="25">
        <f t="shared" si="11"/>
        <v>958</v>
      </c>
      <c r="N115" s="24">
        <v>-1628</v>
      </c>
      <c r="O115" s="25">
        <v>2753</v>
      </c>
      <c r="P115" s="22">
        <f t="shared" si="12"/>
        <v>727</v>
      </c>
      <c r="Q115" s="36"/>
      <c r="R115" s="30"/>
    </row>
    <row r="116" spans="1:18" ht="12.75" x14ac:dyDescent="0.2">
      <c r="A116" s="98">
        <v>45840</v>
      </c>
      <c r="B116" s="22">
        <f t="shared" si="4"/>
        <v>101</v>
      </c>
      <c r="C116" s="25">
        <f t="shared" si="5"/>
        <v>950</v>
      </c>
      <c r="D116" s="24">
        <v>-1778</v>
      </c>
      <c r="E116" s="25">
        <f t="shared" si="1"/>
        <v>2728</v>
      </c>
      <c r="F116" s="26">
        <f t="shared" si="6"/>
        <v>712</v>
      </c>
      <c r="G116" s="22">
        <f t="shared" si="7"/>
        <v>101</v>
      </c>
      <c r="H116" s="25">
        <f t="shared" si="8"/>
        <v>867</v>
      </c>
      <c r="I116" s="24">
        <v>-1908</v>
      </c>
      <c r="J116" s="25">
        <v>2775</v>
      </c>
      <c r="K116" s="22">
        <f t="shared" si="9"/>
        <v>770</v>
      </c>
      <c r="L116" s="22">
        <f t="shared" si="10"/>
        <v>101</v>
      </c>
      <c r="M116" s="25">
        <f t="shared" si="11"/>
        <v>958</v>
      </c>
      <c r="N116" s="24">
        <v>-1628</v>
      </c>
      <c r="O116" s="25">
        <v>2753</v>
      </c>
      <c r="P116" s="22">
        <f t="shared" si="12"/>
        <v>727</v>
      </c>
      <c r="Q116" s="36"/>
      <c r="R116" s="30"/>
    </row>
    <row r="117" spans="1:18" ht="12.75" x14ac:dyDescent="0.2">
      <c r="A117" s="98">
        <v>45841</v>
      </c>
      <c r="B117" s="22">
        <f t="shared" si="4"/>
        <v>102</v>
      </c>
      <c r="C117" s="25">
        <f t="shared" si="5"/>
        <v>944</v>
      </c>
      <c r="D117" s="24">
        <v>-1784</v>
      </c>
      <c r="E117" s="25">
        <f t="shared" si="1"/>
        <v>2728</v>
      </c>
      <c r="F117" s="26">
        <f t="shared" si="6"/>
        <v>718</v>
      </c>
      <c r="G117" s="22">
        <f t="shared" si="7"/>
        <v>102</v>
      </c>
      <c r="H117" s="25">
        <f t="shared" si="8"/>
        <v>867</v>
      </c>
      <c r="I117" s="24">
        <v>-1908</v>
      </c>
      <c r="J117" s="25">
        <v>2775</v>
      </c>
      <c r="K117" s="22">
        <f t="shared" si="9"/>
        <v>770</v>
      </c>
      <c r="L117" s="22">
        <f t="shared" si="10"/>
        <v>102</v>
      </c>
      <c r="M117" s="25">
        <f t="shared" si="11"/>
        <v>958</v>
      </c>
      <c r="N117" s="24">
        <v>-1628</v>
      </c>
      <c r="O117" s="25">
        <v>2753</v>
      </c>
      <c r="P117" s="22">
        <f t="shared" si="12"/>
        <v>727</v>
      </c>
      <c r="Q117" s="36"/>
      <c r="R117" s="30"/>
    </row>
    <row r="118" spans="1:18" ht="12.75" x14ac:dyDescent="0.2">
      <c r="A118" s="98">
        <v>45842</v>
      </c>
      <c r="B118" s="22">
        <f t="shared" si="4"/>
        <v>103</v>
      </c>
      <c r="C118" s="25">
        <f t="shared" si="5"/>
        <v>938</v>
      </c>
      <c r="D118" s="24">
        <v>-1790</v>
      </c>
      <c r="E118" s="25">
        <f t="shared" si="1"/>
        <v>2728</v>
      </c>
      <c r="F118" s="26">
        <f t="shared" si="6"/>
        <v>724</v>
      </c>
      <c r="G118" s="22">
        <f t="shared" si="7"/>
        <v>103</v>
      </c>
      <c r="H118" s="25">
        <f t="shared" si="8"/>
        <v>867</v>
      </c>
      <c r="I118" s="24">
        <v>-1908</v>
      </c>
      <c r="J118" s="25">
        <v>2775</v>
      </c>
      <c r="K118" s="22">
        <f t="shared" si="9"/>
        <v>770</v>
      </c>
      <c r="L118" s="22">
        <f t="shared" si="10"/>
        <v>103</v>
      </c>
      <c r="M118" s="25">
        <f t="shared" si="11"/>
        <v>951</v>
      </c>
      <c r="N118" s="24">
        <v>-1635</v>
      </c>
      <c r="O118" s="25">
        <v>2753</v>
      </c>
      <c r="P118" s="22">
        <f t="shared" si="12"/>
        <v>734</v>
      </c>
      <c r="Q118" s="36"/>
      <c r="R118" s="30"/>
    </row>
    <row r="119" spans="1:18" ht="12.75" x14ac:dyDescent="0.2">
      <c r="A119" s="98">
        <v>45843</v>
      </c>
      <c r="B119" s="22">
        <f t="shared" si="4"/>
        <v>104</v>
      </c>
      <c r="C119" s="25">
        <f t="shared" si="5"/>
        <v>932</v>
      </c>
      <c r="D119" s="24">
        <v>-1796</v>
      </c>
      <c r="E119" s="25">
        <f t="shared" si="1"/>
        <v>2728</v>
      </c>
      <c r="F119" s="26">
        <f t="shared" si="6"/>
        <v>730</v>
      </c>
      <c r="G119" s="22">
        <f t="shared" si="7"/>
        <v>104</v>
      </c>
      <c r="H119" s="25">
        <f t="shared" si="8"/>
        <v>867</v>
      </c>
      <c r="I119" s="24">
        <v>-1908</v>
      </c>
      <c r="J119" s="25">
        <v>2775</v>
      </c>
      <c r="K119" s="22">
        <f t="shared" si="9"/>
        <v>770</v>
      </c>
      <c r="L119" s="22">
        <f t="shared" si="10"/>
        <v>104</v>
      </c>
      <c r="M119" s="25">
        <f t="shared" si="11"/>
        <v>944</v>
      </c>
      <c r="N119" s="24">
        <v>-1642</v>
      </c>
      <c r="O119" s="25">
        <v>2753</v>
      </c>
      <c r="P119" s="22">
        <f t="shared" si="12"/>
        <v>741</v>
      </c>
      <c r="Q119" s="36"/>
      <c r="R119" s="30"/>
    </row>
    <row r="120" spans="1:18" ht="12.75" x14ac:dyDescent="0.2">
      <c r="A120" s="98">
        <v>45844</v>
      </c>
      <c r="B120" s="22">
        <f t="shared" si="4"/>
        <v>105</v>
      </c>
      <c r="C120" s="25">
        <f t="shared" si="5"/>
        <v>926</v>
      </c>
      <c r="D120" s="24">
        <v>-1802</v>
      </c>
      <c r="E120" s="25">
        <f t="shared" si="1"/>
        <v>2728</v>
      </c>
      <c r="F120" s="26">
        <f t="shared" si="6"/>
        <v>736</v>
      </c>
      <c r="G120" s="22">
        <f t="shared" si="7"/>
        <v>105</v>
      </c>
      <c r="H120" s="25">
        <f t="shared" si="8"/>
        <v>867</v>
      </c>
      <c r="I120" s="24">
        <v>-1908</v>
      </c>
      <c r="J120" s="25">
        <v>2775</v>
      </c>
      <c r="K120" s="22">
        <f t="shared" si="9"/>
        <v>770</v>
      </c>
      <c r="L120" s="22">
        <f t="shared" si="10"/>
        <v>105</v>
      </c>
      <c r="M120" s="25">
        <f t="shared" si="11"/>
        <v>937</v>
      </c>
      <c r="N120" s="24">
        <v>-1649</v>
      </c>
      <c r="O120" s="25">
        <v>2753</v>
      </c>
      <c r="P120" s="22">
        <f t="shared" si="12"/>
        <v>748</v>
      </c>
      <c r="Q120" s="36"/>
      <c r="R120" s="30"/>
    </row>
    <row r="121" spans="1:18" ht="12.75" x14ac:dyDescent="0.2">
      <c r="A121" s="98">
        <v>45845</v>
      </c>
      <c r="B121" s="22">
        <f t="shared" si="4"/>
        <v>106</v>
      </c>
      <c r="C121" s="25">
        <f t="shared" si="5"/>
        <v>920</v>
      </c>
      <c r="D121" s="24">
        <v>-1808</v>
      </c>
      <c r="E121" s="25">
        <f t="shared" si="1"/>
        <v>2728</v>
      </c>
      <c r="F121" s="26">
        <f t="shared" si="6"/>
        <v>742</v>
      </c>
      <c r="G121" s="22">
        <f t="shared" si="7"/>
        <v>106</v>
      </c>
      <c r="H121" s="25">
        <f t="shared" si="8"/>
        <v>867</v>
      </c>
      <c r="I121" s="24">
        <v>-1908</v>
      </c>
      <c r="J121" s="25">
        <v>2775</v>
      </c>
      <c r="K121" s="22">
        <f t="shared" si="9"/>
        <v>770</v>
      </c>
      <c r="L121" s="22">
        <f t="shared" si="10"/>
        <v>106</v>
      </c>
      <c r="M121" s="25">
        <f t="shared" si="11"/>
        <v>930</v>
      </c>
      <c r="N121" s="24">
        <v>-1656</v>
      </c>
      <c r="O121" s="25">
        <v>2753</v>
      </c>
      <c r="P121" s="22">
        <f t="shared" si="12"/>
        <v>755</v>
      </c>
      <c r="Q121" s="36"/>
      <c r="R121" s="30"/>
    </row>
    <row r="122" spans="1:18" ht="12.75" x14ac:dyDescent="0.2">
      <c r="A122" s="98">
        <v>45846</v>
      </c>
      <c r="B122" s="22">
        <f t="shared" si="4"/>
        <v>107</v>
      </c>
      <c r="C122" s="25">
        <f t="shared" si="5"/>
        <v>914</v>
      </c>
      <c r="D122" s="24">
        <v>-1814</v>
      </c>
      <c r="E122" s="25">
        <f t="shared" si="1"/>
        <v>2728</v>
      </c>
      <c r="F122" s="26">
        <f t="shared" si="6"/>
        <v>748</v>
      </c>
      <c r="G122" s="22">
        <f t="shared" si="7"/>
        <v>107</v>
      </c>
      <c r="H122" s="25">
        <f t="shared" si="8"/>
        <v>863</v>
      </c>
      <c r="I122" s="24">
        <v>-1912</v>
      </c>
      <c r="J122" s="25">
        <v>2775</v>
      </c>
      <c r="K122" s="22">
        <f t="shared" si="9"/>
        <v>774</v>
      </c>
      <c r="L122" s="22">
        <f t="shared" si="10"/>
        <v>107</v>
      </c>
      <c r="M122" s="25">
        <f t="shared" si="11"/>
        <v>923</v>
      </c>
      <c r="N122" s="24">
        <v>-1663</v>
      </c>
      <c r="O122" s="25">
        <v>2753</v>
      </c>
      <c r="P122" s="22">
        <f t="shared" si="12"/>
        <v>762</v>
      </c>
      <c r="Q122" s="36"/>
      <c r="R122" s="30"/>
    </row>
    <row r="123" spans="1:18" ht="12.75" x14ac:dyDescent="0.2">
      <c r="A123" s="98">
        <v>45847</v>
      </c>
      <c r="B123" s="22">
        <f t="shared" si="4"/>
        <v>108</v>
      </c>
      <c r="C123" s="25">
        <f t="shared" si="5"/>
        <v>908</v>
      </c>
      <c r="D123" s="24">
        <v>-1820</v>
      </c>
      <c r="E123" s="25">
        <f t="shared" si="1"/>
        <v>2728</v>
      </c>
      <c r="F123" s="26">
        <f t="shared" si="6"/>
        <v>754</v>
      </c>
      <c r="G123" s="22">
        <f t="shared" si="7"/>
        <v>108</v>
      </c>
      <c r="H123" s="25">
        <f t="shared" si="8"/>
        <v>850</v>
      </c>
      <c r="I123" s="24">
        <v>-1925</v>
      </c>
      <c r="J123" s="25">
        <v>2775</v>
      </c>
      <c r="K123" s="22">
        <f t="shared" si="9"/>
        <v>787</v>
      </c>
      <c r="L123" s="22">
        <f t="shared" si="10"/>
        <v>108</v>
      </c>
      <c r="M123" s="25">
        <f t="shared" si="11"/>
        <v>916</v>
      </c>
      <c r="N123" s="24">
        <v>-1670</v>
      </c>
      <c r="O123" s="25">
        <v>2753</v>
      </c>
      <c r="P123" s="22">
        <f t="shared" si="12"/>
        <v>769</v>
      </c>
      <c r="Q123" s="36"/>
      <c r="R123" s="30"/>
    </row>
    <row r="124" spans="1:18" ht="12.75" x14ac:dyDescent="0.2">
      <c r="A124" s="98">
        <v>45848</v>
      </c>
      <c r="B124" s="22">
        <f t="shared" si="4"/>
        <v>109</v>
      </c>
      <c r="C124" s="25">
        <f t="shared" si="5"/>
        <v>902</v>
      </c>
      <c r="D124" s="24">
        <v>-1826</v>
      </c>
      <c r="E124" s="25">
        <f t="shared" si="1"/>
        <v>2728</v>
      </c>
      <c r="F124" s="26">
        <f t="shared" si="6"/>
        <v>760</v>
      </c>
      <c r="G124" s="22">
        <f t="shared" si="7"/>
        <v>109</v>
      </c>
      <c r="H124" s="25">
        <f t="shared" si="8"/>
        <v>837</v>
      </c>
      <c r="I124" s="24">
        <v>-1938</v>
      </c>
      <c r="J124" s="25">
        <v>2775</v>
      </c>
      <c r="K124" s="22">
        <f t="shared" si="9"/>
        <v>800</v>
      </c>
      <c r="L124" s="22">
        <f t="shared" si="10"/>
        <v>109</v>
      </c>
      <c r="M124" s="25">
        <f t="shared" si="11"/>
        <v>909</v>
      </c>
      <c r="N124" s="24">
        <v>-1677</v>
      </c>
      <c r="O124" s="25">
        <v>2753</v>
      </c>
      <c r="P124" s="22">
        <f t="shared" si="12"/>
        <v>776</v>
      </c>
      <c r="Q124" s="36"/>
      <c r="R124" s="30"/>
    </row>
    <row r="125" spans="1:18" ht="12.75" x14ac:dyDescent="0.2">
      <c r="A125" s="98">
        <v>45849</v>
      </c>
      <c r="B125" s="22">
        <f t="shared" si="4"/>
        <v>110</v>
      </c>
      <c r="C125" s="25">
        <f t="shared" si="5"/>
        <v>896</v>
      </c>
      <c r="D125" s="24">
        <v>-1832</v>
      </c>
      <c r="E125" s="25">
        <f t="shared" si="1"/>
        <v>2728</v>
      </c>
      <c r="F125" s="26">
        <f t="shared" si="6"/>
        <v>766</v>
      </c>
      <c r="G125" s="22">
        <f t="shared" si="7"/>
        <v>110</v>
      </c>
      <c r="H125" s="25">
        <f t="shared" si="8"/>
        <v>824</v>
      </c>
      <c r="I125" s="24">
        <v>-1951</v>
      </c>
      <c r="J125" s="25">
        <v>2775</v>
      </c>
      <c r="K125" s="22">
        <f t="shared" si="9"/>
        <v>813</v>
      </c>
      <c r="L125" s="22">
        <f t="shared" si="10"/>
        <v>110</v>
      </c>
      <c r="M125" s="25">
        <f t="shared" si="11"/>
        <v>902</v>
      </c>
      <c r="N125" s="24">
        <v>-1684</v>
      </c>
      <c r="O125" s="25">
        <v>2753</v>
      </c>
      <c r="P125" s="22">
        <f t="shared" si="12"/>
        <v>783</v>
      </c>
      <c r="Q125" s="36"/>
      <c r="R125" s="30"/>
    </row>
    <row r="126" spans="1:18" ht="12.75" x14ac:dyDescent="0.2">
      <c r="A126" s="98">
        <v>45850</v>
      </c>
      <c r="B126" s="22">
        <f t="shared" si="4"/>
        <v>111</v>
      </c>
      <c r="C126" s="25">
        <f t="shared" si="5"/>
        <v>890</v>
      </c>
      <c r="D126" s="24">
        <v>-1838</v>
      </c>
      <c r="E126" s="25">
        <f t="shared" si="1"/>
        <v>2728</v>
      </c>
      <c r="F126" s="26">
        <f t="shared" si="6"/>
        <v>772</v>
      </c>
      <c r="G126" s="22">
        <f t="shared" si="7"/>
        <v>111</v>
      </c>
      <c r="H126" s="25">
        <f t="shared" si="8"/>
        <v>811</v>
      </c>
      <c r="I126" s="24">
        <v>-1964</v>
      </c>
      <c r="J126" s="25">
        <v>2775</v>
      </c>
      <c r="K126" s="22">
        <f t="shared" si="9"/>
        <v>826</v>
      </c>
      <c r="L126" s="22">
        <f t="shared" si="10"/>
        <v>111</v>
      </c>
      <c r="M126" s="25">
        <f t="shared" si="11"/>
        <v>895</v>
      </c>
      <c r="N126" s="24">
        <v>-1691</v>
      </c>
      <c r="O126" s="25">
        <v>2753</v>
      </c>
      <c r="P126" s="22">
        <f t="shared" si="12"/>
        <v>790</v>
      </c>
      <c r="Q126" s="36"/>
      <c r="R126" s="30"/>
    </row>
    <row r="127" spans="1:18" ht="12.75" x14ac:dyDescent="0.2">
      <c r="A127" s="98">
        <v>45851</v>
      </c>
      <c r="B127" s="22">
        <f t="shared" si="4"/>
        <v>112</v>
      </c>
      <c r="C127" s="25">
        <f t="shared" si="5"/>
        <v>884</v>
      </c>
      <c r="D127" s="24">
        <v>-1844</v>
      </c>
      <c r="E127" s="25">
        <f t="shared" si="1"/>
        <v>2728</v>
      </c>
      <c r="F127" s="26">
        <f t="shared" si="6"/>
        <v>778</v>
      </c>
      <c r="G127" s="22">
        <f t="shared" si="7"/>
        <v>112</v>
      </c>
      <c r="H127" s="25">
        <f t="shared" si="8"/>
        <v>798</v>
      </c>
      <c r="I127" s="24">
        <v>-1977</v>
      </c>
      <c r="J127" s="25">
        <v>2775</v>
      </c>
      <c r="K127" s="22">
        <f t="shared" si="9"/>
        <v>839</v>
      </c>
      <c r="L127" s="22">
        <f t="shared" si="10"/>
        <v>112</v>
      </c>
      <c r="M127" s="25">
        <f t="shared" si="11"/>
        <v>888</v>
      </c>
      <c r="N127" s="24">
        <v>-1698</v>
      </c>
      <c r="O127" s="25">
        <v>2753</v>
      </c>
      <c r="P127" s="22">
        <f t="shared" si="12"/>
        <v>797</v>
      </c>
      <c r="Q127" s="36"/>
      <c r="R127" s="30"/>
    </row>
    <row r="128" spans="1:18" ht="12.75" x14ac:dyDescent="0.2">
      <c r="A128" s="98">
        <v>45852</v>
      </c>
      <c r="B128" s="22">
        <f t="shared" si="4"/>
        <v>113</v>
      </c>
      <c r="C128" s="25">
        <f t="shared" si="5"/>
        <v>878</v>
      </c>
      <c r="D128" s="24">
        <v>-1850</v>
      </c>
      <c r="E128" s="25">
        <f t="shared" si="1"/>
        <v>2728</v>
      </c>
      <c r="F128" s="26">
        <f t="shared" si="6"/>
        <v>784</v>
      </c>
      <c r="G128" s="22">
        <f t="shared" si="7"/>
        <v>113</v>
      </c>
      <c r="H128" s="25">
        <f t="shared" si="8"/>
        <v>785</v>
      </c>
      <c r="I128" s="24">
        <v>-1990</v>
      </c>
      <c r="J128" s="25">
        <v>2775</v>
      </c>
      <c r="K128" s="22">
        <f t="shared" si="9"/>
        <v>852</v>
      </c>
      <c r="L128" s="22">
        <f t="shared" si="10"/>
        <v>113</v>
      </c>
      <c r="M128" s="25">
        <f t="shared" si="11"/>
        <v>881</v>
      </c>
      <c r="N128" s="24">
        <v>-1705</v>
      </c>
      <c r="O128" s="25">
        <v>2753</v>
      </c>
      <c r="P128" s="22">
        <f t="shared" si="12"/>
        <v>804</v>
      </c>
      <c r="Q128" s="36"/>
      <c r="R128" s="30"/>
    </row>
    <row r="129" spans="1:18" ht="12.75" x14ac:dyDescent="0.2">
      <c r="A129" s="98">
        <v>45853</v>
      </c>
      <c r="B129" s="22">
        <f t="shared" si="4"/>
        <v>114</v>
      </c>
      <c r="C129" s="25">
        <f t="shared" si="5"/>
        <v>872</v>
      </c>
      <c r="D129" s="24">
        <v>-1856</v>
      </c>
      <c r="E129" s="25">
        <f t="shared" si="1"/>
        <v>2728</v>
      </c>
      <c r="F129" s="26">
        <f t="shared" si="6"/>
        <v>790</v>
      </c>
      <c r="G129" s="22">
        <f t="shared" si="7"/>
        <v>114</v>
      </c>
      <c r="H129" s="25">
        <f t="shared" si="8"/>
        <v>772</v>
      </c>
      <c r="I129" s="24">
        <v>-2003</v>
      </c>
      <c r="J129" s="25">
        <v>2775</v>
      </c>
      <c r="K129" s="22">
        <f t="shared" si="9"/>
        <v>865</v>
      </c>
      <c r="L129" s="22">
        <f t="shared" si="10"/>
        <v>114</v>
      </c>
      <c r="M129" s="25">
        <f t="shared" si="11"/>
        <v>874</v>
      </c>
      <c r="N129" s="24">
        <v>-1712</v>
      </c>
      <c r="O129" s="25">
        <v>2753</v>
      </c>
      <c r="P129" s="22">
        <f t="shared" si="12"/>
        <v>811</v>
      </c>
      <c r="Q129" s="36"/>
      <c r="R129" s="30"/>
    </row>
    <row r="130" spans="1:18" ht="12.75" x14ac:dyDescent="0.2">
      <c r="A130" s="98">
        <v>45854</v>
      </c>
      <c r="B130" s="22">
        <f t="shared" si="4"/>
        <v>115</v>
      </c>
      <c r="C130" s="25">
        <f t="shared" si="5"/>
        <v>866</v>
      </c>
      <c r="D130" s="24">
        <v>-1862</v>
      </c>
      <c r="E130" s="25">
        <f t="shared" si="1"/>
        <v>2728</v>
      </c>
      <c r="F130" s="26">
        <f t="shared" si="6"/>
        <v>796</v>
      </c>
      <c r="G130" s="22">
        <f t="shared" si="7"/>
        <v>115</v>
      </c>
      <c r="H130" s="25">
        <f t="shared" si="8"/>
        <v>759</v>
      </c>
      <c r="I130" s="24">
        <v>-2016</v>
      </c>
      <c r="J130" s="25">
        <v>2775</v>
      </c>
      <c r="K130" s="22">
        <f t="shared" si="9"/>
        <v>878</v>
      </c>
      <c r="L130" s="22">
        <f t="shared" si="10"/>
        <v>115</v>
      </c>
      <c r="M130" s="25">
        <f t="shared" si="11"/>
        <v>867</v>
      </c>
      <c r="N130" s="24">
        <v>-1719</v>
      </c>
      <c r="O130" s="25">
        <v>2753</v>
      </c>
      <c r="P130" s="22">
        <f t="shared" si="12"/>
        <v>818</v>
      </c>
      <c r="Q130" s="36"/>
      <c r="R130" s="30"/>
    </row>
    <row r="131" spans="1:18" ht="12.75" x14ac:dyDescent="0.2">
      <c r="A131" s="98">
        <v>45855</v>
      </c>
      <c r="B131" s="22">
        <f t="shared" si="4"/>
        <v>116</v>
      </c>
      <c r="C131" s="25">
        <f t="shared" si="5"/>
        <v>860</v>
      </c>
      <c r="D131" s="24">
        <v>-1868</v>
      </c>
      <c r="E131" s="25">
        <f t="shared" si="1"/>
        <v>2728</v>
      </c>
      <c r="F131" s="26">
        <f t="shared" si="6"/>
        <v>802</v>
      </c>
      <c r="G131" s="22">
        <f t="shared" si="7"/>
        <v>116</v>
      </c>
      <c r="H131" s="25">
        <f t="shared" si="8"/>
        <v>746</v>
      </c>
      <c r="I131" s="24">
        <v>-2029</v>
      </c>
      <c r="J131" s="25">
        <v>2775</v>
      </c>
      <c r="K131" s="22">
        <f t="shared" si="9"/>
        <v>891</v>
      </c>
      <c r="L131" s="22">
        <f t="shared" si="10"/>
        <v>116</v>
      </c>
      <c r="M131" s="25">
        <f t="shared" si="11"/>
        <v>860</v>
      </c>
      <c r="N131" s="24">
        <v>-1726</v>
      </c>
      <c r="O131" s="25">
        <v>2753</v>
      </c>
      <c r="P131" s="22">
        <f t="shared" si="12"/>
        <v>825</v>
      </c>
      <c r="Q131" s="36"/>
      <c r="R131" s="30"/>
    </row>
    <row r="132" spans="1:18" ht="12.75" x14ac:dyDescent="0.2">
      <c r="A132" s="98">
        <v>45856</v>
      </c>
      <c r="B132" s="22">
        <f t="shared" si="4"/>
        <v>117</v>
      </c>
      <c r="C132" s="25">
        <f t="shared" si="5"/>
        <v>854</v>
      </c>
      <c r="D132" s="24">
        <v>-1874</v>
      </c>
      <c r="E132" s="25">
        <f t="shared" si="1"/>
        <v>2728</v>
      </c>
      <c r="F132" s="26">
        <f t="shared" si="6"/>
        <v>808</v>
      </c>
      <c r="G132" s="22">
        <f t="shared" si="7"/>
        <v>117</v>
      </c>
      <c r="H132" s="25">
        <f t="shared" si="8"/>
        <v>733</v>
      </c>
      <c r="I132" s="24">
        <v>-2042</v>
      </c>
      <c r="J132" s="25">
        <v>2775</v>
      </c>
      <c r="K132" s="22">
        <f t="shared" si="9"/>
        <v>904</v>
      </c>
      <c r="L132" s="22">
        <f t="shared" si="10"/>
        <v>117</v>
      </c>
      <c r="M132" s="25">
        <f t="shared" si="11"/>
        <v>853</v>
      </c>
      <c r="N132" s="24">
        <v>-1733</v>
      </c>
      <c r="O132" s="25">
        <v>2753</v>
      </c>
      <c r="P132" s="22">
        <f t="shared" si="12"/>
        <v>832</v>
      </c>
      <c r="Q132" s="36"/>
      <c r="R132" s="30"/>
    </row>
    <row r="133" spans="1:18" ht="12.75" x14ac:dyDescent="0.2">
      <c r="A133" s="98">
        <v>45857</v>
      </c>
      <c r="B133" s="22">
        <f t="shared" si="4"/>
        <v>118</v>
      </c>
      <c r="C133" s="25">
        <f t="shared" si="5"/>
        <v>848</v>
      </c>
      <c r="D133" s="24">
        <v>-1880</v>
      </c>
      <c r="E133" s="25">
        <f t="shared" si="1"/>
        <v>2728</v>
      </c>
      <c r="F133" s="26">
        <f t="shared" si="6"/>
        <v>814</v>
      </c>
      <c r="G133" s="22">
        <f t="shared" si="7"/>
        <v>118</v>
      </c>
      <c r="H133" s="25">
        <f t="shared" si="8"/>
        <v>718</v>
      </c>
      <c r="I133" s="24">
        <v>-2057</v>
      </c>
      <c r="J133" s="25">
        <v>2775</v>
      </c>
      <c r="K133" s="22">
        <f t="shared" si="9"/>
        <v>919</v>
      </c>
      <c r="L133" s="22">
        <f t="shared" si="10"/>
        <v>118</v>
      </c>
      <c r="M133" s="25">
        <f t="shared" si="11"/>
        <v>846</v>
      </c>
      <c r="N133" s="24">
        <v>-1740</v>
      </c>
      <c r="O133" s="25">
        <v>2753</v>
      </c>
      <c r="P133" s="22">
        <f t="shared" si="12"/>
        <v>839</v>
      </c>
      <c r="Q133" s="36"/>
      <c r="R133" s="30"/>
    </row>
    <row r="134" spans="1:18" ht="12.75" x14ac:dyDescent="0.2">
      <c r="A134" s="98">
        <v>45858</v>
      </c>
      <c r="B134" s="22">
        <f t="shared" si="4"/>
        <v>119</v>
      </c>
      <c r="C134" s="25">
        <f t="shared" si="5"/>
        <v>839</v>
      </c>
      <c r="D134" s="24">
        <v>-1889</v>
      </c>
      <c r="E134" s="25">
        <f t="shared" si="1"/>
        <v>2728</v>
      </c>
      <c r="F134" s="26">
        <f t="shared" si="6"/>
        <v>823</v>
      </c>
      <c r="G134" s="22">
        <f t="shared" si="7"/>
        <v>119</v>
      </c>
      <c r="H134" s="25">
        <f t="shared" si="8"/>
        <v>711</v>
      </c>
      <c r="I134" s="24">
        <v>-2064</v>
      </c>
      <c r="J134" s="25">
        <v>2775</v>
      </c>
      <c r="K134" s="22">
        <f t="shared" si="9"/>
        <v>926</v>
      </c>
      <c r="L134" s="22">
        <f t="shared" si="10"/>
        <v>119</v>
      </c>
      <c r="M134" s="25">
        <f t="shared" si="11"/>
        <v>844</v>
      </c>
      <c r="N134" s="24">
        <v>-1742</v>
      </c>
      <c r="O134" s="25">
        <v>2753</v>
      </c>
      <c r="P134" s="22">
        <f t="shared" si="12"/>
        <v>841</v>
      </c>
      <c r="Q134" s="36"/>
      <c r="R134" s="30"/>
    </row>
    <row r="135" spans="1:18" ht="12.75" x14ac:dyDescent="0.2">
      <c r="A135" s="98">
        <v>45859</v>
      </c>
      <c r="B135" s="22">
        <f t="shared" si="4"/>
        <v>120</v>
      </c>
      <c r="C135" s="25">
        <f t="shared" si="5"/>
        <v>834</v>
      </c>
      <c r="D135" s="24">
        <v>-1894</v>
      </c>
      <c r="E135" s="25">
        <f t="shared" si="1"/>
        <v>2728</v>
      </c>
      <c r="F135" s="26">
        <f t="shared" si="6"/>
        <v>828</v>
      </c>
      <c r="G135" s="22">
        <f t="shared" si="7"/>
        <v>120</v>
      </c>
      <c r="H135" s="25">
        <f t="shared" si="8"/>
        <v>704</v>
      </c>
      <c r="I135" s="24">
        <v>-2071</v>
      </c>
      <c r="J135" s="25">
        <v>2775</v>
      </c>
      <c r="K135" s="22">
        <f t="shared" si="9"/>
        <v>933</v>
      </c>
      <c r="L135" s="22">
        <f t="shared" si="10"/>
        <v>120</v>
      </c>
      <c r="M135" s="25">
        <f t="shared" si="11"/>
        <v>838</v>
      </c>
      <c r="N135" s="24">
        <v>-1748</v>
      </c>
      <c r="O135" s="25">
        <v>2753</v>
      </c>
      <c r="P135" s="22">
        <f t="shared" si="12"/>
        <v>847</v>
      </c>
      <c r="Q135" s="36"/>
      <c r="R135" s="30"/>
    </row>
    <row r="136" spans="1:18" ht="12.75" x14ac:dyDescent="0.2">
      <c r="A136" s="98">
        <v>45860</v>
      </c>
      <c r="B136" s="22">
        <f t="shared" si="4"/>
        <v>121</v>
      </c>
      <c r="C136" s="25">
        <f t="shared" si="5"/>
        <v>829</v>
      </c>
      <c r="D136" s="24">
        <v>-1899</v>
      </c>
      <c r="E136" s="25">
        <f t="shared" si="1"/>
        <v>2728</v>
      </c>
      <c r="F136" s="26">
        <f t="shared" si="6"/>
        <v>833</v>
      </c>
      <c r="G136" s="22">
        <f t="shared" si="7"/>
        <v>121</v>
      </c>
      <c r="H136" s="25">
        <f t="shared" si="8"/>
        <v>697</v>
      </c>
      <c r="I136" s="24">
        <v>-2078</v>
      </c>
      <c r="J136" s="25">
        <v>2775</v>
      </c>
      <c r="K136" s="22">
        <f t="shared" si="9"/>
        <v>940</v>
      </c>
      <c r="L136" s="22">
        <f t="shared" si="10"/>
        <v>121</v>
      </c>
      <c r="M136" s="25">
        <f t="shared" si="11"/>
        <v>832</v>
      </c>
      <c r="N136" s="24">
        <v>-1754</v>
      </c>
      <c r="O136" s="25">
        <v>2753</v>
      </c>
      <c r="P136" s="22">
        <f t="shared" si="12"/>
        <v>853</v>
      </c>
      <c r="Q136" s="36"/>
      <c r="R136" s="30"/>
    </row>
    <row r="137" spans="1:18" ht="12.75" x14ac:dyDescent="0.2">
      <c r="A137" s="98">
        <v>45861</v>
      </c>
      <c r="B137" s="22">
        <f t="shared" si="4"/>
        <v>122</v>
      </c>
      <c r="C137" s="25">
        <f t="shared" si="5"/>
        <v>824</v>
      </c>
      <c r="D137" s="24">
        <v>-1904</v>
      </c>
      <c r="E137" s="25">
        <f t="shared" si="1"/>
        <v>2728</v>
      </c>
      <c r="F137" s="26">
        <f t="shared" si="6"/>
        <v>838</v>
      </c>
      <c r="G137" s="22">
        <f t="shared" si="7"/>
        <v>122</v>
      </c>
      <c r="H137" s="25">
        <f t="shared" si="8"/>
        <v>690</v>
      </c>
      <c r="I137" s="24">
        <v>-2085</v>
      </c>
      <c r="J137" s="25">
        <v>2775</v>
      </c>
      <c r="K137" s="22">
        <f t="shared" si="9"/>
        <v>947</v>
      </c>
      <c r="L137" s="22">
        <f t="shared" si="10"/>
        <v>122</v>
      </c>
      <c r="M137" s="25">
        <f t="shared" si="11"/>
        <v>826</v>
      </c>
      <c r="N137" s="24">
        <v>-1760</v>
      </c>
      <c r="O137" s="25">
        <v>2753</v>
      </c>
      <c r="P137" s="22">
        <f t="shared" si="12"/>
        <v>859</v>
      </c>
      <c r="Q137" s="36"/>
      <c r="R137" s="30"/>
    </row>
    <row r="138" spans="1:18" ht="12.75" x14ac:dyDescent="0.2">
      <c r="A138" s="98">
        <v>45862</v>
      </c>
      <c r="B138" s="22">
        <f t="shared" si="4"/>
        <v>123</v>
      </c>
      <c r="C138" s="25">
        <f t="shared" si="5"/>
        <v>819</v>
      </c>
      <c r="D138" s="24">
        <v>-1909</v>
      </c>
      <c r="E138" s="25">
        <f t="shared" si="1"/>
        <v>2728</v>
      </c>
      <c r="F138" s="26">
        <f t="shared" si="6"/>
        <v>843</v>
      </c>
      <c r="G138" s="22">
        <f t="shared" si="7"/>
        <v>123</v>
      </c>
      <c r="H138" s="25">
        <f t="shared" si="8"/>
        <v>683</v>
      </c>
      <c r="I138" s="24">
        <v>-2092</v>
      </c>
      <c r="J138" s="25">
        <v>2775</v>
      </c>
      <c r="K138" s="22">
        <f t="shared" si="9"/>
        <v>954</v>
      </c>
      <c r="L138" s="22">
        <f t="shared" si="10"/>
        <v>123</v>
      </c>
      <c r="M138" s="25">
        <f t="shared" si="11"/>
        <v>820</v>
      </c>
      <c r="N138" s="24">
        <v>-1766</v>
      </c>
      <c r="O138" s="25">
        <v>2753</v>
      </c>
      <c r="P138" s="22">
        <f t="shared" si="12"/>
        <v>865</v>
      </c>
      <c r="Q138" s="36"/>
      <c r="R138" s="30"/>
    </row>
    <row r="139" spans="1:18" ht="12.75" x14ac:dyDescent="0.2">
      <c r="A139" s="98">
        <v>45863</v>
      </c>
      <c r="B139" s="22">
        <f t="shared" si="4"/>
        <v>124</v>
      </c>
      <c r="C139" s="25">
        <f t="shared" si="5"/>
        <v>814</v>
      </c>
      <c r="D139" s="24">
        <v>-1914</v>
      </c>
      <c r="E139" s="25">
        <f t="shared" si="1"/>
        <v>2728</v>
      </c>
      <c r="F139" s="26">
        <f t="shared" si="6"/>
        <v>848</v>
      </c>
      <c r="G139" s="22">
        <f t="shared" si="7"/>
        <v>124</v>
      </c>
      <c r="H139" s="25">
        <f t="shared" si="8"/>
        <v>676</v>
      </c>
      <c r="I139" s="24">
        <v>-2099</v>
      </c>
      <c r="J139" s="25">
        <v>2775</v>
      </c>
      <c r="K139" s="22">
        <f t="shared" si="9"/>
        <v>961</v>
      </c>
      <c r="L139" s="22">
        <f t="shared" si="10"/>
        <v>124</v>
      </c>
      <c r="M139" s="25">
        <f t="shared" si="11"/>
        <v>814</v>
      </c>
      <c r="N139" s="24">
        <v>-1772</v>
      </c>
      <c r="O139" s="25">
        <v>2753</v>
      </c>
      <c r="P139" s="22">
        <f t="shared" si="12"/>
        <v>871</v>
      </c>
      <c r="Q139" s="36"/>
      <c r="R139" s="30"/>
    </row>
    <row r="140" spans="1:18" ht="12.75" x14ac:dyDescent="0.2">
      <c r="A140" s="98">
        <v>45864</v>
      </c>
      <c r="B140" s="22">
        <f t="shared" si="4"/>
        <v>125</v>
      </c>
      <c r="C140" s="25">
        <f t="shared" si="5"/>
        <v>809</v>
      </c>
      <c r="D140" s="24">
        <v>-1919</v>
      </c>
      <c r="E140" s="25">
        <f t="shared" si="1"/>
        <v>2728</v>
      </c>
      <c r="F140" s="26">
        <f t="shared" si="6"/>
        <v>853</v>
      </c>
      <c r="G140" s="22">
        <f t="shared" si="7"/>
        <v>125</v>
      </c>
      <c r="H140" s="25">
        <f t="shared" si="8"/>
        <v>669</v>
      </c>
      <c r="I140" s="24">
        <v>-2106</v>
      </c>
      <c r="J140" s="25">
        <v>2775</v>
      </c>
      <c r="K140" s="22">
        <f t="shared" si="9"/>
        <v>968</v>
      </c>
      <c r="L140" s="22">
        <f t="shared" si="10"/>
        <v>125</v>
      </c>
      <c r="M140" s="25">
        <f t="shared" si="11"/>
        <v>808</v>
      </c>
      <c r="N140" s="24">
        <v>-1778</v>
      </c>
      <c r="O140" s="25">
        <v>2753</v>
      </c>
      <c r="P140" s="22">
        <f t="shared" si="12"/>
        <v>877</v>
      </c>
      <c r="Q140" s="36"/>
      <c r="R140" s="30"/>
    </row>
    <row r="141" spans="1:18" ht="12.75" x14ac:dyDescent="0.2">
      <c r="A141" s="98">
        <v>45865</v>
      </c>
      <c r="B141" s="22">
        <f t="shared" si="4"/>
        <v>126</v>
      </c>
      <c r="C141" s="25">
        <f t="shared" si="5"/>
        <v>804</v>
      </c>
      <c r="D141" s="24">
        <v>-1924</v>
      </c>
      <c r="E141" s="25">
        <f t="shared" si="1"/>
        <v>2728</v>
      </c>
      <c r="F141" s="26">
        <f t="shared" si="6"/>
        <v>858</v>
      </c>
      <c r="G141" s="22">
        <f t="shared" si="7"/>
        <v>126</v>
      </c>
      <c r="H141" s="25">
        <f t="shared" si="8"/>
        <v>662</v>
      </c>
      <c r="I141" s="24">
        <v>-2113</v>
      </c>
      <c r="J141" s="25">
        <v>2775</v>
      </c>
      <c r="K141" s="22">
        <f t="shared" si="9"/>
        <v>975</v>
      </c>
      <c r="L141" s="22">
        <f t="shared" si="10"/>
        <v>126</v>
      </c>
      <c r="M141" s="25">
        <f t="shared" si="11"/>
        <v>802</v>
      </c>
      <c r="N141" s="24">
        <v>-1784</v>
      </c>
      <c r="O141" s="25">
        <v>2753</v>
      </c>
      <c r="P141" s="22">
        <f t="shared" si="12"/>
        <v>883</v>
      </c>
      <c r="Q141" s="36"/>
      <c r="R141" s="30"/>
    </row>
    <row r="142" spans="1:18" ht="12.75" x14ac:dyDescent="0.2">
      <c r="A142" s="98">
        <v>45866</v>
      </c>
      <c r="B142" s="22">
        <f t="shared" si="4"/>
        <v>127</v>
      </c>
      <c r="C142" s="25">
        <f t="shared" si="5"/>
        <v>799</v>
      </c>
      <c r="D142" s="24">
        <v>-1929</v>
      </c>
      <c r="E142" s="25">
        <f t="shared" si="1"/>
        <v>2728</v>
      </c>
      <c r="F142" s="26">
        <f t="shared" si="6"/>
        <v>863</v>
      </c>
      <c r="G142" s="22">
        <f t="shared" si="7"/>
        <v>127</v>
      </c>
      <c r="H142" s="25">
        <f t="shared" si="8"/>
        <v>655</v>
      </c>
      <c r="I142" s="24">
        <v>-2120</v>
      </c>
      <c r="J142" s="25">
        <v>2775</v>
      </c>
      <c r="K142" s="22">
        <f t="shared" si="9"/>
        <v>982</v>
      </c>
      <c r="L142" s="22">
        <f t="shared" si="10"/>
        <v>127</v>
      </c>
      <c r="M142" s="25">
        <f t="shared" si="11"/>
        <v>796</v>
      </c>
      <c r="N142" s="24">
        <v>-1790</v>
      </c>
      <c r="O142" s="25">
        <v>2753</v>
      </c>
      <c r="P142" s="22">
        <f t="shared" si="12"/>
        <v>889</v>
      </c>
      <c r="Q142" s="36"/>
      <c r="R142" s="30"/>
    </row>
    <row r="143" spans="1:18" ht="12.75" x14ac:dyDescent="0.2">
      <c r="A143" s="98">
        <v>45867</v>
      </c>
      <c r="B143" s="22">
        <f t="shared" si="4"/>
        <v>128</v>
      </c>
      <c r="C143" s="23">
        <v>1399</v>
      </c>
      <c r="D143" s="24">
        <v>-1934</v>
      </c>
      <c r="E143" s="25">
        <f t="shared" si="1"/>
        <v>3333</v>
      </c>
      <c r="F143" s="26">
        <f t="shared" si="6"/>
        <v>868</v>
      </c>
      <c r="G143" s="22">
        <f t="shared" si="7"/>
        <v>128</v>
      </c>
      <c r="H143" s="25">
        <v>1389</v>
      </c>
      <c r="I143" s="24">
        <v>-2127</v>
      </c>
      <c r="J143" s="25">
        <v>2775</v>
      </c>
      <c r="K143" s="22">
        <f t="shared" si="9"/>
        <v>989</v>
      </c>
      <c r="L143" s="22">
        <f t="shared" si="10"/>
        <v>128</v>
      </c>
      <c r="M143" s="23">
        <v>1399</v>
      </c>
      <c r="N143" s="24">
        <v>-1796</v>
      </c>
      <c r="O143" s="25">
        <v>2753</v>
      </c>
      <c r="P143" s="22">
        <f t="shared" si="12"/>
        <v>895</v>
      </c>
      <c r="Q143" s="36"/>
      <c r="R143" s="30"/>
    </row>
    <row r="144" spans="1:18" ht="12.75" x14ac:dyDescent="0.2">
      <c r="A144" s="51"/>
      <c r="B144" s="52"/>
      <c r="C144" s="53"/>
      <c r="D144" s="54"/>
      <c r="E144" s="55"/>
      <c r="F144" s="52"/>
      <c r="G144" s="52"/>
      <c r="H144" s="55"/>
      <c r="I144" s="54"/>
      <c r="J144" s="55"/>
      <c r="K144" s="52"/>
      <c r="L144" s="52"/>
      <c r="M144" s="53"/>
      <c r="N144" s="54"/>
      <c r="O144" s="56"/>
      <c r="P144" s="52"/>
      <c r="Q144" s="57"/>
      <c r="R144" s="58"/>
    </row>
    <row r="145" spans="1:18" ht="12.75" x14ac:dyDescent="0.2">
      <c r="A145" s="51"/>
      <c r="B145" s="52"/>
      <c r="C145" s="53"/>
      <c r="D145" s="54"/>
      <c r="E145" s="55"/>
      <c r="F145" s="52"/>
      <c r="G145" s="52"/>
      <c r="H145" s="55"/>
      <c r="I145" s="54"/>
      <c r="J145" s="55"/>
      <c r="K145" s="52"/>
      <c r="L145" s="52"/>
      <c r="M145" s="53"/>
      <c r="N145" s="54"/>
      <c r="O145" s="56"/>
      <c r="P145" s="52"/>
      <c r="Q145" s="57"/>
      <c r="R145" s="58"/>
    </row>
    <row r="146" spans="1:18" ht="12.75" x14ac:dyDescent="0.2">
      <c r="A146" s="51"/>
      <c r="B146" s="52"/>
      <c r="C146" s="53"/>
      <c r="D146" s="54"/>
      <c r="E146" s="55"/>
      <c r="F146" s="52"/>
      <c r="G146" s="52"/>
      <c r="H146" s="55"/>
      <c r="I146" s="54"/>
      <c r="J146" s="55"/>
      <c r="K146" s="52"/>
      <c r="L146" s="52"/>
      <c r="M146" s="53"/>
      <c r="N146" s="54"/>
      <c r="O146" s="56"/>
      <c r="P146" s="52"/>
      <c r="Q146" s="57"/>
      <c r="R146" s="58"/>
    </row>
    <row r="147" spans="1:18" ht="12.75" x14ac:dyDescent="0.2">
      <c r="A147" s="51"/>
      <c r="B147" s="52"/>
      <c r="C147" s="53"/>
      <c r="D147" s="54"/>
      <c r="E147" s="55"/>
      <c r="F147" s="52"/>
      <c r="G147" s="52"/>
      <c r="H147" s="55"/>
      <c r="I147" s="54"/>
      <c r="J147" s="55"/>
      <c r="K147" s="52"/>
      <c r="L147" s="52"/>
      <c r="M147" s="53"/>
      <c r="N147" s="54"/>
      <c r="O147" s="56"/>
      <c r="P147" s="52"/>
      <c r="Q147" s="57"/>
      <c r="R147" s="58"/>
    </row>
    <row r="148" spans="1:18" ht="12.75" x14ac:dyDescent="0.2">
      <c r="A148" s="51"/>
      <c r="B148" s="52"/>
      <c r="C148" s="53"/>
      <c r="D148" s="54"/>
      <c r="E148" s="55"/>
      <c r="F148" s="52"/>
      <c r="G148" s="52"/>
      <c r="H148" s="55"/>
      <c r="I148" s="54"/>
      <c r="J148" s="55"/>
      <c r="K148" s="52"/>
      <c r="L148" s="52"/>
      <c r="M148" s="53"/>
      <c r="N148" s="54"/>
      <c r="O148" s="56"/>
      <c r="P148" s="52"/>
      <c r="Q148" s="57"/>
      <c r="R148" s="58"/>
    </row>
    <row r="149" spans="1:18" ht="12.75" x14ac:dyDescent="0.2">
      <c r="A149" s="51"/>
      <c r="B149" s="52"/>
      <c r="C149" s="53"/>
      <c r="D149" s="54"/>
      <c r="E149" s="55"/>
      <c r="F149" s="52"/>
      <c r="G149" s="52"/>
      <c r="H149" s="55"/>
      <c r="I149" s="54"/>
      <c r="J149" s="55"/>
      <c r="K149" s="52"/>
      <c r="L149" s="52"/>
      <c r="M149" s="53"/>
      <c r="N149" s="54"/>
      <c r="O149" s="56"/>
      <c r="P149" s="52"/>
      <c r="Q149" s="57"/>
      <c r="R149" s="58"/>
    </row>
  </sheetData>
  <mergeCells count="54">
    <mergeCell ref="A11:A14"/>
    <mergeCell ref="B12:B13"/>
    <mergeCell ref="N7:O7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L6:M6"/>
    <mergeCell ref="N6:O6"/>
    <mergeCell ref="P6:R6"/>
    <mergeCell ref="Q11:Q13"/>
    <mergeCell ref="R11:R14"/>
    <mergeCell ref="L8:M8"/>
    <mergeCell ref="N8:O8"/>
    <mergeCell ref="P8:R8"/>
    <mergeCell ref="C12:C13"/>
    <mergeCell ref="D12:D13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</mergeCells>
  <conditionalFormatting sqref="Q3 Q9:Q14 Q16:Q149">
    <cfRule type="cellIs" dxfId="3" priority="1" operator="lessThan">
      <formula>60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1">
    <outlinePr summaryBelow="0" summaryRight="0"/>
  </sheetPr>
  <dimension ref="A1:R60"/>
  <sheetViews>
    <sheetView topLeftCell="A52" workbookViewId="0">
      <selection sqref="A1:R1"/>
    </sheetView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(17/06/25)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122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123</v>
      </c>
      <c r="R10" s="112" t="s">
        <v>124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45825</v>
      </c>
      <c r="B15" s="22">
        <v>1</v>
      </c>
      <c r="C15" s="23">
        <v>1382</v>
      </c>
      <c r="D15" s="24">
        <v>-668</v>
      </c>
      <c r="E15" s="25">
        <f t="shared" ref="E15:E57" si="1">C15-D15</f>
        <v>2050</v>
      </c>
      <c r="F15" s="26">
        <v>0</v>
      </c>
      <c r="G15" s="22">
        <v>1</v>
      </c>
      <c r="H15" s="25">
        <v>1362</v>
      </c>
      <c r="I15" s="27">
        <v>-1178</v>
      </c>
      <c r="J15" s="28">
        <f t="shared" ref="J15:J57" si="2">H15-I15</f>
        <v>2540</v>
      </c>
      <c r="K15" s="22">
        <v>0</v>
      </c>
      <c r="L15" s="22">
        <v>1</v>
      </c>
      <c r="M15" s="23">
        <v>1392</v>
      </c>
      <c r="N15" s="24">
        <v>-1058</v>
      </c>
      <c r="O15" s="28">
        <f t="shared" ref="O15:O57" si="3">M15-N15</f>
        <v>2450</v>
      </c>
      <c r="P15" s="22">
        <v>0</v>
      </c>
      <c r="Q15" s="29"/>
      <c r="R15" s="30"/>
    </row>
    <row r="16" spans="1:18" x14ac:dyDescent="0.25">
      <c r="A16" s="21">
        <v>45826</v>
      </c>
      <c r="B16" s="22">
        <v>1</v>
      </c>
      <c r="C16" s="23">
        <v>1382</v>
      </c>
      <c r="D16" s="24">
        <v>-673</v>
      </c>
      <c r="E16" s="25">
        <f t="shared" si="1"/>
        <v>2055</v>
      </c>
      <c r="F16" s="26">
        <f>D15-D16</f>
        <v>5</v>
      </c>
      <c r="G16" s="22">
        <v>1</v>
      </c>
      <c r="H16" s="25">
        <v>1362</v>
      </c>
      <c r="I16" s="27">
        <v>-1183</v>
      </c>
      <c r="J16" s="28">
        <f t="shared" si="2"/>
        <v>2545</v>
      </c>
      <c r="K16" s="22">
        <v>0</v>
      </c>
      <c r="L16" s="22">
        <v>1</v>
      </c>
      <c r="M16" s="23">
        <v>1392</v>
      </c>
      <c r="N16" s="24">
        <v>-1063</v>
      </c>
      <c r="O16" s="28">
        <f t="shared" si="3"/>
        <v>2455</v>
      </c>
      <c r="P16" s="22">
        <v>0</v>
      </c>
      <c r="Q16" s="29"/>
      <c r="R16" s="30"/>
    </row>
    <row r="17" spans="1:18" x14ac:dyDescent="0.25">
      <c r="A17" s="21">
        <v>45827</v>
      </c>
      <c r="B17" s="22">
        <v>1</v>
      </c>
      <c r="C17" s="23">
        <v>1382</v>
      </c>
      <c r="D17" s="24">
        <v>-678</v>
      </c>
      <c r="E17" s="25">
        <f t="shared" si="1"/>
        <v>2060</v>
      </c>
      <c r="F17" s="26">
        <f>D15-D17</f>
        <v>10</v>
      </c>
      <c r="G17" s="22">
        <v>1</v>
      </c>
      <c r="H17" s="25">
        <v>1362</v>
      </c>
      <c r="I17" s="27">
        <v>-1188</v>
      </c>
      <c r="J17" s="28">
        <f t="shared" si="2"/>
        <v>2550</v>
      </c>
      <c r="K17" s="22">
        <v>0</v>
      </c>
      <c r="L17" s="22">
        <v>1</v>
      </c>
      <c r="M17" s="23">
        <v>1392</v>
      </c>
      <c r="N17" s="24">
        <v>-1067</v>
      </c>
      <c r="O17" s="28">
        <f t="shared" si="3"/>
        <v>2459</v>
      </c>
      <c r="P17" s="22">
        <v>0</v>
      </c>
      <c r="Q17" s="29"/>
      <c r="R17" s="30"/>
    </row>
    <row r="18" spans="1:18" x14ac:dyDescent="0.25">
      <c r="A18" s="21">
        <v>45828</v>
      </c>
      <c r="B18" s="22">
        <v>1</v>
      </c>
      <c r="C18" s="23">
        <v>1382</v>
      </c>
      <c r="D18" s="24">
        <v>-705</v>
      </c>
      <c r="E18" s="25">
        <f t="shared" si="1"/>
        <v>2087</v>
      </c>
      <c r="F18" s="26"/>
      <c r="G18" s="22">
        <v>1</v>
      </c>
      <c r="H18" s="25">
        <v>1362</v>
      </c>
      <c r="I18" s="27">
        <v>-1201</v>
      </c>
      <c r="J18" s="28">
        <f t="shared" si="2"/>
        <v>2563</v>
      </c>
      <c r="K18" s="22">
        <v>0</v>
      </c>
      <c r="L18" s="22">
        <v>1</v>
      </c>
      <c r="M18" s="23">
        <v>1392</v>
      </c>
      <c r="N18" s="24">
        <v>-1078</v>
      </c>
      <c r="O18" s="28">
        <f t="shared" si="3"/>
        <v>2470</v>
      </c>
      <c r="P18" s="22">
        <v>0</v>
      </c>
      <c r="Q18" s="29"/>
      <c r="R18" s="30"/>
    </row>
    <row r="19" spans="1:18" x14ac:dyDescent="0.25">
      <c r="A19" s="21">
        <v>45829</v>
      </c>
      <c r="B19" s="22">
        <v>1</v>
      </c>
      <c r="C19" s="23">
        <v>1382</v>
      </c>
      <c r="D19" s="24">
        <v>-705</v>
      </c>
      <c r="E19" s="25">
        <f t="shared" si="1"/>
        <v>2087</v>
      </c>
      <c r="F19" s="26">
        <f t="shared" ref="F19:F32" si="4">D18-D19</f>
        <v>0</v>
      </c>
      <c r="G19" s="22">
        <v>1</v>
      </c>
      <c r="H19" s="25">
        <v>1362</v>
      </c>
      <c r="I19" s="27">
        <v>-1201</v>
      </c>
      <c r="J19" s="28">
        <f t="shared" si="2"/>
        <v>2563</v>
      </c>
      <c r="K19" s="22">
        <v>0</v>
      </c>
      <c r="L19" s="22">
        <v>1</v>
      </c>
      <c r="M19" s="23">
        <v>1392</v>
      </c>
      <c r="N19" s="24">
        <v>-1089</v>
      </c>
      <c r="O19" s="28">
        <f t="shared" si="3"/>
        <v>2481</v>
      </c>
      <c r="P19" s="22">
        <v>0</v>
      </c>
      <c r="Q19" s="29"/>
      <c r="R19" s="30"/>
    </row>
    <row r="20" spans="1:18" x14ac:dyDescent="0.25">
      <c r="A20" s="21">
        <v>45830</v>
      </c>
      <c r="B20" s="22">
        <v>1</v>
      </c>
      <c r="C20" s="23">
        <v>1382</v>
      </c>
      <c r="D20" s="24">
        <v>-705</v>
      </c>
      <c r="E20" s="25">
        <f t="shared" si="1"/>
        <v>2087</v>
      </c>
      <c r="F20" s="26">
        <f t="shared" si="4"/>
        <v>0</v>
      </c>
      <c r="G20" s="22">
        <v>1</v>
      </c>
      <c r="H20" s="25">
        <v>1362</v>
      </c>
      <c r="I20" s="27">
        <v>-1201</v>
      </c>
      <c r="J20" s="28">
        <f t="shared" si="2"/>
        <v>2563</v>
      </c>
      <c r="K20" s="22">
        <v>0</v>
      </c>
      <c r="L20" s="22">
        <v>1</v>
      </c>
      <c r="M20" s="23">
        <v>1392</v>
      </c>
      <c r="N20" s="24">
        <v>-1100</v>
      </c>
      <c r="O20" s="28">
        <f t="shared" si="3"/>
        <v>2492</v>
      </c>
      <c r="P20" s="22">
        <v>0</v>
      </c>
      <c r="Q20" s="29"/>
      <c r="R20" s="30"/>
    </row>
    <row r="21" spans="1:18" x14ac:dyDescent="0.25">
      <c r="A21" s="21">
        <v>45831</v>
      </c>
      <c r="B21" s="22">
        <v>1</v>
      </c>
      <c r="C21" s="23">
        <v>1382</v>
      </c>
      <c r="D21" s="24">
        <v>-705</v>
      </c>
      <c r="E21" s="25">
        <f t="shared" si="1"/>
        <v>2087</v>
      </c>
      <c r="F21" s="26">
        <f t="shared" si="4"/>
        <v>0</v>
      </c>
      <c r="G21" s="22">
        <v>1</v>
      </c>
      <c r="H21" s="25">
        <v>1362</v>
      </c>
      <c r="I21" s="27">
        <v>-1201</v>
      </c>
      <c r="J21" s="28">
        <f t="shared" si="2"/>
        <v>2563</v>
      </c>
      <c r="K21" s="22">
        <v>0</v>
      </c>
      <c r="L21" s="22">
        <v>1</v>
      </c>
      <c r="M21" s="23">
        <v>1392</v>
      </c>
      <c r="N21" s="24">
        <v>-1111</v>
      </c>
      <c r="O21" s="28">
        <f t="shared" si="3"/>
        <v>2503</v>
      </c>
      <c r="P21" s="22">
        <v>0</v>
      </c>
      <c r="Q21" s="29"/>
      <c r="R21" s="30"/>
    </row>
    <row r="22" spans="1:18" x14ac:dyDescent="0.25">
      <c r="A22" s="21">
        <v>45832</v>
      </c>
      <c r="B22" s="22">
        <v>1</v>
      </c>
      <c r="C22" s="23">
        <v>1382</v>
      </c>
      <c r="D22" s="24">
        <v>-715</v>
      </c>
      <c r="E22" s="25">
        <f t="shared" si="1"/>
        <v>2097</v>
      </c>
      <c r="F22" s="26">
        <f t="shared" si="4"/>
        <v>10</v>
      </c>
      <c r="G22" s="22">
        <v>1</v>
      </c>
      <c r="H22" s="25">
        <v>1362</v>
      </c>
      <c r="I22" s="27">
        <v>-1201</v>
      </c>
      <c r="J22" s="28">
        <f t="shared" si="2"/>
        <v>2563</v>
      </c>
      <c r="K22" s="22">
        <v>0</v>
      </c>
      <c r="L22" s="22">
        <v>1</v>
      </c>
      <c r="M22" s="23">
        <v>1392</v>
      </c>
      <c r="N22" s="24">
        <v>-1122</v>
      </c>
      <c r="O22" s="28">
        <f t="shared" si="3"/>
        <v>2514</v>
      </c>
      <c r="P22" s="22">
        <v>0</v>
      </c>
      <c r="Q22" s="29"/>
      <c r="R22" s="30"/>
    </row>
    <row r="23" spans="1:18" x14ac:dyDescent="0.25">
      <c r="A23" s="21">
        <v>45833</v>
      </c>
      <c r="B23" s="22">
        <v>1</v>
      </c>
      <c r="C23" s="23">
        <v>1382</v>
      </c>
      <c r="D23" s="24">
        <v>-728</v>
      </c>
      <c r="E23" s="25">
        <f t="shared" si="1"/>
        <v>2110</v>
      </c>
      <c r="F23" s="26">
        <f t="shared" si="4"/>
        <v>13</v>
      </c>
      <c r="G23" s="22">
        <v>1</v>
      </c>
      <c r="H23" s="25">
        <v>1362</v>
      </c>
      <c r="I23" s="27">
        <v>-1201</v>
      </c>
      <c r="J23" s="28">
        <f t="shared" si="2"/>
        <v>2563</v>
      </c>
      <c r="K23" s="22">
        <v>0</v>
      </c>
      <c r="L23" s="22">
        <v>1</v>
      </c>
      <c r="M23" s="23">
        <v>1392</v>
      </c>
      <c r="N23" s="24">
        <v>-1133</v>
      </c>
      <c r="O23" s="28">
        <f t="shared" si="3"/>
        <v>2525</v>
      </c>
      <c r="P23" s="22">
        <v>0</v>
      </c>
      <c r="Q23" s="29"/>
      <c r="R23" s="30"/>
    </row>
    <row r="24" spans="1:18" x14ac:dyDescent="0.25">
      <c r="A24" s="21">
        <v>45834</v>
      </c>
      <c r="B24" s="22">
        <v>1</v>
      </c>
      <c r="C24" s="23">
        <v>1382</v>
      </c>
      <c r="D24" s="24">
        <v>-741</v>
      </c>
      <c r="E24" s="25">
        <f t="shared" si="1"/>
        <v>2123</v>
      </c>
      <c r="F24" s="26">
        <f t="shared" si="4"/>
        <v>13</v>
      </c>
      <c r="G24" s="22">
        <v>1</v>
      </c>
      <c r="H24" s="25">
        <v>1362</v>
      </c>
      <c r="I24" s="27">
        <v>-1201</v>
      </c>
      <c r="J24" s="28">
        <f t="shared" si="2"/>
        <v>2563</v>
      </c>
      <c r="K24" s="22">
        <v>0</v>
      </c>
      <c r="L24" s="22">
        <v>1</v>
      </c>
      <c r="M24" s="23">
        <v>1392</v>
      </c>
      <c r="N24" s="24">
        <v>-1144</v>
      </c>
      <c r="O24" s="28">
        <f t="shared" si="3"/>
        <v>2536</v>
      </c>
      <c r="P24" s="22">
        <v>0</v>
      </c>
      <c r="Q24" s="29"/>
      <c r="R24" s="30"/>
    </row>
    <row r="25" spans="1:18" x14ac:dyDescent="0.25">
      <c r="A25" s="21">
        <v>45835</v>
      </c>
      <c r="B25" s="22">
        <v>1</v>
      </c>
      <c r="C25" s="23">
        <v>1382</v>
      </c>
      <c r="D25" s="24">
        <v>-754</v>
      </c>
      <c r="E25" s="25">
        <f t="shared" si="1"/>
        <v>2136</v>
      </c>
      <c r="F25" s="26">
        <f t="shared" si="4"/>
        <v>13</v>
      </c>
      <c r="G25" s="22">
        <v>1</v>
      </c>
      <c r="H25" s="25">
        <v>1362</v>
      </c>
      <c r="I25" s="27">
        <v>-1201</v>
      </c>
      <c r="J25" s="28">
        <f t="shared" si="2"/>
        <v>2563</v>
      </c>
      <c r="K25" s="22">
        <v>0</v>
      </c>
      <c r="L25" s="22">
        <v>1</v>
      </c>
      <c r="M25" s="23">
        <v>1392</v>
      </c>
      <c r="N25" s="24">
        <v>-1155</v>
      </c>
      <c r="O25" s="28">
        <f t="shared" si="3"/>
        <v>2547</v>
      </c>
      <c r="P25" s="22">
        <v>0</v>
      </c>
      <c r="Q25" s="29"/>
      <c r="R25" s="30"/>
    </row>
    <row r="26" spans="1:18" x14ac:dyDescent="0.25">
      <c r="A26" s="21">
        <v>45836</v>
      </c>
      <c r="B26" s="22">
        <v>1</v>
      </c>
      <c r="C26" s="23">
        <v>1382</v>
      </c>
      <c r="D26" s="24">
        <v>-767</v>
      </c>
      <c r="E26" s="25">
        <f t="shared" si="1"/>
        <v>2149</v>
      </c>
      <c r="F26" s="26">
        <f t="shared" si="4"/>
        <v>13</v>
      </c>
      <c r="G26" s="22">
        <v>1</v>
      </c>
      <c r="H26" s="25">
        <v>1362</v>
      </c>
      <c r="I26" s="27">
        <v>-1201</v>
      </c>
      <c r="J26" s="28">
        <f t="shared" si="2"/>
        <v>2563</v>
      </c>
      <c r="K26" s="22">
        <v>0</v>
      </c>
      <c r="L26" s="22">
        <v>1</v>
      </c>
      <c r="M26" s="23">
        <v>1392</v>
      </c>
      <c r="N26" s="24">
        <v>-1166</v>
      </c>
      <c r="O26" s="28">
        <f t="shared" si="3"/>
        <v>2558</v>
      </c>
      <c r="P26" s="22">
        <v>0</v>
      </c>
      <c r="Q26" s="29"/>
      <c r="R26" s="30"/>
    </row>
    <row r="27" spans="1:18" x14ac:dyDescent="0.25">
      <c r="A27" s="21">
        <v>45837</v>
      </c>
      <c r="B27" s="22">
        <v>1</v>
      </c>
      <c r="C27" s="23">
        <v>1382</v>
      </c>
      <c r="D27" s="24">
        <v>-780</v>
      </c>
      <c r="E27" s="25">
        <f t="shared" si="1"/>
        <v>2162</v>
      </c>
      <c r="F27" s="26">
        <f t="shared" si="4"/>
        <v>13</v>
      </c>
      <c r="G27" s="22">
        <v>1</v>
      </c>
      <c r="H27" s="25">
        <v>1362</v>
      </c>
      <c r="I27" s="27">
        <v>-1201</v>
      </c>
      <c r="J27" s="28">
        <f t="shared" si="2"/>
        <v>2563</v>
      </c>
      <c r="K27" s="22">
        <v>0</v>
      </c>
      <c r="L27" s="22">
        <v>1</v>
      </c>
      <c r="M27" s="23">
        <v>1392</v>
      </c>
      <c r="N27" s="24">
        <v>-1177</v>
      </c>
      <c r="O27" s="28">
        <f t="shared" si="3"/>
        <v>2569</v>
      </c>
      <c r="P27" s="22">
        <v>0</v>
      </c>
      <c r="Q27" s="29"/>
      <c r="R27" s="30"/>
    </row>
    <row r="28" spans="1:18" x14ac:dyDescent="0.25">
      <c r="A28" s="21">
        <v>45838</v>
      </c>
      <c r="B28" s="22">
        <v>1</v>
      </c>
      <c r="C28" s="23">
        <v>1382</v>
      </c>
      <c r="D28" s="24">
        <v>-793</v>
      </c>
      <c r="E28" s="25">
        <f t="shared" si="1"/>
        <v>2175</v>
      </c>
      <c r="F28" s="26">
        <f t="shared" si="4"/>
        <v>13</v>
      </c>
      <c r="G28" s="22">
        <v>1</v>
      </c>
      <c r="H28" s="25">
        <v>1362</v>
      </c>
      <c r="I28" s="27">
        <v>-1201</v>
      </c>
      <c r="J28" s="28">
        <f t="shared" si="2"/>
        <v>2563</v>
      </c>
      <c r="K28" s="22">
        <v>0</v>
      </c>
      <c r="L28" s="22">
        <v>1</v>
      </c>
      <c r="M28" s="23">
        <v>1392</v>
      </c>
      <c r="N28" s="24">
        <v>-1188</v>
      </c>
      <c r="O28" s="28">
        <f t="shared" si="3"/>
        <v>2580</v>
      </c>
      <c r="P28" s="22">
        <v>0</v>
      </c>
      <c r="Q28" s="29"/>
      <c r="R28" s="30"/>
    </row>
    <row r="29" spans="1:18" x14ac:dyDescent="0.25">
      <c r="A29" s="21">
        <v>45839</v>
      </c>
      <c r="B29" s="22">
        <v>1</v>
      </c>
      <c r="C29" s="23">
        <v>1382</v>
      </c>
      <c r="D29" s="24">
        <v>-806</v>
      </c>
      <c r="E29" s="25">
        <f t="shared" si="1"/>
        <v>2188</v>
      </c>
      <c r="F29" s="26">
        <f t="shared" si="4"/>
        <v>13</v>
      </c>
      <c r="G29" s="22">
        <v>1</v>
      </c>
      <c r="H29" s="25">
        <v>1362</v>
      </c>
      <c r="I29" s="27">
        <v>-1201</v>
      </c>
      <c r="J29" s="28">
        <f t="shared" si="2"/>
        <v>2563</v>
      </c>
      <c r="K29" s="22">
        <v>0</v>
      </c>
      <c r="L29" s="22">
        <v>1</v>
      </c>
      <c r="M29" s="23">
        <v>1392</v>
      </c>
      <c r="N29" s="24">
        <v>-1199</v>
      </c>
      <c r="O29" s="28">
        <f t="shared" si="3"/>
        <v>2591</v>
      </c>
      <c r="P29" s="22">
        <v>0</v>
      </c>
      <c r="Q29" s="29"/>
      <c r="R29" s="30"/>
    </row>
    <row r="30" spans="1:18" x14ac:dyDescent="0.25">
      <c r="A30" s="21">
        <v>45840</v>
      </c>
      <c r="B30" s="22">
        <v>1</v>
      </c>
      <c r="C30" s="23">
        <v>1382</v>
      </c>
      <c r="D30" s="24">
        <v>-819</v>
      </c>
      <c r="E30" s="25">
        <f t="shared" si="1"/>
        <v>2201</v>
      </c>
      <c r="F30" s="26">
        <f t="shared" si="4"/>
        <v>13</v>
      </c>
      <c r="G30" s="22">
        <v>1</v>
      </c>
      <c r="H30" s="25">
        <v>1362</v>
      </c>
      <c r="I30" s="27">
        <v>-1224</v>
      </c>
      <c r="J30" s="28">
        <f t="shared" si="2"/>
        <v>2586</v>
      </c>
      <c r="K30" s="22">
        <v>0</v>
      </c>
      <c r="L30" s="22">
        <v>1</v>
      </c>
      <c r="M30" s="23">
        <v>1392</v>
      </c>
      <c r="N30" s="24">
        <v>-1210</v>
      </c>
      <c r="O30" s="28">
        <f t="shared" si="3"/>
        <v>2602</v>
      </c>
      <c r="P30" s="22">
        <v>0</v>
      </c>
      <c r="Q30" s="29"/>
      <c r="R30" s="30"/>
    </row>
    <row r="31" spans="1:18" x14ac:dyDescent="0.25">
      <c r="A31" s="21">
        <v>45841</v>
      </c>
      <c r="B31" s="22">
        <v>1</v>
      </c>
      <c r="C31" s="23">
        <v>1382</v>
      </c>
      <c r="D31" s="24">
        <v>-832</v>
      </c>
      <c r="E31" s="25">
        <f t="shared" si="1"/>
        <v>2214</v>
      </c>
      <c r="F31" s="26">
        <f t="shared" si="4"/>
        <v>13</v>
      </c>
      <c r="G31" s="22">
        <v>1</v>
      </c>
      <c r="H31" s="25">
        <v>1362</v>
      </c>
      <c r="I31" s="27">
        <v>-1252</v>
      </c>
      <c r="J31" s="28">
        <f t="shared" si="2"/>
        <v>2614</v>
      </c>
      <c r="K31" s="22">
        <v>0</v>
      </c>
      <c r="L31" s="22">
        <v>1</v>
      </c>
      <c r="M31" s="23">
        <v>1392</v>
      </c>
      <c r="N31" s="24">
        <v>-1221</v>
      </c>
      <c r="O31" s="28">
        <f t="shared" si="3"/>
        <v>2613</v>
      </c>
      <c r="P31" s="22">
        <v>0</v>
      </c>
      <c r="Q31" s="29"/>
      <c r="R31" s="30"/>
    </row>
    <row r="32" spans="1:18" x14ac:dyDescent="0.25">
      <c r="A32" s="21">
        <v>45842</v>
      </c>
      <c r="B32" s="22">
        <v>1</v>
      </c>
      <c r="C32" s="23">
        <v>1382</v>
      </c>
      <c r="D32" s="24">
        <v>-845</v>
      </c>
      <c r="E32" s="25">
        <f t="shared" si="1"/>
        <v>2227</v>
      </c>
      <c r="F32" s="26">
        <f t="shared" si="4"/>
        <v>13</v>
      </c>
      <c r="G32" s="22">
        <v>1</v>
      </c>
      <c r="H32" s="25">
        <v>1362</v>
      </c>
      <c r="I32" s="27">
        <v>-1280</v>
      </c>
      <c r="J32" s="28">
        <f t="shared" si="2"/>
        <v>2642</v>
      </c>
      <c r="K32" s="22">
        <v>0</v>
      </c>
      <c r="L32" s="22">
        <v>1</v>
      </c>
      <c r="M32" s="23">
        <v>1392</v>
      </c>
      <c r="N32" s="24">
        <v>-1232</v>
      </c>
      <c r="O32" s="28">
        <f t="shared" si="3"/>
        <v>2624</v>
      </c>
      <c r="P32" s="22">
        <v>0</v>
      </c>
      <c r="Q32" s="29"/>
      <c r="R32" s="30"/>
    </row>
    <row r="33" spans="1:18" x14ac:dyDescent="0.25">
      <c r="A33" s="21">
        <v>45843</v>
      </c>
      <c r="B33" s="22">
        <v>1</v>
      </c>
      <c r="C33" s="23">
        <v>1382</v>
      </c>
      <c r="D33" s="24">
        <v>-858</v>
      </c>
      <c r="E33" s="25">
        <f t="shared" si="1"/>
        <v>2240</v>
      </c>
      <c r="F33" s="26">
        <v>0</v>
      </c>
      <c r="G33" s="22">
        <v>1</v>
      </c>
      <c r="H33" s="25">
        <v>1362</v>
      </c>
      <c r="I33" s="27">
        <v>-1308</v>
      </c>
      <c r="J33" s="28">
        <f t="shared" si="2"/>
        <v>2670</v>
      </c>
      <c r="K33" s="22">
        <v>0</v>
      </c>
      <c r="L33" s="22">
        <v>1</v>
      </c>
      <c r="M33" s="23">
        <v>1392</v>
      </c>
      <c r="N33" s="24">
        <v>-1243</v>
      </c>
      <c r="O33" s="28">
        <f t="shared" si="3"/>
        <v>2635</v>
      </c>
      <c r="P33" s="22">
        <v>0</v>
      </c>
      <c r="Q33" s="29"/>
      <c r="R33" s="30"/>
    </row>
    <row r="34" spans="1:18" x14ac:dyDescent="0.25">
      <c r="A34" s="21">
        <v>45844</v>
      </c>
      <c r="B34" s="22">
        <v>1</v>
      </c>
      <c r="C34" s="23">
        <v>1382</v>
      </c>
      <c r="D34" s="24">
        <v>-871</v>
      </c>
      <c r="E34" s="25">
        <f t="shared" si="1"/>
        <v>2253</v>
      </c>
      <c r="F34" s="26">
        <v>0</v>
      </c>
      <c r="G34" s="22">
        <v>1</v>
      </c>
      <c r="H34" s="25">
        <v>1362</v>
      </c>
      <c r="I34" s="27">
        <v>-1336</v>
      </c>
      <c r="J34" s="28">
        <f t="shared" si="2"/>
        <v>2698</v>
      </c>
      <c r="K34" s="22">
        <v>0</v>
      </c>
      <c r="L34" s="22">
        <v>1</v>
      </c>
      <c r="M34" s="23">
        <v>1392</v>
      </c>
      <c r="N34" s="24">
        <v>-1254</v>
      </c>
      <c r="O34" s="28">
        <f t="shared" si="3"/>
        <v>2646</v>
      </c>
      <c r="P34" s="22">
        <v>0</v>
      </c>
      <c r="Q34" s="29"/>
      <c r="R34" s="30"/>
    </row>
    <row r="35" spans="1:18" x14ac:dyDescent="0.25">
      <c r="A35" s="21">
        <v>45845</v>
      </c>
      <c r="B35" s="22">
        <v>1</v>
      </c>
      <c r="C35" s="23">
        <v>1382</v>
      </c>
      <c r="D35" s="24">
        <v>-884</v>
      </c>
      <c r="E35" s="25">
        <f t="shared" si="1"/>
        <v>2266</v>
      </c>
      <c r="F35" s="26">
        <v>0</v>
      </c>
      <c r="G35" s="22">
        <v>1</v>
      </c>
      <c r="H35" s="25">
        <v>1362</v>
      </c>
      <c r="I35" s="27">
        <v>-1364</v>
      </c>
      <c r="J35" s="28">
        <f t="shared" si="2"/>
        <v>2726</v>
      </c>
      <c r="K35" s="22">
        <v>0</v>
      </c>
      <c r="L35" s="22">
        <v>1</v>
      </c>
      <c r="M35" s="23">
        <v>1392</v>
      </c>
      <c r="N35" s="24">
        <v>-1265</v>
      </c>
      <c r="O35" s="28">
        <f t="shared" si="3"/>
        <v>2657</v>
      </c>
      <c r="P35" s="22">
        <v>0</v>
      </c>
      <c r="Q35" s="29"/>
      <c r="R35" s="30"/>
    </row>
    <row r="36" spans="1:18" x14ac:dyDescent="0.25">
      <c r="A36" s="21">
        <v>45846</v>
      </c>
      <c r="B36" s="22">
        <v>1</v>
      </c>
      <c r="C36" s="23">
        <v>1382</v>
      </c>
      <c r="D36" s="24">
        <v>-897</v>
      </c>
      <c r="E36" s="25">
        <f t="shared" si="1"/>
        <v>2279</v>
      </c>
      <c r="F36" s="26">
        <v>0</v>
      </c>
      <c r="G36" s="22">
        <v>1</v>
      </c>
      <c r="H36" s="25">
        <v>1362</v>
      </c>
      <c r="I36" s="27">
        <v>-1392</v>
      </c>
      <c r="J36" s="28">
        <f t="shared" si="2"/>
        <v>2754</v>
      </c>
      <c r="K36" s="22">
        <v>0</v>
      </c>
      <c r="L36" s="22">
        <v>1</v>
      </c>
      <c r="M36" s="23">
        <v>1392</v>
      </c>
      <c r="N36" s="24">
        <v>-1276</v>
      </c>
      <c r="O36" s="28">
        <f t="shared" si="3"/>
        <v>2668</v>
      </c>
      <c r="P36" s="22">
        <v>0</v>
      </c>
      <c r="Q36" s="29"/>
      <c r="R36" s="30"/>
    </row>
    <row r="37" spans="1:18" x14ac:dyDescent="0.25">
      <c r="A37" s="21">
        <v>45847</v>
      </c>
      <c r="B37" s="22">
        <v>1</v>
      </c>
      <c r="C37" s="23">
        <v>1382</v>
      </c>
      <c r="D37" s="24">
        <v>-910</v>
      </c>
      <c r="E37" s="25">
        <f t="shared" si="1"/>
        <v>2292</v>
      </c>
      <c r="F37" s="26">
        <v>0</v>
      </c>
      <c r="G37" s="22">
        <v>1</v>
      </c>
      <c r="H37" s="25">
        <v>1362</v>
      </c>
      <c r="I37" s="27">
        <v>-1420</v>
      </c>
      <c r="J37" s="28">
        <f t="shared" si="2"/>
        <v>2782</v>
      </c>
      <c r="K37" s="22">
        <v>0</v>
      </c>
      <c r="L37" s="22">
        <v>1</v>
      </c>
      <c r="M37" s="23">
        <v>1392</v>
      </c>
      <c r="N37" s="24">
        <v>-1287</v>
      </c>
      <c r="O37" s="28">
        <f t="shared" si="3"/>
        <v>2679</v>
      </c>
      <c r="P37" s="22">
        <v>0</v>
      </c>
      <c r="Q37" s="29"/>
      <c r="R37" s="30"/>
    </row>
    <row r="38" spans="1:18" x14ac:dyDescent="0.25">
      <c r="A38" s="21">
        <v>45848</v>
      </c>
      <c r="B38" s="22">
        <v>1</v>
      </c>
      <c r="C38" s="23">
        <v>1382</v>
      </c>
      <c r="D38" s="24">
        <v>-923</v>
      </c>
      <c r="E38" s="25">
        <f t="shared" si="1"/>
        <v>2305</v>
      </c>
      <c r="F38" s="26">
        <v>0</v>
      </c>
      <c r="G38" s="22">
        <v>1</v>
      </c>
      <c r="H38" s="25">
        <v>1362</v>
      </c>
      <c r="I38" s="27">
        <v>-1448</v>
      </c>
      <c r="J38" s="28">
        <f t="shared" si="2"/>
        <v>2810</v>
      </c>
      <c r="K38" s="22">
        <v>0</v>
      </c>
      <c r="L38" s="22">
        <v>1</v>
      </c>
      <c r="M38" s="23">
        <v>1392</v>
      </c>
      <c r="N38" s="24">
        <v>-1298</v>
      </c>
      <c r="O38" s="28">
        <f t="shared" si="3"/>
        <v>2690</v>
      </c>
      <c r="P38" s="22">
        <v>0</v>
      </c>
      <c r="Q38" s="29"/>
      <c r="R38" s="30"/>
    </row>
    <row r="39" spans="1:18" x14ac:dyDescent="0.25">
      <c r="A39" s="21">
        <v>45849</v>
      </c>
      <c r="B39" s="22">
        <v>1</v>
      </c>
      <c r="C39" s="23">
        <v>1382</v>
      </c>
      <c r="D39" s="24">
        <v>-936</v>
      </c>
      <c r="E39" s="25">
        <f t="shared" si="1"/>
        <v>2318</v>
      </c>
      <c r="F39" s="26">
        <v>0</v>
      </c>
      <c r="G39" s="22">
        <v>1</v>
      </c>
      <c r="H39" s="25">
        <v>1362</v>
      </c>
      <c r="I39" s="27">
        <v>-1476</v>
      </c>
      <c r="J39" s="28">
        <f t="shared" si="2"/>
        <v>2838</v>
      </c>
      <c r="K39" s="22">
        <v>0</v>
      </c>
      <c r="L39" s="22">
        <v>1</v>
      </c>
      <c r="M39" s="23">
        <v>1392</v>
      </c>
      <c r="N39" s="24">
        <v>-1309</v>
      </c>
      <c r="O39" s="28">
        <f t="shared" si="3"/>
        <v>2701</v>
      </c>
      <c r="P39" s="22">
        <v>0</v>
      </c>
      <c r="Q39" s="29"/>
      <c r="R39" s="30"/>
    </row>
    <row r="40" spans="1:18" x14ac:dyDescent="0.25">
      <c r="A40" s="21">
        <v>45850</v>
      </c>
      <c r="B40" s="22">
        <v>1</v>
      </c>
      <c r="C40" s="23">
        <v>1382</v>
      </c>
      <c r="D40" s="24">
        <v>-949</v>
      </c>
      <c r="E40" s="25">
        <f t="shared" si="1"/>
        <v>2331</v>
      </c>
      <c r="F40" s="26">
        <v>0</v>
      </c>
      <c r="G40" s="22">
        <v>1</v>
      </c>
      <c r="H40" s="25">
        <v>1362</v>
      </c>
      <c r="I40" s="27">
        <v>-1504</v>
      </c>
      <c r="J40" s="28">
        <f t="shared" si="2"/>
        <v>2866</v>
      </c>
      <c r="K40" s="22">
        <v>0</v>
      </c>
      <c r="L40" s="22">
        <v>1</v>
      </c>
      <c r="M40" s="23">
        <v>1392</v>
      </c>
      <c r="N40" s="24">
        <v>-1320</v>
      </c>
      <c r="O40" s="28">
        <f t="shared" si="3"/>
        <v>2712</v>
      </c>
      <c r="P40" s="22">
        <v>0</v>
      </c>
      <c r="Q40" s="29"/>
      <c r="R40" s="30"/>
    </row>
    <row r="41" spans="1:18" x14ac:dyDescent="0.25">
      <c r="A41" s="21">
        <v>45851</v>
      </c>
      <c r="B41" s="22">
        <v>1</v>
      </c>
      <c r="C41" s="23">
        <v>1382</v>
      </c>
      <c r="D41" s="24">
        <v>-962</v>
      </c>
      <c r="E41" s="25">
        <f t="shared" si="1"/>
        <v>2344</v>
      </c>
      <c r="F41" s="26">
        <v>0</v>
      </c>
      <c r="G41" s="22">
        <v>1</v>
      </c>
      <c r="H41" s="25">
        <v>1362</v>
      </c>
      <c r="I41" s="27">
        <v>-1532</v>
      </c>
      <c r="J41" s="28">
        <f t="shared" si="2"/>
        <v>2894</v>
      </c>
      <c r="K41" s="22">
        <v>0</v>
      </c>
      <c r="L41" s="22">
        <v>1</v>
      </c>
      <c r="M41" s="23">
        <v>1392</v>
      </c>
      <c r="N41" s="24">
        <v>-1331</v>
      </c>
      <c r="O41" s="28">
        <f t="shared" si="3"/>
        <v>2723</v>
      </c>
      <c r="P41" s="22">
        <v>0</v>
      </c>
      <c r="Q41" s="29"/>
      <c r="R41" s="30"/>
    </row>
    <row r="42" spans="1:18" x14ac:dyDescent="0.25">
      <c r="A42" s="21">
        <v>45852</v>
      </c>
      <c r="B42" s="22">
        <v>1</v>
      </c>
      <c r="C42" s="23">
        <v>1382</v>
      </c>
      <c r="D42" s="24">
        <v>-975</v>
      </c>
      <c r="E42" s="25">
        <f t="shared" si="1"/>
        <v>2357</v>
      </c>
      <c r="F42" s="26">
        <v>0</v>
      </c>
      <c r="G42" s="22">
        <v>1</v>
      </c>
      <c r="H42" s="25">
        <v>1362</v>
      </c>
      <c r="I42" s="27">
        <v>-1560</v>
      </c>
      <c r="J42" s="28">
        <f t="shared" si="2"/>
        <v>2922</v>
      </c>
      <c r="K42" s="22">
        <v>0</v>
      </c>
      <c r="L42" s="22">
        <v>1</v>
      </c>
      <c r="M42" s="23">
        <v>1392</v>
      </c>
      <c r="N42" s="24">
        <v>-1342</v>
      </c>
      <c r="O42" s="28">
        <f t="shared" si="3"/>
        <v>2734</v>
      </c>
      <c r="P42" s="22">
        <v>0</v>
      </c>
      <c r="Q42" s="29"/>
      <c r="R42" s="30"/>
    </row>
    <row r="43" spans="1:18" x14ac:dyDescent="0.25">
      <c r="A43" s="21">
        <v>45853</v>
      </c>
      <c r="B43" s="22">
        <v>1</v>
      </c>
      <c r="C43" s="23">
        <v>1382</v>
      </c>
      <c r="D43" s="24">
        <v>-988</v>
      </c>
      <c r="E43" s="25">
        <f t="shared" si="1"/>
        <v>2370</v>
      </c>
      <c r="F43" s="26">
        <v>0</v>
      </c>
      <c r="G43" s="22">
        <v>1</v>
      </c>
      <c r="H43" s="25">
        <v>1362</v>
      </c>
      <c r="I43" s="27">
        <v>-1588</v>
      </c>
      <c r="J43" s="28">
        <f t="shared" si="2"/>
        <v>2950</v>
      </c>
      <c r="K43" s="22">
        <v>0</v>
      </c>
      <c r="L43" s="22">
        <v>1</v>
      </c>
      <c r="M43" s="23">
        <v>1392</v>
      </c>
      <c r="N43" s="24">
        <v>-1353</v>
      </c>
      <c r="O43" s="28">
        <f t="shared" si="3"/>
        <v>2745</v>
      </c>
      <c r="P43" s="22">
        <v>0</v>
      </c>
      <c r="Q43" s="29"/>
      <c r="R43" s="30"/>
    </row>
    <row r="44" spans="1:18" x14ac:dyDescent="0.25">
      <c r="A44" s="21">
        <v>45854</v>
      </c>
      <c r="B44" s="22">
        <v>1</v>
      </c>
      <c r="C44" s="23">
        <v>1382</v>
      </c>
      <c r="D44" s="24">
        <v>-1001</v>
      </c>
      <c r="E44" s="25">
        <f t="shared" si="1"/>
        <v>2383</v>
      </c>
      <c r="F44" s="26">
        <v>0</v>
      </c>
      <c r="G44" s="22">
        <v>1</v>
      </c>
      <c r="H44" s="25">
        <v>1362</v>
      </c>
      <c r="I44" s="27">
        <v>-1616</v>
      </c>
      <c r="J44" s="28">
        <f t="shared" si="2"/>
        <v>2978</v>
      </c>
      <c r="K44" s="22">
        <v>0</v>
      </c>
      <c r="L44" s="22">
        <v>1</v>
      </c>
      <c r="M44" s="23">
        <v>1392</v>
      </c>
      <c r="N44" s="24">
        <v>-1364</v>
      </c>
      <c r="O44" s="28">
        <f t="shared" si="3"/>
        <v>2756</v>
      </c>
      <c r="P44" s="22">
        <v>0</v>
      </c>
      <c r="Q44" s="29"/>
      <c r="R44" s="30"/>
    </row>
    <row r="45" spans="1:18" x14ac:dyDescent="0.25">
      <c r="A45" s="21">
        <v>45855</v>
      </c>
      <c r="B45" s="22">
        <v>1</v>
      </c>
      <c r="C45" s="23">
        <v>1382</v>
      </c>
      <c r="D45" s="24">
        <v>-1014</v>
      </c>
      <c r="E45" s="25">
        <f t="shared" si="1"/>
        <v>2396</v>
      </c>
      <c r="F45" s="26">
        <v>0</v>
      </c>
      <c r="G45" s="22">
        <v>1</v>
      </c>
      <c r="H45" s="25">
        <v>1362</v>
      </c>
      <c r="I45" s="27">
        <v>-1644</v>
      </c>
      <c r="J45" s="28">
        <f t="shared" si="2"/>
        <v>3006</v>
      </c>
      <c r="K45" s="22">
        <v>0</v>
      </c>
      <c r="L45" s="22">
        <v>1</v>
      </c>
      <c r="M45" s="23">
        <v>1392</v>
      </c>
      <c r="N45" s="24">
        <v>-1375</v>
      </c>
      <c r="O45" s="28">
        <f t="shared" si="3"/>
        <v>2767</v>
      </c>
      <c r="P45" s="22">
        <v>0</v>
      </c>
      <c r="Q45" s="29"/>
      <c r="R45" s="30"/>
    </row>
    <row r="46" spans="1:18" x14ac:dyDescent="0.25">
      <c r="A46" s="21">
        <v>45856</v>
      </c>
      <c r="B46" s="22">
        <v>1</v>
      </c>
      <c r="C46" s="23">
        <v>1382</v>
      </c>
      <c r="D46" s="24">
        <v>-1027</v>
      </c>
      <c r="E46" s="25">
        <f t="shared" si="1"/>
        <v>2409</v>
      </c>
      <c r="F46" s="26">
        <v>0</v>
      </c>
      <c r="G46" s="22">
        <v>1</v>
      </c>
      <c r="H46" s="25">
        <v>1362</v>
      </c>
      <c r="I46" s="27">
        <v>-1672</v>
      </c>
      <c r="J46" s="28">
        <f t="shared" si="2"/>
        <v>3034</v>
      </c>
      <c r="K46" s="22">
        <v>0</v>
      </c>
      <c r="L46" s="22">
        <v>1</v>
      </c>
      <c r="M46" s="23">
        <v>1392</v>
      </c>
      <c r="N46" s="24">
        <v>-1386</v>
      </c>
      <c r="O46" s="28">
        <f t="shared" si="3"/>
        <v>2778</v>
      </c>
      <c r="P46" s="22">
        <v>0</v>
      </c>
      <c r="Q46" s="29"/>
      <c r="R46" s="30"/>
    </row>
    <row r="47" spans="1:18" x14ac:dyDescent="0.25">
      <c r="A47" s="21">
        <v>45857</v>
      </c>
      <c r="B47" s="22">
        <v>1</v>
      </c>
      <c r="C47" s="23">
        <v>1382</v>
      </c>
      <c r="D47" s="24">
        <v>-1040</v>
      </c>
      <c r="E47" s="25">
        <f t="shared" si="1"/>
        <v>2422</v>
      </c>
      <c r="F47" s="26">
        <v>0</v>
      </c>
      <c r="G47" s="22">
        <v>1</v>
      </c>
      <c r="H47" s="25">
        <v>1362</v>
      </c>
      <c r="I47" s="27">
        <v>-1700</v>
      </c>
      <c r="J47" s="28">
        <f t="shared" si="2"/>
        <v>3062</v>
      </c>
      <c r="K47" s="22">
        <v>0</v>
      </c>
      <c r="L47" s="22">
        <v>1</v>
      </c>
      <c r="M47" s="23">
        <v>1392</v>
      </c>
      <c r="N47" s="24">
        <v>-1397</v>
      </c>
      <c r="O47" s="28">
        <f t="shared" si="3"/>
        <v>2789</v>
      </c>
      <c r="P47" s="22">
        <v>0</v>
      </c>
      <c r="Q47" s="29"/>
      <c r="R47" s="30"/>
    </row>
    <row r="48" spans="1:18" x14ac:dyDescent="0.25">
      <c r="A48" s="21">
        <v>45858</v>
      </c>
      <c r="B48" s="22">
        <v>1</v>
      </c>
      <c r="C48" s="23">
        <v>1382</v>
      </c>
      <c r="D48" s="24">
        <v>-1040</v>
      </c>
      <c r="E48" s="25">
        <f t="shared" si="1"/>
        <v>2422</v>
      </c>
      <c r="F48" s="26">
        <f t="shared" ref="F48:F57" si="5">D15-D48</f>
        <v>372</v>
      </c>
      <c r="G48" s="22">
        <v>1</v>
      </c>
      <c r="H48" s="25">
        <v>1362</v>
      </c>
      <c r="I48" s="27">
        <v>-1728</v>
      </c>
      <c r="J48" s="28">
        <f t="shared" si="2"/>
        <v>3090</v>
      </c>
      <c r="K48" s="22">
        <f t="shared" ref="K48:K57" si="6">I15-I48</f>
        <v>550</v>
      </c>
      <c r="L48" s="22">
        <v>1</v>
      </c>
      <c r="M48" s="23">
        <v>1392</v>
      </c>
      <c r="N48" s="24">
        <v>-1408</v>
      </c>
      <c r="O48" s="28">
        <f t="shared" si="3"/>
        <v>2800</v>
      </c>
      <c r="P48" s="22">
        <f t="shared" ref="P48:P57" si="7">N15-N48</f>
        <v>350</v>
      </c>
      <c r="Q48" s="29"/>
      <c r="R48" s="30"/>
    </row>
    <row r="49" spans="1:18" x14ac:dyDescent="0.25">
      <c r="A49" s="21">
        <v>45859</v>
      </c>
      <c r="B49" s="22">
        <v>1</v>
      </c>
      <c r="C49" s="23">
        <v>1382</v>
      </c>
      <c r="D49" s="24">
        <v>-1044</v>
      </c>
      <c r="E49" s="25">
        <f t="shared" si="1"/>
        <v>2426</v>
      </c>
      <c r="F49" s="26">
        <f t="shared" si="5"/>
        <v>371</v>
      </c>
      <c r="G49" s="22">
        <v>1</v>
      </c>
      <c r="H49" s="25">
        <v>1362</v>
      </c>
      <c r="I49" s="27">
        <v>-1728</v>
      </c>
      <c r="J49" s="28">
        <f t="shared" si="2"/>
        <v>3090</v>
      </c>
      <c r="K49" s="22">
        <f t="shared" si="6"/>
        <v>545</v>
      </c>
      <c r="L49" s="22">
        <v>1</v>
      </c>
      <c r="M49" s="23">
        <v>1392</v>
      </c>
      <c r="N49" s="24">
        <v>-1408</v>
      </c>
      <c r="O49" s="28">
        <f t="shared" si="3"/>
        <v>2800</v>
      </c>
      <c r="P49" s="22">
        <f t="shared" si="7"/>
        <v>345</v>
      </c>
      <c r="Q49" s="29"/>
      <c r="R49" s="30"/>
    </row>
    <row r="50" spans="1:18" x14ac:dyDescent="0.25">
      <c r="A50" s="21">
        <v>45860</v>
      </c>
      <c r="B50" s="22">
        <v>1</v>
      </c>
      <c r="C50" s="23">
        <v>1382</v>
      </c>
      <c r="D50" s="24">
        <v>-1057</v>
      </c>
      <c r="E50" s="25">
        <f t="shared" si="1"/>
        <v>2439</v>
      </c>
      <c r="F50" s="26">
        <f t="shared" si="5"/>
        <v>379</v>
      </c>
      <c r="G50" s="22">
        <v>1</v>
      </c>
      <c r="H50" s="25">
        <v>1362</v>
      </c>
      <c r="I50" s="27">
        <v>-1728</v>
      </c>
      <c r="J50" s="28">
        <f t="shared" si="2"/>
        <v>3090</v>
      </c>
      <c r="K50" s="22">
        <f t="shared" si="6"/>
        <v>540</v>
      </c>
      <c r="L50" s="22">
        <v>1</v>
      </c>
      <c r="M50" s="23">
        <v>1392</v>
      </c>
      <c r="N50" s="24">
        <v>-1435</v>
      </c>
      <c r="O50" s="28">
        <f t="shared" si="3"/>
        <v>2827</v>
      </c>
      <c r="P50" s="22">
        <f t="shared" si="7"/>
        <v>368</v>
      </c>
      <c r="Q50" s="29"/>
      <c r="R50" s="30"/>
    </row>
    <row r="51" spans="1:18" x14ac:dyDescent="0.25">
      <c r="A51" s="21">
        <v>45861</v>
      </c>
      <c r="B51" s="22">
        <v>1</v>
      </c>
      <c r="C51" s="23">
        <v>1382</v>
      </c>
      <c r="D51" s="24">
        <v>-1070</v>
      </c>
      <c r="E51" s="25">
        <f t="shared" si="1"/>
        <v>2452</v>
      </c>
      <c r="F51" s="26">
        <f t="shared" si="5"/>
        <v>365</v>
      </c>
      <c r="G51" s="22">
        <v>1</v>
      </c>
      <c r="H51" s="25">
        <v>1362</v>
      </c>
      <c r="I51" s="27">
        <v>-1728</v>
      </c>
      <c r="J51" s="28">
        <f t="shared" si="2"/>
        <v>3090</v>
      </c>
      <c r="K51" s="22">
        <f t="shared" si="6"/>
        <v>527</v>
      </c>
      <c r="L51" s="22">
        <v>1</v>
      </c>
      <c r="M51" s="23">
        <v>1392</v>
      </c>
      <c r="N51" s="24">
        <v>-1445</v>
      </c>
      <c r="O51" s="28">
        <f t="shared" si="3"/>
        <v>2837</v>
      </c>
      <c r="P51" s="22">
        <f t="shared" si="7"/>
        <v>367</v>
      </c>
      <c r="Q51" s="29"/>
      <c r="R51" s="30"/>
    </row>
    <row r="52" spans="1:18" x14ac:dyDescent="0.25">
      <c r="A52" s="21">
        <v>45862</v>
      </c>
      <c r="B52" s="22">
        <v>1</v>
      </c>
      <c r="C52" s="23">
        <v>1382</v>
      </c>
      <c r="D52" s="24">
        <v>-1083</v>
      </c>
      <c r="E52" s="25">
        <f t="shared" si="1"/>
        <v>2465</v>
      </c>
      <c r="F52" s="26">
        <f t="shared" si="5"/>
        <v>378</v>
      </c>
      <c r="G52" s="22">
        <v>1</v>
      </c>
      <c r="H52" s="25">
        <v>1362</v>
      </c>
      <c r="I52" s="27">
        <v>-1738</v>
      </c>
      <c r="J52" s="28">
        <f t="shared" si="2"/>
        <v>3100</v>
      </c>
      <c r="K52" s="22">
        <f t="shared" si="6"/>
        <v>537</v>
      </c>
      <c r="L52" s="22">
        <v>1</v>
      </c>
      <c r="M52" s="23">
        <v>1392</v>
      </c>
      <c r="N52" s="24">
        <v>-1455</v>
      </c>
      <c r="O52" s="28">
        <f t="shared" si="3"/>
        <v>2847</v>
      </c>
      <c r="P52" s="22">
        <f t="shared" si="7"/>
        <v>366</v>
      </c>
      <c r="Q52" s="29"/>
      <c r="R52" s="30"/>
    </row>
    <row r="53" spans="1:18" x14ac:dyDescent="0.25">
      <c r="A53" s="21">
        <v>45863</v>
      </c>
      <c r="B53" s="22">
        <v>1</v>
      </c>
      <c r="C53" s="23">
        <v>1382</v>
      </c>
      <c r="D53" s="24">
        <v>-1096</v>
      </c>
      <c r="E53" s="25">
        <f t="shared" si="1"/>
        <v>2478</v>
      </c>
      <c r="F53" s="26">
        <f t="shared" si="5"/>
        <v>391</v>
      </c>
      <c r="G53" s="22">
        <v>1</v>
      </c>
      <c r="H53" s="25">
        <v>1362</v>
      </c>
      <c r="I53" s="27">
        <v>-1751</v>
      </c>
      <c r="J53" s="28">
        <f t="shared" si="2"/>
        <v>3113</v>
      </c>
      <c r="K53" s="22">
        <f t="shared" si="6"/>
        <v>550</v>
      </c>
      <c r="L53" s="22">
        <v>1</v>
      </c>
      <c r="M53" s="23">
        <v>1392</v>
      </c>
      <c r="N53" s="24">
        <v>-1465</v>
      </c>
      <c r="O53" s="28">
        <f t="shared" si="3"/>
        <v>2857</v>
      </c>
      <c r="P53" s="22">
        <f t="shared" si="7"/>
        <v>365</v>
      </c>
      <c r="Q53" s="29"/>
      <c r="R53" s="30"/>
    </row>
    <row r="54" spans="1:18" x14ac:dyDescent="0.25">
      <c r="A54" s="21">
        <v>45864</v>
      </c>
      <c r="B54" s="22">
        <v>1</v>
      </c>
      <c r="C54" s="23">
        <v>1382</v>
      </c>
      <c r="D54" s="24">
        <v>-1109</v>
      </c>
      <c r="E54" s="25">
        <f t="shared" si="1"/>
        <v>2491</v>
      </c>
      <c r="F54" s="26">
        <f t="shared" si="5"/>
        <v>404</v>
      </c>
      <c r="G54" s="22">
        <v>1</v>
      </c>
      <c r="H54" s="25">
        <v>1362</v>
      </c>
      <c r="I54" s="27">
        <v>-1764</v>
      </c>
      <c r="J54" s="28">
        <f t="shared" si="2"/>
        <v>3126</v>
      </c>
      <c r="K54" s="22">
        <f t="shared" si="6"/>
        <v>563</v>
      </c>
      <c r="L54" s="22">
        <v>1</v>
      </c>
      <c r="M54" s="23">
        <v>1392</v>
      </c>
      <c r="N54" s="24">
        <v>-1475</v>
      </c>
      <c r="O54" s="28">
        <f t="shared" si="3"/>
        <v>2867</v>
      </c>
      <c r="P54" s="22">
        <f t="shared" si="7"/>
        <v>364</v>
      </c>
      <c r="Q54" s="29"/>
      <c r="R54" s="30"/>
    </row>
    <row r="55" spans="1:18" x14ac:dyDescent="0.25">
      <c r="A55" s="21">
        <v>45865</v>
      </c>
      <c r="B55" s="22">
        <v>1</v>
      </c>
      <c r="C55" s="23">
        <v>1382</v>
      </c>
      <c r="D55" s="24">
        <v>-1122</v>
      </c>
      <c r="E55" s="25">
        <f t="shared" si="1"/>
        <v>2504</v>
      </c>
      <c r="F55" s="26">
        <f t="shared" si="5"/>
        <v>407</v>
      </c>
      <c r="G55" s="22">
        <v>1</v>
      </c>
      <c r="H55" s="25">
        <v>1362</v>
      </c>
      <c r="I55" s="27">
        <v>-1777</v>
      </c>
      <c r="J55" s="28">
        <f t="shared" si="2"/>
        <v>3139</v>
      </c>
      <c r="K55" s="22">
        <f t="shared" si="6"/>
        <v>576</v>
      </c>
      <c r="L55" s="22">
        <v>1</v>
      </c>
      <c r="M55" s="23">
        <v>1392</v>
      </c>
      <c r="N55" s="24">
        <v>-1485</v>
      </c>
      <c r="O55" s="28">
        <f t="shared" si="3"/>
        <v>2877</v>
      </c>
      <c r="P55" s="22">
        <f t="shared" si="7"/>
        <v>363</v>
      </c>
      <c r="Q55" s="29"/>
      <c r="R55" s="30"/>
    </row>
    <row r="56" spans="1:18" x14ac:dyDescent="0.25">
      <c r="A56" s="21">
        <v>45866</v>
      </c>
      <c r="B56" s="22">
        <v>1</v>
      </c>
      <c r="C56" s="23">
        <v>1382</v>
      </c>
      <c r="D56" s="24">
        <v>-1135</v>
      </c>
      <c r="E56" s="25">
        <f t="shared" si="1"/>
        <v>2517</v>
      </c>
      <c r="F56" s="26">
        <f t="shared" si="5"/>
        <v>407</v>
      </c>
      <c r="G56" s="22">
        <v>1</v>
      </c>
      <c r="H56" s="25">
        <v>1362</v>
      </c>
      <c r="I56" s="27">
        <v>-1790</v>
      </c>
      <c r="J56" s="28">
        <f t="shared" si="2"/>
        <v>3152</v>
      </c>
      <c r="K56" s="22">
        <f t="shared" si="6"/>
        <v>589</v>
      </c>
      <c r="L56" s="22">
        <v>1</v>
      </c>
      <c r="M56" s="23">
        <v>1392</v>
      </c>
      <c r="N56" s="24">
        <v>-1495</v>
      </c>
      <c r="O56" s="28">
        <f t="shared" si="3"/>
        <v>2887</v>
      </c>
      <c r="P56" s="22">
        <f t="shared" si="7"/>
        <v>362</v>
      </c>
      <c r="Q56" s="29"/>
      <c r="R56" s="30"/>
    </row>
    <row r="57" spans="1:18" x14ac:dyDescent="0.25">
      <c r="A57" s="21">
        <v>45867</v>
      </c>
      <c r="B57" s="22">
        <v>1</v>
      </c>
      <c r="C57" s="23">
        <v>1472</v>
      </c>
      <c r="D57" s="24">
        <v>-1148</v>
      </c>
      <c r="E57" s="25">
        <f t="shared" si="1"/>
        <v>2620</v>
      </c>
      <c r="F57" s="26">
        <f t="shared" si="5"/>
        <v>407</v>
      </c>
      <c r="G57" s="22">
        <v>1</v>
      </c>
      <c r="H57" s="25">
        <v>1422</v>
      </c>
      <c r="I57" s="27">
        <v>-1803</v>
      </c>
      <c r="J57" s="28">
        <f t="shared" si="2"/>
        <v>3225</v>
      </c>
      <c r="K57" s="22">
        <f t="shared" si="6"/>
        <v>602</v>
      </c>
      <c r="L57" s="22">
        <v>1</v>
      </c>
      <c r="M57" s="23">
        <v>1422</v>
      </c>
      <c r="N57" s="24">
        <v>-1505</v>
      </c>
      <c r="O57" s="28">
        <f t="shared" si="3"/>
        <v>2927</v>
      </c>
      <c r="P57" s="22">
        <f t="shared" si="7"/>
        <v>361</v>
      </c>
      <c r="Q57" s="29"/>
      <c r="R57" s="30"/>
    </row>
    <row r="58" spans="1:18" x14ac:dyDescent="0.25">
      <c r="A58" s="21"/>
      <c r="B58" s="22"/>
      <c r="C58" s="23"/>
      <c r="D58" s="24"/>
      <c r="E58" s="25"/>
      <c r="F58" s="26"/>
      <c r="G58" s="22"/>
      <c r="H58" s="25"/>
      <c r="I58" s="27"/>
      <c r="J58" s="28"/>
      <c r="K58" s="22"/>
      <c r="L58" s="22"/>
      <c r="M58" s="23"/>
      <c r="N58" s="24"/>
      <c r="O58" s="28"/>
      <c r="P58" s="22"/>
      <c r="Q58" s="29"/>
      <c r="R58" s="30"/>
    </row>
    <row r="59" spans="1:18" x14ac:dyDescent="0.25">
      <c r="A59" s="21"/>
      <c r="B59" s="22"/>
      <c r="C59" s="23"/>
      <c r="D59" s="24"/>
      <c r="E59" s="25"/>
      <c r="F59" s="26"/>
      <c r="G59" s="22"/>
      <c r="H59" s="25"/>
      <c r="I59" s="27"/>
      <c r="J59" s="28"/>
      <c r="K59" s="22"/>
      <c r="L59" s="22"/>
      <c r="M59" s="23"/>
      <c r="N59" s="24"/>
      <c r="O59" s="28"/>
      <c r="P59" s="22"/>
      <c r="Q59" s="29"/>
      <c r="R59" s="30"/>
    </row>
    <row r="60" spans="1:18" x14ac:dyDescent="0.25">
      <c r="A60" s="21"/>
      <c r="B60" s="22"/>
      <c r="C60" s="23"/>
      <c r="D60" s="24"/>
      <c r="E60" s="25"/>
      <c r="F60" s="26"/>
      <c r="G60" s="22"/>
      <c r="H60" s="25"/>
      <c r="I60" s="27"/>
      <c r="J60" s="28"/>
      <c r="K60" s="22"/>
      <c r="L60" s="22"/>
      <c r="M60" s="23"/>
      <c r="N60" s="24"/>
      <c r="O60" s="28"/>
      <c r="P60" s="22"/>
      <c r="Q60" s="29"/>
      <c r="R60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0">
    <cfRule type="cellIs" dxfId="2" priority="1" operator="lessThan">
      <formula>60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2">
    <outlinePr summaryBelow="0" summaryRight="0"/>
  </sheetPr>
  <dimension ref="A1:R57"/>
  <sheetViews>
    <sheetView topLeftCell="A28" workbookViewId="0">
      <selection sqref="A1:R1"/>
    </sheetView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(17/06/25)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125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126</v>
      </c>
      <c r="R10" s="112" t="s">
        <v>127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45825</v>
      </c>
      <c r="B15" s="22">
        <v>1</v>
      </c>
      <c r="C15" s="23">
        <v>1342</v>
      </c>
      <c r="D15" s="24">
        <v>-726</v>
      </c>
      <c r="E15" s="25">
        <f t="shared" ref="E15:E57" si="1">C15-D15</f>
        <v>2068</v>
      </c>
      <c r="F15" s="26">
        <v>0</v>
      </c>
      <c r="G15" s="22">
        <v>1</v>
      </c>
      <c r="H15" s="25">
        <v>1357</v>
      </c>
      <c r="I15" s="27">
        <v>-1048</v>
      </c>
      <c r="J15" s="28">
        <f t="shared" ref="J15:J57" si="2">H15-I15</f>
        <v>2405</v>
      </c>
      <c r="K15" s="22">
        <v>0</v>
      </c>
      <c r="L15" s="22">
        <v>1</v>
      </c>
      <c r="M15" s="23">
        <v>1393</v>
      </c>
      <c r="N15" s="24">
        <v>-1281</v>
      </c>
      <c r="O15" s="28">
        <f t="shared" ref="O15:O57" si="3">M15-N15</f>
        <v>2674</v>
      </c>
      <c r="P15" s="22">
        <v>0</v>
      </c>
      <c r="Q15" s="29"/>
      <c r="R15" s="30"/>
    </row>
    <row r="16" spans="1:18" x14ac:dyDescent="0.25">
      <c r="A16" s="21">
        <v>45826</v>
      </c>
      <c r="B16" s="22">
        <v>1</v>
      </c>
      <c r="C16" s="23">
        <v>1342</v>
      </c>
      <c r="D16" s="24">
        <v>-731</v>
      </c>
      <c r="E16" s="25">
        <f t="shared" si="1"/>
        <v>2073</v>
      </c>
      <c r="F16" s="26">
        <f t="shared" ref="F16:F57" si="4">$D$15-D16</f>
        <v>5</v>
      </c>
      <c r="G16" s="22">
        <v>1</v>
      </c>
      <c r="H16" s="25">
        <v>1357</v>
      </c>
      <c r="I16" s="27">
        <v>-1054</v>
      </c>
      <c r="J16" s="28">
        <f t="shared" si="2"/>
        <v>2411</v>
      </c>
      <c r="K16" s="22">
        <f t="shared" ref="K16:K57" si="5">$I$15-I16</f>
        <v>6</v>
      </c>
      <c r="L16" s="22">
        <v>1</v>
      </c>
      <c r="M16" s="23">
        <v>1393</v>
      </c>
      <c r="N16" s="24">
        <v>-1288</v>
      </c>
      <c r="O16" s="28">
        <f t="shared" si="3"/>
        <v>2681</v>
      </c>
      <c r="P16" s="22">
        <f t="shared" ref="P16:P57" si="6">$N$15-N16</f>
        <v>7</v>
      </c>
      <c r="Q16" s="29"/>
      <c r="R16" s="30"/>
    </row>
    <row r="17" spans="1:18" x14ac:dyDescent="0.25">
      <c r="A17" s="21">
        <v>45827</v>
      </c>
      <c r="B17" s="22">
        <v>1</v>
      </c>
      <c r="C17" s="23">
        <v>1342</v>
      </c>
      <c r="D17" s="24">
        <v>-736</v>
      </c>
      <c r="E17" s="25">
        <f t="shared" si="1"/>
        <v>2078</v>
      </c>
      <c r="F17" s="26">
        <f t="shared" si="4"/>
        <v>10</v>
      </c>
      <c r="G17" s="22">
        <v>1</v>
      </c>
      <c r="H17" s="25">
        <v>1357</v>
      </c>
      <c r="I17" s="27">
        <v>-1057</v>
      </c>
      <c r="J17" s="28">
        <f t="shared" si="2"/>
        <v>2414</v>
      </c>
      <c r="K17" s="22">
        <f t="shared" si="5"/>
        <v>9</v>
      </c>
      <c r="L17" s="22">
        <v>1</v>
      </c>
      <c r="M17" s="23">
        <v>1393</v>
      </c>
      <c r="N17" s="24">
        <v>-1293</v>
      </c>
      <c r="O17" s="28">
        <f t="shared" si="3"/>
        <v>2686</v>
      </c>
      <c r="P17" s="22">
        <f t="shared" si="6"/>
        <v>12</v>
      </c>
      <c r="Q17" s="29"/>
      <c r="R17" s="30"/>
    </row>
    <row r="18" spans="1:18" x14ac:dyDescent="0.25">
      <c r="A18" s="21">
        <v>45828</v>
      </c>
      <c r="B18" s="22">
        <v>1</v>
      </c>
      <c r="C18" s="23">
        <v>1342</v>
      </c>
      <c r="D18" s="24">
        <v>-766</v>
      </c>
      <c r="E18" s="25">
        <f t="shared" si="1"/>
        <v>2108</v>
      </c>
      <c r="F18" s="26">
        <f t="shared" si="4"/>
        <v>40</v>
      </c>
      <c r="G18" s="22">
        <v>1</v>
      </c>
      <c r="H18" s="25">
        <v>1357</v>
      </c>
      <c r="I18" s="27">
        <v>-1057</v>
      </c>
      <c r="J18" s="28">
        <f t="shared" si="2"/>
        <v>2414</v>
      </c>
      <c r="K18" s="22">
        <f t="shared" si="5"/>
        <v>9</v>
      </c>
      <c r="L18" s="22">
        <v>1</v>
      </c>
      <c r="M18" s="23">
        <v>1393</v>
      </c>
      <c r="N18" s="24">
        <v>-1298</v>
      </c>
      <c r="O18" s="28">
        <f t="shared" si="3"/>
        <v>2691</v>
      </c>
      <c r="P18" s="22">
        <f t="shared" si="6"/>
        <v>17</v>
      </c>
      <c r="Q18" s="29"/>
      <c r="R18" s="30"/>
    </row>
    <row r="19" spans="1:18" x14ac:dyDescent="0.25">
      <c r="A19" s="21">
        <v>45829</v>
      </c>
      <c r="B19" s="22">
        <v>1</v>
      </c>
      <c r="C19" s="23">
        <v>1342</v>
      </c>
      <c r="D19" s="24">
        <v>-766</v>
      </c>
      <c r="E19" s="25">
        <f t="shared" si="1"/>
        <v>2108</v>
      </c>
      <c r="F19" s="26">
        <f t="shared" si="4"/>
        <v>40</v>
      </c>
      <c r="G19" s="22">
        <v>1</v>
      </c>
      <c r="H19" s="25">
        <v>1357</v>
      </c>
      <c r="I19" s="27">
        <v>-1057</v>
      </c>
      <c r="J19" s="28">
        <f t="shared" si="2"/>
        <v>2414</v>
      </c>
      <c r="K19" s="22">
        <f t="shared" si="5"/>
        <v>9</v>
      </c>
      <c r="L19" s="22">
        <v>1</v>
      </c>
      <c r="M19" s="23">
        <v>1393</v>
      </c>
      <c r="N19" s="24">
        <v>-1303</v>
      </c>
      <c r="O19" s="28">
        <f t="shared" si="3"/>
        <v>2696</v>
      </c>
      <c r="P19" s="22">
        <f t="shared" si="6"/>
        <v>22</v>
      </c>
      <c r="Q19" s="29"/>
      <c r="R19" s="30"/>
    </row>
    <row r="20" spans="1:18" x14ac:dyDescent="0.25">
      <c r="A20" s="21">
        <v>45830</v>
      </c>
      <c r="B20" s="22">
        <v>1</v>
      </c>
      <c r="C20" s="23">
        <v>1342</v>
      </c>
      <c r="D20" s="24">
        <v>-766</v>
      </c>
      <c r="E20" s="25">
        <f t="shared" si="1"/>
        <v>2108</v>
      </c>
      <c r="F20" s="26">
        <f t="shared" si="4"/>
        <v>40</v>
      </c>
      <c r="G20" s="22">
        <v>1</v>
      </c>
      <c r="H20" s="25">
        <v>1357</v>
      </c>
      <c r="I20" s="27">
        <v>-1057</v>
      </c>
      <c r="J20" s="28">
        <f t="shared" si="2"/>
        <v>2414</v>
      </c>
      <c r="K20" s="22">
        <f t="shared" si="5"/>
        <v>9</v>
      </c>
      <c r="L20" s="22">
        <v>1</v>
      </c>
      <c r="M20" s="23">
        <v>1393</v>
      </c>
      <c r="N20" s="24">
        <v>-1308</v>
      </c>
      <c r="O20" s="28">
        <f t="shared" si="3"/>
        <v>2701</v>
      </c>
      <c r="P20" s="22">
        <f t="shared" si="6"/>
        <v>27</v>
      </c>
      <c r="Q20" s="29"/>
      <c r="R20" s="30"/>
    </row>
    <row r="21" spans="1:18" x14ac:dyDescent="0.25">
      <c r="A21" s="21">
        <v>45831</v>
      </c>
      <c r="B21" s="22">
        <v>1</v>
      </c>
      <c r="C21" s="23">
        <v>1342</v>
      </c>
      <c r="D21" s="24">
        <v>-766</v>
      </c>
      <c r="E21" s="25">
        <f t="shared" si="1"/>
        <v>2108</v>
      </c>
      <c r="F21" s="26">
        <f t="shared" si="4"/>
        <v>40</v>
      </c>
      <c r="G21" s="22">
        <v>1</v>
      </c>
      <c r="H21" s="25">
        <v>1357</v>
      </c>
      <c r="I21" s="27">
        <v>-1078</v>
      </c>
      <c r="J21" s="28">
        <f t="shared" si="2"/>
        <v>2435</v>
      </c>
      <c r="K21" s="22">
        <f t="shared" si="5"/>
        <v>30</v>
      </c>
      <c r="L21" s="22">
        <v>1</v>
      </c>
      <c r="M21" s="23">
        <v>1393</v>
      </c>
      <c r="N21" s="24">
        <v>-1313</v>
      </c>
      <c r="O21" s="28">
        <f t="shared" si="3"/>
        <v>2706</v>
      </c>
      <c r="P21" s="22">
        <f t="shared" si="6"/>
        <v>32</v>
      </c>
      <c r="Q21" s="29"/>
      <c r="R21" s="30"/>
    </row>
    <row r="22" spans="1:18" x14ac:dyDescent="0.25">
      <c r="A22" s="21">
        <v>45832</v>
      </c>
      <c r="B22" s="22">
        <v>1</v>
      </c>
      <c r="C22" s="23">
        <v>1342</v>
      </c>
      <c r="D22" s="24">
        <v>-766</v>
      </c>
      <c r="E22" s="25">
        <f t="shared" si="1"/>
        <v>2108</v>
      </c>
      <c r="F22" s="26">
        <f t="shared" si="4"/>
        <v>40</v>
      </c>
      <c r="G22" s="22">
        <v>1</v>
      </c>
      <c r="H22" s="25">
        <v>1357</v>
      </c>
      <c r="I22" s="27">
        <v>-1105</v>
      </c>
      <c r="J22" s="28">
        <f t="shared" si="2"/>
        <v>2462</v>
      </c>
      <c r="K22" s="22">
        <f t="shared" si="5"/>
        <v>57</v>
      </c>
      <c r="L22" s="22">
        <v>1</v>
      </c>
      <c r="M22" s="23">
        <v>1393</v>
      </c>
      <c r="N22" s="24">
        <v>-1318</v>
      </c>
      <c r="O22" s="28">
        <f t="shared" si="3"/>
        <v>2711</v>
      </c>
      <c r="P22" s="22">
        <f t="shared" si="6"/>
        <v>37</v>
      </c>
      <c r="Q22" s="29"/>
      <c r="R22" s="30"/>
    </row>
    <row r="23" spans="1:18" x14ac:dyDescent="0.25">
      <c r="A23" s="21">
        <v>45833</v>
      </c>
      <c r="B23" s="22">
        <v>1</v>
      </c>
      <c r="C23" s="23">
        <v>1342</v>
      </c>
      <c r="D23" s="24">
        <v>-766</v>
      </c>
      <c r="E23" s="25">
        <f t="shared" si="1"/>
        <v>2108</v>
      </c>
      <c r="F23" s="26">
        <f t="shared" si="4"/>
        <v>40</v>
      </c>
      <c r="G23" s="22">
        <v>1</v>
      </c>
      <c r="H23" s="25">
        <v>1357</v>
      </c>
      <c r="I23" s="27">
        <v>-1132</v>
      </c>
      <c r="J23" s="28">
        <f t="shared" si="2"/>
        <v>2489</v>
      </c>
      <c r="K23" s="22">
        <f t="shared" si="5"/>
        <v>84</v>
      </c>
      <c r="L23" s="22">
        <v>1</v>
      </c>
      <c r="M23" s="23">
        <v>1393</v>
      </c>
      <c r="N23" s="24">
        <v>-1323</v>
      </c>
      <c r="O23" s="28">
        <f t="shared" si="3"/>
        <v>2716</v>
      </c>
      <c r="P23" s="22">
        <f t="shared" si="6"/>
        <v>42</v>
      </c>
      <c r="Q23" s="29"/>
      <c r="R23" s="30"/>
    </row>
    <row r="24" spans="1:18" x14ac:dyDescent="0.25">
      <c r="A24" s="21">
        <v>45834</v>
      </c>
      <c r="B24" s="22">
        <v>1</v>
      </c>
      <c r="C24" s="23">
        <v>1342</v>
      </c>
      <c r="D24" s="24">
        <v>-766</v>
      </c>
      <c r="E24" s="25">
        <f t="shared" si="1"/>
        <v>2108</v>
      </c>
      <c r="F24" s="26">
        <f t="shared" si="4"/>
        <v>40</v>
      </c>
      <c r="G24" s="22">
        <v>1</v>
      </c>
      <c r="H24" s="25">
        <v>1357</v>
      </c>
      <c r="I24" s="27">
        <v>-1159</v>
      </c>
      <c r="J24" s="28">
        <f t="shared" si="2"/>
        <v>2516</v>
      </c>
      <c r="K24" s="22">
        <f t="shared" si="5"/>
        <v>111</v>
      </c>
      <c r="L24" s="22">
        <v>1</v>
      </c>
      <c r="M24" s="23">
        <v>1393</v>
      </c>
      <c r="N24" s="24">
        <v>-1328</v>
      </c>
      <c r="O24" s="28">
        <f t="shared" si="3"/>
        <v>2721</v>
      </c>
      <c r="P24" s="22">
        <f t="shared" si="6"/>
        <v>47</v>
      </c>
      <c r="Q24" s="29"/>
      <c r="R24" s="30"/>
    </row>
    <row r="25" spans="1:18" x14ac:dyDescent="0.25">
      <c r="A25" s="21">
        <v>45835</v>
      </c>
      <c r="B25" s="22">
        <v>1</v>
      </c>
      <c r="C25" s="23">
        <v>1342</v>
      </c>
      <c r="D25" s="24">
        <v>-766</v>
      </c>
      <c r="E25" s="25">
        <f t="shared" si="1"/>
        <v>2108</v>
      </c>
      <c r="F25" s="26">
        <f t="shared" si="4"/>
        <v>40</v>
      </c>
      <c r="G25" s="22">
        <v>1</v>
      </c>
      <c r="H25" s="25">
        <v>1357</v>
      </c>
      <c r="I25" s="27">
        <v>-1186</v>
      </c>
      <c r="J25" s="28">
        <f t="shared" si="2"/>
        <v>2543</v>
      </c>
      <c r="K25" s="22">
        <f t="shared" si="5"/>
        <v>138</v>
      </c>
      <c r="L25" s="22">
        <v>1</v>
      </c>
      <c r="M25" s="23">
        <v>1393</v>
      </c>
      <c r="N25" s="24">
        <v>-1333</v>
      </c>
      <c r="O25" s="28">
        <f t="shared" si="3"/>
        <v>2726</v>
      </c>
      <c r="P25" s="22">
        <f t="shared" si="6"/>
        <v>52</v>
      </c>
      <c r="Q25" s="29"/>
      <c r="R25" s="30"/>
    </row>
    <row r="26" spans="1:18" x14ac:dyDescent="0.25">
      <c r="A26" s="21">
        <v>45836</v>
      </c>
      <c r="B26" s="22">
        <v>1</v>
      </c>
      <c r="C26" s="23">
        <v>1342</v>
      </c>
      <c r="D26" s="24">
        <v>-766</v>
      </c>
      <c r="E26" s="25">
        <f t="shared" si="1"/>
        <v>2108</v>
      </c>
      <c r="F26" s="26">
        <f t="shared" si="4"/>
        <v>40</v>
      </c>
      <c r="G26" s="22">
        <v>1</v>
      </c>
      <c r="H26" s="25">
        <v>1357</v>
      </c>
      <c r="I26" s="27">
        <v>-1203</v>
      </c>
      <c r="J26" s="28">
        <f t="shared" si="2"/>
        <v>2560</v>
      </c>
      <c r="K26" s="22">
        <f t="shared" si="5"/>
        <v>155</v>
      </c>
      <c r="L26" s="22">
        <v>1</v>
      </c>
      <c r="M26" s="23">
        <v>1393</v>
      </c>
      <c r="N26" s="24">
        <v>-1338</v>
      </c>
      <c r="O26" s="28">
        <f t="shared" si="3"/>
        <v>2731</v>
      </c>
      <c r="P26" s="22">
        <f t="shared" si="6"/>
        <v>57</v>
      </c>
      <c r="Q26" s="29"/>
      <c r="R26" s="30"/>
    </row>
    <row r="27" spans="1:18" x14ac:dyDescent="0.25">
      <c r="A27" s="21">
        <v>45837</v>
      </c>
      <c r="B27" s="22">
        <v>1</v>
      </c>
      <c r="C27" s="23">
        <v>1342</v>
      </c>
      <c r="D27" s="24">
        <v>-766</v>
      </c>
      <c r="E27" s="25">
        <f t="shared" si="1"/>
        <v>2108</v>
      </c>
      <c r="F27" s="26">
        <f t="shared" si="4"/>
        <v>40</v>
      </c>
      <c r="G27" s="22">
        <v>1</v>
      </c>
      <c r="H27" s="25">
        <v>1357</v>
      </c>
      <c r="I27" s="27">
        <v>-1220</v>
      </c>
      <c r="J27" s="28">
        <f t="shared" si="2"/>
        <v>2577</v>
      </c>
      <c r="K27" s="22">
        <f t="shared" si="5"/>
        <v>172</v>
      </c>
      <c r="L27" s="22">
        <v>1</v>
      </c>
      <c r="M27" s="23">
        <v>1393</v>
      </c>
      <c r="N27" s="24">
        <v>-1343</v>
      </c>
      <c r="O27" s="28">
        <f t="shared" si="3"/>
        <v>2736</v>
      </c>
      <c r="P27" s="22">
        <f t="shared" si="6"/>
        <v>62</v>
      </c>
      <c r="Q27" s="29"/>
      <c r="R27" s="30"/>
    </row>
    <row r="28" spans="1:18" x14ac:dyDescent="0.25">
      <c r="A28" s="21">
        <v>45838</v>
      </c>
      <c r="B28" s="22">
        <v>1</v>
      </c>
      <c r="C28" s="23">
        <v>1342</v>
      </c>
      <c r="D28" s="24">
        <v>-766</v>
      </c>
      <c r="E28" s="25">
        <f t="shared" si="1"/>
        <v>2108</v>
      </c>
      <c r="F28" s="26">
        <f t="shared" si="4"/>
        <v>40</v>
      </c>
      <c r="G28" s="22">
        <v>1</v>
      </c>
      <c r="H28" s="25">
        <v>1357</v>
      </c>
      <c r="I28" s="27">
        <v>-1237</v>
      </c>
      <c r="J28" s="28">
        <f t="shared" si="2"/>
        <v>2594</v>
      </c>
      <c r="K28" s="22">
        <f t="shared" si="5"/>
        <v>189</v>
      </c>
      <c r="L28" s="22">
        <v>1</v>
      </c>
      <c r="M28" s="23">
        <v>1393</v>
      </c>
      <c r="N28" s="24">
        <v>-1348</v>
      </c>
      <c r="O28" s="28">
        <f t="shared" si="3"/>
        <v>2741</v>
      </c>
      <c r="P28" s="22">
        <f t="shared" si="6"/>
        <v>67</v>
      </c>
      <c r="Q28" s="29"/>
      <c r="R28" s="30"/>
    </row>
    <row r="29" spans="1:18" x14ac:dyDescent="0.25">
      <c r="A29" s="21">
        <v>45839</v>
      </c>
      <c r="B29" s="22">
        <v>1</v>
      </c>
      <c r="C29" s="23">
        <v>1342</v>
      </c>
      <c r="D29" s="24">
        <v>-766</v>
      </c>
      <c r="E29" s="25">
        <f t="shared" si="1"/>
        <v>2108</v>
      </c>
      <c r="F29" s="26">
        <f t="shared" si="4"/>
        <v>40</v>
      </c>
      <c r="G29" s="22">
        <v>1</v>
      </c>
      <c r="H29" s="25">
        <v>1357</v>
      </c>
      <c r="I29" s="27">
        <v>-1254</v>
      </c>
      <c r="J29" s="28">
        <f t="shared" si="2"/>
        <v>2611</v>
      </c>
      <c r="K29" s="22">
        <f t="shared" si="5"/>
        <v>206</v>
      </c>
      <c r="L29" s="22">
        <v>1</v>
      </c>
      <c r="M29" s="23">
        <v>1393</v>
      </c>
      <c r="N29" s="24">
        <v>-1353</v>
      </c>
      <c r="O29" s="28">
        <f t="shared" si="3"/>
        <v>2746</v>
      </c>
      <c r="P29" s="22">
        <f t="shared" si="6"/>
        <v>72</v>
      </c>
      <c r="Q29" s="29"/>
      <c r="R29" s="30"/>
    </row>
    <row r="30" spans="1:18" x14ac:dyDescent="0.25">
      <c r="A30" s="21">
        <v>45840</v>
      </c>
      <c r="B30" s="22">
        <v>1</v>
      </c>
      <c r="C30" s="23">
        <v>1342</v>
      </c>
      <c r="D30" s="24">
        <v>-777</v>
      </c>
      <c r="E30" s="25">
        <f t="shared" si="1"/>
        <v>2119</v>
      </c>
      <c r="F30" s="26">
        <f t="shared" si="4"/>
        <v>51</v>
      </c>
      <c r="G30" s="22">
        <v>1</v>
      </c>
      <c r="H30" s="25">
        <v>1357</v>
      </c>
      <c r="I30" s="27">
        <v>-1271</v>
      </c>
      <c r="J30" s="28">
        <f t="shared" si="2"/>
        <v>2628</v>
      </c>
      <c r="K30" s="22">
        <f t="shared" si="5"/>
        <v>223</v>
      </c>
      <c r="L30" s="22">
        <v>1</v>
      </c>
      <c r="M30" s="23">
        <v>1393</v>
      </c>
      <c r="N30" s="24">
        <v>-1358</v>
      </c>
      <c r="O30" s="28">
        <f t="shared" si="3"/>
        <v>2751</v>
      </c>
      <c r="P30" s="22">
        <f t="shared" si="6"/>
        <v>77</v>
      </c>
      <c r="Q30" s="29"/>
      <c r="R30" s="30"/>
    </row>
    <row r="31" spans="1:18" x14ac:dyDescent="0.25">
      <c r="A31" s="21">
        <v>45841</v>
      </c>
      <c r="B31" s="22">
        <v>1</v>
      </c>
      <c r="C31" s="23">
        <v>1342</v>
      </c>
      <c r="D31" s="24">
        <v>-796</v>
      </c>
      <c r="E31" s="25">
        <f t="shared" si="1"/>
        <v>2138</v>
      </c>
      <c r="F31" s="26">
        <f t="shared" si="4"/>
        <v>70</v>
      </c>
      <c r="G31" s="22">
        <v>1</v>
      </c>
      <c r="H31" s="25">
        <v>1357</v>
      </c>
      <c r="I31" s="27">
        <v>-1288</v>
      </c>
      <c r="J31" s="28">
        <f t="shared" si="2"/>
        <v>2645</v>
      </c>
      <c r="K31" s="22">
        <f t="shared" si="5"/>
        <v>240</v>
      </c>
      <c r="L31" s="22">
        <v>1</v>
      </c>
      <c r="M31" s="23">
        <v>1393</v>
      </c>
      <c r="N31" s="24">
        <v>-1363</v>
      </c>
      <c r="O31" s="28">
        <f t="shared" si="3"/>
        <v>2756</v>
      </c>
      <c r="P31" s="22">
        <f t="shared" si="6"/>
        <v>82</v>
      </c>
      <c r="Q31" s="29"/>
      <c r="R31" s="30"/>
    </row>
    <row r="32" spans="1:18" x14ac:dyDescent="0.25">
      <c r="A32" s="21">
        <v>45842</v>
      </c>
      <c r="B32" s="22">
        <v>1</v>
      </c>
      <c r="C32" s="23">
        <v>1342</v>
      </c>
      <c r="D32" s="24">
        <v>-815</v>
      </c>
      <c r="E32" s="25">
        <f t="shared" si="1"/>
        <v>2157</v>
      </c>
      <c r="F32" s="26">
        <f t="shared" si="4"/>
        <v>89</v>
      </c>
      <c r="G32" s="22">
        <v>1</v>
      </c>
      <c r="H32" s="25">
        <v>1357</v>
      </c>
      <c r="I32" s="27">
        <v>-1305</v>
      </c>
      <c r="J32" s="28">
        <f t="shared" si="2"/>
        <v>2662</v>
      </c>
      <c r="K32" s="22">
        <f t="shared" si="5"/>
        <v>257</v>
      </c>
      <c r="L32" s="22">
        <v>1</v>
      </c>
      <c r="M32" s="23">
        <v>1393</v>
      </c>
      <c r="N32" s="24">
        <v>-1368</v>
      </c>
      <c r="O32" s="28">
        <f t="shared" si="3"/>
        <v>2761</v>
      </c>
      <c r="P32" s="22">
        <f t="shared" si="6"/>
        <v>87</v>
      </c>
      <c r="Q32" s="29"/>
      <c r="R32" s="30"/>
    </row>
    <row r="33" spans="1:18" x14ac:dyDescent="0.25">
      <c r="A33" s="21">
        <v>45843</v>
      </c>
      <c r="B33" s="22">
        <v>1</v>
      </c>
      <c r="C33" s="23">
        <v>1342</v>
      </c>
      <c r="D33" s="24">
        <v>-834</v>
      </c>
      <c r="E33" s="25">
        <f t="shared" si="1"/>
        <v>2176</v>
      </c>
      <c r="F33" s="26">
        <f t="shared" si="4"/>
        <v>108</v>
      </c>
      <c r="G33" s="22">
        <v>1</v>
      </c>
      <c r="H33" s="25">
        <v>1357</v>
      </c>
      <c r="I33" s="27">
        <v>-1322</v>
      </c>
      <c r="J33" s="28">
        <f t="shared" si="2"/>
        <v>2679</v>
      </c>
      <c r="K33" s="22">
        <f t="shared" si="5"/>
        <v>274</v>
      </c>
      <c r="L33" s="22">
        <v>1</v>
      </c>
      <c r="M33" s="23">
        <v>1393</v>
      </c>
      <c r="N33" s="24">
        <v>-1377</v>
      </c>
      <c r="O33" s="28">
        <f t="shared" si="3"/>
        <v>2770</v>
      </c>
      <c r="P33" s="22">
        <f t="shared" si="6"/>
        <v>96</v>
      </c>
      <c r="Q33" s="29"/>
      <c r="R33" s="30"/>
    </row>
    <row r="34" spans="1:18" x14ac:dyDescent="0.25">
      <c r="A34" s="21">
        <v>45844</v>
      </c>
      <c r="B34" s="22">
        <v>1</v>
      </c>
      <c r="C34" s="23">
        <v>1342</v>
      </c>
      <c r="D34" s="24">
        <v>-853</v>
      </c>
      <c r="E34" s="25">
        <f t="shared" si="1"/>
        <v>2195</v>
      </c>
      <c r="F34" s="26">
        <f t="shared" si="4"/>
        <v>127</v>
      </c>
      <c r="G34" s="22">
        <v>1</v>
      </c>
      <c r="H34" s="25">
        <v>1357</v>
      </c>
      <c r="I34" s="27">
        <v>-1339</v>
      </c>
      <c r="J34" s="28">
        <f t="shared" si="2"/>
        <v>2696</v>
      </c>
      <c r="K34" s="22">
        <f t="shared" si="5"/>
        <v>291</v>
      </c>
      <c r="L34" s="22">
        <v>1</v>
      </c>
      <c r="M34" s="23">
        <v>1393</v>
      </c>
      <c r="N34" s="24">
        <v>-1394</v>
      </c>
      <c r="O34" s="28">
        <f t="shared" si="3"/>
        <v>2787</v>
      </c>
      <c r="P34" s="22">
        <f t="shared" si="6"/>
        <v>113</v>
      </c>
      <c r="Q34" s="29"/>
      <c r="R34" s="30"/>
    </row>
    <row r="35" spans="1:18" x14ac:dyDescent="0.25">
      <c r="A35" s="21">
        <v>45845</v>
      </c>
      <c r="B35" s="22">
        <v>1</v>
      </c>
      <c r="C35" s="23">
        <v>1342</v>
      </c>
      <c r="D35" s="24">
        <v>-872</v>
      </c>
      <c r="E35" s="25">
        <f t="shared" si="1"/>
        <v>2214</v>
      </c>
      <c r="F35" s="26">
        <f t="shared" si="4"/>
        <v>146</v>
      </c>
      <c r="G35" s="22">
        <v>1</v>
      </c>
      <c r="H35" s="25">
        <v>1357</v>
      </c>
      <c r="I35" s="27">
        <v>-1356</v>
      </c>
      <c r="J35" s="28">
        <f t="shared" si="2"/>
        <v>2713</v>
      </c>
      <c r="K35" s="22">
        <f t="shared" si="5"/>
        <v>308</v>
      </c>
      <c r="L35" s="22">
        <v>1</v>
      </c>
      <c r="M35" s="23">
        <v>1393</v>
      </c>
      <c r="N35" s="24">
        <v>-1411</v>
      </c>
      <c r="O35" s="28">
        <f t="shared" si="3"/>
        <v>2804</v>
      </c>
      <c r="P35" s="22">
        <f t="shared" si="6"/>
        <v>130</v>
      </c>
      <c r="Q35" s="29"/>
      <c r="R35" s="30"/>
    </row>
    <row r="36" spans="1:18" x14ac:dyDescent="0.25">
      <c r="A36" s="21">
        <v>45846</v>
      </c>
      <c r="B36" s="22">
        <v>1</v>
      </c>
      <c r="C36" s="23">
        <v>1342</v>
      </c>
      <c r="D36" s="24">
        <v>-891</v>
      </c>
      <c r="E36" s="25">
        <f t="shared" si="1"/>
        <v>2233</v>
      </c>
      <c r="F36" s="26">
        <f t="shared" si="4"/>
        <v>165</v>
      </c>
      <c r="G36" s="22">
        <v>1</v>
      </c>
      <c r="H36" s="25">
        <v>1357</v>
      </c>
      <c r="I36" s="27">
        <v>-1373</v>
      </c>
      <c r="J36" s="28">
        <f t="shared" si="2"/>
        <v>2730</v>
      </c>
      <c r="K36" s="22">
        <f t="shared" si="5"/>
        <v>325</v>
      </c>
      <c r="L36" s="22">
        <v>1</v>
      </c>
      <c r="M36" s="23">
        <v>1393</v>
      </c>
      <c r="N36" s="24">
        <v>-1428</v>
      </c>
      <c r="O36" s="28">
        <f t="shared" si="3"/>
        <v>2821</v>
      </c>
      <c r="P36" s="22">
        <f t="shared" si="6"/>
        <v>147</v>
      </c>
      <c r="Q36" s="29"/>
      <c r="R36" s="30"/>
    </row>
    <row r="37" spans="1:18" x14ac:dyDescent="0.25">
      <c r="A37" s="21">
        <v>45847</v>
      </c>
      <c r="B37" s="22">
        <v>1</v>
      </c>
      <c r="C37" s="23">
        <v>1342</v>
      </c>
      <c r="D37" s="24">
        <v>-910</v>
      </c>
      <c r="E37" s="25">
        <f t="shared" si="1"/>
        <v>2252</v>
      </c>
      <c r="F37" s="26">
        <f t="shared" si="4"/>
        <v>184</v>
      </c>
      <c r="G37" s="22">
        <v>1</v>
      </c>
      <c r="H37" s="25">
        <v>1357</v>
      </c>
      <c r="I37" s="27">
        <v>-1390</v>
      </c>
      <c r="J37" s="28">
        <f t="shared" si="2"/>
        <v>2747</v>
      </c>
      <c r="K37" s="22">
        <f t="shared" si="5"/>
        <v>342</v>
      </c>
      <c r="L37" s="22">
        <v>1</v>
      </c>
      <c r="M37" s="23">
        <v>1393</v>
      </c>
      <c r="N37" s="24">
        <v>-1445</v>
      </c>
      <c r="O37" s="28">
        <f t="shared" si="3"/>
        <v>2838</v>
      </c>
      <c r="P37" s="22">
        <f t="shared" si="6"/>
        <v>164</v>
      </c>
      <c r="Q37" s="29"/>
      <c r="R37" s="30"/>
    </row>
    <row r="38" spans="1:18" x14ac:dyDescent="0.25">
      <c r="A38" s="21">
        <v>45848</v>
      </c>
      <c r="B38" s="22">
        <v>1</v>
      </c>
      <c r="C38" s="23">
        <v>1342</v>
      </c>
      <c r="D38" s="24">
        <v>-929</v>
      </c>
      <c r="E38" s="25">
        <f t="shared" si="1"/>
        <v>2271</v>
      </c>
      <c r="F38" s="26">
        <f t="shared" si="4"/>
        <v>203</v>
      </c>
      <c r="G38" s="22">
        <v>1</v>
      </c>
      <c r="H38" s="25">
        <v>1357</v>
      </c>
      <c r="I38" s="27">
        <v>-1407</v>
      </c>
      <c r="J38" s="28">
        <f t="shared" si="2"/>
        <v>2764</v>
      </c>
      <c r="K38" s="22">
        <f t="shared" si="5"/>
        <v>359</v>
      </c>
      <c r="L38" s="22">
        <v>1</v>
      </c>
      <c r="M38" s="23">
        <v>1393</v>
      </c>
      <c r="N38" s="24">
        <v>-1462</v>
      </c>
      <c r="O38" s="28">
        <f t="shared" si="3"/>
        <v>2855</v>
      </c>
      <c r="P38" s="22">
        <f t="shared" si="6"/>
        <v>181</v>
      </c>
      <c r="Q38" s="29"/>
      <c r="R38" s="30"/>
    </row>
    <row r="39" spans="1:18" x14ac:dyDescent="0.25">
      <c r="A39" s="21">
        <v>45849</v>
      </c>
      <c r="B39" s="22">
        <v>1</v>
      </c>
      <c r="C39" s="23">
        <v>1342</v>
      </c>
      <c r="D39" s="24">
        <v>-948</v>
      </c>
      <c r="E39" s="25">
        <f t="shared" si="1"/>
        <v>2290</v>
      </c>
      <c r="F39" s="26">
        <f t="shared" si="4"/>
        <v>222</v>
      </c>
      <c r="G39" s="22">
        <v>1</v>
      </c>
      <c r="H39" s="25">
        <v>1357</v>
      </c>
      <c r="I39" s="27">
        <v>-1424</v>
      </c>
      <c r="J39" s="28">
        <f t="shared" si="2"/>
        <v>2781</v>
      </c>
      <c r="K39" s="22">
        <f t="shared" si="5"/>
        <v>376</v>
      </c>
      <c r="L39" s="22">
        <v>1</v>
      </c>
      <c r="M39" s="23">
        <v>1393</v>
      </c>
      <c r="N39" s="24">
        <v>-1479</v>
      </c>
      <c r="O39" s="28">
        <f t="shared" si="3"/>
        <v>2872</v>
      </c>
      <c r="P39" s="22">
        <f t="shared" si="6"/>
        <v>198</v>
      </c>
      <c r="Q39" s="29"/>
      <c r="R39" s="30"/>
    </row>
    <row r="40" spans="1:18" x14ac:dyDescent="0.25">
      <c r="A40" s="21">
        <v>45850</v>
      </c>
      <c r="B40" s="22">
        <v>1</v>
      </c>
      <c r="C40" s="23">
        <v>1342</v>
      </c>
      <c r="D40" s="24">
        <v>-967</v>
      </c>
      <c r="E40" s="25">
        <f t="shared" si="1"/>
        <v>2309</v>
      </c>
      <c r="F40" s="26">
        <f t="shared" si="4"/>
        <v>241</v>
      </c>
      <c r="G40" s="22">
        <v>1</v>
      </c>
      <c r="H40" s="25">
        <v>1357</v>
      </c>
      <c r="I40" s="27">
        <v>-1441</v>
      </c>
      <c r="J40" s="28">
        <f t="shared" si="2"/>
        <v>2798</v>
      </c>
      <c r="K40" s="22">
        <f t="shared" si="5"/>
        <v>393</v>
      </c>
      <c r="L40" s="22">
        <v>1</v>
      </c>
      <c r="M40" s="23">
        <v>1393</v>
      </c>
      <c r="N40" s="24">
        <v>-1496</v>
      </c>
      <c r="O40" s="28">
        <f t="shared" si="3"/>
        <v>2889</v>
      </c>
      <c r="P40" s="22">
        <f t="shared" si="6"/>
        <v>215</v>
      </c>
      <c r="Q40" s="29"/>
      <c r="R40" s="30"/>
    </row>
    <row r="41" spans="1:18" x14ac:dyDescent="0.25">
      <c r="A41" s="21">
        <v>45851</v>
      </c>
      <c r="B41" s="22">
        <v>1</v>
      </c>
      <c r="C41" s="23">
        <v>1342</v>
      </c>
      <c r="D41" s="24">
        <v>-986</v>
      </c>
      <c r="E41" s="25">
        <f t="shared" si="1"/>
        <v>2328</v>
      </c>
      <c r="F41" s="26">
        <f t="shared" si="4"/>
        <v>260</v>
      </c>
      <c r="G41" s="22">
        <v>1</v>
      </c>
      <c r="H41" s="25">
        <v>1357</v>
      </c>
      <c r="I41" s="27">
        <v>-1458</v>
      </c>
      <c r="J41" s="28">
        <f t="shared" si="2"/>
        <v>2815</v>
      </c>
      <c r="K41" s="22">
        <f t="shared" si="5"/>
        <v>410</v>
      </c>
      <c r="L41" s="22">
        <v>1</v>
      </c>
      <c r="M41" s="23">
        <v>1393</v>
      </c>
      <c r="N41" s="24">
        <v>-1513</v>
      </c>
      <c r="O41" s="28">
        <f t="shared" si="3"/>
        <v>2906</v>
      </c>
      <c r="P41" s="22">
        <f t="shared" si="6"/>
        <v>232</v>
      </c>
      <c r="Q41" s="29"/>
      <c r="R41" s="30"/>
    </row>
    <row r="42" spans="1:18" x14ac:dyDescent="0.25">
      <c r="A42" s="21">
        <v>45852</v>
      </c>
      <c r="B42" s="22">
        <v>1</v>
      </c>
      <c r="C42" s="23">
        <v>1342</v>
      </c>
      <c r="D42" s="24">
        <v>-1005</v>
      </c>
      <c r="E42" s="25">
        <f t="shared" si="1"/>
        <v>2347</v>
      </c>
      <c r="F42" s="26">
        <f t="shared" si="4"/>
        <v>279</v>
      </c>
      <c r="G42" s="22">
        <v>1</v>
      </c>
      <c r="H42" s="25">
        <v>1357</v>
      </c>
      <c r="I42" s="27">
        <v>-1475</v>
      </c>
      <c r="J42" s="28">
        <f t="shared" si="2"/>
        <v>2832</v>
      </c>
      <c r="K42" s="22">
        <f t="shared" si="5"/>
        <v>427</v>
      </c>
      <c r="L42" s="22">
        <v>1</v>
      </c>
      <c r="M42" s="23">
        <v>1393</v>
      </c>
      <c r="N42" s="24">
        <v>-1530</v>
      </c>
      <c r="O42" s="28">
        <f t="shared" si="3"/>
        <v>2923</v>
      </c>
      <c r="P42" s="22">
        <f t="shared" si="6"/>
        <v>249</v>
      </c>
      <c r="Q42" s="29"/>
      <c r="R42" s="30"/>
    </row>
    <row r="43" spans="1:18" x14ac:dyDescent="0.25">
      <c r="A43" s="21">
        <v>45853</v>
      </c>
      <c r="B43" s="22">
        <v>1</v>
      </c>
      <c r="C43" s="23">
        <v>1342</v>
      </c>
      <c r="D43" s="24">
        <v>-1024</v>
      </c>
      <c r="E43" s="25">
        <f t="shared" si="1"/>
        <v>2366</v>
      </c>
      <c r="F43" s="26">
        <f t="shared" si="4"/>
        <v>298</v>
      </c>
      <c r="G43" s="22">
        <v>1</v>
      </c>
      <c r="H43" s="25">
        <v>1357</v>
      </c>
      <c r="I43" s="27">
        <v>-1492</v>
      </c>
      <c r="J43" s="28">
        <f t="shared" si="2"/>
        <v>2849</v>
      </c>
      <c r="K43" s="22">
        <f t="shared" si="5"/>
        <v>444</v>
      </c>
      <c r="L43" s="22">
        <v>1</v>
      </c>
      <c r="M43" s="23">
        <v>1393</v>
      </c>
      <c r="N43" s="24">
        <v>-1547</v>
      </c>
      <c r="O43" s="28">
        <f t="shared" si="3"/>
        <v>2940</v>
      </c>
      <c r="P43" s="22">
        <f t="shared" si="6"/>
        <v>266</v>
      </c>
      <c r="Q43" s="29"/>
      <c r="R43" s="30"/>
    </row>
    <row r="44" spans="1:18" x14ac:dyDescent="0.25">
      <c r="A44" s="21">
        <v>45854</v>
      </c>
      <c r="B44" s="22">
        <v>1</v>
      </c>
      <c r="C44" s="23">
        <v>1342</v>
      </c>
      <c r="D44" s="24">
        <v>-1043</v>
      </c>
      <c r="E44" s="25">
        <f t="shared" si="1"/>
        <v>2385</v>
      </c>
      <c r="F44" s="26">
        <f t="shared" si="4"/>
        <v>317</v>
      </c>
      <c r="G44" s="22">
        <v>1</v>
      </c>
      <c r="H44" s="25">
        <v>1357</v>
      </c>
      <c r="I44" s="27">
        <v>-1509</v>
      </c>
      <c r="J44" s="28">
        <f t="shared" si="2"/>
        <v>2866</v>
      </c>
      <c r="K44" s="22">
        <f t="shared" si="5"/>
        <v>461</v>
      </c>
      <c r="L44" s="22">
        <v>1</v>
      </c>
      <c r="M44" s="23">
        <v>1393</v>
      </c>
      <c r="N44" s="24">
        <v>-1564</v>
      </c>
      <c r="O44" s="28">
        <f t="shared" si="3"/>
        <v>2957</v>
      </c>
      <c r="P44" s="22">
        <f t="shared" si="6"/>
        <v>283</v>
      </c>
      <c r="Q44" s="29"/>
      <c r="R44" s="30"/>
    </row>
    <row r="45" spans="1:18" x14ac:dyDescent="0.25">
      <c r="A45" s="21">
        <v>45855</v>
      </c>
      <c r="B45" s="22">
        <v>1</v>
      </c>
      <c r="C45" s="23">
        <v>1342</v>
      </c>
      <c r="D45" s="24">
        <v>-1062</v>
      </c>
      <c r="E45" s="25">
        <f t="shared" si="1"/>
        <v>2404</v>
      </c>
      <c r="F45" s="26">
        <f t="shared" si="4"/>
        <v>336</v>
      </c>
      <c r="G45" s="22">
        <v>1</v>
      </c>
      <c r="H45" s="25">
        <v>1357</v>
      </c>
      <c r="I45" s="27">
        <v>-1526</v>
      </c>
      <c r="J45" s="28">
        <f t="shared" si="2"/>
        <v>2883</v>
      </c>
      <c r="K45" s="22">
        <f t="shared" si="5"/>
        <v>478</v>
      </c>
      <c r="L45" s="22">
        <v>1</v>
      </c>
      <c r="M45" s="23">
        <v>1393</v>
      </c>
      <c r="N45" s="24">
        <v>-1581</v>
      </c>
      <c r="O45" s="28">
        <f t="shared" si="3"/>
        <v>2974</v>
      </c>
      <c r="P45" s="22">
        <f t="shared" si="6"/>
        <v>300</v>
      </c>
      <c r="Q45" s="29"/>
      <c r="R45" s="30"/>
    </row>
    <row r="46" spans="1:18" x14ac:dyDescent="0.25">
      <c r="A46" s="21">
        <v>45856</v>
      </c>
      <c r="B46" s="22">
        <v>1</v>
      </c>
      <c r="C46" s="23">
        <v>1342</v>
      </c>
      <c r="D46" s="24">
        <v>-1081</v>
      </c>
      <c r="E46" s="25">
        <f t="shared" si="1"/>
        <v>2423</v>
      </c>
      <c r="F46" s="26">
        <f t="shared" si="4"/>
        <v>355</v>
      </c>
      <c r="G46" s="22">
        <v>1</v>
      </c>
      <c r="H46" s="25">
        <v>1357</v>
      </c>
      <c r="I46" s="27">
        <v>-1543</v>
      </c>
      <c r="J46" s="28">
        <f t="shared" si="2"/>
        <v>2900</v>
      </c>
      <c r="K46" s="22">
        <f t="shared" si="5"/>
        <v>495</v>
      </c>
      <c r="L46" s="22">
        <v>1</v>
      </c>
      <c r="M46" s="23">
        <v>1393</v>
      </c>
      <c r="N46" s="24">
        <v>-1598</v>
      </c>
      <c r="O46" s="28">
        <f t="shared" si="3"/>
        <v>2991</v>
      </c>
      <c r="P46" s="22">
        <f t="shared" si="6"/>
        <v>317</v>
      </c>
      <c r="Q46" s="29"/>
      <c r="R46" s="30"/>
    </row>
    <row r="47" spans="1:18" x14ac:dyDescent="0.25">
      <c r="A47" s="21">
        <v>45857</v>
      </c>
      <c r="B47" s="22">
        <v>1</v>
      </c>
      <c r="C47" s="23">
        <v>1342</v>
      </c>
      <c r="D47" s="24">
        <v>-1100</v>
      </c>
      <c r="E47" s="25">
        <f t="shared" si="1"/>
        <v>2442</v>
      </c>
      <c r="F47" s="26">
        <f t="shared" si="4"/>
        <v>374</v>
      </c>
      <c r="G47" s="22">
        <v>1</v>
      </c>
      <c r="H47" s="25">
        <v>1357</v>
      </c>
      <c r="I47" s="27">
        <v>-1560</v>
      </c>
      <c r="J47" s="28">
        <f t="shared" si="2"/>
        <v>2917</v>
      </c>
      <c r="K47" s="22">
        <f t="shared" si="5"/>
        <v>512</v>
      </c>
      <c r="L47" s="22">
        <v>1</v>
      </c>
      <c r="M47" s="23">
        <v>1393</v>
      </c>
      <c r="N47" s="24">
        <v>-1615</v>
      </c>
      <c r="O47" s="28">
        <f t="shared" si="3"/>
        <v>3008</v>
      </c>
      <c r="P47" s="22">
        <f t="shared" si="6"/>
        <v>334</v>
      </c>
      <c r="Q47" s="29"/>
      <c r="R47" s="30"/>
    </row>
    <row r="48" spans="1:18" x14ac:dyDescent="0.25">
      <c r="A48" s="21">
        <v>45858</v>
      </c>
      <c r="B48" s="22">
        <v>1</v>
      </c>
      <c r="C48" s="23">
        <v>1342</v>
      </c>
      <c r="D48" s="24">
        <v>-1100</v>
      </c>
      <c r="E48" s="25">
        <f t="shared" si="1"/>
        <v>2442</v>
      </c>
      <c r="F48" s="26">
        <f t="shared" si="4"/>
        <v>374</v>
      </c>
      <c r="G48" s="22">
        <v>1</v>
      </c>
      <c r="H48" s="25">
        <v>1357</v>
      </c>
      <c r="I48" s="27">
        <v>-1577</v>
      </c>
      <c r="J48" s="28">
        <f t="shared" si="2"/>
        <v>2934</v>
      </c>
      <c r="K48" s="22">
        <f t="shared" si="5"/>
        <v>529</v>
      </c>
      <c r="L48" s="22">
        <v>1</v>
      </c>
      <c r="M48" s="23">
        <v>1393</v>
      </c>
      <c r="N48" s="24">
        <v>-1632</v>
      </c>
      <c r="O48" s="28">
        <f t="shared" si="3"/>
        <v>3025</v>
      </c>
      <c r="P48" s="22">
        <f t="shared" si="6"/>
        <v>351</v>
      </c>
      <c r="Q48" s="29"/>
      <c r="R48" s="30"/>
    </row>
    <row r="49" spans="1:18" x14ac:dyDescent="0.25">
      <c r="A49" s="21">
        <v>45859</v>
      </c>
      <c r="B49" s="22">
        <v>1</v>
      </c>
      <c r="C49" s="23">
        <v>1342</v>
      </c>
      <c r="D49" s="24">
        <v>-1116</v>
      </c>
      <c r="E49" s="25">
        <f t="shared" si="1"/>
        <v>2458</v>
      </c>
      <c r="F49" s="26">
        <f t="shared" si="4"/>
        <v>390</v>
      </c>
      <c r="G49" s="22">
        <v>1</v>
      </c>
      <c r="H49" s="25">
        <v>1357</v>
      </c>
      <c r="I49" s="27">
        <v>-1587</v>
      </c>
      <c r="J49" s="28">
        <f t="shared" si="2"/>
        <v>2944</v>
      </c>
      <c r="K49" s="22">
        <f t="shared" si="5"/>
        <v>539</v>
      </c>
      <c r="L49" s="22">
        <v>1</v>
      </c>
      <c r="M49" s="23">
        <v>1393</v>
      </c>
      <c r="N49" s="24">
        <v>-1631</v>
      </c>
      <c r="O49" s="28">
        <f t="shared" si="3"/>
        <v>3024</v>
      </c>
      <c r="P49" s="22">
        <f t="shared" si="6"/>
        <v>350</v>
      </c>
      <c r="Q49" s="29"/>
      <c r="R49" s="30"/>
    </row>
    <row r="50" spans="1:18" x14ac:dyDescent="0.25">
      <c r="A50" s="21">
        <v>45860</v>
      </c>
      <c r="B50" s="22">
        <v>1</v>
      </c>
      <c r="C50" s="23">
        <v>1342</v>
      </c>
      <c r="D50" s="24">
        <v>-1126</v>
      </c>
      <c r="E50" s="25">
        <f t="shared" si="1"/>
        <v>2468</v>
      </c>
      <c r="F50" s="26">
        <f t="shared" si="4"/>
        <v>400</v>
      </c>
      <c r="G50" s="22">
        <v>1</v>
      </c>
      <c r="H50" s="25">
        <v>1357</v>
      </c>
      <c r="I50" s="27">
        <v>-1597</v>
      </c>
      <c r="J50" s="28">
        <f t="shared" si="2"/>
        <v>2954</v>
      </c>
      <c r="K50" s="22">
        <f t="shared" si="5"/>
        <v>549</v>
      </c>
      <c r="L50" s="22">
        <v>1</v>
      </c>
      <c r="M50" s="23">
        <v>1393</v>
      </c>
      <c r="N50" s="24">
        <v>-1642</v>
      </c>
      <c r="O50" s="28">
        <f t="shared" si="3"/>
        <v>3035</v>
      </c>
      <c r="P50" s="22">
        <f t="shared" si="6"/>
        <v>361</v>
      </c>
      <c r="Q50" s="29"/>
      <c r="R50" s="30"/>
    </row>
    <row r="51" spans="1:18" x14ac:dyDescent="0.25">
      <c r="A51" s="21">
        <v>45861</v>
      </c>
      <c r="B51" s="22">
        <v>1</v>
      </c>
      <c r="C51" s="23">
        <v>1342</v>
      </c>
      <c r="D51" s="24">
        <v>-1136</v>
      </c>
      <c r="E51" s="25">
        <f t="shared" si="1"/>
        <v>2478</v>
      </c>
      <c r="F51" s="26">
        <f t="shared" si="4"/>
        <v>410</v>
      </c>
      <c r="G51" s="22">
        <v>1</v>
      </c>
      <c r="H51" s="25">
        <v>1357</v>
      </c>
      <c r="I51" s="27">
        <v>-1607</v>
      </c>
      <c r="J51" s="28">
        <f t="shared" si="2"/>
        <v>2964</v>
      </c>
      <c r="K51" s="22">
        <f t="shared" si="5"/>
        <v>559</v>
      </c>
      <c r="L51" s="22">
        <v>1</v>
      </c>
      <c r="M51" s="23">
        <v>1393</v>
      </c>
      <c r="N51" s="24">
        <v>-1653</v>
      </c>
      <c r="O51" s="28">
        <f t="shared" si="3"/>
        <v>3046</v>
      </c>
      <c r="P51" s="22">
        <f t="shared" si="6"/>
        <v>372</v>
      </c>
      <c r="Q51" s="29"/>
      <c r="R51" s="30"/>
    </row>
    <row r="52" spans="1:18" x14ac:dyDescent="0.25">
      <c r="A52" s="21">
        <v>45862</v>
      </c>
      <c r="B52" s="22">
        <v>1</v>
      </c>
      <c r="C52" s="23">
        <v>1342</v>
      </c>
      <c r="D52" s="24">
        <v>-1146</v>
      </c>
      <c r="E52" s="25">
        <f t="shared" si="1"/>
        <v>2488</v>
      </c>
      <c r="F52" s="26">
        <f t="shared" si="4"/>
        <v>420</v>
      </c>
      <c r="G52" s="22">
        <v>1</v>
      </c>
      <c r="H52" s="25">
        <v>1357</v>
      </c>
      <c r="I52" s="27">
        <v>-1617</v>
      </c>
      <c r="J52" s="28">
        <f t="shared" si="2"/>
        <v>2974</v>
      </c>
      <c r="K52" s="22">
        <f t="shared" si="5"/>
        <v>569</v>
      </c>
      <c r="L52" s="22">
        <v>1</v>
      </c>
      <c r="M52" s="23">
        <v>1393</v>
      </c>
      <c r="N52" s="24">
        <v>-1664</v>
      </c>
      <c r="O52" s="28">
        <f t="shared" si="3"/>
        <v>3057</v>
      </c>
      <c r="P52" s="22">
        <f t="shared" si="6"/>
        <v>383</v>
      </c>
      <c r="Q52" s="29"/>
      <c r="R52" s="30"/>
    </row>
    <row r="53" spans="1:18" x14ac:dyDescent="0.25">
      <c r="A53" s="21">
        <v>45863</v>
      </c>
      <c r="B53" s="22">
        <v>1</v>
      </c>
      <c r="C53" s="23">
        <v>1342</v>
      </c>
      <c r="D53" s="24">
        <v>-1156</v>
      </c>
      <c r="E53" s="25">
        <f t="shared" si="1"/>
        <v>2498</v>
      </c>
      <c r="F53" s="26">
        <f t="shared" si="4"/>
        <v>430</v>
      </c>
      <c r="G53" s="22">
        <v>1</v>
      </c>
      <c r="H53" s="25">
        <v>1357</v>
      </c>
      <c r="I53" s="27">
        <v>-1627</v>
      </c>
      <c r="J53" s="28">
        <f t="shared" si="2"/>
        <v>2984</v>
      </c>
      <c r="K53" s="22">
        <f t="shared" si="5"/>
        <v>579</v>
      </c>
      <c r="L53" s="22">
        <v>1</v>
      </c>
      <c r="M53" s="23">
        <v>1393</v>
      </c>
      <c r="N53" s="24">
        <v>-1675</v>
      </c>
      <c r="O53" s="28">
        <f t="shared" si="3"/>
        <v>3068</v>
      </c>
      <c r="P53" s="22">
        <f t="shared" si="6"/>
        <v>394</v>
      </c>
      <c r="Q53" s="29"/>
      <c r="R53" s="30"/>
    </row>
    <row r="54" spans="1:18" x14ac:dyDescent="0.25">
      <c r="A54" s="21">
        <v>45864</v>
      </c>
      <c r="B54" s="22">
        <v>1</v>
      </c>
      <c r="C54" s="23">
        <v>1342</v>
      </c>
      <c r="D54" s="24">
        <v>-1166</v>
      </c>
      <c r="E54" s="25">
        <f t="shared" si="1"/>
        <v>2508</v>
      </c>
      <c r="F54" s="26">
        <f t="shared" si="4"/>
        <v>440</v>
      </c>
      <c r="G54" s="22">
        <v>1</v>
      </c>
      <c r="H54" s="25">
        <v>1357</v>
      </c>
      <c r="I54" s="27">
        <v>-1637</v>
      </c>
      <c r="J54" s="28">
        <f t="shared" si="2"/>
        <v>2994</v>
      </c>
      <c r="K54" s="22">
        <f t="shared" si="5"/>
        <v>589</v>
      </c>
      <c r="L54" s="22">
        <v>1</v>
      </c>
      <c r="M54" s="23">
        <v>1393</v>
      </c>
      <c r="N54" s="24">
        <v>-1686</v>
      </c>
      <c r="O54" s="28">
        <f t="shared" si="3"/>
        <v>3079</v>
      </c>
      <c r="P54" s="22">
        <f t="shared" si="6"/>
        <v>405</v>
      </c>
      <c r="Q54" s="29"/>
      <c r="R54" s="30"/>
    </row>
    <row r="55" spans="1:18" x14ac:dyDescent="0.25">
      <c r="A55" s="21">
        <v>45865</v>
      </c>
      <c r="B55" s="22">
        <v>1</v>
      </c>
      <c r="C55" s="23">
        <v>1342</v>
      </c>
      <c r="D55" s="24">
        <v>-1176</v>
      </c>
      <c r="E55" s="25">
        <f t="shared" si="1"/>
        <v>2518</v>
      </c>
      <c r="F55" s="26">
        <f t="shared" si="4"/>
        <v>450</v>
      </c>
      <c r="G55" s="22">
        <v>1</v>
      </c>
      <c r="H55" s="25">
        <v>1357</v>
      </c>
      <c r="I55" s="27">
        <v>-1647</v>
      </c>
      <c r="J55" s="28">
        <f t="shared" si="2"/>
        <v>3004</v>
      </c>
      <c r="K55" s="22">
        <f t="shared" si="5"/>
        <v>599</v>
      </c>
      <c r="L55" s="22">
        <v>1</v>
      </c>
      <c r="M55" s="23">
        <v>1393</v>
      </c>
      <c r="N55" s="24">
        <v>-1697</v>
      </c>
      <c r="O55" s="28">
        <f t="shared" si="3"/>
        <v>3090</v>
      </c>
      <c r="P55" s="22">
        <f t="shared" si="6"/>
        <v>416</v>
      </c>
      <c r="Q55" s="29"/>
      <c r="R55" s="30"/>
    </row>
    <row r="56" spans="1:18" x14ac:dyDescent="0.25">
      <c r="A56" s="21">
        <v>45866</v>
      </c>
      <c r="B56" s="22">
        <v>1</v>
      </c>
      <c r="C56" s="23">
        <v>1342</v>
      </c>
      <c r="D56" s="24">
        <v>-1186</v>
      </c>
      <c r="E56" s="25">
        <f t="shared" si="1"/>
        <v>2528</v>
      </c>
      <c r="F56" s="26">
        <f t="shared" si="4"/>
        <v>460</v>
      </c>
      <c r="G56" s="22">
        <v>1</v>
      </c>
      <c r="H56" s="25">
        <v>1357</v>
      </c>
      <c r="I56" s="27">
        <v>-1657</v>
      </c>
      <c r="J56" s="28">
        <f t="shared" si="2"/>
        <v>3014</v>
      </c>
      <c r="K56" s="22">
        <f t="shared" si="5"/>
        <v>609</v>
      </c>
      <c r="L56" s="22">
        <v>1</v>
      </c>
      <c r="M56" s="23">
        <v>1393</v>
      </c>
      <c r="N56" s="24">
        <v>-1708</v>
      </c>
      <c r="O56" s="28">
        <f t="shared" si="3"/>
        <v>3101</v>
      </c>
      <c r="P56" s="22">
        <f t="shared" si="6"/>
        <v>427</v>
      </c>
      <c r="Q56" s="29"/>
      <c r="R56" s="30"/>
    </row>
    <row r="57" spans="1:18" x14ac:dyDescent="0.25">
      <c r="A57" s="21">
        <v>45867</v>
      </c>
      <c r="B57" s="22">
        <v>1</v>
      </c>
      <c r="C57" s="23">
        <v>1342</v>
      </c>
      <c r="D57" s="24">
        <v>-1196</v>
      </c>
      <c r="E57" s="25">
        <f t="shared" si="1"/>
        <v>2538</v>
      </c>
      <c r="F57" s="26">
        <f t="shared" si="4"/>
        <v>470</v>
      </c>
      <c r="G57" s="22">
        <v>1</v>
      </c>
      <c r="H57" s="25">
        <v>1357</v>
      </c>
      <c r="I57" s="27">
        <v>-1667</v>
      </c>
      <c r="J57" s="28">
        <f t="shared" si="2"/>
        <v>3024</v>
      </c>
      <c r="K57" s="22">
        <f t="shared" si="5"/>
        <v>619</v>
      </c>
      <c r="L57" s="22">
        <v>1</v>
      </c>
      <c r="M57" s="23">
        <v>1393</v>
      </c>
      <c r="N57" s="24">
        <v>-1719</v>
      </c>
      <c r="O57" s="28">
        <f t="shared" si="3"/>
        <v>3112</v>
      </c>
      <c r="P57" s="22">
        <f t="shared" si="6"/>
        <v>438</v>
      </c>
      <c r="Q57" s="29"/>
      <c r="R57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57">
    <cfRule type="cellIs" dxfId="1" priority="1" operator="lessThan">
      <formula>60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3">
    <outlinePr summaryBelow="0" summaryRight="0"/>
  </sheetPr>
  <dimension ref="A1:R63"/>
  <sheetViews>
    <sheetView topLeftCell="A46" workbookViewId="0">
      <selection activeCell="L65" sqref="L65"/>
    </sheetView>
  </sheetViews>
  <sheetFormatPr defaultColWidth="14.42578125" defaultRowHeight="15" customHeight="1" x14ac:dyDescent="0.2"/>
  <sheetData>
    <row r="1" spans="1:18" ht="15" customHeight="1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30" t="s">
        <v>2</v>
      </c>
      <c r="B3" s="132" t="s">
        <v>3</v>
      </c>
      <c r="C3" s="133"/>
      <c r="D3" s="132" t="s">
        <v>4</v>
      </c>
      <c r="E3" s="136"/>
      <c r="F3" s="138" t="str">
        <f>+"Cao trình nghiệm thu [m] ("&amp;TEXT(A15,"dd/mm/yy")&amp;")"</f>
        <v>Cao trình nghiệm thu [m] (17/06/25)</v>
      </c>
      <c r="G3" s="107"/>
      <c r="H3" s="107"/>
      <c r="I3" s="107"/>
      <c r="J3" s="107"/>
      <c r="K3" s="107"/>
      <c r="L3" s="115" t="s">
        <v>5</v>
      </c>
      <c r="M3" s="107"/>
      <c r="N3" s="107"/>
      <c r="O3" s="107"/>
      <c r="P3" s="132" t="s">
        <v>6</v>
      </c>
      <c r="Q3" s="136"/>
      <c r="R3" s="139"/>
    </row>
    <row r="4" spans="1:18" ht="15" customHeight="1" x14ac:dyDescent="0.2">
      <c r="A4" s="131"/>
      <c r="B4" s="134"/>
      <c r="C4" s="135"/>
      <c r="D4" s="134"/>
      <c r="E4" s="137"/>
      <c r="F4" s="6" t="s">
        <v>7</v>
      </c>
      <c r="G4" s="141" t="s">
        <v>8</v>
      </c>
      <c r="H4" s="116"/>
      <c r="I4" s="142" t="s">
        <v>9</v>
      </c>
      <c r="J4" s="116"/>
      <c r="K4" s="6" t="s">
        <v>10</v>
      </c>
      <c r="L4" s="115" t="s">
        <v>11</v>
      </c>
      <c r="M4" s="116"/>
      <c r="N4" s="115" t="s">
        <v>12</v>
      </c>
      <c r="O4" s="107"/>
      <c r="P4" s="134"/>
      <c r="Q4" s="137"/>
      <c r="R4" s="140"/>
    </row>
    <row r="5" spans="1:18" ht="15" customHeight="1" x14ac:dyDescent="0.2">
      <c r="A5" s="151" t="s">
        <v>13</v>
      </c>
      <c r="B5" s="152" t="s">
        <v>14</v>
      </c>
      <c r="C5" s="118"/>
      <c r="D5" s="153"/>
      <c r="E5" s="118"/>
      <c r="F5" s="7"/>
      <c r="G5" s="143"/>
      <c r="H5" s="118"/>
      <c r="I5" s="144"/>
      <c r="J5" s="118"/>
      <c r="K5" s="8"/>
      <c r="L5" s="117"/>
      <c r="M5" s="118"/>
      <c r="N5" s="117"/>
      <c r="O5" s="118"/>
      <c r="P5" s="119" t="s">
        <v>15</v>
      </c>
      <c r="Q5" s="120"/>
      <c r="R5" s="121"/>
    </row>
    <row r="6" spans="1:18" ht="15" customHeight="1" x14ac:dyDescent="0.2">
      <c r="A6" s="149"/>
      <c r="B6" s="145" t="s">
        <v>16</v>
      </c>
      <c r="C6" s="123"/>
      <c r="D6" s="124"/>
      <c r="E6" s="123"/>
      <c r="F6" s="9"/>
      <c r="G6" s="146"/>
      <c r="H6" s="123"/>
      <c r="I6" s="147"/>
      <c r="J6" s="123"/>
      <c r="K6" s="10"/>
      <c r="L6" s="122"/>
      <c r="M6" s="123"/>
      <c r="N6" s="122"/>
      <c r="O6" s="123"/>
      <c r="P6" s="124" t="s">
        <v>128</v>
      </c>
      <c r="Q6" s="125"/>
      <c r="R6" s="126"/>
    </row>
    <row r="7" spans="1:18" ht="15" customHeight="1" x14ac:dyDescent="0.2">
      <c r="A7" s="150"/>
      <c r="B7" s="154" t="s">
        <v>17</v>
      </c>
      <c r="C7" s="100"/>
      <c r="D7" s="155"/>
      <c r="E7" s="100"/>
      <c r="F7" s="11"/>
      <c r="G7" s="99"/>
      <c r="H7" s="100"/>
      <c r="I7" s="101"/>
      <c r="J7" s="100"/>
      <c r="K7" s="12"/>
      <c r="L7" s="102"/>
      <c r="M7" s="100"/>
      <c r="N7" s="102"/>
      <c r="O7" s="100"/>
      <c r="P7" s="103"/>
      <c r="Q7" s="104"/>
      <c r="R7" s="105"/>
    </row>
    <row r="8" spans="1:18" ht="15" customHeight="1" x14ac:dyDescent="0.2">
      <c r="A8" s="13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48" t="s">
        <v>19</v>
      </c>
      <c r="B10" s="106" t="s">
        <v>20</v>
      </c>
      <c r="C10" s="107"/>
      <c r="D10" s="107"/>
      <c r="E10" s="107"/>
      <c r="F10" s="107"/>
      <c r="G10" s="106" t="s">
        <v>21</v>
      </c>
      <c r="H10" s="107"/>
      <c r="I10" s="107"/>
      <c r="J10" s="107"/>
      <c r="K10" s="107"/>
      <c r="L10" s="106" t="s">
        <v>22</v>
      </c>
      <c r="M10" s="107"/>
      <c r="N10" s="107"/>
      <c r="O10" s="107"/>
      <c r="P10" s="107"/>
      <c r="Q10" s="108" t="s">
        <v>129</v>
      </c>
      <c r="R10" s="112" t="s">
        <v>130</v>
      </c>
    </row>
    <row r="11" spans="1:18" ht="15" customHeight="1" x14ac:dyDescent="0.2">
      <c r="A11" s="149"/>
      <c r="B11" s="108" t="s">
        <v>23</v>
      </c>
      <c r="C11" s="108" t="s">
        <v>33</v>
      </c>
      <c r="D11" s="108" t="s">
        <v>24</v>
      </c>
      <c r="E11" s="108" t="s">
        <v>34</v>
      </c>
      <c r="F11" s="108" t="s">
        <v>25</v>
      </c>
      <c r="G11" s="108" t="s">
        <v>23</v>
      </c>
      <c r="H11" s="108" t="s">
        <v>33</v>
      </c>
      <c r="I11" s="110" t="s">
        <v>24</v>
      </c>
      <c r="J11" s="108" t="s">
        <v>34</v>
      </c>
      <c r="K11" s="108" t="s">
        <v>25</v>
      </c>
      <c r="L11" s="108" t="s">
        <v>23</v>
      </c>
      <c r="M11" s="108" t="s">
        <v>33</v>
      </c>
      <c r="N11" s="108" t="s">
        <v>24</v>
      </c>
      <c r="O11" s="108" t="s">
        <v>34</v>
      </c>
      <c r="P11" s="108" t="s">
        <v>25</v>
      </c>
      <c r="Q11" s="111"/>
      <c r="R11" s="113"/>
    </row>
    <row r="12" spans="1:18" ht="15" customHeight="1" x14ac:dyDescent="0.2">
      <c r="A12" s="14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3"/>
    </row>
    <row r="13" spans="1:18" ht="15" customHeight="1" x14ac:dyDescent="0.2">
      <c r="A13" s="150"/>
      <c r="B13" s="14" t="s">
        <v>28</v>
      </c>
      <c r="C13" s="15" t="s">
        <v>26</v>
      </c>
      <c r="D13" s="15" t="s">
        <v>27</v>
      </c>
      <c r="E13" s="15" t="s">
        <v>26</v>
      </c>
      <c r="F13" s="15" t="s">
        <v>27</v>
      </c>
      <c r="G13" s="14" t="s">
        <v>28</v>
      </c>
      <c r="H13" s="15" t="s">
        <v>26</v>
      </c>
      <c r="I13" s="16" t="s">
        <v>27</v>
      </c>
      <c r="J13" s="15" t="s">
        <v>26</v>
      </c>
      <c r="K13" s="15" t="s">
        <v>27</v>
      </c>
      <c r="L13" s="14" t="s">
        <v>28</v>
      </c>
      <c r="M13" s="15" t="s">
        <v>26</v>
      </c>
      <c r="N13" s="15" t="s">
        <v>27</v>
      </c>
      <c r="O13" s="15" t="s">
        <v>26</v>
      </c>
      <c r="P13" s="15" t="s">
        <v>27</v>
      </c>
      <c r="Q13" s="17" t="s">
        <v>29</v>
      </c>
      <c r="R13" s="114"/>
    </row>
    <row r="14" spans="1:18" ht="15" customHeight="1" x14ac:dyDescent="0.2">
      <c r="A14" s="18">
        <v>1</v>
      </c>
      <c r="B14" s="19">
        <f t="shared" ref="B14:R14" si="0">+A14+1</f>
        <v>2</v>
      </c>
      <c r="C14" s="19">
        <f t="shared" si="0"/>
        <v>3</v>
      </c>
      <c r="D14" s="19">
        <f t="shared" si="0"/>
        <v>4</v>
      </c>
      <c r="E14" s="19">
        <f t="shared" si="0"/>
        <v>5</v>
      </c>
      <c r="F14" s="19">
        <f t="shared" si="0"/>
        <v>6</v>
      </c>
      <c r="G14" s="19">
        <f t="shared" si="0"/>
        <v>7</v>
      </c>
      <c r="H14" s="19">
        <f t="shared" si="0"/>
        <v>8</v>
      </c>
      <c r="I14" s="20">
        <f t="shared" si="0"/>
        <v>9</v>
      </c>
      <c r="J14" s="19">
        <f t="shared" si="0"/>
        <v>10</v>
      </c>
      <c r="K14" s="19">
        <f t="shared" si="0"/>
        <v>11</v>
      </c>
      <c r="L14" s="19">
        <f t="shared" si="0"/>
        <v>12</v>
      </c>
      <c r="M14" s="19">
        <f t="shared" si="0"/>
        <v>13</v>
      </c>
      <c r="N14" s="19">
        <f t="shared" si="0"/>
        <v>14</v>
      </c>
      <c r="O14" s="19">
        <f t="shared" si="0"/>
        <v>15</v>
      </c>
      <c r="P14" s="19">
        <f t="shared" si="0"/>
        <v>16</v>
      </c>
      <c r="Q14" s="19">
        <f t="shared" si="0"/>
        <v>17</v>
      </c>
      <c r="R14" s="19">
        <f t="shared" si="0"/>
        <v>18</v>
      </c>
    </row>
    <row r="15" spans="1:18" x14ac:dyDescent="0.25">
      <c r="A15" s="21">
        <v>45825</v>
      </c>
      <c r="B15" s="22">
        <v>1</v>
      </c>
      <c r="C15" s="23">
        <v>1382</v>
      </c>
      <c r="D15" s="24">
        <v>-548</v>
      </c>
      <c r="E15" s="25">
        <f t="shared" ref="E15:E57" si="1">C15-D15</f>
        <v>1930</v>
      </c>
      <c r="F15" s="26">
        <v>0</v>
      </c>
      <c r="G15" s="22">
        <v>1</v>
      </c>
      <c r="H15" s="25">
        <v>1362</v>
      </c>
      <c r="I15" s="27">
        <v>-838</v>
      </c>
      <c r="J15" s="28">
        <f t="shared" ref="J15:J57" si="2">H15-I15</f>
        <v>2200</v>
      </c>
      <c r="K15" s="22">
        <v>0</v>
      </c>
      <c r="L15" s="22">
        <v>1</v>
      </c>
      <c r="M15" s="23">
        <v>1392</v>
      </c>
      <c r="N15" s="24">
        <v>-743</v>
      </c>
      <c r="O15" s="28">
        <f t="shared" ref="O15:O57" si="3">M15-N15</f>
        <v>2135</v>
      </c>
      <c r="P15" s="22">
        <v>0</v>
      </c>
      <c r="Q15" s="29"/>
      <c r="R15" s="30"/>
    </row>
    <row r="16" spans="1:18" x14ac:dyDescent="0.25">
      <c r="A16" s="21">
        <v>45826</v>
      </c>
      <c r="B16" s="22">
        <v>1</v>
      </c>
      <c r="C16" s="23">
        <v>1382</v>
      </c>
      <c r="D16" s="24">
        <v>-553</v>
      </c>
      <c r="E16" s="25">
        <f t="shared" si="1"/>
        <v>1935</v>
      </c>
      <c r="F16" s="26">
        <f t="shared" ref="F16:F57" si="4">$D$15-D16</f>
        <v>5</v>
      </c>
      <c r="G16" s="22">
        <v>1</v>
      </c>
      <c r="H16" s="25">
        <v>1362</v>
      </c>
      <c r="I16" s="27">
        <v>-843</v>
      </c>
      <c r="J16" s="28">
        <f t="shared" si="2"/>
        <v>2205</v>
      </c>
      <c r="K16" s="22">
        <f t="shared" ref="K16:K57" si="5">$I$15-I16</f>
        <v>5</v>
      </c>
      <c r="L16" s="22">
        <v>1</v>
      </c>
      <c r="M16" s="23">
        <v>1392</v>
      </c>
      <c r="N16" s="24">
        <v>-745</v>
      </c>
      <c r="O16" s="28">
        <f t="shared" si="3"/>
        <v>2137</v>
      </c>
      <c r="P16" s="22">
        <f t="shared" ref="P16:P57" si="6">$N$15-N16</f>
        <v>2</v>
      </c>
      <c r="Q16" s="29"/>
      <c r="R16" s="30"/>
    </row>
    <row r="17" spans="1:18" x14ac:dyDescent="0.25">
      <c r="A17" s="21">
        <v>45827</v>
      </c>
      <c r="B17" s="22">
        <v>1</v>
      </c>
      <c r="C17" s="23">
        <v>1382</v>
      </c>
      <c r="D17" s="24">
        <v>-558</v>
      </c>
      <c r="E17" s="25">
        <f t="shared" si="1"/>
        <v>1940</v>
      </c>
      <c r="F17" s="26">
        <f t="shared" si="4"/>
        <v>10</v>
      </c>
      <c r="G17" s="22">
        <v>1</v>
      </c>
      <c r="H17" s="25">
        <v>1362</v>
      </c>
      <c r="I17" s="27">
        <v>-848</v>
      </c>
      <c r="J17" s="28">
        <f t="shared" si="2"/>
        <v>2210</v>
      </c>
      <c r="K17" s="22">
        <f t="shared" si="5"/>
        <v>10</v>
      </c>
      <c r="L17" s="22">
        <v>1</v>
      </c>
      <c r="M17" s="23">
        <v>1392</v>
      </c>
      <c r="N17" s="24">
        <v>-747</v>
      </c>
      <c r="O17" s="28">
        <f t="shared" si="3"/>
        <v>2139</v>
      </c>
      <c r="P17" s="22">
        <f t="shared" si="6"/>
        <v>4</v>
      </c>
      <c r="Q17" s="29"/>
      <c r="R17" s="30"/>
    </row>
    <row r="18" spans="1:18" x14ac:dyDescent="0.25">
      <c r="A18" s="21">
        <v>45828</v>
      </c>
      <c r="B18" s="22">
        <v>1</v>
      </c>
      <c r="C18" s="23">
        <v>1382</v>
      </c>
      <c r="D18" s="24">
        <v>-562</v>
      </c>
      <c r="E18" s="25">
        <f t="shared" si="1"/>
        <v>1944</v>
      </c>
      <c r="F18" s="26">
        <f t="shared" si="4"/>
        <v>14</v>
      </c>
      <c r="G18" s="22">
        <v>1</v>
      </c>
      <c r="H18" s="25">
        <v>1362</v>
      </c>
      <c r="I18" s="27">
        <v>-879</v>
      </c>
      <c r="J18" s="28">
        <f t="shared" si="2"/>
        <v>2241</v>
      </c>
      <c r="K18" s="22">
        <f t="shared" si="5"/>
        <v>41</v>
      </c>
      <c r="L18" s="22">
        <v>1</v>
      </c>
      <c r="M18" s="23">
        <v>1392</v>
      </c>
      <c r="N18" s="24">
        <v>-749</v>
      </c>
      <c r="O18" s="28">
        <f t="shared" si="3"/>
        <v>2141</v>
      </c>
      <c r="P18" s="22">
        <f t="shared" si="6"/>
        <v>6</v>
      </c>
      <c r="Q18" s="29"/>
      <c r="R18" s="30"/>
    </row>
    <row r="19" spans="1:18" x14ac:dyDescent="0.25">
      <c r="A19" s="21">
        <v>45829</v>
      </c>
      <c r="B19" s="22">
        <v>1</v>
      </c>
      <c r="C19" s="23">
        <v>1382</v>
      </c>
      <c r="D19" s="24">
        <v>-568</v>
      </c>
      <c r="E19" s="25">
        <f t="shared" si="1"/>
        <v>1950</v>
      </c>
      <c r="F19" s="26">
        <f t="shared" si="4"/>
        <v>20</v>
      </c>
      <c r="G19" s="22">
        <v>1</v>
      </c>
      <c r="H19" s="25">
        <v>1362</v>
      </c>
      <c r="I19" s="27">
        <v>-888</v>
      </c>
      <c r="J19" s="28">
        <f t="shared" si="2"/>
        <v>2250</v>
      </c>
      <c r="K19" s="22">
        <f t="shared" si="5"/>
        <v>50</v>
      </c>
      <c r="L19" s="22">
        <v>1</v>
      </c>
      <c r="M19" s="23">
        <v>1392</v>
      </c>
      <c r="N19" s="24">
        <v>-750</v>
      </c>
      <c r="O19" s="28">
        <f t="shared" si="3"/>
        <v>2142</v>
      </c>
      <c r="P19" s="22">
        <f t="shared" si="6"/>
        <v>7</v>
      </c>
      <c r="Q19" s="29"/>
      <c r="R19" s="30"/>
    </row>
    <row r="20" spans="1:18" x14ac:dyDescent="0.25">
      <c r="A20" s="21">
        <v>45830</v>
      </c>
      <c r="B20" s="22">
        <v>1</v>
      </c>
      <c r="C20" s="23">
        <v>1382</v>
      </c>
      <c r="D20" s="24">
        <v>-568</v>
      </c>
      <c r="E20" s="25">
        <f t="shared" si="1"/>
        <v>1950</v>
      </c>
      <c r="F20" s="26">
        <f t="shared" si="4"/>
        <v>20</v>
      </c>
      <c r="G20" s="22">
        <v>1</v>
      </c>
      <c r="H20" s="25">
        <v>1362</v>
      </c>
      <c r="I20" s="27">
        <v>-888</v>
      </c>
      <c r="J20" s="28">
        <f t="shared" si="2"/>
        <v>2250</v>
      </c>
      <c r="K20" s="22">
        <f t="shared" si="5"/>
        <v>50</v>
      </c>
      <c r="L20" s="22">
        <v>1</v>
      </c>
      <c r="M20" s="23">
        <v>1392</v>
      </c>
      <c r="N20" s="24">
        <v>-750</v>
      </c>
      <c r="O20" s="28">
        <f t="shared" si="3"/>
        <v>2142</v>
      </c>
      <c r="P20" s="22">
        <f t="shared" si="6"/>
        <v>7</v>
      </c>
      <c r="Q20" s="29"/>
      <c r="R20" s="30"/>
    </row>
    <row r="21" spans="1:18" x14ac:dyDescent="0.25">
      <c r="A21" s="21">
        <v>45831</v>
      </c>
      <c r="B21" s="22">
        <v>1</v>
      </c>
      <c r="C21" s="23">
        <v>1382</v>
      </c>
      <c r="D21" s="24">
        <v>-568</v>
      </c>
      <c r="E21" s="25">
        <f t="shared" si="1"/>
        <v>1950</v>
      </c>
      <c r="F21" s="26">
        <f t="shared" si="4"/>
        <v>20</v>
      </c>
      <c r="G21" s="22">
        <v>1</v>
      </c>
      <c r="H21" s="25">
        <v>1362</v>
      </c>
      <c r="I21" s="27">
        <v>-888</v>
      </c>
      <c r="J21" s="28">
        <f t="shared" si="2"/>
        <v>2250</v>
      </c>
      <c r="K21" s="22">
        <f t="shared" si="5"/>
        <v>50</v>
      </c>
      <c r="L21" s="22">
        <v>1</v>
      </c>
      <c r="M21" s="23">
        <v>1392</v>
      </c>
      <c r="N21" s="24">
        <v>-750</v>
      </c>
      <c r="O21" s="28">
        <f t="shared" si="3"/>
        <v>2142</v>
      </c>
      <c r="P21" s="22">
        <f t="shared" si="6"/>
        <v>7</v>
      </c>
      <c r="Q21" s="29"/>
      <c r="R21" s="30"/>
    </row>
    <row r="22" spans="1:18" x14ac:dyDescent="0.25">
      <c r="A22" s="21">
        <v>45832</v>
      </c>
      <c r="B22" s="22">
        <v>1</v>
      </c>
      <c r="C22" s="23">
        <v>1382</v>
      </c>
      <c r="D22" s="24">
        <v>-568</v>
      </c>
      <c r="E22" s="25">
        <f t="shared" si="1"/>
        <v>1950</v>
      </c>
      <c r="F22" s="26">
        <f t="shared" si="4"/>
        <v>20</v>
      </c>
      <c r="G22" s="22">
        <v>1</v>
      </c>
      <c r="H22" s="25">
        <v>1362</v>
      </c>
      <c r="I22" s="27">
        <v>-888</v>
      </c>
      <c r="J22" s="28">
        <f t="shared" si="2"/>
        <v>2250</v>
      </c>
      <c r="K22" s="22">
        <f t="shared" si="5"/>
        <v>50</v>
      </c>
      <c r="L22" s="22">
        <v>1</v>
      </c>
      <c r="M22" s="23">
        <v>1392</v>
      </c>
      <c r="N22" s="24">
        <v>-750</v>
      </c>
      <c r="O22" s="28">
        <f t="shared" si="3"/>
        <v>2142</v>
      </c>
      <c r="P22" s="22">
        <f t="shared" si="6"/>
        <v>7</v>
      </c>
      <c r="Q22" s="29"/>
      <c r="R22" s="30"/>
    </row>
    <row r="23" spans="1:18" x14ac:dyDescent="0.25">
      <c r="A23" s="21">
        <v>45833</v>
      </c>
      <c r="B23" s="22">
        <v>1</v>
      </c>
      <c r="C23" s="23">
        <v>1382</v>
      </c>
      <c r="D23" s="24">
        <v>-568</v>
      </c>
      <c r="E23" s="25">
        <f t="shared" si="1"/>
        <v>1950</v>
      </c>
      <c r="F23" s="26">
        <f t="shared" si="4"/>
        <v>20</v>
      </c>
      <c r="G23" s="22">
        <v>1</v>
      </c>
      <c r="H23" s="25">
        <v>1362</v>
      </c>
      <c r="I23" s="27">
        <v>-888</v>
      </c>
      <c r="J23" s="28">
        <f t="shared" si="2"/>
        <v>2250</v>
      </c>
      <c r="K23" s="22">
        <f t="shared" si="5"/>
        <v>50</v>
      </c>
      <c r="L23" s="22">
        <v>1</v>
      </c>
      <c r="M23" s="23">
        <v>1392</v>
      </c>
      <c r="N23" s="24">
        <v>-750</v>
      </c>
      <c r="O23" s="28">
        <f t="shared" si="3"/>
        <v>2142</v>
      </c>
      <c r="P23" s="22">
        <f t="shared" si="6"/>
        <v>7</v>
      </c>
      <c r="Q23" s="29"/>
      <c r="R23" s="30"/>
    </row>
    <row r="24" spans="1:18" x14ac:dyDescent="0.25">
      <c r="A24" s="21">
        <v>45834</v>
      </c>
      <c r="B24" s="22">
        <v>1</v>
      </c>
      <c r="C24" s="23">
        <v>1382</v>
      </c>
      <c r="D24" s="24">
        <v>-576</v>
      </c>
      <c r="E24" s="25">
        <f t="shared" si="1"/>
        <v>1958</v>
      </c>
      <c r="F24" s="26">
        <f t="shared" si="4"/>
        <v>28</v>
      </c>
      <c r="G24" s="22">
        <v>1</v>
      </c>
      <c r="H24" s="25">
        <v>1362</v>
      </c>
      <c r="I24" s="27">
        <v>-888</v>
      </c>
      <c r="J24" s="28">
        <f t="shared" si="2"/>
        <v>2250</v>
      </c>
      <c r="K24" s="22">
        <f t="shared" si="5"/>
        <v>50</v>
      </c>
      <c r="L24" s="22">
        <v>1</v>
      </c>
      <c r="M24" s="23">
        <v>1392</v>
      </c>
      <c r="N24" s="24">
        <v>-750</v>
      </c>
      <c r="O24" s="28">
        <f t="shared" si="3"/>
        <v>2142</v>
      </c>
      <c r="P24" s="22">
        <f t="shared" si="6"/>
        <v>7</v>
      </c>
      <c r="Q24" s="29"/>
      <c r="R24" s="30"/>
    </row>
    <row r="25" spans="1:18" x14ac:dyDescent="0.25">
      <c r="A25" s="21">
        <v>45835</v>
      </c>
      <c r="B25" s="22">
        <v>1</v>
      </c>
      <c r="C25" s="23">
        <v>1382</v>
      </c>
      <c r="D25" s="24">
        <v>-589</v>
      </c>
      <c r="E25" s="25">
        <f t="shared" si="1"/>
        <v>1971</v>
      </c>
      <c r="F25" s="26">
        <f t="shared" si="4"/>
        <v>41</v>
      </c>
      <c r="G25" s="22">
        <v>1</v>
      </c>
      <c r="H25" s="25">
        <v>1362</v>
      </c>
      <c r="I25" s="27">
        <v>-888</v>
      </c>
      <c r="J25" s="28">
        <f t="shared" si="2"/>
        <v>2250</v>
      </c>
      <c r="K25" s="22">
        <f t="shared" si="5"/>
        <v>50</v>
      </c>
      <c r="L25" s="22">
        <v>1</v>
      </c>
      <c r="M25" s="23">
        <v>1392</v>
      </c>
      <c r="N25" s="24">
        <v>-750</v>
      </c>
      <c r="O25" s="28">
        <f t="shared" si="3"/>
        <v>2142</v>
      </c>
      <c r="P25" s="22">
        <f t="shared" si="6"/>
        <v>7</v>
      </c>
      <c r="Q25" s="29"/>
      <c r="R25" s="30"/>
    </row>
    <row r="26" spans="1:18" x14ac:dyDescent="0.25">
      <c r="A26" s="21">
        <v>45836</v>
      </c>
      <c r="B26" s="22">
        <v>1</v>
      </c>
      <c r="C26" s="23">
        <v>1382</v>
      </c>
      <c r="D26" s="24">
        <v>-602</v>
      </c>
      <c r="E26" s="25">
        <f t="shared" si="1"/>
        <v>1984</v>
      </c>
      <c r="F26" s="26">
        <f t="shared" si="4"/>
        <v>54</v>
      </c>
      <c r="G26" s="22">
        <v>1</v>
      </c>
      <c r="H26" s="25">
        <v>1362</v>
      </c>
      <c r="I26" s="27">
        <v>-888</v>
      </c>
      <c r="J26" s="28">
        <f t="shared" si="2"/>
        <v>2250</v>
      </c>
      <c r="K26" s="22">
        <f t="shared" si="5"/>
        <v>50</v>
      </c>
      <c r="L26" s="22">
        <v>1</v>
      </c>
      <c r="M26" s="23">
        <v>1392</v>
      </c>
      <c r="N26" s="24">
        <v>-757</v>
      </c>
      <c r="O26" s="28">
        <f t="shared" si="3"/>
        <v>2149</v>
      </c>
      <c r="P26" s="22">
        <f t="shared" si="6"/>
        <v>14</v>
      </c>
      <c r="Q26" s="29"/>
      <c r="R26" s="30"/>
    </row>
    <row r="27" spans="1:18" x14ac:dyDescent="0.25">
      <c r="A27" s="21">
        <v>45837</v>
      </c>
      <c r="B27" s="22">
        <v>1</v>
      </c>
      <c r="C27" s="23">
        <v>1382</v>
      </c>
      <c r="D27" s="24">
        <v>-615</v>
      </c>
      <c r="E27" s="25">
        <f t="shared" si="1"/>
        <v>1997</v>
      </c>
      <c r="F27" s="26">
        <f t="shared" si="4"/>
        <v>67</v>
      </c>
      <c r="G27" s="22">
        <v>1</v>
      </c>
      <c r="H27" s="25">
        <v>1362</v>
      </c>
      <c r="I27" s="27">
        <v>-888</v>
      </c>
      <c r="J27" s="28">
        <f t="shared" si="2"/>
        <v>2250</v>
      </c>
      <c r="K27" s="22">
        <f t="shared" si="5"/>
        <v>50</v>
      </c>
      <c r="L27" s="22">
        <v>1</v>
      </c>
      <c r="M27" s="23">
        <v>1392</v>
      </c>
      <c r="N27" s="24">
        <v>-770</v>
      </c>
      <c r="O27" s="28">
        <f t="shared" si="3"/>
        <v>2162</v>
      </c>
      <c r="P27" s="22">
        <f t="shared" si="6"/>
        <v>27</v>
      </c>
      <c r="Q27" s="29"/>
      <c r="R27" s="30"/>
    </row>
    <row r="28" spans="1:18" x14ac:dyDescent="0.25">
      <c r="A28" s="21">
        <v>45838</v>
      </c>
      <c r="B28" s="22">
        <v>1</v>
      </c>
      <c r="C28" s="23">
        <v>1382</v>
      </c>
      <c r="D28" s="24">
        <v>-628</v>
      </c>
      <c r="E28" s="25">
        <f t="shared" si="1"/>
        <v>2010</v>
      </c>
      <c r="F28" s="26">
        <f t="shared" si="4"/>
        <v>80</v>
      </c>
      <c r="G28" s="22">
        <v>1</v>
      </c>
      <c r="H28" s="25">
        <v>1362</v>
      </c>
      <c r="I28" s="27">
        <v>-904</v>
      </c>
      <c r="J28" s="28">
        <f t="shared" si="2"/>
        <v>2266</v>
      </c>
      <c r="K28" s="22">
        <f t="shared" si="5"/>
        <v>66</v>
      </c>
      <c r="L28" s="22">
        <v>1</v>
      </c>
      <c r="M28" s="23">
        <v>1392</v>
      </c>
      <c r="N28" s="24">
        <v>-783</v>
      </c>
      <c r="O28" s="28">
        <f t="shared" si="3"/>
        <v>2175</v>
      </c>
      <c r="P28" s="22">
        <f t="shared" si="6"/>
        <v>40</v>
      </c>
      <c r="Q28" s="29"/>
      <c r="R28" s="30"/>
    </row>
    <row r="29" spans="1:18" x14ac:dyDescent="0.25">
      <c r="A29" s="21">
        <v>45839</v>
      </c>
      <c r="B29" s="22">
        <v>1</v>
      </c>
      <c r="C29" s="23">
        <v>1382</v>
      </c>
      <c r="D29" s="24">
        <v>-641</v>
      </c>
      <c r="E29" s="25">
        <f t="shared" si="1"/>
        <v>2023</v>
      </c>
      <c r="F29" s="26">
        <f t="shared" si="4"/>
        <v>93</v>
      </c>
      <c r="G29" s="22">
        <v>1</v>
      </c>
      <c r="H29" s="25">
        <v>1362</v>
      </c>
      <c r="I29" s="27">
        <v>-925</v>
      </c>
      <c r="J29" s="28">
        <f t="shared" si="2"/>
        <v>2287</v>
      </c>
      <c r="K29" s="22">
        <f t="shared" si="5"/>
        <v>87</v>
      </c>
      <c r="L29" s="22">
        <v>1</v>
      </c>
      <c r="M29" s="23">
        <v>1392</v>
      </c>
      <c r="N29" s="24">
        <v>-796</v>
      </c>
      <c r="O29" s="28">
        <f t="shared" si="3"/>
        <v>2188</v>
      </c>
      <c r="P29" s="22">
        <f t="shared" si="6"/>
        <v>53</v>
      </c>
      <c r="Q29" s="29"/>
      <c r="R29" s="30"/>
    </row>
    <row r="30" spans="1:18" x14ac:dyDescent="0.25">
      <c r="A30" s="21">
        <v>45840</v>
      </c>
      <c r="B30" s="22">
        <v>1</v>
      </c>
      <c r="C30" s="23">
        <v>1382</v>
      </c>
      <c r="D30" s="24">
        <v>-654</v>
      </c>
      <c r="E30" s="25">
        <f t="shared" si="1"/>
        <v>2036</v>
      </c>
      <c r="F30" s="26">
        <f t="shared" si="4"/>
        <v>106</v>
      </c>
      <c r="G30" s="22">
        <v>1</v>
      </c>
      <c r="H30" s="25">
        <v>1362</v>
      </c>
      <c r="I30" s="27">
        <v>-946</v>
      </c>
      <c r="J30" s="28">
        <f t="shared" si="2"/>
        <v>2308</v>
      </c>
      <c r="K30" s="22">
        <f t="shared" si="5"/>
        <v>108</v>
      </c>
      <c r="L30" s="22">
        <v>1</v>
      </c>
      <c r="M30" s="23">
        <v>1392</v>
      </c>
      <c r="N30" s="24">
        <v>-809</v>
      </c>
      <c r="O30" s="28">
        <f t="shared" si="3"/>
        <v>2201</v>
      </c>
      <c r="P30" s="22">
        <f t="shared" si="6"/>
        <v>66</v>
      </c>
      <c r="Q30" s="29"/>
      <c r="R30" s="30"/>
    </row>
    <row r="31" spans="1:18" x14ac:dyDescent="0.25">
      <c r="A31" s="21">
        <v>45841</v>
      </c>
      <c r="B31" s="22">
        <v>1</v>
      </c>
      <c r="C31" s="23">
        <v>1382</v>
      </c>
      <c r="D31" s="24">
        <v>-667</v>
      </c>
      <c r="E31" s="25">
        <f t="shared" si="1"/>
        <v>2049</v>
      </c>
      <c r="F31" s="26">
        <f t="shared" si="4"/>
        <v>119</v>
      </c>
      <c r="G31" s="22">
        <v>1</v>
      </c>
      <c r="H31" s="25">
        <v>1362</v>
      </c>
      <c r="I31" s="27">
        <v>-967</v>
      </c>
      <c r="J31" s="28">
        <f t="shared" si="2"/>
        <v>2329</v>
      </c>
      <c r="K31" s="22">
        <f t="shared" si="5"/>
        <v>129</v>
      </c>
      <c r="L31" s="22">
        <v>1</v>
      </c>
      <c r="M31" s="23">
        <v>1392</v>
      </c>
      <c r="N31" s="24">
        <v>-822</v>
      </c>
      <c r="O31" s="28">
        <f t="shared" si="3"/>
        <v>2214</v>
      </c>
      <c r="P31" s="22">
        <f t="shared" si="6"/>
        <v>79</v>
      </c>
      <c r="Q31" s="29"/>
      <c r="R31" s="30"/>
    </row>
    <row r="32" spans="1:18" x14ac:dyDescent="0.25">
      <c r="A32" s="21">
        <v>45842</v>
      </c>
      <c r="B32" s="22">
        <v>1</v>
      </c>
      <c r="C32" s="23">
        <v>1382</v>
      </c>
      <c r="D32" s="24">
        <v>-680</v>
      </c>
      <c r="E32" s="25">
        <f t="shared" si="1"/>
        <v>2062</v>
      </c>
      <c r="F32" s="26">
        <f t="shared" si="4"/>
        <v>132</v>
      </c>
      <c r="G32" s="22">
        <v>1</v>
      </c>
      <c r="H32" s="25">
        <v>1362</v>
      </c>
      <c r="I32" s="27">
        <v>-988</v>
      </c>
      <c r="J32" s="28">
        <f t="shared" si="2"/>
        <v>2350</v>
      </c>
      <c r="K32" s="22">
        <f t="shared" si="5"/>
        <v>150</v>
      </c>
      <c r="L32" s="22">
        <v>1</v>
      </c>
      <c r="M32" s="23">
        <v>1392</v>
      </c>
      <c r="N32" s="24">
        <v>-835</v>
      </c>
      <c r="O32" s="28">
        <f t="shared" si="3"/>
        <v>2227</v>
      </c>
      <c r="P32" s="22">
        <f t="shared" si="6"/>
        <v>92</v>
      </c>
      <c r="Q32" s="29"/>
      <c r="R32" s="30"/>
    </row>
    <row r="33" spans="1:18" x14ac:dyDescent="0.25">
      <c r="A33" s="21">
        <v>45843</v>
      </c>
      <c r="B33" s="22">
        <v>1</v>
      </c>
      <c r="C33" s="23">
        <v>1382</v>
      </c>
      <c r="D33" s="24">
        <v>-693</v>
      </c>
      <c r="E33" s="25">
        <f t="shared" si="1"/>
        <v>2075</v>
      </c>
      <c r="F33" s="26">
        <f t="shared" si="4"/>
        <v>145</v>
      </c>
      <c r="G33" s="22">
        <v>1</v>
      </c>
      <c r="H33" s="25">
        <v>1362</v>
      </c>
      <c r="I33" s="27">
        <v>-1009</v>
      </c>
      <c r="J33" s="28">
        <f t="shared" si="2"/>
        <v>2371</v>
      </c>
      <c r="K33" s="22">
        <f t="shared" si="5"/>
        <v>171</v>
      </c>
      <c r="L33" s="22">
        <v>1</v>
      </c>
      <c r="M33" s="23">
        <v>1392</v>
      </c>
      <c r="N33" s="24">
        <v>-848</v>
      </c>
      <c r="O33" s="28">
        <f t="shared" si="3"/>
        <v>2240</v>
      </c>
      <c r="P33" s="22">
        <f t="shared" si="6"/>
        <v>105</v>
      </c>
      <c r="Q33" s="29"/>
      <c r="R33" s="30"/>
    </row>
    <row r="34" spans="1:18" x14ac:dyDescent="0.25">
      <c r="A34" s="21">
        <v>45844</v>
      </c>
      <c r="B34" s="22">
        <v>1</v>
      </c>
      <c r="C34" s="23">
        <v>1382</v>
      </c>
      <c r="D34" s="24">
        <v>-706</v>
      </c>
      <c r="E34" s="25">
        <f t="shared" si="1"/>
        <v>2088</v>
      </c>
      <c r="F34" s="26">
        <f t="shared" si="4"/>
        <v>158</v>
      </c>
      <c r="G34" s="22">
        <v>1</v>
      </c>
      <c r="H34" s="25">
        <v>1362</v>
      </c>
      <c r="I34" s="27">
        <v>-1030</v>
      </c>
      <c r="J34" s="28">
        <f t="shared" si="2"/>
        <v>2392</v>
      </c>
      <c r="K34" s="22">
        <f t="shared" si="5"/>
        <v>192</v>
      </c>
      <c r="L34" s="22">
        <v>1</v>
      </c>
      <c r="M34" s="23">
        <v>1392</v>
      </c>
      <c r="N34" s="24">
        <v>-861</v>
      </c>
      <c r="O34" s="28">
        <f t="shared" si="3"/>
        <v>2253</v>
      </c>
      <c r="P34" s="22">
        <f t="shared" si="6"/>
        <v>118</v>
      </c>
      <c r="Q34" s="29"/>
      <c r="R34" s="30"/>
    </row>
    <row r="35" spans="1:18" x14ac:dyDescent="0.25">
      <c r="A35" s="21">
        <v>45845</v>
      </c>
      <c r="B35" s="22">
        <v>1</v>
      </c>
      <c r="C35" s="23">
        <v>1382</v>
      </c>
      <c r="D35" s="24">
        <v>-719</v>
      </c>
      <c r="E35" s="25">
        <f t="shared" si="1"/>
        <v>2101</v>
      </c>
      <c r="F35" s="26">
        <f t="shared" si="4"/>
        <v>171</v>
      </c>
      <c r="G35" s="22">
        <v>1</v>
      </c>
      <c r="H35" s="25">
        <v>1362</v>
      </c>
      <c r="I35" s="27">
        <v>-1051</v>
      </c>
      <c r="J35" s="28">
        <f t="shared" si="2"/>
        <v>2413</v>
      </c>
      <c r="K35" s="22">
        <f t="shared" si="5"/>
        <v>213</v>
      </c>
      <c r="L35" s="22">
        <v>1</v>
      </c>
      <c r="M35" s="23">
        <v>1392</v>
      </c>
      <c r="N35" s="24">
        <v>-874</v>
      </c>
      <c r="O35" s="28">
        <f t="shared" si="3"/>
        <v>2266</v>
      </c>
      <c r="P35" s="22">
        <f t="shared" si="6"/>
        <v>131</v>
      </c>
      <c r="Q35" s="29"/>
      <c r="R35" s="30"/>
    </row>
    <row r="36" spans="1:18" x14ac:dyDescent="0.25">
      <c r="A36" s="21">
        <v>45846</v>
      </c>
      <c r="B36" s="22">
        <v>1</v>
      </c>
      <c r="C36" s="23">
        <v>1382</v>
      </c>
      <c r="D36" s="24">
        <v>-732</v>
      </c>
      <c r="E36" s="25">
        <f t="shared" si="1"/>
        <v>2114</v>
      </c>
      <c r="F36" s="26">
        <f t="shared" si="4"/>
        <v>184</v>
      </c>
      <c r="G36" s="22">
        <v>1</v>
      </c>
      <c r="H36" s="25">
        <v>1362</v>
      </c>
      <c r="I36" s="27">
        <v>-1072</v>
      </c>
      <c r="J36" s="28">
        <f t="shared" si="2"/>
        <v>2434</v>
      </c>
      <c r="K36" s="22">
        <f t="shared" si="5"/>
        <v>234</v>
      </c>
      <c r="L36" s="22">
        <v>1</v>
      </c>
      <c r="M36" s="23">
        <v>1392</v>
      </c>
      <c r="N36" s="24">
        <v>-887</v>
      </c>
      <c r="O36" s="28">
        <f t="shared" si="3"/>
        <v>2279</v>
      </c>
      <c r="P36" s="22">
        <f t="shared" si="6"/>
        <v>144</v>
      </c>
      <c r="Q36" s="29"/>
      <c r="R36" s="30"/>
    </row>
    <row r="37" spans="1:18" x14ac:dyDescent="0.25">
      <c r="A37" s="21">
        <v>45847</v>
      </c>
      <c r="B37" s="22">
        <v>1</v>
      </c>
      <c r="C37" s="23">
        <v>1382</v>
      </c>
      <c r="D37" s="24">
        <v>-745</v>
      </c>
      <c r="E37" s="25">
        <f t="shared" si="1"/>
        <v>2127</v>
      </c>
      <c r="F37" s="26">
        <f t="shared" si="4"/>
        <v>197</v>
      </c>
      <c r="G37" s="22">
        <v>1</v>
      </c>
      <c r="H37" s="25">
        <v>1362</v>
      </c>
      <c r="I37" s="27">
        <v>-1093</v>
      </c>
      <c r="J37" s="28">
        <f t="shared" si="2"/>
        <v>2455</v>
      </c>
      <c r="K37" s="22">
        <f t="shared" si="5"/>
        <v>255</v>
      </c>
      <c r="L37" s="22">
        <v>1</v>
      </c>
      <c r="M37" s="23">
        <v>1392</v>
      </c>
      <c r="N37" s="24">
        <v>-900</v>
      </c>
      <c r="O37" s="28">
        <f t="shared" si="3"/>
        <v>2292</v>
      </c>
      <c r="P37" s="22">
        <f t="shared" si="6"/>
        <v>157</v>
      </c>
      <c r="Q37" s="29"/>
      <c r="R37" s="30"/>
    </row>
    <row r="38" spans="1:18" x14ac:dyDescent="0.25">
      <c r="A38" s="21">
        <v>45848</v>
      </c>
      <c r="B38" s="22">
        <v>1</v>
      </c>
      <c r="C38" s="23">
        <v>1382</v>
      </c>
      <c r="D38" s="24">
        <v>-758</v>
      </c>
      <c r="E38" s="25">
        <f t="shared" si="1"/>
        <v>2140</v>
      </c>
      <c r="F38" s="26">
        <f t="shared" si="4"/>
        <v>210</v>
      </c>
      <c r="G38" s="22">
        <v>1</v>
      </c>
      <c r="H38" s="25">
        <v>1362</v>
      </c>
      <c r="I38" s="27">
        <v>-1114</v>
      </c>
      <c r="J38" s="28">
        <f t="shared" si="2"/>
        <v>2476</v>
      </c>
      <c r="K38" s="22">
        <f t="shared" si="5"/>
        <v>276</v>
      </c>
      <c r="L38" s="22">
        <v>1</v>
      </c>
      <c r="M38" s="23">
        <v>1392</v>
      </c>
      <c r="N38" s="24">
        <v>-913</v>
      </c>
      <c r="O38" s="28">
        <f t="shared" si="3"/>
        <v>2305</v>
      </c>
      <c r="P38" s="22">
        <f t="shared" si="6"/>
        <v>170</v>
      </c>
      <c r="Q38" s="29"/>
      <c r="R38" s="30"/>
    </row>
    <row r="39" spans="1:18" x14ac:dyDescent="0.25">
      <c r="A39" s="21">
        <v>45849</v>
      </c>
      <c r="B39" s="22">
        <v>1</v>
      </c>
      <c r="C39" s="23">
        <v>1382</v>
      </c>
      <c r="D39" s="24">
        <v>-771</v>
      </c>
      <c r="E39" s="25">
        <f t="shared" si="1"/>
        <v>2153</v>
      </c>
      <c r="F39" s="26">
        <f t="shared" si="4"/>
        <v>223</v>
      </c>
      <c r="G39" s="22">
        <v>1</v>
      </c>
      <c r="H39" s="25">
        <v>1362</v>
      </c>
      <c r="I39" s="27">
        <v>-1135</v>
      </c>
      <c r="J39" s="28">
        <f t="shared" si="2"/>
        <v>2497</v>
      </c>
      <c r="K39" s="22">
        <f t="shared" si="5"/>
        <v>297</v>
      </c>
      <c r="L39" s="22">
        <v>1</v>
      </c>
      <c r="M39" s="23">
        <v>1392</v>
      </c>
      <c r="N39" s="24">
        <v>-926</v>
      </c>
      <c r="O39" s="28">
        <f t="shared" si="3"/>
        <v>2318</v>
      </c>
      <c r="P39" s="22">
        <f t="shared" si="6"/>
        <v>183</v>
      </c>
      <c r="Q39" s="29"/>
      <c r="R39" s="30"/>
    </row>
    <row r="40" spans="1:18" x14ac:dyDescent="0.25">
      <c r="A40" s="21">
        <v>45850</v>
      </c>
      <c r="B40" s="22">
        <v>1</v>
      </c>
      <c r="C40" s="23">
        <v>1382</v>
      </c>
      <c r="D40" s="24">
        <v>-784</v>
      </c>
      <c r="E40" s="25">
        <f t="shared" si="1"/>
        <v>2166</v>
      </c>
      <c r="F40" s="26">
        <f t="shared" si="4"/>
        <v>236</v>
      </c>
      <c r="G40" s="22">
        <v>1</v>
      </c>
      <c r="H40" s="25">
        <v>1362</v>
      </c>
      <c r="I40" s="27">
        <v>-1156</v>
      </c>
      <c r="J40" s="28">
        <f t="shared" si="2"/>
        <v>2518</v>
      </c>
      <c r="K40" s="22">
        <f t="shared" si="5"/>
        <v>318</v>
      </c>
      <c r="L40" s="22">
        <v>1</v>
      </c>
      <c r="M40" s="23">
        <v>1392</v>
      </c>
      <c r="N40" s="24">
        <v>-939</v>
      </c>
      <c r="O40" s="28">
        <f t="shared" si="3"/>
        <v>2331</v>
      </c>
      <c r="P40" s="22">
        <f t="shared" si="6"/>
        <v>196</v>
      </c>
      <c r="Q40" s="29"/>
      <c r="R40" s="30"/>
    </row>
    <row r="41" spans="1:18" x14ac:dyDescent="0.25">
      <c r="A41" s="21">
        <v>45851</v>
      </c>
      <c r="B41" s="22">
        <v>1</v>
      </c>
      <c r="C41" s="23">
        <v>1382</v>
      </c>
      <c r="D41" s="24">
        <v>-797</v>
      </c>
      <c r="E41" s="25">
        <f t="shared" si="1"/>
        <v>2179</v>
      </c>
      <c r="F41" s="26">
        <f t="shared" si="4"/>
        <v>249</v>
      </c>
      <c r="G41" s="22">
        <v>1</v>
      </c>
      <c r="H41" s="25">
        <v>1362</v>
      </c>
      <c r="I41" s="27">
        <v>-1177</v>
      </c>
      <c r="J41" s="28">
        <f t="shared" si="2"/>
        <v>2539</v>
      </c>
      <c r="K41" s="22">
        <f t="shared" si="5"/>
        <v>339</v>
      </c>
      <c r="L41" s="22">
        <v>1</v>
      </c>
      <c r="M41" s="23">
        <v>1392</v>
      </c>
      <c r="N41" s="24">
        <v>-952</v>
      </c>
      <c r="O41" s="28">
        <f t="shared" si="3"/>
        <v>2344</v>
      </c>
      <c r="P41" s="22">
        <f t="shared" si="6"/>
        <v>209</v>
      </c>
      <c r="Q41" s="29"/>
      <c r="R41" s="30"/>
    </row>
    <row r="42" spans="1:18" x14ac:dyDescent="0.25">
      <c r="A42" s="21">
        <v>45852</v>
      </c>
      <c r="B42" s="22">
        <v>1</v>
      </c>
      <c r="C42" s="23">
        <v>1382</v>
      </c>
      <c r="D42" s="24">
        <v>-810</v>
      </c>
      <c r="E42" s="25">
        <f t="shared" si="1"/>
        <v>2192</v>
      </c>
      <c r="F42" s="26">
        <f t="shared" si="4"/>
        <v>262</v>
      </c>
      <c r="G42" s="22">
        <v>1</v>
      </c>
      <c r="H42" s="25">
        <v>1362</v>
      </c>
      <c r="I42" s="27">
        <v>-1198</v>
      </c>
      <c r="J42" s="28">
        <f t="shared" si="2"/>
        <v>2560</v>
      </c>
      <c r="K42" s="22">
        <f t="shared" si="5"/>
        <v>360</v>
      </c>
      <c r="L42" s="22">
        <v>1</v>
      </c>
      <c r="M42" s="23">
        <v>1392</v>
      </c>
      <c r="N42" s="24">
        <v>-965</v>
      </c>
      <c r="O42" s="28">
        <f t="shared" si="3"/>
        <v>2357</v>
      </c>
      <c r="P42" s="22">
        <f t="shared" si="6"/>
        <v>222</v>
      </c>
      <c r="Q42" s="29"/>
      <c r="R42" s="30"/>
    </row>
    <row r="43" spans="1:18" x14ac:dyDescent="0.25">
      <c r="A43" s="21">
        <v>45853</v>
      </c>
      <c r="B43" s="22">
        <v>1</v>
      </c>
      <c r="C43" s="23">
        <v>1382</v>
      </c>
      <c r="D43" s="24">
        <v>-823</v>
      </c>
      <c r="E43" s="25">
        <f t="shared" si="1"/>
        <v>2205</v>
      </c>
      <c r="F43" s="26">
        <f t="shared" si="4"/>
        <v>275</v>
      </c>
      <c r="G43" s="22">
        <v>1</v>
      </c>
      <c r="H43" s="25">
        <v>1362</v>
      </c>
      <c r="I43" s="27">
        <v>-1219</v>
      </c>
      <c r="J43" s="28">
        <f t="shared" si="2"/>
        <v>2581</v>
      </c>
      <c r="K43" s="22">
        <f t="shared" si="5"/>
        <v>381</v>
      </c>
      <c r="L43" s="22">
        <v>1</v>
      </c>
      <c r="M43" s="23">
        <v>1392</v>
      </c>
      <c r="N43" s="24">
        <v>-978</v>
      </c>
      <c r="O43" s="28">
        <f t="shared" si="3"/>
        <v>2370</v>
      </c>
      <c r="P43" s="22">
        <f t="shared" si="6"/>
        <v>235</v>
      </c>
      <c r="Q43" s="29"/>
      <c r="R43" s="30"/>
    </row>
    <row r="44" spans="1:18" x14ac:dyDescent="0.25">
      <c r="A44" s="21">
        <v>45854</v>
      </c>
      <c r="B44" s="22">
        <v>1</v>
      </c>
      <c r="C44" s="23">
        <v>1382</v>
      </c>
      <c r="D44" s="24">
        <v>-836</v>
      </c>
      <c r="E44" s="25">
        <f t="shared" si="1"/>
        <v>2218</v>
      </c>
      <c r="F44" s="26">
        <f t="shared" si="4"/>
        <v>288</v>
      </c>
      <c r="G44" s="22">
        <v>1</v>
      </c>
      <c r="H44" s="25">
        <v>1362</v>
      </c>
      <c r="I44" s="27">
        <v>-1240</v>
      </c>
      <c r="J44" s="28">
        <f t="shared" si="2"/>
        <v>2602</v>
      </c>
      <c r="K44" s="22">
        <f t="shared" si="5"/>
        <v>402</v>
      </c>
      <c r="L44" s="22">
        <v>1</v>
      </c>
      <c r="M44" s="23">
        <v>1392</v>
      </c>
      <c r="N44" s="24">
        <v>-991</v>
      </c>
      <c r="O44" s="28">
        <f t="shared" si="3"/>
        <v>2383</v>
      </c>
      <c r="P44" s="22">
        <f t="shared" si="6"/>
        <v>248</v>
      </c>
      <c r="Q44" s="29"/>
      <c r="R44" s="30"/>
    </row>
    <row r="45" spans="1:18" x14ac:dyDescent="0.25">
      <c r="A45" s="21">
        <v>45855</v>
      </c>
      <c r="B45" s="22">
        <v>1</v>
      </c>
      <c r="C45" s="23">
        <v>1382</v>
      </c>
      <c r="D45" s="24">
        <v>-849</v>
      </c>
      <c r="E45" s="25">
        <f t="shared" si="1"/>
        <v>2231</v>
      </c>
      <c r="F45" s="26">
        <f t="shared" si="4"/>
        <v>301</v>
      </c>
      <c r="G45" s="22">
        <v>1</v>
      </c>
      <c r="H45" s="25">
        <v>1362</v>
      </c>
      <c r="I45" s="27">
        <v>-1261</v>
      </c>
      <c r="J45" s="28">
        <f t="shared" si="2"/>
        <v>2623</v>
      </c>
      <c r="K45" s="22">
        <f t="shared" si="5"/>
        <v>423</v>
      </c>
      <c r="L45" s="22">
        <v>1</v>
      </c>
      <c r="M45" s="23">
        <v>1392</v>
      </c>
      <c r="N45" s="24">
        <v>-1004</v>
      </c>
      <c r="O45" s="28">
        <f t="shared" si="3"/>
        <v>2396</v>
      </c>
      <c r="P45" s="22">
        <f t="shared" si="6"/>
        <v>261</v>
      </c>
      <c r="Q45" s="29"/>
      <c r="R45" s="30"/>
    </row>
    <row r="46" spans="1:18" x14ac:dyDescent="0.25">
      <c r="A46" s="21">
        <v>45856</v>
      </c>
      <c r="B46" s="22">
        <v>1</v>
      </c>
      <c r="C46" s="23">
        <v>1382</v>
      </c>
      <c r="D46" s="24">
        <v>-862</v>
      </c>
      <c r="E46" s="25">
        <f t="shared" si="1"/>
        <v>2244</v>
      </c>
      <c r="F46" s="26">
        <f t="shared" si="4"/>
        <v>314</v>
      </c>
      <c r="G46" s="22">
        <v>1</v>
      </c>
      <c r="H46" s="25">
        <v>1362</v>
      </c>
      <c r="I46" s="27">
        <v>-1282</v>
      </c>
      <c r="J46" s="28">
        <f t="shared" si="2"/>
        <v>2644</v>
      </c>
      <c r="K46" s="22">
        <f t="shared" si="5"/>
        <v>444</v>
      </c>
      <c r="L46" s="22">
        <v>1</v>
      </c>
      <c r="M46" s="23">
        <v>1392</v>
      </c>
      <c r="N46" s="24">
        <v>-1017</v>
      </c>
      <c r="O46" s="28">
        <f t="shared" si="3"/>
        <v>2409</v>
      </c>
      <c r="P46" s="22">
        <f t="shared" si="6"/>
        <v>274</v>
      </c>
      <c r="Q46" s="29"/>
      <c r="R46" s="30"/>
    </row>
    <row r="47" spans="1:18" x14ac:dyDescent="0.25">
      <c r="A47" s="21">
        <v>45857</v>
      </c>
      <c r="B47" s="22">
        <v>1</v>
      </c>
      <c r="C47" s="23">
        <v>1382</v>
      </c>
      <c r="D47" s="24">
        <v>-875</v>
      </c>
      <c r="E47" s="25">
        <f t="shared" si="1"/>
        <v>2257</v>
      </c>
      <c r="F47" s="26">
        <f t="shared" si="4"/>
        <v>327</v>
      </c>
      <c r="G47" s="22">
        <v>1</v>
      </c>
      <c r="H47" s="25">
        <v>1362</v>
      </c>
      <c r="I47" s="27">
        <v>-1303</v>
      </c>
      <c r="J47" s="28">
        <f t="shared" si="2"/>
        <v>2665</v>
      </c>
      <c r="K47" s="22">
        <f t="shared" si="5"/>
        <v>465</v>
      </c>
      <c r="L47" s="22">
        <v>1</v>
      </c>
      <c r="M47" s="23">
        <v>1392</v>
      </c>
      <c r="N47" s="24">
        <v>-1030</v>
      </c>
      <c r="O47" s="28">
        <f t="shared" si="3"/>
        <v>2422</v>
      </c>
      <c r="P47" s="22">
        <f t="shared" si="6"/>
        <v>287</v>
      </c>
      <c r="Q47" s="29"/>
      <c r="R47" s="30"/>
    </row>
    <row r="48" spans="1:18" x14ac:dyDescent="0.25">
      <c r="A48" s="21">
        <v>45858</v>
      </c>
      <c r="B48" s="22">
        <v>1</v>
      </c>
      <c r="C48" s="23">
        <v>1382</v>
      </c>
      <c r="D48" s="24">
        <v>-888</v>
      </c>
      <c r="E48" s="25">
        <f t="shared" si="1"/>
        <v>2270</v>
      </c>
      <c r="F48" s="26">
        <f t="shared" si="4"/>
        <v>340</v>
      </c>
      <c r="G48" s="22">
        <v>1</v>
      </c>
      <c r="H48" s="25">
        <v>1362</v>
      </c>
      <c r="I48" s="27">
        <v>-1324</v>
      </c>
      <c r="J48" s="28">
        <f t="shared" si="2"/>
        <v>2686</v>
      </c>
      <c r="K48" s="22">
        <f t="shared" si="5"/>
        <v>486</v>
      </c>
      <c r="L48" s="22">
        <v>1</v>
      </c>
      <c r="M48" s="23">
        <v>1392</v>
      </c>
      <c r="N48" s="24">
        <v>-1030</v>
      </c>
      <c r="O48" s="28">
        <f t="shared" si="3"/>
        <v>2422</v>
      </c>
      <c r="P48" s="22">
        <f t="shared" si="6"/>
        <v>287</v>
      </c>
      <c r="Q48" s="29"/>
      <c r="R48" s="30"/>
    </row>
    <row r="49" spans="1:18" x14ac:dyDescent="0.25">
      <c r="A49" s="21">
        <v>45859</v>
      </c>
      <c r="B49" s="22">
        <v>1</v>
      </c>
      <c r="C49" s="23">
        <v>1382</v>
      </c>
      <c r="D49" s="24">
        <v>-888</v>
      </c>
      <c r="E49" s="25">
        <f t="shared" si="1"/>
        <v>2270</v>
      </c>
      <c r="F49" s="26">
        <f t="shared" si="4"/>
        <v>340</v>
      </c>
      <c r="G49" s="22">
        <v>1</v>
      </c>
      <c r="H49" s="25">
        <v>1362</v>
      </c>
      <c r="I49" s="27">
        <v>-1333</v>
      </c>
      <c r="J49" s="28">
        <f t="shared" si="2"/>
        <v>2695</v>
      </c>
      <c r="K49" s="22">
        <f t="shared" si="5"/>
        <v>495</v>
      </c>
      <c r="L49" s="22">
        <v>1</v>
      </c>
      <c r="M49" s="23">
        <v>1392</v>
      </c>
      <c r="N49" s="24">
        <v>-1030</v>
      </c>
      <c r="O49" s="28">
        <f t="shared" si="3"/>
        <v>2422</v>
      </c>
      <c r="P49" s="22">
        <f t="shared" si="6"/>
        <v>287</v>
      </c>
      <c r="Q49" s="29"/>
      <c r="R49" s="30"/>
    </row>
    <row r="50" spans="1:18" x14ac:dyDescent="0.25">
      <c r="A50" s="21">
        <v>45860</v>
      </c>
      <c r="B50" s="22">
        <v>1</v>
      </c>
      <c r="C50" s="23">
        <v>1382</v>
      </c>
      <c r="D50" s="24">
        <v>-911</v>
      </c>
      <c r="E50" s="25">
        <f t="shared" si="1"/>
        <v>2293</v>
      </c>
      <c r="F50" s="26">
        <f t="shared" si="4"/>
        <v>363</v>
      </c>
      <c r="G50" s="22">
        <v>1</v>
      </c>
      <c r="H50" s="25">
        <v>1362</v>
      </c>
      <c r="I50" s="27">
        <v>-1342</v>
      </c>
      <c r="J50" s="28">
        <f t="shared" si="2"/>
        <v>2704</v>
      </c>
      <c r="K50" s="22">
        <f t="shared" si="5"/>
        <v>504</v>
      </c>
      <c r="L50" s="22">
        <v>1</v>
      </c>
      <c r="M50" s="23">
        <v>1392</v>
      </c>
      <c r="N50" s="24">
        <v>-1030</v>
      </c>
      <c r="O50" s="28">
        <f t="shared" si="3"/>
        <v>2422</v>
      </c>
      <c r="P50" s="22">
        <f t="shared" si="6"/>
        <v>287</v>
      </c>
      <c r="Q50" s="29"/>
      <c r="R50" s="30"/>
    </row>
    <row r="51" spans="1:18" x14ac:dyDescent="0.25">
      <c r="A51" s="21">
        <v>45861</v>
      </c>
      <c r="B51" s="22">
        <v>1</v>
      </c>
      <c r="C51" s="23">
        <v>1382</v>
      </c>
      <c r="D51" s="24">
        <v>-917</v>
      </c>
      <c r="E51" s="25">
        <f t="shared" si="1"/>
        <v>2299</v>
      </c>
      <c r="F51" s="26">
        <f t="shared" si="4"/>
        <v>369</v>
      </c>
      <c r="G51" s="22">
        <v>1</v>
      </c>
      <c r="H51" s="25">
        <v>1362</v>
      </c>
      <c r="I51" s="27">
        <v>-1351</v>
      </c>
      <c r="J51" s="28">
        <f t="shared" si="2"/>
        <v>2713</v>
      </c>
      <c r="K51" s="22">
        <f t="shared" si="5"/>
        <v>513</v>
      </c>
      <c r="L51" s="22">
        <v>1</v>
      </c>
      <c r="M51" s="23">
        <v>1392</v>
      </c>
      <c r="N51" s="24">
        <v>-1041</v>
      </c>
      <c r="O51" s="28">
        <f t="shared" si="3"/>
        <v>2433</v>
      </c>
      <c r="P51" s="22">
        <f t="shared" si="6"/>
        <v>298</v>
      </c>
      <c r="Q51" s="29"/>
      <c r="R51" s="30"/>
    </row>
    <row r="52" spans="1:18" x14ac:dyDescent="0.25">
      <c r="A52" s="21">
        <v>45862</v>
      </c>
      <c r="B52" s="22">
        <v>1</v>
      </c>
      <c r="C52" s="23">
        <v>1382</v>
      </c>
      <c r="D52" s="24">
        <v>-923</v>
      </c>
      <c r="E52" s="25">
        <f t="shared" si="1"/>
        <v>2305</v>
      </c>
      <c r="F52" s="26">
        <f t="shared" si="4"/>
        <v>375</v>
      </c>
      <c r="G52" s="22">
        <v>1</v>
      </c>
      <c r="H52" s="25">
        <v>1362</v>
      </c>
      <c r="I52" s="27">
        <v>-1360</v>
      </c>
      <c r="J52" s="28">
        <f t="shared" si="2"/>
        <v>2722</v>
      </c>
      <c r="K52" s="22">
        <f t="shared" si="5"/>
        <v>522</v>
      </c>
      <c r="L52" s="22">
        <v>1</v>
      </c>
      <c r="M52" s="23">
        <v>1392</v>
      </c>
      <c r="N52" s="24">
        <v>-1053</v>
      </c>
      <c r="O52" s="28">
        <f t="shared" si="3"/>
        <v>2445</v>
      </c>
      <c r="P52" s="22">
        <f t="shared" si="6"/>
        <v>310</v>
      </c>
      <c r="Q52" s="29"/>
      <c r="R52" s="30"/>
    </row>
    <row r="53" spans="1:18" x14ac:dyDescent="0.25">
      <c r="A53" s="21">
        <v>45863</v>
      </c>
      <c r="B53" s="22">
        <v>1</v>
      </c>
      <c r="C53" s="23">
        <v>1382</v>
      </c>
      <c r="D53" s="24">
        <v>-929</v>
      </c>
      <c r="E53" s="25">
        <f t="shared" si="1"/>
        <v>2311</v>
      </c>
      <c r="F53" s="26">
        <f t="shared" si="4"/>
        <v>381</v>
      </c>
      <c r="G53" s="22">
        <v>1</v>
      </c>
      <c r="H53" s="25">
        <v>1362</v>
      </c>
      <c r="I53" s="27">
        <v>-1369</v>
      </c>
      <c r="J53" s="28">
        <f t="shared" si="2"/>
        <v>2731</v>
      </c>
      <c r="K53" s="22">
        <f t="shared" si="5"/>
        <v>531</v>
      </c>
      <c r="L53" s="22">
        <v>1</v>
      </c>
      <c r="M53" s="23">
        <v>1392</v>
      </c>
      <c r="N53" s="24">
        <v>-1065</v>
      </c>
      <c r="O53" s="28">
        <f t="shared" si="3"/>
        <v>2457</v>
      </c>
      <c r="P53" s="22">
        <f t="shared" si="6"/>
        <v>322</v>
      </c>
      <c r="Q53" s="29"/>
      <c r="R53" s="30"/>
    </row>
    <row r="54" spans="1:18" x14ac:dyDescent="0.25">
      <c r="A54" s="21">
        <v>45864</v>
      </c>
      <c r="B54" s="22">
        <v>1</v>
      </c>
      <c r="C54" s="23">
        <v>1382</v>
      </c>
      <c r="D54" s="24">
        <v>-935</v>
      </c>
      <c r="E54" s="25">
        <f t="shared" si="1"/>
        <v>2317</v>
      </c>
      <c r="F54" s="26">
        <f t="shared" si="4"/>
        <v>387</v>
      </c>
      <c r="G54" s="22">
        <v>1</v>
      </c>
      <c r="H54" s="25">
        <v>1362</v>
      </c>
      <c r="I54" s="27">
        <v>-1378</v>
      </c>
      <c r="J54" s="28">
        <f t="shared" si="2"/>
        <v>2740</v>
      </c>
      <c r="K54" s="22">
        <f t="shared" si="5"/>
        <v>540</v>
      </c>
      <c r="L54" s="22">
        <v>1</v>
      </c>
      <c r="M54" s="23">
        <v>1392</v>
      </c>
      <c r="N54" s="24">
        <v>-1077</v>
      </c>
      <c r="O54" s="28">
        <f t="shared" si="3"/>
        <v>2469</v>
      </c>
      <c r="P54" s="22">
        <f t="shared" si="6"/>
        <v>334</v>
      </c>
      <c r="Q54" s="29"/>
      <c r="R54" s="30"/>
    </row>
    <row r="55" spans="1:18" x14ac:dyDescent="0.25">
      <c r="A55" s="21">
        <v>45865</v>
      </c>
      <c r="B55" s="22">
        <v>1</v>
      </c>
      <c r="C55" s="23">
        <v>1382</v>
      </c>
      <c r="D55" s="24">
        <v>-941</v>
      </c>
      <c r="E55" s="25">
        <f t="shared" si="1"/>
        <v>2323</v>
      </c>
      <c r="F55" s="26">
        <f t="shared" si="4"/>
        <v>393</v>
      </c>
      <c r="G55" s="22">
        <v>1</v>
      </c>
      <c r="H55" s="25">
        <v>1362</v>
      </c>
      <c r="I55" s="27">
        <v>-1387</v>
      </c>
      <c r="J55" s="28">
        <f t="shared" si="2"/>
        <v>2749</v>
      </c>
      <c r="K55" s="22">
        <f t="shared" si="5"/>
        <v>549</v>
      </c>
      <c r="L55" s="22">
        <v>1</v>
      </c>
      <c r="M55" s="23">
        <v>1392</v>
      </c>
      <c r="N55" s="24">
        <v>-1089</v>
      </c>
      <c r="O55" s="28">
        <f t="shared" si="3"/>
        <v>2481</v>
      </c>
      <c r="P55" s="22">
        <f t="shared" si="6"/>
        <v>346</v>
      </c>
      <c r="Q55" s="29"/>
      <c r="R55" s="30"/>
    </row>
    <row r="56" spans="1:18" x14ac:dyDescent="0.25">
      <c r="A56" s="21">
        <v>45866</v>
      </c>
      <c r="B56" s="22">
        <v>1</v>
      </c>
      <c r="C56" s="23">
        <v>1382</v>
      </c>
      <c r="D56" s="24">
        <v>-947</v>
      </c>
      <c r="E56" s="25">
        <f t="shared" si="1"/>
        <v>2329</v>
      </c>
      <c r="F56" s="26">
        <f t="shared" si="4"/>
        <v>399</v>
      </c>
      <c r="G56" s="22">
        <v>1</v>
      </c>
      <c r="H56" s="25">
        <v>1362</v>
      </c>
      <c r="I56" s="27">
        <v>-1396</v>
      </c>
      <c r="J56" s="28">
        <f t="shared" si="2"/>
        <v>2758</v>
      </c>
      <c r="K56" s="22">
        <f t="shared" si="5"/>
        <v>558</v>
      </c>
      <c r="L56" s="22">
        <v>1</v>
      </c>
      <c r="M56" s="23">
        <v>1392</v>
      </c>
      <c r="N56" s="24">
        <v>-1101</v>
      </c>
      <c r="O56" s="28">
        <f t="shared" si="3"/>
        <v>2493</v>
      </c>
      <c r="P56" s="22">
        <f t="shared" si="6"/>
        <v>358</v>
      </c>
      <c r="Q56" s="29"/>
      <c r="R56" s="30"/>
    </row>
    <row r="57" spans="1:18" x14ac:dyDescent="0.25">
      <c r="A57" s="21">
        <v>45867</v>
      </c>
      <c r="B57" s="22">
        <v>1</v>
      </c>
      <c r="C57" s="23">
        <v>1382</v>
      </c>
      <c r="D57" s="24">
        <v>-953</v>
      </c>
      <c r="E57" s="25">
        <f t="shared" si="1"/>
        <v>2335</v>
      </c>
      <c r="F57" s="26">
        <f t="shared" si="4"/>
        <v>405</v>
      </c>
      <c r="G57" s="22">
        <v>1</v>
      </c>
      <c r="H57" s="25">
        <v>1362</v>
      </c>
      <c r="I57" s="27">
        <v>-1405</v>
      </c>
      <c r="J57" s="28">
        <f t="shared" si="2"/>
        <v>2767</v>
      </c>
      <c r="K57" s="22">
        <f t="shared" si="5"/>
        <v>567</v>
      </c>
      <c r="L57" s="22">
        <v>1</v>
      </c>
      <c r="M57" s="23">
        <v>1392</v>
      </c>
      <c r="N57" s="24">
        <v>-1113</v>
      </c>
      <c r="O57" s="28">
        <f t="shared" si="3"/>
        <v>2505</v>
      </c>
      <c r="P57" s="22">
        <f t="shared" si="6"/>
        <v>370</v>
      </c>
      <c r="Q57" s="29"/>
      <c r="R57" s="30"/>
    </row>
    <row r="58" spans="1:18" x14ac:dyDescent="0.25">
      <c r="A58" s="21"/>
      <c r="B58" s="22"/>
      <c r="C58" s="23"/>
      <c r="D58" s="24"/>
      <c r="E58" s="25"/>
      <c r="F58" s="26"/>
      <c r="G58" s="22"/>
      <c r="H58" s="25"/>
      <c r="I58" s="27"/>
      <c r="J58" s="28"/>
      <c r="K58" s="22"/>
      <c r="L58" s="22"/>
      <c r="M58" s="23"/>
      <c r="N58" s="24"/>
      <c r="O58" s="28"/>
      <c r="P58" s="22"/>
      <c r="Q58" s="29"/>
      <c r="R58" s="30"/>
    </row>
    <row r="59" spans="1:18" x14ac:dyDescent="0.25">
      <c r="A59" s="21"/>
      <c r="B59" s="22"/>
      <c r="C59" s="23"/>
      <c r="D59" s="24"/>
      <c r="E59" s="25"/>
      <c r="F59" s="26"/>
      <c r="G59" s="22"/>
      <c r="H59" s="25"/>
      <c r="I59" s="27"/>
      <c r="J59" s="28"/>
      <c r="K59" s="22"/>
      <c r="L59" s="22"/>
      <c r="M59" s="23"/>
      <c r="N59" s="24"/>
      <c r="O59" s="28"/>
      <c r="P59" s="22"/>
      <c r="Q59" s="29"/>
      <c r="R59" s="30"/>
    </row>
    <row r="60" spans="1:18" x14ac:dyDescent="0.25">
      <c r="A60" s="21"/>
      <c r="B60" s="22"/>
      <c r="C60" s="23"/>
      <c r="D60" s="24"/>
      <c r="E60" s="25"/>
      <c r="F60" s="26"/>
      <c r="G60" s="22"/>
      <c r="H60" s="25"/>
      <c r="I60" s="27"/>
      <c r="J60" s="28"/>
      <c r="K60" s="22"/>
      <c r="L60" s="22"/>
      <c r="M60" s="23"/>
      <c r="N60" s="24"/>
      <c r="O60" s="28"/>
      <c r="P60" s="22"/>
      <c r="Q60" s="29"/>
      <c r="R60" s="30"/>
    </row>
    <row r="61" spans="1:18" x14ac:dyDescent="0.25">
      <c r="A61" s="21"/>
      <c r="B61" s="22"/>
      <c r="C61" s="23"/>
      <c r="D61" s="24"/>
      <c r="E61" s="25"/>
      <c r="F61" s="26"/>
      <c r="G61" s="22"/>
      <c r="H61" s="25"/>
      <c r="I61" s="27"/>
      <c r="J61" s="28"/>
      <c r="K61" s="22"/>
      <c r="L61" s="22"/>
      <c r="M61" s="23"/>
      <c r="N61" s="24"/>
      <c r="O61" s="28"/>
      <c r="P61" s="22"/>
      <c r="Q61" s="29"/>
      <c r="R61" s="30"/>
    </row>
    <row r="62" spans="1:18" x14ac:dyDescent="0.25">
      <c r="A62" s="21"/>
      <c r="B62" s="22"/>
      <c r="C62" s="23"/>
      <c r="D62" s="24"/>
      <c r="E62" s="25"/>
      <c r="F62" s="26"/>
      <c r="G62" s="22"/>
      <c r="H62" s="25"/>
      <c r="I62" s="27"/>
      <c r="J62" s="28"/>
      <c r="K62" s="22"/>
      <c r="L62" s="22"/>
      <c r="M62" s="23"/>
      <c r="N62" s="24"/>
      <c r="O62" s="28"/>
      <c r="P62" s="22"/>
      <c r="Q62" s="29"/>
      <c r="R62" s="30"/>
    </row>
    <row r="63" spans="1:18" x14ac:dyDescent="0.25">
      <c r="A63" s="21"/>
      <c r="B63" s="22"/>
      <c r="C63" s="23"/>
      <c r="D63" s="24"/>
      <c r="E63" s="25"/>
      <c r="F63" s="26"/>
      <c r="G63" s="22"/>
      <c r="H63" s="25"/>
      <c r="I63" s="27"/>
      <c r="J63" s="28"/>
      <c r="K63" s="22"/>
      <c r="L63" s="22"/>
      <c r="M63" s="23"/>
      <c r="N63" s="24"/>
      <c r="O63" s="28"/>
      <c r="P63" s="22"/>
      <c r="Q63" s="29"/>
      <c r="R63" s="30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  <mergeCell ref="G5:H5"/>
    <mergeCell ref="I5:J5"/>
    <mergeCell ref="B6:C6"/>
    <mergeCell ref="D6:E6"/>
    <mergeCell ref="G6:H6"/>
    <mergeCell ref="I6:J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3">
    <cfRule type="cellIs" dxfId="0" priority="1" operator="less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QTL-KM117+100</vt:lpstr>
      <vt:lpstr>QTL-KM117+200</vt:lpstr>
      <vt:lpstr>QTL-KM117+300</vt:lpstr>
      <vt:lpstr>QTL-KM117+400</vt:lpstr>
      <vt:lpstr>QTL-KM117+500</vt:lpstr>
      <vt:lpstr>QTL-KM117+600</vt:lpstr>
      <vt:lpstr>QTL-KM117+700</vt:lpstr>
      <vt:lpstr>QTL-KM117+800</vt:lpstr>
      <vt:lpstr>QTL-KM117+900</vt:lpstr>
      <vt:lpstr>QTL-KM118+00</vt:lpstr>
      <vt:lpstr>QTL-KM118+100</vt:lpstr>
      <vt:lpstr>QTL -km118+200</vt:lpstr>
      <vt:lpstr>QTL-KM118+300</vt:lpstr>
      <vt:lpstr>QTL-km118+340</vt:lpstr>
      <vt:lpstr>QTL- Km118+410</vt:lpstr>
      <vt:lpstr>QTLKm118+495</vt:lpstr>
      <vt:lpstr>QTL-KM118+790</vt:lpstr>
      <vt:lpstr>QTL-Km118+890,00</vt:lpstr>
      <vt:lpstr>QTL-Km118+990,00</vt:lpstr>
      <vt:lpstr>QTL-Km119+090</vt:lpstr>
      <vt:lpstr>QTL-Km119+150</vt:lpstr>
      <vt:lpstr>QTC-Km119+220</vt:lpstr>
      <vt:lpstr>QTL-Km119+630</vt:lpstr>
      <vt:lpstr>QTL-Km199+680</vt:lpstr>
      <vt:lpstr>QTL-km119+780</vt:lpstr>
      <vt:lpstr>QTL-KM119+880</vt:lpstr>
      <vt:lpstr>QTL-KM119+980</vt:lpstr>
      <vt:lpstr>QTL-KM120+020</vt:lpstr>
      <vt:lpstr>QTL-KM120+120</vt:lpstr>
      <vt:lpstr>QTL-KM120+220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Đăng Huân Võ</cp:lastModifiedBy>
  <dcterms:created xsi:type="dcterms:W3CDTF">2025-08-01T08:27:01Z</dcterms:created>
  <dcterms:modified xsi:type="dcterms:W3CDTF">2025-08-01T08:52:53Z</dcterms:modified>
</cp:coreProperties>
</file>