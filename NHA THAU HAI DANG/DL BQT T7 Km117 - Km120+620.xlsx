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NHA THAU HAI DANG\"/>
    </mc:Choice>
  </mc:AlternateContent>
  <xr:revisionPtr revIDLastSave="0" documentId="8_{26D12CB5-2EFF-4B1E-BB9E-5D068972D43E}" xr6:coauthVersionLast="47" xr6:coauthVersionMax="47" xr10:uidLastSave="{00000000-0000-0000-0000-000000000000}"/>
  <bookViews>
    <workbookView xWindow="-8325" yWindow="-16320" windowWidth="29040" windowHeight="15720" xr2:uid="{319F0E8F-7673-47D3-8BD0-5472BAE2DFDF}"/>
  </bookViews>
  <sheets>
    <sheet name="117+004" sheetId="23" r:id="rId1"/>
    <sheet name="117+100" sheetId="25" r:id="rId2"/>
    <sheet name="117+200" sheetId="26" r:id="rId3"/>
    <sheet name="117+300" sheetId="27" r:id="rId4"/>
    <sheet name="117+400" sheetId="28" r:id="rId5"/>
    <sheet name="117+500" sheetId="29" r:id="rId6"/>
    <sheet name="117+600" sheetId="30" r:id="rId7"/>
    <sheet name="117+700" sheetId="31" r:id="rId8"/>
    <sheet name="117+800" sheetId="32" r:id="rId9"/>
    <sheet name="117+900" sheetId="33" r:id="rId10"/>
    <sheet name="118+00" sheetId="34" r:id="rId11"/>
    <sheet name="118+100" sheetId="35" r:id="rId12"/>
    <sheet name="118+200" sheetId="36" r:id="rId13"/>
    <sheet name="118+300" sheetId="37" r:id="rId14"/>
    <sheet name="118+340" sheetId="38" r:id="rId15"/>
    <sheet name="118+410" sheetId="39" r:id="rId16"/>
    <sheet name="118+495" sheetId="40" r:id="rId17"/>
    <sheet name="118+693" sheetId="41" r:id="rId18"/>
    <sheet name="118+790" sheetId="42" r:id="rId19"/>
    <sheet name="118+890" sheetId="43" r:id="rId20"/>
    <sheet name="118+990" sheetId="44" r:id="rId21"/>
    <sheet name="119+090" sheetId="45" r:id="rId22"/>
    <sheet name="119+150" sheetId="46" r:id="rId23"/>
    <sheet name="119+220" sheetId="47" r:id="rId24"/>
    <sheet name="119+630" sheetId="48" r:id="rId25"/>
    <sheet name="119+680" sheetId="49" r:id="rId26"/>
    <sheet name="119+780" sheetId="50" r:id="rId27"/>
    <sheet name="119+880" sheetId="51" r:id="rId28"/>
    <sheet name="119+980" sheetId="52" r:id="rId29"/>
    <sheet name="120+020" sheetId="53" r:id="rId30"/>
    <sheet name="120+120" sheetId="54" r:id="rId31"/>
    <sheet name="120+220" sheetId="55" r:id="rId32"/>
    <sheet name="120+320" sheetId="56" r:id="rId33"/>
    <sheet name="120+420" sheetId="57" r:id="rId34"/>
    <sheet name="120+520" sheetId="58" r:id="rId35"/>
    <sheet name="120+620" sheetId="59" r:id="rId36"/>
    <sheet name="120+680" sheetId="60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55" l="1"/>
  <c r="L22" i="50"/>
  <c r="L22" i="51"/>
  <c r="L22" i="52"/>
  <c r="L22" i="53"/>
  <c r="L22" i="54"/>
  <c r="L21" i="55"/>
  <c r="L21" i="54"/>
  <c r="L21" i="53"/>
  <c r="L21" i="52"/>
  <c r="L21" i="51"/>
  <c r="L21" i="50"/>
  <c r="L22" i="49"/>
  <c r="L21" i="49"/>
  <c r="L22" i="48"/>
  <c r="L21" i="48"/>
  <c r="G21" i="48"/>
  <c r="L30" i="43"/>
  <c r="L31" i="43"/>
  <c r="L30" i="42"/>
  <c r="Q31" i="41"/>
  <c r="L31" i="41"/>
  <c r="G31" i="41"/>
  <c r="L34" i="23"/>
  <c r="L35" i="23"/>
  <c r="L30" i="40" l="1"/>
  <c r="L31" i="40"/>
  <c r="L30" i="39"/>
  <c r="L31" i="39"/>
  <c r="L32" i="38"/>
  <c r="L33" i="38"/>
  <c r="L31" i="37"/>
  <c r="L32" i="37"/>
  <c r="L31" i="36"/>
  <c r="L32" i="36"/>
  <c r="L30" i="35"/>
  <c r="L31" i="35"/>
  <c r="L30" i="34"/>
  <c r="L31" i="34"/>
  <c r="L29" i="33"/>
  <c r="L30" i="33"/>
  <c r="G30" i="32"/>
  <c r="G31" i="32"/>
  <c r="L30" i="32"/>
  <c r="L31" i="32"/>
  <c r="Q30" i="32"/>
  <c r="Q31" i="32"/>
  <c r="L34" i="31"/>
  <c r="L35" i="31"/>
  <c r="Q34" i="30"/>
  <c r="Q35" i="30"/>
  <c r="L34" i="30"/>
  <c r="L35" i="30"/>
  <c r="L35" i="29"/>
  <c r="G34" i="29"/>
  <c r="L34" i="29"/>
  <c r="L34" i="28"/>
  <c r="L35" i="28"/>
  <c r="Q35" i="28"/>
  <c r="G35" i="28"/>
  <c r="Q34" i="28"/>
  <c r="G34" i="28"/>
  <c r="Q35" i="27"/>
  <c r="L35" i="27"/>
  <c r="G35" i="27"/>
  <c r="G34" i="27"/>
  <c r="Q34" i="27"/>
  <c r="L34" i="27"/>
  <c r="Q35" i="26"/>
  <c r="L35" i="26"/>
  <c r="G35" i="26"/>
  <c r="Q34" i="26"/>
  <c r="G34" i="26"/>
  <c r="L34" i="26"/>
  <c r="G20" i="52" l="1"/>
  <c r="L20" i="52"/>
  <c r="Q20" i="52"/>
  <c r="G20" i="51"/>
  <c r="L20" i="51"/>
  <c r="Q20" i="51"/>
  <c r="G20" i="50"/>
  <c r="L20" i="50"/>
  <c r="Q20" i="50"/>
  <c r="G20" i="49"/>
  <c r="L20" i="49"/>
  <c r="Q20" i="49"/>
  <c r="G20" i="48"/>
  <c r="L20" i="48"/>
  <c r="Q20" i="48"/>
  <c r="G30" i="47"/>
  <c r="L30" i="47"/>
  <c r="Q30" i="47"/>
  <c r="G30" i="46"/>
  <c r="L30" i="46"/>
  <c r="Q30" i="46"/>
  <c r="G30" i="45"/>
  <c r="L30" i="45"/>
  <c r="Q30" i="45"/>
  <c r="G30" i="44"/>
  <c r="L30" i="44"/>
  <c r="Q30" i="44"/>
  <c r="G30" i="43"/>
  <c r="Q30" i="43"/>
  <c r="Q20" i="55"/>
  <c r="L20" i="55"/>
  <c r="G20" i="55"/>
  <c r="G20" i="56"/>
  <c r="L20" i="56"/>
  <c r="Q20" i="56"/>
  <c r="F21" i="57"/>
  <c r="G19" i="57"/>
  <c r="L19" i="57"/>
  <c r="Q19" i="57"/>
  <c r="G20" i="58"/>
  <c r="L20" i="58"/>
  <c r="Q20" i="58"/>
  <c r="G20" i="59"/>
  <c r="L20" i="59"/>
  <c r="Q20" i="59"/>
  <c r="G19" i="60"/>
  <c r="L19" i="60"/>
  <c r="Q19" i="60"/>
  <c r="G20" i="54"/>
  <c r="L20" i="54"/>
  <c r="Q20" i="54"/>
  <c r="G20" i="53"/>
  <c r="L20" i="53"/>
  <c r="Q20" i="53"/>
  <c r="G30" i="41"/>
  <c r="L30" i="41"/>
  <c r="Q30" i="41"/>
  <c r="G29" i="40"/>
  <c r="L29" i="40"/>
  <c r="Q29" i="40"/>
  <c r="G29" i="39"/>
  <c r="L29" i="39"/>
  <c r="Q29" i="39"/>
  <c r="G31" i="38"/>
  <c r="L31" i="38"/>
  <c r="Q31" i="38"/>
  <c r="Q30" i="37"/>
  <c r="G30" i="37"/>
  <c r="L30" i="37"/>
  <c r="G30" i="36"/>
  <c r="L30" i="36"/>
  <c r="Q30" i="36"/>
  <c r="G29" i="35"/>
  <c r="L29" i="35"/>
  <c r="Q29" i="35"/>
  <c r="G29" i="34"/>
  <c r="L29" i="34"/>
  <c r="Q29" i="34"/>
  <c r="G28" i="33"/>
  <c r="L28" i="33"/>
  <c r="Q28" i="33"/>
  <c r="G29" i="32"/>
  <c r="L29" i="32"/>
  <c r="Q29" i="32"/>
  <c r="G33" i="31"/>
  <c r="L33" i="31"/>
  <c r="Q33" i="31"/>
  <c r="G33" i="30"/>
  <c r="L33" i="30"/>
  <c r="Q33" i="30"/>
  <c r="G33" i="29"/>
  <c r="L33" i="29"/>
  <c r="Q33" i="29"/>
  <c r="G33" i="28"/>
  <c r="L33" i="28"/>
  <c r="Q33" i="28"/>
  <c r="G33" i="27"/>
  <c r="L33" i="27"/>
  <c r="Q33" i="27"/>
  <c r="G33" i="26"/>
  <c r="L33" i="26"/>
  <c r="Q33" i="26"/>
  <c r="G33" i="23"/>
  <c r="Q33" i="25"/>
  <c r="G33" i="25"/>
  <c r="L33" i="25"/>
  <c r="L33" i="23"/>
  <c r="Q33" i="23"/>
  <c r="G30" i="38"/>
  <c r="L30" i="38"/>
  <c r="Q30" i="38"/>
  <c r="Q29" i="37"/>
  <c r="L29" i="37"/>
  <c r="G29" i="37"/>
  <c r="Q29" i="36"/>
  <c r="L29" i="36"/>
  <c r="G29" i="36"/>
  <c r="G19" i="59"/>
  <c r="L19" i="59"/>
  <c r="Q19" i="59"/>
  <c r="G19" i="58"/>
  <c r="L19" i="58"/>
  <c r="Q19" i="58"/>
  <c r="G19" i="56"/>
  <c r="L19" i="56"/>
  <c r="Q19" i="56"/>
  <c r="G19" i="55"/>
  <c r="L19" i="55"/>
  <c r="Q19" i="55"/>
  <c r="G19" i="54"/>
  <c r="L19" i="54"/>
  <c r="Q19" i="54"/>
  <c r="G19" i="53"/>
  <c r="L19" i="53"/>
  <c r="Q19" i="53"/>
  <c r="L19" i="52"/>
  <c r="G19" i="52"/>
  <c r="Q19" i="52"/>
  <c r="L19" i="51"/>
  <c r="G19" i="51"/>
  <c r="Q19" i="51"/>
  <c r="G19" i="50"/>
  <c r="L19" i="50"/>
  <c r="Q19" i="50"/>
  <c r="L19" i="49"/>
  <c r="G19" i="49"/>
  <c r="Q19" i="49"/>
  <c r="Q19" i="48"/>
  <c r="L19" i="48"/>
  <c r="G19" i="48"/>
  <c r="L29" i="47"/>
  <c r="G29" i="47"/>
  <c r="Q29" i="47"/>
  <c r="G29" i="46"/>
  <c r="L29" i="46"/>
  <c r="Q29" i="46"/>
  <c r="Q18" i="46"/>
  <c r="Q19" i="46"/>
  <c r="Q20" i="46"/>
  <c r="Q21" i="46"/>
  <c r="Q22" i="46"/>
  <c r="Q23" i="46"/>
  <c r="Q24" i="46"/>
  <c r="Q25" i="46"/>
  <c r="Q26" i="46"/>
  <c r="Q27" i="46"/>
  <c r="Q28" i="46"/>
  <c r="L18" i="46"/>
  <c r="L19" i="46"/>
  <c r="L20" i="46"/>
  <c r="L21" i="46"/>
  <c r="L22" i="46"/>
  <c r="L23" i="46"/>
  <c r="L24" i="46"/>
  <c r="L25" i="46"/>
  <c r="L26" i="46"/>
  <c r="L27" i="46"/>
  <c r="L28" i="46"/>
  <c r="G18" i="46"/>
  <c r="G19" i="46"/>
  <c r="G20" i="46"/>
  <c r="G21" i="46"/>
  <c r="G22" i="46"/>
  <c r="G23" i="46"/>
  <c r="G24" i="46"/>
  <c r="G25" i="46"/>
  <c r="G26" i="46"/>
  <c r="G27" i="46"/>
  <c r="G28" i="46"/>
  <c r="L29" i="45"/>
  <c r="G29" i="45"/>
  <c r="Q29" i="45"/>
  <c r="Q18" i="45"/>
  <c r="Q19" i="45"/>
  <c r="Q20" i="45"/>
  <c r="Q21" i="45"/>
  <c r="Q22" i="45"/>
  <c r="Q23" i="45"/>
  <c r="Q24" i="45"/>
  <c r="Q25" i="45"/>
  <c r="Q26" i="45"/>
  <c r="Q27" i="45"/>
  <c r="Q28" i="45"/>
  <c r="L18" i="45"/>
  <c r="L19" i="45"/>
  <c r="L20" i="45"/>
  <c r="L21" i="45"/>
  <c r="L22" i="45"/>
  <c r="L23" i="45"/>
  <c r="L24" i="45"/>
  <c r="L25" i="45"/>
  <c r="L26" i="45"/>
  <c r="L27" i="45"/>
  <c r="L28" i="45"/>
  <c r="G18" i="45"/>
  <c r="G19" i="45"/>
  <c r="G20" i="45"/>
  <c r="G21" i="45"/>
  <c r="G22" i="45"/>
  <c r="G23" i="45"/>
  <c r="G24" i="45"/>
  <c r="G25" i="45"/>
  <c r="G26" i="45"/>
  <c r="G27" i="45"/>
  <c r="G28" i="45"/>
  <c r="G29" i="44"/>
  <c r="L29" i="44"/>
  <c r="Q19" i="44"/>
  <c r="Q20" i="44"/>
  <c r="Q21" i="44"/>
  <c r="Q22" i="44"/>
  <c r="Q23" i="44"/>
  <c r="Q24" i="44"/>
  <c r="Q25" i="44"/>
  <c r="Q26" i="44"/>
  <c r="Q27" i="44"/>
  <c r="Q28" i="44"/>
  <c r="Q29" i="44"/>
  <c r="L19" i="44"/>
  <c r="L20" i="44"/>
  <c r="L21" i="44"/>
  <c r="L22" i="44"/>
  <c r="L23" i="44"/>
  <c r="L24" i="44"/>
  <c r="L25" i="44"/>
  <c r="L26" i="44"/>
  <c r="L27" i="44"/>
  <c r="L28" i="44"/>
  <c r="G19" i="44"/>
  <c r="G20" i="44"/>
  <c r="G21" i="44"/>
  <c r="G22" i="44"/>
  <c r="G23" i="44"/>
  <c r="G24" i="44"/>
  <c r="G25" i="44"/>
  <c r="G26" i="44"/>
  <c r="G27" i="44"/>
  <c r="G28" i="44"/>
  <c r="L29" i="43"/>
  <c r="G29" i="43"/>
  <c r="Q29" i="43"/>
  <c r="G18" i="43"/>
  <c r="G19" i="43"/>
  <c r="G20" i="43"/>
  <c r="G21" i="43"/>
  <c r="G22" i="43"/>
  <c r="G23" i="43"/>
  <c r="G24" i="43"/>
  <c r="G25" i="43"/>
  <c r="G26" i="43"/>
  <c r="G27" i="43"/>
  <c r="G28" i="43"/>
  <c r="L18" i="43"/>
  <c r="L19" i="43"/>
  <c r="L20" i="43"/>
  <c r="L21" i="43"/>
  <c r="L22" i="43"/>
  <c r="L23" i="43"/>
  <c r="L24" i="43"/>
  <c r="L25" i="43"/>
  <c r="L26" i="43"/>
  <c r="L27" i="43"/>
  <c r="L28" i="43"/>
  <c r="Q18" i="43"/>
  <c r="Q19" i="43"/>
  <c r="Q20" i="43"/>
  <c r="Q21" i="43"/>
  <c r="Q22" i="43"/>
  <c r="Q23" i="43"/>
  <c r="Q24" i="43"/>
  <c r="Q25" i="43"/>
  <c r="Q26" i="43"/>
  <c r="Q27" i="43"/>
  <c r="Q28" i="43"/>
  <c r="G29" i="42"/>
  <c r="L29" i="42"/>
  <c r="Q29" i="42"/>
  <c r="Q18" i="42"/>
  <c r="Q19" i="42"/>
  <c r="Q20" i="42"/>
  <c r="Q21" i="42"/>
  <c r="Q22" i="42"/>
  <c r="Q23" i="42"/>
  <c r="Q24" i="42"/>
  <c r="Q25" i="42"/>
  <c r="Q26" i="42"/>
  <c r="Q27" i="42"/>
  <c r="Q28" i="42"/>
  <c r="L19" i="42"/>
  <c r="L20" i="42"/>
  <c r="L21" i="42"/>
  <c r="L22" i="42"/>
  <c r="L23" i="42"/>
  <c r="L24" i="42"/>
  <c r="L25" i="42"/>
  <c r="L26" i="42"/>
  <c r="L27" i="42"/>
  <c r="L28" i="42"/>
  <c r="G19" i="42"/>
  <c r="G20" i="42"/>
  <c r="G21" i="42"/>
  <c r="G22" i="42"/>
  <c r="G23" i="42"/>
  <c r="G24" i="42"/>
  <c r="G25" i="42"/>
  <c r="G26" i="42"/>
  <c r="G27" i="42"/>
  <c r="G28" i="42"/>
  <c r="G29" i="41"/>
  <c r="L29" i="41"/>
  <c r="Q29" i="41"/>
  <c r="Q19" i="41"/>
  <c r="Q20" i="41"/>
  <c r="Q21" i="41"/>
  <c r="Q22" i="41"/>
  <c r="Q23" i="41"/>
  <c r="Q24" i="41"/>
  <c r="Q25" i="41"/>
  <c r="Q26" i="41"/>
  <c r="Q27" i="41"/>
  <c r="Q28" i="41"/>
  <c r="L19" i="41"/>
  <c r="L20" i="41"/>
  <c r="L21" i="41"/>
  <c r="L22" i="41"/>
  <c r="L23" i="41"/>
  <c r="L24" i="41"/>
  <c r="L25" i="41"/>
  <c r="L26" i="41"/>
  <c r="L27" i="41"/>
  <c r="L28" i="41"/>
  <c r="G19" i="41"/>
  <c r="G20" i="41"/>
  <c r="G21" i="41"/>
  <c r="G22" i="41"/>
  <c r="G23" i="41"/>
  <c r="G24" i="41"/>
  <c r="G25" i="41"/>
  <c r="G26" i="41"/>
  <c r="G27" i="41"/>
  <c r="G28" i="41"/>
  <c r="G28" i="40"/>
  <c r="L28" i="40"/>
  <c r="Q28" i="40"/>
  <c r="L28" i="39"/>
  <c r="G28" i="39"/>
  <c r="Q28" i="39"/>
  <c r="G29" i="38"/>
  <c r="L29" i="38"/>
  <c r="Q29" i="38"/>
  <c r="Q28" i="38"/>
  <c r="L28" i="38"/>
  <c r="G28" i="37"/>
  <c r="L28" i="37"/>
  <c r="Q28" i="37"/>
  <c r="G28" i="36"/>
  <c r="L28" i="36"/>
  <c r="Q28" i="36"/>
  <c r="G28" i="35"/>
  <c r="L28" i="35"/>
  <c r="Q28" i="35"/>
  <c r="G28" i="34"/>
  <c r="L28" i="34"/>
  <c r="Q28" i="34"/>
  <c r="G27" i="33"/>
  <c r="L27" i="33"/>
  <c r="Q27" i="33"/>
  <c r="G28" i="32"/>
  <c r="L28" i="32"/>
  <c r="Q28" i="32"/>
  <c r="G32" i="31"/>
  <c r="L32" i="31"/>
  <c r="Q32" i="31"/>
  <c r="G32" i="30"/>
  <c r="L32" i="30"/>
  <c r="Q32" i="30"/>
  <c r="G32" i="29"/>
  <c r="L32" i="29"/>
  <c r="Q32" i="29"/>
  <c r="G32" i="28"/>
  <c r="L32" i="28"/>
  <c r="Q32" i="28"/>
  <c r="G32" i="27"/>
  <c r="L32" i="27"/>
  <c r="Q32" i="27"/>
  <c r="G32" i="26"/>
  <c r="L32" i="26"/>
  <c r="Q32" i="26"/>
  <c r="G32" i="25"/>
  <c r="L32" i="25"/>
  <c r="Q32" i="25"/>
  <c r="G32" i="23"/>
  <c r="L32" i="23"/>
  <c r="Q32" i="23"/>
  <c r="Q28" i="47" l="1"/>
  <c r="L28" i="47"/>
  <c r="G28" i="47"/>
  <c r="G18" i="40" l="1"/>
  <c r="G19" i="40"/>
  <c r="G20" i="40"/>
  <c r="G21" i="40"/>
  <c r="G22" i="40"/>
  <c r="G23" i="40"/>
  <c r="G24" i="40"/>
  <c r="G25" i="40"/>
  <c r="G26" i="40"/>
  <c r="G27" i="40" l="1"/>
  <c r="L27" i="40"/>
  <c r="Q18" i="40"/>
  <c r="Q27" i="40"/>
  <c r="G27" i="39"/>
  <c r="L27" i="39"/>
  <c r="Q18" i="39"/>
  <c r="Q27" i="39"/>
  <c r="G18" i="39"/>
  <c r="G18" i="38"/>
  <c r="G28" i="38"/>
  <c r="L18" i="38"/>
  <c r="Q18" i="38"/>
  <c r="G18" i="37"/>
  <c r="G27" i="37"/>
  <c r="L18" i="37"/>
  <c r="L27" i="37"/>
  <c r="Q18" i="37"/>
  <c r="Q27" i="37"/>
  <c r="Q18" i="36"/>
  <c r="Q27" i="36"/>
  <c r="L18" i="36"/>
  <c r="L27" i="36"/>
  <c r="G18" i="36"/>
  <c r="G27" i="36"/>
  <c r="Q18" i="35"/>
  <c r="Q27" i="35"/>
  <c r="L18" i="35"/>
  <c r="L27" i="35"/>
  <c r="G18" i="35"/>
  <c r="G27" i="35"/>
  <c r="G18" i="34"/>
  <c r="G27" i="34"/>
  <c r="L27" i="34"/>
  <c r="Q18" i="34"/>
  <c r="Q27" i="34"/>
  <c r="G26" i="33"/>
  <c r="G17" i="33"/>
  <c r="L18" i="33"/>
  <c r="L26" i="33"/>
  <c r="Q18" i="33"/>
  <c r="Q26" i="33"/>
  <c r="Q18" i="32"/>
  <c r="Q27" i="32"/>
  <c r="L18" i="32"/>
  <c r="L27" i="32"/>
  <c r="G18" i="32"/>
  <c r="G27" i="32"/>
  <c r="Q18" i="31"/>
  <c r="Q31" i="31"/>
  <c r="L18" i="31"/>
  <c r="L31" i="31"/>
  <c r="G18" i="31"/>
  <c r="G31" i="31"/>
  <c r="Q18" i="30"/>
  <c r="Q31" i="30"/>
  <c r="L31" i="30"/>
  <c r="G31" i="30"/>
  <c r="Q31" i="29"/>
  <c r="L18" i="29"/>
  <c r="L31" i="29"/>
  <c r="G31" i="29"/>
  <c r="G31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18" i="28"/>
  <c r="G17" i="28"/>
  <c r="Q30" i="28"/>
  <c r="Q31" i="28"/>
  <c r="L31" i="28"/>
  <c r="Q18" i="28"/>
  <c r="Q17" i="28"/>
  <c r="L18" i="28"/>
  <c r="Q31" i="27"/>
  <c r="Q18" i="27"/>
  <c r="G18" i="27"/>
  <c r="G31" i="27"/>
  <c r="L18" i="27"/>
  <c r="L30" i="27"/>
  <c r="L31" i="27"/>
  <c r="Q18" i="26"/>
  <c r="Q19" i="26"/>
  <c r="Q20" i="26"/>
  <c r="Q31" i="26"/>
  <c r="L18" i="26"/>
  <c r="L31" i="26"/>
  <c r="G18" i="26"/>
  <c r="G31" i="26"/>
  <c r="G31" i="25"/>
  <c r="G18" i="25"/>
  <c r="L31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Q18" i="60" l="1"/>
  <c r="L18" i="60"/>
  <c r="G18" i="60"/>
  <c r="Q17" i="60"/>
  <c r="L17" i="60"/>
  <c r="G17" i="60"/>
  <c r="Q18" i="59"/>
  <c r="L18" i="59"/>
  <c r="G18" i="59"/>
  <c r="Q17" i="59"/>
  <c r="L17" i="59"/>
  <c r="G17" i="59"/>
  <c r="Q18" i="58"/>
  <c r="L18" i="58"/>
  <c r="G18" i="58"/>
  <c r="Q17" i="58"/>
  <c r="L17" i="58"/>
  <c r="G17" i="58"/>
  <c r="Q18" i="57"/>
  <c r="L18" i="57"/>
  <c r="G18" i="57"/>
  <c r="Q17" i="57"/>
  <c r="L17" i="57"/>
  <c r="G17" i="57"/>
  <c r="Q18" i="56"/>
  <c r="L18" i="56"/>
  <c r="G18" i="56"/>
  <c r="Q17" i="56"/>
  <c r="L17" i="56"/>
  <c r="G17" i="56"/>
  <c r="Q18" i="55"/>
  <c r="L18" i="55"/>
  <c r="G18" i="55"/>
  <c r="Q17" i="55"/>
  <c r="L17" i="55"/>
  <c r="G17" i="55"/>
  <c r="Q18" i="54"/>
  <c r="L18" i="54"/>
  <c r="G18" i="54"/>
  <c r="Q17" i="54"/>
  <c r="L17" i="54"/>
  <c r="G17" i="54"/>
  <c r="Q18" i="53"/>
  <c r="L18" i="53"/>
  <c r="G18" i="53"/>
  <c r="Q17" i="53"/>
  <c r="L17" i="53"/>
  <c r="G17" i="53"/>
  <c r="Q18" i="52"/>
  <c r="L18" i="52"/>
  <c r="G18" i="52"/>
  <c r="Q17" i="52"/>
  <c r="L17" i="52"/>
  <c r="G17" i="52"/>
  <c r="Q18" i="51"/>
  <c r="L18" i="51"/>
  <c r="G18" i="51"/>
  <c r="Q17" i="51"/>
  <c r="L17" i="51"/>
  <c r="G17" i="51"/>
  <c r="Q18" i="50"/>
  <c r="L18" i="50"/>
  <c r="G18" i="50"/>
  <c r="Q17" i="50"/>
  <c r="L17" i="50"/>
  <c r="G17" i="50"/>
  <c r="Q18" i="49"/>
  <c r="L18" i="49"/>
  <c r="G18" i="49"/>
  <c r="Q17" i="49"/>
  <c r="L17" i="49"/>
  <c r="G17" i="49"/>
  <c r="Q18" i="48"/>
  <c r="L18" i="48"/>
  <c r="G18" i="48"/>
  <c r="Q17" i="48"/>
  <c r="L17" i="48"/>
  <c r="G17" i="48"/>
  <c r="Q18" i="47"/>
  <c r="L18" i="47"/>
  <c r="G18" i="47"/>
  <c r="Q17" i="47"/>
  <c r="L17" i="47"/>
  <c r="G17" i="47"/>
  <c r="Q17" i="46"/>
  <c r="L17" i="46"/>
  <c r="G17" i="46"/>
  <c r="Q17" i="45"/>
  <c r="L17" i="45"/>
  <c r="G17" i="45"/>
  <c r="Q18" i="44"/>
  <c r="L18" i="44"/>
  <c r="G18" i="44"/>
  <c r="Q17" i="44"/>
  <c r="L17" i="44"/>
  <c r="G17" i="44"/>
  <c r="Q17" i="43"/>
  <c r="L17" i="43"/>
  <c r="G17" i="43"/>
  <c r="L18" i="42"/>
  <c r="G18" i="42"/>
  <c r="Q17" i="42"/>
  <c r="L17" i="42"/>
  <c r="G17" i="42"/>
  <c r="Q18" i="41"/>
  <c r="L18" i="41"/>
  <c r="G18" i="41"/>
  <c r="Q17" i="41"/>
  <c r="L17" i="41"/>
  <c r="G17" i="41"/>
  <c r="Q17" i="40"/>
  <c r="L17" i="40"/>
  <c r="G17" i="40"/>
  <c r="Q17" i="39"/>
  <c r="L17" i="39"/>
  <c r="G17" i="39"/>
  <c r="Q17" i="38"/>
  <c r="L17" i="38"/>
  <c r="G17" i="38"/>
  <c r="Q17" i="37"/>
  <c r="L17" i="37"/>
  <c r="G17" i="37"/>
  <c r="Q17" i="36"/>
  <c r="L17" i="36"/>
  <c r="G17" i="36"/>
  <c r="Q17" i="35"/>
  <c r="L17" i="35"/>
  <c r="G17" i="35"/>
  <c r="Q17" i="34"/>
  <c r="L17" i="34"/>
  <c r="G17" i="34"/>
  <c r="Q17" i="33"/>
  <c r="L17" i="33"/>
  <c r="Q17" i="32"/>
  <c r="L17" i="32"/>
  <c r="G17" i="32"/>
  <c r="Q17" i="31"/>
  <c r="L17" i="31"/>
  <c r="G17" i="31"/>
  <c r="L18" i="30"/>
  <c r="Q17" i="30"/>
  <c r="L17" i="30"/>
  <c r="G17" i="30"/>
  <c r="Q18" i="29"/>
  <c r="Q17" i="29"/>
  <c r="L17" i="29"/>
  <c r="G17" i="29"/>
  <c r="L17" i="28"/>
  <c r="Q17" i="27"/>
  <c r="L17" i="27"/>
  <c r="G17" i="27"/>
  <c r="Q17" i="26"/>
  <c r="L17" i="26"/>
  <c r="G17" i="26"/>
  <c r="Q17" i="25"/>
  <c r="L17" i="25"/>
  <c r="G17" i="25"/>
  <c r="Q17" i="23"/>
  <c r="L17" i="23"/>
  <c r="G17" i="23"/>
</calcChain>
</file>

<file path=xl/sharedStrings.xml><?xml version="1.0" encoding="utf-8"?>
<sst xmlns="http://schemas.openxmlformats.org/spreadsheetml/2006/main" count="2787" uniqueCount="59">
  <si>
    <t>BẢNG SỐ LIỆU QUAN TRẮC THIẾT BỊ ĐO LÚN MẶT</t>
  </si>
  <si>
    <t>I. SỐ ĐỌC BAN ĐẦU</t>
  </si>
  <si>
    <t>Vùng
(Đường)</t>
  </si>
  <si>
    <t>Bàn quan trắc lún</t>
  </si>
  <si>
    <t>Ngày lắp đặt</t>
  </si>
  <si>
    <t>Cao trình nghiệm thu [m] (24/03/25)</t>
  </si>
  <si>
    <t>Tọa độ</t>
  </si>
  <si>
    <t>Mốc tọa độ tham chiếu</t>
  </si>
  <si>
    <t>Cao trình MĐTN</t>
  </si>
  <si>
    <t>Cao trình đắp</t>
  </si>
  <si>
    <t>Cao trình 
đỉnh ống</t>
  </si>
  <si>
    <t>Cao trình 
tấm đế</t>
  </si>
  <si>
    <t>X [m]</t>
  </si>
  <si>
    <t>Y [m]</t>
  </si>
  <si>
    <t>VÙNG 2A (ĐƯỜNG N1)</t>
  </si>
  <si>
    <t>SSP2-4</t>
  </si>
  <si>
    <t>CS3</t>
  </si>
  <si>
    <t>SSP2-5</t>
  </si>
  <si>
    <t>Tọa độ [m]</t>
  </si>
  <si>
    <t>SSP2-6</t>
  </si>
  <si>
    <t>II. SỐ LIỆU QUAN TRẮC</t>
  </si>
  <si>
    <t>Ngày 
quan trắc</t>
  </si>
  <si>
    <t>ĐỘ LÚN TRÁI</t>
  </si>
  <si>
    <t>ĐỘ LÚN TIM</t>
  </si>
  <si>
    <t>ĐỘ LÚN PHẢI</t>
  </si>
  <si>
    <t>Áp Đ.hồ
Pvac</t>
  </si>
  <si>
    <t xml:space="preserve">Ghi chú
</t>
  </si>
  <si>
    <t>Thời gian tích lũy</t>
  </si>
  <si>
    <t>chu kỳ</t>
  </si>
  <si>
    <t>Cao độ bàn đo lún</t>
  </si>
  <si>
    <t>Chiều cao thiết bị</t>
  </si>
  <si>
    <t>Độ lún</t>
  </si>
  <si>
    <t>[Tháng]</t>
  </si>
  <si>
    <t>[mm]</t>
  </si>
  <si>
    <t>[m.m]</t>
  </si>
  <si>
    <t>[Ngày]</t>
  </si>
  <si>
    <t>[kPa]</t>
  </si>
  <si>
    <t>LĐ</t>
  </si>
  <si>
    <t>Đại diện/
Representative</t>
  </si>
  <si>
    <t>Nhà thầu/
The Contractor</t>
  </si>
  <si>
    <t>Tư vấn giám sát/
The Consultant</t>
  </si>
  <si>
    <t>Chức vụ/ Position:</t>
  </si>
  <si>
    <t>Đội thi công/
Construction team</t>
  </si>
  <si>
    <t>Kỹ sư trắc đạc/
Geodetic engineer</t>
  </si>
  <si>
    <t>Giám sát viên/
Inspector</t>
  </si>
  <si>
    <t>Họ tên/ Full name:</t>
  </si>
  <si>
    <t>Nguyễn Văn Cường</t>
  </si>
  <si>
    <t>Nguyễn Anh Tuấn</t>
  </si>
  <si>
    <t>Nguyễn Phước Trung</t>
  </si>
  <si>
    <t>Chữ ký/ Signature:</t>
  </si>
  <si>
    <t>-0,559</t>
  </si>
  <si>
    <t>-0,619</t>
  </si>
  <si>
    <t>-0,449</t>
  </si>
  <si>
    <t>-1,756</t>
  </si>
  <si>
    <t>-1,601</t>
  </si>
  <si>
    <t>-1,501</t>
  </si>
  <si>
    <t>-1,202</t>
  </si>
  <si>
    <t>-1,181</t>
  </si>
  <si>
    <t>-1,121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</si>
</sst>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#,##0.0"/>
    <numFmt numFmtId="166" formatCode="#,##0.000"/>
    <numFmt numFmtId="167" formatCode="0.000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i/>
      <sz val="12"/>
      <name val="Times New Roman"/>
      <family val="1"/>
    </font>
    <font>
      <sz val="12"/>
      <color rgb="FFFF0000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4"/>
      <name val="Times New Roman"/>
      <family val="1"/>
    </font>
    <font>
      <sz val="14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3"/>
      <name val="Calibri Light"/>
      <family val="1"/>
      <charset val="163"/>
      <scheme val="major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sz val="10"/>
      <color rgb="FFFF0000"/>
      <name val="Times New Roman"/>
      <family val="1"/>
    </font>
    <font>
      <sz val="13"/>
      <color rgb="FFFF0000"/>
      <name val="Calibri Light"/>
      <family val="1"/>
      <charset val="163"/>
      <scheme val="major"/>
    </font>
    <font>
      <sz val="14"/>
      <color rgb="FFFF0000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DFEC"/>
        <bgColor indexed="64"/>
      </patternFill>
    </fill>
  </fills>
  <borders count="61">
    <border>
      <left/>
      <right/>
      <top/>
      <bottom/>
      <diagonal/>
    </border>
    <border>
      <left style="double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double">
        <color rgb="FF000000"/>
      </right>
      <top style="medium">
        <color rgb="FFCCCCCC"/>
      </top>
      <bottom style="medium">
        <color rgb="FFCCCCCC"/>
      </bottom>
      <diagonal/>
    </border>
    <border>
      <left style="double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double">
        <color rgb="FF000000"/>
      </right>
      <top style="medium">
        <color rgb="FF000000"/>
      </top>
      <bottom style="medium">
        <color rgb="FFCCCCCC"/>
      </bottom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double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2" fillId="3" borderId="18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wrapText="1"/>
    </xf>
    <xf numFmtId="0" fontId="5" fillId="3" borderId="18" xfId="0" applyFont="1" applyFill="1" applyBorder="1" applyAlignment="1">
      <alignment wrapText="1"/>
    </xf>
    <xf numFmtId="0" fontId="8" fillId="0" borderId="33" xfId="0" applyFont="1" applyBorder="1" applyAlignment="1">
      <alignment wrapText="1"/>
    </xf>
    <xf numFmtId="0" fontId="8" fillId="0" borderId="34" xfId="0" applyFont="1" applyBorder="1" applyAlignment="1">
      <alignment wrapText="1"/>
    </xf>
    <xf numFmtId="0" fontId="8" fillId="3" borderId="34" xfId="0" applyFont="1" applyFill="1" applyBorder="1" applyAlignment="1">
      <alignment wrapText="1"/>
    </xf>
    <xf numFmtId="0" fontId="8" fillId="2" borderId="34" xfId="0" applyFont="1" applyFill="1" applyBorder="1" applyAlignment="1">
      <alignment wrapText="1"/>
    </xf>
    <xf numFmtId="0" fontId="8" fillId="0" borderId="35" xfId="0" applyFont="1" applyBorder="1" applyAlignment="1">
      <alignment wrapText="1"/>
    </xf>
    <xf numFmtId="0" fontId="9" fillId="0" borderId="4" xfId="0" applyFont="1" applyBorder="1" applyAlignment="1">
      <alignment vertical="center"/>
    </xf>
    <xf numFmtId="0" fontId="10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2" borderId="5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11" fillId="0" borderId="18" xfId="0" applyFont="1" applyBorder="1" applyAlignment="1">
      <alignment horizontal="center" wrapText="1"/>
    </xf>
    <xf numFmtId="0" fontId="11" fillId="3" borderId="18" xfId="0" applyFont="1" applyFill="1" applyBorder="1" applyAlignment="1">
      <alignment horizontal="center" wrapText="1"/>
    </xf>
    <xf numFmtId="0" fontId="11" fillId="2" borderId="18" xfId="0" applyFont="1" applyFill="1" applyBorder="1" applyAlignment="1">
      <alignment horizontal="center" wrapText="1"/>
    </xf>
    <xf numFmtId="0" fontId="11" fillId="0" borderId="18" xfId="0" applyFont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wrapText="1"/>
    </xf>
    <xf numFmtId="14" fontId="11" fillId="0" borderId="43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vertical="center" wrapText="1"/>
    </xf>
    <xf numFmtId="1" fontId="11" fillId="3" borderId="18" xfId="0" applyNumberFormat="1" applyFont="1" applyFill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8" fillId="3" borderId="18" xfId="0" applyFont="1" applyFill="1" applyBorder="1" applyAlignment="1">
      <alignment vertical="center" wrapText="1"/>
    </xf>
    <xf numFmtId="0" fontId="8" fillId="2" borderId="18" xfId="0" applyFont="1" applyFill="1" applyBorder="1" applyAlignment="1">
      <alignment vertical="center" wrapText="1"/>
    </xf>
    <xf numFmtId="0" fontId="8" fillId="0" borderId="43" xfId="0" applyFont="1" applyBorder="1" applyAlignment="1">
      <alignment vertical="center" wrapText="1"/>
    </xf>
    <xf numFmtId="0" fontId="8" fillId="0" borderId="4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8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0" fontId="5" fillId="2" borderId="18" xfId="0" applyFont="1" applyFill="1" applyBorder="1" applyAlignment="1">
      <alignment horizontal="center" vertical="center" wrapText="1"/>
    </xf>
    <xf numFmtId="3" fontId="15" fillId="3" borderId="55" xfId="0" applyNumberFormat="1" applyFont="1" applyFill="1" applyBorder="1"/>
    <xf numFmtId="1" fontId="2" fillId="3" borderId="18" xfId="0" applyNumberFormat="1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5" fillId="2" borderId="55" xfId="0" applyFont="1" applyFill="1" applyBorder="1"/>
    <xf numFmtId="166" fontId="15" fillId="2" borderId="55" xfId="0" applyNumberFormat="1" applyFont="1" applyFill="1" applyBorder="1"/>
    <xf numFmtId="2" fontId="15" fillId="2" borderId="55" xfId="0" applyNumberFormat="1" applyFont="1" applyFill="1" applyBorder="1"/>
    <xf numFmtId="0" fontId="0" fillId="2" borderId="55" xfId="0" applyFill="1" applyBorder="1"/>
    <xf numFmtId="0" fontId="12" fillId="0" borderId="56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8" fillId="0" borderId="3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5" fillId="0" borderId="18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wrapText="1"/>
    </xf>
    <xf numFmtId="0" fontId="5" fillId="3" borderId="18" xfId="0" applyFont="1" applyFill="1" applyBorder="1" applyAlignment="1">
      <alignment horizontal="center" vertical="center" wrapText="1"/>
    </xf>
    <xf numFmtId="14" fontId="10" fillId="0" borderId="43" xfId="0" applyNumberFormat="1" applyFont="1" applyBorder="1" applyAlignment="1">
      <alignment vertical="center" wrapText="1"/>
    </xf>
    <xf numFmtId="0" fontId="19" fillId="2" borderId="55" xfId="0" applyFont="1" applyFill="1" applyBorder="1" applyAlignment="1">
      <alignment horizontal="center"/>
    </xf>
    <xf numFmtId="166" fontId="19" fillId="2" borderId="55" xfId="0" applyNumberFormat="1" applyFont="1" applyFill="1" applyBorder="1" applyAlignment="1">
      <alignment horizontal="center"/>
    </xf>
    <xf numFmtId="3" fontId="19" fillId="3" borderId="55" xfId="0" applyNumberFormat="1" applyFont="1" applyFill="1" applyBorder="1" applyAlignment="1">
      <alignment horizontal="center"/>
    </xf>
    <xf numFmtId="0" fontId="21" fillId="0" borderId="57" xfId="0" applyFont="1" applyBorder="1" applyAlignment="1">
      <alignment horizontal="center" wrapText="1"/>
    </xf>
    <xf numFmtId="0" fontId="18" fillId="0" borderId="56" xfId="0" applyFont="1" applyBorder="1" applyAlignment="1">
      <alignment horizontal="center" wrapText="1"/>
    </xf>
    <xf numFmtId="0" fontId="3" fillId="0" borderId="57" xfId="0" applyFont="1" applyBorder="1" applyAlignment="1">
      <alignment horizontal="center" wrapText="1"/>
    </xf>
    <xf numFmtId="0" fontId="18" fillId="0" borderId="57" xfId="0" applyFont="1" applyBorder="1" applyAlignment="1">
      <alignment horizontal="center" wrapText="1"/>
    </xf>
    <xf numFmtId="0" fontId="8" fillId="0" borderId="58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59" xfId="0" applyFont="1" applyBorder="1" applyAlignment="1">
      <alignment vertical="center" wrapText="1"/>
    </xf>
    <xf numFmtId="0" fontId="8" fillId="3" borderId="59" xfId="0" applyFont="1" applyFill="1" applyBorder="1" applyAlignment="1">
      <alignment vertical="center" wrapText="1"/>
    </xf>
    <xf numFmtId="0" fontId="8" fillId="0" borderId="60" xfId="0" applyFont="1" applyBorder="1" applyAlignment="1">
      <alignment vertical="center" wrapText="1"/>
    </xf>
    <xf numFmtId="0" fontId="8" fillId="3" borderId="60" xfId="0" applyFont="1" applyFill="1" applyBorder="1" applyAlignment="1">
      <alignment vertical="center" wrapText="1"/>
    </xf>
    <xf numFmtId="0" fontId="8" fillId="0" borderId="55" xfId="0" applyFont="1" applyBorder="1" applyAlignment="1">
      <alignment vertical="center" wrapText="1"/>
    </xf>
    <xf numFmtId="0" fontId="8" fillId="3" borderId="55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1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7" fillId="0" borderId="30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5" fillId="0" borderId="30" xfId="0" applyFont="1" applyBorder="1" applyAlignment="1">
      <alignment wrapText="1"/>
    </xf>
    <xf numFmtId="0" fontId="4" fillId="0" borderId="21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7" fillId="0" borderId="27" xfId="0" applyFont="1" applyBorder="1" applyAlignment="1">
      <alignment wrapText="1"/>
    </xf>
    <xf numFmtId="0" fontId="7" fillId="0" borderId="28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2" fillId="0" borderId="27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5" fillId="0" borderId="31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40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4" fillId="0" borderId="45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46" xfId="0" applyFont="1" applyBorder="1" applyAlignment="1">
      <alignment wrapText="1"/>
    </xf>
    <xf numFmtId="0" fontId="14" fillId="0" borderId="47" xfId="0" applyFont="1" applyBorder="1" applyAlignment="1">
      <alignment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52" xfId="0" applyFont="1" applyBorder="1" applyAlignment="1">
      <alignment vertical="center" wrapText="1"/>
    </xf>
    <xf numFmtId="0" fontId="8" fillId="0" borderId="53" xfId="0" applyFont="1" applyBorder="1" applyAlignment="1">
      <alignment vertical="center" wrapText="1"/>
    </xf>
    <xf numFmtId="0" fontId="8" fillId="0" borderId="54" xfId="0" applyFont="1" applyBorder="1" applyAlignment="1">
      <alignment vertical="center" wrapText="1"/>
    </xf>
    <xf numFmtId="0" fontId="14" fillId="0" borderId="49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50" xfId="0" applyFont="1" applyBorder="1" applyAlignment="1">
      <alignment vertical="center" wrapText="1"/>
    </xf>
    <xf numFmtId="0" fontId="14" fillId="0" borderId="51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51" xfId="0" applyFont="1" applyBorder="1" applyAlignment="1">
      <alignment vertical="center" wrapText="1"/>
    </xf>
    <xf numFmtId="0" fontId="8" fillId="0" borderId="8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52" xfId="0" applyFont="1" applyBorder="1" applyAlignment="1">
      <alignment wrapText="1"/>
    </xf>
    <xf numFmtId="0" fontId="8" fillId="0" borderId="53" xfId="0" applyFont="1" applyBorder="1" applyAlignment="1">
      <alignment wrapText="1"/>
    </xf>
    <xf numFmtId="0" fontId="8" fillId="0" borderId="54" xfId="0" applyFont="1" applyBorder="1" applyAlignment="1">
      <alignment wrapText="1"/>
    </xf>
    <xf numFmtId="0" fontId="11" fillId="2" borderId="36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167" fontId="1" fillId="0" borderId="5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F09B-AE50-49CB-B1F1-2F49D7AEB7BE}">
  <sheetPr codeName="Sheet24"/>
  <dimension ref="B1:AE102"/>
  <sheetViews>
    <sheetView tabSelected="1" topLeftCell="A5" workbookViewId="0">
      <selection activeCell="F34" sqref="F34"/>
    </sheetView>
  </sheetViews>
  <sheetFormatPr defaultColWidth="9.140625" defaultRowHeight="15.75" x14ac:dyDescent="0.25"/>
  <cols>
    <col min="1" max="1" width="9.140625" style="16"/>
    <col min="2" max="2" width="33.28515625" style="1" bestFit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45311</v>
      </c>
      <c r="C16" s="38">
        <v>1</v>
      </c>
      <c r="D16" s="38" t="s">
        <v>37</v>
      </c>
      <c r="E16" s="42">
        <v>-600</v>
      </c>
      <c r="F16" s="38"/>
      <c r="G16" s="43">
        <v>0</v>
      </c>
      <c r="H16" s="38">
        <v>1</v>
      </c>
      <c r="I16" s="38"/>
      <c r="J16" s="42">
        <v>-710</v>
      </c>
      <c r="K16" s="38"/>
      <c r="L16" s="43">
        <v>0</v>
      </c>
      <c r="M16" s="38">
        <v>1</v>
      </c>
      <c r="N16" s="38"/>
      <c r="O16" s="42">
        <v>-920</v>
      </c>
      <c r="P16" s="44"/>
      <c r="Q16" s="43">
        <v>0</v>
      </c>
      <c r="R16" s="45"/>
      <c r="S16" s="45"/>
    </row>
    <row r="17" spans="2:19" ht="1.5" customHeight="1" thickBot="1" x14ac:dyDescent="0.3">
      <c r="B17" s="41">
        <v>45342</v>
      </c>
      <c r="C17" s="38">
        <v>2</v>
      </c>
      <c r="D17" s="38"/>
      <c r="E17" s="42">
        <v>-22</v>
      </c>
      <c r="F17" s="38"/>
      <c r="G17" s="46">
        <f>$E$16-E17</f>
        <v>-578</v>
      </c>
      <c r="H17" s="38">
        <v>2</v>
      </c>
      <c r="I17" s="38"/>
      <c r="J17" s="42">
        <v>-23</v>
      </c>
      <c r="K17" s="38"/>
      <c r="L17" s="43">
        <f>$J$16-J17</f>
        <v>-687</v>
      </c>
      <c r="M17" s="38">
        <v>2</v>
      </c>
      <c r="N17" s="38"/>
      <c r="O17" s="42">
        <v>-18</v>
      </c>
      <c r="P17" s="44"/>
      <c r="Q17" s="43">
        <f>$O$16-O17</f>
        <v>-902</v>
      </c>
      <c r="R17" s="45"/>
      <c r="S17" s="45"/>
    </row>
    <row r="18" spans="2:19" ht="19.5" hidden="1" thickBot="1" x14ac:dyDescent="0.3">
      <c r="B18" s="41">
        <v>45371</v>
      </c>
      <c r="C18" s="38">
        <v>3</v>
      </c>
      <c r="D18" s="38"/>
      <c r="E18" s="42">
        <v>-128</v>
      </c>
      <c r="F18" s="38"/>
      <c r="G18" s="46">
        <f t="shared" ref="G18:G31" si="0">$E$16-E18</f>
        <v>-472</v>
      </c>
      <c r="H18" s="38"/>
      <c r="I18" s="38"/>
      <c r="J18" s="42">
        <v>-134</v>
      </c>
      <c r="K18" s="38"/>
      <c r="L18" s="43">
        <f t="shared" ref="L18:L31" si="1">$J$16-J18</f>
        <v>-576</v>
      </c>
      <c r="M18" s="38">
        <v>3</v>
      </c>
      <c r="N18" s="38"/>
      <c r="O18" s="42">
        <v>-107</v>
      </c>
      <c r="P18" s="44"/>
      <c r="Q18" s="43">
        <f t="shared" ref="Q18:Q31" si="2">$O$16-O18</f>
        <v>-813</v>
      </c>
      <c r="R18" s="45"/>
      <c r="S18" s="45"/>
    </row>
    <row r="19" spans="2:19" ht="19.5" hidden="1" thickBot="1" x14ac:dyDescent="0.3">
      <c r="B19" s="41">
        <v>45402</v>
      </c>
      <c r="C19" s="38">
        <v>4</v>
      </c>
      <c r="D19" s="38"/>
      <c r="E19" s="42"/>
      <c r="F19" s="38"/>
      <c r="G19" s="46">
        <f t="shared" si="0"/>
        <v>-600</v>
      </c>
      <c r="H19" s="38"/>
      <c r="I19" s="38"/>
      <c r="J19" s="42"/>
      <c r="K19" s="38"/>
      <c r="L19" s="43">
        <f t="shared" si="1"/>
        <v>-710</v>
      </c>
      <c r="M19" s="38">
        <v>4</v>
      </c>
      <c r="N19" s="38"/>
      <c r="O19" s="42"/>
      <c r="P19" s="44"/>
      <c r="Q19" s="43">
        <f t="shared" si="2"/>
        <v>-920</v>
      </c>
      <c r="R19" s="45"/>
      <c r="S19" s="45"/>
    </row>
    <row r="20" spans="2:19" ht="2.25" hidden="1" customHeight="1" thickBot="1" x14ac:dyDescent="0.3">
      <c r="B20" s="41">
        <v>45432</v>
      </c>
      <c r="C20" s="38">
        <v>5</v>
      </c>
      <c r="D20" s="38"/>
      <c r="E20" s="42"/>
      <c r="F20" s="38"/>
      <c r="G20" s="46">
        <f t="shared" si="0"/>
        <v>-600</v>
      </c>
      <c r="H20" s="38"/>
      <c r="I20" s="38"/>
      <c r="J20" s="42"/>
      <c r="K20" s="38"/>
      <c r="L20" s="43">
        <f t="shared" si="1"/>
        <v>-710</v>
      </c>
      <c r="M20" s="38">
        <v>5</v>
      </c>
      <c r="N20" s="38"/>
      <c r="O20" s="42"/>
      <c r="P20" s="44"/>
      <c r="Q20" s="43">
        <f t="shared" si="2"/>
        <v>-920</v>
      </c>
      <c r="R20" s="45"/>
      <c r="S20" s="45"/>
    </row>
    <row r="21" spans="2:19" ht="19.5" hidden="1" thickBot="1" x14ac:dyDescent="0.3">
      <c r="B21" s="41">
        <v>45463</v>
      </c>
      <c r="C21" s="38">
        <v>6</v>
      </c>
      <c r="D21" s="38"/>
      <c r="E21" s="42"/>
      <c r="F21" s="38"/>
      <c r="G21" s="46">
        <f t="shared" si="0"/>
        <v>-600</v>
      </c>
      <c r="H21" s="38"/>
      <c r="I21" s="38"/>
      <c r="J21" s="42"/>
      <c r="K21" s="38"/>
      <c r="L21" s="43">
        <f t="shared" si="1"/>
        <v>-710</v>
      </c>
      <c r="M21" s="38">
        <v>6</v>
      </c>
      <c r="N21" s="38"/>
      <c r="O21" s="42"/>
      <c r="P21" s="44"/>
      <c r="Q21" s="43">
        <f t="shared" si="2"/>
        <v>-920</v>
      </c>
      <c r="R21" s="45"/>
      <c r="S21" s="45"/>
    </row>
    <row r="22" spans="2:19" ht="19.5" hidden="1" thickBot="1" x14ac:dyDescent="0.3">
      <c r="B22" s="41">
        <v>45493</v>
      </c>
      <c r="C22" s="38">
        <v>7</v>
      </c>
      <c r="D22" s="38"/>
      <c r="E22" s="42"/>
      <c r="F22" s="38"/>
      <c r="G22" s="46">
        <f t="shared" si="0"/>
        <v>-600</v>
      </c>
      <c r="H22" s="38"/>
      <c r="I22" s="38"/>
      <c r="J22" s="42"/>
      <c r="K22" s="38"/>
      <c r="L22" s="43">
        <f t="shared" si="1"/>
        <v>-710</v>
      </c>
      <c r="M22" s="38">
        <v>7</v>
      </c>
      <c r="N22" s="38"/>
      <c r="O22" s="42"/>
      <c r="P22" s="44"/>
      <c r="Q22" s="43">
        <f t="shared" si="2"/>
        <v>-920</v>
      </c>
      <c r="R22" s="45"/>
      <c r="S22" s="45"/>
    </row>
    <row r="23" spans="2:19" ht="19.5" hidden="1" thickBot="1" x14ac:dyDescent="0.3">
      <c r="B23" s="41">
        <v>45524</v>
      </c>
      <c r="C23" s="38">
        <v>8</v>
      </c>
      <c r="D23" s="38"/>
      <c r="E23" s="42"/>
      <c r="F23" s="38"/>
      <c r="G23" s="46">
        <f t="shared" si="0"/>
        <v>-600</v>
      </c>
      <c r="H23" s="38"/>
      <c r="I23" s="38"/>
      <c r="J23" s="42"/>
      <c r="K23" s="38"/>
      <c r="L23" s="43">
        <f t="shared" si="1"/>
        <v>-710</v>
      </c>
      <c r="M23" s="38">
        <v>8</v>
      </c>
      <c r="N23" s="38"/>
      <c r="O23" s="42"/>
      <c r="P23" s="44"/>
      <c r="Q23" s="43">
        <f t="shared" si="2"/>
        <v>-920</v>
      </c>
      <c r="R23" s="45"/>
      <c r="S23" s="45"/>
    </row>
    <row r="24" spans="2:19" ht="19.5" hidden="1" thickBot="1" x14ac:dyDescent="0.3">
      <c r="B24" s="41">
        <v>45555</v>
      </c>
      <c r="C24" s="38">
        <v>9</v>
      </c>
      <c r="D24" s="38"/>
      <c r="E24" s="42"/>
      <c r="F24" s="38"/>
      <c r="G24" s="46">
        <f t="shared" si="0"/>
        <v>-600</v>
      </c>
      <c r="H24" s="38"/>
      <c r="I24" s="38"/>
      <c r="J24" s="42"/>
      <c r="K24" s="38"/>
      <c r="L24" s="43">
        <f t="shared" si="1"/>
        <v>-710</v>
      </c>
      <c r="M24" s="38">
        <v>9</v>
      </c>
      <c r="N24" s="38"/>
      <c r="O24" s="42"/>
      <c r="P24" s="44"/>
      <c r="Q24" s="43">
        <f t="shared" si="2"/>
        <v>-920</v>
      </c>
      <c r="R24" s="45"/>
      <c r="S24" s="45"/>
    </row>
    <row r="25" spans="2:19" ht="19.5" hidden="1" thickBot="1" x14ac:dyDescent="0.3">
      <c r="B25" s="41">
        <v>45585</v>
      </c>
      <c r="C25" s="38">
        <v>10</v>
      </c>
      <c r="D25" s="38"/>
      <c r="E25" s="42"/>
      <c r="F25" s="38"/>
      <c r="G25" s="46">
        <f t="shared" si="0"/>
        <v>-600</v>
      </c>
      <c r="H25" s="38"/>
      <c r="I25" s="38"/>
      <c r="J25" s="42"/>
      <c r="K25" s="38"/>
      <c r="L25" s="43">
        <f t="shared" si="1"/>
        <v>-710</v>
      </c>
      <c r="M25" s="38">
        <v>10</v>
      </c>
      <c r="N25" s="38"/>
      <c r="O25" s="42"/>
      <c r="P25" s="44"/>
      <c r="Q25" s="43">
        <f t="shared" si="2"/>
        <v>-920</v>
      </c>
      <c r="R25" s="45"/>
      <c r="S25" s="45"/>
    </row>
    <row r="26" spans="2:19" ht="19.5" hidden="1" thickBot="1" x14ac:dyDescent="0.3">
      <c r="B26" s="41">
        <v>45616</v>
      </c>
      <c r="C26" s="38">
        <v>11</v>
      </c>
      <c r="D26" s="38"/>
      <c r="E26" s="42"/>
      <c r="F26" s="38"/>
      <c r="G26" s="46">
        <f t="shared" si="0"/>
        <v>-600</v>
      </c>
      <c r="H26" s="38"/>
      <c r="I26" s="38"/>
      <c r="J26" s="42"/>
      <c r="K26" s="38"/>
      <c r="L26" s="43">
        <f t="shared" si="1"/>
        <v>-710</v>
      </c>
      <c r="M26" s="38">
        <v>11</v>
      </c>
      <c r="N26" s="38"/>
      <c r="O26" s="42"/>
      <c r="P26" s="44"/>
      <c r="Q26" s="43">
        <f t="shared" si="2"/>
        <v>-920</v>
      </c>
      <c r="R26" s="45"/>
      <c r="S26" s="45"/>
    </row>
    <row r="27" spans="2:19" ht="19.5" hidden="1" thickBot="1" x14ac:dyDescent="0.3">
      <c r="B27" s="41">
        <v>45646</v>
      </c>
      <c r="C27" s="38">
        <v>12</v>
      </c>
      <c r="D27" s="38"/>
      <c r="E27" s="42"/>
      <c r="F27" s="38"/>
      <c r="G27" s="46">
        <f t="shared" si="0"/>
        <v>-600</v>
      </c>
      <c r="H27" s="38"/>
      <c r="I27" s="38"/>
      <c r="J27" s="42"/>
      <c r="K27" s="38"/>
      <c r="L27" s="43">
        <f t="shared" si="1"/>
        <v>-710</v>
      </c>
      <c r="M27" s="38">
        <v>12</v>
      </c>
      <c r="N27" s="38"/>
      <c r="O27" s="42"/>
      <c r="P27" s="44"/>
      <c r="Q27" s="43">
        <f t="shared" si="2"/>
        <v>-920</v>
      </c>
      <c r="R27" s="45"/>
      <c r="S27" s="45"/>
    </row>
    <row r="28" spans="2:19" ht="19.5" hidden="1" thickBot="1" x14ac:dyDescent="0.3">
      <c r="B28" s="41">
        <v>45677</v>
      </c>
      <c r="C28" s="38">
        <v>13</v>
      </c>
      <c r="D28" s="38"/>
      <c r="E28" s="42"/>
      <c r="F28" s="38"/>
      <c r="G28" s="46">
        <f t="shared" si="0"/>
        <v>-600</v>
      </c>
      <c r="H28" s="38"/>
      <c r="I28" s="38"/>
      <c r="J28" s="42"/>
      <c r="K28" s="38"/>
      <c r="L28" s="43">
        <f t="shared" si="1"/>
        <v>-710</v>
      </c>
      <c r="M28" s="38">
        <v>13</v>
      </c>
      <c r="N28" s="38"/>
      <c r="O28" s="42"/>
      <c r="P28" s="44"/>
      <c r="Q28" s="43">
        <f t="shared" si="2"/>
        <v>-920</v>
      </c>
      <c r="R28" s="45"/>
      <c r="S28" s="45"/>
    </row>
    <row r="29" spans="2:19" ht="19.5" hidden="1" thickBot="1" x14ac:dyDescent="0.3">
      <c r="B29" s="41">
        <v>45708</v>
      </c>
      <c r="C29" s="38">
        <v>14</v>
      </c>
      <c r="D29" s="38"/>
      <c r="E29" s="42"/>
      <c r="F29" s="38"/>
      <c r="G29" s="46">
        <f t="shared" si="0"/>
        <v>-600</v>
      </c>
      <c r="H29" s="38"/>
      <c r="I29" s="38"/>
      <c r="J29" s="42"/>
      <c r="K29" s="38"/>
      <c r="L29" s="43">
        <f t="shared" si="1"/>
        <v>-710</v>
      </c>
      <c r="M29" s="38">
        <v>14</v>
      </c>
      <c r="N29" s="38"/>
      <c r="O29" s="42"/>
      <c r="P29" s="44"/>
      <c r="Q29" s="43">
        <f t="shared" si="2"/>
        <v>-920</v>
      </c>
      <c r="R29" s="45"/>
      <c r="S29" s="45"/>
    </row>
    <row r="30" spans="2:19" ht="19.5" hidden="1" thickBot="1" x14ac:dyDescent="0.3">
      <c r="B30" s="41">
        <v>45736</v>
      </c>
      <c r="C30" s="38">
        <v>15</v>
      </c>
      <c r="D30" s="38"/>
      <c r="E30" s="42"/>
      <c r="F30" s="38"/>
      <c r="G30" s="46">
        <f t="shared" si="0"/>
        <v>-600</v>
      </c>
      <c r="H30" s="38"/>
      <c r="I30" s="38"/>
      <c r="J30" s="42"/>
      <c r="K30" s="38"/>
      <c r="L30" s="43">
        <f t="shared" si="1"/>
        <v>-710</v>
      </c>
      <c r="M30" s="38">
        <v>15</v>
      </c>
      <c r="N30" s="38"/>
      <c r="O30" s="42"/>
      <c r="P30" s="44"/>
      <c r="Q30" s="43">
        <f t="shared" si="2"/>
        <v>-920</v>
      </c>
      <c r="R30" s="45"/>
      <c r="S30" s="45"/>
    </row>
    <row r="31" spans="2:19" ht="19.5" thickBot="1" x14ac:dyDescent="0.3">
      <c r="B31" s="41">
        <v>45758</v>
      </c>
      <c r="C31" s="38">
        <v>16</v>
      </c>
      <c r="D31" s="38"/>
      <c r="E31" s="42">
        <v>-1106</v>
      </c>
      <c r="F31" s="38"/>
      <c r="G31" s="46">
        <f t="shared" si="0"/>
        <v>506</v>
      </c>
      <c r="H31" s="38"/>
      <c r="I31" s="38"/>
      <c r="J31" s="42">
        <v>-1031</v>
      </c>
      <c r="K31" s="38"/>
      <c r="L31" s="43">
        <f t="shared" si="1"/>
        <v>321</v>
      </c>
      <c r="M31" s="38">
        <v>16</v>
      </c>
      <c r="N31" s="38"/>
      <c r="O31" s="42">
        <v>-1519</v>
      </c>
      <c r="P31" s="44"/>
      <c r="Q31" s="43">
        <f t="shared" si="2"/>
        <v>599</v>
      </c>
      <c r="R31" s="45"/>
      <c r="S31" s="45"/>
    </row>
    <row r="32" spans="2:19" ht="19.5" thickBot="1" x14ac:dyDescent="0.3">
      <c r="B32" s="41">
        <v>45776</v>
      </c>
      <c r="C32" s="38">
        <v>16</v>
      </c>
      <c r="D32" s="38"/>
      <c r="E32" s="42">
        <v>-1131</v>
      </c>
      <c r="F32" s="38"/>
      <c r="G32" s="46">
        <f t="shared" ref="G32" si="3">$E$16-E32</f>
        <v>531</v>
      </c>
      <c r="H32" s="38"/>
      <c r="I32" s="38"/>
      <c r="J32" s="42">
        <v>-1035</v>
      </c>
      <c r="K32" s="38"/>
      <c r="L32" s="43">
        <f t="shared" ref="L32" si="4">$J$16-J32</f>
        <v>325</v>
      </c>
      <c r="M32" s="38">
        <v>16</v>
      </c>
      <c r="N32" s="38"/>
      <c r="O32" s="42">
        <v>-1546</v>
      </c>
      <c r="P32" s="44"/>
      <c r="Q32" s="43">
        <f t="shared" ref="Q32" si="5">$O$16-O32</f>
        <v>626</v>
      </c>
      <c r="R32" s="45"/>
      <c r="S32" s="45"/>
    </row>
    <row r="33" spans="2:19" ht="19.5" thickBot="1" x14ac:dyDescent="0.3">
      <c r="B33" s="41">
        <v>45806</v>
      </c>
      <c r="C33" s="38"/>
      <c r="D33" s="47"/>
      <c r="E33" s="42">
        <v>-1132</v>
      </c>
      <c r="F33" s="38"/>
      <c r="G33" s="46">
        <f>$E$16-E33</f>
        <v>532</v>
      </c>
      <c r="H33" s="38"/>
      <c r="I33" s="38"/>
      <c r="J33" s="42">
        <v>-1036</v>
      </c>
      <c r="K33" s="38"/>
      <c r="L33" s="43">
        <f t="shared" ref="L33:L35" si="6">$J$16-J33</f>
        <v>326</v>
      </c>
      <c r="M33" s="38">
        <v>16</v>
      </c>
      <c r="N33" s="38"/>
      <c r="O33" s="42">
        <v>-1546</v>
      </c>
      <c r="P33" s="44"/>
      <c r="Q33" s="43">
        <f>$O$16-O33</f>
        <v>626</v>
      </c>
      <c r="R33" s="47"/>
      <c r="S33" s="47"/>
    </row>
    <row r="34" spans="2:19" ht="19.5" thickBot="1" x14ac:dyDescent="0.3">
      <c r="B34" s="79">
        <v>45822</v>
      </c>
      <c r="C34" s="38"/>
      <c r="D34" s="47"/>
      <c r="E34" s="42">
        <v>-1132</v>
      </c>
      <c r="F34" s="47"/>
      <c r="G34" s="48"/>
      <c r="H34" s="47"/>
      <c r="I34" s="47"/>
      <c r="J34" s="42">
        <v>-1036</v>
      </c>
      <c r="K34" s="47"/>
      <c r="L34" s="43">
        <f t="shared" si="6"/>
        <v>326</v>
      </c>
      <c r="M34" s="47"/>
      <c r="N34" s="47"/>
      <c r="O34" s="42">
        <v>-1546</v>
      </c>
      <c r="P34" s="49"/>
      <c r="Q34" s="48"/>
      <c r="R34" s="47"/>
      <c r="S34" s="47"/>
    </row>
    <row r="35" spans="2:19" ht="19.5" thickBot="1" x14ac:dyDescent="0.3">
      <c r="B35" s="41">
        <v>45836</v>
      </c>
      <c r="C35" s="38"/>
      <c r="D35" s="47"/>
      <c r="E35" s="42">
        <v>-1132</v>
      </c>
      <c r="F35" s="47"/>
      <c r="G35" s="48"/>
      <c r="H35" s="47"/>
      <c r="I35" s="47"/>
      <c r="J35" s="42">
        <v>-1036</v>
      </c>
      <c r="K35" s="47"/>
      <c r="L35" s="43">
        <f t="shared" si="6"/>
        <v>326</v>
      </c>
      <c r="M35" s="47"/>
      <c r="N35" s="47"/>
      <c r="O35" s="42">
        <v>-1546</v>
      </c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89"/>
      <c r="F36" s="89"/>
      <c r="G36" s="90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87"/>
      <c r="E37" s="93"/>
      <c r="F37" s="93"/>
      <c r="G37" s="94"/>
      <c r="H37" s="88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87"/>
      <c r="E38" s="93"/>
      <c r="F38" s="93"/>
      <c r="G38" s="94"/>
      <c r="H38" s="88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87"/>
      <c r="E39" s="91"/>
      <c r="F39" s="91"/>
      <c r="G39" s="92"/>
      <c r="H39" s="88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87"/>
      <c r="E40" s="91"/>
      <c r="F40" s="91"/>
      <c r="G40" s="92"/>
      <c r="H40" s="88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87"/>
      <c r="E41" s="93"/>
      <c r="F41" s="93"/>
      <c r="G41" s="94"/>
      <c r="H41" s="88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87"/>
      <c r="E42" s="91"/>
      <c r="F42" s="91"/>
      <c r="G42" s="92"/>
      <c r="H42" s="88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87"/>
      <c r="E43" s="91"/>
      <c r="F43" s="91"/>
      <c r="G43" s="92"/>
      <c r="H43" s="88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87"/>
      <c r="E44" s="93"/>
      <c r="F44" s="93"/>
      <c r="G44" s="94"/>
      <c r="H44" s="88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C45" s="50"/>
      <c r="D45" s="47"/>
      <c r="E45" s="91"/>
      <c r="F45" s="91"/>
      <c r="G45" s="92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A212-566A-4C61-960E-2D2196A14F4B}">
  <sheetPr codeName="Sheet25"/>
  <dimension ref="B1:AE102"/>
  <sheetViews>
    <sheetView topLeftCell="A10" workbookViewId="0">
      <selection activeCell="B34" sqref="B34:S37"/>
    </sheetView>
  </sheetViews>
  <sheetFormatPr defaultColWidth="9.140625" defaultRowHeight="15.75" x14ac:dyDescent="0.25"/>
  <cols>
    <col min="1" max="1" width="9.140625" style="16"/>
    <col min="2" max="2" width="33.28515625" style="1" bestFit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8.75" customHeight="1" thickBot="1" x14ac:dyDescent="0.3">
      <c r="B16" s="41">
        <v>45311</v>
      </c>
      <c r="C16" s="38">
        <v>1</v>
      </c>
      <c r="D16" s="38" t="s">
        <v>37</v>
      </c>
      <c r="E16" s="42">
        <v>-100</v>
      </c>
      <c r="F16" s="38"/>
      <c r="G16" s="43">
        <v>0</v>
      </c>
      <c r="H16" s="38">
        <v>1</v>
      </c>
      <c r="I16" s="38"/>
      <c r="J16" s="42">
        <v>-330</v>
      </c>
      <c r="K16" s="38"/>
      <c r="L16" s="43">
        <v>0</v>
      </c>
      <c r="M16" s="38">
        <v>1</v>
      </c>
      <c r="N16" s="38"/>
      <c r="O16" s="42">
        <v>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45342</v>
      </c>
      <c r="C17" s="38">
        <v>2</v>
      </c>
      <c r="D17" s="38"/>
      <c r="E17" s="42">
        <v>-22</v>
      </c>
      <c r="F17" s="38"/>
      <c r="G17" s="46">
        <f>$E$16-E17</f>
        <v>-78</v>
      </c>
      <c r="H17" s="38">
        <v>2</v>
      </c>
      <c r="I17" s="38"/>
      <c r="J17" s="42">
        <v>-23</v>
      </c>
      <c r="K17" s="42"/>
      <c r="L17" s="43">
        <f>$J$16-J17</f>
        <v>-307</v>
      </c>
      <c r="M17" s="38">
        <v>2</v>
      </c>
      <c r="N17" s="38"/>
      <c r="O17" s="42">
        <v>-18</v>
      </c>
      <c r="P17" s="44"/>
      <c r="Q17" s="43">
        <f>$O$16-O17</f>
        <v>18</v>
      </c>
      <c r="R17" s="45"/>
      <c r="S17" s="45"/>
    </row>
    <row r="18" spans="2:19" ht="19.5" hidden="1" thickBot="1" x14ac:dyDescent="0.3">
      <c r="B18" s="41">
        <v>45371</v>
      </c>
      <c r="C18" s="38">
        <v>3</v>
      </c>
      <c r="D18" s="38"/>
      <c r="E18" s="42">
        <v>-128</v>
      </c>
      <c r="F18" s="38"/>
      <c r="G18" s="46">
        <f>$E$16-E18</f>
        <v>28</v>
      </c>
      <c r="H18" s="38"/>
      <c r="I18" s="38"/>
      <c r="J18" s="42">
        <v>-134</v>
      </c>
      <c r="K18" s="38"/>
      <c r="L18" s="43"/>
      <c r="M18" s="38">
        <v>3</v>
      </c>
      <c r="N18" s="38"/>
      <c r="O18" s="42">
        <v>-107</v>
      </c>
      <c r="P18" s="44"/>
      <c r="Q18" s="43">
        <f t="shared" ref="Q18:Q31" si="0">$O$16-O18</f>
        <v>107</v>
      </c>
      <c r="R18" s="45"/>
      <c r="S18" s="45"/>
    </row>
    <row r="19" spans="2:19" ht="19.5" hidden="1" thickBot="1" x14ac:dyDescent="0.3">
      <c r="B19" s="41">
        <v>45402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>
        <f t="shared" si="0"/>
        <v>0</v>
      </c>
      <c r="R19" s="45"/>
      <c r="S19" s="45"/>
    </row>
    <row r="20" spans="2:19" ht="19.5" hidden="1" thickBot="1" x14ac:dyDescent="0.3">
      <c r="B20" s="41">
        <v>45432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>
        <f t="shared" si="0"/>
        <v>0</v>
      </c>
      <c r="R20" s="45"/>
      <c r="S20" s="45"/>
    </row>
    <row r="21" spans="2:19" ht="19.5" hidden="1" thickBot="1" x14ac:dyDescent="0.3">
      <c r="B21" s="41">
        <v>45463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>
        <f t="shared" si="0"/>
        <v>0</v>
      </c>
      <c r="R21" s="45"/>
      <c r="S21" s="45"/>
    </row>
    <row r="22" spans="2:19" ht="19.5" hidden="1" thickBot="1" x14ac:dyDescent="0.3">
      <c r="B22" s="41">
        <v>45493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>
        <f t="shared" si="0"/>
        <v>0</v>
      </c>
      <c r="R22" s="45"/>
      <c r="S22" s="45"/>
    </row>
    <row r="23" spans="2:19" ht="19.5" hidden="1" thickBot="1" x14ac:dyDescent="0.3">
      <c r="B23" s="41">
        <v>45524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>
        <f t="shared" si="0"/>
        <v>0</v>
      </c>
      <c r="R23" s="45"/>
      <c r="S23" s="45"/>
    </row>
    <row r="24" spans="2:19" ht="19.5" hidden="1" thickBot="1" x14ac:dyDescent="0.3">
      <c r="B24" s="41">
        <v>45555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>
        <f t="shared" si="0"/>
        <v>0</v>
      </c>
      <c r="R24" s="45"/>
      <c r="S24" s="45"/>
    </row>
    <row r="25" spans="2:19" ht="19.5" hidden="1" thickBot="1" x14ac:dyDescent="0.3">
      <c r="B25" s="41">
        <v>45585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>
        <f t="shared" si="0"/>
        <v>0</v>
      </c>
      <c r="R25" s="45"/>
      <c r="S25" s="45"/>
    </row>
    <row r="26" spans="2:19" ht="19.5" hidden="1" thickBot="1" x14ac:dyDescent="0.3">
      <c r="B26" s="41">
        <v>45616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>
        <f t="shared" si="0"/>
        <v>0</v>
      </c>
      <c r="R26" s="45"/>
      <c r="S26" s="45"/>
    </row>
    <row r="27" spans="2:19" ht="19.5" hidden="1" thickBot="1" x14ac:dyDescent="0.3">
      <c r="B27" s="41">
        <v>45646</v>
      </c>
      <c r="C27" s="38">
        <v>12</v>
      </c>
      <c r="D27" s="38"/>
      <c r="E27" s="42"/>
      <c r="F27" s="38"/>
      <c r="G27" s="46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>
        <f t="shared" si="0"/>
        <v>0</v>
      </c>
      <c r="R27" s="45"/>
      <c r="S27" s="45"/>
    </row>
    <row r="28" spans="2:19" ht="19.5" hidden="1" thickBot="1" x14ac:dyDescent="0.3">
      <c r="B28" s="41">
        <v>45677</v>
      </c>
      <c r="C28" s="38">
        <v>13</v>
      </c>
      <c r="D28" s="38"/>
      <c r="E28" s="42"/>
      <c r="F28" s="38"/>
      <c r="G28" s="46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>
        <f t="shared" si="0"/>
        <v>0</v>
      </c>
      <c r="R28" s="45"/>
      <c r="S28" s="45"/>
    </row>
    <row r="29" spans="2:19" ht="19.5" hidden="1" thickBot="1" x14ac:dyDescent="0.3">
      <c r="B29" s="41">
        <v>45708</v>
      </c>
      <c r="C29" s="38">
        <v>14</v>
      </c>
      <c r="D29" s="38"/>
      <c r="E29" s="42"/>
      <c r="F29" s="38"/>
      <c r="G29" s="46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>
        <f t="shared" si="0"/>
        <v>0</v>
      </c>
      <c r="R29" s="45"/>
      <c r="S29" s="45"/>
    </row>
    <row r="30" spans="2:19" ht="19.5" hidden="1" thickBot="1" x14ac:dyDescent="0.3">
      <c r="B30" s="41">
        <v>45736</v>
      </c>
      <c r="C30" s="38">
        <v>15</v>
      </c>
      <c r="D30" s="38"/>
      <c r="E30" s="42"/>
      <c r="F30" s="38"/>
      <c r="G30" s="46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>
        <f t="shared" si="0"/>
        <v>0</v>
      </c>
      <c r="R30" s="45"/>
      <c r="S30" s="45"/>
    </row>
    <row r="31" spans="2:19" ht="19.5" thickBot="1" x14ac:dyDescent="0.3">
      <c r="B31" s="41">
        <v>45758</v>
      </c>
      <c r="C31" s="38">
        <v>16</v>
      </c>
      <c r="D31" s="38"/>
      <c r="E31" s="42">
        <v>-533</v>
      </c>
      <c r="F31" s="38"/>
      <c r="G31" s="46">
        <f t="shared" ref="G31" si="1">$E$16-E31</f>
        <v>433</v>
      </c>
      <c r="H31" s="38"/>
      <c r="I31" s="38"/>
      <c r="J31" s="42">
        <v>-600</v>
      </c>
      <c r="K31" s="38"/>
      <c r="L31" s="43">
        <f t="shared" ref="L31" si="2">$J$16-J31</f>
        <v>270</v>
      </c>
      <c r="M31" s="38">
        <v>16</v>
      </c>
      <c r="N31" s="38"/>
      <c r="O31" s="42">
        <v>-409</v>
      </c>
      <c r="P31" s="44"/>
      <c r="Q31" s="43">
        <f t="shared" si="0"/>
        <v>409</v>
      </c>
      <c r="R31" s="45"/>
      <c r="S31" s="45"/>
    </row>
    <row r="32" spans="2:19" ht="19.5" thickBot="1" x14ac:dyDescent="0.3">
      <c r="B32" s="41">
        <v>45776</v>
      </c>
      <c r="C32" s="38">
        <v>16</v>
      </c>
      <c r="D32" s="38"/>
      <c r="E32" s="42">
        <v>-557</v>
      </c>
      <c r="F32" s="38"/>
      <c r="G32" s="46">
        <f t="shared" ref="G32" si="3">$E$16-E32</f>
        <v>457</v>
      </c>
      <c r="H32" s="38"/>
      <c r="I32" s="38"/>
      <c r="J32" s="42">
        <v>-617</v>
      </c>
      <c r="K32" s="38"/>
      <c r="L32" s="43">
        <f t="shared" ref="L32" si="4">$J$16-J32</f>
        <v>287</v>
      </c>
      <c r="M32" s="38">
        <v>16</v>
      </c>
      <c r="N32" s="38"/>
      <c r="O32" s="42">
        <v>-447</v>
      </c>
      <c r="P32" s="44"/>
      <c r="Q32" s="43">
        <f t="shared" ref="Q32:Q33" si="5">$O$16-O32</f>
        <v>447</v>
      </c>
      <c r="R32" s="45"/>
      <c r="S32" s="45"/>
    </row>
    <row r="33" spans="2:19" ht="19.5" thickBot="1" x14ac:dyDescent="0.3">
      <c r="B33" s="41">
        <v>45806</v>
      </c>
      <c r="C33" s="38"/>
      <c r="D33" s="47"/>
      <c r="E33" s="42">
        <v>-559</v>
      </c>
      <c r="F33" s="38"/>
      <c r="G33" s="46">
        <f t="shared" ref="G33" si="6">$E$16-E33</f>
        <v>459</v>
      </c>
      <c r="H33" s="38"/>
      <c r="I33" s="38"/>
      <c r="J33" s="42">
        <v>-619</v>
      </c>
      <c r="K33" s="38"/>
      <c r="L33" s="43">
        <f t="shared" ref="L33" si="7">$J$16-J33</f>
        <v>289</v>
      </c>
      <c r="M33" s="38">
        <v>16</v>
      </c>
      <c r="N33" s="38"/>
      <c r="O33" s="42">
        <v>-449</v>
      </c>
      <c r="P33" s="49"/>
      <c r="Q33" s="43">
        <f t="shared" si="5"/>
        <v>449</v>
      </c>
      <c r="R33" s="47"/>
      <c r="S33" s="47"/>
    </row>
    <row r="34" spans="2:19" ht="19.5" thickBot="1" x14ac:dyDescent="0.3">
      <c r="B34" s="79">
        <v>45822</v>
      </c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188" t="s">
        <v>50</v>
      </c>
      <c r="I38" s="188"/>
      <c r="J38" s="188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188" t="s">
        <v>51</v>
      </c>
      <c r="I39" s="188"/>
      <c r="J39" s="188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188" t="s">
        <v>52</v>
      </c>
      <c r="I40" s="188"/>
      <c r="J40" s="188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9">
    <mergeCell ref="H38:J38"/>
    <mergeCell ref="H39:J39"/>
    <mergeCell ref="H40:J40"/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B2FF-6C77-44D5-B801-CEA71F42D1A9}">
  <sheetPr codeName="Sheet26"/>
  <dimension ref="B1:AE102"/>
  <sheetViews>
    <sheetView topLeftCell="A10" zoomScale="95" zoomScaleNormal="95" workbookViewId="0">
      <selection activeCell="J40" sqref="J40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8" customHeight="1" thickBot="1" x14ac:dyDescent="0.3">
      <c r="B16" s="41">
        <v>45311</v>
      </c>
      <c r="C16" s="38">
        <v>1</v>
      </c>
      <c r="D16" s="38" t="s">
        <v>37</v>
      </c>
      <c r="E16" s="42">
        <v>-700</v>
      </c>
      <c r="F16" s="38"/>
      <c r="G16" s="43">
        <v>0</v>
      </c>
      <c r="H16" s="38">
        <v>1</v>
      </c>
      <c r="I16" s="38"/>
      <c r="J16" s="42">
        <v>-700</v>
      </c>
      <c r="K16" s="38"/>
      <c r="L16" s="43">
        <v>0</v>
      </c>
      <c r="M16" s="38">
        <v>1</v>
      </c>
      <c r="N16" s="38"/>
      <c r="O16" s="42">
        <v>-700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45342</v>
      </c>
      <c r="C17" s="38">
        <v>2</v>
      </c>
      <c r="D17" s="38"/>
      <c r="E17" s="42">
        <v>-780</v>
      </c>
      <c r="F17" s="38"/>
      <c r="G17" s="46">
        <f>$E$16-E17</f>
        <v>80</v>
      </c>
      <c r="H17" s="38">
        <v>2</v>
      </c>
      <c r="I17" s="38"/>
      <c r="J17" s="42">
        <v>-23</v>
      </c>
      <c r="K17" s="38"/>
      <c r="L17" s="43">
        <f>$J$16-J17</f>
        <v>-677</v>
      </c>
      <c r="M17" s="38">
        <v>2</v>
      </c>
      <c r="N17" s="38"/>
      <c r="O17" s="42">
        <v>-18</v>
      </c>
      <c r="P17" s="44"/>
      <c r="Q17" s="43">
        <f>$O$16-O17</f>
        <v>-682</v>
      </c>
      <c r="R17" s="45"/>
      <c r="S17" s="45"/>
    </row>
    <row r="18" spans="2:19" ht="19.5" hidden="1" thickBot="1" x14ac:dyDescent="0.3">
      <c r="B18" s="41">
        <v>45371</v>
      </c>
      <c r="C18" s="38">
        <v>3</v>
      </c>
      <c r="D18" s="38"/>
      <c r="E18" s="42">
        <v>-128</v>
      </c>
      <c r="F18" s="38"/>
      <c r="G18" s="46">
        <f t="shared" ref="G18:G31" si="0">$E$16-E18</f>
        <v>-572</v>
      </c>
      <c r="H18" s="38"/>
      <c r="I18" s="38"/>
      <c r="J18" s="42">
        <v>-134</v>
      </c>
      <c r="K18" s="38"/>
      <c r="L18" s="43">
        <f t="shared" ref="L18:L31" si="1">$J$16-J18</f>
        <v>-566</v>
      </c>
      <c r="M18" s="38">
        <v>3</v>
      </c>
      <c r="N18" s="38"/>
      <c r="O18" s="42">
        <v>-107</v>
      </c>
      <c r="P18" s="44"/>
      <c r="Q18" s="43">
        <f t="shared" ref="Q18:Q31" si="2">$O$16-O18</f>
        <v>-593</v>
      </c>
      <c r="R18" s="45"/>
      <c r="S18" s="45"/>
    </row>
    <row r="19" spans="2:19" ht="19.5" hidden="1" thickBot="1" x14ac:dyDescent="0.3">
      <c r="B19" s="41">
        <v>45402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>
        <f t="shared" si="2"/>
        <v>-700</v>
      </c>
      <c r="R19" s="45"/>
      <c r="S19" s="45"/>
    </row>
    <row r="20" spans="2:19" ht="19.5" hidden="1" thickBot="1" x14ac:dyDescent="0.3">
      <c r="B20" s="41">
        <v>45432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>
        <f t="shared" si="2"/>
        <v>-700</v>
      </c>
      <c r="R20" s="45"/>
      <c r="S20" s="45"/>
    </row>
    <row r="21" spans="2:19" ht="19.5" hidden="1" thickBot="1" x14ac:dyDescent="0.3">
      <c r="B21" s="41">
        <v>45463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45493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45524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45555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45585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45616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hidden="1" thickBot="1" x14ac:dyDescent="0.3">
      <c r="B27" s="41">
        <v>45646</v>
      </c>
      <c r="C27" s="38">
        <v>12</v>
      </c>
      <c r="D27" s="38"/>
      <c r="E27" s="42"/>
      <c r="F27" s="38"/>
      <c r="G27" s="46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hidden="1" thickBot="1" x14ac:dyDescent="0.3">
      <c r="B28" s="41">
        <v>45677</v>
      </c>
      <c r="C28" s="38">
        <v>13</v>
      </c>
      <c r="D28" s="38"/>
      <c r="E28" s="42"/>
      <c r="F28" s="38"/>
      <c r="G28" s="46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hidden="1" thickBot="1" x14ac:dyDescent="0.3">
      <c r="B29" s="41">
        <v>45708</v>
      </c>
      <c r="C29" s="38">
        <v>14</v>
      </c>
      <c r="D29" s="38"/>
      <c r="E29" s="42"/>
      <c r="F29" s="38"/>
      <c r="G29" s="46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hidden="1" thickBot="1" x14ac:dyDescent="0.3">
      <c r="B30" s="41">
        <v>45736</v>
      </c>
      <c r="C30" s="38">
        <v>15</v>
      </c>
      <c r="D30" s="38"/>
      <c r="E30" s="42"/>
      <c r="F30" s="38"/>
      <c r="G30" s="46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>
        <v>45758</v>
      </c>
      <c r="C31" s="38">
        <v>16</v>
      </c>
      <c r="D31" s="38"/>
      <c r="E31" s="42">
        <v>-1178</v>
      </c>
      <c r="F31" s="38"/>
      <c r="G31" s="46">
        <f t="shared" si="0"/>
        <v>478</v>
      </c>
      <c r="H31" s="38"/>
      <c r="I31" s="38"/>
      <c r="J31" s="42">
        <v>-888</v>
      </c>
      <c r="K31" s="38"/>
      <c r="L31" s="43">
        <f t="shared" si="1"/>
        <v>188</v>
      </c>
      <c r="M31" s="38">
        <v>16</v>
      </c>
      <c r="N31" s="38"/>
      <c r="O31" s="42">
        <v>-804</v>
      </c>
      <c r="P31" s="44"/>
      <c r="Q31" s="43">
        <f t="shared" si="2"/>
        <v>104</v>
      </c>
      <c r="R31" s="45"/>
      <c r="S31" s="45"/>
    </row>
    <row r="32" spans="2:19" ht="19.5" thickBot="1" x14ac:dyDescent="0.3">
      <c r="B32" s="41">
        <v>45776</v>
      </c>
      <c r="C32" s="38">
        <v>16</v>
      </c>
      <c r="D32" s="38"/>
      <c r="E32" s="42">
        <v>-1193</v>
      </c>
      <c r="F32" s="38"/>
      <c r="G32" s="46">
        <f t="shared" ref="G32" si="3">$E$16-E32</f>
        <v>493</v>
      </c>
      <c r="H32" s="38"/>
      <c r="I32" s="38"/>
      <c r="J32" s="42">
        <v>-910</v>
      </c>
      <c r="K32" s="38"/>
      <c r="L32" s="43">
        <f t="shared" ref="L32" si="4">$J$16-J32</f>
        <v>210</v>
      </c>
      <c r="M32" s="38">
        <v>16</v>
      </c>
      <c r="N32" s="38"/>
      <c r="O32" s="42">
        <v>-851</v>
      </c>
      <c r="P32" s="44"/>
      <c r="Q32" s="43">
        <f t="shared" ref="Q32" si="5">$O$16-O32</f>
        <v>151</v>
      </c>
      <c r="R32" s="45"/>
      <c r="S32" s="45"/>
    </row>
    <row r="33" spans="2:19" ht="19.5" thickBot="1" x14ac:dyDescent="0.3">
      <c r="B33" s="41">
        <v>45806</v>
      </c>
      <c r="C33" s="38"/>
      <c r="D33" s="47"/>
      <c r="E33" s="42">
        <v>-1200</v>
      </c>
      <c r="F33" s="38"/>
      <c r="G33" s="46">
        <f t="shared" ref="G33:G35" si="6">$E$16-E33</f>
        <v>500</v>
      </c>
      <c r="H33" s="38"/>
      <c r="I33" s="38"/>
      <c r="J33" s="42">
        <v>-919</v>
      </c>
      <c r="K33" s="38"/>
      <c r="L33" s="43">
        <f t="shared" ref="L33:L35" si="7">$J$16-J33</f>
        <v>219</v>
      </c>
      <c r="M33" s="38">
        <v>16</v>
      </c>
      <c r="N33" s="38"/>
      <c r="O33" s="42">
        <v>-855</v>
      </c>
      <c r="P33" s="44"/>
      <c r="Q33" s="43">
        <f t="shared" ref="Q33:Q35" si="8">$O$16-O33</f>
        <v>155</v>
      </c>
      <c r="R33" s="47"/>
      <c r="S33" s="47"/>
    </row>
    <row r="34" spans="2:19" ht="19.5" thickBot="1" x14ac:dyDescent="0.3">
      <c r="B34" s="79">
        <v>45829</v>
      </c>
      <c r="C34" s="38"/>
      <c r="D34" s="47"/>
      <c r="E34" s="76">
        <v>-1259</v>
      </c>
      <c r="F34" s="76"/>
      <c r="G34" s="60">
        <f t="shared" si="6"/>
        <v>559</v>
      </c>
      <c r="H34" s="76"/>
      <c r="I34" s="76"/>
      <c r="J34" s="76">
        <v>-1000</v>
      </c>
      <c r="K34" s="76"/>
      <c r="L34" s="22">
        <f t="shared" si="7"/>
        <v>300</v>
      </c>
      <c r="M34" s="76"/>
      <c r="N34" s="76"/>
      <c r="O34" s="76">
        <v>-910</v>
      </c>
      <c r="P34" s="58"/>
      <c r="Q34" s="22">
        <f t="shared" si="8"/>
        <v>210</v>
      </c>
      <c r="R34" s="47"/>
      <c r="S34" s="47"/>
    </row>
    <row r="35" spans="2:19" ht="19.5" thickBot="1" x14ac:dyDescent="0.3">
      <c r="B35" s="79">
        <v>45833</v>
      </c>
      <c r="C35" s="38"/>
      <c r="D35" s="47"/>
      <c r="E35" s="76">
        <v>-1368</v>
      </c>
      <c r="F35" s="76"/>
      <c r="G35" s="78">
        <f t="shared" si="6"/>
        <v>668</v>
      </c>
      <c r="H35" s="76"/>
      <c r="I35" s="76"/>
      <c r="J35" s="76">
        <v>-1144</v>
      </c>
      <c r="K35" s="76"/>
      <c r="L35" s="78">
        <f t="shared" si="7"/>
        <v>444</v>
      </c>
      <c r="M35" s="76"/>
      <c r="N35" s="76"/>
      <c r="O35" s="76">
        <v>-993</v>
      </c>
      <c r="P35" s="58"/>
      <c r="Q35" s="78">
        <f t="shared" si="8"/>
        <v>293</v>
      </c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D358-EB08-45CA-B406-77A99A3A1C0D}">
  <sheetPr codeName="Sheet27"/>
  <dimension ref="B1:AE102"/>
  <sheetViews>
    <sheetView topLeftCell="A10" workbookViewId="0">
      <selection activeCell="O36" sqref="O36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45311</v>
      </c>
      <c r="C16" s="38">
        <v>1</v>
      </c>
      <c r="D16" s="38" t="s">
        <v>37</v>
      </c>
      <c r="E16" s="42">
        <v>-110</v>
      </c>
      <c r="F16" s="38"/>
      <c r="G16" s="43">
        <v>0</v>
      </c>
      <c r="H16" s="38">
        <v>1</v>
      </c>
      <c r="I16" s="38"/>
      <c r="J16" s="42">
        <v>-100</v>
      </c>
      <c r="K16" s="38"/>
      <c r="L16" s="43">
        <v>0</v>
      </c>
      <c r="M16" s="38">
        <v>1</v>
      </c>
      <c r="N16" s="38"/>
      <c r="O16" s="42">
        <v>-90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45342</v>
      </c>
      <c r="C17" s="38">
        <v>2</v>
      </c>
      <c r="D17" s="38"/>
      <c r="E17" s="42">
        <v>-22</v>
      </c>
      <c r="F17" s="38"/>
      <c r="G17" s="46">
        <f>$E$16-E17</f>
        <v>-88</v>
      </c>
      <c r="H17" s="38">
        <v>2</v>
      </c>
      <c r="I17" s="38"/>
      <c r="J17" s="42">
        <v>-23</v>
      </c>
      <c r="K17" s="38"/>
      <c r="L17" s="43">
        <f>$J$16-J17</f>
        <v>-77</v>
      </c>
      <c r="M17" s="38">
        <v>2</v>
      </c>
      <c r="N17" s="38"/>
      <c r="O17" s="42">
        <v>-18</v>
      </c>
      <c r="P17" s="44"/>
      <c r="Q17" s="43">
        <f>$O$16-O17</f>
        <v>-72</v>
      </c>
      <c r="R17" s="45"/>
      <c r="S17" s="45"/>
    </row>
    <row r="18" spans="2:19" ht="19.5" hidden="1" thickBot="1" x14ac:dyDescent="0.3">
      <c r="B18" s="41">
        <v>45371</v>
      </c>
      <c r="C18" s="38">
        <v>3</v>
      </c>
      <c r="D18" s="38"/>
      <c r="E18" s="42">
        <v>-128</v>
      </c>
      <c r="F18" s="38"/>
      <c r="G18" s="46">
        <f t="shared" ref="G18:G31" si="0">$E$16-E18</f>
        <v>18</v>
      </c>
      <c r="H18" s="38"/>
      <c r="I18" s="38"/>
      <c r="J18" s="42">
        <v>-134</v>
      </c>
      <c r="K18" s="38"/>
      <c r="L18" s="43">
        <f t="shared" ref="L18:L31" si="1">$J$16-J18</f>
        <v>34</v>
      </c>
      <c r="M18" s="38">
        <v>3</v>
      </c>
      <c r="N18" s="38"/>
      <c r="O18" s="42">
        <v>-107</v>
      </c>
      <c r="P18" s="44"/>
      <c r="Q18" s="43">
        <f t="shared" ref="Q18:Q31" si="2">$O$16-O18</f>
        <v>17</v>
      </c>
      <c r="R18" s="45"/>
      <c r="S18" s="45"/>
    </row>
    <row r="19" spans="2:19" ht="19.5" hidden="1" thickBot="1" x14ac:dyDescent="0.3">
      <c r="B19" s="41">
        <v>45402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45432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45463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45493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45524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45555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45585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45616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hidden="1" thickBot="1" x14ac:dyDescent="0.3">
      <c r="B27" s="41">
        <v>45646</v>
      </c>
      <c r="C27" s="38">
        <v>12</v>
      </c>
      <c r="D27" s="38"/>
      <c r="E27" s="42"/>
      <c r="F27" s="38"/>
      <c r="G27" s="46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hidden="1" thickBot="1" x14ac:dyDescent="0.3">
      <c r="B28" s="41">
        <v>45677</v>
      </c>
      <c r="C28" s="38">
        <v>13</v>
      </c>
      <c r="D28" s="38"/>
      <c r="E28" s="42"/>
      <c r="F28" s="38"/>
      <c r="G28" s="46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hidden="1" thickBot="1" x14ac:dyDescent="0.3">
      <c r="B29" s="41">
        <v>45708</v>
      </c>
      <c r="C29" s="38">
        <v>14</v>
      </c>
      <c r="D29" s="38"/>
      <c r="E29" s="42"/>
      <c r="F29" s="38"/>
      <c r="G29" s="46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hidden="1" thickBot="1" x14ac:dyDescent="0.3">
      <c r="B30" s="41">
        <v>45736</v>
      </c>
      <c r="C30" s="38">
        <v>15</v>
      </c>
      <c r="D30" s="38"/>
      <c r="E30" s="42"/>
      <c r="F30" s="38"/>
      <c r="G30" s="46"/>
      <c r="H30" s="38"/>
      <c r="I30" s="38"/>
      <c r="J30" s="42"/>
      <c r="K30" s="38"/>
      <c r="L30" s="43">
        <f t="shared" si="1"/>
        <v>-100</v>
      </c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>
        <v>45758</v>
      </c>
      <c r="C31" s="38">
        <v>16</v>
      </c>
      <c r="D31" s="38"/>
      <c r="E31" s="42">
        <v>-189</v>
      </c>
      <c r="F31" s="38"/>
      <c r="G31" s="46">
        <f t="shared" si="0"/>
        <v>79</v>
      </c>
      <c r="H31" s="38"/>
      <c r="I31" s="38"/>
      <c r="J31" s="42">
        <v>-282</v>
      </c>
      <c r="K31" s="38"/>
      <c r="L31" s="43">
        <f t="shared" si="1"/>
        <v>182</v>
      </c>
      <c r="M31" s="38">
        <v>16</v>
      </c>
      <c r="N31" s="38"/>
      <c r="O31" s="42">
        <v>-395</v>
      </c>
      <c r="P31" s="44"/>
      <c r="Q31" s="43">
        <f t="shared" si="2"/>
        <v>305</v>
      </c>
      <c r="R31" s="45"/>
      <c r="S31" s="45"/>
    </row>
    <row r="32" spans="2:19" ht="19.5" thickBot="1" x14ac:dyDescent="0.3">
      <c r="B32" s="41">
        <v>45776</v>
      </c>
      <c r="C32" s="38">
        <v>16</v>
      </c>
      <c r="D32" s="38"/>
      <c r="E32" s="42">
        <v>-204</v>
      </c>
      <c r="F32" s="38"/>
      <c r="G32" s="46">
        <f t="shared" ref="G32" si="3">$E$16-E32</f>
        <v>94</v>
      </c>
      <c r="H32" s="38"/>
      <c r="I32" s="38"/>
      <c r="J32" s="42">
        <v>-310</v>
      </c>
      <c r="K32" s="38"/>
      <c r="L32" s="43">
        <f t="shared" ref="L32" si="4">$J$16-J32</f>
        <v>210</v>
      </c>
      <c r="M32" s="38">
        <v>16</v>
      </c>
      <c r="N32" s="38"/>
      <c r="O32" s="42">
        <v>-417</v>
      </c>
      <c r="P32" s="44"/>
      <c r="Q32" s="43">
        <f t="shared" ref="Q32" si="5">$O$16-O32</f>
        <v>327</v>
      </c>
      <c r="R32" s="45"/>
      <c r="S32" s="45"/>
    </row>
    <row r="33" spans="2:19" ht="19.5" thickBot="1" x14ac:dyDescent="0.3">
      <c r="B33" s="41">
        <v>45806</v>
      </c>
      <c r="C33" s="38"/>
      <c r="D33" s="47"/>
      <c r="E33" s="42">
        <v>-213</v>
      </c>
      <c r="F33" s="38"/>
      <c r="G33" s="46">
        <f t="shared" ref="G33:G35" si="6">$E$16-E33</f>
        <v>103</v>
      </c>
      <c r="H33" s="38"/>
      <c r="I33" s="38"/>
      <c r="J33" s="42">
        <v>-318</v>
      </c>
      <c r="K33" s="38"/>
      <c r="L33" s="43">
        <f t="shared" ref="L33:L35" si="7">$J$16-J33</f>
        <v>218</v>
      </c>
      <c r="M33" s="38">
        <v>16</v>
      </c>
      <c r="N33" s="38"/>
      <c r="O33" s="42">
        <v>-428</v>
      </c>
      <c r="P33" s="44"/>
      <c r="Q33" s="43">
        <f t="shared" ref="Q33:Q35" si="8">$O$16-O33</f>
        <v>338</v>
      </c>
      <c r="R33" s="47"/>
      <c r="S33" s="47"/>
    </row>
    <row r="34" spans="2:19" ht="19.5" thickBot="1" x14ac:dyDescent="0.3">
      <c r="B34" s="79">
        <v>45829</v>
      </c>
      <c r="C34" s="38"/>
      <c r="D34" s="47"/>
      <c r="E34" s="47">
        <v>-254</v>
      </c>
      <c r="F34" s="47"/>
      <c r="G34" s="46">
        <f t="shared" si="6"/>
        <v>144</v>
      </c>
      <c r="H34" s="47"/>
      <c r="I34" s="47"/>
      <c r="J34" s="47">
        <v>-390</v>
      </c>
      <c r="K34" s="47"/>
      <c r="L34" s="48">
        <f t="shared" si="7"/>
        <v>290</v>
      </c>
      <c r="M34" s="47"/>
      <c r="N34" s="47"/>
      <c r="O34" s="47">
        <v>-452</v>
      </c>
      <c r="P34" s="49"/>
      <c r="Q34" s="43">
        <f t="shared" si="8"/>
        <v>362</v>
      </c>
      <c r="R34" s="47"/>
      <c r="S34" s="47"/>
    </row>
    <row r="35" spans="2:19" ht="19.5" thickBot="1" x14ac:dyDescent="0.3">
      <c r="B35" s="79">
        <v>45830</v>
      </c>
      <c r="C35" s="38"/>
      <c r="D35" s="47"/>
      <c r="E35" s="47">
        <v>-336</v>
      </c>
      <c r="F35" s="47"/>
      <c r="G35" s="48">
        <f t="shared" si="6"/>
        <v>226</v>
      </c>
      <c r="H35" s="47"/>
      <c r="I35" s="47"/>
      <c r="J35" s="47">
        <v>-511</v>
      </c>
      <c r="K35" s="47"/>
      <c r="L35" s="48">
        <f t="shared" si="7"/>
        <v>411</v>
      </c>
      <c r="M35" s="47"/>
      <c r="N35" s="47"/>
      <c r="O35" s="47">
        <v>-519</v>
      </c>
      <c r="P35" s="49"/>
      <c r="Q35" s="48">
        <f t="shared" si="8"/>
        <v>429</v>
      </c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4FAC-B0E2-4A59-B8CF-33213BE1F93D}">
  <sheetPr codeName="Sheet28"/>
  <dimension ref="B1:AE102"/>
  <sheetViews>
    <sheetView topLeftCell="B11" workbookViewId="0">
      <selection activeCell="L33" sqref="L33:L35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45311</v>
      </c>
      <c r="C16" s="38">
        <v>1</v>
      </c>
      <c r="D16" s="38" t="s">
        <v>37</v>
      </c>
      <c r="E16" s="42">
        <v>-280</v>
      </c>
      <c r="F16" s="38"/>
      <c r="G16" s="43">
        <v>0</v>
      </c>
      <c r="H16" s="38">
        <v>1</v>
      </c>
      <c r="I16" s="38"/>
      <c r="J16" s="42">
        <v>-730</v>
      </c>
      <c r="K16" s="38"/>
      <c r="L16" s="43">
        <v>0</v>
      </c>
      <c r="M16" s="38">
        <v>1</v>
      </c>
      <c r="N16" s="38"/>
      <c r="O16" s="42">
        <v>-600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45342</v>
      </c>
      <c r="C17" s="38">
        <v>2</v>
      </c>
      <c r="D17" s="38"/>
      <c r="E17" s="42">
        <v>-22</v>
      </c>
      <c r="F17" s="38"/>
      <c r="G17" s="46">
        <f>IF(E17&lt;&gt;"",$E$16-E17,"")</f>
        <v>-258</v>
      </c>
      <c r="H17" s="38">
        <v>2</v>
      </c>
      <c r="I17" s="38"/>
      <c r="J17" s="42">
        <v>-23</v>
      </c>
      <c r="K17" s="38"/>
      <c r="L17" s="43">
        <f>$J$16-J17</f>
        <v>-707</v>
      </c>
      <c r="M17" s="38">
        <v>2</v>
      </c>
      <c r="N17" s="38"/>
      <c r="O17" s="42">
        <v>-18</v>
      </c>
      <c r="P17" s="44"/>
      <c r="Q17" s="43">
        <f>$O$16-O17</f>
        <v>-582</v>
      </c>
      <c r="R17" s="45"/>
      <c r="S17" s="45"/>
    </row>
    <row r="18" spans="2:19" ht="19.5" hidden="1" thickBot="1" x14ac:dyDescent="0.3">
      <c r="B18" s="41">
        <v>45371</v>
      </c>
      <c r="C18" s="38">
        <v>3</v>
      </c>
      <c r="D18" s="38"/>
      <c r="E18" s="42">
        <v>-128</v>
      </c>
      <c r="F18" s="38"/>
      <c r="G18" s="46">
        <f>IF(E18&lt;&gt;"",$E$16-E18,"")</f>
        <v>-152</v>
      </c>
      <c r="H18" s="38"/>
      <c r="I18" s="38"/>
      <c r="J18" s="42">
        <v>-134</v>
      </c>
      <c r="K18" s="38"/>
      <c r="L18" s="43">
        <f t="shared" ref="L18:L31" si="0">$J$16-J18</f>
        <v>-596</v>
      </c>
      <c r="M18" s="38">
        <v>3</v>
      </c>
      <c r="N18" s="38"/>
      <c r="O18" s="42">
        <v>-107</v>
      </c>
      <c r="P18" s="44"/>
      <c r="Q18" s="43">
        <f>$O$16-O18</f>
        <v>-493</v>
      </c>
      <c r="R18" s="45"/>
      <c r="S18" s="45"/>
    </row>
    <row r="19" spans="2:19" ht="19.5" hidden="1" thickBot="1" x14ac:dyDescent="0.3">
      <c r="B19" s="41">
        <v>45402</v>
      </c>
      <c r="C19" s="38">
        <v>4</v>
      </c>
      <c r="D19" s="38"/>
      <c r="E19" s="42"/>
      <c r="F19" s="38"/>
      <c r="G19" s="46" t="str">
        <f t="shared" ref="G19:G30" si="1">IF(E19&lt;&gt;"",$E$16-E19,"")</f>
        <v/>
      </c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45432</v>
      </c>
      <c r="C20" s="38">
        <v>5</v>
      </c>
      <c r="D20" s="38"/>
      <c r="E20" s="42"/>
      <c r="F20" s="38"/>
      <c r="G20" s="46" t="str">
        <f t="shared" si="1"/>
        <v/>
      </c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45463</v>
      </c>
      <c r="C21" s="38">
        <v>6</v>
      </c>
      <c r="D21" s="38"/>
      <c r="E21" s="42"/>
      <c r="F21" s="38"/>
      <c r="G21" s="46" t="str">
        <f t="shared" si="1"/>
        <v/>
      </c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45493</v>
      </c>
      <c r="C22" s="38">
        <v>7</v>
      </c>
      <c r="D22" s="38"/>
      <c r="E22" s="42"/>
      <c r="F22" s="38"/>
      <c r="G22" s="46" t="str">
        <f t="shared" si="1"/>
        <v/>
      </c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45524</v>
      </c>
      <c r="C23" s="38">
        <v>8</v>
      </c>
      <c r="D23" s="38"/>
      <c r="E23" s="42"/>
      <c r="F23" s="38"/>
      <c r="G23" s="46" t="str">
        <f t="shared" si="1"/>
        <v/>
      </c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45555</v>
      </c>
      <c r="C24" s="38">
        <v>9</v>
      </c>
      <c r="D24" s="38"/>
      <c r="E24" s="42"/>
      <c r="F24" s="38"/>
      <c r="G24" s="46" t="str">
        <f t="shared" si="1"/>
        <v/>
      </c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45585</v>
      </c>
      <c r="C25" s="38">
        <v>10</v>
      </c>
      <c r="D25" s="38"/>
      <c r="E25" s="42"/>
      <c r="F25" s="38"/>
      <c r="G25" s="46" t="str">
        <f t="shared" si="1"/>
        <v/>
      </c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45616</v>
      </c>
      <c r="C26" s="38">
        <v>11</v>
      </c>
      <c r="D26" s="38"/>
      <c r="E26" s="42"/>
      <c r="F26" s="38"/>
      <c r="G26" s="46" t="str">
        <f t="shared" si="1"/>
        <v/>
      </c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hidden="1" thickBot="1" x14ac:dyDescent="0.3">
      <c r="B27" s="41">
        <v>45646</v>
      </c>
      <c r="C27" s="38">
        <v>12</v>
      </c>
      <c r="D27" s="38"/>
      <c r="E27" s="42"/>
      <c r="F27" s="38"/>
      <c r="G27" s="46" t="str">
        <f t="shared" si="1"/>
        <v/>
      </c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hidden="1" thickBot="1" x14ac:dyDescent="0.3">
      <c r="B28" s="41">
        <v>45677</v>
      </c>
      <c r="C28" s="38">
        <v>13</v>
      </c>
      <c r="D28" s="38"/>
      <c r="E28" s="42"/>
      <c r="F28" s="38"/>
      <c r="G28" s="46" t="str">
        <f t="shared" si="1"/>
        <v/>
      </c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hidden="1" thickBot="1" x14ac:dyDescent="0.3">
      <c r="B29" s="41">
        <v>45708</v>
      </c>
      <c r="C29" s="38">
        <v>14</v>
      </c>
      <c r="D29" s="38"/>
      <c r="E29" s="42"/>
      <c r="F29" s="38"/>
      <c r="G29" s="46" t="str">
        <f t="shared" si="1"/>
        <v/>
      </c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hidden="1" thickBot="1" x14ac:dyDescent="0.3">
      <c r="B30" s="41">
        <v>45736</v>
      </c>
      <c r="C30" s="38">
        <v>15</v>
      </c>
      <c r="D30" s="38"/>
      <c r="E30" s="42"/>
      <c r="F30" s="38"/>
      <c r="G30" s="46" t="str">
        <f t="shared" si="1"/>
        <v/>
      </c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>
        <f t="shared" ref="Q30:Q31" si="2">$O$16-O30</f>
        <v>-600</v>
      </c>
      <c r="R30" s="45"/>
      <c r="S30" s="45"/>
    </row>
    <row r="31" spans="2:19" ht="19.5" thickBot="1" x14ac:dyDescent="0.3">
      <c r="B31" s="41">
        <v>45758</v>
      </c>
      <c r="C31" s="38">
        <v>16</v>
      </c>
      <c r="D31" s="38"/>
      <c r="E31" s="42">
        <v>-590</v>
      </c>
      <c r="F31" s="38"/>
      <c r="G31" s="46">
        <f>IF(E31&lt;&gt;"",$E$16-E31,"")</f>
        <v>310</v>
      </c>
      <c r="H31" s="38"/>
      <c r="I31" s="38"/>
      <c r="J31" s="42">
        <v>-1134</v>
      </c>
      <c r="K31" s="38"/>
      <c r="L31" s="43">
        <f t="shared" si="0"/>
        <v>404</v>
      </c>
      <c r="M31" s="38">
        <v>16</v>
      </c>
      <c r="N31" s="38"/>
      <c r="O31" s="42">
        <v>-903</v>
      </c>
      <c r="P31" s="44"/>
      <c r="Q31" s="43">
        <f t="shared" si="2"/>
        <v>303</v>
      </c>
      <c r="R31" s="45"/>
      <c r="S31" s="45"/>
    </row>
    <row r="32" spans="2:19" ht="19.5" thickBot="1" x14ac:dyDescent="0.3">
      <c r="B32" s="41">
        <v>45776</v>
      </c>
      <c r="C32" s="38">
        <v>16</v>
      </c>
      <c r="D32" s="38"/>
      <c r="E32" s="42">
        <v>-616</v>
      </c>
      <c r="F32" s="38"/>
      <c r="G32" s="46">
        <f>IF(E32&lt;&gt;"",$E$16-E32,"")</f>
        <v>336</v>
      </c>
      <c r="H32" s="38"/>
      <c r="I32" s="38"/>
      <c r="J32" s="42">
        <v>-1165</v>
      </c>
      <c r="K32" s="38"/>
      <c r="L32" s="43">
        <f t="shared" ref="L32" si="3">$J$16-J32</f>
        <v>435</v>
      </c>
      <c r="M32" s="38">
        <v>16</v>
      </c>
      <c r="N32" s="38"/>
      <c r="O32" s="42">
        <v>-909</v>
      </c>
      <c r="P32" s="44"/>
      <c r="Q32" s="43">
        <f t="shared" ref="Q32" si="4">$O$16-O32</f>
        <v>309</v>
      </c>
      <c r="R32" s="45"/>
      <c r="S32" s="45"/>
    </row>
    <row r="33" spans="2:19" ht="19.5" thickBot="1" x14ac:dyDescent="0.3">
      <c r="B33" s="41">
        <v>45806</v>
      </c>
      <c r="C33" s="38"/>
      <c r="D33" s="47"/>
      <c r="E33" s="42">
        <v>-622</v>
      </c>
      <c r="F33" s="38"/>
      <c r="G33" s="46">
        <f>IF(E33&lt;&gt;"",$E$16-E33,"")</f>
        <v>342</v>
      </c>
      <c r="H33" s="38"/>
      <c r="I33" s="38"/>
      <c r="J33" s="42">
        <v>-1170</v>
      </c>
      <c r="K33" s="38"/>
      <c r="L33" s="43">
        <f t="shared" ref="L33:L35" si="5">$J$16-J33</f>
        <v>440</v>
      </c>
      <c r="M33" s="38">
        <v>16</v>
      </c>
      <c r="N33" s="38"/>
      <c r="O33" s="42">
        <v>-914</v>
      </c>
      <c r="P33" s="44"/>
      <c r="Q33" s="43">
        <f t="shared" ref="Q33:Q35" si="6">$O$16-O33</f>
        <v>314</v>
      </c>
      <c r="R33" s="47"/>
      <c r="S33" s="47"/>
    </row>
    <row r="34" spans="2:19" ht="19.5" thickBot="1" x14ac:dyDescent="0.3">
      <c r="B34" s="41">
        <v>45829</v>
      </c>
      <c r="C34" s="38"/>
      <c r="D34" s="47"/>
      <c r="E34" s="47">
        <v>-733</v>
      </c>
      <c r="F34" s="47"/>
      <c r="G34" s="48">
        <f>IF(E34&lt;&gt;"",$E$16-E34,"")</f>
        <v>453</v>
      </c>
      <c r="H34" s="47"/>
      <c r="I34" s="47"/>
      <c r="J34" s="47">
        <v>-1345</v>
      </c>
      <c r="K34" s="47"/>
      <c r="L34" s="43">
        <f t="shared" si="5"/>
        <v>615</v>
      </c>
      <c r="M34" s="47"/>
      <c r="N34" s="47"/>
      <c r="O34" s="47">
        <v>-1005</v>
      </c>
      <c r="P34" s="49"/>
      <c r="Q34" s="48">
        <f t="shared" si="6"/>
        <v>405</v>
      </c>
      <c r="R34" s="47"/>
      <c r="S34" s="47"/>
    </row>
    <row r="35" spans="2:19" ht="19.5" thickBot="1" x14ac:dyDescent="0.3">
      <c r="B35" s="41">
        <v>45833</v>
      </c>
      <c r="C35" s="38"/>
      <c r="D35" s="47"/>
      <c r="E35" s="47">
        <v>-809</v>
      </c>
      <c r="F35" s="47"/>
      <c r="G35" s="48">
        <f>IF(E35&lt;&gt;"",$E$16-E35,"")</f>
        <v>529</v>
      </c>
      <c r="H35" s="47"/>
      <c r="I35" s="47"/>
      <c r="J35" s="47">
        <v>-1441</v>
      </c>
      <c r="K35" s="47"/>
      <c r="L35" s="43">
        <f t="shared" si="5"/>
        <v>711</v>
      </c>
      <c r="M35" s="47"/>
      <c r="N35" s="47"/>
      <c r="O35" s="47">
        <v>-1061</v>
      </c>
      <c r="P35" s="49"/>
      <c r="Q35" s="48">
        <f t="shared" si="6"/>
        <v>461</v>
      </c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A04-1DDB-4143-93A9-161365B14A63}">
  <sheetPr codeName="Sheet29"/>
  <dimension ref="B1:AE102"/>
  <sheetViews>
    <sheetView topLeftCell="A10" workbookViewId="0">
      <selection activeCell="B34" sqref="B34:B35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45311</v>
      </c>
      <c r="C16" s="38">
        <v>1</v>
      </c>
      <c r="D16" s="38" t="s">
        <v>37</v>
      </c>
      <c r="E16" s="42">
        <v>-400</v>
      </c>
      <c r="F16" s="38"/>
      <c r="G16" s="43">
        <v>0</v>
      </c>
      <c r="H16" s="38">
        <v>1</v>
      </c>
      <c r="I16" s="38"/>
      <c r="J16" s="42">
        <v>-190</v>
      </c>
      <c r="K16" s="38"/>
      <c r="L16" s="43">
        <v>0</v>
      </c>
      <c r="M16" s="38">
        <v>1</v>
      </c>
      <c r="N16" s="38"/>
      <c r="O16" s="42">
        <v>-200</v>
      </c>
      <c r="P16" s="44"/>
      <c r="Q16" s="43">
        <v>0</v>
      </c>
      <c r="R16" s="45"/>
      <c r="S16" s="45"/>
    </row>
    <row r="17" spans="2:19" ht="1.5" customHeight="1" thickBot="1" x14ac:dyDescent="0.3">
      <c r="B17" s="41">
        <v>45342</v>
      </c>
      <c r="C17" s="38">
        <v>2</v>
      </c>
      <c r="D17" s="38"/>
      <c r="E17" s="42">
        <v>-22</v>
      </c>
      <c r="F17" s="38"/>
      <c r="G17" s="46">
        <f>$E$16-E17</f>
        <v>-378</v>
      </c>
      <c r="H17" s="38">
        <v>2</v>
      </c>
      <c r="I17" s="38"/>
      <c r="J17" s="42">
        <v>-23</v>
      </c>
      <c r="K17" s="38"/>
      <c r="L17" s="43">
        <f>$J$16-J17</f>
        <v>-167</v>
      </c>
      <c r="M17" s="38">
        <v>2</v>
      </c>
      <c r="N17" s="38"/>
      <c r="O17" s="42">
        <v>-18</v>
      </c>
      <c r="P17" s="44"/>
      <c r="Q17" s="43">
        <f>$O$16-O17</f>
        <v>-182</v>
      </c>
      <c r="R17" s="45"/>
      <c r="S17" s="45"/>
    </row>
    <row r="18" spans="2:19" ht="19.5" hidden="1" thickBot="1" x14ac:dyDescent="0.3">
      <c r="B18" s="41">
        <v>45371</v>
      </c>
      <c r="C18" s="38">
        <v>3</v>
      </c>
      <c r="D18" s="38"/>
      <c r="E18" s="42">
        <v>-128</v>
      </c>
      <c r="F18" s="38"/>
      <c r="G18" s="46"/>
      <c r="H18" s="38"/>
      <c r="I18" s="38"/>
      <c r="J18" s="42">
        <v>-134</v>
      </c>
      <c r="K18" s="38"/>
      <c r="L18" s="43">
        <f t="shared" ref="L18:L31" si="0">$J$16-J18</f>
        <v>-56</v>
      </c>
      <c r="M18" s="38">
        <v>3</v>
      </c>
      <c r="N18" s="38"/>
      <c r="O18" s="42">
        <v>-107</v>
      </c>
      <c r="P18" s="44"/>
      <c r="Q18" s="43">
        <f>$O$16-O18</f>
        <v>-93</v>
      </c>
      <c r="R18" s="45"/>
      <c r="S18" s="45"/>
    </row>
    <row r="19" spans="2:19" ht="19.5" hidden="1" thickBot="1" x14ac:dyDescent="0.3">
      <c r="B19" s="41">
        <v>45402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45432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45463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45493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45524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45555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45585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45616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hidden="1" thickBot="1" x14ac:dyDescent="0.3">
      <c r="B27" s="41">
        <v>45646</v>
      </c>
      <c r="C27" s="38">
        <v>12</v>
      </c>
      <c r="D27" s="38"/>
      <c r="E27" s="42"/>
      <c r="F27" s="38"/>
      <c r="G27" s="46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hidden="1" thickBot="1" x14ac:dyDescent="0.3">
      <c r="B28" s="41">
        <v>45677</v>
      </c>
      <c r="C28" s="38">
        <v>13</v>
      </c>
      <c r="D28" s="38"/>
      <c r="E28" s="42"/>
      <c r="F28" s="38"/>
      <c r="G28" s="46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hidden="1" thickBot="1" x14ac:dyDescent="0.3">
      <c r="B29" s="41">
        <v>45708</v>
      </c>
      <c r="C29" s="38">
        <v>14</v>
      </c>
      <c r="D29" s="38"/>
      <c r="E29" s="42"/>
      <c r="F29" s="38"/>
      <c r="G29" s="46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hidden="1" thickBot="1" x14ac:dyDescent="0.3">
      <c r="B30" s="41">
        <v>45736</v>
      </c>
      <c r="C30" s="38">
        <v>15</v>
      </c>
      <c r="D30" s="38"/>
      <c r="E30" s="42"/>
      <c r="F30" s="38"/>
      <c r="G30" s="46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>
        <v>45758</v>
      </c>
      <c r="C31" s="38">
        <v>16</v>
      </c>
      <c r="D31" s="38"/>
      <c r="E31" s="42">
        <v>-805</v>
      </c>
      <c r="F31" s="38"/>
      <c r="G31" s="46">
        <f t="shared" ref="G31" si="1">$E$16-E31</f>
        <v>405</v>
      </c>
      <c r="H31" s="38"/>
      <c r="I31" s="38"/>
      <c r="J31" s="42">
        <v>-501</v>
      </c>
      <c r="K31" s="38"/>
      <c r="L31" s="43">
        <f t="shared" si="0"/>
        <v>311</v>
      </c>
      <c r="M31" s="38">
        <v>16</v>
      </c>
      <c r="N31" s="38"/>
      <c r="O31" s="42">
        <v>-524</v>
      </c>
      <c r="P31" s="44"/>
      <c r="Q31" s="43">
        <f t="shared" ref="Q31" si="2">$O$16-O31</f>
        <v>324</v>
      </c>
      <c r="R31" s="45"/>
      <c r="S31" s="45"/>
    </row>
    <row r="32" spans="2:19" ht="19.5" thickBot="1" x14ac:dyDescent="0.3">
      <c r="B32" s="41">
        <v>45776</v>
      </c>
      <c r="C32" s="38">
        <v>16</v>
      </c>
      <c r="D32" s="38"/>
      <c r="E32" s="42">
        <v>-829</v>
      </c>
      <c r="F32" s="38"/>
      <c r="G32" s="46">
        <f t="shared" ref="G32" si="3">$E$16-E32</f>
        <v>429</v>
      </c>
      <c r="H32" s="38"/>
      <c r="I32" s="38"/>
      <c r="J32" s="42">
        <v>-529</v>
      </c>
      <c r="K32" s="38"/>
      <c r="L32" s="43">
        <f t="shared" ref="L32" si="4">$J$16-J32</f>
        <v>339</v>
      </c>
      <c r="M32" s="38">
        <v>16</v>
      </c>
      <c r="N32" s="38"/>
      <c r="O32" s="42">
        <v>-540</v>
      </c>
      <c r="P32" s="44"/>
      <c r="Q32" s="43">
        <f t="shared" ref="Q32" si="5">$O$16-O32</f>
        <v>340</v>
      </c>
      <c r="R32" s="45"/>
      <c r="S32" s="45"/>
    </row>
    <row r="33" spans="2:19" ht="19.5" thickBot="1" x14ac:dyDescent="0.3">
      <c r="B33" s="41">
        <v>45806</v>
      </c>
      <c r="C33" s="38"/>
      <c r="D33" s="47"/>
      <c r="E33" s="42">
        <v>-835</v>
      </c>
      <c r="F33" s="38"/>
      <c r="G33" s="46">
        <f t="shared" ref="G33" si="6">$E$16-E33</f>
        <v>435</v>
      </c>
      <c r="H33" s="38"/>
      <c r="I33" s="38"/>
      <c r="J33" s="42">
        <v>-537</v>
      </c>
      <c r="K33" s="38"/>
      <c r="L33" s="43">
        <f t="shared" ref="L33" si="7">$J$16-J33</f>
        <v>347</v>
      </c>
      <c r="M33" s="38">
        <v>16</v>
      </c>
      <c r="N33" s="38"/>
      <c r="O33" s="42">
        <v>-547</v>
      </c>
      <c r="P33" s="44"/>
      <c r="Q33" s="43">
        <f t="shared" ref="Q33" si="8">$O$16-O33</f>
        <v>347</v>
      </c>
      <c r="R33" s="47"/>
      <c r="S33" s="47"/>
    </row>
    <row r="34" spans="2:19" ht="19.5" thickBot="1" x14ac:dyDescent="0.3">
      <c r="B34" s="41">
        <v>45829</v>
      </c>
      <c r="C34" s="38"/>
      <c r="D34" s="47"/>
      <c r="E34" s="42">
        <v>-980</v>
      </c>
      <c r="F34" s="38"/>
      <c r="G34" s="46">
        <f t="shared" ref="G34" si="9">$E$16-E34</f>
        <v>580</v>
      </c>
      <c r="H34" s="38"/>
      <c r="I34" s="38"/>
      <c r="J34" s="42">
        <v>-750</v>
      </c>
      <c r="K34" s="38"/>
      <c r="L34" s="43">
        <f t="shared" ref="L34:L35" si="10">$J$16-J34</f>
        <v>560</v>
      </c>
      <c r="M34" s="38">
        <v>16</v>
      </c>
      <c r="N34" s="38"/>
      <c r="O34" s="42">
        <v>-654</v>
      </c>
      <c r="P34" s="49"/>
      <c r="Q34" s="48"/>
      <c r="R34" s="47"/>
      <c r="S34" s="47"/>
    </row>
    <row r="35" spans="2:19" ht="19.5" thickBot="1" x14ac:dyDescent="0.3">
      <c r="B35" s="41">
        <v>45833</v>
      </c>
      <c r="C35" s="38"/>
      <c r="D35" s="47"/>
      <c r="E35" s="47">
        <v>-1067</v>
      </c>
      <c r="F35" s="47"/>
      <c r="G35" s="48"/>
      <c r="H35" s="47"/>
      <c r="I35" s="47"/>
      <c r="J35" s="47">
        <v>-842</v>
      </c>
      <c r="K35" s="47"/>
      <c r="L35" s="43">
        <f t="shared" si="10"/>
        <v>652</v>
      </c>
      <c r="M35" s="47"/>
      <c r="N35" s="47"/>
      <c r="O35" s="47">
        <v>-716</v>
      </c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4109-E68F-48A3-98F5-AE7EBC8DCE66}">
  <sheetPr codeName="Sheet30"/>
  <dimension ref="B1:AE102"/>
  <sheetViews>
    <sheetView topLeftCell="A10" workbookViewId="0">
      <selection activeCell="B34" sqref="B34:B35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45311</v>
      </c>
      <c r="C16" s="38">
        <v>1</v>
      </c>
      <c r="D16" s="38" t="s">
        <v>37</v>
      </c>
      <c r="E16" s="42">
        <v>-320</v>
      </c>
      <c r="F16" s="38"/>
      <c r="G16" s="43">
        <v>0</v>
      </c>
      <c r="H16" s="38">
        <v>1</v>
      </c>
      <c r="I16" s="38"/>
      <c r="J16" s="42">
        <v>-340</v>
      </c>
      <c r="K16" s="38"/>
      <c r="L16" s="43">
        <v>0</v>
      </c>
      <c r="M16" s="38">
        <v>1</v>
      </c>
      <c r="N16" s="38"/>
      <c r="O16" s="42">
        <v>-380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45342</v>
      </c>
      <c r="C17" s="38">
        <v>2</v>
      </c>
      <c r="D17" s="38"/>
      <c r="E17" s="42">
        <v>-22</v>
      </c>
      <c r="F17" s="38"/>
      <c r="G17" s="46">
        <f>$E$16-E17</f>
        <v>-298</v>
      </c>
      <c r="H17" s="38">
        <v>2</v>
      </c>
      <c r="I17" s="38"/>
      <c r="J17" s="42">
        <v>-23</v>
      </c>
      <c r="K17" s="38"/>
      <c r="L17" s="43">
        <f>$J$16-J17</f>
        <v>-317</v>
      </c>
      <c r="M17" s="38">
        <v>2</v>
      </c>
      <c r="N17" s="38"/>
      <c r="O17" s="42">
        <v>-18</v>
      </c>
      <c r="P17" s="44"/>
      <c r="Q17" s="43">
        <f>$O$16-O17</f>
        <v>-362</v>
      </c>
      <c r="R17" s="45"/>
      <c r="S17" s="45"/>
    </row>
    <row r="18" spans="2:19" ht="19.5" hidden="1" thickBot="1" x14ac:dyDescent="0.3">
      <c r="B18" s="41">
        <v>45371</v>
      </c>
      <c r="C18" s="38">
        <v>3</v>
      </c>
      <c r="D18" s="38"/>
      <c r="E18" s="42">
        <v>-128</v>
      </c>
      <c r="F18" s="38"/>
      <c r="G18" s="46"/>
      <c r="H18" s="38"/>
      <c r="I18" s="38"/>
      <c r="J18" s="42">
        <v>-134</v>
      </c>
      <c r="K18" s="38"/>
      <c r="L18" s="43">
        <f>$J$16-J18</f>
        <v>-206</v>
      </c>
      <c r="M18" s="38">
        <v>3</v>
      </c>
      <c r="N18" s="38"/>
      <c r="O18" s="42">
        <v>-107</v>
      </c>
      <c r="P18" s="44"/>
      <c r="Q18" s="43">
        <f t="shared" ref="Q18:Q31" si="0">$O$16-O18</f>
        <v>-273</v>
      </c>
      <c r="R18" s="45"/>
      <c r="S18" s="45"/>
    </row>
    <row r="19" spans="2:19" ht="19.5" hidden="1" thickBot="1" x14ac:dyDescent="0.3">
      <c r="B19" s="41">
        <v>45402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45432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45463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45493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45524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45555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45585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45616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hidden="1" thickBot="1" x14ac:dyDescent="0.3">
      <c r="B27" s="41">
        <v>45646</v>
      </c>
      <c r="C27" s="38">
        <v>12</v>
      </c>
      <c r="D27" s="38"/>
      <c r="E27" s="42"/>
      <c r="F27" s="38"/>
      <c r="G27" s="46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hidden="1" thickBot="1" x14ac:dyDescent="0.3">
      <c r="B28" s="41">
        <v>45677</v>
      </c>
      <c r="C28" s="38">
        <v>13</v>
      </c>
      <c r="D28" s="38"/>
      <c r="E28" s="42"/>
      <c r="F28" s="38"/>
      <c r="G28" s="46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hidden="1" thickBot="1" x14ac:dyDescent="0.3">
      <c r="B29" s="41">
        <v>45708</v>
      </c>
      <c r="C29" s="38">
        <v>14</v>
      </c>
      <c r="D29" s="38"/>
      <c r="E29" s="42"/>
      <c r="F29" s="38"/>
      <c r="G29" s="46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hidden="1" thickBot="1" x14ac:dyDescent="0.3">
      <c r="B30" s="41">
        <v>45736</v>
      </c>
      <c r="C30" s="38">
        <v>15</v>
      </c>
      <c r="D30" s="38"/>
      <c r="E30" s="42"/>
      <c r="F30" s="38"/>
      <c r="G30" s="46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>
        <v>45758</v>
      </c>
      <c r="C31" s="38">
        <v>16</v>
      </c>
      <c r="D31" s="38"/>
      <c r="E31" s="42">
        <v>-724</v>
      </c>
      <c r="F31" s="38"/>
      <c r="G31" s="46">
        <f t="shared" ref="G31" si="1">$E$16-E31</f>
        <v>404</v>
      </c>
      <c r="H31" s="38"/>
      <c r="I31" s="38"/>
      <c r="J31" s="42">
        <v>-672</v>
      </c>
      <c r="K31" s="38"/>
      <c r="L31" s="43">
        <f t="shared" ref="L31" si="2">$J$16-J31</f>
        <v>332</v>
      </c>
      <c r="M31" s="38">
        <v>16</v>
      </c>
      <c r="N31" s="38"/>
      <c r="O31" s="42">
        <v>-714</v>
      </c>
      <c r="P31" s="44"/>
      <c r="Q31" s="43">
        <f t="shared" si="0"/>
        <v>334</v>
      </c>
      <c r="R31" s="45"/>
      <c r="S31" s="45"/>
    </row>
    <row r="32" spans="2:19" ht="19.5" thickBot="1" x14ac:dyDescent="0.3">
      <c r="B32" s="41">
        <v>45776</v>
      </c>
      <c r="C32" s="38">
        <v>16</v>
      </c>
      <c r="D32" s="38"/>
      <c r="E32" s="42">
        <v>-725</v>
      </c>
      <c r="F32" s="38"/>
      <c r="G32" s="46">
        <f t="shared" ref="G32" si="3">$E$16-E32</f>
        <v>405</v>
      </c>
      <c r="H32" s="38"/>
      <c r="I32" s="38"/>
      <c r="J32" s="42">
        <v>-673</v>
      </c>
      <c r="K32" s="38"/>
      <c r="L32" s="43">
        <f t="shared" ref="L32" si="4">$J$16-J32</f>
        <v>333</v>
      </c>
      <c r="M32" s="38">
        <v>16</v>
      </c>
      <c r="N32" s="38"/>
      <c r="O32" s="42">
        <v>-715</v>
      </c>
      <c r="P32" s="44"/>
      <c r="Q32" s="43">
        <f t="shared" ref="Q32" si="5">$O$16-O32</f>
        <v>335</v>
      </c>
      <c r="R32" s="45"/>
      <c r="S32" s="45"/>
    </row>
    <row r="33" spans="2:19" ht="19.5" thickBot="1" x14ac:dyDescent="0.3">
      <c r="B33" s="41">
        <v>45806</v>
      </c>
      <c r="C33" s="38"/>
      <c r="D33" s="47"/>
      <c r="E33" s="42">
        <v>-725</v>
      </c>
      <c r="F33" s="38"/>
      <c r="G33" s="46">
        <f t="shared" ref="G33" si="6">$E$16-E33</f>
        <v>405</v>
      </c>
      <c r="H33" s="38"/>
      <c r="I33" s="38"/>
      <c r="J33" s="42">
        <v>-674</v>
      </c>
      <c r="K33" s="38"/>
      <c r="L33" s="43">
        <f t="shared" ref="L33:L35" si="7">$J$16-J33</f>
        <v>334</v>
      </c>
      <c r="M33" s="38">
        <v>16</v>
      </c>
      <c r="N33" s="38"/>
      <c r="O33" s="42">
        <v>-715</v>
      </c>
      <c r="P33" s="44"/>
      <c r="Q33" s="43">
        <f t="shared" ref="Q33:Q35" si="8">$O$16-O33</f>
        <v>335</v>
      </c>
      <c r="R33" s="47"/>
      <c r="S33" s="47"/>
    </row>
    <row r="34" spans="2:19" ht="19.5" thickBot="1" x14ac:dyDescent="0.3">
      <c r="B34" s="41">
        <v>45829</v>
      </c>
      <c r="C34" s="38"/>
      <c r="D34" s="47"/>
      <c r="E34" s="47">
        <v>-824</v>
      </c>
      <c r="F34" s="47"/>
      <c r="G34" s="48"/>
      <c r="H34" s="47"/>
      <c r="I34" s="47"/>
      <c r="J34" s="47">
        <v>-870</v>
      </c>
      <c r="K34" s="47"/>
      <c r="L34" s="43">
        <f t="shared" si="7"/>
        <v>530</v>
      </c>
      <c r="M34" s="47"/>
      <c r="N34" s="47"/>
      <c r="O34" s="47">
        <v>-765</v>
      </c>
      <c r="P34" s="49"/>
      <c r="Q34" s="43">
        <f t="shared" si="8"/>
        <v>385</v>
      </c>
      <c r="R34" s="47"/>
      <c r="S34" s="47"/>
    </row>
    <row r="35" spans="2:19" ht="19.5" thickBot="1" x14ac:dyDescent="0.3">
      <c r="B35" s="41">
        <v>45833</v>
      </c>
      <c r="C35" s="38"/>
      <c r="D35" s="47"/>
      <c r="E35" s="47">
        <v>-893</v>
      </c>
      <c r="F35" s="47"/>
      <c r="G35" s="48"/>
      <c r="H35" s="47"/>
      <c r="I35" s="47"/>
      <c r="J35" s="47">
        <v>-931</v>
      </c>
      <c r="K35" s="47"/>
      <c r="L35" s="43">
        <f t="shared" si="7"/>
        <v>591</v>
      </c>
      <c r="M35" s="47"/>
      <c r="N35" s="47"/>
      <c r="O35" s="47">
        <v>-825</v>
      </c>
      <c r="P35" s="49"/>
      <c r="Q35" s="43">
        <f t="shared" si="8"/>
        <v>445</v>
      </c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8E20-96C6-4D54-9789-B4DE36B92956}">
  <sheetPr codeName="Sheet31"/>
  <dimension ref="B1:AE102"/>
  <sheetViews>
    <sheetView topLeftCell="B12" workbookViewId="0">
      <selection activeCell="L33" sqref="L33:L35"/>
    </sheetView>
  </sheetViews>
  <sheetFormatPr defaultColWidth="9.140625" defaultRowHeight="15.75" x14ac:dyDescent="0.25"/>
  <cols>
    <col min="1" max="1" width="9.140625" style="16"/>
    <col min="2" max="2" width="13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45321</v>
      </c>
      <c r="C16" s="38">
        <v>1</v>
      </c>
      <c r="D16" s="38" t="s">
        <v>37</v>
      </c>
      <c r="E16" s="42">
        <v>-1200</v>
      </c>
      <c r="F16" s="38"/>
      <c r="G16" s="43">
        <v>0</v>
      </c>
      <c r="H16" s="38">
        <v>1</v>
      </c>
      <c r="I16" s="38"/>
      <c r="J16" s="42">
        <v>-1020</v>
      </c>
      <c r="K16" s="38"/>
      <c r="L16" s="43">
        <v>0</v>
      </c>
      <c r="M16" s="38">
        <v>1</v>
      </c>
      <c r="N16" s="38"/>
      <c r="O16" s="42">
        <v>-950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45342</v>
      </c>
      <c r="C17" s="38">
        <v>2</v>
      </c>
      <c r="D17" s="38"/>
      <c r="E17" s="42">
        <v>-22</v>
      </c>
      <c r="F17" s="38"/>
      <c r="G17" s="46">
        <f>$E$16-E17</f>
        <v>-1178</v>
      </c>
      <c r="H17" s="38">
        <v>2</v>
      </c>
      <c r="I17" s="38"/>
      <c r="J17" s="42">
        <v>-23</v>
      </c>
      <c r="K17" s="38"/>
      <c r="L17" s="43">
        <f>$J$16-J17</f>
        <v>-997</v>
      </c>
      <c r="M17" s="38">
        <v>2</v>
      </c>
      <c r="N17" s="38"/>
      <c r="O17" s="42">
        <v>-18</v>
      </c>
      <c r="P17" s="44"/>
      <c r="Q17" s="43">
        <f>$O$16-O17</f>
        <v>-932</v>
      </c>
      <c r="R17" s="45"/>
      <c r="S17" s="45"/>
    </row>
    <row r="18" spans="2:19" ht="19.5" hidden="1" thickBot="1" x14ac:dyDescent="0.3">
      <c r="B18" s="41">
        <v>45371</v>
      </c>
      <c r="C18" s="38">
        <v>3</v>
      </c>
      <c r="D18" s="38"/>
      <c r="E18" s="42">
        <v>-128</v>
      </c>
      <c r="F18" s="38"/>
      <c r="G18" s="46">
        <f t="shared" ref="G18:G31" si="0">$E$16-E18</f>
        <v>-1072</v>
      </c>
      <c r="H18" s="38"/>
      <c r="I18" s="38"/>
      <c r="J18" s="42">
        <v>-134</v>
      </c>
      <c r="K18" s="38"/>
      <c r="L18" s="43">
        <f t="shared" ref="L18:L31" si="1">$J$16-J18</f>
        <v>-886</v>
      </c>
      <c r="M18" s="38">
        <v>3</v>
      </c>
      <c r="N18" s="38"/>
      <c r="O18" s="42">
        <v>-107</v>
      </c>
      <c r="P18" s="44"/>
      <c r="Q18" s="43">
        <f t="shared" ref="Q18:Q31" si="2">$O$16-O18</f>
        <v>-843</v>
      </c>
      <c r="R18" s="45"/>
      <c r="S18" s="45"/>
    </row>
    <row r="19" spans="2:19" ht="19.5" hidden="1" thickBot="1" x14ac:dyDescent="0.3">
      <c r="B19" s="41">
        <v>45402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45432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45463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45493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45524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45555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45585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45616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hidden="1" thickBot="1" x14ac:dyDescent="0.3">
      <c r="B27" s="41">
        <v>45646</v>
      </c>
      <c r="C27" s="38">
        <v>12</v>
      </c>
      <c r="D27" s="38"/>
      <c r="E27" s="42"/>
      <c r="F27" s="38"/>
      <c r="G27" s="46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hidden="1" thickBot="1" x14ac:dyDescent="0.3">
      <c r="B28" s="41">
        <v>45677</v>
      </c>
      <c r="C28" s="38">
        <v>13</v>
      </c>
      <c r="D28" s="38"/>
      <c r="E28" s="42"/>
      <c r="F28" s="38"/>
      <c r="G28" s="46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hidden="1" thickBot="1" x14ac:dyDescent="0.3">
      <c r="B29" s="41">
        <v>45708</v>
      </c>
      <c r="C29" s="38">
        <v>14</v>
      </c>
      <c r="D29" s="38"/>
      <c r="E29" s="42"/>
      <c r="F29" s="38"/>
      <c r="G29" s="46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hidden="1" thickBot="1" x14ac:dyDescent="0.3">
      <c r="B30" s="41">
        <v>45736</v>
      </c>
      <c r="C30" s="38">
        <v>15</v>
      </c>
      <c r="D30" s="38"/>
      <c r="E30" s="42"/>
      <c r="F30" s="38"/>
      <c r="G30" s="46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>
        <v>45758</v>
      </c>
      <c r="C31" s="38">
        <v>16</v>
      </c>
      <c r="D31" s="38"/>
      <c r="E31" s="42">
        <v>-1755</v>
      </c>
      <c r="F31" s="38"/>
      <c r="G31" s="46">
        <f t="shared" si="0"/>
        <v>555</v>
      </c>
      <c r="H31" s="38"/>
      <c r="I31" s="38"/>
      <c r="J31" s="42">
        <v>-1272</v>
      </c>
      <c r="K31" s="38"/>
      <c r="L31" s="43">
        <f t="shared" si="1"/>
        <v>252</v>
      </c>
      <c r="M31" s="38">
        <v>16</v>
      </c>
      <c r="N31" s="38"/>
      <c r="O31" s="42">
        <v>-1330</v>
      </c>
      <c r="P31" s="44"/>
      <c r="Q31" s="43">
        <f t="shared" si="2"/>
        <v>380</v>
      </c>
      <c r="R31" s="45"/>
      <c r="S31" s="45"/>
    </row>
    <row r="32" spans="2:19" ht="19.5" thickBot="1" x14ac:dyDescent="0.3">
      <c r="B32" s="41">
        <v>45776</v>
      </c>
      <c r="C32" s="38">
        <v>16</v>
      </c>
      <c r="D32" s="38"/>
      <c r="E32" s="42">
        <v>-1794</v>
      </c>
      <c r="F32" s="38"/>
      <c r="G32" s="46">
        <f t="shared" ref="G32" si="3">$E$16-E32</f>
        <v>594</v>
      </c>
      <c r="H32" s="38"/>
      <c r="I32" s="38"/>
      <c r="J32" s="42">
        <v>-1288</v>
      </c>
      <c r="K32" s="38"/>
      <c r="L32" s="43">
        <f t="shared" ref="L32" si="4">$J$16-J32</f>
        <v>268</v>
      </c>
      <c r="M32" s="38">
        <v>16</v>
      </c>
      <c r="N32" s="38"/>
      <c r="O32" s="42">
        <v>-1343</v>
      </c>
      <c r="P32" s="44"/>
      <c r="Q32" s="43">
        <f t="shared" ref="Q32" si="5">$O$16-O32</f>
        <v>393</v>
      </c>
      <c r="R32" s="45"/>
      <c r="S32" s="45"/>
    </row>
    <row r="33" spans="2:19" ht="19.5" thickBot="1" x14ac:dyDescent="0.3">
      <c r="B33" s="41">
        <v>45806</v>
      </c>
      <c r="C33" s="38"/>
      <c r="D33" s="47"/>
      <c r="E33" s="42">
        <v>-1804</v>
      </c>
      <c r="F33" s="38"/>
      <c r="G33" s="46">
        <f t="shared" ref="G33" si="6">$E$16-E33</f>
        <v>604</v>
      </c>
      <c r="H33" s="38"/>
      <c r="I33" s="38"/>
      <c r="J33" s="42">
        <v>-1295</v>
      </c>
      <c r="K33" s="38"/>
      <c r="L33" s="43">
        <f t="shared" ref="L33:L35" si="7">$J$16-J33</f>
        <v>275</v>
      </c>
      <c r="M33" s="38">
        <v>16</v>
      </c>
      <c r="N33" s="38"/>
      <c r="O33" s="42">
        <v>-1349</v>
      </c>
      <c r="P33" s="44"/>
      <c r="Q33" s="43">
        <f t="shared" ref="Q33" si="8">$O$16-O33</f>
        <v>399</v>
      </c>
      <c r="R33" s="47"/>
      <c r="S33" s="47"/>
    </row>
    <row r="34" spans="2:19" ht="19.5" thickBot="1" x14ac:dyDescent="0.3">
      <c r="B34" s="41">
        <v>45829</v>
      </c>
      <c r="C34" s="38"/>
      <c r="D34" s="47"/>
      <c r="E34" s="47">
        <v>-1973</v>
      </c>
      <c r="F34" s="47"/>
      <c r="G34" s="48"/>
      <c r="H34" s="47"/>
      <c r="I34" s="47"/>
      <c r="J34" s="47">
        <v>-1522</v>
      </c>
      <c r="K34" s="47"/>
      <c r="L34" s="43">
        <f t="shared" si="7"/>
        <v>502</v>
      </c>
      <c r="M34" s="47"/>
      <c r="N34" s="47"/>
      <c r="O34" s="47">
        <v>-1482</v>
      </c>
      <c r="P34" s="49"/>
      <c r="Q34" s="48"/>
      <c r="R34" s="47"/>
      <c r="S34" s="47"/>
    </row>
    <row r="35" spans="2:19" ht="19.5" thickBot="1" x14ac:dyDescent="0.3">
      <c r="B35" s="41">
        <v>45833</v>
      </c>
      <c r="C35" s="38"/>
      <c r="D35" s="47"/>
      <c r="E35" s="47">
        <v>-2039</v>
      </c>
      <c r="F35" s="47"/>
      <c r="G35" s="48"/>
      <c r="H35" s="47"/>
      <c r="I35" s="47"/>
      <c r="J35" s="47">
        <v>-1608</v>
      </c>
      <c r="K35" s="47"/>
      <c r="L35" s="43">
        <f t="shared" si="7"/>
        <v>588</v>
      </c>
      <c r="M35" s="47"/>
      <c r="N35" s="47"/>
      <c r="O35" s="47">
        <v>-1525</v>
      </c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30F-7486-42F7-AF6B-F248A6E80743}">
  <sheetPr codeName="Sheet32"/>
  <dimension ref="B1:AE102"/>
  <sheetViews>
    <sheetView topLeftCell="A13" workbookViewId="0">
      <selection activeCell="G29" sqref="G29:G31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45432</v>
      </c>
      <c r="C16" s="38">
        <v>1</v>
      </c>
      <c r="D16" s="38" t="s">
        <v>37</v>
      </c>
      <c r="E16" s="42">
        <v>-230</v>
      </c>
      <c r="F16" s="38"/>
      <c r="G16" s="43">
        <v>0</v>
      </c>
      <c r="H16" s="38">
        <v>1</v>
      </c>
      <c r="I16" s="38"/>
      <c r="J16" s="42">
        <v>-220</v>
      </c>
      <c r="K16" s="38"/>
      <c r="L16" s="43">
        <v>0</v>
      </c>
      <c r="M16" s="38">
        <v>1</v>
      </c>
      <c r="N16" s="38"/>
      <c r="O16" s="42">
        <v>-180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45463</v>
      </c>
      <c r="C17" s="38">
        <v>2</v>
      </c>
      <c r="D17" s="38"/>
      <c r="E17" s="42">
        <v>-22</v>
      </c>
      <c r="F17" s="38"/>
      <c r="G17" s="46">
        <f>$E$16-E17</f>
        <v>-208</v>
      </c>
      <c r="H17" s="38">
        <v>2</v>
      </c>
      <c r="I17" s="38"/>
      <c r="J17" s="42">
        <v>-23</v>
      </c>
      <c r="K17" s="38"/>
      <c r="L17" s="43">
        <f>$J$16-J17</f>
        <v>-197</v>
      </c>
      <c r="M17" s="38">
        <v>2</v>
      </c>
      <c r="N17" s="38"/>
      <c r="O17" s="42">
        <v>-18</v>
      </c>
      <c r="P17" s="44"/>
      <c r="Q17" s="43">
        <f>$O$16-O17</f>
        <v>-162</v>
      </c>
      <c r="R17" s="45"/>
      <c r="S17" s="45"/>
    </row>
    <row r="18" spans="2:19" ht="19.5" hidden="1" thickBot="1" x14ac:dyDescent="0.3">
      <c r="B18" s="41">
        <v>45493</v>
      </c>
      <c r="C18" s="38">
        <v>3</v>
      </c>
      <c r="D18" s="38"/>
      <c r="E18" s="42">
        <v>-128</v>
      </c>
      <c r="F18" s="38"/>
      <c r="G18" s="46">
        <f t="shared" ref="G18:G27" si="0">$E$16-E18</f>
        <v>-102</v>
      </c>
      <c r="H18" s="38"/>
      <c r="I18" s="38"/>
      <c r="J18" s="42">
        <v>-134</v>
      </c>
      <c r="K18" s="38"/>
      <c r="L18" s="43">
        <f t="shared" ref="L18:L27" si="1">$J$16-J18</f>
        <v>-86</v>
      </c>
      <c r="M18" s="38">
        <v>3</v>
      </c>
      <c r="N18" s="38"/>
      <c r="O18" s="42">
        <v>-107</v>
      </c>
      <c r="P18" s="44"/>
      <c r="Q18" s="43">
        <f t="shared" ref="Q18:Q27" si="2">$O$16-O18</f>
        <v>-73</v>
      </c>
      <c r="R18" s="45"/>
      <c r="S18" s="45"/>
    </row>
    <row r="19" spans="2:19" ht="19.5" hidden="1" thickBot="1" x14ac:dyDescent="0.3">
      <c r="B19" s="41">
        <v>45524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45555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45585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45616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45646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45677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45708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45736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>
        <v>45758</v>
      </c>
      <c r="C27" s="38">
        <v>12</v>
      </c>
      <c r="D27" s="38"/>
      <c r="E27" s="42">
        <v>-392</v>
      </c>
      <c r="F27" s="38"/>
      <c r="G27" s="46">
        <f t="shared" si="0"/>
        <v>162</v>
      </c>
      <c r="H27" s="38"/>
      <c r="I27" s="38"/>
      <c r="J27" s="42">
        <v>-657</v>
      </c>
      <c r="K27" s="38"/>
      <c r="L27" s="43">
        <f t="shared" si="1"/>
        <v>437</v>
      </c>
      <c r="M27" s="38">
        <v>12</v>
      </c>
      <c r="N27" s="38"/>
      <c r="O27" s="42">
        <v>-374</v>
      </c>
      <c r="P27" s="44"/>
      <c r="Q27" s="43">
        <f t="shared" si="2"/>
        <v>194</v>
      </c>
      <c r="R27" s="45"/>
      <c r="S27" s="45"/>
    </row>
    <row r="28" spans="2:19" ht="19.5" thickBot="1" x14ac:dyDescent="0.3">
      <c r="B28" s="41">
        <v>45776</v>
      </c>
      <c r="C28" s="38">
        <v>12</v>
      </c>
      <c r="D28" s="38"/>
      <c r="E28" s="42">
        <v>-413</v>
      </c>
      <c r="F28" s="38"/>
      <c r="G28" s="46">
        <f t="shared" ref="G28" si="3">$E$16-E28</f>
        <v>183</v>
      </c>
      <c r="H28" s="38"/>
      <c r="I28" s="38"/>
      <c r="J28" s="42">
        <v>-673</v>
      </c>
      <c r="K28" s="38"/>
      <c r="L28" s="43">
        <f t="shared" ref="L28" si="4">$J$16-J28</f>
        <v>453</v>
      </c>
      <c r="M28" s="38">
        <v>12</v>
      </c>
      <c r="N28" s="38"/>
      <c r="O28" s="42">
        <v>-382</v>
      </c>
      <c r="P28" s="44"/>
      <c r="Q28" s="43">
        <f t="shared" ref="Q28" si="5">$O$16-O28</f>
        <v>202</v>
      </c>
      <c r="R28" s="45"/>
      <c r="S28" s="45"/>
    </row>
    <row r="29" spans="2:19" ht="19.5" thickBot="1" x14ac:dyDescent="0.3">
      <c r="B29" s="41">
        <v>45806</v>
      </c>
      <c r="C29" s="38"/>
      <c r="D29" s="38"/>
      <c r="E29" s="42">
        <v>-418</v>
      </c>
      <c r="F29" s="38"/>
      <c r="G29" s="46">
        <f t="shared" ref="G29:G31" si="6">$E$16-E29</f>
        <v>188</v>
      </c>
      <c r="H29" s="38"/>
      <c r="I29" s="38"/>
      <c r="J29" s="42">
        <v>-688</v>
      </c>
      <c r="K29" s="38"/>
      <c r="L29" s="43">
        <f t="shared" ref="L29:L31" si="7">$J$16-J29</f>
        <v>468</v>
      </c>
      <c r="M29" s="38">
        <v>12</v>
      </c>
      <c r="N29" s="38"/>
      <c r="O29" s="42">
        <v>-390</v>
      </c>
      <c r="P29" s="44"/>
      <c r="Q29" s="43">
        <f t="shared" ref="Q29:Q31" si="8">$O$16-O29</f>
        <v>210</v>
      </c>
      <c r="R29" s="45"/>
      <c r="S29" s="45"/>
    </row>
    <row r="30" spans="2:19" ht="19.5" thickBot="1" x14ac:dyDescent="0.3">
      <c r="B30" s="41">
        <v>45829</v>
      </c>
      <c r="C30" s="38"/>
      <c r="D30" s="38"/>
      <c r="E30" s="61">
        <v>-1048</v>
      </c>
      <c r="F30" s="62"/>
      <c r="G30" s="46">
        <f t="shared" si="6"/>
        <v>818</v>
      </c>
      <c r="H30" s="62"/>
      <c r="I30" s="62"/>
      <c r="J30" s="83">
        <v>-1433</v>
      </c>
      <c r="K30" s="62"/>
      <c r="L30" s="43">
        <f t="shared" si="7"/>
        <v>1213</v>
      </c>
      <c r="M30" s="62"/>
      <c r="N30" s="62"/>
      <c r="O30" s="63">
        <v>-712</v>
      </c>
      <c r="P30" s="44"/>
      <c r="Q30" s="43">
        <f t="shared" si="8"/>
        <v>532</v>
      </c>
      <c r="R30" s="45"/>
      <c r="S30" s="45"/>
    </row>
    <row r="31" spans="2:19" ht="19.5" thickBot="1" x14ac:dyDescent="0.3">
      <c r="B31" s="41">
        <v>45833</v>
      </c>
      <c r="C31" s="38"/>
      <c r="D31" s="38"/>
      <c r="E31" s="61">
        <v>-1080</v>
      </c>
      <c r="F31" s="62"/>
      <c r="G31" s="46">
        <f t="shared" si="6"/>
        <v>850</v>
      </c>
      <c r="H31" s="62"/>
      <c r="I31" s="62"/>
      <c r="J31" s="83">
        <v>-1465</v>
      </c>
      <c r="K31" s="62"/>
      <c r="L31" s="43">
        <f t="shared" si="7"/>
        <v>1245</v>
      </c>
      <c r="M31" s="62"/>
      <c r="N31" s="62"/>
      <c r="O31" s="63">
        <v>-756</v>
      </c>
      <c r="P31" s="44"/>
      <c r="Q31" s="43">
        <f t="shared" si="8"/>
        <v>576</v>
      </c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78FF-0DE3-42DC-B2F0-5228B4E1AC70}">
  <sheetPr codeName="Sheet33"/>
  <dimension ref="B1:AE102"/>
  <sheetViews>
    <sheetView topLeftCell="A11" workbookViewId="0">
      <selection activeCell="G38" sqref="G38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45463</v>
      </c>
      <c r="C16" s="38"/>
      <c r="D16" s="38" t="s">
        <v>37</v>
      </c>
      <c r="E16" s="42">
        <v>-370</v>
      </c>
      <c r="F16" s="38"/>
      <c r="G16" s="43">
        <v>0</v>
      </c>
      <c r="H16" s="38">
        <v>1</v>
      </c>
      <c r="I16" s="38"/>
      <c r="J16" s="42">
        <v>-350</v>
      </c>
      <c r="K16" s="38"/>
      <c r="L16" s="43">
        <v>0</v>
      </c>
      <c r="M16" s="38"/>
      <c r="N16" s="38"/>
      <c r="O16" s="42">
        <v>-330</v>
      </c>
      <c r="P16" s="44"/>
      <c r="Q16" s="43">
        <v>0</v>
      </c>
      <c r="R16" s="45"/>
      <c r="S16" s="45"/>
    </row>
    <row r="17" spans="2:19" ht="1.5" customHeight="1" thickBot="1" x14ac:dyDescent="0.3">
      <c r="B17" s="41">
        <v>45493</v>
      </c>
      <c r="C17" s="38"/>
      <c r="D17" s="38"/>
      <c r="E17" s="42">
        <v>-22</v>
      </c>
      <c r="F17" s="38"/>
      <c r="G17" s="46">
        <f>$E$16-E17</f>
        <v>-348</v>
      </c>
      <c r="H17" s="38">
        <v>2</v>
      </c>
      <c r="I17" s="38"/>
      <c r="J17" s="42">
        <v>-23</v>
      </c>
      <c r="K17" s="38"/>
      <c r="L17" s="43">
        <f>$J$16-J17</f>
        <v>-327</v>
      </c>
      <c r="M17" s="38"/>
      <c r="N17" s="38"/>
      <c r="O17" s="42">
        <v>-18</v>
      </c>
      <c r="P17" s="44"/>
      <c r="Q17" s="43">
        <f>$O$16-O17</f>
        <v>-312</v>
      </c>
      <c r="R17" s="45"/>
      <c r="S17" s="45"/>
    </row>
    <row r="18" spans="2:19" ht="19.5" hidden="1" thickBot="1" x14ac:dyDescent="0.3">
      <c r="B18" s="41">
        <v>45524</v>
      </c>
      <c r="C18" s="38"/>
      <c r="D18" s="38"/>
      <c r="E18" s="42">
        <v>-128</v>
      </c>
      <c r="F18" s="38"/>
      <c r="G18" s="46"/>
      <c r="H18" s="38"/>
      <c r="I18" s="38"/>
      <c r="J18" s="42">
        <v>-134</v>
      </c>
      <c r="K18" s="38"/>
      <c r="L18" s="43">
        <f t="shared" ref="L18:L26" si="0">$J$16-J18</f>
        <v>-216</v>
      </c>
      <c r="M18" s="38"/>
      <c r="N18" s="38"/>
      <c r="O18" s="42">
        <v>-107</v>
      </c>
      <c r="P18" s="44"/>
      <c r="Q18" s="43">
        <f t="shared" ref="Q18:Q26" si="1">$O$16-O18</f>
        <v>-223</v>
      </c>
      <c r="R18" s="45"/>
      <c r="S18" s="45"/>
    </row>
    <row r="19" spans="2:19" ht="19.5" hidden="1" thickBot="1" x14ac:dyDescent="0.3">
      <c r="B19" s="41">
        <v>45555</v>
      </c>
      <c r="C19" s="38"/>
      <c r="D19" s="38"/>
      <c r="E19" s="42"/>
      <c r="F19" s="38"/>
      <c r="G19" s="46"/>
      <c r="H19" s="38"/>
      <c r="I19" s="38"/>
      <c r="J19" s="42"/>
      <c r="K19" s="38"/>
      <c r="L19" s="43"/>
      <c r="M19" s="38"/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45585</v>
      </c>
      <c r="C20" s="38"/>
      <c r="D20" s="38"/>
      <c r="E20" s="42"/>
      <c r="F20" s="38"/>
      <c r="G20" s="46"/>
      <c r="H20" s="38"/>
      <c r="I20" s="38"/>
      <c r="J20" s="42"/>
      <c r="K20" s="38"/>
      <c r="L20" s="43"/>
      <c r="M20" s="38"/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45616</v>
      </c>
      <c r="C21" s="38"/>
      <c r="D21" s="38"/>
      <c r="E21" s="42"/>
      <c r="F21" s="38"/>
      <c r="G21" s="46"/>
      <c r="H21" s="38"/>
      <c r="I21" s="38"/>
      <c r="J21" s="42"/>
      <c r="K21" s="38"/>
      <c r="L21" s="43"/>
      <c r="M21" s="38"/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45646</v>
      </c>
      <c r="C22" s="38"/>
      <c r="D22" s="38"/>
      <c r="E22" s="42"/>
      <c r="F22" s="38"/>
      <c r="G22" s="46"/>
      <c r="H22" s="38"/>
      <c r="I22" s="38"/>
      <c r="J22" s="42"/>
      <c r="K22" s="38"/>
      <c r="L22" s="43"/>
      <c r="M22" s="38"/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45677</v>
      </c>
      <c r="C23" s="38"/>
      <c r="D23" s="38"/>
      <c r="E23" s="42"/>
      <c r="F23" s="38"/>
      <c r="G23" s="46"/>
      <c r="H23" s="38"/>
      <c r="I23" s="38"/>
      <c r="J23" s="42"/>
      <c r="K23" s="38"/>
      <c r="L23" s="43"/>
      <c r="M23" s="38"/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45708</v>
      </c>
      <c r="C24" s="38"/>
      <c r="D24" s="38"/>
      <c r="E24" s="42"/>
      <c r="F24" s="38"/>
      <c r="G24" s="46"/>
      <c r="H24" s="38"/>
      <c r="I24" s="38"/>
      <c r="J24" s="42"/>
      <c r="K24" s="38"/>
      <c r="L24" s="43"/>
      <c r="M24" s="38"/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45736</v>
      </c>
      <c r="C25" s="38"/>
      <c r="D25" s="38"/>
      <c r="E25" s="42"/>
      <c r="F25" s="38"/>
      <c r="G25" s="46"/>
      <c r="H25" s="38"/>
      <c r="I25" s="38"/>
      <c r="J25" s="42"/>
      <c r="K25" s="38"/>
      <c r="L25" s="43"/>
      <c r="M25" s="38"/>
      <c r="N25" s="38"/>
      <c r="O25" s="42"/>
      <c r="P25" s="44"/>
      <c r="Q25" s="43"/>
      <c r="R25" s="45"/>
      <c r="S25" s="45"/>
    </row>
    <row r="26" spans="2:19" ht="19.5" thickBot="1" x14ac:dyDescent="0.3">
      <c r="B26" s="41">
        <v>45758</v>
      </c>
      <c r="C26" s="38"/>
      <c r="D26" s="38"/>
      <c r="E26" s="42">
        <v>-443</v>
      </c>
      <c r="F26" s="38"/>
      <c r="G26" s="46">
        <f t="shared" ref="G26" si="2">$E$16-E26</f>
        <v>73</v>
      </c>
      <c r="H26" s="38"/>
      <c r="I26" s="38"/>
      <c r="J26" s="42">
        <v>-1047</v>
      </c>
      <c r="K26" s="38"/>
      <c r="L26" s="43">
        <f t="shared" si="0"/>
        <v>697</v>
      </c>
      <c r="M26" s="38"/>
      <c r="N26" s="38"/>
      <c r="O26" s="42">
        <v>-447</v>
      </c>
      <c r="P26" s="44"/>
      <c r="Q26" s="43">
        <f t="shared" si="1"/>
        <v>117</v>
      </c>
      <c r="R26" s="45"/>
      <c r="S26" s="45"/>
    </row>
    <row r="27" spans="2:19" ht="19.5" thickBot="1" x14ac:dyDescent="0.3">
      <c r="B27" s="41">
        <v>45776</v>
      </c>
      <c r="C27" s="38"/>
      <c r="D27" s="38"/>
      <c r="E27" s="42">
        <v>-465</v>
      </c>
      <c r="F27" s="38"/>
      <c r="G27" s="46">
        <f t="shared" ref="G27" si="3">$E$16-E27</f>
        <v>95</v>
      </c>
      <c r="H27" s="38"/>
      <c r="I27" s="38"/>
      <c r="J27" s="42">
        <v>-1073</v>
      </c>
      <c r="K27" s="38"/>
      <c r="L27" s="43">
        <f t="shared" ref="L27" si="4">$J$16-J27</f>
        <v>723</v>
      </c>
      <c r="M27" s="38"/>
      <c r="N27" s="38"/>
      <c r="O27" s="42">
        <v>-463</v>
      </c>
      <c r="P27" s="44"/>
      <c r="Q27" s="43">
        <f t="shared" ref="Q27" si="5">$O$16-O27</f>
        <v>133</v>
      </c>
      <c r="R27" s="45"/>
      <c r="S27" s="45"/>
    </row>
    <row r="28" spans="2:19" ht="19.5" thickBot="1" x14ac:dyDescent="0.3">
      <c r="B28" s="41">
        <v>45806</v>
      </c>
      <c r="C28" s="38"/>
      <c r="D28" s="38"/>
      <c r="E28" s="42">
        <v>-783</v>
      </c>
      <c r="F28" s="38"/>
      <c r="G28" s="46">
        <f t="shared" ref="G28" si="6">$E$16-E28</f>
        <v>413</v>
      </c>
      <c r="H28" s="38"/>
      <c r="I28" s="38"/>
      <c r="J28" s="42">
        <v>-1090</v>
      </c>
      <c r="K28" s="38"/>
      <c r="L28" s="43">
        <f t="shared" ref="L28:L30" si="7">$J$16-J28</f>
        <v>740</v>
      </c>
      <c r="M28" s="38"/>
      <c r="N28" s="38"/>
      <c r="O28" s="42">
        <v>-473</v>
      </c>
      <c r="P28" s="44"/>
      <c r="Q28" s="43">
        <f t="shared" ref="Q28" si="8">$O$16-O28</f>
        <v>143</v>
      </c>
      <c r="R28" s="45"/>
      <c r="S28" s="45"/>
    </row>
    <row r="29" spans="2:19" ht="19.5" thickBot="1" x14ac:dyDescent="0.3">
      <c r="B29" s="41">
        <v>45829</v>
      </c>
      <c r="C29" s="38"/>
      <c r="D29" s="38"/>
      <c r="E29" s="61">
        <v>-1048</v>
      </c>
      <c r="F29" s="62"/>
      <c r="G29" s="62"/>
      <c r="H29" s="62"/>
      <c r="I29" s="62"/>
      <c r="J29" s="83">
        <v>-1433</v>
      </c>
      <c r="K29" s="62"/>
      <c r="L29" s="43">
        <f t="shared" si="7"/>
        <v>1083</v>
      </c>
      <c r="M29" s="62"/>
      <c r="N29" s="62"/>
      <c r="O29" s="63">
        <v>-712</v>
      </c>
      <c r="P29" s="44"/>
      <c r="Q29" s="43"/>
      <c r="R29" s="45"/>
      <c r="S29" s="45"/>
    </row>
    <row r="30" spans="2:19" ht="19.5" thickBot="1" x14ac:dyDescent="0.3">
      <c r="B30" s="41">
        <v>45833</v>
      </c>
      <c r="C30" s="38"/>
      <c r="D30" s="38"/>
      <c r="E30" s="61">
        <v>-1088</v>
      </c>
      <c r="F30" s="62"/>
      <c r="G30" s="62"/>
      <c r="H30" s="62"/>
      <c r="I30" s="62"/>
      <c r="J30" s="83">
        <v>-1473</v>
      </c>
      <c r="K30" s="62"/>
      <c r="L30" s="43">
        <f t="shared" si="7"/>
        <v>1123</v>
      </c>
      <c r="M30" s="62"/>
      <c r="N30" s="62"/>
      <c r="O30" s="63">
        <v>-758</v>
      </c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/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7ACD-64F4-446E-AA58-249395642C2C}">
  <sheetPr codeName="Sheet34"/>
  <dimension ref="B1:AE102"/>
  <sheetViews>
    <sheetView topLeftCell="A14" workbookViewId="0">
      <selection activeCell="L29" sqref="L29:L31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45432</v>
      </c>
      <c r="C16" s="38">
        <v>1</v>
      </c>
      <c r="D16" s="38" t="s">
        <v>37</v>
      </c>
      <c r="E16" s="42">
        <v>-250</v>
      </c>
      <c r="F16" s="38"/>
      <c r="G16" s="43">
        <v>0</v>
      </c>
      <c r="H16" s="38">
        <v>1</v>
      </c>
      <c r="I16" s="38"/>
      <c r="J16" s="42">
        <v>-960</v>
      </c>
      <c r="K16" s="38"/>
      <c r="L16" s="43">
        <v>0</v>
      </c>
      <c r="M16" s="38">
        <v>1</v>
      </c>
      <c r="N16" s="38"/>
      <c r="O16" s="42">
        <v>-960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45463</v>
      </c>
      <c r="C17" s="38">
        <v>2</v>
      </c>
      <c r="D17" s="38"/>
      <c r="E17" s="42">
        <v>-22</v>
      </c>
      <c r="F17" s="38"/>
      <c r="G17" s="46">
        <f>$E$16-E17</f>
        <v>-228</v>
      </c>
      <c r="H17" s="38">
        <v>2</v>
      </c>
      <c r="I17" s="38"/>
      <c r="J17" s="42">
        <v>-23</v>
      </c>
      <c r="K17" s="38"/>
      <c r="L17" s="43">
        <f>$J$16-J17</f>
        <v>-937</v>
      </c>
      <c r="M17" s="38">
        <v>2</v>
      </c>
      <c r="N17" s="38"/>
      <c r="O17" s="42">
        <v>-18</v>
      </c>
      <c r="P17" s="44"/>
      <c r="Q17" s="43">
        <f>$O$16-O17</f>
        <v>-942</v>
      </c>
      <c r="R17" s="45"/>
      <c r="S17" s="45"/>
    </row>
    <row r="18" spans="2:19" ht="19.5" hidden="1" thickBot="1" x14ac:dyDescent="0.3">
      <c r="B18" s="41">
        <v>45493</v>
      </c>
      <c r="C18" s="38">
        <v>3</v>
      </c>
      <c r="D18" s="38"/>
      <c r="E18" s="42">
        <v>-128</v>
      </c>
      <c r="F18" s="38"/>
      <c r="G18" s="46">
        <f t="shared" ref="G18:G27" si="0">$E$16-E18</f>
        <v>-122</v>
      </c>
      <c r="H18" s="38"/>
      <c r="I18" s="38"/>
      <c r="J18" s="42">
        <v>-134</v>
      </c>
      <c r="K18" s="38"/>
      <c r="L18" s="43"/>
      <c r="M18" s="38">
        <v>3</v>
      </c>
      <c r="N18" s="38"/>
      <c r="O18" s="42">
        <v>-107</v>
      </c>
      <c r="P18" s="44"/>
      <c r="Q18" s="43">
        <f t="shared" ref="Q18:Q27" si="1">$O$16-O18</f>
        <v>-853</v>
      </c>
      <c r="R18" s="45"/>
      <c r="S18" s="45"/>
    </row>
    <row r="19" spans="2:19" ht="19.5" hidden="1" thickBot="1" x14ac:dyDescent="0.3">
      <c r="B19" s="41">
        <v>45524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45555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45585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45616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45646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45677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45708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45736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>
        <v>45758</v>
      </c>
      <c r="C27" s="38">
        <v>12</v>
      </c>
      <c r="D27" s="38"/>
      <c r="E27" s="42">
        <v>-700</v>
      </c>
      <c r="F27" s="38"/>
      <c r="G27" s="46">
        <f t="shared" si="0"/>
        <v>450</v>
      </c>
      <c r="H27" s="38"/>
      <c r="I27" s="38"/>
      <c r="J27" s="42">
        <v>-1292</v>
      </c>
      <c r="K27" s="38"/>
      <c r="L27" s="43">
        <f t="shared" ref="L27" si="2">$J$16-J27</f>
        <v>332</v>
      </c>
      <c r="M27" s="38">
        <v>12</v>
      </c>
      <c r="N27" s="38"/>
      <c r="O27" s="42">
        <v>-1777</v>
      </c>
      <c r="P27" s="44"/>
      <c r="Q27" s="43">
        <f t="shared" si="1"/>
        <v>817</v>
      </c>
      <c r="R27" s="45"/>
      <c r="S27" s="45"/>
    </row>
    <row r="28" spans="2:19" ht="19.5" thickBot="1" x14ac:dyDescent="0.3">
      <c r="B28" s="41">
        <v>45775</v>
      </c>
      <c r="C28" s="38">
        <v>12</v>
      </c>
      <c r="D28" s="38"/>
      <c r="E28" s="42">
        <v>-701</v>
      </c>
      <c r="F28" s="38"/>
      <c r="G28" s="46">
        <f t="shared" ref="G28" si="3">$E$16-E28</f>
        <v>451</v>
      </c>
      <c r="H28" s="38"/>
      <c r="I28" s="38"/>
      <c r="J28" s="42">
        <v>-1308</v>
      </c>
      <c r="K28" s="38"/>
      <c r="L28" s="43">
        <f t="shared" ref="L28" si="4">$J$16-J28</f>
        <v>348</v>
      </c>
      <c r="M28" s="38">
        <v>12</v>
      </c>
      <c r="N28" s="38"/>
      <c r="O28" s="42">
        <v>-1778</v>
      </c>
      <c r="P28" s="44"/>
      <c r="Q28" s="43">
        <f t="shared" ref="Q28" si="5">$O$16-O28</f>
        <v>818</v>
      </c>
      <c r="R28" s="45"/>
      <c r="S28" s="45"/>
    </row>
    <row r="29" spans="2:19" ht="19.5" thickBot="1" x14ac:dyDescent="0.3">
      <c r="B29" s="41">
        <v>45806</v>
      </c>
      <c r="C29" s="38"/>
      <c r="D29" s="38"/>
      <c r="E29" s="42">
        <v>-726</v>
      </c>
      <c r="F29" s="38"/>
      <c r="G29" s="46">
        <f t="shared" ref="G29" si="6">$E$16-E29</f>
        <v>476</v>
      </c>
      <c r="H29" s="38"/>
      <c r="I29" s="38"/>
      <c r="J29" s="42">
        <v>-1318</v>
      </c>
      <c r="K29" s="38"/>
      <c r="L29" s="43">
        <f t="shared" ref="L29:L31" si="7">$J$16-J29</f>
        <v>358</v>
      </c>
      <c r="M29" s="38">
        <v>12</v>
      </c>
      <c r="N29" s="38"/>
      <c r="O29" s="42">
        <v>-1808</v>
      </c>
      <c r="P29" s="44"/>
      <c r="Q29" s="43">
        <f t="shared" ref="Q29" si="8">$O$16-O29</f>
        <v>848</v>
      </c>
      <c r="R29" s="45"/>
      <c r="S29" s="45"/>
    </row>
    <row r="30" spans="2:19" ht="19.5" thickBot="1" x14ac:dyDescent="0.3">
      <c r="B30" s="41">
        <v>45829</v>
      </c>
      <c r="C30" s="38"/>
      <c r="D30" s="38"/>
      <c r="E30" s="61">
        <v>-941</v>
      </c>
      <c r="F30" s="62"/>
      <c r="G30" s="62"/>
      <c r="H30" s="62"/>
      <c r="I30" s="62"/>
      <c r="J30" s="83">
        <v>-1605</v>
      </c>
      <c r="K30" s="62"/>
      <c r="L30" s="43">
        <f t="shared" si="7"/>
        <v>645</v>
      </c>
      <c r="M30" s="62"/>
      <c r="N30" s="62"/>
      <c r="O30" s="63">
        <v>-2030</v>
      </c>
      <c r="P30" s="44"/>
      <c r="Q30" s="43"/>
      <c r="R30" s="45"/>
      <c r="S30" s="45"/>
    </row>
    <row r="31" spans="2:19" ht="19.5" thickBot="1" x14ac:dyDescent="0.3">
      <c r="B31" s="41">
        <v>45833</v>
      </c>
      <c r="C31" s="38"/>
      <c r="D31" s="38"/>
      <c r="E31" s="61">
        <v>-971</v>
      </c>
      <c r="F31" s="62"/>
      <c r="G31" s="62"/>
      <c r="H31" s="62"/>
      <c r="I31" s="62"/>
      <c r="J31" s="83">
        <v>-1688</v>
      </c>
      <c r="K31" s="62"/>
      <c r="L31" s="43">
        <f t="shared" si="7"/>
        <v>728</v>
      </c>
      <c r="M31" s="62"/>
      <c r="N31" s="62"/>
      <c r="O31" s="63">
        <v>-2105</v>
      </c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D671-EB26-4E8F-81C6-87972330A8EA}">
  <sheetPr codeName="Sheet35"/>
  <dimension ref="B1:AE102"/>
  <sheetViews>
    <sheetView topLeftCell="A12" workbookViewId="0">
      <selection activeCell="N36" sqref="N36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8.75" customHeight="1" thickBot="1" x14ac:dyDescent="0.3">
      <c r="B16" s="41">
        <v>45432</v>
      </c>
      <c r="C16" s="38">
        <v>1</v>
      </c>
      <c r="D16" s="38" t="s">
        <v>37</v>
      </c>
      <c r="E16" s="42">
        <v>-250</v>
      </c>
      <c r="F16" s="38"/>
      <c r="G16" s="43">
        <v>0</v>
      </c>
      <c r="H16" s="38">
        <v>1</v>
      </c>
      <c r="I16" s="38"/>
      <c r="J16" s="42">
        <v>-270</v>
      </c>
      <c r="K16" s="38"/>
      <c r="L16" s="43">
        <v>0</v>
      </c>
      <c r="M16" s="38">
        <v>1</v>
      </c>
      <c r="N16" s="38"/>
      <c r="O16" s="42">
        <v>-270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45463</v>
      </c>
      <c r="C17" s="38">
        <v>2</v>
      </c>
      <c r="D17" s="38"/>
      <c r="E17" s="42">
        <v>-22</v>
      </c>
      <c r="F17" s="38"/>
      <c r="G17" s="46">
        <f>$E$16-E17</f>
        <v>-228</v>
      </c>
      <c r="H17" s="38">
        <v>2</v>
      </c>
      <c r="I17" s="38"/>
      <c r="J17" s="42">
        <v>-23</v>
      </c>
      <c r="K17" s="38"/>
      <c r="L17" s="43">
        <f>$J$16-J17</f>
        <v>-247</v>
      </c>
      <c r="M17" s="38">
        <v>2</v>
      </c>
      <c r="N17" s="38"/>
      <c r="O17" s="42">
        <v>-18</v>
      </c>
      <c r="P17" s="44"/>
      <c r="Q17" s="43">
        <f>$O$16-O17</f>
        <v>-252</v>
      </c>
      <c r="R17" s="45"/>
      <c r="S17" s="45"/>
    </row>
    <row r="18" spans="2:19" ht="19.5" hidden="1" thickBot="1" x14ac:dyDescent="0.3">
      <c r="B18" s="41">
        <v>45493</v>
      </c>
      <c r="C18" s="38">
        <v>3</v>
      </c>
      <c r="D18" s="38"/>
      <c r="E18" s="42">
        <v>-128</v>
      </c>
      <c r="F18" s="38"/>
      <c r="G18" s="46">
        <f t="shared" ref="G18:G27" si="0">$E$16-E18</f>
        <v>-122</v>
      </c>
      <c r="H18" s="38"/>
      <c r="I18" s="38"/>
      <c r="J18" s="42">
        <v>-134</v>
      </c>
      <c r="K18" s="38"/>
      <c r="L18" s="43">
        <f t="shared" ref="L18:L27" si="1">$J$16-J18</f>
        <v>-136</v>
      </c>
      <c r="M18" s="38">
        <v>3</v>
      </c>
      <c r="N18" s="38"/>
      <c r="O18" s="42">
        <v>-107</v>
      </c>
      <c r="P18" s="44"/>
      <c r="Q18" s="43">
        <f t="shared" ref="Q18:Q27" si="2">$O$16-O18</f>
        <v>-163</v>
      </c>
      <c r="R18" s="45"/>
      <c r="S18" s="45"/>
    </row>
    <row r="19" spans="2:19" ht="19.5" hidden="1" thickBot="1" x14ac:dyDescent="0.3">
      <c r="B19" s="41">
        <v>45524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45555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45585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45616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45646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45677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45708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45736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>
        <v>45758</v>
      </c>
      <c r="C27" s="38">
        <v>12</v>
      </c>
      <c r="D27" s="38"/>
      <c r="E27" s="42">
        <v>-454</v>
      </c>
      <c r="F27" s="38"/>
      <c r="G27" s="46">
        <f t="shared" si="0"/>
        <v>204</v>
      </c>
      <c r="H27" s="38"/>
      <c r="I27" s="38"/>
      <c r="J27" s="42">
        <v>-875</v>
      </c>
      <c r="K27" s="38"/>
      <c r="L27" s="43">
        <f t="shared" si="1"/>
        <v>605</v>
      </c>
      <c r="M27" s="38">
        <v>12</v>
      </c>
      <c r="N27" s="38"/>
      <c r="O27" s="42">
        <v>-550</v>
      </c>
      <c r="P27" s="44"/>
      <c r="Q27" s="43">
        <f t="shared" si="2"/>
        <v>280</v>
      </c>
      <c r="R27" s="45"/>
      <c r="S27" s="45"/>
    </row>
    <row r="28" spans="2:19" ht="19.5" thickBot="1" x14ac:dyDescent="0.3">
      <c r="B28" s="41">
        <v>45759</v>
      </c>
      <c r="C28" s="38">
        <v>12</v>
      </c>
      <c r="D28" s="38"/>
      <c r="E28" s="42">
        <v>-462</v>
      </c>
      <c r="F28" s="38"/>
      <c r="G28" s="46">
        <f t="shared" ref="G28" si="3">$E$16-E28</f>
        <v>212</v>
      </c>
      <c r="H28" s="38"/>
      <c r="I28" s="38"/>
      <c r="J28" s="42">
        <v>-991</v>
      </c>
      <c r="K28" s="38"/>
      <c r="L28" s="43">
        <f t="shared" ref="L28" si="4">$J$16-J28</f>
        <v>721</v>
      </c>
      <c r="M28" s="38">
        <v>12</v>
      </c>
      <c r="N28" s="38"/>
      <c r="O28" s="42">
        <v>-566</v>
      </c>
      <c r="P28" s="44"/>
      <c r="Q28" s="43">
        <f t="shared" ref="Q28" si="5">$O$16-O28</f>
        <v>296</v>
      </c>
      <c r="R28" s="45"/>
      <c r="S28" s="45"/>
    </row>
    <row r="29" spans="2:19" ht="19.5" thickBot="1" x14ac:dyDescent="0.3">
      <c r="B29" s="41">
        <v>45806</v>
      </c>
      <c r="C29" s="38"/>
      <c r="D29" s="38"/>
      <c r="E29" s="42">
        <v>-479</v>
      </c>
      <c r="F29" s="38"/>
      <c r="G29" s="46">
        <f t="shared" ref="G29" si="6">$E$16-E29</f>
        <v>229</v>
      </c>
      <c r="H29" s="38"/>
      <c r="I29" s="38"/>
      <c r="J29" s="42">
        <v>-1012</v>
      </c>
      <c r="K29" s="38"/>
      <c r="L29" s="43">
        <f t="shared" ref="L29:L31" si="7">$J$16-J29</f>
        <v>742</v>
      </c>
      <c r="M29" s="38">
        <v>12</v>
      </c>
      <c r="N29" s="38"/>
      <c r="O29" s="42">
        <v>-579</v>
      </c>
      <c r="P29" s="44"/>
      <c r="Q29" s="43">
        <f t="shared" ref="Q29" si="8">$O$16-O29</f>
        <v>309</v>
      </c>
      <c r="R29" s="45"/>
      <c r="S29" s="45"/>
    </row>
    <row r="30" spans="2:19" ht="19.5" thickBot="1" x14ac:dyDescent="0.3">
      <c r="B30" s="41">
        <v>45829</v>
      </c>
      <c r="C30" s="38"/>
      <c r="D30" s="38"/>
      <c r="E30" s="61">
        <v>-703</v>
      </c>
      <c r="F30" s="62"/>
      <c r="G30" s="62"/>
      <c r="H30" s="62"/>
      <c r="I30" s="62"/>
      <c r="J30" s="83">
        <v>-1309</v>
      </c>
      <c r="K30" s="62"/>
      <c r="L30" s="43">
        <f t="shared" si="7"/>
        <v>1039</v>
      </c>
      <c r="M30" s="62"/>
      <c r="N30" s="62"/>
      <c r="O30" s="63">
        <v>-705</v>
      </c>
      <c r="P30" s="44"/>
      <c r="Q30" s="43"/>
      <c r="R30" s="45"/>
      <c r="S30" s="45"/>
    </row>
    <row r="31" spans="2:19" ht="19.5" thickBot="1" x14ac:dyDescent="0.3">
      <c r="B31" s="41">
        <v>45833</v>
      </c>
      <c r="C31" s="38"/>
      <c r="D31" s="38"/>
      <c r="E31" s="61">
        <v>-753</v>
      </c>
      <c r="F31" s="62"/>
      <c r="G31" s="62"/>
      <c r="H31" s="62"/>
      <c r="I31" s="62"/>
      <c r="J31" s="83">
        <v>-1368</v>
      </c>
      <c r="K31" s="62"/>
      <c r="L31" s="43">
        <f t="shared" si="7"/>
        <v>1098</v>
      </c>
      <c r="M31" s="62"/>
      <c r="N31" s="62"/>
      <c r="O31" s="63">
        <v>-730</v>
      </c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702B-8643-4A17-B01C-98E675753818}">
  <sheetPr codeName="Sheet36"/>
  <dimension ref="B1:AE102"/>
  <sheetViews>
    <sheetView topLeftCell="A14" workbookViewId="0">
      <selection activeCell="L30" sqref="L30:L32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45432</v>
      </c>
      <c r="C16" s="38">
        <v>1</v>
      </c>
      <c r="D16" s="38" t="s">
        <v>37</v>
      </c>
      <c r="E16" s="42">
        <v>-280</v>
      </c>
      <c r="F16" s="38"/>
      <c r="G16" s="43">
        <v>0</v>
      </c>
      <c r="H16" s="38"/>
      <c r="I16" s="38"/>
      <c r="J16" s="42">
        <v>-340</v>
      </c>
      <c r="K16" s="38"/>
      <c r="L16" s="43">
        <v>0</v>
      </c>
      <c r="M16" s="38"/>
      <c r="N16" s="38"/>
      <c r="O16" s="42">
        <v>-900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45463</v>
      </c>
      <c r="C17" s="38">
        <v>2</v>
      </c>
      <c r="D17" s="38"/>
      <c r="E17" s="42">
        <v>-22</v>
      </c>
      <c r="F17" s="38"/>
      <c r="G17" s="46">
        <f>$E$16-E17</f>
        <v>-258</v>
      </c>
      <c r="H17" s="38"/>
      <c r="I17" s="38"/>
      <c r="J17" s="42">
        <v>-23</v>
      </c>
      <c r="K17" s="38"/>
      <c r="L17" s="43">
        <f>$J$16-J17</f>
        <v>-317</v>
      </c>
      <c r="M17" s="38"/>
      <c r="N17" s="38"/>
      <c r="O17" s="42">
        <v>-18</v>
      </c>
      <c r="P17" s="44"/>
      <c r="Q17" s="43">
        <f>$O$16-O17</f>
        <v>-882</v>
      </c>
      <c r="R17" s="45"/>
      <c r="S17" s="45"/>
    </row>
    <row r="18" spans="2:19" ht="19.5" hidden="1" thickBot="1" x14ac:dyDescent="0.3">
      <c r="B18" s="41">
        <v>45493</v>
      </c>
      <c r="C18" s="38">
        <v>3</v>
      </c>
      <c r="D18" s="38"/>
      <c r="E18" s="42">
        <v>-128</v>
      </c>
      <c r="F18" s="38"/>
      <c r="G18" s="46">
        <f t="shared" ref="G18:G27" si="0">$E$16-E18</f>
        <v>-152</v>
      </c>
      <c r="H18" s="38"/>
      <c r="I18" s="38"/>
      <c r="J18" s="42">
        <v>-134</v>
      </c>
      <c r="K18" s="38"/>
      <c r="L18" s="43">
        <f t="shared" ref="L18:L27" si="1">$J$16-J18</f>
        <v>-206</v>
      </c>
      <c r="M18" s="38"/>
      <c r="N18" s="38"/>
      <c r="O18" s="42">
        <v>-107</v>
      </c>
      <c r="P18" s="44"/>
      <c r="Q18" s="43">
        <f t="shared" ref="Q18:Q27" si="2">$O$16-O18</f>
        <v>-793</v>
      </c>
      <c r="R18" s="45"/>
      <c r="S18" s="45"/>
    </row>
    <row r="19" spans="2:19" ht="19.5" hidden="1" thickBot="1" x14ac:dyDescent="0.3">
      <c r="B19" s="41">
        <v>45524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/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45555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/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45585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/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45616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/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45646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/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45677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/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45708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/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45736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/>
      <c r="N26" s="38"/>
      <c r="O26" s="42"/>
      <c r="P26" s="44"/>
      <c r="Q26" s="43"/>
      <c r="R26" s="45"/>
      <c r="S26" s="45"/>
    </row>
    <row r="27" spans="2:19" ht="19.5" thickBot="1" x14ac:dyDescent="0.3">
      <c r="B27" s="41">
        <v>45758</v>
      </c>
      <c r="C27" s="38">
        <v>12</v>
      </c>
      <c r="D27" s="38"/>
      <c r="E27" s="42">
        <v>-750</v>
      </c>
      <c r="F27" s="38"/>
      <c r="G27" s="46">
        <f t="shared" si="0"/>
        <v>470</v>
      </c>
      <c r="H27" s="38"/>
      <c r="I27" s="38"/>
      <c r="J27" s="42">
        <v>-1098</v>
      </c>
      <c r="K27" s="38"/>
      <c r="L27" s="43">
        <f t="shared" si="1"/>
        <v>758</v>
      </c>
      <c r="M27" s="38"/>
      <c r="N27" s="38"/>
      <c r="O27" s="42">
        <v>-1347</v>
      </c>
      <c r="P27" s="44"/>
      <c r="Q27" s="43">
        <f t="shared" si="2"/>
        <v>447</v>
      </c>
      <c r="R27" s="45"/>
      <c r="S27" s="45"/>
    </row>
    <row r="28" spans="2:19" ht="19.5" thickBot="1" x14ac:dyDescent="0.3">
      <c r="B28" s="41">
        <v>45776</v>
      </c>
      <c r="C28" s="38">
        <v>12</v>
      </c>
      <c r="D28" s="38"/>
      <c r="E28" s="42">
        <v>-768</v>
      </c>
      <c r="F28" s="38"/>
      <c r="G28" s="46">
        <f t="shared" ref="G28:G29" si="3">$E$16-E28</f>
        <v>488</v>
      </c>
      <c r="H28" s="38"/>
      <c r="I28" s="38"/>
      <c r="J28" s="42">
        <v>-1100</v>
      </c>
      <c r="K28" s="38"/>
      <c r="L28" s="43">
        <f t="shared" ref="L28:L29" si="4">$J$16-J28</f>
        <v>760</v>
      </c>
      <c r="M28" s="38"/>
      <c r="N28" s="38"/>
      <c r="O28" s="42">
        <v>-1358</v>
      </c>
      <c r="P28" s="44"/>
      <c r="Q28" s="43">
        <f t="shared" ref="Q28:Q29" si="5">$O$16-O28</f>
        <v>458</v>
      </c>
      <c r="R28" s="45"/>
      <c r="S28" s="45"/>
    </row>
    <row r="29" spans="2:19" ht="19.5" thickBot="1" x14ac:dyDescent="0.35">
      <c r="B29" s="41">
        <v>45790</v>
      </c>
      <c r="C29" s="38"/>
      <c r="D29" s="38"/>
      <c r="E29" s="68">
        <v>-770</v>
      </c>
      <c r="F29" s="69"/>
      <c r="G29" s="46">
        <f t="shared" si="3"/>
        <v>490</v>
      </c>
      <c r="H29" s="69"/>
      <c r="I29" s="69"/>
      <c r="J29" s="77">
        <v>-1001</v>
      </c>
      <c r="K29" s="69"/>
      <c r="L29" s="43">
        <f t="shared" si="4"/>
        <v>661</v>
      </c>
      <c r="M29" s="69"/>
      <c r="N29" s="69"/>
      <c r="O29" s="70">
        <v>-1368</v>
      </c>
      <c r="P29" s="44"/>
      <c r="Q29" s="43">
        <f t="shared" si="5"/>
        <v>468</v>
      </c>
      <c r="R29" s="45"/>
      <c r="S29" s="45"/>
    </row>
    <row r="30" spans="2:19" ht="19.5" thickBot="1" x14ac:dyDescent="0.35">
      <c r="B30" s="41">
        <v>45806</v>
      </c>
      <c r="C30" s="38"/>
      <c r="D30" s="38"/>
      <c r="E30" s="68">
        <v>-967</v>
      </c>
      <c r="F30" s="69"/>
      <c r="G30" s="46">
        <f t="shared" ref="G30" si="6">$E$16-E30</f>
        <v>687</v>
      </c>
      <c r="H30" s="69"/>
      <c r="I30" s="69"/>
      <c r="J30" s="77">
        <v>-1400</v>
      </c>
      <c r="K30" s="69"/>
      <c r="L30" s="43">
        <f t="shared" ref="L30:L32" si="7">$J$16-J30</f>
        <v>1060</v>
      </c>
      <c r="M30" s="69"/>
      <c r="N30" s="69"/>
      <c r="O30" s="70">
        <v>-1592</v>
      </c>
      <c r="P30" s="44"/>
      <c r="Q30" s="43">
        <f t="shared" ref="Q30" si="8">$O$16-O30</f>
        <v>692</v>
      </c>
      <c r="R30" s="45"/>
      <c r="S30" s="45"/>
    </row>
    <row r="31" spans="2:19" ht="19.5" thickBot="1" x14ac:dyDescent="0.3">
      <c r="B31" s="41">
        <v>45829</v>
      </c>
      <c r="C31" s="38"/>
      <c r="D31" s="38"/>
      <c r="E31" s="61">
        <v>-1181</v>
      </c>
      <c r="F31" s="62"/>
      <c r="G31" s="62"/>
      <c r="H31" s="62"/>
      <c r="I31" s="62"/>
      <c r="J31" s="83">
        <v>-1608</v>
      </c>
      <c r="K31" s="62"/>
      <c r="L31" s="43">
        <f t="shared" si="7"/>
        <v>1268</v>
      </c>
      <c r="M31" s="62"/>
      <c r="N31" s="62"/>
      <c r="O31" s="63">
        <v>-1736</v>
      </c>
      <c r="P31" s="44"/>
      <c r="Q31" s="43"/>
      <c r="R31" s="45"/>
      <c r="S31" s="45"/>
    </row>
    <row r="32" spans="2:19" ht="19.5" thickBot="1" x14ac:dyDescent="0.3">
      <c r="B32" s="41">
        <v>45833</v>
      </c>
      <c r="C32" s="38"/>
      <c r="D32" s="38"/>
      <c r="E32" s="61">
        <v>-1203</v>
      </c>
      <c r="F32" s="62"/>
      <c r="G32" s="62"/>
      <c r="H32" s="62"/>
      <c r="I32" s="62"/>
      <c r="J32" s="83">
        <v>-1648</v>
      </c>
      <c r="K32" s="62"/>
      <c r="L32" s="43">
        <f t="shared" si="7"/>
        <v>1308</v>
      </c>
      <c r="M32" s="62"/>
      <c r="N32" s="62"/>
      <c r="O32" s="63">
        <v>-1753</v>
      </c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6B19-CF9C-4276-9B77-A14CCE394340}">
  <sheetPr codeName="Sheet37"/>
  <dimension ref="B1:AE102"/>
  <sheetViews>
    <sheetView topLeftCell="A11" workbookViewId="0">
      <selection activeCell="L30" sqref="L30:L32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45432</v>
      </c>
      <c r="C16" s="38">
        <v>1</v>
      </c>
      <c r="D16" s="38" t="s">
        <v>37</v>
      </c>
      <c r="E16" s="42">
        <v>-250</v>
      </c>
      <c r="F16" s="38"/>
      <c r="G16" s="43">
        <v>0</v>
      </c>
      <c r="H16" s="38">
        <v>1</v>
      </c>
      <c r="I16" s="38"/>
      <c r="J16" s="42">
        <v>-860</v>
      </c>
      <c r="K16" s="38"/>
      <c r="L16" s="43">
        <v>0</v>
      </c>
      <c r="M16" s="38"/>
      <c r="N16" s="38"/>
      <c r="O16" s="42">
        <v>-900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45463</v>
      </c>
      <c r="C17" s="38">
        <v>2</v>
      </c>
      <c r="D17" s="38"/>
      <c r="E17" s="42">
        <v>-22</v>
      </c>
      <c r="F17" s="38"/>
      <c r="G17" s="46">
        <f>$E$16-E17</f>
        <v>-228</v>
      </c>
      <c r="H17" s="38">
        <v>2</v>
      </c>
      <c r="I17" s="38"/>
      <c r="J17" s="42">
        <v>-23</v>
      </c>
      <c r="K17" s="38"/>
      <c r="L17" s="43">
        <f>$J$16-J17</f>
        <v>-837</v>
      </c>
      <c r="M17" s="38"/>
      <c r="N17" s="38"/>
      <c r="O17" s="42">
        <v>-18</v>
      </c>
      <c r="P17" s="44"/>
      <c r="Q17" s="43">
        <f>$O$16-O17</f>
        <v>-882</v>
      </c>
      <c r="R17" s="45"/>
      <c r="S17" s="45"/>
    </row>
    <row r="18" spans="2:19" ht="19.5" hidden="1" thickBot="1" x14ac:dyDescent="0.3">
      <c r="B18" s="41">
        <v>45493</v>
      </c>
      <c r="C18" s="38">
        <v>3</v>
      </c>
      <c r="D18" s="38"/>
      <c r="E18" s="42">
        <v>-128</v>
      </c>
      <c r="F18" s="38"/>
      <c r="G18" s="46">
        <f t="shared" ref="G18:G27" si="0">$E$16-E18</f>
        <v>-122</v>
      </c>
      <c r="H18" s="38"/>
      <c r="I18" s="38"/>
      <c r="J18" s="42">
        <v>-134</v>
      </c>
      <c r="K18" s="38"/>
      <c r="L18" s="43">
        <f t="shared" ref="L18:L27" si="1">$J$16-J18</f>
        <v>-726</v>
      </c>
      <c r="M18" s="38"/>
      <c r="N18" s="38"/>
      <c r="O18" s="42">
        <v>-107</v>
      </c>
      <c r="P18" s="44"/>
      <c r="Q18" s="43">
        <f t="shared" ref="Q18" si="2">$O$16-O18</f>
        <v>-793</v>
      </c>
      <c r="R18" s="45"/>
      <c r="S18" s="45"/>
    </row>
    <row r="19" spans="2:19" ht="19.5" hidden="1" thickBot="1" x14ac:dyDescent="0.3">
      <c r="B19" s="41">
        <v>45524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/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45555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/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45585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/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45616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/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45646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/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45677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/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45708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/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45736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/>
      <c r="N26" s="38"/>
      <c r="R26" s="45"/>
      <c r="S26" s="45"/>
    </row>
    <row r="27" spans="2:19" ht="19.5" thickBot="1" x14ac:dyDescent="0.3">
      <c r="B27" s="41">
        <v>45758</v>
      </c>
      <c r="C27" s="38">
        <v>12</v>
      </c>
      <c r="D27" s="38"/>
      <c r="E27" s="42">
        <v>-1058</v>
      </c>
      <c r="F27" s="38"/>
      <c r="G27" s="46">
        <f t="shared" si="0"/>
        <v>808</v>
      </c>
      <c r="H27" s="38"/>
      <c r="I27" s="38"/>
      <c r="J27" s="42">
        <v>-1300</v>
      </c>
      <c r="K27" s="38"/>
      <c r="L27" s="43">
        <f t="shared" si="1"/>
        <v>440</v>
      </c>
      <c r="M27" s="38"/>
      <c r="N27" s="38"/>
      <c r="O27" s="42">
        <v>-1327</v>
      </c>
      <c r="P27" s="44"/>
      <c r="Q27" s="43">
        <f>$O$16-O27</f>
        <v>427</v>
      </c>
      <c r="R27" s="45"/>
      <c r="S27" s="45"/>
    </row>
    <row r="28" spans="2:19" ht="19.5" thickBot="1" x14ac:dyDescent="0.3">
      <c r="B28" s="41">
        <v>45776</v>
      </c>
      <c r="C28" s="38">
        <v>12</v>
      </c>
      <c r="D28" s="38"/>
      <c r="E28" s="42">
        <v>-1063</v>
      </c>
      <c r="F28" s="38"/>
      <c r="G28" s="46">
        <f t="shared" ref="G28:G29" si="3">$E$16-E28</f>
        <v>813</v>
      </c>
      <c r="H28" s="38"/>
      <c r="I28" s="38"/>
      <c r="J28" s="42">
        <v>-1319</v>
      </c>
      <c r="K28" s="38"/>
      <c r="L28" s="43">
        <f t="shared" ref="L28:L29" si="4">$J$16-J28</f>
        <v>459</v>
      </c>
      <c r="M28" s="38"/>
      <c r="N28" s="38"/>
      <c r="O28" s="42">
        <v>-1350</v>
      </c>
      <c r="P28" s="44"/>
      <c r="Q28" s="43">
        <f>$O$16-O28</f>
        <v>450</v>
      </c>
      <c r="R28" s="45"/>
      <c r="S28" s="45"/>
    </row>
    <row r="29" spans="2:19" ht="19.5" thickBot="1" x14ac:dyDescent="0.35">
      <c r="B29" s="41">
        <v>45790</v>
      </c>
      <c r="C29" s="38"/>
      <c r="D29" s="38"/>
      <c r="E29" s="42">
        <v>-1063</v>
      </c>
      <c r="F29" s="69"/>
      <c r="G29" s="46">
        <f t="shared" si="3"/>
        <v>813</v>
      </c>
      <c r="H29" s="69"/>
      <c r="I29" s="69"/>
      <c r="J29" s="77">
        <v>-1353</v>
      </c>
      <c r="K29" s="69"/>
      <c r="L29" s="43">
        <f t="shared" si="4"/>
        <v>493</v>
      </c>
      <c r="M29" s="69"/>
      <c r="N29" s="69"/>
      <c r="O29" s="70">
        <v>-1350</v>
      </c>
      <c r="P29" s="44"/>
      <c r="Q29" s="43">
        <f>$O$16-O29</f>
        <v>450</v>
      </c>
      <c r="R29" s="45"/>
      <c r="S29" s="45"/>
    </row>
    <row r="30" spans="2:19" ht="19.5" thickBot="1" x14ac:dyDescent="0.35">
      <c r="B30" s="41">
        <v>45806</v>
      </c>
      <c r="C30" s="38"/>
      <c r="D30" s="38"/>
      <c r="E30" s="42">
        <v>-1450</v>
      </c>
      <c r="F30" s="69"/>
      <c r="G30" s="46">
        <f t="shared" ref="G30" si="5">$E$16-E30</f>
        <v>1200</v>
      </c>
      <c r="H30" s="69"/>
      <c r="I30" s="69"/>
      <c r="J30" s="77">
        <v>-1672</v>
      </c>
      <c r="K30" s="69"/>
      <c r="L30" s="43">
        <f t="shared" ref="L30:L32" si="6">$J$16-J30</f>
        <v>812</v>
      </c>
      <c r="M30" s="69"/>
      <c r="N30" s="69"/>
      <c r="O30" s="70">
        <v>-1600</v>
      </c>
      <c r="P30" s="44"/>
      <c r="Q30" s="43">
        <f>$O$16-O30</f>
        <v>700</v>
      </c>
      <c r="R30" s="45"/>
      <c r="S30" s="45"/>
    </row>
    <row r="31" spans="2:19" ht="19.5" thickBot="1" x14ac:dyDescent="0.3">
      <c r="B31" s="41">
        <v>45829</v>
      </c>
      <c r="C31" s="38"/>
      <c r="D31" s="38"/>
      <c r="E31" s="61">
        <v>-1538</v>
      </c>
      <c r="F31" s="62"/>
      <c r="G31" s="62"/>
      <c r="H31" s="62"/>
      <c r="I31" s="62"/>
      <c r="J31" s="83">
        <v>-1978</v>
      </c>
      <c r="K31" s="62"/>
      <c r="L31" s="43">
        <f t="shared" si="6"/>
        <v>1118</v>
      </c>
      <c r="M31" s="62"/>
      <c r="N31" s="62"/>
      <c r="O31" s="63">
        <v>-1772</v>
      </c>
      <c r="P31" s="44"/>
      <c r="Q31" s="43"/>
      <c r="R31" s="45"/>
      <c r="S31" s="45"/>
    </row>
    <row r="32" spans="2:19" ht="19.5" thickBot="1" x14ac:dyDescent="0.3">
      <c r="B32" s="41">
        <v>45833</v>
      </c>
      <c r="C32" s="38"/>
      <c r="D32" s="38"/>
      <c r="E32" s="61">
        <v>-1558</v>
      </c>
      <c r="F32" s="62"/>
      <c r="G32" s="62"/>
      <c r="H32" s="62"/>
      <c r="I32" s="62"/>
      <c r="J32" s="83">
        <v>-2025</v>
      </c>
      <c r="K32" s="62"/>
      <c r="L32" s="43">
        <f t="shared" si="6"/>
        <v>1165</v>
      </c>
      <c r="M32" s="62"/>
      <c r="N32" s="62"/>
      <c r="O32" s="63">
        <v>-1807</v>
      </c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501B-0F8C-41AF-9626-F021FE27ACAD}">
  <sheetPr codeName="Sheet38"/>
  <dimension ref="B1:AE102"/>
  <sheetViews>
    <sheetView topLeftCell="A13" workbookViewId="0">
      <selection activeCell="L31" sqref="L31:L33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45432</v>
      </c>
      <c r="C16" s="38">
        <v>1</v>
      </c>
      <c r="D16" s="38" t="s">
        <v>37</v>
      </c>
      <c r="E16" s="42">
        <v>-200</v>
      </c>
      <c r="F16" s="38"/>
      <c r="G16" s="43">
        <v>0</v>
      </c>
      <c r="H16" s="38">
        <v>1</v>
      </c>
      <c r="I16" s="38"/>
      <c r="J16" s="42">
        <v>-180</v>
      </c>
      <c r="K16" s="38"/>
      <c r="L16" s="43">
        <v>0</v>
      </c>
      <c r="M16" s="38"/>
      <c r="N16" s="38"/>
      <c r="O16" s="42">
        <v>-180</v>
      </c>
      <c r="P16" s="44"/>
      <c r="Q16" s="43">
        <v>0</v>
      </c>
      <c r="R16" s="45"/>
      <c r="S16" s="45"/>
    </row>
    <row r="17" spans="2:19" ht="19.5" thickBot="1" x14ac:dyDescent="0.3">
      <c r="B17" s="41">
        <v>45463</v>
      </c>
      <c r="C17" s="38">
        <v>2</v>
      </c>
      <c r="D17" s="38"/>
      <c r="E17" s="42">
        <v>-22</v>
      </c>
      <c r="F17" s="38"/>
      <c r="G17" s="46">
        <f>$E$16-E17</f>
        <v>-178</v>
      </c>
      <c r="H17" s="38">
        <v>2</v>
      </c>
      <c r="I17" s="38"/>
      <c r="J17" s="42">
        <v>-23</v>
      </c>
      <c r="K17" s="38"/>
      <c r="L17" s="43">
        <f>$J$16-J17</f>
        <v>-157</v>
      </c>
      <c r="M17" s="38"/>
      <c r="N17" s="38"/>
      <c r="O17" s="42">
        <v>-18</v>
      </c>
      <c r="P17" s="44"/>
      <c r="Q17" s="43">
        <f>$O$16-O17</f>
        <v>-162</v>
      </c>
      <c r="R17" s="45"/>
      <c r="S17" s="45"/>
    </row>
    <row r="18" spans="2:19" ht="0.75" customHeight="1" thickBot="1" x14ac:dyDescent="0.3">
      <c r="B18" s="41">
        <v>45493</v>
      </c>
      <c r="C18" s="38">
        <v>3</v>
      </c>
      <c r="D18" s="38"/>
      <c r="E18" s="42">
        <v>-128</v>
      </c>
      <c r="F18" s="38"/>
      <c r="G18" s="46">
        <f t="shared" ref="G18:G28" si="0">$E$16-E18</f>
        <v>-72</v>
      </c>
      <c r="H18" s="38"/>
      <c r="I18" s="38"/>
      <c r="J18" s="42">
        <v>-134</v>
      </c>
      <c r="K18" s="38"/>
      <c r="L18" s="43">
        <f t="shared" ref="L18" si="1">$J$16-J18</f>
        <v>-46</v>
      </c>
      <c r="M18" s="38"/>
      <c r="N18" s="38"/>
      <c r="O18" s="42">
        <v>-107</v>
      </c>
      <c r="P18" s="44"/>
      <c r="Q18" s="43">
        <f t="shared" ref="Q18" si="2">$O$16-O18</f>
        <v>-73</v>
      </c>
      <c r="R18" s="45"/>
      <c r="S18" s="45"/>
    </row>
    <row r="19" spans="2:19" ht="19.5" hidden="1" thickBot="1" x14ac:dyDescent="0.3">
      <c r="B19" s="41">
        <v>45524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/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45555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/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45585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/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45616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/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45646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/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45677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/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45708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/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45736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/>
      <c r="N26" s="38"/>
      <c r="O26" s="42"/>
      <c r="P26" s="44"/>
      <c r="Q26" s="43"/>
      <c r="R26" s="45"/>
      <c r="S26" s="45"/>
    </row>
    <row r="27" spans="2:19" ht="19.5" hidden="1" thickBot="1" x14ac:dyDescent="0.3">
      <c r="B27" s="41">
        <v>45758</v>
      </c>
      <c r="C27" s="38">
        <v>12</v>
      </c>
      <c r="D27" s="38"/>
      <c r="E27" s="42"/>
      <c r="F27" s="38"/>
      <c r="G27" s="46"/>
      <c r="H27" s="38"/>
      <c r="I27" s="38"/>
      <c r="J27" s="42"/>
      <c r="K27" s="38"/>
      <c r="L27" s="43"/>
      <c r="M27" s="38"/>
      <c r="N27" s="38"/>
      <c r="O27" s="42"/>
      <c r="P27" s="44"/>
      <c r="Q27" s="43"/>
      <c r="R27" s="45"/>
      <c r="S27" s="45"/>
    </row>
    <row r="28" spans="2:19" ht="19.5" thickBot="1" x14ac:dyDescent="0.3">
      <c r="B28" s="41">
        <v>45378</v>
      </c>
      <c r="C28" s="38">
        <v>13</v>
      </c>
      <c r="D28" s="38"/>
      <c r="E28" s="42">
        <v>-723</v>
      </c>
      <c r="F28" s="38"/>
      <c r="G28" s="46">
        <f t="shared" si="0"/>
        <v>523</v>
      </c>
      <c r="H28" s="38"/>
      <c r="I28" s="38"/>
      <c r="J28" s="42">
        <v>-825</v>
      </c>
      <c r="K28" s="38"/>
      <c r="L28" s="43">
        <f t="shared" ref="L28" si="3">$J$16-J28</f>
        <v>645</v>
      </c>
      <c r="M28" s="38"/>
      <c r="N28" s="38"/>
      <c r="O28" s="42">
        <v>-750</v>
      </c>
      <c r="P28" s="44"/>
      <c r="Q28" s="43">
        <f t="shared" ref="Q28" si="4">$O$16-O28</f>
        <v>570</v>
      </c>
      <c r="R28" s="45"/>
      <c r="S28" s="45"/>
    </row>
    <row r="29" spans="2:19" ht="19.5" thickBot="1" x14ac:dyDescent="0.3">
      <c r="B29" s="41">
        <v>45379</v>
      </c>
      <c r="C29" s="38">
        <v>13</v>
      </c>
      <c r="D29" s="38"/>
      <c r="E29" s="42">
        <v>-748</v>
      </c>
      <c r="F29" s="38"/>
      <c r="G29" s="46">
        <f t="shared" ref="G29:G30" si="5">$E$16-E29</f>
        <v>548</v>
      </c>
      <c r="H29" s="38"/>
      <c r="I29" s="38"/>
      <c r="J29" s="42">
        <v>-855</v>
      </c>
      <c r="K29" s="38"/>
      <c r="L29" s="43">
        <f t="shared" ref="L29:L30" si="6">$J$16-J29</f>
        <v>675</v>
      </c>
      <c r="M29" s="38"/>
      <c r="N29" s="38"/>
      <c r="O29" s="42">
        <v>-763</v>
      </c>
      <c r="P29" s="44"/>
      <c r="Q29" s="43">
        <f t="shared" ref="Q29:Q30" si="7">$O$16-O29</f>
        <v>583</v>
      </c>
      <c r="R29" s="45"/>
      <c r="S29" s="45"/>
    </row>
    <row r="30" spans="2:19" ht="19.5" thickBot="1" x14ac:dyDescent="0.35">
      <c r="B30" s="41">
        <v>45790</v>
      </c>
      <c r="C30" s="38"/>
      <c r="D30" s="38"/>
      <c r="E30" s="68">
        <v>-758</v>
      </c>
      <c r="F30" s="69"/>
      <c r="G30" s="46">
        <f t="shared" si="5"/>
        <v>558</v>
      </c>
      <c r="H30" s="69"/>
      <c r="I30" s="69"/>
      <c r="J30" s="77">
        <v>-870</v>
      </c>
      <c r="K30" s="69"/>
      <c r="L30" s="43">
        <f t="shared" si="6"/>
        <v>690</v>
      </c>
      <c r="M30" s="69"/>
      <c r="N30" s="69"/>
      <c r="O30" s="70">
        <v>-773</v>
      </c>
      <c r="P30" s="44"/>
      <c r="Q30" s="43">
        <f t="shared" si="7"/>
        <v>593</v>
      </c>
      <c r="R30" s="45"/>
      <c r="S30" s="45"/>
    </row>
    <row r="31" spans="2:19" ht="19.5" thickBot="1" x14ac:dyDescent="0.35">
      <c r="B31" s="41">
        <v>45806</v>
      </c>
      <c r="C31" s="38"/>
      <c r="D31" s="38"/>
      <c r="E31" s="68">
        <v>-1027</v>
      </c>
      <c r="F31" s="69"/>
      <c r="G31" s="46">
        <f t="shared" ref="G31" si="8">$E$16-E31</f>
        <v>827</v>
      </c>
      <c r="H31" s="69"/>
      <c r="I31" s="69"/>
      <c r="J31" s="77">
        <v>-1170</v>
      </c>
      <c r="K31" s="69"/>
      <c r="L31" s="43">
        <f t="shared" ref="L31:L33" si="9">$J$16-J31</f>
        <v>990</v>
      </c>
      <c r="M31" s="69"/>
      <c r="N31" s="69"/>
      <c r="O31" s="70">
        <v>-1037</v>
      </c>
      <c r="P31" s="44"/>
      <c r="Q31" s="43">
        <f t="shared" ref="Q31" si="10">$O$16-O31</f>
        <v>857</v>
      </c>
      <c r="R31" s="45"/>
      <c r="S31" s="45"/>
    </row>
    <row r="32" spans="2:19" ht="19.5" thickBot="1" x14ac:dyDescent="0.3">
      <c r="B32" s="41">
        <v>45829</v>
      </c>
      <c r="C32" s="38"/>
      <c r="D32" s="38"/>
      <c r="E32" s="61">
        <v>-1229</v>
      </c>
      <c r="F32" s="62"/>
      <c r="G32" s="62"/>
      <c r="H32" s="62"/>
      <c r="I32" s="62"/>
      <c r="J32" s="83">
        <v>-1415</v>
      </c>
      <c r="K32" s="62"/>
      <c r="L32" s="43">
        <f t="shared" si="9"/>
        <v>1235</v>
      </c>
      <c r="M32" s="62"/>
      <c r="N32" s="62"/>
      <c r="O32" s="63">
        <v>-1223</v>
      </c>
      <c r="P32" s="44"/>
      <c r="Q32" s="43"/>
      <c r="R32" s="45"/>
      <c r="S32" s="45"/>
    </row>
    <row r="33" spans="2:19" ht="19.5" thickBot="1" x14ac:dyDescent="0.3">
      <c r="B33" s="41">
        <v>45833</v>
      </c>
      <c r="C33" s="38"/>
      <c r="D33" s="47"/>
      <c r="E33" s="61">
        <v>-1254</v>
      </c>
      <c r="F33" s="62"/>
      <c r="G33" s="62"/>
      <c r="H33" s="62"/>
      <c r="I33" s="62"/>
      <c r="J33" s="83">
        <v>-1440</v>
      </c>
      <c r="K33" s="62"/>
      <c r="L33" s="43">
        <f t="shared" si="9"/>
        <v>1260</v>
      </c>
      <c r="M33" s="62"/>
      <c r="N33" s="62"/>
      <c r="O33" s="63">
        <v>-1238</v>
      </c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DD0E-AB84-4759-A6B7-07266F5D3F07}">
  <sheetPr codeName="Sheet39"/>
  <dimension ref="B1:AE102"/>
  <sheetViews>
    <sheetView topLeftCell="A11" workbookViewId="0">
      <selection activeCell="L29" sqref="L29:L31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45432</v>
      </c>
      <c r="C16" s="38">
        <v>1</v>
      </c>
      <c r="D16" s="38" t="s">
        <v>37</v>
      </c>
      <c r="E16" s="42">
        <v>-850</v>
      </c>
      <c r="F16" s="38"/>
      <c r="G16" s="43">
        <v>0</v>
      </c>
      <c r="H16" s="38">
        <v>1</v>
      </c>
      <c r="I16" s="38"/>
      <c r="J16" s="42">
        <v>-820</v>
      </c>
      <c r="K16" s="38"/>
      <c r="L16" s="43">
        <v>0</v>
      </c>
      <c r="M16" s="38">
        <v>1</v>
      </c>
      <c r="N16" s="38"/>
      <c r="O16" s="42">
        <v>-750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45463</v>
      </c>
      <c r="C17" s="38">
        <v>2</v>
      </c>
      <c r="D17" s="38"/>
      <c r="E17" s="42">
        <v>-22</v>
      </c>
      <c r="F17" s="38"/>
      <c r="G17" s="46">
        <f>$E$16-E17</f>
        <v>-828</v>
      </c>
      <c r="H17" s="38">
        <v>2</v>
      </c>
      <c r="I17" s="38"/>
      <c r="J17" s="42">
        <v>-23</v>
      </c>
      <c r="K17" s="38"/>
      <c r="L17" s="43">
        <f>$J$16-J17</f>
        <v>-797</v>
      </c>
      <c r="M17" s="38">
        <v>2</v>
      </c>
      <c r="N17" s="38"/>
      <c r="O17" s="42">
        <v>-18</v>
      </c>
      <c r="P17" s="44"/>
      <c r="Q17" s="43">
        <f>$O$16-O17</f>
        <v>-732</v>
      </c>
      <c r="R17" s="45"/>
      <c r="S17" s="45"/>
    </row>
    <row r="18" spans="2:19" ht="19.5" hidden="1" thickBot="1" x14ac:dyDescent="0.3">
      <c r="B18" s="41">
        <v>45493</v>
      </c>
      <c r="C18" s="38">
        <v>3</v>
      </c>
      <c r="D18" s="38"/>
      <c r="E18" s="42">
        <v>-128</v>
      </c>
      <c r="F18" s="38"/>
      <c r="G18" s="46">
        <f t="shared" ref="G18:G28" si="0">$E$16-E18</f>
        <v>-722</v>
      </c>
      <c r="H18" s="38"/>
      <c r="I18" s="38"/>
      <c r="J18" s="42">
        <v>-134</v>
      </c>
      <c r="K18" s="38"/>
      <c r="L18" s="43"/>
      <c r="M18" s="38">
        <v>3</v>
      </c>
      <c r="N18" s="38"/>
      <c r="O18" s="42">
        <v>-107</v>
      </c>
      <c r="P18" s="44"/>
      <c r="Q18" s="43">
        <f t="shared" ref="Q18:Q27" si="1">$O$16-O18</f>
        <v>-643</v>
      </c>
      <c r="R18" s="45"/>
      <c r="S18" s="45"/>
    </row>
    <row r="19" spans="2:19" ht="19.5" hidden="1" thickBot="1" x14ac:dyDescent="0.3">
      <c r="B19" s="41">
        <v>45524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45555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45585</v>
      </c>
      <c r="C21" s="38">
        <v>6</v>
      </c>
      <c r="D21" s="38"/>
      <c r="E21" s="42"/>
      <c r="F21" s="38"/>
      <c r="G21" s="46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45616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45646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45677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45708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45736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>
        <v>45758</v>
      </c>
      <c r="C27" s="38">
        <v>12</v>
      </c>
      <c r="D27" s="38"/>
      <c r="E27" s="68">
        <v>-1546</v>
      </c>
      <c r="F27" s="69"/>
      <c r="G27" s="46">
        <f t="shared" si="0"/>
        <v>696</v>
      </c>
      <c r="H27" s="69"/>
      <c r="I27" s="69"/>
      <c r="J27" s="70">
        <v>-1760</v>
      </c>
      <c r="K27" s="69"/>
      <c r="L27" s="43">
        <f t="shared" ref="L27:L28" si="2">$J$16-J27</f>
        <v>940</v>
      </c>
      <c r="M27" s="69"/>
      <c r="N27" s="69"/>
      <c r="O27" s="70">
        <v>-1316</v>
      </c>
      <c r="P27" s="44"/>
      <c r="Q27" s="43">
        <f t="shared" si="1"/>
        <v>566</v>
      </c>
      <c r="R27" s="45"/>
      <c r="S27" s="45"/>
    </row>
    <row r="28" spans="2:19" ht="19.5" thickBot="1" x14ac:dyDescent="0.3">
      <c r="B28" s="41">
        <v>45776</v>
      </c>
      <c r="C28" s="38">
        <v>12</v>
      </c>
      <c r="D28" s="38"/>
      <c r="E28" s="68">
        <v>-1683</v>
      </c>
      <c r="F28" s="69"/>
      <c r="G28" s="46">
        <f t="shared" si="0"/>
        <v>833</v>
      </c>
      <c r="H28" s="69"/>
      <c r="I28" s="69"/>
      <c r="J28" s="70">
        <v>-2005</v>
      </c>
      <c r="K28" s="62"/>
      <c r="L28" s="43">
        <f t="shared" si="2"/>
        <v>1185</v>
      </c>
      <c r="M28" s="62"/>
      <c r="N28" s="62"/>
      <c r="O28" s="70">
        <v>-1316</v>
      </c>
      <c r="P28" s="44"/>
      <c r="Q28" s="43">
        <f t="shared" ref="Q28" si="3">$O$16-O28</f>
        <v>566</v>
      </c>
      <c r="R28" s="45"/>
      <c r="S28" s="45"/>
    </row>
    <row r="29" spans="2:19" ht="19.5" thickBot="1" x14ac:dyDescent="0.3">
      <c r="B29" s="41">
        <v>45806</v>
      </c>
      <c r="C29" s="38"/>
      <c r="D29" s="38"/>
      <c r="E29" s="68">
        <v>-1849</v>
      </c>
      <c r="F29" s="69"/>
      <c r="G29" s="46">
        <f t="shared" ref="G29" si="4">$E$16-E29</f>
        <v>999</v>
      </c>
      <c r="H29" s="69"/>
      <c r="I29" s="69"/>
      <c r="J29" s="70">
        <v>-2080</v>
      </c>
      <c r="K29" s="62"/>
      <c r="L29" s="43">
        <f t="shared" ref="L29:L31" si="5">$J$16-J29</f>
        <v>1260</v>
      </c>
      <c r="M29" s="62"/>
      <c r="N29" s="62"/>
      <c r="O29" s="70">
        <v>-1614</v>
      </c>
      <c r="P29" s="44"/>
      <c r="Q29" s="43">
        <f t="shared" ref="Q29" si="6">$O$16-O29</f>
        <v>864</v>
      </c>
      <c r="R29" s="45"/>
      <c r="S29" s="45"/>
    </row>
    <row r="30" spans="2:19" ht="19.5" thickBot="1" x14ac:dyDescent="0.3">
      <c r="B30" s="41">
        <v>45829</v>
      </c>
      <c r="C30" s="38"/>
      <c r="D30" s="38"/>
      <c r="E30" s="61">
        <v>-1930</v>
      </c>
      <c r="F30" s="62"/>
      <c r="G30" s="62"/>
      <c r="H30" s="62"/>
      <c r="I30" s="62"/>
      <c r="J30" s="83">
        <v>-2165</v>
      </c>
      <c r="K30" s="62"/>
      <c r="L30" s="43">
        <f t="shared" si="5"/>
        <v>1345</v>
      </c>
      <c r="M30" s="62"/>
      <c r="N30" s="62"/>
      <c r="O30" s="63">
        <v>-1675</v>
      </c>
      <c r="P30" s="44"/>
      <c r="Q30" s="43"/>
      <c r="R30" s="45"/>
      <c r="S30" s="45"/>
    </row>
    <row r="31" spans="2:19" ht="19.5" thickBot="1" x14ac:dyDescent="0.3">
      <c r="B31" s="41">
        <v>45833</v>
      </c>
      <c r="C31" s="38"/>
      <c r="D31" s="38"/>
      <c r="E31" s="61">
        <v>-1955</v>
      </c>
      <c r="F31" s="62"/>
      <c r="G31" s="62"/>
      <c r="H31" s="62"/>
      <c r="I31" s="62"/>
      <c r="J31" s="83">
        <v>-2205</v>
      </c>
      <c r="K31" s="62"/>
      <c r="L31" s="43">
        <f t="shared" si="5"/>
        <v>1385</v>
      </c>
      <c r="M31" s="62"/>
      <c r="N31" s="62"/>
      <c r="O31" s="63">
        <v>-1705</v>
      </c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/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33F2-80BB-4032-B773-C2FED7A8DE9A}">
  <sheetPr codeName="Sheet40"/>
  <dimension ref="B1:AE102"/>
  <sheetViews>
    <sheetView topLeftCell="A10" workbookViewId="0">
      <selection activeCell="L29" sqref="L29:L31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45432</v>
      </c>
      <c r="C16" s="38">
        <v>1</v>
      </c>
      <c r="D16" s="38" t="s">
        <v>37</v>
      </c>
      <c r="E16" s="42">
        <v>-750</v>
      </c>
      <c r="F16" s="38"/>
      <c r="G16" s="43">
        <v>0</v>
      </c>
      <c r="H16" s="38">
        <v>1</v>
      </c>
      <c r="I16" s="38"/>
      <c r="J16" s="42">
        <v>-800</v>
      </c>
      <c r="K16" s="38"/>
      <c r="L16" s="43">
        <v>0</v>
      </c>
      <c r="M16" s="38">
        <v>1</v>
      </c>
      <c r="N16" s="38"/>
      <c r="O16" s="42">
        <v>-400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45463</v>
      </c>
      <c r="C17" s="38">
        <v>2</v>
      </c>
      <c r="D17" s="38"/>
      <c r="E17" s="42">
        <v>-22</v>
      </c>
      <c r="F17" s="38"/>
      <c r="G17" s="46">
        <f>$E$16-E17</f>
        <v>-728</v>
      </c>
      <c r="H17" s="38">
        <v>2</v>
      </c>
      <c r="I17" s="38"/>
      <c r="J17" s="42">
        <v>-23</v>
      </c>
      <c r="K17" s="38"/>
      <c r="L17" s="43">
        <f>$J$16-J17</f>
        <v>-777</v>
      </c>
      <c r="M17" s="38">
        <v>2</v>
      </c>
      <c r="N17" s="38"/>
      <c r="O17" s="42">
        <v>-18</v>
      </c>
      <c r="P17" s="44"/>
      <c r="Q17" s="43">
        <f>$O$16-O17</f>
        <v>-382</v>
      </c>
      <c r="R17" s="45"/>
      <c r="S17" s="45"/>
    </row>
    <row r="18" spans="2:19" ht="19.5" hidden="1" thickBot="1" x14ac:dyDescent="0.3">
      <c r="B18" s="41">
        <v>45493</v>
      </c>
      <c r="C18" s="38">
        <v>3</v>
      </c>
      <c r="D18" s="38"/>
      <c r="E18" s="42">
        <v>-128</v>
      </c>
      <c r="F18" s="38"/>
      <c r="G18" s="46">
        <f t="shared" ref="G18:G28" si="0">$E$16-E18</f>
        <v>-622</v>
      </c>
      <c r="H18" s="38"/>
      <c r="I18" s="38"/>
      <c r="J18" s="42">
        <v>-134</v>
      </c>
      <c r="K18" s="38"/>
      <c r="L18" s="43"/>
      <c r="M18" s="38">
        <v>3</v>
      </c>
      <c r="N18" s="38"/>
      <c r="O18" s="42">
        <v>-107</v>
      </c>
      <c r="P18" s="44"/>
      <c r="Q18" s="43">
        <f t="shared" ref="Q18:Q28" si="1">$O$16-O18</f>
        <v>-293</v>
      </c>
      <c r="R18" s="45"/>
      <c r="S18" s="45"/>
    </row>
    <row r="19" spans="2:19" ht="19.5" hidden="1" thickBot="1" x14ac:dyDescent="0.3">
      <c r="B19" s="41">
        <v>45524</v>
      </c>
      <c r="C19" s="38">
        <v>4</v>
      </c>
      <c r="D19" s="38"/>
      <c r="E19" s="42"/>
      <c r="F19" s="38"/>
      <c r="G19" s="46">
        <f t="shared" si="0"/>
        <v>-750</v>
      </c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45555</v>
      </c>
      <c r="C20" s="38">
        <v>5</v>
      </c>
      <c r="D20" s="38"/>
      <c r="E20" s="42"/>
      <c r="F20" s="38"/>
      <c r="G20" s="46">
        <f t="shared" si="0"/>
        <v>-750</v>
      </c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">
      <c r="B21" s="41">
        <v>45585</v>
      </c>
      <c r="C21" s="38">
        <v>6</v>
      </c>
      <c r="D21" s="38"/>
      <c r="E21" s="42"/>
      <c r="F21" s="38"/>
      <c r="G21" s="46">
        <f t="shared" si="0"/>
        <v>-750</v>
      </c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45616</v>
      </c>
      <c r="C22" s="38">
        <v>7</v>
      </c>
      <c r="D22" s="38"/>
      <c r="E22" s="42"/>
      <c r="F22" s="38"/>
      <c r="G22" s="46">
        <f t="shared" si="0"/>
        <v>-750</v>
      </c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45646</v>
      </c>
      <c r="C23" s="38">
        <v>8</v>
      </c>
      <c r="D23" s="38"/>
      <c r="E23" s="42"/>
      <c r="F23" s="38"/>
      <c r="G23" s="46">
        <f t="shared" si="0"/>
        <v>-750</v>
      </c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45677</v>
      </c>
      <c r="C24" s="38">
        <v>9</v>
      </c>
      <c r="D24" s="38"/>
      <c r="E24" s="42"/>
      <c r="F24" s="38"/>
      <c r="G24" s="46">
        <f t="shared" si="0"/>
        <v>-750</v>
      </c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45708</v>
      </c>
      <c r="C25" s="38">
        <v>10</v>
      </c>
      <c r="D25" s="38"/>
      <c r="E25" s="42"/>
      <c r="F25" s="38"/>
      <c r="G25" s="46">
        <f t="shared" si="0"/>
        <v>-750</v>
      </c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45736</v>
      </c>
      <c r="C26" s="38">
        <v>11</v>
      </c>
      <c r="D26" s="38"/>
      <c r="E26" s="42"/>
      <c r="F26" s="38"/>
      <c r="G26" s="46">
        <f t="shared" si="0"/>
        <v>-750</v>
      </c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>
        <v>45758</v>
      </c>
      <c r="C27" s="38">
        <v>12</v>
      </c>
      <c r="D27" s="38"/>
      <c r="E27" s="68">
        <v>-2133</v>
      </c>
      <c r="F27" s="69"/>
      <c r="G27" s="46">
        <f t="shared" si="0"/>
        <v>1383</v>
      </c>
      <c r="H27" s="69"/>
      <c r="I27" s="69"/>
      <c r="J27" s="70">
        <v>-1900</v>
      </c>
      <c r="K27" s="69"/>
      <c r="L27" s="43">
        <f t="shared" ref="L27:L28" si="2">$J$16-J27</f>
        <v>1100</v>
      </c>
      <c r="M27" s="69"/>
      <c r="N27" s="69"/>
      <c r="O27" s="70">
        <v>-1377</v>
      </c>
      <c r="P27" s="44"/>
      <c r="Q27" s="43">
        <f t="shared" si="1"/>
        <v>977</v>
      </c>
      <c r="R27" s="45"/>
      <c r="S27" s="45"/>
    </row>
    <row r="28" spans="2:19" ht="19.5" thickBot="1" x14ac:dyDescent="0.3">
      <c r="B28" s="41">
        <v>45776</v>
      </c>
      <c r="C28" s="38"/>
      <c r="D28" s="38"/>
      <c r="E28" s="68">
        <v>-2224</v>
      </c>
      <c r="F28" s="69"/>
      <c r="G28" s="46">
        <f t="shared" si="0"/>
        <v>1474</v>
      </c>
      <c r="H28" s="69"/>
      <c r="I28" s="69"/>
      <c r="J28" s="70">
        <v>-2005</v>
      </c>
      <c r="K28" s="69"/>
      <c r="L28" s="43">
        <f t="shared" si="2"/>
        <v>1205</v>
      </c>
      <c r="M28" s="69"/>
      <c r="N28" s="69"/>
      <c r="O28" s="70">
        <v>-1450</v>
      </c>
      <c r="P28" s="44"/>
      <c r="Q28" s="43">
        <f t="shared" si="1"/>
        <v>1050</v>
      </c>
      <c r="R28" s="45"/>
      <c r="S28" s="45"/>
    </row>
    <row r="29" spans="2:19" ht="19.5" thickBot="1" x14ac:dyDescent="0.3">
      <c r="B29" s="41">
        <v>45806</v>
      </c>
      <c r="C29" s="38"/>
      <c r="D29" s="38"/>
      <c r="E29" s="68">
        <v>-2361</v>
      </c>
      <c r="F29" s="69"/>
      <c r="G29" s="46">
        <f t="shared" ref="G29" si="3">$E$16-E29</f>
        <v>1611</v>
      </c>
      <c r="H29" s="69"/>
      <c r="I29" s="69"/>
      <c r="J29" s="70">
        <v>-2162</v>
      </c>
      <c r="K29" s="69"/>
      <c r="L29" s="43">
        <f t="shared" ref="L29:L31" si="4">$J$16-J29</f>
        <v>1362</v>
      </c>
      <c r="M29" s="69"/>
      <c r="N29" s="69"/>
      <c r="O29" s="70">
        <v>-1574</v>
      </c>
      <c r="P29" s="44"/>
      <c r="Q29" s="43">
        <f t="shared" ref="Q29" si="5">$O$16-O29</f>
        <v>1174</v>
      </c>
      <c r="R29" s="45"/>
      <c r="S29" s="45"/>
    </row>
    <row r="30" spans="2:19" ht="19.5" thickBot="1" x14ac:dyDescent="0.3">
      <c r="B30" s="41">
        <v>45829</v>
      </c>
      <c r="C30" s="38"/>
      <c r="D30" s="38"/>
      <c r="E30" s="61">
        <v>-2418</v>
      </c>
      <c r="F30" s="62"/>
      <c r="G30" s="62"/>
      <c r="H30" s="62"/>
      <c r="I30" s="62"/>
      <c r="J30" s="63">
        <v>-2223</v>
      </c>
      <c r="K30" s="62"/>
      <c r="L30" s="43">
        <f t="shared" si="4"/>
        <v>1423</v>
      </c>
      <c r="M30" s="62"/>
      <c r="N30" s="62"/>
      <c r="O30" s="63">
        <v>-1638</v>
      </c>
      <c r="P30" s="44"/>
      <c r="Q30" s="43"/>
      <c r="R30" s="45"/>
      <c r="S30" s="45"/>
    </row>
    <row r="31" spans="2:19" ht="19.5" thickBot="1" x14ac:dyDescent="0.3">
      <c r="B31" s="41">
        <v>45833</v>
      </c>
      <c r="C31" s="38"/>
      <c r="D31" s="38"/>
      <c r="E31" s="84">
        <v>-2435</v>
      </c>
      <c r="F31" s="85"/>
      <c r="G31" s="85"/>
      <c r="H31" s="85"/>
      <c r="I31" s="85"/>
      <c r="J31" s="86">
        <v>-2250</v>
      </c>
      <c r="K31" s="85"/>
      <c r="L31" s="43">
        <f t="shared" si="4"/>
        <v>1450</v>
      </c>
      <c r="M31" s="85"/>
      <c r="N31" s="85"/>
      <c r="O31" s="86">
        <v>-1653</v>
      </c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8BCC-CE49-4AFB-A2DD-B3B8AE27FA7E}">
  <sheetPr codeName="Sheet41"/>
  <dimension ref="B1:AE102"/>
  <sheetViews>
    <sheetView topLeftCell="A13" workbookViewId="0">
      <selection activeCell="E38" sqref="E38:G40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72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73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74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45402</v>
      </c>
      <c r="C16" s="38">
        <v>1</v>
      </c>
      <c r="D16" s="38" t="s">
        <v>37</v>
      </c>
      <c r="E16" s="42">
        <v>-1000</v>
      </c>
      <c r="F16" s="38"/>
      <c r="G16" s="43">
        <v>0</v>
      </c>
      <c r="H16" s="38">
        <v>1</v>
      </c>
      <c r="I16" s="38"/>
      <c r="J16" s="42">
        <v>-1010</v>
      </c>
      <c r="K16" s="38"/>
      <c r="L16" s="43">
        <v>0</v>
      </c>
      <c r="M16" s="38">
        <v>1</v>
      </c>
      <c r="N16" s="38"/>
      <c r="O16" s="42">
        <v>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45432</v>
      </c>
      <c r="C17" s="38">
        <v>2</v>
      </c>
      <c r="D17" s="38"/>
      <c r="E17" s="42">
        <v>-22</v>
      </c>
      <c r="F17" s="38"/>
      <c r="G17" s="46">
        <f>$E$16-E17</f>
        <v>-978</v>
      </c>
      <c r="H17" s="38">
        <v>2</v>
      </c>
      <c r="I17" s="38"/>
      <c r="J17" s="42">
        <v>-23</v>
      </c>
      <c r="K17" s="38"/>
      <c r="L17" s="43">
        <f>$J$16-J17</f>
        <v>-987</v>
      </c>
      <c r="M17" s="38">
        <v>2</v>
      </c>
      <c r="N17" s="38"/>
      <c r="O17" s="42">
        <v>-18</v>
      </c>
      <c r="P17" s="44"/>
      <c r="Q17" s="43">
        <f>$O$16-O17</f>
        <v>18</v>
      </c>
      <c r="R17" s="45"/>
      <c r="S17" s="45"/>
    </row>
    <row r="18" spans="2:19" ht="19.5" hidden="1" thickBot="1" x14ac:dyDescent="0.3">
      <c r="B18" s="41">
        <v>45463</v>
      </c>
      <c r="C18" s="38">
        <v>3</v>
      </c>
      <c r="D18" s="38"/>
      <c r="E18" s="42">
        <v>-128</v>
      </c>
      <c r="F18" s="38"/>
      <c r="G18" s="46">
        <f>$E$16-E18</f>
        <v>-872</v>
      </c>
      <c r="H18" s="38"/>
      <c r="I18" s="38"/>
      <c r="J18" s="42">
        <v>-134</v>
      </c>
      <c r="K18" s="38"/>
      <c r="L18" s="43">
        <f>$J$16-J18</f>
        <v>-876</v>
      </c>
      <c r="M18" s="38">
        <v>3</v>
      </c>
      <c r="N18" s="38"/>
      <c r="O18" s="42">
        <v>-107</v>
      </c>
      <c r="P18" s="44"/>
      <c r="Q18" s="43">
        <f>$O$16-O18</f>
        <v>107</v>
      </c>
      <c r="R18" s="45"/>
      <c r="S18" s="45"/>
    </row>
    <row r="19" spans="2:19" ht="19.5" hidden="1" thickBot="1" x14ac:dyDescent="0.3">
      <c r="B19" s="41">
        <v>45493</v>
      </c>
      <c r="C19" s="38">
        <v>4</v>
      </c>
      <c r="D19" s="38"/>
      <c r="E19" s="42"/>
      <c r="F19" s="38"/>
      <c r="G19" s="46">
        <f t="shared" ref="G19:G28" si="0">$E$16-E19</f>
        <v>-1000</v>
      </c>
      <c r="H19" s="38"/>
      <c r="I19" s="38"/>
      <c r="J19" s="42"/>
      <c r="K19" s="38"/>
      <c r="L19" s="43">
        <f t="shared" ref="L19:L28" si="1">$J$16-J19</f>
        <v>-1010</v>
      </c>
      <c r="M19" s="38">
        <v>4</v>
      </c>
      <c r="N19" s="38"/>
      <c r="O19" s="42"/>
      <c r="P19" s="44"/>
      <c r="Q19" s="43">
        <f t="shared" ref="Q19:Q28" si="2">$O$16-O19</f>
        <v>0</v>
      </c>
      <c r="R19" s="45"/>
      <c r="S19" s="45"/>
    </row>
    <row r="20" spans="2:19" ht="19.5" hidden="1" thickBot="1" x14ac:dyDescent="0.3">
      <c r="B20" s="41">
        <v>45524</v>
      </c>
      <c r="C20" s="38">
        <v>5</v>
      </c>
      <c r="D20" s="38"/>
      <c r="E20" s="42"/>
      <c r="F20" s="38"/>
      <c r="G20" s="46">
        <f t="shared" si="0"/>
        <v>-1000</v>
      </c>
      <c r="H20" s="38"/>
      <c r="I20" s="38"/>
      <c r="J20" s="42"/>
      <c r="K20" s="38"/>
      <c r="L20" s="43">
        <f t="shared" si="1"/>
        <v>-1010</v>
      </c>
      <c r="M20" s="38">
        <v>5</v>
      </c>
      <c r="N20" s="38"/>
      <c r="O20" s="42"/>
      <c r="P20" s="44"/>
      <c r="Q20" s="43">
        <f t="shared" si="2"/>
        <v>0</v>
      </c>
      <c r="R20" s="45"/>
      <c r="S20" s="45"/>
    </row>
    <row r="21" spans="2:19" ht="19.5" hidden="1" thickBot="1" x14ac:dyDescent="0.3">
      <c r="B21" s="41">
        <v>45555</v>
      </c>
      <c r="C21" s="38">
        <v>6</v>
      </c>
      <c r="D21" s="38"/>
      <c r="E21" s="42"/>
      <c r="F21" s="38"/>
      <c r="G21" s="46">
        <f t="shared" si="0"/>
        <v>-1000</v>
      </c>
      <c r="H21" s="38"/>
      <c r="I21" s="38"/>
      <c r="J21" s="42"/>
      <c r="K21" s="38"/>
      <c r="L21" s="43">
        <f t="shared" si="1"/>
        <v>-1010</v>
      </c>
      <c r="M21" s="38">
        <v>6</v>
      </c>
      <c r="N21" s="38"/>
      <c r="O21" s="42"/>
      <c r="P21" s="44"/>
      <c r="Q21" s="43">
        <f t="shared" si="2"/>
        <v>0</v>
      </c>
      <c r="R21" s="45"/>
      <c r="S21" s="45"/>
    </row>
    <row r="22" spans="2:19" ht="19.5" hidden="1" thickBot="1" x14ac:dyDescent="0.35">
      <c r="B22" s="41">
        <v>45585</v>
      </c>
      <c r="C22" s="38">
        <v>7</v>
      </c>
      <c r="D22" s="38"/>
      <c r="E22" s="42"/>
      <c r="F22" s="38"/>
      <c r="G22" s="46">
        <f t="shared" si="0"/>
        <v>-1000</v>
      </c>
      <c r="H22" s="64"/>
      <c r="I22" s="66"/>
      <c r="J22" s="80"/>
      <c r="K22" s="38"/>
      <c r="L22" s="43">
        <f t="shared" si="1"/>
        <v>-1010</v>
      </c>
      <c r="M22" s="38">
        <v>7</v>
      </c>
      <c r="N22" s="38"/>
      <c r="O22" s="42"/>
      <c r="P22" s="44"/>
      <c r="Q22" s="43">
        <f t="shared" si="2"/>
        <v>0</v>
      </c>
      <c r="R22" s="45"/>
      <c r="S22" s="45"/>
    </row>
    <row r="23" spans="2:19" ht="19.5" hidden="1" thickBot="1" x14ac:dyDescent="0.35">
      <c r="B23" s="41">
        <v>45616</v>
      </c>
      <c r="C23" s="38">
        <v>8</v>
      </c>
      <c r="D23" s="38"/>
      <c r="E23" s="42"/>
      <c r="F23" s="38"/>
      <c r="G23" s="46">
        <f t="shared" si="0"/>
        <v>-1000</v>
      </c>
      <c r="H23" s="65"/>
      <c r="I23" s="65"/>
      <c r="J23" s="81"/>
      <c r="K23" s="38"/>
      <c r="L23" s="43">
        <f t="shared" si="1"/>
        <v>-1010</v>
      </c>
      <c r="M23" s="38">
        <v>8</v>
      </c>
      <c r="N23" s="38"/>
      <c r="O23" s="42"/>
      <c r="P23" s="44"/>
      <c r="Q23" s="43">
        <f t="shared" si="2"/>
        <v>0</v>
      </c>
      <c r="R23" s="45"/>
      <c r="S23" s="45"/>
    </row>
    <row r="24" spans="2:19" ht="19.5" hidden="1" thickBot="1" x14ac:dyDescent="0.35">
      <c r="B24" s="41">
        <v>45646</v>
      </c>
      <c r="C24" s="38">
        <v>9</v>
      </c>
      <c r="D24" s="38"/>
      <c r="E24" s="42"/>
      <c r="F24" s="38"/>
      <c r="G24" s="46">
        <f t="shared" si="0"/>
        <v>-1000</v>
      </c>
      <c r="H24" s="65"/>
      <c r="I24" s="65"/>
      <c r="J24" s="81"/>
      <c r="K24" s="38"/>
      <c r="L24" s="43">
        <f t="shared" si="1"/>
        <v>-1010</v>
      </c>
      <c r="M24" s="38">
        <v>9</v>
      </c>
      <c r="N24" s="38"/>
      <c r="O24" s="42"/>
      <c r="P24" s="44"/>
      <c r="Q24" s="43">
        <f t="shared" si="2"/>
        <v>0</v>
      </c>
      <c r="R24" s="45"/>
      <c r="S24" s="45"/>
    </row>
    <row r="25" spans="2:19" ht="19.5" hidden="1" thickBot="1" x14ac:dyDescent="0.35">
      <c r="B25" s="41">
        <v>45677</v>
      </c>
      <c r="C25" s="38">
        <v>10</v>
      </c>
      <c r="D25" s="38"/>
      <c r="E25" s="42"/>
      <c r="F25" s="38"/>
      <c r="G25" s="46">
        <f t="shared" si="0"/>
        <v>-1000</v>
      </c>
      <c r="H25" s="65"/>
      <c r="I25" s="65"/>
      <c r="J25" s="81"/>
      <c r="K25" s="38"/>
      <c r="L25" s="43">
        <f t="shared" si="1"/>
        <v>-1010</v>
      </c>
      <c r="M25" s="38">
        <v>10</v>
      </c>
      <c r="N25" s="38"/>
      <c r="O25" s="42"/>
      <c r="P25" s="44"/>
      <c r="Q25" s="43">
        <f t="shared" si="2"/>
        <v>0</v>
      </c>
      <c r="R25" s="45"/>
      <c r="S25" s="45"/>
    </row>
    <row r="26" spans="2:19" ht="19.5" hidden="1" thickBot="1" x14ac:dyDescent="0.35">
      <c r="B26" s="41">
        <v>45708</v>
      </c>
      <c r="C26" s="38">
        <v>11</v>
      </c>
      <c r="D26" s="38"/>
      <c r="E26" s="42"/>
      <c r="F26" s="38"/>
      <c r="G26" s="46">
        <f t="shared" si="0"/>
        <v>-1000</v>
      </c>
      <c r="H26" s="65"/>
      <c r="I26" s="65"/>
      <c r="J26" s="81"/>
      <c r="K26" s="38"/>
      <c r="L26" s="43">
        <f t="shared" si="1"/>
        <v>-1010</v>
      </c>
      <c r="M26" s="38">
        <v>11</v>
      </c>
      <c r="N26" s="38"/>
      <c r="O26" s="42"/>
      <c r="P26" s="44"/>
      <c r="Q26" s="43">
        <f t="shared" si="2"/>
        <v>0</v>
      </c>
      <c r="R26" s="45"/>
      <c r="S26" s="45"/>
    </row>
    <row r="27" spans="2:19" ht="19.5" hidden="1" thickBot="1" x14ac:dyDescent="0.35">
      <c r="B27" s="41">
        <v>45736</v>
      </c>
      <c r="C27" s="38">
        <v>12</v>
      </c>
      <c r="D27" s="38"/>
      <c r="E27" s="42"/>
      <c r="F27" s="38"/>
      <c r="G27" s="46">
        <f t="shared" si="0"/>
        <v>-1000</v>
      </c>
      <c r="H27" s="65"/>
      <c r="I27" s="65"/>
      <c r="J27" s="81"/>
      <c r="K27" s="38"/>
      <c r="L27" s="43">
        <f t="shared" si="1"/>
        <v>-1010</v>
      </c>
      <c r="M27" s="38">
        <v>12</v>
      </c>
      <c r="N27" s="38"/>
      <c r="O27" s="42"/>
      <c r="P27" s="44"/>
      <c r="Q27" s="43">
        <f t="shared" si="2"/>
        <v>0</v>
      </c>
      <c r="R27" s="45"/>
      <c r="S27" s="45"/>
    </row>
    <row r="28" spans="2:19" ht="19.5" thickBot="1" x14ac:dyDescent="0.35">
      <c r="B28" s="41">
        <v>45758</v>
      </c>
      <c r="C28" s="38">
        <v>13</v>
      </c>
      <c r="D28" s="38"/>
      <c r="E28" s="42">
        <v>-1718</v>
      </c>
      <c r="F28" s="38"/>
      <c r="G28" s="46">
        <f t="shared" si="0"/>
        <v>718</v>
      </c>
      <c r="H28" s="59"/>
      <c r="I28" s="59"/>
      <c r="J28" s="82">
        <v>-1551</v>
      </c>
      <c r="K28" s="38"/>
      <c r="L28" s="43">
        <f t="shared" si="1"/>
        <v>541</v>
      </c>
      <c r="M28" s="38"/>
      <c r="N28" s="38"/>
      <c r="O28" s="42">
        <v>-1458</v>
      </c>
      <c r="P28" s="44"/>
      <c r="Q28" s="43">
        <f t="shared" si="2"/>
        <v>1458</v>
      </c>
      <c r="R28" s="45"/>
      <c r="S28" s="45"/>
    </row>
    <row r="29" spans="2:19" ht="19.5" thickBot="1" x14ac:dyDescent="0.35">
      <c r="B29" s="41">
        <v>45776</v>
      </c>
      <c r="C29" s="38">
        <v>13</v>
      </c>
      <c r="D29" s="38"/>
      <c r="E29" s="42">
        <v>-1728</v>
      </c>
      <c r="F29" s="38"/>
      <c r="G29" s="46">
        <f t="shared" ref="G29" si="3">$E$16-E29</f>
        <v>728</v>
      </c>
      <c r="H29" s="59"/>
      <c r="I29" s="59"/>
      <c r="J29" s="82">
        <v>-1565</v>
      </c>
      <c r="K29" s="38"/>
      <c r="L29" s="43">
        <f t="shared" ref="L29" si="4">$J$16-J29</f>
        <v>555</v>
      </c>
      <c r="M29" s="38"/>
      <c r="N29" s="38"/>
      <c r="O29" s="42">
        <v>-1474</v>
      </c>
      <c r="P29" s="44"/>
      <c r="Q29" s="43">
        <f t="shared" ref="Q29" si="5">$O$16-O29</f>
        <v>1474</v>
      </c>
      <c r="R29" s="45"/>
      <c r="S29" s="45"/>
    </row>
    <row r="30" spans="2:19" ht="19.5" thickBot="1" x14ac:dyDescent="0.35">
      <c r="B30" s="41">
        <v>45806</v>
      </c>
      <c r="C30" s="38"/>
      <c r="D30" s="38"/>
      <c r="E30" s="42">
        <v>-1746</v>
      </c>
      <c r="F30" s="38"/>
      <c r="G30" s="46">
        <f t="shared" ref="G30:G31" si="6">$E$16-E30</f>
        <v>746</v>
      </c>
      <c r="H30" s="59"/>
      <c r="I30" s="59"/>
      <c r="J30" s="82">
        <v>-1589</v>
      </c>
      <c r="K30" s="38"/>
      <c r="L30" s="43">
        <f t="shared" ref="L30:L31" si="7">$J$16-J30</f>
        <v>579</v>
      </c>
      <c r="M30" s="38"/>
      <c r="N30" s="38"/>
      <c r="O30" s="42">
        <v>-1486</v>
      </c>
      <c r="P30" s="44"/>
      <c r="Q30" s="43">
        <f t="shared" ref="Q30:Q31" si="8">$O$16-O30</f>
        <v>1486</v>
      </c>
      <c r="R30" s="45"/>
      <c r="S30" s="45"/>
    </row>
    <row r="31" spans="2:19" ht="19.5" thickBot="1" x14ac:dyDescent="0.3">
      <c r="B31" s="41"/>
      <c r="C31" s="38"/>
      <c r="D31" s="38"/>
      <c r="E31" s="42">
        <v>-1756</v>
      </c>
      <c r="F31" s="38"/>
      <c r="G31" s="43">
        <f t="shared" si="6"/>
        <v>756</v>
      </c>
      <c r="H31" s="38"/>
      <c r="I31" s="38"/>
      <c r="J31" s="42">
        <v>-1601</v>
      </c>
      <c r="K31" s="38"/>
      <c r="L31" s="43">
        <f t="shared" si="7"/>
        <v>591</v>
      </c>
      <c r="M31" s="38"/>
      <c r="N31" s="38"/>
      <c r="O31" s="42">
        <v>-1501</v>
      </c>
      <c r="P31" s="44"/>
      <c r="Q31" s="43">
        <f t="shared" si="8"/>
        <v>1501</v>
      </c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/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71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71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188" t="s">
        <v>53</v>
      </c>
      <c r="F35" s="188"/>
      <c r="G35" s="188"/>
      <c r="H35" s="47"/>
      <c r="I35" s="47"/>
      <c r="J35" s="71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188" t="s">
        <v>54</v>
      </c>
      <c r="F36" s="188"/>
      <c r="G36" s="188"/>
      <c r="H36" s="47"/>
      <c r="I36" s="47"/>
      <c r="J36" s="71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188" t="s">
        <v>55</v>
      </c>
      <c r="F37" s="188"/>
      <c r="G37" s="188"/>
      <c r="H37" s="47"/>
      <c r="I37" s="47"/>
      <c r="J37" s="71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188" t="s">
        <v>56</v>
      </c>
      <c r="F38" s="188"/>
      <c r="G38" s="188"/>
      <c r="H38" s="47"/>
      <c r="I38" s="47"/>
      <c r="J38" s="71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188" t="s">
        <v>57</v>
      </c>
      <c r="F39" s="188"/>
      <c r="G39" s="188"/>
      <c r="H39" s="47"/>
      <c r="I39" s="47"/>
      <c r="J39" s="71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188" t="s">
        <v>58</v>
      </c>
      <c r="F40" s="188"/>
      <c r="G40" s="188"/>
      <c r="H40" s="47"/>
      <c r="I40" s="47"/>
      <c r="J40" s="71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71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71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71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71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71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71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71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71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71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71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71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71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71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71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71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71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71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71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71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71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71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71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71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71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71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71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71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71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71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71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71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71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71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71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71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71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71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71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71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71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71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71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71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71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71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71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73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75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71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71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71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71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71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71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71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75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82">
    <mergeCell ref="E40:G40"/>
    <mergeCell ref="E35:G35"/>
    <mergeCell ref="E36:G36"/>
    <mergeCell ref="E37:G37"/>
    <mergeCell ref="E38:G38"/>
    <mergeCell ref="E39:G39"/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961E-11E1-4EEA-9C65-35F0BE45A31D}">
  <sheetPr codeName="Sheet42"/>
  <dimension ref="B1:AE102"/>
  <sheetViews>
    <sheetView topLeftCell="A12" workbookViewId="0">
      <selection activeCell="J34" sqref="J34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45402</v>
      </c>
      <c r="C16" s="38">
        <v>1</v>
      </c>
      <c r="D16" s="38" t="s">
        <v>37</v>
      </c>
      <c r="E16" s="42">
        <v>-320</v>
      </c>
      <c r="F16" s="38"/>
      <c r="G16" s="43">
        <v>0</v>
      </c>
      <c r="H16" s="38">
        <v>1</v>
      </c>
      <c r="I16" s="38"/>
      <c r="J16" s="42">
        <v>-310</v>
      </c>
      <c r="K16" s="38"/>
      <c r="L16" s="43">
        <v>0</v>
      </c>
      <c r="M16" s="38">
        <v>1</v>
      </c>
      <c r="N16" s="38"/>
      <c r="O16" s="42">
        <v>-320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45432</v>
      </c>
      <c r="C17" s="38">
        <v>2</v>
      </c>
      <c r="D17" s="38"/>
      <c r="E17" s="42">
        <v>-22</v>
      </c>
      <c r="F17" s="38"/>
      <c r="G17" s="46">
        <f>$E$16-E17</f>
        <v>-298</v>
      </c>
      <c r="H17" s="38">
        <v>2</v>
      </c>
      <c r="I17" s="38"/>
      <c r="J17" s="42">
        <v>-23</v>
      </c>
      <c r="K17" s="38"/>
      <c r="L17" s="43">
        <f>$J$16-J17</f>
        <v>-287</v>
      </c>
      <c r="M17" s="38">
        <v>2</v>
      </c>
      <c r="N17" s="38"/>
      <c r="O17" s="42">
        <v>-18</v>
      </c>
      <c r="P17" s="44"/>
      <c r="Q17" s="43">
        <f>$O$16-O17</f>
        <v>-302</v>
      </c>
      <c r="R17" s="45"/>
      <c r="S17" s="45"/>
    </row>
    <row r="18" spans="2:19" ht="19.5" hidden="1" thickBot="1" x14ac:dyDescent="0.3">
      <c r="B18" s="41">
        <v>45463</v>
      </c>
      <c r="C18" s="38">
        <v>3</v>
      </c>
      <c r="D18" s="38"/>
      <c r="E18" s="42">
        <v>-128</v>
      </c>
      <c r="F18" s="38"/>
      <c r="G18" s="46">
        <f>$E$16-E18</f>
        <v>-192</v>
      </c>
      <c r="H18" s="38"/>
      <c r="I18" s="38"/>
      <c r="J18" s="42">
        <v>-134</v>
      </c>
      <c r="K18" s="38"/>
      <c r="L18" s="43">
        <f>$J$16-J18</f>
        <v>-176</v>
      </c>
      <c r="M18" s="38">
        <v>3</v>
      </c>
      <c r="N18" s="38"/>
      <c r="O18" s="42">
        <v>-107</v>
      </c>
      <c r="P18" s="44"/>
      <c r="Q18" s="43">
        <f t="shared" ref="Q18:Q28" si="0">$O$16-O18</f>
        <v>-213</v>
      </c>
      <c r="R18" s="45"/>
      <c r="S18" s="45"/>
    </row>
    <row r="19" spans="2:19" ht="19.5" hidden="1" thickBot="1" x14ac:dyDescent="0.3">
      <c r="B19" s="41">
        <v>45493</v>
      </c>
      <c r="C19" s="38">
        <v>4</v>
      </c>
      <c r="D19" s="38"/>
      <c r="E19" s="42"/>
      <c r="F19" s="38"/>
      <c r="G19" s="46">
        <f t="shared" ref="G19:G29" si="1">$E$16-E19</f>
        <v>-320</v>
      </c>
      <c r="H19" s="38"/>
      <c r="I19" s="38"/>
      <c r="J19" s="42"/>
      <c r="K19" s="38"/>
      <c r="L19" s="43">
        <f t="shared" ref="L19:L30" si="2">$J$16-J19</f>
        <v>-310</v>
      </c>
      <c r="M19" s="38">
        <v>4</v>
      </c>
      <c r="N19" s="38"/>
      <c r="O19" s="42"/>
      <c r="P19" s="44"/>
      <c r="Q19" s="43">
        <f t="shared" si="0"/>
        <v>-320</v>
      </c>
      <c r="R19" s="45"/>
      <c r="S19" s="45"/>
    </row>
    <row r="20" spans="2:19" ht="19.5" hidden="1" thickBot="1" x14ac:dyDescent="0.3">
      <c r="B20" s="41">
        <v>45524</v>
      </c>
      <c r="C20" s="38">
        <v>5</v>
      </c>
      <c r="D20" s="38"/>
      <c r="E20" s="42"/>
      <c r="F20" s="38"/>
      <c r="G20" s="46">
        <f t="shared" si="1"/>
        <v>-320</v>
      </c>
      <c r="H20" s="38"/>
      <c r="I20" s="38"/>
      <c r="J20" s="42"/>
      <c r="K20" s="38"/>
      <c r="L20" s="43">
        <f t="shared" si="2"/>
        <v>-310</v>
      </c>
      <c r="M20" s="38">
        <v>5</v>
      </c>
      <c r="N20" s="38"/>
      <c r="O20" s="42"/>
      <c r="P20" s="44"/>
      <c r="Q20" s="43">
        <f t="shared" si="0"/>
        <v>-320</v>
      </c>
      <c r="R20" s="45"/>
      <c r="S20" s="45"/>
    </row>
    <row r="21" spans="2:19" ht="19.5" hidden="1" thickBot="1" x14ac:dyDescent="0.3">
      <c r="B21" s="41">
        <v>45555</v>
      </c>
      <c r="C21" s="38">
        <v>6</v>
      </c>
      <c r="D21" s="38"/>
      <c r="E21" s="42"/>
      <c r="F21" s="38"/>
      <c r="G21" s="46">
        <f t="shared" si="1"/>
        <v>-320</v>
      </c>
      <c r="H21" s="38"/>
      <c r="I21" s="38"/>
      <c r="J21" s="42"/>
      <c r="K21" s="38"/>
      <c r="L21" s="43">
        <f t="shared" si="2"/>
        <v>-310</v>
      </c>
      <c r="M21" s="38">
        <v>6</v>
      </c>
      <c r="N21" s="38"/>
      <c r="O21" s="42"/>
      <c r="P21" s="44"/>
      <c r="Q21" s="43">
        <f t="shared" si="0"/>
        <v>-320</v>
      </c>
      <c r="R21" s="45"/>
      <c r="S21" s="45"/>
    </row>
    <row r="22" spans="2:19" ht="19.5" hidden="1" thickBot="1" x14ac:dyDescent="0.3">
      <c r="B22" s="41">
        <v>45585</v>
      </c>
      <c r="C22" s="38">
        <v>7</v>
      </c>
      <c r="D22" s="38"/>
      <c r="E22" s="42"/>
      <c r="F22" s="38"/>
      <c r="G22" s="46">
        <f t="shared" si="1"/>
        <v>-320</v>
      </c>
      <c r="H22" s="38"/>
      <c r="I22" s="38"/>
      <c r="J22" s="42"/>
      <c r="K22" s="38"/>
      <c r="L22" s="43">
        <f t="shared" si="2"/>
        <v>-310</v>
      </c>
      <c r="M22" s="38">
        <v>7</v>
      </c>
      <c r="N22" s="38"/>
      <c r="O22" s="42"/>
      <c r="P22" s="44"/>
      <c r="Q22" s="43">
        <f t="shared" si="0"/>
        <v>-320</v>
      </c>
      <c r="R22" s="45"/>
      <c r="S22" s="45"/>
    </row>
    <row r="23" spans="2:19" ht="19.5" hidden="1" thickBot="1" x14ac:dyDescent="0.3">
      <c r="B23" s="41">
        <v>45616</v>
      </c>
      <c r="C23" s="38">
        <v>8</v>
      </c>
      <c r="D23" s="38"/>
      <c r="E23" s="42"/>
      <c r="F23" s="38"/>
      <c r="G23" s="46">
        <f t="shared" si="1"/>
        <v>-320</v>
      </c>
      <c r="H23" s="38"/>
      <c r="I23" s="38"/>
      <c r="J23" s="42"/>
      <c r="K23" s="38"/>
      <c r="L23" s="43">
        <f t="shared" si="2"/>
        <v>-310</v>
      </c>
      <c r="M23" s="38">
        <v>8</v>
      </c>
      <c r="N23" s="38"/>
      <c r="O23" s="42"/>
      <c r="P23" s="44"/>
      <c r="Q23" s="43">
        <f t="shared" si="0"/>
        <v>-320</v>
      </c>
      <c r="R23" s="45"/>
      <c r="S23" s="45"/>
    </row>
    <row r="24" spans="2:19" ht="19.5" hidden="1" thickBot="1" x14ac:dyDescent="0.3">
      <c r="B24" s="41">
        <v>45646</v>
      </c>
      <c r="C24" s="38">
        <v>9</v>
      </c>
      <c r="D24" s="38"/>
      <c r="E24" s="42"/>
      <c r="F24" s="38"/>
      <c r="G24" s="46">
        <f t="shared" si="1"/>
        <v>-320</v>
      </c>
      <c r="H24" s="38"/>
      <c r="I24" s="38"/>
      <c r="J24" s="42"/>
      <c r="K24" s="38"/>
      <c r="L24" s="43">
        <f t="shared" si="2"/>
        <v>-310</v>
      </c>
      <c r="M24" s="38">
        <v>9</v>
      </c>
      <c r="N24" s="38"/>
      <c r="O24" s="42"/>
      <c r="P24" s="44"/>
      <c r="Q24" s="43">
        <f t="shared" si="0"/>
        <v>-320</v>
      </c>
      <c r="R24" s="45"/>
      <c r="S24" s="45"/>
    </row>
    <row r="25" spans="2:19" ht="19.5" hidden="1" thickBot="1" x14ac:dyDescent="0.3">
      <c r="B25" s="41">
        <v>45677</v>
      </c>
      <c r="C25" s="38">
        <v>10</v>
      </c>
      <c r="D25" s="38"/>
      <c r="E25" s="42"/>
      <c r="F25" s="38"/>
      <c r="G25" s="46">
        <f t="shared" si="1"/>
        <v>-320</v>
      </c>
      <c r="H25" s="38"/>
      <c r="I25" s="38"/>
      <c r="J25" s="42"/>
      <c r="K25" s="38"/>
      <c r="L25" s="43">
        <f t="shared" si="2"/>
        <v>-310</v>
      </c>
      <c r="M25" s="38">
        <v>10</v>
      </c>
      <c r="N25" s="38"/>
      <c r="O25" s="42"/>
      <c r="P25" s="44"/>
      <c r="Q25" s="43">
        <f t="shared" si="0"/>
        <v>-320</v>
      </c>
      <c r="R25" s="45"/>
      <c r="S25" s="45"/>
    </row>
    <row r="26" spans="2:19" ht="19.5" hidden="1" thickBot="1" x14ac:dyDescent="0.3">
      <c r="B26" s="41">
        <v>45708</v>
      </c>
      <c r="C26" s="38">
        <v>11</v>
      </c>
      <c r="D26" s="38"/>
      <c r="E26" s="42"/>
      <c r="F26" s="38"/>
      <c r="G26" s="46">
        <f t="shared" si="1"/>
        <v>-320</v>
      </c>
      <c r="H26" s="38"/>
      <c r="I26" s="38"/>
      <c r="J26" s="42"/>
      <c r="K26" s="38"/>
      <c r="L26" s="43">
        <f t="shared" si="2"/>
        <v>-310</v>
      </c>
      <c r="M26" s="38">
        <v>11</v>
      </c>
      <c r="N26" s="38"/>
      <c r="O26" s="42"/>
      <c r="P26" s="44"/>
      <c r="Q26" s="43">
        <f t="shared" si="0"/>
        <v>-320</v>
      </c>
      <c r="R26" s="45"/>
      <c r="S26" s="45"/>
    </row>
    <row r="27" spans="2:19" ht="19.5" hidden="1" thickBot="1" x14ac:dyDescent="0.3">
      <c r="B27" s="41">
        <v>45736</v>
      </c>
      <c r="C27" s="38">
        <v>12</v>
      </c>
      <c r="D27" s="38"/>
      <c r="E27" s="42"/>
      <c r="F27" s="38"/>
      <c r="G27" s="46">
        <f t="shared" si="1"/>
        <v>-320</v>
      </c>
      <c r="H27" s="38"/>
      <c r="I27" s="38"/>
      <c r="J27" s="42"/>
      <c r="K27" s="38"/>
      <c r="L27" s="43">
        <f t="shared" si="2"/>
        <v>-310</v>
      </c>
      <c r="M27" s="38">
        <v>12</v>
      </c>
      <c r="N27" s="38"/>
      <c r="O27" s="42"/>
      <c r="P27" s="44"/>
      <c r="Q27" s="43">
        <f t="shared" si="0"/>
        <v>-320</v>
      </c>
      <c r="R27" s="45"/>
      <c r="S27" s="45"/>
    </row>
    <row r="28" spans="2:19" ht="19.5" thickBot="1" x14ac:dyDescent="0.3">
      <c r="B28" s="41">
        <v>45758</v>
      </c>
      <c r="C28" s="38">
        <v>13</v>
      </c>
      <c r="D28" s="38"/>
      <c r="E28" s="42">
        <v>-1168</v>
      </c>
      <c r="F28" s="38"/>
      <c r="G28" s="46">
        <f t="shared" si="1"/>
        <v>848</v>
      </c>
      <c r="H28" s="38"/>
      <c r="I28" s="38"/>
      <c r="J28" s="42">
        <v>-1138</v>
      </c>
      <c r="K28" s="38"/>
      <c r="L28" s="43">
        <f t="shared" si="2"/>
        <v>828</v>
      </c>
      <c r="M28" s="38">
        <v>13</v>
      </c>
      <c r="N28" s="38"/>
      <c r="O28" s="42">
        <v>-1078</v>
      </c>
      <c r="P28" s="44"/>
      <c r="Q28" s="43">
        <f t="shared" si="0"/>
        <v>758</v>
      </c>
      <c r="R28" s="45"/>
      <c r="S28" s="45"/>
    </row>
    <row r="29" spans="2:19" ht="19.5" thickBot="1" x14ac:dyDescent="0.3">
      <c r="B29" s="41">
        <v>45776</v>
      </c>
      <c r="C29" s="38">
        <v>13</v>
      </c>
      <c r="D29" s="38"/>
      <c r="E29" s="68">
        <v>-1188</v>
      </c>
      <c r="F29" s="69"/>
      <c r="G29" s="46">
        <f t="shared" si="1"/>
        <v>868</v>
      </c>
      <c r="H29" s="69"/>
      <c r="I29" s="69"/>
      <c r="J29" s="70">
        <v>-1163</v>
      </c>
      <c r="K29" s="69"/>
      <c r="L29" s="43">
        <f t="shared" si="2"/>
        <v>853</v>
      </c>
      <c r="M29" s="69"/>
      <c r="N29" s="69"/>
      <c r="O29" s="70">
        <v>-1098</v>
      </c>
      <c r="P29" s="44"/>
      <c r="Q29" s="43">
        <f t="shared" ref="Q29" si="3">$O$16-O29</f>
        <v>778</v>
      </c>
      <c r="R29" s="45"/>
      <c r="S29" s="45"/>
    </row>
    <row r="30" spans="2:19" ht="19.5" thickBot="1" x14ac:dyDescent="0.3">
      <c r="B30" s="41"/>
      <c r="C30" s="38">
        <v>15</v>
      </c>
      <c r="D30" s="38"/>
      <c r="E30" s="42">
        <v>-1202</v>
      </c>
      <c r="F30" s="38"/>
      <c r="G30" s="43"/>
      <c r="H30" s="38"/>
      <c r="I30" s="38"/>
      <c r="J30" s="42">
        <v>-1181</v>
      </c>
      <c r="K30" s="38"/>
      <c r="L30" s="43">
        <f t="shared" si="2"/>
        <v>871</v>
      </c>
      <c r="M30" s="38"/>
      <c r="N30" s="38"/>
      <c r="O30" s="42">
        <v>-1121</v>
      </c>
      <c r="P30" s="44"/>
      <c r="Q30" s="43"/>
      <c r="R30" s="45"/>
      <c r="S30" s="45"/>
    </row>
    <row r="31" spans="2:19" ht="19.5" thickBot="1" x14ac:dyDescent="0.3">
      <c r="B31" s="41"/>
      <c r="C31" s="38">
        <v>16</v>
      </c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5">
      <c r="B32" s="41"/>
      <c r="C32" s="38">
        <v>17</v>
      </c>
      <c r="D32" s="38"/>
      <c r="E32" s="42"/>
      <c r="F32" s="38"/>
      <c r="G32" s="43"/>
      <c r="H32" s="65"/>
      <c r="I32" s="66"/>
      <c r="J32" s="64"/>
      <c r="K32" s="38"/>
      <c r="L32" s="43"/>
      <c r="M32" s="38"/>
      <c r="N32" s="38"/>
      <c r="O32" s="42"/>
      <c r="P32" s="44"/>
      <c r="Q32" s="43"/>
      <c r="R32" s="45"/>
      <c r="S32" s="45"/>
    </row>
    <row r="33" spans="2:19" ht="19.5" thickBot="1" x14ac:dyDescent="0.35">
      <c r="B33" s="41"/>
      <c r="C33" s="38">
        <v>18</v>
      </c>
      <c r="D33" s="47"/>
      <c r="E33" s="47"/>
      <c r="F33" s="47"/>
      <c r="G33" s="48"/>
      <c r="H33" s="65"/>
      <c r="I33" s="65"/>
      <c r="J33" s="65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5">
      <c r="B34" s="41"/>
      <c r="C34" s="38">
        <v>19</v>
      </c>
      <c r="D34" s="47"/>
      <c r="E34" s="47"/>
      <c r="F34" s="47"/>
      <c r="G34" s="48"/>
      <c r="H34" s="65"/>
      <c r="I34" s="65"/>
      <c r="J34" s="65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5">
      <c r="B35" s="41"/>
      <c r="C35" s="38">
        <v>20</v>
      </c>
      <c r="D35" s="47"/>
      <c r="E35" s="188" t="s">
        <v>56</v>
      </c>
      <c r="F35" s="188"/>
      <c r="G35" s="188"/>
      <c r="H35" s="65"/>
      <c r="I35" s="65"/>
      <c r="J35" s="65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5">
      <c r="B36" s="41"/>
      <c r="C36" s="38">
        <v>21</v>
      </c>
      <c r="D36" s="47"/>
      <c r="E36" s="188" t="s">
        <v>57</v>
      </c>
      <c r="F36" s="188"/>
      <c r="G36" s="188"/>
      <c r="H36" s="65"/>
      <c r="I36" s="65"/>
      <c r="J36" s="65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5">
      <c r="B37" s="41"/>
      <c r="C37" s="38">
        <v>22</v>
      </c>
      <c r="D37" s="47"/>
      <c r="E37" s="188" t="s">
        <v>58</v>
      </c>
      <c r="F37" s="188"/>
      <c r="G37" s="188"/>
      <c r="H37" s="65"/>
      <c r="I37" s="65"/>
      <c r="J37" s="65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5">
      <c r="B38" s="41"/>
      <c r="C38" s="38">
        <v>23</v>
      </c>
      <c r="D38" s="47"/>
      <c r="E38" s="47"/>
      <c r="F38" s="47"/>
      <c r="G38" s="48"/>
      <c r="H38" s="59"/>
      <c r="I38" s="59"/>
      <c r="J38" s="59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>
        <v>24</v>
      </c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>
        <v>25</v>
      </c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9">
    <mergeCell ref="E35:G35"/>
    <mergeCell ref="E36:G36"/>
    <mergeCell ref="E37:G37"/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FEC3-D3B3-4940-9D4E-56058E9FD897}">
  <sheetPr codeName="Sheet43"/>
  <dimension ref="B1:AE102"/>
  <sheetViews>
    <sheetView topLeftCell="A11" workbookViewId="0">
      <selection activeCell="J31" sqref="J31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45402</v>
      </c>
      <c r="C16" s="38">
        <v>1</v>
      </c>
      <c r="D16" s="38" t="s">
        <v>37</v>
      </c>
      <c r="E16" s="42">
        <v>-1220</v>
      </c>
      <c r="F16" s="38"/>
      <c r="G16" s="43">
        <v>0</v>
      </c>
      <c r="H16" s="38">
        <v>1</v>
      </c>
      <c r="I16" s="38"/>
      <c r="J16" s="42">
        <v>-200</v>
      </c>
      <c r="K16" s="38"/>
      <c r="L16" s="43">
        <v>0</v>
      </c>
      <c r="M16" s="38">
        <v>1</v>
      </c>
      <c r="N16" s="38"/>
      <c r="O16" s="42">
        <v>-200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45432</v>
      </c>
      <c r="C17" s="38">
        <v>2</v>
      </c>
      <c r="D17" s="38"/>
      <c r="E17" s="42">
        <v>-22</v>
      </c>
      <c r="F17" s="38"/>
      <c r="G17" s="46">
        <f>$E$16-E17</f>
        <v>-1198</v>
      </c>
      <c r="H17" s="38">
        <v>2</v>
      </c>
      <c r="I17" s="38"/>
      <c r="J17" s="42">
        <v>-23</v>
      </c>
      <c r="K17" s="38"/>
      <c r="L17" s="43">
        <f>$J$16-J17</f>
        <v>-177</v>
      </c>
      <c r="M17" s="38">
        <v>2</v>
      </c>
      <c r="N17" s="38"/>
      <c r="O17" s="42">
        <v>-18</v>
      </c>
      <c r="P17" s="44"/>
      <c r="Q17" s="43">
        <f>$O$16-O17</f>
        <v>-182</v>
      </c>
      <c r="R17" s="45"/>
      <c r="S17" s="45"/>
    </row>
    <row r="18" spans="2:19" ht="22.5" hidden="1" customHeight="1" thickBot="1" x14ac:dyDescent="0.3">
      <c r="B18" s="41">
        <v>45463</v>
      </c>
      <c r="C18" s="38">
        <v>3</v>
      </c>
      <c r="D18" s="38"/>
      <c r="E18" s="42">
        <v>-128</v>
      </c>
      <c r="F18" s="38"/>
      <c r="G18" s="46">
        <f t="shared" ref="G18:G29" si="0">$E$16-E18</f>
        <v>-1092</v>
      </c>
      <c r="H18" s="38"/>
      <c r="I18" s="38"/>
      <c r="J18" s="42">
        <v>-134</v>
      </c>
      <c r="K18" s="38"/>
      <c r="L18" s="43">
        <f t="shared" ref="L18:L31" si="1">$J$16-J18</f>
        <v>-66</v>
      </c>
      <c r="M18" s="38">
        <v>3</v>
      </c>
      <c r="N18" s="38"/>
      <c r="O18" s="42">
        <v>-107</v>
      </c>
      <c r="P18" s="44"/>
      <c r="Q18" s="43">
        <f t="shared" ref="Q18:Q28" si="2">$O$16-O18</f>
        <v>-93</v>
      </c>
      <c r="R18" s="45"/>
      <c r="S18" s="45"/>
    </row>
    <row r="19" spans="2:19" ht="20.25" hidden="1" customHeight="1" thickBot="1" x14ac:dyDescent="0.3">
      <c r="B19" s="41">
        <v>45493</v>
      </c>
      <c r="C19" s="38">
        <v>4</v>
      </c>
      <c r="D19" s="38"/>
      <c r="E19" s="42"/>
      <c r="F19" s="38"/>
      <c r="G19" s="46">
        <f t="shared" si="0"/>
        <v>-1220</v>
      </c>
      <c r="H19" s="38"/>
      <c r="I19" s="38"/>
      <c r="J19" s="42"/>
      <c r="K19" s="38"/>
      <c r="L19" s="43">
        <f t="shared" si="1"/>
        <v>-200</v>
      </c>
      <c r="M19" s="38">
        <v>4</v>
      </c>
      <c r="N19" s="38"/>
      <c r="O19" s="42"/>
      <c r="P19" s="44"/>
      <c r="Q19" s="43">
        <f t="shared" si="2"/>
        <v>-200</v>
      </c>
      <c r="R19" s="45"/>
      <c r="S19" s="45"/>
    </row>
    <row r="20" spans="2:19" ht="19.5" hidden="1" customHeight="1" thickBot="1" x14ac:dyDescent="0.3">
      <c r="B20" s="41">
        <v>45524</v>
      </c>
      <c r="C20" s="38">
        <v>5</v>
      </c>
      <c r="D20" s="38"/>
      <c r="E20" s="42"/>
      <c r="F20" s="38"/>
      <c r="G20" s="46">
        <f t="shared" si="0"/>
        <v>-1220</v>
      </c>
      <c r="H20" s="38"/>
      <c r="I20" s="38"/>
      <c r="J20" s="42"/>
      <c r="K20" s="38"/>
      <c r="L20" s="43">
        <f t="shared" si="1"/>
        <v>-200</v>
      </c>
      <c r="M20" s="38">
        <v>5</v>
      </c>
      <c r="N20" s="38"/>
      <c r="O20" s="42"/>
      <c r="P20" s="44"/>
      <c r="Q20" s="43">
        <f t="shared" si="2"/>
        <v>-200</v>
      </c>
      <c r="R20" s="45"/>
      <c r="S20" s="45"/>
    </row>
    <row r="21" spans="2:19" ht="14.25" hidden="1" customHeight="1" thickBot="1" x14ac:dyDescent="0.35">
      <c r="B21" s="41">
        <v>45555</v>
      </c>
      <c r="C21" s="38">
        <v>6</v>
      </c>
      <c r="D21" s="38"/>
      <c r="E21" s="42"/>
      <c r="F21" s="38"/>
      <c r="G21" s="46">
        <f t="shared" si="0"/>
        <v>-1220</v>
      </c>
      <c r="H21" s="64"/>
      <c r="I21" s="66"/>
      <c r="J21" s="64"/>
      <c r="K21" s="38"/>
      <c r="L21" s="43">
        <f t="shared" si="1"/>
        <v>-200</v>
      </c>
      <c r="M21" s="38">
        <v>6</v>
      </c>
      <c r="N21" s="38"/>
      <c r="O21" s="42"/>
      <c r="P21" s="44"/>
      <c r="Q21" s="43">
        <f t="shared" si="2"/>
        <v>-200</v>
      </c>
      <c r="R21" s="45"/>
      <c r="S21" s="45"/>
    </row>
    <row r="22" spans="2:19" ht="18.75" hidden="1" customHeight="1" thickBot="1" x14ac:dyDescent="0.3">
      <c r="B22" s="41">
        <v>45585</v>
      </c>
      <c r="C22" s="38">
        <v>7</v>
      </c>
      <c r="D22" s="38"/>
      <c r="E22" s="42"/>
      <c r="F22" s="38"/>
      <c r="G22" s="46">
        <f t="shared" si="0"/>
        <v>-1220</v>
      </c>
      <c r="H22" s="38"/>
      <c r="I22" s="38"/>
      <c r="J22" s="42"/>
      <c r="K22" s="38"/>
      <c r="L22" s="43">
        <f t="shared" si="1"/>
        <v>-200</v>
      </c>
      <c r="M22" s="38">
        <v>7</v>
      </c>
      <c r="N22" s="38"/>
      <c r="O22" s="42"/>
      <c r="P22" s="44"/>
      <c r="Q22" s="43">
        <f t="shared" si="2"/>
        <v>-200</v>
      </c>
      <c r="R22" s="45"/>
      <c r="S22" s="45"/>
    </row>
    <row r="23" spans="2:19" ht="11.25" hidden="1" customHeight="1" thickBot="1" x14ac:dyDescent="0.3">
      <c r="B23" s="41">
        <v>45616</v>
      </c>
      <c r="C23" s="38">
        <v>8</v>
      </c>
      <c r="D23" s="38"/>
      <c r="E23" s="42"/>
      <c r="F23" s="38"/>
      <c r="G23" s="46">
        <f t="shared" si="0"/>
        <v>-1220</v>
      </c>
      <c r="H23" s="38"/>
      <c r="I23" s="38"/>
      <c r="J23" s="42"/>
      <c r="K23" s="38"/>
      <c r="L23" s="43">
        <f t="shared" si="1"/>
        <v>-200</v>
      </c>
      <c r="M23" s="38">
        <v>8</v>
      </c>
      <c r="N23" s="38"/>
      <c r="O23" s="42"/>
      <c r="P23" s="44"/>
      <c r="Q23" s="43">
        <f t="shared" si="2"/>
        <v>-200</v>
      </c>
      <c r="R23" s="45"/>
      <c r="S23" s="45"/>
    </row>
    <row r="24" spans="2:19" ht="9" hidden="1" customHeight="1" thickBot="1" x14ac:dyDescent="0.3">
      <c r="B24" s="41">
        <v>45646</v>
      </c>
      <c r="C24" s="38">
        <v>9</v>
      </c>
      <c r="D24" s="38"/>
      <c r="E24" s="42"/>
      <c r="F24" s="38"/>
      <c r="G24" s="46">
        <f t="shared" si="0"/>
        <v>-1220</v>
      </c>
      <c r="H24" s="38"/>
      <c r="I24" s="38"/>
      <c r="J24" s="42"/>
      <c r="K24" s="38"/>
      <c r="L24" s="43">
        <f t="shared" si="1"/>
        <v>-200</v>
      </c>
      <c r="M24" s="38">
        <v>9</v>
      </c>
      <c r="N24" s="38"/>
      <c r="O24" s="42"/>
      <c r="P24" s="44"/>
      <c r="Q24" s="43">
        <f t="shared" si="2"/>
        <v>-200</v>
      </c>
      <c r="R24" s="45"/>
      <c r="S24" s="45"/>
    </row>
    <row r="25" spans="2:19" ht="19.5" hidden="1" customHeight="1" thickBot="1" x14ac:dyDescent="0.3">
      <c r="B25" s="41">
        <v>45677</v>
      </c>
      <c r="C25" s="38">
        <v>10</v>
      </c>
      <c r="D25" s="38"/>
      <c r="E25" s="42"/>
      <c r="F25" s="38"/>
      <c r="G25" s="46">
        <f t="shared" si="0"/>
        <v>-1220</v>
      </c>
      <c r="H25" s="41"/>
      <c r="I25" s="38"/>
      <c r="J25" s="42"/>
      <c r="K25" s="38"/>
      <c r="L25" s="43">
        <f t="shared" si="1"/>
        <v>-200</v>
      </c>
      <c r="M25" s="38">
        <v>10</v>
      </c>
      <c r="N25" s="38"/>
      <c r="O25" s="42"/>
      <c r="P25" s="44"/>
      <c r="Q25" s="43">
        <f t="shared" si="2"/>
        <v>-200</v>
      </c>
      <c r="R25" s="45"/>
      <c r="S25" s="45"/>
    </row>
    <row r="26" spans="2:19" ht="15.75" hidden="1" customHeight="1" thickBot="1" x14ac:dyDescent="0.3">
      <c r="B26" s="41">
        <v>45708</v>
      </c>
      <c r="C26" s="38">
        <v>11</v>
      </c>
      <c r="D26" s="38"/>
      <c r="E26" s="42"/>
      <c r="F26" s="38"/>
      <c r="G26" s="46">
        <f t="shared" si="0"/>
        <v>-1220</v>
      </c>
      <c r="H26" s="41"/>
      <c r="I26" s="38"/>
      <c r="J26" s="42"/>
      <c r="K26" s="38"/>
      <c r="L26" s="43">
        <f t="shared" si="1"/>
        <v>-200</v>
      </c>
      <c r="M26" s="38">
        <v>11</v>
      </c>
      <c r="N26" s="38"/>
      <c r="O26" s="42"/>
      <c r="P26" s="44"/>
      <c r="Q26" s="43">
        <f t="shared" si="2"/>
        <v>-200</v>
      </c>
      <c r="R26" s="45"/>
      <c r="S26" s="45"/>
    </row>
    <row r="27" spans="2:19" ht="21" hidden="1" customHeight="1" thickBot="1" x14ac:dyDescent="0.3">
      <c r="B27" s="41">
        <v>45736</v>
      </c>
      <c r="C27" s="38">
        <v>12</v>
      </c>
      <c r="D27" s="38"/>
      <c r="E27" s="42"/>
      <c r="F27" s="38"/>
      <c r="G27" s="46">
        <f t="shared" si="0"/>
        <v>-1220</v>
      </c>
      <c r="H27" s="41"/>
      <c r="I27" s="38"/>
      <c r="J27" s="42"/>
      <c r="K27" s="38"/>
      <c r="L27" s="43">
        <f t="shared" si="1"/>
        <v>-200</v>
      </c>
      <c r="M27" s="38">
        <v>12</v>
      </c>
      <c r="N27" s="38"/>
      <c r="O27" s="42"/>
      <c r="P27" s="44"/>
      <c r="Q27" s="43">
        <f t="shared" si="2"/>
        <v>-200</v>
      </c>
      <c r="R27" s="45"/>
      <c r="S27" s="45"/>
    </row>
    <row r="28" spans="2:19" ht="19.5" thickBot="1" x14ac:dyDescent="0.3">
      <c r="B28" s="41">
        <v>45758</v>
      </c>
      <c r="C28" s="38">
        <v>13</v>
      </c>
      <c r="D28" s="38"/>
      <c r="E28" s="61">
        <v>-2609</v>
      </c>
      <c r="F28" s="62"/>
      <c r="G28" s="46">
        <f t="shared" si="0"/>
        <v>1389</v>
      </c>
      <c r="H28" s="62"/>
      <c r="I28" s="62"/>
      <c r="J28" s="63">
        <v>-2010</v>
      </c>
      <c r="K28" s="62"/>
      <c r="L28" s="43">
        <f t="shared" si="1"/>
        <v>1810</v>
      </c>
      <c r="M28" s="62"/>
      <c r="N28" s="62"/>
      <c r="O28" s="63">
        <v>-1959</v>
      </c>
      <c r="P28" s="44"/>
      <c r="Q28" s="43">
        <f t="shared" si="2"/>
        <v>1759</v>
      </c>
      <c r="R28" s="45"/>
      <c r="S28" s="45"/>
    </row>
    <row r="29" spans="2:19" ht="19.5" thickBot="1" x14ac:dyDescent="0.3">
      <c r="B29" s="41">
        <v>45776</v>
      </c>
      <c r="C29" s="38">
        <v>13</v>
      </c>
      <c r="D29" s="38"/>
      <c r="E29" s="61">
        <v>-2678</v>
      </c>
      <c r="F29" s="62"/>
      <c r="G29" s="46">
        <f t="shared" si="0"/>
        <v>1458</v>
      </c>
      <c r="H29" s="62"/>
      <c r="I29" s="62"/>
      <c r="J29" s="63">
        <v>-2088</v>
      </c>
      <c r="K29" s="62"/>
      <c r="L29" s="43">
        <f t="shared" si="1"/>
        <v>1888</v>
      </c>
      <c r="M29" s="62"/>
      <c r="N29" s="62"/>
      <c r="O29" s="63">
        <v>-2031</v>
      </c>
      <c r="P29" s="44"/>
      <c r="Q29" s="43">
        <f t="shared" ref="Q29" si="3">$O$16-O29</f>
        <v>1831</v>
      </c>
      <c r="R29" s="45"/>
      <c r="S29" s="45"/>
    </row>
    <row r="30" spans="2:19" ht="19.5" thickBot="1" x14ac:dyDescent="0.3">
      <c r="B30" s="41">
        <v>45804</v>
      </c>
      <c r="C30" s="38"/>
      <c r="D30" s="38"/>
      <c r="E30" s="42">
        <v>-2776</v>
      </c>
      <c r="F30" s="38"/>
      <c r="G30" s="46">
        <f t="shared" ref="G30" si="4">$E$16-E30</f>
        <v>1556</v>
      </c>
      <c r="H30" s="62"/>
      <c r="I30" s="62"/>
      <c r="J30" s="63">
        <v>-2201</v>
      </c>
      <c r="K30" s="62"/>
      <c r="L30" s="43">
        <f t="shared" si="1"/>
        <v>2001</v>
      </c>
      <c r="M30" s="62"/>
      <c r="N30" s="62"/>
      <c r="O30" s="63">
        <v>-2132</v>
      </c>
      <c r="P30" s="44"/>
      <c r="Q30" s="43">
        <f t="shared" ref="Q30" si="5">$O$16-O30</f>
        <v>1932</v>
      </c>
      <c r="R30" s="45"/>
      <c r="S30" s="45"/>
    </row>
    <row r="31" spans="2:19" ht="19.5" thickBot="1" x14ac:dyDescent="0.3">
      <c r="B31" s="41">
        <v>45810</v>
      </c>
      <c r="C31" s="38"/>
      <c r="D31" s="38"/>
      <c r="E31" s="61">
        <v>-2776</v>
      </c>
      <c r="F31" s="62">
        <v>3303</v>
      </c>
      <c r="G31" s="62">
        <v>1023</v>
      </c>
      <c r="H31" s="62">
        <v>159</v>
      </c>
      <c r="I31" s="62">
        <v>307</v>
      </c>
      <c r="J31" s="63">
        <v>-2202</v>
      </c>
      <c r="K31" s="62">
        <v>2509</v>
      </c>
      <c r="L31" s="43">
        <f t="shared" si="1"/>
        <v>2002</v>
      </c>
      <c r="M31" s="62">
        <v>159</v>
      </c>
      <c r="N31" s="62">
        <v>504</v>
      </c>
      <c r="O31" s="63">
        <v>-2132</v>
      </c>
      <c r="P31" s="44"/>
      <c r="Q31" s="43"/>
      <c r="R31" s="45"/>
      <c r="S31" s="45"/>
    </row>
    <row r="32" spans="2:19" ht="19.5" thickBot="1" x14ac:dyDescent="0.3">
      <c r="B32" s="41">
        <v>45798</v>
      </c>
      <c r="C32" s="38"/>
      <c r="D32" s="38"/>
      <c r="E32" s="42"/>
      <c r="F32" s="38"/>
      <c r="G32" s="43"/>
      <c r="H32" s="41"/>
      <c r="I32" s="38"/>
      <c r="J32" s="42"/>
      <c r="K32" s="38"/>
      <c r="L32" s="43"/>
      <c r="M32" s="38"/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1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1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1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1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1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FE4B-6BFC-457C-A33D-0EBA4A8EFDAC}">
  <sheetPr codeName="Sheet44"/>
  <dimension ref="B1:AE102"/>
  <sheetViews>
    <sheetView topLeftCell="B12" workbookViewId="0">
      <selection activeCell="J31" sqref="J31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45402</v>
      </c>
      <c r="C16" s="38">
        <v>1</v>
      </c>
      <c r="D16" s="38" t="s">
        <v>37</v>
      </c>
      <c r="E16" s="42">
        <v>-150</v>
      </c>
      <c r="F16" s="38"/>
      <c r="G16" s="43">
        <v>0</v>
      </c>
      <c r="H16" s="38">
        <v>1</v>
      </c>
      <c r="I16" s="38"/>
      <c r="J16" s="42">
        <v>-150</v>
      </c>
      <c r="K16" s="38"/>
      <c r="L16" s="43">
        <v>0</v>
      </c>
      <c r="M16" s="38">
        <v>1</v>
      </c>
      <c r="N16" s="38"/>
      <c r="O16" s="42">
        <v>-850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45432</v>
      </c>
      <c r="C17" s="38">
        <v>2</v>
      </c>
      <c r="D17" s="38"/>
      <c r="E17" s="42">
        <v>-22</v>
      </c>
      <c r="F17" s="38"/>
      <c r="G17" s="46">
        <f>$E$16-E17</f>
        <v>-128</v>
      </c>
      <c r="H17" s="38">
        <v>2</v>
      </c>
      <c r="I17" s="38"/>
      <c r="J17" s="42">
        <v>-23</v>
      </c>
      <c r="K17" s="38"/>
      <c r="L17" s="43">
        <f>$J$16-J17</f>
        <v>-127</v>
      </c>
      <c r="M17" s="38">
        <v>2</v>
      </c>
      <c r="N17" s="38"/>
      <c r="O17" s="42">
        <v>-18</v>
      </c>
      <c r="P17" s="44"/>
      <c r="Q17" s="43">
        <f>$O$16-O17</f>
        <v>-832</v>
      </c>
      <c r="R17" s="45"/>
      <c r="S17" s="45"/>
    </row>
    <row r="18" spans="2:19" ht="19.5" hidden="1" thickBot="1" x14ac:dyDescent="0.3">
      <c r="B18" s="41">
        <v>45463</v>
      </c>
      <c r="C18" s="38">
        <v>3</v>
      </c>
      <c r="D18" s="38"/>
      <c r="E18" s="42">
        <v>-128</v>
      </c>
      <c r="F18" s="38"/>
      <c r="G18" s="46">
        <f>$E$16-E18</f>
        <v>-22</v>
      </c>
      <c r="H18" s="38"/>
      <c r="I18" s="38"/>
      <c r="J18" s="42">
        <v>-134</v>
      </c>
      <c r="K18" s="38"/>
      <c r="L18" s="43">
        <f>$J$16-J18</f>
        <v>-16</v>
      </c>
      <c r="M18" s="38">
        <v>3</v>
      </c>
      <c r="N18" s="38"/>
      <c r="O18" s="42">
        <v>-107</v>
      </c>
      <c r="P18" s="44"/>
      <c r="Q18" s="43">
        <f>$O$16-O18</f>
        <v>-743</v>
      </c>
      <c r="R18" s="45"/>
      <c r="S18" s="45"/>
    </row>
    <row r="19" spans="2:19" ht="19.5" hidden="1" thickBot="1" x14ac:dyDescent="0.3">
      <c r="B19" s="41">
        <v>45493</v>
      </c>
      <c r="C19" s="38">
        <v>4</v>
      </c>
      <c r="D19" s="38"/>
      <c r="E19" s="42"/>
      <c r="F19" s="38"/>
      <c r="G19" s="46">
        <f t="shared" ref="G19:G29" si="0">$E$16-E19</f>
        <v>-150</v>
      </c>
      <c r="H19" s="38"/>
      <c r="I19" s="38"/>
      <c r="J19" s="42"/>
      <c r="K19" s="38"/>
      <c r="L19" s="43">
        <f t="shared" ref="L19:L29" si="1">$J$16-J19</f>
        <v>-150</v>
      </c>
      <c r="M19" s="38">
        <v>4</v>
      </c>
      <c r="N19" s="38"/>
      <c r="O19" s="42"/>
      <c r="P19" s="44"/>
      <c r="Q19" s="43">
        <f t="shared" ref="Q19:Q29" si="2">$O$16-O19</f>
        <v>-850</v>
      </c>
      <c r="R19" s="45"/>
      <c r="S19" s="45"/>
    </row>
    <row r="20" spans="2:19" ht="19.5" hidden="1" thickBot="1" x14ac:dyDescent="0.3">
      <c r="B20" s="41">
        <v>45524</v>
      </c>
      <c r="C20" s="38">
        <v>5</v>
      </c>
      <c r="D20" s="38"/>
      <c r="E20" s="42"/>
      <c r="F20" s="38"/>
      <c r="G20" s="46">
        <f t="shared" si="0"/>
        <v>-150</v>
      </c>
      <c r="H20" s="38"/>
      <c r="I20" s="38"/>
      <c r="J20" s="42"/>
      <c r="K20" s="38"/>
      <c r="L20" s="43">
        <f t="shared" si="1"/>
        <v>-150</v>
      </c>
      <c r="M20" s="38">
        <v>5</v>
      </c>
      <c r="N20" s="38"/>
      <c r="O20" s="42"/>
      <c r="P20" s="44"/>
      <c r="Q20" s="43">
        <f t="shared" si="2"/>
        <v>-850</v>
      </c>
      <c r="R20" s="45"/>
      <c r="S20" s="45"/>
    </row>
    <row r="21" spans="2:19" ht="19.5" hidden="1" thickBot="1" x14ac:dyDescent="0.3">
      <c r="B21" s="41">
        <v>45555</v>
      </c>
      <c r="C21" s="38">
        <v>6</v>
      </c>
      <c r="D21" s="38"/>
      <c r="E21" s="42"/>
      <c r="F21" s="38"/>
      <c r="G21" s="46">
        <f t="shared" si="0"/>
        <v>-150</v>
      </c>
      <c r="H21" s="38"/>
      <c r="I21" s="38"/>
      <c r="J21" s="42"/>
      <c r="K21" s="38"/>
      <c r="L21" s="43">
        <f t="shared" si="1"/>
        <v>-150</v>
      </c>
      <c r="M21" s="38">
        <v>6</v>
      </c>
      <c r="N21" s="38"/>
      <c r="O21" s="42"/>
      <c r="P21" s="44"/>
      <c r="Q21" s="43">
        <f t="shared" si="2"/>
        <v>-850</v>
      </c>
      <c r="R21" s="45"/>
      <c r="S21" s="45"/>
    </row>
    <row r="22" spans="2:19" ht="19.5" hidden="1" thickBot="1" x14ac:dyDescent="0.3">
      <c r="B22" s="41">
        <v>45585</v>
      </c>
      <c r="C22" s="38">
        <v>7</v>
      </c>
      <c r="D22" s="38"/>
      <c r="E22" s="42"/>
      <c r="F22" s="38"/>
      <c r="G22" s="46">
        <f t="shared" si="0"/>
        <v>-150</v>
      </c>
      <c r="H22" s="67"/>
      <c r="I22" s="67"/>
      <c r="J22" s="67"/>
      <c r="K22" s="38"/>
      <c r="L22" s="43">
        <f t="shared" si="1"/>
        <v>-150</v>
      </c>
      <c r="M22" s="38">
        <v>7</v>
      </c>
      <c r="N22" s="38"/>
      <c r="O22" s="42"/>
      <c r="P22" s="44"/>
      <c r="Q22" s="43">
        <f t="shared" si="2"/>
        <v>-850</v>
      </c>
      <c r="R22" s="45"/>
      <c r="S22" s="45"/>
    </row>
    <row r="23" spans="2:19" ht="19.5" hidden="1" thickBot="1" x14ac:dyDescent="0.3">
      <c r="B23" s="41">
        <v>45616</v>
      </c>
      <c r="C23" s="38">
        <v>8</v>
      </c>
      <c r="D23" s="38"/>
      <c r="E23" s="42"/>
      <c r="F23" s="38"/>
      <c r="G23" s="46">
        <f t="shared" si="0"/>
        <v>-150</v>
      </c>
      <c r="H23" s="38"/>
      <c r="I23" s="38"/>
      <c r="J23" s="42"/>
      <c r="K23" s="38"/>
      <c r="L23" s="43">
        <f t="shared" si="1"/>
        <v>-150</v>
      </c>
      <c r="M23" s="38">
        <v>8</v>
      </c>
      <c r="N23" s="38"/>
      <c r="O23" s="42"/>
      <c r="P23" s="44"/>
      <c r="Q23" s="43">
        <f t="shared" si="2"/>
        <v>-850</v>
      </c>
      <c r="R23" s="45"/>
      <c r="S23" s="45"/>
    </row>
    <row r="24" spans="2:19" ht="19.5" hidden="1" thickBot="1" x14ac:dyDescent="0.3">
      <c r="B24" s="41">
        <v>45646</v>
      </c>
      <c r="C24" s="38">
        <v>9</v>
      </c>
      <c r="D24" s="38"/>
      <c r="E24" s="42"/>
      <c r="F24" s="38"/>
      <c r="G24" s="46">
        <f t="shared" si="0"/>
        <v>-150</v>
      </c>
      <c r="H24" s="38"/>
      <c r="I24" s="38"/>
      <c r="J24" s="42"/>
      <c r="K24" s="38"/>
      <c r="L24" s="43">
        <f t="shared" si="1"/>
        <v>-150</v>
      </c>
      <c r="M24" s="38">
        <v>9</v>
      </c>
      <c r="N24" s="38"/>
      <c r="O24" s="42"/>
      <c r="P24" s="44"/>
      <c r="Q24" s="43">
        <f t="shared" si="2"/>
        <v>-850</v>
      </c>
      <c r="R24" s="45"/>
      <c r="S24" s="45"/>
    </row>
    <row r="25" spans="2:19" ht="19.5" hidden="1" thickBot="1" x14ac:dyDescent="0.3">
      <c r="B25" s="41">
        <v>45677</v>
      </c>
      <c r="C25" s="38">
        <v>10</v>
      </c>
      <c r="D25" s="38"/>
      <c r="E25" s="42"/>
      <c r="F25" s="38"/>
      <c r="G25" s="46">
        <f t="shared" si="0"/>
        <v>-150</v>
      </c>
      <c r="H25" s="38"/>
      <c r="I25" s="38"/>
      <c r="J25" s="42"/>
      <c r="K25" s="38"/>
      <c r="L25" s="43">
        <f t="shared" si="1"/>
        <v>-150</v>
      </c>
      <c r="M25" s="38">
        <v>10</v>
      </c>
      <c r="N25" s="38"/>
      <c r="O25" s="42"/>
      <c r="P25" s="44"/>
      <c r="Q25" s="43">
        <f t="shared" si="2"/>
        <v>-850</v>
      </c>
      <c r="R25" s="45"/>
      <c r="S25" s="45"/>
    </row>
    <row r="26" spans="2:19" ht="19.5" hidden="1" thickBot="1" x14ac:dyDescent="0.3">
      <c r="B26" s="41">
        <v>45708</v>
      </c>
      <c r="C26" s="38">
        <v>11</v>
      </c>
      <c r="D26" s="38"/>
      <c r="E26" s="42"/>
      <c r="F26" s="38"/>
      <c r="G26" s="46">
        <f t="shared" si="0"/>
        <v>-150</v>
      </c>
      <c r="H26" s="38"/>
      <c r="I26" s="38"/>
      <c r="J26" s="42"/>
      <c r="K26" s="38"/>
      <c r="L26" s="43">
        <f t="shared" si="1"/>
        <v>-150</v>
      </c>
      <c r="M26" s="38">
        <v>11</v>
      </c>
      <c r="N26" s="38"/>
      <c r="O26" s="42"/>
      <c r="P26" s="44"/>
      <c r="Q26" s="43">
        <f t="shared" si="2"/>
        <v>-850</v>
      </c>
      <c r="R26" s="45"/>
      <c r="S26" s="45"/>
    </row>
    <row r="27" spans="2:19" ht="19.5" hidden="1" thickBot="1" x14ac:dyDescent="0.3">
      <c r="B27" s="41">
        <v>45736</v>
      </c>
      <c r="C27" s="38">
        <v>12</v>
      </c>
      <c r="D27" s="38"/>
      <c r="E27" s="42"/>
      <c r="F27" s="38"/>
      <c r="G27" s="46">
        <f t="shared" si="0"/>
        <v>-150</v>
      </c>
      <c r="H27" s="38"/>
      <c r="I27" s="38"/>
      <c r="J27" s="42"/>
      <c r="K27" s="38"/>
      <c r="L27" s="43">
        <f t="shared" si="1"/>
        <v>-150</v>
      </c>
      <c r="M27" s="38">
        <v>12</v>
      </c>
      <c r="N27" s="38"/>
      <c r="O27" s="42"/>
      <c r="P27" s="44"/>
      <c r="Q27" s="43">
        <f t="shared" si="2"/>
        <v>-850</v>
      </c>
      <c r="R27" s="45"/>
      <c r="S27" s="45"/>
    </row>
    <row r="28" spans="2:19" ht="19.5" thickBot="1" x14ac:dyDescent="0.3">
      <c r="B28" s="41">
        <v>45758</v>
      </c>
      <c r="C28" s="38">
        <v>13</v>
      </c>
      <c r="D28" s="38"/>
      <c r="E28" s="68">
        <v>-1610</v>
      </c>
      <c r="F28" s="69"/>
      <c r="G28" s="46">
        <f t="shared" si="0"/>
        <v>1460</v>
      </c>
      <c r="H28" s="69"/>
      <c r="I28" s="69"/>
      <c r="J28" s="70">
        <v>-1702</v>
      </c>
      <c r="K28" s="69"/>
      <c r="L28" s="43">
        <f t="shared" si="1"/>
        <v>1552</v>
      </c>
      <c r="M28" s="69"/>
      <c r="N28" s="69"/>
      <c r="O28" s="70">
        <v>-2160</v>
      </c>
      <c r="P28" s="44"/>
      <c r="Q28" s="43">
        <f t="shared" si="2"/>
        <v>1310</v>
      </c>
      <c r="R28" s="45"/>
      <c r="S28" s="45"/>
    </row>
    <row r="29" spans="2:19" ht="19.5" thickBot="1" x14ac:dyDescent="0.3">
      <c r="B29" s="41">
        <v>45776</v>
      </c>
      <c r="C29" s="38">
        <v>13</v>
      </c>
      <c r="D29" s="38"/>
      <c r="E29" s="68">
        <v>-1684</v>
      </c>
      <c r="F29" s="69"/>
      <c r="G29" s="46">
        <f t="shared" si="0"/>
        <v>1534</v>
      </c>
      <c r="H29" s="69"/>
      <c r="I29" s="69"/>
      <c r="J29" s="70">
        <v>-1773</v>
      </c>
      <c r="K29" s="69"/>
      <c r="L29" s="43">
        <f t="shared" si="1"/>
        <v>1623</v>
      </c>
      <c r="M29" s="69"/>
      <c r="N29" s="69"/>
      <c r="O29" s="70">
        <v>-2213</v>
      </c>
      <c r="P29" s="44"/>
      <c r="Q29" s="43">
        <f t="shared" si="2"/>
        <v>1363</v>
      </c>
      <c r="R29" s="45"/>
      <c r="S29" s="45"/>
    </row>
    <row r="30" spans="2:19" ht="19.5" thickBot="1" x14ac:dyDescent="0.3">
      <c r="B30" s="41">
        <v>45804</v>
      </c>
      <c r="C30" s="38"/>
      <c r="D30" s="38"/>
      <c r="E30" s="68">
        <v>-1767</v>
      </c>
      <c r="F30" s="69"/>
      <c r="G30" s="46">
        <f t="shared" ref="G30" si="3">$E$16-E30</f>
        <v>1617</v>
      </c>
      <c r="H30" s="69"/>
      <c r="I30" s="69"/>
      <c r="J30" s="70">
        <v>-1862</v>
      </c>
      <c r="K30" s="69"/>
      <c r="L30" s="43">
        <f t="shared" ref="L30" si="4">$J$16-J30</f>
        <v>1712</v>
      </c>
      <c r="M30" s="69"/>
      <c r="N30" s="69"/>
      <c r="O30" s="70">
        <v>-2298</v>
      </c>
      <c r="P30" s="44"/>
      <c r="Q30" s="43">
        <f t="shared" ref="Q30" si="5">$O$16-O30</f>
        <v>1448</v>
      </c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61"/>
      <c r="F32" s="62"/>
      <c r="G32" s="62"/>
      <c r="H32" s="62"/>
      <c r="I32" s="62"/>
      <c r="J32" s="63"/>
      <c r="K32" s="62"/>
      <c r="L32" s="62"/>
      <c r="M32" s="62"/>
      <c r="N32" s="62"/>
      <c r="O32" s="63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115C-664A-4CB5-BBB9-1F6E40B9158D}">
  <sheetPr codeName="Sheet45"/>
  <dimension ref="B1:AE102"/>
  <sheetViews>
    <sheetView topLeftCell="B12" workbookViewId="0">
      <selection activeCell="M35" sqref="M35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45402</v>
      </c>
      <c r="C16" s="38">
        <v>1</v>
      </c>
      <c r="D16" s="38" t="s">
        <v>37</v>
      </c>
      <c r="E16" s="42">
        <v>-240</v>
      </c>
      <c r="F16" s="38"/>
      <c r="G16" s="43">
        <v>0</v>
      </c>
      <c r="H16" s="38">
        <v>1</v>
      </c>
      <c r="I16" s="38"/>
      <c r="J16" s="42">
        <v>-240</v>
      </c>
      <c r="K16" s="38"/>
      <c r="L16" s="43">
        <v>0</v>
      </c>
      <c r="M16" s="38">
        <v>1</v>
      </c>
      <c r="N16" s="38"/>
      <c r="O16" s="42">
        <v>-240</v>
      </c>
      <c r="P16" s="44"/>
      <c r="Q16" s="43">
        <v>0</v>
      </c>
      <c r="R16" s="45"/>
      <c r="S16" s="45"/>
    </row>
    <row r="17" spans="2:19" ht="1.5" customHeight="1" thickBot="1" x14ac:dyDescent="0.3">
      <c r="B17" s="41">
        <v>45432</v>
      </c>
      <c r="C17" s="38">
        <v>2</v>
      </c>
      <c r="D17" s="38"/>
      <c r="E17" s="42">
        <v>-22</v>
      </c>
      <c r="F17" s="38"/>
      <c r="G17" s="46">
        <f>$E$16-E17</f>
        <v>-218</v>
      </c>
      <c r="H17" s="38">
        <v>2</v>
      </c>
      <c r="I17" s="38"/>
      <c r="J17" s="42">
        <v>-23</v>
      </c>
      <c r="K17" s="38"/>
      <c r="L17" s="43">
        <f>$J$16-J17</f>
        <v>-217</v>
      </c>
      <c r="M17" s="38">
        <v>2</v>
      </c>
      <c r="N17" s="38"/>
      <c r="O17" s="42">
        <v>-18</v>
      </c>
      <c r="P17" s="44"/>
      <c r="Q17" s="43">
        <f>$O$16-O17</f>
        <v>-222</v>
      </c>
      <c r="R17" s="45"/>
      <c r="S17" s="45"/>
    </row>
    <row r="18" spans="2:19" ht="19.5" hidden="1" thickBot="1" x14ac:dyDescent="0.3">
      <c r="B18" s="41">
        <v>45463</v>
      </c>
      <c r="C18" s="38">
        <v>3</v>
      </c>
      <c r="D18" s="38"/>
      <c r="E18" s="42">
        <v>-128</v>
      </c>
      <c r="F18" s="38"/>
      <c r="G18" s="46">
        <f t="shared" ref="G18:G29" si="0">$E$16-E18</f>
        <v>-112</v>
      </c>
      <c r="H18" s="38"/>
      <c r="I18" s="38"/>
      <c r="J18" s="42">
        <v>-134</v>
      </c>
      <c r="K18" s="38"/>
      <c r="L18" s="43">
        <f t="shared" ref="L18:L29" si="1">$J$16-J18</f>
        <v>-106</v>
      </c>
      <c r="M18" s="38">
        <v>3</v>
      </c>
      <c r="N18" s="38"/>
      <c r="O18" s="42">
        <v>-107</v>
      </c>
      <c r="P18" s="44"/>
      <c r="Q18" s="43">
        <f t="shared" ref="Q18:Q28" si="2">$O$16-O18</f>
        <v>-133</v>
      </c>
      <c r="R18" s="45"/>
      <c r="S18" s="45"/>
    </row>
    <row r="19" spans="2:19" ht="19.5" hidden="1" thickBot="1" x14ac:dyDescent="0.3">
      <c r="B19" s="41">
        <v>45493</v>
      </c>
      <c r="C19" s="38">
        <v>4</v>
      </c>
      <c r="D19" s="38"/>
      <c r="E19" s="42"/>
      <c r="F19" s="38"/>
      <c r="G19" s="46">
        <f t="shared" si="0"/>
        <v>-240</v>
      </c>
      <c r="H19" s="38"/>
      <c r="I19" s="38"/>
      <c r="J19" s="42"/>
      <c r="K19" s="38"/>
      <c r="L19" s="43">
        <f t="shared" si="1"/>
        <v>-240</v>
      </c>
      <c r="M19" s="38">
        <v>4</v>
      </c>
      <c r="N19" s="38"/>
      <c r="O19" s="42"/>
      <c r="P19" s="44"/>
      <c r="Q19" s="43">
        <f t="shared" si="2"/>
        <v>-240</v>
      </c>
      <c r="R19" s="45"/>
      <c r="S19" s="45"/>
    </row>
    <row r="20" spans="2:19" ht="19.5" hidden="1" thickBot="1" x14ac:dyDescent="0.3">
      <c r="B20" s="41">
        <v>45524</v>
      </c>
      <c r="C20" s="38">
        <v>5</v>
      </c>
      <c r="D20" s="38"/>
      <c r="E20" s="42"/>
      <c r="F20" s="38"/>
      <c r="G20" s="46">
        <f t="shared" si="0"/>
        <v>-240</v>
      </c>
      <c r="H20" s="38"/>
      <c r="I20" s="38"/>
      <c r="J20" s="42"/>
      <c r="K20" s="38"/>
      <c r="L20" s="43">
        <f t="shared" si="1"/>
        <v>-240</v>
      </c>
      <c r="M20" s="38">
        <v>5</v>
      </c>
      <c r="N20" s="38"/>
      <c r="O20" s="42"/>
      <c r="P20" s="44"/>
      <c r="Q20" s="43">
        <f t="shared" si="2"/>
        <v>-240</v>
      </c>
      <c r="R20" s="45"/>
      <c r="S20" s="45"/>
    </row>
    <row r="21" spans="2:19" ht="19.5" hidden="1" thickBot="1" x14ac:dyDescent="0.3">
      <c r="B21" s="41">
        <v>45555</v>
      </c>
      <c r="C21" s="38">
        <v>6</v>
      </c>
      <c r="D21" s="38"/>
      <c r="E21" s="42"/>
      <c r="F21" s="38"/>
      <c r="G21" s="46">
        <f t="shared" si="0"/>
        <v>-240</v>
      </c>
      <c r="H21" s="38"/>
      <c r="I21" s="38"/>
      <c r="J21" s="42"/>
      <c r="K21" s="38"/>
      <c r="L21" s="43">
        <f t="shared" si="1"/>
        <v>-240</v>
      </c>
      <c r="M21" s="38">
        <v>6</v>
      </c>
      <c r="N21" s="38"/>
      <c r="O21" s="42"/>
      <c r="P21" s="44"/>
      <c r="Q21" s="43">
        <f t="shared" si="2"/>
        <v>-240</v>
      </c>
      <c r="R21" s="45"/>
      <c r="S21" s="45"/>
    </row>
    <row r="22" spans="2:19" ht="19.5" hidden="1" thickBot="1" x14ac:dyDescent="0.3">
      <c r="B22" s="41">
        <v>45585</v>
      </c>
      <c r="C22" s="38">
        <v>7</v>
      </c>
      <c r="D22" s="38"/>
      <c r="E22" s="42"/>
      <c r="F22" s="38"/>
      <c r="G22" s="46">
        <f t="shared" si="0"/>
        <v>-240</v>
      </c>
      <c r="H22" s="38"/>
      <c r="I22" s="38"/>
      <c r="J22" s="42"/>
      <c r="K22" s="38"/>
      <c r="L22" s="43">
        <f t="shared" si="1"/>
        <v>-240</v>
      </c>
      <c r="M22" s="38">
        <v>7</v>
      </c>
      <c r="N22" s="38"/>
      <c r="O22" s="42"/>
      <c r="P22" s="44"/>
      <c r="Q22" s="43">
        <f t="shared" si="2"/>
        <v>-240</v>
      </c>
      <c r="R22" s="45"/>
      <c r="S22" s="45"/>
    </row>
    <row r="23" spans="2:19" ht="19.5" hidden="1" thickBot="1" x14ac:dyDescent="0.3">
      <c r="B23" s="41">
        <v>45616</v>
      </c>
      <c r="C23" s="38">
        <v>8</v>
      </c>
      <c r="D23" s="38"/>
      <c r="E23" s="42"/>
      <c r="F23" s="38"/>
      <c r="G23" s="46">
        <f t="shared" si="0"/>
        <v>-240</v>
      </c>
      <c r="H23" s="38"/>
      <c r="I23" s="38"/>
      <c r="J23" s="42"/>
      <c r="K23" s="38"/>
      <c r="L23" s="43">
        <f t="shared" si="1"/>
        <v>-240</v>
      </c>
      <c r="M23" s="38">
        <v>8</v>
      </c>
      <c r="N23" s="38"/>
      <c r="O23" s="42"/>
      <c r="P23" s="44"/>
      <c r="Q23" s="43">
        <f t="shared" si="2"/>
        <v>-240</v>
      </c>
      <c r="R23" s="45"/>
      <c r="S23" s="45"/>
    </row>
    <row r="24" spans="2:19" ht="19.5" hidden="1" thickBot="1" x14ac:dyDescent="0.3">
      <c r="B24" s="41">
        <v>45646</v>
      </c>
      <c r="C24" s="38">
        <v>9</v>
      </c>
      <c r="D24" s="38"/>
      <c r="E24" s="42"/>
      <c r="F24" s="38"/>
      <c r="G24" s="46">
        <f t="shared" si="0"/>
        <v>-240</v>
      </c>
      <c r="H24" s="38"/>
      <c r="I24" s="38"/>
      <c r="J24" s="42"/>
      <c r="K24" s="38"/>
      <c r="L24" s="43">
        <f t="shared" si="1"/>
        <v>-240</v>
      </c>
      <c r="M24" s="38">
        <v>9</v>
      </c>
      <c r="N24" s="38"/>
      <c r="O24" s="42"/>
      <c r="P24" s="44"/>
      <c r="Q24" s="43">
        <f t="shared" si="2"/>
        <v>-240</v>
      </c>
      <c r="R24" s="45"/>
      <c r="S24" s="45"/>
    </row>
    <row r="25" spans="2:19" ht="19.5" hidden="1" thickBot="1" x14ac:dyDescent="0.3">
      <c r="B25" s="41">
        <v>45677</v>
      </c>
      <c r="C25" s="38">
        <v>10</v>
      </c>
      <c r="D25" s="38"/>
      <c r="E25" s="42"/>
      <c r="F25" s="38"/>
      <c r="G25" s="46">
        <f t="shared" si="0"/>
        <v>-240</v>
      </c>
      <c r="H25" s="38"/>
      <c r="I25" s="38"/>
      <c r="J25" s="42"/>
      <c r="K25" s="38"/>
      <c r="L25" s="43">
        <f t="shared" si="1"/>
        <v>-240</v>
      </c>
      <c r="M25" s="38">
        <v>10</v>
      </c>
      <c r="N25" s="38"/>
      <c r="O25" s="42"/>
      <c r="P25" s="44"/>
      <c r="Q25" s="43">
        <f t="shared" si="2"/>
        <v>-240</v>
      </c>
      <c r="R25" s="45"/>
      <c r="S25" s="45"/>
    </row>
    <row r="26" spans="2:19" ht="19.5" hidden="1" thickBot="1" x14ac:dyDescent="0.3">
      <c r="B26" s="41">
        <v>45708</v>
      </c>
      <c r="C26" s="38">
        <v>11</v>
      </c>
      <c r="D26" s="38"/>
      <c r="E26" s="42"/>
      <c r="F26" s="38"/>
      <c r="G26" s="46">
        <f t="shared" si="0"/>
        <v>-240</v>
      </c>
      <c r="H26" s="38"/>
      <c r="I26" s="38"/>
      <c r="J26" s="42"/>
      <c r="K26" s="38"/>
      <c r="L26" s="43">
        <f t="shared" si="1"/>
        <v>-240</v>
      </c>
      <c r="M26" s="38">
        <v>11</v>
      </c>
      <c r="N26" s="38"/>
      <c r="O26" s="42"/>
      <c r="P26" s="44"/>
      <c r="Q26" s="43">
        <f t="shared" si="2"/>
        <v>-240</v>
      </c>
      <c r="R26" s="45"/>
      <c r="S26" s="45"/>
    </row>
    <row r="27" spans="2:19" ht="19.5" hidden="1" thickBot="1" x14ac:dyDescent="0.3">
      <c r="B27" s="41">
        <v>45736</v>
      </c>
      <c r="C27" s="38">
        <v>12</v>
      </c>
      <c r="D27" s="38"/>
      <c r="E27" s="42"/>
      <c r="F27" s="38"/>
      <c r="G27" s="46">
        <f t="shared" si="0"/>
        <v>-240</v>
      </c>
      <c r="H27" s="38"/>
      <c r="I27" s="38"/>
      <c r="J27" s="42"/>
      <c r="K27" s="38"/>
      <c r="L27" s="43">
        <f t="shared" si="1"/>
        <v>-240</v>
      </c>
      <c r="M27" s="38">
        <v>12</v>
      </c>
      <c r="N27" s="38"/>
      <c r="O27" s="42"/>
      <c r="P27" s="44"/>
      <c r="Q27" s="43">
        <f t="shared" si="2"/>
        <v>-240</v>
      </c>
      <c r="R27" s="45"/>
      <c r="S27" s="45"/>
    </row>
    <row r="28" spans="2:19" ht="19.5" thickBot="1" x14ac:dyDescent="0.3">
      <c r="B28" s="41">
        <v>45758</v>
      </c>
      <c r="C28" s="38">
        <v>13</v>
      </c>
      <c r="D28" s="38"/>
      <c r="E28" s="68">
        <v>-1373</v>
      </c>
      <c r="F28" s="69"/>
      <c r="G28" s="46">
        <f t="shared" si="0"/>
        <v>1133</v>
      </c>
      <c r="H28" s="69"/>
      <c r="I28" s="69"/>
      <c r="J28" s="70">
        <v>-1285</v>
      </c>
      <c r="K28" s="69"/>
      <c r="L28" s="43">
        <f t="shared" si="1"/>
        <v>1045</v>
      </c>
      <c r="M28" s="69"/>
      <c r="N28" s="69"/>
      <c r="O28" s="70">
        <v>-980</v>
      </c>
      <c r="P28" s="44"/>
      <c r="Q28" s="43">
        <f t="shared" si="2"/>
        <v>740</v>
      </c>
      <c r="R28" s="45"/>
      <c r="S28" s="45"/>
    </row>
    <row r="29" spans="2:19" ht="19.5" thickBot="1" x14ac:dyDescent="0.3">
      <c r="B29" s="41">
        <v>45776</v>
      </c>
      <c r="C29" s="38">
        <v>13</v>
      </c>
      <c r="D29" s="38"/>
      <c r="E29" s="68">
        <v>-1456</v>
      </c>
      <c r="F29" s="69"/>
      <c r="G29" s="46">
        <f t="shared" si="0"/>
        <v>1216</v>
      </c>
      <c r="H29" s="69"/>
      <c r="I29" s="69"/>
      <c r="J29" s="70">
        <v>-1375</v>
      </c>
      <c r="K29" s="69"/>
      <c r="L29" s="43">
        <f t="shared" si="1"/>
        <v>1135</v>
      </c>
      <c r="M29" s="69"/>
      <c r="N29" s="69"/>
      <c r="O29" s="70">
        <v>-1046</v>
      </c>
      <c r="P29" s="44"/>
      <c r="Q29" s="43">
        <f t="shared" ref="Q29" si="3">$O$16-O29</f>
        <v>806</v>
      </c>
      <c r="R29" s="45"/>
      <c r="S29" s="45"/>
    </row>
    <row r="30" spans="2:19" ht="19.5" thickBot="1" x14ac:dyDescent="0.3">
      <c r="B30" s="41">
        <v>45804</v>
      </c>
      <c r="C30" s="38"/>
      <c r="D30" s="38"/>
      <c r="E30" s="68">
        <v>-1609</v>
      </c>
      <c r="F30" s="69"/>
      <c r="G30" s="46">
        <f t="shared" ref="G30" si="4">$E$16-E30</f>
        <v>1369</v>
      </c>
      <c r="H30" s="69"/>
      <c r="I30" s="69"/>
      <c r="J30" s="70">
        <v>-1518</v>
      </c>
      <c r="K30" s="69"/>
      <c r="L30" s="43">
        <f t="shared" ref="L30" si="5">$J$16-J30</f>
        <v>1278</v>
      </c>
      <c r="M30" s="69"/>
      <c r="N30" s="69"/>
      <c r="O30" s="70">
        <v>-1191</v>
      </c>
      <c r="P30" s="44"/>
      <c r="Q30" s="43">
        <f t="shared" ref="Q30" si="6">$O$16-O30</f>
        <v>951</v>
      </c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61"/>
      <c r="F32" s="62"/>
      <c r="G32" s="62"/>
      <c r="H32" s="62"/>
      <c r="I32" s="62"/>
      <c r="J32" s="63"/>
      <c r="K32" s="62"/>
      <c r="L32" s="62"/>
      <c r="M32" s="62"/>
      <c r="N32" s="62"/>
      <c r="O32" s="63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8E76-D8EF-4220-A78E-86EB3C35CD92}">
  <sheetPr codeName="Sheet46"/>
  <dimension ref="B1:AE102"/>
  <sheetViews>
    <sheetView topLeftCell="C9" workbookViewId="0">
      <selection activeCell="E32" sqref="E32:O32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45402</v>
      </c>
      <c r="C16" s="38">
        <v>1</v>
      </c>
      <c r="D16" s="38" t="s">
        <v>37</v>
      </c>
      <c r="E16" s="42">
        <v>-250</v>
      </c>
      <c r="F16" s="38"/>
      <c r="G16" s="43">
        <v>0</v>
      </c>
      <c r="H16" s="38">
        <v>1</v>
      </c>
      <c r="I16" s="38"/>
      <c r="J16" s="42">
        <v>-250</v>
      </c>
      <c r="K16" s="38"/>
      <c r="L16" s="43">
        <v>0</v>
      </c>
      <c r="M16" s="38">
        <v>1</v>
      </c>
      <c r="N16" s="38"/>
      <c r="O16" s="42">
        <v>-260</v>
      </c>
      <c r="P16" s="44"/>
      <c r="Q16" s="43">
        <v>0</v>
      </c>
      <c r="R16" s="45"/>
      <c r="S16" s="45"/>
    </row>
    <row r="17" spans="2:19" ht="1.5" customHeight="1" thickBot="1" x14ac:dyDescent="0.3">
      <c r="B17" s="41">
        <v>45432</v>
      </c>
      <c r="C17" s="38">
        <v>2</v>
      </c>
      <c r="D17" s="38"/>
      <c r="E17" s="42">
        <v>-22</v>
      </c>
      <c r="F17" s="38"/>
      <c r="G17" s="46">
        <f>$E$16-E17</f>
        <v>-228</v>
      </c>
      <c r="H17" s="38">
        <v>2</v>
      </c>
      <c r="I17" s="38"/>
      <c r="J17" s="42">
        <v>-23</v>
      </c>
      <c r="K17" s="38"/>
      <c r="L17" s="43">
        <f>$J$16-J17</f>
        <v>-227</v>
      </c>
      <c r="M17" s="38">
        <v>2</v>
      </c>
      <c r="N17" s="38"/>
      <c r="O17" s="42">
        <v>-18</v>
      </c>
      <c r="P17" s="44"/>
      <c r="Q17" s="43">
        <f>$O$16-O17</f>
        <v>-242</v>
      </c>
      <c r="R17" s="45"/>
      <c r="S17" s="45"/>
    </row>
    <row r="18" spans="2:19" ht="19.5" hidden="1" thickBot="1" x14ac:dyDescent="0.3">
      <c r="B18" s="41">
        <v>45463</v>
      </c>
      <c r="C18" s="38">
        <v>3</v>
      </c>
      <c r="D18" s="38"/>
      <c r="E18" s="42">
        <v>-128</v>
      </c>
      <c r="F18" s="38"/>
      <c r="G18" s="46">
        <f t="shared" ref="G18:G29" si="0">$E$16-E18</f>
        <v>-122</v>
      </c>
      <c r="H18" s="38"/>
      <c r="I18" s="38"/>
      <c r="J18" s="42">
        <v>-134</v>
      </c>
      <c r="K18" s="38"/>
      <c r="L18" s="43">
        <f t="shared" ref="L18:L29" si="1">$J$16-J18</f>
        <v>-116</v>
      </c>
      <c r="M18" s="38">
        <v>3</v>
      </c>
      <c r="N18" s="38"/>
      <c r="O18" s="42">
        <v>-107</v>
      </c>
      <c r="P18" s="44"/>
      <c r="Q18" s="43">
        <f t="shared" ref="Q18:Q29" si="2">$O$16-O18</f>
        <v>-153</v>
      </c>
      <c r="R18" s="45"/>
      <c r="S18" s="45"/>
    </row>
    <row r="19" spans="2:19" ht="19.5" hidden="1" thickBot="1" x14ac:dyDescent="0.3">
      <c r="B19" s="41">
        <v>45493</v>
      </c>
      <c r="C19" s="38">
        <v>4</v>
      </c>
      <c r="D19" s="38"/>
      <c r="E19" s="42"/>
      <c r="F19" s="38"/>
      <c r="G19" s="46">
        <f t="shared" si="0"/>
        <v>-250</v>
      </c>
      <c r="H19" s="38"/>
      <c r="I19" s="38"/>
      <c r="J19" s="42"/>
      <c r="K19" s="38"/>
      <c r="L19" s="43">
        <f t="shared" si="1"/>
        <v>-250</v>
      </c>
      <c r="M19" s="38">
        <v>4</v>
      </c>
      <c r="N19" s="38"/>
      <c r="O19" s="42"/>
      <c r="P19" s="44"/>
      <c r="Q19" s="43">
        <f t="shared" si="2"/>
        <v>-260</v>
      </c>
      <c r="R19" s="45"/>
      <c r="S19" s="45"/>
    </row>
    <row r="20" spans="2:19" ht="19.5" hidden="1" thickBot="1" x14ac:dyDescent="0.3">
      <c r="B20" s="41">
        <v>45524</v>
      </c>
      <c r="C20" s="38">
        <v>5</v>
      </c>
      <c r="D20" s="38"/>
      <c r="E20" s="42"/>
      <c r="F20" s="38"/>
      <c r="G20" s="46">
        <f t="shared" si="0"/>
        <v>-250</v>
      </c>
      <c r="H20" s="38"/>
      <c r="I20" s="38"/>
      <c r="J20" s="42"/>
      <c r="K20" s="38"/>
      <c r="L20" s="43">
        <f t="shared" si="1"/>
        <v>-250</v>
      </c>
      <c r="M20" s="38">
        <v>5</v>
      </c>
      <c r="N20" s="38"/>
      <c r="O20" s="42"/>
      <c r="P20" s="44"/>
      <c r="Q20" s="43">
        <f t="shared" si="2"/>
        <v>-260</v>
      </c>
      <c r="R20" s="45"/>
      <c r="S20" s="45"/>
    </row>
    <row r="21" spans="2:19" ht="19.5" hidden="1" thickBot="1" x14ac:dyDescent="0.3">
      <c r="B21" s="41">
        <v>45555</v>
      </c>
      <c r="C21" s="38">
        <v>6</v>
      </c>
      <c r="D21" s="38"/>
      <c r="E21" s="42"/>
      <c r="F21" s="38"/>
      <c r="G21" s="46">
        <f t="shared" si="0"/>
        <v>-250</v>
      </c>
      <c r="H21" s="38"/>
      <c r="I21" s="38"/>
      <c r="J21" s="42"/>
      <c r="K21" s="38"/>
      <c r="L21" s="43">
        <f t="shared" si="1"/>
        <v>-250</v>
      </c>
      <c r="M21" s="38">
        <v>6</v>
      </c>
      <c r="N21" s="38"/>
      <c r="O21" s="42"/>
      <c r="P21" s="44"/>
      <c r="Q21" s="43">
        <f t="shared" si="2"/>
        <v>-260</v>
      </c>
      <c r="R21" s="45"/>
      <c r="S21" s="45"/>
    </row>
    <row r="22" spans="2:19" ht="19.5" hidden="1" thickBot="1" x14ac:dyDescent="0.3">
      <c r="B22" s="41">
        <v>45585</v>
      </c>
      <c r="C22" s="38">
        <v>7</v>
      </c>
      <c r="D22" s="38"/>
      <c r="E22" s="42"/>
      <c r="F22" s="38"/>
      <c r="G22" s="46">
        <f t="shared" si="0"/>
        <v>-250</v>
      </c>
      <c r="H22" s="38"/>
      <c r="I22" s="38"/>
      <c r="J22" s="42"/>
      <c r="K22" s="38"/>
      <c r="L22" s="43">
        <f t="shared" si="1"/>
        <v>-250</v>
      </c>
      <c r="M22" s="38">
        <v>7</v>
      </c>
      <c r="N22" s="38"/>
      <c r="O22" s="42"/>
      <c r="P22" s="44"/>
      <c r="Q22" s="43">
        <f t="shared" si="2"/>
        <v>-260</v>
      </c>
      <c r="R22" s="45"/>
      <c r="S22" s="45"/>
    </row>
    <row r="23" spans="2:19" ht="19.5" hidden="1" thickBot="1" x14ac:dyDescent="0.3">
      <c r="B23" s="41">
        <v>45616</v>
      </c>
      <c r="C23" s="38">
        <v>8</v>
      </c>
      <c r="D23" s="38"/>
      <c r="E23" s="42"/>
      <c r="F23" s="38"/>
      <c r="G23" s="46">
        <f t="shared" si="0"/>
        <v>-250</v>
      </c>
      <c r="H23" s="38"/>
      <c r="I23" s="38"/>
      <c r="J23" s="42"/>
      <c r="K23" s="38"/>
      <c r="L23" s="43">
        <f t="shared" si="1"/>
        <v>-250</v>
      </c>
      <c r="M23" s="38">
        <v>8</v>
      </c>
      <c r="N23" s="38"/>
      <c r="O23" s="42"/>
      <c r="P23" s="44"/>
      <c r="Q23" s="43">
        <f t="shared" si="2"/>
        <v>-260</v>
      </c>
      <c r="R23" s="45"/>
      <c r="S23" s="45"/>
    </row>
    <row r="24" spans="2:19" ht="19.5" hidden="1" thickBot="1" x14ac:dyDescent="0.3">
      <c r="B24" s="41">
        <v>45646</v>
      </c>
      <c r="C24" s="38">
        <v>9</v>
      </c>
      <c r="D24" s="38"/>
      <c r="E24" s="42"/>
      <c r="F24" s="38"/>
      <c r="G24" s="46">
        <f t="shared" si="0"/>
        <v>-250</v>
      </c>
      <c r="H24" s="38"/>
      <c r="I24" s="38"/>
      <c r="J24" s="42"/>
      <c r="K24" s="38"/>
      <c r="L24" s="43">
        <f t="shared" si="1"/>
        <v>-250</v>
      </c>
      <c r="M24" s="38">
        <v>9</v>
      </c>
      <c r="N24" s="38"/>
      <c r="O24" s="42"/>
      <c r="P24" s="44"/>
      <c r="Q24" s="43">
        <f t="shared" si="2"/>
        <v>-260</v>
      </c>
      <c r="R24" s="45"/>
      <c r="S24" s="45"/>
    </row>
    <row r="25" spans="2:19" ht="19.5" hidden="1" thickBot="1" x14ac:dyDescent="0.3">
      <c r="B25" s="41">
        <v>45677</v>
      </c>
      <c r="C25" s="38">
        <v>10</v>
      </c>
      <c r="D25" s="38"/>
      <c r="E25" s="42"/>
      <c r="F25" s="38"/>
      <c r="G25" s="46">
        <f t="shared" si="0"/>
        <v>-250</v>
      </c>
      <c r="H25" s="38"/>
      <c r="I25" s="38"/>
      <c r="J25" s="42"/>
      <c r="K25" s="38"/>
      <c r="L25" s="43">
        <f t="shared" si="1"/>
        <v>-250</v>
      </c>
      <c r="M25" s="38">
        <v>10</v>
      </c>
      <c r="N25" s="38"/>
      <c r="O25" s="42"/>
      <c r="P25" s="44"/>
      <c r="Q25" s="43">
        <f t="shared" si="2"/>
        <v>-260</v>
      </c>
      <c r="R25" s="45"/>
      <c r="S25" s="45"/>
    </row>
    <row r="26" spans="2:19" ht="19.5" hidden="1" thickBot="1" x14ac:dyDescent="0.3">
      <c r="B26" s="41">
        <v>45708</v>
      </c>
      <c r="C26" s="38">
        <v>11</v>
      </c>
      <c r="D26" s="38"/>
      <c r="E26" s="42"/>
      <c r="F26" s="38"/>
      <c r="G26" s="46">
        <f t="shared" si="0"/>
        <v>-250</v>
      </c>
      <c r="H26" s="38"/>
      <c r="I26" s="38"/>
      <c r="J26" s="42"/>
      <c r="K26" s="38"/>
      <c r="L26" s="43">
        <f t="shared" si="1"/>
        <v>-250</v>
      </c>
      <c r="M26" s="38">
        <v>11</v>
      </c>
      <c r="N26" s="38"/>
      <c r="O26" s="42"/>
      <c r="P26" s="44"/>
      <c r="Q26" s="43">
        <f t="shared" si="2"/>
        <v>-260</v>
      </c>
      <c r="R26" s="45"/>
      <c r="S26" s="45"/>
    </row>
    <row r="27" spans="2:19" ht="19.5" hidden="1" thickBot="1" x14ac:dyDescent="0.3">
      <c r="B27" s="41">
        <v>45736</v>
      </c>
      <c r="C27" s="38">
        <v>12</v>
      </c>
      <c r="D27" s="38"/>
      <c r="E27" s="42"/>
      <c r="F27" s="38"/>
      <c r="G27" s="46">
        <f t="shared" si="0"/>
        <v>-250</v>
      </c>
      <c r="H27" s="38"/>
      <c r="I27" s="38"/>
      <c r="J27" s="42"/>
      <c r="K27" s="38"/>
      <c r="L27" s="43">
        <f t="shared" si="1"/>
        <v>-250</v>
      </c>
      <c r="M27" s="38">
        <v>12</v>
      </c>
      <c r="N27" s="38"/>
      <c r="O27" s="42"/>
      <c r="P27" s="44"/>
      <c r="Q27" s="43">
        <f t="shared" si="2"/>
        <v>-260</v>
      </c>
      <c r="R27" s="45"/>
      <c r="S27" s="45"/>
    </row>
    <row r="28" spans="2:19" ht="19.5" thickBot="1" x14ac:dyDescent="0.3">
      <c r="B28" s="41">
        <v>45758</v>
      </c>
      <c r="C28" s="38">
        <v>13</v>
      </c>
      <c r="D28" s="38"/>
      <c r="E28" s="68">
        <v>-1615</v>
      </c>
      <c r="F28" s="69"/>
      <c r="G28" s="46">
        <f t="shared" si="0"/>
        <v>1365</v>
      </c>
      <c r="H28" s="69"/>
      <c r="I28" s="69"/>
      <c r="J28" s="70">
        <v>-1620</v>
      </c>
      <c r="K28" s="69"/>
      <c r="L28" s="43">
        <f t="shared" si="1"/>
        <v>1370</v>
      </c>
      <c r="M28" s="69"/>
      <c r="N28" s="69"/>
      <c r="O28" s="70">
        <v>-1240</v>
      </c>
      <c r="P28" s="44"/>
      <c r="Q28" s="43">
        <f t="shared" si="2"/>
        <v>980</v>
      </c>
      <c r="R28" s="45"/>
      <c r="S28" s="45"/>
    </row>
    <row r="29" spans="2:19" ht="19.5" thickBot="1" x14ac:dyDescent="0.3">
      <c r="B29" s="41">
        <v>45776</v>
      </c>
      <c r="C29" s="38">
        <v>13</v>
      </c>
      <c r="D29" s="38"/>
      <c r="E29" s="68">
        <v>-1679</v>
      </c>
      <c r="F29" s="69"/>
      <c r="G29" s="46">
        <f t="shared" si="0"/>
        <v>1429</v>
      </c>
      <c r="H29" s="69"/>
      <c r="I29" s="69"/>
      <c r="J29" s="70">
        <v>-1715</v>
      </c>
      <c r="K29" s="69"/>
      <c r="L29" s="43">
        <f t="shared" si="1"/>
        <v>1465</v>
      </c>
      <c r="M29" s="69"/>
      <c r="N29" s="69"/>
      <c r="O29" s="70">
        <v>-1311</v>
      </c>
      <c r="P29" s="44"/>
      <c r="Q29" s="43">
        <f t="shared" si="2"/>
        <v>1051</v>
      </c>
      <c r="R29" s="45"/>
      <c r="S29" s="45"/>
    </row>
    <row r="30" spans="2:19" ht="19.5" thickBot="1" x14ac:dyDescent="0.3">
      <c r="B30" s="41">
        <v>45804</v>
      </c>
      <c r="C30" s="38"/>
      <c r="D30" s="38"/>
      <c r="E30" s="68">
        <v>-1833</v>
      </c>
      <c r="F30" s="69"/>
      <c r="G30" s="46">
        <f t="shared" ref="G30" si="3">$E$16-E30</f>
        <v>1583</v>
      </c>
      <c r="H30" s="69"/>
      <c r="I30" s="69"/>
      <c r="J30" s="70">
        <v>-1855</v>
      </c>
      <c r="K30" s="69"/>
      <c r="L30" s="43">
        <f t="shared" ref="L30" si="4">$J$16-J30</f>
        <v>1605</v>
      </c>
      <c r="M30" s="69"/>
      <c r="N30" s="69"/>
      <c r="O30" s="70">
        <v>-1441</v>
      </c>
      <c r="P30" s="44"/>
      <c r="Q30" s="43">
        <f t="shared" ref="Q30" si="5">$O$16-O30</f>
        <v>1181</v>
      </c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61"/>
      <c r="F32" s="62"/>
      <c r="G32" s="62"/>
      <c r="H32" s="62"/>
      <c r="I32" s="62"/>
      <c r="J32" s="63"/>
      <c r="K32" s="62"/>
      <c r="L32" s="62"/>
      <c r="M32" s="62"/>
      <c r="N32" s="62"/>
      <c r="O32" s="63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48CC-D634-4DD4-8996-C88E1DAA7704}">
  <sheetPr codeName="Sheet47"/>
  <dimension ref="B1:AE102"/>
  <sheetViews>
    <sheetView topLeftCell="B11" workbookViewId="0">
      <selection activeCell="E32" sqref="E32:O32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>
        <v>45402</v>
      </c>
      <c r="C16" s="38">
        <v>1</v>
      </c>
      <c r="D16" s="38" t="s">
        <v>37</v>
      </c>
      <c r="E16" s="42">
        <v>-280</v>
      </c>
      <c r="F16" s="38"/>
      <c r="G16" s="43">
        <v>0</v>
      </c>
      <c r="H16" s="38">
        <v>1</v>
      </c>
      <c r="I16" s="38"/>
      <c r="J16" s="42">
        <v>-280</v>
      </c>
      <c r="K16" s="38"/>
      <c r="L16" s="43">
        <v>0</v>
      </c>
      <c r="M16" s="38">
        <v>1</v>
      </c>
      <c r="N16" s="38"/>
      <c r="O16" s="42">
        <v>-900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45432</v>
      </c>
      <c r="C17" s="38">
        <v>2</v>
      </c>
      <c r="D17" s="38"/>
      <c r="E17" s="42">
        <v>-22</v>
      </c>
      <c r="F17" s="38"/>
      <c r="G17" s="46">
        <f>$E$16-E17</f>
        <v>-258</v>
      </c>
      <c r="H17" s="38">
        <v>2</v>
      </c>
      <c r="I17" s="38"/>
      <c r="J17" s="42">
        <v>-23</v>
      </c>
      <c r="K17" s="38"/>
      <c r="L17" s="43">
        <f>$J$16-J17</f>
        <v>-257</v>
      </c>
      <c r="M17" s="38">
        <v>2</v>
      </c>
      <c r="N17" s="38"/>
      <c r="O17" s="42">
        <v>-950</v>
      </c>
      <c r="P17" s="44"/>
      <c r="Q17" s="43">
        <f>$O$16-O17</f>
        <v>50</v>
      </c>
      <c r="R17" s="45"/>
      <c r="S17" s="45"/>
    </row>
    <row r="18" spans="2:19" ht="19.5" hidden="1" thickBot="1" x14ac:dyDescent="0.3">
      <c r="B18" s="41">
        <v>45463</v>
      </c>
      <c r="C18" s="38">
        <v>3</v>
      </c>
      <c r="D18" s="38"/>
      <c r="E18" s="42">
        <v>-128</v>
      </c>
      <c r="F18" s="38"/>
      <c r="G18" s="46">
        <f>$E$16-E18</f>
        <v>-152</v>
      </c>
      <c r="H18" s="38"/>
      <c r="I18" s="38"/>
      <c r="J18" s="42">
        <v>-134</v>
      </c>
      <c r="K18" s="38"/>
      <c r="L18" s="43">
        <f>$J$16-J18</f>
        <v>-146</v>
      </c>
      <c r="M18" s="38">
        <v>3</v>
      </c>
      <c r="N18" s="38"/>
      <c r="O18" s="42">
        <v>-1070</v>
      </c>
      <c r="P18" s="44"/>
      <c r="Q18" s="43">
        <f>$O$16-O18</f>
        <v>170</v>
      </c>
      <c r="R18" s="45"/>
      <c r="S18" s="45"/>
    </row>
    <row r="19" spans="2:19" ht="19.5" hidden="1" thickBot="1" x14ac:dyDescent="0.3">
      <c r="B19" s="41">
        <v>45493</v>
      </c>
      <c r="C19" s="38">
        <v>4</v>
      </c>
      <c r="D19" s="38"/>
      <c r="E19" s="42"/>
      <c r="F19" s="38"/>
      <c r="G19" s="46"/>
      <c r="H19" s="38"/>
      <c r="I19" s="38"/>
      <c r="J19" s="42"/>
      <c r="K19" s="38"/>
      <c r="L19" s="43"/>
      <c r="M19" s="38">
        <v>4</v>
      </c>
      <c r="N19" s="38"/>
      <c r="O19" s="42"/>
      <c r="P19" s="44"/>
      <c r="Q19" s="43"/>
      <c r="R19" s="45"/>
      <c r="S19" s="45"/>
    </row>
    <row r="20" spans="2:19" ht="19.5" hidden="1" thickBot="1" x14ac:dyDescent="0.3">
      <c r="B20" s="41">
        <v>45524</v>
      </c>
      <c r="C20" s="38">
        <v>5</v>
      </c>
      <c r="D20" s="38"/>
      <c r="E20" s="42"/>
      <c r="F20" s="38"/>
      <c r="G20" s="46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hidden="1" thickBot="1" x14ac:dyDescent="0.35">
      <c r="B21" s="41">
        <v>45555</v>
      </c>
      <c r="C21" s="38">
        <v>6</v>
      </c>
      <c r="D21" s="38"/>
      <c r="E21" s="42"/>
      <c r="F21" s="38"/>
      <c r="G21" s="46"/>
      <c r="H21" s="64"/>
      <c r="I21" s="66"/>
      <c r="J21" s="64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hidden="1" thickBot="1" x14ac:dyDescent="0.3">
      <c r="B22" s="41">
        <v>45585</v>
      </c>
      <c r="C22" s="38">
        <v>7</v>
      </c>
      <c r="D22" s="38"/>
      <c r="E22" s="42"/>
      <c r="F22" s="38"/>
      <c r="G22" s="46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hidden="1" thickBot="1" x14ac:dyDescent="0.3">
      <c r="B23" s="41">
        <v>45616</v>
      </c>
      <c r="C23" s="38">
        <v>8</v>
      </c>
      <c r="D23" s="38"/>
      <c r="E23" s="42"/>
      <c r="F23" s="38"/>
      <c r="G23" s="46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hidden="1" thickBot="1" x14ac:dyDescent="0.3">
      <c r="B24" s="41">
        <v>45646</v>
      </c>
      <c r="C24" s="38">
        <v>9</v>
      </c>
      <c r="D24" s="38"/>
      <c r="E24" s="42"/>
      <c r="F24" s="38"/>
      <c r="G24" s="46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hidden="1" thickBot="1" x14ac:dyDescent="0.3">
      <c r="B25" s="41">
        <v>45677</v>
      </c>
      <c r="C25" s="38">
        <v>10</v>
      </c>
      <c r="D25" s="38"/>
      <c r="E25" s="42"/>
      <c r="F25" s="38"/>
      <c r="G25" s="46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hidden="1" thickBot="1" x14ac:dyDescent="0.3">
      <c r="B26" s="41">
        <v>45708</v>
      </c>
      <c r="C26" s="38">
        <v>11</v>
      </c>
      <c r="D26" s="38"/>
      <c r="E26" s="42"/>
      <c r="F26" s="38"/>
      <c r="G26" s="46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hidden="1" thickBot="1" x14ac:dyDescent="0.3">
      <c r="B27" s="41">
        <v>45736</v>
      </c>
      <c r="C27" s="38">
        <v>12</v>
      </c>
      <c r="D27" s="38"/>
      <c r="E27" s="42"/>
      <c r="F27" s="38"/>
      <c r="G27" s="46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thickBot="1" x14ac:dyDescent="0.3">
      <c r="B28" s="41">
        <v>45758</v>
      </c>
      <c r="C28" s="38">
        <v>13</v>
      </c>
      <c r="D28" s="38"/>
      <c r="E28" s="68">
        <v>-1606</v>
      </c>
      <c r="F28" s="69"/>
      <c r="G28" s="46">
        <f t="shared" ref="G28:G29" si="0">$E$16-E28</f>
        <v>1326</v>
      </c>
      <c r="H28" s="69"/>
      <c r="I28" s="69"/>
      <c r="J28" s="70">
        <v>-1660</v>
      </c>
      <c r="K28" s="69"/>
      <c r="L28" s="43">
        <f t="shared" ref="L28:L29" si="1">$J$16-J28</f>
        <v>1380</v>
      </c>
      <c r="M28" s="69"/>
      <c r="N28" s="69"/>
      <c r="O28" s="70">
        <v>-2005</v>
      </c>
      <c r="P28" s="44"/>
      <c r="Q28" s="43">
        <f t="shared" ref="Q28" si="2">$O$16-O28</f>
        <v>1105</v>
      </c>
      <c r="R28" s="45"/>
      <c r="S28" s="45"/>
    </row>
    <row r="29" spans="2:19" ht="19.5" thickBot="1" x14ac:dyDescent="0.3">
      <c r="B29" s="41">
        <v>45776</v>
      </c>
      <c r="C29" s="38">
        <v>13</v>
      </c>
      <c r="D29" s="38"/>
      <c r="E29" s="68">
        <v>-1677</v>
      </c>
      <c r="F29" s="69"/>
      <c r="G29" s="46">
        <f t="shared" si="0"/>
        <v>1397</v>
      </c>
      <c r="H29" s="69"/>
      <c r="I29" s="69"/>
      <c r="J29" s="70">
        <v>-1760</v>
      </c>
      <c r="K29" s="69"/>
      <c r="L29" s="43">
        <f t="shared" si="1"/>
        <v>1480</v>
      </c>
      <c r="M29" s="69"/>
      <c r="N29" s="69"/>
      <c r="O29" s="70">
        <v>-2081</v>
      </c>
      <c r="P29" s="44"/>
      <c r="Q29" s="43">
        <f t="shared" ref="Q29" si="3">$O$16-O29</f>
        <v>1181</v>
      </c>
      <c r="R29" s="45"/>
      <c r="S29" s="45"/>
    </row>
    <row r="30" spans="2:19" ht="19.5" thickBot="1" x14ac:dyDescent="0.3">
      <c r="B30" s="41">
        <v>45804</v>
      </c>
      <c r="C30" s="38">
        <v>15</v>
      </c>
      <c r="D30" s="38"/>
      <c r="E30" s="68">
        <v>-1813</v>
      </c>
      <c r="F30" s="69"/>
      <c r="G30" s="46">
        <f t="shared" ref="G30" si="4">$E$16-E30</f>
        <v>1533</v>
      </c>
      <c r="H30" s="69"/>
      <c r="I30" s="69"/>
      <c r="J30" s="70">
        <v>-1903</v>
      </c>
      <c r="K30" s="69"/>
      <c r="L30" s="43">
        <f t="shared" ref="L30" si="5">$J$16-J30</f>
        <v>1623</v>
      </c>
      <c r="M30" s="69"/>
      <c r="N30" s="69"/>
      <c r="O30" s="70">
        <v>-2213</v>
      </c>
      <c r="P30" s="44"/>
      <c r="Q30" s="43">
        <f t="shared" ref="Q30" si="6">$O$16-O30</f>
        <v>1313</v>
      </c>
      <c r="R30" s="45"/>
      <c r="S30" s="45"/>
    </row>
    <row r="31" spans="2:19" ht="19.5" thickBot="1" x14ac:dyDescent="0.3">
      <c r="B31" s="41"/>
      <c r="C31" s="38">
        <v>16</v>
      </c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>
        <v>17</v>
      </c>
      <c r="D32" s="38"/>
      <c r="E32" s="61"/>
      <c r="F32" s="62"/>
      <c r="G32" s="62"/>
      <c r="H32" s="62"/>
      <c r="I32" s="62"/>
      <c r="J32" s="63"/>
      <c r="K32" s="62"/>
      <c r="L32" s="62"/>
      <c r="M32" s="62"/>
      <c r="N32" s="62"/>
      <c r="O32" s="63"/>
      <c r="P32" s="44"/>
      <c r="Q32" s="43"/>
      <c r="R32" s="45"/>
      <c r="S32" s="45"/>
    </row>
    <row r="33" spans="2:19" ht="19.5" thickBot="1" x14ac:dyDescent="0.3">
      <c r="B33" s="41"/>
      <c r="C33" s="38">
        <v>18</v>
      </c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>
        <v>19</v>
      </c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>
        <v>20</v>
      </c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>
        <v>21</v>
      </c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>
        <v>22</v>
      </c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>
        <v>23</v>
      </c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>
        <v>24</v>
      </c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>
        <v>25</v>
      </c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30AA-FE2D-4B5F-A76B-18214146C725}">
  <sheetPr codeName="Sheet48"/>
  <dimension ref="B1:AE102"/>
  <sheetViews>
    <sheetView topLeftCell="A11" workbookViewId="0">
      <selection activeCell="J23" sqref="J23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/>
      <c r="C16" s="38">
        <v>1</v>
      </c>
      <c r="D16" s="38" t="s">
        <v>37</v>
      </c>
      <c r="E16" s="42">
        <v>-210</v>
      </c>
      <c r="F16" s="38"/>
      <c r="G16" s="43">
        <v>0</v>
      </c>
      <c r="H16" s="38">
        <v>1</v>
      </c>
      <c r="I16" s="38"/>
      <c r="J16" s="42">
        <v>-210</v>
      </c>
      <c r="K16" s="38"/>
      <c r="L16" s="43">
        <v>0</v>
      </c>
      <c r="M16" s="38">
        <v>1</v>
      </c>
      <c r="N16" s="38"/>
      <c r="O16" s="42">
        <v>-660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-188</v>
      </c>
      <c r="H17" s="38">
        <v>2</v>
      </c>
      <c r="I17" s="38"/>
      <c r="J17" s="42">
        <v>-23</v>
      </c>
      <c r="K17" s="38"/>
      <c r="L17" s="43">
        <f t="shared" ref="L17:L22" si="0">$J$16-J17</f>
        <v>-187</v>
      </c>
      <c r="M17" s="38">
        <v>2</v>
      </c>
      <c r="N17" s="38"/>
      <c r="O17" s="42">
        <v>-18</v>
      </c>
      <c r="P17" s="44"/>
      <c r="Q17" s="43">
        <f>$O$16-O17</f>
        <v>-642</v>
      </c>
      <c r="R17" s="45"/>
      <c r="S17" s="45"/>
    </row>
    <row r="18" spans="2:19" ht="19.5" hidden="1" thickBot="1" x14ac:dyDescent="0.3">
      <c r="B18" s="41">
        <v>45074</v>
      </c>
      <c r="C18" s="38">
        <v>3</v>
      </c>
      <c r="D18" s="38"/>
      <c r="E18" s="42">
        <v>-128</v>
      </c>
      <c r="F18" s="38"/>
      <c r="G18" s="46">
        <f>$E$16-E18</f>
        <v>-82</v>
      </c>
      <c r="H18" s="38"/>
      <c r="I18" s="38"/>
      <c r="J18" s="42">
        <v>-134</v>
      </c>
      <c r="K18" s="38"/>
      <c r="L18" s="43">
        <f t="shared" si="0"/>
        <v>-76</v>
      </c>
      <c r="M18" s="38">
        <v>3</v>
      </c>
      <c r="N18" s="38"/>
      <c r="O18" s="42">
        <v>-107</v>
      </c>
      <c r="P18" s="44"/>
      <c r="Q18" s="43">
        <f>$O$16-O18</f>
        <v>-553</v>
      </c>
      <c r="R18" s="45"/>
      <c r="S18" s="45"/>
    </row>
    <row r="19" spans="2:19" ht="19.5" thickBot="1" x14ac:dyDescent="0.3">
      <c r="B19" s="41">
        <v>45776</v>
      </c>
      <c r="C19" s="38"/>
      <c r="D19" s="38"/>
      <c r="E19" s="68">
        <v>-1685</v>
      </c>
      <c r="F19" s="69"/>
      <c r="G19" s="46">
        <f>$E$16-E19</f>
        <v>1475</v>
      </c>
      <c r="H19" s="69"/>
      <c r="I19" s="69"/>
      <c r="J19" s="70">
        <v>-1590</v>
      </c>
      <c r="K19" s="69"/>
      <c r="L19" s="43">
        <f t="shared" si="0"/>
        <v>1380</v>
      </c>
      <c r="M19" s="69"/>
      <c r="N19" s="69"/>
      <c r="O19" s="70">
        <v>-1670</v>
      </c>
      <c r="P19" s="44"/>
      <c r="Q19" s="43">
        <f>$O$16-O19</f>
        <v>1010</v>
      </c>
      <c r="R19" s="45"/>
      <c r="S19" s="45"/>
    </row>
    <row r="20" spans="2:19" ht="19.5" thickBot="1" x14ac:dyDescent="0.3">
      <c r="B20" s="41">
        <v>45804</v>
      </c>
      <c r="C20" s="38"/>
      <c r="D20" s="38"/>
      <c r="E20" s="68">
        <v>-1841</v>
      </c>
      <c r="F20" s="69"/>
      <c r="G20" s="46">
        <f>$E$16-E20</f>
        <v>1631</v>
      </c>
      <c r="H20" s="69"/>
      <c r="I20" s="69"/>
      <c r="J20" s="70">
        <v>-1728</v>
      </c>
      <c r="K20" s="69"/>
      <c r="L20" s="43">
        <f t="shared" si="0"/>
        <v>1518</v>
      </c>
      <c r="M20" s="69"/>
      <c r="N20" s="69"/>
      <c r="O20" s="70">
        <v>-1790</v>
      </c>
      <c r="P20" s="44"/>
      <c r="Q20" s="43">
        <f>$O$16-O20</f>
        <v>1130</v>
      </c>
      <c r="R20" s="45"/>
      <c r="S20" s="45"/>
    </row>
    <row r="21" spans="2:19" ht="19.5" thickBot="1" x14ac:dyDescent="0.3">
      <c r="B21" s="41">
        <v>44362</v>
      </c>
      <c r="C21" s="38"/>
      <c r="D21" s="38"/>
      <c r="E21" s="61">
        <v>-1895</v>
      </c>
      <c r="F21" s="62"/>
      <c r="G21" s="46">
        <f>$E$16-E21</f>
        <v>1685</v>
      </c>
      <c r="H21" s="62"/>
      <c r="I21" s="62"/>
      <c r="J21" s="63">
        <v>-1794</v>
      </c>
      <c r="K21" s="62"/>
      <c r="L21" s="43">
        <f t="shared" si="0"/>
        <v>1584</v>
      </c>
      <c r="M21" s="62"/>
      <c r="N21" s="62"/>
      <c r="O21" s="63">
        <v>-1840</v>
      </c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61"/>
      <c r="F22" s="62"/>
      <c r="G22" s="62"/>
      <c r="H22" s="62"/>
      <c r="I22" s="62"/>
      <c r="J22" s="63">
        <v>-1820</v>
      </c>
      <c r="K22" s="62"/>
      <c r="L22" s="62">
        <f t="shared" si="0"/>
        <v>1610</v>
      </c>
      <c r="M22" s="62"/>
      <c r="N22" s="62"/>
      <c r="O22" s="63"/>
      <c r="P22" s="44"/>
      <c r="Q22" s="43"/>
      <c r="R22" s="45"/>
      <c r="S22" s="45"/>
    </row>
    <row r="23" spans="2:19" ht="19.5" thickBot="1" x14ac:dyDescent="0.35">
      <c r="B23" s="41"/>
      <c r="C23" s="38"/>
      <c r="D23" s="64"/>
      <c r="E23" s="66"/>
      <c r="F23" s="64"/>
      <c r="G23" s="43"/>
      <c r="H23" s="38"/>
      <c r="I23" s="38"/>
      <c r="J23" s="42"/>
      <c r="K23" s="38"/>
      <c r="L23" s="43"/>
      <c r="M23" s="38"/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/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/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/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/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/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/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/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/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489F-6F10-4409-A375-6DA6D5E0AD20}">
  <sheetPr codeName="Sheet49"/>
  <dimension ref="B1:AE102"/>
  <sheetViews>
    <sheetView topLeftCell="D10" workbookViewId="0">
      <selection activeCell="J23" sqref="J23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/>
      <c r="C16" s="38">
        <v>1</v>
      </c>
      <c r="D16" s="38" t="s">
        <v>37</v>
      </c>
      <c r="E16" s="42">
        <v>-210</v>
      </c>
      <c r="F16" s="38"/>
      <c r="G16" s="43">
        <v>0</v>
      </c>
      <c r="H16" s="38">
        <v>1</v>
      </c>
      <c r="I16" s="38"/>
      <c r="J16" s="42">
        <v>-190</v>
      </c>
      <c r="K16" s="38"/>
      <c r="L16" s="43">
        <v>0</v>
      </c>
      <c r="M16" s="38">
        <v>1</v>
      </c>
      <c r="N16" s="38"/>
      <c r="O16" s="42">
        <v>-180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-188</v>
      </c>
      <c r="H17" s="38">
        <v>2</v>
      </c>
      <c r="I17" s="38"/>
      <c r="J17" s="42">
        <v>-23</v>
      </c>
      <c r="K17" s="38"/>
      <c r="L17" s="43">
        <f t="shared" ref="L17:L22" si="0">$J$16-J17</f>
        <v>-167</v>
      </c>
      <c r="M17" s="38">
        <v>2</v>
      </c>
      <c r="N17" s="38"/>
      <c r="O17" s="42">
        <v>-18</v>
      </c>
      <c r="P17" s="44"/>
      <c r="Q17" s="43">
        <f>$O$16-O17</f>
        <v>-162</v>
      </c>
      <c r="R17" s="45"/>
      <c r="S17" s="45"/>
    </row>
    <row r="18" spans="2:19" ht="19.5" hidden="1" thickBot="1" x14ac:dyDescent="0.3">
      <c r="B18" s="41">
        <v>45104</v>
      </c>
      <c r="C18" s="38">
        <v>3</v>
      </c>
      <c r="D18" s="38"/>
      <c r="E18" s="42">
        <v>-128</v>
      </c>
      <c r="F18" s="38"/>
      <c r="G18" s="46">
        <f>$E$16-E18</f>
        <v>-82</v>
      </c>
      <c r="H18" s="38"/>
      <c r="I18" s="38"/>
      <c r="J18" s="42">
        <v>-134</v>
      </c>
      <c r="K18" s="38"/>
      <c r="L18" s="43">
        <f t="shared" si="0"/>
        <v>-56</v>
      </c>
      <c r="M18" s="38">
        <v>3</v>
      </c>
      <c r="N18" s="38"/>
      <c r="O18" s="42">
        <v>-107</v>
      </c>
      <c r="P18" s="44"/>
      <c r="Q18" s="43">
        <f>$O$16-O18</f>
        <v>-73</v>
      </c>
      <c r="R18" s="45"/>
      <c r="S18" s="45"/>
    </row>
    <row r="19" spans="2:19" ht="19.5" thickBot="1" x14ac:dyDescent="0.3">
      <c r="B19" s="41">
        <v>45776</v>
      </c>
      <c r="C19" s="38"/>
      <c r="D19" s="38"/>
      <c r="E19" s="68">
        <v>-1215</v>
      </c>
      <c r="F19" s="69"/>
      <c r="G19" s="46">
        <f>$E$16-E19</f>
        <v>1005</v>
      </c>
      <c r="H19" s="69"/>
      <c r="I19" s="69"/>
      <c r="J19" s="70">
        <v>-1310</v>
      </c>
      <c r="K19" s="69"/>
      <c r="L19" s="43">
        <f t="shared" si="0"/>
        <v>1120</v>
      </c>
      <c r="M19" s="69"/>
      <c r="N19" s="69"/>
      <c r="O19" s="70">
        <v>-1210</v>
      </c>
      <c r="P19" s="44"/>
      <c r="Q19" s="43">
        <f>$O$16-O19</f>
        <v>1030</v>
      </c>
      <c r="R19" s="45"/>
      <c r="S19" s="45"/>
    </row>
    <row r="20" spans="2:19" ht="19.5" thickBot="1" x14ac:dyDescent="0.3">
      <c r="B20" s="41">
        <v>45804</v>
      </c>
      <c r="C20" s="38"/>
      <c r="D20" s="38"/>
      <c r="E20" s="68">
        <v>-1335</v>
      </c>
      <c r="F20" s="69"/>
      <c r="G20" s="46">
        <f>$E$16-E20</f>
        <v>1125</v>
      </c>
      <c r="H20" s="69"/>
      <c r="I20" s="69"/>
      <c r="J20" s="70">
        <v>-1435</v>
      </c>
      <c r="K20" s="69"/>
      <c r="L20" s="43">
        <f t="shared" si="0"/>
        <v>1245</v>
      </c>
      <c r="M20" s="69"/>
      <c r="N20" s="69"/>
      <c r="O20" s="70">
        <v>-1297</v>
      </c>
      <c r="P20" s="44"/>
      <c r="Q20" s="43">
        <f>$O$16-O20</f>
        <v>1117</v>
      </c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>
        <v>1472</v>
      </c>
      <c r="K21" s="38"/>
      <c r="L21" s="43">
        <f t="shared" si="0"/>
        <v>-1662</v>
      </c>
      <c r="M21" s="38"/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61"/>
      <c r="F22" s="62"/>
      <c r="G22" s="62"/>
      <c r="H22" s="62"/>
      <c r="I22" s="62"/>
      <c r="J22" s="63">
        <v>1490</v>
      </c>
      <c r="K22" s="62"/>
      <c r="L22" s="62">
        <f t="shared" si="0"/>
        <v>-1680</v>
      </c>
      <c r="M22" s="62"/>
      <c r="N22" s="62"/>
      <c r="O22" s="63"/>
      <c r="P22" s="44"/>
      <c r="Q22" s="43"/>
      <c r="R22" s="45"/>
      <c r="S22" s="45"/>
    </row>
    <row r="23" spans="2:19" ht="19.5" thickBot="1" x14ac:dyDescent="0.35">
      <c r="B23" s="41"/>
      <c r="C23" s="64"/>
      <c r="D23" s="66"/>
      <c r="E23" s="64"/>
      <c r="F23" s="38"/>
      <c r="G23" s="43"/>
      <c r="H23" s="38"/>
      <c r="I23" s="38"/>
      <c r="J23" s="42"/>
      <c r="K23" s="38"/>
      <c r="L23" s="43"/>
      <c r="M23" s="38"/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/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/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/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/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/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/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/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/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A721-19B4-4E78-8C88-33BCFF941FE1}">
  <sheetPr codeName="Sheet50"/>
  <dimension ref="B1:AE102"/>
  <sheetViews>
    <sheetView topLeftCell="D13" workbookViewId="0">
      <selection activeCell="N29" sqref="N29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8.75" customHeight="1" thickBot="1" x14ac:dyDescent="0.3">
      <c r="B16" s="41"/>
      <c r="C16" s="38">
        <v>1</v>
      </c>
      <c r="D16" s="38" t="s">
        <v>37</v>
      </c>
      <c r="E16" s="42">
        <v>-350</v>
      </c>
      <c r="F16" s="38"/>
      <c r="G16" s="43">
        <v>0</v>
      </c>
      <c r="H16" s="38">
        <v>1</v>
      </c>
      <c r="I16" s="38"/>
      <c r="J16" s="42">
        <v>-420</v>
      </c>
      <c r="K16" s="38"/>
      <c r="L16" s="43">
        <v>0</v>
      </c>
      <c r="M16" s="38">
        <v>1</v>
      </c>
      <c r="N16" s="38"/>
      <c r="O16" s="42">
        <v>-250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-328</v>
      </c>
      <c r="H17" s="38">
        <v>2</v>
      </c>
      <c r="I17" s="38"/>
      <c r="J17" s="42">
        <v>-23</v>
      </c>
      <c r="K17" s="38"/>
      <c r="L17" s="43">
        <f t="shared" ref="L17:L22" si="0">$J$16-J17</f>
        <v>-397</v>
      </c>
      <c r="M17" s="38">
        <v>2</v>
      </c>
      <c r="N17" s="38"/>
      <c r="O17" s="42">
        <v>-18</v>
      </c>
      <c r="P17" s="44"/>
      <c r="Q17" s="43">
        <f>$O$16-O17</f>
        <v>-232</v>
      </c>
      <c r="R17" s="45"/>
      <c r="S17" s="45"/>
    </row>
    <row r="18" spans="2:19" ht="19.5" hidden="1" thickBot="1" x14ac:dyDescent="0.3">
      <c r="B18" s="41">
        <v>45104</v>
      </c>
      <c r="C18" s="38">
        <v>3</v>
      </c>
      <c r="D18" s="38"/>
      <c r="E18" s="42">
        <v>-128</v>
      </c>
      <c r="F18" s="38"/>
      <c r="G18" s="46">
        <f>$E$16-E18</f>
        <v>-222</v>
      </c>
      <c r="H18" s="38"/>
      <c r="I18" s="38"/>
      <c r="J18" s="42">
        <v>-134</v>
      </c>
      <c r="K18" s="38"/>
      <c r="L18" s="43">
        <f t="shared" si="0"/>
        <v>-286</v>
      </c>
      <c r="M18" s="38">
        <v>3</v>
      </c>
      <c r="N18" s="38"/>
      <c r="O18" s="42">
        <v>-107</v>
      </c>
      <c r="P18" s="44"/>
      <c r="Q18" s="43">
        <f>$O$16-O18</f>
        <v>-143</v>
      </c>
      <c r="R18" s="45"/>
      <c r="S18" s="45"/>
    </row>
    <row r="19" spans="2:19" ht="19.5" thickBot="1" x14ac:dyDescent="0.3">
      <c r="B19" s="41">
        <v>45776</v>
      </c>
      <c r="C19" s="38">
        <v>4</v>
      </c>
      <c r="D19" s="38"/>
      <c r="E19" s="68">
        <v>-1354</v>
      </c>
      <c r="F19" s="69"/>
      <c r="G19" s="46">
        <f>$E$16-E19</f>
        <v>1004</v>
      </c>
      <c r="H19" s="69"/>
      <c r="I19" s="69"/>
      <c r="J19" s="70">
        <v>-1616</v>
      </c>
      <c r="K19" s="69"/>
      <c r="L19" s="43">
        <f t="shared" si="0"/>
        <v>1196</v>
      </c>
      <c r="M19" s="69"/>
      <c r="N19" s="69"/>
      <c r="O19" s="70">
        <v>-972</v>
      </c>
      <c r="P19" s="44"/>
      <c r="Q19" s="43">
        <f>$O$16-O19</f>
        <v>722</v>
      </c>
      <c r="R19" s="45"/>
      <c r="S19" s="45"/>
    </row>
    <row r="20" spans="2:19" ht="19.5" thickBot="1" x14ac:dyDescent="0.3">
      <c r="B20" s="41">
        <v>45804</v>
      </c>
      <c r="C20" s="38"/>
      <c r="D20" s="38"/>
      <c r="E20" s="68">
        <v>-1475</v>
      </c>
      <c r="F20" s="69"/>
      <c r="G20" s="46">
        <f>$E$16-E20</f>
        <v>1125</v>
      </c>
      <c r="H20" s="69"/>
      <c r="I20" s="69"/>
      <c r="J20" s="70">
        <v>-1777</v>
      </c>
      <c r="K20" s="69"/>
      <c r="L20" s="43">
        <f t="shared" si="0"/>
        <v>1357</v>
      </c>
      <c r="M20" s="69"/>
      <c r="N20" s="69"/>
      <c r="O20" s="70">
        <v>-1112</v>
      </c>
      <c r="P20" s="44"/>
      <c r="Q20" s="43">
        <f>$O$16-O20</f>
        <v>862</v>
      </c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>
        <v>-1824</v>
      </c>
      <c r="K21" s="38"/>
      <c r="L21" s="43">
        <f t="shared" si="0"/>
        <v>1404</v>
      </c>
      <c r="M21" s="38"/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61"/>
      <c r="F22" s="62"/>
      <c r="G22" s="62"/>
      <c r="H22" s="62"/>
      <c r="I22" s="62"/>
      <c r="J22" s="63">
        <v>-1844</v>
      </c>
      <c r="K22" s="62"/>
      <c r="L22" s="62">
        <f t="shared" si="0"/>
        <v>1424</v>
      </c>
      <c r="M22" s="62"/>
      <c r="N22" s="62"/>
      <c r="O22" s="63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/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/>
      <c r="N24" s="38"/>
      <c r="O24" s="42"/>
      <c r="P24" s="44"/>
      <c r="Q24" s="43"/>
      <c r="R24" s="45"/>
      <c r="S24" s="45"/>
    </row>
    <row r="25" spans="2:19" ht="19.5" thickBot="1" x14ac:dyDescent="0.35">
      <c r="B25" s="41"/>
      <c r="C25" s="38"/>
      <c r="D25" s="64"/>
      <c r="E25" s="66"/>
      <c r="F25" s="64"/>
      <c r="G25" s="43"/>
      <c r="H25" s="38"/>
      <c r="I25" s="38"/>
      <c r="J25" s="42"/>
      <c r="K25" s="38"/>
      <c r="L25" s="43"/>
      <c r="M25" s="38"/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/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/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/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/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/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E81A-E6E6-4138-8BE4-59DC888E5988}">
  <sheetPr codeName="Sheet51"/>
  <dimension ref="B1:AE102"/>
  <sheetViews>
    <sheetView topLeftCell="D10" workbookViewId="0">
      <selection activeCell="J23" sqref="J23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/>
      <c r="C16" s="38">
        <v>1</v>
      </c>
      <c r="D16" s="38" t="s">
        <v>37</v>
      </c>
      <c r="E16" s="42">
        <v>-260</v>
      </c>
      <c r="F16" s="38"/>
      <c r="G16" s="43">
        <v>0</v>
      </c>
      <c r="H16" s="38">
        <v>1</v>
      </c>
      <c r="I16" s="38"/>
      <c r="J16" s="42">
        <v>-730</v>
      </c>
      <c r="K16" s="38"/>
      <c r="L16" s="43">
        <v>0</v>
      </c>
      <c r="M16" s="38">
        <v>1</v>
      </c>
      <c r="N16" s="38"/>
      <c r="O16" s="42">
        <v>-670</v>
      </c>
      <c r="P16" s="44"/>
      <c r="Q16" s="43">
        <v>0</v>
      </c>
      <c r="R16" s="45"/>
      <c r="S16" s="45"/>
    </row>
    <row r="17" spans="2:19" ht="1.5" customHeight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-238</v>
      </c>
      <c r="H17" s="38">
        <v>2</v>
      </c>
      <c r="I17" s="38"/>
      <c r="J17" s="42">
        <v>-23</v>
      </c>
      <c r="K17" s="38"/>
      <c r="L17" s="43">
        <f t="shared" ref="L17:L22" si="0">$J$16-J17</f>
        <v>-707</v>
      </c>
      <c r="M17" s="38">
        <v>2</v>
      </c>
      <c r="N17" s="38"/>
      <c r="O17" s="42">
        <v>-18</v>
      </c>
      <c r="P17" s="44"/>
      <c r="Q17" s="43">
        <f>$O$16-O17</f>
        <v>-652</v>
      </c>
      <c r="R17" s="45"/>
      <c r="S17" s="45"/>
    </row>
    <row r="18" spans="2:19" ht="19.5" hidden="1" thickBot="1" x14ac:dyDescent="0.3">
      <c r="B18" s="41">
        <v>45104</v>
      </c>
      <c r="C18" s="38">
        <v>3</v>
      </c>
      <c r="D18" s="38"/>
      <c r="E18" s="42">
        <v>-128</v>
      </c>
      <c r="F18" s="38"/>
      <c r="G18" s="46">
        <f>$E$16-E18</f>
        <v>-132</v>
      </c>
      <c r="H18" s="38"/>
      <c r="I18" s="38"/>
      <c r="J18" s="42">
        <v>-134</v>
      </c>
      <c r="K18" s="38"/>
      <c r="L18" s="43">
        <f t="shared" si="0"/>
        <v>-596</v>
      </c>
      <c r="M18" s="38">
        <v>3</v>
      </c>
      <c r="N18" s="38"/>
      <c r="O18" s="42">
        <v>-107</v>
      </c>
      <c r="P18" s="44"/>
      <c r="Q18" s="43">
        <f>$O$16-O18</f>
        <v>-563</v>
      </c>
      <c r="R18" s="45"/>
      <c r="S18" s="45"/>
    </row>
    <row r="19" spans="2:19" ht="19.5" thickBot="1" x14ac:dyDescent="0.3">
      <c r="B19" s="41">
        <v>45776</v>
      </c>
      <c r="C19" s="38">
        <v>4</v>
      </c>
      <c r="D19" s="38"/>
      <c r="E19" s="68">
        <v>-1255</v>
      </c>
      <c r="F19" s="69"/>
      <c r="G19" s="46">
        <f>$E$16-E19</f>
        <v>995</v>
      </c>
      <c r="H19" s="69"/>
      <c r="I19" s="69"/>
      <c r="J19" s="70">
        <v>-1696</v>
      </c>
      <c r="K19" s="69"/>
      <c r="L19" s="43">
        <f t="shared" si="0"/>
        <v>966</v>
      </c>
      <c r="M19" s="69"/>
      <c r="N19" s="69"/>
      <c r="O19" s="70">
        <v>-1376</v>
      </c>
      <c r="P19" s="44"/>
      <c r="Q19" s="43">
        <f>$O$16-O19</f>
        <v>706</v>
      </c>
      <c r="R19" s="45"/>
      <c r="S19" s="45"/>
    </row>
    <row r="20" spans="2:19" ht="19.5" thickBot="1" x14ac:dyDescent="0.3">
      <c r="B20" s="41">
        <v>45804</v>
      </c>
      <c r="C20" s="38"/>
      <c r="D20" s="38"/>
      <c r="E20" s="68">
        <v>-1409</v>
      </c>
      <c r="F20" s="69"/>
      <c r="G20" s="46">
        <f>$E$16-E20</f>
        <v>1149</v>
      </c>
      <c r="H20" s="69"/>
      <c r="I20" s="69"/>
      <c r="J20" s="70">
        <v>-1862</v>
      </c>
      <c r="K20" s="69"/>
      <c r="L20" s="43">
        <f t="shared" si="0"/>
        <v>1132</v>
      </c>
      <c r="M20" s="69"/>
      <c r="N20" s="69"/>
      <c r="O20" s="70">
        <v>-1510</v>
      </c>
      <c r="P20" s="44"/>
      <c r="Q20" s="43">
        <f>$O$16-O20</f>
        <v>840</v>
      </c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>
        <v>-1882</v>
      </c>
      <c r="K21" s="38"/>
      <c r="L21" s="43">
        <f t="shared" si="0"/>
        <v>1152</v>
      </c>
      <c r="M21" s="38"/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61"/>
      <c r="F22" s="62"/>
      <c r="G22" s="62"/>
      <c r="H22" s="62"/>
      <c r="I22" s="62"/>
      <c r="J22" s="63">
        <v>-1918</v>
      </c>
      <c r="K22" s="62"/>
      <c r="L22" s="62">
        <f t="shared" si="0"/>
        <v>1188</v>
      </c>
      <c r="M22" s="62"/>
      <c r="N22" s="62"/>
      <c r="O22" s="63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/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/>
      <c r="N24" s="38"/>
      <c r="O24" s="42"/>
      <c r="P24" s="44"/>
      <c r="Q24" s="43"/>
      <c r="R24" s="45"/>
      <c r="S24" s="45"/>
    </row>
    <row r="25" spans="2:19" ht="19.5" thickBot="1" x14ac:dyDescent="0.35">
      <c r="B25" s="41"/>
      <c r="C25" s="64"/>
      <c r="D25" s="66"/>
      <c r="E25" s="64"/>
      <c r="F25" s="38"/>
      <c r="G25" s="43"/>
      <c r="H25" s="38"/>
      <c r="I25" s="38"/>
      <c r="J25" s="42"/>
      <c r="K25" s="38"/>
      <c r="L25" s="43"/>
      <c r="M25" s="38"/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/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/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/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/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/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/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CD36-FF7D-4D21-A049-C8C3F4F211EC}">
  <sheetPr codeName="Sheet52"/>
  <dimension ref="B1:AE102"/>
  <sheetViews>
    <sheetView topLeftCell="A10" workbookViewId="0">
      <selection activeCell="J23" sqref="J23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8.75" customHeight="1" thickBot="1" x14ac:dyDescent="0.3">
      <c r="B16" s="41"/>
      <c r="C16" s="38">
        <v>1</v>
      </c>
      <c r="D16" s="38" t="s">
        <v>37</v>
      </c>
      <c r="E16" s="42">
        <v>-830</v>
      </c>
      <c r="F16" s="38"/>
      <c r="G16" s="43">
        <v>0</v>
      </c>
      <c r="H16" s="38">
        <v>1</v>
      </c>
      <c r="I16" s="38"/>
      <c r="J16" s="42">
        <v>-650</v>
      </c>
      <c r="K16" s="38"/>
      <c r="L16" s="43">
        <v>0</v>
      </c>
      <c r="M16" s="38">
        <v>1</v>
      </c>
      <c r="N16" s="38"/>
      <c r="O16" s="42">
        <v>-200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-808</v>
      </c>
      <c r="H17" s="38">
        <v>2</v>
      </c>
      <c r="I17" s="38"/>
      <c r="J17" s="42">
        <v>-23</v>
      </c>
      <c r="K17" s="38"/>
      <c r="L17" s="43">
        <f t="shared" ref="L17:L22" si="0">$J$16-J17</f>
        <v>-627</v>
      </c>
      <c r="M17" s="38">
        <v>2</v>
      </c>
      <c r="N17" s="38"/>
      <c r="O17" s="42">
        <v>-18</v>
      </c>
      <c r="P17" s="44"/>
      <c r="Q17" s="43">
        <f>$O$16-O17</f>
        <v>-182</v>
      </c>
      <c r="R17" s="45"/>
      <c r="S17" s="45"/>
    </row>
    <row r="18" spans="2:19" ht="19.5" hidden="1" thickBot="1" x14ac:dyDescent="0.3">
      <c r="B18" s="41">
        <v>45104</v>
      </c>
      <c r="C18" s="38">
        <v>3</v>
      </c>
      <c r="D18" s="38"/>
      <c r="E18" s="42">
        <v>-128</v>
      </c>
      <c r="F18" s="38"/>
      <c r="G18" s="46">
        <f>$E$16-E18</f>
        <v>-702</v>
      </c>
      <c r="H18" s="38"/>
      <c r="I18" s="38"/>
      <c r="J18" s="42">
        <v>-134</v>
      </c>
      <c r="K18" s="38"/>
      <c r="L18" s="43">
        <f t="shared" si="0"/>
        <v>-516</v>
      </c>
      <c r="M18" s="38">
        <v>3</v>
      </c>
      <c r="N18" s="38"/>
      <c r="O18" s="42">
        <v>-107</v>
      </c>
      <c r="P18" s="44"/>
      <c r="Q18" s="43">
        <f>$O$16-O18</f>
        <v>-93</v>
      </c>
      <c r="R18" s="45"/>
      <c r="S18" s="45"/>
    </row>
    <row r="19" spans="2:19" ht="19.5" thickBot="1" x14ac:dyDescent="0.3">
      <c r="B19" s="41">
        <v>45776</v>
      </c>
      <c r="C19" s="38">
        <v>4</v>
      </c>
      <c r="D19" s="38"/>
      <c r="E19" s="68">
        <v>-1543</v>
      </c>
      <c r="F19" s="69"/>
      <c r="G19" s="46">
        <f>$E$16-E19</f>
        <v>713</v>
      </c>
      <c r="H19" s="69"/>
      <c r="I19" s="69"/>
      <c r="J19" s="70">
        <v>-1700</v>
      </c>
      <c r="K19" s="69"/>
      <c r="L19" s="43">
        <f t="shared" si="0"/>
        <v>1050</v>
      </c>
      <c r="M19" s="69"/>
      <c r="N19" s="69"/>
      <c r="O19" s="70">
        <v>-1457</v>
      </c>
      <c r="P19" s="44"/>
      <c r="Q19" s="43">
        <f>$O$16-O19</f>
        <v>1257</v>
      </c>
      <c r="R19" s="45"/>
      <c r="S19" s="45"/>
    </row>
    <row r="20" spans="2:19" ht="19.5" thickBot="1" x14ac:dyDescent="0.3">
      <c r="B20" s="41">
        <v>45804</v>
      </c>
      <c r="C20" s="38"/>
      <c r="D20" s="38"/>
      <c r="E20" s="68">
        <v>-1714</v>
      </c>
      <c r="F20" s="69"/>
      <c r="G20" s="46">
        <f>$E$16-E20</f>
        <v>884</v>
      </c>
      <c r="H20" s="69"/>
      <c r="I20" s="69"/>
      <c r="J20" s="70">
        <v>-1869</v>
      </c>
      <c r="K20" s="69"/>
      <c r="L20" s="43">
        <f t="shared" si="0"/>
        <v>1219</v>
      </c>
      <c r="M20" s="69"/>
      <c r="N20" s="69"/>
      <c r="O20" s="70">
        <v>-1620</v>
      </c>
      <c r="P20" s="44"/>
      <c r="Q20" s="43">
        <f>$O$16-O20</f>
        <v>1420</v>
      </c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>
        <v>-1908</v>
      </c>
      <c r="K21" s="38"/>
      <c r="L21" s="43">
        <f t="shared" si="0"/>
        <v>1258</v>
      </c>
      <c r="M21" s="38"/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61"/>
      <c r="F22" s="62"/>
      <c r="G22" s="62"/>
      <c r="H22" s="62"/>
      <c r="I22" s="62"/>
      <c r="J22" s="63">
        <v>-1934</v>
      </c>
      <c r="K22" s="62"/>
      <c r="L22" s="62">
        <f t="shared" si="0"/>
        <v>1284</v>
      </c>
      <c r="M22" s="62"/>
      <c r="N22" s="62"/>
      <c r="O22" s="63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/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/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/>
      <c r="N25" s="38"/>
      <c r="O25" s="42"/>
      <c r="P25" s="44"/>
      <c r="Q25" s="43"/>
      <c r="R25" s="45"/>
      <c r="S25" s="45"/>
    </row>
    <row r="26" spans="2:19" ht="19.5" thickBot="1" x14ac:dyDescent="0.35">
      <c r="B26" s="41"/>
      <c r="C26" s="38"/>
      <c r="D26" s="64"/>
      <c r="E26" s="66"/>
      <c r="F26" s="64"/>
      <c r="G26" s="43"/>
      <c r="H26" s="38"/>
      <c r="I26" s="38"/>
      <c r="J26" s="42"/>
      <c r="K26" s="38"/>
      <c r="L26" s="43"/>
      <c r="M26" s="38"/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/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/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/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/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/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C4A5-28CA-42AE-9179-7912A359F697}">
  <sheetPr codeName="Sheet53"/>
  <dimension ref="B1:AE102"/>
  <sheetViews>
    <sheetView topLeftCell="A8" workbookViewId="0">
      <selection activeCell="J23" sqref="J23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8.75" customHeight="1" thickBot="1" x14ac:dyDescent="0.3">
      <c r="B16" s="41"/>
      <c r="C16" s="38">
        <v>1</v>
      </c>
      <c r="D16" s="38" t="s">
        <v>37</v>
      </c>
      <c r="E16" s="42">
        <v>-190</v>
      </c>
      <c r="F16" s="38"/>
      <c r="G16" s="43">
        <v>0</v>
      </c>
      <c r="H16" s="38">
        <v>1</v>
      </c>
      <c r="I16" s="38"/>
      <c r="J16" s="42">
        <v>-730</v>
      </c>
      <c r="K16" s="38"/>
      <c r="L16" s="43">
        <v>0</v>
      </c>
      <c r="M16" s="38">
        <v>1</v>
      </c>
      <c r="N16" s="38"/>
      <c r="O16" s="42">
        <v>-660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-168</v>
      </c>
      <c r="H17" s="38">
        <v>2</v>
      </c>
      <c r="I17" s="38"/>
      <c r="J17" s="42">
        <v>-23</v>
      </c>
      <c r="K17" s="38"/>
      <c r="L17" s="43">
        <f t="shared" ref="L17:L22" si="0">$J$16-J17</f>
        <v>-707</v>
      </c>
      <c r="M17" s="38">
        <v>2</v>
      </c>
      <c r="N17" s="38"/>
      <c r="O17" s="42">
        <v>-18</v>
      </c>
      <c r="P17" s="44"/>
      <c r="Q17" s="43">
        <f>$O$16-O17</f>
        <v>-642</v>
      </c>
      <c r="R17" s="45"/>
      <c r="S17" s="45"/>
    </row>
    <row r="18" spans="2:19" ht="19.5" hidden="1" thickBot="1" x14ac:dyDescent="0.3">
      <c r="B18" s="41">
        <v>45104</v>
      </c>
      <c r="C18" s="38">
        <v>3</v>
      </c>
      <c r="D18" s="38"/>
      <c r="E18" s="42">
        <v>-128</v>
      </c>
      <c r="F18" s="38"/>
      <c r="G18" s="46">
        <f>$E$16-E18</f>
        <v>-62</v>
      </c>
      <c r="H18" s="38"/>
      <c r="I18" s="38"/>
      <c r="J18" s="42">
        <v>-134</v>
      </c>
      <c r="K18" s="38"/>
      <c r="L18" s="43">
        <f t="shared" si="0"/>
        <v>-596</v>
      </c>
      <c r="M18" s="38">
        <v>3</v>
      </c>
      <c r="N18" s="38"/>
      <c r="O18" s="42">
        <v>-107</v>
      </c>
      <c r="P18" s="44"/>
      <c r="Q18" s="43">
        <f>$O$16-O18</f>
        <v>-553</v>
      </c>
      <c r="R18" s="45"/>
      <c r="S18" s="45"/>
    </row>
    <row r="19" spans="2:19" ht="19.5" thickBot="1" x14ac:dyDescent="0.3">
      <c r="B19" s="41">
        <v>45776</v>
      </c>
      <c r="C19" s="38"/>
      <c r="D19" s="38"/>
      <c r="E19" s="42">
        <v>-662</v>
      </c>
      <c r="F19" s="38"/>
      <c r="G19" s="46">
        <f>$E$16-E19</f>
        <v>472</v>
      </c>
      <c r="H19" s="38"/>
      <c r="I19" s="38"/>
      <c r="J19" s="42">
        <v>-1217</v>
      </c>
      <c r="K19" s="38"/>
      <c r="L19" s="43">
        <f t="shared" si="0"/>
        <v>487</v>
      </c>
      <c r="M19" s="38">
        <v>3</v>
      </c>
      <c r="N19" s="38"/>
      <c r="O19" s="42">
        <v>-1057</v>
      </c>
      <c r="P19" s="44"/>
      <c r="Q19" s="43">
        <f>$O$16-O19</f>
        <v>397</v>
      </c>
      <c r="R19" s="45"/>
      <c r="S19" s="45"/>
    </row>
    <row r="20" spans="2:19" ht="19.5" thickBot="1" x14ac:dyDescent="0.3">
      <c r="B20" s="41">
        <v>45807</v>
      </c>
      <c r="C20" s="38"/>
      <c r="D20" s="38"/>
      <c r="E20" s="42">
        <v>-663</v>
      </c>
      <c r="F20" s="38"/>
      <c r="G20" s="46">
        <f>$E$16-E20</f>
        <v>473</v>
      </c>
      <c r="H20" s="38"/>
      <c r="I20" s="38"/>
      <c r="J20" s="42">
        <v>-1223</v>
      </c>
      <c r="K20" s="38"/>
      <c r="L20" s="43">
        <f t="shared" si="0"/>
        <v>493</v>
      </c>
      <c r="M20" s="38">
        <v>3</v>
      </c>
      <c r="N20" s="38"/>
      <c r="O20" s="42">
        <v>-1057</v>
      </c>
      <c r="P20" s="44"/>
      <c r="Q20" s="43">
        <f>$O$16-O20</f>
        <v>397</v>
      </c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>
        <v>-1278</v>
      </c>
      <c r="K21" s="38"/>
      <c r="L21" s="43">
        <f t="shared" si="0"/>
        <v>548</v>
      </c>
      <c r="M21" s="38">
        <v>6</v>
      </c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42"/>
      <c r="F22" s="38"/>
      <c r="G22" s="43"/>
      <c r="H22" s="38"/>
      <c r="I22" s="38"/>
      <c r="J22" s="42">
        <v>-1290</v>
      </c>
      <c r="K22" s="38"/>
      <c r="L22" s="43">
        <f t="shared" si="0"/>
        <v>560</v>
      </c>
      <c r="M22" s="38">
        <v>7</v>
      </c>
      <c r="N22" s="38"/>
      <c r="O22" s="42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>
        <v>16</v>
      </c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3F2F-B0E5-4C01-BED3-397B678DFB6E}">
  <sheetPr codeName="Sheet54"/>
  <dimension ref="B1:AE102"/>
  <sheetViews>
    <sheetView topLeftCell="A10" workbookViewId="0">
      <selection activeCell="J23" sqref="J23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8.75" customHeight="1" thickBot="1" x14ac:dyDescent="0.3">
      <c r="B16" s="41"/>
      <c r="C16" s="38">
        <v>1</v>
      </c>
      <c r="D16" s="38" t="s">
        <v>37</v>
      </c>
      <c r="E16" s="42">
        <v>-190</v>
      </c>
      <c r="F16" s="38"/>
      <c r="G16" s="43">
        <v>0</v>
      </c>
      <c r="H16" s="38">
        <v>1</v>
      </c>
      <c r="I16" s="38"/>
      <c r="J16" s="42">
        <v>-220</v>
      </c>
      <c r="K16" s="38"/>
      <c r="L16" s="43">
        <v>0</v>
      </c>
      <c r="M16" s="38">
        <v>1</v>
      </c>
      <c r="N16" s="38"/>
      <c r="O16" s="42">
        <v>-250</v>
      </c>
      <c r="P16" s="44"/>
      <c r="Q16" s="43">
        <v>0</v>
      </c>
      <c r="R16" s="45"/>
      <c r="S16" s="45"/>
    </row>
    <row r="17" spans="2:19" ht="2.25" hidden="1" customHeight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-168</v>
      </c>
      <c r="H17" s="38">
        <v>2</v>
      </c>
      <c r="I17" s="38"/>
      <c r="J17" s="42">
        <v>-23</v>
      </c>
      <c r="K17" s="38"/>
      <c r="L17" s="43">
        <f t="shared" ref="L17:L22" si="0">$J$16-J17</f>
        <v>-197</v>
      </c>
      <c r="M17" s="38">
        <v>2</v>
      </c>
      <c r="N17" s="38"/>
      <c r="O17" s="42">
        <v>-18</v>
      </c>
      <c r="P17" s="44"/>
      <c r="Q17" s="43">
        <f>$O$16-O17</f>
        <v>-232</v>
      </c>
      <c r="R17" s="45"/>
      <c r="S17" s="45"/>
    </row>
    <row r="18" spans="2:19" ht="19.5" hidden="1" thickBot="1" x14ac:dyDescent="0.3">
      <c r="B18" s="41">
        <v>45104</v>
      </c>
      <c r="C18" s="38">
        <v>3</v>
      </c>
      <c r="D18" s="38"/>
      <c r="E18" s="42">
        <v>-128</v>
      </c>
      <c r="F18" s="38"/>
      <c r="G18" s="46">
        <f>$E$16-E18</f>
        <v>-62</v>
      </c>
      <c r="H18" s="38"/>
      <c r="I18" s="38"/>
      <c r="J18" s="42">
        <v>-134</v>
      </c>
      <c r="K18" s="38"/>
      <c r="L18" s="43">
        <f t="shared" si="0"/>
        <v>-86</v>
      </c>
      <c r="M18" s="38">
        <v>3</v>
      </c>
      <c r="N18" s="38"/>
      <c r="O18" s="42">
        <v>-107</v>
      </c>
      <c r="P18" s="44"/>
      <c r="Q18" s="43">
        <f>$O$16-O18</f>
        <v>-143</v>
      </c>
      <c r="R18" s="45"/>
      <c r="S18" s="45"/>
    </row>
    <row r="19" spans="2:19" ht="19.5" thickBot="1" x14ac:dyDescent="0.3">
      <c r="B19" s="41">
        <v>45776</v>
      </c>
      <c r="C19" s="38">
        <v>4</v>
      </c>
      <c r="D19" s="38"/>
      <c r="E19" s="42">
        <v>-718</v>
      </c>
      <c r="F19" s="38"/>
      <c r="G19" s="46">
        <f>$E$16-E19</f>
        <v>528</v>
      </c>
      <c r="H19" s="38"/>
      <c r="I19" s="38"/>
      <c r="J19" s="42">
        <v>-800</v>
      </c>
      <c r="K19" s="38"/>
      <c r="L19" s="43">
        <f t="shared" si="0"/>
        <v>580</v>
      </c>
      <c r="M19" s="38">
        <v>3</v>
      </c>
      <c r="N19" s="38"/>
      <c r="O19" s="42">
        <v>-752</v>
      </c>
      <c r="P19" s="44"/>
      <c r="Q19" s="43">
        <f>$O$16-O19</f>
        <v>502</v>
      </c>
      <c r="R19" s="45"/>
      <c r="S19" s="45"/>
    </row>
    <row r="20" spans="2:19" ht="19.5" thickBot="1" x14ac:dyDescent="0.3">
      <c r="B20" s="41">
        <v>45807</v>
      </c>
      <c r="C20" s="38"/>
      <c r="D20" s="38"/>
      <c r="E20" s="42">
        <v>-718</v>
      </c>
      <c r="F20" s="38"/>
      <c r="G20" s="46">
        <f>$E$16-E20</f>
        <v>528</v>
      </c>
      <c r="H20" s="38"/>
      <c r="I20" s="38"/>
      <c r="J20" s="42">
        <v>-800</v>
      </c>
      <c r="K20" s="38"/>
      <c r="L20" s="43">
        <f t="shared" si="0"/>
        <v>580</v>
      </c>
      <c r="M20" s="38">
        <v>3</v>
      </c>
      <c r="N20" s="38"/>
      <c r="O20" s="42">
        <v>-752</v>
      </c>
      <c r="P20" s="44"/>
      <c r="Q20" s="43">
        <f>$O$16-O20</f>
        <v>502</v>
      </c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>
        <v>-1048</v>
      </c>
      <c r="K21" s="38"/>
      <c r="L21" s="43">
        <f t="shared" si="0"/>
        <v>828</v>
      </c>
      <c r="M21" s="38">
        <v>6</v>
      </c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42"/>
      <c r="F22" s="38"/>
      <c r="G22" s="43"/>
      <c r="H22" s="38"/>
      <c r="I22" s="38"/>
      <c r="J22" s="42">
        <v>-1084</v>
      </c>
      <c r="K22" s="38"/>
      <c r="L22" s="43">
        <f t="shared" si="0"/>
        <v>864</v>
      </c>
      <c r="M22" s="38">
        <v>7</v>
      </c>
      <c r="N22" s="38"/>
      <c r="O22" s="42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>
        <v>16</v>
      </c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DD08-2021-411C-BA63-5B54AA0E0E11}">
  <sheetPr codeName="Sheet55"/>
  <dimension ref="B1:AE102"/>
  <sheetViews>
    <sheetView topLeftCell="E8" workbookViewId="0">
      <selection activeCell="J23" sqref="J23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8" customHeight="1" thickBot="1" x14ac:dyDescent="0.3">
      <c r="B16" s="41"/>
      <c r="C16" s="38">
        <v>1</v>
      </c>
      <c r="D16" s="38" t="s">
        <v>37</v>
      </c>
      <c r="E16" s="42">
        <v>-230</v>
      </c>
      <c r="F16" s="38"/>
      <c r="G16" s="43">
        <v>0</v>
      </c>
      <c r="H16" s="38">
        <v>1</v>
      </c>
      <c r="I16" s="38"/>
      <c r="J16" s="42">
        <v>-190</v>
      </c>
      <c r="K16" s="38"/>
      <c r="L16" s="43">
        <v>0</v>
      </c>
      <c r="M16" s="38">
        <v>1</v>
      </c>
      <c r="N16" s="38"/>
      <c r="O16" s="42">
        <v>-190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-208</v>
      </c>
      <c r="H17" s="38">
        <v>2</v>
      </c>
      <c r="I17" s="38"/>
      <c r="J17" s="42">
        <v>-23</v>
      </c>
      <c r="K17" s="38"/>
      <c r="L17" s="43">
        <f t="shared" ref="L17:L22" si="0">$J$16-J17</f>
        <v>-167</v>
      </c>
      <c r="M17" s="38">
        <v>2</v>
      </c>
      <c r="N17" s="38"/>
      <c r="O17" s="42">
        <v>-18</v>
      </c>
      <c r="P17" s="44"/>
      <c r="Q17" s="43">
        <f>$O$16-O17</f>
        <v>-172</v>
      </c>
      <c r="R17" s="45"/>
      <c r="S17" s="45"/>
    </row>
    <row r="18" spans="2:19" ht="19.5" hidden="1" thickBot="1" x14ac:dyDescent="0.3">
      <c r="B18" s="41">
        <v>45104</v>
      </c>
      <c r="C18" s="38">
        <v>3</v>
      </c>
      <c r="D18" s="38"/>
      <c r="E18" s="42">
        <v>-128</v>
      </c>
      <c r="F18" s="38"/>
      <c r="G18" s="46">
        <f>$E$16-E18</f>
        <v>-102</v>
      </c>
      <c r="H18" s="38"/>
      <c r="I18" s="38"/>
      <c r="J18" s="42">
        <v>-134</v>
      </c>
      <c r="K18" s="38"/>
      <c r="L18" s="43">
        <f t="shared" si="0"/>
        <v>-56</v>
      </c>
      <c r="M18" s="38">
        <v>3</v>
      </c>
      <c r="N18" s="38"/>
      <c r="O18" s="42">
        <v>-107</v>
      </c>
      <c r="P18" s="44"/>
      <c r="Q18" s="43">
        <f>$O$16-O18</f>
        <v>-83</v>
      </c>
      <c r="R18" s="45"/>
      <c r="S18" s="45"/>
    </row>
    <row r="19" spans="2:19" ht="19.5" thickBot="1" x14ac:dyDescent="0.3">
      <c r="B19" s="41">
        <v>45776</v>
      </c>
      <c r="C19" s="38"/>
      <c r="D19" s="38"/>
      <c r="E19" s="42">
        <v>-548</v>
      </c>
      <c r="F19" s="38"/>
      <c r="G19" s="46">
        <f>$E$16-E19</f>
        <v>318</v>
      </c>
      <c r="H19" s="38"/>
      <c r="I19" s="38"/>
      <c r="J19" s="42">
        <v>-838</v>
      </c>
      <c r="K19" s="38"/>
      <c r="L19" s="43">
        <f t="shared" si="0"/>
        <v>648</v>
      </c>
      <c r="M19" s="38">
        <v>3</v>
      </c>
      <c r="N19" s="38"/>
      <c r="O19" s="42">
        <v>-728</v>
      </c>
      <c r="P19" s="44"/>
      <c r="Q19" s="43">
        <f>$O$16-O19</f>
        <v>538</v>
      </c>
      <c r="R19" s="45"/>
      <c r="S19" s="45"/>
    </row>
    <row r="20" spans="2:19" ht="19.5" thickBot="1" x14ac:dyDescent="0.3">
      <c r="B20" s="41">
        <v>45807</v>
      </c>
      <c r="C20" s="38"/>
      <c r="D20" s="38"/>
      <c r="E20" s="42">
        <v>-596</v>
      </c>
      <c r="F20" s="38"/>
      <c r="G20" s="46">
        <f>$E$16-E20</f>
        <v>366</v>
      </c>
      <c r="H20" s="38"/>
      <c r="I20" s="38"/>
      <c r="J20" s="42">
        <v>-838</v>
      </c>
      <c r="K20" s="38"/>
      <c r="L20" s="43">
        <f t="shared" si="0"/>
        <v>648</v>
      </c>
      <c r="M20" s="38">
        <v>5</v>
      </c>
      <c r="N20" s="38"/>
      <c r="O20" s="42">
        <v>-738</v>
      </c>
      <c r="P20" s="44"/>
      <c r="Q20" s="43">
        <f>$O$16-O20</f>
        <v>548</v>
      </c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>
        <v>-1038</v>
      </c>
      <c r="K21" s="38"/>
      <c r="L21" s="43">
        <f t="shared" si="0"/>
        <v>848</v>
      </c>
      <c r="M21" s="38">
        <v>6</v>
      </c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42"/>
      <c r="F22" s="38"/>
      <c r="G22" s="43"/>
      <c r="H22" s="38"/>
      <c r="I22" s="38"/>
      <c r="J22" s="42">
        <v>-1060</v>
      </c>
      <c r="K22" s="38"/>
      <c r="L22" s="43">
        <f t="shared" si="0"/>
        <v>870</v>
      </c>
      <c r="M22" s="38">
        <v>7</v>
      </c>
      <c r="N22" s="38"/>
      <c r="O22" s="42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>
        <v>16</v>
      </c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5E36-012C-46A8-A542-54A32ADDC8A8}">
  <sheetPr codeName="Sheet56"/>
  <dimension ref="B1:AE102"/>
  <sheetViews>
    <sheetView topLeftCell="D8" workbookViewId="0">
      <selection activeCell="O21" sqref="O21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/>
      <c r="C16" s="38">
        <v>1</v>
      </c>
      <c r="D16" s="38" t="s">
        <v>37</v>
      </c>
      <c r="E16" s="42">
        <v>-230</v>
      </c>
      <c r="F16" s="38"/>
      <c r="G16" s="43">
        <v>0</v>
      </c>
      <c r="H16" s="38">
        <v>1</v>
      </c>
      <c r="I16" s="38"/>
      <c r="J16" s="42">
        <v>-250</v>
      </c>
      <c r="K16" s="38"/>
      <c r="L16" s="43">
        <v>0</v>
      </c>
      <c r="M16" s="38">
        <v>1</v>
      </c>
      <c r="N16" s="38"/>
      <c r="O16" s="42">
        <v>-160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-208</v>
      </c>
      <c r="H17" s="38">
        <v>2</v>
      </c>
      <c r="I17" s="38"/>
      <c r="J17" s="42">
        <v>-23</v>
      </c>
      <c r="K17" s="38"/>
      <c r="L17" s="43">
        <f>$J$16-J17</f>
        <v>-227</v>
      </c>
      <c r="M17" s="38">
        <v>2</v>
      </c>
      <c r="N17" s="38"/>
      <c r="O17" s="42">
        <v>-18</v>
      </c>
      <c r="P17" s="44"/>
      <c r="Q17" s="43">
        <f>$O$16-O17</f>
        <v>-142</v>
      </c>
      <c r="R17" s="45"/>
      <c r="S17" s="45"/>
    </row>
    <row r="18" spans="2:19" ht="19.5" hidden="1" thickBot="1" x14ac:dyDescent="0.3">
      <c r="B18" s="41">
        <v>45104</v>
      </c>
      <c r="C18" s="38">
        <v>3</v>
      </c>
      <c r="D18" s="38"/>
      <c r="E18" s="42">
        <v>-128</v>
      </c>
      <c r="F18" s="38"/>
      <c r="G18" s="46">
        <f>$E$16-E18</f>
        <v>-102</v>
      </c>
      <c r="H18" s="38"/>
      <c r="I18" s="38"/>
      <c r="J18" s="42">
        <v>-134</v>
      </c>
      <c r="K18" s="38"/>
      <c r="L18" s="43">
        <f>$J$16-J18</f>
        <v>-116</v>
      </c>
      <c r="M18" s="38">
        <v>3</v>
      </c>
      <c r="N18" s="38"/>
      <c r="O18" s="42">
        <v>-107</v>
      </c>
      <c r="P18" s="44"/>
      <c r="Q18" s="43">
        <f>$O$16-O18</f>
        <v>-53</v>
      </c>
      <c r="R18" s="45"/>
      <c r="S18" s="45"/>
    </row>
    <row r="19" spans="2:19" ht="19.5" thickBot="1" x14ac:dyDescent="0.3">
      <c r="B19" s="41">
        <v>45776</v>
      </c>
      <c r="C19" s="38"/>
      <c r="D19" s="38"/>
      <c r="E19" s="42">
        <v>-573</v>
      </c>
      <c r="F19" s="38"/>
      <c r="G19" s="46">
        <f>$E$16-E19</f>
        <v>343</v>
      </c>
      <c r="H19" s="38"/>
      <c r="I19" s="38"/>
      <c r="J19" s="42">
        <v>-663</v>
      </c>
      <c r="K19" s="38"/>
      <c r="L19" s="43">
        <f>$J$16-J19</f>
        <v>413</v>
      </c>
      <c r="M19" s="38">
        <v>3</v>
      </c>
      <c r="N19" s="38"/>
      <c r="O19" s="42">
        <v>-504</v>
      </c>
      <c r="P19" s="44"/>
      <c r="Q19" s="43">
        <f>$O$16-O19</f>
        <v>344</v>
      </c>
      <c r="R19" s="45"/>
      <c r="S19" s="45"/>
    </row>
    <row r="20" spans="2:19" ht="19.5" thickBot="1" x14ac:dyDescent="0.3">
      <c r="B20" s="41">
        <v>45807</v>
      </c>
      <c r="C20" s="38"/>
      <c r="D20" s="38"/>
      <c r="E20" s="42">
        <v>-596</v>
      </c>
      <c r="F20" s="38"/>
      <c r="G20" s="46">
        <f>$E$16-E20</f>
        <v>366</v>
      </c>
      <c r="H20" s="38"/>
      <c r="I20" s="38"/>
      <c r="J20" s="42">
        <v>-711</v>
      </c>
      <c r="K20" s="38"/>
      <c r="L20" s="43">
        <f>$J$16-J20</f>
        <v>461</v>
      </c>
      <c r="M20" s="38">
        <v>3</v>
      </c>
      <c r="N20" s="38"/>
      <c r="O20" s="42">
        <v>-535</v>
      </c>
      <c r="P20" s="44"/>
      <c r="Q20" s="43">
        <f>$O$16-O20</f>
        <v>375</v>
      </c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42"/>
      <c r="F22" s="38"/>
      <c r="G22" s="43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>
        <v>16</v>
      </c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561B-4402-412B-BD0B-10A7D2BB8DBA}">
  <sheetPr codeName="Sheet57"/>
  <dimension ref="B1:AE102"/>
  <sheetViews>
    <sheetView topLeftCell="D8" workbookViewId="0">
      <selection activeCell="O20" sqref="O20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8" customHeight="1" thickBot="1" x14ac:dyDescent="0.3">
      <c r="B16" s="41"/>
      <c r="C16" s="38">
        <v>1</v>
      </c>
      <c r="D16" s="38" t="s">
        <v>37</v>
      </c>
      <c r="E16" s="42">
        <v>-880</v>
      </c>
      <c r="F16" s="38"/>
      <c r="G16" s="43">
        <v>0</v>
      </c>
      <c r="H16" s="38">
        <v>1</v>
      </c>
      <c r="I16" s="38"/>
      <c r="J16" s="42">
        <v>-900</v>
      </c>
      <c r="K16" s="38"/>
      <c r="L16" s="43">
        <v>0</v>
      </c>
      <c r="M16" s="38">
        <v>1</v>
      </c>
      <c r="N16" s="38"/>
      <c r="O16" s="42">
        <v>-400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-858</v>
      </c>
      <c r="H17" s="38">
        <v>2</v>
      </c>
      <c r="I17" s="38"/>
      <c r="J17" s="42">
        <v>-23</v>
      </c>
      <c r="K17" s="38"/>
      <c r="L17" s="43">
        <f>$J$16-J17</f>
        <v>-877</v>
      </c>
      <c r="M17" s="38">
        <v>2</v>
      </c>
      <c r="N17" s="38"/>
      <c r="O17" s="42">
        <v>-18</v>
      </c>
      <c r="P17" s="44"/>
      <c r="Q17" s="43">
        <f>$O$16-O17</f>
        <v>-382</v>
      </c>
      <c r="R17" s="45"/>
      <c r="S17" s="45"/>
    </row>
    <row r="18" spans="2:19" ht="19.5" thickBot="1" x14ac:dyDescent="0.3">
      <c r="B18" s="41">
        <v>45776</v>
      </c>
      <c r="C18" s="38">
        <v>3</v>
      </c>
      <c r="D18" s="38"/>
      <c r="E18" s="42">
        <v>-1009</v>
      </c>
      <c r="F18" s="38"/>
      <c r="G18" s="46">
        <f>$E$16-E18</f>
        <v>129</v>
      </c>
      <c r="H18" s="38"/>
      <c r="I18" s="38"/>
      <c r="J18" s="42">
        <v>-1113</v>
      </c>
      <c r="K18" s="38"/>
      <c r="L18" s="43">
        <f>$J$16-J18</f>
        <v>213</v>
      </c>
      <c r="M18" s="38">
        <v>3</v>
      </c>
      <c r="N18" s="38"/>
      <c r="O18" s="42">
        <v>-640</v>
      </c>
      <c r="P18" s="44"/>
      <c r="Q18" s="43">
        <f>$O$16-O18</f>
        <v>240</v>
      </c>
      <c r="R18" s="45"/>
      <c r="S18" s="45"/>
    </row>
    <row r="19" spans="2:19" ht="19.5" thickBot="1" x14ac:dyDescent="0.3">
      <c r="B19" s="41">
        <v>45807</v>
      </c>
      <c r="C19" s="38"/>
      <c r="D19" s="38"/>
      <c r="E19" s="42">
        <v>-1018</v>
      </c>
      <c r="F19" s="38"/>
      <c r="G19" s="46">
        <f>$E$16-E19</f>
        <v>138</v>
      </c>
      <c r="H19" s="38"/>
      <c r="I19" s="38"/>
      <c r="J19" s="42">
        <v>-1147</v>
      </c>
      <c r="K19" s="38"/>
      <c r="L19" s="43">
        <f>$J$16-J19</f>
        <v>247</v>
      </c>
      <c r="M19" s="38">
        <v>3</v>
      </c>
      <c r="N19" s="38"/>
      <c r="O19" s="42">
        <v>-651</v>
      </c>
      <c r="P19" s="44"/>
      <c r="Q19" s="43">
        <f>$O$16-O19</f>
        <v>251</v>
      </c>
      <c r="R19" s="45"/>
      <c r="S19" s="45"/>
    </row>
    <row r="20" spans="2:19" ht="19.5" thickBot="1" x14ac:dyDescent="0.3">
      <c r="B20" s="41"/>
      <c r="C20" s="38"/>
      <c r="D20" s="38"/>
      <c r="E20" s="42"/>
      <c r="F20" s="38"/>
      <c r="G20" s="43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thickBot="1" x14ac:dyDescent="0.3">
      <c r="B21" s="41"/>
      <c r="C21" s="38"/>
      <c r="D21" s="38"/>
      <c r="E21" s="42"/>
      <c r="F21" s="38">
        <f>P21</f>
        <v>0</v>
      </c>
      <c r="G21" s="43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42"/>
      <c r="F22" s="38"/>
      <c r="G22" s="43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>
        <v>16</v>
      </c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556C-AFB7-4F33-85B8-B93FF4CA1D48}">
  <sheetPr codeName="Sheet58"/>
  <dimension ref="B1:AE102"/>
  <sheetViews>
    <sheetView topLeftCell="A11" workbookViewId="0">
      <selection activeCell="E21" sqref="E21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8" customHeight="1" thickBot="1" x14ac:dyDescent="0.3">
      <c r="B16" s="41"/>
      <c r="C16" s="38">
        <v>1</v>
      </c>
      <c r="D16" s="38" t="s">
        <v>37</v>
      </c>
      <c r="E16" s="42">
        <v>-220</v>
      </c>
      <c r="F16" s="38"/>
      <c r="G16" s="43">
        <v>0</v>
      </c>
      <c r="H16" s="38">
        <v>1</v>
      </c>
      <c r="I16" s="38"/>
      <c r="J16" s="42">
        <v>-230</v>
      </c>
      <c r="K16" s="38"/>
      <c r="L16" s="43">
        <v>0</v>
      </c>
      <c r="M16" s="38">
        <v>1</v>
      </c>
      <c r="N16" s="38"/>
      <c r="O16" s="42">
        <v>-230</v>
      </c>
      <c r="P16" s="44"/>
      <c r="Q16" s="43">
        <v>0</v>
      </c>
      <c r="R16" s="45"/>
      <c r="S16" s="45"/>
    </row>
    <row r="17" spans="2:19" ht="2.25" hidden="1" customHeight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-198</v>
      </c>
      <c r="H17" s="38">
        <v>2</v>
      </c>
      <c r="I17" s="38"/>
      <c r="J17" s="42">
        <v>-23</v>
      </c>
      <c r="K17" s="38"/>
      <c r="L17" s="43">
        <f>$J$16-J17</f>
        <v>-207</v>
      </c>
      <c r="M17" s="38">
        <v>2</v>
      </c>
      <c r="N17" s="38"/>
      <c r="O17" s="42">
        <v>-18</v>
      </c>
      <c r="P17" s="44"/>
      <c r="Q17" s="43">
        <f>$O$16-O17</f>
        <v>-212</v>
      </c>
      <c r="R17" s="45"/>
      <c r="S17" s="45"/>
    </row>
    <row r="18" spans="2:19" ht="19.5" hidden="1" thickBot="1" x14ac:dyDescent="0.3">
      <c r="B18" s="41">
        <v>45104</v>
      </c>
      <c r="C18" s="38">
        <v>3</v>
      </c>
      <c r="D18" s="38"/>
      <c r="E18" s="42">
        <v>-128</v>
      </c>
      <c r="F18" s="38"/>
      <c r="G18" s="46">
        <f>$E$16-E18</f>
        <v>-92</v>
      </c>
      <c r="H18" s="38"/>
      <c r="I18" s="38"/>
      <c r="J18" s="42">
        <v>-134</v>
      </c>
      <c r="K18" s="38"/>
      <c r="L18" s="43">
        <f>$J$16-J18</f>
        <v>-96</v>
      </c>
      <c r="M18" s="38">
        <v>3</v>
      </c>
      <c r="N18" s="38"/>
      <c r="O18" s="42">
        <v>-107</v>
      </c>
      <c r="P18" s="44"/>
      <c r="Q18" s="43">
        <f>$O$16-O18</f>
        <v>-123</v>
      </c>
      <c r="R18" s="45"/>
      <c r="S18" s="45"/>
    </row>
    <row r="19" spans="2:19" ht="19.5" thickBot="1" x14ac:dyDescent="0.3">
      <c r="B19" s="41">
        <v>45776</v>
      </c>
      <c r="C19" s="38"/>
      <c r="D19" s="38"/>
      <c r="E19" s="42">
        <v>-1262</v>
      </c>
      <c r="F19" s="38"/>
      <c r="G19" s="46">
        <f>$E$16-E19</f>
        <v>1042</v>
      </c>
      <c r="H19" s="38"/>
      <c r="I19" s="38"/>
      <c r="J19" s="42">
        <v>-1083</v>
      </c>
      <c r="K19" s="38"/>
      <c r="L19" s="43">
        <f>$J$16-J19</f>
        <v>853</v>
      </c>
      <c r="M19" s="38"/>
      <c r="N19" s="38"/>
      <c r="O19" s="42">
        <v>-829</v>
      </c>
      <c r="P19" s="44"/>
      <c r="Q19" s="43">
        <f>$O$16-O19</f>
        <v>599</v>
      </c>
      <c r="R19" s="45"/>
      <c r="S19" s="45"/>
    </row>
    <row r="20" spans="2:19" ht="19.5" thickBot="1" x14ac:dyDescent="0.3">
      <c r="B20" s="41">
        <v>45807</v>
      </c>
      <c r="C20" s="38"/>
      <c r="D20" s="38"/>
      <c r="E20" s="42">
        <v>-1264</v>
      </c>
      <c r="F20" s="38"/>
      <c r="G20" s="46">
        <f>$E$16-E20</f>
        <v>1044</v>
      </c>
      <c r="H20" s="38"/>
      <c r="I20" s="38"/>
      <c r="J20" s="42">
        <v>-1085</v>
      </c>
      <c r="K20" s="38"/>
      <c r="L20" s="43">
        <f>$J$16-J20</f>
        <v>855</v>
      </c>
      <c r="M20" s="38"/>
      <c r="N20" s="38"/>
      <c r="O20" s="42">
        <v>-830</v>
      </c>
      <c r="P20" s="44"/>
      <c r="Q20" s="43">
        <f>$O$16-O20</f>
        <v>600</v>
      </c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/>
      <c r="K21" s="38"/>
      <c r="L21" s="43"/>
      <c r="M21" s="38"/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42"/>
      <c r="F22" s="38"/>
      <c r="G22" s="43"/>
      <c r="H22" s="38"/>
      <c r="I22" s="38"/>
      <c r="J22" s="42"/>
      <c r="K22" s="38"/>
      <c r="L22" s="43"/>
      <c r="M22" s="38"/>
      <c r="N22" s="38"/>
      <c r="O22" s="42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/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/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/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/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/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/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/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/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/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/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4067-1298-405A-B0E3-9FA166398624}">
  <sheetPr codeName="Sheet59"/>
  <dimension ref="B1:AE102"/>
  <sheetViews>
    <sheetView topLeftCell="A8" workbookViewId="0">
      <selection activeCell="J21" sqref="J21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/>
      <c r="C16" s="38">
        <v>1</v>
      </c>
      <c r="D16" s="38" t="s">
        <v>37</v>
      </c>
      <c r="E16" s="42">
        <v>-160</v>
      </c>
      <c r="F16" s="38"/>
      <c r="G16" s="43">
        <v>0</v>
      </c>
      <c r="H16" s="38">
        <v>1</v>
      </c>
      <c r="I16" s="38"/>
      <c r="J16" s="42">
        <v>-200</v>
      </c>
      <c r="K16" s="38"/>
      <c r="L16" s="43">
        <v>0</v>
      </c>
      <c r="M16" s="38">
        <v>1</v>
      </c>
      <c r="N16" s="38"/>
      <c r="O16" s="42">
        <v>-180</v>
      </c>
      <c r="P16" s="44"/>
      <c r="Q16" s="43">
        <v>0</v>
      </c>
      <c r="R16" s="45"/>
      <c r="S16" s="45"/>
    </row>
    <row r="17" spans="2:19" ht="0.75" customHeight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-138</v>
      </c>
      <c r="H17" s="38">
        <v>2</v>
      </c>
      <c r="I17" s="38"/>
      <c r="J17" s="42">
        <v>-23</v>
      </c>
      <c r="K17" s="38"/>
      <c r="L17" s="43">
        <f>$J$16-J17</f>
        <v>-177</v>
      </c>
      <c r="M17" s="38">
        <v>2</v>
      </c>
      <c r="N17" s="38"/>
      <c r="O17" s="42">
        <v>-18</v>
      </c>
      <c r="P17" s="44"/>
      <c r="Q17" s="43">
        <f>$O$16-O17</f>
        <v>-162</v>
      </c>
      <c r="R17" s="45"/>
      <c r="S17" s="45"/>
    </row>
    <row r="18" spans="2:19" ht="19.5" hidden="1" thickBot="1" x14ac:dyDescent="0.3">
      <c r="B18" s="41">
        <v>45104</v>
      </c>
      <c r="C18" s="38">
        <v>3</v>
      </c>
      <c r="D18" s="38"/>
      <c r="E18" s="42">
        <v>-128</v>
      </c>
      <c r="F18" s="38"/>
      <c r="G18" s="46">
        <f>$E$16-E18</f>
        <v>-32</v>
      </c>
      <c r="H18" s="38"/>
      <c r="I18" s="38"/>
      <c r="J18" s="42">
        <v>-134</v>
      </c>
      <c r="K18" s="38"/>
      <c r="L18" s="43">
        <f>$J$16-J18</f>
        <v>-66</v>
      </c>
      <c r="M18" s="38">
        <v>3</v>
      </c>
      <c r="N18" s="38"/>
      <c r="O18" s="42">
        <v>-107</v>
      </c>
      <c r="P18" s="44"/>
      <c r="Q18" s="43">
        <f>$O$16-O18</f>
        <v>-73</v>
      </c>
      <c r="R18" s="45"/>
      <c r="S18" s="45"/>
    </row>
    <row r="19" spans="2:19" ht="19.5" thickBot="1" x14ac:dyDescent="0.3">
      <c r="B19" s="41">
        <v>45776</v>
      </c>
      <c r="C19" s="38"/>
      <c r="D19" s="38"/>
      <c r="E19" s="42">
        <v>-782</v>
      </c>
      <c r="F19" s="38"/>
      <c r="G19" s="46">
        <f>$E$16-E19</f>
        <v>622</v>
      </c>
      <c r="H19" s="38"/>
      <c r="I19" s="38"/>
      <c r="J19" s="42">
        <v>-751</v>
      </c>
      <c r="K19" s="38"/>
      <c r="L19" s="43">
        <f>$J$16-J19</f>
        <v>551</v>
      </c>
      <c r="M19" s="38">
        <v>3</v>
      </c>
      <c r="N19" s="38"/>
      <c r="O19" s="42">
        <v>-756</v>
      </c>
      <c r="P19" s="44"/>
      <c r="Q19" s="43">
        <f>$O$16-O19</f>
        <v>576</v>
      </c>
      <c r="R19" s="45"/>
      <c r="S19" s="45"/>
    </row>
    <row r="20" spans="2:19" ht="19.5" thickBot="1" x14ac:dyDescent="0.3">
      <c r="B20" s="41">
        <v>45807</v>
      </c>
      <c r="C20" s="38"/>
      <c r="D20" s="38"/>
      <c r="E20" s="42">
        <v>-784</v>
      </c>
      <c r="F20" s="38"/>
      <c r="G20" s="46">
        <f>$E$16-E20</f>
        <v>624</v>
      </c>
      <c r="H20" s="38"/>
      <c r="I20" s="38"/>
      <c r="J20" s="42">
        <v>-753</v>
      </c>
      <c r="K20" s="38"/>
      <c r="L20" s="43">
        <f>$J$16-J20</f>
        <v>553</v>
      </c>
      <c r="M20" s="38">
        <v>3</v>
      </c>
      <c r="N20" s="38"/>
      <c r="O20" s="42">
        <v>-756</v>
      </c>
      <c r="P20" s="44"/>
      <c r="Q20" s="43">
        <f>$O$16-O20</f>
        <v>576</v>
      </c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42"/>
      <c r="F22" s="38"/>
      <c r="G22" s="43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>
        <v>16</v>
      </c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5097-7117-426A-9DA1-48AA183E58C6}">
  <sheetPr codeName="Sheet60"/>
  <dimension ref="B1:AE102"/>
  <sheetViews>
    <sheetView topLeftCell="D8" workbookViewId="0">
      <selection activeCell="J20" sqref="J20"/>
    </sheetView>
  </sheetViews>
  <sheetFormatPr defaultColWidth="9.140625" defaultRowHeight="15.75" x14ac:dyDescent="0.25"/>
  <cols>
    <col min="1" max="1" width="9.140625" style="16"/>
    <col min="2" max="2" width="12.7109375" style="1" customWidth="1"/>
    <col min="3" max="3" width="12.85546875" style="2" customWidth="1"/>
    <col min="4" max="4" width="9.5703125" style="2" customWidth="1"/>
    <col min="5" max="5" width="11.140625" style="3" customWidth="1"/>
    <col min="6" max="6" width="11.7109375" style="3" customWidth="1"/>
    <col min="7" max="7" width="12.42578125" style="4" customWidth="1"/>
    <col min="8" max="9" width="11.7109375" style="5" customWidth="1"/>
    <col min="10" max="10" width="11.7109375" style="6" customWidth="1"/>
    <col min="11" max="11" width="11.7109375" style="7" customWidth="1"/>
    <col min="12" max="12" width="12.7109375" style="8" customWidth="1"/>
    <col min="13" max="13" width="11.85546875" style="9" customWidth="1"/>
    <col min="14" max="14" width="11.7109375" style="7" customWidth="1"/>
    <col min="15" max="15" width="12.5703125" style="7" customWidth="1"/>
    <col min="16" max="16" width="12.140625" style="3" customWidth="1"/>
    <col min="17" max="17" width="12" style="10" customWidth="1"/>
    <col min="18" max="18" width="9.140625" style="7"/>
    <col min="19" max="21" width="9.140625" style="9"/>
    <col min="22" max="22" width="9.140625" style="11"/>
    <col min="23" max="23" width="9.140625" style="12"/>
    <col min="24" max="24" width="9.140625" style="11"/>
    <col min="25" max="25" width="9.140625" style="13"/>
    <col min="26" max="26" width="9.140625" style="14"/>
    <col min="27" max="30" width="9.140625" style="15"/>
    <col min="31" max="31" width="9.140625" style="14"/>
    <col min="32" max="16384" width="9.140625" style="16"/>
  </cols>
  <sheetData>
    <row r="1" spans="2:19" ht="16.5" thickBot="1" x14ac:dyDescent="0.3"/>
    <row r="2" spans="2:19" ht="16.5" thickBo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7"/>
    </row>
    <row r="3" spans="2:19" ht="16.5" thickBot="1" x14ac:dyDescent="0.3">
      <c r="B3" s="17" t="s">
        <v>1</v>
      </c>
      <c r="C3" s="18"/>
      <c r="D3" s="18"/>
      <c r="E3" s="18"/>
      <c r="F3" s="18"/>
      <c r="G3" s="19"/>
      <c r="H3" s="18"/>
      <c r="I3" s="18"/>
      <c r="J3" s="18"/>
      <c r="K3" s="18"/>
      <c r="L3" s="19"/>
      <c r="M3" s="18"/>
      <c r="N3" s="18"/>
      <c r="O3" s="18"/>
      <c r="P3" s="20"/>
      <c r="Q3" s="19"/>
      <c r="R3" s="18"/>
      <c r="S3" s="21"/>
    </row>
    <row r="4" spans="2:19" ht="16.5" thickBot="1" x14ac:dyDescent="0.3">
      <c r="B4" s="98" t="s">
        <v>2</v>
      </c>
      <c r="C4" s="100" t="s">
        <v>3</v>
      </c>
      <c r="D4" s="101"/>
      <c r="E4" s="100" t="s">
        <v>4</v>
      </c>
      <c r="F4" s="101"/>
      <c r="G4" s="104" t="s">
        <v>5</v>
      </c>
      <c r="H4" s="105"/>
      <c r="I4" s="105"/>
      <c r="J4" s="105"/>
      <c r="K4" s="105"/>
      <c r="L4" s="106"/>
      <c r="M4" s="107" t="s">
        <v>6</v>
      </c>
      <c r="N4" s="108"/>
      <c r="O4" s="108"/>
      <c r="P4" s="109"/>
      <c r="Q4" s="100" t="s">
        <v>7</v>
      </c>
      <c r="R4" s="110"/>
      <c r="S4" s="111"/>
    </row>
    <row r="5" spans="2:19" ht="32.25" thickBot="1" x14ac:dyDescent="0.3">
      <c r="B5" s="99"/>
      <c r="C5" s="102"/>
      <c r="D5" s="103"/>
      <c r="E5" s="102"/>
      <c r="F5" s="103"/>
      <c r="G5" s="22" t="s">
        <v>8</v>
      </c>
      <c r="H5" s="107" t="s">
        <v>9</v>
      </c>
      <c r="I5" s="109"/>
      <c r="J5" s="107" t="s">
        <v>10</v>
      </c>
      <c r="K5" s="109"/>
      <c r="L5" s="22" t="s">
        <v>11</v>
      </c>
      <c r="M5" s="107" t="s">
        <v>12</v>
      </c>
      <c r="N5" s="109"/>
      <c r="O5" s="107" t="s">
        <v>13</v>
      </c>
      <c r="P5" s="109"/>
      <c r="Q5" s="102"/>
      <c r="R5" s="112"/>
      <c r="S5" s="113"/>
    </row>
    <row r="6" spans="2:19" ht="16.5" thickBot="1" x14ac:dyDescent="0.3">
      <c r="B6" s="114" t="s">
        <v>14</v>
      </c>
      <c r="C6" s="117" t="s">
        <v>15</v>
      </c>
      <c r="D6" s="118"/>
      <c r="E6" s="119"/>
      <c r="F6" s="120"/>
      <c r="G6" s="23"/>
      <c r="H6" s="119"/>
      <c r="I6" s="120"/>
      <c r="J6" s="119"/>
      <c r="K6" s="120"/>
      <c r="L6" s="23"/>
      <c r="M6" s="119"/>
      <c r="N6" s="120"/>
      <c r="O6" s="119"/>
      <c r="P6" s="120"/>
      <c r="Q6" s="125" t="s">
        <v>16</v>
      </c>
      <c r="R6" s="126"/>
      <c r="S6" s="127"/>
    </row>
    <row r="7" spans="2:19" ht="16.5" thickBot="1" x14ac:dyDescent="0.3">
      <c r="B7" s="115"/>
      <c r="C7" s="128" t="s">
        <v>17</v>
      </c>
      <c r="D7" s="129"/>
      <c r="E7" s="130"/>
      <c r="F7" s="131"/>
      <c r="G7" s="23"/>
      <c r="H7" s="130"/>
      <c r="I7" s="131"/>
      <c r="J7" s="130"/>
      <c r="K7" s="131"/>
      <c r="L7" s="23"/>
      <c r="M7" s="130"/>
      <c r="N7" s="131"/>
      <c r="O7" s="130"/>
      <c r="P7" s="131"/>
      <c r="Q7" s="132" t="s">
        <v>18</v>
      </c>
      <c r="R7" s="133"/>
      <c r="S7" s="134"/>
    </row>
    <row r="8" spans="2:19" ht="16.5" thickBot="1" x14ac:dyDescent="0.3">
      <c r="B8" s="116"/>
      <c r="C8" s="121" t="s">
        <v>19</v>
      </c>
      <c r="D8" s="122"/>
      <c r="E8" s="123"/>
      <c r="F8" s="124"/>
      <c r="G8" s="24"/>
      <c r="H8" s="123"/>
      <c r="I8" s="124"/>
      <c r="J8" s="123"/>
      <c r="K8" s="124"/>
      <c r="L8" s="24"/>
      <c r="M8" s="123"/>
      <c r="N8" s="124"/>
      <c r="O8" s="123"/>
      <c r="P8" s="124"/>
      <c r="Q8" s="123"/>
      <c r="R8" s="144"/>
      <c r="S8" s="145"/>
    </row>
    <row r="9" spans="2:19" ht="16.5" thickBot="1" x14ac:dyDescent="0.3">
      <c r="B9" s="25"/>
      <c r="C9" s="26"/>
      <c r="D9" s="26"/>
      <c r="E9" s="26"/>
      <c r="F9" s="26"/>
      <c r="G9" s="27"/>
      <c r="H9" s="26"/>
      <c r="I9" s="26"/>
      <c r="J9" s="26"/>
      <c r="K9" s="26"/>
      <c r="L9" s="27"/>
      <c r="M9" s="26"/>
      <c r="N9" s="26"/>
      <c r="O9" s="26"/>
      <c r="P9" s="28"/>
      <c r="Q9" s="27"/>
      <c r="R9" s="26"/>
      <c r="S9" s="29"/>
    </row>
    <row r="10" spans="2:19" ht="19.5" thickBot="1" x14ac:dyDescent="0.3">
      <c r="B10" s="30" t="s">
        <v>20</v>
      </c>
      <c r="C10" s="31"/>
      <c r="D10" s="31"/>
      <c r="E10" s="31"/>
      <c r="F10" s="31"/>
      <c r="G10" s="32"/>
      <c r="H10" s="31"/>
      <c r="I10" s="31"/>
      <c r="J10" s="31"/>
      <c r="K10" s="31"/>
      <c r="L10" s="32"/>
      <c r="M10" s="31"/>
      <c r="N10" s="31"/>
      <c r="O10" s="31"/>
      <c r="P10" s="33"/>
      <c r="Q10" s="32"/>
      <c r="R10" s="31"/>
      <c r="S10" s="34"/>
    </row>
    <row r="11" spans="2:19" ht="19.5" thickBot="1" x14ac:dyDescent="0.35">
      <c r="B11" s="135" t="s">
        <v>21</v>
      </c>
      <c r="C11" s="138" t="s">
        <v>22</v>
      </c>
      <c r="D11" s="139"/>
      <c r="E11" s="139"/>
      <c r="F11" s="139"/>
      <c r="G11" s="140"/>
      <c r="H11" s="138" t="s">
        <v>23</v>
      </c>
      <c r="I11" s="139"/>
      <c r="J11" s="139"/>
      <c r="K11" s="139"/>
      <c r="L11" s="140"/>
      <c r="M11" s="138" t="s">
        <v>24</v>
      </c>
      <c r="N11" s="139"/>
      <c r="O11" s="139"/>
      <c r="P11" s="139"/>
      <c r="Q11" s="140"/>
      <c r="R11" s="141" t="s">
        <v>25</v>
      </c>
      <c r="S11" s="148" t="s">
        <v>26</v>
      </c>
    </row>
    <row r="12" spans="2:19" ht="15.75" customHeight="1" x14ac:dyDescent="0.25">
      <c r="B12" s="136"/>
      <c r="C12" s="141" t="s">
        <v>27</v>
      </c>
      <c r="D12" s="141" t="s">
        <v>28</v>
      </c>
      <c r="E12" s="141" t="s">
        <v>29</v>
      </c>
      <c r="F12" s="141" t="s">
        <v>30</v>
      </c>
      <c r="G12" s="146" t="s">
        <v>31</v>
      </c>
      <c r="H12" s="141" t="s">
        <v>27</v>
      </c>
      <c r="I12" s="141" t="s">
        <v>28</v>
      </c>
      <c r="J12" s="141" t="s">
        <v>29</v>
      </c>
      <c r="K12" s="141" t="s">
        <v>30</v>
      </c>
      <c r="L12" s="146" t="s">
        <v>31</v>
      </c>
      <c r="M12" s="141" t="s">
        <v>27</v>
      </c>
      <c r="N12" s="141" t="s">
        <v>28</v>
      </c>
      <c r="O12" s="141" t="s">
        <v>29</v>
      </c>
      <c r="P12" s="186" t="s">
        <v>30</v>
      </c>
      <c r="Q12" s="146" t="s">
        <v>31</v>
      </c>
      <c r="R12" s="142"/>
      <c r="S12" s="149"/>
    </row>
    <row r="13" spans="2:19" ht="22.5" customHeight="1" thickBot="1" x14ac:dyDescent="0.3">
      <c r="B13" s="136"/>
      <c r="C13" s="143"/>
      <c r="D13" s="143"/>
      <c r="E13" s="143"/>
      <c r="F13" s="143"/>
      <c r="G13" s="147"/>
      <c r="H13" s="143"/>
      <c r="I13" s="143"/>
      <c r="J13" s="143"/>
      <c r="K13" s="143"/>
      <c r="L13" s="147"/>
      <c r="M13" s="143"/>
      <c r="N13" s="143"/>
      <c r="O13" s="143"/>
      <c r="P13" s="187"/>
      <c r="Q13" s="147"/>
      <c r="R13" s="143"/>
      <c r="S13" s="149"/>
    </row>
    <row r="14" spans="2:19" ht="19.5" thickBot="1" x14ac:dyDescent="0.35">
      <c r="B14" s="137"/>
      <c r="C14" s="35" t="s">
        <v>32</v>
      </c>
      <c r="D14" s="35" t="s">
        <v>33</v>
      </c>
      <c r="E14" s="35" t="s">
        <v>34</v>
      </c>
      <c r="F14" s="35" t="s">
        <v>33</v>
      </c>
      <c r="G14" s="36" t="s">
        <v>34</v>
      </c>
      <c r="H14" s="35" t="s">
        <v>35</v>
      </c>
      <c r="I14" s="35" t="s">
        <v>33</v>
      </c>
      <c r="J14" s="35" t="s">
        <v>34</v>
      </c>
      <c r="K14" s="35" t="s">
        <v>33</v>
      </c>
      <c r="L14" s="36" t="s">
        <v>34</v>
      </c>
      <c r="M14" s="35" t="s">
        <v>35</v>
      </c>
      <c r="N14" s="35" t="s">
        <v>33</v>
      </c>
      <c r="O14" s="35" t="s">
        <v>34</v>
      </c>
      <c r="P14" s="37" t="s">
        <v>33</v>
      </c>
      <c r="Q14" s="36" t="s">
        <v>34</v>
      </c>
      <c r="R14" s="38" t="s">
        <v>36</v>
      </c>
      <c r="S14" s="150"/>
    </row>
    <row r="15" spans="2:19" ht="19.5" thickBot="1" x14ac:dyDescent="0.35">
      <c r="B15" s="39">
        <v>1</v>
      </c>
      <c r="C15" s="40">
        <v>2</v>
      </c>
      <c r="D15" s="40">
        <v>3</v>
      </c>
      <c r="E15" s="40">
        <v>4</v>
      </c>
      <c r="F15" s="40">
        <v>5</v>
      </c>
      <c r="G15" s="36">
        <v>6</v>
      </c>
      <c r="H15" s="40">
        <v>7</v>
      </c>
      <c r="I15" s="40">
        <v>8</v>
      </c>
      <c r="J15" s="40">
        <v>9</v>
      </c>
      <c r="K15" s="40">
        <v>10</v>
      </c>
      <c r="L15" s="36">
        <v>11</v>
      </c>
      <c r="M15" s="40">
        <v>12</v>
      </c>
      <c r="N15" s="40">
        <v>13</v>
      </c>
      <c r="O15" s="40">
        <v>14</v>
      </c>
      <c r="P15" s="37">
        <v>15</v>
      </c>
      <c r="Q15" s="36">
        <v>16</v>
      </c>
      <c r="R15" s="40">
        <v>17</v>
      </c>
      <c r="S15" s="40">
        <v>18</v>
      </c>
    </row>
    <row r="16" spans="2:19" ht="19.5" thickBot="1" x14ac:dyDescent="0.3">
      <c r="B16" s="41"/>
      <c r="C16" s="38">
        <v>1</v>
      </c>
      <c r="D16" s="38" t="s">
        <v>37</v>
      </c>
      <c r="E16" s="42">
        <v>-640</v>
      </c>
      <c r="F16" s="38"/>
      <c r="G16" s="43">
        <v>0</v>
      </c>
      <c r="H16" s="38">
        <v>1</v>
      </c>
      <c r="I16" s="38"/>
      <c r="J16" s="42">
        <v>-290</v>
      </c>
      <c r="K16" s="38"/>
      <c r="L16" s="43">
        <v>0</v>
      </c>
      <c r="M16" s="38">
        <v>1</v>
      </c>
      <c r="N16" s="38"/>
      <c r="O16" s="42">
        <v>-250</v>
      </c>
      <c r="P16" s="44"/>
      <c r="Q16" s="43">
        <v>0</v>
      </c>
      <c r="R16" s="45"/>
      <c r="S16" s="45"/>
    </row>
    <row r="17" spans="2:19" ht="19.5" hidden="1" thickBot="1" x14ac:dyDescent="0.3">
      <c r="B17" s="41">
        <v>45073</v>
      </c>
      <c r="C17" s="38">
        <v>2</v>
      </c>
      <c r="D17" s="38"/>
      <c r="E17" s="42">
        <v>-22</v>
      </c>
      <c r="F17" s="38"/>
      <c r="G17" s="46">
        <f>$E$16-E17</f>
        <v>-618</v>
      </c>
      <c r="H17" s="38">
        <v>2</v>
      </c>
      <c r="I17" s="38"/>
      <c r="J17" s="42">
        <v>-23</v>
      </c>
      <c r="K17" s="38"/>
      <c r="L17" s="43">
        <f>$J$16-J17</f>
        <v>-267</v>
      </c>
      <c r="M17" s="38">
        <v>2</v>
      </c>
      <c r="N17" s="38"/>
      <c r="O17" s="42">
        <v>-18</v>
      </c>
      <c r="P17" s="44"/>
      <c r="Q17" s="43">
        <f>$O$16-O17</f>
        <v>-232</v>
      </c>
      <c r="R17" s="45"/>
      <c r="S17" s="45"/>
    </row>
    <row r="18" spans="2:19" ht="19.5" thickBot="1" x14ac:dyDescent="0.3">
      <c r="B18" s="41">
        <v>45776</v>
      </c>
      <c r="C18" s="38">
        <v>3</v>
      </c>
      <c r="D18" s="38"/>
      <c r="E18" s="42">
        <v>-803</v>
      </c>
      <c r="F18" s="38"/>
      <c r="G18" s="46">
        <f>$E$16-E18</f>
        <v>163</v>
      </c>
      <c r="H18" s="38"/>
      <c r="I18" s="38"/>
      <c r="J18" s="42">
        <v>-759</v>
      </c>
      <c r="K18" s="38"/>
      <c r="L18" s="43">
        <f>$J$16-J18</f>
        <v>469</v>
      </c>
      <c r="M18" s="38">
        <v>3</v>
      </c>
      <c r="N18" s="38"/>
      <c r="O18" s="42">
        <v>-701</v>
      </c>
      <c r="P18" s="44"/>
      <c r="Q18" s="43">
        <f>$O$16-O18</f>
        <v>451</v>
      </c>
      <c r="R18" s="45"/>
      <c r="S18" s="45"/>
    </row>
    <row r="19" spans="2:19" ht="19.5" thickBot="1" x14ac:dyDescent="0.3">
      <c r="B19" s="41">
        <v>45807</v>
      </c>
      <c r="C19" s="38"/>
      <c r="D19" s="38"/>
      <c r="E19" s="42">
        <v>-804</v>
      </c>
      <c r="F19" s="38"/>
      <c r="G19" s="46">
        <f>$E$16-E19</f>
        <v>164</v>
      </c>
      <c r="H19" s="38"/>
      <c r="I19" s="38"/>
      <c r="J19" s="42">
        <v>-760</v>
      </c>
      <c r="K19" s="38"/>
      <c r="L19" s="43">
        <f>$J$16-J19</f>
        <v>470</v>
      </c>
      <c r="M19" s="38">
        <v>3</v>
      </c>
      <c r="N19" s="38"/>
      <c r="O19" s="42">
        <v>-701</v>
      </c>
      <c r="P19" s="44"/>
      <c r="Q19" s="43">
        <f>$O$16-O19</f>
        <v>451</v>
      </c>
      <c r="R19" s="45"/>
      <c r="S19" s="45"/>
    </row>
    <row r="20" spans="2:19" ht="19.5" thickBot="1" x14ac:dyDescent="0.3">
      <c r="B20" s="41"/>
      <c r="C20" s="38"/>
      <c r="D20" s="38"/>
      <c r="E20" s="42"/>
      <c r="F20" s="38"/>
      <c r="G20" s="43"/>
      <c r="H20" s="38"/>
      <c r="I20" s="38"/>
      <c r="J20" s="42"/>
      <c r="K20" s="38"/>
      <c r="L20" s="43"/>
      <c r="M20" s="38">
        <v>5</v>
      </c>
      <c r="N20" s="38"/>
      <c r="O20" s="42"/>
      <c r="P20" s="44"/>
      <c r="Q20" s="43"/>
      <c r="R20" s="45"/>
      <c r="S20" s="45"/>
    </row>
    <row r="21" spans="2:19" ht="19.5" thickBot="1" x14ac:dyDescent="0.3">
      <c r="B21" s="41"/>
      <c r="C21" s="38"/>
      <c r="D21" s="38"/>
      <c r="E21" s="42"/>
      <c r="F21" s="38"/>
      <c r="G21" s="43"/>
      <c r="H21" s="38"/>
      <c r="I21" s="38"/>
      <c r="J21" s="42"/>
      <c r="K21" s="38"/>
      <c r="L21" s="43"/>
      <c r="M21" s="38">
        <v>6</v>
      </c>
      <c r="N21" s="38"/>
      <c r="O21" s="42"/>
      <c r="P21" s="44"/>
      <c r="Q21" s="43"/>
      <c r="R21" s="45"/>
      <c r="S21" s="45"/>
    </row>
    <row r="22" spans="2:19" ht="19.5" thickBot="1" x14ac:dyDescent="0.3">
      <c r="B22" s="41"/>
      <c r="C22" s="38"/>
      <c r="D22" s="38"/>
      <c r="E22" s="42"/>
      <c r="F22" s="38"/>
      <c r="G22" s="43"/>
      <c r="H22" s="38"/>
      <c r="I22" s="38"/>
      <c r="J22" s="42"/>
      <c r="K22" s="38"/>
      <c r="L22" s="43"/>
      <c r="M22" s="38">
        <v>7</v>
      </c>
      <c r="N22" s="38"/>
      <c r="O22" s="42"/>
      <c r="P22" s="44"/>
      <c r="Q22" s="43"/>
      <c r="R22" s="45"/>
      <c r="S22" s="45"/>
    </row>
    <row r="23" spans="2:19" ht="19.5" thickBot="1" x14ac:dyDescent="0.3">
      <c r="B23" s="41"/>
      <c r="C23" s="38"/>
      <c r="D23" s="38"/>
      <c r="E23" s="42"/>
      <c r="F23" s="38"/>
      <c r="G23" s="43"/>
      <c r="H23" s="38"/>
      <c r="I23" s="38"/>
      <c r="J23" s="42"/>
      <c r="K23" s="38"/>
      <c r="L23" s="43"/>
      <c r="M23" s="38">
        <v>8</v>
      </c>
      <c r="N23" s="38"/>
      <c r="O23" s="42"/>
      <c r="P23" s="44"/>
      <c r="Q23" s="43"/>
      <c r="R23" s="45"/>
      <c r="S23" s="45"/>
    </row>
    <row r="24" spans="2:19" ht="19.5" thickBot="1" x14ac:dyDescent="0.3">
      <c r="B24" s="41"/>
      <c r="C24" s="38"/>
      <c r="D24" s="38"/>
      <c r="E24" s="42"/>
      <c r="F24" s="38"/>
      <c r="G24" s="43"/>
      <c r="H24" s="38"/>
      <c r="I24" s="38"/>
      <c r="J24" s="42"/>
      <c r="K24" s="38"/>
      <c r="L24" s="43"/>
      <c r="M24" s="38">
        <v>9</v>
      </c>
      <c r="N24" s="38"/>
      <c r="O24" s="42"/>
      <c r="P24" s="44"/>
      <c r="Q24" s="43"/>
      <c r="R24" s="45"/>
      <c r="S24" s="45"/>
    </row>
    <row r="25" spans="2:19" ht="19.5" thickBot="1" x14ac:dyDescent="0.3">
      <c r="B25" s="41"/>
      <c r="C25" s="38"/>
      <c r="D25" s="38"/>
      <c r="E25" s="42"/>
      <c r="F25" s="38"/>
      <c r="G25" s="43"/>
      <c r="H25" s="38"/>
      <c r="I25" s="38"/>
      <c r="J25" s="42"/>
      <c r="K25" s="38"/>
      <c r="L25" s="43"/>
      <c r="M25" s="38">
        <v>10</v>
      </c>
      <c r="N25" s="38"/>
      <c r="O25" s="42"/>
      <c r="P25" s="44"/>
      <c r="Q25" s="43"/>
      <c r="R25" s="45"/>
      <c r="S25" s="45"/>
    </row>
    <row r="26" spans="2:19" ht="19.5" thickBot="1" x14ac:dyDescent="0.3">
      <c r="B26" s="41"/>
      <c r="C26" s="38"/>
      <c r="D26" s="38"/>
      <c r="E26" s="42"/>
      <c r="F26" s="38"/>
      <c r="G26" s="43"/>
      <c r="H26" s="38"/>
      <c r="I26" s="38"/>
      <c r="J26" s="42"/>
      <c r="K26" s="38"/>
      <c r="L26" s="43"/>
      <c r="M26" s="38">
        <v>11</v>
      </c>
      <c r="N26" s="38"/>
      <c r="O26" s="42"/>
      <c r="P26" s="44"/>
      <c r="Q26" s="43"/>
      <c r="R26" s="45"/>
      <c r="S26" s="45"/>
    </row>
    <row r="27" spans="2:19" ht="19.5" thickBot="1" x14ac:dyDescent="0.3">
      <c r="B27" s="41"/>
      <c r="C27" s="38"/>
      <c r="D27" s="38"/>
      <c r="E27" s="42"/>
      <c r="F27" s="38"/>
      <c r="G27" s="43"/>
      <c r="H27" s="38"/>
      <c r="I27" s="38"/>
      <c r="J27" s="42"/>
      <c r="K27" s="38"/>
      <c r="L27" s="43"/>
      <c r="M27" s="38">
        <v>12</v>
      </c>
      <c r="N27" s="38"/>
      <c r="O27" s="42"/>
      <c r="P27" s="44"/>
      <c r="Q27" s="43"/>
      <c r="R27" s="45"/>
      <c r="S27" s="45"/>
    </row>
    <row r="28" spans="2:19" ht="19.5" thickBot="1" x14ac:dyDescent="0.3">
      <c r="B28" s="41"/>
      <c r="C28" s="38"/>
      <c r="D28" s="38"/>
      <c r="E28" s="42"/>
      <c r="F28" s="38"/>
      <c r="G28" s="43"/>
      <c r="H28" s="38"/>
      <c r="I28" s="38"/>
      <c r="J28" s="42"/>
      <c r="K28" s="38"/>
      <c r="L28" s="43"/>
      <c r="M28" s="38">
        <v>13</v>
      </c>
      <c r="N28" s="38"/>
      <c r="O28" s="42"/>
      <c r="P28" s="44"/>
      <c r="Q28" s="43"/>
      <c r="R28" s="45"/>
      <c r="S28" s="45"/>
    </row>
    <row r="29" spans="2:19" ht="19.5" thickBot="1" x14ac:dyDescent="0.3">
      <c r="B29" s="41"/>
      <c r="C29" s="38"/>
      <c r="D29" s="38"/>
      <c r="E29" s="42"/>
      <c r="F29" s="38"/>
      <c r="G29" s="43"/>
      <c r="H29" s="38"/>
      <c r="I29" s="38"/>
      <c r="J29" s="42"/>
      <c r="K29" s="38"/>
      <c r="L29" s="43"/>
      <c r="M29" s="38">
        <v>14</v>
      </c>
      <c r="N29" s="38"/>
      <c r="O29" s="42"/>
      <c r="P29" s="44"/>
      <c r="Q29" s="43"/>
      <c r="R29" s="45"/>
      <c r="S29" s="45"/>
    </row>
    <row r="30" spans="2:19" ht="19.5" thickBot="1" x14ac:dyDescent="0.3">
      <c r="B30" s="41"/>
      <c r="C30" s="38"/>
      <c r="D30" s="38"/>
      <c r="E30" s="42"/>
      <c r="F30" s="38"/>
      <c r="G30" s="43"/>
      <c r="H30" s="38"/>
      <c r="I30" s="38"/>
      <c r="J30" s="42"/>
      <c r="K30" s="38"/>
      <c r="L30" s="43"/>
      <c r="M30" s="38">
        <v>15</v>
      </c>
      <c r="N30" s="38"/>
      <c r="O30" s="42"/>
      <c r="P30" s="44"/>
      <c r="Q30" s="43"/>
      <c r="R30" s="45"/>
      <c r="S30" s="45"/>
    </row>
    <row r="31" spans="2:19" ht="19.5" thickBot="1" x14ac:dyDescent="0.3">
      <c r="B31" s="41"/>
      <c r="C31" s="38"/>
      <c r="D31" s="38"/>
      <c r="E31" s="42"/>
      <c r="F31" s="38"/>
      <c r="G31" s="43"/>
      <c r="H31" s="38"/>
      <c r="I31" s="38"/>
      <c r="J31" s="42"/>
      <c r="K31" s="38"/>
      <c r="L31" s="43"/>
      <c r="M31" s="38">
        <v>16</v>
      </c>
      <c r="N31" s="38"/>
      <c r="O31" s="42"/>
      <c r="P31" s="44"/>
      <c r="Q31" s="43"/>
      <c r="R31" s="45"/>
      <c r="S31" s="45"/>
    </row>
    <row r="32" spans="2:19" ht="19.5" thickBot="1" x14ac:dyDescent="0.3">
      <c r="B32" s="41"/>
      <c r="C32" s="38"/>
      <c r="D32" s="38"/>
      <c r="E32" s="42"/>
      <c r="F32" s="38"/>
      <c r="G32" s="43"/>
      <c r="H32" s="38"/>
      <c r="I32" s="38"/>
      <c r="J32" s="42"/>
      <c r="K32" s="38"/>
      <c r="L32" s="43"/>
      <c r="M32" s="38">
        <v>17</v>
      </c>
      <c r="N32" s="38"/>
      <c r="O32" s="42"/>
      <c r="P32" s="44"/>
      <c r="Q32" s="43"/>
      <c r="R32" s="45"/>
      <c r="S32" s="45"/>
    </row>
    <row r="33" spans="2:19" ht="19.5" thickBot="1" x14ac:dyDescent="0.3">
      <c r="B33" s="41"/>
      <c r="C33" s="38"/>
      <c r="D33" s="47"/>
      <c r="E33" s="47"/>
      <c r="F33" s="47"/>
      <c r="G33" s="48"/>
      <c r="H33" s="47"/>
      <c r="I33" s="47"/>
      <c r="J33" s="47"/>
      <c r="K33" s="47"/>
      <c r="L33" s="48"/>
      <c r="M33" s="47"/>
      <c r="N33" s="47"/>
      <c r="O33" s="47"/>
      <c r="P33" s="49"/>
      <c r="Q33" s="48"/>
      <c r="R33" s="47"/>
      <c r="S33" s="47"/>
    </row>
    <row r="34" spans="2:19" ht="19.5" thickBot="1" x14ac:dyDescent="0.3">
      <c r="B34" s="41"/>
      <c r="C34" s="38"/>
      <c r="D34" s="47"/>
      <c r="E34" s="47"/>
      <c r="F34" s="47"/>
      <c r="G34" s="48"/>
      <c r="H34" s="47"/>
      <c r="I34" s="47"/>
      <c r="J34" s="47"/>
      <c r="K34" s="47"/>
      <c r="L34" s="48"/>
      <c r="M34" s="47"/>
      <c r="N34" s="47"/>
      <c r="O34" s="47"/>
      <c r="P34" s="49"/>
      <c r="Q34" s="48"/>
      <c r="R34" s="47"/>
      <c r="S34" s="47"/>
    </row>
    <row r="35" spans="2:19" ht="19.5" thickBot="1" x14ac:dyDescent="0.3">
      <c r="B35" s="41"/>
      <c r="C35" s="38"/>
      <c r="D35" s="47"/>
      <c r="E35" s="47"/>
      <c r="F35" s="47"/>
      <c r="G35" s="48"/>
      <c r="H35" s="47"/>
      <c r="I35" s="47"/>
      <c r="J35" s="47"/>
      <c r="K35" s="47"/>
      <c r="L35" s="48"/>
      <c r="M35" s="47"/>
      <c r="N35" s="47"/>
      <c r="O35" s="47"/>
      <c r="P35" s="49"/>
      <c r="Q35" s="48"/>
      <c r="R35" s="47"/>
      <c r="S35" s="47"/>
    </row>
    <row r="36" spans="2:19" ht="19.5" thickBot="1" x14ac:dyDescent="0.3">
      <c r="B36" s="41"/>
      <c r="C36" s="38"/>
      <c r="D36" s="47"/>
      <c r="E36" s="47"/>
      <c r="F36" s="47"/>
      <c r="G36" s="48"/>
      <c r="H36" s="47"/>
      <c r="I36" s="47"/>
      <c r="J36" s="47"/>
      <c r="K36" s="47"/>
      <c r="L36" s="48"/>
      <c r="M36" s="47"/>
      <c r="N36" s="47"/>
      <c r="O36" s="47"/>
      <c r="P36" s="49"/>
      <c r="Q36" s="48"/>
      <c r="R36" s="47"/>
      <c r="S36" s="47"/>
    </row>
    <row r="37" spans="2:19" ht="19.5" thickBot="1" x14ac:dyDescent="0.3">
      <c r="B37" s="41"/>
      <c r="C37" s="38"/>
      <c r="D37" s="47"/>
      <c r="E37" s="47"/>
      <c r="F37" s="47"/>
      <c r="G37" s="48"/>
      <c r="H37" s="47"/>
      <c r="I37" s="47"/>
      <c r="J37" s="47"/>
      <c r="K37" s="47"/>
      <c r="L37" s="48"/>
      <c r="M37" s="47"/>
      <c r="N37" s="47"/>
      <c r="O37" s="47"/>
      <c r="P37" s="49"/>
      <c r="Q37" s="48"/>
      <c r="R37" s="47"/>
      <c r="S37" s="47"/>
    </row>
    <row r="38" spans="2:19" ht="19.5" thickBot="1" x14ac:dyDescent="0.3">
      <c r="B38" s="41"/>
      <c r="C38" s="38"/>
      <c r="D38" s="47"/>
      <c r="E38" s="47"/>
      <c r="F38" s="47"/>
      <c r="G38" s="48"/>
      <c r="H38" s="47"/>
      <c r="I38" s="47"/>
      <c r="J38" s="47"/>
      <c r="K38" s="47"/>
      <c r="L38" s="48"/>
      <c r="M38" s="47"/>
      <c r="N38" s="47"/>
      <c r="O38" s="47"/>
      <c r="P38" s="49"/>
      <c r="Q38" s="48"/>
      <c r="R38" s="47"/>
      <c r="S38" s="47"/>
    </row>
    <row r="39" spans="2:19" ht="19.5" thickBot="1" x14ac:dyDescent="0.3">
      <c r="B39" s="41"/>
      <c r="C39" s="38"/>
      <c r="D39" s="47"/>
      <c r="E39" s="47"/>
      <c r="F39" s="47"/>
      <c r="G39" s="48"/>
      <c r="H39" s="47"/>
      <c r="I39" s="47"/>
      <c r="J39" s="47"/>
      <c r="K39" s="47"/>
      <c r="L39" s="48"/>
      <c r="M39" s="47"/>
      <c r="N39" s="47"/>
      <c r="O39" s="47"/>
      <c r="P39" s="49"/>
      <c r="Q39" s="48"/>
      <c r="R39" s="47"/>
      <c r="S39" s="47"/>
    </row>
    <row r="40" spans="2:19" ht="19.5" thickBot="1" x14ac:dyDescent="0.3">
      <c r="B40" s="41"/>
      <c r="C40" s="38"/>
      <c r="D40" s="47"/>
      <c r="E40" s="47"/>
      <c r="F40" s="47"/>
      <c r="G40" s="48"/>
      <c r="H40" s="47"/>
      <c r="I40" s="47"/>
      <c r="J40" s="47"/>
      <c r="K40" s="47"/>
      <c r="L40" s="48"/>
      <c r="M40" s="47"/>
      <c r="N40" s="47"/>
      <c r="O40" s="47"/>
      <c r="P40" s="49"/>
      <c r="Q40" s="48"/>
      <c r="R40" s="47"/>
      <c r="S40" s="47"/>
    </row>
    <row r="41" spans="2:19" ht="16.5" thickBot="1" x14ac:dyDescent="0.3">
      <c r="B41" s="50"/>
      <c r="C41" s="47"/>
      <c r="D41" s="47"/>
      <c r="E41" s="47"/>
      <c r="F41" s="47"/>
      <c r="G41" s="48"/>
      <c r="H41" s="47"/>
      <c r="I41" s="47"/>
      <c r="J41" s="47"/>
      <c r="K41" s="47"/>
      <c r="L41" s="48"/>
      <c r="M41" s="47"/>
      <c r="N41" s="47"/>
      <c r="O41" s="47"/>
      <c r="P41" s="49"/>
      <c r="Q41" s="48"/>
      <c r="R41" s="47"/>
      <c r="S41" s="47"/>
    </row>
    <row r="42" spans="2:19" ht="16.5" thickBot="1" x14ac:dyDescent="0.3">
      <c r="B42" s="50"/>
      <c r="C42" s="47"/>
      <c r="D42" s="47"/>
      <c r="E42" s="47"/>
      <c r="F42" s="47"/>
      <c r="G42" s="48"/>
      <c r="H42" s="47"/>
      <c r="I42" s="47"/>
      <c r="J42" s="47"/>
      <c r="K42" s="47"/>
      <c r="L42" s="48"/>
      <c r="M42" s="47"/>
      <c r="N42" s="47"/>
      <c r="O42" s="47"/>
      <c r="P42" s="49"/>
      <c r="Q42" s="48"/>
      <c r="R42" s="47"/>
      <c r="S42" s="47"/>
    </row>
    <row r="43" spans="2:19" ht="16.5" thickBot="1" x14ac:dyDescent="0.3">
      <c r="B43" s="50"/>
      <c r="C43" s="47"/>
      <c r="D43" s="47"/>
      <c r="E43" s="47"/>
      <c r="F43" s="47"/>
      <c r="G43" s="48"/>
      <c r="H43" s="47"/>
      <c r="I43" s="47"/>
      <c r="J43" s="47"/>
      <c r="K43" s="47"/>
      <c r="L43" s="48"/>
      <c r="M43" s="47"/>
      <c r="N43" s="47"/>
      <c r="O43" s="47"/>
      <c r="P43" s="49"/>
      <c r="Q43" s="48"/>
      <c r="R43" s="47"/>
      <c r="S43" s="47"/>
    </row>
    <row r="44" spans="2:19" ht="16.5" thickBot="1" x14ac:dyDescent="0.3">
      <c r="B44" s="50"/>
      <c r="C44" s="47"/>
      <c r="D44" s="47"/>
      <c r="E44" s="47"/>
      <c r="F44" s="47"/>
      <c r="G44" s="48"/>
      <c r="H44" s="47"/>
      <c r="I44" s="47"/>
      <c r="J44" s="47"/>
      <c r="K44" s="47"/>
      <c r="L44" s="48"/>
      <c r="M44" s="47"/>
      <c r="N44" s="47"/>
      <c r="O44" s="47"/>
      <c r="P44" s="49"/>
      <c r="Q44" s="48"/>
      <c r="R44" s="47"/>
      <c r="S44" s="47"/>
    </row>
    <row r="45" spans="2:19" ht="16.5" thickBot="1" x14ac:dyDescent="0.3">
      <c r="B45" s="50"/>
      <c r="C45" s="47"/>
      <c r="D45" s="47"/>
      <c r="E45" s="47"/>
      <c r="F45" s="47"/>
      <c r="G45" s="48"/>
      <c r="H45" s="47"/>
      <c r="I45" s="47"/>
      <c r="J45" s="47"/>
      <c r="K45" s="47"/>
      <c r="L45" s="48"/>
      <c r="M45" s="47"/>
      <c r="N45" s="47"/>
      <c r="O45" s="47"/>
      <c r="P45" s="49"/>
      <c r="Q45" s="48"/>
      <c r="R45" s="47"/>
      <c r="S45" s="47"/>
    </row>
    <row r="46" spans="2:19" ht="16.5" thickBot="1" x14ac:dyDescent="0.3">
      <c r="B46" s="50"/>
      <c r="C46" s="47"/>
      <c r="D46" s="47"/>
      <c r="E46" s="47"/>
      <c r="F46" s="47"/>
      <c r="G46" s="48"/>
      <c r="H46" s="47"/>
      <c r="I46" s="47"/>
      <c r="J46" s="47"/>
      <c r="K46" s="47"/>
      <c r="L46" s="48"/>
      <c r="M46" s="47"/>
      <c r="N46" s="47"/>
      <c r="O46" s="47"/>
      <c r="P46" s="49"/>
      <c r="Q46" s="48"/>
      <c r="R46" s="47"/>
      <c r="S46" s="47"/>
    </row>
    <row r="47" spans="2:19" ht="16.5" thickBot="1" x14ac:dyDescent="0.3">
      <c r="B47" s="50"/>
      <c r="C47" s="47"/>
      <c r="D47" s="47"/>
      <c r="E47" s="47"/>
      <c r="F47" s="47"/>
      <c r="G47" s="48"/>
      <c r="H47" s="47"/>
      <c r="I47" s="47"/>
      <c r="J47" s="47"/>
      <c r="K47" s="47"/>
      <c r="L47" s="48"/>
      <c r="M47" s="47"/>
      <c r="N47" s="47"/>
      <c r="O47" s="47"/>
      <c r="P47" s="49"/>
      <c r="Q47" s="48"/>
      <c r="R47" s="47"/>
      <c r="S47" s="47"/>
    </row>
    <row r="48" spans="2:19" ht="16.5" thickBot="1" x14ac:dyDescent="0.3">
      <c r="B48" s="50"/>
      <c r="C48" s="47"/>
      <c r="D48" s="47"/>
      <c r="E48" s="47"/>
      <c r="F48" s="47"/>
      <c r="G48" s="48"/>
      <c r="H48" s="47"/>
      <c r="I48" s="47"/>
      <c r="J48" s="47"/>
      <c r="K48" s="47"/>
      <c r="L48" s="48"/>
      <c r="M48" s="47"/>
      <c r="N48" s="47"/>
      <c r="O48" s="47"/>
      <c r="P48" s="49"/>
      <c r="Q48" s="48"/>
      <c r="R48" s="47"/>
      <c r="S48" s="47"/>
    </row>
    <row r="49" spans="2:19" ht="16.5" thickBot="1" x14ac:dyDescent="0.3">
      <c r="B49" s="50"/>
      <c r="C49" s="47"/>
      <c r="D49" s="47"/>
      <c r="E49" s="47"/>
      <c r="F49" s="47"/>
      <c r="G49" s="48"/>
      <c r="H49" s="47"/>
      <c r="I49" s="47"/>
      <c r="J49" s="47"/>
      <c r="K49" s="47"/>
      <c r="L49" s="48"/>
      <c r="M49" s="47"/>
      <c r="N49" s="47"/>
      <c r="O49" s="47"/>
      <c r="P49" s="49"/>
      <c r="Q49" s="48"/>
      <c r="R49" s="47"/>
      <c r="S49" s="47"/>
    </row>
    <row r="50" spans="2:19" ht="16.5" thickBot="1" x14ac:dyDescent="0.3">
      <c r="B50" s="50"/>
      <c r="C50" s="47"/>
      <c r="D50" s="47"/>
      <c r="E50" s="47"/>
      <c r="F50" s="47"/>
      <c r="G50" s="48"/>
      <c r="H50" s="47"/>
      <c r="I50" s="47"/>
      <c r="J50" s="47"/>
      <c r="K50" s="47"/>
      <c r="L50" s="48"/>
      <c r="M50" s="47"/>
      <c r="N50" s="47"/>
      <c r="O50" s="47"/>
      <c r="P50" s="49"/>
      <c r="Q50" s="48"/>
      <c r="R50" s="47"/>
      <c r="S50" s="47"/>
    </row>
    <row r="51" spans="2:19" ht="16.5" thickBot="1" x14ac:dyDescent="0.3">
      <c r="B51" s="50"/>
      <c r="C51" s="47"/>
      <c r="D51" s="47"/>
      <c r="E51" s="47"/>
      <c r="F51" s="47"/>
      <c r="G51" s="48"/>
      <c r="H51" s="47"/>
      <c r="I51" s="47"/>
      <c r="J51" s="47"/>
      <c r="K51" s="47"/>
      <c r="L51" s="48"/>
      <c r="M51" s="47"/>
      <c r="N51" s="47"/>
      <c r="O51" s="47"/>
      <c r="P51" s="49"/>
      <c r="Q51" s="48"/>
      <c r="R51" s="47"/>
      <c r="S51" s="47"/>
    </row>
    <row r="52" spans="2:19" ht="16.5" thickBot="1" x14ac:dyDescent="0.3">
      <c r="B52" s="50"/>
      <c r="C52" s="47"/>
      <c r="D52" s="47"/>
      <c r="E52" s="47"/>
      <c r="F52" s="47"/>
      <c r="G52" s="48"/>
      <c r="H52" s="47"/>
      <c r="I52" s="47"/>
      <c r="J52" s="47"/>
      <c r="K52" s="47"/>
      <c r="L52" s="48"/>
      <c r="M52" s="47"/>
      <c r="N52" s="47"/>
      <c r="O52" s="47"/>
      <c r="P52" s="49"/>
      <c r="Q52" s="48"/>
      <c r="R52" s="47"/>
      <c r="S52" s="47"/>
    </row>
    <row r="53" spans="2:19" ht="16.5" thickBot="1" x14ac:dyDescent="0.3">
      <c r="B53" s="50"/>
      <c r="C53" s="47"/>
      <c r="D53" s="47"/>
      <c r="E53" s="47"/>
      <c r="F53" s="47"/>
      <c r="G53" s="48"/>
      <c r="H53" s="47"/>
      <c r="I53" s="47"/>
      <c r="J53" s="47"/>
      <c r="K53" s="47"/>
      <c r="L53" s="48"/>
      <c r="M53" s="47"/>
      <c r="N53" s="47"/>
      <c r="O53" s="47"/>
      <c r="P53" s="49"/>
      <c r="Q53" s="48"/>
      <c r="R53" s="47"/>
      <c r="S53" s="47"/>
    </row>
    <row r="54" spans="2:19" ht="16.5" thickBot="1" x14ac:dyDescent="0.3">
      <c r="B54" s="50"/>
      <c r="C54" s="47"/>
      <c r="D54" s="47"/>
      <c r="E54" s="47"/>
      <c r="F54" s="47"/>
      <c r="G54" s="48"/>
      <c r="H54" s="47"/>
      <c r="I54" s="47"/>
      <c r="J54" s="47"/>
      <c r="K54" s="47"/>
      <c r="L54" s="48"/>
      <c r="M54" s="47"/>
      <c r="N54" s="47"/>
      <c r="O54" s="47"/>
      <c r="P54" s="49"/>
      <c r="Q54" s="48"/>
      <c r="R54" s="47"/>
      <c r="S54" s="47"/>
    </row>
    <row r="55" spans="2:19" ht="16.5" thickBot="1" x14ac:dyDescent="0.3">
      <c r="B55" s="50"/>
      <c r="C55" s="47"/>
      <c r="D55" s="47"/>
      <c r="E55" s="47"/>
      <c r="F55" s="47"/>
      <c r="G55" s="48"/>
      <c r="H55" s="47"/>
      <c r="I55" s="47"/>
      <c r="J55" s="47"/>
      <c r="K55" s="47"/>
      <c r="L55" s="48"/>
      <c r="M55" s="47"/>
      <c r="N55" s="47"/>
      <c r="O55" s="47"/>
      <c r="P55" s="49"/>
      <c r="Q55" s="48"/>
      <c r="R55" s="47"/>
      <c r="S55" s="47"/>
    </row>
    <row r="56" spans="2:19" ht="16.5" thickBot="1" x14ac:dyDescent="0.3">
      <c r="B56" s="50"/>
      <c r="C56" s="47"/>
      <c r="D56" s="47"/>
      <c r="E56" s="47"/>
      <c r="F56" s="47"/>
      <c r="G56" s="48"/>
      <c r="H56" s="47"/>
      <c r="I56" s="47"/>
      <c r="J56" s="47"/>
      <c r="K56" s="47"/>
      <c r="L56" s="48"/>
      <c r="M56" s="47"/>
      <c r="N56" s="47"/>
      <c r="O56" s="47"/>
      <c r="P56" s="49"/>
      <c r="Q56" s="48"/>
      <c r="R56" s="47"/>
      <c r="S56" s="47"/>
    </row>
    <row r="57" spans="2:19" ht="16.5" thickBot="1" x14ac:dyDescent="0.3">
      <c r="B57" s="50"/>
      <c r="C57" s="47"/>
      <c r="D57" s="47"/>
      <c r="E57" s="47"/>
      <c r="F57" s="47"/>
      <c r="G57" s="48"/>
      <c r="H57" s="47"/>
      <c r="I57" s="47"/>
      <c r="J57" s="47"/>
      <c r="K57" s="47"/>
      <c r="L57" s="48"/>
      <c r="M57" s="47"/>
      <c r="N57" s="47"/>
      <c r="O57" s="47"/>
      <c r="P57" s="49"/>
      <c r="Q57" s="48"/>
      <c r="R57" s="47"/>
      <c r="S57" s="47"/>
    </row>
    <row r="58" spans="2:19" ht="16.5" thickBot="1" x14ac:dyDescent="0.3">
      <c r="B58" s="50"/>
      <c r="C58" s="47"/>
      <c r="D58" s="47"/>
      <c r="E58" s="47"/>
      <c r="F58" s="47"/>
      <c r="G58" s="48"/>
      <c r="H58" s="47"/>
      <c r="I58" s="47"/>
      <c r="J58" s="47"/>
      <c r="K58" s="47"/>
      <c r="L58" s="48"/>
      <c r="M58" s="47"/>
      <c r="N58" s="47"/>
      <c r="O58" s="47"/>
      <c r="P58" s="49"/>
      <c r="Q58" s="48"/>
      <c r="R58" s="47"/>
      <c r="S58" s="47"/>
    </row>
    <row r="59" spans="2:19" ht="16.5" thickBot="1" x14ac:dyDescent="0.3">
      <c r="B59" s="50"/>
      <c r="C59" s="47"/>
      <c r="D59" s="47"/>
      <c r="E59" s="47"/>
      <c r="F59" s="47"/>
      <c r="G59" s="48"/>
      <c r="H59" s="47"/>
      <c r="I59" s="47"/>
      <c r="J59" s="47"/>
      <c r="K59" s="47"/>
      <c r="L59" s="48"/>
      <c r="M59" s="47"/>
      <c r="N59" s="47"/>
      <c r="O59" s="47"/>
      <c r="P59" s="49"/>
      <c r="Q59" s="48"/>
      <c r="R59" s="47"/>
      <c r="S59" s="47"/>
    </row>
    <row r="60" spans="2:19" ht="16.5" thickBot="1" x14ac:dyDescent="0.3">
      <c r="B60" s="50"/>
      <c r="C60" s="47"/>
      <c r="D60" s="47"/>
      <c r="E60" s="47"/>
      <c r="F60" s="47"/>
      <c r="G60" s="48"/>
      <c r="H60" s="47"/>
      <c r="I60" s="47"/>
      <c r="J60" s="47"/>
      <c r="K60" s="47"/>
      <c r="L60" s="48"/>
      <c r="M60" s="47"/>
      <c r="N60" s="47"/>
      <c r="O60" s="47"/>
      <c r="P60" s="49"/>
      <c r="Q60" s="48"/>
      <c r="R60" s="47"/>
      <c r="S60" s="47"/>
    </row>
    <row r="61" spans="2:19" ht="16.5" thickBot="1" x14ac:dyDescent="0.3">
      <c r="B61" s="50"/>
      <c r="C61" s="47"/>
      <c r="D61" s="47"/>
      <c r="E61" s="47"/>
      <c r="F61" s="47"/>
      <c r="G61" s="48"/>
      <c r="H61" s="47"/>
      <c r="I61" s="47"/>
      <c r="J61" s="47"/>
      <c r="K61" s="47"/>
      <c r="L61" s="48"/>
      <c r="M61" s="47"/>
      <c r="N61" s="47"/>
      <c r="O61" s="47"/>
      <c r="P61" s="49"/>
      <c r="Q61" s="48"/>
      <c r="R61" s="47"/>
      <c r="S61" s="47"/>
    </row>
    <row r="62" spans="2:19" ht="16.5" thickBot="1" x14ac:dyDescent="0.3">
      <c r="B62" s="50"/>
      <c r="C62" s="47"/>
      <c r="D62" s="47"/>
      <c r="E62" s="47"/>
      <c r="F62" s="47"/>
      <c r="G62" s="48"/>
      <c r="H62" s="47"/>
      <c r="I62" s="47"/>
      <c r="J62" s="47"/>
      <c r="K62" s="47"/>
      <c r="L62" s="48"/>
      <c r="M62" s="47"/>
      <c r="N62" s="47"/>
      <c r="O62" s="47"/>
      <c r="P62" s="49"/>
      <c r="Q62" s="48"/>
      <c r="R62" s="47"/>
      <c r="S62" s="47"/>
    </row>
    <row r="63" spans="2:19" ht="16.5" thickBot="1" x14ac:dyDescent="0.3">
      <c r="B63" s="50"/>
      <c r="C63" s="47"/>
      <c r="D63" s="47"/>
      <c r="E63" s="47"/>
      <c r="F63" s="47"/>
      <c r="G63" s="48"/>
      <c r="H63" s="47"/>
      <c r="I63" s="47"/>
      <c r="J63" s="47"/>
      <c r="K63" s="47"/>
      <c r="L63" s="48"/>
      <c r="M63" s="47"/>
      <c r="N63" s="47"/>
      <c r="O63" s="47"/>
      <c r="P63" s="49"/>
      <c r="Q63" s="48"/>
      <c r="R63" s="47"/>
      <c r="S63" s="47"/>
    </row>
    <row r="64" spans="2:19" ht="16.5" thickBot="1" x14ac:dyDescent="0.3">
      <c r="B64" s="50"/>
      <c r="C64" s="47"/>
      <c r="D64" s="47"/>
      <c r="E64" s="47"/>
      <c r="F64" s="47"/>
      <c r="G64" s="48"/>
      <c r="H64" s="47"/>
      <c r="I64" s="47"/>
      <c r="J64" s="47"/>
      <c r="K64" s="47"/>
      <c r="L64" s="48"/>
      <c r="M64" s="47"/>
      <c r="N64" s="47"/>
      <c r="O64" s="47"/>
      <c r="P64" s="49"/>
      <c r="Q64" s="48"/>
      <c r="R64" s="47"/>
      <c r="S64" s="47"/>
    </row>
    <row r="65" spans="2:19" ht="16.5" thickBot="1" x14ac:dyDescent="0.3">
      <c r="B65" s="50"/>
      <c r="C65" s="47"/>
      <c r="D65" s="47"/>
      <c r="E65" s="47"/>
      <c r="F65" s="47"/>
      <c r="G65" s="48"/>
      <c r="H65" s="47"/>
      <c r="I65" s="47"/>
      <c r="J65" s="47"/>
      <c r="K65" s="47"/>
      <c r="L65" s="48"/>
      <c r="M65" s="47"/>
      <c r="N65" s="47"/>
      <c r="O65" s="47"/>
      <c r="P65" s="49"/>
      <c r="Q65" s="48"/>
      <c r="R65" s="47"/>
      <c r="S65" s="47"/>
    </row>
    <row r="66" spans="2:19" ht="16.5" thickBot="1" x14ac:dyDescent="0.3">
      <c r="B66" s="50"/>
      <c r="C66" s="47"/>
      <c r="D66" s="47"/>
      <c r="E66" s="47"/>
      <c r="F66" s="47"/>
      <c r="G66" s="48"/>
      <c r="H66" s="47"/>
      <c r="I66" s="47"/>
      <c r="J66" s="47"/>
      <c r="K66" s="47"/>
      <c r="L66" s="48"/>
      <c r="M66" s="47"/>
      <c r="N66" s="47"/>
      <c r="O66" s="47"/>
      <c r="P66" s="49"/>
      <c r="Q66" s="48"/>
      <c r="R66" s="47"/>
      <c r="S66" s="47"/>
    </row>
    <row r="67" spans="2:19" ht="16.5" thickBot="1" x14ac:dyDescent="0.3">
      <c r="B67" s="50"/>
      <c r="C67" s="47"/>
      <c r="D67" s="47"/>
      <c r="E67" s="47"/>
      <c r="F67" s="47"/>
      <c r="G67" s="48"/>
      <c r="H67" s="47"/>
      <c r="I67" s="47"/>
      <c r="J67" s="47"/>
      <c r="K67" s="47"/>
      <c r="L67" s="48"/>
      <c r="M67" s="47"/>
      <c r="N67" s="47"/>
      <c r="O67" s="47"/>
      <c r="P67" s="49"/>
      <c r="Q67" s="48"/>
      <c r="R67" s="47"/>
      <c r="S67" s="47"/>
    </row>
    <row r="68" spans="2:19" ht="16.5" thickBot="1" x14ac:dyDescent="0.3">
      <c r="B68" s="50"/>
      <c r="C68" s="47"/>
      <c r="D68" s="47"/>
      <c r="E68" s="47"/>
      <c r="F68" s="47"/>
      <c r="G68" s="48"/>
      <c r="H68" s="47"/>
      <c r="I68" s="47"/>
      <c r="J68" s="47"/>
      <c r="K68" s="47"/>
      <c r="L68" s="48"/>
      <c r="M68" s="47"/>
      <c r="N68" s="47"/>
      <c r="O68" s="47"/>
      <c r="P68" s="49"/>
      <c r="Q68" s="48"/>
      <c r="R68" s="47"/>
      <c r="S68" s="47"/>
    </row>
    <row r="69" spans="2:19" ht="16.5" thickBot="1" x14ac:dyDescent="0.3">
      <c r="B69" s="50"/>
      <c r="C69" s="47"/>
      <c r="D69" s="47"/>
      <c r="E69" s="47"/>
      <c r="F69" s="47"/>
      <c r="G69" s="48"/>
      <c r="H69" s="47"/>
      <c r="I69" s="47"/>
      <c r="J69" s="47"/>
      <c r="K69" s="47"/>
      <c r="L69" s="48"/>
      <c r="M69" s="47"/>
      <c r="N69" s="47"/>
      <c r="O69" s="47"/>
      <c r="P69" s="49"/>
      <c r="Q69" s="48"/>
      <c r="R69" s="47"/>
      <c r="S69" s="47"/>
    </row>
    <row r="70" spans="2:19" ht="16.5" thickBot="1" x14ac:dyDescent="0.3">
      <c r="B70" s="50"/>
      <c r="C70" s="47"/>
      <c r="D70" s="47"/>
      <c r="E70" s="47"/>
      <c r="F70" s="47"/>
      <c r="G70" s="48"/>
      <c r="H70" s="47"/>
      <c r="I70" s="47"/>
      <c r="J70" s="47"/>
      <c r="K70" s="47"/>
      <c r="L70" s="48"/>
      <c r="M70" s="47"/>
      <c r="N70" s="47"/>
      <c r="O70" s="47"/>
      <c r="P70" s="49"/>
      <c r="Q70" s="48"/>
      <c r="R70" s="47"/>
      <c r="S70" s="47"/>
    </row>
    <row r="71" spans="2:19" ht="16.5" thickBot="1" x14ac:dyDescent="0.3">
      <c r="B71" s="50"/>
      <c r="C71" s="47"/>
      <c r="D71" s="47"/>
      <c r="E71" s="47"/>
      <c r="F71" s="47"/>
      <c r="G71" s="48"/>
      <c r="H71" s="47"/>
      <c r="I71" s="47"/>
      <c r="J71" s="47"/>
      <c r="K71" s="47"/>
      <c r="L71" s="48"/>
      <c r="M71" s="47"/>
      <c r="N71" s="47"/>
      <c r="O71" s="47"/>
      <c r="P71" s="49"/>
      <c r="Q71" s="48"/>
      <c r="R71" s="47"/>
      <c r="S71" s="47"/>
    </row>
    <row r="72" spans="2:19" ht="16.5" thickBot="1" x14ac:dyDescent="0.3">
      <c r="B72" s="50"/>
      <c r="C72" s="47"/>
      <c r="D72" s="47"/>
      <c r="E72" s="47"/>
      <c r="F72" s="47"/>
      <c r="G72" s="48"/>
      <c r="H72" s="47"/>
      <c r="I72" s="47"/>
      <c r="J72" s="47"/>
      <c r="K72" s="47"/>
      <c r="L72" s="48"/>
      <c r="M72" s="47"/>
      <c r="N72" s="47"/>
      <c r="O72" s="47"/>
      <c r="P72" s="49"/>
      <c r="Q72" s="48"/>
      <c r="R72" s="47"/>
      <c r="S72" s="47"/>
    </row>
    <row r="73" spans="2:19" ht="16.5" thickBot="1" x14ac:dyDescent="0.3">
      <c r="B73" s="50"/>
      <c r="C73" s="47"/>
      <c r="D73" s="47"/>
      <c r="E73" s="47"/>
      <c r="F73" s="47"/>
      <c r="G73" s="48"/>
      <c r="H73" s="47"/>
      <c r="I73" s="47"/>
      <c r="J73" s="47"/>
      <c r="K73" s="47"/>
      <c r="L73" s="48"/>
      <c r="M73" s="47"/>
      <c r="N73" s="47"/>
      <c r="O73" s="47"/>
      <c r="P73" s="49"/>
      <c r="Q73" s="48"/>
      <c r="R73" s="47"/>
      <c r="S73" s="47"/>
    </row>
    <row r="74" spans="2:19" ht="16.5" thickBot="1" x14ac:dyDescent="0.3">
      <c r="B74" s="50"/>
      <c r="C74" s="47"/>
      <c r="D74" s="47"/>
      <c r="E74" s="47"/>
      <c r="F74" s="47"/>
      <c r="G74" s="48"/>
      <c r="H74" s="47"/>
      <c r="I74" s="47"/>
      <c r="J74" s="47"/>
      <c r="K74" s="47"/>
      <c r="L74" s="48"/>
      <c r="M74" s="47"/>
      <c r="N74" s="47"/>
      <c r="O74" s="47"/>
      <c r="P74" s="49"/>
      <c r="Q74" s="48"/>
      <c r="R74" s="47"/>
      <c r="S74" s="47"/>
    </row>
    <row r="75" spans="2:19" ht="16.5" thickBot="1" x14ac:dyDescent="0.3">
      <c r="B75" s="50"/>
      <c r="C75" s="47"/>
      <c r="D75" s="47"/>
      <c r="E75" s="47"/>
      <c r="F75" s="47"/>
      <c r="G75" s="48"/>
      <c r="H75" s="47"/>
      <c r="I75" s="47"/>
      <c r="J75" s="47"/>
      <c r="K75" s="47"/>
      <c r="L75" s="48"/>
      <c r="M75" s="47"/>
      <c r="N75" s="47"/>
      <c r="O75" s="47"/>
      <c r="P75" s="49"/>
      <c r="Q75" s="48"/>
      <c r="R75" s="47"/>
      <c r="S75" s="47"/>
    </row>
    <row r="76" spans="2:19" ht="16.5" thickBot="1" x14ac:dyDescent="0.3">
      <c r="B76" s="50"/>
      <c r="C76" s="47"/>
      <c r="D76" s="47"/>
      <c r="E76" s="47"/>
      <c r="F76" s="47"/>
      <c r="G76" s="48"/>
      <c r="H76" s="47"/>
      <c r="I76" s="47"/>
      <c r="J76" s="47"/>
      <c r="K76" s="47"/>
      <c r="L76" s="48"/>
      <c r="M76" s="47"/>
      <c r="N76" s="47"/>
      <c r="O76" s="47"/>
      <c r="P76" s="49"/>
      <c r="Q76" s="48"/>
      <c r="R76" s="47"/>
      <c r="S76" s="47"/>
    </row>
    <row r="77" spans="2:19" ht="16.5" thickBot="1" x14ac:dyDescent="0.3">
      <c r="B77" s="50"/>
      <c r="C77" s="47"/>
      <c r="D77" s="47"/>
      <c r="E77" s="47"/>
      <c r="F77" s="47"/>
      <c r="G77" s="48"/>
      <c r="H77" s="47"/>
      <c r="I77" s="47"/>
      <c r="J77" s="47"/>
      <c r="K77" s="47"/>
      <c r="L77" s="48"/>
      <c r="M77" s="47"/>
      <c r="N77" s="47"/>
      <c r="O77" s="47"/>
      <c r="P77" s="49"/>
      <c r="Q77" s="48"/>
      <c r="R77" s="47"/>
      <c r="S77" s="47"/>
    </row>
    <row r="78" spans="2:19" ht="16.5" thickBot="1" x14ac:dyDescent="0.3">
      <c r="B78" s="50"/>
      <c r="C78" s="47"/>
      <c r="D78" s="47"/>
      <c r="E78" s="47"/>
      <c r="F78" s="47"/>
      <c r="G78" s="48"/>
      <c r="H78" s="47"/>
      <c r="I78" s="47"/>
      <c r="J78" s="47"/>
      <c r="K78" s="47"/>
      <c r="L78" s="48"/>
      <c r="M78" s="47"/>
      <c r="N78" s="47"/>
      <c r="O78" s="47"/>
      <c r="P78" s="49"/>
      <c r="Q78" s="48"/>
      <c r="R78" s="47"/>
      <c r="S78" s="47"/>
    </row>
    <row r="79" spans="2:19" ht="16.5" thickBot="1" x14ac:dyDescent="0.3">
      <c r="B79" s="50"/>
      <c r="C79" s="47"/>
      <c r="D79" s="47"/>
      <c r="E79" s="47"/>
      <c r="F79" s="47"/>
      <c r="G79" s="48"/>
      <c r="H79" s="47"/>
      <c r="I79" s="47"/>
      <c r="J79" s="47"/>
      <c r="K79" s="47"/>
      <c r="L79" s="48"/>
      <c r="M79" s="47"/>
      <c r="N79" s="47"/>
      <c r="O79" s="47"/>
      <c r="P79" s="49"/>
      <c r="Q79" s="48"/>
      <c r="R79" s="47"/>
      <c r="S79" s="47"/>
    </row>
    <row r="80" spans="2:19" ht="16.5" thickBot="1" x14ac:dyDescent="0.3">
      <c r="B80" s="50"/>
      <c r="C80" s="47"/>
      <c r="D80" s="47"/>
      <c r="E80" s="47"/>
      <c r="F80" s="47"/>
      <c r="G80" s="48"/>
      <c r="H80" s="47"/>
      <c r="I80" s="47"/>
      <c r="J80" s="47"/>
      <c r="K80" s="47"/>
      <c r="L80" s="48"/>
      <c r="M80" s="47"/>
      <c r="N80" s="47"/>
      <c r="O80" s="47"/>
      <c r="P80" s="49"/>
      <c r="Q80" s="48"/>
      <c r="R80" s="47"/>
      <c r="S80" s="47"/>
    </row>
    <row r="81" spans="2:19" ht="16.5" thickBot="1" x14ac:dyDescent="0.3">
      <c r="B81" s="50"/>
      <c r="C81" s="47"/>
      <c r="D81" s="47"/>
      <c r="E81" s="47"/>
      <c r="F81" s="47"/>
      <c r="G81" s="48"/>
      <c r="H81" s="47"/>
      <c r="I81" s="47"/>
      <c r="J81" s="47"/>
      <c r="K81" s="47"/>
      <c r="L81" s="48"/>
      <c r="M81" s="47"/>
      <c r="N81" s="47"/>
      <c r="O81" s="47"/>
      <c r="P81" s="49"/>
      <c r="Q81" s="48"/>
      <c r="R81" s="47"/>
      <c r="S81" s="47"/>
    </row>
    <row r="82" spans="2:19" ht="16.5" thickBot="1" x14ac:dyDescent="0.3">
      <c r="B82" s="50"/>
      <c r="C82" s="47"/>
      <c r="D82" s="47"/>
      <c r="E82" s="47"/>
      <c r="F82" s="47"/>
      <c r="G82" s="48"/>
      <c r="H82" s="47"/>
      <c r="I82" s="47"/>
      <c r="J82" s="47"/>
      <c r="K82" s="47"/>
      <c r="L82" s="48"/>
      <c r="M82" s="47"/>
      <c r="N82" s="47"/>
      <c r="O82" s="47"/>
      <c r="P82" s="49"/>
      <c r="Q82" s="48"/>
      <c r="R82" s="47"/>
      <c r="S82" s="47"/>
    </row>
    <row r="83" spans="2:19" ht="16.5" thickBot="1" x14ac:dyDescent="0.3">
      <c r="B83" s="50"/>
      <c r="C83" s="47"/>
      <c r="D83" s="47"/>
      <c r="E83" s="47"/>
      <c r="F83" s="47"/>
      <c r="G83" s="48"/>
      <c r="H83" s="47"/>
      <c r="I83" s="47"/>
      <c r="J83" s="47"/>
      <c r="K83" s="47"/>
      <c r="L83" s="48"/>
      <c r="M83" s="47"/>
      <c r="N83" s="47"/>
      <c r="O83" s="47"/>
      <c r="P83" s="49"/>
      <c r="Q83" s="48"/>
      <c r="R83" s="47"/>
      <c r="S83" s="47"/>
    </row>
    <row r="84" spans="2:19" ht="16.5" thickBot="1" x14ac:dyDescent="0.3">
      <c r="B84" s="50"/>
      <c r="C84" s="47"/>
      <c r="D84" s="47"/>
      <c r="E84" s="47"/>
      <c r="F84" s="47"/>
      <c r="G84" s="48"/>
      <c r="H84" s="47"/>
      <c r="I84" s="47"/>
      <c r="J84" s="47"/>
      <c r="K84" s="47"/>
      <c r="L84" s="48"/>
      <c r="M84" s="47"/>
      <c r="N84" s="47"/>
      <c r="O84" s="47"/>
      <c r="P84" s="49"/>
      <c r="Q84" s="48"/>
      <c r="R84" s="47"/>
      <c r="S84" s="47"/>
    </row>
    <row r="85" spans="2:19" ht="16.5" thickBot="1" x14ac:dyDescent="0.3">
      <c r="B85" s="50"/>
      <c r="C85" s="47"/>
      <c r="D85" s="47"/>
      <c r="E85" s="47"/>
      <c r="F85" s="47"/>
      <c r="G85" s="48"/>
      <c r="H85" s="47"/>
      <c r="I85" s="47"/>
      <c r="J85" s="47"/>
      <c r="K85" s="47"/>
      <c r="L85" s="48"/>
      <c r="M85" s="47"/>
      <c r="N85" s="47"/>
      <c r="O85" s="47"/>
      <c r="P85" s="49"/>
      <c r="Q85" s="48"/>
      <c r="R85" s="47"/>
      <c r="S85" s="47"/>
    </row>
    <row r="86" spans="2:19" ht="16.5" thickBot="1" x14ac:dyDescent="0.3">
      <c r="B86" s="50"/>
      <c r="C86" s="47"/>
      <c r="D86" s="47"/>
      <c r="E86" s="47"/>
      <c r="F86" s="47"/>
      <c r="G86" s="48"/>
      <c r="H86" s="47"/>
      <c r="I86" s="47"/>
      <c r="J86" s="47"/>
      <c r="K86" s="47"/>
      <c r="L86" s="48"/>
      <c r="M86" s="47"/>
      <c r="N86" s="47"/>
      <c r="O86" s="47"/>
      <c r="P86" s="49"/>
      <c r="Q86" s="48"/>
      <c r="R86" s="47"/>
      <c r="S86" s="47"/>
    </row>
    <row r="87" spans="2:19" ht="16.5" thickBot="1" x14ac:dyDescent="0.3">
      <c r="B87" s="50"/>
      <c r="C87" s="47"/>
      <c r="D87" s="47"/>
      <c r="E87" s="47"/>
      <c r="F87" s="47"/>
      <c r="G87" s="48"/>
      <c r="H87" s="47"/>
      <c r="I87" s="26"/>
      <c r="J87" s="26"/>
      <c r="K87" s="51"/>
      <c r="L87" s="48"/>
      <c r="M87" s="47"/>
      <c r="N87" s="47"/>
      <c r="O87" s="47"/>
      <c r="P87" s="49"/>
      <c r="Q87" s="48"/>
      <c r="R87" s="47"/>
      <c r="S87" s="47"/>
    </row>
    <row r="88" spans="2:19" ht="16.5" thickBot="1" x14ac:dyDescent="0.3">
      <c r="B88" s="50"/>
      <c r="C88" s="47"/>
      <c r="D88" s="47"/>
      <c r="E88" s="47"/>
      <c r="F88" s="47"/>
      <c r="G88" s="48"/>
      <c r="H88" s="47"/>
      <c r="I88" s="52"/>
      <c r="J88" s="52"/>
      <c r="K88" s="53"/>
      <c r="L88" s="48"/>
      <c r="M88" s="47"/>
      <c r="N88" s="47"/>
      <c r="O88" s="47"/>
      <c r="P88" s="49"/>
      <c r="Q88" s="48"/>
      <c r="R88" s="47"/>
      <c r="S88" s="47"/>
    </row>
    <row r="89" spans="2:19" ht="16.5" thickBot="1" x14ac:dyDescent="0.3">
      <c r="B89" s="50"/>
      <c r="C89" s="47"/>
      <c r="D89" s="47"/>
      <c r="E89" s="47"/>
      <c r="F89" s="47"/>
      <c r="G89" s="48"/>
      <c r="H89" s="47"/>
      <c r="I89" s="47"/>
      <c r="J89" s="47"/>
      <c r="K89" s="47"/>
      <c r="L89" s="48"/>
      <c r="M89" s="47"/>
      <c r="N89" s="47"/>
      <c r="O89" s="47"/>
      <c r="P89" s="49"/>
      <c r="Q89" s="48"/>
      <c r="R89" s="47"/>
      <c r="S89" s="47"/>
    </row>
    <row r="90" spans="2:19" ht="16.5" thickBot="1" x14ac:dyDescent="0.3">
      <c r="B90" s="50"/>
      <c r="C90" s="47"/>
      <c r="D90" s="47"/>
      <c r="E90" s="47"/>
      <c r="F90" s="47"/>
      <c r="G90" s="48"/>
      <c r="H90" s="47"/>
      <c r="I90" s="47"/>
      <c r="J90" s="47"/>
      <c r="K90" s="47"/>
      <c r="L90" s="48"/>
      <c r="M90" s="47"/>
      <c r="N90" s="47"/>
      <c r="O90" s="47"/>
      <c r="P90" s="49"/>
      <c r="Q90" s="48"/>
      <c r="R90" s="47"/>
      <c r="S90" s="47"/>
    </row>
    <row r="91" spans="2:19" ht="16.5" thickBot="1" x14ac:dyDescent="0.3">
      <c r="B91" s="50"/>
      <c r="C91" s="47"/>
      <c r="D91" s="47"/>
      <c r="E91" s="47"/>
      <c r="F91" s="47"/>
      <c r="G91" s="48"/>
      <c r="H91" s="47"/>
      <c r="I91" s="47"/>
      <c r="J91" s="47"/>
      <c r="K91" s="47"/>
      <c r="L91" s="48"/>
      <c r="M91" s="47"/>
      <c r="N91" s="47"/>
      <c r="O91" s="47"/>
      <c r="P91" s="49"/>
      <c r="Q91" s="48"/>
      <c r="R91" s="47"/>
      <c r="S91" s="47"/>
    </row>
    <row r="92" spans="2:19" ht="16.5" thickBot="1" x14ac:dyDescent="0.3">
      <c r="B92" s="50"/>
      <c r="C92" s="47"/>
      <c r="D92" s="47"/>
      <c r="E92" s="47"/>
      <c r="F92" s="47"/>
      <c r="G92" s="48"/>
      <c r="H92" s="47"/>
      <c r="I92" s="47"/>
      <c r="J92" s="47"/>
      <c r="K92" s="47"/>
      <c r="L92" s="48"/>
      <c r="M92" s="47"/>
      <c r="N92" s="47"/>
      <c r="O92" s="47"/>
      <c r="P92" s="49"/>
      <c r="Q92" s="48"/>
      <c r="R92" s="47"/>
      <c r="S92" s="47"/>
    </row>
    <row r="93" spans="2:19" ht="16.5" thickBot="1" x14ac:dyDescent="0.3">
      <c r="B93" s="50"/>
      <c r="C93" s="47"/>
      <c r="D93" s="47"/>
      <c r="E93" s="47"/>
      <c r="F93" s="47"/>
      <c r="G93" s="48"/>
      <c r="H93" s="47"/>
      <c r="I93" s="47"/>
      <c r="J93" s="47"/>
      <c r="K93" s="47"/>
      <c r="L93" s="48"/>
      <c r="M93" s="47"/>
      <c r="N93" s="47"/>
      <c r="O93" s="47"/>
      <c r="P93" s="49"/>
      <c r="Q93" s="48"/>
      <c r="R93" s="47"/>
      <c r="S93" s="47"/>
    </row>
    <row r="94" spans="2:19" ht="16.5" thickBot="1" x14ac:dyDescent="0.3">
      <c r="B94" s="50"/>
      <c r="C94" s="47"/>
      <c r="D94" s="47"/>
      <c r="E94" s="47"/>
      <c r="F94" s="47"/>
      <c r="G94" s="48"/>
      <c r="H94" s="47"/>
      <c r="I94" s="47"/>
      <c r="J94" s="47"/>
      <c r="K94" s="47"/>
      <c r="L94" s="48"/>
      <c r="M94" s="47"/>
      <c r="N94" s="47"/>
      <c r="O94" s="47"/>
      <c r="P94" s="49"/>
      <c r="Q94" s="48"/>
      <c r="R94" s="47"/>
      <c r="S94" s="47"/>
    </row>
    <row r="95" spans="2:19" ht="16.5" thickBot="1" x14ac:dyDescent="0.3">
      <c r="B95" s="50"/>
      <c r="C95" s="47"/>
      <c r="D95" s="47"/>
      <c r="E95" s="47"/>
      <c r="F95" s="47"/>
      <c r="G95" s="48"/>
      <c r="H95" s="47"/>
      <c r="I95" s="47"/>
      <c r="J95" s="47"/>
      <c r="K95" s="47"/>
      <c r="L95" s="48"/>
      <c r="M95" s="47"/>
      <c r="N95" s="47"/>
      <c r="O95" s="47"/>
      <c r="P95" s="49"/>
      <c r="Q95" s="48"/>
      <c r="R95" s="47"/>
      <c r="S95" s="47"/>
    </row>
    <row r="96" spans="2:19" ht="16.5" thickBot="1" x14ac:dyDescent="0.3">
      <c r="B96" s="54"/>
      <c r="C96" s="52"/>
      <c r="D96" s="52"/>
      <c r="E96" s="52"/>
      <c r="F96" s="52"/>
      <c r="G96" s="55"/>
      <c r="H96" s="52"/>
      <c r="I96" s="52"/>
      <c r="J96" s="52"/>
      <c r="K96" s="52"/>
      <c r="L96" s="55"/>
      <c r="M96" s="52"/>
      <c r="N96" s="52"/>
      <c r="O96" s="52"/>
      <c r="P96" s="56"/>
      <c r="Q96" s="55"/>
      <c r="R96" s="52"/>
      <c r="S96" s="57"/>
    </row>
    <row r="97" spans="2:19" ht="25.5" customHeight="1" thickBot="1" x14ac:dyDescent="0.3">
      <c r="B97" s="151" t="s">
        <v>38</v>
      </c>
      <c r="C97" s="152"/>
      <c r="D97" s="153" t="s">
        <v>39</v>
      </c>
      <c r="E97" s="154"/>
      <c r="F97" s="154"/>
      <c r="G97" s="154"/>
      <c r="H97" s="154"/>
      <c r="I97" s="154"/>
      <c r="J97" s="155"/>
      <c r="K97" s="151" t="s">
        <v>38</v>
      </c>
      <c r="L97" s="152"/>
      <c r="M97" s="153" t="s">
        <v>40</v>
      </c>
      <c r="N97" s="154"/>
      <c r="O97" s="154"/>
      <c r="P97" s="154"/>
      <c r="Q97" s="154"/>
      <c r="R97" s="154"/>
      <c r="S97" s="155"/>
    </row>
    <row r="98" spans="2:19" ht="25.5" customHeight="1" thickBot="1" x14ac:dyDescent="0.3">
      <c r="B98" s="156" t="s">
        <v>41</v>
      </c>
      <c r="C98" s="157"/>
      <c r="D98" s="158" t="s">
        <v>42</v>
      </c>
      <c r="E98" s="159"/>
      <c r="F98" s="159"/>
      <c r="G98" s="160"/>
      <c r="H98" s="161"/>
      <c r="I98" s="162"/>
      <c r="J98" s="163"/>
      <c r="K98" s="156" t="s">
        <v>41</v>
      </c>
      <c r="L98" s="164"/>
      <c r="M98" s="165" t="s">
        <v>43</v>
      </c>
      <c r="N98" s="159"/>
      <c r="O98" s="159"/>
      <c r="P98" s="166"/>
      <c r="Q98" s="158" t="s">
        <v>44</v>
      </c>
      <c r="R98" s="159"/>
      <c r="S98" s="167"/>
    </row>
    <row r="99" spans="2:19" ht="16.5" thickBot="1" x14ac:dyDescent="0.3">
      <c r="B99" s="156" t="s">
        <v>45</v>
      </c>
      <c r="C99" s="157"/>
      <c r="D99" s="158" t="s">
        <v>46</v>
      </c>
      <c r="E99" s="159"/>
      <c r="F99" s="159"/>
      <c r="G99" s="160"/>
      <c r="H99" s="161"/>
      <c r="I99" s="162"/>
      <c r="J99" s="163"/>
      <c r="K99" s="156" t="s">
        <v>45</v>
      </c>
      <c r="L99" s="157"/>
      <c r="M99" s="158" t="s">
        <v>47</v>
      </c>
      <c r="N99" s="159"/>
      <c r="O99" s="159"/>
      <c r="P99" s="166"/>
      <c r="Q99" s="158" t="s">
        <v>48</v>
      </c>
      <c r="R99" s="159"/>
      <c r="S99" s="167"/>
    </row>
    <row r="100" spans="2:19" x14ac:dyDescent="0.25">
      <c r="B100" s="174" t="s">
        <v>49</v>
      </c>
      <c r="C100" s="175"/>
      <c r="D100" s="168"/>
      <c r="E100" s="169"/>
      <c r="F100" s="169"/>
      <c r="G100" s="178"/>
      <c r="H100" s="180"/>
      <c r="I100" s="181"/>
      <c r="J100" s="182"/>
      <c r="K100" s="174" t="s">
        <v>49</v>
      </c>
      <c r="L100" s="175"/>
      <c r="M100" s="168"/>
      <c r="N100" s="169"/>
      <c r="O100" s="169"/>
      <c r="P100" s="178"/>
      <c r="Q100" s="168"/>
      <c r="R100" s="169"/>
      <c r="S100" s="170"/>
    </row>
    <row r="101" spans="2:19" ht="16.5" thickBot="1" x14ac:dyDescent="0.3">
      <c r="B101" s="176"/>
      <c r="C101" s="177"/>
      <c r="D101" s="171"/>
      <c r="E101" s="172"/>
      <c r="F101" s="172"/>
      <c r="G101" s="179"/>
      <c r="H101" s="183"/>
      <c r="I101" s="184"/>
      <c r="J101" s="185"/>
      <c r="K101" s="176"/>
      <c r="L101" s="177"/>
      <c r="M101" s="171"/>
      <c r="N101" s="172"/>
      <c r="O101" s="172"/>
      <c r="P101" s="179"/>
      <c r="Q101" s="171"/>
      <c r="R101" s="172"/>
      <c r="S101" s="173"/>
    </row>
    <row r="102" spans="2:19" ht="16.5" thickTop="1" x14ac:dyDescent="0.25"/>
  </sheetData>
  <mergeCells count="76">
    <mergeCell ref="Q100:S101"/>
    <mergeCell ref="B99:C99"/>
    <mergeCell ref="D99:G99"/>
    <mergeCell ref="H99:J99"/>
    <mergeCell ref="K99:L99"/>
    <mergeCell ref="M99:P99"/>
    <mergeCell ref="Q99:S99"/>
    <mergeCell ref="B100:C101"/>
    <mergeCell ref="D100:G101"/>
    <mergeCell ref="H100:J101"/>
    <mergeCell ref="K100:L101"/>
    <mergeCell ref="M100:P101"/>
    <mergeCell ref="B97:C97"/>
    <mergeCell ref="D97:J97"/>
    <mergeCell ref="K97:L97"/>
    <mergeCell ref="M97:S97"/>
    <mergeCell ref="B98:C98"/>
    <mergeCell ref="D98:G98"/>
    <mergeCell ref="H98:J98"/>
    <mergeCell ref="K98:L98"/>
    <mergeCell ref="M98:P98"/>
    <mergeCell ref="Q98:S98"/>
    <mergeCell ref="Q8:S8"/>
    <mergeCell ref="Q12:Q13"/>
    <mergeCell ref="S11:S14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B11:B14"/>
    <mergeCell ref="C11:G11"/>
    <mergeCell ref="H11:L11"/>
    <mergeCell ref="M11:Q11"/>
    <mergeCell ref="R11:R13"/>
    <mergeCell ref="P12:P13"/>
    <mergeCell ref="M6:N6"/>
    <mergeCell ref="O6:P6"/>
    <mergeCell ref="C8:D8"/>
    <mergeCell ref="E8:F8"/>
    <mergeCell ref="Q6:S6"/>
    <mergeCell ref="C7:D7"/>
    <mergeCell ref="E7:F7"/>
    <mergeCell ref="H7:I7"/>
    <mergeCell ref="J7:K7"/>
    <mergeCell ref="M7:N7"/>
    <mergeCell ref="O7:P7"/>
    <mergeCell ref="Q7:S7"/>
    <mergeCell ref="H8:I8"/>
    <mergeCell ref="J8:K8"/>
    <mergeCell ref="M8:N8"/>
    <mergeCell ref="O8:P8"/>
    <mergeCell ref="B6:B8"/>
    <mergeCell ref="C6:D6"/>
    <mergeCell ref="E6:F6"/>
    <mergeCell ref="H6:I6"/>
    <mergeCell ref="J6:K6"/>
    <mergeCell ref="B2:S2"/>
    <mergeCell ref="B4:B5"/>
    <mergeCell ref="C4:D5"/>
    <mergeCell ref="E4:F5"/>
    <mergeCell ref="G4:L4"/>
    <mergeCell ref="M4:P4"/>
    <mergeCell ref="Q4:S5"/>
    <mergeCell ref="H5:I5"/>
    <mergeCell ref="J5:K5"/>
    <mergeCell ref="M5:N5"/>
    <mergeCell ref="O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117+004</vt:lpstr>
      <vt:lpstr>117+100</vt:lpstr>
      <vt:lpstr>117+200</vt:lpstr>
      <vt:lpstr>117+300</vt:lpstr>
      <vt:lpstr>117+400</vt:lpstr>
      <vt:lpstr>117+500</vt:lpstr>
      <vt:lpstr>117+600</vt:lpstr>
      <vt:lpstr>117+700</vt:lpstr>
      <vt:lpstr>117+800</vt:lpstr>
      <vt:lpstr>117+900</vt:lpstr>
      <vt:lpstr>118+00</vt:lpstr>
      <vt:lpstr>118+100</vt:lpstr>
      <vt:lpstr>118+200</vt:lpstr>
      <vt:lpstr>118+300</vt:lpstr>
      <vt:lpstr>118+340</vt:lpstr>
      <vt:lpstr>118+410</vt:lpstr>
      <vt:lpstr>118+495</vt:lpstr>
      <vt:lpstr>118+693</vt:lpstr>
      <vt:lpstr>118+790</vt:lpstr>
      <vt:lpstr>118+890</vt:lpstr>
      <vt:lpstr>118+990</vt:lpstr>
      <vt:lpstr>119+090</vt:lpstr>
      <vt:lpstr>119+150</vt:lpstr>
      <vt:lpstr>119+220</vt:lpstr>
      <vt:lpstr>119+630</vt:lpstr>
      <vt:lpstr>119+680</vt:lpstr>
      <vt:lpstr>119+780</vt:lpstr>
      <vt:lpstr>119+880</vt:lpstr>
      <vt:lpstr>119+980</vt:lpstr>
      <vt:lpstr>120+020</vt:lpstr>
      <vt:lpstr>120+120</vt:lpstr>
      <vt:lpstr>120+220</vt:lpstr>
      <vt:lpstr>120+320</vt:lpstr>
      <vt:lpstr>120+420</vt:lpstr>
      <vt:lpstr>120+520</vt:lpstr>
      <vt:lpstr>120+620</vt:lpstr>
      <vt:lpstr>120+680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CHI</dc:creator>
  <cp:lastModifiedBy>Đăng Huân Võ</cp:lastModifiedBy>
  <cp:lastPrinted>2025-04-12T02:52:16Z</cp:lastPrinted>
  <dcterms:created xsi:type="dcterms:W3CDTF">2025-04-11T14:18:22Z</dcterms:created>
  <dcterms:modified xsi:type="dcterms:W3CDTF">2025-07-29T09:39:13Z</dcterms:modified>
</cp:coreProperties>
</file>